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ss" sheetId="1" state="visible" r:id="rId1"/>
    <sheet name="Boss_be_goc" sheetId="2" state="visible" r:id="rId2"/>
    <sheet name="Boss_bo_phan" sheetId="3" state="visible" r:id="rId3"/>
    <sheet name="Boss_phase" sheetId="4" state="visible" r:id="rId4"/>
    <sheet name="Boss_bien_the_chinh" sheetId="5" state="visible" r:id="rId5"/>
    <sheet name="Boss_ham_doi" sheetId="6" state="visible" r:id="rId6"/>
    <sheet name="Boss_tiers_schedule" sheetId="7" state="visible" r:id="rId7"/>
    <sheet name="Boss_tiers_schedule_steps" sheetId="8" state="visible" r:id="rId8"/>
    <sheet name="Boss_air" sheetId="9" state="visible" r:id="rId9"/>
    <sheet name="Boss_vu_khi" sheetId="10" state="visible" r:id="rId10"/>
    <sheet name="Boss_tam_toi_thieu" sheetId="11" state="visible" r:id="rId11"/>
    <sheet name="Boss_goc_nong" sheetId="12" state="visible" r:id="rId12"/>
    <sheet name="Boss_ghi_de_tam" sheetId="13" state="visible" r:id="rId13"/>
    <sheet name="Boss_bo_phan_thu_vien" sheetId="14" state="visible" r:id="rId14"/>
    <sheet name="Boss_khung" sheetId="15" state="visible" r:id="rId15"/>
    <sheet name="Boss_hang" sheetId="16" state="visible" r:id="rId16"/>
    <sheet name="Boss_sieu_vu_khi" sheetId="17" state="visible" r:id="rId17"/>
    <sheet name="Boss_sieu_vu_khi_don" sheetId="18" state="visible" r:id="rId18"/>
    <sheet name="Boss_sieu_vu_khi_luat" sheetId="19" state="visible" r:id="rId19"/>
    <sheet name="Boss_ho_tong" sheetId="20" state="visible" r:id="rId20"/>
    <sheet name="Boss_ho_tong_den" sheetId="21" state="visible" r:id="rId21"/>
    <sheet name="Boss_ho_tong_pha" sheetId="22" state="visible" r:id="rId22"/>
    <sheet name="Boss_ho_tong_phase" sheetId="23" state="visible" r:id="rId23"/>
    <sheet name="Boss_ho_tong_phases" sheetId="24" state="visible" r:id="rId24"/>
    <sheet name="Boss_ho_tong_phases_units" sheetId="25" state="visible" r:id="rId25"/>
    <sheet name="Boss_ho_tong_mau" sheetId="26" state="visible" r:id="rId26"/>
    <sheet name="Boss_ho_tong_mau_den" sheetId="27" state="visible" r:id="rId27"/>
    <sheet name="Boss_ho_tong_mau_pha" sheetId="28" state="visible" r:id="rId28"/>
    <sheet name="Boss_ho_tong_mau_phases" sheetId="29" state="visible" r:id="rId29"/>
    <sheet name="Boss_ho_tong_mau_phases_units" sheetId="30" state="visible" r:id="rId30"/>
    <sheet name="Boss_ho_tong_luat" sheetId="31" state="visible" r:id="rId31"/>
    <sheet name="Sanhunt" sheetId="32" state="visible" r:id="rId32"/>
    <sheet name="boss_input_vu_khi" sheetId="33" state="visible" r:id="rId33"/>
    <sheet name="boss_input_vu_khi_suy_ra" sheetId="34" state="visible" r:id="rId34"/>
    <sheet name="boss_input_bang_xuyen_giap" sheetId="35" state="visible" r:id="rId35"/>
    <sheet name="input_xe_tham_chieu" sheetId="36" state="visible" r:id="rId36"/>
    <sheet name="Boss_dps" sheetId="37" state="visible" r:id="rId37"/>
    <sheet name="Boss_hieu_qua" sheetId="38" state="visible" r:id="rId38"/>
    <sheet name="Sanhunt_chua_xep" sheetId="39" state="visible" r:id="rId39"/>
    <sheet name="Sanhunt_ho_tro" sheetId="40" state="visible" r:id="rId40"/>
    <sheet name="boss_input_kich_thuoc_that" sheetId="41" state="visible" r:id="rId41"/>
    <sheet name="Boss_tham_chieu" sheetId="42" state="visible" r:id="rId42"/>
    <sheet name="Boss_so_sanh_that" sheetId="43" state="visible" r:id="rId43"/>
    <sheet name="boss_input_nhip_that" sheetId="44" state="visible" r:id="rId44"/>
    <sheet name="boss_input_ty_le_nhip" sheetId="45" state="visible" r:id="rId45"/>
    <sheet name="Hang_so_boss" sheetId="46" state="visible" r:id="rId46"/>
  </sheets>
  <definedNames>
    <definedName name="_xlnm._FilterDatabase" localSheetId="0" hidden="1">'Boss'!$A$1:$KN$34</definedName>
    <definedName name="_xlnm._FilterDatabase" localSheetId="1" hidden="1">'Boss_be_goc'!$A$1:$K$134</definedName>
    <definedName name="_xlnm._FilterDatabase" localSheetId="2" hidden="1">'Boss_bo_phan'!$A$1:$AB$154</definedName>
    <definedName name="_xlnm._FilterDatabase" localSheetId="3" hidden="1">'Boss_phase'!$A$1:$K$7</definedName>
    <definedName name="_xlnm._FilterDatabase" localSheetId="4" hidden="1">'Boss_bien_the_chinh'!$A$1:$P$65</definedName>
    <definedName name="_xlnm._FilterDatabase" localSheetId="5" hidden="1">'Boss_ham_doi'!$A$1:$I$9</definedName>
    <definedName name="_xlnm._FilterDatabase" localSheetId="6" hidden="1">'Boss_tiers_schedule'!$A$1:$E$15</definedName>
    <definedName name="_xlnm._FilterDatabase" localSheetId="7" hidden="1">'Boss_tiers_schedule_steps'!$A$1:$G$25</definedName>
    <definedName name="_xlnm._FilterDatabase" localSheetId="8" hidden="1">'Boss_air'!$A$1:$G$2</definedName>
    <definedName name="_xlnm._FilterDatabase" localSheetId="9" hidden="1">'Boss_vu_khi'!$A$1:$V$220</definedName>
    <definedName name="_xlnm._FilterDatabase" localSheetId="10" hidden="1">'Boss_tam_toi_thieu'!$A$1:$BE$220</definedName>
    <definedName name="_xlnm._FilterDatabase" localSheetId="11" hidden="1">'Boss_goc_nong'!$A$1:$H$42</definedName>
    <definedName name="_xlnm._FilterDatabase" localSheetId="12" hidden="1">'Boss_ghi_de_tam'!$A$1:$H$69</definedName>
    <definedName name="_xlnm._FilterDatabase" localSheetId="13" hidden="1">'Boss_bo_phan_thu_vien'!$A$1:$Q$20</definedName>
    <definedName name="_xlnm._FilterDatabase" localSheetId="14" hidden="1">'Boss_khung'!$A$1:$Y$9</definedName>
    <definedName name="_xlnm._FilterDatabase" localSheetId="15" hidden="1">'Boss_hang'!$A$1:$H$43</definedName>
    <definedName name="_xlnm._FilterDatabase" localSheetId="16" hidden="1">'Boss_sieu_vu_khi'!$A$1:$R$16</definedName>
    <definedName name="_xlnm._FilterDatabase" localSheetId="17" hidden="1">'Boss_sieu_vu_khi_don'!$A$1:$AH$17</definedName>
    <definedName name="_xlnm._FilterDatabase" localSheetId="18" hidden="1">'Boss_sieu_vu_khi_luat'!$A$1:$H$35</definedName>
    <definedName name="_xlnm._FilterDatabase" localSheetId="19" hidden="1">'Boss_ho_tong'!$A$1:$I$14</definedName>
    <definedName name="_xlnm._FilterDatabase" localSheetId="20" hidden="1">'Boss_ho_tong_den'!$A$1:$G$49</definedName>
    <definedName name="_xlnm._FilterDatabase" localSheetId="21" hidden="1">'Boss_ho_tong_pha'!$A$1:$G$9</definedName>
    <definedName name="_xlnm._FilterDatabase" localSheetId="22" hidden="1">'Boss_ho_tong_phase'!$A$1:$H$18</definedName>
    <definedName name="_xlnm._FilterDatabase" localSheetId="23" hidden="1">'Boss_ho_tong_phases'!$A$1:$E$3</definedName>
    <definedName name="_xlnm._FilterDatabase" localSheetId="24" hidden="1">'Boss_ho_tong_phases_units'!$A$1:$G$5</definedName>
    <definedName name="_xlnm._FilterDatabase" localSheetId="25" hidden="1">'Boss_ho_tong_mau'!$A$1:$C$9</definedName>
    <definedName name="_xlnm._FilterDatabase" localSheetId="26" hidden="1">'Boss_ho_tong_mau_den'!$A$1:$G$33</definedName>
    <definedName name="_xlnm._FilterDatabase" localSheetId="27" hidden="1">'Boss_ho_tong_mau_pha'!$A$1:$H$15</definedName>
    <definedName name="_xlnm._FilterDatabase" localSheetId="28" hidden="1">'Boss_ho_tong_mau_phases'!$A$1:$E$3</definedName>
    <definedName name="_xlnm._FilterDatabase" localSheetId="29" hidden="1">'Boss_ho_tong_mau_phases_units'!$A$1:$G$5</definedName>
    <definedName name="_xlnm._FilterDatabase" localSheetId="30" hidden="1">'Boss_ho_tong_luat'!$A$1:$H$43</definedName>
    <definedName name="_xlnm._FilterDatabase" localSheetId="31" hidden="1">'Sanhunt'!$A$1:$I$34</definedName>
    <definedName name="_xlnm._FilterDatabase" localSheetId="32" hidden="1">'boss_input_vu_khi'!$A$1:$G$94</definedName>
    <definedName name="_xlnm._FilterDatabase" localSheetId="33" hidden="1">'boss_input_vu_khi_suy_ra'!$A$1:$J$94</definedName>
    <definedName name="_xlnm._FilterDatabase" localSheetId="34" hidden="1">'boss_input_bang_xuyen_giap'!$A$1:$D$7</definedName>
    <definedName name="_xlnm._FilterDatabase" localSheetId="35" hidden="1">'input_xe_tham_chieu'!$A$1:$I$6</definedName>
    <definedName name="_xlnm._FilterDatabase" localSheetId="36" hidden="1">'Boss_dps'!$A$1:$L$34</definedName>
    <definedName name="_xlnm._FilterDatabase" localSheetId="37" hidden="1">'Boss_hieu_qua'!$A$1:$T$166</definedName>
    <definedName name="_xlnm._FilterDatabase" localSheetId="38" hidden="1">'Sanhunt_chua_xep'!$A$1:$D$9</definedName>
    <definedName name="_xlnm._FilterDatabase" localSheetId="39" hidden="1">'Sanhunt_ho_tro'!$A$1:$H$13</definedName>
    <definedName name="_xlnm._FilterDatabase" localSheetId="40" hidden="1">'boss_input_kich_thuoc_that'!$A$1:$I$20</definedName>
    <definedName name="_xlnm._FilterDatabase" localSheetId="41" hidden="1">'Boss_tham_chieu'!$A$1:$AH$34</definedName>
    <definedName name="_xlnm._FilterDatabase" localSheetId="42" hidden="1">'Boss_so_sanh_that'!$A$1:$R$109</definedName>
    <definedName name="_xlnm._FilterDatabase" localSheetId="43" hidden="1">'boss_input_nhip_that'!$A$1:$F$74</definedName>
    <definedName name="_xlnm._FilterDatabase" localSheetId="44" hidden="1">'boss_input_ty_le_nhip'!$A$1:$E$74</definedName>
    <definedName name="_xlnm._FilterDatabase" localSheetId="45" hidden="1">'Hang_so_boss'!$A$1:$K$29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1" customWidth="1" min="2" max="2"/>
    <col width="36" customWidth="1" min="3" max="3"/>
    <col width="36" customWidth="1" min="4" max="4"/>
    <col width="15" customWidth="1" min="5" max="5"/>
    <col width="8" customWidth="1" min="6" max="6"/>
    <col width="8" customWidth="1" min="7" max="7"/>
    <col width="12" customWidth="1" min="8" max="8"/>
    <col width="9" customWidth="1" min="9" max="9"/>
    <col width="8" customWidth="1" min="10" max="10"/>
    <col width="19" customWidth="1" min="11" max="11"/>
    <col width="12" customWidth="1" min="12" max="12"/>
    <col width="11" customWidth="1" min="13" max="13"/>
    <col width="10" customWidth="1" min="14" max="14"/>
    <col width="10" customWidth="1" min="15" max="15"/>
    <col width="12" customWidth="1" min="16" max="16"/>
    <col width="12" customWidth="1" min="17" max="17"/>
    <col width="17" customWidth="1" min="18" max="18"/>
    <col width="17" customWidth="1" min="19" max="19"/>
    <col width="12" customWidth="1" min="20" max="20"/>
    <col width="12" customWidth="1" min="21" max="21"/>
    <col width="8" customWidth="1" min="22" max="22"/>
    <col width="8" customWidth="1" min="23" max="23"/>
    <col width="8" customWidth="1" min="24" max="24"/>
    <col width="10" customWidth="1" min="25" max="25"/>
    <col width="10" customWidth="1" min="26" max="26"/>
    <col width="14" customWidth="1" min="27" max="27"/>
    <col width="14" customWidth="1" min="28" max="28"/>
    <col width="10" customWidth="1" min="29" max="29"/>
    <col width="21" customWidth="1" min="30" max="30"/>
    <col width="37" customWidth="1" min="31" max="31"/>
    <col width="60" customWidth="1" min="32" max="32"/>
    <col width="48" customWidth="1" min="33" max="33"/>
    <col width="8" customWidth="1" min="34" max="34"/>
    <col width="14" customWidth="1" min="35" max="35"/>
    <col width="13" customWidth="1" min="36" max="36"/>
    <col width="19" customWidth="1" min="37" max="37"/>
    <col width="16" customWidth="1" min="38" max="38"/>
    <col width="15" customWidth="1" min="39" max="39"/>
    <col width="13" customWidth="1" min="40" max="40"/>
    <col width="14" customWidth="1" min="41" max="41"/>
    <col width="12" customWidth="1" min="42" max="42"/>
    <col width="18" customWidth="1" min="43" max="43"/>
    <col width="16" customWidth="1" min="44" max="44"/>
    <col width="17" customWidth="1" min="45" max="45"/>
    <col width="15" customWidth="1" min="46" max="46"/>
    <col width="16" customWidth="1" min="47" max="47"/>
    <col width="14" customWidth="1" min="48" max="48"/>
    <col width="16" customWidth="1" min="49" max="49"/>
    <col width="14" customWidth="1" min="50" max="50"/>
    <col width="18" customWidth="1" min="51" max="51"/>
    <col width="16" customWidth="1" min="52" max="52"/>
    <col width="18" customWidth="1" min="53" max="53"/>
    <col width="16" customWidth="1" min="54" max="54"/>
    <col width="24" customWidth="1" min="55" max="55"/>
    <col width="18" customWidth="1" min="56" max="56"/>
    <col width="60" customWidth="1" min="57" max="57"/>
    <col width="60" customWidth="1" min="58" max="58"/>
    <col width="27" customWidth="1" min="59" max="59"/>
    <col width="25" customWidth="1" min="60" max="60"/>
    <col width="11" customWidth="1" min="61" max="61"/>
    <col width="15" customWidth="1" min="62" max="62"/>
    <col width="8" customWidth="1" min="63" max="63"/>
    <col width="17" customWidth="1" min="64" max="64"/>
    <col width="8" customWidth="1" min="65" max="65"/>
    <col width="9" customWidth="1" min="66" max="66"/>
    <col width="25" customWidth="1" min="67" max="67"/>
    <col width="22" customWidth="1" min="68" max="68"/>
    <col width="23" customWidth="1" min="69" max="69"/>
    <col width="9" customWidth="1" min="70" max="70"/>
    <col width="11" customWidth="1" min="71" max="71"/>
    <col width="39" customWidth="1" min="72" max="72"/>
    <col width="25" customWidth="1" min="73" max="73"/>
    <col width="8" customWidth="1" min="74" max="74"/>
    <col width="12" customWidth="1" min="75" max="75"/>
    <col width="11" customWidth="1" min="76" max="76"/>
    <col width="8" customWidth="1" min="77" max="77"/>
    <col width="14" customWidth="1" min="78" max="78"/>
    <col width="13" customWidth="1" min="79" max="79"/>
    <col width="13" customWidth="1" min="80" max="80"/>
    <col width="12" customWidth="1" min="81" max="81"/>
    <col width="25" customWidth="1" min="82" max="82"/>
    <col width="29" customWidth="1" min="83" max="83"/>
    <col width="25" customWidth="1" min="84" max="84"/>
    <col width="25" customWidth="1" min="85" max="85"/>
    <col width="8" customWidth="1" min="86" max="86"/>
    <col width="15" customWidth="1" min="87" max="87"/>
    <col width="15" customWidth="1" min="88" max="88"/>
    <col width="18" customWidth="1" min="89" max="89"/>
    <col width="22" customWidth="1" min="90" max="90"/>
    <col width="14" customWidth="1" min="91" max="91"/>
    <col width="17" customWidth="1" min="92" max="92"/>
    <col width="18" customWidth="1" min="93" max="93"/>
    <col width="19" customWidth="1" min="94" max="94"/>
    <col width="15" customWidth="1" min="95" max="95"/>
    <col width="16" customWidth="1" min="96" max="96"/>
    <col width="25" customWidth="1" min="97" max="97"/>
    <col width="14" customWidth="1" min="98" max="98"/>
    <col width="23" customWidth="1" min="99" max="99"/>
    <col width="15" customWidth="1" min="100" max="100"/>
    <col width="14" customWidth="1" min="101" max="101"/>
    <col width="8" customWidth="1" min="102" max="102"/>
    <col width="8" customWidth="1" min="103" max="103"/>
    <col width="53" customWidth="1" min="104" max="104"/>
    <col width="15" customWidth="1" min="105" max="105"/>
    <col width="13" customWidth="1" min="106" max="106"/>
    <col width="11" customWidth="1" min="107" max="107"/>
    <col width="11" customWidth="1" min="108" max="108"/>
    <col width="13" customWidth="1" min="109" max="109"/>
    <col width="14" customWidth="1" min="110" max="110"/>
    <col width="15" customWidth="1" min="111" max="111"/>
    <col width="16" customWidth="1" min="112" max="112"/>
    <col width="14" customWidth="1" min="113" max="113"/>
    <col width="14" customWidth="1" min="114" max="114"/>
    <col width="20" customWidth="1" min="115" max="115"/>
    <col width="14" customWidth="1" min="116" max="116"/>
    <col width="17" customWidth="1" min="117" max="117"/>
    <col width="15" customWidth="1" min="118" max="118"/>
    <col width="22" customWidth="1" min="119" max="119"/>
    <col width="17" customWidth="1" min="120" max="120"/>
    <col width="18" customWidth="1" min="121" max="121"/>
    <col width="11" customWidth="1" min="122" max="122"/>
    <col width="17" customWidth="1" min="123" max="123"/>
    <col width="15" customWidth="1" min="124" max="124"/>
    <col width="17" customWidth="1" min="125" max="125"/>
    <col width="24" customWidth="1" min="126" max="126"/>
    <col width="25" customWidth="1" min="127" max="127"/>
    <col width="26" customWidth="1" min="128" max="128"/>
    <col width="22" customWidth="1" min="129" max="129"/>
    <col width="19" customWidth="1" min="130" max="130"/>
    <col width="14" customWidth="1" min="131" max="131"/>
    <col width="13" customWidth="1" min="132" max="132"/>
    <col width="15" customWidth="1" min="133" max="133"/>
    <col width="17" customWidth="1" min="134" max="134"/>
    <col width="15" customWidth="1" min="135" max="135"/>
    <col width="14" customWidth="1" min="136" max="136"/>
    <col width="13" customWidth="1" min="137" max="137"/>
    <col width="13" customWidth="1" min="138" max="138"/>
    <col width="60" customWidth="1" min="139" max="139"/>
    <col width="16" customWidth="1" min="140" max="140"/>
    <col width="20" customWidth="1" min="141" max="141"/>
    <col width="21" customWidth="1" min="142" max="142"/>
    <col width="22" customWidth="1" min="143" max="143"/>
    <col width="20" customWidth="1" min="144" max="144"/>
    <col width="8" customWidth="1" min="145" max="145"/>
    <col width="11" customWidth="1" min="146" max="146"/>
    <col width="9" customWidth="1" min="147" max="147"/>
    <col width="8" customWidth="1" min="148" max="148"/>
    <col width="13" customWidth="1" min="149" max="149"/>
    <col width="14" customWidth="1" min="150" max="150"/>
    <col width="15" customWidth="1" min="151" max="151"/>
    <col width="13" customWidth="1" min="152" max="152"/>
    <col width="16" customWidth="1" min="153" max="153"/>
    <col width="15" customWidth="1" min="154" max="154"/>
    <col width="8" customWidth="1" min="155" max="155"/>
    <col width="17" customWidth="1" min="156" max="156"/>
    <col width="15" customWidth="1" min="157" max="157"/>
    <col width="18" customWidth="1" min="158" max="158"/>
    <col width="13" customWidth="1" min="159" max="159"/>
    <col width="13" customWidth="1" min="160" max="160"/>
    <col width="14" customWidth="1" min="161" max="161"/>
    <col width="14" customWidth="1" min="162" max="162"/>
    <col width="60" customWidth="1" min="163" max="163"/>
    <col width="10" customWidth="1" min="164" max="164"/>
    <col width="8" customWidth="1" min="165" max="165"/>
    <col width="10" customWidth="1" min="166" max="166"/>
    <col width="12" customWidth="1" min="167" max="167"/>
    <col width="11" customWidth="1" min="168" max="168"/>
    <col width="14" customWidth="1" min="169" max="169"/>
    <col width="18" customWidth="1" min="170" max="170"/>
    <col width="12" customWidth="1" min="171" max="171"/>
    <col width="11" customWidth="1" min="172" max="172"/>
    <col width="16" customWidth="1" min="173" max="173"/>
    <col width="12" customWidth="1" min="174" max="174"/>
    <col width="15" customWidth="1" min="175" max="175"/>
    <col width="18" customWidth="1" min="176" max="176"/>
    <col width="12" customWidth="1" min="177" max="177"/>
    <col width="21" customWidth="1" min="178" max="178"/>
    <col width="21" customWidth="1" min="179" max="179"/>
    <col width="20" customWidth="1" min="180" max="180"/>
    <col width="37" customWidth="1" min="181" max="181"/>
    <col width="28" customWidth="1" min="182" max="182"/>
    <col width="31" customWidth="1" min="183" max="183"/>
    <col width="30" customWidth="1" min="184" max="184"/>
    <col width="31" customWidth="1" min="185" max="185"/>
    <col width="37" customWidth="1" min="186" max="186"/>
    <col width="32" customWidth="1" min="187" max="187"/>
    <col width="32" customWidth="1" min="188" max="188"/>
    <col width="32" customWidth="1" min="189" max="189"/>
    <col width="29" customWidth="1" min="190" max="190"/>
    <col width="31" customWidth="1" min="191" max="191"/>
    <col width="20" customWidth="1" min="192" max="192"/>
    <col width="24" customWidth="1" min="193" max="193"/>
    <col width="13" customWidth="1" min="194" max="194"/>
    <col width="12" customWidth="1" min="195" max="195"/>
    <col width="22" customWidth="1" min="196" max="196"/>
    <col width="8" customWidth="1" min="197" max="197"/>
    <col width="14" customWidth="1" min="198" max="198"/>
    <col width="11" customWidth="1" min="199" max="199"/>
    <col width="17" customWidth="1" min="200" max="200"/>
    <col width="16" customWidth="1" min="201" max="201"/>
    <col width="8" customWidth="1" min="202" max="202"/>
    <col width="12" customWidth="1" min="203" max="203"/>
    <col width="13" customWidth="1" min="204" max="204"/>
    <col width="21" customWidth="1" min="205" max="205"/>
    <col width="14" customWidth="1" min="206" max="206"/>
    <col width="11" customWidth="1" min="207" max="207"/>
    <col width="12" customWidth="1" min="208" max="208"/>
    <col width="10" customWidth="1" min="209" max="209"/>
    <col width="10" customWidth="1" min="210" max="210"/>
    <col width="15" customWidth="1" min="211" max="211"/>
    <col width="14" customWidth="1" min="212" max="212"/>
    <col width="15" customWidth="1" min="213" max="213"/>
    <col width="13" customWidth="1" min="214" max="214"/>
    <col width="13" customWidth="1" min="215" max="215"/>
    <col width="15" customWidth="1" min="216" max="216"/>
    <col width="11" customWidth="1" min="217" max="217"/>
    <col width="60" customWidth="1" min="218" max="218"/>
    <col width="14" customWidth="1" min="219" max="219"/>
    <col width="25" customWidth="1" min="220" max="220"/>
    <col width="10" customWidth="1" min="221" max="221"/>
    <col width="8" customWidth="1" min="222" max="222"/>
    <col width="8" customWidth="1" min="223" max="223"/>
    <col width="8" customWidth="1" min="224" max="224"/>
    <col width="21" customWidth="1" min="225" max="225"/>
    <col width="14" customWidth="1" min="226" max="226"/>
    <col width="14" customWidth="1" min="227" max="227"/>
    <col width="15" customWidth="1" min="228" max="228"/>
    <col width="13" customWidth="1" min="229" max="229"/>
    <col width="16" customWidth="1" min="230" max="230"/>
    <col width="15" customWidth="1" min="231" max="231"/>
    <col width="14" customWidth="1" min="232" max="232"/>
    <col width="14" customWidth="1" min="233" max="233"/>
    <col width="13" customWidth="1" min="234" max="234"/>
    <col width="14" customWidth="1" min="235" max="235"/>
    <col width="21" customWidth="1" min="236" max="236"/>
    <col width="8" customWidth="1" min="237" max="237"/>
    <col width="11" customWidth="1" min="238" max="238"/>
    <col width="11" customWidth="1" min="239" max="239"/>
    <col width="13" customWidth="1" min="240" max="240"/>
    <col width="8" customWidth="1" min="241" max="241"/>
    <col width="48" customWidth="1" min="242" max="242"/>
    <col width="11" customWidth="1" min="243" max="243"/>
    <col width="11" customWidth="1" min="244" max="244"/>
    <col width="9" customWidth="1" min="245" max="245"/>
    <col width="20" customWidth="1" min="246" max="246"/>
    <col width="23" customWidth="1" min="247" max="247"/>
    <col width="19" customWidth="1" min="248" max="248"/>
    <col width="13" customWidth="1" min="249" max="249"/>
    <col width="16" customWidth="1" min="250" max="250"/>
    <col width="20" customWidth="1" min="251" max="251"/>
    <col width="20" customWidth="1" min="252" max="252"/>
    <col width="60" customWidth="1" min="253" max="253"/>
    <col width="18" customWidth="1" min="254" max="254"/>
    <col width="18" customWidth="1" min="255" max="255"/>
    <col width="18" customWidth="1" min="256" max="256"/>
    <col width="22" customWidth="1" min="257" max="257"/>
    <col width="21" customWidth="1" min="258" max="258"/>
    <col width="19" customWidth="1" min="259" max="259"/>
    <col width="18" customWidth="1" min="260" max="260"/>
    <col width="20" customWidth="1" min="261" max="261"/>
    <col width="19" customWidth="1" min="262" max="262"/>
    <col width="21" customWidth="1" min="263" max="263"/>
    <col width="14" customWidth="1" min="264" max="264"/>
    <col width="27" customWidth="1" min="265" max="265"/>
    <col width="22" customWidth="1" min="266" max="266"/>
    <col width="20" customWidth="1" min="267" max="267"/>
    <col width="24" customWidth="1" min="268" max="268"/>
    <col width="21" customWidth="1" min="269" max="269"/>
    <col width="13" customWidth="1" min="270" max="270"/>
    <col width="15" customWidth="1" min="271" max="271"/>
    <col width="23" customWidth="1" min="272" max="272"/>
    <col width="22" customWidth="1" min="273" max="273"/>
    <col width="29" customWidth="1" min="274" max="274"/>
    <col width="21" customWidth="1" min="275" max="275"/>
    <col width="23" customWidth="1" min="276" max="276"/>
    <col width="25" customWidth="1" min="277" max="277"/>
    <col width="30" customWidth="1" min="278" max="278"/>
    <col width="28" customWidth="1" min="279" max="279"/>
    <col width="13" customWidth="1" min="280" max="280"/>
    <col width="17" customWidth="1" min="281" max="281"/>
    <col width="24" customWidth="1" min="282" max="282"/>
    <col width="37" customWidth="1" min="283" max="283"/>
    <col width="47" customWidth="1" min="284" max="284"/>
    <col width="14" customWidth="1" min="285" max="285"/>
    <col width="14" customWidth="1" min="286" max="286"/>
    <col width="17" customWidth="1" min="287" max="287"/>
    <col width="14" customWidth="1" min="288" max="288"/>
    <col width="16" customWidth="1" min="289" max="289"/>
    <col width="16" customWidth="1" min="290" max="290"/>
    <col width="16" customWidth="1" min="291" max="291"/>
    <col width="10" customWidth="1" min="292" max="292"/>
    <col width="8" customWidth="1" min="293" max="293"/>
    <col width="13" customWidth="1" min="294" max="294"/>
    <col width="12" customWidth="1" min="295" max="295"/>
    <col width="18" customWidth="1" min="296" max="296"/>
    <col width="15" customWidth="1" min="297" max="297"/>
    <col width="9" customWidth="1" min="298" max="298"/>
    <col width="60" customWidth="1" min="299" max="299"/>
    <col width="60" customWidth="1" min="300" max="300"/>
  </cols>
  <sheetData>
    <row r="1">
      <c r="A1" s="1" t="inlineStr">
        <is>
          <t>id</t>
        </is>
      </c>
      <c r="B1" s="1" t="inlineStr">
        <is>
          <t>phan_loai</t>
        </is>
      </c>
      <c r="C1" s="1" t="inlineStr">
        <is>
          <t>ten_en</t>
        </is>
      </c>
      <c r="D1" s="1" t="inlineStr">
        <is>
          <t>ten_vi</t>
        </is>
      </c>
      <c r="E1" s="1" t="inlineStr">
        <is>
          <t>ten_ngan_vi</t>
        </is>
      </c>
      <c r="F1" s="1" t="inlineStr">
        <is>
          <t>lop</t>
        </is>
      </c>
      <c r="G1" s="1" t="inlineStr">
        <is>
          <t>nhanh</t>
        </is>
      </c>
      <c r="H1" s="1" t="inlineStr">
        <is>
          <t>ke_thua_tu</t>
        </is>
      </c>
      <c r="I1" s="1" t="inlineStr">
        <is>
          <t>base_cp</t>
        </is>
      </c>
      <c r="J1" s="1" t="inlineStr">
        <is>
          <t>mau_hp</t>
        </is>
      </c>
      <c r="K1" s="1" t="inlineStr">
        <is>
          <t>mau_trong_tran_hp</t>
        </is>
      </c>
      <c r="L1" s="1" t="inlineStr">
        <is>
          <t>giap_truoc</t>
        </is>
      </c>
      <c r="M1" s="1" t="inlineStr">
        <is>
          <t>giap_hong</t>
        </is>
      </c>
      <c r="N1" s="1" t="inlineStr">
        <is>
          <t>giap_sau</t>
        </is>
      </c>
      <c r="O1" s="1" t="inlineStr">
        <is>
          <t>giap_noc</t>
        </is>
      </c>
      <c r="P1" s="1" t="inlineStr">
        <is>
          <t>cong_trinh</t>
        </is>
      </c>
      <c r="Q1" s="1" t="inlineStr">
        <is>
          <t>toc_do_m_s</t>
        </is>
      </c>
      <c r="R1" s="1" t="inlineStr">
        <is>
          <t>xoay_than_deg_s</t>
        </is>
      </c>
      <c r="S1" s="1" t="inlineStr">
        <is>
          <t>xoay_thap_deg_s</t>
        </is>
      </c>
      <c r="T1" s="1" t="inlineStr">
        <is>
          <t>tam_nhin_m</t>
        </is>
      </c>
      <c r="U1" s="1" t="inlineStr">
        <is>
          <t>ban_kinh_m</t>
        </is>
      </c>
      <c r="V1" s="1" t="inlineStr">
        <is>
          <t>dai_m</t>
        </is>
      </c>
      <c r="W1" s="1" t="inlineStr">
        <is>
          <t>rong_m</t>
        </is>
      </c>
      <c r="X1" s="1" t="inlineStr">
        <is>
          <t>bay</t>
        </is>
      </c>
      <c r="Y1" s="1" t="inlineStr">
        <is>
          <t>do_cao_m</t>
        </is>
      </c>
      <c r="Z1" s="1" t="inlineStr">
        <is>
          <t>dung_yen</t>
        </is>
      </c>
      <c r="AA1" s="1" t="inlineStr">
        <is>
          <t>ban_khi_chay</t>
        </is>
      </c>
      <c r="AB1" s="1" t="inlineStr">
        <is>
          <t>toc_do_chiem</t>
        </is>
      </c>
      <c r="AC1" s="1" t="inlineStr">
        <is>
          <t>tha_du_s</t>
        </is>
      </c>
      <c r="AD1" s="1" t="inlineStr">
        <is>
          <t>he_so_sat_thuong_ra</t>
        </is>
      </c>
      <c r="AE1" s="1" t="inlineStr">
        <is>
          <t>vu_khi_chinh</t>
        </is>
      </c>
      <c r="AF1" s="1" t="inlineStr">
        <is>
          <t>vu_khi_phu</t>
        </is>
      </c>
      <c r="AG1" s="1" t="inlineStr">
        <is>
          <t>noi_tai</t>
        </is>
      </c>
      <c r="AH1" s="1" t="inlineStr">
        <is>
          <t>tu_ve</t>
        </is>
      </c>
      <c r="AI1" s="1" t="inlineStr">
        <is>
          <t>so_lan_tu_ve</t>
        </is>
      </c>
      <c r="AJ1" s="1" t="inlineStr">
        <is>
          <t>hoi_tu_ve_s</t>
        </is>
      </c>
      <c r="AK1" s="1" t="inlineStr">
        <is>
          <t>mo_hinh</t>
        </is>
      </c>
      <c r="AL1" s="1" t="inlineStr">
        <is>
          <t>so_voi_ban_goc</t>
        </is>
      </c>
      <c r="AM1" s="1" t="inlineStr">
        <is>
          <t>base_cp_truoc</t>
        </is>
      </c>
      <c r="AN1" s="1" t="inlineStr">
        <is>
          <t>base_cp_sau</t>
        </is>
      </c>
      <c r="AO1" s="1" t="inlineStr">
        <is>
          <t>mau_hp_truoc</t>
        </is>
      </c>
      <c r="AP1" s="1" t="inlineStr">
        <is>
          <t>mau_hp_sau</t>
        </is>
      </c>
      <c r="AQ1" s="1" t="inlineStr">
        <is>
          <t>giap_truoc_truoc</t>
        </is>
      </c>
      <c r="AR1" s="1" t="inlineStr">
        <is>
          <t>giap_truoc_sau</t>
        </is>
      </c>
      <c r="AS1" s="1" t="inlineStr">
        <is>
          <t>giap_hong_truoc</t>
        </is>
      </c>
      <c r="AT1" s="1" t="inlineStr">
        <is>
          <t>giap_hong_sau</t>
        </is>
      </c>
      <c r="AU1" s="1" t="inlineStr">
        <is>
          <t>giap_sau_truoc</t>
        </is>
      </c>
      <c r="AV1" s="1" t="inlineStr">
        <is>
          <t>giap_sau_sau</t>
        </is>
      </c>
      <c r="AW1" s="1" t="inlineStr">
        <is>
          <t>giap_noc_truoc</t>
        </is>
      </c>
      <c r="AX1" s="1" t="inlineStr">
        <is>
          <t>giap_noc_sau</t>
        </is>
      </c>
      <c r="AY1" s="1" t="inlineStr">
        <is>
          <t>toc_do_m_s_truoc</t>
        </is>
      </c>
      <c r="AZ1" s="1" t="inlineStr">
        <is>
          <t>toc_do_m_s_sau</t>
        </is>
      </c>
      <c r="BA1" s="1" t="inlineStr">
        <is>
          <t>tam_nhin_m_truoc</t>
        </is>
      </c>
      <c r="BB1" s="1" t="inlineStr">
        <is>
          <t>tam_nhin_m_sau</t>
        </is>
      </c>
      <c r="BC1" s="1" t="inlineStr">
        <is>
          <t>vu_khi_chinh_truoc</t>
        </is>
      </c>
      <c r="BD1" s="1" t="inlineStr">
        <is>
          <t>vu_khi_chinh_sau</t>
        </is>
      </c>
      <c r="BE1" s="1" t="inlineStr">
        <is>
          <t>vu_khi_phu_truoc</t>
        </is>
      </c>
      <c r="BF1" s="1" t="inlineStr">
        <is>
          <t>vu_khi_phu_sau</t>
        </is>
      </c>
      <c r="BG1" s="1" t="inlineStr">
        <is>
          <t>he_so_sat_thuong_ra_truoc</t>
        </is>
      </c>
      <c r="BH1" s="1" t="inlineStr">
        <is>
          <t>he_so_sat_thuong_ra_sau</t>
        </is>
      </c>
      <c r="BI1" s="1" t="inlineStr">
        <is>
          <t>khung</t>
        </is>
      </c>
      <c r="BJ1" s="1" t="inlineStr">
        <is>
          <t>kieu_duong_di</t>
        </is>
      </c>
      <c r="BK1" s="1" t="inlineStr">
        <is>
          <t>tuong</t>
        </is>
      </c>
      <c r="BL1" s="1" t="inlineStr">
        <is>
          <t>bien_the_cua</t>
        </is>
      </c>
      <c r="BM1" s="1" t="inlineStr">
        <is>
          <t>so_be</t>
        </is>
      </c>
      <c r="BN1" s="1" t="inlineStr">
        <is>
          <t>so_nong</t>
        </is>
      </c>
      <c r="BO1" s="1" t="inlineStr">
        <is>
          <t>sieu_vu_khi</t>
        </is>
      </c>
      <c r="BP1" s="1" t="inlineStr">
        <is>
          <t>sieu_vu_khi_chu_ky_s</t>
        </is>
      </c>
      <c r="BQ1" s="1" t="inlineStr">
        <is>
          <t>sieu_vu_khi_cach_nham</t>
        </is>
      </c>
      <c r="BR1" s="1" t="inlineStr">
        <is>
          <t>ho_tong</t>
        </is>
      </c>
      <c r="BS1" s="1" t="inlineStr">
        <is>
          <t>chuong</t>
        </is>
      </c>
      <c r="BT1" s="1" t="inlineStr">
        <is>
          <t>nhiem_vu</t>
        </is>
      </c>
      <c r="BU1" s="1" t="inlineStr">
        <is>
          <t>thoi_gian_ha_muc_tieu_s</t>
        </is>
      </c>
      <c r="BV1" s="1" t="inlineStr">
        <is>
          <t>air</t>
        </is>
      </c>
      <c r="BW1" s="1" t="inlineStr">
        <is>
          <t>altitude_m</t>
        </is>
      </c>
      <c r="BX1" s="1" t="inlineStr">
        <is>
          <t>arena</t>
        </is>
      </c>
      <c r="BY1" s="1" t="inlineStr">
        <is>
          <t>armour</t>
        </is>
      </c>
      <c r="BZ1" s="1" t="inlineStr">
        <is>
          <t>armour_front</t>
        </is>
      </c>
      <c r="CA1" s="1" t="inlineStr">
        <is>
          <t>armour_rear</t>
        </is>
      </c>
      <c r="CB1" s="1" t="inlineStr">
        <is>
          <t>armour_side</t>
        </is>
      </c>
      <c r="CC1" s="1" t="inlineStr">
        <is>
          <t>armour_top</t>
        </is>
      </c>
      <c r="CD1" s="1" t="inlineStr">
        <is>
          <t>big_attack</t>
        </is>
      </c>
      <c r="CE1" s="1" t="inlineStr">
        <is>
          <t>big_attack_scale_cooldown_s</t>
        </is>
      </c>
      <c r="CF1" s="1" t="inlineStr">
        <is>
          <t>big_attack_scale_damage</t>
        </is>
      </c>
      <c r="CG1" s="1" t="inlineStr">
        <is>
          <t>big_attack_scale_warn_s</t>
        </is>
      </c>
      <c r="CH1" s="1" t="inlineStr">
        <is>
          <t>boss</t>
        </is>
      </c>
      <c r="CI1" s="1" t="inlineStr">
        <is>
          <t>burrow_damage</t>
        </is>
      </c>
      <c r="CJ1" s="1" t="inlineStr">
        <is>
          <t>burrow_dive_s</t>
        </is>
      </c>
      <c r="CK1" s="1" t="inlineStr">
        <is>
          <t>burrow_exposed_s</t>
        </is>
      </c>
      <c r="CL1" s="1" t="inlineStr">
        <is>
          <t>burrow_exposed_taken</t>
        </is>
      </c>
      <c r="CM1" s="1" t="inlineStr">
        <is>
          <t>burrow_first</t>
        </is>
      </c>
      <c r="CN1" s="1" t="inlineStr">
        <is>
          <t>burrow_radius_m</t>
        </is>
      </c>
      <c r="CO1" s="1" t="inlineStr">
        <is>
          <t>burrow_speed_m_s</t>
        </is>
      </c>
      <c r="CP1" s="1" t="inlineStr">
        <is>
          <t>burrow_stop_phase</t>
        </is>
      </c>
      <c r="CQ1" s="1" t="inlineStr">
        <is>
          <t>burrow_stun_s</t>
        </is>
      </c>
      <c r="CR1" s="1" t="inlineStr">
        <is>
          <t>burrow_surface</t>
        </is>
      </c>
      <c r="CS1" s="1" t="inlineStr">
        <is>
          <t>burrow_surface_by_phase</t>
        </is>
      </c>
      <c r="CT1" s="1" t="inlineStr">
        <is>
          <t>burrow_under</t>
        </is>
      </c>
      <c r="CU1" s="1" t="inlineStr">
        <is>
          <t>burrow_under_by_phase</t>
        </is>
      </c>
      <c r="CV1" s="1" t="inlineStr">
        <is>
          <t>burrow_warn_s</t>
        </is>
      </c>
      <c r="CW1" s="1" t="inlineStr">
        <is>
          <t>capture_rate</t>
        </is>
      </c>
      <c r="CX1" s="1" t="inlineStr">
        <is>
          <t>cp</t>
        </is>
      </c>
      <c r="CY1" s="1" t="inlineStr">
        <is>
          <t>craft</t>
        </is>
      </c>
      <c r="CZ1" s="1" t="inlineStr">
        <is>
          <t>craft_carries</t>
        </is>
      </c>
      <c r="DA1" s="1" t="inlineStr">
        <is>
          <t>craft_every_s</t>
        </is>
      </c>
      <c r="DB1" s="1" t="inlineStr">
        <is>
          <t>craft_first</t>
        </is>
      </c>
      <c r="DC1" s="1" t="inlineStr">
        <is>
          <t>craft_max</t>
        </is>
      </c>
      <c r="DD1" s="1" t="inlineStr">
        <is>
          <t>craft_per</t>
        </is>
      </c>
      <c r="DE1" s="1" t="inlineStr">
        <is>
          <t>craft_phase</t>
        </is>
      </c>
      <c r="DF1" s="1" t="inlineStr">
        <is>
          <t>craft_unit</t>
        </is>
      </c>
      <c r="DG1" s="1" t="inlineStr">
        <is>
          <t>cruise_damage</t>
        </is>
      </c>
      <c r="DH1" s="1" t="inlineStr">
        <is>
          <t>cruise_every_s</t>
        </is>
      </c>
      <c r="DI1" s="1" t="inlineStr">
        <is>
          <t>cruise_final</t>
        </is>
      </c>
      <c r="DJ1" s="1" t="inlineStr">
        <is>
          <t>cruise_first</t>
        </is>
      </c>
      <c r="DK1" s="1" t="inlineStr">
        <is>
          <t>cruise_impact_tier</t>
        </is>
      </c>
      <c r="DL1" s="1" t="inlineStr">
        <is>
          <t>cruise_phase</t>
        </is>
      </c>
      <c r="DM1" s="1" t="inlineStr">
        <is>
          <t>cruise_radius_m</t>
        </is>
      </c>
      <c r="DN1" s="1" t="inlineStr">
        <is>
          <t>cruise_warn_s</t>
        </is>
      </c>
      <c r="DO1" s="1" t="inlineStr">
        <is>
          <t>cruise_warning</t>
        </is>
      </c>
      <c r="DP1" s="1" t="inlineStr">
        <is>
          <t>cruise_weapon</t>
        </is>
      </c>
      <c r="DQ1" s="1" t="inlineStr">
        <is>
          <t>crush_armour_cut</t>
        </is>
      </c>
      <c r="DR1" s="1" t="inlineStr">
        <is>
          <t>crush_dps</t>
        </is>
      </c>
      <c r="DS1" s="1" t="inlineStr">
        <is>
          <t>crush_min_speed</t>
        </is>
      </c>
      <c r="DT1" s="1" t="inlineStr">
        <is>
          <t>crush_reach_m</t>
        </is>
      </c>
      <c r="DU1" s="1" t="inlineStr">
        <is>
          <t>crush_structure</t>
        </is>
      </c>
      <c r="DV1" s="1" t="inlineStr">
        <is>
          <t>death_explosion_damage</t>
        </is>
      </c>
      <c r="DW1" s="1" t="inlineStr">
        <is>
          <t>death_explosion_delay_s</t>
        </is>
      </c>
      <c r="DX1" s="1" t="inlineStr">
        <is>
          <t>death_explosion_radius_m</t>
        </is>
      </c>
      <c r="DY1" s="1" t="inlineStr">
        <is>
          <t>death_explosion_tier</t>
        </is>
      </c>
      <c r="DZ1" s="1" t="inlineStr">
        <is>
          <t>drop_parts</t>
        </is>
      </c>
      <c r="EA1" s="1" t="inlineStr">
        <is>
          <t>duel_escorts</t>
        </is>
      </c>
      <c r="EB1" s="1" t="inlineStr">
        <is>
          <t>factory_cap</t>
        </is>
      </c>
      <c r="EC1" s="1" t="inlineStr">
        <is>
          <t>factory_doors</t>
        </is>
      </c>
      <c r="ED1" s="1" t="inlineStr">
        <is>
          <t>factory_every_s</t>
        </is>
      </c>
      <c r="EE1" s="1" t="inlineStr">
        <is>
          <t>factory_first</t>
        </is>
      </c>
      <c r="EF1" s="1" t="inlineStr">
        <is>
          <t>factory_grow</t>
        </is>
      </c>
      <c r="EG1" s="1" t="inlineStr">
        <is>
          <t>factory_max</t>
        </is>
      </c>
      <c r="EH1" s="1" t="inlineStr">
        <is>
          <t>factory_min</t>
        </is>
      </c>
      <c r="EI1" s="1" t="inlineStr">
        <is>
          <t>factory_units</t>
        </is>
      </c>
      <c r="EJ1" s="1" t="inlineStr">
        <is>
          <t>fire_trail_dps</t>
        </is>
      </c>
      <c r="EK1" s="1" t="inlineStr">
        <is>
          <t>fire_trail_every_s</t>
        </is>
      </c>
      <c r="EL1" s="1" t="inlineStr">
        <is>
          <t>fire_trail_radius_m</t>
        </is>
      </c>
      <c r="EM1" s="1" t="inlineStr">
        <is>
          <t>fire_trail_seconds_s</t>
        </is>
      </c>
      <c r="EN1" s="1" t="inlineStr">
        <is>
          <t>fires_while_moving</t>
        </is>
      </c>
      <c r="EO1" s="1" t="inlineStr">
        <is>
          <t>flying</t>
        </is>
      </c>
      <c r="EP1" s="1" t="inlineStr">
        <is>
          <t>frame</t>
        </is>
      </c>
      <c r="EQ1" s="1" t="inlineStr">
        <is>
          <t>general</t>
        </is>
      </c>
      <c r="ER1" s="1" t="inlineStr">
        <is>
          <t>guard</t>
        </is>
      </c>
      <c r="ES1" s="1" t="inlineStr">
        <is>
          <t>guard_count</t>
        </is>
      </c>
      <c r="ET1" s="1" t="inlineStr">
        <is>
          <t>guard_damage</t>
        </is>
      </c>
      <c r="EU1" s="1" t="inlineStr">
        <is>
          <t>guard_every_s</t>
        </is>
      </c>
      <c r="EV1" s="1" t="inlineStr">
        <is>
          <t>guard_pad_m</t>
        </is>
      </c>
      <c r="EW1" s="1" t="inlineStr">
        <is>
          <t>guard_radius_m</t>
        </is>
      </c>
      <c r="EX1" s="1" t="inlineStr">
        <is>
          <t>holds_to_fire</t>
        </is>
      </c>
      <c r="EY1" s="1" t="inlineStr">
        <is>
          <t>hp</t>
        </is>
      </c>
      <c r="EZ1" s="1" t="inlineStr">
        <is>
          <t>landing_every_s</t>
        </is>
      </c>
      <c r="FA1" s="1" t="inlineStr">
        <is>
          <t>landing_first</t>
        </is>
      </c>
      <c r="FB1" s="1" t="inlineStr">
        <is>
          <t>landing_landings</t>
        </is>
      </c>
      <c r="FC1" s="1" t="inlineStr">
        <is>
          <t>landing_max</t>
        </is>
      </c>
      <c r="FD1" s="1" t="inlineStr">
        <is>
          <t>landing_min</t>
        </is>
      </c>
      <c r="FE1" s="1" t="inlineStr">
        <is>
          <t>landing_ramp</t>
        </is>
      </c>
      <c r="FF1" s="1" t="inlineStr">
        <is>
          <t>landing_stop</t>
        </is>
      </c>
      <c r="FG1" s="1" t="inlineStr">
        <is>
          <t>landing_units</t>
        </is>
      </c>
      <c r="FH1" s="1" t="inlineStr">
        <is>
          <t>length_m</t>
        </is>
      </c>
      <c r="FI1" s="1" t="inlineStr">
        <is>
          <t>livery</t>
        </is>
      </c>
      <c r="FJ1" s="1" t="inlineStr">
        <is>
          <t>main_aim</t>
        </is>
      </c>
      <c r="FK1" s="1" t="inlineStr">
        <is>
          <t>main_model</t>
        </is>
      </c>
      <c r="FL1" s="1" t="inlineStr">
        <is>
          <t>main_slot</t>
        </is>
      </c>
      <c r="FM1" s="1" t="inlineStr">
        <is>
          <t>mines_damage</t>
        </is>
      </c>
      <c r="FN1" s="1" t="inlineStr">
        <is>
          <t>mines_interval_s</t>
        </is>
      </c>
      <c r="FO1" s="1" t="inlineStr">
        <is>
          <t>mines_life</t>
        </is>
      </c>
      <c r="FP1" s="1" t="inlineStr">
        <is>
          <t>mines_max</t>
        </is>
      </c>
      <c r="FQ1" s="1" t="inlineStr">
        <is>
          <t>mines_radius_m</t>
        </is>
      </c>
      <c r="FR1" s="1" t="inlineStr">
        <is>
          <t>mines_tier</t>
        </is>
      </c>
      <c r="FS1" s="1" t="inlineStr">
        <is>
          <t>mines_trigger</t>
        </is>
      </c>
      <c r="FT1" s="1" t="inlineStr">
        <is>
          <t>mines_turn_strip</t>
        </is>
      </c>
      <c r="FU1" s="1" t="inlineStr">
        <is>
          <t>model</t>
        </is>
      </c>
      <c r="FV1" s="1" t="inlineStr">
        <is>
          <t>model_size_height_m</t>
        </is>
      </c>
      <c r="FW1" s="1" t="inlineStr">
        <is>
          <t>model_size_length_m</t>
        </is>
      </c>
      <c r="FX1" s="1" t="inlineStr">
        <is>
          <t>model_size_width_m</t>
        </is>
      </c>
      <c r="FY1" s="1" t="inlineStr">
        <is>
          <t>mount_weapons_0</t>
        </is>
      </c>
      <c r="FZ1" s="1" t="inlineStr">
        <is>
          <t>mount_weapons_1</t>
        </is>
      </c>
      <c r="GA1" s="1" t="inlineStr">
        <is>
          <t>mount_weapons_10</t>
        </is>
      </c>
      <c r="GB1" s="1" t="inlineStr">
        <is>
          <t>mount_weapons_2</t>
        </is>
      </c>
      <c r="GC1" s="1" t="inlineStr">
        <is>
          <t>mount_weapons_3</t>
        </is>
      </c>
      <c r="GD1" s="1" t="inlineStr">
        <is>
          <t>mount_weapons_4</t>
        </is>
      </c>
      <c r="GE1" s="1" t="inlineStr">
        <is>
          <t>mount_weapons_5</t>
        </is>
      </c>
      <c r="GF1" s="1" t="inlineStr">
        <is>
          <t>mount_weapons_6</t>
        </is>
      </c>
      <c r="GG1" s="1" t="inlineStr">
        <is>
          <t>mount_weapons_7</t>
        </is>
      </c>
      <c r="GH1" s="1" t="inlineStr">
        <is>
          <t>mount_weapons_8</t>
        </is>
      </c>
      <c r="GI1" s="1" t="inlineStr">
        <is>
          <t>mount_weapons_9</t>
        </is>
      </c>
      <c r="GJ1" s="1" t="inlineStr">
        <is>
          <t>naval_escape_phase</t>
        </is>
      </c>
      <c r="GK1" s="1" t="inlineStr">
        <is>
          <t>naval_escape_speed_m_s</t>
        </is>
      </c>
      <c r="GL1" s="1" t="inlineStr">
        <is>
          <t>naval_lanes</t>
        </is>
      </c>
      <c r="GM1" s="1" t="inlineStr">
        <is>
          <t>naval_role</t>
        </is>
      </c>
      <c r="GN1" s="1" t="inlineStr">
        <is>
          <t>outgoing_damage_mult</t>
        </is>
      </c>
      <c r="GO1" s="1" t="inlineStr">
        <is>
          <t>paint</t>
        </is>
      </c>
      <c r="GP1" s="1" t="inlineStr">
        <is>
          <t>paint_finish</t>
        </is>
      </c>
      <c r="GQ1" s="1" t="inlineStr">
        <is>
          <t>part_lock</t>
        </is>
      </c>
      <c r="GR1" s="1" t="inlineStr">
        <is>
          <t>part_lock_count</t>
        </is>
      </c>
      <c r="GS1" s="1" t="inlineStr">
        <is>
          <t>part_lock_kind</t>
        </is>
      </c>
      <c r="GT1" s="1" t="inlineStr">
        <is>
          <t>pods</t>
        </is>
      </c>
      <c r="GU1" s="1" t="inlineStr">
        <is>
          <t>pods_count</t>
        </is>
      </c>
      <c r="GV1" s="1" t="inlineStr">
        <is>
          <t>pods_damage</t>
        </is>
      </c>
      <c r="GW1" s="1" t="inlineStr">
        <is>
          <t>pods_every_by_phase</t>
        </is>
      </c>
      <c r="GX1" s="1" t="inlineStr">
        <is>
          <t>pods_every_s</t>
        </is>
      </c>
      <c r="GY1" s="1" t="inlineStr">
        <is>
          <t>pods_fall</t>
        </is>
      </c>
      <c r="GZ1" s="1" t="inlineStr">
        <is>
          <t>pods_first</t>
        </is>
      </c>
      <c r="HA1" s="1" t="inlineStr">
        <is>
          <t>pods_max</t>
        </is>
      </c>
      <c r="HB1" s="1" t="inlineStr">
        <is>
          <t>pods_min</t>
        </is>
      </c>
      <c r="HC1" s="1" t="inlineStr">
        <is>
          <t>pods_offset_m</t>
        </is>
      </c>
      <c r="HD1" s="1" t="inlineStr">
        <is>
          <t>pods_per_pod</t>
        </is>
      </c>
      <c r="HE1" s="1" t="inlineStr">
        <is>
          <t>pods_radius_m</t>
        </is>
      </c>
      <c r="HF1" s="1" t="inlineStr">
        <is>
          <t>pods_spread</t>
        </is>
      </c>
      <c r="HG1" s="1" t="inlineStr">
        <is>
          <t>pods_stun_s</t>
        </is>
      </c>
      <c r="HH1" s="1" t="inlineStr">
        <is>
          <t>pods_tiers</t>
        </is>
      </c>
      <c r="HI1" s="1" t="inlineStr">
        <is>
          <t>pods_unit</t>
        </is>
      </c>
      <c r="HJ1" s="1" t="inlineStr">
        <is>
          <t>pods_units</t>
        </is>
      </c>
      <c r="HK1" s="1" t="inlineStr">
        <is>
          <t>pods_warning</t>
        </is>
      </c>
      <c r="HL1" s="1" t="inlineStr">
        <is>
          <t>radio_spawn</t>
        </is>
      </c>
      <c r="HM1" s="1" t="inlineStr">
        <is>
          <t>radius_m</t>
        </is>
      </c>
      <c r="HN1" s="1" t="inlineStr">
        <is>
          <t>rank</t>
        </is>
      </c>
      <c r="HO1" s="1" t="inlineStr">
        <is>
          <t>route</t>
        </is>
      </c>
      <c r="HP1" s="1" t="inlineStr">
        <is>
          <t>salvo</t>
        </is>
      </c>
      <c r="HQ1" s="1" t="inlineStr">
        <is>
          <t>salvo_blind_scatter</t>
        </is>
      </c>
      <c r="HR1" s="1" t="inlineStr">
        <is>
          <t>salvo_damage</t>
        </is>
      </c>
      <c r="HS1" s="1" t="inlineStr">
        <is>
          <t>salvo_edge_m</t>
        </is>
      </c>
      <c r="HT1" s="1" t="inlineStr">
        <is>
          <t>salvo_every_s</t>
        </is>
      </c>
      <c r="HU1" s="1" t="inlineStr">
        <is>
          <t>salvo_first</t>
        </is>
      </c>
      <c r="HV1" s="1" t="inlineStr">
        <is>
          <t>salvo_radius_m</t>
        </is>
      </c>
      <c r="HW1" s="1" t="inlineStr">
        <is>
          <t>salvo_range_m</t>
        </is>
      </c>
      <c r="HX1" s="1" t="inlineStr">
        <is>
          <t>salvo_shells</t>
        </is>
      </c>
      <c r="HY1" s="1" t="inlineStr">
        <is>
          <t>salvo_spread</t>
        </is>
      </c>
      <c r="HZ1" s="1" t="inlineStr">
        <is>
          <t>salvo_sweep</t>
        </is>
      </c>
      <c r="IA1" s="1" t="inlineStr">
        <is>
          <t>salvo_warn_s</t>
        </is>
      </c>
      <c r="IB1" s="1" t="inlineStr">
        <is>
          <t>salvo_weapon</t>
        </is>
      </c>
      <c r="IC1" s="1" t="inlineStr">
        <is>
          <t>scale</t>
        </is>
      </c>
      <c r="ID1" s="1" t="inlineStr">
        <is>
          <t>scoot_max</t>
        </is>
      </c>
      <c r="IE1" s="1" t="inlineStr">
        <is>
          <t>scoot_min</t>
        </is>
      </c>
      <c r="IF1" s="1" t="inlineStr">
        <is>
          <t>scoot_shots</t>
        </is>
      </c>
      <c r="IG1" s="1" t="inlineStr">
        <is>
          <t>size</t>
        </is>
      </c>
      <c r="IH1" s="1" t="inlineStr">
        <is>
          <t>skills</t>
        </is>
      </c>
      <c r="II1" s="1" t="inlineStr">
        <is>
          <t>speed_m_s</t>
        </is>
      </c>
      <c r="IJ1" s="1" t="inlineStr">
        <is>
          <t>spot_aura</t>
        </is>
      </c>
      <c r="IK1" s="1" t="inlineStr">
        <is>
          <t>stealth</t>
        </is>
      </c>
      <c r="IL1" s="1" t="inlineStr">
        <is>
          <t>tiers_armour_belly</t>
        </is>
      </c>
      <c r="IM1" s="1" t="inlineStr">
        <is>
          <t>tiers_armour_grounded</t>
        </is>
      </c>
      <c r="IN1" s="1" t="inlineStr">
        <is>
          <t>tiers_armour_hull</t>
        </is>
      </c>
      <c r="IO1" s="1" t="inlineStr">
        <is>
          <t>tiers_crash</t>
        </is>
      </c>
      <c r="IP1" s="1" t="inlineStr">
        <is>
          <t>tiers_crash_at</t>
        </is>
      </c>
      <c r="IQ1" s="1" t="inlineStr">
        <is>
          <t>tiers_crash_damage</t>
        </is>
      </c>
      <c r="IR1" s="1" t="inlineStr">
        <is>
          <t>tiers_crash_debris</t>
        </is>
      </c>
      <c r="IS1" s="1" t="inlineStr">
        <is>
          <t>tiers_crash_debris_at</t>
        </is>
      </c>
      <c r="IT1" s="1" t="inlineStr">
        <is>
          <t>tiers_crash_fall</t>
        </is>
      </c>
      <c r="IU1" s="1" t="inlineStr">
        <is>
          <t>tiers_crash_form</t>
        </is>
      </c>
      <c r="IV1" s="1" t="inlineStr">
        <is>
          <t>tiers_crash_guns</t>
        </is>
      </c>
      <c r="IW1" s="1" t="inlineStr">
        <is>
          <t>tiers_crash_radius_m</t>
        </is>
      </c>
      <c r="IX1" s="1" t="inlineStr">
        <is>
          <t>tiers_crash_warning</t>
        </is>
      </c>
      <c r="IY1" s="1" t="inlineStr">
        <is>
          <t>tiers_descend_m_s</t>
        </is>
      </c>
      <c r="IZ1" s="1" t="inlineStr">
        <is>
          <t>tiers_halt_phase</t>
        </is>
      </c>
      <c r="JA1" s="1" t="inlineStr">
        <is>
          <t>tiers_heights_high</t>
        </is>
      </c>
      <c r="JB1" s="1" t="inlineStr">
        <is>
          <t>tiers_heights_low</t>
        </is>
      </c>
      <c r="JC1" s="1" t="inlineStr">
        <is>
          <t>tiers_heights_orbit</t>
        </is>
      </c>
      <c r="JD1" s="1" t="inlineStr">
        <is>
          <t>tiers_hijack</t>
        </is>
      </c>
      <c r="JE1" s="1" t="inlineStr">
        <is>
          <t>tiers_hijack_difficulties</t>
        </is>
      </c>
      <c r="JF1" s="1" t="inlineStr">
        <is>
          <t>tiers_hijack_every_s</t>
        </is>
      </c>
      <c r="JG1" s="1" t="inlineStr">
        <is>
          <t>tiers_hijack_first</t>
        </is>
      </c>
      <c r="JH1" s="1" t="inlineStr">
        <is>
          <t>tiers_hijack_seconds_s</t>
        </is>
      </c>
      <c r="JI1" s="1" t="inlineStr">
        <is>
          <t>tiers_hijack_warn_s</t>
        </is>
      </c>
      <c r="JJ1" s="1" t="inlineStr">
        <is>
          <t>tiers_marks</t>
        </is>
      </c>
      <c r="JK1" s="1" t="inlineStr">
        <is>
          <t>tiers_opening</t>
        </is>
      </c>
      <c r="JL1" s="1" t="inlineStr">
        <is>
          <t>tiers_radio_appear</t>
        </is>
      </c>
      <c r="JM1" s="1" t="inlineStr">
        <is>
          <t>tiers_radio_crash</t>
        </is>
      </c>
      <c r="JN1" s="1" t="inlineStr">
        <is>
          <t>tiers_radio_descend_m_s</t>
        </is>
      </c>
      <c r="JO1" s="1" t="inlineStr">
        <is>
          <t>tiers_radio_down</t>
        </is>
      </c>
      <c r="JP1" s="1" t="inlineStr">
        <is>
          <t>tiers_radio_hijack</t>
        </is>
      </c>
      <c r="JQ1" s="1" t="inlineStr">
        <is>
          <t>tiers_radio_hijack_warn</t>
        </is>
      </c>
      <c r="JR1" s="1" t="inlineStr">
        <is>
          <t>tiers_radio_phase2</t>
        </is>
      </c>
      <c r="JS1" s="1" t="inlineStr">
        <is>
          <t>tiers_radio_phase3</t>
        </is>
      </c>
      <c r="JT1" s="1" t="inlineStr">
        <is>
          <t>tiers_shift</t>
        </is>
      </c>
      <c r="JU1" s="1" t="inlineStr">
        <is>
          <t>turn_rate_deg_s</t>
        </is>
      </c>
      <c r="JV1" s="1" t="inlineStr">
        <is>
          <t>turret_turn_rate_deg_s</t>
        </is>
      </c>
      <c r="JW1" s="1" t="inlineStr">
        <is>
          <t>variant_drop</t>
        </is>
      </c>
      <c r="JX1" s="1" t="inlineStr">
        <is>
          <t>variant_keep</t>
        </is>
      </c>
      <c r="JY1" s="1" t="inlineStr">
        <is>
          <t>variant_mark</t>
        </is>
      </c>
      <c r="JZ1" s="1" t="inlineStr">
        <is>
          <t>variant_name</t>
        </is>
      </c>
      <c r="KA1" s="1" t="inlineStr">
        <is>
          <t>variant_of</t>
        </is>
      </c>
      <c r="KB1" s="1" t="inlineStr">
        <is>
          <t>variant_size</t>
        </is>
      </c>
      <c r="KC1" s="1" t="inlineStr">
        <is>
          <t>variant_tint_b</t>
        </is>
      </c>
      <c r="KD1" s="1" t="inlineStr">
        <is>
          <t>variant_tint_g</t>
        </is>
      </c>
      <c r="KE1" s="1" t="inlineStr">
        <is>
          <t>variant_tint_r</t>
        </is>
      </c>
      <c r="KF1" s="1" t="inlineStr">
        <is>
          <t>vision_m</t>
        </is>
      </c>
      <c r="KG1" s="1" t="inlineStr">
        <is>
          <t>wake</t>
        </is>
      </c>
      <c r="KH1" s="1" t="inlineStr">
        <is>
          <t>wake_mounts</t>
        </is>
      </c>
      <c r="KI1" s="1" t="inlineStr">
        <is>
          <t>wake_phase</t>
        </is>
      </c>
      <c r="KJ1" s="1" t="inlineStr">
        <is>
          <t>weapon</t>
        </is>
      </c>
      <c r="KK1" s="1" t="inlineStr">
        <is>
          <t>weapon_damage</t>
        </is>
      </c>
      <c r="KL1" s="1" t="inlineStr">
        <is>
          <t>width_m</t>
        </is>
      </c>
      <c r="KM1" s="1" t="inlineStr">
        <is>
          <t>nguon</t>
        </is>
      </c>
      <c r="KN1" s="1" t="inlineStr">
        <is>
          <t>raw_json</t>
        </is>
      </c>
    </row>
    <row r="2">
      <c r="A2" t="inlineStr">
        <is>
          <t>argus</t>
        </is>
      </c>
      <c r="B2" t="inlineStr">
        <is>
          <t>mini</t>
        </is>
      </c>
      <c r="C2" t="inlineStr">
        <is>
          <t>Argus · Scout Airship</t>
        </is>
      </c>
      <c r="D2" t="inlineStr">
        <is>
          <t>Argus · Khí cầu trinh sát</t>
        </is>
      </c>
      <c r="E2" t="inlineStr">
        <is>
          <t>Argus</t>
        </is>
      </c>
      <c r="F2" t="inlineStr"/>
      <c r="G2" t="inlineStr"/>
      <c r="H2" t="inlineStr"/>
      <c r="I2" t="n">
        <v>0</v>
      </c>
      <c r="J2" t="n">
        <v>94850</v>
      </c>
      <c r="K2" t="n">
        <v>80622.5</v>
      </c>
      <c r="L2" t="n">
        <v>2</v>
      </c>
      <c r="M2" t="n">
        <v>2</v>
      </c>
      <c r="N2" t="n">
        <v>2</v>
      </c>
      <c r="O2" t="n">
        <v>2</v>
      </c>
      <c r="P2" t="b">
        <v>0</v>
      </c>
      <c r="Q2" t="n">
        <v>4.5</v>
      </c>
      <c r="R2" t="n">
        <v>8</v>
      </c>
      <c r="S2" t="n">
        <v>90</v>
      </c>
      <c r="T2" t="n">
        <v>80</v>
      </c>
      <c r="U2" t="n">
        <v>18</v>
      </c>
      <c r="V2" t="inlineStr"/>
      <c r="W2" t="inlineStr"/>
      <c r="X2" t="b">
        <v>1</v>
      </c>
      <c r="Y2" t="n">
        <v>30</v>
      </c>
      <c r="Z2" t="b">
        <v>0</v>
      </c>
      <c r="AA2" t="b">
        <v>1</v>
      </c>
      <c r="AB2" t="n">
        <v>0</v>
      </c>
      <c r="AC2" t="n">
        <v>3.5</v>
      </c>
      <c r="AD2" t="n">
        <v>1.7892</v>
      </c>
      <c r="AE2" t="inlineStr">
        <is>
          <t>p26_roc_main_roc_bombs</t>
        </is>
      </c>
      <c r="AF2" t="inlineStr">
        <is>
          <t>p26_roc_main_roc_bombs</t>
        </is>
      </c>
      <c r="AG2" t="inlineStr"/>
      <c r="AH2" t="inlineStr">
        <is>
          <t>none</t>
        </is>
      </c>
      <c r="AI2" t="inlineStr"/>
      <c r="AJ2" t="inlineStr"/>
      <c r="AK2" t="inlineStr">
        <is>
          <t>argus</t>
        </is>
      </c>
      <c r="AL2" t="inlineStr">
        <is>
          <t>doi</t>
        </is>
      </c>
      <c r="BG2" t="n">
        <v>1</v>
      </c>
      <c r="BH2" t="n">
        <v>1.7892</v>
      </c>
      <c r="BI2" t="inlineStr">
        <is>
          <t>aircraft</t>
        </is>
      </c>
      <c r="BJ2" t="inlineStr">
        <is>
          <t>aircraft</t>
        </is>
      </c>
      <c r="BK2" t="inlineStr">
        <is>
          <t>quaden</t>
        </is>
      </c>
      <c r="BL2" t="inlineStr">
        <is>
          <t>command_airship</t>
        </is>
      </c>
      <c r="BM2" t="n">
        <v>2</v>
      </c>
      <c r="BN2" t="n">
        <v>2</v>
      </c>
      <c r="BO2" t="inlineStr"/>
      <c r="BP2" t="inlineStr"/>
      <c r="BQ2" t="inlineStr"/>
      <c r="BR2" t="b">
        <v>0</v>
      </c>
      <c r="BS2" t="inlineStr">
        <is>
          <t>10</t>
        </is>
      </c>
      <c r="BT2" t="inlineStr">
        <is>
          <t>c10s2</t>
        </is>
      </c>
      <c r="BU2" t="inlineStr">
        <is>
          <t>tuan:66;day_du:60</t>
        </is>
      </c>
      <c r="EQ2" t="inlineStr">
        <is>
          <t>quaden</t>
        </is>
      </c>
      <c r="EY2" t="n">
        <v>94850</v>
      </c>
      <c r="GO2" t="inlineStr">
        <is>
          <t>#5d6a75</t>
        </is>
      </c>
      <c r="GP2" t="inlineStr">
        <is>
          <t>0.35;0.45</t>
        </is>
      </c>
      <c r="HL2" t="inlineStr">
        <is>
          <t>radio.quaden.argus</t>
        </is>
      </c>
      <c r="IH2" t="inlineStr"/>
      <c r="IJ2" t="n">
        <v>0.5</v>
      </c>
      <c r="JX2" t="inlineStr">
        <is>
          <t>radar;engine_fl;engine_fr</t>
        </is>
      </c>
      <c r="JY2" t="inlineStr">
        <is>
          <t>argus</t>
        </is>
      </c>
      <c r="KA2" t="inlineStr">
        <is>
          <t>command_airship</t>
        </is>
      </c>
      <c r="KB2" t="n">
        <v>0.4375</v>
      </c>
      <c r="KC2" t="n">
        <v>0.8</v>
      </c>
      <c r="KD2" t="n">
        <v>0.9</v>
      </c>
      <c r="KE2" t="n">
        <v>0.92</v>
      </c>
      <c r="KK2" t="n">
        <v>1.44</v>
      </c>
      <c r="KM2" t="inlineStr">
        <is>
          <t>Assets/MachineBrigade/Resources/Data/balance.json: vehicles[169]</t>
        </is>
      </c>
      <c r="KN2" t="inlineStr">
        <is>
          <t>{"id":"argus","paint":"#5d6a75","paintFinish":[0.35,0.45],"wake":null,"variantOf":"command_airship","general":"quaden","radioSpawn":"radio.quaden.argus","hp":94850,"weaponDamage":1.44,"partLock":null,"spotAura":0.5,"skills":[],"variant":{"size":0.4375,"keep":["radar","engine_fl","engine_fr"],"tint":[0.92,0.9,0.8],"mark":"argus","tune":{"radar":{"hp":0.14,"stops":["spotaura"],"radio":"radio.part.radar","breakDamage":0.3},"engine_fl":{"hp":0.1,"breakDamage":0.3},"engine_fr":{"hp":0.1,"breakDamage":0.3}}}}</t>
        </is>
      </c>
    </row>
    <row r="3">
      <c r="A3" t="inlineStr">
        <is>
          <t>armored_train</t>
        </is>
      </c>
      <c r="B3" t="inlineStr">
        <is>
          <t>mini</t>
        </is>
      </c>
      <c r="C3" t="inlineStr">
        <is>
          <t>Juggernaut · Armoured Train</t>
        </is>
      </c>
      <c r="D3" t="inlineStr">
        <is>
          <t>Juggernaut · Đoàn tàu bọc thép</t>
        </is>
      </c>
      <c r="E3" t="inlineStr">
        <is>
          <t>Juggernaut</t>
        </is>
      </c>
      <c r="F3" t="inlineStr"/>
      <c r="G3" t="inlineStr"/>
      <c r="H3" t="inlineStr"/>
      <c r="I3" t="n">
        <v>0</v>
      </c>
      <c r="J3" t="n">
        <v>37750</v>
      </c>
      <c r="K3" t="n">
        <v>32087.5</v>
      </c>
      <c r="L3" t="n">
        <v>4</v>
      </c>
      <c r="M3" t="n">
        <v>3</v>
      </c>
      <c r="N3" t="n">
        <v>3</v>
      </c>
      <c r="O3" t="n">
        <v>2</v>
      </c>
      <c r="P3" t="b">
        <v>0</v>
      </c>
      <c r="Q3" t="n">
        <v>0.32</v>
      </c>
      <c r="R3" t="n">
        <v>30</v>
      </c>
      <c r="S3" t="n">
        <v>45</v>
      </c>
      <c r="T3" t="n">
        <v>50</v>
      </c>
      <c r="U3" t="n">
        <v>3.6</v>
      </c>
      <c r="V3" t="n">
        <v>56.557</v>
      </c>
      <c r="W3" t="n">
        <v>3.91</v>
      </c>
      <c r="X3" t="b">
        <v>0</v>
      </c>
      <c r="Y3" t="n">
        <v>0</v>
      </c>
      <c r="Z3" t="b">
        <v>0</v>
      </c>
      <c r="AA3" t="b">
        <v>1</v>
      </c>
      <c r="AB3" t="n">
        <v>0</v>
      </c>
      <c r="AC3" t="n">
        <v>3.5</v>
      </c>
      <c r="AD3" t="n">
        <v>0.8319</v>
      </c>
      <c r="AE3" t="inlineStr">
        <is>
          <t>train_gun</t>
        </is>
      </c>
      <c r="AF3" t="inlineStr">
        <is>
          <t>pt14_train_grad;boss_hmg;boss_flak;train_gun;boss_flak</t>
        </is>
      </c>
      <c r="AG3" t="inlineStr">
        <is>
          <t>train_patch</t>
        </is>
      </c>
      <c r="AH3" t="inlineStr">
        <is>
          <t>none</t>
        </is>
      </c>
      <c r="AI3" t="inlineStr"/>
      <c r="AJ3" t="inlineStr"/>
      <c r="AK3" t="inlineStr">
        <is>
          <t>armored_train</t>
        </is>
      </c>
      <c r="AL3" t="inlineStr">
        <is>
          <t>doi</t>
        </is>
      </c>
      <c r="BE3" t="inlineStr">
        <is>
          <t>boss_rockets;boss_hmg;boss_flak;train_gun;boss_flak</t>
        </is>
      </c>
      <c r="BF3" t="inlineStr">
        <is>
          <t>pt14_train_grad;boss_hmg;boss_flak;train_gun;boss_flak</t>
        </is>
      </c>
      <c r="BG3" t="n">
        <v>1</v>
      </c>
      <c r="BH3" t="n">
        <v>0.8319</v>
      </c>
      <c r="BI3" t="inlineStr">
        <is>
          <t>train</t>
        </is>
      </c>
      <c r="BJ3" t="inlineStr">
        <is>
          <t>rail</t>
        </is>
      </c>
      <c r="BK3" t="inlineStr">
        <is>
          <t>kessler</t>
        </is>
      </c>
      <c r="BL3" t="inlineStr"/>
      <c r="BM3" t="n">
        <v>6</v>
      </c>
      <c r="BN3" t="n">
        <v>6</v>
      </c>
      <c r="BO3" t="inlineStr"/>
      <c r="BP3" t="inlineStr"/>
      <c r="BQ3" t="inlineStr"/>
      <c r="BR3" t="b">
        <v>1</v>
      </c>
      <c r="BS3" t="inlineStr">
        <is>
          <t>4;7</t>
        </is>
      </c>
      <c r="BT3" t="inlineStr">
        <is>
          <t>c4m05;c7m05</t>
        </is>
      </c>
      <c r="BU3" t="inlineStr">
        <is>
          <t>tuan:66;day_du:60</t>
        </is>
      </c>
      <c r="BX3" t="inlineStr">
        <is>
          <t>ironport</t>
        </is>
      </c>
      <c r="BZ3" t="n">
        <v>4</v>
      </c>
      <c r="CA3" t="n">
        <v>3</v>
      </c>
      <c r="CB3" t="n">
        <v>3</v>
      </c>
      <c r="CC3" t="n">
        <v>2</v>
      </c>
      <c r="CH3" t="b">
        <v>1</v>
      </c>
      <c r="CW3" t="n">
        <v>0</v>
      </c>
      <c r="CX3" t="n">
        <v>0</v>
      </c>
      <c r="DV3" t="n">
        <v>380</v>
      </c>
      <c r="DW3" t="n">
        <v>2.6</v>
      </c>
      <c r="DX3" t="n">
        <v>16</v>
      </c>
      <c r="DY3" t="inlineStr">
        <is>
          <t>Ultimate</t>
        </is>
      </c>
      <c r="DZ3" t="inlineStr">
        <is>
          <t>mortar_car</t>
        </is>
      </c>
      <c r="EN3" t="b">
        <v>1</v>
      </c>
      <c r="EP3" t="inlineStr">
        <is>
          <t>train</t>
        </is>
      </c>
      <c r="EQ3" t="inlineStr">
        <is>
          <t>kessler</t>
        </is>
      </c>
      <c r="EY3" t="n">
        <v>37750</v>
      </c>
      <c r="FH3" t="n">
        <v>49.18</v>
      </c>
      <c r="GN3" t="n">
        <v>0.8319</v>
      </c>
      <c r="GO3" t="inlineStr">
        <is>
          <t>#3f5a3c</t>
        </is>
      </c>
      <c r="GP3" t="inlineStr">
        <is>
          <t>0.3;0.55</t>
        </is>
      </c>
      <c r="HL3" t="inlineStr">
        <is>
          <t>radio.kessler.juggernaut</t>
        </is>
      </c>
      <c r="HM3" t="n">
        <v>3.6</v>
      </c>
      <c r="HN3" t="inlineStr">
        <is>
          <t>mini</t>
        </is>
      </c>
      <c r="HO3" t="inlineStr">
        <is>
          <t>rail</t>
        </is>
      </c>
      <c r="IC3" t="n">
        <v>1.15</v>
      </c>
      <c r="IG3" t="n">
        <v>0.85</v>
      </c>
      <c r="IH3" t="inlineStr">
        <is>
          <t>train_patch</t>
        </is>
      </c>
      <c r="II3" t="n">
        <v>0.32</v>
      </c>
      <c r="JU3" t="n">
        <v>30</v>
      </c>
      <c r="JV3" t="n">
        <v>45</v>
      </c>
      <c r="KF3" t="n">
        <v>50</v>
      </c>
      <c r="KJ3" t="inlineStr">
        <is>
          <t>train_gun</t>
        </is>
      </c>
      <c r="KK3" t="n">
        <v>1.859</v>
      </c>
      <c r="KL3" t="n">
        <v>3.4</v>
      </c>
      <c r="KM3" t="inlineStr">
        <is>
          <t>Assets/MachineBrigade/Resources/Data/balance.json: vehicles[140]</t>
        </is>
      </c>
      <c r="KN3" t="inlineStr">
        <is>
          <t>{"id":"armored_train","paint":"#3f5a3c","paintFinish":[0.3,0.55],"outgoingDamageMult":0.8319,"weaponDamage":1.859,"frame":"train","arena":"ironport","route":"rail","rank":"mini","general":"kessler","size":0.85,"dropParts":["mortar_car"],"radioSpawn":"radio.kessler.juggernaut","scale":1.15,"armour":[4,3,3,2],"hp":37750,"speed":0.32,"turnRate":30,"turretTurnRate":45,"radius":3.6,"length":49.18,"width":3.4,"cp":0,"vision":50,"firesWhileMoving":true,"weapon":"train_gun","captureRate":0,"boss":true,"skills":["train_patch"],"secondary":[{"weapon":"pt14_train_grad","slot":"rocket","aim":"Free"},{"weapon":"boss_hmg","slot":"mg","aim":"Free"},{"weapon":"boss_flak","slot":"mg","aim":"Free"},{"weapon":"train_gun","slot":"main","aim":"Free"},{"weapon":"train_mortar","slot":"mortar","aim":"Free"},{"weapon":"boss_flak","slot":"mg","aim":"Free"}],"parts":[{"id":"locomotive","kind":"locomotive","hp":0.12,"armour":4,"wreck":"wreck_stump","at":[0,14.67,2.5],"radius":3.5,"speed":0.5,"radio":"radio.part.locomotive"},{"id":"gun_car_front","kind":"maingun","hp":0.12,"armour":3,"node":"Main_cannon|Muzzle_brake","wreck":"wreck_barrel","at":[0,3.97,3.7],"radius":3.0,"mounts":[0],"radio":"radio.part.maingun"},{"id":"gun_car_rear","kind":"maingun","hp":0.12,"armour":3,"wreck":"wreck_stump","at":[0,9.17,3],"radius":2.5,"mounts":[4]},{"id":"rocket_car","kind":"rockets","hp":0.1,"armour":2,"node":"Mount_rocket","wreck":"wreck_launcher","at":[0,-1.13,3],"radius":2.2,"mounts":[1]},{"id":"flak_car","kind":"flak","hp":0.1,"armour":2,"wreck":"wreck_stump","at":[0,0.82,3.2],"radius":2.0,"mounts":[3]},{"id":"mortar_car","kind":"mortar","hp":0.1,"armour":2,"node":"Part_mortar","wreck":"wreck_launcher","at":[0,-5.33,2.6],"radius":2.4,"mounts":[5]}],"deathExplosion":{"damage":380,"radius":16,"delay":2.6,"tier":"Ultimate"}}</t>
        </is>
      </c>
    </row>
    <row r="4">
      <c r="A4" t="inlineStr">
        <is>
          <t>bastion_mk0</t>
        </is>
      </c>
      <c r="B4" t="inlineStr">
        <is>
          <t>mini</t>
        </is>
      </c>
      <c r="C4" t="inlineStr">
        <is>
          <t>Bastion Mk.0 · Prototype Fortress</t>
        </is>
      </c>
      <c r="D4" t="inlineStr">
        <is>
          <t>Bastion Mk.0 · Pháo đài nguyên mẫu</t>
        </is>
      </c>
      <c r="E4" t="inlineStr">
        <is>
          <t>Bastion Mk.0</t>
        </is>
      </c>
      <c r="F4" t="inlineStr"/>
      <c r="G4" t="inlineStr"/>
      <c r="H4" t="inlineStr"/>
      <c r="I4" t="n">
        <v>0</v>
      </c>
      <c r="J4" t="n">
        <v>19250</v>
      </c>
      <c r="K4" t="n">
        <v>16362.5</v>
      </c>
      <c r="L4" t="n">
        <v>4</v>
      </c>
      <c r="M4" t="n">
        <v>4</v>
      </c>
      <c r="N4" t="n">
        <v>4</v>
      </c>
      <c r="O4" t="n">
        <v>3</v>
      </c>
      <c r="P4" t="b">
        <v>0</v>
      </c>
      <c r="Q4" t="n">
        <v>1.1</v>
      </c>
      <c r="R4" t="n">
        <v>18</v>
      </c>
      <c r="S4" t="n">
        <v>22</v>
      </c>
      <c r="T4" t="n">
        <v>64</v>
      </c>
      <c r="U4" t="n">
        <v>7.5</v>
      </c>
      <c r="V4" t="n">
        <v>19.884</v>
      </c>
      <c r="W4" t="n">
        <v>10.92</v>
      </c>
      <c r="X4" t="b">
        <v>0</v>
      </c>
      <c r="Y4" t="n">
        <v>0</v>
      </c>
      <c r="Z4" t="b">
        <v>0</v>
      </c>
      <c r="AA4" t="b">
        <v>1</v>
      </c>
      <c r="AB4" t="n">
        <v>0</v>
      </c>
      <c r="AC4" t="n">
        <v>3.5</v>
      </c>
      <c r="AD4" t="n">
        <v>1.4708</v>
      </c>
      <c r="AE4" t="inlineStr">
        <is>
          <t>p26_bastion_sec_b240</t>
        </is>
      </c>
      <c r="AF4" t="inlineStr">
        <is>
          <t>p26_bastion_direct_b100;p26_bastion_direct_b100</t>
        </is>
      </c>
      <c r="AG4" t="inlineStr">
        <is>
          <t>train_patch;boss_bulwark;fortress_barrage</t>
        </is>
      </c>
      <c r="AH4" t="inlineStr">
        <is>
          <t>none</t>
        </is>
      </c>
      <c r="AI4" t="inlineStr"/>
      <c r="AJ4" t="inlineStr"/>
      <c r="AK4" t="inlineStr">
        <is>
          <t>bastion_mk0</t>
        </is>
      </c>
      <c r="AL4" t="inlineStr">
        <is>
          <t>doi</t>
        </is>
      </c>
      <c r="BG4" t="n">
        <v>1</v>
      </c>
      <c r="BH4" t="n">
        <v>1.4708</v>
      </c>
      <c r="BI4" t="inlineStr">
        <is>
          <t>tracked</t>
        </is>
      </c>
      <c r="BJ4" t="inlineStr">
        <is>
          <t>tracked</t>
        </is>
      </c>
      <c r="BK4" t="inlineStr">
        <is>
          <t>brandt</t>
        </is>
      </c>
      <c r="BL4" t="inlineStr">
        <is>
          <t>fortress_bastion</t>
        </is>
      </c>
      <c r="BM4" t="n">
        <v>3</v>
      </c>
      <c r="BN4" t="n">
        <v>5</v>
      </c>
      <c r="BO4" t="inlineStr"/>
      <c r="BP4" t="inlineStr"/>
      <c r="BQ4" t="inlineStr"/>
      <c r="BR4" t="b">
        <v>0</v>
      </c>
      <c r="BS4" t="inlineStr">
        <is>
          <t>1</t>
        </is>
      </c>
      <c r="BT4" t="inlineStr">
        <is>
          <t>c1m05</t>
        </is>
      </c>
      <c r="BU4" t="inlineStr">
        <is>
          <t>tuan:66;day_du:60</t>
        </is>
      </c>
      <c r="BZ4" t="n">
        <v>4</v>
      </c>
      <c r="CA4" t="n">
        <v>4</v>
      </c>
      <c r="CB4" t="n">
        <v>4</v>
      </c>
      <c r="CC4" t="n">
        <v>3</v>
      </c>
      <c r="EQ4" t="inlineStr">
        <is>
          <t>brandt</t>
        </is>
      </c>
      <c r="EY4" t="n">
        <v>19250</v>
      </c>
      <c r="FU4" t="inlineStr">
        <is>
          <t>bastion_mk0</t>
        </is>
      </c>
      <c r="GN4" t="n">
        <v>1.4708</v>
      </c>
      <c r="GO4" t="inlineStr">
        <is>
          <t>#7d7766</t>
        </is>
      </c>
      <c r="GP4" t="inlineStr">
        <is>
          <t>0.2;0.65</t>
        </is>
      </c>
      <c r="HL4" t="inlineStr">
        <is>
          <t>radio.brandt.bastion_mk0</t>
        </is>
      </c>
      <c r="II4" t="n">
        <v>1.1</v>
      </c>
      <c r="JX4" t="inlineStr">
        <is>
          <t>mortar;turret_fl;turret_fr</t>
        </is>
      </c>
      <c r="JY4" t="inlineStr">
        <is>
          <t>mk0</t>
        </is>
      </c>
      <c r="JZ4" t="inlineStr">
        <is>
          <t>mk0</t>
        </is>
      </c>
      <c r="KA4" t="inlineStr">
        <is>
          <t>fortress_bastion</t>
        </is>
      </c>
      <c r="KB4" t="n">
        <v>0.6</v>
      </c>
      <c r="KC4" t="n">
        <v>0.72</v>
      </c>
      <c r="KD4" t="n">
        <v>0.86</v>
      </c>
      <c r="KE4" t="n">
        <v>0.8</v>
      </c>
      <c r="KK4" t="n">
        <v>1.51</v>
      </c>
      <c r="KM4" t="inlineStr">
        <is>
          <t>Assets/MachineBrigade/Resources/Data/balance.json: vehicles[163]</t>
        </is>
      </c>
      <c r="KN4" t="inlineStr">
        <is>
          <t>{"id":"bastion_mk0","paint":"#7d7766","paintFinish":[0.2,0.65],"outgoingDamageMult":1.4708,"guard":null,"armour":[4,4,4,3],"variantOf":"fortress_bastion","model":"bastion_mk0","hp":19250,"weaponDamage":1.51,"general":"brandt","radioSpawn":"radio.brandt.bastion_mk0","speed":1.1,"variant":{"size":0.6,"keep":["mortar","turret_fl","turret_fr"],"tint":[0.8,0.86,0.72],"mark":"mk0","name":"mk0","tune":{"mortar":{"hp":0.15,"at":[0,-0.83,9.66]},"turret_fl":{"hp":0.1},"turret_fr":{"hp":0.1}}}}</t>
        </is>
      </c>
    </row>
    <row r="5">
      <c r="A5" t="inlineStr">
        <is>
          <t>behemoth</t>
        </is>
      </c>
      <c r="B5" t="inlineStr">
        <is>
          <t>main</t>
        </is>
      </c>
      <c r="C5" t="inlineStr">
        <is>
          <t>Behemoth · Steel Monster</t>
        </is>
      </c>
      <c r="D5" t="inlineStr">
        <is>
          <t>Behemoth · Quái vật thép</t>
        </is>
      </c>
      <c r="E5" t="inlineStr">
        <is>
          <t>Behemoth</t>
        </is>
      </c>
      <c r="F5" t="inlineStr"/>
      <c r="G5" t="inlineStr"/>
      <c r="H5" t="inlineStr"/>
      <c r="I5" t="n">
        <v>0</v>
      </c>
      <c r="J5" t="n">
        <v>35787</v>
      </c>
      <c r="K5" t="n">
        <v>30418.95</v>
      </c>
      <c r="L5" t="n">
        <v>5</v>
      </c>
      <c r="M5" t="n">
        <v>3</v>
      </c>
      <c r="N5" t="n">
        <v>2</v>
      </c>
      <c r="O5" t="n">
        <v>2</v>
      </c>
      <c r="P5" t="b">
        <v>0</v>
      </c>
      <c r="Q5" t="n">
        <v>2.4</v>
      </c>
      <c r="R5" t="n">
        <v>25</v>
      </c>
      <c r="S5" t="n">
        <v>30</v>
      </c>
      <c r="T5" t="n">
        <v>50</v>
      </c>
      <c r="U5" t="n">
        <v>6.4</v>
      </c>
      <c r="V5" t="n">
        <v>15.108</v>
      </c>
      <c r="W5" t="n">
        <v>7.8</v>
      </c>
      <c r="X5" t="b">
        <v>0</v>
      </c>
      <c r="Y5" t="n">
        <v>0</v>
      </c>
      <c r="Z5" t="b">
        <v>0</v>
      </c>
      <c r="AA5" t="b">
        <v>1</v>
      </c>
      <c r="AB5" t="n">
        <v>0</v>
      </c>
      <c r="AC5" t="n">
        <v>3.5</v>
      </c>
      <c r="AD5" t="n">
        <v>1</v>
      </c>
      <c r="AE5" t="inlineStr">
        <is>
          <t>p26_behemoth_main_be152</t>
        </is>
      </c>
      <c r="AF5" t="inlineStr">
        <is>
          <t>p26_behemoth_tiny_be120;p26_behemoth_close_boss_flak;p26_behemoth_close_boss_flak;p26_behemoth_tiny_boss_missiles;p26_behemoth_tiny_boss_missiles;p26_behemoth_tiny_kornet_twin;p26_behemoth_direct_be120;p26_behemoth_direct_be120;p26_behemoth_sec_be_rockets</t>
        </is>
      </c>
      <c r="AG5" t="inlineStr">
        <is>
          <t>boss_rage;boss_bulwark</t>
        </is>
      </c>
      <c r="AH5" t="inlineStr">
        <is>
          <t>aps</t>
        </is>
      </c>
      <c r="AI5" t="n">
        <v>2</v>
      </c>
      <c r="AJ5" t="n">
        <v>4</v>
      </c>
      <c r="AK5" t="inlineStr">
        <is>
          <t>behemoth</t>
        </is>
      </c>
      <c r="AL5" t="inlineStr">
        <is>
          <t>doi</t>
        </is>
      </c>
      <c r="AO5" t="n">
        <v>33550</v>
      </c>
      <c r="AP5" t="n">
        <v>35787</v>
      </c>
      <c r="BI5" t="inlineStr">
        <is>
          <t>tracked</t>
        </is>
      </c>
      <c r="BJ5" t="inlineStr">
        <is>
          <t>tracked</t>
        </is>
      </c>
      <c r="BK5" t="inlineStr">
        <is>
          <t>varga</t>
        </is>
      </c>
      <c r="BL5" t="inlineStr"/>
      <c r="BM5" t="n">
        <v>10</v>
      </c>
      <c r="BN5" t="n">
        <v>13</v>
      </c>
      <c r="BO5" t="inlineStr">
        <is>
          <t>behemoth_barrage</t>
        </is>
      </c>
      <c r="BP5" t="n">
        <v>45</v>
      </c>
      <c r="BQ5" t="inlineStr">
        <is>
          <t>group</t>
        </is>
      </c>
      <c r="BR5" t="b">
        <v>1</v>
      </c>
      <c r="BS5" t="inlineStr">
        <is>
          <t>2</t>
        </is>
      </c>
      <c r="BT5" t="inlineStr"/>
      <c r="BU5" t="inlineStr">
        <is>
          <t>tuan:168;day_du:150</t>
        </is>
      </c>
      <c r="BZ5" t="n">
        <v>5</v>
      </c>
      <c r="CA5" t="n">
        <v>2</v>
      </c>
      <c r="CB5" t="n">
        <v>3</v>
      </c>
      <c r="CC5" t="n">
        <v>2</v>
      </c>
      <c r="CD5" t="inlineStr">
        <is>
          <t>behemoth_barrage</t>
        </is>
      </c>
      <c r="CH5" t="b">
        <v>1</v>
      </c>
      <c r="CW5" t="n">
        <v>0</v>
      </c>
      <c r="CX5" t="n">
        <v>0</v>
      </c>
      <c r="DV5" t="n">
        <v>400</v>
      </c>
      <c r="DW5" t="n">
        <v>2.6</v>
      </c>
      <c r="DX5" t="n">
        <v>18</v>
      </c>
      <c r="DY5" t="inlineStr">
        <is>
          <t>Ultimate</t>
        </is>
      </c>
      <c r="EN5" t="b">
        <v>1</v>
      </c>
      <c r="EP5" t="inlineStr">
        <is>
          <t>tracked</t>
        </is>
      </c>
      <c r="EQ5" t="inlineStr">
        <is>
          <t>varga</t>
        </is>
      </c>
      <c r="ES5" t="n">
        <v>4</v>
      </c>
      <c r="ET5" t="n">
        <v>160</v>
      </c>
      <c r="EU5" t="n">
        <v>5</v>
      </c>
      <c r="EV5" t="n">
        <v>6</v>
      </c>
      <c r="EW5" t="n">
        <v>15</v>
      </c>
      <c r="EY5" t="n">
        <v>35787</v>
      </c>
      <c r="FH5" t="n">
        <v>12.59</v>
      </c>
      <c r="FY5" t="inlineStr">
        <is>
          <t>p26_behemoth_main_be152</t>
        </is>
      </c>
      <c r="FZ5" t="inlineStr">
        <is>
          <t>p26_behemoth_tiny_be120</t>
        </is>
      </c>
      <c r="GB5" t="inlineStr">
        <is>
          <t>p26_behemoth_close_boss_flak</t>
        </is>
      </c>
      <c r="GC5" t="inlineStr">
        <is>
          <t>p26_behemoth_close_boss_flak</t>
        </is>
      </c>
      <c r="GD5" t="inlineStr">
        <is>
          <t>p26_behemoth_tiny_boss_missiles</t>
        </is>
      </c>
      <c r="GE5" t="inlineStr">
        <is>
          <t>p26_behemoth_tiny_boss_missiles</t>
        </is>
      </c>
      <c r="GF5" t="inlineStr">
        <is>
          <t>p26_behemoth_tiny_kornet_twin</t>
        </is>
      </c>
      <c r="GG5" t="inlineStr">
        <is>
          <t>p26_behemoth_direct_be120</t>
        </is>
      </c>
      <c r="GH5" t="inlineStr">
        <is>
          <t>p26_behemoth_direct_be120</t>
        </is>
      </c>
      <c r="GI5" t="inlineStr">
        <is>
          <t>p26_behemoth_sec_be_rockets</t>
        </is>
      </c>
      <c r="GO5" t="inlineStr">
        <is>
          <t>#5a6340</t>
        </is>
      </c>
      <c r="GP5" t="inlineStr">
        <is>
          <t>0.3;0.55</t>
        </is>
      </c>
      <c r="HL5" t="inlineStr">
        <is>
          <t>radio.varga.behemoth</t>
        </is>
      </c>
      <c r="HM5" t="n">
        <v>6.4</v>
      </c>
      <c r="HN5" t="inlineStr">
        <is>
          <t>main</t>
        </is>
      </c>
      <c r="IC5" t="n">
        <v>1.2</v>
      </c>
      <c r="IG5" t="n">
        <v>1.5712</v>
      </c>
      <c r="IH5" t="inlineStr">
        <is>
          <t>boss_rage;boss_bulwark</t>
        </is>
      </c>
      <c r="II5" t="n">
        <v>2.4</v>
      </c>
      <c r="JU5" t="n">
        <v>25</v>
      </c>
      <c r="JV5" t="n">
        <v>30</v>
      </c>
      <c r="KF5" t="n">
        <v>50</v>
      </c>
      <c r="KH5" t="inlineStr">
        <is>
          <t>9</t>
        </is>
      </c>
      <c r="KI5" t="n">
        <v>1</v>
      </c>
      <c r="KJ5" t="inlineStr">
        <is>
          <t>gun_behemoth</t>
        </is>
      </c>
      <c r="KK5" t="n">
        <v>1</v>
      </c>
      <c r="KL5" t="n">
        <v>6.5</v>
      </c>
      <c r="KM5" t="inlineStr">
        <is>
          <t>Assets/MachineBrigade/Resources/Data/balance.json: vehicles[138]</t>
        </is>
      </c>
      <c r="KN5" t="inlineStr">
        <is>
          <t>{"id":"behemoth","paint":"#5a6340","paintFinish":[0.3,0.55],"guard":{"radius":15,"count":4,"every":5,"damage":160,"pad":6},"wake":{"phase":1,"mounts":[9]},"mountWeapons":{"0":"p26_behemoth_main_be152","1":"p26_behemoth_tiny_be120","2":"p26_behemoth_close_boss_flak","3":"p26_behemoth_close_boss_flak","4":"p26_behemoth_tiny_boss_missiles","5":"p26_behemoth_tiny_boss_missiles","6":"p26_behemoth_tiny_kornet_twin","7":"p26_behemoth_direct_be120","8":"p26_behemoth_direct_be120","9":"p26_behemoth_sec_be_rockets"},"frame":"tracked","rank":"main","general":"varga","size":1.5712,"radioSpawn":"radio.varga.behemoth","scale":1.2,"armour":[5,3,2,2],"hp":35787,"weaponDamage":1,"speed":2.4,"turnRate":25,"turretTurnRate":30,"radius":6.4,"length":12.59,"width":6.5,"cp":0,"vision":50,"firesWhileMoving":true,"weapon":"gun_behemoth","captureRate":0,"boss":true,"bigAttack":"behemoth_barrage","skills":["boss_rage","boss_bulwark"],"aps":{"radius":11,"charges":2,"recharge":4},"secondary":[{"weapon":"gun_120mm","slot":"gun","aim":"Free"},{"weapon":"boss_flak","slot":"mg","aim":"Free"},{"weapon":"boss_flak","slot":"mg","aim":"Free"},{"weapon":"boss_missiles","slot":"missile","aim":"Hull"},{"weapon":"boss_missiles","slot":"missile","aim":"Hull"},{"weapon":"kornet_twin","slot":"missile","aim":"Free"}],"parts":[{"id":"main_gun","kind":"maingun","hp":0.07,"armour":3,"node":"Main_cannon|Main_cannon_2|Muzzle_brake|Muzzle_brake_2","wreck":"wreck_barrel","at":[0,3.5,4.1],"radius":3.2,"mounts":[0],"radio":"radio.part.maingun"},{"id":"gun_120","kind":"gun","hp":0.07,"armour":3,"node":"Mount_gun","wreck":"wreck_turret","at":[0,3.45,2.8],"radius":2.2,"mounts":[1,6]},{"id":"flak_r","kind":"flak","hp":0.07,"armour":2,"node":"Mount_mg","wreck":"wreck_turret","at":[0.9,-1.15,4.8],"radius":1.8,"mounts":[2]},{"id":"flak_l","kind":"flak","hp":0.07,"armour":2,"node":"Mount_mg.001","wreck":"wreck_turret","at":[-0.9,-1.15,4.8],"radius":1.8,"mounts":[3]},{"id":"missiles_r","kind":"missiles","hp":0.07,"armour":2,"wreck":"wreck_launcher","at":[2.6,-2.5,2.3],"radius":2.0,"mounts":[4]},{"id":"missiles_l","kind":"missiles","hp":0.07,"armour":2,"wreck":"wreck_launcher","at":[-2.6,-2.5,2.3],"radius":2.0,"mounts":[5]},{"id":"aps","kind":"aps","hp":0.07,"armour":1,"wreck":"wreck_stump","at":[0,0.6,5.2],"radius":1.6,"stops":["aps"]},{"use":"side_gun_120","id":"side_gun_l","node":"Mount_gun.001","at":[-3.4,1.0,2.6]},{"use":"side_gun_120","id":"side_gun_r","node":"Mount_gun.002","at":[3.4,1.0,2.6]},{"use":"rocket_pod","id":"rocket_pod","node":"Mount_rocket","at":[0,-3.8,4.4]}],"deathExplosion":{"damage":400,"radius":18,"delay":2.6,"tier":"Ultimate"}}</t>
        </is>
      </c>
    </row>
    <row r="6">
      <c r="A6" t="inlineStr">
        <is>
          <t>behemoth_inferno</t>
        </is>
      </c>
      <c r="B6" t="inlineStr">
        <is>
          <t>mini</t>
        </is>
      </c>
      <c r="C6" t="inlineStr">
        <is>
          <t>Inferno · Flame Behemoth</t>
        </is>
      </c>
      <c r="D6" t="inlineStr">
        <is>
          <t>Inferno · Behemoth phun lửa</t>
        </is>
      </c>
      <c r="E6" t="inlineStr">
        <is>
          <t>Inferno</t>
        </is>
      </c>
      <c r="F6" t="inlineStr"/>
      <c r="G6" t="inlineStr"/>
      <c r="H6" t="inlineStr"/>
      <c r="I6" t="n">
        <v>0</v>
      </c>
      <c r="J6" t="n">
        <v>24600</v>
      </c>
      <c r="K6" t="n">
        <v>20910</v>
      </c>
      <c r="L6" t="n">
        <v>4</v>
      </c>
      <c r="M6" t="n">
        <v>3</v>
      </c>
      <c r="N6" t="n">
        <v>2</v>
      </c>
      <c r="O6" t="n">
        <v>2</v>
      </c>
      <c r="P6" t="b">
        <v>0</v>
      </c>
      <c r="Q6" t="n">
        <v>2.9</v>
      </c>
      <c r="R6" t="n">
        <v>28</v>
      </c>
      <c r="S6" t="n">
        <v>40</v>
      </c>
      <c r="T6" t="n">
        <v>46</v>
      </c>
      <c r="U6" t="n">
        <v>6.4</v>
      </c>
      <c r="V6" t="n">
        <v>15.108</v>
      </c>
      <c r="W6" t="n">
        <v>7.8</v>
      </c>
      <c r="X6" t="b">
        <v>0</v>
      </c>
      <c r="Y6" t="n">
        <v>0</v>
      </c>
      <c r="Z6" t="b">
        <v>0</v>
      </c>
      <c r="AA6" t="b">
        <v>1</v>
      </c>
      <c r="AB6" t="n">
        <v>0</v>
      </c>
      <c r="AC6" t="n">
        <v>3.5</v>
      </c>
      <c r="AD6" t="n">
        <v>1</v>
      </c>
      <c r="AE6" t="inlineStr">
        <is>
          <t>boss_flamer</t>
        </is>
      </c>
      <c r="AF6" t="inlineStr">
        <is>
          <t>boss_thermo;boss_flamer</t>
        </is>
      </c>
      <c r="AG6" t="inlineStr">
        <is>
          <t>boss_rage</t>
        </is>
      </c>
      <c r="AH6" t="inlineStr">
        <is>
          <t>none</t>
        </is>
      </c>
      <c r="AI6" t="inlineStr"/>
      <c r="AJ6" t="inlineStr"/>
      <c r="AK6" t="inlineStr">
        <is>
          <t>behemoth_inferno</t>
        </is>
      </c>
      <c r="AL6" t="inlineStr">
        <is>
          <t>giong</t>
        </is>
      </c>
      <c r="BI6" t="inlineStr">
        <is>
          <t>tracked</t>
        </is>
      </c>
      <c r="BJ6" t="inlineStr">
        <is>
          <t>tracked</t>
        </is>
      </c>
      <c r="BK6" t="inlineStr">
        <is>
          <t>varga</t>
        </is>
      </c>
      <c r="BL6" t="inlineStr"/>
      <c r="BM6" t="n">
        <v>3</v>
      </c>
      <c r="BN6" t="n">
        <v>3</v>
      </c>
      <c r="BO6" t="inlineStr"/>
      <c r="BP6" t="inlineStr"/>
      <c r="BQ6" t="inlineStr"/>
      <c r="BR6" t="b">
        <v>1</v>
      </c>
      <c r="BS6" t="inlineStr">
        <is>
          <t>2;7</t>
        </is>
      </c>
      <c r="BT6" t="inlineStr">
        <is>
          <t>c2m05;c7m13</t>
        </is>
      </c>
      <c r="BU6" t="inlineStr">
        <is>
          <t>tuan:66;day_du:60</t>
        </is>
      </c>
      <c r="BZ6" t="n">
        <v>4</v>
      </c>
      <c r="CA6" t="n">
        <v>2</v>
      </c>
      <c r="CB6" t="n">
        <v>3</v>
      </c>
      <c r="CC6" t="n">
        <v>2</v>
      </c>
      <c r="CH6" t="b">
        <v>1</v>
      </c>
      <c r="CW6" t="n">
        <v>0</v>
      </c>
      <c r="CX6" t="n">
        <v>0</v>
      </c>
      <c r="DV6" t="n">
        <v>420</v>
      </c>
      <c r="DW6" t="n">
        <v>2.6</v>
      </c>
      <c r="DX6" t="n">
        <v>19</v>
      </c>
      <c r="DY6" t="inlineStr">
        <is>
          <t>Ultimate</t>
        </is>
      </c>
      <c r="DZ6" t="inlineStr">
        <is>
          <t>flak</t>
        </is>
      </c>
      <c r="EJ6" t="n">
        <v>18</v>
      </c>
      <c r="EK6" t="n">
        <v>4</v>
      </c>
      <c r="EL6" t="n">
        <v>3.5</v>
      </c>
      <c r="EM6" t="n">
        <v>10</v>
      </c>
      <c r="EN6" t="b">
        <v>1</v>
      </c>
      <c r="EP6" t="inlineStr">
        <is>
          <t>tracked</t>
        </is>
      </c>
      <c r="EQ6" t="inlineStr">
        <is>
          <t>varga</t>
        </is>
      </c>
      <c r="EY6" t="n">
        <v>24600</v>
      </c>
      <c r="FH6" t="n">
        <v>12.59</v>
      </c>
      <c r="GO6" t="inlineStr">
        <is>
          <t>#7a3b26</t>
        </is>
      </c>
      <c r="GP6" t="inlineStr">
        <is>
          <t>0.3;0.55</t>
        </is>
      </c>
      <c r="HL6" t="inlineStr">
        <is>
          <t>radio.varga.inferno</t>
        </is>
      </c>
      <c r="HM6" t="n">
        <v>6.4</v>
      </c>
      <c r="HN6" t="inlineStr">
        <is>
          <t>mini</t>
        </is>
      </c>
      <c r="IC6" t="n">
        <v>1.2</v>
      </c>
      <c r="IG6" t="n">
        <v>1.1252</v>
      </c>
      <c r="IH6" t="inlineStr">
        <is>
          <t>boss_rage</t>
        </is>
      </c>
      <c r="II6" t="n">
        <v>2.9</v>
      </c>
      <c r="JU6" t="n">
        <v>28</v>
      </c>
      <c r="JV6" t="n">
        <v>40</v>
      </c>
      <c r="KF6" t="n">
        <v>46</v>
      </c>
      <c r="KJ6" t="inlineStr">
        <is>
          <t>boss_flamer</t>
        </is>
      </c>
      <c r="KK6" t="n">
        <v>1.962</v>
      </c>
      <c r="KL6" t="n">
        <v>6.5</v>
      </c>
      <c r="KM6" t="inlineStr">
        <is>
          <t>Assets/MachineBrigade/Resources/Data/balance.json: vehicles[146]</t>
        </is>
      </c>
      <c r="KN6" t="inlineStr">
        <is>
          <t>{"id":"behemoth_inferno","paint":"#7a3b26","paintFinish":[0.3,0.55],"frame":"tracked","rank":"mini","general":"varga","size":1.1252,"dropParts":["flak"],"radioSpawn":"radio.varga.inferno","scale":1.2,"armour":[4,3,2,2],"hp":24600,"weaponDamage":1.962,"speed":2.9,"turnRate":28,"turretTurnRate":40,"radius":6.4,"length":12.59,"width":6.5,"cp":0,"vision":46,"firesWhileMoving":true,"weapon":"boss_flamer","captureRate":0,"boss":true,"skills":["boss_rage"],"fireTrail":{"every":4,"seconds":10,"radius":3.5,"dps":18},"secondary":[{"weapon":"boss_thermo","slot":"rocket","aim":"Free"},{"weapon":"boss_flak","slot":"mg","aim":"Free"},{"weapon":"boss_flamer","slot":"main","aim":"Turret"}],"parts":[{"id":"flamer_r","kind":"flamer","hp":0.12,"armour":2,"node":"Main_cannon|Main_cannon_hose|Main_cannon_jacket|Muzzle_brake|Muzzle_brake_glow|Muzzle_brake_pilot","wreck":"wreck_barrel","at":[0.62,3.4,4.1],"radius":2.2,"mounts":[0],"radio":"radio.part.maingun"},{"id":"flamer_l","kind":"flamer","hp":0.12,"armour":2,"node":"Main_cannon_2|Main_cannon_2_hose|Main_cannon_2_jacket|Muzzle_brake_2|Muzzle_brake_2_glow|Muzzle_brake_2_pilot","wreck":"wreck_barrel","at":[-0.62,3.4,4.1],"radius":2.2,"mounts":[3]},{"id":"thermo","kind":"thermo","hp":0.12,"armour":2,"node":"Mount_rocket","wreck":"wreck_turret","at":[0,3.45,2.8],"radius":2.2,"mounts":[1]},{"id":"flak","kind":"flak","hp":0.1,"armour":2,"node":"Mount_mg","wreck":"wreck_turret","at":[0.9,-1.15,4.8],"radius":1.8,"mounts":[2]},{"id":"fuel","kind":"fuel","hp":0.08,"armour":1,"node":"Fuel_tanks|Tank_straps|Tank_hazard","wreck":"wreck_stump","at":[0,-4.6,2.6],"radius":2.6,"stops":["trail"]}],"deathExplosion":{"damage":420,"radius":19,"delay":2.6,"tier":"Ultimate"}}</t>
        </is>
      </c>
    </row>
    <row r="7">
      <c r="A7" t="inlineStr">
        <is>
          <t>behemoth_mk0</t>
        </is>
      </c>
      <c r="B7" t="inlineStr">
        <is>
          <t>mini</t>
        </is>
      </c>
      <c r="C7" t="inlineStr">
        <is>
          <t>Behemoth Mk.0 · Prototype Behemoth</t>
        </is>
      </c>
      <c r="D7" t="inlineStr">
        <is>
          <t>Behemoth Mk.0 · Behemoth nguyên mẫu</t>
        </is>
      </c>
      <c r="E7" t="inlineStr">
        <is>
          <t>Behemoth Mk.0</t>
        </is>
      </c>
      <c r="F7" t="inlineStr"/>
      <c r="G7" t="inlineStr"/>
      <c r="H7" t="inlineStr"/>
      <c r="I7" t="n">
        <v>0</v>
      </c>
      <c r="J7" t="n">
        <v>33900</v>
      </c>
      <c r="K7" t="n">
        <v>28815</v>
      </c>
      <c r="L7" t="n">
        <v>3</v>
      </c>
      <c r="M7" t="n">
        <v>3</v>
      </c>
      <c r="N7" t="n">
        <v>2</v>
      </c>
      <c r="O7" t="n">
        <v>1</v>
      </c>
      <c r="P7" t="b">
        <v>0</v>
      </c>
      <c r="Q7" t="n">
        <v>2.2</v>
      </c>
      <c r="R7" t="n">
        <v>25</v>
      </c>
      <c r="S7" t="n">
        <v>30</v>
      </c>
      <c r="T7" t="n">
        <v>50</v>
      </c>
      <c r="U7" t="n">
        <v>6.4</v>
      </c>
      <c r="V7" t="n">
        <v>15.108</v>
      </c>
      <c r="W7" t="n">
        <v>7.8</v>
      </c>
      <c r="X7" t="b">
        <v>0</v>
      </c>
      <c r="Y7" t="n">
        <v>0</v>
      </c>
      <c r="Z7" t="b">
        <v>0</v>
      </c>
      <c r="AA7" t="b">
        <v>1</v>
      </c>
      <c r="AB7" t="n">
        <v>0</v>
      </c>
      <c r="AC7" t="n">
        <v>3.5</v>
      </c>
      <c r="AD7" t="n">
        <v>1</v>
      </c>
      <c r="AE7" t="inlineStr">
        <is>
          <t>p26_behemoth_main_be152</t>
        </is>
      </c>
      <c r="AF7" t="inlineStr">
        <is>
          <t>p26_behemoth_direct_be120;p26_behemoth_direct_be120;p26_behemoth_sec_be_rockets</t>
        </is>
      </c>
      <c r="AG7" t="inlineStr">
        <is>
          <t>boss_bulwark</t>
        </is>
      </c>
      <c r="AH7" t="inlineStr">
        <is>
          <t>none</t>
        </is>
      </c>
      <c r="AI7" t="inlineStr"/>
      <c r="AJ7" t="inlineStr"/>
      <c r="AK7" t="inlineStr">
        <is>
          <t>behemoth_mk0</t>
        </is>
      </c>
      <c r="AL7" t="inlineStr">
        <is>
          <t>giong</t>
        </is>
      </c>
      <c r="BI7" t="inlineStr">
        <is>
          <t>tracked</t>
        </is>
      </c>
      <c r="BJ7" t="inlineStr">
        <is>
          <t>tracked</t>
        </is>
      </c>
      <c r="BK7" t="inlineStr">
        <is>
          <t>varga</t>
        </is>
      </c>
      <c r="BL7" t="inlineStr">
        <is>
          <t>behemoth</t>
        </is>
      </c>
      <c r="BM7" t="n">
        <v>4</v>
      </c>
      <c r="BN7" t="n">
        <v>7</v>
      </c>
      <c r="BO7" t="inlineStr"/>
      <c r="BP7" t="inlineStr"/>
      <c r="BQ7" t="inlineStr"/>
      <c r="BR7" t="b">
        <v>0</v>
      </c>
      <c r="BS7" t="inlineStr">
        <is>
          <t>13</t>
        </is>
      </c>
      <c r="BT7" t="inlineStr">
        <is>
          <t>i1m03</t>
        </is>
      </c>
      <c r="BU7" t="inlineStr">
        <is>
          <t>tuan:66;day_du:60</t>
        </is>
      </c>
      <c r="BZ7" t="n">
        <v>3</v>
      </c>
      <c r="CA7" t="n">
        <v>2</v>
      </c>
      <c r="CB7" t="n">
        <v>3</v>
      </c>
      <c r="CC7" t="n">
        <v>1</v>
      </c>
      <c r="EQ7" t="inlineStr">
        <is>
          <t>varga</t>
        </is>
      </c>
      <c r="EY7" t="n">
        <v>33900</v>
      </c>
      <c r="GO7" t="inlineStr">
        <is>
          <t>#6b6a4e</t>
        </is>
      </c>
      <c r="GP7" t="inlineStr">
        <is>
          <t>0.25;0.6</t>
        </is>
      </c>
      <c r="HL7" t="inlineStr">
        <is>
          <t>radio.varga.behemoth_mk0</t>
        </is>
      </c>
      <c r="IH7" t="inlineStr">
        <is>
          <t>boss_bulwark</t>
        </is>
      </c>
      <c r="II7" t="n">
        <v>2.2</v>
      </c>
      <c r="JX7" t="inlineStr">
        <is>
          <t>main_gun;side_gun_l;side_gun_r;rocket_pod</t>
        </is>
      </c>
      <c r="JY7" t="inlineStr">
        <is>
          <t>mk0</t>
        </is>
      </c>
      <c r="JZ7" t="inlineStr">
        <is>
          <t>mk0</t>
        </is>
      </c>
      <c r="KA7" t="inlineStr">
        <is>
          <t>behemoth</t>
        </is>
      </c>
      <c r="KB7" t="n">
        <v>0.6538</v>
      </c>
      <c r="KC7" t="n">
        <v>0.66</v>
      </c>
      <c r="KD7" t="n">
        <v>0.82</v>
      </c>
      <c r="KE7" t="n">
        <v>0.9399999999999999</v>
      </c>
      <c r="KK7" t="n">
        <v>0.884</v>
      </c>
      <c r="KM7" t="inlineStr">
        <is>
          <t>Assets/MachineBrigade/Resources/Data/balance.json: vehicles[170]</t>
        </is>
      </c>
      <c r="KN7" t="inlineStr">
        <is>
          <t>{"id":"behemoth_mk0","paint":"#6b6a4e","paintFinish":[0.25,0.6],"guard":null,"wake":null,"variantOf":"behemoth","hp":33900,"weaponDamage":0.884,"general":"varga","radioSpawn":"radio.varga.behemoth_mk0","armour":[3,3,2,1],"speed":2.2,"aps":null,"skills":["boss_bulwark"],"variant":{"size":0.6538,"keep":["main_gun","side_gun_l","side_gun_r","rocket_pod"],"tint":[0.94,0.82,0.66],"mark":"mk0","name":"mk0","tune":{"main_gun":{"hp":0.14},"side_gun_l":{"hp":0.12},"side_gun_r":{"hp":0.12},"rocket_pod":{"hp":0.12}}}}</t>
        </is>
      </c>
    </row>
    <row r="8">
      <c r="A8" t="inlineStr">
        <is>
          <t>behemoth_mk2</t>
        </is>
      </c>
      <c r="B8" t="inlineStr">
        <is>
          <t>mini</t>
        </is>
      </c>
      <c r="C8" t="inlineStr">
        <is>
          <t>Behemoth Mk.II · Upgraded Behemoth</t>
        </is>
      </c>
      <c r="D8" t="inlineStr">
        <is>
          <t>Behemoth Mk.II · Behemoth nâng cấp</t>
        </is>
      </c>
      <c r="E8" t="inlineStr">
        <is>
          <t>Behemoth Mk.II</t>
        </is>
      </c>
      <c r="F8" t="inlineStr"/>
      <c r="G8" t="inlineStr"/>
      <c r="H8" t="inlineStr"/>
      <c r="I8" t="n">
        <v>0</v>
      </c>
      <c r="J8" t="n">
        <v>53500</v>
      </c>
      <c r="K8" t="n">
        <v>45475</v>
      </c>
      <c r="L8" t="n">
        <v>4</v>
      </c>
      <c r="M8" t="n">
        <v>3</v>
      </c>
      <c r="N8" t="n">
        <v>2</v>
      </c>
      <c r="O8" t="n">
        <v>2</v>
      </c>
      <c r="P8" t="b">
        <v>0</v>
      </c>
      <c r="Q8" t="n">
        <v>2.4</v>
      </c>
      <c r="R8" t="n">
        <v>25</v>
      </c>
      <c r="S8" t="n">
        <v>30</v>
      </c>
      <c r="T8" t="n">
        <v>50</v>
      </c>
      <c r="U8" t="n">
        <v>6.4</v>
      </c>
      <c r="V8" t="n">
        <v>15.108</v>
      </c>
      <c r="W8" t="n">
        <v>7.8</v>
      </c>
      <c r="X8" t="b">
        <v>0</v>
      </c>
      <c r="Y8" t="n">
        <v>0</v>
      </c>
      <c r="Z8" t="b">
        <v>0</v>
      </c>
      <c r="AA8" t="b">
        <v>1</v>
      </c>
      <c r="AB8" t="n">
        <v>0</v>
      </c>
      <c r="AC8" t="n">
        <v>3.5</v>
      </c>
      <c r="AD8" t="n">
        <v>1</v>
      </c>
      <c r="AE8" t="inlineStr">
        <is>
          <t>p26_behemoth_main_be152</t>
        </is>
      </c>
      <c r="AF8" t="inlineStr">
        <is>
          <t>p26_behemoth_close_boss_flak;p26_behemoth_close_boss_flak</t>
        </is>
      </c>
      <c r="AG8" t="inlineStr">
        <is>
          <t>boss_rage;boss_bulwark</t>
        </is>
      </c>
      <c r="AH8" t="inlineStr">
        <is>
          <t>aps</t>
        </is>
      </c>
      <c r="AI8" t="n">
        <v>2</v>
      </c>
      <c r="AJ8" t="n">
        <v>4</v>
      </c>
      <c r="AK8" t="inlineStr">
        <is>
          <t>behemoth_mk2</t>
        </is>
      </c>
      <c r="AL8" t="inlineStr">
        <is>
          <t>giong</t>
        </is>
      </c>
      <c r="BI8" t="inlineStr">
        <is>
          <t>tracked</t>
        </is>
      </c>
      <c r="BJ8" t="inlineStr">
        <is>
          <t>tracked</t>
        </is>
      </c>
      <c r="BK8" t="inlineStr">
        <is>
          <t>varga</t>
        </is>
      </c>
      <c r="BL8" t="inlineStr">
        <is>
          <t>behemoth</t>
        </is>
      </c>
      <c r="BM8" t="n">
        <v>3</v>
      </c>
      <c r="BN8" t="n">
        <v>4</v>
      </c>
      <c r="BO8" t="inlineStr"/>
      <c r="BP8" t="inlineStr"/>
      <c r="BQ8" t="inlineStr"/>
      <c r="BR8" t="b">
        <v>0</v>
      </c>
      <c r="BS8" t="inlineStr">
        <is>
          <t>6;7;12</t>
        </is>
      </c>
      <c r="BT8" t="inlineStr">
        <is>
          <t>c6m05</t>
        </is>
      </c>
      <c r="BU8" t="inlineStr">
        <is>
          <t>tuan:66;day_du:60</t>
        </is>
      </c>
      <c r="BZ8" t="n">
        <v>4</v>
      </c>
      <c r="CA8" t="n">
        <v>2</v>
      </c>
      <c r="CB8" t="n">
        <v>3</v>
      </c>
      <c r="CC8" t="n">
        <v>2</v>
      </c>
      <c r="EQ8" t="inlineStr">
        <is>
          <t>varga</t>
        </is>
      </c>
      <c r="EY8" t="n">
        <v>53500</v>
      </c>
      <c r="GO8" t="inlineStr">
        <is>
          <t>#3f4a3a</t>
        </is>
      </c>
      <c r="GP8" t="inlineStr">
        <is>
          <t>0.35;0.5</t>
        </is>
      </c>
      <c r="HL8" t="inlineStr">
        <is>
          <t>radio.varga.behemoth_mk2</t>
        </is>
      </c>
      <c r="JX8" t="inlineStr">
        <is>
          <t>main_gun;flak_r;flak_l;aps</t>
        </is>
      </c>
      <c r="JY8" t="inlineStr">
        <is>
          <t>mk2</t>
        </is>
      </c>
      <c r="JZ8" t="inlineStr">
        <is>
          <t>mk2</t>
        </is>
      </c>
      <c r="KA8" t="inlineStr">
        <is>
          <t>behemoth</t>
        </is>
      </c>
      <c r="KB8" t="n">
        <v>0.6923</v>
      </c>
      <c r="KC8" t="n">
        <v>1.1</v>
      </c>
      <c r="KD8" t="n">
        <v>0.93</v>
      </c>
      <c r="KE8" t="n">
        <v>0.82</v>
      </c>
      <c r="KK8" t="n">
        <v>1.928</v>
      </c>
      <c r="KM8" t="inlineStr">
        <is>
          <t>Assets/MachineBrigade/Resources/Data/balance.json: vehicles[167]</t>
        </is>
      </c>
      <c r="KN8" t="inlineStr">
        <is>
          <t>{"id":"behemoth_mk2","paint":"#3f4a3a","paintFinish":[0.35,0.5],"guard":null,"wake":null,"variantOf":"behemoth","hp":53500,"weaponDamage":1.928,"general":"varga","radioSpawn":"radio.varga.behemoth_mk2","armour":[4,3,2,2],"variant":{"size":0.6923,"keep":["main_gun","flak_r","flak_l","aps"],"tint":[0.82,0.93,1.1],"mark":"mk2","name":"mk2","tune":{"main_gun":{"hp":0.13},"flak_r":{"hp":0.09},"flak_l":{"hp":0.09},"aps":{"hp":0.08}}}}</t>
        </is>
      </c>
    </row>
    <row r="9">
      <c r="A9" t="inlineStr">
        <is>
          <t>behemoth_tempest</t>
        </is>
      </c>
      <c r="B9" t="inlineStr">
        <is>
          <t>mini</t>
        </is>
      </c>
      <c r="C9" t="inlineStr">
        <is>
          <t>Tempest · Railgun Behemoth</t>
        </is>
      </c>
      <c r="D9" t="inlineStr">
        <is>
          <t>Tempest · Behemoth pháo điện từ</t>
        </is>
      </c>
      <c r="E9" t="inlineStr">
        <is>
          <t>Tempest</t>
        </is>
      </c>
      <c r="F9" t="inlineStr"/>
      <c r="G9" t="inlineStr"/>
      <c r="H9" t="inlineStr"/>
      <c r="I9" t="n">
        <v>0</v>
      </c>
      <c r="J9" t="n">
        <v>37750</v>
      </c>
      <c r="K9" t="n">
        <v>32087.5</v>
      </c>
      <c r="L9" t="n">
        <v>4</v>
      </c>
      <c r="M9" t="n">
        <v>3</v>
      </c>
      <c r="N9" t="n">
        <v>2</v>
      </c>
      <c r="O9" t="n">
        <v>2</v>
      </c>
      <c r="P9" t="b">
        <v>0</v>
      </c>
      <c r="Q9" t="n">
        <v>2.6</v>
      </c>
      <c r="R9" t="n">
        <v>25</v>
      </c>
      <c r="S9" t="n">
        <v>28</v>
      </c>
      <c r="T9" t="n">
        <v>70</v>
      </c>
      <c r="U9" t="n">
        <v>6.4</v>
      </c>
      <c r="V9" t="n">
        <v>19.008</v>
      </c>
      <c r="W9" t="n">
        <v>7.8</v>
      </c>
      <c r="X9" t="b">
        <v>0</v>
      </c>
      <c r="Y9" t="n">
        <v>0</v>
      </c>
      <c r="Z9" t="b">
        <v>0</v>
      </c>
      <c r="AA9" t="b">
        <v>1</v>
      </c>
      <c r="AB9" t="n">
        <v>0</v>
      </c>
      <c r="AC9" t="n">
        <v>3.5</v>
      </c>
      <c r="AD9" t="n">
        <v>1</v>
      </c>
      <c r="AE9" t="inlineStr">
        <is>
          <t>boss_railgun</t>
        </is>
      </c>
      <c r="AF9" t="inlineStr">
        <is>
          <t>coilgun;coilgun</t>
        </is>
      </c>
      <c r="AG9" t="inlineStr">
        <is>
          <t>mothership_shield;boss_bulwark;boss_emp</t>
        </is>
      </c>
      <c r="AH9" t="inlineStr">
        <is>
          <t>aps</t>
        </is>
      </c>
      <c r="AI9" t="n">
        <v>2</v>
      </c>
      <c r="AJ9" t="n">
        <v>1.6</v>
      </c>
      <c r="AK9" t="inlineStr">
        <is>
          <t>behemoth_tempest</t>
        </is>
      </c>
      <c r="AL9" t="inlineStr">
        <is>
          <t>giong</t>
        </is>
      </c>
      <c r="BI9" t="inlineStr">
        <is>
          <t>tracked</t>
        </is>
      </c>
      <c r="BJ9" t="inlineStr">
        <is>
          <t>tracked</t>
        </is>
      </c>
      <c r="BK9" t="inlineStr">
        <is>
          <t>kessler</t>
        </is>
      </c>
      <c r="BL9" t="inlineStr"/>
      <c r="BM9" t="n">
        <v>3</v>
      </c>
      <c r="BN9" t="n">
        <v>3</v>
      </c>
      <c r="BO9" t="inlineStr"/>
      <c r="BP9" t="inlineStr"/>
      <c r="BQ9" t="inlineStr"/>
      <c r="BR9" t="b">
        <v>1</v>
      </c>
      <c r="BS9" t="inlineStr">
        <is>
          <t>4</t>
        </is>
      </c>
      <c r="BT9" t="inlineStr"/>
      <c r="BU9" t="inlineStr">
        <is>
          <t>tuan:66;day_du:60</t>
        </is>
      </c>
      <c r="BZ9" t="n">
        <v>4</v>
      </c>
      <c r="CA9" t="n">
        <v>2</v>
      </c>
      <c r="CB9" t="n">
        <v>3</v>
      </c>
      <c r="CC9" t="n">
        <v>2</v>
      </c>
      <c r="CH9" t="b">
        <v>1</v>
      </c>
      <c r="CW9" t="n">
        <v>0</v>
      </c>
      <c r="CX9" t="n">
        <v>0</v>
      </c>
      <c r="DV9" t="n">
        <v>400</v>
      </c>
      <c r="DW9" t="n">
        <v>2.6</v>
      </c>
      <c r="DX9" t="n">
        <v>18</v>
      </c>
      <c r="DY9" t="inlineStr">
        <is>
          <t>Ultimate</t>
        </is>
      </c>
      <c r="EN9" t="b">
        <v>1</v>
      </c>
      <c r="EP9" t="inlineStr">
        <is>
          <t>tracked</t>
        </is>
      </c>
      <c r="EQ9" t="inlineStr">
        <is>
          <t>kessler</t>
        </is>
      </c>
      <c r="EY9" t="n">
        <v>37750</v>
      </c>
      <c r="FH9" t="n">
        <v>15.84</v>
      </c>
      <c r="GO9" t="inlineStr">
        <is>
          <t>#3d5566</t>
        </is>
      </c>
      <c r="GP9" t="inlineStr">
        <is>
          <t>0.35;0.5</t>
        </is>
      </c>
      <c r="HL9" t="inlineStr">
        <is>
          <t>radio.kessler.tempest</t>
        </is>
      </c>
      <c r="HM9" t="n">
        <v>6.4</v>
      </c>
      <c r="HN9" t="inlineStr">
        <is>
          <t>mini</t>
        </is>
      </c>
      <c r="IC9" t="n">
        <v>1.2</v>
      </c>
      <c r="IG9" t="n">
        <v>0.8944</v>
      </c>
      <c r="IH9" t="inlineStr">
        <is>
          <t>mothership_shield;boss_bulwark;boss_emp</t>
        </is>
      </c>
      <c r="II9" t="n">
        <v>2.6</v>
      </c>
      <c r="JU9" t="n">
        <v>25</v>
      </c>
      <c r="JV9" t="n">
        <v>28</v>
      </c>
      <c r="KF9" t="n">
        <v>70</v>
      </c>
      <c r="KJ9" t="inlineStr">
        <is>
          <t>boss_railgun</t>
        </is>
      </c>
      <c r="KK9" t="n">
        <v>1.74</v>
      </c>
      <c r="KL9" t="n">
        <v>6.5</v>
      </c>
      <c r="KM9" t="inlineStr">
        <is>
          <t>Assets/MachineBrigade/Resources/Data/balance.json: vehicles[147]</t>
        </is>
      </c>
      <c r="KN9" t="inlineStr">
        <is>
          <t>{"id":"behemoth_tempest","paint":"#3d5566","paintFinish":[0.35,0.5],"frame":"tracked","rank":"mini","general":"kessler","size":0.8944,"radioSpawn":"radio.kessler.tempest","scale":1.2,"armour":[4,3,2,2],"hp":37750,"weaponDamage":1.74,"speed":2.6,"turnRate":25,"turretTurnRate":28,"radius":6.4,"length":15.84,"width":6.5,"cp":0,"vision":70,"firesWhileMoving":true,"weapon":"boss_railgun","captureRate":0,"boss":true,"skills":["mothership_shield","boss_bulwark","boss_emp"],"aps":{"radius":26,"charges":2,"recharge":1.6,"rockets":true,"laser":true},"secondary":[{"weapon":"coilgun","slot":"gun","aim":"Free"},{"weapon":"coilgun","slot":"gun","aim":"Free"}],"parts":[{"id":"railgun","kind":"railgun","hp":0.15,"armour":3,"node":"Main_cannon*","wreck":"wreck_barrel","at":[0,5.5,4.1],"radius":3.2,"mounts":[0],"radio":"radio.part.maingun"},{"id":"coil_l","kind":"coilgun","hp":0.1,"armour":3,"node":"Mount_gun","wreck":"wreck_turret","at":[-0.9,3.3,2.9],"radius":1.8,"mounts":[1]},{"id":"coil_r","kind":"coilgun","hp":0.1,"armour":3,"node":"Mount_gun.001","wreck":"wreck_turret","at":[0.9,3.3,2.9],"radius":1.8,"mounts":[2]},{"id":"shield","kind":"shield","hp":0.12,"armour":2,"node":"Radar","wreck":"wreck_stump","at":[0,-3.3,5.9],"radius":2.0,"skills":["mothership_shield","boss_bulwark"],"radio":"radio.part.shield"},{"id":"interceptor","kind":"laser","hp":0.08,"armour":1,"node":"Aps_faces|Aps_tubes|Aps_tubes_bore","wreck":"wreck_stump","at":[0,-0.4,4.4],"radius":2.4,"stops":["aps"],"fx":"energy"}],"deathExplosion":{"damage":400,"radius":18,"delay":2.6,"tier":"Ultimate"}}</t>
        </is>
      </c>
    </row>
    <row r="10">
      <c r="A10" t="inlineStr">
        <is>
          <t>coeus</t>
        </is>
      </c>
      <c r="B10" t="inlineStr">
        <is>
          <t>mini</t>
        </is>
      </c>
      <c r="C10" t="inlineStr">
        <is>
          <t>Coeus · Gunship Cruiser</t>
        </is>
      </c>
      <c r="D10" t="inlineStr">
        <is>
          <t>Coeus · Tuần dương hạm pháo kích</t>
        </is>
      </c>
      <c r="E10" t="inlineStr">
        <is>
          <t>Coeus</t>
        </is>
      </c>
      <c r="F10" t="inlineStr"/>
      <c r="G10" t="inlineStr"/>
      <c r="H10" t="inlineStr"/>
      <c r="I10" t="n">
        <v>0</v>
      </c>
      <c r="J10" t="n">
        <v>94850</v>
      </c>
      <c r="K10" t="n">
        <v>80622.5</v>
      </c>
      <c r="L10" t="n">
        <v>4</v>
      </c>
      <c r="M10" t="n">
        <v>4</v>
      </c>
      <c r="N10" t="n">
        <v>4</v>
      </c>
      <c r="O10" t="n">
        <v>4</v>
      </c>
      <c r="P10" t="b">
        <v>0</v>
      </c>
      <c r="Q10" t="n">
        <v>3.6</v>
      </c>
      <c r="R10" t="n">
        <v>10</v>
      </c>
      <c r="S10" t="n">
        <v>120</v>
      </c>
      <c r="T10" t="n">
        <v>80</v>
      </c>
      <c r="U10" t="n">
        <v>10</v>
      </c>
      <c r="V10" t="n">
        <v>34</v>
      </c>
      <c r="W10" t="n">
        <v>22</v>
      </c>
      <c r="X10" t="b">
        <v>1</v>
      </c>
      <c r="Y10" t="n">
        <v>22</v>
      </c>
      <c r="Z10" t="b">
        <v>0</v>
      </c>
      <c r="AA10" t="b">
        <v>1</v>
      </c>
      <c r="AB10" t="n">
        <v>0</v>
      </c>
      <c r="AC10" t="n">
        <v>3.5</v>
      </c>
      <c r="AD10" t="n">
        <v>1</v>
      </c>
      <c r="AE10" t="inlineStr">
        <is>
          <t>pt14_co_203</t>
        </is>
      </c>
      <c r="AF10" t="inlineStr">
        <is>
          <t>pt14_co_v76;pt14_co_v76;pt14_co_spike;pt14_co_spike</t>
        </is>
      </c>
      <c r="AG10" t="inlineStr">
        <is>
          <t>boss_rage</t>
        </is>
      </c>
      <c r="AH10" t="inlineStr">
        <is>
          <t>none</t>
        </is>
      </c>
      <c r="AI10" t="inlineStr"/>
      <c r="AJ10" t="inlineStr"/>
      <c r="AK10" t="inlineStr">
        <is>
          <t>coeus</t>
        </is>
      </c>
      <c r="AL10" t="inlineStr">
        <is>
          <t>moi</t>
        </is>
      </c>
      <c r="BI10" t="inlineStr">
        <is>
          <t>spacecraft</t>
        </is>
      </c>
      <c r="BJ10" t="inlineStr">
        <is>
          <t>spacecraft</t>
        </is>
      </c>
      <c r="BK10" t="inlineStr">
        <is>
          <t>aurel</t>
        </is>
      </c>
      <c r="BL10" t="inlineStr">
        <is>
          <t>hyperion</t>
        </is>
      </c>
      <c r="BM10" t="n">
        <v>5</v>
      </c>
      <c r="BN10" t="n">
        <v>6</v>
      </c>
      <c r="BO10" t="inlineStr"/>
      <c r="BP10" t="inlineStr"/>
      <c r="BQ10" t="inlineStr"/>
      <c r="BR10" t="b">
        <v>0</v>
      </c>
      <c r="BS10" t="inlineStr"/>
      <c r="BT10" t="inlineStr"/>
      <c r="BU10" t="inlineStr">
        <is>
          <t>tuan:66;day_du:60</t>
        </is>
      </c>
      <c r="EQ10" t="inlineStr">
        <is>
          <t>aurel</t>
        </is>
      </c>
      <c r="EY10" t="n">
        <v>94850</v>
      </c>
      <c r="FI10" t="inlineStr">
        <is>
          <t>own</t>
        </is>
      </c>
      <c r="FU10" t="inlineStr">
        <is>
          <t>coeus</t>
        </is>
      </c>
      <c r="FV10" t="n">
        <v>12.8</v>
      </c>
      <c r="FW10" t="n">
        <v>40.3</v>
      </c>
      <c r="FX10" t="n">
        <v>23.1</v>
      </c>
      <c r="FY10" t="inlineStr">
        <is>
          <t>pt14_co_203</t>
        </is>
      </c>
      <c r="GO10" t="inlineStr">
        <is>
          <t>#6e7478</t>
        </is>
      </c>
      <c r="GP10" t="inlineStr">
        <is>
          <t>0.5;0.42</t>
        </is>
      </c>
      <c r="HL10" t="inlineStr">
        <is>
          <t>radio.aurel.coeus</t>
        </is>
      </c>
      <c r="II10" t="n">
        <v>3.6</v>
      </c>
      <c r="JJ10" t="inlineStr">
        <is>
          <t>0.45</t>
        </is>
      </c>
      <c r="JK10" t="n">
        <v>0</v>
      </c>
      <c r="JR10" t="inlineStr">
        <is>
          <t>radio.aurel.coeus.phase2</t>
        </is>
      </c>
      <c r="JX10" t="inlineStr">
        <is>
          <t>main_laser;main_engine;thruster_rl;thruster_rr</t>
        </is>
      </c>
      <c r="JY10" t="inlineStr">
        <is>
          <t>coeus</t>
        </is>
      </c>
      <c r="KA10" t="inlineStr">
        <is>
          <t>hyperion</t>
        </is>
      </c>
      <c r="KB10" t="n">
        <v>0.6</v>
      </c>
      <c r="KC10" t="n">
        <v>0.88</v>
      </c>
      <c r="KD10" t="n">
        <v>0.96</v>
      </c>
      <c r="KE10" t="n">
        <v>1.04</v>
      </c>
      <c r="KK10" t="n">
        <v>1</v>
      </c>
      <c r="KM10" t="inlineStr">
        <is>
          <t>Assets/MachineBrigade/Resources/Data/balance.json: vehicles[175]</t>
        </is>
      </c>
      <c r="KN10" t="inlineStr">
        <is>
          <t>{"id":"coeus","livery":"own","paint":"#6e7478","paintFinish":[0.5,0.42],"variantOf":"hyperion","model":"coeus","modelSize":[40.3,23.1,12.8],"general":"aurel","radioSpawn":"radio.aurel.coeus","hp":94850,"weaponDamage":1.0,"speed":3.6,"mountWeapons":{"0":"pt14_co_203"},"secondary":[{"weapon":"pt14_co_v76","slot":"gun","aim":"Free"},{"weapon":"pt14_co_v76","slot":"gun","aim":"Free"},{"weapon":"pt14_co_spike","slot":"rocket","aim":"Free"},{"weapon":"pt14_co_spike","slot":"rocket","aim":"Free"}],"aps":null,"pods":null,"tiers":{"opening":0,"marks":[0.45],"schedule":[{"steps":[{"tier":"high","seconds":24},{"tier":"low","seconds":10}]},{"steps":[{"tier":"high","seconds":18},{"tier":"low","seconds":12}]}],"radio":{"phase2":"radio.aurel.coeus.phase2"}},"variant":{"size":0.6,"keep":["main_laser","main_engine","thruster_rl","thruster_rr"],"tint":[1.04,0.96,0.88],"mark":"coeus","tune":{"main_laser":{"hp":0.12,"kind":"maingun","at":[0,9.0,20.5]},"main_engine":{"hp":0.1,"at":[0,-31.0,11.5]},"thruster_rl":{"hp":0.08,"at":[-16.5,-20.0,11.17]},"thruster_rr":{"hp":0.08,"at":[16.5,-20.0,11.17]}}}}</t>
        </is>
      </c>
    </row>
    <row r="11">
      <c r="A11" t="inlineStr">
        <is>
          <t>command_airship</t>
        </is>
      </c>
      <c r="B11" t="inlineStr">
        <is>
          <t>main</t>
        </is>
      </c>
      <c r="C11" t="inlineStr">
        <is>
          <t>Roc · Flying Headquarters</t>
        </is>
      </c>
      <c r="D11" t="inlineStr">
        <is>
          <t>Roc · Khí cầu chỉ huy</t>
        </is>
      </c>
      <c r="E11" t="inlineStr">
        <is>
          <t>Roc</t>
        </is>
      </c>
      <c r="F11" t="inlineStr"/>
      <c r="G11" t="inlineStr"/>
      <c r="H11" t="inlineStr"/>
      <c r="I11" t="n">
        <v>0</v>
      </c>
      <c r="J11" t="n">
        <v>205875</v>
      </c>
      <c r="K11" t="n">
        <v>174993.75</v>
      </c>
      <c r="L11" t="n">
        <v>2</v>
      </c>
      <c r="M11" t="n">
        <v>2</v>
      </c>
      <c r="N11" t="n">
        <v>2</v>
      </c>
      <c r="O11" t="n">
        <v>2</v>
      </c>
      <c r="P11" t="b">
        <v>0</v>
      </c>
      <c r="Q11" t="n">
        <v>4.5</v>
      </c>
      <c r="R11" t="n">
        <v>8</v>
      </c>
      <c r="S11" t="n">
        <v>90</v>
      </c>
      <c r="T11" t="n">
        <v>80</v>
      </c>
      <c r="U11" t="n">
        <v>18</v>
      </c>
      <c r="V11" t="inlineStr"/>
      <c r="W11" t="inlineStr"/>
      <c r="X11" t="b">
        <v>1</v>
      </c>
      <c r="Y11" t="n">
        <v>30</v>
      </c>
      <c r="Z11" t="b">
        <v>0</v>
      </c>
      <c r="AA11" t="b">
        <v>1</v>
      </c>
      <c r="AB11" t="n">
        <v>0</v>
      </c>
      <c r="AC11" t="n">
        <v>3.5</v>
      </c>
      <c r="AD11" t="n">
        <v>1.7892</v>
      </c>
      <c r="AE11" t="inlineStr">
        <is>
          <t>p26_roc_main_roc_bombs</t>
        </is>
      </c>
      <c r="AF11" t="inlineStr">
        <is>
          <t>p26_roc_main_roc_bombs;p26_roc_direct_roc_atgm;p26_roc_direct_roc_atgm;p26_roc_close_twin_30_bmpt;p26_roc_close_twin_30_bmpt;p26_roc_roc105;p26_roc_roc105</t>
        </is>
      </c>
      <c r="AG11" t="inlineStr">
        <is>
          <t>airship_launch_l;airship_launch_r</t>
        </is>
      </c>
      <c r="AH11" t="inlineStr">
        <is>
          <t>none</t>
        </is>
      </c>
      <c r="AI11" t="inlineStr"/>
      <c r="AJ11" t="inlineStr"/>
      <c r="AK11" t="inlineStr">
        <is>
          <t>command_airship</t>
        </is>
      </c>
      <c r="AL11" t="inlineStr">
        <is>
          <t>doi</t>
        </is>
      </c>
      <c r="AO11" t="n">
        <v>137250</v>
      </c>
      <c r="AP11" t="n">
        <v>205875</v>
      </c>
      <c r="BG11" t="n">
        <v>1</v>
      </c>
      <c r="BH11" t="n">
        <v>1.7892</v>
      </c>
      <c r="BI11" t="inlineStr">
        <is>
          <t>aircraft</t>
        </is>
      </c>
      <c r="BJ11" t="inlineStr">
        <is>
          <t>aircraft</t>
        </is>
      </c>
      <c r="BK11" t="inlineStr">
        <is>
          <t>quaden</t>
        </is>
      </c>
      <c r="BL11" t="inlineStr"/>
      <c r="BM11" t="n">
        <v>8</v>
      </c>
      <c r="BN11" t="n">
        <v>8</v>
      </c>
      <c r="BO11" t="inlineStr">
        <is>
          <t>airship_carpet</t>
        </is>
      </c>
      <c r="BP11" t="n">
        <v>50</v>
      </c>
      <c r="BQ11" t="inlineStr">
        <is>
          <t>group</t>
        </is>
      </c>
      <c r="BR11" t="b">
        <v>1</v>
      </c>
      <c r="BS11" t="inlineStr">
        <is>
          <t>10</t>
        </is>
      </c>
      <c r="BT11" t="inlineStr">
        <is>
          <t>c10m08</t>
        </is>
      </c>
      <c r="BU11" t="inlineStr">
        <is>
          <t>tuan:168;day_du:150</t>
        </is>
      </c>
      <c r="BW11" t="n">
        <v>30</v>
      </c>
      <c r="BY11" t="n">
        <v>2</v>
      </c>
      <c r="CD11" t="inlineStr">
        <is>
          <t>airship_carpet</t>
        </is>
      </c>
      <c r="CH11" t="b">
        <v>1</v>
      </c>
      <c r="CW11" t="n">
        <v>0</v>
      </c>
      <c r="CX11" t="n">
        <v>0</v>
      </c>
      <c r="DV11" t="n">
        <v>400</v>
      </c>
      <c r="DW11" t="n">
        <v>2.6</v>
      </c>
      <c r="DX11" t="n">
        <v>18</v>
      </c>
      <c r="DY11" t="inlineStr">
        <is>
          <t>Ultimate</t>
        </is>
      </c>
      <c r="EN11" t="b">
        <v>1</v>
      </c>
      <c r="EO11" t="b">
        <v>1</v>
      </c>
      <c r="EP11" t="inlineStr">
        <is>
          <t>aircraft</t>
        </is>
      </c>
      <c r="EQ11" t="inlineStr">
        <is>
          <t>quaden</t>
        </is>
      </c>
      <c r="EX11" t="b">
        <v>1</v>
      </c>
      <c r="EY11" t="n">
        <v>205875</v>
      </c>
      <c r="FJ11" t="inlineStr">
        <is>
          <t>Free</t>
        </is>
      </c>
      <c r="FL11" t="inlineStr">
        <is>
          <t>gun</t>
        </is>
      </c>
      <c r="FY11" t="inlineStr">
        <is>
          <t>p26_roc_main_roc_bombs</t>
        </is>
      </c>
      <c r="FZ11" t="inlineStr">
        <is>
          <t>p26_roc_main_roc_bombs</t>
        </is>
      </c>
      <c r="GB11" t="inlineStr">
        <is>
          <t>p26_roc_direct_roc_atgm</t>
        </is>
      </c>
      <c r="GC11" t="inlineStr">
        <is>
          <t>p26_roc_direct_roc_atgm</t>
        </is>
      </c>
      <c r="GD11" t="inlineStr">
        <is>
          <t>p26_roc_close_twin_30_bmpt</t>
        </is>
      </c>
      <c r="GE11" t="inlineStr">
        <is>
          <t>p26_roc_close_twin_30_bmpt</t>
        </is>
      </c>
      <c r="GF11" t="inlineStr">
        <is>
          <t>p26_roc_roc105</t>
        </is>
      </c>
      <c r="GG11" t="inlineStr">
        <is>
          <t>p26_roc_roc105</t>
        </is>
      </c>
      <c r="GN11" t="n">
        <v>1.7892</v>
      </c>
      <c r="GO11" t="inlineStr">
        <is>
          <t>#8e9599</t>
        </is>
      </c>
      <c r="GP11" t="inlineStr">
        <is>
          <t>0.3;0.5</t>
        </is>
      </c>
      <c r="GR11" t="n">
        <v>2</v>
      </c>
      <c r="GS11" t="inlineStr">
        <is>
          <t>engine</t>
        </is>
      </c>
      <c r="HL11" t="inlineStr">
        <is>
          <t>radio.quaden.airship</t>
        </is>
      </c>
      <c r="HM11" t="n">
        <v>18</v>
      </c>
      <c r="HN11" t="inlineStr">
        <is>
          <t>main</t>
        </is>
      </c>
      <c r="IC11" t="n">
        <v>1</v>
      </c>
      <c r="IG11" t="n">
        <v>1.7564</v>
      </c>
      <c r="IH11" t="inlineStr">
        <is>
          <t>airship_launch_l;airship_launch_r</t>
        </is>
      </c>
      <c r="II11" t="n">
        <v>4.5</v>
      </c>
      <c r="JU11" t="n">
        <v>8</v>
      </c>
      <c r="JV11" t="n">
        <v>90</v>
      </c>
      <c r="KF11" t="n">
        <v>80</v>
      </c>
      <c r="KH11" t="inlineStr">
        <is>
          <t>6;7</t>
        </is>
      </c>
      <c r="KI11" t="n">
        <v>1</v>
      </c>
      <c r="KJ11" t="inlineStr">
        <is>
          <t>airship_flak</t>
        </is>
      </c>
      <c r="KK11" t="n">
        <v>1</v>
      </c>
      <c r="KM11" t="inlineStr">
        <is>
          <t>Assets/MachineBrigade/Resources/Data/balance.json: vehicles[151]</t>
        </is>
      </c>
      <c r="KN11" t="inlineStr">
        <is>
          <t>{"id":"command_airship","paint":"#8e9599","paintFinish":[0.3,0.5],"outgoingDamageMult":1.7892,"wake":{"phase":1,"mounts":[6,7]},"mountWeapons":{"0":"p26_roc_main_roc_bombs","1":"p26_roc_main_roc_bombs","2":"p26_roc_direct_roc_atgm","3":"p26_roc_direct_roc_atgm","4":"p26_roc_close_twin_30_bmpt","5":"p26_roc_close_twin_30_bmpt","6":"p26_roc_roc105","7":"p26_roc_roc105"},"frame":"aircraft","rank":"main","size":1.7564,"boss":true,"bigAttack":"airship_carpet","general":"quaden","radioSpawn":"radio.quaden.airship","armour":2,"hp":205875,"weaponDamage":1,"speed":4.5,"turnRate":8,"holdsToFire":true,"turretTurnRate":90,"radius":18,"scale":1.0,"cp":0,"vision":80,"flying":true,"altitude":30,"captureRate":0,"firesWhileMoving":true,"weapon":"airship_flak","mainSlot":"gun","mainAim":"Free","secondary":[{"weapon":"airship_flak","slot":"gun","aim":"Free"},{"weapon":"airship_drones","slot":"door_l","aim":"Free"},{"weapon":"airship_drones","slot":"door_r","aim":"Free"},{"weapon":"twin_30_bmpt","slot":"gun","aim":"Free"},{"weapon":"twin_30_bmpt","slot":"gun","aim":"Free"}],"skills":["airship_launch_l","airship_launch_r"],"parts":[{"id":"engine_fl","breakDamage":0,"kind":"engine","hp":0.07,"armour":2,"node":"Part_engine","wreck":"wreck_engine","at":[-14.3,9,1],"radius":3.6,"speed":0.85},{"id":"engine_fr","breakDamage":0,"kind":"engine","hp":0.07,"armour":2,"node":"Part_engine.001","wreck":"wreck_engine","at":[14.3,9,1],"radius":3.6,"speed":0.85},{"id":"engine_rl","breakDamage":0,"kind":"engine","hp":0.07,"armour":2,"node":"Part_engine.002","wreck":"wreck_engine","at":[-14.3,-8,1],"radius":3.6,"speed":0.85},{"id":"engine_rr","breakDamage":0,"kind":"engine","hp":0.07,"armour":2,"node":"Part_engine.003","wreck":"wreck_engine","at":[14.3,-8,1],"radius":3.6,"speed":0.85},{"id":"hangar_l","breakDamage":0,"radio":"radio.part.bay","kind":"hangar","hp":0.07,"armour":2,"node":"Part_hangar","wreck":"wreck_launcher","at":[-1.3,-3,-2.2],"radius":3.2,"mounts":[2],"skills":["airship_launch_l"]},{"id":"hangar_r","breakDamage":0,"radio":"radio.part.bay","kind":"hangar","hp":0.07,"armour":2,"node":"Part_hangar.001","wreck":"wreck_launcher","at":[1.3,-3,-2.2],"radius":3.2,"mounts":[3],"skills":["airship_launch_r"]},{"id":"radar","breakDamage":0,"kind":"radar","hp":0.07,"armour":1,"node":"Part_radar","wreck":"wreck_stump","at":[0,3.2,6.7],"radius":2.6,"spread":3,"fail":0.5,"affects":[0,1]},{"id":"bomb_bay","mounts":[4,5],"breakDamage":0,"kind":"bombbay","hp":0.07,"armour":2,"wreck":"wreck_stump","at":[0,8.5,-3.0],"radius":3.2,"radio":"radio.part.bombbay"},{"use":"pod_105","id":"pod_105_l","breakDamage":0,"node":"Mount_gun.002","at":[-7.5,0,-3.0]},{"use":"pod_105","id":"pod_105_r","breakDamage":0,"node":"Mount_gun.003","at":[7.5,0,-3.0]}],"partLock":{"kind":"engine","count":2},"phases":[{"at":0.6,"transform":2.5,"damage":1.1,"radio":"radio.quaden.airship.phase2"},{"at":0.25,"transform":3,"damage":1.25,"radio":"radio.quaden.airship.half","fireRate":1.25}],"deathExplosion":{"damage":400,"radius":18,"delay":2.6,"tier":"Ultimate"}}</t>
        </is>
      </c>
    </row>
    <row r="12">
      <c r="A12" t="inlineStr">
        <is>
          <t>daedalus</t>
        </is>
      </c>
      <c r="B12" t="inlineStr">
        <is>
          <t>main</t>
        </is>
      </c>
      <c r="C12" t="inlineStr">
        <is>
          <t>Daedalus · Orbital Lander</t>
        </is>
      </c>
      <c r="D12" t="inlineStr">
        <is>
          <t>Daedalus · Tàu đổ bộ quỹ đạo</t>
        </is>
      </c>
      <c r="E12" t="inlineStr">
        <is>
          <t>Daedalus</t>
        </is>
      </c>
      <c r="F12" t="inlineStr"/>
      <c r="G12" t="inlineStr"/>
      <c r="H12" t="inlineStr"/>
      <c r="I12" t="n">
        <v>0</v>
      </c>
      <c r="J12" t="n">
        <v>240580</v>
      </c>
      <c r="K12" t="n">
        <v>204493</v>
      </c>
      <c r="L12" t="n">
        <v>3</v>
      </c>
      <c r="M12" t="n">
        <v>2</v>
      </c>
      <c r="N12" t="n">
        <v>1</v>
      </c>
      <c r="O12" t="n">
        <v>1</v>
      </c>
      <c r="P12" t="b">
        <v>0</v>
      </c>
      <c r="Q12" t="n">
        <v>4.5</v>
      </c>
      <c r="R12" t="n">
        <v>10</v>
      </c>
      <c r="S12" t="n">
        <v>120</v>
      </c>
      <c r="T12" t="n">
        <v>80</v>
      </c>
      <c r="U12" t="n">
        <v>10</v>
      </c>
      <c r="V12" t="n">
        <v>36</v>
      </c>
      <c r="W12" t="n">
        <v>20</v>
      </c>
      <c r="X12" t="b">
        <v>0</v>
      </c>
      <c r="Y12" t="n">
        <v>0</v>
      </c>
      <c r="Z12" t="b">
        <v>0</v>
      </c>
      <c r="AA12" t="b">
        <v>1</v>
      </c>
      <c r="AB12" t="n">
        <v>1</v>
      </c>
      <c r="AC12" t="n">
        <v>3.5</v>
      </c>
      <c r="AD12" t="n">
        <v>1</v>
      </c>
      <c r="AE12" t="inlineStr">
        <is>
          <t>p26_daedalus_direct_dae_laser</t>
        </is>
      </c>
      <c r="AF12" t="inlineStr">
        <is>
          <t>pt14_dd_v57;pt14_dd_v57;pt14_dd_v25;pt14_dd_v25;p26_daedalus_direct_dae_laser</t>
        </is>
      </c>
      <c r="AG12" t="inlineStr">
        <is>
          <t>boss_rage</t>
        </is>
      </c>
      <c r="AH12" t="inlineStr">
        <is>
          <t>aps</t>
        </is>
      </c>
      <c r="AI12" t="n">
        <v>2</v>
      </c>
      <c r="AJ12" t="n">
        <v>1.6</v>
      </c>
      <c r="AK12" t="inlineStr">
        <is>
          <t>daedalus</t>
        </is>
      </c>
      <c r="AL12" t="inlineStr">
        <is>
          <t>doi</t>
        </is>
      </c>
      <c r="AO12" t="n">
        <v>156900</v>
      </c>
      <c r="AP12" t="n">
        <v>240580</v>
      </c>
      <c r="BE12" t="inlineStr">
        <is>
          <t>p26_daedalus_sec_dae57;p26_daedalus_sec_dae57;p26_daedalus_direct_dae_laser</t>
        </is>
      </c>
      <c r="BF12" t="inlineStr">
        <is>
          <t>pt14_dd_v57;pt14_dd_v57;pt14_dd_v25;pt14_dd_v25;p26_daedalus_direct_dae_laser</t>
        </is>
      </c>
      <c r="BI12" t="inlineStr">
        <is>
          <t>spacecraft</t>
        </is>
      </c>
      <c r="BJ12" t="inlineStr">
        <is>
          <t>spacecraft</t>
        </is>
      </c>
      <c r="BK12" t="inlineStr">
        <is>
          <t>aurel</t>
        </is>
      </c>
      <c r="BL12" t="inlineStr"/>
      <c r="BM12" t="n">
        <v>6</v>
      </c>
      <c r="BN12" t="n">
        <v>8</v>
      </c>
      <c r="BO12" t="inlineStr">
        <is>
          <t>daedalus_mass_drop</t>
        </is>
      </c>
      <c r="BP12" t="n">
        <v>50</v>
      </c>
      <c r="BQ12" t="inlineStr">
        <is>
          <t>group</t>
        </is>
      </c>
      <c r="BR12" t="b">
        <v>0</v>
      </c>
      <c r="BS12" t="inlineStr">
        <is>
          <t>11</t>
        </is>
      </c>
      <c r="BT12" t="inlineStr"/>
      <c r="BU12" t="inlineStr">
        <is>
          <t>tuan:168;day_du:150</t>
        </is>
      </c>
      <c r="BY12" t="n">
        <v>3</v>
      </c>
      <c r="CD12" t="inlineStr">
        <is>
          <t>daedalus_mass_drop</t>
        </is>
      </c>
      <c r="CH12" t="b">
        <v>1</v>
      </c>
      <c r="DV12" t="n">
        <v>420</v>
      </c>
      <c r="DW12" t="n">
        <v>2.6</v>
      </c>
      <c r="DX12" t="n">
        <v>18</v>
      </c>
      <c r="DY12" t="inlineStr">
        <is>
          <t>Ultimate</t>
        </is>
      </c>
      <c r="EP12" t="inlineStr">
        <is>
          <t>spacecraft</t>
        </is>
      </c>
      <c r="EQ12" t="inlineStr">
        <is>
          <t>aurel</t>
        </is>
      </c>
      <c r="EX12" t="b">
        <v>1</v>
      </c>
      <c r="EY12" t="n">
        <v>240580</v>
      </c>
      <c r="FH12" t="n">
        <v>36</v>
      </c>
      <c r="FI12" t="inlineStr">
        <is>
          <t>own</t>
        </is>
      </c>
      <c r="FJ12" t="inlineStr">
        <is>
          <t>Free</t>
        </is>
      </c>
      <c r="FL12" t="inlineStr">
        <is>
          <t>gun</t>
        </is>
      </c>
      <c r="FU12" t="inlineStr">
        <is>
          <t>daedalus</t>
        </is>
      </c>
      <c r="FY12" t="inlineStr">
        <is>
          <t>p26_daedalus_direct_dae_laser</t>
        </is>
      </c>
      <c r="FZ12" t="inlineStr">
        <is>
          <t>pt14_dd_v57</t>
        </is>
      </c>
      <c r="GB12" t="inlineStr">
        <is>
          <t>pt14_dd_v57</t>
        </is>
      </c>
      <c r="GE12" t="inlineStr">
        <is>
          <t>p26_daedalus_direct_dae_laser</t>
        </is>
      </c>
      <c r="GO12" t="inlineStr">
        <is>
          <t>#c4c9cc</t>
        </is>
      </c>
      <c r="GP12" t="inlineStr">
        <is>
          <t>0.35;0.42</t>
        </is>
      </c>
      <c r="GU12" t="n">
        <v>3</v>
      </c>
      <c r="GV12" t="n">
        <v>1125</v>
      </c>
      <c r="GW12" t="inlineStr">
        <is>
          <t>8;6.5;5</t>
        </is>
      </c>
      <c r="GX12" t="n">
        <v>12</v>
      </c>
      <c r="GY12" t="n">
        <v>6</v>
      </c>
      <c r="GZ12" t="n">
        <v>6</v>
      </c>
      <c r="HA12" t="n">
        <v>8</v>
      </c>
      <c r="HB12" t="n">
        <v>1</v>
      </c>
      <c r="HC12" t="n">
        <v>30</v>
      </c>
      <c r="HD12" t="n">
        <v>2</v>
      </c>
      <c r="HE12" t="n">
        <v>6</v>
      </c>
      <c r="HF12" t="n">
        <v>12</v>
      </c>
      <c r="HG12" t="n">
        <v>1</v>
      </c>
      <c r="HH12" t="inlineStr">
        <is>
          <t>orbit;high;low</t>
        </is>
      </c>
      <c r="HI12" t="inlineStr">
        <is>
          <t>drop_pod</t>
        </is>
      </c>
      <c r="HJ12" t="inlineStr">
        <is>
          <t>main_battle_tank;ifv;heavy_tank;armored_car;main_battle_tank;ifv;tank_destroyer</t>
        </is>
      </c>
      <c r="HK12" t="inlineStr">
        <is>
          <t>pod_drop</t>
        </is>
      </c>
      <c r="HL12" t="inlineStr">
        <is>
          <t>radio.aurel.daedalus</t>
        </is>
      </c>
      <c r="HM12" t="n">
        <v>10</v>
      </c>
      <c r="HN12" t="inlineStr">
        <is>
          <t>main</t>
        </is>
      </c>
      <c r="IG12" t="n">
        <v>1.6183</v>
      </c>
      <c r="IH12" t="inlineStr">
        <is>
          <t>boss_rage</t>
        </is>
      </c>
      <c r="II12" t="n">
        <v>4.5</v>
      </c>
      <c r="IL12" t="n">
        <v>2</v>
      </c>
      <c r="IM12" t="n">
        <v>3</v>
      </c>
      <c r="IN12" t="n">
        <v>3</v>
      </c>
      <c r="IZ12" t="n">
        <v>2</v>
      </c>
      <c r="JJ12" t="inlineStr">
        <is>
          <t>0.6;0.25</t>
        </is>
      </c>
      <c r="JK12" t="n">
        <v>10</v>
      </c>
      <c r="JN12" t="inlineStr">
        <is>
          <t>radio.aurel.daedalus.descend</t>
        </is>
      </c>
      <c r="JR12" t="inlineStr">
        <is>
          <t>radio.aurel.daedalus.phase2</t>
        </is>
      </c>
      <c r="JS12" t="inlineStr">
        <is>
          <t>radio.aurel.daedalus.phase3</t>
        </is>
      </c>
      <c r="JU12" t="n">
        <v>10</v>
      </c>
      <c r="JV12" t="n">
        <v>120</v>
      </c>
      <c r="KF12" t="n">
        <v>80</v>
      </c>
      <c r="KJ12" t="inlineStr">
        <is>
          <t>autocannon_30</t>
        </is>
      </c>
      <c r="KK12" t="n">
        <v>1</v>
      </c>
      <c r="KL12" t="n">
        <v>20</v>
      </c>
      <c r="KM12" t="inlineStr">
        <is>
          <t>Assets/MachineBrigade/Resources/Data/balance.json: vehicles[160]</t>
        </is>
      </c>
      <c r="KN12" t="inlineStr">
        <is>
          <t>{"id":"daedalus","livery":"own","paint":"#c4c9cc","paintFinish":[0.35,0.42],"mountWeapons":{"0":"p26_daedalus_direct_dae_laser","1":"pt14_dd_v57","2":"pt14_dd_v57","5":"p26_daedalus_direct_dae_laser"},"frame":"spacecraft","size":1.6183,"rank":"main","general":"aurel","boss":true,"bigAttack":"daedalus_mass_drop","radioSpawn":"radio.aurel.daedalus","model":"daedalus","armour":3,"hp":240580,"weaponDamage":1,"speed":4.5,"turnRate":10,"holdsToFire":true,"mainAim":"Free","turretTurnRate":120,"radius":10,"length":36,"width":20,"vision":80,"weapon":"autocannon_30","secondary":[{"weapon":"gun_57mm","slot":"gun","aim":"Free"},{"weapon":"gun_57mm","slot":"gun","aim":"Free"},{"weapon":"pt14_dd_v25","slot":"gun","aim":"Free"},{"weapon":"pt14_dd_v25","slot":"gun","aim":"Free"}],"mainSlot":"gun","skills":["boss_rage"],"aps":{"radius":31.6,"charges":2,"recharge":1.6,"rockets":true,"laser":true},"tiers":{"opening":10,"haltPhase":2,"marks":[0.6,0.25],"schedule":[{"steps":[{"tier":"high","seconds":20},{"tier":"low","seconds":14}]},{"steps":[{"tier":"high","seconds":14},{"tier":"low","seconds":20}]},{"steps":[{"tier":"low","seconds":60}]}],"armour":{"hull":3,"belly":2,"grounded":3},"radio":{"descend":"radio.aurel.daedalus.descend","phase2":"radio.aurel.daedalus.phase2","phase3":"radio.aurel.daedalus.phase3"}},"pods":{"unit":"drop_pod","first":6,"every":12,"everyByPhase":[8,6.5,5],"count":3,"min":1,"perPod":2,"fall":6,"max":8,"offset":30,"spread":12,"tiers":["orbit","high","low"],"warning":"pod_drop","units":["main_battle_tank","ifv","heavy_tank","armored_car","main_battle_tank","ifv","tank_destroyer"],"damage":1125,"radius":6,"stun":1},"parts":[{"id":"gun_l","kind":"gun","hp":0.08,"armour":2,"node":"Mount_gun","wreck":"wreck_turret","at":[-2.4,6.0,-2.7],"radius":1.6,"mounts":[0]},{"use":"gun_30","id":"gun_r","hp":0.08,"node":"Mount_gun.005","at":[2.4,6.0,-2.7]},{"use":"pd_laser","id":"pd_laser_l","node":"Pd_laser_l","at":[-3.4,4.0,2.8]},{"use":"pd_laser","id":"pd_laser_r","node":"Pd_laser_r","at":[3.4,4.0,2.8]},{"id":"engine","kind":"thruster","hp":0.08,"armour":2,"node":"Thruster_main","wreck":"wreck_stump","at":[0,-16.5,0.8],"radius":3.2,"speed":0.8,"radio":"radio.part.mainengine"},{"use":"pod_bay","id":"pod_bay_1","node":"Pod_bay_1","at":[-4.0,-2.0,-2.2]},{"use":"pod_bay","id":"pod_bay_2","node":"Pod_bay_2","at":[0,-5.0,-2.4]},{"use":"pod_bay","id":"pod_bay_3","node":"Pod_bay_3","at":[4.0,-2.0,-2.2]}],"deathExplosion":{"damage":420,"radius":18,"delay":2.6,"tier":"Ultimate"}}</t>
        </is>
      </c>
    </row>
    <row r="13">
      <c r="A13" t="inlineStr">
        <is>
          <t>drone_mothership</t>
        </is>
      </c>
      <c r="B13" t="inlineStr">
        <is>
          <t>main</t>
        </is>
      </c>
      <c r="C13" t="inlineStr">
        <is>
          <t>Matriarch · Drone Mothership</t>
        </is>
      </c>
      <c r="D13" t="inlineStr">
        <is>
          <t>Matriarch · Tàu mẹ drone</t>
        </is>
      </c>
      <c r="E13" t="inlineStr">
        <is>
          <t>Matriarch</t>
        </is>
      </c>
      <c r="F13" t="inlineStr"/>
      <c r="G13" t="inlineStr"/>
      <c r="H13" t="inlineStr"/>
      <c r="I13" t="n">
        <v>0</v>
      </c>
      <c r="J13" t="n">
        <v>77823</v>
      </c>
      <c r="K13" t="n">
        <v>66149.55</v>
      </c>
      <c r="L13" t="n">
        <v>2</v>
      </c>
      <c r="M13" t="n">
        <v>2</v>
      </c>
      <c r="N13" t="n">
        <v>2</v>
      </c>
      <c r="O13" t="n">
        <v>2</v>
      </c>
      <c r="P13" t="b">
        <v>0</v>
      </c>
      <c r="Q13" t="n">
        <v>3.5</v>
      </c>
      <c r="R13" t="n">
        <v>20</v>
      </c>
      <c r="S13" t="n">
        <v>90</v>
      </c>
      <c r="T13" t="n">
        <v>70</v>
      </c>
      <c r="U13" t="n">
        <v>9</v>
      </c>
      <c r="V13" t="inlineStr"/>
      <c r="W13" t="inlineStr"/>
      <c r="X13" t="b">
        <v>1</v>
      </c>
      <c r="Y13" t="n">
        <v>26</v>
      </c>
      <c r="Z13" t="b">
        <v>0</v>
      </c>
      <c r="AA13" t="b">
        <v>1</v>
      </c>
      <c r="AB13" t="n">
        <v>0</v>
      </c>
      <c r="AC13" t="n">
        <v>3.5</v>
      </c>
      <c r="AD13" t="n">
        <v>1</v>
      </c>
      <c r="AE13" t="inlineStr">
        <is>
          <t>p26_matriarch_tiny_mothership_cannon</t>
        </is>
      </c>
      <c r="AF13" t="inlineStr">
        <is>
          <t>p26_matriarch_ma_drones;p26_matriarch_close_boss_flak;p26_matriarch_close_boss_flak;p26_matriarch_tiny_mothership_cannon;p26_matriarch_direct_ma_atgm;p26_matriarch_sec_autocannon_30;p26_matriarch_sec_autocannon_30;p26_matriarch_direct_ma_atgm</t>
        </is>
      </c>
      <c r="AG13" t="inlineStr">
        <is>
          <t>mothership_launch;boss_flares;mothership_shield</t>
        </is>
      </c>
      <c r="AH13" t="inlineStr">
        <is>
          <t>none</t>
        </is>
      </c>
      <c r="AI13" t="inlineStr"/>
      <c r="AJ13" t="inlineStr"/>
      <c r="AK13" t="inlineStr">
        <is>
          <t>drone_mothership</t>
        </is>
      </c>
      <c r="AL13" t="inlineStr">
        <is>
          <t>doi</t>
        </is>
      </c>
      <c r="AO13" t="n">
        <v>63100</v>
      </c>
      <c r="AP13" t="n">
        <v>77823</v>
      </c>
      <c r="BI13" t="inlineStr">
        <is>
          <t>aircraft</t>
        </is>
      </c>
      <c r="BJ13" t="inlineStr">
        <is>
          <t>aircraft</t>
        </is>
      </c>
      <c r="BK13" t="inlineStr">
        <is>
          <t>sen</t>
        </is>
      </c>
      <c r="BL13" t="inlineStr"/>
      <c r="BM13" t="n">
        <v>9</v>
      </c>
      <c r="BN13" t="n">
        <v>9</v>
      </c>
      <c r="BO13" t="inlineStr">
        <is>
          <t>carrier_heavy_bomb</t>
        </is>
      </c>
      <c r="BP13" t="n">
        <v>45</v>
      </c>
      <c r="BQ13" t="inlineStr">
        <is>
          <t>group</t>
        </is>
      </c>
      <c r="BR13" t="b">
        <v>1</v>
      </c>
      <c r="BS13" t="inlineStr">
        <is>
          <t>5</t>
        </is>
      </c>
      <c r="BT13" t="inlineStr">
        <is>
          <t>c5m05</t>
        </is>
      </c>
      <c r="BU13" t="inlineStr">
        <is>
          <t>tuan:168;day_du:150</t>
        </is>
      </c>
      <c r="BW13" t="n">
        <v>26</v>
      </c>
      <c r="BY13" t="n">
        <v>2</v>
      </c>
      <c r="CD13" t="inlineStr">
        <is>
          <t>carrier_heavy_bomb</t>
        </is>
      </c>
      <c r="CH13" t="b">
        <v>1</v>
      </c>
      <c r="CW13" t="n">
        <v>0</v>
      </c>
      <c r="CX13" t="n">
        <v>0</v>
      </c>
      <c r="DV13" t="n">
        <v>300</v>
      </c>
      <c r="DW13" t="n">
        <v>2.6</v>
      </c>
      <c r="DX13" t="n">
        <v>14</v>
      </c>
      <c r="DY13" t="inlineStr">
        <is>
          <t>Ultimate</t>
        </is>
      </c>
      <c r="EN13" t="b">
        <v>1</v>
      </c>
      <c r="EO13" t="b">
        <v>1</v>
      </c>
      <c r="EP13" t="inlineStr">
        <is>
          <t>aircraft</t>
        </is>
      </c>
      <c r="EQ13" t="inlineStr">
        <is>
          <t>sen</t>
        </is>
      </c>
      <c r="EY13" t="n">
        <v>77823</v>
      </c>
      <c r="FY13" t="inlineStr">
        <is>
          <t>p26_matriarch_tiny_mothership_cannon</t>
        </is>
      </c>
      <c r="FZ13" t="inlineStr">
        <is>
          <t>p26_matriarch_ma_drones</t>
        </is>
      </c>
      <c r="GB13" t="inlineStr">
        <is>
          <t>p26_matriarch_close_boss_flak</t>
        </is>
      </c>
      <c r="GC13" t="inlineStr">
        <is>
          <t>p26_matriarch_close_boss_flak</t>
        </is>
      </c>
      <c r="GD13" t="inlineStr">
        <is>
          <t>p26_matriarch_tiny_mothership_cannon</t>
        </is>
      </c>
      <c r="GE13" t="inlineStr">
        <is>
          <t>p26_matriarch_direct_ma_atgm</t>
        </is>
      </c>
      <c r="GF13" t="inlineStr">
        <is>
          <t>p26_matriarch_sec_autocannon_30</t>
        </is>
      </c>
      <c r="GG13" t="inlineStr">
        <is>
          <t>p26_matriarch_sec_autocannon_30</t>
        </is>
      </c>
      <c r="GH13" t="inlineStr">
        <is>
          <t>p26_matriarch_direct_ma_atgm</t>
        </is>
      </c>
      <c r="GO13" t="inlineStr">
        <is>
          <t>#4a5058</t>
        </is>
      </c>
      <c r="GP13" t="inlineStr">
        <is>
          <t>0.35;0.45</t>
        </is>
      </c>
      <c r="HL13" t="inlineStr">
        <is>
          <t>radio.sen.matriarch</t>
        </is>
      </c>
      <c r="HM13" t="n">
        <v>9</v>
      </c>
      <c r="HN13" t="inlineStr">
        <is>
          <t>main</t>
        </is>
      </c>
      <c r="IC13" t="n">
        <v>1.15</v>
      </c>
      <c r="IG13" t="n">
        <v>1.6903</v>
      </c>
      <c r="IH13" t="inlineStr">
        <is>
          <t>mothership_launch;boss_flares;mothership_shield</t>
        </is>
      </c>
      <c r="II13" t="n">
        <v>3.5</v>
      </c>
      <c r="JU13" t="n">
        <v>20</v>
      </c>
      <c r="JV13" t="n">
        <v>90</v>
      </c>
      <c r="KF13" t="n">
        <v>70</v>
      </c>
      <c r="KH13" t="inlineStr">
        <is>
          <t>4;6;7</t>
        </is>
      </c>
      <c r="KI13" t="n">
        <v>1</v>
      </c>
      <c r="KJ13" t="inlineStr">
        <is>
          <t>mothership_cannon</t>
        </is>
      </c>
      <c r="KK13" t="n">
        <v>1</v>
      </c>
      <c r="KM13" t="inlineStr">
        <is>
          <t>Assets/MachineBrigade/Resources/Data/balance.json: vehicles[142]</t>
        </is>
      </c>
      <c r="KN13" t="inlineStr">
        <is>
          <t>{"id":"drone_mothership","paint":"#4a5058","paintFinish":[0.35,0.45],"wake":{"phase":1,"mounts":[4,6,7]},"mountWeapons":{"0":"p26_matriarch_tiny_mothership_cannon","1":"p26_matriarch_ma_drones","2":"p26_matriarch_close_boss_flak","3":"p26_matriarch_close_boss_flak","4":"p26_matriarch_tiny_mothership_cannon","5":"p26_matriarch_direct_ma_atgm","6":"p26_matriarch_sec_autocannon_30","7":"p26_matriarch_sec_autocannon_30","8":"p26_matriarch_direct_ma_atgm"},"frame":"aircraft","rank":"main","general":"sen","size":1.6903,"radioSpawn":"radio.sen.matriarch","scale":1.15,"boss":true,"bigAttack":"carrier_heavy_bomb","armour":2,"hp":77823,"weaponDamage":1,"speed":3.5,"turnRate":20,"turretTurnRate":90,"radius":9,"cp":0,"vision":70,"firesWhileMoving":true,"weapon":"mothership_cannon","flying":true,"altitude":26,"captureRate":0,"skills":["mothership_launch","boss_flares","mothership_shield"],"secondary":[{"weapon":"mothership_drones","slot":"missile","aim":"Free"},{"weapon":"boss_flak","slot":"mg","aim":"Free"},{"weapon":"boss_flak","slot":"mg","aim":"Free"},{"weapon":"mothership_cannon","slot":"main","aim":"Free"},{"weapon":"mothership_drones","slot":"missile","aim":"Free"}],"parts":[{"id":"cannon_bow","kind":"maingun","hp":0.06,"armour":2,"node":"Turret","wreck":"wreck_turret","at":[0,10.8,-3.6],"radius":2.0,"mounts":[0],"radio":"radio.part.maingun"},{"id":"cannon_gondola","kind":"gun","hp":0.06,"armour":2,"node":"Mount_main.001","wreck":"wreck_turret","at":[0,2.2,-5.4],"radius":2.0,"mounts":[4]},{"id":"drone_bay","kind":"bay","hp":0.06,"armour":2,"wreck":"wreck_stump","at":[0,-2.3,-4.6],"radius":3.0,"mounts":[1],"radio":"radio.part.bay"},{"id":"uav_bay","mounts":[5],"kind":"uav","hp":0.06,"armour":1,"wreck":"wreck_stump","at":[0,-8.5,-3.5],"radius":2.5,"skills":["mothership_launch"]},{"id":"flak_top","kind":"flak","hp":0.06,"armour":2,"node":"Mount_mg","wreck":"wreck_turret","at":[0,4.8,4.1],"radius":1.8,"mounts":[2]},{"id":"flak_rear","kind":"flak","hp":0.06,"armour":2,"node":"Mount_mg.001","wreck":"wreck_turret","at":[0,-3.4,3.9],"radius":1.8,"mounts":[3]},{"id":"shield","kind":"shield","hp":0.06,"armour":2,"wreck":"wreck_stump","at":[0,-2.35,5.2],"radius":2.5,"skills":["mothership_shield"],"radio":"radio.part.shield"},{"id":"bomb_bay","kind":"bombbay","hp":0.06,"armour":2,"wreck":"wreck_stump","at":[0,5.5,-4.8],"radius":2.8,"radio":"radio.part.bombbay"},{"use":"gun_30","id":"belly_gun_l","node":"Mount_gun","at":[-2.2,6.0,-5.8]},{"use":"gun_30","id":"belly_gun_r","node":"Mount_gun.001","at":[2.2,6.0,-5.8]},{"use":"drone_bay","id":"drone_bay_2","node":"Mount_missile.001","at":[0,-6.0,-4.4]}],"deathExplosion":{"damage":300,"radius":14,"delay":2.6,"tier":"Ultimate"}}</t>
        </is>
      </c>
    </row>
    <row r="14">
      <c r="A14" t="inlineStr">
        <is>
          <t>earth_borer</t>
        </is>
      </c>
      <c r="B14" t="inlineStr">
        <is>
          <t>mini</t>
        </is>
      </c>
      <c r="C14" t="inlineStr">
        <is>
          <t>Tartarus · Tunnelling Machine</t>
        </is>
      </c>
      <c r="D14" t="inlineStr">
        <is>
          <t>Tartarus · Máy khoan</t>
        </is>
      </c>
      <c r="E14" t="inlineStr">
        <is>
          <t>Tartarus</t>
        </is>
      </c>
      <c r="F14" t="inlineStr"/>
      <c r="G14" t="inlineStr"/>
      <c r="H14" t="inlineStr"/>
      <c r="I14" t="n">
        <v>0</v>
      </c>
      <c r="J14" t="n">
        <v>72000</v>
      </c>
      <c r="K14" t="n">
        <v>61200</v>
      </c>
      <c r="L14" t="n">
        <v>4</v>
      </c>
      <c r="M14" t="n">
        <v>3</v>
      </c>
      <c r="N14" t="n">
        <v>2</v>
      </c>
      <c r="O14" t="n">
        <v>2</v>
      </c>
      <c r="P14" t="b">
        <v>0</v>
      </c>
      <c r="Q14" t="n">
        <v>3.2</v>
      </c>
      <c r="R14" t="n">
        <v>22</v>
      </c>
      <c r="S14" t="n">
        <v>40</v>
      </c>
      <c r="T14" t="n">
        <v>55</v>
      </c>
      <c r="U14" t="n">
        <v>6</v>
      </c>
      <c r="V14" t="n">
        <v>23.5</v>
      </c>
      <c r="W14" t="n">
        <v>5.8</v>
      </c>
      <c r="X14" t="b">
        <v>0</v>
      </c>
      <c r="Y14" t="n">
        <v>0</v>
      </c>
      <c r="Z14" t="b">
        <v>0</v>
      </c>
      <c r="AA14" t="b">
        <v>1</v>
      </c>
      <c r="AB14" t="n">
        <v>0</v>
      </c>
      <c r="AC14" t="n">
        <v>3.5</v>
      </c>
      <c r="AD14" t="n">
        <v>1.0854</v>
      </c>
      <c r="AE14" t="inlineStr">
        <is>
          <t>borer_drill</t>
        </is>
      </c>
      <c r="AF14" t="inlineStr">
        <is>
          <t>borer_cannon;borer_cannon</t>
        </is>
      </c>
      <c r="AG14" t="inlineStr">
        <is>
          <t>boss_rage</t>
        </is>
      </c>
      <c r="AH14" t="inlineStr">
        <is>
          <t>none</t>
        </is>
      </c>
      <c r="AI14" t="inlineStr"/>
      <c r="AJ14" t="inlineStr"/>
      <c r="AK14" t="inlineStr">
        <is>
          <t>earth_borer</t>
        </is>
      </c>
      <c r="AL14" t="inlineStr">
        <is>
          <t>doi</t>
        </is>
      </c>
      <c r="BG14" t="n">
        <v>1</v>
      </c>
      <c r="BH14" t="n">
        <v>1.0854</v>
      </c>
      <c r="BI14" t="inlineStr">
        <is>
          <t>tracked</t>
        </is>
      </c>
      <c r="BJ14" t="inlineStr">
        <is>
          <t>tracked</t>
        </is>
      </c>
      <c r="BK14" t="inlineStr">
        <is>
          <t>hung</t>
        </is>
      </c>
      <c r="BL14" t="inlineStr"/>
      <c r="BM14" t="n">
        <v>3</v>
      </c>
      <c r="BN14" t="n">
        <v>3</v>
      </c>
      <c r="BO14" t="inlineStr"/>
      <c r="BP14" t="inlineStr"/>
      <c r="BQ14" t="inlineStr"/>
      <c r="BR14" t="b">
        <v>1</v>
      </c>
      <c r="BS14" t="inlineStr">
        <is>
          <t>8</t>
        </is>
      </c>
      <c r="BT14" t="inlineStr">
        <is>
          <t>c8m05</t>
        </is>
      </c>
      <c r="BU14" t="inlineStr">
        <is>
          <t>tuan:66;day_du:60</t>
        </is>
      </c>
      <c r="BY14" t="n">
        <v>4</v>
      </c>
      <c r="CH14" t="b">
        <v>1</v>
      </c>
      <c r="CI14" t="n">
        <v>350</v>
      </c>
      <c r="CJ14" t="n">
        <v>2</v>
      </c>
      <c r="CK14" t="n">
        <v>6</v>
      </c>
      <c r="CL14" t="n">
        <v>1.5</v>
      </c>
      <c r="CM14" t="n">
        <v>14</v>
      </c>
      <c r="CN14" t="n">
        <v>6</v>
      </c>
      <c r="CO14" t="n">
        <v>14</v>
      </c>
      <c r="CQ14" t="n">
        <v>3</v>
      </c>
      <c r="CR14" t="n">
        <v>22</v>
      </c>
      <c r="CV14" t="n">
        <v>2</v>
      </c>
      <c r="CW14" t="n">
        <v>0</v>
      </c>
      <c r="CX14" t="n">
        <v>0</v>
      </c>
      <c r="DV14" t="n">
        <v>420</v>
      </c>
      <c r="DW14" t="n">
        <v>2.6</v>
      </c>
      <c r="DX14" t="n">
        <v>18</v>
      </c>
      <c r="DY14" t="inlineStr">
        <is>
          <t>Ultimate</t>
        </is>
      </c>
      <c r="EN14" t="b">
        <v>1</v>
      </c>
      <c r="EP14" t="inlineStr">
        <is>
          <t>tracked</t>
        </is>
      </c>
      <c r="EQ14" t="inlineStr">
        <is>
          <t>hung</t>
        </is>
      </c>
      <c r="EY14" t="n">
        <v>72000</v>
      </c>
      <c r="FH14" t="n">
        <v>23.5</v>
      </c>
      <c r="FJ14" t="inlineStr">
        <is>
          <t>Hull</t>
        </is>
      </c>
      <c r="GN14" t="n">
        <v>1.0854</v>
      </c>
      <c r="GO14" t="inlineStr">
        <is>
          <t>#b08a3a</t>
        </is>
      </c>
      <c r="GP14" t="inlineStr">
        <is>
          <t>0.3;0.55</t>
        </is>
      </c>
      <c r="HL14" t="inlineStr">
        <is>
          <t>radio.hung.borer</t>
        </is>
      </c>
      <c r="HM14" t="n">
        <v>6</v>
      </c>
      <c r="HN14" t="inlineStr">
        <is>
          <t>mini</t>
        </is>
      </c>
      <c r="IC14" t="n">
        <v>1</v>
      </c>
      <c r="IG14" t="n">
        <v>0.85</v>
      </c>
      <c r="IH14" t="inlineStr">
        <is>
          <t>boss_rage</t>
        </is>
      </c>
      <c r="II14" t="n">
        <v>3.2</v>
      </c>
      <c r="JU14" t="n">
        <v>22</v>
      </c>
      <c r="JV14" t="n">
        <v>40</v>
      </c>
      <c r="KF14" t="n">
        <v>55</v>
      </c>
      <c r="KJ14" t="inlineStr">
        <is>
          <t>borer_drill</t>
        </is>
      </c>
      <c r="KK14" t="n">
        <v>2.874</v>
      </c>
      <c r="KL14" t="n">
        <v>5.8</v>
      </c>
      <c r="KM14" t="inlineStr">
        <is>
          <t>Assets/MachineBrigade/Resources/Data/balance.json: vehicles[150]</t>
        </is>
      </c>
      <c r="KN14" t="inlineStr">
        <is>
          <t>{"id":"earth_borer","paint":"#b08a3a","paintFinish":[0.3,0.55],"outgoingDamageMult":1.0854,"frame":"tracked","rank":"mini","size":0.85,"boss":true,"general":"hung","radioSpawn":"radio.hung.borer","armour":4,"hp":72000,"weaponDamage":2.874,"speed":3.2,"turnRate":22,"turretTurnRate":40,"radius":6,"length":23.5,"width":5.8,"scale":1.0,"cp":0,"vision":55,"captureRate":0,"firesWhileMoving":true,"weapon":"borer_drill","mainAim":"Hull","secondary":[{"weapon":"borer_cannon","slot":"gun","aim":"Free"},{"weapon":"borer_cannon","slot":"gun","aim":"Free"}],"burrow":{"surface":22,"dive":2,"speed":14,"warn":2,"radius":6,"stun":3,"damage":350,"exposed":6,"exposedTaken":1.5,"first":14},"skills":["boss_rage"],"phases":[{"at":0.45,"transform":2.5,"speed":1.15,"radio":"radio.hung.borer.half"}],"parts":[{"id":"drill","kind":"drill","hp":0.14,"armour":4,"node":"Part_drill","wreck":"wreck_stump","at":[0,6.8,3.3],"radius":3.0,"mounts":[0],"stops":["burrow"],"radio":"radio.part.drill"},{"id":"gun_l","kind":"gun","hp":0.1,"armour":3,"node":"Part_gun","wreck":"wreck_turret","at":[-1.3,0.2,5.6],"radius":1.8,"mounts":[1]},{"id":"gun_r","kind":"gun","hp":0.1,"armour":3,"node":"Part_gun.001","wreck":"wreck_turret","at":[1.3,-3.2,5.6],"radius":1.8,"mounts":[2]},{"id":"engine","kind":"engine","hp":0.1,"armour":3,"node":"Part_engine","wreck":"wreck_engine","at":[0,-7.3,4.9],"radius":2.5,"speed":0.7}],"deathExplosion":{"damage":420,"radius":18,"delay":2.6,"tier":"Ultimate"}}</t>
        </is>
      </c>
    </row>
    <row r="15">
      <c r="A15" t="inlineStr">
        <is>
          <t>fenrir</t>
        </is>
      </c>
      <c r="B15" t="inlineStr">
        <is>
          <t>mini</t>
        </is>
      </c>
      <c r="C15" t="inlineStr">
        <is>
          <t>Fenrir · Vanguard</t>
        </is>
      </c>
      <c r="D15" t="inlineStr">
        <is>
          <t>Fenrir · Xe tiên phong</t>
        </is>
      </c>
      <c r="E15" t="inlineStr">
        <is>
          <t>Fenrir</t>
        </is>
      </c>
      <c r="F15" t="inlineStr"/>
      <c r="G15" t="inlineStr"/>
      <c r="H15" t="inlineStr"/>
      <c r="I15" t="n">
        <v>0</v>
      </c>
      <c r="J15" t="n">
        <v>29950</v>
      </c>
      <c r="K15" t="n">
        <v>25457.5</v>
      </c>
      <c r="L15" t="n">
        <v>4</v>
      </c>
      <c r="M15" t="n">
        <v>4</v>
      </c>
      <c r="N15" t="n">
        <v>3</v>
      </c>
      <c r="O15" t="n">
        <v>2</v>
      </c>
      <c r="P15" t="b">
        <v>0</v>
      </c>
      <c r="Q15" t="n">
        <v>4.4</v>
      </c>
      <c r="R15" t="n">
        <v>34</v>
      </c>
      <c r="S15" t="n">
        <v>25</v>
      </c>
      <c r="T15" t="n">
        <v>60</v>
      </c>
      <c r="U15" t="n">
        <v>7.5</v>
      </c>
      <c r="V15" t="n">
        <v>19.308</v>
      </c>
      <c r="W15" t="n">
        <v>10.92</v>
      </c>
      <c r="X15" t="b">
        <v>0</v>
      </c>
      <c r="Y15" t="n">
        <v>0</v>
      </c>
      <c r="Z15" t="b">
        <v>0</v>
      </c>
      <c r="AA15" t="b">
        <v>1</v>
      </c>
      <c r="AB15" t="n">
        <v>0</v>
      </c>
      <c r="AC15" t="n">
        <v>3.5</v>
      </c>
      <c r="AD15" t="n">
        <v>0.9508</v>
      </c>
      <c r="AE15" t="inlineStr">
        <is>
          <t>p26_jotunn_sec_jo_rockets</t>
        </is>
      </c>
      <c r="AF15" t="inlineStr">
        <is>
          <t>p26_jotunn_sec_jo_rockets;p26_jotunn_close_boss_flak</t>
        </is>
      </c>
      <c r="AG15" t="inlineStr">
        <is>
          <t>fortress_barrage;boss_emp</t>
        </is>
      </c>
      <c r="AH15" t="inlineStr">
        <is>
          <t>none</t>
        </is>
      </c>
      <c r="AI15" t="inlineStr"/>
      <c r="AJ15" t="inlineStr"/>
      <c r="AK15" t="inlineStr">
        <is>
          <t>fenrir</t>
        </is>
      </c>
      <c r="AL15" t="inlineStr">
        <is>
          <t>doi</t>
        </is>
      </c>
      <c r="BG15" t="n">
        <v>1</v>
      </c>
      <c r="BH15" t="n">
        <v>0.9508</v>
      </c>
      <c r="BI15" t="inlineStr">
        <is>
          <t>tracked</t>
        </is>
      </c>
      <c r="BJ15" t="inlineStr">
        <is>
          <t>tracked</t>
        </is>
      </c>
      <c r="BK15" t="inlineStr">
        <is>
          <t>orlov</t>
        </is>
      </c>
      <c r="BL15" t="inlineStr">
        <is>
          <t>mobile_fortress</t>
        </is>
      </c>
      <c r="BM15" t="n">
        <v>3</v>
      </c>
      <c r="BN15" t="n">
        <v>3</v>
      </c>
      <c r="BO15" t="inlineStr"/>
      <c r="BP15" t="inlineStr"/>
      <c r="BQ15" t="inlineStr"/>
      <c r="BR15" t="b">
        <v>0</v>
      </c>
      <c r="BS15" t="inlineStr">
        <is>
          <t>3</t>
        </is>
      </c>
      <c r="BT15" t="inlineStr">
        <is>
          <t>c3s2</t>
        </is>
      </c>
      <c r="BU15" t="inlineStr">
        <is>
          <t>tuan:66;day_du:60</t>
        </is>
      </c>
      <c r="BZ15" t="n">
        <v>4</v>
      </c>
      <c r="CA15" t="n">
        <v>3</v>
      </c>
      <c r="CB15" t="n">
        <v>4</v>
      </c>
      <c r="CC15" t="n">
        <v>2</v>
      </c>
      <c r="EQ15" t="inlineStr">
        <is>
          <t>orlov</t>
        </is>
      </c>
      <c r="EY15" t="n">
        <v>29950</v>
      </c>
      <c r="FU15" t="inlineStr">
        <is>
          <t>fenrir</t>
        </is>
      </c>
      <c r="GO15" t="inlineStr">
        <is>
          <t>#5c6670</t>
        </is>
      </c>
      <c r="GP15" t="inlineStr">
        <is>
          <t>0.35;0.5</t>
        </is>
      </c>
      <c r="HL15" t="inlineStr">
        <is>
          <t>radio.orlov.fenrir</t>
        </is>
      </c>
      <c r="ID15" t="n">
        <v>35</v>
      </c>
      <c r="IE15" t="n">
        <v>25</v>
      </c>
      <c r="IF15" t="n">
        <v>6</v>
      </c>
      <c r="II15" t="n">
        <v>4.4</v>
      </c>
      <c r="JU15" t="n">
        <v>34</v>
      </c>
      <c r="JX15" t="inlineStr">
        <is>
          <t>rockets_l;rockets_r;flak_l</t>
        </is>
      </c>
      <c r="JY15" t="inlineStr">
        <is>
          <t>frost</t>
        </is>
      </c>
      <c r="KA15" t="inlineStr">
        <is>
          <t>mobile_fortress</t>
        </is>
      </c>
      <c r="KB15" t="n">
        <v>0.5051</v>
      </c>
      <c r="KC15" t="n">
        <v>1.06</v>
      </c>
      <c r="KD15" t="n">
        <v>0.9399999999999999</v>
      </c>
      <c r="KE15" t="n">
        <v>0.86</v>
      </c>
      <c r="KK15" t="n">
        <v>2.222</v>
      </c>
      <c r="KM15" t="inlineStr">
        <is>
          <t>Assets/MachineBrigade/Resources/Data/balance.json: vehicles[164]</t>
        </is>
      </c>
      <c r="KN15" t="inlineStr">
        <is>
          <t>{"id":"fenrir","paint":"#5c6670","paintFinish":[0.35,0.5],"guard":null,"wake":null,"armour":[4,4,3,2],"variantOf":"mobile_fortress","model":"fenrir","hp":29950,"weaponDamage":2.222,"general":"orlov","radioSpawn":"radio.orlov.fenrir","speed":4.4,"turnRate":34,"scoot":{"shots":6,"min":25,"max":35},"variant":{"size":0.5051,"keep":["rockets_l","rockets_r","flak_l"],"tint":[0.86,0.94,1.06],"mark":"frost","tune":{"rockets_l":{"hp":0.13,"at":[-2.02,-6.3,5.63]},"rockets_r":{"hp":0.13,"at":[2.02,-6.3,5.63]},"flak_l":{"hp":0.1,"at":[0,4.23,5.47]}}}}</t>
        </is>
      </c>
    </row>
    <row r="16">
      <c r="A16" t="inlineStr">
        <is>
          <t>fortress_bastion</t>
        </is>
      </c>
      <c r="B16" t="inlineStr">
        <is>
          <t>main</t>
        </is>
      </c>
      <c r="C16" t="inlineStr">
        <is>
          <t>Bastion · Fortress</t>
        </is>
      </c>
      <c r="D16" t="inlineStr">
        <is>
          <t>Bastion · Pháo đài</t>
        </is>
      </c>
      <c r="E16" t="inlineStr">
        <is>
          <t>Bastion</t>
        </is>
      </c>
      <c r="F16" t="inlineStr"/>
      <c r="G16" t="inlineStr"/>
      <c r="H16" t="inlineStr"/>
      <c r="I16" t="n">
        <v>0</v>
      </c>
      <c r="J16" t="n">
        <v>25900</v>
      </c>
      <c r="K16" t="n">
        <v>22015</v>
      </c>
      <c r="L16" t="n">
        <v>5</v>
      </c>
      <c r="M16" t="n">
        <v>3</v>
      </c>
      <c r="N16" t="n">
        <v>2</v>
      </c>
      <c r="O16" t="n">
        <v>3</v>
      </c>
      <c r="P16" t="b">
        <v>0</v>
      </c>
      <c r="Q16" t="n">
        <v>1.5</v>
      </c>
      <c r="R16" t="n">
        <v>18</v>
      </c>
      <c r="S16" t="n">
        <v>22</v>
      </c>
      <c r="T16" t="n">
        <v>64</v>
      </c>
      <c r="U16" t="n">
        <v>7.5</v>
      </c>
      <c r="V16" t="n">
        <v>19.884</v>
      </c>
      <c r="W16" t="n">
        <v>10.92</v>
      </c>
      <c r="X16" t="b">
        <v>0</v>
      </c>
      <c r="Y16" t="n">
        <v>0</v>
      </c>
      <c r="Z16" t="b">
        <v>0</v>
      </c>
      <c r="AA16" t="b">
        <v>1</v>
      </c>
      <c r="AB16" t="n">
        <v>0</v>
      </c>
      <c r="AC16" t="n">
        <v>3.5</v>
      </c>
      <c r="AD16" t="n">
        <v>1</v>
      </c>
      <c r="AE16" t="inlineStr">
        <is>
          <t>p26_bastion_sec_b240</t>
        </is>
      </c>
      <c r="AF16" t="inlineStr">
        <is>
          <t>p26_bastion_direct_b100;p26_bastion_direct_b100;p26_bastion_tiny_autocannon_40;p26_bastion_tiny_autocannon_40;p26_bastion_tiny_kornet_twin;p26_bastion_close_boss_hmg;p26_bastion_close_boss_hmg;p26_bastion_main_b155;p26_bastion_tiny_zu23;p26_bastion_tiny_zu23</t>
        </is>
      </c>
      <c r="AG16" t="inlineStr">
        <is>
          <t>train_patch;boss_bulwark;fortress_barrage</t>
        </is>
      </c>
      <c r="AH16" t="inlineStr">
        <is>
          <t>none</t>
        </is>
      </c>
      <c r="AI16" t="inlineStr"/>
      <c r="AJ16" t="inlineStr"/>
      <c r="AK16" t="inlineStr">
        <is>
          <t>fortress_bastion</t>
        </is>
      </c>
      <c r="AL16" t="inlineStr">
        <is>
          <t>giong</t>
        </is>
      </c>
      <c r="BI16" t="inlineStr">
        <is>
          <t>tracked</t>
        </is>
      </c>
      <c r="BJ16" t="inlineStr">
        <is>
          <t>tracked</t>
        </is>
      </c>
      <c r="BK16" t="inlineStr">
        <is>
          <t>brandt</t>
        </is>
      </c>
      <c r="BL16" t="inlineStr"/>
      <c r="BM16" t="n">
        <v>11</v>
      </c>
      <c r="BN16" t="n">
        <v>15</v>
      </c>
      <c r="BO16" t="inlineStr">
        <is>
          <t>bastion_420_shell</t>
        </is>
      </c>
      <c r="BP16" t="n">
        <v>45</v>
      </c>
      <c r="BQ16" t="inlineStr">
        <is>
          <t>group</t>
        </is>
      </c>
      <c r="BR16" t="b">
        <v>1</v>
      </c>
      <c r="BS16" t="inlineStr">
        <is>
          <t>1</t>
        </is>
      </c>
      <c r="BT16" t="inlineStr"/>
      <c r="BU16" t="inlineStr">
        <is>
          <t>tuan:168;day_du:150</t>
        </is>
      </c>
      <c r="BZ16" t="n">
        <v>5</v>
      </c>
      <c r="CA16" t="n">
        <v>2</v>
      </c>
      <c r="CB16" t="n">
        <v>3</v>
      </c>
      <c r="CC16" t="n">
        <v>3</v>
      </c>
      <c r="CD16" t="inlineStr">
        <is>
          <t>bastion_420_shell</t>
        </is>
      </c>
      <c r="CH16" t="b">
        <v>1</v>
      </c>
      <c r="CW16" t="n">
        <v>0</v>
      </c>
      <c r="CX16" t="n">
        <v>0</v>
      </c>
      <c r="DV16" t="n">
        <v>500</v>
      </c>
      <c r="DW16" t="n">
        <v>2.6</v>
      </c>
      <c r="DX16" t="n">
        <v>21</v>
      </c>
      <c r="DY16" t="inlineStr">
        <is>
          <t>Ultimate</t>
        </is>
      </c>
      <c r="EN16" t="b">
        <v>1</v>
      </c>
      <c r="EP16" t="inlineStr">
        <is>
          <t>tracked</t>
        </is>
      </c>
      <c r="EQ16" t="inlineStr">
        <is>
          <t>brandt</t>
        </is>
      </c>
      <c r="ES16" t="n">
        <v>4</v>
      </c>
      <c r="ET16" t="n">
        <v>150</v>
      </c>
      <c r="EU16" t="n">
        <v>5</v>
      </c>
      <c r="EV16" t="n">
        <v>6</v>
      </c>
      <c r="EW16" t="n">
        <v>15</v>
      </c>
      <c r="EY16" t="n">
        <v>25900</v>
      </c>
      <c r="FH16" t="n">
        <v>16.57</v>
      </c>
      <c r="FY16" t="inlineStr">
        <is>
          <t>p26_bastion_sec_b240</t>
        </is>
      </c>
      <c r="FZ16" t="inlineStr">
        <is>
          <t>p26_bastion_direct_b100</t>
        </is>
      </c>
      <c r="GA16" t="inlineStr">
        <is>
          <t>p26_bastion_tiny_zu23</t>
        </is>
      </c>
      <c r="GB16" t="inlineStr">
        <is>
          <t>p26_bastion_direct_b100</t>
        </is>
      </c>
      <c r="GC16" t="inlineStr">
        <is>
          <t>p26_bastion_tiny_autocannon_40</t>
        </is>
      </c>
      <c r="GD16" t="inlineStr">
        <is>
          <t>p26_bastion_tiny_autocannon_40</t>
        </is>
      </c>
      <c r="GE16" t="inlineStr">
        <is>
          <t>p26_bastion_tiny_kornet_twin</t>
        </is>
      </c>
      <c r="GF16" t="inlineStr">
        <is>
          <t>p26_bastion_close_boss_hmg</t>
        </is>
      </c>
      <c r="GG16" t="inlineStr">
        <is>
          <t>p26_bastion_close_boss_hmg</t>
        </is>
      </c>
      <c r="GH16" t="inlineStr">
        <is>
          <t>p26_bastion_main_b155</t>
        </is>
      </c>
      <c r="GI16" t="inlineStr">
        <is>
          <t>p26_bastion_tiny_zu23</t>
        </is>
      </c>
      <c r="GO16" t="inlineStr">
        <is>
          <t>#6e6a5e</t>
        </is>
      </c>
      <c r="GP16" t="inlineStr">
        <is>
          <t>0.25;0.6</t>
        </is>
      </c>
      <c r="HL16" t="inlineStr">
        <is>
          <t>radio.brandt.bastion</t>
        </is>
      </c>
      <c r="HM16" t="n">
        <v>7.5</v>
      </c>
      <c r="HN16" t="inlineStr">
        <is>
          <t>main</t>
        </is>
      </c>
      <c r="IC16" t="n">
        <v>1.2</v>
      </c>
      <c r="IG16" t="n">
        <v>1.51</v>
      </c>
      <c r="IH16" t="inlineStr">
        <is>
          <t>train_patch;boss_bulwark;fortress_barrage</t>
        </is>
      </c>
      <c r="II16" t="n">
        <v>1.5</v>
      </c>
      <c r="JU16" t="n">
        <v>18</v>
      </c>
      <c r="JV16" t="n">
        <v>22</v>
      </c>
      <c r="KF16" t="n">
        <v>64</v>
      </c>
      <c r="KJ16" t="inlineStr">
        <is>
          <t>boss_mortar</t>
        </is>
      </c>
      <c r="KK16" t="n">
        <v>1</v>
      </c>
      <c r="KL16" t="n">
        <v>9.1</v>
      </c>
      <c r="KM16" t="inlineStr">
        <is>
          <t>Assets/MachineBrigade/Resources/Data/balance.json: vehicles[148]</t>
        </is>
      </c>
      <c r="KN16" t="inlineStr">
        <is>
          <t>{"id":"fortress_bastion","paint":"#6e6a5e","paintFinish":[0.25,0.6],"guard":{"radius":15,"count":4,"every":5,"damage":150,"pad":6},"mountWeapons":{"0":"p26_bastion_sec_b240","1":"p26_bastion_direct_b100","2":"p26_bastion_direct_b100","3":"p26_bastion_tiny_autocannon_40","4":"p26_bastion_tiny_autocannon_40","5":"p26_bastion_tiny_kornet_twin","6":"p26_bastion_close_boss_hmg","7":"p26_bastion_close_boss_hmg","8":"p26_bastion_main_b155","9":"p26_bastion_tiny_zu23","10":"p26_bastion_tiny_zu23"},"frame":"tracked","rank":"main","general":"brandt","size":1.51,"radioSpawn":"radio.brandt.bastion","scale":1.2,"armour":[5,3,2,3],"hp":25900,"weaponDamage":1,"speed":1.5,"turnRate":18,"turretTurnRate":22,"radius":7.5,"length":16.57,"width":9.1,"cp":0,"vision":64,"firesWhileMoving":true,"weapon":"boss_mortar","captureRate":0,"boss":true,"bigAttack":"bastion_420_shell","skills":["train_patch","boss_bulwark","fortress_barrage"],"secondary":[{"weapon":"autocannon_40","slot":"gun","aim":"Free","arc":[-45,80]},{"weapon":"autocannon_40","slot":"gun","aim":"Free","arc":[45,80]},{"weapon":"autocannon_40","slot":"gun","aim":"Free","arc":[-135,80]},{"weapon":"autocannon_40","slot":"gun","aim":"Free","arc":[135,80]},{"weapon":"kornet_twin","slot":"missile","aim":"Free"},{"weapon":"boss_hmg","slot":"mg","aim":"Free"},{"weapon":"boss_hmg","slot":"mg","aim":"Free"}],"parts":[{"id":"mortar","kind":"mortar","hp":0.1,"armour":3,"node":"Main_cannon*","wreck":"wreck_barrel","at":[0,-0.5,7.5],"radius":2.8,"mounts":[0],"skills":["fortress_barrage"],"radio":"radio.part.maingun"},{"id":"turret_fl","kind":"turret","hp":0.07,"armour":3,"node":"Mount_gun","wreck":"wreck_turret","at":[-4.1,4.35,3.3],"radius":1.8,"mounts":[1]},{"id":"turret_fr","kind":"turret","hp":0.07,"armour":3,"node":"Mount_gun.001","wreck":"wreck_turret","at":[4.1,4.35,3.3],"radius":1.8,"mounts":[2]},{"id":"turret_rl","kind":"turret","hp":0.07,"armour":3,"node":"Mount_gun.002","wreck":"wreck_turret","at":[-4.1,-4.25,3.3],"radius":1.8,"mounts":[3,6]},{"id":"turret_rr","kind":"turret","hp":0.07,"armour":3,"node":"Mount_gun.003","wreck":"wreck_turret","at":[4.1,-4.25,3.3],"radius":1.8,"mounts":[4,7]},{"id":"kornet","kind":"missiles","hp":0.07,"armour":2,"node":"Part_missile","wreck":"wreck_launcher","at":[-1.42,-2.75,6.4],"radius":1.8,"mounts":[5]},{"use":"casemate_155","id":"casemate","node":"Mount_gun.004","at":[0,8.7,3.2]},{"use":"zu23","id":"zu23_l","node":"Mount_mg","at":[-3.42,-1.25,5.4]},{"use":"zu23","id":"zu23_r","node":"Mount_mg.001","at":[3.42,-1.25,5.4]}],"deathExplosion":{"damage":500,"radius":21,"delay":2.6,"tier":"Ultimate"}}</t>
        </is>
      </c>
    </row>
    <row r="17">
      <c r="A17" t="inlineStr">
        <is>
          <t>hydra</t>
        </is>
      </c>
      <c r="B17" t="inlineStr">
        <is>
          <t>mini</t>
        </is>
      </c>
      <c r="C17" t="inlineStr">
        <is>
          <t>Hydra · Attack Submarine</t>
        </is>
      </c>
      <c r="D17" t="inlineStr">
        <is>
          <t>Hydra · Tàu ngầm tấn công</t>
        </is>
      </c>
      <c r="E17" t="inlineStr">
        <is>
          <t>Hydra</t>
        </is>
      </c>
      <c r="F17" t="inlineStr"/>
      <c r="G17" t="inlineStr"/>
      <c r="H17" t="inlineStr"/>
      <c r="I17" t="n">
        <v>0</v>
      </c>
      <c r="J17" t="n">
        <v>81300</v>
      </c>
      <c r="K17" t="n">
        <v>69105</v>
      </c>
      <c r="L17" t="n">
        <v>4</v>
      </c>
      <c r="M17" t="n">
        <v>3</v>
      </c>
      <c r="N17" t="n">
        <v>2</v>
      </c>
      <c r="O17" t="n">
        <v>2</v>
      </c>
      <c r="P17" t="b">
        <v>0</v>
      </c>
      <c r="Q17" t="n">
        <v>4.5</v>
      </c>
      <c r="R17" t="n">
        <v>8</v>
      </c>
      <c r="S17" t="n">
        <v>40</v>
      </c>
      <c r="T17" t="n">
        <v>110</v>
      </c>
      <c r="U17" t="n">
        <v>11</v>
      </c>
      <c r="V17" t="n">
        <v>58</v>
      </c>
      <c r="W17" t="n">
        <v>12</v>
      </c>
      <c r="X17" t="b">
        <v>0</v>
      </c>
      <c r="Y17" t="n">
        <v>0</v>
      </c>
      <c r="Z17" t="b">
        <v>0</v>
      </c>
      <c r="AA17" t="b">
        <v>1</v>
      </c>
      <c r="AB17" t="n">
        <v>1</v>
      </c>
      <c r="AC17" t="n">
        <v>3.5</v>
      </c>
      <c r="AD17" t="n">
        <v>1</v>
      </c>
      <c r="AE17" t="inlineStr">
        <is>
          <t>p26_typhon_sec_ty57</t>
        </is>
      </c>
      <c r="AF17" t="inlineStr">
        <is>
          <t>p26_typhon_sec_ty57;p26_typhon_direct_ty100</t>
        </is>
      </c>
      <c r="AG17" t="inlineStr"/>
      <c r="AH17" t="inlineStr">
        <is>
          <t>none</t>
        </is>
      </c>
      <c r="AI17" t="inlineStr"/>
      <c r="AJ17" t="inlineStr"/>
      <c r="AK17" t="inlineStr">
        <is>
          <t>hydra_sub</t>
        </is>
      </c>
      <c r="AL17" t="inlineStr">
        <is>
          <t>giong</t>
        </is>
      </c>
      <c r="BI17" t="inlineStr">
        <is>
          <t>submarine</t>
        </is>
      </c>
      <c r="BJ17" t="inlineStr">
        <is>
          <t>submarine</t>
        </is>
      </c>
      <c r="BK17" t="inlineStr">
        <is>
          <t>hung</t>
        </is>
      </c>
      <c r="BL17" t="inlineStr">
        <is>
          <t>typhon</t>
        </is>
      </c>
      <c r="BM17" t="n">
        <v>3</v>
      </c>
      <c r="BN17" t="n">
        <v>5</v>
      </c>
      <c r="BO17" t="inlineStr"/>
      <c r="BP17" t="inlineStr"/>
      <c r="BQ17" t="inlineStr"/>
      <c r="BR17" t="b">
        <v>0</v>
      </c>
      <c r="BS17" t="inlineStr"/>
      <c r="BT17" t="inlineStr"/>
      <c r="BU17" t="inlineStr">
        <is>
          <t>tuan:66;day_du:60</t>
        </is>
      </c>
      <c r="BZ17" t="n">
        <v>4</v>
      </c>
      <c r="CA17" t="n">
        <v>2</v>
      </c>
      <c r="CB17" t="n">
        <v>3</v>
      </c>
      <c r="CC17" t="n">
        <v>2</v>
      </c>
      <c r="CM17" t="n">
        <v>12</v>
      </c>
      <c r="CR17" t="n">
        <v>16</v>
      </c>
      <c r="CS17" t="inlineStr">
        <is>
          <t>16;14</t>
        </is>
      </c>
      <c r="CT17" t="n">
        <v>10</v>
      </c>
      <c r="CU17" t="inlineStr">
        <is>
          <t>10;12</t>
        </is>
      </c>
      <c r="DG17" t="n">
        <v>240</v>
      </c>
      <c r="DH17" t="n">
        <v>16</v>
      </c>
      <c r="DM17" t="n">
        <v>6.5</v>
      </c>
      <c r="DO17" t="inlineStr">
        <is>
          <t>kalibr_cruise_mark</t>
        </is>
      </c>
      <c r="DP17" t="inlineStr">
        <is>
          <t>hydra_club_s</t>
        </is>
      </c>
      <c r="EQ17" t="inlineStr">
        <is>
          <t>hung</t>
        </is>
      </c>
      <c r="EY17" t="n">
        <v>81300</v>
      </c>
      <c r="FI17" t="inlineStr">
        <is>
          <t>own</t>
        </is>
      </c>
      <c r="FU17" t="inlineStr">
        <is>
          <t>hydra_sub</t>
        </is>
      </c>
      <c r="FV17" t="n">
        <v>8</v>
      </c>
      <c r="FW17" t="n">
        <v>34.8</v>
      </c>
      <c r="FX17" t="n">
        <v>7.2</v>
      </c>
      <c r="GO17" t="inlineStr">
        <is>
          <t>#2b2f33</t>
        </is>
      </c>
      <c r="GP17" t="inlineStr">
        <is>
          <t>0.15;0.78</t>
        </is>
      </c>
      <c r="HL17" t="inlineStr">
        <is>
          <t>radio.hung.hydra</t>
        </is>
      </c>
      <c r="II17" t="n">
        <v>4.5</v>
      </c>
      <c r="JX17" t="inlineStr">
        <is>
          <t>doors_l;doors_r;deck_gun;rudder</t>
        </is>
      </c>
      <c r="JY17" t="inlineStr">
        <is>
          <t>hydra</t>
        </is>
      </c>
      <c r="KA17" t="inlineStr">
        <is>
          <t>typhon</t>
        </is>
      </c>
      <c r="KB17" t="n">
        <v>0.5057</v>
      </c>
      <c r="KK17" t="n">
        <v>1.292</v>
      </c>
      <c r="KM17" t="inlineStr">
        <is>
          <t>Assets/MachineBrigade/Resources/Data/balance.json: vehicles[177]</t>
        </is>
      </c>
      <c r="KN17" t="inlineStr">
        <is>
          <t>{"id":"hydra","livery":"own","paint":"#2b2f33","paintFinish":[0.15,0.78],"armour":[4,3,2,2],"variantOf":"typhon","model":"hydra_sub","general":"hung","radioSpawn":"radio.hung.hydra","hp":81300,"weaponDamage":1.292,"speed":4.5,"modelSize":[34.8,7.2,8],"burrow":{"surface":16,"under":10,"first":12,"surfaceByPhase":[16,14],"underByPhase":[10,12]},"cruise":{"every":16,"damage":240,"weapon":"hydra_club_s","radius":6.5,"warning":"kalibr_cruise_mark"},"fleet":[{"unit":"missile_boat","count":1}],"wake":null,"secondary":[{"weapon":"p26_typhon_sec_ty57","slot":"gun","aim":"Free","arc":[180,150]},{"weapon":"p26_typhon_direct_ty100","slot":"gun","aim":"Free","arc":[0,150]}],"variant":{"size":0.5057,"keep":["doors_l","doors_r","deck_gun","rudder"],"mark":"hydra","tune":{"doors_l":{"hp":0.12,"at":[-0.95,-7.51,4.45]},"doors_r":{"hp":0.12,"at":[0.95,-7.51,4.45]},"deck_gun":{"hp":0.12,"node":"Mount_gun.002","at":[0,16.61,6.23]},"rudder":{"hp":0.1,"at":[0,-30.45,0.59]}}}}</t>
        </is>
      </c>
    </row>
    <row r="18">
      <c r="A18" t="inlineStr">
        <is>
          <t>hyperion</t>
        </is>
      </c>
      <c r="B18" t="inlineStr">
        <is>
          <t>main</t>
        </is>
      </c>
      <c r="C18" t="inlineStr">
        <is>
          <t>Hyperion · Heavy Cruiser</t>
        </is>
      </c>
      <c r="D18" t="inlineStr">
        <is>
          <t>Hyperion · Tuần dương hạm hạng nặng</t>
        </is>
      </c>
      <c r="E18" t="inlineStr">
        <is>
          <t>Hyperion</t>
        </is>
      </c>
      <c r="F18" t="inlineStr"/>
      <c r="G18" t="inlineStr"/>
      <c r="H18" t="inlineStr"/>
      <c r="I18" t="n">
        <v>0</v>
      </c>
      <c r="J18" t="n">
        <v>282320</v>
      </c>
      <c r="K18" t="n">
        <v>239972</v>
      </c>
      <c r="L18" t="n">
        <v>4</v>
      </c>
      <c r="M18" t="n">
        <v>4</v>
      </c>
      <c r="N18" t="n">
        <v>4</v>
      </c>
      <c r="O18" t="n">
        <v>4</v>
      </c>
      <c r="P18" t="b">
        <v>0</v>
      </c>
      <c r="Q18" t="n">
        <v>3.5</v>
      </c>
      <c r="R18" t="n">
        <v>10</v>
      </c>
      <c r="S18" t="n">
        <v>120</v>
      </c>
      <c r="T18" t="n">
        <v>80</v>
      </c>
      <c r="U18" t="n">
        <v>10</v>
      </c>
      <c r="V18" t="n">
        <v>34</v>
      </c>
      <c r="W18" t="n">
        <v>22</v>
      </c>
      <c r="X18" t="b">
        <v>1</v>
      </c>
      <c r="Y18" t="n">
        <v>22</v>
      </c>
      <c r="Z18" t="b">
        <v>0</v>
      </c>
      <c r="AA18" t="b">
        <v>1</v>
      </c>
      <c r="AB18" t="n">
        <v>0</v>
      </c>
      <c r="AC18" t="n">
        <v>3.5</v>
      </c>
      <c r="AD18" t="n">
        <v>1</v>
      </c>
      <c r="AE18" t="inlineStr">
        <is>
          <t>p26_icarus_sec_orbital_laser</t>
        </is>
      </c>
      <c r="AF18" t="inlineStr">
        <is>
          <t>pt14_hp_155;pt14_hp_155;pt14_hp_vlaser;pt14_hp_vlaser;pt14_hp_v127;pt14_hp_v127;pt14_hp_nsm;pt14_hp_nsm</t>
        </is>
      </c>
      <c r="AG18" t="inlineStr">
        <is>
          <t>boss_rage</t>
        </is>
      </c>
      <c r="AH18" t="inlineStr">
        <is>
          <t>aps</t>
        </is>
      </c>
      <c r="AI18" t="n">
        <v>3</v>
      </c>
      <c r="AJ18" t="n">
        <v>1.4</v>
      </c>
      <c r="AK18" t="inlineStr">
        <is>
          <t>hyperion</t>
        </is>
      </c>
      <c r="AL18" t="inlineStr">
        <is>
          <t>doi</t>
        </is>
      </c>
      <c r="AO18" t="n">
        <v>176450</v>
      </c>
      <c r="AP18" t="n">
        <v>282320</v>
      </c>
      <c r="BE18" t="inlineStr">
        <is>
          <t>p26_icarus_main_ic_coil;p26_icarus_main_ic_coil;p26_icarus_direct_ic_laser;p26_icarus_direct_ic_laser</t>
        </is>
      </c>
      <c r="BF18" t="inlineStr">
        <is>
          <t>pt14_hp_155;pt14_hp_155;pt14_hp_vlaser;pt14_hp_vlaser;pt14_hp_v127;pt14_hp_v127;pt14_hp_nsm;pt14_hp_nsm</t>
        </is>
      </c>
      <c r="BI18" t="inlineStr">
        <is>
          <t>spacecraft</t>
        </is>
      </c>
      <c r="BJ18" t="inlineStr">
        <is>
          <t>spacecraft</t>
        </is>
      </c>
      <c r="BK18" t="inlineStr">
        <is>
          <t>aurel</t>
        </is>
      </c>
      <c r="BL18" t="inlineStr">
        <is>
          <t>silver_bug</t>
        </is>
      </c>
      <c r="BM18" t="n">
        <v>9</v>
      </c>
      <c r="BN18" t="n">
        <v>9</v>
      </c>
      <c r="BO18" t="inlineStr">
        <is>
          <t>hyperion_sun_beam</t>
        </is>
      </c>
      <c r="BP18" t="n">
        <v>50</v>
      </c>
      <c r="BQ18" t="inlineStr">
        <is>
          <t>group</t>
        </is>
      </c>
      <c r="BR18" t="b">
        <v>0</v>
      </c>
      <c r="BS18" t="inlineStr"/>
      <c r="BT18" t="inlineStr"/>
      <c r="BU18" t="inlineStr">
        <is>
          <t>tuan:168;day_du:150</t>
        </is>
      </c>
      <c r="CD18" t="inlineStr">
        <is>
          <t>hyperion_sun_beam</t>
        </is>
      </c>
      <c r="EQ18" t="inlineStr">
        <is>
          <t>aurel</t>
        </is>
      </c>
      <c r="EY18" t="n">
        <v>282320</v>
      </c>
      <c r="FI18" t="inlineStr">
        <is>
          <t>own</t>
        </is>
      </c>
      <c r="FU18" t="inlineStr">
        <is>
          <t>hyperion</t>
        </is>
      </c>
      <c r="FV18" t="n">
        <v>21.3</v>
      </c>
      <c r="FW18" t="n">
        <v>67.2</v>
      </c>
      <c r="FX18" t="n">
        <v>33.4</v>
      </c>
      <c r="GO18" t="inlineStr">
        <is>
          <t>#98a4b2</t>
        </is>
      </c>
      <c r="GP18" t="inlineStr">
        <is>
          <t>0.5;0.4</t>
        </is>
      </c>
      <c r="GU18" t="n">
        <v>2</v>
      </c>
      <c r="GX18" t="n">
        <v>60</v>
      </c>
      <c r="GZ18" t="n">
        <v>10</v>
      </c>
      <c r="HA18" t="n">
        <v>4</v>
      </c>
      <c r="HL18" t="inlineStr">
        <is>
          <t>radio.aurel.hyperion</t>
        </is>
      </c>
      <c r="HN18" t="inlineStr">
        <is>
          <t>main</t>
        </is>
      </c>
      <c r="II18" t="n">
        <v>3.5</v>
      </c>
      <c r="JR18" t="inlineStr">
        <is>
          <t>radio.aurel.hyperion.phase2</t>
        </is>
      </c>
      <c r="JS18" t="inlineStr">
        <is>
          <t>radio.aurel.hyperion.phase3</t>
        </is>
      </c>
      <c r="JW18" t="inlineStr">
        <is>
          <t>crash_turret_l;crash_turret_r;uplink</t>
        </is>
      </c>
      <c r="JY18" t="inlineStr">
        <is>
          <t>hyperion</t>
        </is>
      </c>
      <c r="KA18" t="inlineStr">
        <is>
          <t>silver_bug</t>
        </is>
      </c>
      <c r="KB18" t="n">
        <v>1.2</v>
      </c>
      <c r="KK18" t="n">
        <v>1.111</v>
      </c>
      <c r="KM18" t="inlineStr">
        <is>
          <t>Assets/MachineBrigade/Resources/Data/balance.json: vehicles[173]</t>
        </is>
      </c>
      <c r="KN18" t="inlineStr">
        <is>
          <t>{"id":"hyperion","livery":"own","paint":"#98a4b2","paintFinish":[0.5,0.4],"variantOf":"silver_bug","model":"hyperion","rank":"main","general":"aurel","radioSpawn":"radio.aurel.hyperion","hp":282320,"weaponDamage":1.111,"speed":3.5,"bigAttack":"hyperion_sun_beam","arena":null,"modelSize":[67.2,33.4,21.3],"secondary":[{"weapon":"pt14_hp_155","slot":"gun","aim":"Free"},{"weapon":"pt14_hp_155","slot":"gun","aim":"Free"},{"weapon":"pt14_hp_vlaser","slot":"gun","aim":"Free"},{"weapon":"pt14_hp_vlaser","slot":"gun","aim":"Free"},{"weapon":"pt14_hp_v127","slot":"gun","aim":"Free"},{"weapon":"pt14_hp_v127","slot":"gun","aim":"Free"},{"weapon":"pt14_hp_nsm","slot":"rocket","aim":"Free"},{"weapon":"pt14_hp_nsm","slot":"rocket","aim":"Free"}],"tiers":{"crash":null,"hijack":null,"schedule":[{"steps":[{"tier":"high","seconds":60}]},{"steps":[{"tier":"high","seconds":60}]},{"steps":[{"tier":"high","seconds":60}]}],"radio":{"phase2":"radio.aurel.hyperion.phase2","phase3":"radio.aurel.hyperion.phase3"}},"pods":{"first":10,"every":60,"count":2,"max":4},"variant":{"size":1.2,"drop":["crash_turret_l","crash_turret_r","uplink"],"mark":"hyperion","tune":{"main_laser":{"hp":0.07,"at":[0,21.17,3.33]},"main_engine":{"hp":0.07,"at":[0,-26.42,8.25]},"thruster_fl":{"hp":0.07,"at":[-10.38,22.0,8.33]},"thruster_fr":{"hp":0.07,"at":[10.38,22.0,8.33]},"thruster_rl":{"hp":0.07,"at":[-12.17,-18.33,8.0]},"thruster_rr":{"hp":0.07,"at":[12.17,-18.33,8.0]},"pd_laser_l":{"hp":0.07,"at":[-6.83,4.5,11.0]},"pd_laser_r":{"hp":0.07,"at":[6.83,4.5,11.0]},"pod_bay":{"hp":0.07,"at":[0,-12.67,2.92]}}}}</t>
        </is>
      </c>
    </row>
    <row r="19">
      <c r="A19" t="inlineStr">
        <is>
          <t>icarus_mk0</t>
        </is>
      </c>
      <c r="B19" t="inlineStr">
        <is>
          <t>mini</t>
        </is>
      </c>
      <c r="C19" t="inlineStr">
        <is>
          <t>Icarus Mk.0 · Prototype Spacecraft</t>
        </is>
      </c>
      <c r="D19" t="inlineStr">
        <is>
          <t>Icarus Mk.0 · Phi thuyền nguyên mẫu</t>
        </is>
      </c>
      <c r="E19" t="inlineStr">
        <is>
          <t>Icarus Mk.0</t>
        </is>
      </c>
      <c r="F19" t="inlineStr"/>
      <c r="G19" t="inlineStr"/>
      <c r="H19" t="inlineStr"/>
      <c r="I19" t="n">
        <v>0</v>
      </c>
      <c r="J19" t="n">
        <v>94850</v>
      </c>
      <c r="K19" t="n">
        <v>80622.5</v>
      </c>
      <c r="L19" t="n">
        <v>4</v>
      </c>
      <c r="M19" t="n">
        <v>4</v>
      </c>
      <c r="N19" t="n">
        <v>4</v>
      </c>
      <c r="O19" t="n">
        <v>4</v>
      </c>
      <c r="P19" t="b">
        <v>0</v>
      </c>
      <c r="Q19" t="n">
        <v>3</v>
      </c>
      <c r="R19" t="n">
        <v>10</v>
      </c>
      <c r="S19" t="n">
        <v>120</v>
      </c>
      <c r="T19" t="n">
        <v>80</v>
      </c>
      <c r="U19" t="n">
        <v>10</v>
      </c>
      <c r="V19" t="n">
        <v>34</v>
      </c>
      <c r="W19" t="n">
        <v>22</v>
      </c>
      <c r="X19" t="b">
        <v>1</v>
      </c>
      <c r="Y19" t="n">
        <v>22</v>
      </c>
      <c r="Z19" t="b">
        <v>0</v>
      </c>
      <c r="AA19" t="b">
        <v>1</v>
      </c>
      <c r="AB19" t="n">
        <v>0</v>
      </c>
      <c r="AC19" t="n">
        <v>3.5</v>
      </c>
      <c r="AD19" t="n">
        <v>1</v>
      </c>
      <c r="AE19" t="inlineStr">
        <is>
          <t>p26_icarus_sec_orbital_laser</t>
        </is>
      </c>
      <c r="AF19" t="inlineStr">
        <is>
          <t>pt14_mk0_v40;pt14_mk0_v40</t>
        </is>
      </c>
      <c r="AG19" t="inlineStr">
        <is>
          <t>boss_rage</t>
        </is>
      </c>
      <c r="AH19" t="inlineStr">
        <is>
          <t>aps</t>
        </is>
      </c>
      <c r="AI19" t="n">
        <v>3</v>
      </c>
      <c r="AJ19" t="n">
        <v>1.4</v>
      </c>
      <c r="AK19" t="inlineStr">
        <is>
          <t>icarus_mk0</t>
        </is>
      </c>
      <c r="AL19" t="inlineStr">
        <is>
          <t>doi</t>
        </is>
      </c>
      <c r="AY19" t="n">
        <v>5</v>
      </c>
      <c r="AZ19" t="n">
        <v>3</v>
      </c>
      <c r="BE19" t="inlineStr"/>
      <c r="BF19" t="inlineStr">
        <is>
          <t>pt14_mk0_v40;pt14_mk0_v40</t>
        </is>
      </c>
      <c r="BI19" t="inlineStr">
        <is>
          <t>spacecraft</t>
        </is>
      </c>
      <c r="BJ19" t="inlineStr">
        <is>
          <t>spacecraft</t>
        </is>
      </c>
      <c r="BK19" t="inlineStr">
        <is>
          <t>aurel</t>
        </is>
      </c>
      <c r="BL19" t="inlineStr">
        <is>
          <t>silver_bug</t>
        </is>
      </c>
      <c r="BM19" t="n">
        <v>3</v>
      </c>
      <c r="BN19" t="n">
        <v>3</v>
      </c>
      <c r="BO19" t="inlineStr"/>
      <c r="BP19" t="inlineStr"/>
      <c r="BQ19" t="inlineStr"/>
      <c r="BR19" t="b">
        <v>0</v>
      </c>
      <c r="BS19" t="inlineStr">
        <is>
          <t>10</t>
        </is>
      </c>
      <c r="BT19" t="inlineStr">
        <is>
          <t>c10m05</t>
        </is>
      </c>
      <c r="BU19" t="inlineStr">
        <is>
          <t>tuan:66;day_du:60</t>
        </is>
      </c>
      <c r="EQ19" t="inlineStr">
        <is>
          <t>aurel</t>
        </is>
      </c>
      <c r="EY19" t="n">
        <v>94850</v>
      </c>
      <c r="FI19" t="inlineStr">
        <is>
          <t>own</t>
        </is>
      </c>
      <c r="FU19" t="inlineStr">
        <is>
          <t>icarus_mk0</t>
        </is>
      </c>
      <c r="GO19" t="inlineStr">
        <is>
          <t>#a9aca6</t>
        </is>
      </c>
      <c r="GP19" t="inlineStr">
        <is>
          <t>0.7;0.4</t>
        </is>
      </c>
      <c r="GU19" t="n">
        <v>1</v>
      </c>
      <c r="GX19" t="n">
        <v>18</v>
      </c>
      <c r="HA19" t="n">
        <v>4</v>
      </c>
      <c r="HL19" t="inlineStr">
        <is>
          <t>radio.aurel.icarus_mk0</t>
        </is>
      </c>
      <c r="JJ19" t="inlineStr">
        <is>
          <t>0.45</t>
        </is>
      </c>
      <c r="JK19" t="n">
        <v>0</v>
      </c>
      <c r="JR19" t="inlineStr">
        <is>
          <t>radio.aurel.icarus_mk0.phase2</t>
        </is>
      </c>
      <c r="JX19" t="inlineStr">
        <is>
          <t>main_laser;pod_bay;pd_laser_l</t>
        </is>
      </c>
      <c r="JY19" t="inlineStr">
        <is>
          <t>mk0</t>
        </is>
      </c>
      <c r="JZ19" t="inlineStr">
        <is>
          <t>mk0</t>
        </is>
      </c>
      <c r="KA19" t="inlineStr">
        <is>
          <t>silver_bug</t>
        </is>
      </c>
      <c r="KB19" t="n">
        <v>0.4</v>
      </c>
      <c r="KC19" t="n">
        <v>0.96</v>
      </c>
      <c r="KD19" t="n">
        <v>0.86</v>
      </c>
      <c r="KE19" t="n">
        <v>0.86</v>
      </c>
      <c r="KK19" t="n">
        <v>2.275</v>
      </c>
      <c r="KM19" t="inlineStr">
        <is>
          <t>Assets/MachineBrigade/Resources/Data/balance.json: vehicles[168]</t>
        </is>
      </c>
      <c r="KN19" t="inlineStr">
        <is>
          <t>{"id":"icarus_mk0","livery":"own","paint":"#a9aca6","paintFinish":[0.7,0.4],"interceptionMode":"PointDefense","variantOf":"silver_bug","model":"icarus_mk0","hp":94850,"weaponDamage":2.275,"general":"aurel","radioSpawn":"radio.aurel.icarus_mk0","secondary":[{"weapon":"pt14_mk0_v40","slot":"gun","aim":"Free"},{"weapon":"pt14_mk0_v40","slot":"gun","aim":"Free"}],"aps":{"radius":19.5,"charges":3,"recharge":1.4,"rockets":true,"laser":true},"arena":null,"tiers":{"opening":0,"crash":null,"hijack":null,"marks":[0.45],"schedule":[{"steps":[{"tier":"high","seconds":18},{"tier":"low","seconds":12}]},{"steps":[{"tier":"high","seconds":12},{"tier":"low","seconds":18}]}],"radio":{"phase2":"radio.aurel.icarus_mk0.phase2"}},"pods":{"count":1,"max":4,"every":18},"variant":{"size":0.4,"keep":["main_laser","pod_bay","pd_laser_l"],"tint":[0.86,0.86,0.96],"mark":"mk0","name":"mk0","tune":{"main_laser":{"hp":0.12},"pod_bay":{"hp":0.12},"pd_laser_l":{"hp":0.12}}}}</t>
        </is>
      </c>
    </row>
    <row r="20">
      <c r="A20" t="inlineStr">
        <is>
          <t>ixion</t>
        </is>
      </c>
      <c r="B20" t="inlineStr">
        <is>
          <t>main</t>
        </is>
      </c>
      <c r="C20" t="inlineStr">
        <is>
          <t>Ixion · Armoured Mine Truck</t>
        </is>
      </c>
      <c r="D20" t="inlineStr">
        <is>
          <t>Ixion · Xe tải mỏ bọc thép</t>
        </is>
      </c>
      <c r="E20" t="inlineStr">
        <is>
          <t>Ixion</t>
        </is>
      </c>
      <c r="F20" t="inlineStr"/>
      <c r="G20" t="inlineStr"/>
      <c r="H20" t="inlineStr"/>
      <c r="I20" t="n">
        <v>0</v>
      </c>
      <c r="J20" t="n">
        <v>98400</v>
      </c>
      <c r="K20" t="n">
        <v>83640</v>
      </c>
      <c r="L20" t="n">
        <v>4</v>
      </c>
      <c r="M20" t="n">
        <v>3</v>
      </c>
      <c r="N20" t="n">
        <v>2</v>
      </c>
      <c r="O20" t="n">
        <v>2</v>
      </c>
      <c r="P20" t="b">
        <v>0</v>
      </c>
      <c r="Q20" t="n">
        <v>7</v>
      </c>
      <c r="R20" t="n">
        <v>6</v>
      </c>
      <c r="S20" t="n">
        <v>90</v>
      </c>
      <c r="T20" t="n">
        <v>50</v>
      </c>
      <c r="U20" t="n">
        <v>11</v>
      </c>
      <c r="V20" t="n">
        <v>26</v>
      </c>
      <c r="W20" t="n">
        <v>12</v>
      </c>
      <c r="X20" t="b">
        <v>0</v>
      </c>
      <c r="Y20" t="n">
        <v>0</v>
      </c>
      <c r="Z20" t="b">
        <v>0</v>
      </c>
      <c r="AA20" t="b">
        <v>1</v>
      </c>
      <c r="AB20" t="n">
        <v>1</v>
      </c>
      <c r="AC20" t="n">
        <v>3.5</v>
      </c>
      <c r="AD20" t="n">
        <v>1.7571</v>
      </c>
      <c r="AE20" t="inlineStr">
        <is>
          <t>p26_ixion_125</t>
        </is>
      </c>
      <c r="AF20" t="inlineStr">
        <is>
          <t>p26_ixion_mg;p26_ixion_mg;pt14_ixion_30;pt14_ixion_kornet;pt14_ixion_kornet;pt14_ixion_grad</t>
        </is>
      </c>
      <c r="AG20" t="inlineStr"/>
      <c r="AH20" t="inlineStr">
        <is>
          <t>none</t>
        </is>
      </c>
      <c r="AI20" t="inlineStr"/>
      <c r="AJ20" t="inlineStr"/>
      <c r="AK20" t="inlineStr">
        <is>
          <t>ixion</t>
        </is>
      </c>
      <c r="AL20" t="inlineStr">
        <is>
          <t>doi</t>
        </is>
      </c>
      <c r="AO20" t="n">
        <v>72000</v>
      </c>
      <c r="AP20" t="n">
        <v>98400</v>
      </c>
      <c r="BE20" t="inlineStr">
        <is>
          <t>p26_ixion_mg;p26_ixion_mg</t>
        </is>
      </c>
      <c r="BF20" t="inlineStr">
        <is>
          <t>p26_ixion_mg;p26_ixion_mg;pt14_ixion_30;pt14_ixion_kornet;pt14_ixion_kornet;pt14_ixion_grad</t>
        </is>
      </c>
      <c r="BG20" t="n">
        <v>1</v>
      </c>
      <c r="BH20" t="n">
        <v>1.7571</v>
      </c>
      <c r="BI20" t="inlineStr">
        <is>
          <t>wheeled</t>
        </is>
      </c>
      <c r="BJ20" t="inlineStr">
        <is>
          <t>wheeled</t>
        </is>
      </c>
      <c r="BK20" t="inlineStr">
        <is>
          <t>hung</t>
        </is>
      </c>
      <c r="BL20" t="inlineStr"/>
      <c r="BM20" t="n">
        <v>7</v>
      </c>
      <c r="BN20" t="n">
        <v>7</v>
      </c>
      <c r="BO20" t="inlineStr">
        <is>
          <t>ixion_crush_charge</t>
        </is>
      </c>
      <c r="BP20" t="n">
        <v>45</v>
      </c>
      <c r="BQ20" t="inlineStr">
        <is>
          <t>group</t>
        </is>
      </c>
      <c r="BR20" t="b">
        <v>0</v>
      </c>
      <c r="BS20" t="inlineStr">
        <is>
          <t>8</t>
        </is>
      </c>
      <c r="BT20" t="inlineStr">
        <is>
          <t>c8m07</t>
        </is>
      </c>
      <c r="BU20" t="inlineStr">
        <is>
          <t>tuan:168;day_du:150</t>
        </is>
      </c>
      <c r="BZ20" t="n">
        <v>4</v>
      </c>
      <c r="CA20" t="n">
        <v>2</v>
      </c>
      <c r="CB20" t="n">
        <v>3</v>
      </c>
      <c r="CC20" t="n">
        <v>2</v>
      </c>
      <c r="CD20" t="inlineStr">
        <is>
          <t>ixion_crush_charge</t>
        </is>
      </c>
      <c r="CE20" t="n">
        <v>1</v>
      </c>
      <c r="CF20" t="n">
        <v>1</v>
      </c>
      <c r="CG20" t="n">
        <v>0</v>
      </c>
      <c r="CH20" t="b">
        <v>1</v>
      </c>
      <c r="DQ20" t="n">
        <v>0.2</v>
      </c>
      <c r="DR20" t="n">
        <v>700</v>
      </c>
      <c r="DS20" t="n">
        <v>2</v>
      </c>
      <c r="DT20" t="n">
        <v>3</v>
      </c>
      <c r="DU20" t="n">
        <v>1.5</v>
      </c>
      <c r="DV20" t="n">
        <v>320</v>
      </c>
      <c r="DW20" t="n">
        <v>2.2</v>
      </c>
      <c r="DX20" t="n">
        <v>14</v>
      </c>
      <c r="DY20" t="inlineStr">
        <is>
          <t>Ultimate</t>
        </is>
      </c>
      <c r="EP20" t="inlineStr">
        <is>
          <t>wheeled</t>
        </is>
      </c>
      <c r="EQ20" t="inlineStr">
        <is>
          <t>hung</t>
        </is>
      </c>
      <c r="EY20" t="n">
        <v>98400</v>
      </c>
      <c r="FH20" t="n">
        <v>26</v>
      </c>
      <c r="FM20" t="n">
        <v>380</v>
      </c>
      <c r="FN20" t="n">
        <v>8</v>
      </c>
      <c r="FO20" t="n">
        <v>20</v>
      </c>
      <c r="FP20" t="n">
        <v>6</v>
      </c>
      <c r="FQ20" t="n">
        <v>4</v>
      </c>
      <c r="FR20" t="inlineStr">
        <is>
          <t>Large</t>
        </is>
      </c>
      <c r="FS20" t="n">
        <v>2.2</v>
      </c>
      <c r="FT20" t="n">
        <v>15</v>
      </c>
      <c r="FU20" t="inlineStr">
        <is>
          <t>ixion</t>
        </is>
      </c>
      <c r="FV20" t="n">
        <v>10</v>
      </c>
      <c r="FW20" t="n">
        <v>26</v>
      </c>
      <c r="FX20" t="n">
        <v>12</v>
      </c>
      <c r="FY20" t="inlineStr">
        <is>
          <t>p26_ixion_125</t>
        </is>
      </c>
      <c r="FZ20" t="inlineStr">
        <is>
          <t>p26_ixion_mg</t>
        </is>
      </c>
      <c r="GB20" t="inlineStr">
        <is>
          <t>p26_ixion_mg</t>
        </is>
      </c>
      <c r="GN20" t="n">
        <v>1.7571</v>
      </c>
      <c r="GO20" t="inlineStr">
        <is>
          <t>#4f5b63</t>
        </is>
      </c>
      <c r="GP20" t="inlineStr">
        <is>
          <t>0.4;0.45</t>
        </is>
      </c>
      <c r="HL20" t="inlineStr">
        <is>
          <t>radio.hung.ixion</t>
        </is>
      </c>
      <c r="HM20" t="n">
        <v>11</v>
      </c>
      <c r="HN20" t="inlineStr">
        <is>
          <t>main</t>
        </is>
      </c>
      <c r="II20" t="n">
        <v>7</v>
      </c>
      <c r="JU20" t="n">
        <v>6</v>
      </c>
      <c r="JV20" t="n">
        <v>90</v>
      </c>
      <c r="KF20" t="n">
        <v>50</v>
      </c>
      <c r="KJ20" t="inlineStr">
        <is>
          <t>p26_ixion_125</t>
        </is>
      </c>
      <c r="KK20" t="n">
        <v>1</v>
      </c>
      <c r="KL20" t="n">
        <v>12</v>
      </c>
      <c r="KM20" t="inlineStr">
        <is>
          <t>Assets/MachineBrigade/Resources/Data/balance.json: vehicles[162]</t>
        </is>
      </c>
      <c r="KN20" t="inlineStr">
        <is>
          <t>{"id":"ixion","paint":"#4f5b63","paintFinish":[0.4,0.45],"outgoingDamageMult":1.7571,"mines":{"interval":8,"max":6,"damage":380,"radius":4,"tier":"Large","trigger":2.2,"life":20,"turnStrip":15},"bigAttackScale":{"damage":1,"cooldown":1,"warn":0},"bigAttack":"ixion_crush_charge","mountWeapons":{"0":"p26_ixion_125","1":"p26_ixion_mg","2":"p26_ixion_mg"},"modelSize":[26,12,10],"frame":"wheeled","rank":"main","general":"hung","boss":true,"radioSpawn":"radio.hung.ixion","model":"ixion","armour":[4,3,2,2],"hp":98400,"weaponDamage":1,"speed":7,"turnRate":6,"turretTurnRate":90,"radius":11,"length":26,"width":12,"vision":50,"weapon":"p26_ixion_125","secondary":[{"weapon":"p26_ixion_mg","slot":"mg","aim":"Free"},{"weapon":"p26_ixion_mg","slot":"mg","aim":"Free"},{"weapon":"pt14_ixion_30","slot":"gun","aim":"Free"},{"weapon":"pt14_ixion_kornet","slot":"missile","aim":"Free"},{"weapon":"pt14_ixion_kornet","slot":"missile","aim":"Free"},{"weapon":"pt14_ixion_grad","slot":"rocket","aim":"Free"}],"crush":{"dps":700,"reach":3,"armourCut":0.2,"structure":1.5,"minSpeed":2},"parts":[{"id":"wheel_l","kind":"wheel","node":"Part_wheel","hp":0.07,"armour":3,"wreck":"wreck_engine","at":[-5.4,8.5,1.8],"radius":2.8,"speed":0.6,"turn":0.5,"radio":"radio.part.wheel"},{"id":"wheel_r","kind":"wheel","node":"Part_wheel.001","hp":0.07,"armour":3,"wreck":"wreck_engine","at":[5.4,8.5,1.8],"radius":2.8,"speed":0.6,"turn":0.5,"radio":"radio.part.wheel"},{"id":"rear_l1","kind":"reartyre","node":"Part_tyre","hp":0.035,"armour":1,"wreck":"wreck_stump","at":[-5.4,-3,1.8],"radius":2.6,"speed":0.9,"turn":0.9},{"id":"rear_r1","kind":"reartyre","node":"Part_tyre.001","hp":0.035,"armour":1,"wreck":"wreck_stump","at":[5.4,-3,1.8],"radius":2.6,"speed":0.9,"turn":0.9},{"id":"rear_l2","kind":"reartyre","node":"Part_tyre.002","hp":0.035,"armour":1,"wreck":"wreck_stump","at":[-5.4,-9,1.8],"radius":2.6,"speed":0.9,"turn":0.9},{"id":"rear_r2","kind":"reartyre","node":"Part_tyre.003","hp":0.035,"armour":1,"wreck":"wreck_stump","at":[5.4,-9,1.8],"radius":2.6,"speed":0.9,"turn":0.9},{"id":"gun","kind":"hulltower","hp":0.12,"armour":3,"node":"Turret","wreck":"wreck_turret","at":[0,-1.5,6.5],"radius":3.2,"mounts":[0]},{"id":"cab","kind":"cab","node":"Part_cab","hp":0.08,"armour":2,"wreck":"wreck_stump","at":[-3.6,9.5,5],"radius":3,"mounts":[1,2]}],"deathExplosion":{"damage":320,"radius":14,"delay":2.2,"tier":"Ultimate"}}</t>
        </is>
      </c>
    </row>
    <row r="21">
      <c r="A21" t="inlineStr">
        <is>
          <t>kraken</t>
        </is>
      </c>
      <c r="B21" t="inlineStr">
        <is>
          <t>main</t>
        </is>
      </c>
      <c r="C21" t="inlineStr">
        <is>
          <t>Kraken · Aircraft Carrier</t>
        </is>
      </c>
      <c r="D21" t="inlineStr">
        <is>
          <t>Kraken · Tàu sân bay</t>
        </is>
      </c>
      <c r="E21" t="inlineStr">
        <is>
          <t>Kraken</t>
        </is>
      </c>
      <c r="F21" t="inlineStr"/>
      <c r="G21" t="inlineStr"/>
      <c r="H21" t="inlineStr"/>
      <c r="I21" t="n">
        <v>0</v>
      </c>
      <c r="J21" t="n">
        <v>168632</v>
      </c>
      <c r="K21" t="n">
        <v>143337.2</v>
      </c>
      <c r="L21" t="n">
        <v>5</v>
      </c>
      <c r="M21" t="n">
        <v>3</v>
      </c>
      <c r="N21" t="n">
        <v>2</v>
      </c>
      <c r="O21" t="n">
        <v>2</v>
      </c>
      <c r="P21" t="b">
        <v>0</v>
      </c>
      <c r="Q21" t="n">
        <v>2.6</v>
      </c>
      <c r="R21" t="n">
        <v>8</v>
      </c>
      <c r="S21" t="n">
        <v>36</v>
      </c>
      <c r="T21" t="n">
        <v>120</v>
      </c>
      <c r="U21" t="n">
        <v>11.2</v>
      </c>
      <c r="V21" t="n">
        <v>86</v>
      </c>
      <c r="W21" t="n">
        <v>14.4</v>
      </c>
      <c r="X21" t="b">
        <v>0</v>
      </c>
      <c r="Y21" t="n">
        <v>0</v>
      </c>
      <c r="Z21" t="b">
        <v>0</v>
      </c>
      <c r="AA21" t="b">
        <v>1</v>
      </c>
      <c r="AB21" t="n">
        <v>0</v>
      </c>
      <c r="AC21" t="n">
        <v>3.5</v>
      </c>
      <c r="AD21" t="n">
        <v>0.9678</v>
      </c>
      <c r="AE21" t="inlineStr">
        <is>
          <t>p26_leviathan_lev406</t>
        </is>
      </c>
      <c r="AF21" t="inlineStr">
        <is>
          <t>p26_leviathan_lev406;p26_leviathan_lev406;p26_leviathan_sec_lev155;p26_leviathan_sec_lev155;p26_leviathan_direct_lev127;p26_leviathan_direct_lev127;aa_25_triple;aa_25_triple;aa_25_triple;aa_25_triple;aa_25_triple;aa_25_triple;aa_25_triple;aa_25_triple;sam_post</t>
        </is>
      </c>
      <c r="AG21" t="inlineStr">
        <is>
          <t>kraken_jets;leviathan_helos</t>
        </is>
      </c>
      <c r="AH21" t="inlineStr">
        <is>
          <t>aps</t>
        </is>
      </c>
      <c r="AI21" t="n">
        <v>3</v>
      </c>
      <c r="AJ21" t="n">
        <v>2.2</v>
      </c>
      <c r="AK21" t="inlineStr">
        <is>
          <t>kraken</t>
        </is>
      </c>
      <c r="AL21" t="inlineStr">
        <is>
          <t>doi</t>
        </is>
      </c>
      <c r="AO21" t="n">
        <v>117650</v>
      </c>
      <c r="AP21" t="n">
        <v>168632</v>
      </c>
      <c r="BG21" t="n">
        <v>1</v>
      </c>
      <c r="BH21" t="n">
        <v>0.9678</v>
      </c>
      <c r="BI21" t="inlineStr">
        <is>
          <t>ship</t>
        </is>
      </c>
      <c r="BJ21" t="inlineStr">
        <is>
          <t>ship</t>
        </is>
      </c>
      <c r="BK21" t="inlineStr">
        <is>
          <t>kessler</t>
        </is>
      </c>
      <c r="BL21" t="inlineStr">
        <is>
          <t>leviathan</t>
        </is>
      </c>
      <c r="BM21" t="n">
        <v>16</v>
      </c>
      <c r="BN21" t="n">
        <v>26</v>
      </c>
      <c r="BO21" t="inlineStr">
        <is>
          <t>kraken_air_raid</t>
        </is>
      </c>
      <c r="BP21" t="n">
        <v>50</v>
      </c>
      <c r="BQ21" t="inlineStr">
        <is>
          <t>group</t>
        </is>
      </c>
      <c r="BR21" t="b">
        <v>0</v>
      </c>
      <c r="BS21" t="inlineStr"/>
      <c r="BT21" t="inlineStr"/>
      <c r="BU21" t="inlineStr">
        <is>
          <t>tuan:168;day_du:150</t>
        </is>
      </c>
      <c r="BZ21" t="n">
        <v>5</v>
      </c>
      <c r="CA21" t="n">
        <v>2</v>
      </c>
      <c r="CB21" t="n">
        <v>3</v>
      </c>
      <c r="CC21" t="n">
        <v>2</v>
      </c>
      <c r="CD21" t="inlineStr">
        <is>
          <t>kraken_air_raid</t>
        </is>
      </c>
      <c r="EQ21" t="inlineStr">
        <is>
          <t>kessler</t>
        </is>
      </c>
      <c r="EY21" t="n">
        <v>168632</v>
      </c>
      <c r="FI21" t="inlineStr">
        <is>
          <t>own</t>
        </is>
      </c>
      <c r="FU21" t="inlineStr">
        <is>
          <t>kraken</t>
        </is>
      </c>
      <c r="FV21" t="n">
        <v>24</v>
      </c>
      <c r="FW21" t="n">
        <v>110</v>
      </c>
      <c r="FX21" t="n">
        <v>18.4</v>
      </c>
      <c r="GN21" t="n">
        <v>0.9678</v>
      </c>
      <c r="GO21" t="inlineStr">
        <is>
          <t>#747c81</t>
        </is>
      </c>
      <c r="GP21" t="inlineStr">
        <is>
          <t>0.3;0.55</t>
        </is>
      </c>
      <c r="HL21" t="inlineStr">
        <is>
          <t>radio.kessler.kraken</t>
        </is>
      </c>
      <c r="HN21" t="inlineStr">
        <is>
          <t>main</t>
        </is>
      </c>
      <c r="IH21" t="inlineStr">
        <is>
          <t>kraken_jets;leviathan_helos</t>
        </is>
      </c>
      <c r="JY21" t="inlineStr">
        <is>
          <t>kraken</t>
        </is>
      </c>
      <c r="KA21" t="inlineStr">
        <is>
          <t>leviathan</t>
        </is>
      </c>
      <c r="KB21" t="n">
        <v>1.14</v>
      </c>
      <c r="KK21" t="n">
        <v>2.318</v>
      </c>
      <c r="KM21" t="inlineStr">
        <is>
          <t>Assets/MachineBrigade/Resources/Data/balance.json: vehicles[171]</t>
        </is>
      </c>
      <c r="KN21" t="inlineStr">
        <is>
          <t>{"id":"kraken","livery":"own","paint":"#747c81","paintFinish":[0.3,0.55],"outgoingDamageMult":0.9678,"armour":[5,3,2,2],"variantOf":"leviathan","model":"kraken","rank":"main","general":"kessler","radioSpawn":"radio.kessler.kraken","hp":168632,"weaponDamage":2.318,"bigAttack":"kraken_air_raid","skills":["kraken_jets","leviathan_helos"],"modelSize":[110,18.4,24],"variant":{"size":1.14,"mark":"kraken","tune":{"turret_fore":{"at":[0,33.68,7.93]},"turret_super":{"at":[0,25.09,8.81]},"turret_aft":{"at":[0,-42.46,6.35]},"sec_fore":{"at":[6.75,15.61,7.27]},"sec_aft":{"at":[-6.32,-33.51,9.08]},"vls":{"at":[0,18.6,6.33]},"aa_port":{"at":[-7.28,-8.77,8.48]},"aa_starboard":{"at":[6.84,-26.32,8.48]},"ciws_fore":{"at":[4.74,21.4,6.88]},"ciws_aft":{"at":[-5.09,-45.79,5.34]},"radar":{"at":[6.4,0,16.63]},"flight_deck":{"at":[-2.98,-26.32,9.11],"skills":["kraken_jets","leviathan_helos"]},"well_deck":{"at":[0,-48.03,3.92]},"machinery":{"at":[6.4,-8.42,14.89]}}}}</t>
        </is>
      </c>
    </row>
    <row r="22">
      <c r="A22" t="inlineStr">
        <is>
          <t>landing_hovercraft</t>
        </is>
      </c>
      <c r="B22" t="inlineStr">
        <is>
          <t>mini</t>
        </is>
      </c>
      <c r="C22" t="inlineStr">
        <is>
          <t>Charybdis · Assault Hovercraft</t>
        </is>
      </c>
      <c r="D22" t="inlineStr">
        <is>
          <t>Charybdis · Tàu đệm khí đổ bộ</t>
        </is>
      </c>
      <c r="E22" t="inlineStr">
        <is>
          <t>Charybdis</t>
        </is>
      </c>
      <c r="F22" t="inlineStr"/>
      <c r="G22" t="inlineStr"/>
      <c r="H22" t="inlineStr"/>
      <c r="I22" t="n">
        <v>0</v>
      </c>
      <c r="J22" t="n">
        <v>53500</v>
      </c>
      <c r="K22" t="n">
        <v>45475</v>
      </c>
      <c r="L22" t="n">
        <v>3</v>
      </c>
      <c r="M22" t="n">
        <v>2</v>
      </c>
      <c r="N22" t="n">
        <v>1</v>
      </c>
      <c r="O22" t="n">
        <v>1</v>
      </c>
      <c r="P22" t="b">
        <v>0</v>
      </c>
      <c r="Q22" t="n">
        <v>5.5</v>
      </c>
      <c r="R22" t="n">
        <v>26</v>
      </c>
      <c r="S22" t="n">
        <v>200</v>
      </c>
      <c r="T22" t="n">
        <v>60</v>
      </c>
      <c r="U22" t="n">
        <v>9</v>
      </c>
      <c r="V22" t="n">
        <v>29.3</v>
      </c>
      <c r="W22" t="n">
        <v>15.9</v>
      </c>
      <c r="X22" t="b">
        <v>0</v>
      </c>
      <c r="Y22" t="n">
        <v>0</v>
      </c>
      <c r="Z22" t="b">
        <v>0</v>
      </c>
      <c r="AA22" t="b">
        <v>1</v>
      </c>
      <c r="AB22" t="n">
        <v>0</v>
      </c>
      <c r="AC22" t="n">
        <v>3.5</v>
      </c>
      <c r="AD22" t="n">
        <v>1</v>
      </c>
      <c r="AE22" t="inlineStr">
        <is>
          <t>hover_ciws</t>
        </is>
      </c>
      <c r="AF22" t="inlineStr">
        <is>
          <t>hover_ciws;ciws_aa;hover_rockets;hover_rockets</t>
        </is>
      </c>
      <c r="AG22" t="inlineStr"/>
      <c r="AH22" t="inlineStr">
        <is>
          <t>aps</t>
        </is>
      </c>
      <c r="AI22" t="n">
        <v>2</v>
      </c>
      <c r="AJ22" t="n">
        <v>3</v>
      </c>
      <c r="AK22" t="inlineStr">
        <is>
          <t>landing_hovercraft</t>
        </is>
      </c>
      <c r="AL22" t="inlineStr">
        <is>
          <t>giong</t>
        </is>
      </c>
      <c r="BI22" t="inlineStr">
        <is>
          <t>hovercraft</t>
        </is>
      </c>
      <c r="BJ22" t="inlineStr">
        <is>
          <t>wheeled</t>
        </is>
      </c>
      <c r="BK22" t="inlineStr">
        <is>
          <t>kessler</t>
        </is>
      </c>
      <c r="BL22" t="inlineStr"/>
      <c r="BM22" t="n">
        <v>5</v>
      </c>
      <c r="BN22" t="n">
        <v>5</v>
      </c>
      <c r="BO22" t="inlineStr"/>
      <c r="BP22" t="inlineStr"/>
      <c r="BQ22" t="inlineStr"/>
      <c r="BR22" t="b">
        <v>1</v>
      </c>
      <c r="BS22" t="inlineStr">
        <is>
          <t>6;9</t>
        </is>
      </c>
      <c r="BT22" t="inlineStr">
        <is>
          <t>c6m08;c9m05</t>
        </is>
      </c>
      <c r="BU22" t="inlineStr">
        <is>
          <t>tuan:66;day_du:60</t>
        </is>
      </c>
      <c r="BY22" t="n">
        <v>3</v>
      </c>
      <c r="CH22" t="b">
        <v>1</v>
      </c>
      <c r="CW22" t="n">
        <v>0</v>
      </c>
      <c r="CX22" t="n">
        <v>0</v>
      </c>
      <c r="DV22" t="n">
        <v>420</v>
      </c>
      <c r="DW22" t="n">
        <v>2.6</v>
      </c>
      <c r="DX22" t="n">
        <v>18</v>
      </c>
      <c r="DY22" t="inlineStr">
        <is>
          <t>Ultimate</t>
        </is>
      </c>
      <c r="DZ22" t="inlineStr">
        <is>
          <t>ciws_l</t>
        </is>
      </c>
      <c r="EN22" t="b">
        <v>1</v>
      </c>
      <c r="EP22" t="inlineStr">
        <is>
          <t>hovercraft</t>
        </is>
      </c>
      <c r="EQ22" t="inlineStr">
        <is>
          <t>kessler</t>
        </is>
      </c>
      <c r="EY22" t="n">
        <v>53500</v>
      </c>
      <c r="EZ22" t="n">
        <v>35</v>
      </c>
      <c r="FA22" t="n">
        <v>15</v>
      </c>
      <c r="FB22" t="n">
        <v>5</v>
      </c>
      <c r="FC22" t="n">
        <v>4</v>
      </c>
      <c r="FD22" t="n">
        <v>3</v>
      </c>
      <c r="FE22" t="inlineStr">
        <is>
          <t>0;16</t>
        </is>
      </c>
      <c r="FF22" t="n">
        <v>6</v>
      </c>
      <c r="FG22" t="inlineStr">
        <is>
          <t>main_battle_tank;ifv;armored_car;fpv_carrier;aa_vehicle;main_battle_tank;ifv</t>
        </is>
      </c>
      <c r="FH22" t="n">
        <v>29.3</v>
      </c>
      <c r="FJ22" t="inlineStr">
        <is>
          <t>Free</t>
        </is>
      </c>
      <c r="FL22" t="inlineStr">
        <is>
          <t>gun</t>
        </is>
      </c>
      <c r="GO22" t="inlineStr">
        <is>
          <t>#5f6e63</t>
        </is>
      </c>
      <c r="GP22" t="inlineStr">
        <is>
          <t>0.25;0.55</t>
        </is>
      </c>
      <c r="HL22" t="inlineStr">
        <is>
          <t>radio.kessler.hovercraft</t>
        </is>
      </c>
      <c r="HM22" t="n">
        <v>9</v>
      </c>
      <c r="HN22" t="inlineStr">
        <is>
          <t>mini</t>
        </is>
      </c>
      <c r="IC22" t="n">
        <v>1</v>
      </c>
      <c r="IG22" t="n">
        <v>0.85</v>
      </c>
      <c r="II22" t="n">
        <v>5.5</v>
      </c>
      <c r="JU22" t="n">
        <v>26</v>
      </c>
      <c r="JV22" t="n">
        <v>200</v>
      </c>
      <c r="KF22" t="n">
        <v>60</v>
      </c>
      <c r="KJ22" t="inlineStr">
        <is>
          <t>hover_ciws</t>
        </is>
      </c>
      <c r="KK22" t="n">
        <v>4.303</v>
      </c>
      <c r="KL22" t="n">
        <v>15.9</v>
      </c>
      <c r="KM22" t="inlineStr">
        <is>
          <t>Assets/MachineBrigade/Resources/Data/balance.json: vehicles[152]</t>
        </is>
      </c>
      <c r="KN22" t="inlineStr">
        <is>
          <t>{"id":"landing_hovercraft","paint":"#5f6e63","paintFinish":[0.25,0.55],"frame":"hovercraft","rank":"mini","size":0.85,"dropParts":["ciws_l"],"boss":true,"general":"kessler","radioSpawn":"radio.kessler.hovercraft","armour":3,"hp":53500,"weaponDamage":4.303,"speed":5.5,"turnRate":26,"turretTurnRate":200,"radius":9,"length":29.3,"width":15.9,"scale":1.0,"cp":0,"vision":60,"captureRate":0,"firesWhileMoving":true,"weapon":"hover_ciws","mainSlot":"gun","mainAim":"Free","secondary":[{"weapon":"hover_ciws","slot":"gun","aim":"Free"},{"weapon":"ciws_aa","slot":"mg","aim":"Free"},{"weapon":"ciws_aa","slot":"mg","aim":"Free"},{"weapon":"hover_rockets","slot":"rocket","aim":"Free"},{"weapon":"hover_rockets","slot":"rocket","aim":"Free"}],"aps":{"radius":22,"charges":2,"recharge":3,"rockets":true},"landing":{"every":35,"stop":6,"min":3,"max":4,"landings":5,"first":15,"units":["main_battle_tank","ifv","armored_car","fpv_carrier","aa_vehicle","main_battle_tank","ifv"],"ramp":[0,16]},"phases":[{"at":0.45,"transform":2.5,"speed":1.2,"radio":"radio.kessler.hovercraft.half"}],"parts":[{"id":"ramp","kind":"ramp","hp":0.12,"armour":3,"node":"Part_ramp","wreck":"wreck_stump","at":[0,12.5,2.3],"radius":3.0,"stops":["landing"],"radio":"radio.part.ramp"},{"id":"fan_l","kind":"fan","hp":0.07,"armour":1,"node":"Part_fan","wreck":"wreck_engine","at":[-5.3,-10.9,6.5],"radius":3.0,"speed":0.7},{"id":"fan_r","kind":"fan","hp":0.07,"armour":1,"node":"Part_fan.001","wreck":"wreck_engine","at":[5.3,-10.9,6.5],"radius":3.0,"speed":0.7},{"id":"gun_l","kind":"gun","hp":0.07,"armour":3,"node":"Part_gun","wreck":"wreck_turret","at":[-5.3,6.4,4.3],"radius":1.8,"mounts":[0]},{"id":"gun_r","kind":"gun","hp":0.07,"armour":3,"node":"Part_gun.001","wreck":"wreck_turret","at":[5.3,3.0,4.3],"radius":1.8,"mounts":[1]},{"id":"ciws_l","kind":"ciws","hp":0.07,"armour":2,"node":"Part_mg","wreck":"wreck_turret","at":[-5.3,-3.7,4.8],"radius":1.8,"mounts":[2],"stops":["aps"]},{"id":"ciws_r","kind":"ciws","hp":0.07,"armour":2,"node":"Part_mg.001","wreck":"wreck_turret","at":[5.3,-3.7,4.8],"radius":1.8,"mounts":[3],"stops":["aps"]},{"id":"rockets_l","kind":"rockets","hp":0.07,"armour":2,"node":"Part_rocket","wreck":"wreck_launcher","at":[-5.3,11.2,4.6],"radius":1.8,"mounts":[4]},{"id":"rockets_r","kind":"rockets","hp":0.07,"armour":2,"node":"Part_rocket.001","wreck":"wreck_launcher","at":[5.3,11.2,4.6],"radius":1.8,"mounts":[5]}],"deathExplosion":{"damage":420,"radius":18,"delay":2.6,"tier":"Ultimate"}}</t>
        </is>
      </c>
    </row>
    <row r="23">
      <c r="A23" t="inlineStr">
        <is>
          <t>leviathan</t>
        </is>
      </c>
      <c r="B23" t="inlineStr">
        <is>
          <t>main</t>
        </is>
      </c>
      <c r="C23" t="inlineStr">
        <is>
          <t>Leviathan · Battleship</t>
        </is>
      </c>
      <c r="D23" t="inlineStr">
        <is>
          <t>Leviathan · Thiết giáp hạm</t>
        </is>
      </c>
      <c r="E23" t="inlineStr">
        <is>
          <t>Leviathan</t>
        </is>
      </c>
      <c r="F23" t="inlineStr"/>
      <c r="G23" t="inlineStr"/>
      <c r="H23" t="inlineStr"/>
      <c r="I23" t="n">
        <v>0</v>
      </c>
      <c r="J23" t="n">
        <v>60900</v>
      </c>
      <c r="K23" t="n">
        <v>51765</v>
      </c>
      <c r="L23" t="n">
        <v>5</v>
      </c>
      <c r="M23" t="n">
        <v>3</v>
      </c>
      <c r="N23" t="n">
        <v>2</v>
      </c>
      <c r="O23" t="n">
        <v>2</v>
      </c>
      <c r="P23" t="b">
        <v>0</v>
      </c>
      <c r="Q23" t="n">
        <v>2.6</v>
      </c>
      <c r="R23" t="n">
        <v>8</v>
      </c>
      <c r="S23" t="n">
        <v>36</v>
      </c>
      <c r="T23" t="n">
        <v>120</v>
      </c>
      <c r="U23" t="n">
        <v>11.2</v>
      </c>
      <c r="V23" t="n">
        <v>86</v>
      </c>
      <c r="W23" t="n">
        <v>14.4</v>
      </c>
      <c r="X23" t="b">
        <v>0</v>
      </c>
      <c r="Y23" t="n">
        <v>0</v>
      </c>
      <c r="Z23" t="b">
        <v>0</v>
      </c>
      <c r="AA23" t="b">
        <v>1</v>
      </c>
      <c r="AB23" t="n">
        <v>0</v>
      </c>
      <c r="AC23" t="n">
        <v>3.5</v>
      </c>
      <c r="AD23" t="n">
        <v>0.9678</v>
      </c>
      <c r="AE23" t="inlineStr">
        <is>
          <t>p26_leviathan_lev406</t>
        </is>
      </c>
      <c r="AF23" t="inlineStr">
        <is>
          <t>p26_leviathan_lev406;p26_leviathan_lev406;p26_leviathan_sec_lev155;p26_leviathan_sec_lev155;p26_leviathan_direct_lev127;p26_leviathan_direct_lev127;aa_25_triple;aa_25_triple;aa_25_triple;aa_25_triple;aa_25_triple;aa_25_triple;aa_25_triple;aa_25_triple;sam_post</t>
        </is>
      </c>
      <c r="AG23" t="inlineStr">
        <is>
          <t>leviathan_helos</t>
        </is>
      </c>
      <c r="AH23" t="inlineStr">
        <is>
          <t>aps</t>
        </is>
      </c>
      <c r="AI23" t="n">
        <v>3</v>
      </c>
      <c r="AJ23" t="n">
        <v>2.2</v>
      </c>
      <c r="AK23" t="inlineStr">
        <is>
          <t>leviathan</t>
        </is>
      </c>
      <c r="AL23" t="inlineStr">
        <is>
          <t>doi</t>
        </is>
      </c>
      <c r="AO23" t="n">
        <v>52200</v>
      </c>
      <c r="AP23" t="n">
        <v>60900</v>
      </c>
      <c r="BG23" t="n">
        <v>1</v>
      </c>
      <c r="BH23" t="n">
        <v>0.9678</v>
      </c>
      <c r="BI23" t="inlineStr">
        <is>
          <t>ship</t>
        </is>
      </c>
      <c r="BJ23" t="inlineStr">
        <is>
          <t>ship</t>
        </is>
      </c>
      <c r="BK23" t="inlineStr">
        <is>
          <t>kessler</t>
        </is>
      </c>
      <c r="BL23" t="inlineStr"/>
      <c r="BM23" t="n">
        <v>16</v>
      </c>
      <c r="BN23" t="n">
        <v>26</v>
      </c>
      <c r="BO23" t="inlineStr">
        <is>
          <t>leviathan_volley</t>
        </is>
      </c>
      <c r="BP23" t="n">
        <v>50</v>
      </c>
      <c r="BQ23" t="inlineStr">
        <is>
          <t>base</t>
        </is>
      </c>
      <c r="BR23" t="b">
        <v>0</v>
      </c>
      <c r="BS23" t="inlineStr">
        <is>
          <t>4</t>
        </is>
      </c>
      <c r="BT23" t="inlineStr"/>
      <c r="BU23" t="inlineStr">
        <is>
          <t>tuan:168;day_du:150</t>
        </is>
      </c>
      <c r="BZ23" t="n">
        <v>5</v>
      </c>
      <c r="CA23" t="n">
        <v>2</v>
      </c>
      <c r="CB23" t="n">
        <v>3</v>
      </c>
      <c r="CC23" t="n">
        <v>2</v>
      </c>
      <c r="CD23" t="inlineStr">
        <is>
          <t>leviathan_volley</t>
        </is>
      </c>
      <c r="CH23" t="b">
        <v>1</v>
      </c>
      <c r="CW23" t="n">
        <v>0</v>
      </c>
      <c r="CX23" t="n">
        <v>0</v>
      </c>
      <c r="CZ23" t="inlineStr">
        <is>
          <t>main_battle_tank;ifv;main_battle_tank;tank_destroyer</t>
        </is>
      </c>
      <c r="DA23" t="n">
        <v>40</v>
      </c>
      <c r="DB23" t="n">
        <v>5</v>
      </c>
      <c r="DC23" t="n">
        <v>3</v>
      </c>
      <c r="DD23" t="n">
        <v>2</v>
      </c>
      <c r="DE23" t="n">
        <v>1</v>
      </c>
      <c r="DF23" t="inlineStr">
        <is>
          <t>landing_craft</t>
        </is>
      </c>
      <c r="DG23" t="n">
        <v>520</v>
      </c>
      <c r="DH23" t="n">
        <v>50</v>
      </c>
      <c r="DI23" t="n">
        <v>4</v>
      </c>
      <c r="DJ23" t="n">
        <v>20</v>
      </c>
      <c r="DL23" t="n">
        <v>1</v>
      </c>
      <c r="DM23" t="n">
        <v>10</v>
      </c>
      <c r="DN23" t="n">
        <v>5</v>
      </c>
      <c r="DO23" t="inlineStr">
        <is>
          <t>leviathan_cruise_mark</t>
        </is>
      </c>
      <c r="DP23" t="inlineStr">
        <is>
          <t>leviathan_cruise</t>
        </is>
      </c>
      <c r="DV23" t="n">
        <v>550</v>
      </c>
      <c r="DW23" t="n">
        <v>3.8</v>
      </c>
      <c r="DX23" t="n">
        <v>24</v>
      </c>
      <c r="DY23" t="inlineStr">
        <is>
          <t>Ultimate</t>
        </is>
      </c>
      <c r="EN23" t="b">
        <v>1</v>
      </c>
      <c r="EP23" t="inlineStr">
        <is>
          <t>ship</t>
        </is>
      </c>
      <c r="EQ23" t="inlineStr">
        <is>
          <t>kessler</t>
        </is>
      </c>
      <c r="EY23" t="n">
        <v>60900</v>
      </c>
      <c r="FH23" t="n">
        <v>86</v>
      </c>
      <c r="FI23" t="inlineStr">
        <is>
          <t>own</t>
        </is>
      </c>
      <c r="FJ23" t="inlineStr">
        <is>
          <t>Free</t>
        </is>
      </c>
      <c r="FL23" t="inlineStr">
        <is>
          <t>gun</t>
        </is>
      </c>
      <c r="FY23" t="inlineStr">
        <is>
          <t>p26_leviathan_lev406</t>
        </is>
      </c>
      <c r="FZ23" t="inlineStr">
        <is>
          <t>p26_leviathan_lev406</t>
        </is>
      </c>
      <c r="GB23" t="inlineStr">
        <is>
          <t>p26_leviathan_lev406</t>
        </is>
      </c>
      <c r="GC23" t="inlineStr">
        <is>
          <t>p26_leviathan_sec_lev155</t>
        </is>
      </c>
      <c r="GD23" t="inlineStr">
        <is>
          <t>p26_leviathan_sec_lev155</t>
        </is>
      </c>
      <c r="GE23" t="inlineStr">
        <is>
          <t>p26_leviathan_direct_lev127</t>
        </is>
      </c>
      <c r="GF23" t="inlineStr">
        <is>
          <t>p26_leviathan_direct_lev127</t>
        </is>
      </c>
      <c r="GJ23" t="n">
        <v>2</v>
      </c>
      <c r="GK23" t="n">
        <v>0.75</v>
      </c>
      <c r="GL23" t="inlineStr">
        <is>
          <t>far;near;far</t>
        </is>
      </c>
      <c r="GM23" t="inlineStr">
        <is>
          <t>Flagship</t>
        </is>
      </c>
      <c r="GN23" t="n">
        <v>0.9678</v>
      </c>
      <c r="GO23" t="inlineStr">
        <is>
          <t>#6f777c</t>
        </is>
      </c>
      <c r="GP23" t="inlineStr">
        <is>
          <t>0.3;0.55</t>
        </is>
      </c>
      <c r="HL23" t="inlineStr">
        <is>
          <t>radio.kessler.leviathan</t>
        </is>
      </c>
      <c r="HM23" t="n">
        <v>11.2</v>
      </c>
      <c r="HN23" t="inlineStr">
        <is>
          <t>main</t>
        </is>
      </c>
      <c r="HQ23" t="n">
        <v>2.2</v>
      </c>
      <c r="HR23" t="n">
        <v>2400</v>
      </c>
      <c r="HS23" t="n">
        <v>24</v>
      </c>
      <c r="HT23" t="n">
        <v>60</v>
      </c>
      <c r="HU23" t="n">
        <v>8</v>
      </c>
      <c r="HV23" t="n">
        <v>14</v>
      </c>
      <c r="HW23" t="n">
        <v>160</v>
      </c>
      <c r="HX23" t="n">
        <v>3</v>
      </c>
      <c r="HY23" t="n">
        <v>22</v>
      </c>
      <c r="HZ23" t="n">
        <v>18</v>
      </c>
      <c r="IA23" t="n">
        <v>3.7</v>
      </c>
      <c r="IB23" t="inlineStr">
        <is>
          <t>p26_leviathan_lev406</t>
        </is>
      </c>
      <c r="IC23" t="n">
        <v>1</v>
      </c>
      <c r="IG23" t="n">
        <v>1.12</v>
      </c>
      <c r="IH23" t="inlineStr">
        <is>
          <t>leviathan_helos</t>
        </is>
      </c>
      <c r="II23" t="n">
        <v>2.6</v>
      </c>
      <c r="JU23" t="n">
        <v>8</v>
      </c>
      <c r="JV23" t="n">
        <v>36</v>
      </c>
      <c r="KF23" t="n">
        <v>120</v>
      </c>
      <c r="KH23" t="inlineStr">
        <is>
          <t>3;4</t>
        </is>
      </c>
      <c r="KI23" t="n">
        <v>1</v>
      </c>
      <c r="KJ23" t="inlineStr">
        <is>
          <t>leviathan_460</t>
        </is>
      </c>
      <c r="KK23" t="n">
        <v>1</v>
      </c>
      <c r="KL23" t="n">
        <v>14.4</v>
      </c>
      <c r="KM23" t="inlineStr">
        <is>
          <t>Assets/MachineBrigade/Resources/Data/balance.json: vehicles[153]</t>
        </is>
      </c>
      <c r="KN23" t="inlineStr">
        <is>
          <t>{"id":"leviathan","livery":"own","paint":"#6f777c","paintFinish":[0.3,0.55],"outgoingDamageMult":0.9678,"wake":{"phase":1,"mounts":[3,4]},"mountWeapons":{"0":"p26_leviathan_lev406","1":"p26_leviathan_lev406","2":"p26_leviathan_lev406","3":"p26_leviathan_sec_lev155","4":"p26_leviathan_sec_lev155","5":"p26_leviathan_direct_lev127","6":"p26_leviathan_direct_lev127"},"frame":"ship","rank":"main","size":1.12,"boss":true,"bigAttack":"leviathan_volley","general":"kessler","radioSpawn":"radio.kessler.leviathan","armour":[5,3,2,2],"hp":60900,"weaponDamage":1,"speed":2.6,"turnRate":8,"turretTurnRate":36,"radius":11.2,"length":86,"width":14.4,"scale":1.0,"cp":0,"vision":120,"captureRate":0,"firesWhileMoving":true,"weapon":"leviathan_460","mainSlot":"gun","mainAim":"Free","secondary":[{"weapon":"leviathan_460","slot":"gun","aim":"Free"},{"weapon":"leviathan_460","slot":"gun","aim":"Free","arc":[180,150]},{"weapon":"naval_155_triple","slot":"gun","aim":"Free","arc":[0,135]},{"weapon":"naval_155_triple","slot":"gun","aim":"Free","arc":[180,135]},{"weapon":"hover_ciws","slot":"mg","aim":"Free"},{"weapon":"hover_ciws","slot":"mg","aim":"Free"},{"weapon":"aa_25_triple","slot":"mg","aim":"Free"},{"weapon":"aa_25_triple","slot":"mg","aim":"Free"},{"weapon":"aa_25_triple","slot":"mg","aim":"Free"},{"weapon":"aa_25_triple","slot":"mg","aim":"Free"},{"weapon":"aa_25_triple","slot":"mg","aim":"Free"},{"weapon":"aa_25_triple","slot":"mg","aim":"Free"},{"weapon":"aa_25_triple","slot":"mg","aim":"Free"},{"weapon":"aa_25_triple","slot":"mg","aim":"Free"},{"weapon":"sam_post","slot":"missile","aim":"Free"}],"aps":{"radius":30,"charges":3,"recharge":2.2,"rockets":true},"naval":{"role":"Flagship","lanes":["far","near","far"],"escapePhase":2,"escapeSpeed":0.75},"salvo":{"every":60,"edge":24,"first":8,"warn":3.7,"shells":3,"damage":2400,"radius":14,"spread":22,"range":160,"sweep":18,"blindScatter":2.2,"weapon":"p26_leviathan_lev406"},"cruise":{"every":50,"first":20,"phase":1,"warn":5,"damage":520,"radius":10,"final":4,"weapon":"leviathan_cruise","warning":"leviathan_cruise_mark"},"craft":{"unit":"landing_craft","carries":["main_battle_tank","ifv","main_battle_tank","tank_destroyer"],"per":2,"every":40,"first":5,"phase":1,"max":3},"fleet":[{"unit":"sea_cruiser","count":1,"at":22,"abeam":-17},{"unit":"sea_corvette","count":1,"at":-27,"abeam":-16},{"unit":"missile_boat","count":3}],"air":[{"phase":1,"units":["attack_jet","attack_jet"]}],"skills":["leviathan_helos"],"phases":[{"at":0.6,"transform":2.5,"radio":"radio.kessler.leviathan.phase2"},{"at":0.25,"transform":3,"radio":"radio.kessler.leviathan.phase3","fireRate":1.25}],"parts":[{"id":"turret_fore","kind":"maingun","hp":0.05,"armour":4,"node":"Part_gun","wreck":"wreck_turret","at":[0,21.4,6.4],"radius":3.8,"mounts":[0],"radio":"radio.part.maingun"},{"id":"turret_super","kind":"maingun","hp":0.05,"armour":4,"node":"Part_gun.001","wreck":"wreck_turret","at":[0,13.0,8.2],"radius":3.8,"mounts":[1]},{"id":"turret_aft","kind":"maingun","hp":0.05,"armour":4,"node":"Part_gun.002","wreck":"wreck_turret","at":[0,-25.6,5.8],"radius":3.8,"mounts":[2]},{"id":"sec_fore","kind":"gun","hp":0.05,"armour":2,"node":"Part_sec_f","wreck":"wreck_turret","at":[0,6.0,10.5],"radius":2.4,"mounts":[3]},{"id":"sec_aft","kind":"gun","hp":0.05,"armour":2,"node":"Part_sec_a","wreck":"wreck_turret","at":[0,-19.8,7.7],"radius":2.4,"mounts":[4]},{"id":"vls","kind":"vls","hp":0.05,"armour":2,"node":"Part_vls","wreck":"wreck_launcher","at":[0,-5.6,7.8],"radius":3.8,"stops":["cruise"],"radio":"radio.part.vls"},{"id":"aa_port","kind":"flak","hp":0.05,"armour":1,"node":"Part_aa_l","wreck":"wreck_turret","at":[-6.1,-4.5,4.6],"radius":5.0,"mounts":[7,8,9,10]},{"id":"aa_starboard","kind":"flak","hp":0.05,"armour":1,"node":"Part_aa_r","wreck":"wreck_turret","at":[6.1,-4.5,4.6],"radius":5.0,"mounts":[11,12,13,14]},{"id":"ciws_fore","kind":"ciws","hp":0.05,"armour":2,"node":"Part_mg","wreck":"wreck_turret","at":[3.4,3.4,9.9],"radius":1.8,"mounts":[5],"stops":["aps"]},{"id":"ciws_aft","kind":"ciws","hp":0.05,"armour":2,"node":"Part_mg.001","wreck":"wreck_turret","at":[-2.6,-14.8,7.0],"radius":1.8,"mounts":[6],"stops":["aps"],"radio":"radio.part.ciws"},{"id":"radar","mounts":[15],"kind":"radar","hp":0.05,"armour":1,"node":"Part_radar","wreck":"wreck_stump","at":[0,1.0,19.5],"radius":2.6,"stops":["radar"],"spread":2,"affects":[5,6],"fx":"energy","radio":"radio.part.radar"},{"id":"flight_deck","kind":"flightdeck","hp":0.05,"armour":2,"node":"Part_deck","wreck":"wreck_stump","at":[0,-36.0,3.9],"radius":5.5,"skills":["leviathan_helos"],"radio":"radio.part.flightdeck"},{"id":"well_deck","kind":"welldeck","hp":0.05,"armour":2,"node":"Part_welldeck","wreck":"wreck_stump","at":[0,-42.75,1.9],"radius":3.0,"stops":["craft"],"radio":"radio.part.welldeck"},{"id":"machinery","kind":"engine","hp":0.05,"armour":3,"node":"Part_engine","wreck":"wreck_engine","at":[0,-8.5,11.5],"radius":3.2,"speed":0.65,"radio":"radio.part.machinery"}],"deathExplosion":{"damage":550,"radius":24,"delay":3.8,"tier":"Ultimate"}}</t>
        </is>
      </c>
    </row>
    <row r="24">
      <c r="A24" t="inlineStr">
        <is>
          <t>locust</t>
        </is>
      </c>
      <c r="B24" t="inlineStr">
        <is>
          <t>mini</t>
        </is>
      </c>
      <c r="C24" t="inlineStr">
        <is>
          <t>Locust · Drone Tender</t>
        </is>
      </c>
      <c r="D24" t="inlineStr">
        <is>
          <t>Locust · Tàu con drone</t>
        </is>
      </c>
      <c r="E24" t="inlineStr">
        <is>
          <t>Locust</t>
        </is>
      </c>
      <c r="F24" t="inlineStr"/>
      <c r="G24" t="inlineStr"/>
      <c r="H24" t="inlineStr"/>
      <c r="I24" t="n">
        <v>0</v>
      </c>
      <c r="J24" t="n">
        <v>45650</v>
      </c>
      <c r="K24" t="n">
        <v>38802.5</v>
      </c>
      <c r="L24" t="n">
        <v>1</v>
      </c>
      <c r="M24" t="n">
        <v>1</v>
      </c>
      <c r="N24" t="n">
        <v>1</v>
      </c>
      <c r="O24" t="n">
        <v>1</v>
      </c>
      <c r="P24" t="b">
        <v>0</v>
      </c>
      <c r="Q24" t="n">
        <v>5.2</v>
      </c>
      <c r="R24" t="n">
        <v>20</v>
      </c>
      <c r="S24" t="n">
        <v>90</v>
      </c>
      <c r="T24" t="n">
        <v>70</v>
      </c>
      <c r="U24" t="n">
        <v>9</v>
      </c>
      <c r="V24" t="inlineStr"/>
      <c r="W24" t="inlineStr"/>
      <c r="X24" t="b">
        <v>1</v>
      </c>
      <c r="Y24" t="n">
        <v>26</v>
      </c>
      <c r="Z24" t="b">
        <v>0</v>
      </c>
      <c r="AA24" t="b">
        <v>1</v>
      </c>
      <c r="AB24" t="n">
        <v>0</v>
      </c>
      <c r="AC24" t="n">
        <v>3.5</v>
      </c>
      <c r="AD24" t="n">
        <v>1</v>
      </c>
      <c r="AE24" t="inlineStr">
        <is>
          <t>locust_drones</t>
        </is>
      </c>
      <c r="AF24" t="inlineStr">
        <is>
          <t>p26_matriarch_close_boss_flak</t>
        </is>
      </c>
      <c r="AG24" t="inlineStr">
        <is>
          <t>mothership_launch;boss_flares;mothership_shield</t>
        </is>
      </c>
      <c r="AH24" t="inlineStr">
        <is>
          <t>none</t>
        </is>
      </c>
      <c r="AI24" t="inlineStr"/>
      <c r="AJ24" t="inlineStr"/>
      <c r="AK24" t="inlineStr">
        <is>
          <t>locust</t>
        </is>
      </c>
      <c r="AL24" t="inlineStr">
        <is>
          <t>doi</t>
        </is>
      </c>
      <c r="BC24" t="inlineStr">
        <is>
          <t>p26_matriarch_ma_drones</t>
        </is>
      </c>
      <c r="BD24" t="inlineStr">
        <is>
          <t>locust_drones</t>
        </is>
      </c>
      <c r="BI24" t="inlineStr">
        <is>
          <t>aircraft</t>
        </is>
      </c>
      <c r="BJ24" t="inlineStr">
        <is>
          <t>aircraft</t>
        </is>
      </c>
      <c r="BK24" t="inlineStr">
        <is>
          <t>sen</t>
        </is>
      </c>
      <c r="BL24" t="inlineStr">
        <is>
          <t>drone_mothership</t>
        </is>
      </c>
      <c r="BM24" t="n">
        <v>2</v>
      </c>
      <c r="BN24" t="n">
        <v>2</v>
      </c>
      <c r="BO24" t="inlineStr"/>
      <c r="BP24" t="inlineStr"/>
      <c r="BQ24" t="inlineStr"/>
      <c r="BR24" t="b">
        <v>0</v>
      </c>
      <c r="BS24" t="inlineStr">
        <is>
          <t>5;14;11;12</t>
        </is>
      </c>
      <c r="BT24" t="inlineStr">
        <is>
          <t>c11m07;c11m12;c12m05;c5m08;i2m02;i2m04</t>
        </is>
      </c>
      <c r="BU24" t="inlineStr">
        <is>
          <t>tuan:66;day_du:60</t>
        </is>
      </c>
      <c r="BY24" t="n">
        <v>1</v>
      </c>
      <c r="EQ24" t="inlineStr">
        <is>
          <t>sen</t>
        </is>
      </c>
      <c r="EY24" t="n">
        <v>45650</v>
      </c>
      <c r="FY24" t="inlineStr">
        <is>
          <t>locust_drones</t>
        </is>
      </c>
      <c r="GO24" t="inlineStr">
        <is>
          <t>#6a7040</t>
        </is>
      </c>
      <c r="GP24" t="inlineStr">
        <is>
          <t>0.3;0.5</t>
        </is>
      </c>
      <c r="HL24" t="inlineStr">
        <is>
          <t>radio.sen.locust</t>
        </is>
      </c>
      <c r="II24" t="n">
        <v>5.2</v>
      </c>
      <c r="JX24" t="inlineStr">
        <is>
          <t>drone_bay;flak_top</t>
        </is>
      </c>
      <c r="JY24" t="inlineStr">
        <is>
          <t>locust</t>
        </is>
      </c>
      <c r="KA24" t="inlineStr">
        <is>
          <t>drone_mothership</t>
        </is>
      </c>
      <c r="KB24" t="n">
        <v>0.4615</v>
      </c>
      <c r="KC24" t="n">
        <v>0.72</v>
      </c>
      <c r="KD24" t="n">
        <v>0.92</v>
      </c>
      <c r="KE24" t="n">
        <v>1.04</v>
      </c>
      <c r="KK24" t="n">
        <v>1.297</v>
      </c>
      <c r="KM24" t="inlineStr">
        <is>
          <t>Assets/MachineBrigade/Resources/Data/balance.json: vehicles[166]</t>
        </is>
      </c>
      <c r="KN24" t="inlineStr">
        <is>
          <t>{"id":"locust","paint":"#6a7040","paintFinish":[0.3,0.5],"wake":null,"variantOf":"drone_mothership","mountWeapons":{"0":"locust_drones"},"general":"sen","radioSpawn":"radio.sen.locust","hp":45650,"weaponDamage":1.297,"armour":1,"speed":5.2,"variant":{"size":0.4615,"keep":["drone_bay","flak_top"],"tint":[1.04,0.92,0.72],"mark":"locust","tune":{"drone_bay":{"hp":0.15},"flak_top":{"hp":0.15}}}}</t>
        </is>
      </c>
    </row>
    <row r="25">
      <c r="A25" t="inlineStr">
        <is>
          <t>mega_gunship</t>
        </is>
      </c>
      <c r="B25" t="inlineStr">
        <is>
          <t>mini</t>
        </is>
      </c>
      <c r="C25" t="inlineStr">
        <is>
          <t>Harpy · Giant Helicopter</t>
        </is>
      </c>
      <c r="D25" t="inlineStr">
        <is>
          <t>Harpy · Trực thăng khổng lồ</t>
        </is>
      </c>
      <c r="E25" t="inlineStr">
        <is>
          <t>Harpy</t>
        </is>
      </c>
      <c r="F25" t="inlineStr"/>
      <c r="G25" t="inlineStr"/>
      <c r="H25" t="inlineStr"/>
      <c r="I25" t="n">
        <v>0</v>
      </c>
      <c r="J25" t="n">
        <v>29950</v>
      </c>
      <c r="K25" t="n">
        <v>25457.5</v>
      </c>
      <c r="L25" t="n">
        <v>2</v>
      </c>
      <c r="M25" t="n">
        <v>2</v>
      </c>
      <c r="N25" t="n">
        <v>2</v>
      </c>
      <c r="O25" t="n">
        <v>2</v>
      </c>
      <c r="P25" t="b">
        <v>0</v>
      </c>
      <c r="Q25" t="n">
        <v>6</v>
      </c>
      <c r="R25" t="n">
        <v>50</v>
      </c>
      <c r="S25" t="n">
        <v>360</v>
      </c>
      <c r="T25" t="n">
        <v>55</v>
      </c>
      <c r="U25" t="n">
        <v>7</v>
      </c>
      <c r="V25" t="inlineStr"/>
      <c r="W25" t="inlineStr"/>
      <c r="X25" t="b">
        <v>1</v>
      </c>
      <c r="Y25" t="n">
        <v>20</v>
      </c>
      <c r="Z25" t="b">
        <v>0</v>
      </c>
      <c r="AA25" t="b">
        <v>1</v>
      </c>
      <c r="AB25" t="n">
        <v>0</v>
      </c>
      <c r="AC25" t="n">
        <v>3.5</v>
      </c>
      <c r="AD25" t="n">
        <v>1</v>
      </c>
      <c r="AE25" t="inlineStr">
        <is>
          <t>gunship_rockets</t>
        </is>
      </c>
      <c r="AF25" t="inlineStr">
        <is>
          <t>boss_heli_gun;boss_heli_gun;boss_minigun;gunship_rockets;boss_hmg;boss_hmg</t>
        </is>
      </c>
      <c r="AG25" t="inlineStr">
        <is>
          <t>boss_flares;boss_rage</t>
        </is>
      </c>
      <c r="AH25" t="inlineStr">
        <is>
          <t>none</t>
        </is>
      </c>
      <c r="AI25" t="inlineStr"/>
      <c r="AJ25" t="inlineStr"/>
      <c r="AK25" t="inlineStr">
        <is>
          <t>mega_gunship</t>
        </is>
      </c>
      <c r="AL25" t="inlineStr">
        <is>
          <t>giong</t>
        </is>
      </c>
      <c r="BI25" t="inlineStr">
        <is>
          <t>aircraft</t>
        </is>
      </c>
      <c r="BJ25" t="inlineStr">
        <is>
          <t>aircraft</t>
        </is>
      </c>
      <c r="BK25" t="inlineStr">
        <is>
          <t>quaden</t>
        </is>
      </c>
      <c r="BL25" t="inlineStr"/>
      <c r="BM25" t="n">
        <v>7</v>
      </c>
      <c r="BN25" t="n">
        <v>7</v>
      </c>
      <c r="BO25" t="inlineStr"/>
      <c r="BP25" t="inlineStr"/>
      <c r="BQ25" t="inlineStr"/>
      <c r="BR25" t="b">
        <v>1</v>
      </c>
      <c r="BS25" t="inlineStr">
        <is>
          <t>3;15;10</t>
        </is>
      </c>
      <c r="BT25" t="inlineStr">
        <is>
          <t>c10m12;c3m05;i3m02</t>
        </is>
      </c>
      <c r="BU25" t="inlineStr">
        <is>
          <t>tuan:66;day_du:60</t>
        </is>
      </c>
      <c r="BW25" t="n">
        <v>20</v>
      </c>
      <c r="BY25" t="n">
        <v>2</v>
      </c>
      <c r="CH25" t="b">
        <v>1</v>
      </c>
      <c r="CW25" t="n">
        <v>0</v>
      </c>
      <c r="CX25" t="n">
        <v>0</v>
      </c>
      <c r="DV25" t="n">
        <v>350</v>
      </c>
      <c r="DW25" t="n">
        <v>2.6</v>
      </c>
      <c r="DX25" t="n">
        <v>15</v>
      </c>
      <c r="DY25" t="inlineStr">
        <is>
          <t>Ultimate</t>
        </is>
      </c>
      <c r="DZ25" t="inlineStr">
        <is>
          <t>minigun_l;missiles</t>
        </is>
      </c>
      <c r="EA25" t="b">
        <v>0</v>
      </c>
      <c r="EN25" t="b">
        <v>1</v>
      </c>
      <c r="EO25" t="b">
        <v>1</v>
      </c>
      <c r="EP25" t="inlineStr">
        <is>
          <t>aircraft</t>
        </is>
      </c>
      <c r="EQ25" t="inlineStr">
        <is>
          <t>quaden</t>
        </is>
      </c>
      <c r="EY25" t="n">
        <v>29950</v>
      </c>
      <c r="FK25" t="inlineStr">
        <is>
          <t>hydra</t>
        </is>
      </c>
      <c r="FL25" t="inlineStr">
        <is>
          <t>rocket</t>
        </is>
      </c>
      <c r="GO25" t="inlineStr">
        <is>
          <t>#59605a</t>
        </is>
      </c>
      <c r="GP25" t="inlineStr">
        <is>
          <t>0.3;0.5</t>
        </is>
      </c>
      <c r="HL25" t="inlineStr">
        <is>
          <t>radio.quaden.harpy</t>
        </is>
      </c>
      <c r="HM25" t="n">
        <v>7</v>
      </c>
      <c r="HN25" t="inlineStr">
        <is>
          <t>mini</t>
        </is>
      </c>
      <c r="IC25" t="n">
        <v>1.35</v>
      </c>
      <c r="IG25" t="n">
        <v>0.85</v>
      </c>
      <c r="IH25" t="inlineStr">
        <is>
          <t>boss_flares;boss_rage</t>
        </is>
      </c>
      <c r="II25" t="n">
        <v>6</v>
      </c>
      <c r="JU25" t="n">
        <v>50</v>
      </c>
      <c r="JV25" t="n">
        <v>360</v>
      </c>
      <c r="KF25" t="n">
        <v>55</v>
      </c>
      <c r="KJ25" t="inlineStr">
        <is>
          <t>gunship_rockets</t>
        </is>
      </c>
      <c r="KK25" t="n">
        <v>2.496</v>
      </c>
      <c r="KM25" t="inlineStr">
        <is>
          <t>Assets/MachineBrigade/Resources/Data/balance.json: vehicles[141]</t>
        </is>
      </c>
      <c r="KN25" t="inlineStr">
        <is>
          <t>{"id":"mega_gunship","paint":"#59605a","paintFinish":[0.3,0.5],"duel":{"escorts":false},"frame":"aircraft","rank":"mini","general":"quaden","size":0.85,"dropParts":["minigun_l","missiles"],"radioSpawn":"radio.quaden.harpy","scale":1.35,"armour":2,"hp":29950,"weaponDamage":2.496,"speed":6,"turnRate":50,"turretTurnRate":360,"radius":7,"cp":0,"vision":55,"firesWhileMoving":true,"weapon":"gunship_rockets","mainSlot":"rocket","mainModel":"hydra","flying":true,"altitude":20,"captureRate":0,"boss":true,"skills":["boss_flares","boss_rage"],"secondary":[{"weapon":"boss_heli_gun","slot":"gun","aim":"Free","arc":[-45,70]},{"weapon":"boss_heli_gun","slot":"gun","aim":"Free","arc":[45,70]},{"weapon":"boss_missiles","slot":"missile","aim":"Hull"},{"weapon":"boss_minigun","slot":"mg","aim":"Free"},{"weapon":"boss_minigun","slot":"mg","aim":"Free"},{"weapon":"gunship_rockets","slot":"rocket","model":"hydra","aim":"Hull"},{"weapon":"boss_hmg","slot":"mg","aim":"Free"},{"weapon":"boss_hmg","slot":"mg","aim":"Free"}],"parts":[{"id":"gun_l","kind":"gun","hp":0.08,"armour":2,"node":"Mount_gun","wreck":"wreck_turret","at":[-2.3,1.05,0.95],"radius":1.5,"mounts":[1]},{"id":"gun_r","kind":"gun","hp":0.08,"armour":2,"node":"Mount_gun.001","wreck":"wreck_turret","at":[2.3,1.05,0.95],"radius":1.5,"mounts":[2]},{"id":"minigun_l","kind":"minigun","hp":0.08,"armour":2,"node":"Mount_mg","wreck":"wreck_turret","at":[-1.52,4.6,1.9],"radius":1.5,"mounts":[4]},{"id":"minigun_r","kind":"minigun","hp":0.08,"armour":2,"node":"Mount_mg.001","wreck":"wreck_turret","at":[1.52,4.6,1.9],"radius":1.5,"mounts":[5]},{"id":"pod_l","kind":"rockets","hp":0.08,"armour":2,"node":"Part_pod","wreck":"wreck_launcher","at":[-3.2,-0.1,1.14],"radius":1.6,"mounts":[0]},{"id":"pod_r","kind":"rockets","hp":0.08,"armour":2,"node":"Part_pod.001","wreck":"wreck_launcher","at":[3.2,-0.1,1.14],"radius":1.6,"mounts":[6]},{"id":"missiles","kind":"missiles","hp":0.08,"armour":2,"node":"Part_missiles","wreck":"wreck_launcher","at":[0,0.1,1.42],"radius":1.4,"mounts":[3]},{"id":"rotor_rear","kind":"rotor","hp":0.1,"armour":1,"node":"Rotor_rear","wreck":"wreck_stump","at":[0,-6.7,5.7],"radius":3.0,"turn":0.5}],"deathExplosion":{"damage":350,"radius":15,"delay":2.6,"tier":"Ultimate"}}</t>
        </is>
      </c>
    </row>
    <row r="26">
      <c r="A26" t="inlineStr">
        <is>
          <t>mobile_fortress</t>
        </is>
      </c>
      <c r="B26" t="inlineStr">
        <is>
          <t>main</t>
        </is>
      </c>
      <c r="C26" t="inlineStr">
        <is>
          <t>Jötunn · Mobile Fortress</t>
        </is>
      </c>
      <c r="D26" t="inlineStr">
        <is>
          <t>Jötunn · Pháo đài di động</t>
        </is>
      </c>
      <c r="E26" t="inlineStr">
        <is>
          <t>Jötunn</t>
        </is>
      </c>
      <c r="F26" t="inlineStr"/>
      <c r="G26" t="inlineStr"/>
      <c r="H26" t="inlineStr"/>
      <c r="I26" t="n">
        <v>0</v>
      </c>
      <c r="J26" t="n">
        <v>45320</v>
      </c>
      <c r="K26" t="n">
        <v>38522</v>
      </c>
      <c r="L26" t="n">
        <v>5</v>
      </c>
      <c r="M26" t="n">
        <v>3</v>
      </c>
      <c r="N26" t="n">
        <v>2</v>
      </c>
      <c r="O26" t="n">
        <v>2</v>
      </c>
      <c r="P26" t="b">
        <v>0</v>
      </c>
      <c r="Q26" t="n">
        <v>1.8</v>
      </c>
      <c r="R26" t="n">
        <v>20</v>
      </c>
      <c r="S26" t="n">
        <v>25</v>
      </c>
      <c r="T26" t="n">
        <v>60</v>
      </c>
      <c r="U26" t="n">
        <v>7.5</v>
      </c>
      <c r="V26" t="n">
        <v>19.308</v>
      </c>
      <c r="W26" t="n">
        <v>10.92</v>
      </c>
      <c r="X26" t="b">
        <v>0</v>
      </c>
      <c r="Y26" t="n">
        <v>0</v>
      </c>
      <c r="Z26" t="b">
        <v>0</v>
      </c>
      <c r="AA26" t="b">
        <v>1</v>
      </c>
      <c r="AB26" t="n">
        <v>0</v>
      </c>
      <c r="AC26" t="n">
        <v>3.5</v>
      </c>
      <c r="AD26" t="n">
        <v>0.9508</v>
      </c>
      <c r="AE26" t="inlineStr">
        <is>
          <t>p26_jotunn_jo203</t>
        </is>
      </c>
      <c r="AF26" t="inlineStr">
        <is>
          <t>p26_jotunn_sec_jo_rockets;p26_jotunn_sec_jo_rockets;p26_jotunn_close_boss_flak;p26_jotunn_close_boss_flak;p26_jotunn_direct_jo125;p26_jotunn_tiny_twin_30_flak;p26_jotunn_jo203;sam_post</t>
        </is>
      </c>
      <c r="AG26" t="inlineStr">
        <is>
          <t>fortress_barrage;boss_emp</t>
        </is>
      </c>
      <c r="AH26" t="inlineStr">
        <is>
          <t>none</t>
        </is>
      </c>
      <c r="AI26" t="inlineStr"/>
      <c r="AJ26" t="inlineStr"/>
      <c r="AK26" t="inlineStr">
        <is>
          <t>mobile_fortress</t>
        </is>
      </c>
      <c r="AL26" t="inlineStr">
        <is>
          <t>doi</t>
        </is>
      </c>
      <c r="AO26" t="n">
        <v>41200</v>
      </c>
      <c r="AP26" t="n">
        <v>45320</v>
      </c>
      <c r="BG26" t="n">
        <v>1</v>
      </c>
      <c r="BH26" t="n">
        <v>0.9508</v>
      </c>
      <c r="BI26" t="inlineStr">
        <is>
          <t>tracked</t>
        </is>
      </c>
      <c r="BJ26" t="inlineStr">
        <is>
          <t>tracked</t>
        </is>
      </c>
      <c r="BK26" t="inlineStr">
        <is>
          <t>orlov</t>
        </is>
      </c>
      <c r="BL26" t="inlineStr"/>
      <c r="BM26" t="n">
        <v>9</v>
      </c>
      <c r="BN26" t="n">
        <v>9</v>
      </c>
      <c r="BO26" t="inlineStr">
        <is>
          <t>fortress_203_barrage</t>
        </is>
      </c>
      <c r="BP26" t="n">
        <v>50</v>
      </c>
      <c r="BQ26" t="inlineStr">
        <is>
          <t>group</t>
        </is>
      </c>
      <c r="BR26" t="b">
        <v>1</v>
      </c>
      <c r="BS26" t="inlineStr">
        <is>
          <t>3</t>
        </is>
      </c>
      <c r="BT26" t="inlineStr"/>
      <c r="BU26" t="inlineStr">
        <is>
          <t>tuan:168;day_du:150</t>
        </is>
      </c>
      <c r="BZ26" t="n">
        <v>5</v>
      </c>
      <c r="CA26" t="n">
        <v>2</v>
      </c>
      <c r="CB26" t="n">
        <v>3</v>
      </c>
      <c r="CC26" t="n">
        <v>2</v>
      </c>
      <c r="CD26" t="inlineStr">
        <is>
          <t>fortress_203_barrage</t>
        </is>
      </c>
      <c r="CH26" t="b">
        <v>1</v>
      </c>
      <c r="CW26" t="n">
        <v>0</v>
      </c>
      <c r="CX26" t="n">
        <v>0</v>
      </c>
      <c r="DV26" t="n">
        <v>450</v>
      </c>
      <c r="DW26" t="n">
        <v>2.6</v>
      </c>
      <c r="DX26" t="n">
        <v>20</v>
      </c>
      <c r="DY26" t="inlineStr">
        <is>
          <t>Ultimate</t>
        </is>
      </c>
      <c r="EN26" t="b">
        <v>1</v>
      </c>
      <c r="EP26" t="inlineStr">
        <is>
          <t>tracked</t>
        </is>
      </c>
      <c r="EQ26" t="inlineStr">
        <is>
          <t>orlov</t>
        </is>
      </c>
      <c r="ES26" t="n">
        <v>4</v>
      </c>
      <c r="ET26" t="n">
        <v>180</v>
      </c>
      <c r="EU26" t="n">
        <v>5</v>
      </c>
      <c r="EV26" t="n">
        <v>6</v>
      </c>
      <c r="EW26" t="n">
        <v>15</v>
      </c>
      <c r="EY26" t="n">
        <v>45320</v>
      </c>
      <c r="FH26" t="n">
        <v>16.09</v>
      </c>
      <c r="FY26" t="inlineStr">
        <is>
          <t>p26_jotunn_jo203</t>
        </is>
      </c>
      <c r="FZ26" t="inlineStr">
        <is>
          <t>p26_jotunn_sec_jo_rockets</t>
        </is>
      </c>
      <c r="GB26" t="inlineStr">
        <is>
          <t>p26_jotunn_sec_jo_rockets</t>
        </is>
      </c>
      <c r="GC26" t="inlineStr">
        <is>
          <t>p26_jotunn_close_boss_flak</t>
        </is>
      </c>
      <c r="GD26" t="inlineStr">
        <is>
          <t>p26_jotunn_close_boss_flak</t>
        </is>
      </c>
      <c r="GE26" t="inlineStr">
        <is>
          <t>p26_jotunn_direct_jo125</t>
        </is>
      </c>
      <c r="GF26" t="inlineStr">
        <is>
          <t>p26_jotunn_tiny_twin_30_flak</t>
        </is>
      </c>
      <c r="GG26" t="inlineStr">
        <is>
          <t>p26_jotunn_jo203</t>
        </is>
      </c>
      <c r="GN26" t="n">
        <v>0.9508</v>
      </c>
      <c r="GO26" t="inlineStr">
        <is>
          <t>#8a7d5c</t>
        </is>
      </c>
      <c r="GP26" t="inlineStr">
        <is>
          <t>0.25;0.6</t>
        </is>
      </c>
      <c r="HL26" t="inlineStr">
        <is>
          <t>radio.orlov.fortress</t>
        </is>
      </c>
      <c r="HM26" t="n">
        <v>7.5</v>
      </c>
      <c r="HN26" t="inlineStr">
        <is>
          <t>main</t>
        </is>
      </c>
      <c r="IC26" t="n">
        <v>1.2</v>
      </c>
      <c r="IG26" t="n">
        <v>1.657</v>
      </c>
      <c r="IH26" t="inlineStr">
        <is>
          <t>fortress_barrage;boss_emp</t>
        </is>
      </c>
      <c r="II26" t="n">
        <v>1.8</v>
      </c>
      <c r="JU26" t="n">
        <v>20</v>
      </c>
      <c r="JV26" t="n">
        <v>25</v>
      </c>
      <c r="KF26" t="n">
        <v>60</v>
      </c>
      <c r="KH26" t="inlineStr">
        <is>
          <t>1;2</t>
        </is>
      </c>
      <c r="KI26" t="n">
        <v>1</v>
      </c>
      <c r="KJ26" t="inlineStr">
        <is>
          <t>boss_howitzer</t>
        </is>
      </c>
      <c r="KK26" t="n">
        <v>1</v>
      </c>
      <c r="KL26" t="n">
        <v>9.1</v>
      </c>
      <c r="KM26" t="inlineStr">
        <is>
          <t>Assets/MachineBrigade/Resources/Data/balance.json: vehicles[139]</t>
        </is>
      </c>
      <c r="KN26" t="inlineStr">
        <is>
          <t>{"id":"mobile_fortress","paint":"#8a7d5c","paintFinish":[0.25,0.6],"outgoingDamageMult":0.9508,"guard":{"radius":15,"count":4,"every":5,"damage":180,"pad":6},"wake":{"phase":1,"mounts":[1,2]},"mountWeapons":{"0":"p26_jotunn_jo203","1":"p26_jotunn_sec_jo_rockets","2":"p26_jotunn_sec_jo_rockets","3":"p26_jotunn_close_boss_flak","4":"p26_jotunn_close_boss_flak","5":"p26_jotunn_direct_jo125","6":"p26_jotunn_tiny_twin_30_flak","7":"p26_jotunn_jo203"},"frame":"tracked","rank":"main","general":"orlov","size":1.657,"radioSpawn":"radio.orlov.fortress","scale":1.2,"armour":[5,3,2,2],"hp":45320,"weaponDamage":1,"speed":1.8,"turnRate":20,"turretTurnRate":25,"radius":7.5,"length":16.09,"width":9.1,"cp":0,"vision":60,"firesWhileMoving":true,"weapon":"boss_howitzer","captureRate":0,"boss":true,"bigAttack":"fortress_203_barrage","skills":["fortress_barrage","boss_emp"],"secondary":[{"weapon":"boss_rockets","slot":"rocket","aim":"Free"},{"weapon":"boss_rockets","slot":"rocket","aim":"Free"},{"weapon":"boss_flak","slot":"mg","aim":"Free"},{"weapon":"boss_flak","slot":"mg","aim":"Free"},{"weapon":"boss_missiles","slot":"missile","aim":"Hull"},{"weapon":"twin_30_flak","slot":"mg","aim":"Free"}],"parts":[{"id":"howitzer","kind":"howitzer","hp":0.09,"armour":3,"node":"Main_cannon|Muzzle_brake","wreck":"wreck_barrel","at":[0,4.0,7.0],"radius":3.0,"mounts":[0],"skills":["fortress_barrage"],"radio":"radio.part.maingun"},{"id":"rockets_l","kind":"rockets","hp":0.07,"armour":2,"node":"Mount_rocket","wreck":"wreck_launcher","at":[-2.15,-6.0,5.0],"radius":1.8,"mounts":[1]},{"id":"rockets_r","kind":"rockets","hp":0.07,"armour":2,"node":"Mount_rocket.001","wreck":"wreck_launcher","at":[2.15,-6.0,5.0],"radius":1.8,"mounts":[2]},{"id":"flak_l","kind":"flak","hp":0.07,"armour":2,"node":"Mount_mg","wreck":"wreck_turret","at":[-3.2,6.0,4.6],"radius":1.8,"mounts":[3]},{"id":"flak_r","kind":"flak","hp":0.07,"armour":2,"node":"Mount_mg.001","wreck":"wreck_turret","at":[3.2,6.0,4.6],"radius":1.8,"mounts":[4,6]},{"id":"missiles","kind":"missiles","hp":0.07,"armour":2,"wreck":"wreck_launcher","at":[0,9.0,3.3],"radius":1.8,"mounts":[5]},{"id":"emp","kind":"emp","hp":0.07,"armour":1,"node":"Radar","wreck":"wreck_stump","at":[0,-4.2,7.7],"radius":2.0,"skills":["boss_emp"]},{"use":"howitzer_203","id":"howitzer_2","node":"Mount_gun","at":[0,-2.1,7.7]},{"use":"sam_medium","id":"sam","node":"Mount_missile.001","at":[1.25,5.5,6.3]}],"deathExplosion":{"damage":450,"radius":20,"delay":2.6,"tier":"Ultimate"}}</t>
        </is>
      </c>
    </row>
    <row r="27">
      <c r="A27" t="inlineStr">
        <is>
          <t>moloch</t>
        </is>
      </c>
      <c r="B27" t="inlineStr">
        <is>
          <t>main</t>
        </is>
      </c>
      <c r="C27" t="inlineStr">
        <is>
          <t>Moloch · Mobile Factory</t>
        </is>
      </c>
      <c r="D27" t="inlineStr">
        <is>
          <t>Moloch · Nhà máy di động</t>
        </is>
      </c>
      <c r="E27" t="inlineStr">
        <is>
          <t>Moloch</t>
        </is>
      </c>
      <c r="F27" t="inlineStr"/>
      <c r="G27" t="inlineStr"/>
      <c r="H27" t="inlineStr"/>
      <c r="I27" t="n">
        <v>0</v>
      </c>
      <c r="J27" t="n">
        <v>93860</v>
      </c>
      <c r="K27" t="n">
        <v>79781</v>
      </c>
      <c r="L27" t="n">
        <v>5</v>
      </c>
      <c r="M27" t="n">
        <v>3</v>
      </c>
      <c r="N27" t="n">
        <v>2</v>
      </c>
      <c r="O27" t="n">
        <v>2</v>
      </c>
      <c r="P27" t="b">
        <v>0</v>
      </c>
      <c r="Q27" t="n">
        <v>1.2</v>
      </c>
      <c r="R27" t="n">
        <v>14</v>
      </c>
      <c r="S27" t="n">
        <v>30</v>
      </c>
      <c r="T27" t="n">
        <v>60</v>
      </c>
      <c r="U27" t="n">
        <v>11</v>
      </c>
      <c r="V27" t="n">
        <v>24</v>
      </c>
      <c r="W27" t="n">
        <v>13</v>
      </c>
      <c r="X27" t="b">
        <v>0</v>
      </c>
      <c r="Y27" t="n">
        <v>0</v>
      </c>
      <c r="Z27" t="b">
        <v>0</v>
      </c>
      <c r="AA27" t="b">
        <v>1</v>
      </c>
      <c r="AB27" t="n">
        <v>1</v>
      </c>
      <c r="AC27" t="n">
        <v>3.5</v>
      </c>
      <c r="AD27" t="n">
        <v>1.6957</v>
      </c>
      <c r="AE27" t="inlineStr">
        <is>
          <t>p26_moloch_main_mo120</t>
        </is>
      </c>
      <c r="AF27" t="inlineStr">
        <is>
          <t>p26_moloch_tiny_zu23;p26_moloch_tiny_zu23;p26_moloch_main_mo120;p26_moloch_direct_mo120ap;p26_moloch_direct_mo120ap;p26_moloch_close_boss_flak</t>
        </is>
      </c>
      <c r="AG27" t="inlineStr">
        <is>
          <t>boss_bulwark</t>
        </is>
      </c>
      <c r="AH27" t="inlineStr">
        <is>
          <t>none</t>
        </is>
      </c>
      <c r="AI27" t="inlineStr"/>
      <c r="AJ27" t="inlineStr"/>
      <c r="AK27" t="inlineStr">
        <is>
          <t>moloch</t>
        </is>
      </c>
      <c r="AL27" t="inlineStr">
        <is>
          <t>doi</t>
        </is>
      </c>
      <c r="AO27" t="n">
        <v>74100</v>
      </c>
      <c r="AP27" t="n">
        <v>93860</v>
      </c>
      <c r="BG27" t="n">
        <v>1</v>
      </c>
      <c r="BH27" t="n">
        <v>1.6957</v>
      </c>
      <c r="BI27" t="inlineStr">
        <is>
          <t>tracked</t>
        </is>
      </c>
      <c r="BJ27" t="inlineStr">
        <is>
          <t>tracked</t>
        </is>
      </c>
      <c r="BK27" t="inlineStr">
        <is>
          <t>varga</t>
        </is>
      </c>
      <c r="BL27" t="inlineStr"/>
      <c r="BM27" t="n">
        <v>7</v>
      </c>
      <c r="BN27" t="n">
        <v>13</v>
      </c>
      <c r="BO27" t="inlineStr">
        <is>
          <t>moloch_factory_dump</t>
        </is>
      </c>
      <c r="BP27" t="n">
        <v>50</v>
      </c>
      <c r="BQ27" t="inlineStr">
        <is>
          <t>group</t>
        </is>
      </c>
      <c r="BR27" t="b">
        <v>0</v>
      </c>
      <c r="BS27" t="inlineStr">
        <is>
          <t>6;8</t>
        </is>
      </c>
      <c r="BT27" t="inlineStr"/>
      <c r="BU27" t="inlineStr">
        <is>
          <t>tuan:168;day_du:150</t>
        </is>
      </c>
      <c r="BZ27" t="n">
        <v>5</v>
      </c>
      <c r="CA27" t="n">
        <v>2</v>
      </c>
      <c r="CB27" t="n">
        <v>3</v>
      </c>
      <c r="CC27" t="n">
        <v>2</v>
      </c>
      <c r="CD27" t="inlineStr">
        <is>
          <t>moloch_factory_dump</t>
        </is>
      </c>
      <c r="CH27" t="b">
        <v>1</v>
      </c>
      <c r="DV27" t="n">
        <v>480</v>
      </c>
      <c r="DW27" t="n">
        <v>2.6</v>
      </c>
      <c r="DX27" t="n">
        <v>22</v>
      </c>
      <c r="DY27" t="inlineStr">
        <is>
          <t>Ultimate</t>
        </is>
      </c>
      <c r="EB27" t="n">
        <v>6</v>
      </c>
      <c r="EC27" t="inlineStr">
        <is>
          <t>door_l;door_r</t>
        </is>
      </c>
      <c r="ED27" t="n">
        <v>20</v>
      </c>
      <c r="EE27" t="n">
        <v>12</v>
      </c>
      <c r="EF27" t="n">
        <v>60</v>
      </c>
      <c r="EG27" t="n">
        <v>2</v>
      </c>
      <c r="EH27" t="n">
        <v>1</v>
      </c>
      <c r="EI27" t="inlineStr">
        <is>
          <t>light_tank,ifv,armored_car;main_battle_tank,ifv,light_tank;main_battle_tank,heavy_tank,ifv</t>
        </is>
      </c>
      <c r="EP27" t="inlineStr">
        <is>
          <t>tracked</t>
        </is>
      </c>
      <c r="EQ27" t="inlineStr">
        <is>
          <t>varga</t>
        </is>
      </c>
      <c r="ES27" t="n">
        <v>4</v>
      </c>
      <c r="ET27" t="n">
        <v>250</v>
      </c>
      <c r="EU27" t="n">
        <v>5</v>
      </c>
      <c r="EV27" t="n">
        <v>6</v>
      </c>
      <c r="EW27" t="n">
        <v>15</v>
      </c>
      <c r="EY27" t="n">
        <v>93860</v>
      </c>
      <c r="FH27" t="n">
        <v>24</v>
      </c>
      <c r="FU27" t="inlineStr">
        <is>
          <t>moloch</t>
        </is>
      </c>
      <c r="FY27" t="inlineStr">
        <is>
          <t>p26_moloch_main_mo120</t>
        </is>
      </c>
      <c r="FZ27" t="inlineStr">
        <is>
          <t>p26_moloch_tiny_zu23</t>
        </is>
      </c>
      <c r="GB27" t="inlineStr">
        <is>
          <t>p26_moloch_tiny_zu23</t>
        </is>
      </c>
      <c r="GC27" t="inlineStr">
        <is>
          <t>p26_moloch_main_mo120</t>
        </is>
      </c>
      <c r="GD27" t="inlineStr">
        <is>
          <t>p26_moloch_direct_mo120ap</t>
        </is>
      </c>
      <c r="GE27" t="inlineStr">
        <is>
          <t>p26_moloch_direct_mo120ap</t>
        </is>
      </c>
      <c r="GF27" t="inlineStr">
        <is>
          <t>p26_moloch_close_boss_flak</t>
        </is>
      </c>
      <c r="GN27" t="n">
        <v>1.6957</v>
      </c>
      <c r="GO27" t="inlineStr">
        <is>
          <t>#5a2f2a</t>
        </is>
      </c>
      <c r="GP27" t="inlineStr">
        <is>
          <t>0.35;0.5</t>
        </is>
      </c>
      <c r="HL27" t="inlineStr">
        <is>
          <t>radio.varga.moloch</t>
        </is>
      </c>
      <c r="HM27" t="n">
        <v>11</v>
      </c>
      <c r="HN27" t="inlineStr">
        <is>
          <t>main</t>
        </is>
      </c>
      <c r="IG27" t="n">
        <v>1.5103</v>
      </c>
      <c r="IH27" t="inlineStr">
        <is>
          <t>boss_bulwark</t>
        </is>
      </c>
      <c r="II27" t="n">
        <v>1.2</v>
      </c>
      <c r="JU27" t="n">
        <v>14</v>
      </c>
      <c r="JV27" t="n">
        <v>30</v>
      </c>
      <c r="KF27" t="n">
        <v>60</v>
      </c>
      <c r="KJ27" t="inlineStr">
        <is>
          <t>gun_120mm</t>
        </is>
      </c>
      <c r="KK27" t="n">
        <v>1</v>
      </c>
      <c r="KL27" t="n">
        <v>13</v>
      </c>
      <c r="KM27" t="inlineStr">
        <is>
          <t>Assets/MachineBrigade/Resources/Data/balance.json: vehicles[159]</t>
        </is>
      </c>
      <c r="KN27" t="inlineStr">
        <is>
          <t>{"id":"moloch","paint":"#5a2f2a","paintFinish":[0.35,0.5],"outgoingDamageMult":1.6957,"size":1.5103,"guard":{"radius":15,"count":4,"every":5,"damage":250,"pad":6},"mountWeapons":{"0":"p26_moloch_main_mo120","1":"p26_moloch_tiny_zu23","2":"p26_moloch_tiny_zu23","3":"p26_moloch_main_mo120","4":"p26_moloch_direct_mo120ap","5":"p26_moloch_direct_mo120ap","6":"p26_moloch_close_boss_flak"},"frame":"tracked","rank":"main","general":"varga","boss":true,"bigAttack":"moloch_factory_dump","radioSpawn":"radio.varga.moloch","model":"moloch","armour":[5,3,2,2],"hp":93860,"weaponDamage":1,"speed":1.2,"turnRate":14,"turretTurnRate":30,"radius":11,"length":24,"width":13,"vision":60,"weapon":"gun_120mm","secondary":[{"weapon":"zu23","slot":"mg","aim":"Free"},{"weapon":"zu23","slot":"mg","aim":"Free"}],"skills":["boss_bulwark"],"factory":{"first":12,"every":20,"min":1,"max":2,"grow":60,"cap":6,"doors":["door_l","door_r"],"units":[["light_tank","ifv","armored_car"],["main_battle_tank","ifv","light_tank"],["main_battle_tank","heavy_tank","ifv"]]},"parts":[{"use":"turret_120","id":"turret_fl","mounts":[0],"node":"Turret","at":[-4.4,7.6,7.4],"radio":"radio.part.maingun"},{"use":"turret_120","id":"turret_fr","node":"Mount_gun","at":[4.4,7.6,7.4]},{"use":"turret_120","id":"turret_rl","node":"Mount_gun.001","at":[-4.4,-4.6,7.4]},{"use":"turret_120","id":"turret_rr","node":"Mount_gun.002","at":[4.4,-4.6,7.4]},{"use":"flak_35","id":"flak","node":"Mount_mg","at":[0,1.4,9.4]},{"use":"workshop_door","id":"door_l","node":"Part_door_l","at":[-3.0,-11.8,2.8]},{"use":"workshop_door","id":"door_r","node":"Part_door_r","at":[3.0,-11.8,2.8]},{"use":"tracks","id":"track_l","node":"Part_track_l","at":[-6.0,0,1.4],"speed":0.8},{"use":"tracks","id":"track_r","node":"Part_track_r","at":[6.0,0,1.4],"speed":0.8}],"deathExplosion":{"damage":480,"radius":22,"delay":2.6,"tier":"Ultimate"}}</t>
        </is>
      </c>
    </row>
    <row r="28">
      <c r="A28" t="inlineStr">
        <is>
          <t>monster</t>
        </is>
      </c>
      <c r="B28" t="inlineStr">
        <is>
          <t>main</t>
        </is>
      </c>
      <c r="C28" t="inlineStr">
        <is>
          <t>Monster · 800 mm Self-Propelled Gun</t>
        </is>
      </c>
      <c r="D28" t="inlineStr">
        <is>
          <t>Monster · Pháo tự hành 800 mm</t>
        </is>
      </c>
      <c r="E28" t="inlineStr">
        <is>
          <t>Monster</t>
        </is>
      </c>
      <c r="F28" t="inlineStr"/>
      <c r="G28" t="inlineStr"/>
      <c r="H28" t="inlineStr"/>
      <c r="I28" t="n">
        <v>0</v>
      </c>
      <c r="J28" t="n">
        <v>158087</v>
      </c>
      <c r="K28" t="n">
        <v>134373.95</v>
      </c>
      <c r="L28" t="n">
        <v>5</v>
      </c>
      <c r="M28" t="n">
        <v>3</v>
      </c>
      <c r="N28" t="n">
        <v>2</v>
      </c>
      <c r="O28" t="n">
        <v>3</v>
      </c>
      <c r="P28" t="b">
        <v>0</v>
      </c>
      <c r="Q28" t="n">
        <v>0.8</v>
      </c>
      <c r="R28" t="n">
        <v>18</v>
      </c>
      <c r="S28" t="n">
        <v>22</v>
      </c>
      <c r="T28" t="n">
        <v>64</v>
      </c>
      <c r="U28" t="n">
        <v>7.5</v>
      </c>
      <c r="V28" t="n">
        <v>19.884</v>
      </c>
      <c r="W28" t="n">
        <v>10.92</v>
      </c>
      <c r="X28" t="b">
        <v>0</v>
      </c>
      <c r="Y28" t="n">
        <v>0</v>
      </c>
      <c r="Z28" t="b">
        <v>0</v>
      </c>
      <c r="AA28" t="b">
        <v>1</v>
      </c>
      <c r="AB28" t="n">
        <v>0</v>
      </c>
      <c r="AC28" t="n">
        <v>3.5</v>
      </c>
      <c r="AD28" t="n">
        <v>1</v>
      </c>
      <c r="AE28" t="inlineStr">
        <is>
          <t>p26_bastion_sec_b240</t>
        </is>
      </c>
      <c r="AF28" t="inlineStr">
        <is>
          <t>p26_bastion_direct_b100;p26_bastion_direct_b100;p26_bastion_tiny_autocannon_40;p26_bastion_tiny_autocannon_40;p26_bastion_tiny_kornet_twin;p26_bastion_close_boss_hmg;p26_bastion_close_boss_hmg;p26_bastion_main_b155;p26_bastion_tiny_zu23;p26_bastion_tiny_zu23</t>
        </is>
      </c>
      <c r="AG28" t="inlineStr">
        <is>
          <t>train_patch;boss_bulwark;fortress_barrage</t>
        </is>
      </c>
      <c r="AH28" t="inlineStr">
        <is>
          <t>none</t>
        </is>
      </c>
      <c r="AI28" t="inlineStr"/>
      <c r="AJ28" t="inlineStr"/>
      <c r="AK28" t="inlineStr">
        <is>
          <t>monster</t>
        </is>
      </c>
      <c r="AL28" t="inlineStr">
        <is>
          <t>doi</t>
        </is>
      </c>
      <c r="AO28" t="n">
        <v>103100</v>
      </c>
      <c r="AP28" t="n">
        <v>158087</v>
      </c>
      <c r="BI28" t="inlineStr">
        <is>
          <t>tracked</t>
        </is>
      </c>
      <c r="BJ28" t="inlineStr">
        <is>
          <t>tracked</t>
        </is>
      </c>
      <c r="BK28" t="inlineStr">
        <is>
          <t>orlov</t>
        </is>
      </c>
      <c r="BL28" t="inlineStr">
        <is>
          <t>fortress_bastion</t>
        </is>
      </c>
      <c r="BM28" t="n">
        <v>11</v>
      </c>
      <c r="BN28" t="n">
        <v>15</v>
      </c>
      <c r="BO28" t="inlineStr">
        <is>
          <t>monster_800_shell</t>
        </is>
      </c>
      <c r="BP28" t="n">
        <v>50</v>
      </c>
      <c r="BQ28" t="inlineStr">
        <is>
          <t>group</t>
        </is>
      </c>
      <c r="BR28" t="b">
        <v>0</v>
      </c>
      <c r="BS28" t="inlineStr">
        <is>
          <t>11</t>
        </is>
      </c>
      <c r="BT28" t="inlineStr">
        <is>
          <t>c11m05</t>
        </is>
      </c>
      <c r="BU28" t="inlineStr">
        <is>
          <t>tuan:168;day_du:150</t>
        </is>
      </c>
      <c r="BZ28" t="n">
        <v>5</v>
      </c>
      <c r="CA28" t="n">
        <v>2</v>
      </c>
      <c r="CB28" t="n">
        <v>3</v>
      </c>
      <c r="CC28" t="n">
        <v>3</v>
      </c>
      <c r="CD28" t="inlineStr">
        <is>
          <t>monster_800_shell</t>
        </is>
      </c>
      <c r="EQ28" t="inlineStr">
        <is>
          <t>orlov</t>
        </is>
      </c>
      <c r="EY28" t="n">
        <v>158087</v>
      </c>
      <c r="FU28" t="inlineStr">
        <is>
          <t>monster</t>
        </is>
      </c>
      <c r="FV28" t="n">
        <v>13</v>
      </c>
      <c r="FW28" t="n">
        <v>40.3</v>
      </c>
      <c r="FX28" t="n">
        <v>22.1</v>
      </c>
      <c r="GO28" t="inlineStr">
        <is>
          <t>#4e5a2e</t>
        </is>
      </c>
      <c r="GP28" t="inlineStr">
        <is>
          <t>0.25;0.6</t>
        </is>
      </c>
      <c r="HL28" t="inlineStr">
        <is>
          <t>radio.orlov.monster</t>
        </is>
      </c>
      <c r="HN28" t="inlineStr">
        <is>
          <t>main</t>
        </is>
      </c>
      <c r="II28" t="n">
        <v>0.8</v>
      </c>
      <c r="JY28" t="inlineStr">
        <is>
          <t>monster</t>
        </is>
      </c>
      <c r="KA28" t="inlineStr">
        <is>
          <t>fortress_bastion</t>
        </is>
      </c>
      <c r="KB28" t="n">
        <v>1.05</v>
      </c>
      <c r="KK28" t="n">
        <v>1.997</v>
      </c>
      <c r="KM28" t="inlineStr">
        <is>
          <t>Assets/MachineBrigade/Resources/Data/balance.json: vehicles[172]</t>
        </is>
      </c>
      <c r="KN28" t="inlineStr">
        <is>
          <t>{"id":"monster","paint":"#4e5a2e","paintFinish":[0.25,0.6],"armour":[5,3,2,3],"variantOf":"fortress_bastion","model":"monster","rank":"main","general":"orlov","radioSpawn":"radio.orlov.monster","hp":158087,"weaponDamage":1.997,"speed":0.8,"bigAttack":"monster_800_shell","modelSize":[40.3,22.1,13],"variant":{"size":1.05,"mark":"monster"}}</t>
        </is>
      </c>
    </row>
    <row r="29">
      <c r="A29" t="inlineStr">
        <is>
          <t>nuke_train</t>
        </is>
      </c>
      <c r="B29" t="inlineStr">
        <is>
          <t>main</t>
        </is>
      </c>
      <c r="C29" t="inlineStr">
        <is>
          <t>Nemesis · Missile Train</t>
        </is>
      </c>
      <c r="D29" t="inlineStr">
        <is>
          <t>Nemesis · Đoàn tàu tên lửa</t>
        </is>
      </c>
      <c r="E29" t="inlineStr">
        <is>
          <t>Nemesis</t>
        </is>
      </c>
      <c r="F29" t="inlineStr"/>
      <c r="G29" t="inlineStr"/>
      <c r="H29" t="inlineStr"/>
      <c r="I29" t="n">
        <v>0</v>
      </c>
      <c r="J29" t="n">
        <v>118200</v>
      </c>
      <c r="K29" t="n">
        <v>100470</v>
      </c>
      <c r="L29" t="n">
        <v>5</v>
      </c>
      <c r="M29" t="n">
        <v>3</v>
      </c>
      <c r="N29" t="n">
        <v>2</v>
      </c>
      <c r="O29" t="n">
        <v>2</v>
      </c>
      <c r="P29" t="b">
        <v>0</v>
      </c>
      <c r="Q29" t="n">
        <v>0.35</v>
      </c>
      <c r="R29" t="n">
        <v>30</v>
      </c>
      <c r="S29" t="n">
        <v>90</v>
      </c>
      <c r="T29" t="n">
        <v>55</v>
      </c>
      <c r="U29" t="n">
        <v>3.8</v>
      </c>
      <c r="V29" t="n">
        <v>69.13800000000001</v>
      </c>
      <c r="W29" t="n">
        <v>3.956</v>
      </c>
      <c r="X29" t="b">
        <v>0</v>
      </c>
      <c r="Y29" t="n">
        <v>0</v>
      </c>
      <c r="Z29" t="b">
        <v>0</v>
      </c>
      <c r="AA29" t="b">
        <v>1</v>
      </c>
      <c r="AB29" t="n">
        <v>0</v>
      </c>
      <c r="AC29" t="n">
        <v>3.5</v>
      </c>
      <c r="AD29" t="n">
        <v>1.3092</v>
      </c>
      <c r="AE29" t="inlineStr">
        <is>
          <t>p26_nemesis_main_ne152</t>
        </is>
      </c>
      <c r="AF29" t="inlineStr">
        <is>
          <t>p26_nemesis_close_boss_flak;p26_nemesis_close_boss_flak;p26_nemesis_sec_boss_rockets;sam_battery;p26_nemesis_direct_ne125;p26_nemesis_close_boss_flak</t>
        </is>
      </c>
      <c r="AG29" t="inlineStr"/>
      <c r="AH29" t="inlineStr">
        <is>
          <t>none</t>
        </is>
      </c>
      <c r="AI29" t="inlineStr"/>
      <c r="AJ29" t="inlineStr"/>
      <c r="AK29" t="inlineStr">
        <is>
          <t>nuke_train</t>
        </is>
      </c>
      <c r="AL29" t="inlineStr">
        <is>
          <t>doi</t>
        </is>
      </c>
      <c r="AO29" t="n">
        <v>88650</v>
      </c>
      <c r="AP29" t="n">
        <v>118200</v>
      </c>
      <c r="BG29" t="n">
        <v>1</v>
      </c>
      <c r="BH29" t="n">
        <v>1.3092</v>
      </c>
      <c r="BI29" t="inlineStr">
        <is>
          <t>train</t>
        </is>
      </c>
      <c r="BJ29" t="inlineStr">
        <is>
          <t>rail</t>
        </is>
      </c>
      <c r="BK29" t="inlineStr">
        <is>
          <t>hung</t>
        </is>
      </c>
      <c r="BL29" t="inlineStr"/>
      <c r="BM29" t="n">
        <v>7</v>
      </c>
      <c r="BN29" t="n">
        <v>7</v>
      </c>
      <c r="BO29" t="inlineStr">
        <is>
          <t>doomsday_missile</t>
        </is>
      </c>
      <c r="BP29" t="n">
        <v>50</v>
      </c>
      <c r="BQ29" t="inlineStr">
        <is>
          <t>hq</t>
        </is>
      </c>
      <c r="BR29" t="b">
        <v>1</v>
      </c>
      <c r="BS29" t="inlineStr">
        <is>
          <t>7</t>
        </is>
      </c>
      <c r="BT29" t="inlineStr"/>
      <c r="BU29" t="inlineStr">
        <is>
          <t>tuan:168;day_du:150</t>
        </is>
      </c>
      <c r="BX29" t="inlineStr">
        <is>
          <t>metrocity</t>
        </is>
      </c>
      <c r="BZ29" t="n">
        <v>5</v>
      </c>
      <c r="CA29" t="n">
        <v>2</v>
      </c>
      <c r="CB29" t="n">
        <v>3</v>
      </c>
      <c r="CC29" t="n">
        <v>2</v>
      </c>
      <c r="CD29" t="inlineStr">
        <is>
          <t>doomsday_missile</t>
        </is>
      </c>
      <c r="CH29" t="b">
        <v>1</v>
      </c>
      <c r="CW29" t="n">
        <v>0</v>
      </c>
      <c r="CX29" t="n">
        <v>0</v>
      </c>
      <c r="DV29" t="n">
        <v>400</v>
      </c>
      <c r="DW29" t="n">
        <v>2.6</v>
      </c>
      <c r="DX29" t="n">
        <v>18</v>
      </c>
      <c r="DY29" t="inlineStr">
        <is>
          <t>Ultimate</t>
        </is>
      </c>
      <c r="EN29" t="b">
        <v>1</v>
      </c>
      <c r="EP29" t="inlineStr">
        <is>
          <t>train</t>
        </is>
      </c>
      <c r="EQ29" t="inlineStr">
        <is>
          <t>hung</t>
        </is>
      </c>
      <c r="ES29" t="n">
        <v>4</v>
      </c>
      <c r="ET29" t="n">
        <v>280</v>
      </c>
      <c r="EU29" t="n">
        <v>5</v>
      </c>
      <c r="EV29" t="n">
        <v>6</v>
      </c>
      <c r="EW29" t="n">
        <v>15</v>
      </c>
      <c r="EY29" t="n">
        <v>118200</v>
      </c>
      <c r="FH29" t="n">
        <v>60.12</v>
      </c>
      <c r="FY29" t="inlineStr">
        <is>
          <t>p26_nemesis_main_ne152</t>
        </is>
      </c>
      <c r="FZ29" t="inlineStr">
        <is>
          <t>p26_nemesis_close_boss_flak</t>
        </is>
      </c>
      <c r="GB29" t="inlineStr">
        <is>
          <t>p26_nemesis_close_boss_flak</t>
        </is>
      </c>
      <c r="GC29" t="inlineStr">
        <is>
          <t>p26_nemesis_sec_boss_rockets</t>
        </is>
      </c>
      <c r="GE29" t="inlineStr">
        <is>
          <t>p26_nemesis_direct_ne125</t>
        </is>
      </c>
      <c r="GF29" t="inlineStr">
        <is>
          <t>p26_nemesis_close_boss_flak</t>
        </is>
      </c>
      <c r="GN29" t="n">
        <v>1.3092</v>
      </c>
      <c r="GO29" t="inlineStr">
        <is>
          <t>#6b5d3a</t>
        </is>
      </c>
      <c r="GP29" t="inlineStr">
        <is>
          <t>0.3;0.55</t>
        </is>
      </c>
      <c r="HL29" t="inlineStr">
        <is>
          <t>radio.hung.nemesis</t>
        </is>
      </c>
      <c r="HM29" t="n">
        <v>3.8</v>
      </c>
      <c r="HN29" t="inlineStr">
        <is>
          <t>main</t>
        </is>
      </c>
      <c r="HO29" t="inlineStr">
        <is>
          <t>rail</t>
        </is>
      </c>
      <c r="IC29" t="n">
        <v>1.15</v>
      </c>
      <c r="IG29" t="n">
        <v>1.4763</v>
      </c>
      <c r="IH29" t="inlineStr"/>
      <c r="II29" t="n">
        <v>0.35</v>
      </c>
      <c r="JU29" t="n">
        <v>30</v>
      </c>
      <c r="JV29" t="n">
        <v>90</v>
      </c>
      <c r="KF29" t="n">
        <v>55</v>
      </c>
      <c r="KH29" t="inlineStr">
        <is>
          <t>3</t>
        </is>
      </c>
      <c r="KI29" t="n">
        <v>1</v>
      </c>
      <c r="KJ29" t="inlineStr">
        <is>
          <t>gun_behemoth</t>
        </is>
      </c>
      <c r="KK29" t="n">
        <v>1</v>
      </c>
      <c r="KL29" t="n">
        <v>3.44</v>
      </c>
      <c r="KM29" t="inlineStr">
        <is>
          <t>Assets/MachineBrigade/Resources/Data/balance.json: vehicles[143]</t>
        </is>
      </c>
      <c r="KN29" t="inlineStr">
        <is>
          <t>{"id":"nuke_train","paint":"#6b5d3a","paintFinish":[0.3,0.55],"outgoingDamageMult":1.3092,"guard":{"radius":15,"count":4,"every":5,"damage":280,"pad":6},"wake":{"phase":1,"mounts":[3]},"mountWeapons":{"0":"p26_nemesis_main_ne152","1":"p26_nemesis_close_boss_flak","2":"p26_nemesis_close_boss_flak","3":"p26_nemesis_sec_boss_rockets","5":"p26_nemesis_direct_ne125","6":"p26_nemesis_close_boss_flak"},"frame":"train","arena":"metrocity","route":"rail","rank":"main","general":"hung","size":1.4763,"radioSpawn":"radio.hung.nemesis","scale":1.15,"boss":true,"bigAttack":"doomsday_missile","armour":[5,3,2,2],"hp":118200,"weaponDamage":1,"speed":0.35,"turnRate":30,"turretTurnRate":90,"radius":3.8,"length":60.12,"width":3.44,"cp":0,"vision":55,"firesWhileMoving":true,"weapon":"gun_behemoth","captureRate":0,"skills":[],"secondary":[{"weapon":"boss_flak","slot":"mg","aim":"Free"},{"weapon":"boss_flak","slot":"mg","aim":"Free"},{"weapon":"boss_rockets","slot":"rocket","aim":"Free"},{"weapon":"sam_battery","slot":"missile","aim":"Free"}],"parts":[{"id":"locomotive","kind":"locomotive","hp":0.08,"armour":4,"wreck":"wreck_stump","at":[0,25.2,2.5],"radius":3.5,"speed":0.5,"radio":"radio.part.locomotive"},{"id":"twin_gun","kind":"maingun","hp":0.09,"armour":3,"node":"Main_cannon|Main_cannon_2|Muzzle_brake|Muzzle_brake_2","wreck":"wreck_barrel","at":[0,24.57,3.9],"radius":3.0,"mounts":[0],"radio":"radio.part.maingun"},{"id":"flak_front","kind":"flak","hp":0.07,"armour":2,"node":"Mount_mg","wreck":"wreck_turret","at":[-0.45,27.37,3.5],"radius":2.0,"mounts":[1]},{"id":"flak_rear","kind":"flak","hp":0.07,"armour":2,"node":"Mount_mg.001","wreck":"wreck_turret","at":[0.45,19.35,3.5],"radius":2.0,"mounts":[2]},{"id":"rocket_car","kind":"rockets","hp":0.07,"armour":2,"node":"Part_rocket","wreck":"wreck_launcher","at":[0,5.67,2.6],"radius":2.4,"mounts":[3]},{"id":"sam_car","kind":"sam","hp":0.07,"armour":2,"node":"Part_missile","wreck":"wreck_launcher","at":[0,0.87,2.8],"radius":2.4,"mounts":[4]},{"id":"erector","kind":"erector","hp":0.07,"armour":2,"wreck":"wreck_launcher","at":[0,14.57,3.6],"radius":2.6,"radio":"radio.part.erector"},{"use":"gun_152_car","id":"gun_car_152","kind":"gun","node":"Part_gun152","at":[0,-4.13,3.4]},{"use":"flak_35","id":"aa_car","node":"Part_aa","at":[0,-9.13,3.2]}],"deathExplosion":{"damage":400,"radius":18,"delay":2.6,"tier":"Ultimate"}}</t>
        </is>
      </c>
    </row>
    <row r="30">
      <c r="A30" t="inlineStr">
        <is>
          <t>nyx</t>
        </is>
      </c>
      <c r="B30" t="inlineStr">
        <is>
          <t>mini</t>
        </is>
      </c>
      <c r="C30" t="inlineStr">
        <is>
          <t>Nyx · Stealth Destroyer</t>
        </is>
      </c>
      <c r="D30" t="inlineStr">
        <is>
          <t>Nyx · Tàu khu trục tàng hình</t>
        </is>
      </c>
      <c r="E30" t="inlineStr">
        <is>
          <t>Nyx</t>
        </is>
      </c>
      <c r="F30" t="inlineStr"/>
      <c r="G30" t="inlineStr"/>
      <c r="H30" t="inlineStr"/>
      <c r="I30" t="n">
        <v>0</v>
      </c>
      <c r="J30" t="n">
        <v>37750</v>
      </c>
      <c r="K30" t="n">
        <v>32087.5</v>
      </c>
      <c r="L30" t="n">
        <v>4</v>
      </c>
      <c r="M30" t="n">
        <v>4</v>
      </c>
      <c r="N30" t="n">
        <v>3</v>
      </c>
      <c r="O30" t="n">
        <v>2</v>
      </c>
      <c r="P30" t="b">
        <v>0</v>
      </c>
      <c r="Q30" t="n">
        <v>5</v>
      </c>
      <c r="R30" t="n">
        <v>8</v>
      </c>
      <c r="S30" t="n">
        <v>36</v>
      </c>
      <c r="T30" t="n">
        <v>120</v>
      </c>
      <c r="U30" t="n">
        <v>11.2</v>
      </c>
      <c r="V30" t="n">
        <v>86</v>
      </c>
      <c r="W30" t="n">
        <v>14.4</v>
      </c>
      <c r="X30" t="b">
        <v>0</v>
      </c>
      <c r="Y30" t="n">
        <v>0</v>
      </c>
      <c r="Z30" t="b">
        <v>0</v>
      </c>
      <c r="AA30" t="b">
        <v>1</v>
      </c>
      <c r="AB30" t="n">
        <v>0</v>
      </c>
      <c r="AC30" t="n">
        <v>3.5</v>
      </c>
      <c r="AD30" t="n">
        <v>0.8362000000000001</v>
      </c>
      <c r="AE30" t="inlineStr">
        <is>
          <t>nyx_ags_155</t>
        </is>
      </c>
      <c r="AF30" t="inlineStr">
        <is>
          <t>p26_leviathan_direct_lev127;p26_leviathan_direct_lev127;nyx_millennium;nyx_millennium;nyx_tomahawk</t>
        </is>
      </c>
      <c r="AG30" t="inlineStr">
        <is>
          <t>leviathan_helos</t>
        </is>
      </c>
      <c r="AH30" t="inlineStr">
        <is>
          <t>aps</t>
        </is>
      </c>
      <c r="AI30" t="n">
        <v>3</v>
      </c>
      <c r="AJ30" t="n">
        <v>2.2</v>
      </c>
      <c r="AK30" t="inlineStr">
        <is>
          <t>nyx</t>
        </is>
      </c>
      <c r="AL30" t="inlineStr">
        <is>
          <t>doi</t>
        </is>
      </c>
      <c r="BC30" t="inlineStr">
        <is>
          <t>boss_railgun</t>
        </is>
      </c>
      <c r="BD30" t="inlineStr">
        <is>
          <t>nyx_ags_155</t>
        </is>
      </c>
      <c r="BE30" t="inlineStr">
        <is>
          <t>p26_leviathan_direct_lev127;p26_leviathan_direct_lev127</t>
        </is>
      </c>
      <c r="BF30" t="inlineStr">
        <is>
          <t>p26_leviathan_direct_lev127;p26_leviathan_direct_lev127;nyx_millennium;nyx_millennium;nyx_tomahawk</t>
        </is>
      </c>
      <c r="BG30" t="n">
        <v>1</v>
      </c>
      <c r="BH30" t="n">
        <v>0.8362000000000001</v>
      </c>
      <c r="BI30" t="inlineStr">
        <is>
          <t>ship</t>
        </is>
      </c>
      <c r="BJ30" t="inlineStr">
        <is>
          <t>ship</t>
        </is>
      </c>
      <c r="BK30" t="inlineStr">
        <is>
          <t>kessler</t>
        </is>
      </c>
      <c r="BL30" t="inlineStr">
        <is>
          <t>leviathan</t>
        </is>
      </c>
      <c r="BM30" t="n">
        <v>6</v>
      </c>
      <c r="BN30" t="n">
        <v>6</v>
      </c>
      <c r="BO30" t="inlineStr"/>
      <c r="BP30" t="inlineStr"/>
      <c r="BQ30" t="inlineStr"/>
      <c r="BR30" t="b">
        <v>0</v>
      </c>
      <c r="BS30" t="inlineStr"/>
      <c r="BT30" t="inlineStr"/>
      <c r="BU30" t="inlineStr">
        <is>
          <t>tuan:66;day_du:60</t>
        </is>
      </c>
      <c r="BV30" t="inlineStr"/>
      <c r="BZ30" t="n">
        <v>4</v>
      </c>
      <c r="CA30" t="n">
        <v>3</v>
      </c>
      <c r="CB30" t="n">
        <v>4</v>
      </c>
      <c r="CC30" t="n">
        <v>2</v>
      </c>
      <c r="DG30" t="n">
        <v>400</v>
      </c>
      <c r="DH30" t="n">
        <v>18</v>
      </c>
      <c r="DI30" t="n">
        <v>0</v>
      </c>
      <c r="DK30" t="inlineStr">
        <is>
          <t>Large</t>
        </is>
      </c>
      <c r="DL30" t="n">
        <v>0</v>
      </c>
      <c r="DM30" t="n">
        <v>6.5</v>
      </c>
      <c r="DO30" t="inlineStr">
        <is>
          <t>kalibr_cruise_mark</t>
        </is>
      </c>
      <c r="EQ30" t="inlineStr">
        <is>
          <t>kessler</t>
        </is>
      </c>
      <c r="EY30" t="n">
        <v>37750</v>
      </c>
      <c r="FI30" t="inlineStr">
        <is>
          <t>own</t>
        </is>
      </c>
      <c r="FU30" t="inlineStr">
        <is>
          <t>nyx</t>
        </is>
      </c>
      <c r="FV30" t="n">
        <v>11</v>
      </c>
      <c r="FW30" t="n">
        <v>53</v>
      </c>
      <c r="FX30" t="n">
        <v>8.9</v>
      </c>
      <c r="GJ30" t="n">
        <v>-1</v>
      </c>
      <c r="GL30" t="inlineStr">
        <is>
          <t>near</t>
        </is>
      </c>
      <c r="GN30" t="n">
        <v>0.8362000000000001</v>
      </c>
      <c r="GO30" t="inlineStr">
        <is>
          <t>#5b6267</t>
        </is>
      </c>
      <c r="GP30" t="inlineStr">
        <is>
          <t>0.3;0.55</t>
        </is>
      </c>
      <c r="HL30" t="inlineStr">
        <is>
          <t>radio.kessler.nyx</t>
        </is>
      </c>
      <c r="II30" t="n">
        <v>5</v>
      </c>
      <c r="IK30" t="b">
        <v>1</v>
      </c>
      <c r="JX30" t="inlineStr">
        <is>
          <t>turret_fore;vls;ciws_fore;ciws_aft</t>
        </is>
      </c>
      <c r="JY30" t="inlineStr">
        <is>
          <t>nyx</t>
        </is>
      </c>
      <c r="KA30" t="inlineStr">
        <is>
          <t>leviathan</t>
        </is>
      </c>
      <c r="KB30" t="n">
        <v>0.55</v>
      </c>
      <c r="KJ30" t="inlineStr">
        <is>
          <t>nyx_ags_155</t>
        </is>
      </c>
      <c r="KK30" t="n">
        <v>1.865</v>
      </c>
      <c r="KM30" t="inlineStr">
        <is>
          <t>Assets/MachineBrigade/Resources/Data/balance.json: vehicles[176]</t>
        </is>
      </c>
      <c r="KN30" t="inlineStr">
        <is>
          <t>{"id":"nyx","livery":"own","paint":"#5b6267","paintFinish":[0.3,0.55],"outgoingDamageMult":0.8362,"wake":null,"variantOf":"leviathan","model":"nyx","general":"kessler","radioSpawn":"radio.kessler.nyx","hp":37750,"weaponDamage":1.865,"armour":[4,4,3,2],"weapon":"nyx_ags_155","stealth":true,"speed":5,"secondary":[{"weapon":"p26_leviathan_direct_lev127","slot":"mg","aim":"Free"},{"weapon":"p26_leviathan_direct_lev127","slot":"mg","aim":"Free"},{"weapon":"nyx_millennium","slot":"mg","aim":"Free"},{"weapon":"nyx_millennium","slot":"mg","aim":"Free"},{"weapon":"nyx_tomahawk","slot":"missile","aim":"Free"}],"modelSize":[53,8.9,11],"naval":{"lanes":["near"],"escapePhase":-1},"craft":null,"air":[],"cruise":{"phase":0,"damage":400,"final":0,"every":18,"impactTier":"Large","radius":6.5,"warning":"kalibr_cruise_mark"},"fleet":[{"unit":"missile_boat","count":1}],"salvo":null,"variant":{"size":0.55,"keep":["turret_fore","vls","ciws_fore","ciws_aft"],"mark":"nyx","tune":{"turret_fore":{"hp":0.12,"at":[0,24.0,6.96]},"vls":{"hp":0.12,"at":[0,15.64,5.71]},"ciws_fore":{"hp":0.11,"at":[0,9.73,12.56]},"ciws_aft":{"hp":0.11,"at":[0,-17.82,12.56]}}}}</t>
        </is>
      </c>
    </row>
    <row r="31">
      <c r="A31" t="inlineStr">
        <is>
          <t>scylla</t>
        </is>
      </c>
      <c r="B31" t="inlineStr">
        <is>
          <t>mini</t>
        </is>
      </c>
      <c r="C31" t="inlineStr">
        <is>
          <t>Scylla · Destroyer</t>
        </is>
      </c>
      <c r="D31" t="inlineStr">
        <is>
          <t>Scylla · Tàu khu trục</t>
        </is>
      </c>
      <c r="E31" t="inlineStr">
        <is>
          <t>Scylla</t>
        </is>
      </c>
      <c r="F31" t="inlineStr"/>
      <c r="G31" t="inlineStr"/>
      <c r="H31" t="inlineStr"/>
      <c r="I31" t="n">
        <v>0</v>
      </c>
      <c r="J31" t="n">
        <v>37750</v>
      </c>
      <c r="K31" t="n">
        <v>32087.5</v>
      </c>
      <c r="L31" t="n">
        <v>4</v>
      </c>
      <c r="M31" t="n">
        <v>4</v>
      </c>
      <c r="N31" t="n">
        <v>3</v>
      </c>
      <c r="O31" t="n">
        <v>2</v>
      </c>
      <c r="P31" t="b">
        <v>0</v>
      </c>
      <c r="Q31" t="n">
        <v>4.6</v>
      </c>
      <c r="R31" t="n">
        <v>14</v>
      </c>
      <c r="S31" t="n">
        <v>36</v>
      </c>
      <c r="T31" t="n">
        <v>120</v>
      </c>
      <c r="U31" t="n">
        <v>11.2</v>
      </c>
      <c r="V31" t="n">
        <v>86</v>
      </c>
      <c r="W31" t="n">
        <v>14.4</v>
      </c>
      <c r="X31" t="b">
        <v>0</v>
      </c>
      <c r="Y31" t="n">
        <v>0</v>
      </c>
      <c r="Z31" t="b">
        <v>0</v>
      </c>
      <c r="AA31" t="b">
        <v>1</v>
      </c>
      <c r="AB31" t="n">
        <v>0</v>
      </c>
      <c r="AC31" t="n">
        <v>3.5</v>
      </c>
      <c r="AD31" t="n">
        <v>0.7389</v>
      </c>
      <c r="AE31" t="inlineStr">
        <is>
          <t>naval_130_twin</t>
        </is>
      </c>
      <c r="AF31" t="inlineStr">
        <is>
          <t>p26_leviathan_direct_lev127;scylla_ak230;scylla_ak230;scylla_2m7;scylla_2m7;scylla_kh35;scylla_kh35</t>
        </is>
      </c>
      <c r="AG31" t="inlineStr">
        <is>
          <t>leviathan_helos</t>
        </is>
      </c>
      <c r="AH31" t="inlineStr">
        <is>
          <t>aps</t>
        </is>
      </c>
      <c r="AI31" t="n">
        <v>3</v>
      </c>
      <c r="AJ31" t="n">
        <v>2.2</v>
      </c>
      <c r="AK31" t="inlineStr">
        <is>
          <t>scylla</t>
        </is>
      </c>
      <c r="AL31" t="inlineStr">
        <is>
          <t>doi</t>
        </is>
      </c>
      <c r="BE31" t="inlineStr">
        <is>
          <t>p26_leviathan_direct_lev127</t>
        </is>
      </c>
      <c r="BF31" t="inlineStr">
        <is>
          <t>p26_leviathan_direct_lev127;scylla_ak230;scylla_ak230;scylla_2m7;scylla_2m7;scylla_kh35;scylla_kh35</t>
        </is>
      </c>
      <c r="BG31" t="n">
        <v>1</v>
      </c>
      <c r="BH31" t="n">
        <v>0.7389</v>
      </c>
      <c r="BI31" t="inlineStr">
        <is>
          <t>ship</t>
        </is>
      </c>
      <c r="BJ31" t="inlineStr">
        <is>
          <t>ship</t>
        </is>
      </c>
      <c r="BK31" t="inlineStr">
        <is>
          <t>kessler</t>
        </is>
      </c>
      <c r="BL31" t="inlineStr">
        <is>
          <t>leviathan</t>
        </is>
      </c>
      <c r="BM31" t="n">
        <v>8</v>
      </c>
      <c r="BN31" t="n">
        <v>13</v>
      </c>
      <c r="BO31" t="inlineStr"/>
      <c r="BP31" t="inlineStr"/>
      <c r="BQ31" t="inlineStr"/>
      <c r="BR31" t="b">
        <v>0</v>
      </c>
      <c r="BS31" t="inlineStr">
        <is>
          <t>4;9;12</t>
        </is>
      </c>
      <c r="BT31" t="inlineStr">
        <is>
          <t>c12m02;c4m06;c9m08</t>
        </is>
      </c>
      <c r="BU31" t="inlineStr">
        <is>
          <t>tuan:66;day_du:60</t>
        </is>
      </c>
      <c r="BV31" t="inlineStr"/>
      <c r="BZ31" t="n">
        <v>4</v>
      </c>
      <c r="CA31" t="n">
        <v>3</v>
      </c>
      <c r="CB31" t="n">
        <v>4</v>
      </c>
      <c r="CC31" t="n">
        <v>2</v>
      </c>
      <c r="DG31" t="n">
        <v>450</v>
      </c>
      <c r="DH31" t="n">
        <v>15</v>
      </c>
      <c r="DI31" t="n">
        <v>0</v>
      </c>
      <c r="DK31" t="inlineStr">
        <is>
          <t>Large</t>
        </is>
      </c>
      <c r="DL31" t="n">
        <v>0</v>
      </c>
      <c r="DM31" t="n">
        <v>6.5</v>
      </c>
      <c r="DO31" t="inlineStr">
        <is>
          <t>kalibr_cruise_mark</t>
        </is>
      </c>
      <c r="EQ31" t="inlineStr">
        <is>
          <t>kessler</t>
        </is>
      </c>
      <c r="EY31" t="n">
        <v>37750</v>
      </c>
      <c r="FI31" t="inlineStr">
        <is>
          <t>own</t>
        </is>
      </c>
      <c r="FU31" t="inlineStr">
        <is>
          <t>scylla</t>
        </is>
      </c>
      <c r="FV31" t="n">
        <v>14.2</v>
      </c>
      <c r="FW31" t="n">
        <v>49.3</v>
      </c>
      <c r="FX31" t="n">
        <v>9.300000000000001</v>
      </c>
      <c r="GJ31" t="n">
        <v>-1</v>
      </c>
      <c r="GL31" t="inlineStr">
        <is>
          <t>near</t>
        </is>
      </c>
      <c r="GN31" t="n">
        <v>0.7389</v>
      </c>
      <c r="GO31" t="inlineStr">
        <is>
          <t>#68737a</t>
        </is>
      </c>
      <c r="GP31" t="inlineStr">
        <is>
          <t>0.3;0.55</t>
        </is>
      </c>
      <c r="HL31" t="inlineStr">
        <is>
          <t>radio.kessler.scylla</t>
        </is>
      </c>
      <c r="II31" t="n">
        <v>4.6</v>
      </c>
      <c r="JU31" t="n">
        <v>14</v>
      </c>
      <c r="JX31" t="inlineStr">
        <is>
          <t>turret_fore;vls;ciws_fore</t>
        </is>
      </c>
      <c r="JY31" t="inlineStr">
        <is>
          <t>scylla</t>
        </is>
      </c>
      <c r="KA31" t="inlineStr">
        <is>
          <t>leviathan</t>
        </is>
      </c>
      <c r="KB31" t="n">
        <v>0.5</v>
      </c>
      <c r="KC31" t="n">
        <v>1.02</v>
      </c>
      <c r="KD31" t="n">
        <v>0.95</v>
      </c>
      <c r="KE31" t="n">
        <v>0.9</v>
      </c>
      <c r="KJ31" t="inlineStr">
        <is>
          <t>naval_130_twin</t>
        </is>
      </c>
      <c r="KK31" t="n">
        <v>2.195</v>
      </c>
      <c r="KM31" t="inlineStr">
        <is>
          <t>Assets/MachineBrigade/Resources/Data/balance.json: vehicles[165]</t>
        </is>
      </c>
      <c r="KN31" t="inlineStr">
        <is>
          <t>{"id":"scylla","livery":"own","paint":"#68737a","paintFinish":[0.3,0.55],"outgoingDamageMult":0.7389,"wake":null,"armour":[4,4,3,2],"variantOf":"leviathan","model":"scylla","modelSize":[49.3,9.3,14.2],"hp":37750,"weaponDamage":2.195,"general":"kessler","radioSpawn":"radio.kessler.scylla","weapon":"naval_130_twin","secondary":[{"weapon":"p26_leviathan_direct_lev127","slot":"mg","aim":"Free"},{"weapon":"scylla_ak230","slot":"mg","aim":"Free"},{"weapon":"scylla_ak230","slot":"mg","aim":"Free"},{"weapon":"scylla_2m7","slot":"mg","aim":"Free"},{"weapon":"scylla_2m7","slot":"mg","aim":"Free"},{"weapon":"scylla_kh35","slot":"missile","aim":"Free"},{"weapon":"scylla_kh35","slot":"missile","aim":"Free"}],"speed":4.6,"turnRate":14,"naval":{"lanes":["near"],"escapePhase":-1},"craft":null,"air":[],"cruise":{"phase":0,"damage":450,"final":0,"every":15,"impactTier":"Large","radius":6.5,"warning":"kalibr_cruise_mark"},"fleet":[{"unit":"missile_boat","count":2}],"salvo":null,"variant":{"size":0.5,"keep":["turret_fore","vls","ciws_fore"],"tint":[0.9,0.95,1.02],"mark":"scylla","tune":{"turret_fore":{"hp":0.14,"at":[0,30.4,8.88]},"vls":{"hp":0.12,"at":[0,12.4,7.48]},"ciws_fore":{"hp":0.1,"at":[0,14.6,15.78]}}}}</t>
        </is>
      </c>
    </row>
    <row r="32">
      <c r="A32" t="inlineStr">
        <is>
          <t>silver_bug</t>
        </is>
      </c>
      <c r="B32" t="inlineStr">
        <is>
          <t>main</t>
        </is>
      </c>
      <c r="C32" t="inlineStr">
        <is>
          <t>Icarus · Orbital Spacecraft</t>
        </is>
      </c>
      <c r="D32" t="inlineStr">
        <is>
          <t>Icarus · Phi thuyền quỹ đạo</t>
        </is>
      </c>
      <c r="E32" t="inlineStr">
        <is>
          <t>Icarus</t>
        </is>
      </c>
      <c r="F32" t="inlineStr"/>
      <c r="G32" t="inlineStr"/>
      <c r="H32" t="inlineStr"/>
      <c r="I32" t="n">
        <v>0</v>
      </c>
      <c r="J32" t="n">
        <v>282320</v>
      </c>
      <c r="K32" t="n">
        <v>239972</v>
      </c>
      <c r="L32" t="n">
        <v>4</v>
      </c>
      <c r="M32" t="n">
        <v>4</v>
      </c>
      <c r="N32" t="n">
        <v>4</v>
      </c>
      <c r="O32" t="n">
        <v>4</v>
      </c>
      <c r="P32" t="b">
        <v>0</v>
      </c>
      <c r="Q32" t="n">
        <v>3</v>
      </c>
      <c r="R32" t="n">
        <v>10</v>
      </c>
      <c r="S32" t="n">
        <v>120</v>
      </c>
      <c r="T32" t="n">
        <v>80</v>
      </c>
      <c r="U32" t="n">
        <v>10</v>
      </c>
      <c r="V32" t="n">
        <v>34</v>
      </c>
      <c r="W32" t="n">
        <v>22</v>
      </c>
      <c r="X32" t="b">
        <v>1</v>
      </c>
      <c r="Y32" t="n">
        <v>22</v>
      </c>
      <c r="Z32" t="b">
        <v>0</v>
      </c>
      <c r="AA32" t="b">
        <v>1</v>
      </c>
      <c r="AB32" t="n">
        <v>0</v>
      </c>
      <c r="AC32" t="n">
        <v>3.5</v>
      </c>
      <c r="AD32" t="n">
        <v>1</v>
      </c>
      <c r="AE32" t="inlineStr">
        <is>
          <t>p26_icarus_sec_orbital_laser</t>
        </is>
      </c>
      <c r="AF32" t="inlineStr">
        <is>
          <t>p26_icarus_main_ic_coil;p26_icarus_main_ic_coil;p26_icarus_direct_ic_laser;p26_icarus_direct_ic_laser;pt14_sb_v30;pt14_sb_v30;pt14_sb_v105;pt14_sb_v105;p26_icarus_close_autocannon_40;p26_icarus_close_autocannon_40</t>
        </is>
      </c>
      <c r="AG32" t="inlineStr">
        <is>
          <t>boss_rage</t>
        </is>
      </c>
      <c r="AH32" t="inlineStr">
        <is>
          <t>aps</t>
        </is>
      </c>
      <c r="AI32" t="n">
        <v>3</v>
      </c>
      <c r="AJ32" t="n">
        <v>1.4</v>
      </c>
      <c r="AK32" t="inlineStr">
        <is>
          <t>silver_bug</t>
        </is>
      </c>
      <c r="AL32" t="inlineStr">
        <is>
          <t>doi</t>
        </is>
      </c>
      <c r="AO32" t="n">
        <v>176450</v>
      </c>
      <c r="AP32" t="n">
        <v>282320</v>
      </c>
      <c r="AY32" t="n">
        <v>5</v>
      </c>
      <c r="AZ32" t="n">
        <v>3</v>
      </c>
      <c r="BE32" t="inlineStr">
        <is>
          <t>p26_icarus_main_ic_coil;p26_icarus_main_ic_coil;p26_icarus_direct_ic_laser;p26_icarus_direct_ic_laser;p26_icarus_close_autocannon_40;p26_icarus_close_autocannon_40</t>
        </is>
      </c>
      <c r="BF32" t="inlineStr">
        <is>
          <t>p26_icarus_main_ic_coil;p26_icarus_main_ic_coil;p26_icarus_direct_ic_laser;p26_icarus_direct_ic_laser;pt14_sb_v30;pt14_sb_v30;pt14_sb_v105;pt14_sb_v105;p26_icarus_close_autocannon_40;p26_icarus_close_autocannon_40</t>
        </is>
      </c>
      <c r="BI32" t="inlineStr">
        <is>
          <t>spacecraft</t>
        </is>
      </c>
      <c r="BJ32" t="inlineStr">
        <is>
          <t>spacecraft</t>
        </is>
      </c>
      <c r="BK32" t="inlineStr">
        <is>
          <t>aurel</t>
        </is>
      </c>
      <c r="BL32" t="inlineStr"/>
      <c r="BM32" t="n">
        <v>11</v>
      </c>
      <c r="BN32" t="n">
        <v>11</v>
      </c>
      <c r="BO32" t="inlineStr">
        <is>
          <t>bug_rod_rain</t>
        </is>
      </c>
      <c r="BP32" t="n">
        <v>45</v>
      </c>
      <c r="BQ32" t="inlineStr">
        <is>
          <t>group</t>
        </is>
      </c>
      <c r="BR32" t="b">
        <v>1</v>
      </c>
      <c r="BS32" t="inlineStr">
        <is>
          <t>12</t>
        </is>
      </c>
      <c r="BT32" t="inlineStr"/>
      <c r="BU32" t="inlineStr">
        <is>
          <t>tuan:168;day_du:150</t>
        </is>
      </c>
      <c r="BW32" t="n">
        <v>22</v>
      </c>
      <c r="BX32" t="inlineStr">
        <is>
          <t>launchsite</t>
        </is>
      </c>
      <c r="BY32" t="n">
        <v>4</v>
      </c>
      <c r="CD32" t="inlineStr">
        <is>
          <t>bug_rod_rain</t>
        </is>
      </c>
      <c r="CH32" t="b">
        <v>1</v>
      </c>
      <c r="CW32" t="n">
        <v>0</v>
      </c>
      <c r="CX32" t="n">
        <v>0</v>
      </c>
      <c r="DV32" t="n">
        <v>420</v>
      </c>
      <c r="DW32" t="n">
        <v>2.6</v>
      </c>
      <c r="DX32" t="n">
        <v>18</v>
      </c>
      <c r="DY32" t="inlineStr">
        <is>
          <t>Ultimate</t>
        </is>
      </c>
      <c r="EN32" t="b">
        <v>1</v>
      </c>
      <c r="EO32" t="b">
        <v>1</v>
      </c>
      <c r="EP32" t="inlineStr">
        <is>
          <t>spacecraft</t>
        </is>
      </c>
      <c r="EQ32" t="inlineStr">
        <is>
          <t>aurel</t>
        </is>
      </c>
      <c r="EX32" t="b">
        <v>1</v>
      </c>
      <c r="EY32" t="n">
        <v>282320</v>
      </c>
      <c r="FH32" t="n">
        <v>34</v>
      </c>
      <c r="FI32" t="inlineStr">
        <is>
          <t>own</t>
        </is>
      </c>
      <c r="FJ32" t="inlineStr">
        <is>
          <t>Free</t>
        </is>
      </c>
      <c r="FY32" t="inlineStr">
        <is>
          <t>p26_icarus_sec_orbital_laser</t>
        </is>
      </c>
      <c r="FZ32" t="inlineStr">
        <is>
          <t>p26_icarus_main_ic_coil</t>
        </is>
      </c>
      <c r="GA32" t="inlineStr">
        <is>
          <t>p26_icarus_close_autocannon_40</t>
        </is>
      </c>
      <c r="GB32" t="inlineStr">
        <is>
          <t>p26_icarus_main_ic_coil</t>
        </is>
      </c>
      <c r="GC32" t="inlineStr">
        <is>
          <t>p26_icarus_direct_ic_laser</t>
        </is>
      </c>
      <c r="GD32" t="inlineStr">
        <is>
          <t>p26_icarus_direct_ic_laser</t>
        </is>
      </c>
      <c r="GI32" t="inlineStr">
        <is>
          <t>p26_icarus_close_autocannon_40</t>
        </is>
      </c>
      <c r="GO32" t="inlineStr">
        <is>
          <t>#c3c8cc</t>
        </is>
      </c>
      <c r="GP32" t="inlineStr">
        <is>
          <t>0.85;0.28</t>
        </is>
      </c>
      <c r="GU32" t="n">
        <v>2</v>
      </c>
      <c r="GX32" t="n">
        <v>14</v>
      </c>
      <c r="GY32" t="n">
        <v>6</v>
      </c>
      <c r="GZ32" t="n">
        <v>4</v>
      </c>
      <c r="HA32" t="n">
        <v>6</v>
      </c>
      <c r="HB32" t="n">
        <v>1</v>
      </c>
      <c r="HC32" t="n">
        <v>30</v>
      </c>
      <c r="HD32" t="n">
        <v>2</v>
      </c>
      <c r="HF32" t="n">
        <v>12</v>
      </c>
      <c r="HH32" t="inlineStr">
        <is>
          <t>orbit;high</t>
        </is>
      </c>
      <c r="HI32" t="inlineStr">
        <is>
          <t>drop_pod</t>
        </is>
      </c>
      <c r="HJ32" t="inlineStr">
        <is>
          <t>main_battle_tank;ifv;heavy_tank;armored_car;main_battle_tank;ifv;armored_car</t>
        </is>
      </c>
      <c r="HK32" t="inlineStr">
        <is>
          <t>pod_drop</t>
        </is>
      </c>
      <c r="HM32" t="n">
        <v>10</v>
      </c>
      <c r="HN32" t="inlineStr">
        <is>
          <t>main</t>
        </is>
      </c>
      <c r="IG32" t="n">
        <v>2.4777</v>
      </c>
      <c r="IH32" t="inlineStr">
        <is>
          <t>boss_rage</t>
        </is>
      </c>
      <c r="II32" t="n">
        <v>3</v>
      </c>
      <c r="IL32" t="n">
        <v>2</v>
      </c>
      <c r="IM32" t="n">
        <v>3</v>
      </c>
      <c r="IN32" t="n">
        <v>4</v>
      </c>
      <c r="IP32" t="inlineStr">
        <is>
          <t>0;0</t>
        </is>
      </c>
      <c r="IQ32" t="n">
        <v>500</v>
      </c>
      <c r="IR32" t="inlineStr">
        <is>
          <t>crash_debris</t>
        </is>
      </c>
      <c r="IS32" t="inlineStr">
        <is>
          <t>-23.1,16.5;24.8,9.9;-28.1,-13.2;21.5,-23.1;0,36.3;-6.6,-39.6</t>
        </is>
      </c>
      <c r="IT32" t="n">
        <v>6</v>
      </c>
      <c r="IU32" t="inlineStr">
        <is>
          <t>silver_bug_wreck</t>
        </is>
      </c>
      <c r="IV32" t="inlineStr">
        <is>
          <t>3;4;9;10</t>
        </is>
      </c>
      <c r="IW32" t="n">
        <v>20.6</v>
      </c>
      <c r="IX32" t="inlineStr">
        <is>
          <t>bug_crash</t>
        </is>
      </c>
      <c r="IY32" t="n">
        <v>4</v>
      </c>
      <c r="JA32" t="n">
        <v>60</v>
      </c>
      <c r="JB32" t="n">
        <v>22</v>
      </c>
      <c r="JC32" t="n">
        <v>150</v>
      </c>
      <c r="JE32" t="inlineStr">
        <is>
          <t>VeryHard;Heroic;Iron</t>
        </is>
      </c>
      <c r="JF32" t="n">
        <v>40</v>
      </c>
      <c r="JG32" t="n">
        <v>10</v>
      </c>
      <c r="JH32" t="n">
        <v>6</v>
      </c>
      <c r="JI32" t="n">
        <v>4</v>
      </c>
      <c r="JJ32" t="inlineStr">
        <is>
          <t>0.6;0.25</t>
        </is>
      </c>
      <c r="JK32" t="n">
        <v>0.5</v>
      </c>
      <c r="JL32" t="inlineStr">
        <is>
          <t>radio.aurel.bug.appear</t>
        </is>
      </c>
      <c r="JM32" t="inlineStr">
        <is>
          <t>radio.aurel.bug.crash</t>
        </is>
      </c>
      <c r="JN32" t="inlineStr">
        <is>
          <t>radio.aurel.bug.descend</t>
        </is>
      </c>
      <c r="JO32" t="inlineStr">
        <is>
          <t>radio.aurel.bug.down</t>
        </is>
      </c>
      <c r="JP32" t="inlineStr">
        <is>
          <t>radio.aurel.bug.hijack</t>
        </is>
      </c>
      <c r="JQ32" t="inlineStr">
        <is>
          <t>radio.hq.bug.hijack</t>
        </is>
      </c>
      <c r="JR32" t="inlineStr">
        <is>
          <t>radio.aurel.bug.phase2</t>
        </is>
      </c>
      <c r="JS32" t="inlineStr">
        <is>
          <t>radio.aurel.bug.phase3</t>
        </is>
      </c>
      <c r="JT32" t="n">
        <v>3.5</v>
      </c>
      <c r="JU32" t="n">
        <v>10</v>
      </c>
      <c r="JV32" t="n">
        <v>120</v>
      </c>
      <c r="KF32" t="n">
        <v>80</v>
      </c>
      <c r="KJ32" t="inlineStr">
        <is>
          <t>orbital_laser</t>
        </is>
      </c>
      <c r="KK32" t="n">
        <v>1</v>
      </c>
      <c r="KL32" t="n">
        <v>22</v>
      </c>
      <c r="KM32" t="inlineStr">
        <is>
          <t>Assets/MachineBrigade/Resources/Data/balance.json: vehicles[144]</t>
        </is>
      </c>
      <c r="KN32" t="inlineStr">
        <is>
          <t>{"id":"silver_bug","livery":"own","paint":"#c3c8cc","paintFinish":[0.85,0.28],"mountWeapons":{"0":"p26_icarus_sec_orbital_laser","1":"p26_icarus_main_ic_coil","2":"p26_icarus_main_ic_coil","3":"p26_icarus_direct_ic_laser","4":"p26_icarus_direct_ic_laser","9":"p26_icarus_close_autocannon_40","10":"p26_icarus_close_autocannon_40"},"frame":"spacecraft","size":2.4777,"rank":"main","general":"aurel","boss":true,"bigAttack":"bug_rod_rain","arena":"launchsite","armour":4,"hp":282320,"weaponDamage":1,"speed":3,"turnRate":10,"turretTurnRate":120,"radius":10,"length":34,"width":22,"cp":0,"vision":80,"firesWhileMoving":true,"holdsToFire":true,"mainAim":"Free","weapon":"orbital_laser","flying":true,"altitude":22,"captureRate":0,"skills":["boss_rage"],"aps":{"radius":49.6,"charges":3,"recharge":1.4,"rockets":true,"laser":true},"secondary":[{"weapon":"coilgun","slot":"gun","aim":"Free"},{"weapon":"coilgun","slot":"gun","aim":"Free"},{"weapon":"autocannon_40","slot":"gun","aim":"Free"},{"weapon":"autocannon_40","slot":"gun","aim":"Free"},{"weapon":"pt14_sb_v30","slot":"gun","aim":"Free"},{"weapon":"pt14_sb_v30","slot":"gun","aim":"Free"},{"weapon":"pt14_sb_v105","slot":"gun","aim":"Free"},{"weapon":"pt14_sb_v105","slot":"gun","aim":"Free"}],"tiers":{"opening":0.5,"descend":4,"shift":3.5,"heights":{"orbit":150,"high":60,"low":22},"marks":[0.6,0.25],"schedule":[{"steps":[{"tier":"high","seconds":25},{"tier":"low","seconds":10}]},{"steps":[{"tier":"high","seconds":15},{"tier":"low","seconds":20}]}],"armour":{"hull":4,"belly":2,"grounded":3},"crash":{"fall":6,"at":[0,0],"damage":500,"radius":20.6,"form":"silver_bug_wreck","warning":"bug_crash","guns":[3,4,9,10],"debris":"crash_debris","debrisAt":[[-23.1,16.5],[24.8,9.9],[-28.1,-13.2],[21.5,-23.1],[0,36.3],[-6.6,-39.6]]},"hijack":{"first":10,"every":40,"warn":4,"seconds":6,"difficulties":["VeryHard","Heroic","Iron"]},"radio":{"appear":"radio.aurel.bug.appear","descend":"radio.aurel.bug.descend","phase2":"radio.aurel.bug.phase2","phase3":"radio.aurel.bug.phase3","crash":"radio.aurel.bug.crash","down":"radio.aurel.bug.down","hijack":"radio.aurel.bug.hijack","hijackWarn":"radio.hq.bug.hijack"}},"pods":{"unit":"drop_pod","first":4,"every":14,"count":2,"min":1,"perPod":2,"fall":6,"max":6,"offset":30,"spread":12,"tiers":["orbit","high"],"warning":"pod_drop","units":["main_battle_tank","ifv","heavy_tank","armored_car","main_battle_tank","ifv","armored_car"]},"parts":[{"id":"main_laser","kind":"laser","hp":0.06,"armour":3,"node":"Turret","wreck":"wreck_stump","at":[0,7,-2.8],"radius":2.4,"mounts":[0],"radio":"radio.part.maingun","fx":"energy"},{"id":"main_engine","kind":"mainengine","hp":0.06,"armour":2,"node":"Thruster_main","wreck":"wreck_stump","at":[0,-15.5,0.6],"radius":3.4,"stops":["thrust"],"radio":"radio.part.mainengine"},{"id":"thruster_fl","kind":"thruster","hp":0.06,"armour":1,"node":"Thruster_fl","wreck":"wreck_stump","at":[-4.5,11,0.8],"radius":1.6,"speed":0.88},{"id":"thruster_fr","kind":"thruster","hp":0.06,"armour":1,"node":"Thruster_fr","wreck":"wreck_stump","at":[4.5,11,0.8],"radius":1.6,"speed":0.88},{"id":"thruster_rl","kind":"thruster","hp":0.06,"armour":1,"node":"Thruster_rl","wreck":"wreck_stump","at":[-8,-11,0.4],"radius":1.6,"speed":0.88},{"id":"thruster_rr","kind":"thruster","hp":0.06,"armour":1,"node":"Thruster_rr","wreck":"wreck_stump","at":[8,-11,0.4],"radius":1.6,"speed":0.88},{"id":"pd_laser_l","kind":"pdlaser","hp":0.06,"armour":2,"node":"Pd_laser_l","wreck":"wreck_turret","at":[-2.4,6.0,1.84],"radius":1.6,"stops":["aps"],"fx":"energy"},{"id":"pd_laser_r","kind":"pdlaser","hp":0.06,"armour":2,"node":"Pd_laser_r","wreck":"wreck_turret","at":[2.4,6.0,1.84],"radius":1.6,"stops":["aps"],"fx":"energy"},{"id":"pod_bay","kind":"podbay","hp":0.06,"armour":2,"node":"Pod_bay","wreck":"wreck_stump","at":[0,-4,-2.6],"radius":2.8,"stops":["pods"],"radio":"radio.part.podbay"},{"id":"uplink","kind":"uplink","hp":0.06,"armour":1,"node":"Uplink","wreck":"wreck_stump","at":[0,-3,4.2],"radius":2.0,"radio":"radio.part.uplink","fx":"energy"},{"use":"gun_40","id":"crash_turret_l","node":"Mount_gun.008","at":[-6.16,-7.0,0.62]},{"use":"gun_40","id":"crash_turret_r","node":"Mount_gun.009","at":[6.16,-7.0,0.62]}],"deathExplosion":{"damage":420,"radius":18,"delay":2.6,"tier":"Ultimate"}}</t>
        </is>
      </c>
    </row>
    <row r="33">
      <c r="A33" t="inlineStr">
        <is>
          <t>theia</t>
        </is>
      </c>
      <c r="B33" t="inlineStr">
        <is>
          <t>mini</t>
        </is>
      </c>
      <c r="C33" t="inlineStr">
        <is>
          <t>Theia · Escort Carrier</t>
        </is>
      </c>
      <c r="D33" t="inlineStr">
        <is>
          <t>Theia · Tàu sân bay hộ tống</t>
        </is>
      </c>
      <c r="E33" t="inlineStr">
        <is>
          <t>Theia</t>
        </is>
      </c>
      <c r="F33" t="inlineStr"/>
      <c r="G33" t="inlineStr"/>
      <c r="H33" t="inlineStr"/>
      <c r="I33" t="n">
        <v>0</v>
      </c>
      <c r="J33" t="n">
        <v>94850</v>
      </c>
      <c r="K33" t="n">
        <v>80622.5</v>
      </c>
      <c r="L33" t="n">
        <v>4</v>
      </c>
      <c r="M33" t="n">
        <v>4</v>
      </c>
      <c r="N33" t="n">
        <v>4</v>
      </c>
      <c r="O33" t="n">
        <v>4</v>
      </c>
      <c r="P33" t="b">
        <v>0</v>
      </c>
      <c r="Q33" t="n">
        <v>4.2</v>
      </c>
      <c r="R33" t="n">
        <v>10</v>
      </c>
      <c r="S33" t="n">
        <v>120</v>
      </c>
      <c r="T33" t="n">
        <v>80</v>
      </c>
      <c r="U33" t="n">
        <v>10</v>
      </c>
      <c r="V33" t="n">
        <v>34</v>
      </c>
      <c r="W33" t="n">
        <v>22</v>
      </c>
      <c r="X33" t="b">
        <v>1</v>
      </c>
      <c r="Y33" t="n">
        <v>22</v>
      </c>
      <c r="Z33" t="b">
        <v>0</v>
      </c>
      <c r="AA33" t="b">
        <v>1</v>
      </c>
      <c r="AB33" t="n">
        <v>0</v>
      </c>
      <c r="AC33" t="n">
        <v>3.5</v>
      </c>
      <c r="AD33" t="n">
        <v>1</v>
      </c>
      <c r="AE33" t="inlineStr">
        <is>
          <t>p26_icarus_sec_orbital_laser</t>
        </is>
      </c>
      <c r="AF33" t="inlineStr">
        <is>
          <t>p26_matriarch_ma_drones;pt14_th_jagm;pt14_th_jagm;pt14_th_v35;pt14_th_v35;pt14_th_pd;pt14_th_pd</t>
        </is>
      </c>
      <c r="AG33" t="inlineStr">
        <is>
          <t>boss_rage</t>
        </is>
      </c>
      <c r="AH33" t="inlineStr">
        <is>
          <t>aps</t>
        </is>
      </c>
      <c r="AI33" t="n">
        <v>3</v>
      </c>
      <c r="AJ33" t="n">
        <v>1.4</v>
      </c>
      <c r="AK33" t="inlineStr">
        <is>
          <t>theia</t>
        </is>
      </c>
      <c r="AL33" t="inlineStr">
        <is>
          <t>moi</t>
        </is>
      </c>
      <c r="BI33" t="inlineStr">
        <is>
          <t>spacecraft</t>
        </is>
      </c>
      <c r="BJ33" t="inlineStr">
        <is>
          <t>spacecraft</t>
        </is>
      </c>
      <c r="BK33" t="inlineStr">
        <is>
          <t>aurel</t>
        </is>
      </c>
      <c r="BL33" t="inlineStr">
        <is>
          <t>hyperion</t>
        </is>
      </c>
      <c r="BM33" t="n">
        <v>8</v>
      </c>
      <c r="BN33" t="n">
        <v>8</v>
      </c>
      <c r="BO33" t="inlineStr"/>
      <c r="BP33" t="inlineStr"/>
      <c r="BQ33" t="inlineStr"/>
      <c r="BR33" t="b">
        <v>0</v>
      </c>
      <c r="BS33" t="inlineStr"/>
      <c r="BT33" t="inlineStr"/>
      <c r="BU33" t="inlineStr">
        <is>
          <t>tuan:66;day_du:60</t>
        </is>
      </c>
      <c r="EQ33" t="inlineStr">
        <is>
          <t>aurel</t>
        </is>
      </c>
      <c r="EY33" t="n">
        <v>94850</v>
      </c>
      <c r="FI33" t="inlineStr">
        <is>
          <t>own</t>
        </is>
      </c>
      <c r="FU33" t="inlineStr">
        <is>
          <t>theia</t>
        </is>
      </c>
      <c r="FV33" t="n">
        <v>13</v>
      </c>
      <c r="FW33" t="n">
        <v>40.3</v>
      </c>
      <c r="FX33" t="n">
        <v>20.7</v>
      </c>
      <c r="GO33" t="inlineStr">
        <is>
          <t>#dde2e6</t>
        </is>
      </c>
      <c r="GP33" t="inlineStr">
        <is>
          <t>0.2;0.38</t>
        </is>
      </c>
      <c r="GU33" t="n">
        <v>1</v>
      </c>
      <c r="GX33" t="n">
        <v>30</v>
      </c>
      <c r="GZ33" t="n">
        <v>8</v>
      </c>
      <c r="HA33" t="n">
        <v>3</v>
      </c>
      <c r="HL33" t="inlineStr">
        <is>
          <t>radio.aurel.theia</t>
        </is>
      </c>
      <c r="II33" t="n">
        <v>4.2</v>
      </c>
      <c r="JJ33" t="inlineStr">
        <is>
          <t>0.45</t>
        </is>
      </c>
      <c r="JK33" t="n">
        <v>0</v>
      </c>
      <c r="JR33" t="inlineStr">
        <is>
          <t>radio.aurel.theia.phase2</t>
        </is>
      </c>
      <c r="JX33" t="inlineStr">
        <is>
          <t>main_laser;pod_bay;pd_laser_l;pd_laser_r</t>
        </is>
      </c>
      <c r="JY33" t="inlineStr">
        <is>
          <t>theia</t>
        </is>
      </c>
      <c r="KA33" t="inlineStr">
        <is>
          <t>hyperion</t>
        </is>
      </c>
      <c r="KB33" t="n">
        <v>0.6</v>
      </c>
      <c r="KC33" t="n">
        <v>1.04</v>
      </c>
      <c r="KD33" t="n">
        <v>0.97</v>
      </c>
      <c r="KE33" t="n">
        <v>0.9399999999999999</v>
      </c>
      <c r="KK33" t="n">
        <v>1</v>
      </c>
      <c r="KM33" t="inlineStr">
        <is>
          <t>Assets/MachineBrigade/Resources/Data/balance.json: vehicles[174]</t>
        </is>
      </c>
      <c r="KN33" t="inlineStr">
        <is>
          <t>{"id":"theia","livery":"own","paint":"#dde2e6","paintFinish":[0.2,0.38],"variantOf":"hyperion","model":"theia","modelSize":[40.3,20.7,13.0],"general":"aurel","radioSpawn":"radio.aurel.theia","hp":94850,"weaponDamage":1.0,"speed":4.2,"secondary":[{"weapon":"p26_matriarch_ma_drones","slot":"missile","aim":"Free"},{"weapon":"pt14_th_jagm","slot":"rocket","aim":"Free"},{"weapon":"pt14_th_jagm","slot":"rocket","aim":"Free"},{"weapon":"pt14_th_v35","slot":"gun","aim":"Free"},{"weapon":"pt14_th_v35","slot":"gun","aim":"Free"},{"weapon":"pt14_th_pd","slot":"mg","aim":"Free"},{"weapon":"pt14_th_pd","slot":"mg","aim":"Free"}],"aps":{"radius":20,"charges":3,"recharge":1.4,"rockets":true,"laser":true},"pods":{"first":8,"every":30,"count":1,"max":3},"tiers":{"opening":0,"marks":[0.45],"schedule":[{"steps":[{"tier":"high","seconds":20},{"tier":"low","seconds":12}]},{"steps":[{"tier":"high","seconds":14},{"tier":"low","seconds":16}]}],"radio":{"phase2":"radio.aurel.theia.phase2"}},"variant":{"size":0.6,"keep":["main_laser","pod_bay","pd_laser_l","pd_laser_r"],"tint":[0.94,0.97,1.04],"mark":"theia","tune":{"main_laser":{"hp":0.1,"at":[0,16.33,17.0]},"pod_bay":{"hp":0.1,"at":[0,-3.33,5.33]},"pd_laser_l":{"hp":0.1,"at":[-13.83,5.0,15.0]},"pd_laser_r":{"hp":0.1,"at":[13.83,5.0,15.0]}}}}</t>
        </is>
      </c>
    </row>
    <row r="34">
      <c r="A34" t="inlineStr">
        <is>
          <t>typhon</t>
        </is>
      </c>
      <c r="B34" t="inlineStr">
        <is>
          <t>main</t>
        </is>
      </c>
      <c r="C34" t="inlineStr">
        <is>
          <t>Typhon · Missile Submarine</t>
        </is>
      </c>
      <c r="D34" t="inlineStr">
        <is>
          <t>Typhon · Tàu ngầm tên lửa</t>
        </is>
      </c>
      <c r="E34" t="inlineStr">
        <is>
          <t>Typhon</t>
        </is>
      </c>
      <c r="F34" t="inlineStr"/>
      <c r="G34" t="inlineStr"/>
      <c r="H34" t="inlineStr"/>
      <c r="I34" t="n">
        <v>0</v>
      </c>
      <c r="J34" t="n">
        <v>168632</v>
      </c>
      <c r="K34" t="n">
        <v>143337.2</v>
      </c>
      <c r="L34" t="n">
        <v>5</v>
      </c>
      <c r="M34" t="n">
        <v>3</v>
      </c>
      <c r="N34" t="n">
        <v>2</v>
      </c>
      <c r="O34" t="n">
        <v>2</v>
      </c>
      <c r="P34" t="b">
        <v>0</v>
      </c>
      <c r="Q34" t="n">
        <v>3</v>
      </c>
      <c r="R34" t="n">
        <v>8</v>
      </c>
      <c r="S34" t="n">
        <v>40</v>
      </c>
      <c r="T34" t="n">
        <v>110</v>
      </c>
      <c r="U34" t="n">
        <v>11</v>
      </c>
      <c r="V34" t="n">
        <v>58</v>
      </c>
      <c r="W34" t="n">
        <v>12</v>
      </c>
      <c r="X34" t="b">
        <v>0</v>
      </c>
      <c r="Y34" t="n">
        <v>0</v>
      </c>
      <c r="Z34" t="b">
        <v>0</v>
      </c>
      <c r="AA34" t="b">
        <v>1</v>
      </c>
      <c r="AB34" t="n">
        <v>1</v>
      </c>
      <c r="AC34" t="n">
        <v>3.5</v>
      </c>
      <c r="AD34" t="n">
        <v>1</v>
      </c>
      <c r="AE34" t="inlineStr">
        <is>
          <t>sam_post</t>
        </is>
      </c>
      <c r="AF34" t="inlineStr">
        <is>
          <t>p26_typhon_sec_ty57;p26_typhon_sec_ty57;p26_typhon_direct_ty100;p26_typhon_sec_ty57</t>
        </is>
      </c>
      <c r="AG34" t="inlineStr"/>
      <c r="AH34" t="inlineStr">
        <is>
          <t>none</t>
        </is>
      </c>
      <c r="AI34" t="inlineStr"/>
      <c r="AJ34" t="inlineStr"/>
      <c r="AK34" t="inlineStr">
        <is>
          <t>typhon</t>
        </is>
      </c>
      <c r="AL34" t="inlineStr">
        <is>
          <t>doi</t>
        </is>
      </c>
      <c r="AO34" t="n">
        <v>117650</v>
      </c>
      <c r="AP34" t="n">
        <v>168632</v>
      </c>
      <c r="BE34" t="inlineStr">
        <is>
          <t>p26_typhon_sec_ty57;p26_typhon_sec_ty57;p26_typhon_direct_ty100</t>
        </is>
      </c>
      <c r="BF34" t="inlineStr">
        <is>
          <t>p26_typhon_sec_ty57;p26_typhon_sec_ty57;p26_typhon_direct_ty100;p26_typhon_sec_ty57</t>
        </is>
      </c>
      <c r="BI34" t="inlineStr">
        <is>
          <t>submarine</t>
        </is>
      </c>
      <c r="BJ34" t="inlineStr">
        <is>
          <t>submarine</t>
        </is>
      </c>
      <c r="BK34" t="inlineStr">
        <is>
          <t>hung</t>
        </is>
      </c>
      <c r="BL34" t="inlineStr"/>
      <c r="BM34" t="n">
        <v>5</v>
      </c>
      <c r="BN34" t="n">
        <v>8</v>
      </c>
      <c r="BO34" t="inlineStr">
        <is>
          <t>typhon_underwater_launch</t>
        </is>
      </c>
      <c r="BP34" t="n">
        <v>50</v>
      </c>
      <c r="BQ34" t="inlineStr">
        <is>
          <t>base</t>
        </is>
      </c>
      <c r="BR34" t="b">
        <v>0</v>
      </c>
      <c r="BS34" t="inlineStr">
        <is>
          <t>9</t>
        </is>
      </c>
      <c r="BT34" t="inlineStr"/>
      <c r="BU34" t="inlineStr">
        <is>
          <t>tuan:168;day_du:150</t>
        </is>
      </c>
      <c r="BZ34" t="n">
        <v>5</v>
      </c>
      <c r="CA34" t="n">
        <v>2</v>
      </c>
      <c r="CB34" t="n">
        <v>3</v>
      </c>
      <c r="CC34" t="n">
        <v>2</v>
      </c>
      <c r="CD34" t="inlineStr">
        <is>
          <t>typhon_underwater_launch</t>
        </is>
      </c>
      <c r="CH34" t="b">
        <v>1</v>
      </c>
      <c r="CM34" t="n">
        <v>18</v>
      </c>
      <c r="CP34" t="n">
        <v>2</v>
      </c>
      <c r="CR34" t="n">
        <v>22</v>
      </c>
      <c r="CS34" t="inlineStr">
        <is>
          <t>22;18</t>
        </is>
      </c>
      <c r="CT34" t="n">
        <v>14</v>
      </c>
      <c r="CU34" t="inlineStr">
        <is>
          <t>14;18</t>
        </is>
      </c>
      <c r="DG34" t="n">
        <v>1460</v>
      </c>
      <c r="DH34" t="n">
        <v>2.5</v>
      </c>
      <c r="DI34" t="n">
        <v>0</v>
      </c>
      <c r="DJ34" t="n">
        <v>16</v>
      </c>
      <c r="DL34" t="n">
        <v>0</v>
      </c>
      <c r="DM34" t="n">
        <v>10</v>
      </c>
      <c r="DN34" t="n">
        <v>4</v>
      </c>
      <c r="DO34" t="inlineStr">
        <is>
          <t>leviathan_cruise_mark</t>
        </is>
      </c>
      <c r="DP34" t="inlineStr">
        <is>
          <t>leviathan_cruise</t>
        </is>
      </c>
      <c r="DV34" t="n">
        <v>460</v>
      </c>
      <c r="DW34" t="n">
        <v>3</v>
      </c>
      <c r="DX34" t="n">
        <v>20</v>
      </c>
      <c r="DY34" t="inlineStr">
        <is>
          <t>Ultimate</t>
        </is>
      </c>
      <c r="EP34" t="inlineStr">
        <is>
          <t>submarine</t>
        </is>
      </c>
      <c r="EQ34" t="inlineStr">
        <is>
          <t>hung</t>
        </is>
      </c>
      <c r="EY34" t="n">
        <v>168632</v>
      </c>
      <c r="FH34" t="n">
        <v>58</v>
      </c>
      <c r="FI34" t="inlineStr">
        <is>
          <t>own</t>
        </is>
      </c>
      <c r="FL34" t="inlineStr">
        <is>
          <t>missile</t>
        </is>
      </c>
      <c r="FU34" t="inlineStr">
        <is>
          <t>typhon</t>
        </is>
      </c>
      <c r="FZ34" t="inlineStr">
        <is>
          <t>p26_typhon_sec_ty57</t>
        </is>
      </c>
      <c r="GB34" t="inlineStr">
        <is>
          <t>p26_typhon_sec_ty57</t>
        </is>
      </c>
      <c r="GC34" t="inlineStr">
        <is>
          <t>p26_typhon_direct_ty100</t>
        </is>
      </c>
      <c r="GD34" t="inlineStr">
        <is>
          <t>p26_typhon_sec_ty57</t>
        </is>
      </c>
      <c r="GJ34" t="n">
        <v>-1</v>
      </c>
      <c r="GL34" t="inlineStr">
        <is>
          <t>far;mid;near</t>
        </is>
      </c>
      <c r="GO34" t="inlineStr">
        <is>
          <t>#22262a</t>
        </is>
      </c>
      <c r="GP34" t="inlineStr">
        <is>
          <t>0.15;0.8</t>
        </is>
      </c>
      <c r="HL34" t="inlineStr">
        <is>
          <t>radio.hung.typhon</t>
        </is>
      </c>
      <c r="HM34" t="n">
        <v>11</v>
      </c>
      <c r="HN34" t="inlineStr">
        <is>
          <t>main</t>
        </is>
      </c>
      <c r="IG34" t="n">
        <v>1.1864</v>
      </c>
      <c r="II34" t="n">
        <v>3</v>
      </c>
      <c r="JU34" t="n">
        <v>8</v>
      </c>
      <c r="JV34" t="n">
        <v>40</v>
      </c>
      <c r="KF34" t="n">
        <v>110</v>
      </c>
      <c r="KH34" t="inlineStr">
        <is>
          <t>3</t>
        </is>
      </c>
      <c r="KI34" t="n">
        <v>2</v>
      </c>
      <c r="KJ34" t="inlineStr">
        <is>
          <t>sam_post</t>
        </is>
      </c>
      <c r="KK34" t="n">
        <v>1</v>
      </c>
      <c r="KL34" t="n">
        <v>12</v>
      </c>
      <c r="KM34" t="inlineStr">
        <is>
          <t>Assets/MachineBrigade/Resources/Data/balance.json: vehicles[161]</t>
        </is>
      </c>
      <c r="KN34" t="inlineStr">
        <is>
          <t>{"id":"typhon","livery":"own","paint":"#22262a","paintFinish":[0.15,0.8],"size":1.1864,"mountWeapons":{"1":"p26_typhon_sec_ty57","2":"p26_typhon_sec_ty57","3":"p26_typhon_direct_ty100","4":"p26_typhon_sec_ty57"},"secondary":[{"weapon":"p26_typhon_ty57","slot":"gun","aim":"Free","arc":[0,150]},{"weapon":"p26_typhon_ty57","slot":"gun","aim":"Free","arc":[180,150]},{"weapon":"naval_100","slot":"gun","aim":"Free","arc":[0,150]},{"weapon":"p26_typhon_ty57","slot":"gun","aim":"Free","arc":[180,150]}],"frame":"submarine","rank":"main","general":"hung","boss":true,"bigAttack":"typhon_underwater_launch","radioSpawn":"radio.hung.typhon","model":"typhon","armour":[5,3,2,2],"hp":168632,"weaponDamage":1,"speed":3.0,"turnRate":8,"turretTurnRate":40,"radius":11,"length":58,"width":12,"vision":110,"weapon":"sam_post","mainSlot":"missile","naval":{"lanes":["far","mid","near"],"escapePhase":-1},"burrow":{"surface":22,"under":14,"first":18,"surfaceByPhase":[22,18],"underByPhase":[14,18],"stopPhase":2},"cruise":{"every":2.5,"first":16,"phase":0,"warn":4,"damage":1460,"radius":10,"final":0,"weapon":"leviathan_cruise","warning":"leviathan_cruise_mark"},"wake":{"phase":2,"mounts":[3]},"fleet":[{"unit":"sea_corvette","count":1,"at":26},{"unit":"missile_boat","count":2}],"parts":[{"id":"sail","kind":"sail","hp":0.08,"armour":2,"node":"Part_sail","wreck":"wreck_stump","at":[0,-1.4,6.4],"radius":3.0,"spread":2,"affects":[0],"radio":"radio.part.sail"},{"id":"doors_l","kind":"launchdoors","hp":0.08,"armour":2,"node":"Part_doors_l","wreck":"wreck_launcher","at":[-1.72,11.85,4.2],"radius":3.0,"stops":["cruise"],"radio":"radio.part.launchdoors"},{"id":"doors_r","kind":"launchdoors","hp":0.08,"armour":2,"node":"Part_doors_r","wreck":"wreck_launcher","at":[1.72,11.85,4.2],"radius":3.0,"stops":["cruise"]},{"id":"rudder","kind":"rudder","hp":0.08,"armour":2,"node":"Part_rudder","wreck":"wreck_stump","at":[0,-26.6,2.4],"radius":2.6,"turn":0.5,"speed":0.9},{"id":"sonar","kind":"sonar","hp":0.08,"armour":1,"node":"Part_sonar","wreck":"wreck_stump","at":[0,26.4,0.8],"radius":2.4,"stops":["radar"],"fx":"energy"},{"id":"sam","kind":"sam","hp":0.08,"armour":2,"node":"Mount_missile","wreck":"wreck_launcher","at":[0,-5.0,10.2],"radius":1.8,"mounts":[0]},{"use":"deck_gun_100","id":"deck_gun","node":"Mount_gun.002","at":[0,22.4,4.2],"arc":[0,150],"mounts":[3]}],"deathExplosion":{"damage":460,"radius":20,"delay":3.0,"tier":"Ultimate"}}</t>
        </is>
      </c>
    </row>
  </sheetData>
  <autoFilter ref="A1:KN34"/>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8" customWidth="1" min="3" max="3"/>
    <col width="28" customWidth="1" min="4" max="4"/>
    <col width="8" customWidth="1" min="5" max="5"/>
    <col width="20" customWidth="1" min="6" max="6"/>
    <col width="18" customWidth="1" min="7" max="7"/>
    <col width="8" customWidth="1" min="8" max="8"/>
    <col width="8" customWidth="1" min="9" max="9"/>
    <col width="60" customWidth="1" min="10" max="10"/>
    <col width="60" customWidth="1" min="11" max="11"/>
  </cols>
  <sheetData>
    <row r="1">
      <c r="A1" s="1" t="inlineStr">
        <is>
          <t>id</t>
        </is>
      </c>
      <c r="B1" s="1" t="inlineStr">
        <is>
          <t>boss_id</t>
        </is>
      </c>
      <c r="C1" s="1" t="inlineStr">
        <is>
          <t>thu_tu</t>
        </is>
      </c>
      <c r="D1" s="1" t="inlineStr">
        <is>
          <t>weapon</t>
        </is>
      </c>
      <c r="E1" s="1" t="inlineStr">
        <is>
          <t>aim</t>
        </is>
      </c>
      <c r="F1" s="1" t="inlineStr">
        <is>
          <t>arc_deg_center_deg</t>
        </is>
      </c>
      <c r="G1" s="1" t="inlineStr">
        <is>
          <t>arc_deg_half_deg</t>
        </is>
      </c>
      <c r="H1" s="1" t="inlineStr">
        <is>
          <t>model</t>
        </is>
      </c>
      <c r="I1" s="1" t="inlineStr">
        <is>
          <t>slot</t>
        </is>
      </c>
      <c r="J1" s="1" t="inlineStr">
        <is>
          <t>nguon</t>
        </is>
      </c>
      <c r="K1" s="1" t="inlineStr">
        <is>
          <t>raw_json</t>
        </is>
      </c>
    </row>
    <row r="2">
      <c r="A2" t="inlineStr">
        <is>
          <t>armored_train/0</t>
        </is>
      </c>
      <c r="B2" t="inlineStr">
        <is>
          <t>armored_train</t>
        </is>
      </c>
      <c r="C2" t="n">
        <v>0</v>
      </c>
      <c r="D2" t="inlineStr">
        <is>
          <t>pt14_train_grad</t>
        </is>
      </c>
      <c r="E2" t="inlineStr">
        <is>
          <t>Free</t>
        </is>
      </c>
      <c r="I2" t="inlineStr">
        <is>
          <t>rocket</t>
        </is>
      </c>
      <c r="J2" t="inlineStr">
        <is>
          <t>Assets/MachineBrigade/Resources/Data/balance.json: vehicles[140].secondary[0]</t>
        </is>
      </c>
      <c r="K2" t="inlineStr">
        <is>
          <t>{"weapon":"pt14_train_grad","slot":"rocket","aim":"Free"}</t>
        </is>
      </c>
    </row>
    <row r="3">
      <c r="A3" t="inlineStr">
        <is>
          <t>armored_train/1</t>
        </is>
      </c>
      <c r="B3" t="inlineStr">
        <is>
          <t>armored_train</t>
        </is>
      </c>
      <c r="C3" t="n">
        <v>1</v>
      </c>
      <c r="D3" t="inlineStr">
        <is>
          <t>boss_hmg</t>
        </is>
      </c>
      <c r="E3" t="inlineStr">
        <is>
          <t>Free</t>
        </is>
      </c>
      <c r="I3" t="inlineStr">
        <is>
          <t>mg</t>
        </is>
      </c>
      <c r="J3" t="inlineStr">
        <is>
          <t>Assets/MachineBrigade/Resources/Data/balance.json: vehicles[140].secondary[1]</t>
        </is>
      </c>
      <c r="K3" t="inlineStr">
        <is>
          <t>{"weapon":"boss_hmg","slot":"mg","aim":"Free"}</t>
        </is>
      </c>
    </row>
    <row r="4">
      <c r="A4" t="inlineStr">
        <is>
          <t>armored_train/2</t>
        </is>
      </c>
      <c r="B4" t="inlineStr">
        <is>
          <t>armored_train</t>
        </is>
      </c>
      <c r="C4" t="n">
        <v>2</v>
      </c>
      <c r="D4" t="inlineStr">
        <is>
          <t>boss_flak</t>
        </is>
      </c>
      <c r="E4" t="inlineStr">
        <is>
          <t>Free</t>
        </is>
      </c>
      <c r="I4" t="inlineStr">
        <is>
          <t>mg</t>
        </is>
      </c>
      <c r="J4" t="inlineStr">
        <is>
          <t>Assets/MachineBrigade/Resources/Data/balance.json: vehicles[140].secondary[2]</t>
        </is>
      </c>
      <c r="K4" t="inlineStr">
        <is>
          <t>{"weapon":"boss_flak","slot":"mg","aim":"Free"}</t>
        </is>
      </c>
    </row>
    <row r="5">
      <c r="A5" t="inlineStr">
        <is>
          <t>armored_train/3</t>
        </is>
      </c>
      <c r="B5" t="inlineStr">
        <is>
          <t>armored_train</t>
        </is>
      </c>
      <c r="C5" t="n">
        <v>3</v>
      </c>
      <c r="D5" t="inlineStr">
        <is>
          <t>train_gun</t>
        </is>
      </c>
      <c r="E5" t="inlineStr">
        <is>
          <t>Free</t>
        </is>
      </c>
      <c r="I5" t="inlineStr">
        <is>
          <t>main</t>
        </is>
      </c>
      <c r="J5" t="inlineStr">
        <is>
          <t>Assets/MachineBrigade/Resources/Data/balance.json: vehicles[140].secondary[3]</t>
        </is>
      </c>
      <c r="K5" t="inlineStr">
        <is>
          <t>{"weapon":"train_gun","slot":"main","aim":"Free"}</t>
        </is>
      </c>
    </row>
    <row r="6">
      <c r="A6" t="inlineStr">
        <is>
          <t>armored_train/4</t>
        </is>
      </c>
      <c r="B6" t="inlineStr">
        <is>
          <t>armored_train</t>
        </is>
      </c>
      <c r="C6" t="n">
        <v>4</v>
      </c>
      <c r="D6" t="inlineStr">
        <is>
          <t>train_mortar</t>
        </is>
      </c>
      <c r="E6" t="inlineStr">
        <is>
          <t>Free</t>
        </is>
      </c>
      <c r="I6" t="inlineStr">
        <is>
          <t>mortar</t>
        </is>
      </c>
      <c r="J6" t="inlineStr">
        <is>
          <t>Assets/MachineBrigade/Resources/Data/balance.json: vehicles[140].secondary[4]</t>
        </is>
      </c>
      <c r="K6" t="inlineStr">
        <is>
          <t>{"weapon":"train_mortar","slot":"mortar","aim":"Free"}</t>
        </is>
      </c>
    </row>
    <row r="7">
      <c r="A7" t="inlineStr">
        <is>
          <t>armored_train/5</t>
        </is>
      </c>
      <c r="B7" t="inlineStr">
        <is>
          <t>armored_train</t>
        </is>
      </c>
      <c r="C7" t="n">
        <v>5</v>
      </c>
      <c r="D7" t="inlineStr">
        <is>
          <t>boss_flak</t>
        </is>
      </c>
      <c r="E7" t="inlineStr">
        <is>
          <t>Free</t>
        </is>
      </c>
      <c r="I7" t="inlineStr">
        <is>
          <t>mg</t>
        </is>
      </c>
      <c r="J7" t="inlineStr">
        <is>
          <t>Assets/MachineBrigade/Resources/Data/balance.json: vehicles[140].secondary[5]</t>
        </is>
      </c>
      <c r="K7" t="inlineStr">
        <is>
          <t>{"weapon":"boss_flak","slot":"mg","aim":"Free"}</t>
        </is>
      </c>
    </row>
    <row r="8">
      <c r="A8" t="inlineStr">
        <is>
          <t>behemoth/0</t>
        </is>
      </c>
      <c r="B8" t="inlineStr">
        <is>
          <t>behemoth</t>
        </is>
      </c>
      <c r="C8" t="n">
        <v>0</v>
      </c>
      <c r="D8" t="inlineStr">
        <is>
          <t>gun_120mm</t>
        </is>
      </c>
      <c r="E8" t="inlineStr">
        <is>
          <t>Free</t>
        </is>
      </c>
      <c r="I8" t="inlineStr">
        <is>
          <t>gun</t>
        </is>
      </c>
      <c r="J8" t="inlineStr">
        <is>
          <t>Assets/MachineBrigade/Resources/Data/balance.json: vehicles[138].secondary[0]</t>
        </is>
      </c>
      <c r="K8" t="inlineStr">
        <is>
          <t>{"weapon":"gun_120mm","slot":"gun","aim":"Free"}</t>
        </is>
      </c>
    </row>
    <row r="9">
      <c r="A9" t="inlineStr">
        <is>
          <t>behemoth/1</t>
        </is>
      </c>
      <c r="B9" t="inlineStr">
        <is>
          <t>behemoth</t>
        </is>
      </c>
      <c r="C9" t="n">
        <v>1</v>
      </c>
      <c r="D9" t="inlineStr">
        <is>
          <t>boss_flak</t>
        </is>
      </c>
      <c r="E9" t="inlineStr">
        <is>
          <t>Free</t>
        </is>
      </c>
      <c r="I9" t="inlineStr">
        <is>
          <t>mg</t>
        </is>
      </c>
      <c r="J9" t="inlineStr">
        <is>
          <t>Assets/MachineBrigade/Resources/Data/balance.json: vehicles[138].secondary[1]</t>
        </is>
      </c>
      <c r="K9" t="inlineStr">
        <is>
          <t>{"weapon":"boss_flak","slot":"mg","aim":"Free"}</t>
        </is>
      </c>
    </row>
    <row r="10">
      <c r="A10" t="inlineStr">
        <is>
          <t>behemoth/2</t>
        </is>
      </c>
      <c r="B10" t="inlineStr">
        <is>
          <t>behemoth</t>
        </is>
      </c>
      <c r="C10" t="n">
        <v>2</v>
      </c>
      <c r="D10" t="inlineStr">
        <is>
          <t>boss_flak</t>
        </is>
      </c>
      <c r="E10" t="inlineStr">
        <is>
          <t>Free</t>
        </is>
      </c>
      <c r="I10" t="inlineStr">
        <is>
          <t>mg</t>
        </is>
      </c>
      <c r="J10" t="inlineStr">
        <is>
          <t>Assets/MachineBrigade/Resources/Data/balance.json: vehicles[138].secondary[2]</t>
        </is>
      </c>
      <c r="K10" t="inlineStr">
        <is>
          <t>{"weapon":"boss_flak","slot":"mg","aim":"Free"}</t>
        </is>
      </c>
    </row>
    <row r="11">
      <c r="A11" t="inlineStr">
        <is>
          <t>behemoth/3</t>
        </is>
      </c>
      <c r="B11" t="inlineStr">
        <is>
          <t>behemoth</t>
        </is>
      </c>
      <c r="C11" t="n">
        <v>3</v>
      </c>
      <c r="D11" t="inlineStr">
        <is>
          <t>boss_missiles</t>
        </is>
      </c>
      <c r="E11" t="inlineStr">
        <is>
          <t>Hull</t>
        </is>
      </c>
      <c r="I11" t="inlineStr">
        <is>
          <t>missile</t>
        </is>
      </c>
      <c r="J11" t="inlineStr">
        <is>
          <t>Assets/MachineBrigade/Resources/Data/balance.json: vehicles[138].secondary[3]</t>
        </is>
      </c>
      <c r="K11" t="inlineStr">
        <is>
          <t>{"weapon":"boss_missiles","slot":"missile","aim":"Hull"}</t>
        </is>
      </c>
    </row>
    <row r="12">
      <c r="A12" t="inlineStr">
        <is>
          <t>behemoth/4</t>
        </is>
      </c>
      <c r="B12" t="inlineStr">
        <is>
          <t>behemoth</t>
        </is>
      </c>
      <c r="C12" t="n">
        <v>4</v>
      </c>
      <c r="D12" t="inlineStr">
        <is>
          <t>boss_missiles</t>
        </is>
      </c>
      <c r="E12" t="inlineStr">
        <is>
          <t>Hull</t>
        </is>
      </c>
      <c r="I12" t="inlineStr">
        <is>
          <t>missile</t>
        </is>
      </c>
      <c r="J12" t="inlineStr">
        <is>
          <t>Assets/MachineBrigade/Resources/Data/balance.json: vehicles[138].secondary[4]</t>
        </is>
      </c>
      <c r="K12" t="inlineStr">
        <is>
          <t>{"weapon":"boss_missiles","slot":"missile","aim":"Hull"}</t>
        </is>
      </c>
    </row>
    <row r="13">
      <c r="A13" t="inlineStr">
        <is>
          <t>behemoth/5</t>
        </is>
      </c>
      <c r="B13" t="inlineStr">
        <is>
          <t>behemoth</t>
        </is>
      </c>
      <c r="C13" t="n">
        <v>5</v>
      </c>
      <c r="D13" t="inlineStr">
        <is>
          <t>kornet_twin</t>
        </is>
      </c>
      <c r="E13" t="inlineStr">
        <is>
          <t>Free</t>
        </is>
      </c>
      <c r="I13" t="inlineStr">
        <is>
          <t>missile</t>
        </is>
      </c>
      <c r="J13" t="inlineStr">
        <is>
          <t>Assets/MachineBrigade/Resources/Data/balance.json: vehicles[138].secondary[5]</t>
        </is>
      </c>
      <c r="K13" t="inlineStr">
        <is>
          <t>{"weapon":"kornet_twin","slot":"missile","aim":"Free"}</t>
        </is>
      </c>
    </row>
    <row r="14">
      <c r="A14" t="inlineStr">
        <is>
          <t>behemoth_inferno/0</t>
        </is>
      </c>
      <c r="B14" t="inlineStr">
        <is>
          <t>behemoth_inferno</t>
        </is>
      </c>
      <c r="C14" t="n">
        <v>0</v>
      </c>
      <c r="D14" t="inlineStr">
        <is>
          <t>boss_thermo</t>
        </is>
      </c>
      <c r="E14" t="inlineStr">
        <is>
          <t>Free</t>
        </is>
      </c>
      <c r="I14" t="inlineStr">
        <is>
          <t>rocket</t>
        </is>
      </c>
      <c r="J14" t="inlineStr">
        <is>
          <t>Assets/MachineBrigade/Resources/Data/balance.json: vehicles[146].secondary[0]</t>
        </is>
      </c>
      <c r="K14" t="inlineStr">
        <is>
          <t>{"weapon":"boss_thermo","slot":"rocket","aim":"Free"}</t>
        </is>
      </c>
    </row>
    <row r="15">
      <c r="A15" t="inlineStr">
        <is>
          <t>behemoth_inferno/1</t>
        </is>
      </c>
      <c r="B15" t="inlineStr">
        <is>
          <t>behemoth_inferno</t>
        </is>
      </c>
      <c r="C15" t="n">
        <v>1</v>
      </c>
      <c r="D15" t="inlineStr">
        <is>
          <t>boss_flak</t>
        </is>
      </c>
      <c r="E15" t="inlineStr">
        <is>
          <t>Free</t>
        </is>
      </c>
      <c r="I15" t="inlineStr">
        <is>
          <t>mg</t>
        </is>
      </c>
      <c r="J15" t="inlineStr">
        <is>
          <t>Assets/MachineBrigade/Resources/Data/balance.json: vehicles[146].secondary[1]</t>
        </is>
      </c>
      <c r="K15" t="inlineStr">
        <is>
          <t>{"weapon":"boss_flak","slot":"mg","aim":"Free"}</t>
        </is>
      </c>
    </row>
    <row r="16">
      <c r="A16" t="inlineStr">
        <is>
          <t>behemoth_inferno/2</t>
        </is>
      </c>
      <c r="B16" t="inlineStr">
        <is>
          <t>behemoth_inferno</t>
        </is>
      </c>
      <c r="C16" t="n">
        <v>2</v>
      </c>
      <c r="D16" t="inlineStr">
        <is>
          <t>boss_flamer</t>
        </is>
      </c>
      <c r="E16" t="inlineStr">
        <is>
          <t>Turret</t>
        </is>
      </c>
      <c r="I16" t="inlineStr">
        <is>
          <t>main</t>
        </is>
      </c>
      <c r="J16" t="inlineStr">
        <is>
          <t>Assets/MachineBrigade/Resources/Data/balance.json: vehicles[146].secondary[2]</t>
        </is>
      </c>
      <c r="K16" t="inlineStr">
        <is>
          <t>{"weapon":"boss_flamer","slot":"main","aim":"Turret"}</t>
        </is>
      </c>
    </row>
    <row r="17">
      <c r="A17" t="inlineStr">
        <is>
          <t>behemoth_tempest/0</t>
        </is>
      </c>
      <c r="B17" t="inlineStr">
        <is>
          <t>behemoth_tempest</t>
        </is>
      </c>
      <c r="C17" t="n">
        <v>0</v>
      </c>
      <c r="D17" t="inlineStr">
        <is>
          <t>coilgun</t>
        </is>
      </c>
      <c r="E17" t="inlineStr">
        <is>
          <t>Free</t>
        </is>
      </c>
      <c r="I17" t="inlineStr">
        <is>
          <t>gun</t>
        </is>
      </c>
      <c r="J17" t="inlineStr">
        <is>
          <t>Assets/MachineBrigade/Resources/Data/balance.json: vehicles[147].secondary[0]</t>
        </is>
      </c>
      <c r="K17" t="inlineStr">
        <is>
          <t>{"weapon":"coilgun","slot":"gun","aim":"Free"}</t>
        </is>
      </c>
    </row>
    <row r="18">
      <c r="A18" t="inlineStr">
        <is>
          <t>behemoth_tempest/1</t>
        </is>
      </c>
      <c r="B18" t="inlineStr">
        <is>
          <t>behemoth_tempest</t>
        </is>
      </c>
      <c r="C18" t="n">
        <v>1</v>
      </c>
      <c r="D18" t="inlineStr">
        <is>
          <t>coilgun</t>
        </is>
      </c>
      <c r="E18" t="inlineStr">
        <is>
          <t>Free</t>
        </is>
      </c>
      <c r="I18" t="inlineStr">
        <is>
          <t>gun</t>
        </is>
      </c>
      <c r="J18" t="inlineStr">
        <is>
          <t>Assets/MachineBrigade/Resources/Data/balance.json: vehicles[147].secondary[1]</t>
        </is>
      </c>
      <c r="K18" t="inlineStr">
        <is>
          <t>{"weapon":"coilgun","slot":"gun","aim":"Free"}</t>
        </is>
      </c>
    </row>
    <row r="19">
      <c r="A19" t="inlineStr">
        <is>
          <t>coeus/0</t>
        </is>
      </c>
      <c r="B19" t="inlineStr">
        <is>
          <t>coeus</t>
        </is>
      </c>
      <c r="C19" t="n">
        <v>0</v>
      </c>
      <c r="D19" t="inlineStr">
        <is>
          <t>pt14_co_v76</t>
        </is>
      </c>
      <c r="E19" t="inlineStr">
        <is>
          <t>Free</t>
        </is>
      </c>
      <c r="I19" t="inlineStr">
        <is>
          <t>gun</t>
        </is>
      </c>
      <c r="J19" t="inlineStr">
        <is>
          <t>Assets/MachineBrigade/Resources/Data/balance.json: vehicles[175].secondary[0]</t>
        </is>
      </c>
      <c r="K19" t="inlineStr">
        <is>
          <t>{"weapon":"pt14_co_v76","slot":"gun","aim":"Free"}</t>
        </is>
      </c>
    </row>
    <row r="20">
      <c r="A20" t="inlineStr">
        <is>
          <t>coeus/1</t>
        </is>
      </c>
      <c r="B20" t="inlineStr">
        <is>
          <t>coeus</t>
        </is>
      </c>
      <c r="C20" t="n">
        <v>1</v>
      </c>
      <c r="D20" t="inlineStr">
        <is>
          <t>pt14_co_v76</t>
        </is>
      </c>
      <c r="E20" t="inlineStr">
        <is>
          <t>Free</t>
        </is>
      </c>
      <c r="I20" t="inlineStr">
        <is>
          <t>gun</t>
        </is>
      </c>
      <c r="J20" t="inlineStr">
        <is>
          <t>Assets/MachineBrigade/Resources/Data/balance.json: vehicles[175].secondary[1]</t>
        </is>
      </c>
      <c r="K20" t="inlineStr">
        <is>
          <t>{"weapon":"pt14_co_v76","slot":"gun","aim":"Free"}</t>
        </is>
      </c>
    </row>
    <row r="21">
      <c r="A21" t="inlineStr">
        <is>
          <t>coeus/2</t>
        </is>
      </c>
      <c r="B21" t="inlineStr">
        <is>
          <t>coeus</t>
        </is>
      </c>
      <c r="C21" t="n">
        <v>2</v>
      </c>
      <c r="D21" t="inlineStr">
        <is>
          <t>pt14_co_spike</t>
        </is>
      </c>
      <c r="E21" t="inlineStr">
        <is>
          <t>Free</t>
        </is>
      </c>
      <c r="I21" t="inlineStr">
        <is>
          <t>rocket</t>
        </is>
      </c>
      <c r="J21" t="inlineStr">
        <is>
          <t>Assets/MachineBrigade/Resources/Data/balance.json: vehicles[175].secondary[2]</t>
        </is>
      </c>
      <c r="K21" t="inlineStr">
        <is>
          <t>{"weapon":"pt14_co_spike","slot":"rocket","aim":"Free"}</t>
        </is>
      </c>
    </row>
    <row r="22">
      <c r="A22" t="inlineStr">
        <is>
          <t>coeus/3</t>
        </is>
      </c>
      <c r="B22" t="inlineStr">
        <is>
          <t>coeus</t>
        </is>
      </c>
      <c r="C22" t="n">
        <v>3</v>
      </c>
      <c r="D22" t="inlineStr">
        <is>
          <t>pt14_co_spike</t>
        </is>
      </c>
      <c r="E22" t="inlineStr">
        <is>
          <t>Free</t>
        </is>
      </c>
      <c r="I22" t="inlineStr">
        <is>
          <t>rocket</t>
        </is>
      </c>
      <c r="J22" t="inlineStr">
        <is>
          <t>Assets/MachineBrigade/Resources/Data/balance.json: vehicles[175].secondary[3]</t>
        </is>
      </c>
      <c r="K22" t="inlineStr">
        <is>
          <t>{"weapon":"pt14_co_spike","slot":"rocket","aim":"Free"}</t>
        </is>
      </c>
    </row>
    <row r="23">
      <c r="A23" t="inlineStr">
        <is>
          <t>command_airship/0</t>
        </is>
      </c>
      <c r="B23" t="inlineStr">
        <is>
          <t>command_airship</t>
        </is>
      </c>
      <c r="C23" t="n">
        <v>0</v>
      </c>
      <c r="D23" t="inlineStr">
        <is>
          <t>airship_flak</t>
        </is>
      </c>
      <c r="E23" t="inlineStr">
        <is>
          <t>Free</t>
        </is>
      </c>
      <c r="I23" t="inlineStr">
        <is>
          <t>gun</t>
        </is>
      </c>
      <c r="J23" t="inlineStr">
        <is>
          <t>Assets/MachineBrigade/Resources/Data/balance.json: vehicles[151].secondary[0]</t>
        </is>
      </c>
      <c r="K23" t="inlineStr">
        <is>
          <t>{"weapon":"airship_flak","slot":"gun","aim":"Free"}</t>
        </is>
      </c>
    </row>
    <row r="24">
      <c r="A24" t="inlineStr">
        <is>
          <t>command_airship/1</t>
        </is>
      </c>
      <c r="B24" t="inlineStr">
        <is>
          <t>command_airship</t>
        </is>
      </c>
      <c r="C24" t="n">
        <v>1</v>
      </c>
      <c r="D24" t="inlineStr">
        <is>
          <t>airship_drones</t>
        </is>
      </c>
      <c r="E24" t="inlineStr">
        <is>
          <t>Free</t>
        </is>
      </c>
      <c r="I24" t="inlineStr">
        <is>
          <t>door_l</t>
        </is>
      </c>
      <c r="J24" t="inlineStr">
        <is>
          <t>Assets/MachineBrigade/Resources/Data/balance.json: vehicles[151].secondary[1]</t>
        </is>
      </c>
      <c r="K24" t="inlineStr">
        <is>
          <t>{"weapon":"airship_drones","slot":"door_l","aim":"Free"}</t>
        </is>
      </c>
    </row>
    <row r="25">
      <c r="A25" t="inlineStr">
        <is>
          <t>command_airship/2</t>
        </is>
      </c>
      <c r="B25" t="inlineStr">
        <is>
          <t>command_airship</t>
        </is>
      </c>
      <c r="C25" t="n">
        <v>2</v>
      </c>
      <c r="D25" t="inlineStr">
        <is>
          <t>airship_drones</t>
        </is>
      </c>
      <c r="E25" t="inlineStr">
        <is>
          <t>Free</t>
        </is>
      </c>
      <c r="I25" t="inlineStr">
        <is>
          <t>door_r</t>
        </is>
      </c>
      <c r="J25" t="inlineStr">
        <is>
          <t>Assets/MachineBrigade/Resources/Data/balance.json: vehicles[151].secondary[2]</t>
        </is>
      </c>
      <c r="K25" t="inlineStr">
        <is>
          <t>{"weapon":"airship_drones","slot":"door_r","aim":"Free"}</t>
        </is>
      </c>
    </row>
    <row r="26">
      <c r="A26" t="inlineStr">
        <is>
          <t>command_airship/3</t>
        </is>
      </c>
      <c r="B26" t="inlineStr">
        <is>
          <t>command_airship</t>
        </is>
      </c>
      <c r="C26" t="n">
        <v>3</v>
      </c>
      <c r="D26" t="inlineStr">
        <is>
          <t>twin_30_bmpt</t>
        </is>
      </c>
      <c r="E26" t="inlineStr">
        <is>
          <t>Free</t>
        </is>
      </c>
      <c r="I26" t="inlineStr">
        <is>
          <t>gun</t>
        </is>
      </c>
      <c r="J26" t="inlineStr">
        <is>
          <t>Assets/MachineBrigade/Resources/Data/balance.json: vehicles[151].secondary[3]</t>
        </is>
      </c>
      <c r="K26" t="inlineStr">
        <is>
          <t>{"weapon":"twin_30_bmpt","slot":"gun","aim":"Free"}</t>
        </is>
      </c>
    </row>
    <row r="27">
      <c r="A27" t="inlineStr">
        <is>
          <t>command_airship/4</t>
        </is>
      </c>
      <c r="B27" t="inlineStr">
        <is>
          <t>command_airship</t>
        </is>
      </c>
      <c r="C27" t="n">
        <v>4</v>
      </c>
      <c r="D27" t="inlineStr">
        <is>
          <t>twin_30_bmpt</t>
        </is>
      </c>
      <c r="E27" t="inlineStr">
        <is>
          <t>Free</t>
        </is>
      </c>
      <c r="I27" t="inlineStr">
        <is>
          <t>gun</t>
        </is>
      </c>
      <c r="J27" t="inlineStr">
        <is>
          <t>Assets/MachineBrigade/Resources/Data/balance.json: vehicles[151].secondary[4]</t>
        </is>
      </c>
      <c r="K27" t="inlineStr">
        <is>
          <t>{"weapon":"twin_30_bmpt","slot":"gun","aim":"Free"}</t>
        </is>
      </c>
    </row>
    <row r="28">
      <c r="A28" t="inlineStr">
        <is>
          <t>daedalus/0</t>
        </is>
      </c>
      <c r="B28" t="inlineStr">
        <is>
          <t>daedalus</t>
        </is>
      </c>
      <c r="C28" t="n">
        <v>0</v>
      </c>
      <c r="D28" t="inlineStr">
        <is>
          <t>gun_57mm</t>
        </is>
      </c>
      <c r="E28" t="inlineStr">
        <is>
          <t>Free</t>
        </is>
      </c>
      <c r="I28" t="inlineStr">
        <is>
          <t>gun</t>
        </is>
      </c>
      <c r="J28" t="inlineStr">
        <is>
          <t>Assets/MachineBrigade/Resources/Data/balance.json: vehicles[160].secondary[0]</t>
        </is>
      </c>
      <c r="K28" t="inlineStr">
        <is>
          <t>{"weapon":"gun_57mm","slot":"gun","aim":"Free"}</t>
        </is>
      </c>
    </row>
    <row r="29">
      <c r="A29" t="inlineStr">
        <is>
          <t>daedalus/1</t>
        </is>
      </c>
      <c r="B29" t="inlineStr">
        <is>
          <t>daedalus</t>
        </is>
      </c>
      <c r="C29" t="n">
        <v>1</v>
      </c>
      <c r="D29" t="inlineStr">
        <is>
          <t>gun_57mm</t>
        </is>
      </c>
      <c r="E29" t="inlineStr">
        <is>
          <t>Free</t>
        </is>
      </c>
      <c r="I29" t="inlineStr">
        <is>
          <t>gun</t>
        </is>
      </c>
      <c r="J29" t="inlineStr">
        <is>
          <t>Assets/MachineBrigade/Resources/Data/balance.json: vehicles[160].secondary[1]</t>
        </is>
      </c>
      <c r="K29" t="inlineStr">
        <is>
          <t>{"weapon":"gun_57mm","slot":"gun","aim":"Free"}</t>
        </is>
      </c>
    </row>
    <row r="30">
      <c r="A30" t="inlineStr">
        <is>
          <t>daedalus/2</t>
        </is>
      </c>
      <c r="B30" t="inlineStr">
        <is>
          <t>daedalus</t>
        </is>
      </c>
      <c r="C30" t="n">
        <v>2</v>
      </c>
      <c r="D30" t="inlineStr">
        <is>
          <t>pt14_dd_v25</t>
        </is>
      </c>
      <c r="E30" t="inlineStr">
        <is>
          <t>Free</t>
        </is>
      </c>
      <c r="I30" t="inlineStr">
        <is>
          <t>gun</t>
        </is>
      </c>
      <c r="J30" t="inlineStr">
        <is>
          <t>Assets/MachineBrigade/Resources/Data/balance.json: vehicles[160].secondary[2]</t>
        </is>
      </c>
      <c r="K30" t="inlineStr">
        <is>
          <t>{"weapon":"pt14_dd_v25","slot":"gun","aim":"Free"}</t>
        </is>
      </c>
    </row>
    <row r="31">
      <c r="A31" t="inlineStr">
        <is>
          <t>daedalus/3</t>
        </is>
      </c>
      <c r="B31" t="inlineStr">
        <is>
          <t>daedalus</t>
        </is>
      </c>
      <c r="C31" t="n">
        <v>3</v>
      </c>
      <c r="D31" t="inlineStr">
        <is>
          <t>pt14_dd_v25</t>
        </is>
      </c>
      <c r="E31" t="inlineStr">
        <is>
          <t>Free</t>
        </is>
      </c>
      <c r="I31" t="inlineStr">
        <is>
          <t>gun</t>
        </is>
      </c>
      <c r="J31" t="inlineStr">
        <is>
          <t>Assets/MachineBrigade/Resources/Data/balance.json: vehicles[160].secondary[3]</t>
        </is>
      </c>
      <c r="K31" t="inlineStr">
        <is>
          <t>{"weapon":"pt14_dd_v25","slot":"gun","aim":"Free"}</t>
        </is>
      </c>
    </row>
    <row r="32">
      <c r="A32" t="inlineStr">
        <is>
          <t>drone_mothership/0</t>
        </is>
      </c>
      <c r="B32" t="inlineStr">
        <is>
          <t>drone_mothership</t>
        </is>
      </c>
      <c r="C32" t="n">
        <v>0</v>
      </c>
      <c r="D32" t="inlineStr">
        <is>
          <t>mothership_drones</t>
        </is>
      </c>
      <c r="E32" t="inlineStr">
        <is>
          <t>Free</t>
        </is>
      </c>
      <c r="I32" t="inlineStr">
        <is>
          <t>missile</t>
        </is>
      </c>
      <c r="J32" t="inlineStr">
        <is>
          <t>Assets/MachineBrigade/Resources/Data/balance.json: vehicles[142].secondary[0]</t>
        </is>
      </c>
      <c r="K32" t="inlineStr">
        <is>
          <t>{"weapon":"mothership_drones","slot":"missile","aim":"Free"}</t>
        </is>
      </c>
    </row>
    <row r="33">
      <c r="A33" t="inlineStr">
        <is>
          <t>drone_mothership/1</t>
        </is>
      </c>
      <c r="B33" t="inlineStr">
        <is>
          <t>drone_mothership</t>
        </is>
      </c>
      <c r="C33" t="n">
        <v>1</v>
      </c>
      <c r="D33" t="inlineStr">
        <is>
          <t>boss_flak</t>
        </is>
      </c>
      <c r="E33" t="inlineStr">
        <is>
          <t>Free</t>
        </is>
      </c>
      <c r="I33" t="inlineStr">
        <is>
          <t>mg</t>
        </is>
      </c>
      <c r="J33" t="inlineStr">
        <is>
          <t>Assets/MachineBrigade/Resources/Data/balance.json: vehicles[142].secondary[1]</t>
        </is>
      </c>
      <c r="K33" t="inlineStr">
        <is>
          <t>{"weapon":"boss_flak","slot":"mg","aim":"Free"}</t>
        </is>
      </c>
    </row>
    <row r="34">
      <c r="A34" t="inlineStr">
        <is>
          <t>drone_mothership/2</t>
        </is>
      </c>
      <c r="B34" t="inlineStr">
        <is>
          <t>drone_mothership</t>
        </is>
      </c>
      <c r="C34" t="n">
        <v>2</v>
      </c>
      <c r="D34" t="inlineStr">
        <is>
          <t>boss_flak</t>
        </is>
      </c>
      <c r="E34" t="inlineStr">
        <is>
          <t>Free</t>
        </is>
      </c>
      <c r="I34" t="inlineStr">
        <is>
          <t>mg</t>
        </is>
      </c>
      <c r="J34" t="inlineStr">
        <is>
          <t>Assets/MachineBrigade/Resources/Data/balance.json: vehicles[142].secondary[2]</t>
        </is>
      </c>
      <c r="K34" t="inlineStr">
        <is>
          <t>{"weapon":"boss_flak","slot":"mg","aim":"Free"}</t>
        </is>
      </c>
    </row>
    <row r="35">
      <c r="A35" t="inlineStr">
        <is>
          <t>drone_mothership/3</t>
        </is>
      </c>
      <c r="B35" t="inlineStr">
        <is>
          <t>drone_mothership</t>
        </is>
      </c>
      <c r="C35" t="n">
        <v>3</v>
      </c>
      <c r="D35" t="inlineStr">
        <is>
          <t>mothership_cannon</t>
        </is>
      </c>
      <c r="E35" t="inlineStr">
        <is>
          <t>Free</t>
        </is>
      </c>
      <c r="I35" t="inlineStr">
        <is>
          <t>main</t>
        </is>
      </c>
      <c r="J35" t="inlineStr">
        <is>
          <t>Assets/MachineBrigade/Resources/Data/balance.json: vehicles[142].secondary[3]</t>
        </is>
      </c>
      <c r="K35" t="inlineStr">
        <is>
          <t>{"weapon":"mothership_cannon","slot":"main","aim":"Free"}</t>
        </is>
      </c>
    </row>
    <row r="36">
      <c r="A36" t="inlineStr">
        <is>
          <t>drone_mothership/4</t>
        </is>
      </c>
      <c r="B36" t="inlineStr">
        <is>
          <t>drone_mothership</t>
        </is>
      </c>
      <c r="C36" t="n">
        <v>4</v>
      </c>
      <c r="D36" t="inlineStr">
        <is>
          <t>mothership_drones</t>
        </is>
      </c>
      <c r="E36" t="inlineStr">
        <is>
          <t>Free</t>
        </is>
      </c>
      <c r="I36" t="inlineStr">
        <is>
          <t>missile</t>
        </is>
      </c>
      <c r="J36" t="inlineStr">
        <is>
          <t>Assets/MachineBrigade/Resources/Data/balance.json: vehicles[142].secondary[4]</t>
        </is>
      </c>
      <c r="K36" t="inlineStr">
        <is>
          <t>{"weapon":"mothership_drones","slot":"missile","aim":"Free"}</t>
        </is>
      </c>
    </row>
    <row r="37">
      <c r="A37" t="inlineStr">
        <is>
          <t>earth_borer/0</t>
        </is>
      </c>
      <c r="B37" t="inlineStr">
        <is>
          <t>earth_borer</t>
        </is>
      </c>
      <c r="C37" t="n">
        <v>0</v>
      </c>
      <c r="D37" t="inlineStr">
        <is>
          <t>borer_cannon</t>
        </is>
      </c>
      <c r="E37" t="inlineStr">
        <is>
          <t>Free</t>
        </is>
      </c>
      <c r="I37" t="inlineStr">
        <is>
          <t>gun</t>
        </is>
      </c>
      <c r="J37" t="inlineStr">
        <is>
          <t>Assets/MachineBrigade/Resources/Data/balance.json: vehicles[150].secondary[0]</t>
        </is>
      </c>
      <c r="K37" t="inlineStr">
        <is>
          <t>{"weapon":"borer_cannon","slot":"gun","aim":"Free"}</t>
        </is>
      </c>
    </row>
    <row r="38">
      <c r="A38" t="inlineStr">
        <is>
          <t>earth_borer/1</t>
        </is>
      </c>
      <c r="B38" t="inlineStr">
        <is>
          <t>earth_borer</t>
        </is>
      </c>
      <c r="C38" t="n">
        <v>1</v>
      </c>
      <c r="D38" t="inlineStr">
        <is>
          <t>borer_cannon</t>
        </is>
      </c>
      <c r="E38" t="inlineStr">
        <is>
          <t>Free</t>
        </is>
      </c>
      <c r="I38" t="inlineStr">
        <is>
          <t>gun</t>
        </is>
      </c>
      <c r="J38" t="inlineStr">
        <is>
          <t>Assets/MachineBrigade/Resources/Data/balance.json: vehicles[150].secondary[1]</t>
        </is>
      </c>
      <c r="K38" t="inlineStr">
        <is>
          <t>{"weapon":"borer_cannon","slot":"gun","aim":"Free"}</t>
        </is>
      </c>
    </row>
    <row r="39">
      <c r="A39" t="inlineStr">
        <is>
          <t>fortress_bastion/0</t>
        </is>
      </c>
      <c r="B39" t="inlineStr">
        <is>
          <t>fortress_bastion</t>
        </is>
      </c>
      <c r="C39" t="n">
        <v>0</v>
      </c>
      <c r="D39" t="inlineStr">
        <is>
          <t>autocannon_40</t>
        </is>
      </c>
      <c r="E39" t="inlineStr">
        <is>
          <t>Free</t>
        </is>
      </c>
      <c r="F39" t="n">
        <v>-45</v>
      </c>
      <c r="G39" t="n">
        <v>80</v>
      </c>
      <c r="I39" t="inlineStr">
        <is>
          <t>gun</t>
        </is>
      </c>
      <c r="J39" t="inlineStr">
        <is>
          <t>Assets/MachineBrigade/Resources/Data/balance.json: vehicles[148].secondary[0]</t>
        </is>
      </c>
      <c r="K39" t="inlineStr">
        <is>
          <t>{"weapon":"autocannon_40","slot":"gun","aim":"Free","arc":[-45,80]}</t>
        </is>
      </c>
    </row>
    <row r="40">
      <c r="A40" t="inlineStr">
        <is>
          <t>fortress_bastion/1</t>
        </is>
      </c>
      <c r="B40" t="inlineStr">
        <is>
          <t>fortress_bastion</t>
        </is>
      </c>
      <c r="C40" t="n">
        <v>1</v>
      </c>
      <c r="D40" t="inlineStr">
        <is>
          <t>autocannon_40</t>
        </is>
      </c>
      <c r="E40" t="inlineStr">
        <is>
          <t>Free</t>
        </is>
      </c>
      <c r="F40" t="n">
        <v>45</v>
      </c>
      <c r="G40" t="n">
        <v>80</v>
      </c>
      <c r="I40" t="inlineStr">
        <is>
          <t>gun</t>
        </is>
      </c>
      <c r="J40" t="inlineStr">
        <is>
          <t>Assets/MachineBrigade/Resources/Data/balance.json: vehicles[148].secondary[1]</t>
        </is>
      </c>
      <c r="K40" t="inlineStr">
        <is>
          <t>{"weapon":"autocannon_40","slot":"gun","aim":"Free","arc":[45,80]}</t>
        </is>
      </c>
    </row>
    <row r="41">
      <c r="A41" t="inlineStr">
        <is>
          <t>fortress_bastion/2</t>
        </is>
      </c>
      <c r="B41" t="inlineStr">
        <is>
          <t>fortress_bastion</t>
        </is>
      </c>
      <c r="C41" t="n">
        <v>2</v>
      </c>
      <c r="D41" t="inlineStr">
        <is>
          <t>autocannon_40</t>
        </is>
      </c>
      <c r="E41" t="inlineStr">
        <is>
          <t>Free</t>
        </is>
      </c>
      <c r="F41" t="n">
        <v>-135</v>
      </c>
      <c r="G41" t="n">
        <v>80</v>
      </c>
      <c r="I41" t="inlineStr">
        <is>
          <t>gun</t>
        </is>
      </c>
      <c r="J41" t="inlineStr">
        <is>
          <t>Assets/MachineBrigade/Resources/Data/balance.json: vehicles[148].secondary[2]</t>
        </is>
      </c>
      <c r="K41" t="inlineStr">
        <is>
          <t>{"weapon":"autocannon_40","slot":"gun","aim":"Free","arc":[-135,80]}</t>
        </is>
      </c>
    </row>
    <row r="42">
      <c r="A42" t="inlineStr">
        <is>
          <t>fortress_bastion/3</t>
        </is>
      </c>
      <c r="B42" t="inlineStr">
        <is>
          <t>fortress_bastion</t>
        </is>
      </c>
      <c r="C42" t="n">
        <v>3</v>
      </c>
      <c r="D42" t="inlineStr">
        <is>
          <t>autocannon_40</t>
        </is>
      </c>
      <c r="E42" t="inlineStr">
        <is>
          <t>Free</t>
        </is>
      </c>
      <c r="F42" t="n">
        <v>135</v>
      </c>
      <c r="G42" t="n">
        <v>80</v>
      </c>
      <c r="I42" t="inlineStr">
        <is>
          <t>gun</t>
        </is>
      </c>
      <c r="J42" t="inlineStr">
        <is>
          <t>Assets/MachineBrigade/Resources/Data/balance.json: vehicles[148].secondary[3]</t>
        </is>
      </c>
      <c r="K42" t="inlineStr">
        <is>
          <t>{"weapon":"autocannon_40","slot":"gun","aim":"Free","arc":[135,80]}</t>
        </is>
      </c>
    </row>
    <row r="43">
      <c r="A43" t="inlineStr">
        <is>
          <t>fortress_bastion/4</t>
        </is>
      </c>
      <c r="B43" t="inlineStr">
        <is>
          <t>fortress_bastion</t>
        </is>
      </c>
      <c r="C43" t="n">
        <v>4</v>
      </c>
      <c r="D43" t="inlineStr">
        <is>
          <t>kornet_twin</t>
        </is>
      </c>
      <c r="E43" t="inlineStr">
        <is>
          <t>Free</t>
        </is>
      </c>
      <c r="I43" t="inlineStr">
        <is>
          <t>missile</t>
        </is>
      </c>
      <c r="J43" t="inlineStr">
        <is>
          <t>Assets/MachineBrigade/Resources/Data/balance.json: vehicles[148].secondary[4]</t>
        </is>
      </c>
      <c r="K43" t="inlineStr">
        <is>
          <t>{"weapon":"kornet_twin","slot":"missile","aim":"Free"}</t>
        </is>
      </c>
    </row>
    <row r="44">
      <c r="A44" t="inlineStr">
        <is>
          <t>fortress_bastion/5</t>
        </is>
      </c>
      <c r="B44" t="inlineStr">
        <is>
          <t>fortress_bastion</t>
        </is>
      </c>
      <c r="C44" t="n">
        <v>5</v>
      </c>
      <c r="D44" t="inlineStr">
        <is>
          <t>boss_hmg</t>
        </is>
      </c>
      <c r="E44" t="inlineStr">
        <is>
          <t>Free</t>
        </is>
      </c>
      <c r="I44" t="inlineStr">
        <is>
          <t>mg</t>
        </is>
      </c>
      <c r="J44" t="inlineStr">
        <is>
          <t>Assets/MachineBrigade/Resources/Data/balance.json: vehicles[148].secondary[5]</t>
        </is>
      </c>
      <c r="K44" t="inlineStr">
        <is>
          <t>{"weapon":"boss_hmg","slot":"mg","aim":"Free"}</t>
        </is>
      </c>
    </row>
    <row r="45">
      <c r="A45" t="inlineStr">
        <is>
          <t>fortress_bastion/6</t>
        </is>
      </c>
      <c r="B45" t="inlineStr">
        <is>
          <t>fortress_bastion</t>
        </is>
      </c>
      <c r="C45" t="n">
        <v>6</v>
      </c>
      <c r="D45" t="inlineStr">
        <is>
          <t>boss_hmg</t>
        </is>
      </c>
      <c r="E45" t="inlineStr">
        <is>
          <t>Free</t>
        </is>
      </c>
      <c r="I45" t="inlineStr">
        <is>
          <t>mg</t>
        </is>
      </c>
      <c r="J45" t="inlineStr">
        <is>
          <t>Assets/MachineBrigade/Resources/Data/balance.json: vehicles[148].secondary[6]</t>
        </is>
      </c>
      <c r="K45" t="inlineStr">
        <is>
          <t>{"weapon":"boss_hmg","slot":"mg","aim":"Free"}</t>
        </is>
      </c>
    </row>
    <row r="46">
      <c r="A46" t="inlineStr">
        <is>
          <t>hydra/0</t>
        </is>
      </c>
      <c r="B46" t="inlineStr">
        <is>
          <t>hydra</t>
        </is>
      </c>
      <c r="C46" t="n">
        <v>0</v>
      </c>
      <c r="D46" t="inlineStr">
        <is>
          <t>p26_typhon_sec_ty57</t>
        </is>
      </c>
      <c r="E46" t="inlineStr">
        <is>
          <t>Free</t>
        </is>
      </c>
      <c r="F46" t="n">
        <v>180</v>
      </c>
      <c r="G46" t="n">
        <v>150</v>
      </c>
      <c r="I46" t="inlineStr">
        <is>
          <t>gun</t>
        </is>
      </c>
      <c r="J46" t="inlineStr">
        <is>
          <t>Assets/MachineBrigade/Resources/Data/balance.json: vehicles[177].secondary[0]</t>
        </is>
      </c>
      <c r="K46" t="inlineStr">
        <is>
          <t>{"weapon":"p26_typhon_sec_ty57","slot":"gun","aim":"Free","arc":[180,150]}</t>
        </is>
      </c>
    </row>
    <row r="47">
      <c r="A47" t="inlineStr">
        <is>
          <t>hydra/1</t>
        </is>
      </c>
      <c r="B47" t="inlineStr">
        <is>
          <t>hydra</t>
        </is>
      </c>
      <c r="C47" t="n">
        <v>1</v>
      </c>
      <c r="D47" t="inlineStr">
        <is>
          <t>p26_typhon_direct_ty100</t>
        </is>
      </c>
      <c r="E47" t="inlineStr">
        <is>
          <t>Free</t>
        </is>
      </c>
      <c r="F47" t="n">
        <v>0</v>
      </c>
      <c r="G47" t="n">
        <v>150</v>
      </c>
      <c r="I47" t="inlineStr">
        <is>
          <t>gun</t>
        </is>
      </c>
      <c r="J47" t="inlineStr">
        <is>
          <t>Assets/MachineBrigade/Resources/Data/balance.json: vehicles[177].secondary[1]</t>
        </is>
      </c>
      <c r="K47" t="inlineStr">
        <is>
          <t>{"weapon":"p26_typhon_direct_ty100","slot":"gun","aim":"Free","arc":[0,150]}</t>
        </is>
      </c>
    </row>
    <row r="48">
      <c r="A48" t="inlineStr">
        <is>
          <t>hyperion/0</t>
        </is>
      </c>
      <c r="B48" t="inlineStr">
        <is>
          <t>hyperion</t>
        </is>
      </c>
      <c r="C48" t="n">
        <v>0</v>
      </c>
      <c r="D48" t="inlineStr">
        <is>
          <t>pt14_hp_155</t>
        </is>
      </c>
      <c r="E48" t="inlineStr">
        <is>
          <t>Free</t>
        </is>
      </c>
      <c r="I48" t="inlineStr">
        <is>
          <t>gun</t>
        </is>
      </c>
      <c r="J48" t="inlineStr">
        <is>
          <t>Assets/MachineBrigade/Resources/Data/balance.json: vehicles[173].secondary[0]</t>
        </is>
      </c>
      <c r="K48" t="inlineStr">
        <is>
          <t>{"weapon":"pt14_hp_155","slot":"gun","aim":"Free"}</t>
        </is>
      </c>
    </row>
    <row r="49">
      <c r="A49" t="inlineStr">
        <is>
          <t>hyperion/1</t>
        </is>
      </c>
      <c r="B49" t="inlineStr">
        <is>
          <t>hyperion</t>
        </is>
      </c>
      <c r="C49" t="n">
        <v>1</v>
      </c>
      <c r="D49" t="inlineStr">
        <is>
          <t>pt14_hp_155</t>
        </is>
      </c>
      <c r="E49" t="inlineStr">
        <is>
          <t>Free</t>
        </is>
      </c>
      <c r="I49" t="inlineStr">
        <is>
          <t>gun</t>
        </is>
      </c>
      <c r="J49" t="inlineStr">
        <is>
          <t>Assets/MachineBrigade/Resources/Data/balance.json: vehicles[173].secondary[1]</t>
        </is>
      </c>
      <c r="K49" t="inlineStr">
        <is>
          <t>{"weapon":"pt14_hp_155","slot":"gun","aim":"Free"}</t>
        </is>
      </c>
    </row>
    <row r="50">
      <c r="A50" t="inlineStr">
        <is>
          <t>hyperion/2</t>
        </is>
      </c>
      <c r="B50" t="inlineStr">
        <is>
          <t>hyperion</t>
        </is>
      </c>
      <c r="C50" t="n">
        <v>2</v>
      </c>
      <c r="D50" t="inlineStr">
        <is>
          <t>pt14_hp_vlaser</t>
        </is>
      </c>
      <c r="E50" t="inlineStr">
        <is>
          <t>Free</t>
        </is>
      </c>
      <c r="I50" t="inlineStr">
        <is>
          <t>gun</t>
        </is>
      </c>
      <c r="J50" t="inlineStr">
        <is>
          <t>Assets/MachineBrigade/Resources/Data/balance.json: vehicles[173].secondary[2]</t>
        </is>
      </c>
      <c r="K50" t="inlineStr">
        <is>
          <t>{"weapon":"pt14_hp_vlaser","slot":"gun","aim":"Free"}</t>
        </is>
      </c>
    </row>
    <row r="51">
      <c r="A51" t="inlineStr">
        <is>
          <t>hyperion/3</t>
        </is>
      </c>
      <c r="B51" t="inlineStr">
        <is>
          <t>hyperion</t>
        </is>
      </c>
      <c r="C51" t="n">
        <v>3</v>
      </c>
      <c r="D51" t="inlineStr">
        <is>
          <t>pt14_hp_vlaser</t>
        </is>
      </c>
      <c r="E51" t="inlineStr">
        <is>
          <t>Free</t>
        </is>
      </c>
      <c r="I51" t="inlineStr">
        <is>
          <t>gun</t>
        </is>
      </c>
      <c r="J51" t="inlineStr">
        <is>
          <t>Assets/MachineBrigade/Resources/Data/balance.json: vehicles[173].secondary[3]</t>
        </is>
      </c>
      <c r="K51" t="inlineStr">
        <is>
          <t>{"weapon":"pt14_hp_vlaser","slot":"gun","aim":"Free"}</t>
        </is>
      </c>
    </row>
    <row r="52">
      <c r="A52" t="inlineStr">
        <is>
          <t>hyperion/4</t>
        </is>
      </c>
      <c r="B52" t="inlineStr">
        <is>
          <t>hyperion</t>
        </is>
      </c>
      <c r="C52" t="n">
        <v>4</v>
      </c>
      <c r="D52" t="inlineStr">
        <is>
          <t>pt14_hp_v127</t>
        </is>
      </c>
      <c r="E52" t="inlineStr">
        <is>
          <t>Free</t>
        </is>
      </c>
      <c r="I52" t="inlineStr">
        <is>
          <t>gun</t>
        </is>
      </c>
      <c r="J52" t="inlineStr">
        <is>
          <t>Assets/MachineBrigade/Resources/Data/balance.json: vehicles[173].secondary[4]</t>
        </is>
      </c>
      <c r="K52" t="inlineStr">
        <is>
          <t>{"weapon":"pt14_hp_v127","slot":"gun","aim":"Free"}</t>
        </is>
      </c>
    </row>
    <row r="53">
      <c r="A53" t="inlineStr">
        <is>
          <t>hyperion/5</t>
        </is>
      </c>
      <c r="B53" t="inlineStr">
        <is>
          <t>hyperion</t>
        </is>
      </c>
      <c r="C53" t="n">
        <v>5</v>
      </c>
      <c r="D53" t="inlineStr">
        <is>
          <t>pt14_hp_v127</t>
        </is>
      </c>
      <c r="E53" t="inlineStr">
        <is>
          <t>Free</t>
        </is>
      </c>
      <c r="I53" t="inlineStr">
        <is>
          <t>gun</t>
        </is>
      </c>
      <c r="J53" t="inlineStr">
        <is>
          <t>Assets/MachineBrigade/Resources/Data/balance.json: vehicles[173].secondary[5]</t>
        </is>
      </c>
      <c r="K53" t="inlineStr">
        <is>
          <t>{"weapon":"pt14_hp_v127","slot":"gun","aim":"Free"}</t>
        </is>
      </c>
    </row>
    <row r="54">
      <c r="A54" t="inlineStr">
        <is>
          <t>hyperion/6</t>
        </is>
      </c>
      <c r="B54" t="inlineStr">
        <is>
          <t>hyperion</t>
        </is>
      </c>
      <c r="C54" t="n">
        <v>6</v>
      </c>
      <c r="D54" t="inlineStr">
        <is>
          <t>pt14_hp_nsm</t>
        </is>
      </c>
      <c r="E54" t="inlineStr">
        <is>
          <t>Free</t>
        </is>
      </c>
      <c r="I54" t="inlineStr">
        <is>
          <t>rocket</t>
        </is>
      </c>
      <c r="J54" t="inlineStr">
        <is>
          <t>Assets/MachineBrigade/Resources/Data/balance.json: vehicles[173].secondary[6]</t>
        </is>
      </c>
      <c r="K54" t="inlineStr">
        <is>
          <t>{"weapon":"pt14_hp_nsm","slot":"rocket","aim":"Free"}</t>
        </is>
      </c>
    </row>
    <row r="55">
      <c r="A55" t="inlineStr">
        <is>
          <t>hyperion/7</t>
        </is>
      </c>
      <c r="B55" t="inlineStr">
        <is>
          <t>hyperion</t>
        </is>
      </c>
      <c r="C55" t="n">
        <v>7</v>
      </c>
      <c r="D55" t="inlineStr">
        <is>
          <t>pt14_hp_nsm</t>
        </is>
      </c>
      <c r="E55" t="inlineStr">
        <is>
          <t>Free</t>
        </is>
      </c>
      <c r="I55" t="inlineStr">
        <is>
          <t>rocket</t>
        </is>
      </c>
      <c r="J55" t="inlineStr">
        <is>
          <t>Assets/MachineBrigade/Resources/Data/balance.json: vehicles[173].secondary[7]</t>
        </is>
      </c>
      <c r="K55" t="inlineStr">
        <is>
          <t>{"weapon":"pt14_hp_nsm","slot":"rocket","aim":"Free"}</t>
        </is>
      </c>
    </row>
    <row r="56">
      <c r="A56" t="inlineStr">
        <is>
          <t>icarus_mk0/0</t>
        </is>
      </c>
      <c r="B56" t="inlineStr">
        <is>
          <t>icarus_mk0</t>
        </is>
      </c>
      <c r="C56" t="n">
        <v>0</v>
      </c>
      <c r="D56" t="inlineStr">
        <is>
          <t>pt14_mk0_v40</t>
        </is>
      </c>
      <c r="E56" t="inlineStr">
        <is>
          <t>Free</t>
        </is>
      </c>
      <c r="I56" t="inlineStr">
        <is>
          <t>gun</t>
        </is>
      </c>
      <c r="J56" t="inlineStr">
        <is>
          <t>Assets/MachineBrigade/Resources/Data/balance.json: vehicles[168].secondary[0]</t>
        </is>
      </c>
      <c r="K56" t="inlineStr">
        <is>
          <t>{"weapon":"pt14_mk0_v40","slot":"gun","aim":"Free"}</t>
        </is>
      </c>
    </row>
    <row r="57">
      <c r="A57" t="inlineStr">
        <is>
          <t>icarus_mk0/1</t>
        </is>
      </c>
      <c r="B57" t="inlineStr">
        <is>
          <t>icarus_mk0</t>
        </is>
      </c>
      <c r="C57" t="n">
        <v>1</v>
      </c>
      <c r="D57" t="inlineStr">
        <is>
          <t>pt14_mk0_v40</t>
        </is>
      </c>
      <c r="E57" t="inlineStr">
        <is>
          <t>Free</t>
        </is>
      </c>
      <c r="I57" t="inlineStr">
        <is>
          <t>gun</t>
        </is>
      </c>
      <c r="J57" t="inlineStr">
        <is>
          <t>Assets/MachineBrigade/Resources/Data/balance.json: vehicles[168].secondary[1]</t>
        </is>
      </c>
      <c r="K57" t="inlineStr">
        <is>
          <t>{"weapon":"pt14_mk0_v40","slot":"gun","aim":"Free"}</t>
        </is>
      </c>
    </row>
    <row r="58">
      <c r="A58" t="inlineStr">
        <is>
          <t>ixion/0</t>
        </is>
      </c>
      <c r="B58" t="inlineStr">
        <is>
          <t>ixion</t>
        </is>
      </c>
      <c r="C58" t="n">
        <v>0</v>
      </c>
      <c r="D58" t="inlineStr">
        <is>
          <t>p26_ixion_mg</t>
        </is>
      </c>
      <c r="E58" t="inlineStr">
        <is>
          <t>Free</t>
        </is>
      </c>
      <c r="I58" t="inlineStr">
        <is>
          <t>mg</t>
        </is>
      </c>
      <c r="J58" t="inlineStr">
        <is>
          <t>Assets/MachineBrigade/Resources/Data/balance.json: vehicles[162].secondary[0]</t>
        </is>
      </c>
      <c r="K58" t="inlineStr">
        <is>
          <t>{"weapon":"p26_ixion_mg","slot":"mg","aim":"Free"}</t>
        </is>
      </c>
    </row>
    <row r="59">
      <c r="A59" t="inlineStr">
        <is>
          <t>ixion/1</t>
        </is>
      </c>
      <c r="B59" t="inlineStr">
        <is>
          <t>ixion</t>
        </is>
      </c>
      <c r="C59" t="n">
        <v>1</v>
      </c>
      <c r="D59" t="inlineStr">
        <is>
          <t>p26_ixion_mg</t>
        </is>
      </c>
      <c r="E59" t="inlineStr">
        <is>
          <t>Free</t>
        </is>
      </c>
      <c r="I59" t="inlineStr">
        <is>
          <t>mg</t>
        </is>
      </c>
      <c r="J59" t="inlineStr">
        <is>
          <t>Assets/MachineBrigade/Resources/Data/balance.json: vehicles[162].secondary[1]</t>
        </is>
      </c>
      <c r="K59" t="inlineStr">
        <is>
          <t>{"weapon":"p26_ixion_mg","slot":"mg","aim":"Free"}</t>
        </is>
      </c>
    </row>
    <row r="60">
      <c r="A60" t="inlineStr">
        <is>
          <t>ixion/2</t>
        </is>
      </c>
      <c r="B60" t="inlineStr">
        <is>
          <t>ixion</t>
        </is>
      </c>
      <c r="C60" t="n">
        <v>2</v>
      </c>
      <c r="D60" t="inlineStr">
        <is>
          <t>pt14_ixion_30</t>
        </is>
      </c>
      <c r="E60" t="inlineStr">
        <is>
          <t>Free</t>
        </is>
      </c>
      <c r="I60" t="inlineStr">
        <is>
          <t>gun</t>
        </is>
      </c>
      <c r="J60" t="inlineStr">
        <is>
          <t>Assets/MachineBrigade/Resources/Data/balance.json: vehicles[162].secondary[2]</t>
        </is>
      </c>
      <c r="K60" t="inlineStr">
        <is>
          <t>{"weapon":"pt14_ixion_30","slot":"gun","aim":"Free"}</t>
        </is>
      </c>
    </row>
    <row r="61">
      <c r="A61" t="inlineStr">
        <is>
          <t>ixion/3</t>
        </is>
      </c>
      <c r="B61" t="inlineStr">
        <is>
          <t>ixion</t>
        </is>
      </c>
      <c r="C61" t="n">
        <v>3</v>
      </c>
      <c r="D61" t="inlineStr">
        <is>
          <t>pt14_ixion_kornet</t>
        </is>
      </c>
      <c r="E61" t="inlineStr">
        <is>
          <t>Free</t>
        </is>
      </c>
      <c r="I61" t="inlineStr">
        <is>
          <t>missile</t>
        </is>
      </c>
      <c r="J61" t="inlineStr">
        <is>
          <t>Assets/MachineBrigade/Resources/Data/balance.json: vehicles[162].secondary[3]</t>
        </is>
      </c>
      <c r="K61" t="inlineStr">
        <is>
          <t>{"weapon":"pt14_ixion_kornet","slot":"missile","aim":"Free"}</t>
        </is>
      </c>
    </row>
    <row r="62">
      <c r="A62" t="inlineStr">
        <is>
          <t>ixion/4</t>
        </is>
      </c>
      <c r="B62" t="inlineStr">
        <is>
          <t>ixion</t>
        </is>
      </c>
      <c r="C62" t="n">
        <v>4</v>
      </c>
      <c r="D62" t="inlineStr">
        <is>
          <t>pt14_ixion_kornet</t>
        </is>
      </c>
      <c r="E62" t="inlineStr">
        <is>
          <t>Free</t>
        </is>
      </c>
      <c r="I62" t="inlineStr">
        <is>
          <t>missile</t>
        </is>
      </c>
      <c r="J62" t="inlineStr">
        <is>
          <t>Assets/MachineBrigade/Resources/Data/balance.json: vehicles[162].secondary[4]</t>
        </is>
      </c>
      <c r="K62" t="inlineStr">
        <is>
          <t>{"weapon":"pt14_ixion_kornet","slot":"missile","aim":"Free"}</t>
        </is>
      </c>
    </row>
    <row r="63">
      <c r="A63" t="inlineStr">
        <is>
          <t>ixion/5</t>
        </is>
      </c>
      <c r="B63" t="inlineStr">
        <is>
          <t>ixion</t>
        </is>
      </c>
      <c r="C63" t="n">
        <v>5</v>
      </c>
      <c r="D63" t="inlineStr">
        <is>
          <t>pt14_ixion_grad</t>
        </is>
      </c>
      <c r="E63" t="inlineStr">
        <is>
          <t>Free</t>
        </is>
      </c>
      <c r="I63" t="inlineStr">
        <is>
          <t>rocket</t>
        </is>
      </c>
      <c r="J63" t="inlineStr">
        <is>
          <t>Assets/MachineBrigade/Resources/Data/balance.json: vehicles[162].secondary[5]</t>
        </is>
      </c>
      <c r="K63" t="inlineStr">
        <is>
          <t>{"weapon":"pt14_ixion_grad","slot":"rocket","aim":"Free"}</t>
        </is>
      </c>
    </row>
    <row r="64">
      <c r="A64" t="inlineStr">
        <is>
          <t>landing_hovercraft/0</t>
        </is>
      </c>
      <c r="B64" t="inlineStr">
        <is>
          <t>landing_hovercraft</t>
        </is>
      </c>
      <c r="C64" t="n">
        <v>0</v>
      </c>
      <c r="D64" t="inlineStr">
        <is>
          <t>hover_ciws</t>
        </is>
      </c>
      <c r="E64" t="inlineStr">
        <is>
          <t>Free</t>
        </is>
      </c>
      <c r="I64" t="inlineStr">
        <is>
          <t>gun</t>
        </is>
      </c>
      <c r="J64" t="inlineStr">
        <is>
          <t>Assets/MachineBrigade/Resources/Data/balance.json: vehicles[152].secondary[0]</t>
        </is>
      </c>
      <c r="K64" t="inlineStr">
        <is>
          <t>{"weapon":"hover_ciws","slot":"gun","aim":"Free"}</t>
        </is>
      </c>
    </row>
    <row r="65">
      <c r="A65" t="inlineStr">
        <is>
          <t>landing_hovercraft/1</t>
        </is>
      </c>
      <c r="B65" t="inlineStr">
        <is>
          <t>landing_hovercraft</t>
        </is>
      </c>
      <c r="C65" t="n">
        <v>1</v>
      </c>
      <c r="D65" t="inlineStr">
        <is>
          <t>ciws_aa</t>
        </is>
      </c>
      <c r="E65" t="inlineStr">
        <is>
          <t>Free</t>
        </is>
      </c>
      <c r="I65" t="inlineStr">
        <is>
          <t>mg</t>
        </is>
      </c>
      <c r="J65" t="inlineStr">
        <is>
          <t>Assets/MachineBrigade/Resources/Data/balance.json: vehicles[152].secondary[1]</t>
        </is>
      </c>
      <c r="K65" t="inlineStr">
        <is>
          <t>{"weapon":"ciws_aa","slot":"mg","aim":"Free"}</t>
        </is>
      </c>
    </row>
    <row r="66">
      <c r="A66" t="inlineStr">
        <is>
          <t>landing_hovercraft/2</t>
        </is>
      </c>
      <c r="B66" t="inlineStr">
        <is>
          <t>landing_hovercraft</t>
        </is>
      </c>
      <c r="C66" t="n">
        <v>2</v>
      </c>
      <c r="D66" t="inlineStr">
        <is>
          <t>ciws_aa</t>
        </is>
      </c>
      <c r="E66" t="inlineStr">
        <is>
          <t>Free</t>
        </is>
      </c>
      <c r="I66" t="inlineStr">
        <is>
          <t>mg</t>
        </is>
      </c>
      <c r="J66" t="inlineStr">
        <is>
          <t>Assets/MachineBrigade/Resources/Data/balance.json: vehicles[152].secondary[2]</t>
        </is>
      </c>
      <c r="K66" t="inlineStr">
        <is>
          <t>{"weapon":"ciws_aa","slot":"mg","aim":"Free"}</t>
        </is>
      </c>
    </row>
    <row r="67">
      <c r="A67" t="inlineStr">
        <is>
          <t>landing_hovercraft/3</t>
        </is>
      </c>
      <c r="B67" t="inlineStr">
        <is>
          <t>landing_hovercraft</t>
        </is>
      </c>
      <c r="C67" t="n">
        <v>3</v>
      </c>
      <c r="D67" t="inlineStr">
        <is>
          <t>hover_rockets</t>
        </is>
      </c>
      <c r="E67" t="inlineStr">
        <is>
          <t>Free</t>
        </is>
      </c>
      <c r="I67" t="inlineStr">
        <is>
          <t>rocket</t>
        </is>
      </c>
      <c r="J67" t="inlineStr">
        <is>
          <t>Assets/MachineBrigade/Resources/Data/balance.json: vehicles[152].secondary[3]</t>
        </is>
      </c>
      <c r="K67" t="inlineStr">
        <is>
          <t>{"weapon":"hover_rockets","slot":"rocket","aim":"Free"}</t>
        </is>
      </c>
    </row>
    <row r="68">
      <c r="A68" t="inlineStr">
        <is>
          <t>landing_hovercraft/4</t>
        </is>
      </c>
      <c r="B68" t="inlineStr">
        <is>
          <t>landing_hovercraft</t>
        </is>
      </c>
      <c r="C68" t="n">
        <v>4</v>
      </c>
      <c r="D68" t="inlineStr">
        <is>
          <t>hover_rockets</t>
        </is>
      </c>
      <c r="E68" t="inlineStr">
        <is>
          <t>Free</t>
        </is>
      </c>
      <c r="I68" t="inlineStr">
        <is>
          <t>rocket</t>
        </is>
      </c>
      <c r="J68" t="inlineStr">
        <is>
          <t>Assets/MachineBrigade/Resources/Data/balance.json: vehicles[152].secondary[4]</t>
        </is>
      </c>
      <c r="K68" t="inlineStr">
        <is>
          <t>{"weapon":"hover_rockets","slot":"rocket","aim":"Free"}</t>
        </is>
      </c>
    </row>
    <row r="69">
      <c r="A69" t="inlineStr">
        <is>
          <t>leviathan/0</t>
        </is>
      </c>
      <c r="B69" t="inlineStr">
        <is>
          <t>leviathan</t>
        </is>
      </c>
      <c r="C69" t="n">
        <v>0</v>
      </c>
      <c r="D69" t="inlineStr">
        <is>
          <t>leviathan_460</t>
        </is>
      </c>
      <c r="E69" t="inlineStr">
        <is>
          <t>Free</t>
        </is>
      </c>
      <c r="I69" t="inlineStr">
        <is>
          <t>gun</t>
        </is>
      </c>
      <c r="J69" t="inlineStr">
        <is>
          <t>Assets/MachineBrigade/Resources/Data/balance.json: vehicles[153].secondary[0]</t>
        </is>
      </c>
      <c r="K69" t="inlineStr">
        <is>
          <t>{"weapon":"leviathan_460","slot":"gun","aim":"Free"}</t>
        </is>
      </c>
    </row>
    <row r="70">
      <c r="A70" t="inlineStr">
        <is>
          <t>leviathan/1</t>
        </is>
      </c>
      <c r="B70" t="inlineStr">
        <is>
          <t>leviathan</t>
        </is>
      </c>
      <c r="C70" t="n">
        <v>1</v>
      </c>
      <c r="D70" t="inlineStr">
        <is>
          <t>leviathan_460</t>
        </is>
      </c>
      <c r="E70" t="inlineStr">
        <is>
          <t>Free</t>
        </is>
      </c>
      <c r="F70" t="n">
        <v>180</v>
      </c>
      <c r="G70" t="n">
        <v>150</v>
      </c>
      <c r="I70" t="inlineStr">
        <is>
          <t>gun</t>
        </is>
      </c>
      <c r="J70" t="inlineStr">
        <is>
          <t>Assets/MachineBrigade/Resources/Data/balance.json: vehicles[153].secondary[1]</t>
        </is>
      </c>
      <c r="K70" t="inlineStr">
        <is>
          <t>{"weapon":"leviathan_460","slot":"gun","aim":"Free","arc":[180,150]}</t>
        </is>
      </c>
    </row>
    <row r="71">
      <c r="A71" t="inlineStr">
        <is>
          <t>leviathan/2</t>
        </is>
      </c>
      <c r="B71" t="inlineStr">
        <is>
          <t>leviathan</t>
        </is>
      </c>
      <c r="C71" t="n">
        <v>2</v>
      </c>
      <c r="D71" t="inlineStr">
        <is>
          <t>naval_155_triple</t>
        </is>
      </c>
      <c r="E71" t="inlineStr">
        <is>
          <t>Free</t>
        </is>
      </c>
      <c r="F71" t="n">
        <v>0</v>
      </c>
      <c r="G71" t="n">
        <v>135</v>
      </c>
      <c r="I71" t="inlineStr">
        <is>
          <t>gun</t>
        </is>
      </c>
      <c r="J71" t="inlineStr">
        <is>
          <t>Assets/MachineBrigade/Resources/Data/balance.json: vehicles[153].secondary[2]</t>
        </is>
      </c>
      <c r="K71" t="inlineStr">
        <is>
          <t>{"weapon":"naval_155_triple","slot":"gun","aim":"Free","arc":[0,135]}</t>
        </is>
      </c>
    </row>
    <row r="72">
      <c r="A72" t="inlineStr">
        <is>
          <t>leviathan/3</t>
        </is>
      </c>
      <c r="B72" t="inlineStr">
        <is>
          <t>leviathan</t>
        </is>
      </c>
      <c r="C72" t="n">
        <v>3</v>
      </c>
      <c r="D72" t="inlineStr">
        <is>
          <t>naval_155_triple</t>
        </is>
      </c>
      <c r="E72" t="inlineStr">
        <is>
          <t>Free</t>
        </is>
      </c>
      <c r="F72" t="n">
        <v>180</v>
      </c>
      <c r="G72" t="n">
        <v>135</v>
      </c>
      <c r="I72" t="inlineStr">
        <is>
          <t>gun</t>
        </is>
      </c>
      <c r="J72" t="inlineStr">
        <is>
          <t>Assets/MachineBrigade/Resources/Data/balance.json: vehicles[153].secondary[3]</t>
        </is>
      </c>
      <c r="K72" t="inlineStr">
        <is>
          <t>{"weapon":"naval_155_triple","slot":"gun","aim":"Free","arc":[180,135]}</t>
        </is>
      </c>
    </row>
    <row r="73">
      <c r="A73" t="inlineStr">
        <is>
          <t>leviathan/4</t>
        </is>
      </c>
      <c r="B73" t="inlineStr">
        <is>
          <t>leviathan</t>
        </is>
      </c>
      <c r="C73" t="n">
        <v>4</v>
      </c>
      <c r="D73" t="inlineStr">
        <is>
          <t>hover_ciws</t>
        </is>
      </c>
      <c r="E73" t="inlineStr">
        <is>
          <t>Free</t>
        </is>
      </c>
      <c r="I73" t="inlineStr">
        <is>
          <t>mg</t>
        </is>
      </c>
      <c r="J73" t="inlineStr">
        <is>
          <t>Assets/MachineBrigade/Resources/Data/balance.json: vehicles[153].secondary[4]</t>
        </is>
      </c>
      <c r="K73" t="inlineStr">
        <is>
          <t>{"weapon":"hover_ciws","slot":"mg","aim":"Free"}</t>
        </is>
      </c>
    </row>
    <row r="74">
      <c r="A74" t="inlineStr">
        <is>
          <t>leviathan/5</t>
        </is>
      </c>
      <c r="B74" t="inlineStr">
        <is>
          <t>leviathan</t>
        </is>
      </c>
      <c r="C74" t="n">
        <v>5</v>
      </c>
      <c r="D74" t="inlineStr">
        <is>
          <t>hover_ciws</t>
        </is>
      </c>
      <c r="E74" t="inlineStr">
        <is>
          <t>Free</t>
        </is>
      </c>
      <c r="I74" t="inlineStr">
        <is>
          <t>mg</t>
        </is>
      </c>
      <c r="J74" t="inlineStr">
        <is>
          <t>Assets/MachineBrigade/Resources/Data/balance.json: vehicles[153].secondary[5]</t>
        </is>
      </c>
      <c r="K74" t="inlineStr">
        <is>
          <t>{"weapon":"hover_ciws","slot":"mg","aim":"Free"}</t>
        </is>
      </c>
    </row>
    <row r="75">
      <c r="A75" t="inlineStr">
        <is>
          <t>leviathan/6</t>
        </is>
      </c>
      <c r="B75" t="inlineStr">
        <is>
          <t>leviathan</t>
        </is>
      </c>
      <c r="C75" t="n">
        <v>6</v>
      </c>
      <c r="D75" t="inlineStr">
        <is>
          <t>aa_25_triple</t>
        </is>
      </c>
      <c r="E75" t="inlineStr">
        <is>
          <t>Free</t>
        </is>
      </c>
      <c r="I75" t="inlineStr">
        <is>
          <t>mg</t>
        </is>
      </c>
      <c r="J75" t="inlineStr">
        <is>
          <t>Assets/MachineBrigade/Resources/Data/balance.json: vehicles[153].secondary[6]</t>
        </is>
      </c>
      <c r="K75" t="inlineStr">
        <is>
          <t>{"weapon":"aa_25_triple","slot":"mg","aim":"Free"}</t>
        </is>
      </c>
    </row>
    <row r="76">
      <c r="A76" t="inlineStr">
        <is>
          <t>leviathan/7</t>
        </is>
      </c>
      <c r="B76" t="inlineStr">
        <is>
          <t>leviathan</t>
        </is>
      </c>
      <c r="C76" t="n">
        <v>7</v>
      </c>
      <c r="D76" t="inlineStr">
        <is>
          <t>aa_25_triple</t>
        </is>
      </c>
      <c r="E76" t="inlineStr">
        <is>
          <t>Free</t>
        </is>
      </c>
      <c r="I76" t="inlineStr">
        <is>
          <t>mg</t>
        </is>
      </c>
      <c r="J76" t="inlineStr">
        <is>
          <t>Assets/MachineBrigade/Resources/Data/balance.json: vehicles[153].secondary[7]</t>
        </is>
      </c>
      <c r="K76" t="inlineStr">
        <is>
          <t>{"weapon":"aa_25_triple","slot":"mg","aim":"Free"}</t>
        </is>
      </c>
    </row>
    <row r="77">
      <c r="A77" t="inlineStr">
        <is>
          <t>leviathan/8</t>
        </is>
      </c>
      <c r="B77" t="inlineStr">
        <is>
          <t>leviathan</t>
        </is>
      </c>
      <c r="C77" t="n">
        <v>8</v>
      </c>
      <c r="D77" t="inlineStr">
        <is>
          <t>aa_25_triple</t>
        </is>
      </c>
      <c r="E77" t="inlineStr">
        <is>
          <t>Free</t>
        </is>
      </c>
      <c r="I77" t="inlineStr">
        <is>
          <t>mg</t>
        </is>
      </c>
      <c r="J77" t="inlineStr">
        <is>
          <t>Assets/MachineBrigade/Resources/Data/balance.json: vehicles[153].secondary[8]</t>
        </is>
      </c>
      <c r="K77" t="inlineStr">
        <is>
          <t>{"weapon":"aa_25_triple","slot":"mg","aim":"Free"}</t>
        </is>
      </c>
    </row>
    <row r="78">
      <c r="A78" t="inlineStr">
        <is>
          <t>leviathan/9</t>
        </is>
      </c>
      <c r="B78" t="inlineStr">
        <is>
          <t>leviathan</t>
        </is>
      </c>
      <c r="C78" t="n">
        <v>9</v>
      </c>
      <c r="D78" t="inlineStr">
        <is>
          <t>aa_25_triple</t>
        </is>
      </c>
      <c r="E78" t="inlineStr">
        <is>
          <t>Free</t>
        </is>
      </c>
      <c r="I78" t="inlineStr">
        <is>
          <t>mg</t>
        </is>
      </c>
      <c r="J78" t="inlineStr">
        <is>
          <t>Assets/MachineBrigade/Resources/Data/balance.json: vehicles[153].secondary[9]</t>
        </is>
      </c>
      <c r="K78" t="inlineStr">
        <is>
          <t>{"weapon":"aa_25_triple","slot":"mg","aim":"Free"}</t>
        </is>
      </c>
    </row>
    <row r="79">
      <c r="A79" t="inlineStr">
        <is>
          <t>leviathan/10</t>
        </is>
      </c>
      <c r="B79" t="inlineStr">
        <is>
          <t>leviathan</t>
        </is>
      </c>
      <c r="C79" t="n">
        <v>10</v>
      </c>
      <c r="D79" t="inlineStr">
        <is>
          <t>aa_25_triple</t>
        </is>
      </c>
      <c r="E79" t="inlineStr">
        <is>
          <t>Free</t>
        </is>
      </c>
      <c r="I79" t="inlineStr">
        <is>
          <t>mg</t>
        </is>
      </c>
      <c r="J79" t="inlineStr">
        <is>
          <t>Assets/MachineBrigade/Resources/Data/balance.json: vehicles[153].secondary[10]</t>
        </is>
      </c>
      <c r="K79" t="inlineStr">
        <is>
          <t>{"weapon":"aa_25_triple","slot":"mg","aim":"Free"}</t>
        </is>
      </c>
    </row>
    <row r="80">
      <c r="A80" t="inlineStr">
        <is>
          <t>leviathan/11</t>
        </is>
      </c>
      <c r="B80" t="inlineStr">
        <is>
          <t>leviathan</t>
        </is>
      </c>
      <c r="C80" t="n">
        <v>11</v>
      </c>
      <c r="D80" t="inlineStr">
        <is>
          <t>aa_25_triple</t>
        </is>
      </c>
      <c r="E80" t="inlineStr">
        <is>
          <t>Free</t>
        </is>
      </c>
      <c r="I80" t="inlineStr">
        <is>
          <t>mg</t>
        </is>
      </c>
      <c r="J80" t="inlineStr">
        <is>
          <t>Assets/MachineBrigade/Resources/Data/balance.json: vehicles[153].secondary[11]</t>
        </is>
      </c>
      <c r="K80" t="inlineStr">
        <is>
          <t>{"weapon":"aa_25_triple","slot":"mg","aim":"Free"}</t>
        </is>
      </c>
    </row>
    <row r="81">
      <c r="A81" t="inlineStr">
        <is>
          <t>leviathan/12</t>
        </is>
      </c>
      <c r="B81" t="inlineStr">
        <is>
          <t>leviathan</t>
        </is>
      </c>
      <c r="C81" t="n">
        <v>12</v>
      </c>
      <c r="D81" t="inlineStr">
        <is>
          <t>aa_25_triple</t>
        </is>
      </c>
      <c r="E81" t="inlineStr">
        <is>
          <t>Free</t>
        </is>
      </c>
      <c r="I81" t="inlineStr">
        <is>
          <t>mg</t>
        </is>
      </c>
      <c r="J81" t="inlineStr">
        <is>
          <t>Assets/MachineBrigade/Resources/Data/balance.json: vehicles[153].secondary[12]</t>
        </is>
      </c>
      <c r="K81" t="inlineStr">
        <is>
          <t>{"weapon":"aa_25_triple","slot":"mg","aim":"Free"}</t>
        </is>
      </c>
    </row>
    <row r="82">
      <c r="A82" t="inlineStr">
        <is>
          <t>leviathan/13</t>
        </is>
      </c>
      <c r="B82" t="inlineStr">
        <is>
          <t>leviathan</t>
        </is>
      </c>
      <c r="C82" t="n">
        <v>13</v>
      </c>
      <c r="D82" t="inlineStr">
        <is>
          <t>aa_25_triple</t>
        </is>
      </c>
      <c r="E82" t="inlineStr">
        <is>
          <t>Free</t>
        </is>
      </c>
      <c r="I82" t="inlineStr">
        <is>
          <t>mg</t>
        </is>
      </c>
      <c r="J82" t="inlineStr">
        <is>
          <t>Assets/MachineBrigade/Resources/Data/balance.json: vehicles[153].secondary[13]</t>
        </is>
      </c>
      <c r="K82" t="inlineStr">
        <is>
          <t>{"weapon":"aa_25_triple","slot":"mg","aim":"Free"}</t>
        </is>
      </c>
    </row>
    <row r="83">
      <c r="A83" t="inlineStr">
        <is>
          <t>leviathan/14</t>
        </is>
      </c>
      <c r="B83" t="inlineStr">
        <is>
          <t>leviathan</t>
        </is>
      </c>
      <c r="C83" t="n">
        <v>14</v>
      </c>
      <c r="D83" t="inlineStr">
        <is>
          <t>sam_post</t>
        </is>
      </c>
      <c r="E83" t="inlineStr">
        <is>
          <t>Free</t>
        </is>
      </c>
      <c r="I83" t="inlineStr">
        <is>
          <t>missile</t>
        </is>
      </c>
      <c r="J83" t="inlineStr">
        <is>
          <t>Assets/MachineBrigade/Resources/Data/balance.json: vehicles[153].secondary[14]</t>
        </is>
      </c>
      <c r="K83" t="inlineStr">
        <is>
          <t>{"weapon":"sam_post","slot":"missile","aim":"Free"}</t>
        </is>
      </c>
    </row>
    <row r="84">
      <c r="A84" t="inlineStr">
        <is>
          <t>mega_gunship/0</t>
        </is>
      </c>
      <c r="B84" t="inlineStr">
        <is>
          <t>mega_gunship</t>
        </is>
      </c>
      <c r="C84" t="n">
        <v>0</v>
      </c>
      <c r="D84" t="inlineStr">
        <is>
          <t>boss_heli_gun</t>
        </is>
      </c>
      <c r="E84" t="inlineStr">
        <is>
          <t>Free</t>
        </is>
      </c>
      <c r="F84" t="n">
        <v>-45</v>
      </c>
      <c r="G84" t="n">
        <v>70</v>
      </c>
      <c r="I84" t="inlineStr">
        <is>
          <t>gun</t>
        </is>
      </c>
      <c r="J84" t="inlineStr">
        <is>
          <t>Assets/MachineBrigade/Resources/Data/balance.json: vehicles[141].secondary[0]</t>
        </is>
      </c>
      <c r="K84" t="inlineStr">
        <is>
          <t>{"weapon":"boss_heli_gun","slot":"gun","aim":"Free","arc":[-45,70]}</t>
        </is>
      </c>
    </row>
    <row r="85">
      <c r="A85" t="inlineStr">
        <is>
          <t>mega_gunship/1</t>
        </is>
      </c>
      <c r="B85" t="inlineStr">
        <is>
          <t>mega_gunship</t>
        </is>
      </c>
      <c r="C85" t="n">
        <v>1</v>
      </c>
      <c r="D85" t="inlineStr">
        <is>
          <t>boss_heli_gun</t>
        </is>
      </c>
      <c r="E85" t="inlineStr">
        <is>
          <t>Free</t>
        </is>
      </c>
      <c r="F85" t="n">
        <v>45</v>
      </c>
      <c r="G85" t="n">
        <v>70</v>
      </c>
      <c r="I85" t="inlineStr">
        <is>
          <t>gun</t>
        </is>
      </c>
      <c r="J85" t="inlineStr">
        <is>
          <t>Assets/MachineBrigade/Resources/Data/balance.json: vehicles[141].secondary[1]</t>
        </is>
      </c>
      <c r="K85" t="inlineStr">
        <is>
          <t>{"weapon":"boss_heli_gun","slot":"gun","aim":"Free","arc":[45,70]}</t>
        </is>
      </c>
    </row>
    <row r="86">
      <c r="A86" t="inlineStr">
        <is>
          <t>mega_gunship/2</t>
        </is>
      </c>
      <c r="B86" t="inlineStr">
        <is>
          <t>mega_gunship</t>
        </is>
      </c>
      <c r="C86" t="n">
        <v>2</v>
      </c>
      <c r="D86" t="inlineStr">
        <is>
          <t>boss_missiles</t>
        </is>
      </c>
      <c r="E86" t="inlineStr">
        <is>
          <t>Hull</t>
        </is>
      </c>
      <c r="I86" t="inlineStr">
        <is>
          <t>missile</t>
        </is>
      </c>
      <c r="J86" t="inlineStr">
        <is>
          <t>Assets/MachineBrigade/Resources/Data/balance.json: vehicles[141].secondary[2]</t>
        </is>
      </c>
      <c r="K86" t="inlineStr">
        <is>
          <t>{"weapon":"boss_missiles","slot":"missile","aim":"Hull"}</t>
        </is>
      </c>
    </row>
    <row r="87">
      <c r="A87" t="inlineStr">
        <is>
          <t>mega_gunship/3</t>
        </is>
      </c>
      <c r="B87" t="inlineStr">
        <is>
          <t>mega_gunship</t>
        </is>
      </c>
      <c r="C87" t="n">
        <v>3</v>
      </c>
      <c r="D87" t="inlineStr">
        <is>
          <t>boss_minigun</t>
        </is>
      </c>
      <c r="E87" t="inlineStr">
        <is>
          <t>Free</t>
        </is>
      </c>
      <c r="I87" t="inlineStr">
        <is>
          <t>mg</t>
        </is>
      </c>
      <c r="J87" t="inlineStr">
        <is>
          <t>Assets/MachineBrigade/Resources/Data/balance.json: vehicles[141].secondary[3]</t>
        </is>
      </c>
      <c r="K87" t="inlineStr">
        <is>
          <t>{"weapon":"boss_minigun","slot":"mg","aim":"Free"}</t>
        </is>
      </c>
    </row>
    <row r="88">
      <c r="A88" t="inlineStr">
        <is>
          <t>mega_gunship/4</t>
        </is>
      </c>
      <c r="B88" t="inlineStr">
        <is>
          <t>mega_gunship</t>
        </is>
      </c>
      <c r="C88" t="n">
        <v>4</v>
      </c>
      <c r="D88" t="inlineStr">
        <is>
          <t>boss_minigun</t>
        </is>
      </c>
      <c r="E88" t="inlineStr">
        <is>
          <t>Free</t>
        </is>
      </c>
      <c r="I88" t="inlineStr">
        <is>
          <t>mg</t>
        </is>
      </c>
      <c r="J88" t="inlineStr">
        <is>
          <t>Assets/MachineBrigade/Resources/Data/balance.json: vehicles[141].secondary[4]</t>
        </is>
      </c>
      <c r="K88" t="inlineStr">
        <is>
          <t>{"weapon":"boss_minigun","slot":"mg","aim":"Free"}</t>
        </is>
      </c>
    </row>
    <row r="89">
      <c r="A89" t="inlineStr">
        <is>
          <t>mega_gunship/5</t>
        </is>
      </c>
      <c r="B89" t="inlineStr">
        <is>
          <t>mega_gunship</t>
        </is>
      </c>
      <c r="C89" t="n">
        <v>5</v>
      </c>
      <c r="D89" t="inlineStr">
        <is>
          <t>gunship_rockets</t>
        </is>
      </c>
      <c r="E89" t="inlineStr">
        <is>
          <t>Hull</t>
        </is>
      </c>
      <c r="H89" t="inlineStr">
        <is>
          <t>hydra</t>
        </is>
      </c>
      <c r="I89" t="inlineStr">
        <is>
          <t>rocket</t>
        </is>
      </c>
      <c r="J89" t="inlineStr">
        <is>
          <t>Assets/MachineBrigade/Resources/Data/balance.json: vehicles[141].secondary[5]</t>
        </is>
      </c>
      <c r="K89" t="inlineStr">
        <is>
          <t>{"weapon":"gunship_rockets","slot":"rocket","model":"hydra","aim":"Hull"}</t>
        </is>
      </c>
    </row>
    <row r="90">
      <c r="A90" t="inlineStr">
        <is>
          <t>mega_gunship/6</t>
        </is>
      </c>
      <c r="B90" t="inlineStr">
        <is>
          <t>mega_gunship</t>
        </is>
      </c>
      <c r="C90" t="n">
        <v>6</v>
      </c>
      <c r="D90" t="inlineStr">
        <is>
          <t>boss_hmg</t>
        </is>
      </c>
      <c r="E90" t="inlineStr">
        <is>
          <t>Free</t>
        </is>
      </c>
      <c r="I90" t="inlineStr">
        <is>
          <t>mg</t>
        </is>
      </c>
      <c r="J90" t="inlineStr">
        <is>
          <t>Assets/MachineBrigade/Resources/Data/balance.json: vehicles[141].secondary[6]</t>
        </is>
      </c>
      <c r="K90" t="inlineStr">
        <is>
          <t>{"weapon":"boss_hmg","slot":"mg","aim":"Free"}</t>
        </is>
      </c>
    </row>
    <row r="91">
      <c r="A91" t="inlineStr">
        <is>
          <t>mega_gunship/7</t>
        </is>
      </c>
      <c r="B91" t="inlineStr">
        <is>
          <t>mega_gunship</t>
        </is>
      </c>
      <c r="C91" t="n">
        <v>7</v>
      </c>
      <c r="D91" t="inlineStr">
        <is>
          <t>boss_hmg</t>
        </is>
      </c>
      <c r="E91" t="inlineStr">
        <is>
          <t>Free</t>
        </is>
      </c>
      <c r="I91" t="inlineStr">
        <is>
          <t>mg</t>
        </is>
      </c>
      <c r="J91" t="inlineStr">
        <is>
          <t>Assets/MachineBrigade/Resources/Data/balance.json: vehicles[141].secondary[7]</t>
        </is>
      </c>
      <c r="K91" t="inlineStr">
        <is>
          <t>{"weapon":"boss_hmg","slot":"mg","aim":"Free"}</t>
        </is>
      </c>
    </row>
    <row r="92">
      <c r="A92" t="inlineStr">
        <is>
          <t>mobile_fortress/0</t>
        </is>
      </c>
      <c r="B92" t="inlineStr">
        <is>
          <t>mobile_fortress</t>
        </is>
      </c>
      <c r="C92" t="n">
        <v>0</v>
      </c>
      <c r="D92" t="inlineStr">
        <is>
          <t>boss_rockets</t>
        </is>
      </c>
      <c r="E92" t="inlineStr">
        <is>
          <t>Free</t>
        </is>
      </c>
      <c r="I92" t="inlineStr">
        <is>
          <t>rocket</t>
        </is>
      </c>
      <c r="J92" t="inlineStr">
        <is>
          <t>Assets/MachineBrigade/Resources/Data/balance.json: vehicles[139].secondary[0]</t>
        </is>
      </c>
      <c r="K92" t="inlineStr">
        <is>
          <t>{"weapon":"boss_rockets","slot":"rocket","aim":"Free"}</t>
        </is>
      </c>
    </row>
    <row r="93">
      <c r="A93" t="inlineStr">
        <is>
          <t>mobile_fortress/1</t>
        </is>
      </c>
      <c r="B93" t="inlineStr">
        <is>
          <t>mobile_fortress</t>
        </is>
      </c>
      <c r="C93" t="n">
        <v>1</v>
      </c>
      <c r="D93" t="inlineStr">
        <is>
          <t>boss_rockets</t>
        </is>
      </c>
      <c r="E93" t="inlineStr">
        <is>
          <t>Free</t>
        </is>
      </c>
      <c r="I93" t="inlineStr">
        <is>
          <t>rocket</t>
        </is>
      </c>
      <c r="J93" t="inlineStr">
        <is>
          <t>Assets/MachineBrigade/Resources/Data/balance.json: vehicles[139].secondary[1]</t>
        </is>
      </c>
      <c r="K93" t="inlineStr">
        <is>
          <t>{"weapon":"boss_rockets","slot":"rocket","aim":"Free"}</t>
        </is>
      </c>
    </row>
    <row r="94">
      <c r="A94" t="inlineStr">
        <is>
          <t>mobile_fortress/2</t>
        </is>
      </c>
      <c r="B94" t="inlineStr">
        <is>
          <t>mobile_fortress</t>
        </is>
      </c>
      <c r="C94" t="n">
        <v>2</v>
      </c>
      <c r="D94" t="inlineStr">
        <is>
          <t>boss_flak</t>
        </is>
      </c>
      <c r="E94" t="inlineStr">
        <is>
          <t>Free</t>
        </is>
      </c>
      <c r="I94" t="inlineStr">
        <is>
          <t>mg</t>
        </is>
      </c>
      <c r="J94" t="inlineStr">
        <is>
          <t>Assets/MachineBrigade/Resources/Data/balance.json: vehicles[139].secondary[2]</t>
        </is>
      </c>
      <c r="K94" t="inlineStr">
        <is>
          <t>{"weapon":"boss_flak","slot":"mg","aim":"Free"}</t>
        </is>
      </c>
    </row>
    <row r="95">
      <c r="A95" t="inlineStr">
        <is>
          <t>mobile_fortress/3</t>
        </is>
      </c>
      <c r="B95" t="inlineStr">
        <is>
          <t>mobile_fortress</t>
        </is>
      </c>
      <c r="C95" t="n">
        <v>3</v>
      </c>
      <c r="D95" t="inlineStr">
        <is>
          <t>boss_flak</t>
        </is>
      </c>
      <c r="E95" t="inlineStr">
        <is>
          <t>Free</t>
        </is>
      </c>
      <c r="I95" t="inlineStr">
        <is>
          <t>mg</t>
        </is>
      </c>
      <c r="J95" t="inlineStr">
        <is>
          <t>Assets/MachineBrigade/Resources/Data/balance.json: vehicles[139].secondary[3]</t>
        </is>
      </c>
      <c r="K95" t="inlineStr">
        <is>
          <t>{"weapon":"boss_flak","slot":"mg","aim":"Free"}</t>
        </is>
      </c>
    </row>
    <row r="96">
      <c r="A96" t="inlineStr">
        <is>
          <t>mobile_fortress/4</t>
        </is>
      </c>
      <c r="B96" t="inlineStr">
        <is>
          <t>mobile_fortress</t>
        </is>
      </c>
      <c r="C96" t="n">
        <v>4</v>
      </c>
      <c r="D96" t="inlineStr">
        <is>
          <t>boss_missiles</t>
        </is>
      </c>
      <c r="E96" t="inlineStr">
        <is>
          <t>Hull</t>
        </is>
      </c>
      <c r="I96" t="inlineStr">
        <is>
          <t>missile</t>
        </is>
      </c>
      <c r="J96" t="inlineStr">
        <is>
          <t>Assets/MachineBrigade/Resources/Data/balance.json: vehicles[139].secondary[4]</t>
        </is>
      </c>
      <c r="K96" t="inlineStr">
        <is>
          <t>{"weapon":"boss_missiles","slot":"missile","aim":"Hull"}</t>
        </is>
      </c>
    </row>
    <row r="97">
      <c r="A97" t="inlineStr">
        <is>
          <t>mobile_fortress/5</t>
        </is>
      </c>
      <c r="B97" t="inlineStr">
        <is>
          <t>mobile_fortress</t>
        </is>
      </c>
      <c r="C97" t="n">
        <v>5</v>
      </c>
      <c r="D97" t="inlineStr">
        <is>
          <t>twin_30_flak</t>
        </is>
      </c>
      <c r="E97" t="inlineStr">
        <is>
          <t>Free</t>
        </is>
      </c>
      <c r="I97" t="inlineStr">
        <is>
          <t>mg</t>
        </is>
      </c>
      <c r="J97" t="inlineStr">
        <is>
          <t>Assets/MachineBrigade/Resources/Data/balance.json: vehicles[139].secondary[5]</t>
        </is>
      </c>
      <c r="K97" t="inlineStr">
        <is>
          <t>{"weapon":"twin_30_flak","slot":"mg","aim":"Free"}</t>
        </is>
      </c>
    </row>
    <row r="98">
      <c r="A98" t="inlineStr">
        <is>
          <t>moloch/0</t>
        </is>
      </c>
      <c r="B98" t="inlineStr">
        <is>
          <t>moloch</t>
        </is>
      </c>
      <c r="C98" t="n">
        <v>0</v>
      </c>
      <c r="D98" t="inlineStr">
        <is>
          <t>zu23</t>
        </is>
      </c>
      <c r="E98" t="inlineStr">
        <is>
          <t>Free</t>
        </is>
      </c>
      <c r="I98" t="inlineStr">
        <is>
          <t>mg</t>
        </is>
      </c>
      <c r="J98" t="inlineStr">
        <is>
          <t>Assets/MachineBrigade/Resources/Data/balance.json: vehicles[159].secondary[0]</t>
        </is>
      </c>
      <c r="K98" t="inlineStr">
        <is>
          <t>{"weapon":"zu23","slot":"mg","aim":"Free"}</t>
        </is>
      </c>
    </row>
    <row r="99">
      <c r="A99" t="inlineStr">
        <is>
          <t>moloch/1</t>
        </is>
      </c>
      <c r="B99" t="inlineStr">
        <is>
          <t>moloch</t>
        </is>
      </c>
      <c r="C99" t="n">
        <v>1</v>
      </c>
      <c r="D99" t="inlineStr">
        <is>
          <t>zu23</t>
        </is>
      </c>
      <c r="E99" t="inlineStr">
        <is>
          <t>Free</t>
        </is>
      </c>
      <c r="I99" t="inlineStr">
        <is>
          <t>mg</t>
        </is>
      </c>
      <c r="J99" t="inlineStr">
        <is>
          <t>Assets/MachineBrigade/Resources/Data/balance.json: vehicles[159].secondary[1]</t>
        </is>
      </c>
      <c r="K99" t="inlineStr">
        <is>
          <t>{"weapon":"zu23","slot":"mg","aim":"Free"}</t>
        </is>
      </c>
    </row>
    <row r="100">
      <c r="A100" t="inlineStr">
        <is>
          <t>nuke_train/0</t>
        </is>
      </c>
      <c r="B100" t="inlineStr">
        <is>
          <t>nuke_train</t>
        </is>
      </c>
      <c r="C100" t="n">
        <v>0</v>
      </c>
      <c r="D100" t="inlineStr">
        <is>
          <t>boss_flak</t>
        </is>
      </c>
      <c r="E100" t="inlineStr">
        <is>
          <t>Free</t>
        </is>
      </c>
      <c r="I100" t="inlineStr">
        <is>
          <t>mg</t>
        </is>
      </c>
      <c r="J100" t="inlineStr">
        <is>
          <t>Assets/MachineBrigade/Resources/Data/balance.json: vehicles[143].secondary[0]</t>
        </is>
      </c>
      <c r="K100" t="inlineStr">
        <is>
          <t>{"weapon":"boss_flak","slot":"mg","aim":"Free"}</t>
        </is>
      </c>
    </row>
    <row r="101">
      <c r="A101" t="inlineStr">
        <is>
          <t>nuke_train/1</t>
        </is>
      </c>
      <c r="B101" t="inlineStr">
        <is>
          <t>nuke_train</t>
        </is>
      </c>
      <c r="C101" t="n">
        <v>1</v>
      </c>
      <c r="D101" t="inlineStr">
        <is>
          <t>boss_flak</t>
        </is>
      </c>
      <c r="E101" t="inlineStr">
        <is>
          <t>Free</t>
        </is>
      </c>
      <c r="I101" t="inlineStr">
        <is>
          <t>mg</t>
        </is>
      </c>
      <c r="J101" t="inlineStr">
        <is>
          <t>Assets/MachineBrigade/Resources/Data/balance.json: vehicles[143].secondary[1]</t>
        </is>
      </c>
      <c r="K101" t="inlineStr">
        <is>
          <t>{"weapon":"boss_flak","slot":"mg","aim":"Free"}</t>
        </is>
      </c>
    </row>
    <row r="102">
      <c r="A102" t="inlineStr">
        <is>
          <t>nuke_train/2</t>
        </is>
      </c>
      <c r="B102" t="inlineStr">
        <is>
          <t>nuke_train</t>
        </is>
      </c>
      <c r="C102" t="n">
        <v>2</v>
      </c>
      <c r="D102" t="inlineStr">
        <is>
          <t>boss_rockets</t>
        </is>
      </c>
      <c r="E102" t="inlineStr">
        <is>
          <t>Free</t>
        </is>
      </c>
      <c r="I102" t="inlineStr">
        <is>
          <t>rocket</t>
        </is>
      </c>
      <c r="J102" t="inlineStr">
        <is>
          <t>Assets/MachineBrigade/Resources/Data/balance.json: vehicles[143].secondary[2]</t>
        </is>
      </c>
      <c r="K102" t="inlineStr">
        <is>
          <t>{"weapon":"boss_rockets","slot":"rocket","aim":"Free"}</t>
        </is>
      </c>
    </row>
    <row r="103">
      <c r="A103" t="inlineStr">
        <is>
          <t>nuke_train/3</t>
        </is>
      </c>
      <c r="B103" t="inlineStr">
        <is>
          <t>nuke_train</t>
        </is>
      </c>
      <c r="C103" t="n">
        <v>3</v>
      </c>
      <c r="D103" t="inlineStr">
        <is>
          <t>sam_battery</t>
        </is>
      </c>
      <c r="E103" t="inlineStr">
        <is>
          <t>Free</t>
        </is>
      </c>
      <c r="I103" t="inlineStr">
        <is>
          <t>missile</t>
        </is>
      </c>
      <c r="J103" t="inlineStr">
        <is>
          <t>Assets/MachineBrigade/Resources/Data/balance.json: vehicles[143].secondary[3]</t>
        </is>
      </c>
      <c r="K103" t="inlineStr">
        <is>
          <t>{"weapon":"sam_battery","slot":"missile","aim":"Free"}</t>
        </is>
      </c>
    </row>
    <row r="104">
      <c r="A104" t="inlineStr">
        <is>
          <t>nyx/0</t>
        </is>
      </c>
      <c r="B104" t="inlineStr">
        <is>
          <t>nyx</t>
        </is>
      </c>
      <c r="C104" t="n">
        <v>0</v>
      </c>
      <c r="D104" t="inlineStr">
        <is>
          <t>p26_leviathan_direct_lev127</t>
        </is>
      </c>
      <c r="E104" t="inlineStr">
        <is>
          <t>Free</t>
        </is>
      </c>
      <c r="I104" t="inlineStr">
        <is>
          <t>mg</t>
        </is>
      </c>
      <c r="J104" t="inlineStr">
        <is>
          <t>Assets/MachineBrigade/Resources/Data/balance.json: vehicles[176].secondary[0]</t>
        </is>
      </c>
      <c r="K104" t="inlineStr">
        <is>
          <t>{"weapon":"p26_leviathan_direct_lev127","slot":"mg","aim":"Free"}</t>
        </is>
      </c>
    </row>
    <row r="105">
      <c r="A105" t="inlineStr">
        <is>
          <t>nyx/1</t>
        </is>
      </c>
      <c r="B105" t="inlineStr">
        <is>
          <t>nyx</t>
        </is>
      </c>
      <c r="C105" t="n">
        <v>1</v>
      </c>
      <c r="D105" t="inlineStr">
        <is>
          <t>p26_leviathan_direct_lev127</t>
        </is>
      </c>
      <c r="E105" t="inlineStr">
        <is>
          <t>Free</t>
        </is>
      </c>
      <c r="I105" t="inlineStr">
        <is>
          <t>mg</t>
        </is>
      </c>
      <c r="J105" t="inlineStr">
        <is>
          <t>Assets/MachineBrigade/Resources/Data/balance.json: vehicles[176].secondary[1]</t>
        </is>
      </c>
      <c r="K105" t="inlineStr">
        <is>
          <t>{"weapon":"p26_leviathan_direct_lev127","slot":"mg","aim":"Free"}</t>
        </is>
      </c>
    </row>
    <row r="106">
      <c r="A106" t="inlineStr">
        <is>
          <t>nyx/2</t>
        </is>
      </c>
      <c r="B106" t="inlineStr">
        <is>
          <t>nyx</t>
        </is>
      </c>
      <c r="C106" t="n">
        <v>2</v>
      </c>
      <c r="D106" t="inlineStr">
        <is>
          <t>nyx_millennium</t>
        </is>
      </c>
      <c r="E106" t="inlineStr">
        <is>
          <t>Free</t>
        </is>
      </c>
      <c r="I106" t="inlineStr">
        <is>
          <t>mg</t>
        </is>
      </c>
      <c r="J106" t="inlineStr">
        <is>
          <t>Assets/MachineBrigade/Resources/Data/balance.json: vehicles[176].secondary[2]</t>
        </is>
      </c>
      <c r="K106" t="inlineStr">
        <is>
          <t>{"weapon":"nyx_millennium","slot":"mg","aim":"Free"}</t>
        </is>
      </c>
    </row>
    <row r="107">
      <c r="A107" t="inlineStr">
        <is>
          <t>nyx/3</t>
        </is>
      </c>
      <c r="B107" t="inlineStr">
        <is>
          <t>nyx</t>
        </is>
      </c>
      <c r="C107" t="n">
        <v>3</v>
      </c>
      <c r="D107" t="inlineStr">
        <is>
          <t>nyx_millennium</t>
        </is>
      </c>
      <c r="E107" t="inlineStr">
        <is>
          <t>Free</t>
        </is>
      </c>
      <c r="I107" t="inlineStr">
        <is>
          <t>mg</t>
        </is>
      </c>
      <c r="J107" t="inlineStr">
        <is>
          <t>Assets/MachineBrigade/Resources/Data/balance.json: vehicles[176].secondary[3]</t>
        </is>
      </c>
      <c r="K107" t="inlineStr">
        <is>
          <t>{"weapon":"nyx_millennium","slot":"mg","aim":"Free"}</t>
        </is>
      </c>
    </row>
    <row r="108">
      <c r="A108" t="inlineStr">
        <is>
          <t>nyx/4</t>
        </is>
      </c>
      <c r="B108" t="inlineStr">
        <is>
          <t>nyx</t>
        </is>
      </c>
      <c r="C108" t="n">
        <v>4</v>
      </c>
      <c r="D108" t="inlineStr">
        <is>
          <t>nyx_tomahawk</t>
        </is>
      </c>
      <c r="E108" t="inlineStr">
        <is>
          <t>Free</t>
        </is>
      </c>
      <c r="I108" t="inlineStr">
        <is>
          <t>missile</t>
        </is>
      </c>
      <c r="J108" t="inlineStr">
        <is>
          <t>Assets/MachineBrigade/Resources/Data/balance.json: vehicles[176].secondary[4]</t>
        </is>
      </c>
      <c r="K108" t="inlineStr">
        <is>
          <t>{"weapon":"nyx_tomahawk","slot":"missile","aim":"Free"}</t>
        </is>
      </c>
    </row>
    <row r="109">
      <c r="A109" t="inlineStr">
        <is>
          <t>scylla/0</t>
        </is>
      </c>
      <c r="B109" t="inlineStr">
        <is>
          <t>scylla</t>
        </is>
      </c>
      <c r="C109" t="n">
        <v>0</v>
      </c>
      <c r="D109" t="inlineStr">
        <is>
          <t>p26_leviathan_direct_lev127</t>
        </is>
      </c>
      <c r="E109" t="inlineStr">
        <is>
          <t>Free</t>
        </is>
      </c>
      <c r="I109" t="inlineStr">
        <is>
          <t>mg</t>
        </is>
      </c>
      <c r="J109" t="inlineStr">
        <is>
          <t>Assets/MachineBrigade/Resources/Data/balance.json: vehicles[165].secondary[0]</t>
        </is>
      </c>
      <c r="K109" t="inlineStr">
        <is>
          <t>{"weapon":"p26_leviathan_direct_lev127","slot":"mg","aim":"Free"}</t>
        </is>
      </c>
    </row>
    <row r="110">
      <c r="A110" t="inlineStr">
        <is>
          <t>scylla/1</t>
        </is>
      </c>
      <c r="B110" t="inlineStr">
        <is>
          <t>scylla</t>
        </is>
      </c>
      <c r="C110" t="n">
        <v>1</v>
      </c>
      <c r="D110" t="inlineStr">
        <is>
          <t>scylla_ak230</t>
        </is>
      </c>
      <c r="E110" t="inlineStr">
        <is>
          <t>Free</t>
        </is>
      </c>
      <c r="I110" t="inlineStr">
        <is>
          <t>mg</t>
        </is>
      </c>
      <c r="J110" t="inlineStr">
        <is>
          <t>Assets/MachineBrigade/Resources/Data/balance.json: vehicles[165].secondary[1]</t>
        </is>
      </c>
      <c r="K110" t="inlineStr">
        <is>
          <t>{"weapon":"scylla_ak230","slot":"mg","aim":"Free"}</t>
        </is>
      </c>
    </row>
    <row r="111">
      <c r="A111" t="inlineStr">
        <is>
          <t>scylla/2</t>
        </is>
      </c>
      <c r="B111" t="inlineStr">
        <is>
          <t>scylla</t>
        </is>
      </c>
      <c r="C111" t="n">
        <v>2</v>
      </c>
      <c r="D111" t="inlineStr">
        <is>
          <t>scylla_ak230</t>
        </is>
      </c>
      <c r="E111" t="inlineStr">
        <is>
          <t>Free</t>
        </is>
      </c>
      <c r="I111" t="inlineStr">
        <is>
          <t>mg</t>
        </is>
      </c>
      <c r="J111" t="inlineStr">
        <is>
          <t>Assets/MachineBrigade/Resources/Data/balance.json: vehicles[165].secondary[2]</t>
        </is>
      </c>
      <c r="K111" t="inlineStr">
        <is>
          <t>{"weapon":"scylla_ak230","slot":"mg","aim":"Free"}</t>
        </is>
      </c>
    </row>
    <row r="112">
      <c r="A112" t="inlineStr">
        <is>
          <t>scylla/3</t>
        </is>
      </c>
      <c r="B112" t="inlineStr">
        <is>
          <t>scylla</t>
        </is>
      </c>
      <c r="C112" t="n">
        <v>3</v>
      </c>
      <c r="D112" t="inlineStr">
        <is>
          <t>scylla_2m7</t>
        </is>
      </c>
      <c r="E112" t="inlineStr">
        <is>
          <t>Free</t>
        </is>
      </c>
      <c r="I112" t="inlineStr">
        <is>
          <t>mg</t>
        </is>
      </c>
      <c r="J112" t="inlineStr">
        <is>
          <t>Assets/MachineBrigade/Resources/Data/balance.json: vehicles[165].secondary[3]</t>
        </is>
      </c>
      <c r="K112" t="inlineStr">
        <is>
          <t>{"weapon":"scylla_2m7","slot":"mg","aim":"Free"}</t>
        </is>
      </c>
    </row>
    <row r="113">
      <c r="A113" t="inlineStr">
        <is>
          <t>scylla/4</t>
        </is>
      </c>
      <c r="B113" t="inlineStr">
        <is>
          <t>scylla</t>
        </is>
      </c>
      <c r="C113" t="n">
        <v>4</v>
      </c>
      <c r="D113" t="inlineStr">
        <is>
          <t>scylla_2m7</t>
        </is>
      </c>
      <c r="E113" t="inlineStr">
        <is>
          <t>Free</t>
        </is>
      </c>
      <c r="I113" t="inlineStr">
        <is>
          <t>mg</t>
        </is>
      </c>
      <c r="J113" t="inlineStr">
        <is>
          <t>Assets/MachineBrigade/Resources/Data/balance.json: vehicles[165].secondary[4]</t>
        </is>
      </c>
      <c r="K113" t="inlineStr">
        <is>
          <t>{"weapon":"scylla_2m7","slot":"mg","aim":"Free"}</t>
        </is>
      </c>
    </row>
    <row r="114">
      <c r="A114" t="inlineStr">
        <is>
          <t>scylla/5</t>
        </is>
      </c>
      <c r="B114" t="inlineStr">
        <is>
          <t>scylla</t>
        </is>
      </c>
      <c r="C114" t="n">
        <v>5</v>
      </c>
      <c r="D114" t="inlineStr">
        <is>
          <t>scylla_kh35</t>
        </is>
      </c>
      <c r="E114" t="inlineStr">
        <is>
          <t>Free</t>
        </is>
      </c>
      <c r="I114" t="inlineStr">
        <is>
          <t>missile</t>
        </is>
      </c>
      <c r="J114" t="inlineStr">
        <is>
          <t>Assets/MachineBrigade/Resources/Data/balance.json: vehicles[165].secondary[5]</t>
        </is>
      </c>
      <c r="K114" t="inlineStr">
        <is>
          <t>{"weapon":"scylla_kh35","slot":"missile","aim":"Free"}</t>
        </is>
      </c>
    </row>
    <row r="115">
      <c r="A115" t="inlineStr">
        <is>
          <t>scylla/6</t>
        </is>
      </c>
      <c r="B115" t="inlineStr">
        <is>
          <t>scylla</t>
        </is>
      </c>
      <c r="C115" t="n">
        <v>6</v>
      </c>
      <c r="D115" t="inlineStr">
        <is>
          <t>scylla_kh35</t>
        </is>
      </c>
      <c r="E115" t="inlineStr">
        <is>
          <t>Free</t>
        </is>
      </c>
      <c r="I115" t="inlineStr">
        <is>
          <t>missile</t>
        </is>
      </c>
      <c r="J115" t="inlineStr">
        <is>
          <t>Assets/MachineBrigade/Resources/Data/balance.json: vehicles[165].secondary[6]</t>
        </is>
      </c>
      <c r="K115" t="inlineStr">
        <is>
          <t>{"weapon":"scylla_kh35","slot":"missile","aim":"Free"}</t>
        </is>
      </c>
    </row>
    <row r="116">
      <c r="A116" t="inlineStr">
        <is>
          <t>silver_bug/0</t>
        </is>
      </c>
      <c r="B116" t="inlineStr">
        <is>
          <t>silver_bug</t>
        </is>
      </c>
      <c r="C116" t="n">
        <v>0</v>
      </c>
      <c r="D116" t="inlineStr">
        <is>
          <t>coilgun</t>
        </is>
      </c>
      <c r="E116" t="inlineStr">
        <is>
          <t>Free</t>
        </is>
      </c>
      <c r="I116" t="inlineStr">
        <is>
          <t>gun</t>
        </is>
      </c>
      <c r="J116" t="inlineStr">
        <is>
          <t>Assets/MachineBrigade/Resources/Data/balance.json: vehicles[144].secondary[0]</t>
        </is>
      </c>
      <c r="K116" t="inlineStr">
        <is>
          <t>{"weapon":"coilgun","slot":"gun","aim":"Free"}</t>
        </is>
      </c>
    </row>
    <row r="117">
      <c r="A117" t="inlineStr">
        <is>
          <t>silver_bug/1</t>
        </is>
      </c>
      <c r="B117" t="inlineStr">
        <is>
          <t>silver_bug</t>
        </is>
      </c>
      <c r="C117" t="n">
        <v>1</v>
      </c>
      <c r="D117" t="inlineStr">
        <is>
          <t>coilgun</t>
        </is>
      </c>
      <c r="E117" t="inlineStr">
        <is>
          <t>Free</t>
        </is>
      </c>
      <c r="I117" t="inlineStr">
        <is>
          <t>gun</t>
        </is>
      </c>
      <c r="J117" t="inlineStr">
        <is>
          <t>Assets/MachineBrigade/Resources/Data/balance.json: vehicles[144].secondary[1]</t>
        </is>
      </c>
      <c r="K117" t="inlineStr">
        <is>
          <t>{"weapon":"coilgun","slot":"gun","aim":"Free"}</t>
        </is>
      </c>
    </row>
    <row r="118">
      <c r="A118" t="inlineStr">
        <is>
          <t>silver_bug/2</t>
        </is>
      </c>
      <c r="B118" t="inlineStr">
        <is>
          <t>silver_bug</t>
        </is>
      </c>
      <c r="C118" t="n">
        <v>2</v>
      </c>
      <c r="D118" t="inlineStr">
        <is>
          <t>autocannon_40</t>
        </is>
      </c>
      <c r="E118" t="inlineStr">
        <is>
          <t>Free</t>
        </is>
      </c>
      <c r="I118" t="inlineStr">
        <is>
          <t>gun</t>
        </is>
      </c>
      <c r="J118" t="inlineStr">
        <is>
          <t>Assets/MachineBrigade/Resources/Data/balance.json: vehicles[144].secondary[2]</t>
        </is>
      </c>
      <c r="K118" t="inlineStr">
        <is>
          <t>{"weapon":"autocannon_40","slot":"gun","aim":"Free"}</t>
        </is>
      </c>
    </row>
    <row r="119">
      <c r="A119" t="inlineStr">
        <is>
          <t>silver_bug/3</t>
        </is>
      </c>
      <c r="B119" t="inlineStr">
        <is>
          <t>silver_bug</t>
        </is>
      </c>
      <c r="C119" t="n">
        <v>3</v>
      </c>
      <c r="D119" t="inlineStr">
        <is>
          <t>autocannon_40</t>
        </is>
      </c>
      <c r="E119" t="inlineStr">
        <is>
          <t>Free</t>
        </is>
      </c>
      <c r="I119" t="inlineStr">
        <is>
          <t>gun</t>
        </is>
      </c>
      <c r="J119" t="inlineStr">
        <is>
          <t>Assets/MachineBrigade/Resources/Data/balance.json: vehicles[144].secondary[3]</t>
        </is>
      </c>
      <c r="K119" t="inlineStr">
        <is>
          <t>{"weapon":"autocannon_40","slot":"gun","aim":"Free"}</t>
        </is>
      </c>
    </row>
    <row r="120">
      <c r="A120" t="inlineStr">
        <is>
          <t>silver_bug/4</t>
        </is>
      </c>
      <c r="B120" t="inlineStr">
        <is>
          <t>silver_bug</t>
        </is>
      </c>
      <c r="C120" t="n">
        <v>4</v>
      </c>
      <c r="D120" t="inlineStr">
        <is>
          <t>pt14_sb_v30</t>
        </is>
      </c>
      <c r="E120" t="inlineStr">
        <is>
          <t>Free</t>
        </is>
      </c>
      <c r="I120" t="inlineStr">
        <is>
          <t>gun</t>
        </is>
      </c>
      <c r="J120" t="inlineStr">
        <is>
          <t>Assets/MachineBrigade/Resources/Data/balance.json: vehicles[144].secondary[4]</t>
        </is>
      </c>
      <c r="K120" t="inlineStr">
        <is>
          <t>{"weapon":"pt14_sb_v30","slot":"gun","aim":"Free"}</t>
        </is>
      </c>
    </row>
    <row r="121">
      <c r="A121" t="inlineStr">
        <is>
          <t>silver_bug/5</t>
        </is>
      </c>
      <c r="B121" t="inlineStr">
        <is>
          <t>silver_bug</t>
        </is>
      </c>
      <c r="C121" t="n">
        <v>5</v>
      </c>
      <c r="D121" t="inlineStr">
        <is>
          <t>pt14_sb_v30</t>
        </is>
      </c>
      <c r="E121" t="inlineStr">
        <is>
          <t>Free</t>
        </is>
      </c>
      <c r="I121" t="inlineStr">
        <is>
          <t>gun</t>
        </is>
      </c>
      <c r="J121" t="inlineStr">
        <is>
          <t>Assets/MachineBrigade/Resources/Data/balance.json: vehicles[144].secondary[5]</t>
        </is>
      </c>
      <c r="K121" t="inlineStr">
        <is>
          <t>{"weapon":"pt14_sb_v30","slot":"gun","aim":"Free"}</t>
        </is>
      </c>
    </row>
    <row r="122">
      <c r="A122" t="inlineStr">
        <is>
          <t>silver_bug/6</t>
        </is>
      </c>
      <c r="B122" t="inlineStr">
        <is>
          <t>silver_bug</t>
        </is>
      </c>
      <c r="C122" t="n">
        <v>6</v>
      </c>
      <c r="D122" t="inlineStr">
        <is>
          <t>pt14_sb_v105</t>
        </is>
      </c>
      <c r="E122" t="inlineStr">
        <is>
          <t>Free</t>
        </is>
      </c>
      <c r="I122" t="inlineStr">
        <is>
          <t>gun</t>
        </is>
      </c>
      <c r="J122" t="inlineStr">
        <is>
          <t>Assets/MachineBrigade/Resources/Data/balance.json: vehicles[144].secondary[6]</t>
        </is>
      </c>
      <c r="K122" t="inlineStr">
        <is>
          <t>{"weapon":"pt14_sb_v105","slot":"gun","aim":"Free"}</t>
        </is>
      </c>
    </row>
    <row r="123">
      <c r="A123" t="inlineStr">
        <is>
          <t>silver_bug/7</t>
        </is>
      </c>
      <c r="B123" t="inlineStr">
        <is>
          <t>silver_bug</t>
        </is>
      </c>
      <c r="C123" t="n">
        <v>7</v>
      </c>
      <c r="D123" t="inlineStr">
        <is>
          <t>pt14_sb_v105</t>
        </is>
      </c>
      <c r="E123" t="inlineStr">
        <is>
          <t>Free</t>
        </is>
      </c>
      <c r="I123" t="inlineStr">
        <is>
          <t>gun</t>
        </is>
      </c>
      <c r="J123" t="inlineStr">
        <is>
          <t>Assets/MachineBrigade/Resources/Data/balance.json: vehicles[144].secondary[7]</t>
        </is>
      </c>
      <c r="K123" t="inlineStr">
        <is>
          <t>{"weapon":"pt14_sb_v105","slot":"gun","aim":"Free"}</t>
        </is>
      </c>
    </row>
    <row r="124">
      <c r="A124" t="inlineStr">
        <is>
          <t>theia/0</t>
        </is>
      </c>
      <c r="B124" t="inlineStr">
        <is>
          <t>theia</t>
        </is>
      </c>
      <c r="C124" t="n">
        <v>0</v>
      </c>
      <c r="D124" t="inlineStr">
        <is>
          <t>p26_matriarch_ma_drones</t>
        </is>
      </c>
      <c r="E124" t="inlineStr">
        <is>
          <t>Free</t>
        </is>
      </c>
      <c r="I124" t="inlineStr">
        <is>
          <t>missile</t>
        </is>
      </c>
      <c r="J124" t="inlineStr">
        <is>
          <t>Assets/MachineBrigade/Resources/Data/balance.json: vehicles[174].secondary[0]</t>
        </is>
      </c>
      <c r="K124" t="inlineStr">
        <is>
          <t>{"weapon":"p26_matriarch_ma_drones","slot":"missile","aim":"Free"}</t>
        </is>
      </c>
    </row>
    <row r="125">
      <c r="A125" t="inlineStr">
        <is>
          <t>theia/1</t>
        </is>
      </c>
      <c r="B125" t="inlineStr">
        <is>
          <t>theia</t>
        </is>
      </c>
      <c r="C125" t="n">
        <v>1</v>
      </c>
      <c r="D125" t="inlineStr">
        <is>
          <t>pt14_th_jagm</t>
        </is>
      </c>
      <c r="E125" t="inlineStr">
        <is>
          <t>Free</t>
        </is>
      </c>
      <c r="I125" t="inlineStr">
        <is>
          <t>rocket</t>
        </is>
      </c>
      <c r="J125" t="inlineStr">
        <is>
          <t>Assets/MachineBrigade/Resources/Data/balance.json: vehicles[174].secondary[1]</t>
        </is>
      </c>
      <c r="K125" t="inlineStr">
        <is>
          <t>{"weapon":"pt14_th_jagm","slot":"rocket","aim":"Free"}</t>
        </is>
      </c>
    </row>
    <row r="126">
      <c r="A126" t="inlineStr">
        <is>
          <t>theia/2</t>
        </is>
      </c>
      <c r="B126" t="inlineStr">
        <is>
          <t>theia</t>
        </is>
      </c>
      <c r="C126" t="n">
        <v>2</v>
      </c>
      <c r="D126" t="inlineStr">
        <is>
          <t>pt14_th_jagm</t>
        </is>
      </c>
      <c r="E126" t="inlineStr">
        <is>
          <t>Free</t>
        </is>
      </c>
      <c r="I126" t="inlineStr">
        <is>
          <t>rocket</t>
        </is>
      </c>
      <c r="J126" t="inlineStr">
        <is>
          <t>Assets/MachineBrigade/Resources/Data/balance.json: vehicles[174].secondary[2]</t>
        </is>
      </c>
      <c r="K126" t="inlineStr">
        <is>
          <t>{"weapon":"pt14_th_jagm","slot":"rocket","aim":"Free"}</t>
        </is>
      </c>
    </row>
    <row r="127">
      <c r="A127" t="inlineStr">
        <is>
          <t>theia/3</t>
        </is>
      </c>
      <c r="B127" t="inlineStr">
        <is>
          <t>theia</t>
        </is>
      </c>
      <c r="C127" t="n">
        <v>3</v>
      </c>
      <c r="D127" t="inlineStr">
        <is>
          <t>pt14_th_v35</t>
        </is>
      </c>
      <c r="E127" t="inlineStr">
        <is>
          <t>Free</t>
        </is>
      </c>
      <c r="I127" t="inlineStr">
        <is>
          <t>gun</t>
        </is>
      </c>
      <c r="J127" t="inlineStr">
        <is>
          <t>Assets/MachineBrigade/Resources/Data/balance.json: vehicles[174].secondary[3]</t>
        </is>
      </c>
      <c r="K127" t="inlineStr">
        <is>
          <t>{"weapon":"pt14_th_v35","slot":"gun","aim":"Free"}</t>
        </is>
      </c>
    </row>
    <row r="128">
      <c r="A128" t="inlineStr">
        <is>
          <t>theia/4</t>
        </is>
      </c>
      <c r="B128" t="inlineStr">
        <is>
          <t>theia</t>
        </is>
      </c>
      <c r="C128" t="n">
        <v>4</v>
      </c>
      <c r="D128" t="inlineStr">
        <is>
          <t>pt14_th_v35</t>
        </is>
      </c>
      <c r="E128" t="inlineStr">
        <is>
          <t>Free</t>
        </is>
      </c>
      <c r="I128" t="inlineStr">
        <is>
          <t>gun</t>
        </is>
      </c>
      <c r="J128" t="inlineStr">
        <is>
          <t>Assets/MachineBrigade/Resources/Data/balance.json: vehicles[174].secondary[4]</t>
        </is>
      </c>
      <c r="K128" t="inlineStr">
        <is>
          <t>{"weapon":"pt14_th_v35","slot":"gun","aim":"Free"}</t>
        </is>
      </c>
    </row>
    <row r="129">
      <c r="A129" t="inlineStr">
        <is>
          <t>theia/5</t>
        </is>
      </c>
      <c r="B129" t="inlineStr">
        <is>
          <t>theia</t>
        </is>
      </c>
      <c r="C129" t="n">
        <v>5</v>
      </c>
      <c r="D129" t="inlineStr">
        <is>
          <t>pt14_th_pd</t>
        </is>
      </c>
      <c r="E129" t="inlineStr">
        <is>
          <t>Free</t>
        </is>
      </c>
      <c r="I129" t="inlineStr">
        <is>
          <t>mg</t>
        </is>
      </c>
      <c r="J129" t="inlineStr">
        <is>
          <t>Assets/MachineBrigade/Resources/Data/balance.json: vehicles[174].secondary[5]</t>
        </is>
      </c>
      <c r="K129" t="inlineStr">
        <is>
          <t>{"weapon":"pt14_th_pd","slot":"mg","aim":"Free"}</t>
        </is>
      </c>
    </row>
    <row r="130">
      <c r="A130" t="inlineStr">
        <is>
          <t>theia/6</t>
        </is>
      </c>
      <c r="B130" t="inlineStr">
        <is>
          <t>theia</t>
        </is>
      </c>
      <c r="C130" t="n">
        <v>6</v>
      </c>
      <c r="D130" t="inlineStr">
        <is>
          <t>pt14_th_pd</t>
        </is>
      </c>
      <c r="E130" t="inlineStr">
        <is>
          <t>Free</t>
        </is>
      </c>
      <c r="I130" t="inlineStr">
        <is>
          <t>mg</t>
        </is>
      </c>
      <c r="J130" t="inlineStr">
        <is>
          <t>Assets/MachineBrigade/Resources/Data/balance.json: vehicles[174].secondary[6]</t>
        </is>
      </c>
      <c r="K130" t="inlineStr">
        <is>
          <t>{"weapon":"pt14_th_pd","slot":"mg","aim":"Free"}</t>
        </is>
      </c>
    </row>
    <row r="131">
      <c r="A131" t="inlineStr">
        <is>
          <t>typhon/0</t>
        </is>
      </c>
      <c r="B131" t="inlineStr">
        <is>
          <t>typhon</t>
        </is>
      </c>
      <c r="C131" t="n">
        <v>0</v>
      </c>
      <c r="D131" t="inlineStr">
        <is>
          <t>p26_typhon_ty57</t>
        </is>
      </c>
      <c r="E131" t="inlineStr">
        <is>
          <t>Free</t>
        </is>
      </c>
      <c r="F131" t="n">
        <v>0</v>
      </c>
      <c r="G131" t="n">
        <v>150</v>
      </c>
      <c r="I131" t="inlineStr">
        <is>
          <t>gun</t>
        </is>
      </c>
      <c r="J131" t="inlineStr">
        <is>
          <t>Assets/MachineBrigade/Resources/Data/balance.json: vehicles[161].secondary[0]</t>
        </is>
      </c>
      <c r="K131" t="inlineStr">
        <is>
          <t>{"weapon":"p26_typhon_ty57","slot":"gun","aim":"Free","arc":[0,150]}</t>
        </is>
      </c>
    </row>
    <row r="132">
      <c r="A132" t="inlineStr">
        <is>
          <t>typhon/1</t>
        </is>
      </c>
      <c r="B132" t="inlineStr">
        <is>
          <t>typhon</t>
        </is>
      </c>
      <c r="C132" t="n">
        <v>1</v>
      </c>
      <c r="D132" t="inlineStr">
        <is>
          <t>p26_typhon_ty57</t>
        </is>
      </c>
      <c r="E132" t="inlineStr">
        <is>
          <t>Free</t>
        </is>
      </c>
      <c r="F132" t="n">
        <v>180</v>
      </c>
      <c r="G132" t="n">
        <v>150</v>
      </c>
      <c r="I132" t="inlineStr">
        <is>
          <t>gun</t>
        </is>
      </c>
      <c r="J132" t="inlineStr">
        <is>
          <t>Assets/MachineBrigade/Resources/Data/balance.json: vehicles[161].secondary[1]</t>
        </is>
      </c>
      <c r="K132" t="inlineStr">
        <is>
          <t>{"weapon":"p26_typhon_ty57","slot":"gun","aim":"Free","arc":[180,150]}</t>
        </is>
      </c>
    </row>
    <row r="133">
      <c r="A133" t="inlineStr">
        <is>
          <t>typhon/2</t>
        </is>
      </c>
      <c r="B133" t="inlineStr">
        <is>
          <t>typhon</t>
        </is>
      </c>
      <c r="C133" t="n">
        <v>2</v>
      </c>
      <c r="D133" t="inlineStr">
        <is>
          <t>naval_100</t>
        </is>
      </c>
      <c r="E133" t="inlineStr">
        <is>
          <t>Free</t>
        </is>
      </c>
      <c r="F133" t="n">
        <v>0</v>
      </c>
      <c r="G133" t="n">
        <v>150</v>
      </c>
      <c r="I133" t="inlineStr">
        <is>
          <t>gun</t>
        </is>
      </c>
      <c r="J133" t="inlineStr">
        <is>
          <t>Assets/MachineBrigade/Resources/Data/balance.json: vehicles[161].secondary[2]</t>
        </is>
      </c>
      <c r="K133" t="inlineStr">
        <is>
          <t>{"weapon":"naval_100","slot":"gun","aim":"Free","arc":[0,150]}</t>
        </is>
      </c>
    </row>
    <row r="134">
      <c r="A134" t="inlineStr">
        <is>
          <t>typhon/3</t>
        </is>
      </c>
      <c r="B134" t="inlineStr">
        <is>
          <t>typhon</t>
        </is>
      </c>
      <c r="C134" t="n">
        <v>3</v>
      </c>
      <c r="D134" t="inlineStr">
        <is>
          <t>p26_typhon_ty57</t>
        </is>
      </c>
      <c r="E134" t="inlineStr">
        <is>
          <t>Free</t>
        </is>
      </c>
      <c r="F134" t="n">
        <v>180</v>
      </c>
      <c r="G134" t="n">
        <v>150</v>
      </c>
      <c r="I134" t="inlineStr">
        <is>
          <t>gun</t>
        </is>
      </c>
      <c r="J134" t="inlineStr">
        <is>
          <t>Assets/MachineBrigade/Resources/Data/balance.json: vehicles[161].secondary[3]</t>
        </is>
      </c>
      <c r="K134" t="inlineStr">
        <is>
          <t>{"weapon":"p26_typhon_ty57","slot":"gun","aim":"Free","arc":[180,150]}</t>
        </is>
      </c>
    </row>
  </sheetData>
  <autoFilter ref="A1:K134"/>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9" customWidth="1" min="2" max="2"/>
    <col width="8" customWidth="1" min="3" max="3"/>
    <col width="14" customWidth="1" min="4" max="4"/>
    <col width="9" customWidth="1" min="5" max="5"/>
    <col width="9" customWidth="1" min="6" max="6"/>
    <col width="8" customWidth="1" min="7" max="7"/>
    <col width="8" customWidth="1" min="8" max="8"/>
    <col width="8" customWidth="1" min="9" max="9"/>
    <col width="8" customWidth="1" min="10" max="10"/>
    <col width="14" customWidth="1" min="11" max="11"/>
    <col width="8" customWidth="1" min="12" max="12"/>
    <col width="8" customWidth="1" min="13" max="13"/>
    <col width="8" customWidth="1" min="14" max="14"/>
    <col width="15" customWidth="1" min="15" max="15"/>
    <col width="12" customWidth="1" min="16" max="16"/>
    <col width="12" customWidth="1" min="17" max="17"/>
    <col width="60" customWidth="1" min="18" max="18"/>
    <col width="23" customWidth="1" min="19" max="19"/>
    <col width="10" customWidth="1" min="20" max="20"/>
    <col width="31" customWidth="1" min="21" max="21"/>
    <col width="11" customWidth="1" min="22" max="22"/>
    <col width="8" customWidth="1" min="23" max="23"/>
    <col width="8" customWidth="1" min="24" max="24"/>
    <col width="8" customWidth="1" min="25" max="25"/>
    <col width="15" customWidth="1" min="26" max="26"/>
    <col width="60" customWidth="1" min="27" max="27"/>
    <col width="60" customWidth="1" min="28" max="28"/>
  </cols>
  <sheetData>
    <row r="1">
      <c r="A1" s="1" t="inlineStr">
        <is>
          <t>id</t>
        </is>
      </c>
      <c r="B1" s="1" t="inlineStr">
        <is>
          <t>boss_id</t>
        </is>
      </c>
      <c r="C1" s="1" t="inlineStr">
        <is>
          <t>thu_tu</t>
        </is>
      </c>
      <c r="D1" s="1" t="inlineStr">
        <is>
          <t>use</t>
        </is>
      </c>
      <c r="E1" s="1" t="inlineStr">
        <is>
          <t>affects</t>
        </is>
      </c>
      <c r="F1" s="1" t="inlineStr">
        <is>
          <t>arc_deg</t>
        </is>
      </c>
      <c r="G1" s="1" t="inlineStr">
        <is>
          <t>armour</t>
        </is>
      </c>
      <c r="H1" s="1" t="inlineStr">
        <is>
          <t>at_x_m</t>
        </is>
      </c>
      <c r="I1" s="1" t="inlineStr">
        <is>
          <t>at_y_m</t>
        </is>
      </c>
      <c r="J1" s="1" t="inlineStr">
        <is>
          <t>at_z_m</t>
        </is>
      </c>
      <c r="K1" s="1" t="inlineStr">
        <is>
          <t>break_damage</t>
        </is>
      </c>
      <c r="L1" s="1" t="inlineStr">
        <is>
          <t>fail</t>
        </is>
      </c>
      <c r="M1" s="1" t="inlineStr">
        <is>
          <t>fx</t>
        </is>
      </c>
      <c r="N1" s="1" t="inlineStr">
        <is>
          <t>hp</t>
        </is>
      </c>
      <c r="O1" s="1" t="inlineStr">
        <is>
          <t>id_goc</t>
        </is>
      </c>
      <c r="P1" s="1" t="inlineStr">
        <is>
          <t>kind</t>
        </is>
      </c>
      <c r="Q1" s="1" t="inlineStr">
        <is>
          <t>mounts</t>
        </is>
      </c>
      <c r="R1" s="1" t="inlineStr">
        <is>
          <t>node</t>
        </is>
      </c>
      <c r="S1" s="1" t="inlineStr">
        <is>
          <t>radio</t>
        </is>
      </c>
      <c r="T1" s="1" t="inlineStr">
        <is>
          <t>radius_m</t>
        </is>
      </c>
      <c r="U1" s="1" t="inlineStr">
        <is>
          <t>skills</t>
        </is>
      </c>
      <c r="V1" s="1" t="inlineStr">
        <is>
          <t>speed_m_s</t>
        </is>
      </c>
      <c r="W1" s="1" t="inlineStr">
        <is>
          <t>spread</t>
        </is>
      </c>
      <c r="X1" s="1" t="inlineStr">
        <is>
          <t>stops</t>
        </is>
      </c>
      <c r="Y1" s="1" t="inlineStr">
        <is>
          <t>turn</t>
        </is>
      </c>
      <c r="Z1" s="1" t="inlineStr">
        <is>
          <t>wreck</t>
        </is>
      </c>
      <c r="AA1" s="1" t="inlineStr">
        <is>
          <t>nguon</t>
        </is>
      </c>
      <c r="AB1" s="1" t="inlineStr">
        <is>
          <t>raw_json</t>
        </is>
      </c>
    </row>
    <row r="2">
      <c r="A2" t="inlineStr">
        <is>
          <t>armored_train/flak_car</t>
        </is>
      </c>
      <c r="B2" t="inlineStr">
        <is>
          <t>armored_train</t>
        </is>
      </c>
      <c r="C2" t="n">
        <v>4</v>
      </c>
      <c r="G2" t="n">
        <v>2</v>
      </c>
      <c r="H2" t="n">
        <v>0</v>
      </c>
      <c r="I2" t="n">
        <v>0.82</v>
      </c>
      <c r="J2" t="n">
        <v>3.2</v>
      </c>
      <c r="N2" t="n">
        <v>0.1</v>
      </c>
      <c r="O2" t="inlineStr">
        <is>
          <t>flak_car</t>
        </is>
      </c>
      <c r="P2" t="inlineStr">
        <is>
          <t>flak</t>
        </is>
      </c>
      <c r="Q2" t="inlineStr">
        <is>
          <t>3</t>
        </is>
      </c>
      <c r="T2" t="n">
        <v>2</v>
      </c>
      <c r="Z2" t="inlineStr">
        <is>
          <t>wreck_stump</t>
        </is>
      </c>
      <c r="AA2" t="inlineStr">
        <is>
          <t>Assets/MachineBrigade/Resources/Data/balance.json: vehicles[140].parts[4]</t>
        </is>
      </c>
      <c r="AB2" t="inlineStr">
        <is>
          <t>{"id":"flak_car","kind":"flak","hp":0.1,"armour":2,"wreck":"wreck_stump","at":[0,0.82,3.2],"radius":2.0,"mounts":[3]}</t>
        </is>
      </c>
    </row>
    <row r="3">
      <c r="A3" t="inlineStr">
        <is>
          <t>armored_train/gun_car_front</t>
        </is>
      </c>
      <c r="B3" t="inlineStr">
        <is>
          <t>armored_train</t>
        </is>
      </c>
      <c r="C3" t="n">
        <v>1</v>
      </c>
      <c r="G3" t="n">
        <v>3</v>
      </c>
      <c r="H3" t="n">
        <v>0</v>
      </c>
      <c r="I3" t="n">
        <v>3.97</v>
      </c>
      <c r="J3" t="n">
        <v>3.7</v>
      </c>
      <c r="N3" t="n">
        <v>0.12</v>
      </c>
      <c r="O3" t="inlineStr">
        <is>
          <t>gun_car_front</t>
        </is>
      </c>
      <c r="P3" t="inlineStr">
        <is>
          <t>maingun</t>
        </is>
      </c>
      <c r="Q3" t="inlineStr">
        <is>
          <t>0</t>
        </is>
      </c>
      <c r="R3" t="inlineStr">
        <is>
          <t>Main_cannon|Muzzle_brake</t>
        </is>
      </c>
      <c r="S3" t="inlineStr">
        <is>
          <t>radio.part.maingun</t>
        </is>
      </c>
      <c r="T3" t="n">
        <v>3</v>
      </c>
      <c r="Z3" t="inlineStr">
        <is>
          <t>wreck_barrel</t>
        </is>
      </c>
      <c r="AA3" t="inlineStr">
        <is>
          <t>Assets/MachineBrigade/Resources/Data/balance.json: vehicles[140].parts[1]</t>
        </is>
      </c>
      <c r="AB3" t="inlineStr">
        <is>
          <t>{"id":"gun_car_front","kind":"maingun","hp":0.12,"armour":3,"node":"Main_cannon|Muzzle_brake","wreck":"wreck_barrel","at":[0,3.97,3.7],"radius":3.0,"mounts":[0],"radio":"radio.part.maingun"}</t>
        </is>
      </c>
    </row>
    <row r="4">
      <c r="A4" t="inlineStr">
        <is>
          <t>armored_train/gun_car_rear</t>
        </is>
      </c>
      <c r="B4" t="inlineStr">
        <is>
          <t>armored_train</t>
        </is>
      </c>
      <c r="C4" t="n">
        <v>2</v>
      </c>
      <c r="G4" t="n">
        <v>3</v>
      </c>
      <c r="H4" t="n">
        <v>0</v>
      </c>
      <c r="I4" t="n">
        <v>9.17</v>
      </c>
      <c r="J4" t="n">
        <v>3</v>
      </c>
      <c r="N4" t="n">
        <v>0.12</v>
      </c>
      <c r="O4" t="inlineStr">
        <is>
          <t>gun_car_rear</t>
        </is>
      </c>
      <c r="P4" t="inlineStr">
        <is>
          <t>maingun</t>
        </is>
      </c>
      <c r="Q4" t="inlineStr">
        <is>
          <t>4</t>
        </is>
      </c>
      <c r="T4" t="n">
        <v>2.5</v>
      </c>
      <c r="Z4" t="inlineStr">
        <is>
          <t>wreck_stump</t>
        </is>
      </c>
      <c r="AA4" t="inlineStr">
        <is>
          <t>Assets/MachineBrigade/Resources/Data/balance.json: vehicles[140].parts[2]</t>
        </is>
      </c>
      <c r="AB4" t="inlineStr">
        <is>
          <t>{"id":"gun_car_rear","kind":"maingun","hp":0.12,"armour":3,"wreck":"wreck_stump","at":[0,9.17,3],"radius":2.5,"mounts":[4]}</t>
        </is>
      </c>
    </row>
    <row r="5">
      <c r="A5" t="inlineStr">
        <is>
          <t>armored_train/locomotive</t>
        </is>
      </c>
      <c r="B5" t="inlineStr">
        <is>
          <t>armored_train</t>
        </is>
      </c>
      <c r="C5" t="n">
        <v>0</v>
      </c>
      <c r="G5" t="n">
        <v>4</v>
      </c>
      <c r="H5" t="n">
        <v>0</v>
      </c>
      <c r="I5" t="n">
        <v>14.67</v>
      </c>
      <c r="J5" t="n">
        <v>2.5</v>
      </c>
      <c r="N5" t="n">
        <v>0.12</v>
      </c>
      <c r="O5" t="inlineStr">
        <is>
          <t>locomotive</t>
        </is>
      </c>
      <c r="P5" t="inlineStr">
        <is>
          <t>locomotive</t>
        </is>
      </c>
      <c r="S5" t="inlineStr">
        <is>
          <t>radio.part.locomotive</t>
        </is>
      </c>
      <c r="T5" t="n">
        <v>3.5</v>
      </c>
      <c r="V5" t="n">
        <v>0.5</v>
      </c>
      <c r="Z5" t="inlineStr">
        <is>
          <t>wreck_stump</t>
        </is>
      </c>
      <c r="AA5" t="inlineStr">
        <is>
          <t>Assets/MachineBrigade/Resources/Data/balance.json: vehicles[140].parts[0]</t>
        </is>
      </c>
      <c r="AB5" t="inlineStr">
        <is>
          <t>{"id":"locomotive","kind":"locomotive","hp":0.12,"armour":4,"wreck":"wreck_stump","at":[0,14.67,2.5],"radius":3.5,"speed":0.5,"radio":"radio.part.locomotive"}</t>
        </is>
      </c>
    </row>
    <row r="6">
      <c r="A6" t="inlineStr">
        <is>
          <t>armored_train/mortar_car</t>
        </is>
      </c>
      <c r="B6" t="inlineStr">
        <is>
          <t>armored_train</t>
        </is>
      </c>
      <c r="C6" t="n">
        <v>5</v>
      </c>
      <c r="G6" t="n">
        <v>2</v>
      </c>
      <c r="H6" t="n">
        <v>0</v>
      </c>
      <c r="I6" t="n">
        <v>-5.33</v>
      </c>
      <c r="J6" t="n">
        <v>2.6</v>
      </c>
      <c r="N6" t="n">
        <v>0.1</v>
      </c>
      <c r="O6" t="inlineStr">
        <is>
          <t>mortar_car</t>
        </is>
      </c>
      <c r="P6" t="inlineStr">
        <is>
          <t>mortar</t>
        </is>
      </c>
      <c r="Q6" t="inlineStr">
        <is>
          <t>5</t>
        </is>
      </c>
      <c r="R6" t="inlineStr">
        <is>
          <t>Part_mortar</t>
        </is>
      </c>
      <c r="T6" t="n">
        <v>2.4</v>
      </c>
      <c r="Z6" t="inlineStr">
        <is>
          <t>wreck_launcher</t>
        </is>
      </c>
      <c r="AA6" t="inlineStr">
        <is>
          <t>Assets/MachineBrigade/Resources/Data/balance.json: vehicles[140].parts[5]</t>
        </is>
      </c>
      <c r="AB6" t="inlineStr">
        <is>
          <t>{"id":"mortar_car","kind":"mortar","hp":0.1,"armour":2,"node":"Part_mortar","wreck":"wreck_launcher","at":[0,-5.33,2.6],"radius":2.4,"mounts":[5]}</t>
        </is>
      </c>
    </row>
    <row r="7">
      <c r="A7" t="inlineStr">
        <is>
          <t>armored_train/rocket_car</t>
        </is>
      </c>
      <c r="B7" t="inlineStr">
        <is>
          <t>armored_train</t>
        </is>
      </c>
      <c r="C7" t="n">
        <v>3</v>
      </c>
      <c r="G7" t="n">
        <v>2</v>
      </c>
      <c r="H7" t="n">
        <v>0</v>
      </c>
      <c r="I7" t="n">
        <v>-1.13</v>
      </c>
      <c r="J7" t="n">
        <v>3</v>
      </c>
      <c r="N7" t="n">
        <v>0.1</v>
      </c>
      <c r="O7" t="inlineStr">
        <is>
          <t>rocket_car</t>
        </is>
      </c>
      <c r="P7" t="inlineStr">
        <is>
          <t>rockets</t>
        </is>
      </c>
      <c r="Q7" t="inlineStr">
        <is>
          <t>1</t>
        </is>
      </c>
      <c r="R7" t="inlineStr">
        <is>
          <t>Mount_rocket</t>
        </is>
      </c>
      <c r="T7" t="n">
        <v>2.2</v>
      </c>
      <c r="Z7" t="inlineStr">
        <is>
          <t>wreck_launcher</t>
        </is>
      </c>
      <c r="AA7" t="inlineStr">
        <is>
          <t>Assets/MachineBrigade/Resources/Data/balance.json: vehicles[140].parts[3]</t>
        </is>
      </c>
      <c r="AB7" t="inlineStr">
        <is>
          <t>{"id":"rocket_car","kind":"rockets","hp":0.1,"armour":2,"node":"Mount_rocket","wreck":"wreck_launcher","at":[0,-1.13,3],"radius":2.2,"mounts":[1]}</t>
        </is>
      </c>
    </row>
    <row r="8">
      <c r="A8" t="inlineStr">
        <is>
          <t>behemoth/aps</t>
        </is>
      </c>
      <c r="B8" t="inlineStr">
        <is>
          <t>behemoth</t>
        </is>
      </c>
      <c r="C8" t="n">
        <v>6</v>
      </c>
      <c r="G8" t="n">
        <v>1</v>
      </c>
      <c r="H8" t="n">
        <v>0</v>
      </c>
      <c r="I8" t="n">
        <v>0.6</v>
      </c>
      <c r="J8" t="n">
        <v>5.2</v>
      </c>
      <c r="N8" t="n">
        <v>0.07000000000000001</v>
      </c>
      <c r="O8" t="inlineStr">
        <is>
          <t>aps</t>
        </is>
      </c>
      <c r="P8" t="inlineStr">
        <is>
          <t>aps</t>
        </is>
      </c>
      <c r="T8" t="n">
        <v>1.6</v>
      </c>
      <c r="X8" t="inlineStr">
        <is>
          <t>aps</t>
        </is>
      </c>
      <c r="Z8" t="inlineStr">
        <is>
          <t>wreck_stump</t>
        </is>
      </c>
      <c r="AA8" t="inlineStr">
        <is>
          <t>Assets/MachineBrigade/Resources/Data/balance.json: vehicles[138].parts[6]</t>
        </is>
      </c>
      <c r="AB8" t="inlineStr">
        <is>
          <t>{"id":"aps","kind":"aps","hp":0.07,"armour":1,"wreck":"wreck_stump","at":[0,0.6,5.2],"radius":1.6,"stops":["aps"]}</t>
        </is>
      </c>
    </row>
    <row r="9">
      <c r="A9" t="inlineStr">
        <is>
          <t>behemoth/flak_l</t>
        </is>
      </c>
      <c r="B9" t="inlineStr">
        <is>
          <t>behemoth</t>
        </is>
      </c>
      <c r="C9" t="n">
        <v>3</v>
      </c>
      <c r="G9" t="n">
        <v>2</v>
      </c>
      <c r="H9" t="n">
        <v>-0.9</v>
      </c>
      <c r="I9" t="n">
        <v>-1.15</v>
      </c>
      <c r="J9" t="n">
        <v>4.8</v>
      </c>
      <c r="N9" t="n">
        <v>0.07000000000000001</v>
      </c>
      <c r="O9" t="inlineStr">
        <is>
          <t>flak_l</t>
        </is>
      </c>
      <c r="P9" t="inlineStr">
        <is>
          <t>flak</t>
        </is>
      </c>
      <c r="Q9" t="inlineStr">
        <is>
          <t>3</t>
        </is>
      </c>
      <c r="R9" t="inlineStr">
        <is>
          <t>Mount_mg.001</t>
        </is>
      </c>
      <c r="T9" t="n">
        <v>1.8</v>
      </c>
      <c r="Z9" t="inlineStr">
        <is>
          <t>wreck_turret</t>
        </is>
      </c>
      <c r="AA9" t="inlineStr">
        <is>
          <t>Assets/MachineBrigade/Resources/Data/balance.json: vehicles[138].parts[3]</t>
        </is>
      </c>
      <c r="AB9" t="inlineStr">
        <is>
          <t>{"id":"flak_l","kind":"flak","hp":0.07,"armour":2,"node":"Mount_mg.001","wreck":"wreck_turret","at":[-0.9,-1.15,4.8],"radius":1.8,"mounts":[3]}</t>
        </is>
      </c>
    </row>
    <row r="10">
      <c r="A10" t="inlineStr">
        <is>
          <t>behemoth/flak_r</t>
        </is>
      </c>
      <c r="B10" t="inlineStr">
        <is>
          <t>behemoth</t>
        </is>
      </c>
      <c r="C10" t="n">
        <v>2</v>
      </c>
      <c r="G10" t="n">
        <v>2</v>
      </c>
      <c r="H10" t="n">
        <v>0.9</v>
      </c>
      <c r="I10" t="n">
        <v>-1.15</v>
      </c>
      <c r="J10" t="n">
        <v>4.8</v>
      </c>
      <c r="N10" t="n">
        <v>0.07000000000000001</v>
      </c>
      <c r="O10" t="inlineStr">
        <is>
          <t>flak_r</t>
        </is>
      </c>
      <c r="P10" t="inlineStr">
        <is>
          <t>flak</t>
        </is>
      </c>
      <c r="Q10" t="inlineStr">
        <is>
          <t>2</t>
        </is>
      </c>
      <c r="R10" t="inlineStr">
        <is>
          <t>Mount_mg</t>
        </is>
      </c>
      <c r="T10" t="n">
        <v>1.8</v>
      </c>
      <c r="Z10" t="inlineStr">
        <is>
          <t>wreck_turret</t>
        </is>
      </c>
      <c r="AA10" t="inlineStr">
        <is>
          <t>Assets/MachineBrigade/Resources/Data/balance.json: vehicles[138].parts[2]</t>
        </is>
      </c>
      <c r="AB10" t="inlineStr">
        <is>
          <t>{"id":"flak_r","kind":"flak","hp":0.07,"armour":2,"node":"Mount_mg","wreck":"wreck_turret","at":[0.9,-1.15,4.8],"radius":1.8,"mounts":[2]}</t>
        </is>
      </c>
    </row>
    <row r="11">
      <c r="A11" t="inlineStr">
        <is>
          <t>behemoth/gun_120</t>
        </is>
      </c>
      <c r="B11" t="inlineStr">
        <is>
          <t>behemoth</t>
        </is>
      </c>
      <c r="C11" t="n">
        <v>1</v>
      </c>
      <c r="G11" t="n">
        <v>3</v>
      </c>
      <c r="H11" t="n">
        <v>0</v>
      </c>
      <c r="I11" t="n">
        <v>3.45</v>
      </c>
      <c r="J11" t="n">
        <v>2.8</v>
      </c>
      <c r="N11" t="n">
        <v>0.07000000000000001</v>
      </c>
      <c r="O11" t="inlineStr">
        <is>
          <t>gun_120</t>
        </is>
      </c>
      <c r="P11" t="inlineStr">
        <is>
          <t>gun</t>
        </is>
      </c>
      <c r="Q11" t="inlineStr">
        <is>
          <t>1;6</t>
        </is>
      </c>
      <c r="R11" t="inlineStr">
        <is>
          <t>Mount_gun</t>
        </is>
      </c>
      <c r="T11" t="n">
        <v>2.2</v>
      </c>
      <c r="Z11" t="inlineStr">
        <is>
          <t>wreck_turret</t>
        </is>
      </c>
      <c r="AA11" t="inlineStr">
        <is>
          <t>Assets/MachineBrigade/Resources/Data/balance.json: vehicles[138].parts[1]</t>
        </is>
      </c>
      <c r="AB11" t="inlineStr">
        <is>
          <t>{"id":"gun_120","kind":"gun","hp":0.07,"armour":3,"node":"Mount_gun","wreck":"wreck_turret","at":[0,3.45,2.8],"radius":2.2,"mounts":[1,6]}</t>
        </is>
      </c>
    </row>
    <row r="12">
      <c r="A12" t="inlineStr">
        <is>
          <t>behemoth/main_gun</t>
        </is>
      </c>
      <c r="B12" t="inlineStr">
        <is>
          <t>behemoth</t>
        </is>
      </c>
      <c r="C12" t="n">
        <v>0</v>
      </c>
      <c r="G12" t="n">
        <v>3</v>
      </c>
      <c r="H12" t="n">
        <v>0</v>
      </c>
      <c r="I12" t="n">
        <v>3.5</v>
      </c>
      <c r="J12" t="n">
        <v>4.1</v>
      </c>
      <c r="N12" t="n">
        <v>0.07000000000000001</v>
      </c>
      <c r="O12" t="inlineStr">
        <is>
          <t>main_gun</t>
        </is>
      </c>
      <c r="P12" t="inlineStr">
        <is>
          <t>maingun</t>
        </is>
      </c>
      <c r="Q12" t="inlineStr">
        <is>
          <t>0</t>
        </is>
      </c>
      <c r="R12" t="inlineStr">
        <is>
          <t>Main_cannon|Main_cannon_2|Muzzle_brake|Muzzle_brake_2</t>
        </is>
      </c>
      <c r="S12" t="inlineStr">
        <is>
          <t>radio.part.maingun</t>
        </is>
      </c>
      <c r="T12" t="n">
        <v>3.2</v>
      </c>
      <c r="Z12" t="inlineStr">
        <is>
          <t>wreck_barrel</t>
        </is>
      </c>
      <c r="AA12" t="inlineStr">
        <is>
          <t>Assets/MachineBrigade/Resources/Data/balance.json: vehicles[138].parts[0]</t>
        </is>
      </c>
      <c r="AB12" t="inlineStr">
        <is>
          <t>{"id":"main_gun","kind":"maingun","hp":0.07,"armour":3,"node":"Main_cannon|Main_cannon_2|Muzzle_brake|Muzzle_brake_2","wreck":"wreck_barrel","at":[0,3.5,4.1],"radius":3.2,"mounts":[0],"radio":"radio.part.maingun"}</t>
        </is>
      </c>
    </row>
    <row r="13">
      <c r="A13" t="inlineStr">
        <is>
          <t>behemoth/missiles_l</t>
        </is>
      </c>
      <c r="B13" t="inlineStr">
        <is>
          <t>behemoth</t>
        </is>
      </c>
      <c r="C13" t="n">
        <v>5</v>
      </c>
      <c r="G13" t="n">
        <v>2</v>
      </c>
      <c r="H13" t="n">
        <v>-2.6</v>
      </c>
      <c r="I13" t="n">
        <v>-2.5</v>
      </c>
      <c r="J13" t="n">
        <v>2.3</v>
      </c>
      <c r="N13" t="n">
        <v>0.07000000000000001</v>
      </c>
      <c r="O13" t="inlineStr">
        <is>
          <t>missiles_l</t>
        </is>
      </c>
      <c r="P13" t="inlineStr">
        <is>
          <t>missiles</t>
        </is>
      </c>
      <c r="Q13" t="inlineStr">
        <is>
          <t>5</t>
        </is>
      </c>
      <c r="T13" t="n">
        <v>2</v>
      </c>
      <c r="Z13" t="inlineStr">
        <is>
          <t>wreck_launcher</t>
        </is>
      </c>
      <c r="AA13" t="inlineStr">
        <is>
          <t>Assets/MachineBrigade/Resources/Data/balance.json: vehicles[138].parts[5]</t>
        </is>
      </c>
      <c r="AB13" t="inlineStr">
        <is>
          <t>{"id":"missiles_l","kind":"missiles","hp":0.07,"armour":2,"wreck":"wreck_launcher","at":[-2.6,-2.5,2.3],"radius":2.0,"mounts":[5]}</t>
        </is>
      </c>
    </row>
    <row r="14">
      <c r="A14" t="inlineStr">
        <is>
          <t>behemoth/missiles_r</t>
        </is>
      </c>
      <c r="B14" t="inlineStr">
        <is>
          <t>behemoth</t>
        </is>
      </c>
      <c r="C14" t="n">
        <v>4</v>
      </c>
      <c r="G14" t="n">
        <v>2</v>
      </c>
      <c r="H14" t="n">
        <v>2.6</v>
      </c>
      <c r="I14" t="n">
        <v>-2.5</v>
      </c>
      <c r="J14" t="n">
        <v>2.3</v>
      </c>
      <c r="N14" t="n">
        <v>0.07000000000000001</v>
      </c>
      <c r="O14" t="inlineStr">
        <is>
          <t>missiles_r</t>
        </is>
      </c>
      <c r="P14" t="inlineStr">
        <is>
          <t>missiles</t>
        </is>
      </c>
      <c r="Q14" t="inlineStr">
        <is>
          <t>4</t>
        </is>
      </c>
      <c r="T14" t="n">
        <v>2</v>
      </c>
      <c r="Z14" t="inlineStr">
        <is>
          <t>wreck_launcher</t>
        </is>
      </c>
      <c r="AA14" t="inlineStr">
        <is>
          <t>Assets/MachineBrigade/Resources/Data/balance.json: vehicles[138].parts[4]</t>
        </is>
      </c>
      <c r="AB14" t="inlineStr">
        <is>
          <t>{"id":"missiles_r","kind":"missiles","hp":0.07,"armour":2,"wreck":"wreck_launcher","at":[2.6,-2.5,2.3],"radius":2.0,"mounts":[4]}</t>
        </is>
      </c>
    </row>
    <row r="15">
      <c r="A15" t="inlineStr">
        <is>
          <t>behemoth/rocket_pod</t>
        </is>
      </c>
      <c r="B15" t="inlineStr">
        <is>
          <t>behemoth</t>
        </is>
      </c>
      <c r="C15" t="n">
        <v>9</v>
      </c>
      <c r="D15" t="inlineStr">
        <is>
          <t>rocket_pod</t>
        </is>
      </c>
      <c r="H15" t="n">
        <v>0</v>
      </c>
      <c r="I15" t="n">
        <v>-3.8</v>
      </c>
      <c r="J15" t="n">
        <v>4.4</v>
      </c>
      <c r="O15" t="inlineStr">
        <is>
          <t>rocket_pod</t>
        </is>
      </c>
      <c r="R15" t="inlineStr">
        <is>
          <t>Mount_rocket</t>
        </is>
      </c>
      <c r="AA15" t="inlineStr">
        <is>
          <t>Assets/MachineBrigade/Resources/Data/balance.json: vehicles[138].parts[9]</t>
        </is>
      </c>
      <c r="AB15" t="inlineStr">
        <is>
          <t>{"use":"rocket_pod","id":"rocket_pod","node":"Mount_rocket","at":[0,-3.8,4.4]}</t>
        </is>
      </c>
    </row>
    <row r="16">
      <c r="A16" t="inlineStr">
        <is>
          <t>behemoth/side_gun_l</t>
        </is>
      </c>
      <c r="B16" t="inlineStr">
        <is>
          <t>behemoth</t>
        </is>
      </c>
      <c r="C16" t="n">
        <v>7</v>
      </c>
      <c r="D16" t="inlineStr">
        <is>
          <t>side_gun_120</t>
        </is>
      </c>
      <c r="H16" t="n">
        <v>-3.4</v>
      </c>
      <c r="I16" t="n">
        <v>1</v>
      </c>
      <c r="J16" t="n">
        <v>2.6</v>
      </c>
      <c r="O16" t="inlineStr">
        <is>
          <t>side_gun_l</t>
        </is>
      </c>
      <c r="R16" t="inlineStr">
        <is>
          <t>Mount_gun.001</t>
        </is>
      </c>
      <c r="AA16" t="inlineStr">
        <is>
          <t>Assets/MachineBrigade/Resources/Data/balance.json: vehicles[138].parts[7]</t>
        </is>
      </c>
      <c r="AB16" t="inlineStr">
        <is>
          <t>{"use":"side_gun_120","id":"side_gun_l","node":"Mount_gun.001","at":[-3.4,1.0,2.6]}</t>
        </is>
      </c>
    </row>
    <row r="17">
      <c r="A17" t="inlineStr">
        <is>
          <t>behemoth/side_gun_r</t>
        </is>
      </c>
      <c r="B17" t="inlineStr">
        <is>
          <t>behemoth</t>
        </is>
      </c>
      <c r="C17" t="n">
        <v>8</v>
      </c>
      <c r="D17" t="inlineStr">
        <is>
          <t>side_gun_120</t>
        </is>
      </c>
      <c r="H17" t="n">
        <v>3.4</v>
      </c>
      <c r="I17" t="n">
        <v>1</v>
      </c>
      <c r="J17" t="n">
        <v>2.6</v>
      </c>
      <c r="O17" t="inlineStr">
        <is>
          <t>side_gun_r</t>
        </is>
      </c>
      <c r="R17" t="inlineStr">
        <is>
          <t>Mount_gun.002</t>
        </is>
      </c>
      <c r="AA17" t="inlineStr">
        <is>
          <t>Assets/MachineBrigade/Resources/Data/balance.json: vehicles[138].parts[8]</t>
        </is>
      </c>
      <c r="AB17" t="inlineStr">
        <is>
          <t>{"use":"side_gun_120","id":"side_gun_r","node":"Mount_gun.002","at":[3.4,1.0,2.6]}</t>
        </is>
      </c>
    </row>
    <row r="18">
      <c r="A18" t="inlineStr">
        <is>
          <t>behemoth_inferno/flak</t>
        </is>
      </c>
      <c r="B18" t="inlineStr">
        <is>
          <t>behemoth_inferno</t>
        </is>
      </c>
      <c r="C18" t="n">
        <v>3</v>
      </c>
      <c r="G18" t="n">
        <v>2</v>
      </c>
      <c r="H18" t="n">
        <v>0.9</v>
      </c>
      <c r="I18" t="n">
        <v>-1.15</v>
      </c>
      <c r="J18" t="n">
        <v>4.8</v>
      </c>
      <c r="N18" t="n">
        <v>0.1</v>
      </c>
      <c r="O18" t="inlineStr">
        <is>
          <t>flak</t>
        </is>
      </c>
      <c r="P18" t="inlineStr">
        <is>
          <t>flak</t>
        </is>
      </c>
      <c r="Q18" t="inlineStr">
        <is>
          <t>2</t>
        </is>
      </c>
      <c r="R18" t="inlineStr">
        <is>
          <t>Mount_mg</t>
        </is>
      </c>
      <c r="T18" t="n">
        <v>1.8</v>
      </c>
      <c r="Z18" t="inlineStr">
        <is>
          <t>wreck_turret</t>
        </is>
      </c>
      <c r="AA18" t="inlineStr">
        <is>
          <t>Assets/MachineBrigade/Resources/Data/balance.json: vehicles[146].parts[3]</t>
        </is>
      </c>
      <c r="AB18" t="inlineStr">
        <is>
          <t>{"id":"flak","kind":"flak","hp":0.1,"armour":2,"node":"Mount_mg","wreck":"wreck_turret","at":[0.9,-1.15,4.8],"radius":1.8,"mounts":[2]}</t>
        </is>
      </c>
    </row>
    <row r="19">
      <c r="A19" t="inlineStr">
        <is>
          <t>behemoth_inferno/flamer_l</t>
        </is>
      </c>
      <c r="B19" t="inlineStr">
        <is>
          <t>behemoth_inferno</t>
        </is>
      </c>
      <c r="C19" t="n">
        <v>1</v>
      </c>
      <c r="G19" t="n">
        <v>2</v>
      </c>
      <c r="H19" t="n">
        <v>-0.62</v>
      </c>
      <c r="I19" t="n">
        <v>3.4</v>
      </c>
      <c r="J19" t="n">
        <v>4.1</v>
      </c>
      <c r="N19" t="n">
        <v>0.12</v>
      </c>
      <c r="O19" t="inlineStr">
        <is>
          <t>flamer_l</t>
        </is>
      </c>
      <c r="P19" t="inlineStr">
        <is>
          <t>flamer</t>
        </is>
      </c>
      <c r="Q19" t="inlineStr">
        <is>
          <t>3</t>
        </is>
      </c>
      <c r="R19" t="inlineStr">
        <is>
          <t>Main_cannon_2|Main_cannon_2_hose|Main_cannon_2_jacket|Muzzle_brake_2|Muzzle_brake_2_glow|Muzzle_brake_2_pilot</t>
        </is>
      </c>
      <c r="T19" t="n">
        <v>2.2</v>
      </c>
      <c r="Z19" t="inlineStr">
        <is>
          <t>wreck_barrel</t>
        </is>
      </c>
      <c r="AA19" t="inlineStr">
        <is>
          <t>Assets/MachineBrigade/Resources/Data/balance.json: vehicles[146].parts[1]</t>
        </is>
      </c>
      <c r="AB19" t="inlineStr">
        <is>
          <t>{"id":"flamer_l","kind":"flamer","hp":0.12,"armour":2,"node":"Main_cannon_2|Main_cannon_2_hose|Main_cannon_2_jacket|Muzzle_brake_2|Muzzle_brake_2_glow|Muzzle_brake_2_pilot","wreck":"wreck_barrel","at":[-0.62,3.4,4.1],"radius":2.2,"mounts":[3]}</t>
        </is>
      </c>
    </row>
    <row r="20">
      <c r="A20" t="inlineStr">
        <is>
          <t>behemoth_inferno/flamer_r</t>
        </is>
      </c>
      <c r="B20" t="inlineStr">
        <is>
          <t>behemoth_inferno</t>
        </is>
      </c>
      <c r="C20" t="n">
        <v>0</v>
      </c>
      <c r="G20" t="n">
        <v>2</v>
      </c>
      <c r="H20" t="n">
        <v>0.62</v>
      </c>
      <c r="I20" t="n">
        <v>3.4</v>
      </c>
      <c r="J20" t="n">
        <v>4.1</v>
      </c>
      <c r="N20" t="n">
        <v>0.12</v>
      </c>
      <c r="O20" t="inlineStr">
        <is>
          <t>flamer_r</t>
        </is>
      </c>
      <c r="P20" t="inlineStr">
        <is>
          <t>flamer</t>
        </is>
      </c>
      <c r="Q20" t="inlineStr">
        <is>
          <t>0</t>
        </is>
      </c>
      <c r="R20" t="inlineStr">
        <is>
          <t>Main_cannon|Main_cannon_hose|Main_cannon_jacket|Muzzle_brake|Muzzle_brake_glow|Muzzle_brake_pilot</t>
        </is>
      </c>
      <c r="S20" t="inlineStr">
        <is>
          <t>radio.part.maingun</t>
        </is>
      </c>
      <c r="T20" t="n">
        <v>2.2</v>
      </c>
      <c r="Z20" t="inlineStr">
        <is>
          <t>wreck_barrel</t>
        </is>
      </c>
      <c r="AA20" t="inlineStr">
        <is>
          <t>Assets/MachineBrigade/Resources/Data/balance.json: vehicles[146].parts[0]</t>
        </is>
      </c>
      <c r="AB20" t="inlineStr">
        <is>
          <t>{"id":"flamer_r","kind":"flamer","hp":0.12,"armour":2,"node":"Main_cannon|Main_cannon_hose|Main_cannon_jacket|Muzzle_brake|Muzzle_brake_glow|Muzzle_brake_pilot","wreck":"wreck_barrel","at":[0.62,3.4,4.1],"radius":2.2,"mounts":[0],"radio":"radio.part.maingun"}</t>
        </is>
      </c>
    </row>
    <row r="21">
      <c r="A21" t="inlineStr">
        <is>
          <t>behemoth_inferno/fuel</t>
        </is>
      </c>
      <c r="B21" t="inlineStr">
        <is>
          <t>behemoth_inferno</t>
        </is>
      </c>
      <c r="C21" t="n">
        <v>4</v>
      </c>
      <c r="G21" t="n">
        <v>1</v>
      </c>
      <c r="H21" t="n">
        <v>0</v>
      </c>
      <c r="I21" t="n">
        <v>-4.6</v>
      </c>
      <c r="J21" t="n">
        <v>2.6</v>
      </c>
      <c r="N21" t="n">
        <v>0.08</v>
      </c>
      <c r="O21" t="inlineStr">
        <is>
          <t>fuel</t>
        </is>
      </c>
      <c r="P21" t="inlineStr">
        <is>
          <t>fuel</t>
        </is>
      </c>
      <c r="R21" t="inlineStr">
        <is>
          <t>Fuel_tanks|Tank_straps|Tank_hazard</t>
        </is>
      </c>
      <c r="T21" t="n">
        <v>2.6</v>
      </c>
      <c r="X21" t="inlineStr">
        <is>
          <t>trail</t>
        </is>
      </c>
      <c r="Z21" t="inlineStr">
        <is>
          <t>wreck_stump</t>
        </is>
      </c>
      <c r="AA21" t="inlineStr">
        <is>
          <t>Assets/MachineBrigade/Resources/Data/balance.json: vehicles[146].parts[4]</t>
        </is>
      </c>
      <c r="AB21" t="inlineStr">
        <is>
          <t>{"id":"fuel","kind":"fuel","hp":0.08,"armour":1,"node":"Fuel_tanks|Tank_straps|Tank_hazard","wreck":"wreck_stump","at":[0,-4.6,2.6],"radius":2.6,"stops":["trail"]}</t>
        </is>
      </c>
    </row>
    <row r="22">
      <c r="A22" t="inlineStr">
        <is>
          <t>behemoth_inferno/thermo</t>
        </is>
      </c>
      <c r="B22" t="inlineStr">
        <is>
          <t>behemoth_inferno</t>
        </is>
      </c>
      <c r="C22" t="n">
        <v>2</v>
      </c>
      <c r="G22" t="n">
        <v>2</v>
      </c>
      <c r="H22" t="n">
        <v>0</v>
      </c>
      <c r="I22" t="n">
        <v>3.45</v>
      </c>
      <c r="J22" t="n">
        <v>2.8</v>
      </c>
      <c r="N22" t="n">
        <v>0.12</v>
      </c>
      <c r="O22" t="inlineStr">
        <is>
          <t>thermo</t>
        </is>
      </c>
      <c r="P22" t="inlineStr">
        <is>
          <t>thermo</t>
        </is>
      </c>
      <c r="Q22" t="inlineStr">
        <is>
          <t>1</t>
        </is>
      </c>
      <c r="R22" t="inlineStr">
        <is>
          <t>Mount_rocket</t>
        </is>
      </c>
      <c r="T22" t="n">
        <v>2.2</v>
      </c>
      <c r="Z22" t="inlineStr">
        <is>
          <t>wreck_turret</t>
        </is>
      </c>
      <c r="AA22" t="inlineStr">
        <is>
          <t>Assets/MachineBrigade/Resources/Data/balance.json: vehicles[146].parts[2]</t>
        </is>
      </c>
      <c r="AB22" t="inlineStr">
        <is>
          <t>{"id":"thermo","kind":"thermo","hp":0.12,"armour":2,"node":"Mount_rocket","wreck":"wreck_turret","at":[0,3.45,2.8],"radius":2.2,"mounts":[1]}</t>
        </is>
      </c>
    </row>
    <row r="23">
      <c r="A23" t="inlineStr">
        <is>
          <t>behemoth_tempest/coil_l</t>
        </is>
      </c>
      <c r="B23" t="inlineStr">
        <is>
          <t>behemoth_tempest</t>
        </is>
      </c>
      <c r="C23" t="n">
        <v>1</v>
      </c>
      <c r="G23" t="n">
        <v>3</v>
      </c>
      <c r="H23" t="n">
        <v>-0.9</v>
      </c>
      <c r="I23" t="n">
        <v>3.3</v>
      </c>
      <c r="J23" t="n">
        <v>2.9</v>
      </c>
      <c r="N23" t="n">
        <v>0.1</v>
      </c>
      <c r="O23" t="inlineStr">
        <is>
          <t>coil_l</t>
        </is>
      </c>
      <c r="P23" t="inlineStr">
        <is>
          <t>coilgun</t>
        </is>
      </c>
      <c r="Q23" t="inlineStr">
        <is>
          <t>1</t>
        </is>
      </c>
      <c r="R23" t="inlineStr">
        <is>
          <t>Mount_gun</t>
        </is>
      </c>
      <c r="T23" t="n">
        <v>1.8</v>
      </c>
      <c r="Z23" t="inlineStr">
        <is>
          <t>wreck_turret</t>
        </is>
      </c>
      <c r="AA23" t="inlineStr">
        <is>
          <t>Assets/MachineBrigade/Resources/Data/balance.json: vehicles[147].parts[1]</t>
        </is>
      </c>
      <c r="AB23" t="inlineStr">
        <is>
          <t>{"id":"coil_l","kind":"coilgun","hp":0.1,"armour":3,"node":"Mount_gun","wreck":"wreck_turret","at":[-0.9,3.3,2.9],"radius":1.8,"mounts":[1]}</t>
        </is>
      </c>
    </row>
    <row r="24">
      <c r="A24" t="inlineStr">
        <is>
          <t>behemoth_tempest/coil_r</t>
        </is>
      </c>
      <c r="B24" t="inlineStr">
        <is>
          <t>behemoth_tempest</t>
        </is>
      </c>
      <c r="C24" t="n">
        <v>2</v>
      </c>
      <c r="G24" t="n">
        <v>3</v>
      </c>
      <c r="H24" t="n">
        <v>0.9</v>
      </c>
      <c r="I24" t="n">
        <v>3.3</v>
      </c>
      <c r="J24" t="n">
        <v>2.9</v>
      </c>
      <c r="N24" t="n">
        <v>0.1</v>
      </c>
      <c r="O24" t="inlineStr">
        <is>
          <t>coil_r</t>
        </is>
      </c>
      <c r="P24" t="inlineStr">
        <is>
          <t>coilgun</t>
        </is>
      </c>
      <c r="Q24" t="inlineStr">
        <is>
          <t>2</t>
        </is>
      </c>
      <c r="R24" t="inlineStr">
        <is>
          <t>Mount_gun.001</t>
        </is>
      </c>
      <c r="T24" t="n">
        <v>1.8</v>
      </c>
      <c r="Z24" t="inlineStr">
        <is>
          <t>wreck_turret</t>
        </is>
      </c>
      <c r="AA24" t="inlineStr">
        <is>
          <t>Assets/MachineBrigade/Resources/Data/balance.json: vehicles[147].parts[2]</t>
        </is>
      </c>
      <c r="AB24" t="inlineStr">
        <is>
          <t>{"id":"coil_r","kind":"coilgun","hp":0.1,"armour":3,"node":"Mount_gun.001","wreck":"wreck_turret","at":[0.9,3.3,2.9],"radius":1.8,"mounts":[2]}</t>
        </is>
      </c>
    </row>
    <row r="25">
      <c r="A25" t="inlineStr">
        <is>
          <t>behemoth_tempest/interceptor</t>
        </is>
      </c>
      <c r="B25" t="inlineStr">
        <is>
          <t>behemoth_tempest</t>
        </is>
      </c>
      <c r="C25" t="n">
        <v>4</v>
      </c>
      <c r="G25" t="n">
        <v>1</v>
      </c>
      <c r="H25" t="n">
        <v>0</v>
      </c>
      <c r="I25" t="n">
        <v>-0.4</v>
      </c>
      <c r="J25" t="n">
        <v>4.4</v>
      </c>
      <c r="M25" t="inlineStr">
        <is>
          <t>energy</t>
        </is>
      </c>
      <c r="N25" t="n">
        <v>0.08</v>
      </c>
      <c r="O25" t="inlineStr">
        <is>
          <t>interceptor</t>
        </is>
      </c>
      <c r="P25" t="inlineStr">
        <is>
          <t>laser</t>
        </is>
      </c>
      <c r="R25" t="inlineStr">
        <is>
          <t>Aps_faces|Aps_tubes|Aps_tubes_bore</t>
        </is>
      </c>
      <c r="T25" t="n">
        <v>2.4</v>
      </c>
      <c r="X25" t="inlineStr">
        <is>
          <t>aps</t>
        </is>
      </c>
      <c r="Z25" t="inlineStr">
        <is>
          <t>wreck_stump</t>
        </is>
      </c>
      <c r="AA25" t="inlineStr">
        <is>
          <t>Assets/MachineBrigade/Resources/Data/balance.json: vehicles[147].parts[4]</t>
        </is>
      </c>
      <c r="AB25" t="inlineStr">
        <is>
          <t>{"id":"interceptor","kind":"laser","hp":0.08,"armour":1,"node":"Aps_faces|Aps_tubes|Aps_tubes_bore","wreck":"wreck_stump","at":[0,-0.4,4.4],"radius":2.4,"stops":["aps"],"fx":"energy"}</t>
        </is>
      </c>
    </row>
    <row r="26">
      <c r="A26" t="inlineStr">
        <is>
          <t>behemoth_tempest/railgun</t>
        </is>
      </c>
      <c r="B26" t="inlineStr">
        <is>
          <t>behemoth_tempest</t>
        </is>
      </c>
      <c r="C26" t="n">
        <v>0</v>
      </c>
      <c r="G26" t="n">
        <v>3</v>
      </c>
      <c r="H26" t="n">
        <v>0</v>
      </c>
      <c r="I26" t="n">
        <v>5.5</v>
      </c>
      <c r="J26" t="n">
        <v>4.1</v>
      </c>
      <c r="N26" t="n">
        <v>0.15</v>
      </c>
      <c r="O26" t="inlineStr">
        <is>
          <t>railgun</t>
        </is>
      </c>
      <c r="P26" t="inlineStr">
        <is>
          <t>railgun</t>
        </is>
      </c>
      <c r="Q26" t="inlineStr">
        <is>
          <t>0</t>
        </is>
      </c>
      <c r="R26" t="inlineStr">
        <is>
          <t>Main_cannon*</t>
        </is>
      </c>
      <c r="S26" t="inlineStr">
        <is>
          <t>radio.part.maingun</t>
        </is>
      </c>
      <c r="T26" t="n">
        <v>3.2</v>
      </c>
      <c r="Z26" t="inlineStr">
        <is>
          <t>wreck_barrel</t>
        </is>
      </c>
      <c r="AA26" t="inlineStr">
        <is>
          <t>Assets/MachineBrigade/Resources/Data/balance.json: vehicles[147].parts[0]</t>
        </is>
      </c>
      <c r="AB26" t="inlineStr">
        <is>
          <t>{"id":"railgun","kind":"railgun","hp":0.15,"armour":3,"node":"Main_cannon*","wreck":"wreck_barrel","at":[0,5.5,4.1],"radius":3.2,"mounts":[0],"radio":"radio.part.maingun"}</t>
        </is>
      </c>
    </row>
    <row r="27">
      <c r="A27" t="inlineStr">
        <is>
          <t>behemoth_tempest/shield</t>
        </is>
      </c>
      <c r="B27" t="inlineStr">
        <is>
          <t>behemoth_tempest</t>
        </is>
      </c>
      <c r="C27" t="n">
        <v>3</v>
      </c>
      <c r="G27" t="n">
        <v>2</v>
      </c>
      <c r="H27" t="n">
        <v>0</v>
      </c>
      <c r="I27" t="n">
        <v>-3.3</v>
      </c>
      <c r="J27" t="n">
        <v>5.9</v>
      </c>
      <c r="N27" t="n">
        <v>0.12</v>
      </c>
      <c r="O27" t="inlineStr">
        <is>
          <t>shield</t>
        </is>
      </c>
      <c r="P27" t="inlineStr">
        <is>
          <t>shield</t>
        </is>
      </c>
      <c r="R27" t="inlineStr">
        <is>
          <t>Radar</t>
        </is>
      </c>
      <c r="S27" t="inlineStr">
        <is>
          <t>radio.part.shield</t>
        </is>
      </c>
      <c r="T27" t="n">
        <v>2</v>
      </c>
      <c r="U27" t="inlineStr">
        <is>
          <t>mothership_shield;boss_bulwark</t>
        </is>
      </c>
      <c r="Z27" t="inlineStr">
        <is>
          <t>wreck_stump</t>
        </is>
      </c>
      <c r="AA27" t="inlineStr">
        <is>
          <t>Assets/MachineBrigade/Resources/Data/balance.json: vehicles[147].parts[3]</t>
        </is>
      </c>
      <c r="AB27" t="inlineStr">
        <is>
          <t>{"id":"shield","kind":"shield","hp":0.12,"armour":2,"node":"Radar","wreck":"wreck_stump","at":[0,-3.3,5.9],"radius":2.0,"skills":["mothership_shield","boss_bulwark"],"radio":"radio.part.shield"}</t>
        </is>
      </c>
    </row>
    <row r="28">
      <c r="A28" t="inlineStr">
        <is>
          <t>command_airship/bomb_bay</t>
        </is>
      </c>
      <c r="B28" t="inlineStr">
        <is>
          <t>command_airship</t>
        </is>
      </c>
      <c r="C28" t="n">
        <v>7</v>
      </c>
      <c r="G28" t="n">
        <v>2</v>
      </c>
      <c r="H28" t="n">
        <v>0</v>
      </c>
      <c r="I28" t="n">
        <v>8.5</v>
      </c>
      <c r="J28" t="n">
        <v>-3</v>
      </c>
      <c r="K28" t="n">
        <v>0</v>
      </c>
      <c r="N28" t="n">
        <v>0.07000000000000001</v>
      </c>
      <c r="O28" t="inlineStr">
        <is>
          <t>bomb_bay</t>
        </is>
      </c>
      <c r="P28" t="inlineStr">
        <is>
          <t>bombbay</t>
        </is>
      </c>
      <c r="Q28" t="inlineStr">
        <is>
          <t>4;5</t>
        </is>
      </c>
      <c r="S28" t="inlineStr">
        <is>
          <t>radio.part.bombbay</t>
        </is>
      </c>
      <c r="T28" t="n">
        <v>3.2</v>
      </c>
      <c r="Z28" t="inlineStr">
        <is>
          <t>wreck_stump</t>
        </is>
      </c>
      <c r="AA28" t="inlineStr">
        <is>
          <t>Assets/MachineBrigade/Resources/Data/balance.json: vehicles[151].parts[7]</t>
        </is>
      </c>
      <c r="AB28" t="inlineStr">
        <is>
          <t>{"id":"bomb_bay","mounts":[4,5],"breakDamage":0,"kind":"bombbay","hp":0.07,"armour":2,"wreck":"wreck_stump","at":[0,8.5,-3.0],"radius":3.2,"radio":"radio.part.bombbay"}</t>
        </is>
      </c>
    </row>
    <row r="29">
      <c r="A29" t="inlineStr">
        <is>
          <t>command_airship/engine_fl</t>
        </is>
      </c>
      <c r="B29" t="inlineStr">
        <is>
          <t>command_airship</t>
        </is>
      </c>
      <c r="C29" t="n">
        <v>0</v>
      </c>
      <c r="G29" t="n">
        <v>2</v>
      </c>
      <c r="H29" t="n">
        <v>-14.3</v>
      </c>
      <c r="I29" t="n">
        <v>9</v>
      </c>
      <c r="J29" t="n">
        <v>1</v>
      </c>
      <c r="K29" t="n">
        <v>0</v>
      </c>
      <c r="N29" t="n">
        <v>0.07000000000000001</v>
      </c>
      <c r="O29" t="inlineStr">
        <is>
          <t>engine_fl</t>
        </is>
      </c>
      <c r="P29" t="inlineStr">
        <is>
          <t>engine</t>
        </is>
      </c>
      <c r="R29" t="inlineStr">
        <is>
          <t>Part_engine</t>
        </is>
      </c>
      <c r="T29" t="n">
        <v>3.6</v>
      </c>
      <c r="V29" t="n">
        <v>0.85</v>
      </c>
      <c r="Z29" t="inlineStr">
        <is>
          <t>wreck_engine</t>
        </is>
      </c>
      <c r="AA29" t="inlineStr">
        <is>
          <t>Assets/MachineBrigade/Resources/Data/balance.json: vehicles[151].parts[0]</t>
        </is>
      </c>
      <c r="AB29" t="inlineStr">
        <is>
          <t>{"id":"engine_fl","breakDamage":0,"kind":"engine","hp":0.07,"armour":2,"node":"Part_engine","wreck":"wreck_engine","at":[-14.3,9,1],"radius":3.6,"speed":0.85}</t>
        </is>
      </c>
    </row>
    <row r="30">
      <c r="A30" t="inlineStr">
        <is>
          <t>command_airship/engine_fr</t>
        </is>
      </c>
      <c r="B30" t="inlineStr">
        <is>
          <t>command_airship</t>
        </is>
      </c>
      <c r="C30" t="n">
        <v>1</v>
      </c>
      <c r="G30" t="n">
        <v>2</v>
      </c>
      <c r="H30" t="n">
        <v>14.3</v>
      </c>
      <c r="I30" t="n">
        <v>9</v>
      </c>
      <c r="J30" t="n">
        <v>1</v>
      </c>
      <c r="K30" t="n">
        <v>0</v>
      </c>
      <c r="N30" t="n">
        <v>0.07000000000000001</v>
      </c>
      <c r="O30" t="inlineStr">
        <is>
          <t>engine_fr</t>
        </is>
      </c>
      <c r="P30" t="inlineStr">
        <is>
          <t>engine</t>
        </is>
      </c>
      <c r="R30" t="inlineStr">
        <is>
          <t>Part_engine.001</t>
        </is>
      </c>
      <c r="T30" t="n">
        <v>3.6</v>
      </c>
      <c r="V30" t="n">
        <v>0.85</v>
      </c>
      <c r="Z30" t="inlineStr">
        <is>
          <t>wreck_engine</t>
        </is>
      </c>
      <c r="AA30" t="inlineStr">
        <is>
          <t>Assets/MachineBrigade/Resources/Data/balance.json: vehicles[151].parts[1]</t>
        </is>
      </c>
      <c r="AB30" t="inlineStr">
        <is>
          <t>{"id":"engine_fr","breakDamage":0,"kind":"engine","hp":0.07,"armour":2,"node":"Part_engine.001","wreck":"wreck_engine","at":[14.3,9,1],"radius":3.6,"speed":0.85}</t>
        </is>
      </c>
    </row>
    <row r="31">
      <c r="A31" t="inlineStr">
        <is>
          <t>command_airship/engine_rl</t>
        </is>
      </c>
      <c r="B31" t="inlineStr">
        <is>
          <t>command_airship</t>
        </is>
      </c>
      <c r="C31" t="n">
        <v>2</v>
      </c>
      <c r="G31" t="n">
        <v>2</v>
      </c>
      <c r="H31" t="n">
        <v>-14.3</v>
      </c>
      <c r="I31" t="n">
        <v>-8</v>
      </c>
      <c r="J31" t="n">
        <v>1</v>
      </c>
      <c r="K31" t="n">
        <v>0</v>
      </c>
      <c r="N31" t="n">
        <v>0.07000000000000001</v>
      </c>
      <c r="O31" t="inlineStr">
        <is>
          <t>engine_rl</t>
        </is>
      </c>
      <c r="P31" t="inlineStr">
        <is>
          <t>engine</t>
        </is>
      </c>
      <c r="R31" t="inlineStr">
        <is>
          <t>Part_engine.002</t>
        </is>
      </c>
      <c r="T31" t="n">
        <v>3.6</v>
      </c>
      <c r="V31" t="n">
        <v>0.85</v>
      </c>
      <c r="Z31" t="inlineStr">
        <is>
          <t>wreck_engine</t>
        </is>
      </c>
      <c r="AA31" t="inlineStr">
        <is>
          <t>Assets/MachineBrigade/Resources/Data/balance.json: vehicles[151].parts[2]</t>
        </is>
      </c>
      <c r="AB31" t="inlineStr">
        <is>
          <t>{"id":"engine_rl","breakDamage":0,"kind":"engine","hp":0.07,"armour":2,"node":"Part_engine.002","wreck":"wreck_engine","at":[-14.3,-8,1],"radius":3.6,"speed":0.85}</t>
        </is>
      </c>
    </row>
    <row r="32">
      <c r="A32" t="inlineStr">
        <is>
          <t>command_airship/engine_rr</t>
        </is>
      </c>
      <c r="B32" t="inlineStr">
        <is>
          <t>command_airship</t>
        </is>
      </c>
      <c r="C32" t="n">
        <v>3</v>
      </c>
      <c r="G32" t="n">
        <v>2</v>
      </c>
      <c r="H32" t="n">
        <v>14.3</v>
      </c>
      <c r="I32" t="n">
        <v>-8</v>
      </c>
      <c r="J32" t="n">
        <v>1</v>
      </c>
      <c r="K32" t="n">
        <v>0</v>
      </c>
      <c r="N32" t="n">
        <v>0.07000000000000001</v>
      </c>
      <c r="O32" t="inlineStr">
        <is>
          <t>engine_rr</t>
        </is>
      </c>
      <c r="P32" t="inlineStr">
        <is>
          <t>engine</t>
        </is>
      </c>
      <c r="R32" t="inlineStr">
        <is>
          <t>Part_engine.003</t>
        </is>
      </c>
      <c r="T32" t="n">
        <v>3.6</v>
      </c>
      <c r="V32" t="n">
        <v>0.85</v>
      </c>
      <c r="Z32" t="inlineStr">
        <is>
          <t>wreck_engine</t>
        </is>
      </c>
      <c r="AA32" t="inlineStr">
        <is>
          <t>Assets/MachineBrigade/Resources/Data/balance.json: vehicles[151].parts[3]</t>
        </is>
      </c>
      <c r="AB32" t="inlineStr">
        <is>
          <t>{"id":"engine_rr","breakDamage":0,"kind":"engine","hp":0.07,"armour":2,"node":"Part_engine.003","wreck":"wreck_engine","at":[14.3,-8,1],"radius":3.6,"speed":0.85}</t>
        </is>
      </c>
    </row>
    <row r="33">
      <c r="A33" t="inlineStr">
        <is>
          <t>command_airship/hangar_l</t>
        </is>
      </c>
      <c r="B33" t="inlineStr">
        <is>
          <t>command_airship</t>
        </is>
      </c>
      <c r="C33" t="n">
        <v>4</v>
      </c>
      <c r="G33" t="n">
        <v>2</v>
      </c>
      <c r="H33" t="n">
        <v>-1.3</v>
      </c>
      <c r="I33" t="n">
        <v>-3</v>
      </c>
      <c r="J33" t="n">
        <v>-2.2</v>
      </c>
      <c r="K33" t="n">
        <v>0</v>
      </c>
      <c r="N33" t="n">
        <v>0.07000000000000001</v>
      </c>
      <c r="O33" t="inlineStr">
        <is>
          <t>hangar_l</t>
        </is>
      </c>
      <c r="P33" t="inlineStr">
        <is>
          <t>hangar</t>
        </is>
      </c>
      <c r="Q33" t="inlineStr">
        <is>
          <t>2</t>
        </is>
      </c>
      <c r="R33" t="inlineStr">
        <is>
          <t>Part_hangar</t>
        </is>
      </c>
      <c r="S33" t="inlineStr">
        <is>
          <t>radio.part.bay</t>
        </is>
      </c>
      <c r="T33" t="n">
        <v>3.2</v>
      </c>
      <c r="U33" t="inlineStr">
        <is>
          <t>airship_launch_l</t>
        </is>
      </c>
      <c r="Z33" t="inlineStr">
        <is>
          <t>wreck_launcher</t>
        </is>
      </c>
      <c r="AA33" t="inlineStr">
        <is>
          <t>Assets/MachineBrigade/Resources/Data/balance.json: vehicles[151].parts[4]</t>
        </is>
      </c>
      <c r="AB33" t="inlineStr">
        <is>
          <t>{"id":"hangar_l","breakDamage":0,"radio":"radio.part.bay","kind":"hangar","hp":0.07,"armour":2,"node":"Part_hangar","wreck":"wreck_launcher","at":[-1.3,-3,-2.2],"radius":3.2,"mounts":[2],"skills":["airship_launch_l"]}</t>
        </is>
      </c>
    </row>
    <row r="34">
      <c r="A34" t="inlineStr">
        <is>
          <t>command_airship/hangar_r</t>
        </is>
      </c>
      <c r="B34" t="inlineStr">
        <is>
          <t>command_airship</t>
        </is>
      </c>
      <c r="C34" t="n">
        <v>5</v>
      </c>
      <c r="G34" t="n">
        <v>2</v>
      </c>
      <c r="H34" t="n">
        <v>1.3</v>
      </c>
      <c r="I34" t="n">
        <v>-3</v>
      </c>
      <c r="J34" t="n">
        <v>-2.2</v>
      </c>
      <c r="K34" t="n">
        <v>0</v>
      </c>
      <c r="N34" t="n">
        <v>0.07000000000000001</v>
      </c>
      <c r="O34" t="inlineStr">
        <is>
          <t>hangar_r</t>
        </is>
      </c>
      <c r="P34" t="inlineStr">
        <is>
          <t>hangar</t>
        </is>
      </c>
      <c r="Q34" t="inlineStr">
        <is>
          <t>3</t>
        </is>
      </c>
      <c r="R34" t="inlineStr">
        <is>
          <t>Part_hangar.001</t>
        </is>
      </c>
      <c r="S34" t="inlineStr">
        <is>
          <t>radio.part.bay</t>
        </is>
      </c>
      <c r="T34" t="n">
        <v>3.2</v>
      </c>
      <c r="U34" t="inlineStr">
        <is>
          <t>airship_launch_r</t>
        </is>
      </c>
      <c r="Z34" t="inlineStr">
        <is>
          <t>wreck_launcher</t>
        </is>
      </c>
      <c r="AA34" t="inlineStr">
        <is>
          <t>Assets/MachineBrigade/Resources/Data/balance.json: vehicles[151].parts[5]</t>
        </is>
      </c>
      <c r="AB34" t="inlineStr">
        <is>
          <t>{"id":"hangar_r","breakDamage":0,"radio":"radio.part.bay","kind":"hangar","hp":0.07,"armour":2,"node":"Part_hangar.001","wreck":"wreck_launcher","at":[1.3,-3,-2.2],"radius":3.2,"mounts":[3],"skills":["airship_launch_r"]}</t>
        </is>
      </c>
    </row>
    <row r="35">
      <c r="A35" t="inlineStr">
        <is>
          <t>command_airship/pod_105_l</t>
        </is>
      </c>
      <c r="B35" t="inlineStr">
        <is>
          <t>command_airship</t>
        </is>
      </c>
      <c r="C35" t="n">
        <v>8</v>
      </c>
      <c r="D35" t="inlineStr">
        <is>
          <t>pod_105</t>
        </is>
      </c>
      <c r="H35" t="n">
        <v>-7.5</v>
      </c>
      <c r="I35" t="n">
        <v>0</v>
      </c>
      <c r="J35" t="n">
        <v>-3</v>
      </c>
      <c r="K35" t="n">
        <v>0</v>
      </c>
      <c r="O35" t="inlineStr">
        <is>
          <t>pod_105_l</t>
        </is>
      </c>
      <c r="R35" t="inlineStr">
        <is>
          <t>Mount_gun.002</t>
        </is>
      </c>
      <c r="AA35" t="inlineStr">
        <is>
          <t>Assets/MachineBrigade/Resources/Data/balance.json: vehicles[151].parts[8]</t>
        </is>
      </c>
      <c r="AB35" t="inlineStr">
        <is>
          <t>{"use":"pod_105","id":"pod_105_l","breakDamage":0,"node":"Mount_gun.002","at":[-7.5,0,-3.0]}</t>
        </is>
      </c>
    </row>
    <row r="36">
      <c r="A36" t="inlineStr">
        <is>
          <t>command_airship/pod_105_r</t>
        </is>
      </c>
      <c r="B36" t="inlineStr">
        <is>
          <t>command_airship</t>
        </is>
      </c>
      <c r="C36" t="n">
        <v>9</v>
      </c>
      <c r="D36" t="inlineStr">
        <is>
          <t>pod_105</t>
        </is>
      </c>
      <c r="H36" t="n">
        <v>7.5</v>
      </c>
      <c r="I36" t="n">
        <v>0</v>
      </c>
      <c r="J36" t="n">
        <v>-3</v>
      </c>
      <c r="K36" t="n">
        <v>0</v>
      </c>
      <c r="O36" t="inlineStr">
        <is>
          <t>pod_105_r</t>
        </is>
      </c>
      <c r="R36" t="inlineStr">
        <is>
          <t>Mount_gun.003</t>
        </is>
      </c>
      <c r="AA36" t="inlineStr">
        <is>
          <t>Assets/MachineBrigade/Resources/Data/balance.json: vehicles[151].parts[9]</t>
        </is>
      </c>
      <c r="AB36" t="inlineStr">
        <is>
          <t>{"use":"pod_105","id":"pod_105_r","breakDamage":0,"node":"Mount_gun.003","at":[7.5,0,-3.0]}</t>
        </is>
      </c>
    </row>
    <row r="37">
      <c r="A37" t="inlineStr">
        <is>
          <t>command_airship/radar</t>
        </is>
      </c>
      <c r="B37" t="inlineStr">
        <is>
          <t>command_airship</t>
        </is>
      </c>
      <c r="C37" t="n">
        <v>6</v>
      </c>
      <c r="E37" t="inlineStr">
        <is>
          <t>0;1</t>
        </is>
      </c>
      <c r="G37" t="n">
        <v>1</v>
      </c>
      <c r="H37" t="n">
        <v>0</v>
      </c>
      <c r="I37" t="n">
        <v>3.2</v>
      </c>
      <c r="J37" t="n">
        <v>6.7</v>
      </c>
      <c r="K37" t="n">
        <v>0</v>
      </c>
      <c r="L37" t="n">
        <v>0.5</v>
      </c>
      <c r="N37" t="n">
        <v>0.07000000000000001</v>
      </c>
      <c r="O37" t="inlineStr">
        <is>
          <t>radar</t>
        </is>
      </c>
      <c r="P37" t="inlineStr">
        <is>
          <t>radar</t>
        </is>
      </c>
      <c r="R37" t="inlineStr">
        <is>
          <t>Part_radar</t>
        </is>
      </c>
      <c r="T37" t="n">
        <v>2.6</v>
      </c>
      <c r="W37" t="n">
        <v>3</v>
      </c>
      <c r="Z37" t="inlineStr">
        <is>
          <t>wreck_stump</t>
        </is>
      </c>
      <c r="AA37" t="inlineStr">
        <is>
          <t>Assets/MachineBrigade/Resources/Data/balance.json: vehicles[151].parts[6]</t>
        </is>
      </c>
      <c r="AB37" t="inlineStr">
        <is>
          <t>{"id":"radar","breakDamage":0,"kind":"radar","hp":0.07,"armour":1,"node":"Part_radar","wreck":"wreck_stump","at":[0,3.2,6.7],"radius":2.6,"spread":3,"fail":0.5,"affects":[0,1]}</t>
        </is>
      </c>
    </row>
    <row r="38">
      <c r="A38" t="inlineStr">
        <is>
          <t>daedalus/engine</t>
        </is>
      </c>
      <c r="B38" t="inlineStr">
        <is>
          <t>daedalus</t>
        </is>
      </c>
      <c r="C38" t="n">
        <v>4</v>
      </c>
      <c r="G38" t="n">
        <v>2</v>
      </c>
      <c r="H38" t="n">
        <v>0</v>
      </c>
      <c r="I38" t="n">
        <v>-16.5</v>
      </c>
      <c r="J38" t="n">
        <v>0.8</v>
      </c>
      <c r="N38" t="n">
        <v>0.08</v>
      </c>
      <c r="O38" t="inlineStr">
        <is>
          <t>engine</t>
        </is>
      </c>
      <c r="P38" t="inlineStr">
        <is>
          <t>thruster</t>
        </is>
      </c>
      <c r="R38" t="inlineStr">
        <is>
          <t>Thruster_main</t>
        </is>
      </c>
      <c r="S38" t="inlineStr">
        <is>
          <t>radio.part.mainengine</t>
        </is>
      </c>
      <c r="T38" t="n">
        <v>3.2</v>
      </c>
      <c r="V38" t="n">
        <v>0.8</v>
      </c>
      <c r="Z38" t="inlineStr">
        <is>
          <t>wreck_stump</t>
        </is>
      </c>
      <c r="AA38" t="inlineStr">
        <is>
          <t>Assets/MachineBrigade/Resources/Data/balance.json: vehicles[160].parts[4]</t>
        </is>
      </c>
      <c r="AB38" t="inlineStr">
        <is>
          <t>{"id":"engine","kind":"thruster","hp":0.08,"armour":2,"node":"Thruster_main","wreck":"wreck_stump","at":[0,-16.5,0.8],"radius":3.2,"speed":0.8,"radio":"radio.part.mainengine"}</t>
        </is>
      </c>
    </row>
    <row r="39">
      <c r="A39" t="inlineStr">
        <is>
          <t>daedalus/gun_l</t>
        </is>
      </c>
      <c r="B39" t="inlineStr">
        <is>
          <t>daedalus</t>
        </is>
      </c>
      <c r="C39" t="n">
        <v>0</v>
      </c>
      <c r="G39" t="n">
        <v>2</v>
      </c>
      <c r="H39" t="n">
        <v>-2.4</v>
      </c>
      <c r="I39" t="n">
        <v>6</v>
      </c>
      <c r="J39" t="n">
        <v>-2.7</v>
      </c>
      <c r="N39" t="n">
        <v>0.08</v>
      </c>
      <c r="O39" t="inlineStr">
        <is>
          <t>gun_l</t>
        </is>
      </c>
      <c r="P39" t="inlineStr">
        <is>
          <t>gun</t>
        </is>
      </c>
      <c r="Q39" t="inlineStr">
        <is>
          <t>0</t>
        </is>
      </c>
      <c r="R39" t="inlineStr">
        <is>
          <t>Mount_gun</t>
        </is>
      </c>
      <c r="T39" t="n">
        <v>1.6</v>
      </c>
      <c r="Z39" t="inlineStr">
        <is>
          <t>wreck_turret</t>
        </is>
      </c>
      <c r="AA39" t="inlineStr">
        <is>
          <t>Assets/MachineBrigade/Resources/Data/balance.json: vehicles[160].parts[0]</t>
        </is>
      </c>
      <c r="AB39" t="inlineStr">
        <is>
          <t>{"id":"gun_l","kind":"gun","hp":0.08,"armour":2,"node":"Mount_gun","wreck":"wreck_turret","at":[-2.4,6.0,-2.7],"radius":1.6,"mounts":[0]}</t>
        </is>
      </c>
    </row>
    <row r="40">
      <c r="A40" t="inlineStr">
        <is>
          <t>daedalus/gun_r</t>
        </is>
      </c>
      <c r="B40" t="inlineStr">
        <is>
          <t>daedalus</t>
        </is>
      </c>
      <c r="C40" t="n">
        <v>1</v>
      </c>
      <c r="D40" t="inlineStr">
        <is>
          <t>gun_30</t>
        </is>
      </c>
      <c r="H40" t="n">
        <v>2.4</v>
      </c>
      <c r="I40" t="n">
        <v>6</v>
      </c>
      <c r="J40" t="n">
        <v>-2.7</v>
      </c>
      <c r="N40" t="n">
        <v>0.08</v>
      </c>
      <c r="O40" t="inlineStr">
        <is>
          <t>gun_r</t>
        </is>
      </c>
      <c r="R40" t="inlineStr">
        <is>
          <t>Mount_gun.005</t>
        </is>
      </c>
      <c r="AA40" t="inlineStr">
        <is>
          <t>Assets/MachineBrigade/Resources/Data/balance.json: vehicles[160].parts[1]</t>
        </is>
      </c>
      <c r="AB40" t="inlineStr">
        <is>
          <t>{"use":"gun_30","id":"gun_r","hp":0.08,"node":"Mount_gun.005","at":[2.4,6.0,-2.7]}</t>
        </is>
      </c>
    </row>
    <row r="41">
      <c r="A41" t="inlineStr">
        <is>
          <t>daedalus/pd_laser_l</t>
        </is>
      </c>
      <c r="B41" t="inlineStr">
        <is>
          <t>daedalus</t>
        </is>
      </c>
      <c r="C41" t="n">
        <v>2</v>
      </c>
      <c r="D41" t="inlineStr">
        <is>
          <t>pd_laser</t>
        </is>
      </c>
      <c r="H41" t="n">
        <v>-3.4</v>
      </c>
      <c r="I41" t="n">
        <v>4</v>
      </c>
      <c r="J41" t="n">
        <v>2.8</v>
      </c>
      <c r="O41" t="inlineStr">
        <is>
          <t>pd_laser_l</t>
        </is>
      </c>
      <c r="R41" t="inlineStr">
        <is>
          <t>Pd_laser_l</t>
        </is>
      </c>
      <c r="AA41" t="inlineStr">
        <is>
          <t>Assets/MachineBrigade/Resources/Data/balance.json: vehicles[160].parts[2]</t>
        </is>
      </c>
      <c r="AB41" t="inlineStr">
        <is>
          <t>{"use":"pd_laser","id":"pd_laser_l","node":"Pd_laser_l","at":[-3.4,4.0,2.8]}</t>
        </is>
      </c>
    </row>
    <row r="42">
      <c r="A42" t="inlineStr">
        <is>
          <t>daedalus/pd_laser_r</t>
        </is>
      </c>
      <c r="B42" t="inlineStr">
        <is>
          <t>daedalus</t>
        </is>
      </c>
      <c r="C42" t="n">
        <v>3</v>
      </c>
      <c r="D42" t="inlineStr">
        <is>
          <t>pd_laser</t>
        </is>
      </c>
      <c r="H42" t="n">
        <v>3.4</v>
      </c>
      <c r="I42" t="n">
        <v>4</v>
      </c>
      <c r="J42" t="n">
        <v>2.8</v>
      </c>
      <c r="O42" t="inlineStr">
        <is>
          <t>pd_laser_r</t>
        </is>
      </c>
      <c r="R42" t="inlineStr">
        <is>
          <t>Pd_laser_r</t>
        </is>
      </c>
      <c r="AA42" t="inlineStr">
        <is>
          <t>Assets/MachineBrigade/Resources/Data/balance.json: vehicles[160].parts[3]</t>
        </is>
      </c>
      <c r="AB42" t="inlineStr">
        <is>
          <t>{"use":"pd_laser","id":"pd_laser_r","node":"Pd_laser_r","at":[3.4,4.0,2.8]}</t>
        </is>
      </c>
    </row>
    <row r="43">
      <c r="A43" t="inlineStr">
        <is>
          <t>daedalus/pod_bay_1</t>
        </is>
      </c>
      <c r="B43" t="inlineStr">
        <is>
          <t>daedalus</t>
        </is>
      </c>
      <c r="C43" t="n">
        <v>5</v>
      </c>
      <c r="D43" t="inlineStr">
        <is>
          <t>pod_bay</t>
        </is>
      </c>
      <c r="H43" t="n">
        <v>-4</v>
      </c>
      <c r="I43" t="n">
        <v>-2</v>
      </c>
      <c r="J43" t="n">
        <v>-2.2</v>
      </c>
      <c r="O43" t="inlineStr">
        <is>
          <t>pod_bay_1</t>
        </is>
      </c>
      <c r="R43" t="inlineStr">
        <is>
          <t>Pod_bay_1</t>
        </is>
      </c>
      <c r="AA43" t="inlineStr">
        <is>
          <t>Assets/MachineBrigade/Resources/Data/balance.json: vehicles[160].parts[5]</t>
        </is>
      </c>
      <c r="AB43" t="inlineStr">
        <is>
          <t>{"use":"pod_bay","id":"pod_bay_1","node":"Pod_bay_1","at":[-4.0,-2.0,-2.2]}</t>
        </is>
      </c>
    </row>
    <row r="44">
      <c r="A44" t="inlineStr">
        <is>
          <t>daedalus/pod_bay_2</t>
        </is>
      </c>
      <c r="B44" t="inlineStr">
        <is>
          <t>daedalus</t>
        </is>
      </c>
      <c r="C44" t="n">
        <v>6</v>
      </c>
      <c r="D44" t="inlineStr">
        <is>
          <t>pod_bay</t>
        </is>
      </c>
      <c r="H44" t="n">
        <v>0</v>
      </c>
      <c r="I44" t="n">
        <v>-5</v>
      </c>
      <c r="J44" t="n">
        <v>-2.4</v>
      </c>
      <c r="O44" t="inlineStr">
        <is>
          <t>pod_bay_2</t>
        </is>
      </c>
      <c r="R44" t="inlineStr">
        <is>
          <t>Pod_bay_2</t>
        </is>
      </c>
      <c r="AA44" t="inlineStr">
        <is>
          <t>Assets/MachineBrigade/Resources/Data/balance.json: vehicles[160].parts[6]</t>
        </is>
      </c>
      <c r="AB44" t="inlineStr">
        <is>
          <t>{"use":"pod_bay","id":"pod_bay_2","node":"Pod_bay_2","at":[0,-5.0,-2.4]}</t>
        </is>
      </c>
    </row>
    <row r="45">
      <c r="A45" t="inlineStr">
        <is>
          <t>daedalus/pod_bay_3</t>
        </is>
      </c>
      <c r="B45" t="inlineStr">
        <is>
          <t>daedalus</t>
        </is>
      </c>
      <c r="C45" t="n">
        <v>7</v>
      </c>
      <c r="D45" t="inlineStr">
        <is>
          <t>pod_bay</t>
        </is>
      </c>
      <c r="H45" t="n">
        <v>4</v>
      </c>
      <c r="I45" t="n">
        <v>-2</v>
      </c>
      <c r="J45" t="n">
        <v>-2.2</v>
      </c>
      <c r="O45" t="inlineStr">
        <is>
          <t>pod_bay_3</t>
        </is>
      </c>
      <c r="R45" t="inlineStr">
        <is>
          <t>Pod_bay_3</t>
        </is>
      </c>
      <c r="AA45" t="inlineStr">
        <is>
          <t>Assets/MachineBrigade/Resources/Data/balance.json: vehicles[160].parts[7]</t>
        </is>
      </c>
      <c r="AB45" t="inlineStr">
        <is>
          <t>{"use":"pod_bay","id":"pod_bay_3","node":"Pod_bay_3","at":[4.0,-2.0,-2.2]}</t>
        </is>
      </c>
    </row>
    <row r="46">
      <c r="A46" t="inlineStr">
        <is>
          <t>drone_mothership/belly_gun_l</t>
        </is>
      </c>
      <c r="B46" t="inlineStr">
        <is>
          <t>drone_mothership</t>
        </is>
      </c>
      <c r="C46" t="n">
        <v>8</v>
      </c>
      <c r="D46" t="inlineStr">
        <is>
          <t>gun_30</t>
        </is>
      </c>
      <c r="H46" t="n">
        <v>-2.2</v>
      </c>
      <c r="I46" t="n">
        <v>6</v>
      </c>
      <c r="J46" t="n">
        <v>-5.8</v>
      </c>
      <c r="O46" t="inlineStr">
        <is>
          <t>belly_gun_l</t>
        </is>
      </c>
      <c r="R46" t="inlineStr">
        <is>
          <t>Mount_gun</t>
        </is>
      </c>
      <c r="AA46" t="inlineStr">
        <is>
          <t>Assets/MachineBrigade/Resources/Data/balance.json: vehicles[142].parts[8]</t>
        </is>
      </c>
      <c r="AB46" t="inlineStr">
        <is>
          <t>{"use":"gun_30","id":"belly_gun_l","node":"Mount_gun","at":[-2.2,6.0,-5.8]}</t>
        </is>
      </c>
    </row>
    <row r="47">
      <c r="A47" t="inlineStr">
        <is>
          <t>drone_mothership/belly_gun_r</t>
        </is>
      </c>
      <c r="B47" t="inlineStr">
        <is>
          <t>drone_mothership</t>
        </is>
      </c>
      <c r="C47" t="n">
        <v>9</v>
      </c>
      <c r="D47" t="inlineStr">
        <is>
          <t>gun_30</t>
        </is>
      </c>
      <c r="H47" t="n">
        <v>2.2</v>
      </c>
      <c r="I47" t="n">
        <v>6</v>
      </c>
      <c r="J47" t="n">
        <v>-5.8</v>
      </c>
      <c r="O47" t="inlineStr">
        <is>
          <t>belly_gun_r</t>
        </is>
      </c>
      <c r="R47" t="inlineStr">
        <is>
          <t>Mount_gun.001</t>
        </is>
      </c>
      <c r="AA47" t="inlineStr">
        <is>
          <t>Assets/MachineBrigade/Resources/Data/balance.json: vehicles[142].parts[9]</t>
        </is>
      </c>
      <c r="AB47" t="inlineStr">
        <is>
          <t>{"use":"gun_30","id":"belly_gun_r","node":"Mount_gun.001","at":[2.2,6.0,-5.8]}</t>
        </is>
      </c>
    </row>
    <row r="48">
      <c r="A48" t="inlineStr">
        <is>
          <t>drone_mothership/bomb_bay</t>
        </is>
      </c>
      <c r="B48" t="inlineStr">
        <is>
          <t>drone_mothership</t>
        </is>
      </c>
      <c r="C48" t="n">
        <v>7</v>
      </c>
      <c r="G48" t="n">
        <v>2</v>
      </c>
      <c r="H48" t="n">
        <v>0</v>
      </c>
      <c r="I48" t="n">
        <v>5.5</v>
      </c>
      <c r="J48" t="n">
        <v>-4.8</v>
      </c>
      <c r="N48" t="n">
        <v>0.06</v>
      </c>
      <c r="O48" t="inlineStr">
        <is>
          <t>bomb_bay</t>
        </is>
      </c>
      <c r="P48" t="inlineStr">
        <is>
          <t>bombbay</t>
        </is>
      </c>
      <c r="S48" t="inlineStr">
        <is>
          <t>radio.part.bombbay</t>
        </is>
      </c>
      <c r="T48" t="n">
        <v>2.8</v>
      </c>
      <c r="Z48" t="inlineStr">
        <is>
          <t>wreck_stump</t>
        </is>
      </c>
      <c r="AA48" t="inlineStr">
        <is>
          <t>Assets/MachineBrigade/Resources/Data/balance.json: vehicles[142].parts[7]</t>
        </is>
      </c>
      <c r="AB48" t="inlineStr">
        <is>
          <t>{"id":"bomb_bay","kind":"bombbay","hp":0.06,"armour":2,"wreck":"wreck_stump","at":[0,5.5,-4.8],"radius":2.8,"radio":"radio.part.bombbay"}</t>
        </is>
      </c>
    </row>
    <row r="49">
      <c r="A49" t="inlineStr">
        <is>
          <t>drone_mothership/cannon_bow</t>
        </is>
      </c>
      <c r="B49" t="inlineStr">
        <is>
          <t>drone_mothership</t>
        </is>
      </c>
      <c r="C49" t="n">
        <v>0</v>
      </c>
      <c r="G49" t="n">
        <v>2</v>
      </c>
      <c r="H49" t="n">
        <v>0</v>
      </c>
      <c r="I49" t="n">
        <v>10.8</v>
      </c>
      <c r="J49" t="n">
        <v>-3.6</v>
      </c>
      <c r="N49" t="n">
        <v>0.06</v>
      </c>
      <c r="O49" t="inlineStr">
        <is>
          <t>cannon_bow</t>
        </is>
      </c>
      <c r="P49" t="inlineStr">
        <is>
          <t>maingun</t>
        </is>
      </c>
      <c r="Q49" t="inlineStr">
        <is>
          <t>0</t>
        </is>
      </c>
      <c r="R49" t="inlineStr">
        <is>
          <t>Turret</t>
        </is>
      </c>
      <c r="S49" t="inlineStr">
        <is>
          <t>radio.part.maingun</t>
        </is>
      </c>
      <c r="T49" t="n">
        <v>2</v>
      </c>
      <c r="Z49" t="inlineStr">
        <is>
          <t>wreck_turret</t>
        </is>
      </c>
      <c r="AA49" t="inlineStr">
        <is>
          <t>Assets/MachineBrigade/Resources/Data/balance.json: vehicles[142].parts[0]</t>
        </is>
      </c>
      <c r="AB49" t="inlineStr">
        <is>
          <t>{"id":"cannon_bow","kind":"maingun","hp":0.06,"armour":2,"node":"Turret","wreck":"wreck_turret","at":[0,10.8,-3.6],"radius":2.0,"mounts":[0],"radio":"radio.part.maingun"}</t>
        </is>
      </c>
    </row>
    <row r="50">
      <c r="A50" t="inlineStr">
        <is>
          <t>drone_mothership/cannon_gondola</t>
        </is>
      </c>
      <c r="B50" t="inlineStr">
        <is>
          <t>drone_mothership</t>
        </is>
      </c>
      <c r="C50" t="n">
        <v>1</v>
      </c>
      <c r="G50" t="n">
        <v>2</v>
      </c>
      <c r="H50" t="n">
        <v>0</v>
      </c>
      <c r="I50" t="n">
        <v>2.2</v>
      </c>
      <c r="J50" t="n">
        <v>-5.4</v>
      </c>
      <c r="N50" t="n">
        <v>0.06</v>
      </c>
      <c r="O50" t="inlineStr">
        <is>
          <t>cannon_gondola</t>
        </is>
      </c>
      <c r="P50" t="inlineStr">
        <is>
          <t>gun</t>
        </is>
      </c>
      <c r="Q50" t="inlineStr">
        <is>
          <t>4</t>
        </is>
      </c>
      <c r="R50" t="inlineStr">
        <is>
          <t>Mount_main.001</t>
        </is>
      </c>
      <c r="T50" t="n">
        <v>2</v>
      </c>
      <c r="Z50" t="inlineStr">
        <is>
          <t>wreck_turret</t>
        </is>
      </c>
      <c r="AA50" t="inlineStr">
        <is>
          <t>Assets/MachineBrigade/Resources/Data/balance.json: vehicles[142].parts[1]</t>
        </is>
      </c>
      <c r="AB50" t="inlineStr">
        <is>
          <t>{"id":"cannon_gondola","kind":"gun","hp":0.06,"armour":2,"node":"Mount_main.001","wreck":"wreck_turret","at":[0,2.2,-5.4],"radius":2.0,"mounts":[4]}</t>
        </is>
      </c>
    </row>
    <row r="51">
      <c r="A51" t="inlineStr">
        <is>
          <t>drone_mothership/drone_bay</t>
        </is>
      </c>
      <c r="B51" t="inlineStr">
        <is>
          <t>drone_mothership</t>
        </is>
      </c>
      <c r="C51" t="n">
        <v>2</v>
      </c>
      <c r="G51" t="n">
        <v>2</v>
      </c>
      <c r="H51" t="n">
        <v>0</v>
      </c>
      <c r="I51" t="n">
        <v>-2.3</v>
      </c>
      <c r="J51" t="n">
        <v>-4.6</v>
      </c>
      <c r="N51" t="n">
        <v>0.06</v>
      </c>
      <c r="O51" t="inlineStr">
        <is>
          <t>drone_bay</t>
        </is>
      </c>
      <c r="P51" t="inlineStr">
        <is>
          <t>bay</t>
        </is>
      </c>
      <c r="Q51" t="inlineStr">
        <is>
          <t>1</t>
        </is>
      </c>
      <c r="S51" t="inlineStr">
        <is>
          <t>radio.part.bay</t>
        </is>
      </c>
      <c r="T51" t="n">
        <v>3</v>
      </c>
      <c r="Z51" t="inlineStr">
        <is>
          <t>wreck_stump</t>
        </is>
      </c>
      <c r="AA51" t="inlineStr">
        <is>
          <t>Assets/MachineBrigade/Resources/Data/balance.json: vehicles[142].parts[2]</t>
        </is>
      </c>
      <c r="AB51" t="inlineStr">
        <is>
          <t>{"id":"drone_bay","kind":"bay","hp":0.06,"armour":2,"wreck":"wreck_stump","at":[0,-2.3,-4.6],"radius":3.0,"mounts":[1],"radio":"radio.part.bay"}</t>
        </is>
      </c>
    </row>
    <row r="52">
      <c r="A52" t="inlineStr">
        <is>
          <t>drone_mothership/drone_bay_2</t>
        </is>
      </c>
      <c r="B52" t="inlineStr">
        <is>
          <t>drone_mothership</t>
        </is>
      </c>
      <c r="C52" t="n">
        <v>10</v>
      </c>
      <c r="D52" t="inlineStr">
        <is>
          <t>drone_bay</t>
        </is>
      </c>
      <c r="H52" t="n">
        <v>0</v>
      </c>
      <c r="I52" t="n">
        <v>-6</v>
      </c>
      <c r="J52" t="n">
        <v>-4.4</v>
      </c>
      <c r="O52" t="inlineStr">
        <is>
          <t>drone_bay_2</t>
        </is>
      </c>
      <c r="R52" t="inlineStr">
        <is>
          <t>Mount_missile.001</t>
        </is>
      </c>
      <c r="AA52" t="inlineStr">
        <is>
          <t>Assets/MachineBrigade/Resources/Data/balance.json: vehicles[142].parts[10]</t>
        </is>
      </c>
      <c r="AB52" t="inlineStr">
        <is>
          <t>{"use":"drone_bay","id":"drone_bay_2","node":"Mount_missile.001","at":[0,-6.0,-4.4]}</t>
        </is>
      </c>
    </row>
    <row r="53">
      <c r="A53" t="inlineStr">
        <is>
          <t>drone_mothership/flak_rear</t>
        </is>
      </c>
      <c r="B53" t="inlineStr">
        <is>
          <t>drone_mothership</t>
        </is>
      </c>
      <c r="C53" t="n">
        <v>5</v>
      </c>
      <c r="G53" t="n">
        <v>2</v>
      </c>
      <c r="H53" t="n">
        <v>0</v>
      </c>
      <c r="I53" t="n">
        <v>-3.4</v>
      </c>
      <c r="J53" t="n">
        <v>3.9</v>
      </c>
      <c r="N53" t="n">
        <v>0.06</v>
      </c>
      <c r="O53" t="inlineStr">
        <is>
          <t>flak_rear</t>
        </is>
      </c>
      <c r="P53" t="inlineStr">
        <is>
          <t>flak</t>
        </is>
      </c>
      <c r="Q53" t="inlineStr">
        <is>
          <t>3</t>
        </is>
      </c>
      <c r="R53" t="inlineStr">
        <is>
          <t>Mount_mg.001</t>
        </is>
      </c>
      <c r="T53" t="n">
        <v>1.8</v>
      </c>
      <c r="Z53" t="inlineStr">
        <is>
          <t>wreck_turret</t>
        </is>
      </c>
      <c r="AA53" t="inlineStr">
        <is>
          <t>Assets/MachineBrigade/Resources/Data/balance.json: vehicles[142].parts[5]</t>
        </is>
      </c>
      <c r="AB53" t="inlineStr">
        <is>
          <t>{"id":"flak_rear","kind":"flak","hp":0.06,"armour":2,"node":"Mount_mg.001","wreck":"wreck_turret","at":[0,-3.4,3.9],"radius":1.8,"mounts":[3]}</t>
        </is>
      </c>
    </row>
    <row r="54">
      <c r="A54" t="inlineStr">
        <is>
          <t>drone_mothership/flak_top</t>
        </is>
      </c>
      <c r="B54" t="inlineStr">
        <is>
          <t>drone_mothership</t>
        </is>
      </c>
      <c r="C54" t="n">
        <v>4</v>
      </c>
      <c r="G54" t="n">
        <v>2</v>
      </c>
      <c r="H54" t="n">
        <v>0</v>
      </c>
      <c r="I54" t="n">
        <v>4.8</v>
      </c>
      <c r="J54" t="n">
        <v>4.1</v>
      </c>
      <c r="N54" t="n">
        <v>0.06</v>
      </c>
      <c r="O54" t="inlineStr">
        <is>
          <t>flak_top</t>
        </is>
      </c>
      <c r="P54" t="inlineStr">
        <is>
          <t>flak</t>
        </is>
      </c>
      <c r="Q54" t="inlineStr">
        <is>
          <t>2</t>
        </is>
      </c>
      <c r="R54" t="inlineStr">
        <is>
          <t>Mount_mg</t>
        </is>
      </c>
      <c r="T54" t="n">
        <v>1.8</v>
      </c>
      <c r="Z54" t="inlineStr">
        <is>
          <t>wreck_turret</t>
        </is>
      </c>
      <c r="AA54" t="inlineStr">
        <is>
          <t>Assets/MachineBrigade/Resources/Data/balance.json: vehicles[142].parts[4]</t>
        </is>
      </c>
      <c r="AB54" t="inlineStr">
        <is>
          <t>{"id":"flak_top","kind":"flak","hp":0.06,"armour":2,"node":"Mount_mg","wreck":"wreck_turret","at":[0,4.8,4.1],"radius":1.8,"mounts":[2]}</t>
        </is>
      </c>
    </row>
    <row r="55">
      <c r="A55" t="inlineStr">
        <is>
          <t>drone_mothership/shield</t>
        </is>
      </c>
      <c r="B55" t="inlineStr">
        <is>
          <t>drone_mothership</t>
        </is>
      </c>
      <c r="C55" t="n">
        <v>6</v>
      </c>
      <c r="G55" t="n">
        <v>2</v>
      </c>
      <c r="H55" t="n">
        <v>0</v>
      </c>
      <c r="I55" t="n">
        <v>-2.35</v>
      </c>
      <c r="J55" t="n">
        <v>5.2</v>
      </c>
      <c r="N55" t="n">
        <v>0.06</v>
      </c>
      <c r="O55" t="inlineStr">
        <is>
          <t>shield</t>
        </is>
      </c>
      <c r="P55" t="inlineStr">
        <is>
          <t>shield</t>
        </is>
      </c>
      <c r="S55" t="inlineStr">
        <is>
          <t>radio.part.shield</t>
        </is>
      </c>
      <c r="T55" t="n">
        <v>2.5</v>
      </c>
      <c r="U55" t="inlineStr">
        <is>
          <t>mothership_shield</t>
        </is>
      </c>
      <c r="Z55" t="inlineStr">
        <is>
          <t>wreck_stump</t>
        </is>
      </c>
      <c r="AA55" t="inlineStr">
        <is>
          <t>Assets/MachineBrigade/Resources/Data/balance.json: vehicles[142].parts[6]</t>
        </is>
      </c>
      <c r="AB55" t="inlineStr">
        <is>
          <t>{"id":"shield","kind":"shield","hp":0.06,"armour":2,"wreck":"wreck_stump","at":[0,-2.35,5.2],"radius":2.5,"skills":["mothership_shield"],"radio":"radio.part.shield"}</t>
        </is>
      </c>
    </row>
    <row r="56">
      <c r="A56" t="inlineStr">
        <is>
          <t>drone_mothership/uav_bay</t>
        </is>
      </c>
      <c r="B56" t="inlineStr">
        <is>
          <t>drone_mothership</t>
        </is>
      </c>
      <c r="C56" t="n">
        <v>3</v>
      </c>
      <c r="G56" t="n">
        <v>1</v>
      </c>
      <c r="H56" t="n">
        <v>0</v>
      </c>
      <c r="I56" t="n">
        <v>-8.5</v>
      </c>
      <c r="J56" t="n">
        <v>-3.5</v>
      </c>
      <c r="N56" t="n">
        <v>0.06</v>
      </c>
      <c r="O56" t="inlineStr">
        <is>
          <t>uav_bay</t>
        </is>
      </c>
      <c r="P56" t="inlineStr">
        <is>
          <t>uav</t>
        </is>
      </c>
      <c r="Q56" t="inlineStr">
        <is>
          <t>5</t>
        </is>
      </c>
      <c r="T56" t="n">
        <v>2.5</v>
      </c>
      <c r="U56" t="inlineStr">
        <is>
          <t>mothership_launch</t>
        </is>
      </c>
      <c r="Z56" t="inlineStr">
        <is>
          <t>wreck_stump</t>
        </is>
      </c>
      <c r="AA56" t="inlineStr">
        <is>
          <t>Assets/MachineBrigade/Resources/Data/balance.json: vehicles[142].parts[3]</t>
        </is>
      </c>
      <c r="AB56" t="inlineStr">
        <is>
          <t>{"id":"uav_bay","mounts":[5],"kind":"uav","hp":0.06,"armour":1,"wreck":"wreck_stump","at":[0,-8.5,-3.5],"radius":2.5,"skills":["mothership_launch"]}</t>
        </is>
      </c>
    </row>
    <row r="57">
      <c r="A57" t="inlineStr">
        <is>
          <t>earth_borer/drill</t>
        </is>
      </c>
      <c r="B57" t="inlineStr">
        <is>
          <t>earth_borer</t>
        </is>
      </c>
      <c r="C57" t="n">
        <v>0</v>
      </c>
      <c r="G57" t="n">
        <v>4</v>
      </c>
      <c r="H57" t="n">
        <v>0</v>
      </c>
      <c r="I57" t="n">
        <v>6.8</v>
      </c>
      <c r="J57" t="n">
        <v>3.3</v>
      </c>
      <c r="N57" t="n">
        <v>0.14</v>
      </c>
      <c r="O57" t="inlineStr">
        <is>
          <t>drill</t>
        </is>
      </c>
      <c r="P57" t="inlineStr">
        <is>
          <t>drill</t>
        </is>
      </c>
      <c r="Q57" t="inlineStr">
        <is>
          <t>0</t>
        </is>
      </c>
      <c r="R57" t="inlineStr">
        <is>
          <t>Part_drill</t>
        </is>
      </c>
      <c r="S57" t="inlineStr">
        <is>
          <t>radio.part.drill</t>
        </is>
      </c>
      <c r="T57" t="n">
        <v>3</v>
      </c>
      <c r="X57" t="inlineStr">
        <is>
          <t>burrow</t>
        </is>
      </c>
      <c r="Z57" t="inlineStr">
        <is>
          <t>wreck_stump</t>
        </is>
      </c>
      <c r="AA57" t="inlineStr">
        <is>
          <t>Assets/MachineBrigade/Resources/Data/balance.json: vehicles[150].parts[0]</t>
        </is>
      </c>
      <c r="AB57" t="inlineStr">
        <is>
          <t>{"id":"drill","kind":"drill","hp":0.14,"armour":4,"node":"Part_drill","wreck":"wreck_stump","at":[0,6.8,3.3],"radius":3.0,"mounts":[0],"stops":["burrow"],"radio":"radio.part.drill"}</t>
        </is>
      </c>
    </row>
    <row r="58">
      <c r="A58" t="inlineStr">
        <is>
          <t>earth_borer/engine</t>
        </is>
      </c>
      <c r="B58" t="inlineStr">
        <is>
          <t>earth_borer</t>
        </is>
      </c>
      <c r="C58" t="n">
        <v>3</v>
      </c>
      <c r="G58" t="n">
        <v>3</v>
      </c>
      <c r="H58" t="n">
        <v>0</v>
      </c>
      <c r="I58" t="n">
        <v>-7.3</v>
      </c>
      <c r="J58" t="n">
        <v>4.9</v>
      </c>
      <c r="N58" t="n">
        <v>0.1</v>
      </c>
      <c r="O58" t="inlineStr">
        <is>
          <t>engine</t>
        </is>
      </c>
      <c r="P58" t="inlineStr">
        <is>
          <t>engine</t>
        </is>
      </c>
      <c r="R58" t="inlineStr">
        <is>
          <t>Part_engine</t>
        </is>
      </c>
      <c r="T58" t="n">
        <v>2.5</v>
      </c>
      <c r="V58" t="n">
        <v>0.7</v>
      </c>
      <c r="Z58" t="inlineStr">
        <is>
          <t>wreck_engine</t>
        </is>
      </c>
      <c r="AA58" t="inlineStr">
        <is>
          <t>Assets/MachineBrigade/Resources/Data/balance.json: vehicles[150].parts[3]</t>
        </is>
      </c>
      <c r="AB58" t="inlineStr">
        <is>
          <t>{"id":"engine","kind":"engine","hp":0.1,"armour":3,"node":"Part_engine","wreck":"wreck_engine","at":[0,-7.3,4.9],"radius":2.5,"speed":0.7}</t>
        </is>
      </c>
    </row>
    <row r="59">
      <c r="A59" t="inlineStr">
        <is>
          <t>earth_borer/gun_l</t>
        </is>
      </c>
      <c r="B59" t="inlineStr">
        <is>
          <t>earth_borer</t>
        </is>
      </c>
      <c r="C59" t="n">
        <v>1</v>
      </c>
      <c r="G59" t="n">
        <v>3</v>
      </c>
      <c r="H59" t="n">
        <v>-1.3</v>
      </c>
      <c r="I59" t="n">
        <v>0.2</v>
      </c>
      <c r="J59" t="n">
        <v>5.6</v>
      </c>
      <c r="N59" t="n">
        <v>0.1</v>
      </c>
      <c r="O59" t="inlineStr">
        <is>
          <t>gun_l</t>
        </is>
      </c>
      <c r="P59" t="inlineStr">
        <is>
          <t>gun</t>
        </is>
      </c>
      <c r="Q59" t="inlineStr">
        <is>
          <t>1</t>
        </is>
      </c>
      <c r="R59" t="inlineStr">
        <is>
          <t>Part_gun</t>
        </is>
      </c>
      <c r="T59" t="n">
        <v>1.8</v>
      </c>
      <c r="Z59" t="inlineStr">
        <is>
          <t>wreck_turret</t>
        </is>
      </c>
      <c r="AA59" t="inlineStr">
        <is>
          <t>Assets/MachineBrigade/Resources/Data/balance.json: vehicles[150].parts[1]</t>
        </is>
      </c>
      <c r="AB59" t="inlineStr">
        <is>
          <t>{"id":"gun_l","kind":"gun","hp":0.1,"armour":3,"node":"Part_gun","wreck":"wreck_turret","at":[-1.3,0.2,5.6],"radius":1.8,"mounts":[1]}</t>
        </is>
      </c>
    </row>
    <row r="60">
      <c r="A60" t="inlineStr">
        <is>
          <t>earth_borer/gun_r</t>
        </is>
      </c>
      <c r="B60" t="inlineStr">
        <is>
          <t>earth_borer</t>
        </is>
      </c>
      <c r="C60" t="n">
        <v>2</v>
      </c>
      <c r="G60" t="n">
        <v>3</v>
      </c>
      <c r="H60" t="n">
        <v>1.3</v>
      </c>
      <c r="I60" t="n">
        <v>-3.2</v>
      </c>
      <c r="J60" t="n">
        <v>5.6</v>
      </c>
      <c r="N60" t="n">
        <v>0.1</v>
      </c>
      <c r="O60" t="inlineStr">
        <is>
          <t>gun_r</t>
        </is>
      </c>
      <c r="P60" t="inlineStr">
        <is>
          <t>gun</t>
        </is>
      </c>
      <c r="Q60" t="inlineStr">
        <is>
          <t>2</t>
        </is>
      </c>
      <c r="R60" t="inlineStr">
        <is>
          <t>Part_gun.001</t>
        </is>
      </c>
      <c r="T60" t="n">
        <v>1.8</v>
      </c>
      <c r="Z60" t="inlineStr">
        <is>
          <t>wreck_turret</t>
        </is>
      </c>
      <c r="AA60" t="inlineStr">
        <is>
          <t>Assets/MachineBrigade/Resources/Data/balance.json: vehicles[150].parts[2]</t>
        </is>
      </c>
      <c r="AB60" t="inlineStr">
        <is>
          <t>{"id":"gun_r","kind":"gun","hp":0.1,"armour":3,"node":"Part_gun.001","wreck":"wreck_turret","at":[1.3,-3.2,5.6],"radius":1.8,"mounts":[2]}</t>
        </is>
      </c>
    </row>
    <row r="61">
      <c r="A61" t="inlineStr">
        <is>
          <t>fortress_bastion/casemate</t>
        </is>
      </c>
      <c r="B61" t="inlineStr">
        <is>
          <t>fortress_bastion</t>
        </is>
      </c>
      <c r="C61" t="n">
        <v>6</v>
      </c>
      <c r="D61" t="inlineStr">
        <is>
          <t>casemate_155</t>
        </is>
      </c>
      <c r="H61" t="n">
        <v>0</v>
      </c>
      <c r="I61" t="n">
        <v>8.699999999999999</v>
      </c>
      <c r="J61" t="n">
        <v>3.2</v>
      </c>
      <c r="O61" t="inlineStr">
        <is>
          <t>casemate</t>
        </is>
      </c>
      <c r="R61" t="inlineStr">
        <is>
          <t>Mount_gun.004</t>
        </is>
      </c>
      <c r="AA61" t="inlineStr">
        <is>
          <t>Assets/MachineBrigade/Resources/Data/balance.json: vehicles[148].parts[6]</t>
        </is>
      </c>
      <c r="AB61" t="inlineStr">
        <is>
          <t>{"use":"casemate_155","id":"casemate","node":"Mount_gun.004","at":[0,8.7,3.2]}</t>
        </is>
      </c>
    </row>
    <row r="62">
      <c r="A62" t="inlineStr">
        <is>
          <t>fortress_bastion/kornet</t>
        </is>
      </c>
      <c r="B62" t="inlineStr">
        <is>
          <t>fortress_bastion</t>
        </is>
      </c>
      <c r="C62" t="n">
        <v>5</v>
      </c>
      <c r="G62" t="n">
        <v>2</v>
      </c>
      <c r="H62" t="n">
        <v>-1.42</v>
      </c>
      <c r="I62" t="n">
        <v>-2.75</v>
      </c>
      <c r="J62" t="n">
        <v>6.4</v>
      </c>
      <c r="N62" t="n">
        <v>0.07000000000000001</v>
      </c>
      <c r="O62" t="inlineStr">
        <is>
          <t>kornet</t>
        </is>
      </c>
      <c r="P62" t="inlineStr">
        <is>
          <t>missiles</t>
        </is>
      </c>
      <c r="Q62" t="inlineStr">
        <is>
          <t>5</t>
        </is>
      </c>
      <c r="R62" t="inlineStr">
        <is>
          <t>Part_missile</t>
        </is>
      </c>
      <c r="T62" t="n">
        <v>1.8</v>
      </c>
      <c r="Z62" t="inlineStr">
        <is>
          <t>wreck_launcher</t>
        </is>
      </c>
      <c r="AA62" t="inlineStr">
        <is>
          <t>Assets/MachineBrigade/Resources/Data/balance.json: vehicles[148].parts[5]</t>
        </is>
      </c>
      <c r="AB62" t="inlineStr">
        <is>
          <t>{"id":"kornet","kind":"missiles","hp":0.07,"armour":2,"node":"Part_missile","wreck":"wreck_launcher","at":[-1.42,-2.75,6.4],"radius":1.8,"mounts":[5]}</t>
        </is>
      </c>
    </row>
    <row r="63">
      <c r="A63" t="inlineStr">
        <is>
          <t>fortress_bastion/mortar</t>
        </is>
      </c>
      <c r="B63" t="inlineStr">
        <is>
          <t>fortress_bastion</t>
        </is>
      </c>
      <c r="C63" t="n">
        <v>0</v>
      </c>
      <c r="G63" t="n">
        <v>3</v>
      </c>
      <c r="H63" t="n">
        <v>0</v>
      </c>
      <c r="I63" t="n">
        <v>-0.5</v>
      </c>
      <c r="J63" t="n">
        <v>7.5</v>
      </c>
      <c r="N63" t="n">
        <v>0.1</v>
      </c>
      <c r="O63" t="inlineStr">
        <is>
          <t>mortar</t>
        </is>
      </c>
      <c r="P63" t="inlineStr">
        <is>
          <t>mortar</t>
        </is>
      </c>
      <c r="Q63" t="inlineStr">
        <is>
          <t>0</t>
        </is>
      </c>
      <c r="R63" t="inlineStr">
        <is>
          <t>Main_cannon*</t>
        </is>
      </c>
      <c r="S63" t="inlineStr">
        <is>
          <t>radio.part.maingun</t>
        </is>
      </c>
      <c r="T63" t="n">
        <v>2.8</v>
      </c>
      <c r="U63" t="inlineStr">
        <is>
          <t>fortress_barrage</t>
        </is>
      </c>
      <c r="Z63" t="inlineStr">
        <is>
          <t>wreck_barrel</t>
        </is>
      </c>
      <c r="AA63" t="inlineStr">
        <is>
          <t>Assets/MachineBrigade/Resources/Data/balance.json: vehicles[148].parts[0]</t>
        </is>
      </c>
      <c r="AB63" t="inlineStr">
        <is>
          <t>{"id":"mortar","kind":"mortar","hp":0.1,"armour":3,"node":"Main_cannon*","wreck":"wreck_barrel","at":[0,-0.5,7.5],"radius":2.8,"mounts":[0],"skills":["fortress_barrage"],"radio":"radio.part.maingun"}</t>
        </is>
      </c>
    </row>
    <row r="64">
      <c r="A64" t="inlineStr">
        <is>
          <t>fortress_bastion/turret_fl</t>
        </is>
      </c>
      <c r="B64" t="inlineStr">
        <is>
          <t>fortress_bastion</t>
        </is>
      </c>
      <c r="C64" t="n">
        <v>1</v>
      </c>
      <c r="G64" t="n">
        <v>3</v>
      </c>
      <c r="H64" t="n">
        <v>-4.1</v>
      </c>
      <c r="I64" t="n">
        <v>4.35</v>
      </c>
      <c r="J64" t="n">
        <v>3.3</v>
      </c>
      <c r="N64" t="n">
        <v>0.07000000000000001</v>
      </c>
      <c r="O64" t="inlineStr">
        <is>
          <t>turret_fl</t>
        </is>
      </c>
      <c r="P64" t="inlineStr">
        <is>
          <t>turret</t>
        </is>
      </c>
      <c r="Q64" t="inlineStr">
        <is>
          <t>1</t>
        </is>
      </c>
      <c r="R64" t="inlineStr">
        <is>
          <t>Mount_gun</t>
        </is>
      </c>
      <c r="T64" t="n">
        <v>1.8</v>
      </c>
      <c r="Z64" t="inlineStr">
        <is>
          <t>wreck_turret</t>
        </is>
      </c>
      <c r="AA64" t="inlineStr">
        <is>
          <t>Assets/MachineBrigade/Resources/Data/balance.json: vehicles[148].parts[1]</t>
        </is>
      </c>
      <c r="AB64" t="inlineStr">
        <is>
          <t>{"id":"turret_fl","kind":"turret","hp":0.07,"armour":3,"node":"Mount_gun","wreck":"wreck_turret","at":[-4.1,4.35,3.3],"radius":1.8,"mounts":[1]}</t>
        </is>
      </c>
    </row>
    <row r="65">
      <c r="A65" t="inlineStr">
        <is>
          <t>fortress_bastion/turret_fr</t>
        </is>
      </c>
      <c r="B65" t="inlineStr">
        <is>
          <t>fortress_bastion</t>
        </is>
      </c>
      <c r="C65" t="n">
        <v>2</v>
      </c>
      <c r="G65" t="n">
        <v>3</v>
      </c>
      <c r="H65" t="n">
        <v>4.1</v>
      </c>
      <c r="I65" t="n">
        <v>4.35</v>
      </c>
      <c r="J65" t="n">
        <v>3.3</v>
      </c>
      <c r="N65" t="n">
        <v>0.07000000000000001</v>
      </c>
      <c r="O65" t="inlineStr">
        <is>
          <t>turret_fr</t>
        </is>
      </c>
      <c r="P65" t="inlineStr">
        <is>
          <t>turret</t>
        </is>
      </c>
      <c r="Q65" t="inlineStr">
        <is>
          <t>2</t>
        </is>
      </c>
      <c r="R65" t="inlineStr">
        <is>
          <t>Mount_gun.001</t>
        </is>
      </c>
      <c r="T65" t="n">
        <v>1.8</v>
      </c>
      <c r="Z65" t="inlineStr">
        <is>
          <t>wreck_turret</t>
        </is>
      </c>
      <c r="AA65" t="inlineStr">
        <is>
          <t>Assets/MachineBrigade/Resources/Data/balance.json: vehicles[148].parts[2]</t>
        </is>
      </c>
      <c r="AB65" t="inlineStr">
        <is>
          <t>{"id":"turret_fr","kind":"turret","hp":0.07,"armour":3,"node":"Mount_gun.001","wreck":"wreck_turret","at":[4.1,4.35,3.3],"radius":1.8,"mounts":[2]}</t>
        </is>
      </c>
    </row>
    <row r="66">
      <c r="A66" t="inlineStr">
        <is>
          <t>fortress_bastion/turret_rl</t>
        </is>
      </c>
      <c r="B66" t="inlineStr">
        <is>
          <t>fortress_bastion</t>
        </is>
      </c>
      <c r="C66" t="n">
        <v>3</v>
      </c>
      <c r="G66" t="n">
        <v>3</v>
      </c>
      <c r="H66" t="n">
        <v>-4.1</v>
      </c>
      <c r="I66" t="n">
        <v>-4.25</v>
      </c>
      <c r="J66" t="n">
        <v>3.3</v>
      </c>
      <c r="N66" t="n">
        <v>0.07000000000000001</v>
      </c>
      <c r="O66" t="inlineStr">
        <is>
          <t>turret_rl</t>
        </is>
      </c>
      <c r="P66" t="inlineStr">
        <is>
          <t>turret</t>
        </is>
      </c>
      <c r="Q66" t="inlineStr">
        <is>
          <t>3;6</t>
        </is>
      </c>
      <c r="R66" t="inlineStr">
        <is>
          <t>Mount_gun.002</t>
        </is>
      </c>
      <c r="T66" t="n">
        <v>1.8</v>
      </c>
      <c r="Z66" t="inlineStr">
        <is>
          <t>wreck_turret</t>
        </is>
      </c>
      <c r="AA66" t="inlineStr">
        <is>
          <t>Assets/MachineBrigade/Resources/Data/balance.json: vehicles[148].parts[3]</t>
        </is>
      </c>
      <c r="AB66" t="inlineStr">
        <is>
          <t>{"id":"turret_rl","kind":"turret","hp":0.07,"armour":3,"node":"Mount_gun.002","wreck":"wreck_turret","at":[-4.1,-4.25,3.3],"radius":1.8,"mounts":[3,6]}</t>
        </is>
      </c>
    </row>
    <row r="67">
      <c r="A67" t="inlineStr">
        <is>
          <t>fortress_bastion/turret_rr</t>
        </is>
      </c>
      <c r="B67" t="inlineStr">
        <is>
          <t>fortress_bastion</t>
        </is>
      </c>
      <c r="C67" t="n">
        <v>4</v>
      </c>
      <c r="G67" t="n">
        <v>3</v>
      </c>
      <c r="H67" t="n">
        <v>4.1</v>
      </c>
      <c r="I67" t="n">
        <v>-4.25</v>
      </c>
      <c r="J67" t="n">
        <v>3.3</v>
      </c>
      <c r="N67" t="n">
        <v>0.07000000000000001</v>
      </c>
      <c r="O67" t="inlineStr">
        <is>
          <t>turret_rr</t>
        </is>
      </c>
      <c r="P67" t="inlineStr">
        <is>
          <t>turret</t>
        </is>
      </c>
      <c r="Q67" t="inlineStr">
        <is>
          <t>4;7</t>
        </is>
      </c>
      <c r="R67" t="inlineStr">
        <is>
          <t>Mount_gun.003</t>
        </is>
      </c>
      <c r="T67" t="n">
        <v>1.8</v>
      </c>
      <c r="Z67" t="inlineStr">
        <is>
          <t>wreck_turret</t>
        </is>
      </c>
      <c r="AA67" t="inlineStr">
        <is>
          <t>Assets/MachineBrigade/Resources/Data/balance.json: vehicles[148].parts[4]</t>
        </is>
      </c>
      <c r="AB67" t="inlineStr">
        <is>
          <t>{"id":"turret_rr","kind":"turret","hp":0.07,"armour":3,"node":"Mount_gun.003","wreck":"wreck_turret","at":[4.1,-4.25,3.3],"radius":1.8,"mounts":[4,7]}</t>
        </is>
      </c>
    </row>
    <row r="68">
      <c r="A68" t="inlineStr">
        <is>
          <t>fortress_bastion/zu23_l</t>
        </is>
      </c>
      <c r="B68" t="inlineStr">
        <is>
          <t>fortress_bastion</t>
        </is>
      </c>
      <c r="C68" t="n">
        <v>7</v>
      </c>
      <c r="D68" t="inlineStr">
        <is>
          <t>zu23</t>
        </is>
      </c>
      <c r="H68" t="n">
        <v>-3.42</v>
      </c>
      <c r="I68" t="n">
        <v>-1.25</v>
      </c>
      <c r="J68" t="n">
        <v>5.4</v>
      </c>
      <c r="O68" t="inlineStr">
        <is>
          <t>zu23_l</t>
        </is>
      </c>
      <c r="R68" t="inlineStr">
        <is>
          <t>Mount_mg</t>
        </is>
      </c>
      <c r="AA68" t="inlineStr">
        <is>
          <t>Assets/MachineBrigade/Resources/Data/balance.json: vehicles[148].parts[7]</t>
        </is>
      </c>
      <c r="AB68" t="inlineStr">
        <is>
          <t>{"use":"zu23","id":"zu23_l","node":"Mount_mg","at":[-3.42,-1.25,5.4]}</t>
        </is>
      </c>
    </row>
    <row r="69">
      <c r="A69" t="inlineStr">
        <is>
          <t>fortress_bastion/zu23_r</t>
        </is>
      </c>
      <c r="B69" t="inlineStr">
        <is>
          <t>fortress_bastion</t>
        </is>
      </c>
      <c r="C69" t="n">
        <v>8</v>
      </c>
      <c r="D69" t="inlineStr">
        <is>
          <t>zu23</t>
        </is>
      </c>
      <c r="H69" t="n">
        <v>3.42</v>
      </c>
      <c r="I69" t="n">
        <v>-1.25</v>
      </c>
      <c r="J69" t="n">
        <v>5.4</v>
      </c>
      <c r="O69" t="inlineStr">
        <is>
          <t>zu23_r</t>
        </is>
      </c>
      <c r="R69" t="inlineStr">
        <is>
          <t>Mount_mg.001</t>
        </is>
      </c>
      <c r="AA69" t="inlineStr">
        <is>
          <t>Assets/MachineBrigade/Resources/Data/balance.json: vehicles[148].parts[8]</t>
        </is>
      </c>
      <c r="AB69" t="inlineStr">
        <is>
          <t>{"use":"zu23","id":"zu23_r","node":"Mount_mg.001","at":[3.42,-1.25,5.4]}</t>
        </is>
      </c>
    </row>
    <row r="70">
      <c r="A70" t="inlineStr">
        <is>
          <t>ixion/cab</t>
        </is>
      </c>
      <c r="B70" t="inlineStr">
        <is>
          <t>ixion</t>
        </is>
      </c>
      <c r="C70" t="n">
        <v>7</v>
      </c>
      <c r="G70" t="n">
        <v>2</v>
      </c>
      <c r="H70" t="n">
        <v>-3.6</v>
      </c>
      <c r="I70" t="n">
        <v>9.5</v>
      </c>
      <c r="J70" t="n">
        <v>5</v>
      </c>
      <c r="N70" t="n">
        <v>0.08</v>
      </c>
      <c r="O70" t="inlineStr">
        <is>
          <t>cab</t>
        </is>
      </c>
      <c r="P70" t="inlineStr">
        <is>
          <t>cab</t>
        </is>
      </c>
      <c r="Q70" t="inlineStr">
        <is>
          <t>1;2</t>
        </is>
      </c>
      <c r="R70" t="inlineStr">
        <is>
          <t>Part_cab</t>
        </is>
      </c>
      <c r="T70" t="n">
        <v>3</v>
      </c>
      <c r="Z70" t="inlineStr">
        <is>
          <t>wreck_stump</t>
        </is>
      </c>
      <c r="AA70" t="inlineStr">
        <is>
          <t>Assets/MachineBrigade/Resources/Data/balance.json: vehicles[162].parts[7]</t>
        </is>
      </c>
      <c r="AB70" t="inlineStr">
        <is>
          <t>{"id":"cab","kind":"cab","node":"Part_cab","hp":0.08,"armour":2,"wreck":"wreck_stump","at":[-3.6,9.5,5],"radius":3,"mounts":[1,2]}</t>
        </is>
      </c>
    </row>
    <row r="71">
      <c r="A71" t="inlineStr">
        <is>
          <t>ixion/gun</t>
        </is>
      </c>
      <c r="B71" t="inlineStr">
        <is>
          <t>ixion</t>
        </is>
      </c>
      <c r="C71" t="n">
        <v>6</v>
      </c>
      <c r="G71" t="n">
        <v>3</v>
      </c>
      <c r="H71" t="n">
        <v>0</v>
      </c>
      <c r="I71" t="n">
        <v>-1.5</v>
      </c>
      <c r="J71" t="n">
        <v>6.5</v>
      </c>
      <c r="N71" t="n">
        <v>0.12</v>
      </c>
      <c r="O71" t="inlineStr">
        <is>
          <t>gun</t>
        </is>
      </c>
      <c r="P71" t="inlineStr">
        <is>
          <t>hulltower</t>
        </is>
      </c>
      <c r="Q71" t="inlineStr">
        <is>
          <t>0</t>
        </is>
      </c>
      <c r="R71" t="inlineStr">
        <is>
          <t>Turret</t>
        </is>
      </c>
      <c r="T71" t="n">
        <v>3.2</v>
      </c>
      <c r="Z71" t="inlineStr">
        <is>
          <t>wreck_turret</t>
        </is>
      </c>
      <c r="AA71" t="inlineStr">
        <is>
          <t>Assets/MachineBrigade/Resources/Data/balance.json: vehicles[162].parts[6]</t>
        </is>
      </c>
      <c r="AB71" t="inlineStr">
        <is>
          <t>{"id":"gun","kind":"hulltower","hp":0.12,"armour":3,"node":"Turret","wreck":"wreck_turret","at":[0,-1.5,6.5],"radius":3.2,"mounts":[0]}</t>
        </is>
      </c>
    </row>
    <row r="72">
      <c r="A72" t="inlineStr">
        <is>
          <t>ixion/rear_l1</t>
        </is>
      </c>
      <c r="B72" t="inlineStr">
        <is>
          <t>ixion</t>
        </is>
      </c>
      <c r="C72" t="n">
        <v>2</v>
      </c>
      <c r="G72" t="n">
        <v>1</v>
      </c>
      <c r="H72" t="n">
        <v>-5.4</v>
      </c>
      <c r="I72" t="n">
        <v>-3</v>
      </c>
      <c r="J72" t="n">
        <v>1.8</v>
      </c>
      <c r="N72" t="n">
        <v>0.035</v>
      </c>
      <c r="O72" t="inlineStr">
        <is>
          <t>rear_l1</t>
        </is>
      </c>
      <c r="P72" t="inlineStr">
        <is>
          <t>reartyre</t>
        </is>
      </c>
      <c r="R72" t="inlineStr">
        <is>
          <t>Part_tyre</t>
        </is>
      </c>
      <c r="T72" t="n">
        <v>2.6</v>
      </c>
      <c r="V72" t="n">
        <v>0.9</v>
      </c>
      <c r="Y72" t="n">
        <v>0.9</v>
      </c>
      <c r="Z72" t="inlineStr">
        <is>
          <t>wreck_stump</t>
        </is>
      </c>
      <c r="AA72" t="inlineStr">
        <is>
          <t>Assets/MachineBrigade/Resources/Data/balance.json: vehicles[162].parts[2]</t>
        </is>
      </c>
      <c r="AB72" t="inlineStr">
        <is>
          <t>{"id":"rear_l1","kind":"reartyre","node":"Part_tyre","hp":0.035,"armour":1,"wreck":"wreck_stump","at":[-5.4,-3,1.8],"radius":2.6,"speed":0.9,"turn":0.9}</t>
        </is>
      </c>
    </row>
    <row r="73">
      <c r="A73" t="inlineStr">
        <is>
          <t>ixion/rear_l2</t>
        </is>
      </c>
      <c r="B73" t="inlineStr">
        <is>
          <t>ixion</t>
        </is>
      </c>
      <c r="C73" t="n">
        <v>4</v>
      </c>
      <c r="G73" t="n">
        <v>1</v>
      </c>
      <c r="H73" t="n">
        <v>-5.4</v>
      </c>
      <c r="I73" t="n">
        <v>-9</v>
      </c>
      <c r="J73" t="n">
        <v>1.8</v>
      </c>
      <c r="N73" t="n">
        <v>0.035</v>
      </c>
      <c r="O73" t="inlineStr">
        <is>
          <t>rear_l2</t>
        </is>
      </c>
      <c r="P73" t="inlineStr">
        <is>
          <t>reartyre</t>
        </is>
      </c>
      <c r="R73" t="inlineStr">
        <is>
          <t>Part_tyre.002</t>
        </is>
      </c>
      <c r="T73" t="n">
        <v>2.6</v>
      </c>
      <c r="V73" t="n">
        <v>0.9</v>
      </c>
      <c r="Y73" t="n">
        <v>0.9</v>
      </c>
      <c r="Z73" t="inlineStr">
        <is>
          <t>wreck_stump</t>
        </is>
      </c>
      <c r="AA73" t="inlineStr">
        <is>
          <t>Assets/MachineBrigade/Resources/Data/balance.json: vehicles[162].parts[4]</t>
        </is>
      </c>
      <c r="AB73" t="inlineStr">
        <is>
          <t>{"id":"rear_l2","kind":"reartyre","node":"Part_tyre.002","hp":0.035,"armour":1,"wreck":"wreck_stump","at":[-5.4,-9,1.8],"radius":2.6,"speed":0.9,"turn":0.9}</t>
        </is>
      </c>
    </row>
    <row r="74">
      <c r="A74" t="inlineStr">
        <is>
          <t>ixion/rear_r1</t>
        </is>
      </c>
      <c r="B74" t="inlineStr">
        <is>
          <t>ixion</t>
        </is>
      </c>
      <c r="C74" t="n">
        <v>3</v>
      </c>
      <c r="G74" t="n">
        <v>1</v>
      </c>
      <c r="H74" t="n">
        <v>5.4</v>
      </c>
      <c r="I74" t="n">
        <v>-3</v>
      </c>
      <c r="J74" t="n">
        <v>1.8</v>
      </c>
      <c r="N74" t="n">
        <v>0.035</v>
      </c>
      <c r="O74" t="inlineStr">
        <is>
          <t>rear_r1</t>
        </is>
      </c>
      <c r="P74" t="inlineStr">
        <is>
          <t>reartyre</t>
        </is>
      </c>
      <c r="R74" t="inlineStr">
        <is>
          <t>Part_tyre.001</t>
        </is>
      </c>
      <c r="T74" t="n">
        <v>2.6</v>
      </c>
      <c r="V74" t="n">
        <v>0.9</v>
      </c>
      <c r="Y74" t="n">
        <v>0.9</v>
      </c>
      <c r="Z74" t="inlineStr">
        <is>
          <t>wreck_stump</t>
        </is>
      </c>
      <c r="AA74" t="inlineStr">
        <is>
          <t>Assets/MachineBrigade/Resources/Data/balance.json: vehicles[162].parts[3]</t>
        </is>
      </c>
      <c r="AB74" t="inlineStr">
        <is>
          <t>{"id":"rear_r1","kind":"reartyre","node":"Part_tyre.001","hp":0.035,"armour":1,"wreck":"wreck_stump","at":[5.4,-3,1.8],"radius":2.6,"speed":0.9,"turn":0.9}</t>
        </is>
      </c>
    </row>
    <row r="75">
      <c r="A75" t="inlineStr">
        <is>
          <t>ixion/rear_r2</t>
        </is>
      </c>
      <c r="B75" t="inlineStr">
        <is>
          <t>ixion</t>
        </is>
      </c>
      <c r="C75" t="n">
        <v>5</v>
      </c>
      <c r="G75" t="n">
        <v>1</v>
      </c>
      <c r="H75" t="n">
        <v>5.4</v>
      </c>
      <c r="I75" t="n">
        <v>-9</v>
      </c>
      <c r="J75" t="n">
        <v>1.8</v>
      </c>
      <c r="N75" t="n">
        <v>0.035</v>
      </c>
      <c r="O75" t="inlineStr">
        <is>
          <t>rear_r2</t>
        </is>
      </c>
      <c r="P75" t="inlineStr">
        <is>
          <t>reartyre</t>
        </is>
      </c>
      <c r="R75" t="inlineStr">
        <is>
          <t>Part_tyre.003</t>
        </is>
      </c>
      <c r="T75" t="n">
        <v>2.6</v>
      </c>
      <c r="V75" t="n">
        <v>0.9</v>
      </c>
      <c r="Y75" t="n">
        <v>0.9</v>
      </c>
      <c r="Z75" t="inlineStr">
        <is>
          <t>wreck_stump</t>
        </is>
      </c>
      <c r="AA75" t="inlineStr">
        <is>
          <t>Assets/MachineBrigade/Resources/Data/balance.json: vehicles[162].parts[5]</t>
        </is>
      </c>
      <c r="AB75" t="inlineStr">
        <is>
          <t>{"id":"rear_r2","kind":"reartyre","node":"Part_tyre.003","hp":0.035,"armour":1,"wreck":"wreck_stump","at":[5.4,-9,1.8],"radius":2.6,"speed":0.9,"turn":0.9}</t>
        </is>
      </c>
    </row>
    <row r="76">
      <c r="A76" t="inlineStr">
        <is>
          <t>ixion/wheel_l</t>
        </is>
      </c>
      <c r="B76" t="inlineStr">
        <is>
          <t>ixion</t>
        </is>
      </c>
      <c r="C76" t="n">
        <v>0</v>
      </c>
      <c r="G76" t="n">
        <v>3</v>
      </c>
      <c r="H76" t="n">
        <v>-5.4</v>
      </c>
      <c r="I76" t="n">
        <v>8.5</v>
      </c>
      <c r="J76" t="n">
        <v>1.8</v>
      </c>
      <c r="N76" t="n">
        <v>0.07000000000000001</v>
      </c>
      <c r="O76" t="inlineStr">
        <is>
          <t>wheel_l</t>
        </is>
      </c>
      <c r="P76" t="inlineStr">
        <is>
          <t>wheel</t>
        </is>
      </c>
      <c r="R76" t="inlineStr">
        <is>
          <t>Part_wheel</t>
        </is>
      </c>
      <c r="S76" t="inlineStr">
        <is>
          <t>radio.part.wheel</t>
        </is>
      </c>
      <c r="T76" t="n">
        <v>2.8</v>
      </c>
      <c r="V76" t="n">
        <v>0.6</v>
      </c>
      <c r="Y76" t="n">
        <v>0.5</v>
      </c>
      <c r="Z76" t="inlineStr">
        <is>
          <t>wreck_engine</t>
        </is>
      </c>
      <c r="AA76" t="inlineStr">
        <is>
          <t>Assets/MachineBrigade/Resources/Data/balance.json: vehicles[162].parts[0]</t>
        </is>
      </c>
      <c r="AB76" t="inlineStr">
        <is>
          <t>{"id":"wheel_l","kind":"wheel","node":"Part_wheel","hp":0.07,"armour":3,"wreck":"wreck_engine","at":[-5.4,8.5,1.8],"radius":2.8,"speed":0.6,"turn":0.5,"radio":"radio.part.wheel"}</t>
        </is>
      </c>
    </row>
    <row r="77">
      <c r="A77" t="inlineStr">
        <is>
          <t>ixion/wheel_r</t>
        </is>
      </c>
      <c r="B77" t="inlineStr">
        <is>
          <t>ixion</t>
        </is>
      </c>
      <c r="C77" t="n">
        <v>1</v>
      </c>
      <c r="G77" t="n">
        <v>3</v>
      </c>
      <c r="H77" t="n">
        <v>5.4</v>
      </c>
      <c r="I77" t="n">
        <v>8.5</v>
      </c>
      <c r="J77" t="n">
        <v>1.8</v>
      </c>
      <c r="N77" t="n">
        <v>0.07000000000000001</v>
      </c>
      <c r="O77" t="inlineStr">
        <is>
          <t>wheel_r</t>
        </is>
      </c>
      <c r="P77" t="inlineStr">
        <is>
          <t>wheel</t>
        </is>
      </c>
      <c r="R77" t="inlineStr">
        <is>
          <t>Part_wheel.001</t>
        </is>
      </c>
      <c r="S77" t="inlineStr">
        <is>
          <t>radio.part.wheel</t>
        </is>
      </c>
      <c r="T77" t="n">
        <v>2.8</v>
      </c>
      <c r="V77" t="n">
        <v>0.6</v>
      </c>
      <c r="Y77" t="n">
        <v>0.5</v>
      </c>
      <c r="Z77" t="inlineStr">
        <is>
          <t>wreck_engine</t>
        </is>
      </c>
      <c r="AA77" t="inlineStr">
        <is>
          <t>Assets/MachineBrigade/Resources/Data/balance.json: vehicles[162].parts[1]</t>
        </is>
      </c>
      <c r="AB77" t="inlineStr">
        <is>
          <t>{"id":"wheel_r","kind":"wheel","node":"Part_wheel.001","hp":0.07,"armour":3,"wreck":"wreck_engine","at":[5.4,8.5,1.8],"radius":2.8,"speed":0.6,"turn":0.5,"radio":"radio.part.wheel"}</t>
        </is>
      </c>
    </row>
    <row r="78">
      <c r="A78" t="inlineStr">
        <is>
          <t>landing_hovercraft/ciws_l</t>
        </is>
      </c>
      <c r="B78" t="inlineStr">
        <is>
          <t>landing_hovercraft</t>
        </is>
      </c>
      <c r="C78" t="n">
        <v>5</v>
      </c>
      <c r="G78" t="n">
        <v>2</v>
      </c>
      <c r="H78" t="n">
        <v>-5.3</v>
      </c>
      <c r="I78" t="n">
        <v>-3.7</v>
      </c>
      <c r="J78" t="n">
        <v>4.8</v>
      </c>
      <c r="N78" t="n">
        <v>0.07000000000000001</v>
      </c>
      <c r="O78" t="inlineStr">
        <is>
          <t>ciws_l</t>
        </is>
      </c>
      <c r="P78" t="inlineStr">
        <is>
          <t>ciws</t>
        </is>
      </c>
      <c r="Q78" t="inlineStr">
        <is>
          <t>2</t>
        </is>
      </c>
      <c r="R78" t="inlineStr">
        <is>
          <t>Part_mg</t>
        </is>
      </c>
      <c r="T78" t="n">
        <v>1.8</v>
      </c>
      <c r="X78" t="inlineStr">
        <is>
          <t>aps</t>
        </is>
      </c>
      <c r="Z78" t="inlineStr">
        <is>
          <t>wreck_turret</t>
        </is>
      </c>
      <c r="AA78" t="inlineStr">
        <is>
          <t>Assets/MachineBrigade/Resources/Data/balance.json: vehicles[152].parts[5]</t>
        </is>
      </c>
      <c r="AB78" t="inlineStr">
        <is>
          <t>{"id":"ciws_l","kind":"ciws","hp":0.07,"armour":2,"node":"Part_mg","wreck":"wreck_turret","at":[-5.3,-3.7,4.8],"radius":1.8,"mounts":[2],"stops":["aps"]}</t>
        </is>
      </c>
    </row>
    <row r="79">
      <c r="A79" t="inlineStr">
        <is>
          <t>landing_hovercraft/ciws_r</t>
        </is>
      </c>
      <c r="B79" t="inlineStr">
        <is>
          <t>landing_hovercraft</t>
        </is>
      </c>
      <c r="C79" t="n">
        <v>6</v>
      </c>
      <c r="G79" t="n">
        <v>2</v>
      </c>
      <c r="H79" t="n">
        <v>5.3</v>
      </c>
      <c r="I79" t="n">
        <v>-3.7</v>
      </c>
      <c r="J79" t="n">
        <v>4.8</v>
      </c>
      <c r="N79" t="n">
        <v>0.07000000000000001</v>
      </c>
      <c r="O79" t="inlineStr">
        <is>
          <t>ciws_r</t>
        </is>
      </c>
      <c r="P79" t="inlineStr">
        <is>
          <t>ciws</t>
        </is>
      </c>
      <c r="Q79" t="inlineStr">
        <is>
          <t>3</t>
        </is>
      </c>
      <c r="R79" t="inlineStr">
        <is>
          <t>Part_mg.001</t>
        </is>
      </c>
      <c r="T79" t="n">
        <v>1.8</v>
      </c>
      <c r="X79" t="inlineStr">
        <is>
          <t>aps</t>
        </is>
      </c>
      <c r="Z79" t="inlineStr">
        <is>
          <t>wreck_turret</t>
        </is>
      </c>
      <c r="AA79" t="inlineStr">
        <is>
          <t>Assets/MachineBrigade/Resources/Data/balance.json: vehicles[152].parts[6]</t>
        </is>
      </c>
      <c r="AB79" t="inlineStr">
        <is>
          <t>{"id":"ciws_r","kind":"ciws","hp":0.07,"armour":2,"node":"Part_mg.001","wreck":"wreck_turret","at":[5.3,-3.7,4.8],"radius":1.8,"mounts":[3],"stops":["aps"]}</t>
        </is>
      </c>
    </row>
    <row r="80">
      <c r="A80" t="inlineStr">
        <is>
          <t>landing_hovercraft/fan_l</t>
        </is>
      </c>
      <c r="B80" t="inlineStr">
        <is>
          <t>landing_hovercraft</t>
        </is>
      </c>
      <c r="C80" t="n">
        <v>1</v>
      </c>
      <c r="G80" t="n">
        <v>1</v>
      </c>
      <c r="H80" t="n">
        <v>-5.3</v>
      </c>
      <c r="I80" t="n">
        <v>-10.9</v>
      </c>
      <c r="J80" t="n">
        <v>6.5</v>
      </c>
      <c r="N80" t="n">
        <v>0.07000000000000001</v>
      </c>
      <c r="O80" t="inlineStr">
        <is>
          <t>fan_l</t>
        </is>
      </c>
      <c r="P80" t="inlineStr">
        <is>
          <t>fan</t>
        </is>
      </c>
      <c r="R80" t="inlineStr">
        <is>
          <t>Part_fan</t>
        </is>
      </c>
      <c r="T80" t="n">
        <v>3</v>
      </c>
      <c r="V80" t="n">
        <v>0.7</v>
      </c>
      <c r="Z80" t="inlineStr">
        <is>
          <t>wreck_engine</t>
        </is>
      </c>
      <c r="AA80" t="inlineStr">
        <is>
          <t>Assets/MachineBrigade/Resources/Data/balance.json: vehicles[152].parts[1]</t>
        </is>
      </c>
      <c r="AB80" t="inlineStr">
        <is>
          <t>{"id":"fan_l","kind":"fan","hp":0.07,"armour":1,"node":"Part_fan","wreck":"wreck_engine","at":[-5.3,-10.9,6.5],"radius":3.0,"speed":0.7}</t>
        </is>
      </c>
    </row>
    <row r="81">
      <c r="A81" t="inlineStr">
        <is>
          <t>landing_hovercraft/fan_r</t>
        </is>
      </c>
      <c r="B81" t="inlineStr">
        <is>
          <t>landing_hovercraft</t>
        </is>
      </c>
      <c r="C81" t="n">
        <v>2</v>
      </c>
      <c r="G81" t="n">
        <v>1</v>
      </c>
      <c r="H81" t="n">
        <v>5.3</v>
      </c>
      <c r="I81" t="n">
        <v>-10.9</v>
      </c>
      <c r="J81" t="n">
        <v>6.5</v>
      </c>
      <c r="N81" t="n">
        <v>0.07000000000000001</v>
      </c>
      <c r="O81" t="inlineStr">
        <is>
          <t>fan_r</t>
        </is>
      </c>
      <c r="P81" t="inlineStr">
        <is>
          <t>fan</t>
        </is>
      </c>
      <c r="R81" t="inlineStr">
        <is>
          <t>Part_fan.001</t>
        </is>
      </c>
      <c r="T81" t="n">
        <v>3</v>
      </c>
      <c r="V81" t="n">
        <v>0.7</v>
      </c>
      <c r="Z81" t="inlineStr">
        <is>
          <t>wreck_engine</t>
        </is>
      </c>
      <c r="AA81" t="inlineStr">
        <is>
          <t>Assets/MachineBrigade/Resources/Data/balance.json: vehicles[152].parts[2]</t>
        </is>
      </c>
      <c r="AB81" t="inlineStr">
        <is>
          <t>{"id":"fan_r","kind":"fan","hp":0.07,"armour":1,"node":"Part_fan.001","wreck":"wreck_engine","at":[5.3,-10.9,6.5],"radius":3.0,"speed":0.7}</t>
        </is>
      </c>
    </row>
    <row r="82">
      <c r="A82" t="inlineStr">
        <is>
          <t>landing_hovercraft/gun_l</t>
        </is>
      </c>
      <c r="B82" t="inlineStr">
        <is>
          <t>landing_hovercraft</t>
        </is>
      </c>
      <c r="C82" t="n">
        <v>3</v>
      </c>
      <c r="G82" t="n">
        <v>3</v>
      </c>
      <c r="H82" t="n">
        <v>-5.3</v>
      </c>
      <c r="I82" t="n">
        <v>6.4</v>
      </c>
      <c r="J82" t="n">
        <v>4.3</v>
      </c>
      <c r="N82" t="n">
        <v>0.07000000000000001</v>
      </c>
      <c r="O82" t="inlineStr">
        <is>
          <t>gun_l</t>
        </is>
      </c>
      <c r="P82" t="inlineStr">
        <is>
          <t>gun</t>
        </is>
      </c>
      <c r="Q82" t="inlineStr">
        <is>
          <t>0</t>
        </is>
      </c>
      <c r="R82" t="inlineStr">
        <is>
          <t>Part_gun</t>
        </is>
      </c>
      <c r="T82" t="n">
        <v>1.8</v>
      </c>
      <c r="Z82" t="inlineStr">
        <is>
          <t>wreck_turret</t>
        </is>
      </c>
      <c r="AA82" t="inlineStr">
        <is>
          <t>Assets/MachineBrigade/Resources/Data/balance.json: vehicles[152].parts[3]</t>
        </is>
      </c>
      <c r="AB82" t="inlineStr">
        <is>
          <t>{"id":"gun_l","kind":"gun","hp":0.07,"armour":3,"node":"Part_gun","wreck":"wreck_turret","at":[-5.3,6.4,4.3],"radius":1.8,"mounts":[0]}</t>
        </is>
      </c>
    </row>
    <row r="83">
      <c r="A83" t="inlineStr">
        <is>
          <t>landing_hovercraft/gun_r</t>
        </is>
      </c>
      <c r="B83" t="inlineStr">
        <is>
          <t>landing_hovercraft</t>
        </is>
      </c>
      <c r="C83" t="n">
        <v>4</v>
      </c>
      <c r="G83" t="n">
        <v>3</v>
      </c>
      <c r="H83" t="n">
        <v>5.3</v>
      </c>
      <c r="I83" t="n">
        <v>3</v>
      </c>
      <c r="J83" t="n">
        <v>4.3</v>
      </c>
      <c r="N83" t="n">
        <v>0.07000000000000001</v>
      </c>
      <c r="O83" t="inlineStr">
        <is>
          <t>gun_r</t>
        </is>
      </c>
      <c r="P83" t="inlineStr">
        <is>
          <t>gun</t>
        </is>
      </c>
      <c r="Q83" t="inlineStr">
        <is>
          <t>1</t>
        </is>
      </c>
      <c r="R83" t="inlineStr">
        <is>
          <t>Part_gun.001</t>
        </is>
      </c>
      <c r="T83" t="n">
        <v>1.8</v>
      </c>
      <c r="Z83" t="inlineStr">
        <is>
          <t>wreck_turret</t>
        </is>
      </c>
      <c r="AA83" t="inlineStr">
        <is>
          <t>Assets/MachineBrigade/Resources/Data/balance.json: vehicles[152].parts[4]</t>
        </is>
      </c>
      <c r="AB83" t="inlineStr">
        <is>
          <t>{"id":"gun_r","kind":"gun","hp":0.07,"armour":3,"node":"Part_gun.001","wreck":"wreck_turret","at":[5.3,3.0,4.3],"radius":1.8,"mounts":[1]}</t>
        </is>
      </c>
    </row>
    <row r="84">
      <c r="A84" t="inlineStr">
        <is>
          <t>landing_hovercraft/ramp</t>
        </is>
      </c>
      <c r="B84" t="inlineStr">
        <is>
          <t>landing_hovercraft</t>
        </is>
      </c>
      <c r="C84" t="n">
        <v>0</v>
      </c>
      <c r="G84" t="n">
        <v>3</v>
      </c>
      <c r="H84" t="n">
        <v>0</v>
      </c>
      <c r="I84" t="n">
        <v>12.5</v>
      </c>
      <c r="J84" t="n">
        <v>2.3</v>
      </c>
      <c r="N84" t="n">
        <v>0.12</v>
      </c>
      <c r="O84" t="inlineStr">
        <is>
          <t>ramp</t>
        </is>
      </c>
      <c r="P84" t="inlineStr">
        <is>
          <t>ramp</t>
        </is>
      </c>
      <c r="R84" t="inlineStr">
        <is>
          <t>Part_ramp</t>
        </is>
      </c>
      <c r="S84" t="inlineStr">
        <is>
          <t>radio.part.ramp</t>
        </is>
      </c>
      <c r="T84" t="n">
        <v>3</v>
      </c>
      <c r="X84" t="inlineStr">
        <is>
          <t>landing</t>
        </is>
      </c>
      <c r="Z84" t="inlineStr">
        <is>
          <t>wreck_stump</t>
        </is>
      </c>
      <c r="AA84" t="inlineStr">
        <is>
          <t>Assets/MachineBrigade/Resources/Data/balance.json: vehicles[152].parts[0]</t>
        </is>
      </c>
      <c r="AB84" t="inlineStr">
        <is>
          <t>{"id":"ramp","kind":"ramp","hp":0.12,"armour":3,"node":"Part_ramp","wreck":"wreck_stump","at":[0,12.5,2.3],"radius":3.0,"stops":["landing"],"radio":"radio.part.ramp"}</t>
        </is>
      </c>
    </row>
    <row r="85">
      <c r="A85" t="inlineStr">
        <is>
          <t>landing_hovercraft/rockets_l</t>
        </is>
      </c>
      <c r="B85" t="inlineStr">
        <is>
          <t>landing_hovercraft</t>
        </is>
      </c>
      <c r="C85" t="n">
        <v>7</v>
      </c>
      <c r="G85" t="n">
        <v>2</v>
      </c>
      <c r="H85" t="n">
        <v>-5.3</v>
      </c>
      <c r="I85" t="n">
        <v>11.2</v>
      </c>
      <c r="J85" t="n">
        <v>4.6</v>
      </c>
      <c r="N85" t="n">
        <v>0.07000000000000001</v>
      </c>
      <c r="O85" t="inlineStr">
        <is>
          <t>rockets_l</t>
        </is>
      </c>
      <c r="P85" t="inlineStr">
        <is>
          <t>rockets</t>
        </is>
      </c>
      <c r="Q85" t="inlineStr">
        <is>
          <t>4</t>
        </is>
      </c>
      <c r="R85" t="inlineStr">
        <is>
          <t>Part_rocket</t>
        </is>
      </c>
      <c r="T85" t="n">
        <v>1.8</v>
      </c>
      <c r="Z85" t="inlineStr">
        <is>
          <t>wreck_launcher</t>
        </is>
      </c>
      <c r="AA85" t="inlineStr">
        <is>
          <t>Assets/MachineBrigade/Resources/Data/balance.json: vehicles[152].parts[7]</t>
        </is>
      </c>
      <c r="AB85" t="inlineStr">
        <is>
          <t>{"id":"rockets_l","kind":"rockets","hp":0.07,"armour":2,"node":"Part_rocket","wreck":"wreck_launcher","at":[-5.3,11.2,4.6],"radius":1.8,"mounts":[4]}</t>
        </is>
      </c>
    </row>
    <row r="86">
      <c r="A86" t="inlineStr">
        <is>
          <t>landing_hovercraft/rockets_r</t>
        </is>
      </c>
      <c r="B86" t="inlineStr">
        <is>
          <t>landing_hovercraft</t>
        </is>
      </c>
      <c r="C86" t="n">
        <v>8</v>
      </c>
      <c r="G86" t="n">
        <v>2</v>
      </c>
      <c r="H86" t="n">
        <v>5.3</v>
      </c>
      <c r="I86" t="n">
        <v>11.2</v>
      </c>
      <c r="J86" t="n">
        <v>4.6</v>
      </c>
      <c r="N86" t="n">
        <v>0.07000000000000001</v>
      </c>
      <c r="O86" t="inlineStr">
        <is>
          <t>rockets_r</t>
        </is>
      </c>
      <c r="P86" t="inlineStr">
        <is>
          <t>rockets</t>
        </is>
      </c>
      <c r="Q86" t="inlineStr">
        <is>
          <t>5</t>
        </is>
      </c>
      <c r="R86" t="inlineStr">
        <is>
          <t>Part_rocket.001</t>
        </is>
      </c>
      <c r="T86" t="n">
        <v>1.8</v>
      </c>
      <c r="Z86" t="inlineStr">
        <is>
          <t>wreck_launcher</t>
        </is>
      </c>
      <c r="AA86" t="inlineStr">
        <is>
          <t>Assets/MachineBrigade/Resources/Data/balance.json: vehicles[152].parts[8]</t>
        </is>
      </c>
      <c r="AB86" t="inlineStr">
        <is>
          <t>{"id":"rockets_r","kind":"rockets","hp":0.07,"armour":2,"node":"Part_rocket.001","wreck":"wreck_launcher","at":[5.3,11.2,4.6],"radius":1.8,"mounts":[5]}</t>
        </is>
      </c>
    </row>
    <row r="87">
      <c r="A87" t="inlineStr">
        <is>
          <t>leviathan/aa_port</t>
        </is>
      </c>
      <c r="B87" t="inlineStr">
        <is>
          <t>leviathan</t>
        </is>
      </c>
      <c r="C87" t="n">
        <v>6</v>
      </c>
      <c r="G87" t="n">
        <v>1</v>
      </c>
      <c r="H87" t="n">
        <v>-6.1</v>
      </c>
      <c r="I87" t="n">
        <v>-4.5</v>
      </c>
      <c r="J87" t="n">
        <v>4.6</v>
      </c>
      <c r="N87" t="n">
        <v>0.05</v>
      </c>
      <c r="O87" t="inlineStr">
        <is>
          <t>aa_port</t>
        </is>
      </c>
      <c r="P87" t="inlineStr">
        <is>
          <t>flak</t>
        </is>
      </c>
      <c r="Q87" t="inlineStr">
        <is>
          <t>7;8;9;10</t>
        </is>
      </c>
      <c r="R87" t="inlineStr">
        <is>
          <t>Part_aa_l</t>
        </is>
      </c>
      <c r="T87" t="n">
        <v>5</v>
      </c>
      <c r="Z87" t="inlineStr">
        <is>
          <t>wreck_turret</t>
        </is>
      </c>
      <c r="AA87" t="inlineStr">
        <is>
          <t>Assets/MachineBrigade/Resources/Data/balance.json: vehicles[153].parts[6]</t>
        </is>
      </c>
      <c r="AB87" t="inlineStr">
        <is>
          <t>{"id":"aa_port","kind":"flak","hp":0.05,"armour":1,"node":"Part_aa_l","wreck":"wreck_turret","at":[-6.1,-4.5,4.6],"radius":5.0,"mounts":[7,8,9,10]}</t>
        </is>
      </c>
    </row>
    <row r="88">
      <c r="A88" t="inlineStr">
        <is>
          <t>leviathan/aa_starboard</t>
        </is>
      </c>
      <c r="B88" t="inlineStr">
        <is>
          <t>leviathan</t>
        </is>
      </c>
      <c r="C88" t="n">
        <v>7</v>
      </c>
      <c r="G88" t="n">
        <v>1</v>
      </c>
      <c r="H88" t="n">
        <v>6.1</v>
      </c>
      <c r="I88" t="n">
        <v>-4.5</v>
      </c>
      <c r="J88" t="n">
        <v>4.6</v>
      </c>
      <c r="N88" t="n">
        <v>0.05</v>
      </c>
      <c r="O88" t="inlineStr">
        <is>
          <t>aa_starboard</t>
        </is>
      </c>
      <c r="P88" t="inlineStr">
        <is>
          <t>flak</t>
        </is>
      </c>
      <c r="Q88" t="inlineStr">
        <is>
          <t>11;12;13;14</t>
        </is>
      </c>
      <c r="R88" t="inlineStr">
        <is>
          <t>Part_aa_r</t>
        </is>
      </c>
      <c r="T88" t="n">
        <v>5</v>
      </c>
      <c r="Z88" t="inlineStr">
        <is>
          <t>wreck_turret</t>
        </is>
      </c>
      <c r="AA88" t="inlineStr">
        <is>
          <t>Assets/MachineBrigade/Resources/Data/balance.json: vehicles[153].parts[7]</t>
        </is>
      </c>
      <c r="AB88" t="inlineStr">
        <is>
          <t>{"id":"aa_starboard","kind":"flak","hp":0.05,"armour":1,"node":"Part_aa_r","wreck":"wreck_turret","at":[6.1,-4.5,4.6],"radius":5.0,"mounts":[11,12,13,14]}</t>
        </is>
      </c>
    </row>
    <row r="89">
      <c r="A89" t="inlineStr">
        <is>
          <t>leviathan/ciws_aft</t>
        </is>
      </c>
      <c r="B89" t="inlineStr">
        <is>
          <t>leviathan</t>
        </is>
      </c>
      <c r="C89" t="n">
        <v>9</v>
      </c>
      <c r="G89" t="n">
        <v>2</v>
      </c>
      <c r="H89" t="n">
        <v>-2.6</v>
      </c>
      <c r="I89" t="n">
        <v>-14.8</v>
      </c>
      <c r="J89" t="n">
        <v>7</v>
      </c>
      <c r="N89" t="n">
        <v>0.05</v>
      </c>
      <c r="O89" t="inlineStr">
        <is>
          <t>ciws_aft</t>
        </is>
      </c>
      <c r="P89" t="inlineStr">
        <is>
          <t>ciws</t>
        </is>
      </c>
      <c r="Q89" t="inlineStr">
        <is>
          <t>6</t>
        </is>
      </c>
      <c r="R89" t="inlineStr">
        <is>
          <t>Part_mg.001</t>
        </is>
      </c>
      <c r="S89" t="inlineStr">
        <is>
          <t>radio.part.ciws</t>
        </is>
      </c>
      <c r="T89" t="n">
        <v>1.8</v>
      </c>
      <c r="X89" t="inlineStr">
        <is>
          <t>aps</t>
        </is>
      </c>
      <c r="Z89" t="inlineStr">
        <is>
          <t>wreck_turret</t>
        </is>
      </c>
      <c r="AA89" t="inlineStr">
        <is>
          <t>Assets/MachineBrigade/Resources/Data/balance.json: vehicles[153].parts[9]</t>
        </is>
      </c>
      <c r="AB89" t="inlineStr">
        <is>
          <t>{"id":"ciws_aft","kind":"ciws","hp":0.05,"armour":2,"node":"Part_mg.001","wreck":"wreck_turret","at":[-2.6,-14.8,7.0],"radius":1.8,"mounts":[6],"stops":["aps"],"radio":"radio.part.ciws"}</t>
        </is>
      </c>
    </row>
    <row r="90">
      <c r="A90" t="inlineStr">
        <is>
          <t>leviathan/ciws_fore</t>
        </is>
      </c>
      <c r="B90" t="inlineStr">
        <is>
          <t>leviathan</t>
        </is>
      </c>
      <c r="C90" t="n">
        <v>8</v>
      </c>
      <c r="G90" t="n">
        <v>2</v>
      </c>
      <c r="H90" t="n">
        <v>3.4</v>
      </c>
      <c r="I90" t="n">
        <v>3.4</v>
      </c>
      <c r="J90" t="n">
        <v>9.9</v>
      </c>
      <c r="N90" t="n">
        <v>0.05</v>
      </c>
      <c r="O90" t="inlineStr">
        <is>
          <t>ciws_fore</t>
        </is>
      </c>
      <c r="P90" t="inlineStr">
        <is>
          <t>ciws</t>
        </is>
      </c>
      <c r="Q90" t="inlineStr">
        <is>
          <t>5</t>
        </is>
      </c>
      <c r="R90" t="inlineStr">
        <is>
          <t>Part_mg</t>
        </is>
      </c>
      <c r="T90" t="n">
        <v>1.8</v>
      </c>
      <c r="X90" t="inlineStr">
        <is>
          <t>aps</t>
        </is>
      </c>
      <c r="Z90" t="inlineStr">
        <is>
          <t>wreck_turret</t>
        </is>
      </c>
      <c r="AA90" t="inlineStr">
        <is>
          <t>Assets/MachineBrigade/Resources/Data/balance.json: vehicles[153].parts[8]</t>
        </is>
      </c>
      <c r="AB90" t="inlineStr">
        <is>
          <t>{"id":"ciws_fore","kind":"ciws","hp":0.05,"armour":2,"node":"Part_mg","wreck":"wreck_turret","at":[3.4,3.4,9.9],"radius":1.8,"mounts":[5],"stops":["aps"]}</t>
        </is>
      </c>
    </row>
    <row r="91">
      <c r="A91" t="inlineStr">
        <is>
          <t>leviathan/flight_deck</t>
        </is>
      </c>
      <c r="B91" t="inlineStr">
        <is>
          <t>leviathan</t>
        </is>
      </c>
      <c r="C91" t="n">
        <v>11</v>
      </c>
      <c r="G91" t="n">
        <v>2</v>
      </c>
      <c r="H91" t="n">
        <v>0</v>
      </c>
      <c r="I91" t="n">
        <v>-36</v>
      </c>
      <c r="J91" t="n">
        <v>3.9</v>
      </c>
      <c r="N91" t="n">
        <v>0.05</v>
      </c>
      <c r="O91" t="inlineStr">
        <is>
          <t>flight_deck</t>
        </is>
      </c>
      <c r="P91" t="inlineStr">
        <is>
          <t>flightdeck</t>
        </is>
      </c>
      <c r="R91" t="inlineStr">
        <is>
          <t>Part_deck</t>
        </is>
      </c>
      <c r="S91" t="inlineStr">
        <is>
          <t>radio.part.flightdeck</t>
        </is>
      </c>
      <c r="T91" t="n">
        <v>5.5</v>
      </c>
      <c r="U91" t="inlineStr">
        <is>
          <t>leviathan_helos</t>
        </is>
      </c>
      <c r="Z91" t="inlineStr">
        <is>
          <t>wreck_stump</t>
        </is>
      </c>
      <c r="AA91" t="inlineStr">
        <is>
          <t>Assets/MachineBrigade/Resources/Data/balance.json: vehicles[153].parts[11]</t>
        </is>
      </c>
      <c r="AB91" t="inlineStr">
        <is>
          <t>{"id":"flight_deck","kind":"flightdeck","hp":0.05,"armour":2,"node":"Part_deck","wreck":"wreck_stump","at":[0,-36.0,3.9],"radius":5.5,"skills":["leviathan_helos"],"radio":"radio.part.flightdeck"}</t>
        </is>
      </c>
    </row>
    <row r="92">
      <c r="A92" t="inlineStr">
        <is>
          <t>leviathan/machinery</t>
        </is>
      </c>
      <c r="B92" t="inlineStr">
        <is>
          <t>leviathan</t>
        </is>
      </c>
      <c r="C92" t="n">
        <v>13</v>
      </c>
      <c r="G92" t="n">
        <v>3</v>
      </c>
      <c r="H92" t="n">
        <v>0</v>
      </c>
      <c r="I92" t="n">
        <v>-8.5</v>
      </c>
      <c r="J92" t="n">
        <v>11.5</v>
      </c>
      <c r="N92" t="n">
        <v>0.05</v>
      </c>
      <c r="O92" t="inlineStr">
        <is>
          <t>machinery</t>
        </is>
      </c>
      <c r="P92" t="inlineStr">
        <is>
          <t>engine</t>
        </is>
      </c>
      <c r="R92" t="inlineStr">
        <is>
          <t>Part_engine</t>
        </is>
      </c>
      <c r="S92" t="inlineStr">
        <is>
          <t>radio.part.machinery</t>
        </is>
      </c>
      <c r="T92" t="n">
        <v>3.2</v>
      </c>
      <c r="V92" t="n">
        <v>0.65</v>
      </c>
      <c r="Z92" t="inlineStr">
        <is>
          <t>wreck_engine</t>
        </is>
      </c>
      <c r="AA92" t="inlineStr">
        <is>
          <t>Assets/MachineBrigade/Resources/Data/balance.json: vehicles[153].parts[13]</t>
        </is>
      </c>
      <c r="AB92" t="inlineStr">
        <is>
          <t>{"id":"machinery","kind":"engine","hp":0.05,"armour":3,"node":"Part_engine","wreck":"wreck_engine","at":[0,-8.5,11.5],"radius":3.2,"speed":0.65,"radio":"radio.part.machinery"}</t>
        </is>
      </c>
    </row>
    <row r="93">
      <c r="A93" t="inlineStr">
        <is>
          <t>leviathan/radar</t>
        </is>
      </c>
      <c r="B93" t="inlineStr">
        <is>
          <t>leviathan</t>
        </is>
      </c>
      <c r="C93" t="n">
        <v>10</v>
      </c>
      <c r="E93" t="inlineStr">
        <is>
          <t>5;6</t>
        </is>
      </c>
      <c r="G93" t="n">
        <v>1</v>
      </c>
      <c r="H93" t="n">
        <v>0</v>
      </c>
      <c r="I93" t="n">
        <v>1</v>
      </c>
      <c r="J93" t="n">
        <v>19.5</v>
      </c>
      <c r="M93" t="inlineStr">
        <is>
          <t>energy</t>
        </is>
      </c>
      <c r="N93" t="n">
        <v>0.05</v>
      </c>
      <c r="O93" t="inlineStr">
        <is>
          <t>radar</t>
        </is>
      </c>
      <c r="P93" t="inlineStr">
        <is>
          <t>radar</t>
        </is>
      </c>
      <c r="Q93" t="inlineStr">
        <is>
          <t>15</t>
        </is>
      </c>
      <c r="R93" t="inlineStr">
        <is>
          <t>Part_radar</t>
        </is>
      </c>
      <c r="S93" t="inlineStr">
        <is>
          <t>radio.part.radar</t>
        </is>
      </c>
      <c r="T93" t="n">
        <v>2.6</v>
      </c>
      <c r="W93" t="n">
        <v>2</v>
      </c>
      <c r="X93" t="inlineStr">
        <is>
          <t>radar</t>
        </is>
      </c>
      <c r="Z93" t="inlineStr">
        <is>
          <t>wreck_stump</t>
        </is>
      </c>
      <c r="AA93" t="inlineStr">
        <is>
          <t>Assets/MachineBrigade/Resources/Data/balance.json: vehicles[153].parts[10]</t>
        </is>
      </c>
      <c r="AB93" t="inlineStr">
        <is>
          <t>{"id":"radar","mounts":[15],"kind":"radar","hp":0.05,"armour":1,"node":"Part_radar","wreck":"wreck_stump","at":[0,1.0,19.5],"radius":2.6,"stops":["radar"],"spread":2,"affects":[5,6],"fx":"energy","radio":"radio.part.radar"}</t>
        </is>
      </c>
    </row>
    <row r="94">
      <c r="A94" t="inlineStr">
        <is>
          <t>leviathan/sec_aft</t>
        </is>
      </c>
      <c r="B94" t="inlineStr">
        <is>
          <t>leviathan</t>
        </is>
      </c>
      <c r="C94" t="n">
        <v>4</v>
      </c>
      <c r="G94" t="n">
        <v>2</v>
      </c>
      <c r="H94" t="n">
        <v>0</v>
      </c>
      <c r="I94" t="n">
        <v>-19.8</v>
      </c>
      <c r="J94" t="n">
        <v>7.7</v>
      </c>
      <c r="N94" t="n">
        <v>0.05</v>
      </c>
      <c r="O94" t="inlineStr">
        <is>
          <t>sec_aft</t>
        </is>
      </c>
      <c r="P94" t="inlineStr">
        <is>
          <t>gun</t>
        </is>
      </c>
      <c r="Q94" t="inlineStr">
        <is>
          <t>4</t>
        </is>
      </c>
      <c r="R94" t="inlineStr">
        <is>
          <t>Part_sec_a</t>
        </is>
      </c>
      <c r="T94" t="n">
        <v>2.4</v>
      </c>
      <c r="Z94" t="inlineStr">
        <is>
          <t>wreck_turret</t>
        </is>
      </c>
      <c r="AA94" t="inlineStr">
        <is>
          <t>Assets/MachineBrigade/Resources/Data/balance.json: vehicles[153].parts[4]</t>
        </is>
      </c>
      <c r="AB94" t="inlineStr">
        <is>
          <t>{"id":"sec_aft","kind":"gun","hp":0.05,"armour":2,"node":"Part_sec_a","wreck":"wreck_turret","at":[0,-19.8,7.7],"radius":2.4,"mounts":[4]}</t>
        </is>
      </c>
    </row>
    <row r="95">
      <c r="A95" t="inlineStr">
        <is>
          <t>leviathan/sec_fore</t>
        </is>
      </c>
      <c r="B95" t="inlineStr">
        <is>
          <t>leviathan</t>
        </is>
      </c>
      <c r="C95" t="n">
        <v>3</v>
      </c>
      <c r="G95" t="n">
        <v>2</v>
      </c>
      <c r="H95" t="n">
        <v>0</v>
      </c>
      <c r="I95" t="n">
        <v>6</v>
      </c>
      <c r="J95" t="n">
        <v>10.5</v>
      </c>
      <c r="N95" t="n">
        <v>0.05</v>
      </c>
      <c r="O95" t="inlineStr">
        <is>
          <t>sec_fore</t>
        </is>
      </c>
      <c r="P95" t="inlineStr">
        <is>
          <t>gun</t>
        </is>
      </c>
      <c r="Q95" t="inlineStr">
        <is>
          <t>3</t>
        </is>
      </c>
      <c r="R95" t="inlineStr">
        <is>
          <t>Part_sec_f</t>
        </is>
      </c>
      <c r="T95" t="n">
        <v>2.4</v>
      </c>
      <c r="Z95" t="inlineStr">
        <is>
          <t>wreck_turret</t>
        </is>
      </c>
      <c r="AA95" t="inlineStr">
        <is>
          <t>Assets/MachineBrigade/Resources/Data/balance.json: vehicles[153].parts[3]</t>
        </is>
      </c>
      <c r="AB95" t="inlineStr">
        <is>
          <t>{"id":"sec_fore","kind":"gun","hp":0.05,"armour":2,"node":"Part_sec_f","wreck":"wreck_turret","at":[0,6.0,10.5],"radius":2.4,"mounts":[3]}</t>
        </is>
      </c>
    </row>
    <row r="96">
      <c r="A96" t="inlineStr">
        <is>
          <t>leviathan/turret_aft</t>
        </is>
      </c>
      <c r="B96" t="inlineStr">
        <is>
          <t>leviathan</t>
        </is>
      </c>
      <c r="C96" t="n">
        <v>2</v>
      </c>
      <c r="G96" t="n">
        <v>4</v>
      </c>
      <c r="H96" t="n">
        <v>0</v>
      </c>
      <c r="I96" t="n">
        <v>-25.6</v>
      </c>
      <c r="J96" t="n">
        <v>5.8</v>
      </c>
      <c r="N96" t="n">
        <v>0.05</v>
      </c>
      <c r="O96" t="inlineStr">
        <is>
          <t>turret_aft</t>
        </is>
      </c>
      <c r="P96" t="inlineStr">
        <is>
          <t>maingun</t>
        </is>
      </c>
      <c r="Q96" t="inlineStr">
        <is>
          <t>2</t>
        </is>
      </c>
      <c r="R96" t="inlineStr">
        <is>
          <t>Part_gun.002</t>
        </is>
      </c>
      <c r="T96" t="n">
        <v>3.8</v>
      </c>
      <c r="Z96" t="inlineStr">
        <is>
          <t>wreck_turret</t>
        </is>
      </c>
      <c r="AA96" t="inlineStr">
        <is>
          <t>Assets/MachineBrigade/Resources/Data/balance.json: vehicles[153].parts[2]</t>
        </is>
      </c>
      <c r="AB96" t="inlineStr">
        <is>
          <t>{"id":"turret_aft","kind":"maingun","hp":0.05,"armour":4,"node":"Part_gun.002","wreck":"wreck_turret","at":[0,-25.6,5.8],"radius":3.8,"mounts":[2]}</t>
        </is>
      </c>
    </row>
    <row r="97">
      <c r="A97" t="inlineStr">
        <is>
          <t>leviathan/turret_fore</t>
        </is>
      </c>
      <c r="B97" t="inlineStr">
        <is>
          <t>leviathan</t>
        </is>
      </c>
      <c r="C97" t="n">
        <v>0</v>
      </c>
      <c r="G97" t="n">
        <v>4</v>
      </c>
      <c r="H97" t="n">
        <v>0</v>
      </c>
      <c r="I97" t="n">
        <v>21.4</v>
      </c>
      <c r="J97" t="n">
        <v>6.4</v>
      </c>
      <c r="N97" t="n">
        <v>0.05</v>
      </c>
      <c r="O97" t="inlineStr">
        <is>
          <t>turret_fore</t>
        </is>
      </c>
      <c r="P97" t="inlineStr">
        <is>
          <t>maingun</t>
        </is>
      </c>
      <c r="Q97" t="inlineStr">
        <is>
          <t>0</t>
        </is>
      </c>
      <c r="R97" t="inlineStr">
        <is>
          <t>Part_gun</t>
        </is>
      </c>
      <c r="S97" t="inlineStr">
        <is>
          <t>radio.part.maingun</t>
        </is>
      </c>
      <c r="T97" t="n">
        <v>3.8</v>
      </c>
      <c r="Z97" t="inlineStr">
        <is>
          <t>wreck_turret</t>
        </is>
      </c>
      <c r="AA97" t="inlineStr">
        <is>
          <t>Assets/MachineBrigade/Resources/Data/balance.json: vehicles[153].parts[0]</t>
        </is>
      </c>
      <c r="AB97" t="inlineStr">
        <is>
          <t>{"id":"turret_fore","kind":"maingun","hp":0.05,"armour":4,"node":"Part_gun","wreck":"wreck_turret","at":[0,21.4,6.4],"radius":3.8,"mounts":[0],"radio":"radio.part.maingun"}</t>
        </is>
      </c>
    </row>
    <row r="98">
      <c r="A98" t="inlineStr">
        <is>
          <t>leviathan/turret_super</t>
        </is>
      </c>
      <c r="B98" t="inlineStr">
        <is>
          <t>leviathan</t>
        </is>
      </c>
      <c r="C98" t="n">
        <v>1</v>
      </c>
      <c r="G98" t="n">
        <v>4</v>
      </c>
      <c r="H98" t="n">
        <v>0</v>
      </c>
      <c r="I98" t="n">
        <v>13</v>
      </c>
      <c r="J98" t="n">
        <v>8.199999999999999</v>
      </c>
      <c r="N98" t="n">
        <v>0.05</v>
      </c>
      <c r="O98" t="inlineStr">
        <is>
          <t>turret_super</t>
        </is>
      </c>
      <c r="P98" t="inlineStr">
        <is>
          <t>maingun</t>
        </is>
      </c>
      <c r="Q98" t="inlineStr">
        <is>
          <t>1</t>
        </is>
      </c>
      <c r="R98" t="inlineStr">
        <is>
          <t>Part_gun.001</t>
        </is>
      </c>
      <c r="T98" t="n">
        <v>3.8</v>
      </c>
      <c r="Z98" t="inlineStr">
        <is>
          <t>wreck_turret</t>
        </is>
      </c>
      <c r="AA98" t="inlineStr">
        <is>
          <t>Assets/MachineBrigade/Resources/Data/balance.json: vehicles[153].parts[1]</t>
        </is>
      </c>
      <c r="AB98" t="inlineStr">
        <is>
          <t>{"id":"turret_super","kind":"maingun","hp":0.05,"armour":4,"node":"Part_gun.001","wreck":"wreck_turret","at":[0,13.0,8.2],"radius":3.8,"mounts":[1]}</t>
        </is>
      </c>
    </row>
    <row r="99">
      <c r="A99" t="inlineStr">
        <is>
          <t>leviathan/vls</t>
        </is>
      </c>
      <c r="B99" t="inlineStr">
        <is>
          <t>leviathan</t>
        </is>
      </c>
      <c r="C99" t="n">
        <v>5</v>
      </c>
      <c r="G99" t="n">
        <v>2</v>
      </c>
      <c r="H99" t="n">
        <v>0</v>
      </c>
      <c r="I99" t="n">
        <v>-5.6</v>
      </c>
      <c r="J99" t="n">
        <v>7.8</v>
      </c>
      <c r="N99" t="n">
        <v>0.05</v>
      </c>
      <c r="O99" t="inlineStr">
        <is>
          <t>vls</t>
        </is>
      </c>
      <c r="P99" t="inlineStr">
        <is>
          <t>vls</t>
        </is>
      </c>
      <c r="R99" t="inlineStr">
        <is>
          <t>Part_vls</t>
        </is>
      </c>
      <c r="S99" t="inlineStr">
        <is>
          <t>radio.part.vls</t>
        </is>
      </c>
      <c r="T99" t="n">
        <v>3.8</v>
      </c>
      <c r="X99" t="inlineStr">
        <is>
          <t>cruise</t>
        </is>
      </c>
      <c r="Z99" t="inlineStr">
        <is>
          <t>wreck_launcher</t>
        </is>
      </c>
      <c r="AA99" t="inlineStr">
        <is>
          <t>Assets/MachineBrigade/Resources/Data/balance.json: vehicles[153].parts[5]</t>
        </is>
      </c>
      <c r="AB99" t="inlineStr">
        <is>
          <t>{"id":"vls","kind":"vls","hp":0.05,"armour":2,"node":"Part_vls","wreck":"wreck_launcher","at":[0,-5.6,7.8],"radius":3.8,"stops":["cruise"],"radio":"radio.part.vls"}</t>
        </is>
      </c>
    </row>
    <row r="100">
      <c r="A100" t="inlineStr">
        <is>
          <t>leviathan/well_deck</t>
        </is>
      </c>
      <c r="B100" t="inlineStr">
        <is>
          <t>leviathan</t>
        </is>
      </c>
      <c r="C100" t="n">
        <v>12</v>
      </c>
      <c r="G100" t="n">
        <v>2</v>
      </c>
      <c r="H100" t="n">
        <v>0</v>
      </c>
      <c r="I100" t="n">
        <v>-42.75</v>
      </c>
      <c r="J100" t="n">
        <v>1.9</v>
      </c>
      <c r="N100" t="n">
        <v>0.05</v>
      </c>
      <c r="O100" t="inlineStr">
        <is>
          <t>well_deck</t>
        </is>
      </c>
      <c r="P100" t="inlineStr">
        <is>
          <t>welldeck</t>
        </is>
      </c>
      <c r="R100" t="inlineStr">
        <is>
          <t>Part_welldeck</t>
        </is>
      </c>
      <c r="S100" t="inlineStr">
        <is>
          <t>radio.part.welldeck</t>
        </is>
      </c>
      <c r="T100" t="n">
        <v>3</v>
      </c>
      <c r="X100" t="inlineStr">
        <is>
          <t>craft</t>
        </is>
      </c>
      <c r="Z100" t="inlineStr">
        <is>
          <t>wreck_stump</t>
        </is>
      </c>
      <c r="AA100" t="inlineStr">
        <is>
          <t>Assets/MachineBrigade/Resources/Data/balance.json: vehicles[153].parts[12]</t>
        </is>
      </c>
      <c r="AB100" t="inlineStr">
        <is>
          <t>{"id":"well_deck","kind":"welldeck","hp":0.05,"armour":2,"node":"Part_welldeck","wreck":"wreck_stump","at":[0,-42.75,1.9],"radius":3.0,"stops":["craft"],"radio":"radio.part.welldeck"}</t>
        </is>
      </c>
    </row>
    <row r="101">
      <c r="A101" t="inlineStr">
        <is>
          <t>mega_gunship/gun_l</t>
        </is>
      </c>
      <c r="B101" t="inlineStr">
        <is>
          <t>mega_gunship</t>
        </is>
      </c>
      <c r="C101" t="n">
        <v>0</v>
      </c>
      <c r="G101" t="n">
        <v>2</v>
      </c>
      <c r="H101" t="n">
        <v>-2.3</v>
      </c>
      <c r="I101" t="n">
        <v>1.05</v>
      </c>
      <c r="J101" t="n">
        <v>0.95</v>
      </c>
      <c r="N101" t="n">
        <v>0.08</v>
      </c>
      <c r="O101" t="inlineStr">
        <is>
          <t>gun_l</t>
        </is>
      </c>
      <c r="P101" t="inlineStr">
        <is>
          <t>gun</t>
        </is>
      </c>
      <c r="Q101" t="inlineStr">
        <is>
          <t>1</t>
        </is>
      </c>
      <c r="R101" t="inlineStr">
        <is>
          <t>Mount_gun</t>
        </is>
      </c>
      <c r="T101" t="n">
        <v>1.5</v>
      </c>
      <c r="Z101" t="inlineStr">
        <is>
          <t>wreck_turret</t>
        </is>
      </c>
      <c r="AA101" t="inlineStr">
        <is>
          <t>Assets/MachineBrigade/Resources/Data/balance.json: vehicles[141].parts[0]</t>
        </is>
      </c>
      <c r="AB101" t="inlineStr">
        <is>
          <t>{"id":"gun_l","kind":"gun","hp":0.08,"armour":2,"node":"Mount_gun","wreck":"wreck_turret","at":[-2.3,1.05,0.95],"radius":1.5,"mounts":[1]}</t>
        </is>
      </c>
    </row>
    <row r="102">
      <c r="A102" t="inlineStr">
        <is>
          <t>mega_gunship/gun_r</t>
        </is>
      </c>
      <c r="B102" t="inlineStr">
        <is>
          <t>mega_gunship</t>
        </is>
      </c>
      <c r="C102" t="n">
        <v>1</v>
      </c>
      <c r="G102" t="n">
        <v>2</v>
      </c>
      <c r="H102" t="n">
        <v>2.3</v>
      </c>
      <c r="I102" t="n">
        <v>1.05</v>
      </c>
      <c r="J102" t="n">
        <v>0.95</v>
      </c>
      <c r="N102" t="n">
        <v>0.08</v>
      </c>
      <c r="O102" t="inlineStr">
        <is>
          <t>gun_r</t>
        </is>
      </c>
      <c r="P102" t="inlineStr">
        <is>
          <t>gun</t>
        </is>
      </c>
      <c r="Q102" t="inlineStr">
        <is>
          <t>2</t>
        </is>
      </c>
      <c r="R102" t="inlineStr">
        <is>
          <t>Mount_gun.001</t>
        </is>
      </c>
      <c r="T102" t="n">
        <v>1.5</v>
      </c>
      <c r="Z102" t="inlineStr">
        <is>
          <t>wreck_turret</t>
        </is>
      </c>
      <c r="AA102" t="inlineStr">
        <is>
          <t>Assets/MachineBrigade/Resources/Data/balance.json: vehicles[141].parts[1]</t>
        </is>
      </c>
      <c r="AB102" t="inlineStr">
        <is>
          <t>{"id":"gun_r","kind":"gun","hp":0.08,"armour":2,"node":"Mount_gun.001","wreck":"wreck_turret","at":[2.3,1.05,0.95],"radius":1.5,"mounts":[2]}</t>
        </is>
      </c>
    </row>
    <row r="103">
      <c r="A103" t="inlineStr">
        <is>
          <t>mega_gunship/minigun_l</t>
        </is>
      </c>
      <c r="B103" t="inlineStr">
        <is>
          <t>mega_gunship</t>
        </is>
      </c>
      <c r="C103" t="n">
        <v>2</v>
      </c>
      <c r="G103" t="n">
        <v>2</v>
      </c>
      <c r="H103" t="n">
        <v>-1.52</v>
      </c>
      <c r="I103" t="n">
        <v>4.6</v>
      </c>
      <c r="J103" t="n">
        <v>1.9</v>
      </c>
      <c r="N103" t="n">
        <v>0.08</v>
      </c>
      <c r="O103" t="inlineStr">
        <is>
          <t>minigun_l</t>
        </is>
      </c>
      <c r="P103" t="inlineStr">
        <is>
          <t>minigun</t>
        </is>
      </c>
      <c r="Q103" t="inlineStr">
        <is>
          <t>4</t>
        </is>
      </c>
      <c r="R103" t="inlineStr">
        <is>
          <t>Mount_mg</t>
        </is>
      </c>
      <c r="T103" t="n">
        <v>1.5</v>
      </c>
      <c r="Z103" t="inlineStr">
        <is>
          <t>wreck_turret</t>
        </is>
      </c>
      <c r="AA103" t="inlineStr">
        <is>
          <t>Assets/MachineBrigade/Resources/Data/balance.json: vehicles[141].parts[2]</t>
        </is>
      </c>
      <c r="AB103" t="inlineStr">
        <is>
          <t>{"id":"minigun_l","kind":"minigun","hp":0.08,"armour":2,"node":"Mount_mg","wreck":"wreck_turret","at":[-1.52,4.6,1.9],"radius":1.5,"mounts":[4]}</t>
        </is>
      </c>
    </row>
    <row r="104">
      <c r="A104" t="inlineStr">
        <is>
          <t>mega_gunship/minigun_r</t>
        </is>
      </c>
      <c r="B104" t="inlineStr">
        <is>
          <t>mega_gunship</t>
        </is>
      </c>
      <c r="C104" t="n">
        <v>3</v>
      </c>
      <c r="G104" t="n">
        <v>2</v>
      </c>
      <c r="H104" t="n">
        <v>1.52</v>
      </c>
      <c r="I104" t="n">
        <v>4.6</v>
      </c>
      <c r="J104" t="n">
        <v>1.9</v>
      </c>
      <c r="N104" t="n">
        <v>0.08</v>
      </c>
      <c r="O104" t="inlineStr">
        <is>
          <t>minigun_r</t>
        </is>
      </c>
      <c r="P104" t="inlineStr">
        <is>
          <t>minigun</t>
        </is>
      </c>
      <c r="Q104" t="inlineStr">
        <is>
          <t>5</t>
        </is>
      </c>
      <c r="R104" t="inlineStr">
        <is>
          <t>Mount_mg.001</t>
        </is>
      </c>
      <c r="T104" t="n">
        <v>1.5</v>
      </c>
      <c r="Z104" t="inlineStr">
        <is>
          <t>wreck_turret</t>
        </is>
      </c>
      <c r="AA104" t="inlineStr">
        <is>
          <t>Assets/MachineBrigade/Resources/Data/balance.json: vehicles[141].parts[3]</t>
        </is>
      </c>
      <c r="AB104" t="inlineStr">
        <is>
          <t>{"id":"minigun_r","kind":"minigun","hp":0.08,"armour":2,"node":"Mount_mg.001","wreck":"wreck_turret","at":[1.52,4.6,1.9],"radius":1.5,"mounts":[5]}</t>
        </is>
      </c>
    </row>
    <row r="105">
      <c r="A105" t="inlineStr">
        <is>
          <t>mega_gunship/missiles</t>
        </is>
      </c>
      <c r="B105" t="inlineStr">
        <is>
          <t>mega_gunship</t>
        </is>
      </c>
      <c r="C105" t="n">
        <v>6</v>
      </c>
      <c r="G105" t="n">
        <v>2</v>
      </c>
      <c r="H105" t="n">
        <v>0</v>
      </c>
      <c r="I105" t="n">
        <v>0.1</v>
      </c>
      <c r="J105" t="n">
        <v>1.42</v>
      </c>
      <c r="N105" t="n">
        <v>0.08</v>
      </c>
      <c r="O105" t="inlineStr">
        <is>
          <t>missiles</t>
        </is>
      </c>
      <c r="P105" t="inlineStr">
        <is>
          <t>missiles</t>
        </is>
      </c>
      <c r="Q105" t="inlineStr">
        <is>
          <t>3</t>
        </is>
      </c>
      <c r="R105" t="inlineStr">
        <is>
          <t>Part_missiles</t>
        </is>
      </c>
      <c r="T105" t="n">
        <v>1.4</v>
      </c>
      <c r="Z105" t="inlineStr">
        <is>
          <t>wreck_launcher</t>
        </is>
      </c>
      <c r="AA105" t="inlineStr">
        <is>
          <t>Assets/MachineBrigade/Resources/Data/balance.json: vehicles[141].parts[6]</t>
        </is>
      </c>
      <c r="AB105" t="inlineStr">
        <is>
          <t>{"id":"missiles","kind":"missiles","hp":0.08,"armour":2,"node":"Part_missiles","wreck":"wreck_launcher","at":[0,0.1,1.42],"radius":1.4,"mounts":[3]}</t>
        </is>
      </c>
    </row>
    <row r="106">
      <c r="A106" t="inlineStr">
        <is>
          <t>mega_gunship/pod_l</t>
        </is>
      </c>
      <c r="B106" t="inlineStr">
        <is>
          <t>mega_gunship</t>
        </is>
      </c>
      <c r="C106" t="n">
        <v>4</v>
      </c>
      <c r="G106" t="n">
        <v>2</v>
      </c>
      <c r="H106" t="n">
        <v>-3.2</v>
      </c>
      <c r="I106" t="n">
        <v>-0.1</v>
      </c>
      <c r="J106" t="n">
        <v>1.14</v>
      </c>
      <c r="N106" t="n">
        <v>0.08</v>
      </c>
      <c r="O106" t="inlineStr">
        <is>
          <t>pod_l</t>
        </is>
      </c>
      <c r="P106" t="inlineStr">
        <is>
          <t>rockets</t>
        </is>
      </c>
      <c r="Q106" t="inlineStr">
        <is>
          <t>0</t>
        </is>
      </c>
      <c r="R106" t="inlineStr">
        <is>
          <t>Part_pod</t>
        </is>
      </c>
      <c r="T106" t="n">
        <v>1.6</v>
      </c>
      <c r="Z106" t="inlineStr">
        <is>
          <t>wreck_launcher</t>
        </is>
      </c>
      <c r="AA106" t="inlineStr">
        <is>
          <t>Assets/MachineBrigade/Resources/Data/balance.json: vehicles[141].parts[4]</t>
        </is>
      </c>
      <c r="AB106" t="inlineStr">
        <is>
          <t>{"id":"pod_l","kind":"rockets","hp":0.08,"armour":2,"node":"Part_pod","wreck":"wreck_launcher","at":[-3.2,-0.1,1.14],"radius":1.6,"mounts":[0]}</t>
        </is>
      </c>
    </row>
    <row r="107">
      <c r="A107" t="inlineStr">
        <is>
          <t>mega_gunship/pod_r</t>
        </is>
      </c>
      <c r="B107" t="inlineStr">
        <is>
          <t>mega_gunship</t>
        </is>
      </c>
      <c r="C107" t="n">
        <v>5</v>
      </c>
      <c r="G107" t="n">
        <v>2</v>
      </c>
      <c r="H107" t="n">
        <v>3.2</v>
      </c>
      <c r="I107" t="n">
        <v>-0.1</v>
      </c>
      <c r="J107" t="n">
        <v>1.14</v>
      </c>
      <c r="N107" t="n">
        <v>0.08</v>
      </c>
      <c r="O107" t="inlineStr">
        <is>
          <t>pod_r</t>
        </is>
      </c>
      <c r="P107" t="inlineStr">
        <is>
          <t>rockets</t>
        </is>
      </c>
      <c r="Q107" t="inlineStr">
        <is>
          <t>6</t>
        </is>
      </c>
      <c r="R107" t="inlineStr">
        <is>
          <t>Part_pod.001</t>
        </is>
      </c>
      <c r="T107" t="n">
        <v>1.6</v>
      </c>
      <c r="Z107" t="inlineStr">
        <is>
          <t>wreck_launcher</t>
        </is>
      </c>
      <c r="AA107" t="inlineStr">
        <is>
          <t>Assets/MachineBrigade/Resources/Data/balance.json: vehicles[141].parts[5]</t>
        </is>
      </c>
      <c r="AB107" t="inlineStr">
        <is>
          <t>{"id":"pod_r","kind":"rockets","hp":0.08,"armour":2,"node":"Part_pod.001","wreck":"wreck_launcher","at":[3.2,-0.1,1.14],"radius":1.6,"mounts":[6]}</t>
        </is>
      </c>
    </row>
    <row r="108">
      <c r="A108" t="inlineStr">
        <is>
          <t>mega_gunship/rotor_rear</t>
        </is>
      </c>
      <c r="B108" t="inlineStr">
        <is>
          <t>mega_gunship</t>
        </is>
      </c>
      <c r="C108" t="n">
        <v>7</v>
      </c>
      <c r="G108" t="n">
        <v>1</v>
      </c>
      <c r="H108" t="n">
        <v>0</v>
      </c>
      <c r="I108" t="n">
        <v>-6.7</v>
      </c>
      <c r="J108" t="n">
        <v>5.7</v>
      </c>
      <c r="N108" t="n">
        <v>0.1</v>
      </c>
      <c r="O108" t="inlineStr">
        <is>
          <t>rotor_rear</t>
        </is>
      </c>
      <c r="P108" t="inlineStr">
        <is>
          <t>rotor</t>
        </is>
      </c>
      <c r="R108" t="inlineStr">
        <is>
          <t>Rotor_rear</t>
        </is>
      </c>
      <c r="T108" t="n">
        <v>3</v>
      </c>
      <c r="Y108" t="n">
        <v>0.5</v>
      </c>
      <c r="Z108" t="inlineStr">
        <is>
          <t>wreck_stump</t>
        </is>
      </c>
      <c r="AA108" t="inlineStr">
        <is>
          <t>Assets/MachineBrigade/Resources/Data/balance.json: vehicles[141].parts[7]</t>
        </is>
      </c>
      <c r="AB108" t="inlineStr">
        <is>
          <t>{"id":"rotor_rear","kind":"rotor","hp":0.1,"armour":1,"node":"Rotor_rear","wreck":"wreck_stump","at":[0,-6.7,5.7],"radius":3.0,"turn":0.5}</t>
        </is>
      </c>
    </row>
    <row r="109">
      <c r="A109" t="inlineStr">
        <is>
          <t>mobile_fortress/emp</t>
        </is>
      </c>
      <c r="B109" t="inlineStr">
        <is>
          <t>mobile_fortress</t>
        </is>
      </c>
      <c r="C109" t="n">
        <v>6</v>
      </c>
      <c r="G109" t="n">
        <v>1</v>
      </c>
      <c r="H109" t="n">
        <v>0</v>
      </c>
      <c r="I109" t="n">
        <v>-4.2</v>
      </c>
      <c r="J109" t="n">
        <v>7.7</v>
      </c>
      <c r="N109" t="n">
        <v>0.07000000000000001</v>
      </c>
      <c r="O109" t="inlineStr">
        <is>
          <t>emp</t>
        </is>
      </c>
      <c r="P109" t="inlineStr">
        <is>
          <t>emp</t>
        </is>
      </c>
      <c r="R109" t="inlineStr">
        <is>
          <t>Radar</t>
        </is>
      </c>
      <c r="T109" t="n">
        <v>2</v>
      </c>
      <c r="U109" t="inlineStr">
        <is>
          <t>boss_emp</t>
        </is>
      </c>
      <c r="Z109" t="inlineStr">
        <is>
          <t>wreck_stump</t>
        </is>
      </c>
      <c r="AA109" t="inlineStr">
        <is>
          <t>Assets/MachineBrigade/Resources/Data/balance.json: vehicles[139].parts[6]</t>
        </is>
      </c>
      <c r="AB109" t="inlineStr">
        <is>
          <t>{"id":"emp","kind":"emp","hp":0.07,"armour":1,"node":"Radar","wreck":"wreck_stump","at":[0,-4.2,7.7],"radius":2.0,"skills":["boss_emp"]}</t>
        </is>
      </c>
    </row>
    <row r="110">
      <c r="A110" t="inlineStr">
        <is>
          <t>mobile_fortress/flak_l</t>
        </is>
      </c>
      <c r="B110" t="inlineStr">
        <is>
          <t>mobile_fortress</t>
        </is>
      </c>
      <c r="C110" t="n">
        <v>3</v>
      </c>
      <c r="G110" t="n">
        <v>2</v>
      </c>
      <c r="H110" t="n">
        <v>-3.2</v>
      </c>
      <c r="I110" t="n">
        <v>6</v>
      </c>
      <c r="J110" t="n">
        <v>4.6</v>
      </c>
      <c r="N110" t="n">
        <v>0.07000000000000001</v>
      </c>
      <c r="O110" t="inlineStr">
        <is>
          <t>flak_l</t>
        </is>
      </c>
      <c r="P110" t="inlineStr">
        <is>
          <t>flak</t>
        </is>
      </c>
      <c r="Q110" t="inlineStr">
        <is>
          <t>3</t>
        </is>
      </c>
      <c r="R110" t="inlineStr">
        <is>
          <t>Mount_mg</t>
        </is>
      </c>
      <c r="T110" t="n">
        <v>1.8</v>
      </c>
      <c r="Z110" t="inlineStr">
        <is>
          <t>wreck_turret</t>
        </is>
      </c>
      <c r="AA110" t="inlineStr">
        <is>
          <t>Assets/MachineBrigade/Resources/Data/balance.json: vehicles[139].parts[3]</t>
        </is>
      </c>
      <c r="AB110" t="inlineStr">
        <is>
          <t>{"id":"flak_l","kind":"flak","hp":0.07,"armour":2,"node":"Mount_mg","wreck":"wreck_turret","at":[-3.2,6.0,4.6],"radius":1.8,"mounts":[3]}</t>
        </is>
      </c>
    </row>
    <row r="111">
      <c r="A111" t="inlineStr">
        <is>
          <t>mobile_fortress/flak_r</t>
        </is>
      </c>
      <c r="B111" t="inlineStr">
        <is>
          <t>mobile_fortress</t>
        </is>
      </c>
      <c r="C111" t="n">
        <v>4</v>
      </c>
      <c r="G111" t="n">
        <v>2</v>
      </c>
      <c r="H111" t="n">
        <v>3.2</v>
      </c>
      <c r="I111" t="n">
        <v>6</v>
      </c>
      <c r="J111" t="n">
        <v>4.6</v>
      </c>
      <c r="N111" t="n">
        <v>0.07000000000000001</v>
      </c>
      <c r="O111" t="inlineStr">
        <is>
          <t>flak_r</t>
        </is>
      </c>
      <c r="P111" t="inlineStr">
        <is>
          <t>flak</t>
        </is>
      </c>
      <c r="Q111" t="inlineStr">
        <is>
          <t>4;6</t>
        </is>
      </c>
      <c r="R111" t="inlineStr">
        <is>
          <t>Mount_mg.001</t>
        </is>
      </c>
      <c r="T111" t="n">
        <v>1.8</v>
      </c>
      <c r="Z111" t="inlineStr">
        <is>
          <t>wreck_turret</t>
        </is>
      </c>
      <c r="AA111" t="inlineStr">
        <is>
          <t>Assets/MachineBrigade/Resources/Data/balance.json: vehicles[139].parts[4]</t>
        </is>
      </c>
      <c r="AB111" t="inlineStr">
        <is>
          <t>{"id":"flak_r","kind":"flak","hp":0.07,"armour":2,"node":"Mount_mg.001","wreck":"wreck_turret","at":[3.2,6.0,4.6],"radius":1.8,"mounts":[4,6]}</t>
        </is>
      </c>
    </row>
    <row r="112">
      <c r="A112" t="inlineStr">
        <is>
          <t>mobile_fortress/howitzer</t>
        </is>
      </c>
      <c r="B112" t="inlineStr">
        <is>
          <t>mobile_fortress</t>
        </is>
      </c>
      <c r="C112" t="n">
        <v>0</v>
      </c>
      <c r="G112" t="n">
        <v>3</v>
      </c>
      <c r="H112" t="n">
        <v>0</v>
      </c>
      <c r="I112" t="n">
        <v>4</v>
      </c>
      <c r="J112" t="n">
        <v>7</v>
      </c>
      <c r="N112" t="n">
        <v>0.09</v>
      </c>
      <c r="O112" t="inlineStr">
        <is>
          <t>howitzer</t>
        </is>
      </c>
      <c r="P112" t="inlineStr">
        <is>
          <t>howitzer</t>
        </is>
      </c>
      <c r="Q112" t="inlineStr">
        <is>
          <t>0</t>
        </is>
      </c>
      <c r="R112" t="inlineStr">
        <is>
          <t>Main_cannon|Muzzle_brake</t>
        </is>
      </c>
      <c r="S112" t="inlineStr">
        <is>
          <t>radio.part.maingun</t>
        </is>
      </c>
      <c r="T112" t="n">
        <v>3</v>
      </c>
      <c r="U112" t="inlineStr">
        <is>
          <t>fortress_barrage</t>
        </is>
      </c>
      <c r="Z112" t="inlineStr">
        <is>
          <t>wreck_barrel</t>
        </is>
      </c>
      <c r="AA112" t="inlineStr">
        <is>
          <t>Assets/MachineBrigade/Resources/Data/balance.json: vehicles[139].parts[0]</t>
        </is>
      </c>
      <c r="AB112" t="inlineStr">
        <is>
          <t>{"id":"howitzer","kind":"howitzer","hp":0.09,"armour":3,"node":"Main_cannon|Muzzle_brake","wreck":"wreck_barrel","at":[0,4.0,7.0],"radius":3.0,"mounts":[0],"skills":["fortress_barrage"],"radio":"radio.part.maingun"}</t>
        </is>
      </c>
    </row>
    <row r="113">
      <c r="A113" t="inlineStr">
        <is>
          <t>mobile_fortress/howitzer_2</t>
        </is>
      </c>
      <c r="B113" t="inlineStr">
        <is>
          <t>mobile_fortress</t>
        </is>
      </c>
      <c r="C113" t="n">
        <v>7</v>
      </c>
      <c r="D113" t="inlineStr">
        <is>
          <t>howitzer_203</t>
        </is>
      </c>
      <c r="H113" t="n">
        <v>0</v>
      </c>
      <c r="I113" t="n">
        <v>-2.1</v>
      </c>
      <c r="J113" t="n">
        <v>7.7</v>
      </c>
      <c r="O113" t="inlineStr">
        <is>
          <t>howitzer_2</t>
        </is>
      </c>
      <c r="R113" t="inlineStr">
        <is>
          <t>Mount_gun</t>
        </is>
      </c>
      <c r="AA113" t="inlineStr">
        <is>
          <t>Assets/MachineBrigade/Resources/Data/balance.json: vehicles[139].parts[7]</t>
        </is>
      </c>
      <c r="AB113" t="inlineStr">
        <is>
          <t>{"use":"howitzer_203","id":"howitzer_2","node":"Mount_gun","at":[0,-2.1,7.7]}</t>
        </is>
      </c>
    </row>
    <row r="114">
      <c r="A114" t="inlineStr">
        <is>
          <t>mobile_fortress/missiles</t>
        </is>
      </c>
      <c r="B114" t="inlineStr">
        <is>
          <t>mobile_fortress</t>
        </is>
      </c>
      <c r="C114" t="n">
        <v>5</v>
      </c>
      <c r="G114" t="n">
        <v>2</v>
      </c>
      <c r="H114" t="n">
        <v>0</v>
      </c>
      <c r="I114" t="n">
        <v>9</v>
      </c>
      <c r="J114" t="n">
        <v>3.3</v>
      </c>
      <c r="N114" t="n">
        <v>0.07000000000000001</v>
      </c>
      <c r="O114" t="inlineStr">
        <is>
          <t>missiles</t>
        </is>
      </c>
      <c r="P114" t="inlineStr">
        <is>
          <t>missiles</t>
        </is>
      </c>
      <c r="Q114" t="inlineStr">
        <is>
          <t>5</t>
        </is>
      </c>
      <c r="T114" t="n">
        <v>1.8</v>
      </c>
      <c r="Z114" t="inlineStr">
        <is>
          <t>wreck_launcher</t>
        </is>
      </c>
      <c r="AA114" t="inlineStr">
        <is>
          <t>Assets/MachineBrigade/Resources/Data/balance.json: vehicles[139].parts[5]</t>
        </is>
      </c>
      <c r="AB114" t="inlineStr">
        <is>
          <t>{"id":"missiles","kind":"missiles","hp":0.07,"armour":2,"wreck":"wreck_launcher","at":[0,9.0,3.3],"radius":1.8,"mounts":[5]}</t>
        </is>
      </c>
    </row>
    <row r="115">
      <c r="A115" t="inlineStr">
        <is>
          <t>mobile_fortress/rockets_l</t>
        </is>
      </c>
      <c r="B115" t="inlineStr">
        <is>
          <t>mobile_fortress</t>
        </is>
      </c>
      <c r="C115" t="n">
        <v>1</v>
      </c>
      <c r="G115" t="n">
        <v>2</v>
      </c>
      <c r="H115" t="n">
        <v>-2.15</v>
      </c>
      <c r="I115" t="n">
        <v>-6</v>
      </c>
      <c r="J115" t="n">
        <v>5</v>
      </c>
      <c r="N115" t="n">
        <v>0.07000000000000001</v>
      </c>
      <c r="O115" t="inlineStr">
        <is>
          <t>rockets_l</t>
        </is>
      </c>
      <c r="P115" t="inlineStr">
        <is>
          <t>rockets</t>
        </is>
      </c>
      <c r="Q115" t="inlineStr">
        <is>
          <t>1</t>
        </is>
      </c>
      <c r="R115" t="inlineStr">
        <is>
          <t>Mount_rocket</t>
        </is>
      </c>
      <c r="T115" t="n">
        <v>1.8</v>
      </c>
      <c r="Z115" t="inlineStr">
        <is>
          <t>wreck_launcher</t>
        </is>
      </c>
      <c r="AA115" t="inlineStr">
        <is>
          <t>Assets/MachineBrigade/Resources/Data/balance.json: vehicles[139].parts[1]</t>
        </is>
      </c>
      <c r="AB115" t="inlineStr">
        <is>
          <t>{"id":"rockets_l","kind":"rockets","hp":0.07,"armour":2,"node":"Mount_rocket","wreck":"wreck_launcher","at":[-2.15,-6.0,5.0],"radius":1.8,"mounts":[1]}</t>
        </is>
      </c>
    </row>
    <row r="116">
      <c r="A116" t="inlineStr">
        <is>
          <t>mobile_fortress/rockets_r</t>
        </is>
      </c>
      <c r="B116" t="inlineStr">
        <is>
          <t>mobile_fortress</t>
        </is>
      </c>
      <c r="C116" t="n">
        <v>2</v>
      </c>
      <c r="G116" t="n">
        <v>2</v>
      </c>
      <c r="H116" t="n">
        <v>2.15</v>
      </c>
      <c r="I116" t="n">
        <v>-6</v>
      </c>
      <c r="J116" t="n">
        <v>5</v>
      </c>
      <c r="N116" t="n">
        <v>0.07000000000000001</v>
      </c>
      <c r="O116" t="inlineStr">
        <is>
          <t>rockets_r</t>
        </is>
      </c>
      <c r="P116" t="inlineStr">
        <is>
          <t>rockets</t>
        </is>
      </c>
      <c r="Q116" t="inlineStr">
        <is>
          <t>2</t>
        </is>
      </c>
      <c r="R116" t="inlineStr">
        <is>
          <t>Mount_rocket.001</t>
        </is>
      </c>
      <c r="T116" t="n">
        <v>1.8</v>
      </c>
      <c r="Z116" t="inlineStr">
        <is>
          <t>wreck_launcher</t>
        </is>
      </c>
      <c r="AA116" t="inlineStr">
        <is>
          <t>Assets/MachineBrigade/Resources/Data/balance.json: vehicles[139].parts[2]</t>
        </is>
      </c>
      <c r="AB116" t="inlineStr">
        <is>
          <t>{"id":"rockets_r","kind":"rockets","hp":0.07,"armour":2,"node":"Mount_rocket.001","wreck":"wreck_launcher","at":[2.15,-6.0,5.0],"radius":1.8,"mounts":[2]}</t>
        </is>
      </c>
    </row>
    <row r="117">
      <c r="A117" t="inlineStr">
        <is>
          <t>mobile_fortress/sam</t>
        </is>
      </c>
      <c r="B117" t="inlineStr">
        <is>
          <t>mobile_fortress</t>
        </is>
      </c>
      <c r="C117" t="n">
        <v>8</v>
      </c>
      <c r="D117" t="inlineStr">
        <is>
          <t>sam_medium</t>
        </is>
      </c>
      <c r="H117" t="n">
        <v>1.25</v>
      </c>
      <c r="I117" t="n">
        <v>5.5</v>
      </c>
      <c r="J117" t="n">
        <v>6.3</v>
      </c>
      <c r="O117" t="inlineStr">
        <is>
          <t>sam</t>
        </is>
      </c>
      <c r="R117" t="inlineStr">
        <is>
          <t>Mount_missile.001</t>
        </is>
      </c>
      <c r="AA117" t="inlineStr">
        <is>
          <t>Assets/MachineBrigade/Resources/Data/balance.json: vehicles[139].parts[8]</t>
        </is>
      </c>
      <c r="AB117" t="inlineStr">
        <is>
          <t>{"use":"sam_medium","id":"sam","node":"Mount_missile.001","at":[1.25,5.5,6.3]}</t>
        </is>
      </c>
    </row>
    <row r="118">
      <c r="A118" t="inlineStr">
        <is>
          <t>moloch/door_l</t>
        </is>
      </c>
      <c r="B118" t="inlineStr">
        <is>
          <t>moloch</t>
        </is>
      </c>
      <c r="C118" t="n">
        <v>5</v>
      </c>
      <c r="D118" t="inlineStr">
        <is>
          <t>workshop_door</t>
        </is>
      </c>
      <c r="H118" t="n">
        <v>-3</v>
      </c>
      <c r="I118" t="n">
        <v>-11.8</v>
      </c>
      <c r="J118" t="n">
        <v>2.8</v>
      </c>
      <c r="O118" t="inlineStr">
        <is>
          <t>door_l</t>
        </is>
      </c>
      <c r="R118" t="inlineStr">
        <is>
          <t>Part_door_l</t>
        </is>
      </c>
      <c r="AA118" t="inlineStr">
        <is>
          <t>Assets/MachineBrigade/Resources/Data/balance.json: vehicles[159].parts[5]</t>
        </is>
      </c>
      <c r="AB118" t="inlineStr">
        <is>
          <t>{"use":"workshop_door","id":"door_l","node":"Part_door_l","at":[-3.0,-11.8,2.8]}</t>
        </is>
      </c>
    </row>
    <row r="119">
      <c r="A119" t="inlineStr">
        <is>
          <t>moloch/door_r</t>
        </is>
      </c>
      <c r="B119" t="inlineStr">
        <is>
          <t>moloch</t>
        </is>
      </c>
      <c r="C119" t="n">
        <v>6</v>
      </c>
      <c r="D119" t="inlineStr">
        <is>
          <t>workshop_door</t>
        </is>
      </c>
      <c r="H119" t="n">
        <v>3</v>
      </c>
      <c r="I119" t="n">
        <v>-11.8</v>
      </c>
      <c r="J119" t="n">
        <v>2.8</v>
      </c>
      <c r="O119" t="inlineStr">
        <is>
          <t>door_r</t>
        </is>
      </c>
      <c r="R119" t="inlineStr">
        <is>
          <t>Part_door_r</t>
        </is>
      </c>
      <c r="AA119" t="inlineStr">
        <is>
          <t>Assets/MachineBrigade/Resources/Data/balance.json: vehicles[159].parts[6]</t>
        </is>
      </c>
      <c r="AB119" t="inlineStr">
        <is>
          <t>{"use":"workshop_door","id":"door_r","node":"Part_door_r","at":[3.0,-11.8,2.8]}</t>
        </is>
      </c>
    </row>
    <row r="120">
      <c r="A120" t="inlineStr">
        <is>
          <t>moloch/flak</t>
        </is>
      </c>
      <c r="B120" t="inlineStr">
        <is>
          <t>moloch</t>
        </is>
      </c>
      <c r="C120" t="n">
        <v>4</v>
      </c>
      <c r="D120" t="inlineStr">
        <is>
          <t>flak_35</t>
        </is>
      </c>
      <c r="H120" t="n">
        <v>0</v>
      </c>
      <c r="I120" t="n">
        <v>1.4</v>
      </c>
      <c r="J120" t="n">
        <v>9.4</v>
      </c>
      <c r="O120" t="inlineStr">
        <is>
          <t>flak</t>
        </is>
      </c>
      <c r="R120" t="inlineStr">
        <is>
          <t>Mount_mg</t>
        </is>
      </c>
      <c r="AA120" t="inlineStr">
        <is>
          <t>Assets/MachineBrigade/Resources/Data/balance.json: vehicles[159].parts[4]</t>
        </is>
      </c>
      <c r="AB120" t="inlineStr">
        <is>
          <t>{"use":"flak_35","id":"flak","node":"Mount_mg","at":[0,1.4,9.4]}</t>
        </is>
      </c>
    </row>
    <row r="121">
      <c r="A121" t="inlineStr">
        <is>
          <t>moloch/track_l</t>
        </is>
      </c>
      <c r="B121" t="inlineStr">
        <is>
          <t>moloch</t>
        </is>
      </c>
      <c r="C121" t="n">
        <v>7</v>
      </c>
      <c r="D121" t="inlineStr">
        <is>
          <t>tracks</t>
        </is>
      </c>
      <c r="H121" t="n">
        <v>-6</v>
      </c>
      <c r="I121" t="n">
        <v>0</v>
      </c>
      <c r="J121" t="n">
        <v>1.4</v>
      </c>
      <c r="O121" t="inlineStr">
        <is>
          <t>track_l</t>
        </is>
      </c>
      <c r="R121" t="inlineStr">
        <is>
          <t>Part_track_l</t>
        </is>
      </c>
      <c r="V121" t="n">
        <v>0.8</v>
      </c>
      <c r="AA121" t="inlineStr">
        <is>
          <t>Assets/MachineBrigade/Resources/Data/balance.json: vehicles[159].parts[7]</t>
        </is>
      </c>
      <c r="AB121" t="inlineStr">
        <is>
          <t>{"use":"tracks","id":"track_l","node":"Part_track_l","at":[-6.0,0,1.4],"speed":0.8}</t>
        </is>
      </c>
    </row>
    <row r="122">
      <c r="A122" t="inlineStr">
        <is>
          <t>moloch/track_r</t>
        </is>
      </c>
      <c r="B122" t="inlineStr">
        <is>
          <t>moloch</t>
        </is>
      </c>
      <c r="C122" t="n">
        <v>8</v>
      </c>
      <c r="D122" t="inlineStr">
        <is>
          <t>tracks</t>
        </is>
      </c>
      <c r="H122" t="n">
        <v>6</v>
      </c>
      <c r="I122" t="n">
        <v>0</v>
      </c>
      <c r="J122" t="n">
        <v>1.4</v>
      </c>
      <c r="O122" t="inlineStr">
        <is>
          <t>track_r</t>
        </is>
      </c>
      <c r="R122" t="inlineStr">
        <is>
          <t>Part_track_r</t>
        </is>
      </c>
      <c r="V122" t="n">
        <v>0.8</v>
      </c>
      <c r="AA122" t="inlineStr">
        <is>
          <t>Assets/MachineBrigade/Resources/Data/balance.json: vehicles[159].parts[8]</t>
        </is>
      </c>
      <c r="AB122" t="inlineStr">
        <is>
          <t>{"use":"tracks","id":"track_r","node":"Part_track_r","at":[6.0,0,1.4],"speed":0.8}</t>
        </is>
      </c>
    </row>
    <row r="123">
      <c r="A123" t="inlineStr">
        <is>
          <t>moloch/turret_fl</t>
        </is>
      </c>
      <c r="B123" t="inlineStr">
        <is>
          <t>moloch</t>
        </is>
      </c>
      <c r="C123" t="n">
        <v>0</v>
      </c>
      <c r="D123" t="inlineStr">
        <is>
          <t>turret_120</t>
        </is>
      </c>
      <c r="H123" t="n">
        <v>-4.4</v>
      </c>
      <c r="I123" t="n">
        <v>7.6</v>
      </c>
      <c r="J123" t="n">
        <v>7.4</v>
      </c>
      <c r="O123" t="inlineStr">
        <is>
          <t>turret_fl</t>
        </is>
      </c>
      <c r="Q123" t="inlineStr">
        <is>
          <t>0</t>
        </is>
      </c>
      <c r="R123" t="inlineStr">
        <is>
          <t>Turret</t>
        </is>
      </c>
      <c r="S123" t="inlineStr">
        <is>
          <t>radio.part.maingun</t>
        </is>
      </c>
      <c r="AA123" t="inlineStr">
        <is>
          <t>Assets/MachineBrigade/Resources/Data/balance.json: vehicles[159].parts[0]</t>
        </is>
      </c>
      <c r="AB123" t="inlineStr">
        <is>
          <t>{"use":"turret_120","id":"turret_fl","mounts":[0],"node":"Turret","at":[-4.4,7.6,7.4],"radio":"radio.part.maingun"}</t>
        </is>
      </c>
    </row>
    <row r="124">
      <c r="A124" t="inlineStr">
        <is>
          <t>moloch/turret_fr</t>
        </is>
      </c>
      <c r="B124" t="inlineStr">
        <is>
          <t>moloch</t>
        </is>
      </c>
      <c r="C124" t="n">
        <v>1</v>
      </c>
      <c r="D124" t="inlineStr">
        <is>
          <t>turret_120</t>
        </is>
      </c>
      <c r="H124" t="n">
        <v>4.4</v>
      </c>
      <c r="I124" t="n">
        <v>7.6</v>
      </c>
      <c r="J124" t="n">
        <v>7.4</v>
      </c>
      <c r="O124" t="inlineStr">
        <is>
          <t>turret_fr</t>
        </is>
      </c>
      <c r="R124" t="inlineStr">
        <is>
          <t>Mount_gun</t>
        </is>
      </c>
      <c r="AA124" t="inlineStr">
        <is>
          <t>Assets/MachineBrigade/Resources/Data/balance.json: vehicles[159].parts[1]</t>
        </is>
      </c>
      <c r="AB124" t="inlineStr">
        <is>
          <t>{"use":"turret_120","id":"turret_fr","node":"Mount_gun","at":[4.4,7.6,7.4]}</t>
        </is>
      </c>
    </row>
    <row r="125">
      <c r="A125" t="inlineStr">
        <is>
          <t>moloch/turret_rl</t>
        </is>
      </c>
      <c r="B125" t="inlineStr">
        <is>
          <t>moloch</t>
        </is>
      </c>
      <c r="C125" t="n">
        <v>2</v>
      </c>
      <c r="D125" t="inlineStr">
        <is>
          <t>turret_120</t>
        </is>
      </c>
      <c r="H125" t="n">
        <v>-4.4</v>
      </c>
      <c r="I125" t="n">
        <v>-4.6</v>
      </c>
      <c r="J125" t="n">
        <v>7.4</v>
      </c>
      <c r="O125" t="inlineStr">
        <is>
          <t>turret_rl</t>
        </is>
      </c>
      <c r="R125" t="inlineStr">
        <is>
          <t>Mount_gun.001</t>
        </is>
      </c>
      <c r="AA125" t="inlineStr">
        <is>
          <t>Assets/MachineBrigade/Resources/Data/balance.json: vehicles[159].parts[2]</t>
        </is>
      </c>
      <c r="AB125" t="inlineStr">
        <is>
          <t>{"use":"turret_120","id":"turret_rl","node":"Mount_gun.001","at":[-4.4,-4.6,7.4]}</t>
        </is>
      </c>
    </row>
    <row r="126">
      <c r="A126" t="inlineStr">
        <is>
          <t>moloch/turret_rr</t>
        </is>
      </c>
      <c r="B126" t="inlineStr">
        <is>
          <t>moloch</t>
        </is>
      </c>
      <c r="C126" t="n">
        <v>3</v>
      </c>
      <c r="D126" t="inlineStr">
        <is>
          <t>turret_120</t>
        </is>
      </c>
      <c r="H126" t="n">
        <v>4.4</v>
      </c>
      <c r="I126" t="n">
        <v>-4.6</v>
      </c>
      <c r="J126" t="n">
        <v>7.4</v>
      </c>
      <c r="O126" t="inlineStr">
        <is>
          <t>turret_rr</t>
        </is>
      </c>
      <c r="R126" t="inlineStr">
        <is>
          <t>Mount_gun.002</t>
        </is>
      </c>
      <c r="AA126" t="inlineStr">
        <is>
          <t>Assets/MachineBrigade/Resources/Data/balance.json: vehicles[159].parts[3]</t>
        </is>
      </c>
      <c r="AB126" t="inlineStr">
        <is>
          <t>{"use":"turret_120","id":"turret_rr","node":"Mount_gun.002","at":[4.4,-4.6,7.4]}</t>
        </is>
      </c>
    </row>
    <row r="127">
      <c r="A127" t="inlineStr">
        <is>
          <t>nuke_train/aa_car</t>
        </is>
      </c>
      <c r="B127" t="inlineStr">
        <is>
          <t>nuke_train</t>
        </is>
      </c>
      <c r="C127" t="n">
        <v>8</v>
      </c>
      <c r="D127" t="inlineStr">
        <is>
          <t>flak_35</t>
        </is>
      </c>
      <c r="H127" t="n">
        <v>0</v>
      </c>
      <c r="I127" t="n">
        <v>-9.130000000000001</v>
      </c>
      <c r="J127" t="n">
        <v>3.2</v>
      </c>
      <c r="O127" t="inlineStr">
        <is>
          <t>aa_car</t>
        </is>
      </c>
      <c r="R127" t="inlineStr">
        <is>
          <t>Part_aa</t>
        </is>
      </c>
      <c r="AA127" t="inlineStr">
        <is>
          <t>Assets/MachineBrigade/Resources/Data/balance.json: vehicles[143].parts[8]</t>
        </is>
      </c>
      <c r="AB127" t="inlineStr">
        <is>
          <t>{"use":"flak_35","id":"aa_car","node":"Part_aa","at":[0,-9.13,3.2]}</t>
        </is>
      </c>
    </row>
    <row r="128">
      <c r="A128" t="inlineStr">
        <is>
          <t>nuke_train/erector</t>
        </is>
      </c>
      <c r="B128" t="inlineStr">
        <is>
          <t>nuke_train</t>
        </is>
      </c>
      <c r="C128" t="n">
        <v>6</v>
      </c>
      <c r="G128" t="n">
        <v>2</v>
      </c>
      <c r="H128" t="n">
        <v>0</v>
      </c>
      <c r="I128" t="n">
        <v>14.57</v>
      </c>
      <c r="J128" t="n">
        <v>3.6</v>
      </c>
      <c r="N128" t="n">
        <v>0.07000000000000001</v>
      </c>
      <c r="O128" t="inlineStr">
        <is>
          <t>erector</t>
        </is>
      </c>
      <c r="P128" t="inlineStr">
        <is>
          <t>erector</t>
        </is>
      </c>
      <c r="S128" t="inlineStr">
        <is>
          <t>radio.part.erector</t>
        </is>
      </c>
      <c r="T128" t="n">
        <v>2.6</v>
      </c>
      <c r="Z128" t="inlineStr">
        <is>
          <t>wreck_launcher</t>
        </is>
      </c>
      <c r="AA128" t="inlineStr">
        <is>
          <t>Assets/MachineBrigade/Resources/Data/balance.json: vehicles[143].parts[6]</t>
        </is>
      </c>
      <c r="AB128" t="inlineStr">
        <is>
          <t>{"id":"erector","kind":"erector","hp":0.07,"armour":2,"wreck":"wreck_launcher","at":[0,14.57,3.6],"radius":2.6,"radio":"radio.part.erector"}</t>
        </is>
      </c>
    </row>
    <row r="129">
      <c r="A129" t="inlineStr">
        <is>
          <t>nuke_train/flak_front</t>
        </is>
      </c>
      <c r="B129" t="inlineStr">
        <is>
          <t>nuke_train</t>
        </is>
      </c>
      <c r="C129" t="n">
        <v>2</v>
      </c>
      <c r="G129" t="n">
        <v>2</v>
      </c>
      <c r="H129" t="n">
        <v>-0.45</v>
      </c>
      <c r="I129" t="n">
        <v>27.37</v>
      </c>
      <c r="J129" t="n">
        <v>3.5</v>
      </c>
      <c r="N129" t="n">
        <v>0.07000000000000001</v>
      </c>
      <c r="O129" t="inlineStr">
        <is>
          <t>flak_front</t>
        </is>
      </c>
      <c r="P129" t="inlineStr">
        <is>
          <t>flak</t>
        </is>
      </c>
      <c r="Q129" t="inlineStr">
        <is>
          <t>1</t>
        </is>
      </c>
      <c r="R129" t="inlineStr">
        <is>
          <t>Mount_mg</t>
        </is>
      </c>
      <c r="T129" t="n">
        <v>2</v>
      </c>
      <c r="Z129" t="inlineStr">
        <is>
          <t>wreck_turret</t>
        </is>
      </c>
      <c r="AA129" t="inlineStr">
        <is>
          <t>Assets/MachineBrigade/Resources/Data/balance.json: vehicles[143].parts[2]</t>
        </is>
      </c>
      <c r="AB129" t="inlineStr">
        <is>
          <t>{"id":"flak_front","kind":"flak","hp":0.07,"armour":2,"node":"Mount_mg","wreck":"wreck_turret","at":[-0.45,27.37,3.5],"radius":2.0,"mounts":[1]}</t>
        </is>
      </c>
    </row>
    <row r="130">
      <c r="A130" t="inlineStr">
        <is>
          <t>nuke_train/flak_rear</t>
        </is>
      </c>
      <c r="B130" t="inlineStr">
        <is>
          <t>nuke_train</t>
        </is>
      </c>
      <c r="C130" t="n">
        <v>3</v>
      </c>
      <c r="G130" t="n">
        <v>2</v>
      </c>
      <c r="H130" t="n">
        <v>0.45</v>
      </c>
      <c r="I130" t="n">
        <v>19.35</v>
      </c>
      <c r="J130" t="n">
        <v>3.5</v>
      </c>
      <c r="N130" t="n">
        <v>0.07000000000000001</v>
      </c>
      <c r="O130" t="inlineStr">
        <is>
          <t>flak_rear</t>
        </is>
      </c>
      <c r="P130" t="inlineStr">
        <is>
          <t>flak</t>
        </is>
      </c>
      <c r="Q130" t="inlineStr">
        <is>
          <t>2</t>
        </is>
      </c>
      <c r="R130" t="inlineStr">
        <is>
          <t>Mount_mg.001</t>
        </is>
      </c>
      <c r="T130" t="n">
        <v>2</v>
      </c>
      <c r="Z130" t="inlineStr">
        <is>
          <t>wreck_turret</t>
        </is>
      </c>
      <c r="AA130" t="inlineStr">
        <is>
          <t>Assets/MachineBrigade/Resources/Data/balance.json: vehicles[143].parts[3]</t>
        </is>
      </c>
      <c r="AB130" t="inlineStr">
        <is>
          <t>{"id":"flak_rear","kind":"flak","hp":0.07,"armour":2,"node":"Mount_mg.001","wreck":"wreck_turret","at":[0.45,19.35,3.5],"radius":2.0,"mounts":[2]}</t>
        </is>
      </c>
    </row>
    <row r="131">
      <c r="A131" t="inlineStr">
        <is>
          <t>nuke_train/gun_car_152</t>
        </is>
      </c>
      <c r="B131" t="inlineStr">
        <is>
          <t>nuke_train</t>
        </is>
      </c>
      <c r="C131" t="n">
        <v>7</v>
      </c>
      <c r="D131" t="inlineStr">
        <is>
          <t>gun_152_car</t>
        </is>
      </c>
      <c r="H131" t="n">
        <v>0</v>
      </c>
      <c r="I131" t="n">
        <v>-4.13</v>
      </c>
      <c r="J131" t="n">
        <v>3.4</v>
      </c>
      <c r="O131" t="inlineStr">
        <is>
          <t>gun_car_152</t>
        </is>
      </c>
      <c r="P131" t="inlineStr">
        <is>
          <t>gun</t>
        </is>
      </c>
      <c r="R131" t="inlineStr">
        <is>
          <t>Part_gun152</t>
        </is>
      </c>
      <c r="AA131" t="inlineStr">
        <is>
          <t>Assets/MachineBrigade/Resources/Data/balance.json: vehicles[143].parts[7]</t>
        </is>
      </c>
      <c r="AB131" t="inlineStr">
        <is>
          <t>{"use":"gun_152_car","id":"gun_car_152","kind":"gun","node":"Part_gun152","at":[0,-4.13,3.4]}</t>
        </is>
      </c>
    </row>
    <row r="132">
      <c r="A132" t="inlineStr">
        <is>
          <t>nuke_train/locomotive</t>
        </is>
      </c>
      <c r="B132" t="inlineStr">
        <is>
          <t>nuke_train</t>
        </is>
      </c>
      <c r="C132" t="n">
        <v>0</v>
      </c>
      <c r="G132" t="n">
        <v>4</v>
      </c>
      <c r="H132" t="n">
        <v>0</v>
      </c>
      <c r="I132" t="n">
        <v>25.2</v>
      </c>
      <c r="J132" t="n">
        <v>2.5</v>
      </c>
      <c r="N132" t="n">
        <v>0.08</v>
      </c>
      <c r="O132" t="inlineStr">
        <is>
          <t>locomotive</t>
        </is>
      </c>
      <c r="P132" t="inlineStr">
        <is>
          <t>locomotive</t>
        </is>
      </c>
      <c r="S132" t="inlineStr">
        <is>
          <t>radio.part.locomotive</t>
        </is>
      </c>
      <c r="T132" t="n">
        <v>3.5</v>
      </c>
      <c r="V132" t="n">
        <v>0.5</v>
      </c>
      <c r="Z132" t="inlineStr">
        <is>
          <t>wreck_stump</t>
        </is>
      </c>
      <c r="AA132" t="inlineStr">
        <is>
          <t>Assets/MachineBrigade/Resources/Data/balance.json: vehicles[143].parts[0]</t>
        </is>
      </c>
      <c r="AB132" t="inlineStr">
        <is>
          <t>{"id":"locomotive","kind":"locomotive","hp":0.08,"armour":4,"wreck":"wreck_stump","at":[0,25.2,2.5],"radius":3.5,"speed":0.5,"radio":"radio.part.locomotive"}</t>
        </is>
      </c>
    </row>
    <row r="133">
      <c r="A133" t="inlineStr">
        <is>
          <t>nuke_train/rocket_car</t>
        </is>
      </c>
      <c r="B133" t="inlineStr">
        <is>
          <t>nuke_train</t>
        </is>
      </c>
      <c r="C133" t="n">
        <v>4</v>
      </c>
      <c r="G133" t="n">
        <v>2</v>
      </c>
      <c r="H133" t="n">
        <v>0</v>
      </c>
      <c r="I133" t="n">
        <v>5.67</v>
      </c>
      <c r="J133" t="n">
        <v>2.6</v>
      </c>
      <c r="N133" t="n">
        <v>0.07000000000000001</v>
      </c>
      <c r="O133" t="inlineStr">
        <is>
          <t>rocket_car</t>
        </is>
      </c>
      <c r="P133" t="inlineStr">
        <is>
          <t>rockets</t>
        </is>
      </c>
      <c r="Q133" t="inlineStr">
        <is>
          <t>3</t>
        </is>
      </c>
      <c r="R133" t="inlineStr">
        <is>
          <t>Part_rocket</t>
        </is>
      </c>
      <c r="T133" t="n">
        <v>2.4</v>
      </c>
      <c r="Z133" t="inlineStr">
        <is>
          <t>wreck_launcher</t>
        </is>
      </c>
      <c r="AA133" t="inlineStr">
        <is>
          <t>Assets/MachineBrigade/Resources/Data/balance.json: vehicles[143].parts[4]</t>
        </is>
      </c>
      <c r="AB133" t="inlineStr">
        <is>
          <t>{"id":"rocket_car","kind":"rockets","hp":0.07,"armour":2,"node":"Part_rocket","wreck":"wreck_launcher","at":[0,5.67,2.6],"radius":2.4,"mounts":[3]}</t>
        </is>
      </c>
    </row>
    <row r="134">
      <c r="A134" t="inlineStr">
        <is>
          <t>nuke_train/sam_car</t>
        </is>
      </c>
      <c r="B134" t="inlineStr">
        <is>
          <t>nuke_train</t>
        </is>
      </c>
      <c r="C134" t="n">
        <v>5</v>
      </c>
      <c r="G134" t="n">
        <v>2</v>
      </c>
      <c r="H134" t="n">
        <v>0</v>
      </c>
      <c r="I134" t="n">
        <v>0.87</v>
      </c>
      <c r="J134" t="n">
        <v>2.8</v>
      </c>
      <c r="N134" t="n">
        <v>0.07000000000000001</v>
      </c>
      <c r="O134" t="inlineStr">
        <is>
          <t>sam_car</t>
        </is>
      </c>
      <c r="P134" t="inlineStr">
        <is>
          <t>sam</t>
        </is>
      </c>
      <c r="Q134" t="inlineStr">
        <is>
          <t>4</t>
        </is>
      </c>
      <c r="R134" t="inlineStr">
        <is>
          <t>Part_missile</t>
        </is>
      </c>
      <c r="T134" t="n">
        <v>2.4</v>
      </c>
      <c r="Z134" t="inlineStr">
        <is>
          <t>wreck_launcher</t>
        </is>
      </c>
      <c r="AA134" t="inlineStr">
        <is>
          <t>Assets/MachineBrigade/Resources/Data/balance.json: vehicles[143].parts[5]</t>
        </is>
      </c>
      <c r="AB134" t="inlineStr">
        <is>
          <t>{"id":"sam_car","kind":"sam","hp":0.07,"armour":2,"node":"Part_missile","wreck":"wreck_launcher","at":[0,0.87,2.8],"radius":2.4,"mounts":[4]}</t>
        </is>
      </c>
    </row>
    <row r="135">
      <c r="A135" t="inlineStr">
        <is>
          <t>nuke_train/twin_gun</t>
        </is>
      </c>
      <c r="B135" t="inlineStr">
        <is>
          <t>nuke_train</t>
        </is>
      </c>
      <c r="C135" t="n">
        <v>1</v>
      </c>
      <c r="G135" t="n">
        <v>3</v>
      </c>
      <c r="H135" t="n">
        <v>0</v>
      </c>
      <c r="I135" t="n">
        <v>24.57</v>
      </c>
      <c r="J135" t="n">
        <v>3.9</v>
      </c>
      <c r="N135" t="n">
        <v>0.09</v>
      </c>
      <c r="O135" t="inlineStr">
        <is>
          <t>twin_gun</t>
        </is>
      </c>
      <c r="P135" t="inlineStr">
        <is>
          <t>maingun</t>
        </is>
      </c>
      <c r="Q135" t="inlineStr">
        <is>
          <t>0</t>
        </is>
      </c>
      <c r="R135" t="inlineStr">
        <is>
          <t>Main_cannon|Main_cannon_2|Muzzle_brake|Muzzle_brake_2</t>
        </is>
      </c>
      <c r="S135" t="inlineStr">
        <is>
          <t>radio.part.maingun</t>
        </is>
      </c>
      <c r="T135" t="n">
        <v>3</v>
      </c>
      <c r="Z135" t="inlineStr">
        <is>
          <t>wreck_barrel</t>
        </is>
      </c>
      <c r="AA135" t="inlineStr">
        <is>
          <t>Assets/MachineBrigade/Resources/Data/balance.json: vehicles[143].parts[1]</t>
        </is>
      </c>
      <c r="AB135" t="inlineStr">
        <is>
          <t>{"id":"twin_gun","kind":"maingun","hp":0.09,"armour":3,"node":"Main_cannon|Main_cannon_2|Muzzle_brake|Muzzle_brake_2","wreck":"wreck_barrel","at":[0,24.57,3.9],"radius":3.0,"mounts":[0],"radio":"radio.part.maingun"}</t>
        </is>
      </c>
    </row>
    <row r="136">
      <c r="A136" t="inlineStr">
        <is>
          <t>silver_bug/crash_turret_l</t>
        </is>
      </c>
      <c r="B136" t="inlineStr">
        <is>
          <t>silver_bug</t>
        </is>
      </c>
      <c r="C136" t="n">
        <v>10</v>
      </c>
      <c r="D136" t="inlineStr">
        <is>
          <t>gun_40</t>
        </is>
      </c>
      <c r="H136" t="n">
        <v>-6.16</v>
      </c>
      <c r="I136" t="n">
        <v>-7</v>
      </c>
      <c r="J136" t="n">
        <v>0.62</v>
      </c>
      <c r="O136" t="inlineStr">
        <is>
          <t>crash_turret_l</t>
        </is>
      </c>
      <c r="R136" t="inlineStr">
        <is>
          <t>Mount_gun.008</t>
        </is>
      </c>
      <c r="AA136" t="inlineStr">
        <is>
          <t>Assets/MachineBrigade/Resources/Data/balance.json: vehicles[144].parts[10]</t>
        </is>
      </c>
      <c r="AB136" t="inlineStr">
        <is>
          <t>{"use":"gun_40","id":"crash_turret_l","node":"Mount_gun.008","at":[-6.16,-7.0,0.62]}</t>
        </is>
      </c>
    </row>
    <row r="137">
      <c r="A137" t="inlineStr">
        <is>
          <t>silver_bug/crash_turret_r</t>
        </is>
      </c>
      <c r="B137" t="inlineStr">
        <is>
          <t>silver_bug</t>
        </is>
      </c>
      <c r="C137" t="n">
        <v>11</v>
      </c>
      <c r="D137" t="inlineStr">
        <is>
          <t>gun_40</t>
        </is>
      </c>
      <c r="H137" t="n">
        <v>6.16</v>
      </c>
      <c r="I137" t="n">
        <v>-7</v>
      </c>
      <c r="J137" t="n">
        <v>0.62</v>
      </c>
      <c r="O137" t="inlineStr">
        <is>
          <t>crash_turret_r</t>
        </is>
      </c>
      <c r="R137" t="inlineStr">
        <is>
          <t>Mount_gun.009</t>
        </is>
      </c>
      <c r="AA137" t="inlineStr">
        <is>
          <t>Assets/MachineBrigade/Resources/Data/balance.json: vehicles[144].parts[11]</t>
        </is>
      </c>
      <c r="AB137" t="inlineStr">
        <is>
          <t>{"use":"gun_40","id":"crash_turret_r","node":"Mount_gun.009","at":[6.16,-7.0,0.62]}</t>
        </is>
      </c>
    </row>
    <row r="138">
      <c r="A138" t="inlineStr">
        <is>
          <t>silver_bug/main_engine</t>
        </is>
      </c>
      <c r="B138" t="inlineStr">
        <is>
          <t>silver_bug</t>
        </is>
      </c>
      <c r="C138" t="n">
        <v>1</v>
      </c>
      <c r="G138" t="n">
        <v>2</v>
      </c>
      <c r="H138" t="n">
        <v>0</v>
      </c>
      <c r="I138" t="n">
        <v>-15.5</v>
      </c>
      <c r="J138" t="n">
        <v>0.6</v>
      </c>
      <c r="N138" t="n">
        <v>0.06</v>
      </c>
      <c r="O138" t="inlineStr">
        <is>
          <t>main_engine</t>
        </is>
      </c>
      <c r="P138" t="inlineStr">
        <is>
          <t>mainengine</t>
        </is>
      </c>
      <c r="R138" t="inlineStr">
        <is>
          <t>Thruster_main</t>
        </is>
      </c>
      <c r="S138" t="inlineStr">
        <is>
          <t>radio.part.mainengine</t>
        </is>
      </c>
      <c r="T138" t="n">
        <v>3.4</v>
      </c>
      <c r="X138" t="inlineStr">
        <is>
          <t>thrust</t>
        </is>
      </c>
      <c r="Z138" t="inlineStr">
        <is>
          <t>wreck_stump</t>
        </is>
      </c>
      <c r="AA138" t="inlineStr">
        <is>
          <t>Assets/MachineBrigade/Resources/Data/balance.json: vehicles[144].parts[1]</t>
        </is>
      </c>
      <c r="AB138" t="inlineStr">
        <is>
          <t>{"id":"main_engine","kind":"mainengine","hp":0.06,"armour":2,"node":"Thruster_main","wreck":"wreck_stump","at":[0,-15.5,0.6],"radius":3.4,"stops":["thrust"],"radio":"radio.part.mainengine"}</t>
        </is>
      </c>
    </row>
    <row r="139">
      <c r="A139" t="inlineStr">
        <is>
          <t>silver_bug/main_laser</t>
        </is>
      </c>
      <c r="B139" t="inlineStr">
        <is>
          <t>silver_bug</t>
        </is>
      </c>
      <c r="C139" t="n">
        <v>0</v>
      </c>
      <c r="G139" t="n">
        <v>3</v>
      </c>
      <c r="H139" t="n">
        <v>0</v>
      </c>
      <c r="I139" t="n">
        <v>7</v>
      </c>
      <c r="J139" t="n">
        <v>-2.8</v>
      </c>
      <c r="M139" t="inlineStr">
        <is>
          <t>energy</t>
        </is>
      </c>
      <c r="N139" t="n">
        <v>0.06</v>
      </c>
      <c r="O139" t="inlineStr">
        <is>
          <t>main_laser</t>
        </is>
      </c>
      <c r="P139" t="inlineStr">
        <is>
          <t>laser</t>
        </is>
      </c>
      <c r="Q139" t="inlineStr">
        <is>
          <t>0</t>
        </is>
      </c>
      <c r="R139" t="inlineStr">
        <is>
          <t>Turret</t>
        </is>
      </c>
      <c r="S139" t="inlineStr">
        <is>
          <t>radio.part.maingun</t>
        </is>
      </c>
      <c r="T139" t="n">
        <v>2.4</v>
      </c>
      <c r="Z139" t="inlineStr">
        <is>
          <t>wreck_stump</t>
        </is>
      </c>
      <c r="AA139" t="inlineStr">
        <is>
          <t>Assets/MachineBrigade/Resources/Data/balance.json: vehicles[144].parts[0]</t>
        </is>
      </c>
      <c r="AB139" t="inlineStr">
        <is>
          <t>{"id":"main_laser","kind":"laser","hp":0.06,"armour":3,"node":"Turret","wreck":"wreck_stump","at":[0,7,-2.8],"radius":2.4,"mounts":[0],"radio":"radio.part.maingun","fx":"energy"}</t>
        </is>
      </c>
    </row>
    <row r="140">
      <c r="A140" t="inlineStr">
        <is>
          <t>silver_bug/pd_laser_l</t>
        </is>
      </c>
      <c r="B140" t="inlineStr">
        <is>
          <t>silver_bug</t>
        </is>
      </c>
      <c r="C140" t="n">
        <v>6</v>
      </c>
      <c r="G140" t="n">
        <v>2</v>
      </c>
      <c r="H140" t="n">
        <v>-2.4</v>
      </c>
      <c r="I140" t="n">
        <v>6</v>
      </c>
      <c r="J140" t="n">
        <v>1.84</v>
      </c>
      <c r="M140" t="inlineStr">
        <is>
          <t>energy</t>
        </is>
      </c>
      <c r="N140" t="n">
        <v>0.06</v>
      </c>
      <c r="O140" t="inlineStr">
        <is>
          <t>pd_laser_l</t>
        </is>
      </c>
      <c r="P140" t="inlineStr">
        <is>
          <t>pdlaser</t>
        </is>
      </c>
      <c r="R140" t="inlineStr">
        <is>
          <t>Pd_laser_l</t>
        </is>
      </c>
      <c r="T140" t="n">
        <v>1.6</v>
      </c>
      <c r="X140" t="inlineStr">
        <is>
          <t>aps</t>
        </is>
      </c>
      <c r="Z140" t="inlineStr">
        <is>
          <t>wreck_turret</t>
        </is>
      </c>
      <c r="AA140" t="inlineStr">
        <is>
          <t>Assets/MachineBrigade/Resources/Data/balance.json: vehicles[144].parts[6]</t>
        </is>
      </c>
      <c r="AB140" t="inlineStr">
        <is>
          <t>{"id":"pd_laser_l","kind":"pdlaser","hp":0.06,"armour":2,"node":"Pd_laser_l","wreck":"wreck_turret","at":[-2.4,6.0,1.84],"radius":1.6,"stops":["aps"],"fx":"energy"}</t>
        </is>
      </c>
    </row>
    <row r="141">
      <c r="A141" t="inlineStr">
        <is>
          <t>silver_bug/pd_laser_r</t>
        </is>
      </c>
      <c r="B141" t="inlineStr">
        <is>
          <t>silver_bug</t>
        </is>
      </c>
      <c r="C141" t="n">
        <v>7</v>
      </c>
      <c r="G141" t="n">
        <v>2</v>
      </c>
      <c r="H141" t="n">
        <v>2.4</v>
      </c>
      <c r="I141" t="n">
        <v>6</v>
      </c>
      <c r="J141" t="n">
        <v>1.84</v>
      </c>
      <c r="M141" t="inlineStr">
        <is>
          <t>energy</t>
        </is>
      </c>
      <c r="N141" t="n">
        <v>0.06</v>
      </c>
      <c r="O141" t="inlineStr">
        <is>
          <t>pd_laser_r</t>
        </is>
      </c>
      <c r="P141" t="inlineStr">
        <is>
          <t>pdlaser</t>
        </is>
      </c>
      <c r="R141" t="inlineStr">
        <is>
          <t>Pd_laser_r</t>
        </is>
      </c>
      <c r="T141" t="n">
        <v>1.6</v>
      </c>
      <c r="X141" t="inlineStr">
        <is>
          <t>aps</t>
        </is>
      </c>
      <c r="Z141" t="inlineStr">
        <is>
          <t>wreck_turret</t>
        </is>
      </c>
      <c r="AA141" t="inlineStr">
        <is>
          <t>Assets/MachineBrigade/Resources/Data/balance.json: vehicles[144].parts[7]</t>
        </is>
      </c>
      <c r="AB141" t="inlineStr">
        <is>
          <t>{"id":"pd_laser_r","kind":"pdlaser","hp":0.06,"armour":2,"node":"Pd_laser_r","wreck":"wreck_turret","at":[2.4,6.0,1.84],"radius":1.6,"stops":["aps"],"fx":"energy"}</t>
        </is>
      </c>
    </row>
    <row r="142">
      <c r="A142" t="inlineStr">
        <is>
          <t>silver_bug/pod_bay</t>
        </is>
      </c>
      <c r="B142" t="inlineStr">
        <is>
          <t>silver_bug</t>
        </is>
      </c>
      <c r="C142" t="n">
        <v>8</v>
      </c>
      <c r="G142" t="n">
        <v>2</v>
      </c>
      <c r="H142" t="n">
        <v>0</v>
      </c>
      <c r="I142" t="n">
        <v>-4</v>
      </c>
      <c r="J142" t="n">
        <v>-2.6</v>
      </c>
      <c r="N142" t="n">
        <v>0.06</v>
      </c>
      <c r="O142" t="inlineStr">
        <is>
          <t>pod_bay</t>
        </is>
      </c>
      <c r="P142" t="inlineStr">
        <is>
          <t>podbay</t>
        </is>
      </c>
      <c r="R142" t="inlineStr">
        <is>
          <t>Pod_bay</t>
        </is>
      </c>
      <c r="S142" t="inlineStr">
        <is>
          <t>radio.part.podbay</t>
        </is>
      </c>
      <c r="T142" t="n">
        <v>2.8</v>
      </c>
      <c r="X142" t="inlineStr">
        <is>
          <t>pods</t>
        </is>
      </c>
      <c r="Z142" t="inlineStr">
        <is>
          <t>wreck_stump</t>
        </is>
      </c>
      <c r="AA142" t="inlineStr">
        <is>
          <t>Assets/MachineBrigade/Resources/Data/balance.json: vehicles[144].parts[8]</t>
        </is>
      </c>
      <c r="AB142" t="inlineStr">
        <is>
          <t>{"id":"pod_bay","kind":"podbay","hp":0.06,"armour":2,"node":"Pod_bay","wreck":"wreck_stump","at":[0,-4,-2.6],"radius":2.8,"stops":["pods"],"radio":"radio.part.podbay"}</t>
        </is>
      </c>
    </row>
    <row r="143">
      <c r="A143" t="inlineStr">
        <is>
          <t>silver_bug/thruster_fl</t>
        </is>
      </c>
      <c r="B143" t="inlineStr">
        <is>
          <t>silver_bug</t>
        </is>
      </c>
      <c r="C143" t="n">
        <v>2</v>
      </c>
      <c r="G143" t="n">
        <v>1</v>
      </c>
      <c r="H143" t="n">
        <v>-4.5</v>
      </c>
      <c r="I143" t="n">
        <v>11</v>
      </c>
      <c r="J143" t="n">
        <v>0.8</v>
      </c>
      <c r="N143" t="n">
        <v>0.06</v>
      </c>
      <c r="O143" t="inlineStr">
        <is>
          <t>thruster_fl</t>
        </is>
      </c>
      <c r="P143" t="inlineStr">
        <is>
          <t>thruster</t>
        </is>
      </c>
      <c r="R143" t="inlineStr">
        <is>
          <t>Thruster_fl</t>
        </is>
      </c>
      <c r="T143" t="n">
        <v>1.6</v>
      </c>
      <c r="V143" t="n">
        <v>0.88</v>
      </c>
      <c r="Z143" t="inlineStr">
        <is>
          <t>wreck_stump</t>
        </is>
      </c>
      <c r="AA143" t="inlineStr">
        <is>
          <t>Assets/MachineBrigade/Resources/Data/balance.json: vehicles[144].parts[2]</t>
        </is>
      </c>
      <c r="AB143" t="inlineStr">
        <is>
          <t>{"id":"thruster_fl","kind":"thruster","hp":0.06,"armour":1,"node":"Thruster_fl","wreck":"wreck_stump","at":[-4.5,11,0.8],"radius":1.6,"speed":0.88}</t>
        </is>
      </c>
    </row>
    <row r="144">
      <c r="A144" t="inlineStr">
        <is>
          <t>silver_bug/thruster_fr</t>
        </is>
      </c>
      <c r="B144" t="inlineStr">
        <is>
          <t>silver_bug</t>
        </is>
      </c>
      <c r="C144" t="n">
        <v>3</v>
      </c>
      <c r="G144" t="n">
        <v>1</v>
      </c>
      <c r="H144" t="n">
        <v>4.5</v>
      </c>
      <c r="I144" t="n">
        <v>11</v>
      </c>
      <c r="J144" t="n">
        <v>0.8</v>
      </c>
      <c r="N144" t="n">
        <v>0.06</v>
      </c>
      <c r="O144" t="inlineStr">
        <is>
          <t>thruster_fr</t>
        </is>
      </c>
      <c r="P144" t="inlineStr">
        <is>
          <t>thruster</t>
        </is>
      </c>
      <c r="R144" t="inlineStr">
        <is>
          <t>Thruster_fr</t>
        </is>
      </c>
      <c r="T144" t="n">
        <v>1.6</v>
      </c>
      <c r="V144" t="n">
        <v>0.88</v>
      </c>
      <c r="Z144" t="inlineStr">
        <is>
          <t>wreck_stump</t>
        </is>
      </c>
      <c r="AA144" t="inlineStr">
        <is>
          <t>Assets/MachineBrigade/Resources/Data/balance.json: vehicles[144].parts[3]</t>
        </is>
      </c>
      <c r="AB144" t="inlineStr">
        <is>
          <t>{"id":"thruster_fr","kind":"thruster","hp":0.06,"armour":1,"node":"Thruster_fr","wreck":"wreck_stump","at":[4.5,11,0.8],"radius":1.6,"speed":0.88}</t>
        </is>
      </c>
    </row>
    <row r="145">
      <c r="A145" t="inlineStr">
        <is>
          <t>silver_bug/thruster_rl</t>
        </is>
      </c>
      <c r="B145" t="inlineStr">
        <is>
          <t>silver_bug</t>
        </is>
      </c>
      <c r="C145" t="n">
        <v>4</v>
      </c>
      <c r="G145" t="n">
        <v>1</v>
      </c>
      <c r="H145" t="n">
        <v>-8</v>
      </c>
      <c r="I145" t="n">
        <v>-11</v>
      </c>
      <c r="J145" t="n">
        <v>0.4</v>
      </c>
      <c r="N145" t="n">
        <v>0.06</v>
      </c>
      <c r="O145" t="inlineStr">
        <is>
          <t>thruster_rl</t>
        </is>
      </c>
      <c r="P145" t="inlineStr">
        <is>
          <t>thruster</t>
        </is>
      </c>
      <c r="R145" t="inlineStr">
        <is>
          <t>Thruster_rl</t>
        </is>
      </c>
      <c r="T145" t="n">
        <v>1.6</v>
      </c>
      <c r="V145" t="n">
        <v>0.88</v>
      </c>
      <c r="Z145" t="inlineStr">
        <is>
          <t>wreck_stump</t>
        </is>
      </c>
      <c r="AA145" t="inlineStr">
        <is>
          <t>Assets/MachineBrigade/Resources/Data/balance.json: vehicles[144].parts[4]</t>
        </is>
      </c>
      <c r="AB145" t="inlineStr">
        <is>
          <t>{"id":"thruster_rl","kind":"thruster","hp":0.06,"armour":1,"node":"Thruster_rl","wreck":"wreck_stump","at":[-8,-11,0.4],"radius":1.6,"speed":0.88}</t>
        </is>
      </c>
    </row>
    <row r="146">
      <c r="A146" t="inlineStr">
        <is>
          <t>silver_bug/thruster_rr</t>
        </is>
      </c>
      <c r="B146" t="inlineStr">
        <is>
          <t>silver_bug</t>
        </is>
      </c>
      <c r="C146" t="n">
        <v>5</v>
      </c>
      <c r="G146" t="n">
        <v>1</v>
      </c>
      <c r="H146" t="n">
        <v>8</v>
      </c>
      <c r="I146" t="n">
        <v>-11</v>
      </c>
      <c r="J146" t="n">
        <v>0.4</v>
      </c>
      <c r="N146" t="n">
        <v>0.06</v>
      </c>
      <c r="O146" t="inlineStr">
        <is>
          <t>thruster_rr</t>
        </is>
      </c>
      <c r="P146" t="inlineStr">
        <is>
          <t>thruster</t>
        </is>
      </c>
      <c r="R146" t="inlineStr">
        <is>
          <t>Thruster_rr</t>
        </is>
      </c>
      <c r="T146" t="n">
        <v>1.6</v>
      </c>
      <c r="V146" t="n">
        <v>0.88</v>
      </c>
      <c r="Z146" t="inlineStr">
        <is>
          <t>wreck_stump</t>
        </is>
      </c>
      <c r="AA146" t="inlineStr">
        <is>
          <t>Assets/MachineBrigade/Resources/Data/balance.json: vehicles[144].parts[5]</t>
        </is>
      </c>
      <c r="AB146" t="inlineStr">
        <is>
          <t>{"id":"thruster_rr","kind":"thruster","hp":0.06,"armour":1,"node":"Thruster_rr","wreck":"wreck_stump","at":[8,-11,0.4],"radius":1.6,"speed":0.88}</t>
        </is>
      </c>
    </row>
    <row r="147">
      <c r="A147" t="inlineStr">
        <is>
          <t>silver_bug/uplink</t>
        </is>
      </c>
      <c r="B147" t="inlineStr">
        <is>
          <t>silver_bug</t>
        </is>
      </c>
      <c r="C147" t="n">
        <v>9</v>
      </c>
      <c r="G147" t="n">
        <v>1</v>
      </c>
      <c r="H147" t="n">
        <v>0</v>
      </c>
      <c r="I147" t="n">
        <v>-3</v>
      </c>
      <c r="J147" t="n">
        <v>4.2</v>
      </c>
      <c r="M147" t="inlineStr">
        <is>
          <t>energy</t>
        </is>
      </c>
      <c r="N147" t="n">
        <v>0.06</v>
      </c>
      <c r="O147" t="inlineStr">
        <is>
          <t>uplink</t>
        </is>
      </c>
      <c r="P147" t="inlineStr">
        <is>
          <t>uplink</t>
        </is>
      </c>
      <c r="R147" t="inlineStr">
        <is>
          <t>Uplink</t>
        </is>
      </c>
      <c r="S147" t="inlineStr">
        <is>
          <t>radio.part.uplink</t>
        </is>
      </c>
      <c r="T147" t="n">
        <v>2</v>
      </c>
      <c r="Z147" t="inlineStr">
        <is>
          <t>wreck_stump</t>
        </is>
      </c>
      <c r="AA147" t="inlineStr">
        <is>
          <t>Assets/MachineBrigade/Resources/Data/balance.json: vehicles[144].parts[9]</t>
        </is>
      </c>
      <c r="AB147" t="inlineStr">
        <is>
          <t>{"id":"uplink","kind":"uplink","hp":0.06,"armour":1,"node":"Uplink","wreck":"wreck_stump","at":[0,-3,4.2],"radius":2.0,"radio":"radio.part.uplink","fx":"energy"}</t>
        </is>
      </c>
    </row>
    <row r="148">
      <c r="A148" t="inlineStr">
        <is>
          <t>typhon/deck_gun</t>
        </is>
      </c>
      <c r="B148" t="inlineStr">
        <is>
          <t>typhon</t>
        </is>
      </c>
      <c r="C148" t="n">
        <v>6</v>
      </c>
      <c r="D148" t="inlineStr">
        <is>
          <t>deck_gun_100</t>
        </is>
      </c>
      <c r="F148" t="inlineStr">
        <is>
          <t>0;150</t>
        </is>
      </c>
      <c r="H148" t="n">
        <v>0</v>
      </c>
      <c r="I148" t="n">
        <v>22.4</v>
      </c>
      <c r="J148" t="n">
        <v>4.2</v>
      </c>
      <c r="O148" t="inlineStr">
        <is>
          <t>deck_gun</t>
        </is>
      </c>
      <c r="Q148" t="inlineStr">
        <is>
          <t>3</t>
        </is>
      </c>
      <c r="R148" t="inlineStr">
        <is>
          <t>Mount_gun.002</t>
        </is>
      </c>
      <c r="AA148" t="inlineStr">
        <is>
          <t>Assets/MachineBrigade/Resources/Data/balance.json: vehicles[161].parts[6]</t>
        </is>
      </c>
      <c r="AB148" t="inlineStr">
        <is>
          <t>{"use":"deck_gun_100","id":"deck_gun","node":"Mount_gun.002","at":[0,22.4,4.2],"arc":[0,150],"mounts":[3]}</t>
        </is>
      </c>
    </row>
    <row r="149">
      <c r="A149" t="inlineStr">
        <is>
          <t>typhon/doors_l</t>
        </is>
      </c>
      <c r="B149" t="inlineStr">
        <is>
          <t>typhon</t>
        </is>
      </c>
      <c r="C149" t="n">
        <v>1</v>
      </c>
      <c r="G149" t="n">
        <v>2</v>
      </c>
      <c r="H149" t="n">
        <v>-1.72</v>
      </c>
      <c r="I149" t="n">
        <v>11.85</v>
      </c>
      <c r="J149" t="n">
        <v>4.2</v>
      </c>
      <c r="N149" t="n">
        <v>0.08</v>
      </c>
      <c r="O149" t="inlineStr">
        <is>
          <t>doors_l</t>
        </is>
      </c>
      <c r="P149" t="inlineStr">
        <is>
          <t>launchdoors</t>
        </is>
      </c>
      <c r="R149" t="inlineStr">
        <is>
          <t>Part_doors_l</t>
        </is>
      </c>
      <c r="S149" t="inlineStr">
        <is>
          <t>radio.part.launchdoors</t>
        </is>
      </c>
      <c r="T149" t="n">
        <v>3</v>
      </c>
      <c r="X149" t="inlineStr">
        <is>
          <t>cruise</t>
        </is>
      </c>
      <c r="Z149" t="inlineStr">
        <is>
          <t>wreck_launcher</t>
        </is>
      </c>
      <c r="AA149" t="inlineStr">
        <is>
          <t>Assets/MachineBrigade/Resources/Data/balance.json: vehicles[161].parts[1]</t>
        </is>
      </c>
      <c r="AB149" t="inlineStr">
        <is>
          <t>{"id":"doors_l","kind":"launchdoors","hp":0.08,"armour":2,"node":"Part_doors_l","wreck":"wreck_launcher","at":[-1.72,11.85,4.2],"radius":3.0,"stops":["cruise"],"radio":"radio.part.launchdoors"}</t>
        </is>
      </c>
    </row>
    <row r="150">
      <c r="A150" t="inlineStr">
        <is>
          <t>typhon/doors_r</t>
        </is>
      </c>
      <c r="B150" t="inlineStr">
        <is>
          <t>typhon</t>
        </is>
      </c>
      <c r="C150" t="n">
        <v>2</v>
      </c>
      <c r="G150" t="n">
        <v>2</v>
      </c>
      <c r="H150" t="n">
        <v>1.72</v>
      </c>
      <c r="I150" t="n">
        <v>11.85</v>
      </c>
      <c r="J150" t="n">
        <v>4.2</v>
      </c>
      <c r="N150" t="n">
        <v>0.08</v>
      </c>
      <c r="O150" t="inlineStr">
        <is>
          <t>doors_r</t>
        </is>
      </c>
      <c r="P150" t="inlineStr">
        <is>
          <t>launchdoors</t>
        </is>
      </c>
      <c r="R150" t="inlineStr">
        <is>
          <t>Part_doors_r</t>
        </is>
      </c>
      <c r="T150" t="n">
        <v>3</v>
      </c>
      <c r="X150" t="inlineStr">
        <is>
          <t>cruise</t>
        </is>
      </c>
      <c r="Z150" t="inlineStr">
        <is>
          <t>wreck_launcher</t>
        </is>
      </c>
      <c r="AA150" t="inlineStr">
        <is>
          <t>Assets/MachineBrigade/Resources/Data/balance.json: vehicles[161].parts[2]</t>
        </is>
      </c>
      <c r="AB150" t="inlineStr">
        <is>
          <t>{"id":"doors_r","kind":"launchdoors","hp":0.08,"armour":2,"node":"Part_doors_r","wreck":"wreck_launcher","at":[1.72,11.85,4.2],"radius":3.0,"stops":["cruise"]}</t>
        </is>
      </c>
    </row>
    <row r="151">
      <c r="A151" t="inlineStr">
        <is>
          <t>typhon/rudder</t>
        </is>
      </c>
      <c r="B151" t="inlineStr">
        <is>
          <t>typhon</t>
        </is>
      </c>
      <c r="C151" t="n">
        <v>3</v>
      </c>
      <c r="G151" t="n">
        <v>2</v>
      </c>
      <c r="H151" t="n">
        <v>0</v>
      </c>
      <c r="I151" t="n">
        <v>-26.6</v>
      </c>
      <c r="J151" t="n">
        <v>2.4</v>
      </c>
      <c r="N151" t="n">
        <v>0.08</v>
      </c>
      <c r="O151" t="inlineStr">
        <is>
          <t>rudder</t>
        </is>
      </c>
      <c r="P151" t="inlineStr">
        <is>
          <t>rudder</t>
        </is>
      </c>
      <c r="R151" t="inlineStr">
        <is>
          <t>Part_rudder</t>
        </is>
      </c>
      <c r="T151" t="n">
        <v>2.6</v>
      </c>
      <c r="V151" t="n">
        <v>0.9</v>
      </c>
      <c r="Y151" t="n">
        <v>0.5</v>
      </c>
      <c r="Z151" t="inlineStr">
        <is>
          <t>wreck_stump</t>
        </is>
      </c>
      <c r="AA151" t="inlineStr">
        <is>
          <t>Assets/MachineBrigade/Resources/Data/balance.json: vehicles[161].parts[3]</t>
        </is>
      </c>
      <c r="AB151" t="inlineStr">
        <is>
          <t>{"id":"rudder","kind":"rudder","hp":0.08,"armour":2,"node":"Part_rudder","wreck":"wreck_stump","at":[0,-26.6,2.4],"radius":2.6,"turn":0.5,"speed":0.9}</t>
        </is>
      </c>
    </row>
    <row r="152">
      <c r="A152" t="inlineStr">
        <is>
          <t>typhon/sail</t>
        </is>
      </c>
      <c r="B152" t="inlineStr">
        <is>
          <t>typhon</t>
        </is>
      </c>
      <c r="C152" t="n">
        <v>0</v>
      </c>
      <c r="E152" t="inlineStr">
        <is>
          <t>0</t>
        </is>
      </c>
      <c r="G152" t="n">
        <v>2</v>
      </c>
      <c r="H152" t="n">
        <v>0</v>
      </c>
      <c r="I152" t="n">
        <v>-1.4</v>
      </c>
      <c r="J152" t="n">
        <v>6.4</v>
      </c>
      <c r="N152" t="n">
        <v>0.08</v>
      </c>
      <c r="O152" t="inlineStr">
        <is>
          <t>sail</t>
        </is>
      </c>
      <c r="P152" t="inlineStr">
        <is>
          <t>sail</t>
        </is>
      </c>
      <c r="R152" t="inlineStr">
        <is>
          <t>Part_sail</t>
        </is>
      </c>
      <c r="S152" t="inlineStr">
        <is>
          <t>radio.part.sail</t>
        </is>
      </c>
      <c r="T152" t="n">
        <v>3</v>
      </c>
      <c r="W152" t="n">
        <v>2</v>
      </c>
      <c r="Z152" t="inlineStr">
        <is>
          <t>wreck_stump</t>
        </is>
      </c>
      <c r="AA152" t="inlineStr">
        <is>
          <t>Assets/MachineBrigade/Resources/Data/balance.json: vehicles[161].parts[0]</t>
        </is>
      </c>
      <c r="AB152" t="inlineStr">
        <is>
          <t>{"id":"sail","kind":"sail","hp":0.08,"armour":2,"node":"Part_sail","wreck":"wreck_stump","at":[0,-1.4,6.4],"radius":3.0,"spread":2,"affects":[0],"radio":"radio.part.sail"}</t>
        </is>
      </c>
    </row>
    <row r="153">
      <c r="A153" t="inlineStr">
        <is>
          <t>typhon/sam</t>
        </is>
      </c>
      <c r="B153" t="inlineStr">
        <is>
          <t>typhon</t>
        </is>
      </c>
      <c r="C153" t="n">
        <v>5</v>
      </c>
      <c r="G153" t="n">
        <v>2</v>
      </c>
      <c r="H153" t="n">
        <v>0</v>
      </c>
      <c r="I153" t="n">
        <v>-5</v>
      </c>
      <c r="J153" t="n">
        <v>10.2</v>
      </c>
      <c r="N153" t="n">
        <v>0.08</v>
      </c>
      <c r="O153" t="inlineStr">
        <is>
          <t>sam</t>
        </is>
      </c>
      <c r="P153" t="inlineStr">
        <is>
          <t>sam</t>
        </is>
      </c>
      <c r="Q153" t="inlineStr">
        <is>
          <t>0</t>
        </is>
      </c>
      <c r="R153" t="inlineStr">
        <is>
          <t>Mount_missile</t>
        </is>
      </c>
      <c r="T153" t="n">
        <v>1.8</v>
      </c>
      <c r="Z153" t="inlineStr">
        <is>
          <t>wreck_launcher</t>
        </is>
      </c>
      <c r="AA153" t="inlineStr">
        <is>
          <t>Assets/MachineBrigade/Resources/Data/balance.json: vehicles[161].parts[5]</t>
        </is>
      </c>
      <c r="AB153" t="inlineStr">
        <is>
          <t>{"id":"sam","kind":"sam","hp":0.08,"armour":2,"node":"Mount_missile","wreck":"wreck_launcher","at":[0,-5.0,10.2],"radius":1.8,"mounts":[0]}</t>
        </is>
      </c>
    </row>
    <row r="154">
      <c r="A154" t="inlineStr">
        <is>
          <t>typhon/sonar</t>
        </is>
      </c>
      <c r="B154" t="inlineStr">
        <is>
          <t>typhon</t>
        </is>
      </c>
      <c r="C154" t="n">
        <v>4</v>
      </c>
      <c r="G154" t="n">
        <v>1</v>
      </c>
      <c r="H154" t="n">
        <v>0</v>
      </c>
      <c r="I154" t="n">
        <v>26.4</v>
      </c>
      <c r="J154" t="n">
        <v>0.8</v>
      </c>
      <c r="M154" t="inlineStr">
        <is>
          <t>energy</t>
        </is>
      </c>
      <c r="N154" t="n">
        <v>0.08</v>
      </c>
      <c r="O154" t="inlineStr">
        <is>
          <t>sonar</t>
        </is>
      </c>
      <c r="P154" t="inlineStr">
        <is>
          <t>sonar</t>
        </is>
      </c>
      <c r="R154" t="inlineStr">
        <is>
          <t>Part_sonar</t>
        </is>
      </c>
      <c r="T154" t="n">
        <v>2.4</v>
      </c>
      <c r="X154" t="inlineStr">
        <is>
          <t>radar</t>
        </is>
      </c>
      <c r="Z154" t="inlineStr">
        <is>
          <t>wreck_stump</t>
        </is>
      </c>
      <c r="AA154" t="inlineStr">
        <is>
          <t>Assets/MachineBrigade/Resources/Data/balance.json: vehicles[161].parts[4]</t>
        </is>
      </c>
      <c r="AB154" t="inlineStr">
        <is>
          <t>{"id":"sonar","kind":"sonar","hp":0.08,"armour":1,"node":"Part_sonar","wreck":"wreck_stump","at":[0,26.4,0.8],"radius":2.4,"stops":["radar"],"fx":"energy"}</t>
        </is>
      </c>
    </row>
  </sheetData>
  <autoFilter ref="A1:AB154"/>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8" customWidth="1" min="3" max="3"/>
    <col width="8" customWidth="1" min="4" max="4"/>
    <col width="8" customWidth="1" min="5" max="5"/>
    <col width="11" customWidth="1" min="6" max="6"/>
    <col width="31" customWidth="1" min="7" max="7"/>
    <col width="11" customWidth="1" min="8" max="8"/>
    <col width="11" customWidth="1" min="9" max="9"/>
    <col width="60" customWidth="1" min="10" max="10"/>
    <col width="60" customWidth="1" min="11" max="11"/>
  </cols>
  <sheetData>
    <row r="1">
      <c r="A1" s="1" t="inlineStr">
        <is>
          <t>id</t>
        </is>
      </c>
      <c r="B1" s="1" t="inlineStr">
        <is>
          <t>boss_id</t>
        </is>
      </c>
      <c r="C1" s="1" t="inlineStr">
        <is>
          <t>thu_tu</t>
        </is>
      </c>
      <c r="D1" s="1" t="inlineStr">
        <is>
          <t>at</t>
        </is>
      </c>
      <c r="E1" s="1" t="inlineStr">
        <is>
          <t>damage</t>
        </is>
      </c>
      <c r="F1" s="1" t="inlineStr">
        <is>
          <t>fire_rate</t>
        </is>
      </c>
      <c r="G1" s="1" t="inlineStr">
        <is>
          <t>radio</t>
        </is>
      </c>
      <c r="H1" s="1" t="inlineStr">
        <is>
          <t>speed_m_s</t>
        </is>
      </c>
      <c r="I1" s="1" t="inlineStr">
        <is>
          <t>transform</t>
        </is>
      </c>
      <c r="J1" s="1" t="inlineStr">
        <is>
          <t>nguon</t>
        </is>
      </c>
      <c r="K1" s="1" t="inlineStr">
        <is>
          <t>raw_json</t>
        </is>
      </c>
    </row>
    <row r="2">
      <c r="A2" t="inlineStr">
        <is>
          <t>command_airship/0</t>
        </is>
      </c>
      <c r="B2" t="inlineStr">
        <is>
          <t>command_airship</t>
        </is>
      </c>
      <c r="C2" t="n">
        <v>0</v>
      </c>
      <c r="D2" t="n">
        <v>0.6</v>
      </c>
      <c r="E2" t="n">
        <v>1.1</v>
      </c>
      <c r="G2" t="inlineStr">
        <is>
          <t>radio.quaden.airship.phase2</t>
        </is>
      </c>
      <c r="I2" t="n">
        <v>2.5</v>
      </c>
      <c r="J2" t="inlineStr">
        <is>
          <t>Assets/MachineBrigade/Resources/Data/balance.json: vehicles[151].phases[0]</t>
        </is>
      </c>
      <c r="K2" t="inlineStr">
        <is>
          <t>{"at":0.6,"transform":2.5,"damage":1.1,"radio":"radio.quaden.airship.phase2"}</t>
        </is>
      </c>
    </row>
    <row r="3">
      <c r="A3" t="inlineStr">
        <is>
          <t>command_airship/1</t>
        </is>
      </c>
      <c r="B3" t="inlineStr">
        <is>
          <t>command_airship</t>
        </is>
      </c>
      <c r="C3" t="n">
        <v>1</v>
      </c>
      <c r="D3" t="n">
        <v>0.25</v>
      </c>
      <c r="E3" t="n">
        <v>1.25</v>
      </c>
      <c r="F3" t="n">
        <v>1.25</v>
      </c>
      <c r="G3" t="inlineStr">
        <is>
          <t>radio.quaden.airship.half</t>
        </is>
      </c>
      <c r="I3" t="n">
        <v>3</v>
      </c>
      <c r="J3" t="inlineStr">
        <is>
          <t>Assets/MachineBrigade/Resources/Data/balance.json: vehicles[151].phases[1]</t>
        </is>
      </c>
      <c r="K3" t="inlineStr">
        <is>
          <t>{"at":0.25,"transform":3,"damage":1.25,"radio":"radio.quaden.airship.half","fireRate":1.25}</t>
        </is>
      </c>
    </row>
    <row r="4">
      <c r="A4" t="inlineStr">
        <is>
          <t>earth_borer/0</t>
        </is>
      </c>
      <c r="B4" t="inlineStr">
        <is>
          <t>earth_borer</t>
        </is>
      </c>
      <c r="C4" t="n">
        <v>0</v>
      </c>
      <c r="D4" t="n">
        <v>0.45</v>
      </c>
      <c r="G4" t="inlineStr">
        <is>
          <t>radio.hung.borer.half</t>
        </is>
      </c>
      <c r="H4" t="n">
        <v>1.15</v>
      </c>
      <c r="I4" t="n">
        <v>2.5</v>
      </c>
      <c r="J4" t="inlineStr">
        <is>
          <t>Assets/MachineBrigade/Resources/Data/balance.json: vehicles[150].phases[0]</t>
        </is>
      </c>
      <c r="K4" t="inlineStr">
        <is>
          <t>{"at":0.45,"transform":2.5,"speed":1.15,"radio":"radio.hung.borer.half"}</t>
        </is>
      </c>
    </row>
    <row r="5">
      <c r="A5" t="inlineStr">
        <is>
          <t>landing_hovercraft/0</t>
        </is>
      </c>
      <c r="B5" t="inlineStr">
        <is>
          <t>landing_hovercraft</t>
        </is>
      </c>
      <c r="C5" t="n">
        <v>0</v>
      </c>
      <c r="D5" t="n">
        <v>0.45</v>
      </c>
      <c r="G5" t="inlineStr">
        <is>
          <t>radio.kessler.hovercraft.half</t>
        </is>
      </c>
      <c r="H5" t="n">
        <v>1.2</v>
      </c>
      <c r="I5" t="n">
        <v>2.5</v>
      </c>
      <c r="J5" t="inlineStr">
        <is>
          <t>Assets/MachineBrigade/Resources/Data/balance.json: vehicles[152].phases[0]</t>
        </is>
      </c>
      <c r="K5" t="inlineStr">
        <is>
          <t>{"at":0.45,"transform":2.5,"speed":1.2,"radio":"radio.kessler.hovercraft.half"}</t>
        </is>
      </c>
    </row>
    <row r="6">
      <c r="A6" t="inlineStr">
        <is>
          <t>leviathan/0</t>
        </is>
      </c>
      <c r="B6" t="inlineStr">
        <is>
          <t>leviathan</t>
        </is>
      </c>
      <c r="C6" t="n">
        <v>0</v>
      </c>
      <c r="D6" t="n">
        <v>0.6</v>
      </c>
      <c r="G6" t="inlineStr">
        <is>
          <t>radio.kessler.leviathan.phase2</t>
        </is>
      </c>
      <c r="I6" t="n">
        <v>2.5</v>
      </c>
      <c r="J6" t="inlineStr">
        <is>
          <t>Assets/MachineBrigade/Resources/Data/balance.json: vehicles[153].phases[0]</t>
        </is>
      </c>
      <c r="K6" t="inlineStr">
        <is>
          <t>{"at":0.6,"transform":2.5,"radio":"radio.kessler.leviathan.phase2"}</t>
        </is>
      </c>
    </row>
    <row r="7">
      <c r="A7" t="inlineStr">
        <is>
          <t>leviathan/1</t>
        </is>
      </c>
      <c r="B7" t="inlineStr">
        <is>
          <t>leviathan</t>
        </is>
      </c>
      <c r="C7" t="n">
        <v>1</v>
      </c>
      <c r="D7" t="n">
        <v>0.25</v>
      </c>
      <c r="F7" t="n">
        <v>1.25</v>
      </c>
      <c r="G7" t="inlineStr">
        <is>
          <t>radio.kessler.leviathan.phase3</t>
        </is>
      </c>
      <c r="I7" t="n">
        <v>3</v>
      </c>
      <c r="J7" t="inlineStr">
        <is>
          <t>Assets/MachineBrigade/Resources/Data/balance.json: vehicles[153].phases[1]</t>
        </is>
      </c>
      <c r="K7" t="inlineStr">
        <is>
          <t>{"at":0.25,"transform":3,"radio":"radio.kessler.leviathan.phase3","fireRate":1.25}</t>
        </is>
      </c>
    </row>
  </sheetData>
  <autoFilter ref="A1:K7"/>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3" customWidth="1" min="2" max="2"/>
    <col width="8" customWidth="1" min="3" max="3"/>
    <col width="13" customWidth="1" min="4" max="4"/>
    <col width="8" customWidth="1" min="5" max="5"/>
    <col width="8" customWidth="1" min="6" max="6"/>
    <col width="8" customWidth="1" min="7" max="7"/>
    <col width="14" customWidth="1" min="8" max="8"/>
    <col width="8" customWidth="1" min="9" max="9"/>
    <col width="8" customWidth="1" min="10" max="10"/>
    <col width="14" customWidth="1" min="11" max="11"/>
    <col width="17" customWidth="1" min="12" max="12"/>
    <col width="28" customWidth="1" min="13" max="13"/>
    <col width="9" customWidth="1" min="14" max="14"/>
    <col width="60" customWidth="1" min="15" max="15"/>
    <col width="60" customWidth="1" min="16" max="16"/>
  </cols>
  <sheetData>
    <row r="1">
      <c r="A1" s="1" t="inlineStr">
        <is>
          <t>id</t>
        </is>
      </c>
      <c r="B1" s="1" t="inlineStr">
        <is>
          <t>boss_id</t>
        </is>
      </c>
      <c r="C1" s="1" t="inlineStr">
        <is>
          <t>thu_tu</t>
        </is>
      </c>
      <c r="D1" s="1" t="inlineStr">
        <is>
          <t>bo_phan</t>
        </is>
      </c>
      <c r="E1" s="1" t="inlineStr">
        <is>
          <t>at_x_m</t>
        </is>
      </c>
      <c r="F1" s="1" t="inlineStr">
        <is>
          <t>at_y_m</t>
        </is>
      </c>
      <c r="G1" s="1" t="inlineStr">
        <is>
          <t>at_z_m</t>
        </is>
      </c>
      <c r="H1" s="1" t="inlineStr">
        <is>
          <t>break_damage</t>
        </is>
      </c>
      <c r="I1" s="1" t="inlineStr">
        <is>
          <t>hp</t>
        </is>
      </c>
      <c r="J1" s="1" t="inlineStr">
        <is>
          <t>kind</t>
        </is>
      </c>
      <c r="K1" s="1" t="inlineStr">
        <is>
          <t>node</t>
        </is>
      </c>
      <c r="L1" s="1" t="inlineStr">
        <is>
          <t>radio</t>
        </is>
      </c>
      <c r="M1" s="1" t="inlineStr">
        <is>
          <t>skills</t>
        </is>
      </c>
      <c r="N1" s="1" t="inlineStr">
        <is>
          <t>stops</t>
        </is>
      </c>
      <c r="O1" s="1" t="inlineStr">
        <is>
          <t>nguon</t>
        </is>
      </c>
      <c r="P1" s="1" t="inlineStr">
        <is>
          <t>raw_json</t>
        </is>
      </c>
    </row>
    <row r="2">
      <c r="A2" t="inlineStr">
        <is>
          <t>argus/engine_fl</t>
        </is>
      </c>
      <c r="B2" t="inlineStr">
        <is>
          <t>argus</t>
        </is>
      </c>
      <c r="C2" t="n">
        <v>1</v>
      </c>
      <c r="D2" t="inlineStr">
        <is>
          <t>engine_fl</t>
        </is>
      </c>
      <c r="H2" t="n">
        <v>0.3</v>
      </c>
      <c r="I2" t="n">
        <v>0.1</v>
      </c>
      <c r="O2" t="inlineStr">
        <is>
          <t>Assets/MachineBrigade/Resources/Data/balance.json: vehicles.169.variant.tune.engine_fl</t>
        </is>
      </c>
      <c r="P2" t="inlineStr">
        <is>
          <t>{"hp":0.1,"breakDamage":0.3}</t>
        </is>
      </c>
    </row>
    <row r="3">
      <c r="A3" t="inlineStr">
        <is>
          <t>argus/engine_fr</t>
        </is>
      </c>
      <c r="B3" t="inlineStr">
        <is>
          <t>argus</t>
        </is>
      </c>
      <c r="C3" t="n">
        <v>2</v>
      </c>
      <c r="D3" t="inlineStr">
        <is>
          <t>engine_fr</t>
        </is>
      </c>
      <c r="H3" t="n">
        <v>0.3</v>
      </c>
      <c r="I3" t="n">
        <v>0.1</v>
      </c>
      <c r="O3" t="inlineStr">
        <is>
          <t>Assets/MachineBrigade/Resources/Data/balance.json: vehicles.169.variant.tune.engine_fr</t>
        </is>
      </c>
      <c r="P3" t="inlineStr">
        <is>
          <t>{"hp":0.1,"breakDamage":0.3}</t>
        </is>
      </c>
    </row>
    <row r="4">
      <c r="A4" t="inlineStr">
        <is>
          <t>argus/radar</t>
        </is>
      </c>
      <c r="B4" t="inlineStr">
        <is>
          <t>argus</t>
        </is>
      </c>
      <c r="C4" t="n">
        <v>0</v>
      </c>
      <c r="D4" t="inlineStr">
        <is>
          <t>radar</t>
        </is>
      </c>
      <c r="H4" t="n">
        <v>0.3</v>
      </c>
      <c r="I4" t="n">
        <v>0.14</v>
      </c>
      <c r="L4" t="inlineStr">
        <is>
          <t>radio.part.radar</t>
        </is>
      </c>
      <c r="N4" t="inlineStr">
        <is>
          <t>spotaura</t>
        </is>
      </c>
      <c r="O4" t="inlineStr">
        <is>
          <t>Assets/MachineBrigade/Resources/Data/balance.json: vehicles.169.variant.tune.radar</t>
        </is>
      </c>
      <c r="P4" t="inlineStr">
        <is>
          <t>{"hp":0.14,"stops":["spotaura"],"radio":"radio.part.radar","breakDamage":0.3}</t>
        </is>
      </c>
    </row>
    <row r="5">
      <c r="A5" t="inlineStr">
        <is>
          <t>bastion_mk0/mortar</t>
        </is>
      </c>
      <c r="B5" t="inlineStr">
        <is>
          <t>bastion_mk0</t>
        </is>
      </c>
      <c r="C5" t="n">
        <v>0</v>
      </c>
      <c r="D5" t="inlineStr">
        <is>
          <t>mortar</t>
        </is>
      </c>
      <c r="E5" t="n">
        <v>0</v>
      </c>
      <c r="F5" t="n">
        <v>-0.83</v>
      </c>
      <c r="G5" t="n">
        <v>9.66</v>
      </c>
      <c r="I5" t="n">
        <v>0.15</v>
      </c>
      <c r="O5" t="inlineStr">
        <is>
          <t>Assets/MachineBrigade/Resources/Data/balance.json: vehicles.163.variant.tune.mortar</t>
        </is>
      </c>
      <c r="P5" t="inlineStr">
        <is>
          <t>{"hp":0.15,"at":[0,-0.83,9.66]}</t>
        </is>
      </c>
    </row>
    <row r="6">
      <c r="A6" t="inlineStr">
        <is>
          <t>bastion_mk0/turret_fl</t>
        </is>
      </c>
      <c r="B6" t="inlineStr">
        <is>
          <t>bastion_mk0</t>
        </is>
      </c>
      <c r="C6" t="n">
        <v>1</v>
      </c>
      <c r="D6" t="inlineStr">
        <is>
          <t>turret_fl</t>
        </is>
      </c>
      <c r="I6" t="n">
        <v>0.1</v>
      </c>
      <c r="O6" t="inlineStr">
        <is>
          <t>Assets/MachineBrigade/Resources/Data/balance.json: vehicles.163.variant.tune.turret_fl</t>
        </is>
      </c>
      <c r="P6" t="inlineStr">
        <is>
          <t>{"hp":0.1}</t>
        </is>
      </c>
    </row>
    <row r="7">
      <c r="A7" t="inlineStr">
        <is>
          <t>bastion_mk0/turret_fr</t>
        </is>
      </c>
      <c r="B7" t="inlineStr">
        <is>
          <t>bastion_mk0</t>
        </is>
      </c>
      <c r="C7" t="n">
        <v>2</v>
      </c>
      <c r="D7" t="inlineStr">
        <is>
          <t>turret_fr</t>
        </is>
      </c>
      <c r="I7" t="n">
        <v>0.1</v>
      </c>
      <c r="O7" t="inlineStr">
        <is>
          <t>Assets/MachineBrigade/Resources/Data/balance.json: vehicles.163.variant.tune.turret_fr</t>
        </is>
      </c>
      <c r="P7" t="inlineStr">
        <is>
          <t>{"hp":0.1}</t>
        </is>
      </c>
    </row>
    <row r="8">
      <c r="A8" t="inlineStr">
        <is>
          <t>behemoth_mk0/main_gun</t>
        </is>
      </c>
      <c r="B8" t="inlineStr">
        <is>
          <t>behemoth_mk0</t>
        </is>
      </c>
      <c r="C8" t="n">
        <v>0</v>
      </c>
      <c r="D8" t="inlineStr">
        <is>
          <t>main_gun</t>
        </is>
      </c>
      <c r="I8" t="n">
        <v>0.14</v>
      </c>
      <c r="O8" t="inlineStr">
        <is>
          <t>Assets/MachineBrigade/Resources/Data/balance.json: vehicles.170.variant.tune.main_gun</t>
        </is>
      </c>
      <c r="P8" t="inlineStr">
        <is>
          <t>{"hp":0.14}</t>
        </is>
      </c>
    </row>
    <row r="9">
      <c r="A9" t="inlineStr">
        <is>
          <t>behemoth_mk0/rocket_pod</t>
        </is>
      </c>
      <c r="B9" t="inlineStr">
        <is>
          <t>behemoth_mk0</t>
        </is>
      </c>
      <c r="C9" t="n">
        <v>3</v>
      </c>
      <c r="D9" t="inlineStr">
        <is>
          <t>rocket_pod</t>
        </is>
      </c>
      <c r="I9" t="n">
        <v>0.12</v>
      </c>
      <c r="O9" t="inlineStr">
        <is>
          <t>Assets/MachineBrigade/Resources/Data/balance.json: vehicles.170.variant.tune.rocket_pod</t>
        </is>
      </c>
      <c r="P9" t="inlineStr">
        <is>
          <t>{"hp":0.12}</t>
        </is>
      </c>
    </row>
    <row r="10">
      <c r="A10" t="inlineStr">
        <is>
          <t>behemoth_mk0/side_gun_l</t>
        </is>
      </c>
      <c r="B10" t="inlineStr">
        <is>
          <t>behemoth_mk0</t>
        </is>
      </c>
      <c r="C10" t="n">
        <v>1</v>
      </c>
      <c r="D10" t="inlineStr">
        <is>
          <t>side_gun_l</t>
        </is>
      </c>
      <c r="I10" t="n">
        <v>0.12</v>
      </c>
      <c r="O10" t="inlineStr">
        <is>
          <t>Assets/MachineBrigade/Resources/Data/balance.json: vehicles.170.variant.tune.side_gun_l</t>
        </is>
      </c>
      <c r="P10" t="inlineStr">
        <is>
          <t>{"hp":0.12}</t>
        </is>
      </c>
    </row>
    <row r="11">
      <c r="A11" t="inlineStr">
        <is>
          <t>behemoth_mk0/side_gun_r</t>
        </is>
      </c>
      <c r="B11" t="inlineStr">
        <is>
          <t>behemoth_mk0</t>
        </is>
      </c>
      <c r="C11" t="n">
        <v>2</v>
      </c>
      <c r="D11" t="inlineStr">
        <is>
          <t>side_gun_r</t>
        </is>
      </c>
      <c r="I11" t="n">
        <v>0.12</v>
      </c>
      <c r="O11" t="inlineStr">
        <is>
          <t>Assets/MachineBrigade/Resources/Data/balance.json: vehicles.170.variant.tune.side_gun_r</t>
        </is>
      </c>
      <c r="P11" t="inlineStr">
        <is>
          <t>{"hp":0.12}</t>
        </is>
      </c>
    </row>
    <row r="12">
      <c r="A12" t="inlineStr">
        <is>
          <t>behemoth_mk2/aps</t>
        </is>
      </c>
      <c r="B12" t="inlineStr">
        <is>
          <t>behemoth_mk2</t>
        </is>
      </c>
      <c r="C12" t="n">
        <v>3</v>
      </c>
      <c r="D12" t="inlineStr">
        <is>
          <t>aps</t>
        </is>
      </c>
      <c r="I12" t="n">
        <v>0.08</v>
      </c>
      <c r="O12" t="inlineStr">
        <is>
          <t>Assets/MachineBrigade/Resources/Data/balance.json: vehicles.167.variant.tune.aps</t>
        </is>
      </c>
      <c r="P12" t="inlineStr">
        <is>
          <t>{"hp":0.08}</t>
        </is>
      </c>
    </row>
    <row r="13">
      <c r="A13" t="inlineStr">
        <is>
          <t>behemoth_mk2/flak_l</t>
        </is>
      </c>
      <c r="B13" t="inlineStr">
        <is>
          <t>behemoth_mk2</t>
        </is>
      </c>
      <c r="C13" t="n">
        <v>2</v>
      </c>
      <c r="D13" t="inlineStr">
        <is>
          <t>flak_l</t>
        </is>
      </c>
      <c r="I13" t="n">
        <v>0.09</v>
      </c>
      <c r="O13" t="inlineStr">
        <is>
          <t>Assets/MachineBrigade/Resources/Data/balance.json: vehicles.167.variant.tune.flak_l</t>
        </is>
      </c>
      <c r="P13" t="inlineStr">
        <is>
          <t>{"hp":0.09}</t>
        </is>
      </c>
    </row>
    <row r="14">
      <c r="A14" t="inlineStr">
        <is>
          <t>behemoth_mk2/flak_r</t>
        </is>
      </c>
      <c r="B14" t="inlineStr">
        <is>
          <t>behemoth_mk2</t>
        </is>
      </c>
      <c r="C14" t="n">
        <v>1</v>
      </c>
      <c r="D14" t="inlineStr">
        <is>
          <t>flak_r</t>
        </is>
      </c>
      <c r="I14" t="n">
        <v>0.09</v>
      </c>
      <c r="O14" t="inlineStr">
        <is>
          <t>Assets/MachineBrigade/Resources/Data/balance.json: vehicles.167.variant.tune.flak_r</t>
        </is>
      </c>
      <c r="P14" t="inlineStr">
        <is>
          <t>{"hp":0.09}</t>
        </is>
      </c>
    </row>
    <row r="15">
      <c r="A15" t="inlineStr">
        <is>
          <t>behemoth_mk2/main_gun</t>
        </is>
      </c>
      <c r="B15" t="inlineStr">
        <is>
          <t>behemoth_mk2</t>
        </is>
      </c>
      <c r="C15" t="n">
        <v>0</v>
      </c>
      <c r="D15" t="inlineStr">
        <is>
          <t>main_gun</t>
        </is>
      </c>
      <c r="I15" t="n">
        <v>0.13</v>
      </c>
      <c r="O15" t="inlineStr">
        <is>
          <t>Assets/MachineBrigade/Resources/Data/balance.json: vehicles.167.variant.tune.main_gun</t>
        </is>
      </c>
      <c r="P15" t="inlineStr">
        <is>
          <t>{"hp":0.13}</t>
        </is>
      </c>
    </row>
    <row r="16">
      <c r="A16" t="inlineStr">
        <is>
          <t>coeus/main_engine</t>
        </is>
      </c>
      <c r="B16" t="inlineStr">
        <is>
          <t>coeus</t>
        </is>
      </c>
      <c r="C16" t="n">
        <v>1</v>
      </c>
      <c r="D16" t="inlineStr">
        <is>
          <t>main_engine</t>
        </is>
      </c>
      <c r="E16" t="n">
        <v>0</v>
      </c>
      <c r="F16" t="n">
        <v>-31</v>
      </c>
      <c r="G16" t="n">
        <v>11.5</v>
      </c>
      <c r="I16" t="n">
        <v>0.1</v>
      </c>
      <c r="O16" t="inlineStr">
        <is>
          <t>Assets/MachineBrigade/Resources/Data/balance.json: vehicles.175.variant.tune.main_engine</t>
        </is>
      </c>
      <c r="P16" t="inlineStr">
        <is>
          <t>{"hp":0.1,"at":[0,-31.0,11.5]}</t>
        </is>
      </c>
    </row>
    <row r="17">
      <c r="A17" t="inlineStr">
        <is>
          <t>coeus/main_laser</t>
        </is>
      </c>
      <c r="B17" t="inlineStr">
        <is>
          <t>coeus</t>
        </is>
      </c>
      <c r="C17" t="n">
        <v>0</v>
      </c>
      <c r="D17" t="inlineStr">
        <is>
          <t>main_laser</t>
        </is>
      </c>
      <c r="E17" t="n">
        <v>0</v>
      </c>
      <c r="F17" t="n">
        <v>9</v>
      </c>
      <c r="G17" t="n">
        <v>20.5</v>
      </c>
      <c r="I17" t="n">
        <v>0.12</v>
      </c>
      <c r="J17" t="inlineStr">
        <is>
          <t>maingun</t>
        </is>
      </c>
      <c r="O17" t="inlineStr">
        <is>
          <t>Assets/MachineBrigade/Resources/Data/balance.json: vehicles.175.variant.tune.main_laser</t>
        </is>
      </c>
      <c r="P17" t="inlineStr">
        <is>
          <t>{"hp":0.12,"kind":"maingun","at":[0,9.0,20.5]}</t>
        </is>
      </c>
    </row>
    <row r="18">
      <c r="A18" t="inlineStr">
        <is>
          <t>coeus/thruster_rl</t>
        </is>
      </c>
      <c r="B18" t="inlineStr">
        <is>
          <t>coeus</t>
        </is>
      </c>
      <c r="C18" t="n">
        <v>2</v>
      </c>
      <c r="D18" t="inlineStr">
        <is>
          <t>thruster_rl</t>
        </is>
      </c>
      <c r="E18" t="n">
        <v>-16.5</v>
      </c>
      <c r="F18" t="n">
        <v>-20</v>
      </c>
      <c r="G18" t="n">
        <v>11.17</v>
      </c>
      <c r="I18" t="n">
        <v>0.08</v>
      </c>
      <c r="O18" t="inlineStr">
        <is>
          <t>Assets/MachineBrigade/Resources/Data/balance.json: vehicles.175.variant.tune.thruster_rl</t>
        </is>
      </c>
      <c r="P18" t="inlineStr">
        <is>
          <t>{"hp":0.08,"at":[-16.5,-20.0,11.17]}</t>
        </is>
      </c>
    </row>
    <row r="19">
      <c r="A19" t="inlineStr">
        <is>
          <t>coeus/thruster_rr</t>
        </is>
      </c>
      <c r="B19" t="inlineStr">
        <is>
          <t>coeus</t>
        </is>
      </c>
      <c r="C19" t="n">
        <v>3</v>
      </c>
      <c r="D19" t="inlineStr">
        <is>
          <t>thruster_rr</t>
        </is>
      </c>
      <c r="E19" t="n">
        <v>16.5</v>
      </c>
      <c r="F19" t="n">
        <v>-20</v>
      </c>
      <c r="G19" t="n">
        <v>11.17</v>
      </c>
      <c r="I19" t="n">
        <v>0.08</v>
      </c>
      <c r="O19" t="inlineStr">
        <is>
          <t>Assets/MachineBrigade/Resources/Data/balance.json: vehicles.175.variant.tune.thruster_rr</t>
        </is>
      </c>
      <c r="P19" t="inlineStr">
        <is>
          <t>{"hp":0.08,"at":[16.5,-20.0,11.17]}</t>
        </is>
      </c>
    </row>
    <row r="20">
      <c r="A20" t="inlineStr">
        <is>
          <t>fenrir/flak_l</t>
        </is>
      </c>
      <c r="B20" t="inlineStr">
        <is>
          <t>fenrir</t>
        </is>
      </c>
      <c r="C20" t="n">
        <v>2</v>
      </c>
      <c r="D20" t="inlineStr">
        <is>
          <t>flak_l</t>
        </is>
      </c>
      <c r="E20" t="n">
        <v>0</v>
      </c>
      <c r="F20" t="n">
        <v>4.23</v>
      </c>
      <c r="G20" t="n">
        <v>5.47</v>
      </c>
      <c r="I20" t="n">
        <v>0.1</v>
      </c>
      <c r="O20" t="inlineStr">
        <is>
          <t>Assets/MachineBrigade/Resources/Data/balance.json: vehicles.164.variant.tune.flak_l</t>
        </is>
      </c>
      <c r="P20" t="inlineStr">
        <is>
          <t>{"hp":0.1,"at":[0,4.23,5.47]}</t>
        </is>
      </c>
    </row>
    <row r="21">
      <c r="A21" t="inlineStr">
        <is>
          <t>fenrir/rockets_l</t>
        </is>
      </c>
      <c r="B21" t="inlineStr">
        <is>
          <t>fenrir</t>
        </is>
      </c>
      <c r="C21" t="n">
        <v>0</v>
      </c>
      <c r="D21" t="inlineStr">
        <is>
          <t>rockets_l</t>
        </is>
      </c>
      <c r="E21" t="n">
        <v>-2.02</v>
      </c>
      <c r="F21" t="n">
        <v>-6.3</v>
      </c>
      <c r="G21" t="n">
        <v>5.63</v>
      </c>
      <c r="I21" t="n">
        <v>0.13</v>
      </c>
      <c r="O21" t="inlineStr">
        <is>
          <t>Assets/MachineBrigade/Resources/Data/balance.json: vehicles.164.variant.tune.rockets_l</t>
        </is>
      </c>
      <c r="P21" t="inlineStr">
        <is>
          <t>{"hp":0.13,"at":[-2.02,-6.3,5.63]}</t>
        </is>
      </c>
    </row>
    <row r="22">
      <c r="A22" t="inlineStr">
        <is>
          <t>fenrir/rockets_r</t>
        </is>
      </c>
      <c r="B22" t="inlineStr">
        <is>
          <t>fenrir</t>
        </is>
      </c>
      <c r="C22" t="n">
        <v>1</v>
      </c>
      <c r="D22" t="inlineStr">
        <is>
          <t>rockets_r</t>
        </is>
      </c>
      <c r="E22" t="n">
        <v>2.02</v>
      </c>
      <c r="F22" t="n">
        <v>-6.3</v>
      </c>
      <c r="G22" t="n">
        <v>5.63</v>
      </c>
      <c r="I22" t="n">
        <v>0.13</v>
      </c>
      <c r="O22" t="inlineStr">
        <is>
          <t>Assets/MachineBrigade/Resources/Data/balance.json: vehicles.164.variant.tune.rockets_r</t>
        </is>
      </c>
      <c r="P22" t="inlineStr">
        <is>
          <t>{"hp":0.13,"at":[2.02,-6.3,5.63]}</t>
        </is>
      </c>
    </row>
    <row r="23">
      <c r="A23" t="inlineStr">
        <is>
          <t>hydra/deck_gun</t>
        </is>
      </c>
      <c r="B23" t="inlineStr">
        <is>
          <t>hydra</t>
        </is>
      </c>
      <c r="C23" t="n">
        <v>2</v>
      </c>
      <c r="D23" t="inlineStr">
        <is>
          <t>deck_gun</t>
        </is>
      </c>
      <c r="E23" t="n">
        <v>0</v>
      </c>
      <c r="F23" t="n">
        <v>16.61</v>
      </c>
      <c r="G23" t="n">
        <v>6.23</v>
      </c>
      <c r="I23" t="n">
        <v>0.12</v>
      </c>
      <c r="K23" t="inlineStr">
        <is>
          <t>Mount_gun.002</t>
        </is>
      </c>
      <c r="O23" t="inlineStr">
        <is>
          <t>Assets/MachineBrigade/Resources/Data/balance.json: vehicles.177.variant.tune.deck_gun</t>
        </is>
      </c>
      <c r="P23" t="inlineStr">
        <is>
          <t>{"hp":0.12,"node":"Mount_gun.002","at":[0,16.61,6.23]}</t>
        </is>
      </c>
    </row>
    <row r="24">
      <c r="A24" t="inlineStr">
        <is>
          <t>hydra/doors_l</t>
        </is>
      </c>
      <c r="B24" t="inlineStr">
        <is>
          <t>hydra</t>
        </is>
      </c>
      <c r="C24" t="n">
        <v>0</v>
      </c>
      <c r="D24" t="inlineStr">
        <is>
          <t>doors_l</t>
        </is>
      </c>
      <c r="E24" t="n">
        <v>-0.95</v>
      </c>
      <c r="F24" t="n">
        <v>-7.51</v>
      </c>
      <c r="G24" t="n">
        <v>4.45</v>
      </c>
      <c r="I24" t="n">
        <v>0.12</v>
      </c>
      <c r="O24" t="inlineStr">
        <is>
          <t>Assets/MachineBrigade/Resources/Data/balance.json: vehicles.177.variant.tune.doors_l</t>
        </is>
      </c>
      <c r="P24" t="inlineStr">
        <is>
          <t>{"hp":0.12,"at":[-0.95,-7.51,4.45]}</t>
        </is>
      </c>
    </row>
    <row r="25">
      <c r="A25" t="inlineStr">
        <is>
          <t>hydra/doors_r</t>
        </is>
      </c>
      <c r="B25" t="inlineStr">
        <is>
          <t>hydra</t>
        </is>
      </c>
      <c r="C25" t="n">
        <v>1</v>
      </c>
      <c r="D25" t="inlineStr">
        <is>
          <t>doors_r</t>
        </is>
      </c>
      <c r="E25" t="n">
        <v>0.95</v>
      </c>
      <c r="F25" t="n">
        <v>-7.51</v>
      </c>
      <c r="G25" t="n">
        <v>4.45</v>
      </c>
      <c r="I25" t="n">
        <v>0.12</v>
      </c>
      <c r="O25" t="inlineStr">
        <is>
          <t>Assets/MachineBrigade/Resources/Data/balance.json: vehicles.177.variant.tune.doors_r</t>
        </is>
      </c>
      <c r="P25" t="inlineStr">
        <is>
          <t>{"hp":0.12,"at":[0.95,-7.51,4.45]}</t>
        </is>
      </c>
    </row>
    <row r="26">
      <c r="A26" t="inlineStr">
        <is>
          <t>hydra/rudder</t>
        </is>
      </c>
      <c r="B26" t="inlineStr">
        <is>
          <t>hydra</t>
        </is>
      </c>
      <c r="C26" t="n">
        <v>3</v>
      </c>
      <c r="D26" t="inlineStr">
        <is>
          <t>rudder</t>
        </is>
      </c>
      <c r="E26" t="n">
        <v>0</v>
      </c>
      <c r="F26" t="n">
        <v>-30.45</v>
      </c>
      <c r="G26" t="n">
        <v>0.59</v>
      </c>
      <c r="I26" t="n">
        <v>0.1</v>
      </c>
      <c r="O26" t="inlineStr">
        <is>
          <t>Assets/MachineBrigade/Resources/Data/balance.json: vehicles.177.variant.tune.rudder</t>
        </is>
      </c>
      <c r="P26" t="inlineStr">
        <is>
          <t>{"hp":0.1,"at":[0,-30.45,0.59]}</t>
        </is>
      </c>
    </row>
    <row r="27">
      <c r="A27" t="inlineStr">
        <is>
          <t>hyperion/main_engine</t>
        </is>
      </c>
      <c r="B27" t="inlineStr">
        <is>
          <t>hyperion</t>
        </is>
      </c>
      <c r="C27" t="n">
        <v>1</v>
      </c>
      <c r="D27" t="inlineStr">
        <is>
          <t>main_engine</t>
        </is>
      </c>
      <c r="E27" t="n">
        <v>0</v>
      </c>
      <c r="F27" t="n">
        <v>-26.42</v>
      </c>
      <c r="G27" t="n">
        <v>8.25</v>
      </c>
      <c r="I27" t="n">
        <v>0.07000000000000001</v>
      </c>
      <c r="O27" t="inlineStr">
        <is>
          <t>Assets/MachineBrigade/Resources/Data/balance.json: vehicles.173.variant.tune.main_engine</t>
        </is>
      </c>
      <c r="P27" t="inlineStr">
        <is>
          <t>{"hp":0.07,"at":[0,-26.42,8.25]}</t>
        </is>
      </c>
    </row>
    <row r="28">
      <c r="A28" t="inlineStr">
        <is>
          <t>hyperion/main_laser</t>
        </is>
      </c>
      <c r="B28" t="inlineStr">
        <is>
          <t>hyperion</t>
        </is>
      </c>
      <c r="C28" t="n">
        <v>0</v>
      </c>
      <c r="D28" t="inlineStr">
        <is>
          <t>main_laser</t>
        </is>
      </c>
      <c r="E28" t="n">
        <v>0</v>
      </c>
      <c r="F28" t="n">
        <v>21.17</v>
      </c>
      <c r="G28" t="n">
        <v>3.33</v>
      </c>
      <c r="I28" t="n">
        <v>0.07000000000000001</v>
      </c>
      <c r="O28" t="inlineStr">
        <is>
          <t>Assets/MachineBrigade/Resources/Data/balance.json: vehicles.173.variant.tune.main_laser</t>
        </is>
      </c>
      <c r="P28" t="inlineStr">
        <is>
          <t>{"hp":0.07,"at":[0,21.17,3.33]}</t>
        </is>
      </c>
    </row>
    <row r="29">
      <c r="A29" t="inlineStr">
        <is>
          <t>hyperion/pd_laser_l</t>
        </is>
      </c>
      <c r="B29" t="inlineStr">
        <is>
          <t>hyperion</t>
        </is>
      </c>
      <c r="C29" t="n">
        <v>6</v>
      </c>
      <c r="D29" t="inlineStr">
        <is>
          <t>pd_laser_l</t>
        </is>
      </c>
      <c r="E29" t="n">
        <v>-6.83</v>
      </c>
      <c r="F29" t="n">
        <v>4.5</v>
      </c>
      <c r="G29" t="n">
        <v>11</v>
      </c>
      <c r="I29" t="n">
        <v>0.07000000000000001</v>
      </c>
      <c r="O29" t="inlineStr">
        <is>
          <t>Assets/MachineBrigade/Resources/Data/balance.json: vehicles.173.variant.tune.pd_laser_l</t>
        </is>
      </c>
      <c r="P29" t="inlineStr">
        <is>
          <t>{"hp":0.07,"at":[-6.83,4.5,11.0]}</t>
        </is>
      </c>
    </row>
    <row r="30">
      <c r="A30" t="inlineStr">
        <is>
          <t>hyperion/pd_laser_r</t>
        </is>
      </c>
      <c r="B30" t="inlineStr">
        <is>
          <t>hyperion</t>
        </is>
      </c>
      <c r="C30" t="n">
        <v>7</v>
      </c>
      <c r="D30" t="inlineStr">
        <is>
          <t>pd_laser_r</t>
        </is>
      </c>
      <c r="E30" t="n">
        <v>6.83</v>
      </c>
      <c r="F30" t="n">
        <v>4.5</v>
      </c>
      <c r="G30" t="n">
        <v>11</v>
      </c>
      <c r="I30" t="n">
        <v>0.07000000000000001</v>
      </c>
      <c r="O30" t="inlineStr">
        <is>
          <t>Assets/MachineBrigade/Resources/Data/balance.json: vehicles.173.variant.tune.pd_laser_r</t>
        </is>
      </c>
      <c r="P30" t="inlineStr">
        <is>
          <t>{"hp":0.07,"at":[6.83,4.5,11.0]}</t>
        </is>
      </c>
    </row>
    <row r="31">
      <c r="A31" t="inlineStr">
        <is>
          <t>hyperion/pod_bay</t>
        </is>
      </c>
      <c r="B31" t="inlineStr">
        <is>
          <t>hyperion</t>
        </is>
      </c>
      <c r="C31" t="n">
        <v>8</v>
      </c>
      <c r="D31" t="inlineStr">
        <is>
          <t>pod_bay</t>
        </is>
      </c>
      <c r="E31" t="n">
        <v>0</v>
      </c>
      <c r="F31" t="n">
        <v>-12.67</v>
      </c>
      <c r="G31" t="n">
        <v>2.92</v>
      </c>
      <c r="I31" t="n">
        <v>0.07000000000000001</v>
      </c>
      <c r="O31" t="inlineStr">
        <is>
          <t>Assets/MachineBrigade/Resources/Data/balance.json: vehicles.173.variant.tune.pod_bay</t>
        </is>
      </c>
      <c r="P31" t="inlineStr">
        <is>
          <t>{"hp":0.07,"at":[0,-12.67,2.92]}</t>
        </is>
      </c>
    </row>
    <row r="32">
      <c r="A32" t="inlineStr">
        <is>
          <t>hyperion/thruster_fl</t>
        </is>
      </c>
      <c r="B32" t="inlineStr">
        <is>
          <t>hyperion</t>
        </is>
      </c>
      <c r="C32" t="n">
        <v>2</v>
      </c>
      <c r="D32" t="inlineStr">
        <is>
          <t>thruster_fl</t>
        </is>
      </c>
      <c r="E32" t="n">
        <v>-10.38</v>
      </c>
      <c r="F32" t="n">
        <v>22</v>
      </c>
      <c r="G32" t="n">
        <v>8.33</v>
      </c>
      <c r="I32" t="n">
        <v>0.07000000000000001</v>
      </c>
      <c r="O32" t="inlineStr">
        <is>
          <t>Assets/MachineBrigade/Resources/Data/balance.json: vehicles.173.variant.tune.thruster_fl</t>
        </is>
      </c>
      <c r="P32" t="inlineStr">
        <is>
          <t>{"hp":0.07,"at":[-10.38,22.0,8.33]}</t>
        </is>
      </c>
    </row>
    <row r="33">
      <c r="A33" t="inlineStr">
        <is>
          <t>hyperion/thruster_fr</t>
        </is>
      </c>
      <c r="B33" t="inlineStr">
        <is>
          <t>hyperion</t>
        </is>
      </c>
      <c r="C33" t="n">
        <v>3</v>
      </c>
      <c r="D33" t="inlineStr">
        <is>
          <t>thruster_fr</t>
        </is>
      </c>
      <c r="E33" t="n">
        <v>10.38</v>
      </c>
      <c r="F33" t="n">
        <v>22</v>
      </c>
      <c r="G33" t="n">
        <v>8.33</v>
      </c>
      <c r="I33" t="n">
        <v>0.07000000000000001</v>
      </c>
      <c r="O33" t="inlineStr">
        <is>
          <t>Assets/MachineBrigade/Resources/Data/balance.json: vehicles.173.variant.tune.thruster_fr</t>
        </is>
      </c>
      <c r="P33" t="inlineStr">
        <is>
          <t>{"hp":0.07,"at":[10.38,22.0,8.33]}</t>
        </is>
      </c>
    </row>
    <row r="34">
      <c r="A34" t="inlineStr">
        <is>
          <t>hyperion/thruster_rl</t>
        </is>
      </c>
      <c r="B34" t="inlineStr">
        <is>
          <t>hyperion</t>
        </is>
      </c>
      <c r="C34" t="n">
        <v>4</v>
      </c>
      <c r="D34" t="inlineStr">
        <is>
          <t>thruster_rl</t>
        </is>
      </c>
      <c r="E34" t="n">
        <v>-12.17</v>
      </c>
      <c r="F34" t="n">
        <v>-18.33</v>
      </c>
      <c r="G34" t="n">
        <v>8</v>
      </c>
      <c r="I34" t="n">
        <v>0.07000000000000001</v>
      </c>
      <c r="O34" t="inlineStr">
        <is>
          <t>Assets/MachineBrigade/Resources/Data/balance.json: vehicles.173.variant.tune.thruster_rl</t>
        </is>
      </c>
      <c r="P34" t="inlineStr">
        <is>
          <t>{"hp":0.07,"at":[-12.17,-18.33,8.0]}</t>
        </is>
      </c>
    </row>
    <row r="35">
      <c r="A35" t="inlineStr">
        <is>
          <t>hyperion/thruster_rr</t>
        </is>
      </c>
      <c r="B35" t="inlineStr">
        <is>
          <t>hyperion</t>
        </is>
      </c>
      <c r="C35" t="n">
        <v>5</v>
      </c>
      <c r="D35" t="inlineStr">
        <is>
          <t>thruster_rr</t>
        </is>
      </c>
      <c r="E35" t="n">
        <v>12.17</v>
      </c>
      <c r="F35" t="n">
        <v>-18.33</v>
      </c>
      <c r="G35" t="n">
        <v>8</v>
      </c>
      <c r="I35" t="n">
        <v>0.07000000000000001</v>
      </c>
      <c r="O35" t="inlineStr">
        <is>
          <t>Assets/MachineBrigade/Resources/Data/balance.json: vehicles.173.variant.tune.thruster_rr</t>
        </is>
      </c>
      <c r="P35" t="inlineStr">
        <is>
          <t>{"hp":0.07,"at":[12.17,-18.33,8.0]}</t>
        </is>
      </c>
    </row>
    <row r="36">
      <c r="A36" t="inlineStr">
        <is>
          <t>icarus_mk0/main_laser</t>
        </is>
      </c>
      <c r="B36" t="inlineStr">
        <is>
          <t>icarus_mk0</t>
        </is>
      </c>
      <c r="C36" t="n">
        <v>0</v>
      </c>
      <c r="D36" t="inlineStr">
        <is>
          <t>main_laser</t>
        </is>
      </c>
      <c r="I36" t="n">
        <v>0.12</v>
      </c>
      <c r="O36" t="inlineStr">
        <is>
          <t>Assets/MachineBrigade/Resources/Data/balance.json: vehicles.168.variant.tune.main_laser</t>
        </is>
      </c>
      <c r="P36" t="inlineStr">
        <is>
          <t>{"hp":0.12}</t>
        </is>
      </c>
    </row>
    <row r="37">
      <c r="A37" t="inlineStr">
        <is>
          <t>icarus_mk0/pd_laser_l</t>
        </is>
      </c>
      <c r="B37" t="inlineStr">
        <is>
          <t>icarus_mk0</t>
        </is>
      </c>
      <c r="C37" t="n">
        <v>2</v>
      </c>
      <c r="D37" t="inlineStr">
        <is>
          <t>pd_laser_l</t>
        </is>
      </c>
      <c r="I37" t="n">
        <v>0.12</v>
      </c>
      <c r="O37" t="inlineStr">
        <is>
          <t>Assets/MachineBrigade/Resources/Data/balance.json: vehicles.168.variant.tune.pd_laser_l</t>
        </is>
      </c>
      <c r="P37" t="inlineStr">
        <is>
          <t>{"hp":0.12}</t>
        </is>
      </c>
    </row>
    <row r="38">
      <c r="A38" t="inlineStr">
        <is>
          <t>icarus_mk0/pod_bay</t>
        </is>
      </c>
      <c r="B38" t="inlineStr">
        <is>
          <t>icarus_mk0</t>
        </is>
      </c>
      <c r="C38" t="n">
        <v>1</v>
      </c>
      <c r="D38" t="inlineStr">
        <is>
          <t>pod_bay</t>
        </is>
      </c>
      <c r="I38" t="n">
        <v>0.12</v>
      </c>
      <c r="O38" t="inlineStr">
        <is>
          <t>Assets/MachineBrigade/Resources/Data/balance.json: vehicles.168.variant.tune.pod_bay</t>
        </is>
      </c>
      <c r="P38" t="inlineStr">
        <is>
          <t>{"hp":0.12}</t>
        </is>
      </c>
    </row>
    <row r="39">
      <c r="A39" t="inlineStr">
        <is>
          <t>kraken/aa_port</t>
        </is>
      </c>
      <c r="B39" t="inlineStr">
        <is>
          <t>kraken</t>
        </is>
      </c>
      <c r="C39" t="n">
        <v>6</v>
      </c>
      <c r="D39" t="inlineStr">
        <is>
          <t>aa_port</t>
        </is>
      </c>
      <c r="E39" t="n">
        <v>-7.28</v>
      </c>
      <c r="F39" t="n">
        <v>-8.77</v>
      </c>
      <c r="G39" t="n">
        <v>8.48</v>
      </c>
      <c r="O39" t="inlineStr">
        <is>
          <t>Assets/MachineBrigade/Resources/Data/balance.json: vehicles.171.variant.tune.aa_port</t>
        </is>
      </c>
      <c r="P39" t="inlineStr">
        <is>
          <t>{"at":[-7.28,-8.77,8.48]}</t>
        </is>
      </c>
    </row>
    <row r="40">
      <c r="A40" t="inlineStr">
        <is>
          <t>kraken/aa_starboard</t>
        </is>
      </c>
      <c r="B40" t="inlineStr">
        <is>
          <t>kraken</t>
        </is>
      </c>
      <c r="C40" t="n">
        <v>7</v>
      </c>
      <c r="D40" t="inlineStr">
        <is>
          <t>aa_starboard</t>
        </is>
      </c>
      <c r="E40" t="n">
        <v>6.84</v>
      </c>
      <c r="F40" t="n">
        <v>-26.32</v>
      </c>
      <c r="G40" t="n">
        <v>8.48</v>
      </c>
      <c r="O40" t="inlineStr">
        <is>
          <t>Assets/MachineBrigade/Resources/Data/balance.json: vehicles.171.variant.tune.aa_starboard</t>
        </is>
      </c>
      <c r="P40" t="inlineStr">
        <is>
          <t>{"at":[6.84,-26.32,8.48]}</t>
        </is>
      </c>
    </row>
    <row r="41">
      <c r="A41" t="inlineStr">
        <is>
          <t>kraken/ciws_aft</t>
        </is>
      </c>
      <c r="B41" t="inlineStr">
        <is>
          <t>kraken</t>
        </is>
      </c>
      <c r="C41" t="n">
        <v>9</v>
      </c>
      <c r="D41" t="inlineStr">
        <is>
          <t>ciws_aft</t>
        </is>
      </c>
      <c r="E41" t="n">
        <v>-5.09</v>
      </c>
      <c r="F41" t="n">
        <v>-45.79</v>
      </c>
      <c r="G41" t="n">
        <v>5.34</v>
      </c>
      <c r="O41" t="inlineStr">
        <is>
          <t>Assets/MachineBrigade/Resources/Data/balance.json: vehicles.171.variant.tune.ciws_aft</t>
        </is>
      </c>
      <c r="P41" t="inlineStr">
        <is>
          <t>{"at":[-5.09,-45.79,5.34]}</t>
        </is>
      </c>
    </row>
    <row r="42">
      <c r="A42" t="inlineStr">
        <is>
          <t>kraken/ciws_fore</t>
        </is>
      </c>
      <c r="B42" t="inlineStr">
        <is>
          <t>kraken</t>
        </is>
      </c>
      <c r="C42" t="n">
        <v>8</v>
      </c>
      <c r="D42" t="inlineStr">
        <is>
          <t>ciws_fore</t>
        </is>
      </c>
      <c r="E42" t="n">
        <v>4.74</v>
      </c>
      <c r="F42" t="n">
        <v>21.4</v>
      </c>
      <c r="G42" t="n">
        <v>6.88</v>
      </c>
      <c r="O42" t="inlineStr">
        <is>
          <t>Assets/MachineBrigade/Resources/Data/balance.json: vehicles.171.variant.tune.ciws_fore</t>
        </is>
      </c>
      <c r="P42" t="inlineStr">
        <is>
          <t>{"at":[4.74,21.4,6.88]}</t>
        </is>
      </c>
    </row>
    <row r="43">
      <c r="A43" t="inlineStr">
        <is>
          <t>kraken/flight_deck</t>
        </is>
      </c>
      <c r="B43" t="inlineStr">
        <is>
          <t>kraken</t>
        </is>
      </c>
      <c r="C43" t="n">
        <v>11</v>
      </c>
      <c r="D43" t="inlineStr">
        <is>
          <t>flight_deck</t>
        </is>
      </c>
      <c r="E43" t="n">
        <v>-2.98</v>
      </c>
      <c r="F43" t="n">
        <v>-26.32</v>
      </c>
      <c r="G43" t="n">
        <v>9.109999999999999</v>
      </c>
      <c r="M43" t="inlineStr">
        <is>
          <t>kraken_jets;leviathan_helos</t>
        </is>
      </c>
      <c r="O43" t="inlineStr">
        <is>
          <t>Assets/MachineBrigade/Resources/Data/balance.json: vehicles.171.variant.tune.flight_deck</t>
        </is>
      </c>
      <c r="P43" t="inlineStr">
        <is>
          <t>{"at":[-2.98,-26.32,9.11],"skills":["kraken_jets","leviathan_helos"]}</t>
        </is>
      </c>
    </row>
    <row r="44">
      <c r="A44" t="inlineStr">
        <is>
          <t>kraken/machinery</t>
        </is>
      </c>
      <c r="B44" t="inlineStr">
        <is>
          <t>kraken</t>
        </is>
      </c>
      <c r="C44" t="n">
        <v>13</v>
      </c>
      <c r="D44" t="inlineStr">
        <is>
          <t>machinery</t>
        </is>
      </c>
      <c r="E44" t="n">
        <v>6.4</v>
      </c>
      <c r="F44" t="n">
        <v>-8.42</v>
      </c>
      <c r="G44" t="n">
        <v>14.89</v>
      </c>
      <c r="O44" t="inlineStr">
        <is>
          <t>Assets/MachineBrigade/Resources/Data/balance.json: vehicles.171.variant.tune.machinery</t>
        </is>
      </c>
      <c r="P44" t="inlineStr">
        <is>
          <t>{"at":[6.4,-8.42,14.89]}</t>
        </is>
      </c>
    </row>
    <row r="45">
      <c r="A45" t="inlineStr">
        <is>
          <t>kraken/radar</t>
        </is>
      </c>
      <c r="B45" t="inlineStr">
        <is>
          <t>kraken</t>
        </is>
      </c>
      <c r="C45" t="n">
        <v>10</v>
      </c>
      <c r="D45" t="inlineStr">
        <is>
          <t>radar</t>
        </is>
      </c>
      <c r="E45" t="n">
        <v>6.4</v>
      </c>
      <c r="F45" t="n">
        <v>0</v>
      </c>
      <c r="G45" t="n">
        <v>16.63</v>
      </c>
      <c r="O45" t="inlineStr">
        <is>
          <t>Assets/MachineBrigade/Resources/Data/balance.json: vehicles.171.variant.tune.radar</t>
        </is>
      </c>
      <c r="P45" t="inlineStr">
        <is>
          <t>{"at":[6.4,0,16.63]}</t>
        </is>
      </c>
    </row>
    <row r="46">
      <c r="A46" t="inlineStr">
        <is>
          <t>kraken/sec_aft</t>
        </is>
      </c>
      <c r="B46" t="inlineStr">
        <is>
          <t>kraken</t>
        </is>
      </c>
      <c r="C46" t="n">
        <v>4</v>
      </c>
      <c r="D46" t="inlineStr">
        <is>
          <t>sec_aft</t>
        </is>
      </c>
      <c r="E46" t="n">
        <v>-6.32</v>
      </c>
      <c r="F46" t="n">
        <v>-33.51</v>
      </c>
      <c r="G46" t="n">
        <v>9.08</v>
      </c>
      <c r="O46" t="inlineStr">
        <is>
          <t>Assets/MachineBrigade/Resources/Data/balance.json: vehicles.171.variant.tune.sec_aft</t>
        </is>
      </c>
      <c r="P46" t="inlineStr">
        <is>
          <t>{"at":[-6.32,-33.51,9.08]}</t>
        </is>
      </c>
    </row>
    <row r="47">
      <c r="A47" t="inlineStr">
        <is>
          <t>kraken/sec_fore</t>
        </is>
      </c>
      <c r="B47" t="inlineStr">
        <is>
          <t>kraken</t>
        </is>
      </c>
      <c r="C47" t="n">
        <v>3</v>
      </c>
      <c r="D47" t="inlineStr">
        <is>
          <t>sec_fore</t>
        </is>
      </c>
      <c r="E47" t="n">
        <v>6.75</v>
      </c>
      <c r="F47" t="n">
        <v>15.61</v>
      </c>
      <c r="G47" t="n">
        <v>7.27</v>
      </c>
      <c r="O47" t="inlineStr">
        <is>
          <t>Assets/MachineBrigade/Resources/Data/balance.json: vehicles.171.variant.tune.sec_fore</t>
        </is>
      </c>
      <c r="P47" t="inlineStr">
        <is>
          <t>{"at":[6.75,15.61,7.27]}</t>
        </is>
      </c>
    </row>
    <row r="48">
      <c r="A48" t="inlineStr">
        <is>
          <t>kraken/turret_aft</t>
        </is>
      </c>
      <c r="B48" t="inlineStr">
        <is>
          <t>kraken</t>
        </is>
      </c>
      <c r="C48" t="n">
        <v>2</v>
      </c>
      <c r="D48" t="inlineStr">
        <is>
          <t>turret_aft</t>
        </is>
      </c>
      <c r="E48" t="n">
        <v>0</v>
      </c>
      <c r="F48" t="n">
        <v>-42.46</v>
      </c>
      <c r="G48" t="n">
        <v>6.35</v>
      </c>
      <c r="O48" t="inlineStr">
        <is>
          <t>Assets/MachineBrigade/Resources/Data/balance.json: vehicles.171.variant.tune.turret_aft</t>
        </is>
      </c>
      <c r="P48" t="inlineStr">
        <is>
          <t>{"at":[0,-42.46,6.35]}</t>
        </is>
      </c>
    </row>
    <row r="49">
      <c r="A49" t="inlineStr">
        <is>
          <t>kraken/turret_fore</t>
        </is>
      </c>
      <c r="B49" t="inlineStr">
        <is>
          <t>kraken</t>
        </is>
      </c>
      <c r="C49" t="n">
        <v>0</v>
      </c>
      <c r="D49" t="inlineStr">
        <is>
          <t>turret_fore</t>
        </is>
      </c>
      <c r="E49" t="n">
        <v>0</v>
      </c>
      <c r="F49" t="n">
        <v>33.68</v>
      </c>
      <c r="G49" t="n">
        <v>7.93</v>
      </c>
      <c r="O49" t="inlineStr">
        <is>
          <t>Assets/MachineBrigade/Resources/Data/balance.json: vehicles.171.variant.tune.turret_fore</t>
        </is>
      </c>
      <c r="P49" t="inlineStr">
        <is>
          <t>{"at":[0,33.68,7.93]}</t>
        </is>
      </c>
    </row>
    <row r="50">
      <c r="A50" t="inlineStr">
        <is>
          <t>kraken/turret_super</t>
        </is>
      </c>
      <c r="B50" t="inlineStr">
        <is>
          <t>kraken</t>
        </is>
      </c>
      <c r="C50" t="n">
        <v>1</v>
      </c>
      <c r="D50" t="inlineStr">
        <is>
          <t>turret_super</t>
        </is>
      </c>
      <c r="E50" t="n">
        <v>0</v>
      </c>
      <c r="F50" t="n">
        <v>25.09</v>
      </c>
      <c r="G50" t="n">
        <v>8.81</v>
      </c>
      <c r="O50" t="inlineStr">
        <is>
          <t>Assets/MachineBrigade/Resources/Data/balance.json: vehicles.171.variant.tune.turret_super</t>
        </is>
      </c>
      <c r="P50" t="inlineStr">
        <is>
          <t>{"at":[0,25.09,8.81]}</t>
        </is>
      </c>
    </row>
    <row r="51">
      <c r="A51" t="inlineStr">
        <is>
          <t>kraken/vls</t>
        </is>
      </c>
      <c r="B51" t="inlineStr">
        <is>
          <t>kraken</t>
        </is>
      </c>
      <c r="C51" t="n">
        <v>5</v>
      </c>
      <c r="D51" t="inlineStr">
        <is>
          <t>vls</t>
        </is>
      </c>
      <c r="E51" t="n">
        <v>0</v>
      </c>
      <c r="F51" t="n">
        <v>18.6</v>
      </c>
      <c r="G51" t="n">
        <v>6.33</v>
      </c>
      <c r="O51" t="inlineStr">
        <is>
          <t>Assets/MachineBrigade/Resources/Data/balance.json: vehicles.171.variant.tune.vls</t>
        </is>
      </c>
      <c r="P51" t="inlineStr">
        <is>
          <t>{"at":[0,18.6,6.33]}</t>
        </is>
      </c>
    </row>
    <row r="52">
      <c r="A52" t="inlineStr">
        <is>
          <t>kraken/well_deck</t>
        </is>
      </c>
      <c r="B52" t="inlineStr">
        <is>
          <t>kraken</t>
        </is>
      </c>
      <c r="C52" t="n">
        <v>12</v>
      </c>
      <c r="D52" t="inlineStr">
        <is>
          <t>well_deck</t>
        </is>
      </c>
      <c r="E52" t="n">
        <v>0</v>
      </c>
      <c r="F52" t="n">
        <v>-48.03</v>
      </c>
      <c r="G52" t="n">
        <v>3.92</v>
      </c>
      <c r="O52" t="inlineStr">
        <is>
          <t>Assets/MachineBrigade/Resources/Data/balance.json: vehicles.171.variant.tune.well_deck</t>
        </is>
      </c>
      <c r="P52" t="inlineStr">
        <is>
          <t>{"at":[0,-48.03,3.92]}</t>
        </is>
      </c>
    </row>
    <row r="53">
      <c r="A53" t="inlineStr">
        <is>
          <t>locust/drone_bay</t>
        </is>
      </c>
      <c r="B53" t="inlineStr">
        <is>
          <t>locust</t>
        </is>
      </c>
      <c r="C53" t="n">
        <v>0</v>
      </c>
      <c r="D53" t="inlineStr">
        <is>
          <t>drone_bay</t>
        </is>
      </c>
      <c r="I53" t="n">
        <v>0.15</v>
      </c>
      <c r="O53" t="inlineStr">
        <is>
          <t>Assets/MachineBrigade/Resources/Data/balance.json: vehicles.166.variant.tune.drone_bay</t>
        </is>
      </c>
      <c r="P53" t="inlineStr">
        <is>
          <t>{"hp":0.15}</t>
        </is>
      </c>
    </row>
    <row r="54">
      <c r="A54" t="inlineStr">
        <is>
          <t>locust/flak_top</t>
        </is>
      </c>
      <c r="B54" t="inlineStr">
        <is>
          <t>locust</t>
        </is>
      </c>
      <c r="C54" t="n">
        <v>1</v>
      </c>
      <c r="D54" t="inlineStr">
        <is>
          <t>flak_top</t>
        </is>
      </c>
      <c r="I54" t="n">
        <v>0.15</v>
      </c>
      <c r="O54" t="inlineStr">
        <is>
          <t>Assets/MachineBrigade/Resources/Data/balance.json: vehicles.166.variant.tune.flak_top</t>
        </is>
      </c>
      <c r="P54" t="inlineStr">
        <is>
          <t>{"hp":0.15}</t>
        </is>
      </c>
    </row>
    <row r="55">
      <c r="A55" t="inlineStr">
        <is>
          <t>nyx/ciws_aft</t>
        </is>
      </c>
      <c r="B55" t="inlineStr">
        <is>
          <t>nyx</t>
        </is>
      </c>
      <c r="C55" t="n">
        <v>3</v>
      </c>
      <c r="D55" t="inlineStr">
        <is>
          <t>ciws_aft</t>
        </is>
      </c>
      <c r="E55" t="n">
        <v>0</v>
      </c>
      <c r="F55" t="n">
        <v>-17.82</v>
      </c>
      <c r="G55" t="n">
        <v>12.56</v>
      </c>
      <c r="I55" t="n">
        <v>0.11</v>
      </c>
      <c r="O55" t="inlineStr">
        <is>
          <t>Assets/MachineBrigade/Resources/Data/balance.json: vehicles.176.variant.tune.ciws_aft</t>
        </is>
      </c>
      <c r="P55" t="inlineStr">
        <is>
          <t>{"hp":0.11,"at":[0,-17.82,12.56]}</t>
        </is>
      </c>
    </row>
    <row r="56">
      <c r="A56" t="inlineStr">
        <is>
          <t>nyx/ciws_fore</t>
        </is>
      </c>
      <c r="B56" t="inlineStr">
        <is>
          <t>nyx</t>
        </is>
      </c>
      <c r="C56" t="n">
        <v>2</v>
      </c>
      <c r="D56" t="inlineStr">
        <is>
          <t>ciws_fore</t>
        </is>
      </c>
      <c r="E56" t="n">
        <v>0</v>
      </c>
      <c r="F56" t="n">
        <v>9.73</v>
      </c>
      <c r="G56" t="n">
        <v>12.56</v>
      </c>
      <c r="I56" t="n">
        <v>0.11</v>
      </c>
      <c r="O56" t="inlineStr">
        <is>
          <t>Assets/MachineBrigade/Resources/Data/balance.json: vehicles.176.variant.tune.ciws_fore</t>
        </is>
      </c>
      <c r="P56" t="inlineStr">
        <is>
          <t>{"hp":0.11,"at":[0,9.73,12.56]}</t>
        </is>
      </c>
    </row>
    <row r="57">
      <c r="A57" t="inlineStr">
        <is>
          <t>nyx/turret_fore</t>
        </is>
      </c>
      <c r="B57" t="inlineStr">
        <is>
          <t>nyx</t>
        </is>
      </c>
      <c r="C57" t="n">
        <v>0</v>
      </c>
      <c r="D57" t="inlineStr">
        <is>
          <t>turret_fore</t>
        </is>
      </c>
      <c r="E57" t="n">
        <v>0</v>
      </c>
      <c r="F57" t="n">
        <v>24</v>
      </c>
      <c r="G57" t="n">
        <v>6.96</v>
      </c>
      <c r="I57" t="n">
        <v>0.12</v>
      </c>
      <c r="O57" t="inlineStr">
        <is>
          <t>Assets/MachineBrigade/Resources/Data/balance.json: vehicles.176.variant.tune.turret_fore</t>
        </is>
      </c>
      <c r="P57" t="inlineStr">
        <is>
          <t>{"hp":0.12,"at":[0,24.0,6.96]}</t>
        </is>
      </c>
    </row>
    <row r="58">
      <c r="A58" t="inlineStr">
        <is>
          <t>nyx/vls</t>
        </is>
      </c>
      <c r="B58" t="inlineStr">
        <is>
          <t>nyx</t>
        </is>
      </c>
      <c r="C58" t="n">
        <v>1</v>
      </c>
      <c r="D58" t="inlineStr">
        <is>
          <t>vls</t>
        </is>
      </c>
      <c r="E58" t="n">
        <v>0</v>
      </c>
      <c r="F58" t="n">
        <v>15.64</v>
      </c>
      <c r="G58" t="n">
        <v>5.71</v>
      </c>
      <c r="I58" t="n">
        <v>0.12</v>
      </c>
      <c r="O58" t="inlineStr">
        <is>
          <t>Assets/MachineBrigade/Resources/Data/balance.json: vehicles.176.variant.tune.vls</t>
        </is>
      </c>
      <c r="P58" t="inlineStr">
        <is>
          <t>{"hp":0.12,"at":[0,15.64,5.71]}</t>
        </is>
      </c>
    </row>
    <row r="59">
      <c r="A59" t="inlineStr">
        <is>
          <t>scylla/ciws_fore</t>
        </is>
      </c>
      <c r="B59" t="inlineStr">
        <is>
          <t>scylla</t>
        </is>
      </c>
      <c r="C59" t="n">
        <v>2</v>
      </c>
      <c r="D59" t="inlineStr">
        <is>
          <t>ciws_fore</t>
        </is>
      </c>
      <c r="E59" t="n">
        <v>0</v>
      </c>
      <c r="F59" t="n">
        <v>14.6</v>
      </c>
      <c r="G59" t="n">
        <v>15.78</v>
      </c>
      <c r="I59" t="n">
        <v>0.1</v>
      </c>
      <c r="O59" t="inlineStr">
        <is>
          <t>Assets/MachineBrigade/Resources/Data/balance.json: vehicles.165.variant.tune.ciws_fore</t>
        </is>
      </c>
      <c r="P59" t="inlineStr">
        <is>
          <t>{"hp":0.1,"at":[0,14.6,15.78]}</t>
        </is>
      </c>
    </row>
    <row r="60">
      <c r="A60" t="inlineStr">
        <is>
          <t>scylla/turret_fore</t>
        </is>
      </c>
      <c r="B60" t="inlineStr">
        <is>
          <t>scylla</t>
        </is>
      </c>
      <c r="C60" t="n">
        <v>0</v>
      </c>
      <c r="D60" t="inlineStr">
        <is>
          <t>turret_fore</t>
        </is>
      </c>
      <c r="E60" t="n">
        <v>0</v>
      </c>
      <c r="F60" t="n">
        <v>30.4</v>
      </c>
      <c r="G60" t="n">
        <v>8.880000000000001</v>
      </c>
      <c r="I60" t="n">
        <v>0.14</v>
      </c>
      <c r="O60" t="inlineStr">
        <is>
          <t>Assets/MachineBrigade/Resources/Data/balance.json: vehicles.165.variant.tune.turret_fore</t>
        </is>
      </c>
      <c r="P60" t="inlineStr">
        <is>
          <t>{"hp":0.14,"at":[0,30.4,8.88]}</t>
        </is>
      </c>
    </row>
    <row r="61">
      <c r="A61" t="inlineStr">
        <is>
          <t>scylla/vls</t>
        </is>
      </c>
      <c r="B61" t="inlineStr">
        <is>
          <t>scylla</t>
        </is>
      </c>
      <c r="C61" t="n">
        <v>1</v>
      </c>
      <c r="D61" t="inlineStr">
        <is>
          <t>vls</t>
        </is>
      </c>
      <c r="E61" t="n">
        <v>0</v>
      </c>
      <c r="F61" t="n">
        <v>12.4</v>
      </c>
      <c r="G61" t="n">
        <v>7.48</v>
      </c>
      <c r="I61" t="n">
        <v>0.12</v>
      </c>
      <c r="O61" t="inlineStr">
        <is>
          <t>Assets/MachineBrigade/Resources/Data/balance.json: vehicles.165.variant.tune.vls</t>
        </is>
      </c>
      <c r="P61" t="inlineStr">
        <is>
          <t>{"hp":0.12,"at":[0,12.4,7.48]}</t>
        </is>
      </c>
    </row>
    <row r="62">
      <c r="A62" t="inlineStr">
        <is>
          <t>theia/main_laser</t>
        </is>
      </c>
      <c r="B62" t="inlineStr">
        <is>
          <t>theia</t>
        </is>
      </c>
      <c r="C62" t="n">
        <v>0</v>
      </c>
      <c r="D62" t="inlineStr">
        <is>
          <t>main_laser</t>
        </is>
      </c>
      <c r="E62" t="n">
        <v>0</v>
      </c>
      <c r="F62" t="n">
        <v>16.33</v>
      </c>
      <c r="G62" t="n">
        <v>17</v>
      </c>
      <c r="I62" t="n">
        <v>0.1</v>
      </c>
      <c r="O62" t="inlineStr">
        <is>
          <t>Assets/MachineBrigade/Resources/Data/balance.json: vehicles.174.variant.tune.main_laser</t>
        </is>
      </c>
      <c r="P62" t="inlineStr">
        <is>
          <t>{"hp":0.1,"at":[0,16.33,17.0]}</t>
        </is>
      </c>
    </row>
    <row r="63">
      <c r="A63" t="inlineStr">
        <is>
          <t>theia/pd_laser_l</t>
        </is>
      </c>
      <c r="B63" t="inlineStr">
        <is>
          <t>theia</t>
        </is>
      </c>
      <c r="C63" t="n">
        <v>2</v>
      </c>
      <c r="D63" t="inlineStr">
        <is>
          <t>pd_laser_l</t>
        </is>
      </c>
      <c r="E63" t="n">
        <v>-13.83</v>
      </c>
      <c r="F63" t="n">
        <v>5</v>
      </c>
      <c r="G63" t="n">
        <v>15</v>
      </c>
      <c r="I63" t="n">
        <v>0.1</v>
      </c>
      <c r="O63" t="inlineStr">
        <is>
          <t>Assets/MachineBrigade/Resources/Data/balance.json: vehicles.174.variant.tune.pd_laser_l</t>
        </is>
      </c>
      <c r="P63" t="inlineStr">
        <is>
          <t>{"hp":0.1,"at":[-13.83,5.0,15.0]}</t>
        </is>
      </c>
    </row>
    <row r="64">
      <c r="A64" t="inlineStr">
        <is>
          <t>theia/pd_laser_r</t>
        </is>
      </c>
      <c r="B64" t="inlineStr">
        <is>
          <t>theia</t>
        </is>
      </c>
      <c r="C64" t="n">
        <v>3</v>
      </c>
      <c r="D64" t="inlineStr">
        <is>
          <t>pd_laser_r</t>
        </is>
      </c>
      <c r="E64" t="n">
        <v>13.83</v>
      </c>
      <c r="F64" t="n">
        <v>5</v>
      </c>
      <c r="G64" t="n">
        <v>15</v>
      </c>
      <c r="I64" t="n">
        <v>0.1</v>
      </c>
      <c r="O64" t="inlineStr">
        <is>
          <t>Assets/MachineBrigade/Resources/Data/balance.json: vehicles.174.variant.tune.pd_laser_r</t>
        </is>
      </c>
      <c r="P64" t="inlineStr">
        <is>
          <t>{"hp":0.1,"at":[13.83,5.0,15.0]}</t>
        </is>
      </c>
    </row>
    <row r="65">
      <c r="A65" t="inlineStr">
        <is>
          <t>theia/pod_bay</t>
        </is>
      </c>
      <c r="B65" t="inlineStr">
        <is>
          <t>theia</t>
        </is>
      </c>
      <c r="C65" t="n">
        <v>1</v>
      </c>
      <c r="D65" t="inlineStr">
        <is>
          <t>pod_bay</t>
        </is>
      </c>
      <c r="E65" t="n">
        <v>0</v>
      </c>
      <c r="F65" t="n">
        <v>-3.33</v>
      </c>
      <c r="G65" t="n">
        <v>5.33</v>
      </c>
      <c r="I65" t="n">
        <v>0.1</v>
      </c>
      <c r="O65" t="inlineStr">
        <is>
          <t>Assets/MachineBrigade/Resources/Data/balance.json: vehicles.174.variant.tune.pod_bay</t>
        </is>
      </c>
      <c r="P65" t="inlineStr">
        <is>
          <t>{"hp":0.1,"at":[0,-3.33,5.33]}</t>
        </is>
      </c>
    </row>
  </sheetData>
  <autoFilter ref="A1:P65"/>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3" customWidth="1" min="4" max="4"/>
    <col width="8" customWidth="1" min="5" max="5"/>
    <col width="8" customWidth="1" min="6" max="6"/>
    <col width="8" customWidth="1" min="7" max="7"/>
    <col width="60" customWidth="1" min="8" max="8"/>
    <col width="55" customWidth="1" min="9" max="9"/>
  </cols>
  <sheetData>
    <row r="1">
      <c r="A1" s="1" t="inlineStr">
        <is>
          <t>id</t>
        </is>
      </c>
      <c r="B1" s="1" t="inlineStr">
        <is>
          <t>boss_id</t>
        </is>
      </c>
      <c r="C1" s="1" t="inlineStr">
        <is>
          <t>thu_tu</t>
        </is>
      </c>
      <c r="D1" s="1" t="inlineStr">
        <is>
          <t>unit</t>
        </is>
      </c>
      <c r="E1" s="1" t="inlineStr">
        <is>
          <t>abeam</t>
        </is>
      </c>
      <c r="F1" s="1" t="inlineStr">
        <is>
          <t>at</t>
        </is>
      </c>
      <c r="G1" s="1" t="inlineStr">
        <is>
          <t>count</t>
        </is>
      </c>
      <c r="H1" s="1" t="inlineStr">
        <is>
          <t>nguon</t>
        </is>
      </c>
      <c r="I1" s="1" t="inlineStr">
        <is>
          <t>raw_json</t>
        </is>
      </c>
    </row>
    <row r="2">
      <c r="A2" t="inlineStr">
        <is>
          <t>hydra/0</t>
        </is>
      </c>
      <c r="B2" t="inlineStr">
        <is>
          <t>hydra</t>
        </is>
      </c>
      <c r="C2" t="n">
        <v>0</v>
      </c>
      <c r="D2" t="inlineStr">
        <is>
          <t>missile_boat</t>
        </is>
      </c>
      <c r="G2" t="n">
        <v>1</v>
      </c>
      <c r="H2" t="inlineStr">
        <is>
          <t>Assets/MachineBrigade/Resources/Data/balance.json: vehicles[177].fleet[0]</t>
        </is>
      </c>
      <c r="I2" t="inlineStr">
        <is>
          <t>{"unit":"missile_boat","count":1}</t>
        </is>
      </c>
    </row>
    <row r="3">
      <c r="A3" t="inlineStr">
        <is>
          <t>leviathan/0</t>
        </is>
      </c>
      <c r="B3" t="inlineStr">
        <is>
          <t>leviathan</t>
        </is>
      </c>
      <c r="C3" t="n">
        <v>0</v>
      </c>
      <c r="D3" t="inlineStr">
        <is>
          <t>sea_cruiser</t>
        </is>
      </c>
      <c r="E3" t="n">
        <v>-17</v>
      </c>
      <c r="F3" t="n">
        <v>22</v>
      </c>
      <c r="G3" t="n">
        <v>1</v>
      </c>
      <c r="H3" t="inlineStr">
        <is>
          <t>Assets/MachineBrigade/Resources/Data/balance.json: vehicles[153].fleet[0]</t>
        </is>
      </c>
      <c r="I3" t="inlineStr">
        <is>
          <t>{"unit":"sea_cruiser","count":1,"at":22,"abeam":-17}</t>
        </is>
      </c>
    </row>
    <row r="4">
      <c r="A4" t="inlineStr">
        <is>
          <t>leviathan/1</t>
        </is>
      </c>
      <c r="B4" t="inlineStr">
        <is>
          <t>leviathan</t>
        </is>
      </c>
      <c r="C4" t="n">
        <v>1</v>
      </c>
      <c r="D4" t="inlineStr">
        <is>
          <t>sea_corvette</t>
        </is>
      </c>
      <c r="E4" t="n">
        <v>-16</v>
      </c>
      <c r="F4" t="n">
        <v>-27</v>
      </c>
      <c r="G4" t="n">
        <v>1</v>
      </c>
      <c r="H4" t="inlineStr">
        <is>
          <t>Assets/MachineBrigade/Resources/Data/balance.json: vehicles[153].fleet[1]</t>
        </is>
      </c>
      <c r="I4" t="inlineStr">
        <is>
          <t>{"unit":"sea_corvette","count":1,"at":-27,"abeam":-16}</t>
        </is>
      </c>
    </row>
    <row r="5">
      <c r="A5" t="inlineStr">
        <is>
          <t>leviathan/2</t>
        </is>
      </c>
      <c r="B5" t="inlineStr">
        <is>
          <t>leviathan</t>
        </is>
      </c>
      <c r="C5" t="n">
        <v>2</v>
      </c>
      <c r="D5" t="inlineStr">
        <is>
          <t>missile_boat</t>
        </is>
      </c>
      <c r="G5" t="n">
        <v>3</v>
      </c>
      <c r="H5" t="inlineStr">
        <is>
          <t>Assets/MachineBrigade/Resources/Data/balance.json: vehicles[153].fleet[2]</t>
        </is>
      </c>
      <c r="I5" t="inlineStr">
        <is>
          <t>{"unit":"missile_boat","count":3}</t>
        </is>
      </c>
    </row>
    <row r="6">
      <c r="A6" t="inlineStr">
        <is>
          <t>nyx/0</t>
        </is>
      </c>
      <c r="B6" t="inlineStr">
        <is>
          <t>nyx</t>
        </is>
      </c>
      <c r="C6" t="n">
        <v>0</v>
      </c>
      <c r="D6" t="inlineStr">
        <is>
          <t>missile_boat</t>
        </is>
      </c>
      <c r="G6" t="n">
        <v>1</v>
      </c>
      <c r="H6" t="inlineStr">
        <is>
          <t>Assets/MachineBrigade/Resources/Data/balance.json: vehicles[176].fleet[0]</t>
        </is>
      </c>
      <c r="I6" t="inlineStr">
        <is>
          <t>{"unit":"missile_boat","count":1}</t>
        </is>
      </c>
    </row>
    <row r="7">
      <c r="A7" t="inlineStr">
        <is>
          <t>scylla/0</t>
        </is>
      </c>
      <c r="B7" t="inlineStr">
        <is>
          <t>scylla</t>
        </is>
      </c>
      <c r="C7" t="n">
        <v>0</v>
      </c>
      <c r="D7" t="inlineStr">
        <is>
          <t>missile_boat</t>
        </is>
      </c>
      <c r="G7" t="n">
        <v>2</v>
      </c>
      <c r="H7" t="inlineStr">
        <is>
          <t>Assets/MachineBrigade/Resources/Data/balance.json: vehicles[165].fleet[0]</t>
        </is>
      </c>
      <c r="I7" t="inlineStr">
        <is>
          <t>{"unit":"missile_boat","count":2}</t>
        </is>
      </c>
    </row>
    <row r="8">
      <c r="A8" t="inlineStr">
        <is>
          <t>typhon/0</t>
        </is>
      </c>
      <c r="B8" t="inlineStr">
        <is>
          <t>typhon</t>
        </is>
      </c>
      <c r="C8" t="n">
        <v>0</v>
      </c>
      <c r="D8" t="inlineStr">
        <is>
          <t>sea_corvette</t>
        </is>
      </c>
      <c r="F8" t="n">
        <v>26</v>
      </c>
      <c r="G8" t="n">
        <v>1</v>
      </c>
      <c r="H8" t="inlineStr">
        <is>
          <t>Assets/MachineBrigade/Resources/Data/balance.json: vehicles[161].fleet[0]</t>
        </is>
      </c>
      <c r="I8" t="inlineStr">
        <is>
          <t>{"unit":"sea_corvette","count":1,"at":26}</t>
        </is>
      </c>
    </row>
    <row r="9">
      <c r="A9" t="inlineStr">
        <is>
          <t>typhon/1</t>
        </is>
      </c>
      <c r="B9" t="inlineStr">
        <is>
          <t>typhon</t>
        </is>
      </c>
      <c r="C9" t="n">
        <v>1</v>
      </c>
      <c r="D9" t="inlineStr">
        <is>
          <t>missile_boat</t>
        </is>
      </c>
      <c r="G9" t="n">
        <v>2</v>
      </c>
      <c r="H9" t="inlineStr">
        <is>
          <t>Assets/MachineBrigade/Resources/Data/balance.json: vehicles[161].fleet[1]</t>
        </is>
      </c>
      <c r="I9" t="inlineStr">
        <is>
          <t>{"unit":"missile_boat","count":2}</t>
        </is>
      </c>
    </row>
  </sheetData>
  <autoFilter ref="A1:I9"/>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8" customWidth="1" min="3" max="3"/>
    <col width="60" customWidth="1" min="4" max="4"/>
    <col width="60" customWidth="1" min="5" max="5"/>
  </cols>
  <sheetData>
    <row r="1">
      <c r="A1" s="1" t="inlineStr">
        <is>
          <t>id</t>
        </is>
      </c>
      <c r="B1" s="1" t="inlineStr">
        <is>
          <t>boss_id</t>
        </is>
      </c>
      <c r="C1" s="1" t="inlineStr">
        <is>
          <t>thu_tu</t>
        </is>
      </c>
      <c r="D1" s="1" t="inlineStr">
        <is>
          <t>nguon</t>
        </is>
      </c>
      <c r="E1" s="1" t="inlineStr">
        <is>
          <t>raw_json</t>
        </is>
      </c>
    </row>
    <row r="2">
      <c r="A2" t="inlineStr">
        <is>
          <t>coeus/0</t>
        </is>
      </c>
      <c r="B2" t="inlineStr">
        <is>
          <t>coeus</t>
        </is>
      </c>
      <c r="C2" t="n">
        <v>0</v>
      </c>
      <c r="D2" t="inlineStr">
        <is>
          <t>Assets/MachineBrigade/Resources/Data/balance.json: vehicles[175].tiers.schedule[0]</t>
        </is>
      </c>
      <c r="E2" t="inlineStr">
        <is>
          <t>{"steps":[{"tier":"high","seconds":24},{"tier":"low","seconds":10}]}</t>
        </is>
      </c>
    </row>
    <row r="3">
      <c r="A3" t="inlineStr">
        <is>
          <t>coeus/1</t>
        </is>
      </c>
      <c r="B3" t="inlineStr">
        <is>
          <t>coeus</t>
        </is>
      </c>
      <c r="C3" t="n">
        <v>1</v>
      </c>
      <c r="D3" t="inlineStr">
        <is>
          <t>Assets/MachineBrigade/Resources/Data/balance.json: vehicles[175].tiers.schedule[1]</t>
        </is>
      </c>
      <c r="E3" t="inlineStr">
        <is>
          <t>{"steps":[{"tier":"high","seconds":18},{"tier":"low","seconds":12}]}</t>
        </is>
      </c>
    </row>
    <row r="4">
      <c r="A4" t="inlineStr">
        <is>
          <t>daedalus/0</t>
        </is>
      </c>
      <c r="B4" t="inlineStr">
        <is>
          <t>daedalus</t>
        </is>
      </c>
      <c r="C4" t="n">
        <v>0</v>
      </c>
      <c r="D4" t="inlineStr">
        <is>
          <t>Assets/MachineBrigade/Resources/Data/balance.json: vehicles[160].tiers.schedule[0]</t>
        </is>
      </c>
      <c r="E4" t="inlineStr">
        <is>
          <t>{"steps":[{"tier":"high","seconds":20},{"tier":"low","seconds":14}]}</t>
        </is>
      </c>
    </row>
    <row r="5">
      <c r="A5" t="inlineStr">
        <is>
          <t>daedalus/1</t>
        </is>
      </c>
      <c r="B5" t="inlineStr">
        <is>
          <t>daedalus</t>
        </is>
      </c>
      <c r="C5" t="n">
        <v>1</v>
      </c>
      <c r="D5" t="inlineStr">
        <is>
          <t>Assets/MachineBrigade/Resources/Data/balance.json: vehicles[160].tiers.schedule[1]</t>
        </is>
      </c>
      <c r="E5" t="inlineStr">
        <is>
          <t>{"steps":[{"tier":"high","seconds":14},{"tier":"low","seconds":20}]}</t>
        </is>
      </c>
    </row>
    <row r="6">
      <c r="A6" t="inlineStr">
        <is>
          <t>daedalus/2</t>
        </is>
      </c>
      <c r="B6" t="inlineStr">
        <is>
          <t>daedalus</t>
        </is>
      </c>
      <c r="C6" t="n">
        <v>2</v>
      </c>
      <c r="D6" t="inlineStr">
        <is>
          <t>Assets/MachineBrigade/Resources/Data/balance.json: vehicles[160].tiers.schedule[2]</t>
        </is>
      </c>
      <c r="E6" t="inlineStr">
        <is>
          <t>{"steps":[{"tier":"low","seconds":60}]}</t>
        </is>
      </c>
    </row>
    <row r="7">
      <c r="A7" t="inlineStr">
        <is>
          <t>hyperion/0</t>
        </is>
      </c>
      <c r="B7" t="inlineStr">
        <is>
          <t>hyperion</t>
        </is>
      </c>
      <c r="C7" t="n">
        <v>0</v>
      </c>
      <c r="D7" t="inlineStr">
        <is>
          <t>Assets/MachineBrigade/Resources/Data/balance.json: vehicles[173].tiers.schedule[0]</t>
        </is>
      </c>
      <c r="E7" t="inlineStr">
        <is>
          <t>{"steps":[{"tier":"high","seconds":60}]}</t>
        </is>
      </c>
    </row>
    <row r="8">
      <c r="A8" t="inlineStr">
        <is>
          <t>hyperion/1</t>
        </is>
      </c>
      <c r="B8" t="inlineStr">
        <is>
          <t>hyperion</t>
        </is>
      </c>
      <c r="C8" t="n">
        <v>1</v>
      </c>
      <c r="D8" t="inlineStr">
        <is>
          <t>Assets/MachineBrigade/Resources/Data/balance.json: vehicles[173].tiers.schedule[1]</t>
        </is>
      </c>
      <c r="E8" t="inlineStr">
        <is>
          <t>{"steps":[{"tier":"high","seconds":60}]}</t>
        </is>
      </c>
    </row>
    <row r="9">
      <c r="A9" t="inlineStr">
        <is>
          <t>hyperion/2</t>
        </is>
      </c>
      <c r="B9" t="inlineStr">
        <is>
          <t>hyperion</t>
        </is>
      </c>
      <c r="C9" t="n">
        <v>2</v>
      </c>
      <c r="D9" t="inlineStr">
        <is>
          <t>Assets/MachineBrigade/Resources/Data/balance.json: vehicles[173].tiers.schedule[2]</t>
        </is>
      </c>
      <c r="E9" t="inlineStr">
        <is>
          <t>{"steps":[{"tier":"high","seconds":60}]}</t>
        </is>
      </c>
    </row>
    <row r="10">
      <c r="A10" t="inlineStr">
        <is>
          <t>icarus_mk0/0</t>
        </is>
      </c>
      <c r="B10" t="inlineStr">
        <is>
          <t>icarus_mk0</t>
        </is>
      </c>
      <c r="C10" t="n">
        <v>0</v>
      </c>
      <c r="D10" t="inlineStr">
        <is>
          <t>Assets/MachineBrigade/Resources/Data/balance.json: vehicles[168].tiers.schedule[0]</t>
        </is>
      </c>
      <c r="E10" t="inlineStr">
        <is>
          <t>{"steps":[{"tier":"high","seconds":18},{"tier":"low","seconds":12}]}</t>
        </is>
      </c>
    </row>
    <row r="11">
      <c r="A11" t="inlineStr">
        <is>
          <t>icarus_mk0/1</t>
        </is>
      </c>
      <c r="B11" t="inlineStr">
        <is>
          <t>icarus_mk0</t>
        </is>
      </c>
      <c r="C11" t="n">
        <v>1</v>
      </c>
      <c r="D11" t="inlineStr">
        <is>
          <t>Assets/MachineBrigade/Resources/Data/balance.json: vehicles[168].tiers.schedule[1]</t>
        </is>
      </c>
      <c r="E11" t="inlineStr">
        <is>
          <t>{"steps":[{"tier":"high","seconds":12},{"tier":"low","seconds":18}]}</t>
        </is>
      </c>
    </row>
    <row r="12">
      <c r="A12" t="inlineStr">
        <is>
          <t>silver_bug/0</t>
        </is>
      </c>
      <c r="B12" t="inlineStr">
        <is>
          <t>silver_bug</t>
        </is>
      </c>
      <c r="C12" t="n">
        <v>0</v>
      </c>
      <c r="D12" t="inlineStr">
        <is>
          <t>Assets/MachineBrigade/Resources/Data/balance.json: vehicles[144].tiers.schedule[0]</t>
        </is>
      </c>
      <c r="E12" t="inlineStr">
        <is>
          <t>{"steps":[{"tier":"high","seconds":25},{"tier":"low","seconds":10}]}</t>
        </is>
      </c>
    </row>
    <row r="13">
      <c r="A13" t="inlineStr">
        <is>
          <t>silver_bug/1</t>
        </is>
      </c>
      <c r="B13" t="inlineStr">
        <is>
          <t>silver_bug</t>
        </is>
      </c>
      <c r="C13" t="n">
        <v>1</v>
      </c>
      <c r="D13" t="inlineStr">
        <is>
          <t>Assets/MachineBrigade/Resources/Data/balance.json: vehicles[144].tiers.schedule[1]</t>
        </is>
      </c>
      <c r="E13" t="inlineStr">
        <is>
          <t>{"steps":[{"tier":"high","seconds":15},{"tier":"low","seconds":20}]}</t>
        </is>
      </c>
    </row>
    <row r="14">
      <c r="A14" t="inlineStr">
        <is>
          <t>theia/0</t>
        </is>
      </c>
      <c r="B14" t="inlineStr">
        <is>
          <t>theia</t>
        </is>
      </c>
      <c r="C14" t="n">
        <v>0</v>
      </c>
      <c r="D14" t="inlineStr">
        <is>
          <t>Assets/MachineBrigade/Resources/Data/balance.json: vehicles[174].tiers.schedule[0]</t>
        </is>
      </c>
      <c r="E14" t="inlineStr">
        <is>
          <t>{"steps":[{"tier":"high","seconds":20},{"tier":"low","seconds":12}]}</t>
        </is>
      </c>
    </row>
    <row r="15">
      <c r="A15" t="inlineStr">
        <is>
          <t>theia/1</t>
        </is>
      </c>
      <c r="B15" t="inlineStr">
        <is>
          <t>theia</t>
        </is>
      </c>
      <c r="C15" t="n">
        <v>1</v>
      </c>
      <c r="D15" t="inlineStr">
        <is>
          <t>Assets/MachineBrigade/Resources/Data/balance.json: vehicles[174].tiers.schedule[1]</t>
        </is>
      </c>
      <c r="E15" t="inlineStr">
        <is>
          <t>{"steps":[{"tier":"high","seconds":14},{"tier":"low","seconds":16}]}</t>
        </is>
      </c>
    </row>
  </sheetData>
  <autoFilter ref="A1:E15"/>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8" customWidth="1" min="3" max="3"/>
    <col width="11" customWidth="1" min="4" max="4"/>
    <col width="8" customWidth="1" min="5" max="5"/>
    <col width="60" customWidth="1" min="6" max="6"/>
    <col width="29" customWidth="1" min="7" max="7"/>
  </cols>
  <sheetData>
    <row r="1">
      <c r="A1" s="1" t="inlineStr">
        <is>
          <t>id</t>
        </is>
      </c>
      <c r="B1" s="1" t="inlineStr">
        <is>
          <t>boss_tiers_schedule_id</t>
        </is>
      </c>
      <c r="C1" s="1" t="inlineStr">
        <is>
          <t>thu_tu</t>
        </is>
      </c>
      <c r="D1" s="1" t="inlineStr">
        <is>
          <t>seconds_s</t>
        </is>
      </c>
      <c r="E1" s="1" t="inlineStr">
        <is>
          <t>tier</t>
        </is>
      </c>
      <c r="F1" s="1" t="inlineStr">
        <is>
          <t>nguon</t>
        </is>
      </c>
      <c r="G1" s="1" t="inlineStr">
        <is>
          <t>raw_json</t>
        </is>
      </c>
    </row>
    <row r="2">
      <c r="A2" t="inlineStr">
        <is>
          <t>coeus/0/0</t>
        </is>
      </c>
      <c r="B2" t="inlineStr">
        <is>
          <t>coeus/0</t>
        </is>
      </c>
      <c r="C2" t="n">
        <v>0</v>
      </c>
      <c r="D2" t="n">
        <v>24</v>
      </c>
      <c r="E2" t="inlineStr">
        <is>
          <t>high</t>
        </is>
      </c>
      <c r="F2" t="inlineStr">
        <is>
          <t>Assets/MachineBrigade/Resources/Data/balance.json: vehicles[175].tiers.schedule[0].steps[0]</t>
        </is>
      </c>
      <c r="G2" t="inlineStr">
        <is>
          <t>{"tier":"high","seconds":24}</t>
        </is>
      </c>
    </row>
    <row r="3">
      <c r="A3" t="inlineStr">
        <is>
          <t>coeus/0/1</t>
        </is>
      </c>
      <c r="B3" t="inlineStr">
        <is>
          <t>coeus/0</t>
        </is>
      </c>
      <c r="C3" t="n">
        <v>1</v>
      </c>
      <c r="D3" t="n">
        <v>10</v>
      </c>
      <c r="E3" t="inlineStr">
        <is>
          <t>low</t>
        </is>
      </c>
      <c r="F3" t="inlineStr">
        <is>
          <t>Assets/MachineBrigade/Resources/Data/balance.json: vehicles[175].tiers.schedule[0].steps[1]</t>
        </is>
      </c>
      <c r="G3" t="inlineStr">
        <is>
          <t>{"tier":"low","seconds":10}</t>
        </is>
      </c>
    </row>
    <row r="4">
      <c r="A4" t="inlineStr">
        <is>
          <t>coeus/1/0</t>
        </is>
      </c>
      <c r="B4" t="inlineStr">
        <is>
          <t>coeus/1</t>
        </is>
      </c>
      <c r="C4" t="n">
        <v>0</v>
      </c>
      <c r="D4" t="n">
        <v>18</v>
      </c>
      <c r="E4" t="inlineStr">
        <is>
          <t>high</t>
        </is>
      </c>
      <c r="F4" t="inlineStr">
        <is>
          <t>Assets/MachineBrigade/Resources/Data/balance.json: vehicles[175].tiers.schedule[1].steps[0]</t>
        </is>
      </c>
      <c r="G4" t="inlineStr">
        <is>
          <t>{"tier":"high","seconds":18}</t>
        </is>
      </c>
    </row>
    <row r="5">
      <c r="A5" t="inlineStr">
        <is>
          <t>coeus/1/1</t>
        </is>
      </c>
      <c r="B5" t="inlineStr">
        <is>
          <t>coeus/1</t>
        </is>
      </c>
      <c r="C5" t="n">
        <v>1</v>
      </c>
      <c r="D5" t="n">
        <v>12</v>
      </c>
      <c r="E5" t="inlineStr">
        <is>
          <t>low</t>
        </is>
      </c>
      <c r="F5" t="inlineStr">
        <is>
          <t>Assets/MachineBrigade/Resources/Data/balance.json: vehicles[175].tiers.schedule[1].steps[1]</t>
        </is>
      </c>
      <c r="G5" t="inlineStr">
        <is>
          <t>{"tier":"low","seconds":12}</t>
        </is>
      </c>
    </row>
    <row r="6">
      <c r="A6" t="inlineStr">
        <is>
          <t>daedalus/0/0</t>
        </is>
      </c>
      <c r="B6" t="inlineStr">
        <is>
          <t>daedalus/0</t>
        </is>
      </c>
      <c r="C6" t="n">
        <v>0</v>
      </c>
      <c r="D6" t="n">
        <v>20</v>
      </c>
      <c r="E6" t="inlineStr">
        <is>
          <t>high</t>
        </is>
      </c>
      <c r="F6" t="inlineStr">
        <is>
          <t>Assets/MachineBrigade/Resources/Data/balance.json: vehicles[160].tiers.schedule[0].steps[0]</t>
        </is>
      </c>
      <c r="G6" t="inlineStr">
        <is>
          <t>{"tier":"high","seconds":20}</t>
        </is>
      </c>
    </row>
    <row r="7">
      <c r="A7" t="inlineStr">
        <is>
          <t>daedalus/0/1</t>
        </is>
      </c>
      <c r="B7" t="inlineStr">
        <is>
          <t>daedalus/0</t>
        </is>
      </c>
      <c r="C7" t="n">
        <v>1</v>
      </c>
      <c r="D7" t="n">
        <v>14</v>
      </c>
      <c r="E7" t="inlineStr">
        <is>
          <t>low</t>
        </is>
      </c>
      <c r="F7" t="inlineStr">
        <is>
          <t>Assets/MachineBrigade/Resources/Data/balance.json: vehicles[160].tiers.schedule[0].steps[1]</t>
        </is>
      </c>
      <c r="G7" t="inlineStr">
        <is>
          <t>{"tier":"low","seconds":14}</t>
        </is>
      </c>
    </row>
    <row r="8">
      <c r="A8" t="inlineStr">
        <is>
          <t>daedalus/1/0</t>
        </is>
      </c>
      <c r="B8" t="inlineStr">
        <is>
          <t>daedalus/1</t>
        </is>
      </c>
      <c r="C8" t="n">
        <v>0</v>
      </c>
      <c r="D8" t="n">
        <v>14</v>
      </c>
      <c r="E8" t="inlineStr">
        <is>
          <t>high</t>
        </is>
      </c>
      <c r="F8" t="inlineStr">
        <is>
          <t>Assets/MachineBrigade/Resources/Data/balance.json: vehicles[160].tiers.schedule[1].steps[0]</t>
        </is>
      </c>
      <c r="G8" t="inlineStr">
        <is>
          <t>{"tier":"high","seconds":14}</t>
        </is>
      </c>
    </row>
    <row r="9">
      <c r="A9" t="inlineStr">
        <is>
          <t>daedalus/1/1</t>
        </is>
      </c>
      <c r="B9" t="inlineStr">
        <is>
          <t>daedalus/1</t>
        </is>
      </c>
      <c r="C9" t="n">
        <v>1</v>
      </c>
      <c r="D9" t="n">
        <v>20</v>
      </c>
      <c r="E9" t="inlineStr">
        <is>
          <t>low</t>
        </is>
      </c>
      <c r="F9" t="inlineStr">
        <is>
          <t>Assets/MachineBrigade/Resources/Data/balance.json: vehicles[160].tiers.schedule[1].steps[1]</t>
        </is>
      </c>
      <c r="G9" t="inlineStr">
        <is>
          <t>{"tier":"low","seconds":20}</t>
        </is>
      </c>
    </row>
    <row r="10">
      <c r="A10" t="inlineStr">
        <is>
          <t>daedalus/2/0</t>
        </is>
      </c>
      <c r="B10" t="inlineStr">
        <is>
          <t>daedalus/2</t>
        </is>
      </c>
      <c r="C10" t="n">
        <v>0</v>
      </c>
      <c r="D10" t="n">
        <v>60</v>
      </c>
      <c r="E10" t="inlineStr">
        <is>
          <t>low</t>
        </is>
      </c>
      <c r="F10" t="inlineStr">
        <is>
          <t>Assets/MachineBrigade/Resources/Data/balance.json: vehicles[160].tiers.schedule[2].steps[0]</t>
        </is>
      </c>
      <c r="G10" t="inlineStr">
        <is>
          <t>{"tier":"low","seconds":60}</t>
        </is>
      </c>
    </row>
    <row r="11">
      <c r="A11" t="inlineStr">
        <is>
          <t>hyperion/0/0</t>
        </is>
      </c>
      <c r="B11" t="inlineStr">
        <is>
          <t>hyperion/0</t>
        </is>
      </c>
      <c r="C11" t="n">
        <v>0</v>
      </c>
      <c r="D11" t="n">
        <v>60</v>
      </c>
      <c r="E11" t="inlineStr">
        <is>
          <t>high</t>
        </is>
      </c>
      <c r="F11" t="inlineStr">
        <is>
          <t>Assets/MachineBrigade/Resources/Data/balance.json: vehicles[173].tiers.schedule[0].steps[0]</t>
        </is>
      </c>
      <c r="G11" t="inlineStr">
        <is>
          <t>{"tier":"high","seconds":60}</t>
        </is>
      </c>
    </row>
    <row r="12">
      <c r="A12" t="inlineStr">
        <is>
          <t>hyperion/1/0</t>
        </is>
      </c>
      <c r="B12" t="inlineStr">
        <is>
          <t>hyperion/1</t>
        </is>
      </c>
      <c r="C12" t="n">
        <v>0</v>
      </c>
      <c r="D12" t="n">
        <v>60</v>
      </c>
      <c r="E12" t="inlineStr">
        <is>
          <t>high</t>
        </is>
      </c>
      <c r="F12" t="inlineStr">
        <is>
          <t>Assets/MachineBrigade/Resources/Data/balance.json: vehicles[173].tiers.schedule[1].steps[0]</t>
        </is>
      </c>
      <c r="G12" t="inlineStr">
        <is>
          <t>{"tier":"high","seconds":60}</t>
        </is>
      </c>
    </row>
    <row r="13">
      <c r="A13" t="inlineStr">
        <is>
          <t>hyperion/2/0</t>
        </is>
      </c>
      <c r="B13" t="inlineStr">
        <is>
          <t>hyperion/2</t>
        </is>
      </c>
      <c r="C13" t="n">
        <v>0</v>
      </c>
      <c r="D13" t="n">
        <v>60</v>
      </c>
      <c r="E13" t="inlineStr">
        <is>
          <t>high</t>
        </is>
      </c>
      <c r="F13" t="inlineStr">
        <is>
          <t>Assets/MachineBrigade/Resources/Data/balance.json: vehicles[173].tiers.schedule[2].steps[0]</t>
        </is>
      </c>
      <c r="G13" t="inlineStr">
        <is>
          <t>{"tier":"high","seconds":60}</t>
        </is>
      </c>
    </row>
    <row r="14">
      <c r="A14" t="inlineStr">
        <is>
          <t>icarus_mk0/0/0</t>
        </is>
      </c>
      <c r="B14" t="inlineStr">
        <is>
          <t>icarus_mk0/0</t>
        </is>
      </c>
      <c r="C14" t="n">
        <v>0</v>
      </c>
      <c r="D14" t="n">
        <v>18</v>
      </c>
      <c r="E14" t="inlineStr">
        <is>
          <t>high</t>
        </is>
      </c>
      <c r="F14" t="inlineStr">
        <is>
          <t>Assets/MachineBrigade/Resources/Data/balance.json: vehicles[168].tiers.schedule[0].steps[0]</t>
        </is>
      </c>
      <c r="G14" t="inlineStr">
        <is>
          <t>{"tier":"high","seconds":18}</t>
        </is>
      </c>
    </row>
    <row r="15">
      <c r="A15" t="inlineStr">
        <is>
          <t>icarus_mk0/0/1</t>
        </is>
      </c>
      <c r="B15" t="inlineStr">
        <is>
          <t>icarus_mk0/0</t>
        </is>
      </c>
      <c r="C15" t="n">
        <v>1</v>
      </c>
      <c r="D15" t="n">
        <v>12</v>
      </c>
      <c r="E15" t="inlineStr">
        <is>
          <t>low</t>
        </is>
      </c>
      <c r="F15" t="inlineStr">
        <is>
          <t>Assets/MachineBrigade/Resources/Data/balance.json: vehicles[168].tiers.schedule[0].steps[1]</t>
        </is>
      </c>
      <c r="G15" t="inlineStr">
        <is>
          <t>{"tier":"low","seconds":12}</t>
        </is>
      </c>
    </row>
    <row r="16">
      <c r="A16" t="inlineStr">
        <is>
          <t>icarus_mk0/1/0</t>
        </is>
      </c>
      <c r="B16" t="inlineStr">
        <is>
          <t>icarus_mk0/1</t>
        </is>
      </c>
      <c r="C16" t="n">
        <v>0</v>
      </c>
      <c r="D16" t="n">
        <v>12</v>
      </c>
      <c r="E16" t="inlineStr">
        <is>
          <t>high</t>
        </is>
      </c>
      <c r="F16" t="inlineStr">
        <is>
          <t>Assets/MachineBrigade/Resources/Data/balance.json: vehicles[168].tiers.schedule[1].steps[0]</t>
        </is>
      </c>
      <c r="G16" t="inlineStr">
        <is>
          <t>{"tier":"high","seconds":12}</t>
        </is>
      </c>
    </row>
    <row r="17">
      <c r="A17" t="inlineStr">
        <is>
          <t>icarus_mk0/1/1</t>
        </is>
      </c>
      <c r="B17" t="inlineStr">
        <is>
          <t>icarus_mk0/1</t>
        </is>
      </c>
      <c r="C17" t="n">
        <v>1</v>
      </c>
      <c r="D17" t="n">
        <v>18</v>
      </c>
      <c r="E17" t="inlineStr">
        <is>
          <t>low</t>
        </is>
      </c>
      <c r="F17" t="inlineStr">
        <is>
          <t>Assets/MachineBrigade/Resources/Data/balance.json: vehicles[168].tiers.schedule[1].steps[1]</t>
        </is>
      </c>
      <c r="G17" t="inlineStr">
        <is>
          <t>{"tier":"low","seconds":18}</t>
        </is>
      </c>
    </row>
    <row r="18">
      <c r="A18" t="inlineStr">
        <is>
          <t>silver_bug/0/0</t>
        </is>
      </c>
      <c r="B18" t="inlineStr">
        <is>
          <t>silver_bug/0</t>
        </is>
      </c>
      <c r="C18" t="n">
        <v>0</v>
      </c>
      <c r="D18" t="n">
        <v>25</v>
      </c>
      <c r="E18" t="inlineStr">
        <is>
          <t>high</t>
        </is>
      </c>
      <c r="F18" t="inlineStr">
        <is>
          <t>Assets/MachineBrigade/Resources/Data/balance.json: vehicles[144].tiers.schedule[0].steps[0]</t>
        </is>
      </c>
      <c r="G18" t="inlineStr">
        <is>
          <t>{"tier":"high","seconds":25}</t>
        </is>
      </c>
    </row>
    <row r="19">
      <c r="A19" t="inlineStr">
        <is>
          <t>silver_bug/0/1</t>
        </is>
      </c>
      <c r="B19" t="inlineStr">
        <is>
          <t>silver_bug/0</t>
        </is>
      </c>
      <c r="C19" t="n">
        <v>1</v>
      </c>
      <c r="D19" t="n">
        <v>10</v>
      </c>
      <c r="E19" t="inlineStr">
        <is>
          <t>low</t>
        </is>
      </c>
      <c r="F19" t="inlineStr">
        <is>
          <t>Assets/MachineBrigade/Resources/Data/balance.json: vehicles[144].tiers.schedule[0].steps[1]</t>
        </is>
      </c>
      <c r="G19" t="inlineStr">
        <is>
          <t>{"tier":"low","seconds":10}</t>
        </is>
      </c>
    </row>
    <row r="20">
      <c r="A20" t="inlineStr">
        <is>
          <t>silver_bug/1/0</t>
        </is>
      </c>
      <c r="B20" t="inlineStr">
        <is>
          <t>silver_bug/1</t>
        </is>
      </c>
      <c r="C20" t="n">
        <v>0</v>
      </c>
      <c r="D20" t="n">
        <v>15</v>
      </c>
      <c r="E20" t="inlineStr">
        <is>
          <t>high</t>
        </is>
      </c>
      <c r="F20" t="inlineStr">
        <is>
          <t>Assets/MachineBrigade/Resources/Data/balance.json: vehicles[144].tiers.schedule[1].steps[0]</t>
        </is>
      </c>
      <c r="G20" t="inlineStr">
        <is>
          <t>{"tier":"high","seconds":15}</t>
        </is>
      </c>
    </row>
    <row r="21">
      <c r="A21" t="inlineStr">
        <is>
          <t>silver_bug/1/1</t>
        </is>
      </c>
      <c r="B21" t="inlineStr">
        <is>
          <t>silver_bug/1</t>
        </is>
      </c>
      <c r="C21" t="n">
        <v>1</v>
      </c>
      <c r="D21" t="n">
        <v>20</v>
      </c>
      <c r="E21" t="inlineStr">
        <is>
          <t>low</t>
        </is>
      </c>
      <c r="F21" t="inlineStr">
        <is>
          <t>Assets/MachineBrigade/Resources/Data/balance.json: vehicles[144].tiers.schedule[1].steps[1]</t>
        </is>
      </c>
      <c r="G21" t="inlineStr">
        <is>
          <t>{"tier":"low","seconds":20}</t>
        </is>
      </c>
    </row>
    <row r="22">
      <c r="A22" t="inlineStr">
        <is>
          <t>theia/0/0</t>
        </is>
      </c>
      <c r="B22" t="inlineStr">
        <is>
          <t>theia/0</t>
        </is>
      </c>
      <c r="C22" t="n">
        <v>0</v>
      </c>
      <c r="D22" t="n">
        <v>20</v>
      </c>
      <c r="E22" t="inlineStr">
        <is>
          <t>high</t>
        </is>
      </c>
      <c r="F22" t="inlineStr">
        <is>
          <t>Assets/MachineBrigade/Resources/Data/balance.json: vehicles[174].tiers.schedule[0].steps[0]</t>
        </is>
      </c>
      <c r="G22" t="inlineStr">
        <is>
          <t>{"tier":"high","seconds":20}</t>
        </is>
      </c>
    </row>
    <row r="23">
      <c r="A23" t="inlineStr">
        <is>
          <t>theia/0/1</t>
        </is>
      </c>
      <c r="B23" t="inlineStr">
        <is>
          <t>theia/0</t>
        </is>
      </c>
      <c r="C23" t="n">
        <v>1</v>
      </c>
      <c r="D23" t="n">
        <v>12</v>
      </c>
      <c r="E23" t="inlineStr">
        <is>
          <t>low</t>
        </is>
      </c>
      <c r="F23" t="inlineStr">
        <is>
          <t>Assets/MachineBrigade/Resources/Data/balance.json: vehicles[174].tiers.schedule[0].steps[1]</t>
        </is>
      </c>
      <c r="G23" t="inlineStr">
        <is>
          <t>{"tier":"low","seconds":12}</t>
        </is>
      </c>
    </row>
    <row r="24">
      <c r="A24" t="inlineStr">
        <is>
          <t>theia/1/0</t>
        </is>
      </c>
      <c r="B24" t="inlineStr">
        <is>
          <t>theia/1</t>
        </is>
      </c>
      <c r="C24" t="n">
        <v>0</v>
      </c>
      <c r="D24" t="n">
        <v>14</v>
      </c>
      <c r="E24" t="inlineStr">
        <is>
          <t>high</t>
        </is>
      </c>
      <c r="F24" t="inlineStr">
        <is>
          <t>Assets/MachineBrigade/Resources/Data/balance.json: vehicles[174].tiers.schedule[1].steps[0]</t>
        </is>
      </c>
      <c r="G24" t="inlineStr">
        <is>
          <t>{"tier":"high","seconds":14}</t>
        </is>
      </c>
    </row>
    <row r="25">
      <c r="A25" t="inlineStr">
        <is>
          <t>theia/1/1</t>
        </is>
      </c>
      <c r="B25" t="inlineStr">
        <is>
          <t>theia/1</t>
        </is>
      </c>
      <c r="C25" t="n">
        <v>1</v>
      </c>
      <c r="D25" t="n">
        <v>16</v>
      </c>
      <c r="E25" t="inlineStr">
        <is>
          <t>low</t>
        </is>
      </c>
      <c r="F25" t="inlineStr">
        <is>
          <t>Assets/MachineBrigade/Resources/Data/balance.json: vehicles[174].tiers.schedule[1].steps[1]</t>
        </is>
      </c>
      <c r="G25" t="inlineStr">
        <is>
          <t>{"tier":"low","seconds":16}</t>
        </is>
      </c>
    </row>
  </sheetData>
  <autoFilter ref="A1:G25"/>
  <pageMargins left="0.75" right="0.75" top="1" bottom="1" header="0.5" footer="0.5"/>
</worksheet>
</file>

<file path=xl/worksheets/sheet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8" customWidth="1" min="4" max="4"/>
    <col width="22" customWidth="1" min="5" max="5"/>
    <col width="60" customWidth="1" min="6" max="6"/>
    <col width="48" customWidth="1" min="7" max="7"/>
  </cols>
  <sheetData>
    <row r="1">
      <c r="A1" s="1" t="inlineStr">
        <is>
          <t>id</t>
        </is>
      </c>
      <c r="B1" s="1" t="inlineStr">
        <is>
          <t>boss_id</t>
        </is>
      </c>
      <c r="C1" s="1" t="inlineStr">
        <is>
          <t>thu_tu</t>
        </is>
      </c>
      <c r="D1" s="1" t="inlineStr">
        <is>
          <t>phase</t>
        </is>
      </c>
      <c r="E1" s="1" t="inlineStr">
        <is>
          <t>units</t>
        </is>
      </c>
      <c r="F1" s="1" t="inlineStr">
        <is>
          <t>nguon</t>
        </is>
      </c>
      <c r="G1" s="1" t="inlineStr">
        <is>
          <t>raw_json</t>
        </is>
      </c>
    </row>
    <row r="2">
      <c r="A2" t="inlineStr">
        <is>
          <t>leviathan/0</t>
        </is>
      </c>
      <c r="B2" t="inlineStr">
        <is>
          <t>leviathan</t>
        </is>
      </c>
      <c r="C2" t="n">
        <v>0</v>
      </c>
      <c r="D2" t="n">
        <v>1</v>
      </c>
      <c r="E2" t="inlineStr">
        <is>
          <t>attack_jet;attack_jet</t>
        </is>
      </c>
      <c r="F2" t="inlineStr">
        <is>
          <t>Assets/MachineBrigade/Resources/Data/balance.json: vehicles[153].air[0]</t>
        </is>
      </c>
      <c r="G2" t="inlineStr">
        <is>
          <t>{"phase":1,"units":["attack_jet","attack_jet"]}</t>
        </is>
      </c>
    </row>
  </sheetData>
  <autoFilter ref="A1:G2"/>
  <pageMargins left="0.75" right="0.75" top="1" bottom="1" header="0.5" footer="0.5"/>
</worksheet>
</file>

<file path=xl/worksheets/sheet1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11" customWidth="1" min="3" max="3"/>
    <col width="37" customWidth="1" min="4" max="4"/>
    <col width="8" customWidth="1" min="5" max="5"/>
    <col width="8" customWidth="1" min="6" max="6"/>
    <col width="15" customWidth="1" min="7" max="7"/>
    <col width="9" customWidth="1" min="8" max="8"/>
    <col width="21" customWidth="1" min="9" max="9"/>
    <col width="17" customWidth="1" min="10" max="10"/>
    <col width="8" customWidth="1" min="11" max="11"/>
    <col width="17" customWidth="1" min="12" max="12"/>
    <col width="19" customWidth="1" min="13" max="13"/>
    <col width="60" customWidth="1" min="14" max="14"/>
    <col width="16" customWidth="1" min="15" max="15"/>
    <col width="30" customWidth="1" min="16" max="16"/>
    <col width="16" customWidth="1" min="17" max="17"/>
    <col width="22" customWidth="1" min="18" max="18"/>
    <col width="60" customWidth="1" min="19" max="19"/>
    <col width="19" customWidth="1" min="20" max="20"/>
    <col width="60" customWidth="1" min="21" max="21"/>
    <col width="10" customWidth="1" min="22" max="22"/>
  </cols>
  <sheetData>
    <row r="1">
      <c r="A1" s="1" t="inlineStr">
        <is>
          <t>id</t>
        </is>
      </c>
      <c r="B1" s="1" t="inlineStr">
        <is>
          <t>boss_id</t>
        </is>
      </c>
      <c r="C1" s="1" t="inlineStr">
        <is>
          <t>chi_so_be</t>
        </is>
      </c>
      <c r="D1" s="1" t="inlineStr">
        <is>
          <t>vu_khi</t>
        </is>
      </c>
      <c r="E1" s="1" t="inlineStr">
        <is>
          <t>slot</t>
        </is>
      </c>
      <c r="F1" s="1" t="inlineStr">
        <is>
          <t>aim</t>
        </is>
      </c>
      <c r="G1" s="1" t="inlineStr">
        <is>
          <t>bo_phan</t>
        </is>
      </c>
      <c r="H1" s="1" t="inlineStr">
        <is>
          <t>so_nong</t>
        </is>
      </c>
      <c r="I1" s="1" t="inlineStr">
        <is>
          <t>sat_thuong_moi_phat</t>
        </is>
      </c>
      <c r="J1" s="1" t="inlineStr">
        <is>
          <t>thoi_gian_nap_s</t>
        </is>
      </c>
      <c r="K1" s="1" t="inlineStr">
        <is>
          <t>loi_m</t>
        </is>
      </c>
      <c r="L1" s="1" t="inlineStr">
        <is>
          <t>ria_tren_boss_m</t>
        </is>
      </c>
      <c r="M1" s="1" t="inlineStr">
        <is>
          <t>canh_bao_s</t>
        </is>
      </c>
      <c r="N1" s="1" t="inlineStr">
        <is>
          <t>chu_ky_day_du_s</t>
        </is>
      </c>
      <c r="O1" s="1" t="inlineStr">
        <is>
          <t>so_voi_ban_goc</t>
        </is>
      </c>
      <c r="P1" s="1" t="inlineStr">
        <is>
          <t>vu_khi_truoc</t>
        </is>
      </c>
      <c r="Q1" s="1" t="inlineStr">
        <is>
          <t>vu_khi_sau</t>
        </is>
      </c>
      <c r="R1" s="1" t="inlineStr">
        <is>
          <t>chu_ky_day_du_s_game</t>
        </is>
      </c>
      <c r="S1" s="1" t="inlineStr">
        <is>
          <t>dps_duy_tri</t>
        </is>
      </c>
      <c r="T1" s="1" t="inlineStr">
        <is>
          <t>dps_duy_tri_game</t>
        </is>
      </c>
      <c r="U1" s="1" t="inlineStr">
        <is>
          <t>nguon</t>
        </is>
      </c>
      <c r="V1" s="1" t="inlineStr">
        <is>
          <t>raw_json</t>
        </is>
      </c>
    </row>
    <row r="2">
      <c r="A2" t="inlineStr">
        <is>
          <t>argus/0</t>
        </is>
      </c>
      <c r="B2" t="inlineStr">
        <is>
          <t>argus</t>
        </is>
      </c>
      <c r="C2" t="n">
        <v>0</v>
      </c>
      <c r="D2" t="inlineStr">
        <is>
          <t>p26_roc_main_roc_bombs</t>
        </is>
      </c>
      <c r="E2" t="inlineStr">
        <is>
          <t>gun</t>
        </is>
      </c>
      <c r="F2" t="inlineStr">
        <is>
          <t>Free</t>
        </is>
      </c>
      <c r="G2" t="inlineStr"/>
      <c r="H2" t="n">
        <v>1</v>
      </c>
      <c r="I2" t="n">
        <v>700</v>
      </c>
      <c r="J2" t="n">
        <v>33.34</v>
      </c>
      <c r="K2" t="n">
        <v>10</v>
      </c>
      <c r="L2" t="n">
        <v>20</v>
      </c>
      <c r="M2" t="n">
        <v>2.722222222222222</v>
      </c>
      <c r="N2">
        <f>INDEX(boss_input_vu_khi_suy_ra!$C$2:$C$94,MATCH($D$2,boss_input_vu_khi_suy_ra!$A$2:$A$94,0))</f>
        <v/>
      </c>
      <c r="O2" t="inlineStr">
        <is>
          <t>giong</t>
        </is>
      </c>
      <c r="R2" t="n">
        <v>35.44</v>
      </c>
      <c r="S2">
        <f>IF($D$2="",0,INDEX(boss_input_vu_khi_suy_ra!$B$2:$B$94,MATCH($D$2,boss_input_vu_khi_suy_ra!$A$2:$A$94,0))*IF(INDEX(boss_input_vu_khi!$D$2:$D$94,MATCH($D$2,boss_input_vu_khi!$A$2:$A$94,0)),1,Boss_dps!$B$2)*Boss_dps!$C$2)</f>
        <v/>
      </c>
      <c r="T2" t="n">
        <v>407.1136794582392</v>
      </c>
      <c r="U2" t="inlineStr">
        <is>
          <t>Assets/MachineBrigade/Resources/Data/balance.json: vehicles[id=argus] dựng bởi Tools/balance/p26_ab.expand</t>
        </is>
      </c>
      <c r="V2" t="inlineStr"/>
    </row>
    <row r="3">
      <c r="A3" t="inlineStr">
        <is>
          <t>argus/1</t>
        </is>
      </c>
      <c r="B3" t="inlineStr">
        <is>
          <t>argus</t>
        </is>
      </c>
      <c r="C3" t="n">
        <v>1</v>
      </c>
      <c r="D3" t="inlineStr">
        <is>
          <t>p26_roc_main_roc_bombs</t>
        </is>
      </c>
      <c r="E3" t="inlineStr">
        <is>
          <t>gun</t>
        </is>
      </c>
      <c r="F3" t="inlineStr">
        <is>
          <t>Free</t>
        </is>
      </c>
      <c r="G3" t="inlineStr"/>
      <c r="H3" t="n">
        <v>1</v>
      </c>
      <c r="I3" t="n">
        <v>700</v>
      </c>
      <c r="J3" t="n">
        <v>33.34</v>
      </c>
      <c r="K3" t="n">
        <v>10</v>
      </c>
      <c r="L3" t="n">
        <v>20</v>
      </c>
      <c r="M3" t="n">
        <v>2.722222222222222</v>
      </c>
      <c r="N3">
        <f>INDEX(boss_input_vu_khi_suy_ra!$C$2:$C$94,MATCH($D$3,boss_input_vu_khi_suy_ra!$A$2:$A$94,0))</f>
        <v/>
      </c>
      <c r="O3" t="inlineStr">
        <is>
          <t>giong</t>
        </is>
      </c>
      <c r="R3" t="n">
        <v>35.44</v>
      </c>
      <c r="S3">
        <f>IF($D$3="",0,INDEX(boss_input_vu_khi_suy_ra!$B$2:$B$94,MATCH($D$3,boss_input_vu_khi_suy_ra!$A$2:$A$94,0))*IF(INDEX(boss_input_vu_khi!$D$2:$D$94,MATCH($D$3,boss_input_vu_khi!$A$2:$A$94,0)),1,Boss_dps!$B$2)*Boss_dps!$C$2)</f>
        <v/>
      </c>
      <c r="T3" t="n">
        <v>407.1136794582392</v>
      </c>
      <c r="U3" t="inlineStr">
        <is>
          <t>Assets/MachineBrigade/Resources/Data/balance.json: vehicles[id=argus] dựng bởi Tools/balance/p26_ab.expand</t>
        </is>
      </c>
      <c r="V3" t="inlineStr"/>
    </row>
    <row r="4">
      <c r="A4" t="inlineStr">
        <is>
          <t>armored_train/0</t>
        </is>
      </c>
      <c r="B4" t="inlineStr">
        <is>
          <t>armored_train</t>
        </is>
      </c>
      <c r="C4" t="n">
        <v>0</v>
      </c>
      <c r="D4" t="inlineStr">
        <is>
          <t>train_gun</t>
        </is>
      </c>
      <c r="E4" t="inlineStr">
        <is>
          <t>main</t>
        </is>
      </c>
      <c r="F4" t="inlineStr"/>
      <c r="G4" t="inlineStr">
        <is>
          <t>gun_car_front</t>
        </is>
      </c>
      <c r="H4" t="n">
        <v>1</v>
      </c>
      <c r="I4" t="n">
        <v>600</v>
      </c>
      <c r="J4" t="n">
        <v>8</v>
      </c>
      <c r="K4" t="n">
        <v>2.5</v>
      </c>
      <c r="L4" t="n">
        <v>5</v>
      </c>
      <c r="M4" t="n">
        <v>0</v>
      </c>
      <c r="N4">
        <f>INDEX(boss_input_vu_khi_suy_ra!$C$2:$C$94,MATCH($D$4,boss_input_vu_khi_suy_ra!$A$2:$A$94,0))</f>
        <v/>
      </c>
      <c r="O4" t="inlineStr">
        <is>
          <t>giong</t>
        </is>
      </c>
      <c r="R4" t="n">
        <v>8</v>
      </c>
      <c r="S4">
        <f>IF($D$4="",0,INDEX(boss_input_vu_khi_suy_ra!$B$2:$B$94,MATCH($D$4,boss_input_vu_khi_suy_ra!$A$2:$A$94,0))*IF(INDEX(boss_input_vu_khi!$D$2:$D$94,MATCH($D$4,boss_input_vu_khi!$A$2:$A$94,0)),1,Boss_dps!$B$3)*Boss_dps!$C$3)</f>
        <v/>
      </c>
      <c r="T4" t="n">
        <v>115.9876575</v>
      </c>
      <c r="U4" t="inlineStr">
        <is>
          <t>Assets/MachineBrigade/Resources/Data/balance.json: vehicles[id=armored_train] dựng bởi Tools/balance/p26_ab.expand</t>
        </is>
      </c>
      <c r="V4" t="inlineStr"/>
    </row>
    <row r="5">
      <c r="A5" t="inlineStr">
        <is>
          <t>armored_train/1</t>
        </is>
      </c>
      <c r="B5" t="inlineStr">
        <is>
          <t>armored_train</t>
        </is>
      </c>
      <c r="C5" t="n">
        <v>1</v>
      </c>
      <c r="D5" t="inlineStr">
        <is>
          <t>pt14_train_grad</t>
        </is>
      </c>
      <c r="E5" t="inlineStr">
        <is>
          <t>rocket</t>
        </is>
      </c>
      <c r="F5" t="inlineStr">
        <is>
          <t>Free</t>
        </is>
      </c>
      <c r="G5" t="inlineStr">
        <is>
          <t>rocket_car</t>
        </is>
      </c>
      <c r="H5" t="n">
        <v>1</v>
      </c>
      <c r="I5" t="n">
        <v>200</v>
      </c>
      <c r="J5" t="n">
        <v>2.44</v>
      </c>
      <c r="K5" t="n">
        <v>4.5</v>
      </c>
      <c r="L5" t="n">
        <v>9</v>
      </c>
      <c r="M5" t="n">
        <v>0</v>
      </c>
      <c r="N5">
        <f>INDEX(boss_input_vu_khi_suy_ra!$C$2:$C$94,MATCH($D$5,boss_input_vu_khi_suy_ra!$A$2:$A$94,0))</f>
        <v/>
      </c>
      <c r="O5" t="inlineStr">
        <is>
          <t>doi</t>
        </is>
      </c>
      <c r="P5" t="inlineStr">
        <is>
          <t>boss_rockets</t>
        </is>
      </c>
      <c r="Q5" t="inlineStr">
        <is>
          <t>pt14_train_grad</t>
        </is>
      </c>
      <c r="R5" t="n">
        <v>8.44</v>
      </c>
      <c r="S5">
        <f>IF($D$5="",0,INDEX(boss_input_vu_khi_suy_ra!$B$2:$B$94,MATCH($D$5,boss_input_vu_khi_suy_ra!$A$2:$A$94,0))*IF(INDEX(boss_input_vu_khi!$D$2:$D$94,MATCH($D$5,boss_input_vu_khi!$A$2:$A$94,0)),1,Boss_dps!$B$3)*Boss_dps!$C$3)</f>
        <v/>
      </c>
      <c r="T5" t="n">
        <v>476.4105995260664</v>
      </c>
      <c r="U5" t="inlineStr">
        <is>
          <t>Assets/MachineBrigade/Resources/Data/balance.json: vehicles[id=armored_train] dựng bởi Tools/balance/p26_ab.expand</t>
        </is>
      </c>
      <c r="V5" t="inlineStr"/>
    </row>
    <row r="6">
      <c r="A6" t="inlineStr">
        <is>
          <t>armored_train/2</t>
        </is>
      </c>
      <c r="B6" t="inlineStr">
        <is>
          <t>armored_train</t>
        </is>
      </c>
      <c r="C6" t="n">
        <v>2</v>
      </c>
      <c r="D6" t="inlineStr">
        <is>
          <t>boss_hmg</t>
        </is>
      </c>
      <c r="E6" t="inlineStr">
        <is>
          <t>mg</t>
        </is>
      </c>
      <c r="F6" t="inlineStr">
        <is>
          <t>Free</t>
        </is>
      </c>
      <c r="G6" t="inlineStr"/>
      <c r="H6" t="n">
        <v>1</v>
      </c>
      <c r="I6" t="n">
        <v>15</v>
      </c>
      <c r="J6" t="n">
        <v>0.0833</v>
      </c>
      <c r="K6" t="n">
        <v>0</v>
      </c>
      <c r="L6" t="n">
        <v>0</v>
      </c>
      <c r="M6" t="n">
        <v>0</v>
      </c>
      <c r="N6">
        <f>INDEX(boss_input_vu_khi_suy_ra!$C$2:$C$94,MATCH($D$6,boss_input_vu_khi_suy_ra!$A$2:$A$94,0))</f>
        <v/>
      </c>
      <c r="O6" t="inlineStr">
        <is>
          <t>giong</t>
        </is>
      </c>
      <c r="R6" t="n">
        <v>13.2467</v>
      </c>
      <c r="S6">
        <f>IF($D$6="",0,INDEX(boss_input_vu_khi_suy_ra!$B$2:$B$94,MATCH($D$6,boss_input_vu_khi_suy_ra!$A$2:$A$94,0))*IF(INDEX(boss_input_vu_khi!$D$2:$D$94,MATCH($D$6,boss_input_vu_khi!$A$2:$A$94,0)),1,Boss_dps!$B$3)*Boss_dps!$C$3)</f>
        <v/>
      </c>
      <c r="T6" t="n">
        <v>175.1193240580673</v>
      </c>
      <c r="U6" t="inlineStr">
        <is>
          <t>Assets/MachineBrigade/Resources/Data/balance.json: vehicles[id=armored_train] dựng bởi Tools/balance/p26_ab.expand</t>
        </is>
      </c>
      <c r="V6" t="inlineStr"/>
    </row>
    <row r="7">
      <c r="A7" t="inlineStr">
        <is>
          <t>armored_train/3</t>
        </is>
      </c>
      <c r="B7" t="inlineStr">
        <is>
          <t>armored_train</t>
        </is>
      </c>
      <c r="C7" t="n">
        <v>3</v>
      </c>
      <c r="D7" t="inlineStr">
        <is>
          <t>boss_flak</t>
        </is>
      </c>
      <c r="E7" t="inlineStr">
        <is>
          <t>mg</t>
        </is>
      </c>
      <c r="F7" t="inlineStr">
        <is>
          <t>Free</t>
        </is>
      </c>
      <c r="G7" t="inlineStr">
        <is>
          <t>flak_car</t>
        </is>
      </c>
      <c r="H7" t="n">
        <v>1</v>
      </c>
      <c r="I7" t="n">
        <v>25</v>
      </c>
      <c r="J7" t="n">
        <v>0.05</v>
      </c>
      <c r="K7" t="n">
        <v>2.5</v>
      </c>
      <c r="L7" t="n">
        <v>0</v>
      </c>
      <c r="M7" t="n">
        <v>0</v>
      </c>
      <c r="N7">
        <f>INDEX(boss_input_vu_khi_suy_ra!$C$2:$C$94,MATCH($D$7,boss_input_vu_khi_suy_ra!$A$2:$A$94,0))</f>
        <v/>
      </c>
      <c r="O7" t="inlineStr">
        <is>
          <t>giong</t>
        </is>
      </c>
      <c r="R7" t="n">
        <v>5.38</v>
      </c>
      <c r="S7">
        <f>IF($D$7="",0,INDEX(boss_input_vu_khi_suy_ra!$B$2:$B$94,MATCH($D$7,boss_input_vu_khi_suy_ra!$A$2:$A$94,0))*IF(INDEX(boss_input_vu_khi!$D$2:$D$94,MATCH($D$7,boss_input_vu_khi!$A$2:$A$94,0)),1,Boss_dps!$B$3)*Boss_dps!$C$3)</f>
        <v/>
      </c>
      <c r="T7" t="n">
        <v>294.6402699814126</v>
      </c>
      <c r="U7" t="inlineStr">
        <is>
          <t>Assets/MachineBrigade/Resources/Data/balance.json: vehicles[id=armored_train] dựng bởi Tools/balance/p26_ab.expand</t>
        </is>
      </c>
      <c r="V7" t="inlineStr"/>
    </row>
    <row r="8">
      <c r="A8" t="inlineStr">
        <is>
          <t>armored_train/4</t>
        </is>
      </c>
      <c r="B8" t="inlineStr">
        <is>
          <t>armored_train</t>
        </is>
      </c>
      <c r="C8" t="n">
        <v>4</v>
      </c>
      <c r="D8" t="inlineStr">
        <is>
          <t>train_gun</t>
        </is>
      </c>
      <c r="E8" t="inlineStr">
        <is>
          <t>main</t>
        </is>
      </c>
      <c r="F8" t="inlineStr">
        <is>
          <t>Free</t>
        </is>
      </c>
      <c r="G8" t="inlineStr">
        <is>
          <t>gun_car_rear</t>
        </is>
      </c>
      <c r="H8" t="n">
        <v>1</v>
      </c>
      <c r="I8" t="n">
        <v>600</v>
      </c>
      <c r="J8" t="n">
        <v>8</v>
      </c>
      <c r="K8" t="n">
        <v>2.5</v>
      </c>
      <c r="L8" t="n">
        <v>5</v>
      </c>
      <c r="M8" t="n">
        <v>0</v>
      </c>
      <c r="N8">
        <f>INDEX(boss_input_vu_khi_suy_ra!$C$2:$C$94,MATCH($D$8,boss_input_vu_khi_suy_ra!$A$2:$A$94,0))</f>
        <v/>
      </c>
      <c r="O8" t="inlineStr">
        <is>
          <t>giong</t>
        </is>
      </c>
      <c r="R8" t="n">
        <v>8</v>
      </c>
      <c r="S8">
        <f>IF($D$8="",0,INDEX(boss_input_vu_khi_suy_ra!$B$2:$B$94,MATCH($D$8,boss_input_vu_khi_suy_ra!$A$2:$A$94,0))*IF(INDEX(boss_input_vu_khi!$D$2:$D$94,MATCH($D$8,boss_input_vu_khi!$A$2:$A$94,0)),1,Boss_dps!$B$3)*Boss_dps!$C$3)</f>
        <v/>
      </c>
      <c r="T8" t="n">
        <v>115.9876575</v>
      </c>
      <c r="U8" t="inlineStr">
        <is>
          <t>Assets/MachineBrigade/Resources/Data/balance.json: vehicles[id=armored_train] dựng bởi Tools/balance/p26_ab.expand</t>
        </is>
      </c>
      <c r="V8" t="inlineStr"/>
    </row>
    <row r="9">
      <c r="A9" t="inlineStr">
        <is>
          <t>armored_train/5</t>
        </is>
      </c>
      <c r="B9" t="inlineStr">
        <is>
          <t>armored_train</t>
        </is>
      </c>
      <c r="C9" t="n">
        <v>5</v>
      </c>
      <c r="D9" t="inlineStr">
        <is>
          <t>boss_flak</t>
        </is>
      </c>
      <c r="E9" t="inlineStr">
        <is>
          <t>mg</t>
        </is>
      </c>
      <c r="F9" t="inlineStr">
        <is>
          <t>Free</t>
        </is>
      </c>
      <c r="G9" t="inlineStr"/>
      <c r="H9" t="n">
        <v>1</v>
      </c>
      <c r="I9" t="n">
        <v>25</v>
      </c>
      <c r="J9" t="n">
        <v>0.05</v>
      </c>
      <c r="K9" t="n">
        <v>2.5</v>
      </c>
      <c r="L9" t="n">
        <v>0</v>
      </c>
      <c r="M9" t="n">
        <v>0</v>
      </c>
      <c r="N9">
        <f>INDEX(boss_input_vu_khi_suy_ra!$C$2:$C$94,MATCH($D$9,boss_input_vu_khi_suy_ra!$A$2:$A$94,0))</f>
        <v/>
      </c>
      <c r="O9" t="inlineStr">
        <is>
          <t>giong</t>
        </is>
      </c>
      <c r="R9" t="n">
        <v>5.38</v>
      </c>
      <c r="S9">
        <f>IF($D$9="",0,INDEX(boss_input_vu_khi_suy_ra!$B$2:$B$94,MATCH($D$9,boss_input_vu_khi_suy_ra!$A$2:$A$94,0))*IF(INDEX(boss_input_vu_khi!$D$2:$D$94,MATCH($D$9,boss_input_vu_khi!$A$2:$A$94,0)),1,Boss_dps!$B$3)*Boss_dps!$C$3)</f>
        <v/>
      </c>
      <c r="T9" t="n">
        <v>294.6402699814126</v>
      </c>
      <c r="U9" t="inlineStr">
        <is>
          <t>Assets/MachineBrigade/Resources/Data/balance.json: vehicles[id=armored_train] dựng bởi Tools/balance/p26_ab.expand</t>
        </is>
      </c>
      <c r="V9" t="inlineStr"/>
    </row>
    <row r="10">
      <c r="A10" t="inlineStr">
        <is>
          <t>bastion_mk0/0</t>
        </is>
      </c>
      <c r="B10" t="inlineStr">
        <is>
          <t>bastion_mk0</t>
        </is>
      </c>
      <c r="C10" t="n">
        <v>0</v>
      </c>
      <c r="D10" t="inlineStr">
        <is>
          <t>p26_bastion_sec_b240</t>
        </is>
      </c>
      <c r="E10" t="inlineStr">
        <is>
          <t>main</t>
        </is>
      </c>
      <c r="F10" t="inlineStr"/>
      <c r="G10" t="inlineStr">
        <is>
          <t>mortar</t>
        </is>
      </c>
      <c r="H10" t="n">
        <v>1</v>
      </c>
      <c r="I10" t="n">
        <v>1100</v>
      </c>
      <c r="J10" t="n">
        <v>60</v>
      </c>
      <c r="K10" t="n">
        <v>10</v>
      </c>
      <c r="L10" t="n">
        <v>20</v>
      </c>
      <c r="M10" t="n">
        <v>2.722222222222222</v>
      </c>
      <c r="N10">
        <f>INDEX(boss_input_vu_khi_suy_ra!$C$2:$C$94,MATCH($D$10,boss_input_vu_khi_suy_ra!$A$2:$A$94,0))</f>
        <v/>
      </c>
      <c r="O10" t="inlineStr">
        <is>
          <t>giong</t>
        </is>
      </c>
      <c r="R10" t="n">
        <v>60</v>
      </c>
      <c r="S10">
        <f>IF($D$10="",0,INDEX(boss_input_vu_khi_suy_ra!$B$2:$B$94,MATCH($D$10,boss_input_vu_khi_suy_ra!$A$2:$A$94,0))*IF(INDEX(boss_input_vu_khi!$D$2:$D$94,MATCH($D$10,boss_input_vu_khi!$A$2:$A$94,0)),1,Boss_dps!$B$4)*Boss_dps!$C$4)</f>
        <v/>
      </c>
      <c r="T10" t="n">
        <v>40.71664666666666</v>
      </c>
      <c r="U10" t="inlineStr">
        <is>
          <t>Assets/MachineBrigade/Resources/Data/balance.json: vehicles[id=bastion_mk0] dựng bởi Tools/balance/p26_ab.expand</t>
        </is>
      </c>
      <c r="V10" t="inlineStr"/>
    </row>
    <row r="11">
      <c r="A11" t="inlineStr">
        <is>
          <t>bastion_mk0/1</t>
        </is>
      </c>
      <c r="B11" t="inlineStr">
        <is>
          <t>bastion_mk0</t>
        </is>
      </c>
      <c r="C11" t="n">
        <v>1</v>
      </c>
      <c r="D11" t="inlineStr">
        <is>
          <t>p26_bastion_direct_b100</t>
        </is>
      </c>
      <c r="E11" t="inlineStr">
        <is>
          <t>gun</t>
        </is>
      </c>
      <c r="F11" t="inlineStr">
        <is>
          <t>Free</t>
        </is>
      </c>
      <c r="G11" t="inlineStr">
        <is>
          <t>turret_fl</t>
        </is>
      </c>
      <c r="H11" t="n">
        <v>2</v>
      </c>
      <c r="I11" t="n">
        <v>240</v>
      </c>
      <c r="J11" t="n">
        <v>8.6</v>
      </c>
      <c r="K11" t="n">
        <v>0</v>
      </c>
      <c r="L11" t="n">
        <v>0</v>
      </c>
      <c r="M11" t="n">
        <v>0</v>
      </c>
      <c r="N11">
        <f>INDEX(boss_input_vu_khi_suy_ra!$C$2:$C$94,MATCH($D$11,boss_input_vu_khi_suy_ra!$A$2:$A$94,0))</f>
        <v/>
      </c>
      <c r="O11" t="inlineStr">
        <is>
          <t>giong</t>
        </is>
      </c>
      <c r="R11" t="n">
        <v>8.6</v>
      </c>
      <c r="S11">
        <f>IF($D$11="",0,INDEX(boss_input_vu_khi_suy_ra!$B$2:$B$94,MATCH($D$11,boss_input_vu_khi_suy_ra!$A$2:$A$94,0))*IF(INDEX(boss_input_vu_khi!$D$2:$D$94,MATCH($D$11,boss_input_vu_khi!$A$2:$A$94,0)),1,Boss_dps!$B$4)*Boss_dps!$C$4)</f>
        <v/>
      </c>
      <c r="T11" t="n">
        <v>123.9576558139535</v>
      </c>
      <c r="U11" t="inlineStr">
        <is>
          <t>Assets/MachineBrigade/Resources/Data/balance.json: vehicles[id=bastion_mk0] dựng bởi Tools/balance/p26_ab.expand</t>
        </is>
      </c>
      <c r="V11" t="inlineStr"/>
    </row>
    <row r="12">
      <c r="A12" t="inlineStr">
        <is>
          <t>bastion_mk0/2</t>
        </is>
      </c>
      <c r="B12" t="inlineStr">
        <is>
          <t>bastion_mk0</t>
        </is>
      </c>
      <c r="C12" t="n">
        <v>2</v>
      </c>
      <c r="D12" t="inlineStr">
        <is>
          <t>p26_bastion_direct_b100</t>
        </is>
      </c>
      <c r="E12" t="inlineStr">
        <is>
          <t>gun</t>
        </is>
      </c>
      <c r="F12" t="inlineStr">
        <is>
          <t>Free</t>
        </is>
      </c>
      <c r="G12" t="inlineStr">
        <is>
          <t>turret_fr</t>
        </is>
      </c>
      <c r="H12" t="n">
        <v>2</v>
      </c>
      <c r="I12" t="n">
        <v>240</v>
      </c>
      <c r="J12" t="n">
        <v>8.6</v>
      </c>
      <c r="K12" t="n">
        <v>0</v>
      </c>
      <c r="L12" t="n">
        <v>0</v>
      </c>
      <c r="M12" t="n">
        <v>0</v>
      </c>
      <c r="N12">
        <f>INDEX(boss_input_vu_khi_suy_ra!$C$2:$C$94,MATCH($D$12,boss_input_vu_khi_suy_ra!$A$2:$A$94,0))</f>
        <v/>
      </c>
      <c r="O12" t="inlineStr">
        <is>
          <t>giong</t>
        </is>
      </c>
      <c r="R12" t="n">
        <v>8.6</v>
      </c>
      <c r="S12">
        <f>IF($D$12="",0,INDEX(boss_input_vu_khi_suy_ra!$B$2:$B$94,MATCH($D$12,boss_input_vu_khi_suy_ra!$A$2:$A$94,0))*IF(INDEX(boss_input_vu_khi!$D$2:$D$94,MATCH($D$12,boss_input_vu_khi!$A$2:$A$94,0)),1,Boss_dps!$B$4)*Boss_dps!$C$4)</f>
        <v/>
      </c>
      <c r="T12" t="n">
        <v>123.9576558139535</v>
      </c>
      <c r="U12" t="inlineStr">
        <is>
          <t>Assets/MachineBrigade/Resources/Data/balance.json: vehicles[id=bastion_mk0] dựng bởi Tools/balance/p26_ab.expand</t>
        </is>
      </c>
      <c r="V12" t="inlineStr"/>
    </row>
    <row r="13">
      <c r="A13" t="inlineStr">
        <is>
          <t>behemoth/0</t>
        </is>
      </c>
      <c r="B13" t="inlineStr">
        <is>
          <t>behemoth</t>
        </is>
      </c>
      <c r="C13" t="n">
        <v>0</v>
      </c>
      <c r="D13" t="inlineStr">
        <is>
          <t>p26_behemoth_main_be152</t>
        </is>
      </c>
      <c r="E13" t="inlineStr">
        <is>
          <t>main</t>
        </is>
      </c>
      <c r="F13" t="inlineStr"/>
      <c r="G13" t="inlineStr">
        <is>
          <t>main_gun</t>
        </is>
      </c>
      <c r="H13" t="n">
        <v>2</v>
      </c>
      <c r="I13" t="n">
        <v>600</v>
      </c>
      <c r="J13" t="n">
        <v>8.98</v>
      </c>
      <c r="K13" t="n">
        <v>7</v>
      </c>
      <c r="L13" t="n">
        <v>14</v>
      </c>
      <c r="M13" t="n">
        <v>0</v>
      </c>
      <c r="N13">
        <f>INDEX(boss_input_vu_khi_suy_ra!$C$2:$C$94,MATCH($D$13,boss_input_vu_khi_suy_ra!$A$2:$A$94,0))</f>
        <v/>
      </c>
      <c r="O13" t="inlineStr">
        <is>
          <t>giong</t>
        </is>
      </c>
      <c r="R13" t="n">
        <v>8.98</v>
      </c>
      <c r="S13">
        <f>IF($D$13="",0,INDEX(boss_input_vu_khi_suy_ra!$B$2:$B$94,MATCH($D$13,boss_input_vu_khi_suy_ra!$A$2:$A$94,0))*IF(INDEX(boss_input_vu_khi!$D$2:$D$94,MATCH($D$13,boss_input_vu_khi!$A$2:$A$94,0)),1,Boss_dps!$B$5)*Boss_dps!$C$5)</f>
        <v/>
      </c>
      <c r="T13" t="n">
        <v>133.630289532294</v>
      </c>
      <c r="U13" t="inlineStr">
        <is>
          <t>Assets/MachineBrigade/Resources/Data/balance.json: vehicles[id=behemoth] dựng bởi Tools/balance/p26_ab.expand</t>
        </is>
      </c>
      <c r="V13" t="inlineStr"/>
    </row>
    <row r="14">
      <c r="A14" t="inlineStr">
        <is>
          <t>behemoth/1</t>
        </is>
      </c>
      <c r="B14" t="inlineStr">
        <is>
          <t>behemoth</t>
        </is>
      </c>
      <c r="C14" t="n">
        <v>1</v>
      </c>
      <c r="D14" t="inlineStr">
        <is>
          <t>p26_behemoth_tiny_be120</t>
        </is>
      </c>
      <c r="E14" t="inlineStr">
        <is>
          <t>gun</t>
        </is>
      </c>
      <c r="F14" t="inlineStr">
        <is>
          <t>Free</t>
        </is>
      </c>
      <c r="G14" t="inlineStr">
        <is>
          <t>gun_120</t>
        </is>
      </c>
      <c r="H14" t="n">
        <v>1</v>
      </c>
      <c r="I14" t="n">
        <v>260</v>
      </c>
      <c r="J14" t="n">
        <v>7.5</v>
      </c>
      <c r="K14" t="n">
        <v>0</v>
      </c>
      <c r="L14" t="n">
        <v>0</v>
      </c>
      <c r="M14" t="n">
        <v>0</v>
      </c>
      <c r="N14">
        <f>INDEX(boss_input_vu_khi_suy_ra!$C$2:$C$94,MATCH($D$14,boss_input_vu_khi_suy_ra!$A$2:$A$94,0))</f>
        <v/>
      </c>
      <c r="O14" t="inlineStr">
        <is>
          <t>giong</t>
        </is>
      </c>
      <c r="R14" t="n">
        <v>7.5</v>
      </c>
      <c r="S14">
        <f>IF($D$14="",0,INDEX(boss_input_vu_khi_suy_ra!$B$2:$B$94,MATCH($D$14,boss_input_vu_khi_suy_ra!$A$2:$A$94,0))*IF(INDEX(boss_input_vu_khi!$D$2:$D$94,MATCH($D$14,boss_input_vu_khi!$A$2:$A$94,0)),1,Boss_dps!$B$5)*Boss_dps!$C$5)</f>
        <v/>
      </c>
      <c r="T14" t="n">
        <v>34.66666666666666</v>
      </c>
      <c r="U14" t="inlineStr">
        <is>
          <t>Assets/MachineBrigade/Resources/Data/balance.json: vehicles[id=behemoth] dựng bởi Tools/balance/p26_ab.expand</t>
        </is>
      </c>
      <c r="V14" t="inlineStr"/>
    </row>
    <row r="15">
      <c r="A15" t="inlineStr">
        <is>
          <t>behemoth/2</t>
        </is>
      </c>
      <c r="B15" t="inlineStr">
        <is>
          <t>behemoth</t>
        </is>
      </c>
      <c r="C15" t="n">
        <v>2</v>
      </c>
      <c r="D15" t="inlineStr">
        <is>
          <t>p26_behemoth_close_boss_flak</t>
        </is>
      </c>
      <c r="E15" t="inlineStr">
        <is>
          <t>mg</t>
        </is>
      </c>
      <c r="F15" t="inlineStr">
        <is>
          <t>Free</t>
        </is>
      </c>
      <c r="G15" t="inlineStr">
        <is>
          <t>flak_r</t>
        </is>
      </c>
      <c r="H15" t="n">
        <v>1</v>
      </c>
      <c r="I15" t="n">
        <v>25</v>
      </c>
      <c r="J15" t="n">
        <v>0.05</v>
      </c>
      <c r="K15" t="n">
        <v>2.5</v>
      </c>
      <c r="L15" t="n">
        <v>0</v>
      </c>
      <c r="M15" t="n">
        <v>0</v>
      </c>
      <c r="N15">
        <f>INDEX(boss_input_vu_khi_suy_ra!$C$2:$C$94,MATCH($D$15,boss_input_vu_khi_suy_ra!$A$2:$A$94,0))</f>
        <v/>
      </c>
      <c r="O15" t="inlineStr">
        <is>
          <t>giong</t>
        </is>
      </c>
      <c r="R15" t="n">
        <v>5.38</v>
      </c>
      <c r="S15">
        <f>IF($D$15="",0,INDEX(boss_input_vu_khi_suy_ra!$B$2:$B$94,MATCH($D$15,boss_input_vu_khi_suy_ra!$A$2:$A$94,0))*IF(INDEX(boss_input_vu_khi!$D$2:$D$94,MATCH($D$15,boss_input_vu_khi!$A$2:$A$94,0)),1,Boss_dps!$B$5)*Boss_dps!$C$5)</f>
        <v/>
      </c>
      <c r="T15" t="n">
        <v>190.5204460966543</v>
      </c>
      <c r="U15" t="inlineStr">
        <is>
          <t>Assets/MachineBrigade/Resources/Data/balance.json: vehicles[id=behemoth] dựng bởi Tools/balance/p26_ab.expand</t>
        </is>
      </c>
      <c r="V15" t="inlineStr"/>
    </row>
    <row r="16">
      <c r="A16" t="inlineStr">
        <is>
          <t>behemoth/3</t>
        </is>
      </c>
      <c r="B16" t="inlineStr">
        <is>
          <t>behemoth</t>
        </is>
      </c>
      <c r="C16" t="n">
        <v>3</v>
      </c>
      <c r="D16" t="inlineStr">
        <is>
          <t>p26_behemoth_close_boss_flak</t>
        </is>
      </c>
      <c r="E16" t="inlineStr">
        <is>
          <t>mg</t>
        </is>
      </c>
      <c r="F16" t="inlineStr">
        <is>
          <t>Free</t>
        </is>
      </c>
      <c r="G16" t="inlineStr">
        <is>
          <t>flak_l</t>
        </is>
      </c>
      <c r="H16" t="n">
        <v>1</v>
      </c>
      <c r="I16" t="n">
        <v>25</v>
      </c>
      <c r="J16" t="n">
        <v>0.05</v>
      </c>
      <c r="K16" t="n">
        <v>2.5</v>
      </c>
      <c r="L16" t="n">
        <v>0</v>
      </c>
      <c r="M16" t="n">
        <v>0</v>
      </c>
      <c r="N16">
        <f>INDEX(boss_input_vu_khi_suy_ra!$C$2:$C$94,MATCH($D$16,boss_input_vu_khi_suy_ra!$A$2:$A$94,0))</f>
        <v/>
      </c>
      <c r="O16" t="inlineStr">
        <is>
          <t>giong</t>
        </is>
      </c>
      <c r="R16" t="n">
        <v>5.38</v>
      </c>
      <c r="S16">
        <f>IF($D$16="",0,INDEX(boss_input_vu_khi_suy_ra!$B$2:$B$94,MATCH($D$16,boss_input_vu_khi_suy_ra!$A$2:$A$94,0))*IF(INDEX(boss_input_vu_khi!$D$2:$D$94,MATCH($D$16,boss_input_vu_khi!$A$2:$A$94,0)),1,Boss_dps!$B$5)*Boss_dps!$C$5)</f>
        <v/>
      </c>
      <c r="T16" t="n">
        <v>190.5204460966543</v>
      </c>
      <c r="U16" t="inlineStr">
        <is>
          <t>Assets/MachineBrigade/Resources/Data/balance.json: vehicles[id=behemoth] dựng bởi Tools/balance/p26_ab.expand</t>
        </is>
      </c>
      <c r="V16" t="inlineStr"/>
    </row>
    <row r="17">
      <c r="A17" t="inlineStr">
        <is>
          <t>behemoth/4</t>
        </is>
      </c>
      <c r="B17" t="inlineStr">
        <is>
          <t>behemoth</t>
        </is>
      </c>
      <c r="C17" t="n">
        <v>4</v>
      </c>
      <c r="D17" t="inlineStr">
        <is>
          <t>p26_behemoth_tiny_boss_missiles</t>
        </is>
      </c>
      <c r="E17" t="inlineStr">
        <is>
          <t>missile</t>
        </is>
      </c>
      <c r="F17" t="inlineStr">
        <is>
          <t>Hull</t>
        </is>
      </c>
      <c r="G17" t="inlineStr">
        <is>
          <t>missiles_r</t>
        </is>
      </c>
      <c r="H17" t="n">
        <v>1</v>
      </c>
      <c r="I17" t="n">
        <v>230</v>
      </c>
      <c r="J17" t="n">
        <v>20</v>
      </c>
      <c r="K17" t="n">
        <v>0</v>
      </c>
      <c r="L17" t="n">
        <v>0</v>
      </c>
      <c r="M17" t="n">
        <v>0</v>
      </c>
      <c r="N17">
        <f>INDEX(boss_input_vu_khi_suy_ra!$C$2:$C$94,MATCH($D$17,boss_input_vu_khi_suy_ra!$A$2:$A$94,0))</f>
        <v/>
      </c>
      <c r="O17" t="inlineStr">
        <is>
          <t>giong</t>
        </is>
      </c>
      <c r="R17" t="n">
        <v>20</v>
      </c>
      <c r="S17">
        <f>IF($D$17="",0,INDEX(boss_input_vu_khi_suy_ra!$B$2:$B$94,MATCH($D$17,boss_input_vu_khi_suy_ra!$A$2:$A$94,0))*IF(INDEX(boss_input_vu_khi!$D$2:$D$94,MATCH($D$17,boss_input_vu_khi!$A$2:$A$94,0)),1,Boss_dps!$B$5)*Boss_dps!$C$5)</f>
        <v/>
      </c>
      <c r="T17" t="n">
        <v>11.5</v>
      </c>
      <c r="U17" t="inlineStr">
        <is>
          <t>Assets/MachineBrigade/Resources/Data/balance.json: vehicles[id=behemoth] dựng bởi Tools/balance/p26_ab.expand</t>
        </is>
      </c>
      <c r="V17" t="inlineStr"/>
    </row>
    <row r="18">
      <c r="A18" t="inlineStr">
        <is>
          <t>behemoth/5</t>
        </is>
      </c>
      <c r="B18" t="inlineStr">
        <is>
          <t>behemoth</t>
        </is>
      </c>
      <c r="C18" t="n">
        <v>5</v>
      </c>
      <c r="D18" t="inlineStr">
        <is>
          <t>p26_behemoth_tiny_boss_missiles</t>
        </is>
      </c>
      <c r="E18" t="inlineStr">
        <is>
          <t>missile</t>
        </is>
      </c>
      <c r="F18" t="inlineStr">
        <is>
          <t>Hull</t>
        </is>
      </c>
      <c r="G18" t="inlineStr">
        <is>
          <t>missiles_l</t>
        </is>
      </c>
      <c r="H18" t="n">
        <v>1</v>
      </c>
      <c r="I18" t="n">
        <v>230</v>
      </c>
      <c r="J18" t="n">
        <v>20</v>
      </c>
      <c r="K18" t="n">
        <v>0</v>
      </c>
      <c r="L18" t="n">
        <v>0</v>
      </c>
      <c r="M18" t="n">
        <v>0</v>
      </c>
      <c r="N18">
        <f>INDEX(boss_input_vu_khi_suy_ra!$C$2:$C$94,MATCH($D$18,boss_input_vu_khi_suy_ra!$A$2:$A$94,0))</f>
        <v/>
      </c>
      <c r="O18" t="inlineStr">
        <is>
          <t>giong</t>
        </is>
      </c>
      <c r="R18" t="n">
        <v>20</v>
      </c>
      <c r="S18">
        <f>IF($D$18="",0,INDEX(boss_input_vu_khi_suy_ra!$B$2:$B$94,MATCH($D$18,boss_input_vu_khi_suy_ra!$A$2:$A$94,0))*IF(INDEX(boss_input_vu_khi!$D$2:$D$94,MATCH($D$18,boss_input_vu_khi!$A$2:$A$94,0)),1,Boss_dps!$B$5)*Boss_dps!$C$5)</f>
        <v/>
      </c>
      <c r="T18" t="n">
        <v>11.5</v>
      </c>
      <c r="U18" t="inlineStr">
        <is>
          <t>Assets/MachineBrigade/Resources/Data/balance.json: vehicles[id=behemoth] dựng bởi Tools/balance/p26_ab.expand</t>
        </is>
      </c>
      <c r="V18" t="inlineStr"/>
    </row>
    <row r="19">
      <c r="A19" t="inlineStr">
        <is>
          <t>behemoth/6</t>
        </is>
      </c>
      <c r="B19" t="inlineStr">
        <is>
          <t>behemoth</t>
        </is>
      </c>
      <c r="C19" t="n">
        <v>6</v>
      </c>
      <c r="D19" t="inlineStr">
        <is>
          <t>p26_behemoth_tiny_kornet_twin</t>
        </is>
      </c>
      <c r="E19" t="inlineStr">
        <is>
          <t>missile</t>
        </is>
      </c>
      <c r="F19" t="inlineStr">
        <is>
          <t>Free</t>
        </is>
      </c>
      <c r="G19" t="inlineStr">
        <is>
          <t>gun_120</t>
        </is>
      </c>
      <c r="H19" t="n">
        <v>1</v>
      </c>
      <c r="I19" t="n">
        <v>230</v>
      </c>
      <c r="J19" t="n">
        <v>9.699999999999999</v>
      </c>
      <c r="K19" t="n">
        <v>0</v>
      </c>
      <c r="L19" t="n">
        <v>0</v>
      </c>
      <c r="M19" t="n">
        <v>0</v>
      </c>
      <c r="N19">
        <f>INDEX(boss_input_vu_khi_suy_ra!$C$2:$C$94,MATCH($D$19,boss_input_vu_khi_suy_ra!$A$2:$A$94,0))</f>
        <v/>
      </c>
      <c r="O19" t="inlineStr">
        <is>
          <t>giong</t>
        </is>
      </c>
      <c r="R19" t="n">
        <v>9.699999999999999</v>
      </c>
      <c r="S19">
        <f>IF($D$19="",0,INDEX(boss_input_vu_khi_suy_ra!$B$2:$B$94,MATCH($D$19,boss_input_vu_khi_suy_ra!$A$2:$A$94,0))*IF(INDEX(boss_input_vu_khi!$D$2:$D$94,MATCH($D$19,boss_input_vu_khi!$A$2:$A$94,0)),1,Boss_dps!$B$5)*Boss_dps!$C$5)</f>
        <v/>
      </c>
      <c r="T19" t="n">
        <v>23.71134020618557</v>
      </c>
      <c r="U19" t="inlineStr">
        <is>
          <t>Assets/MachineBrigade/Resources/Data/balance.json: vehicles[id=behemoth] dựng bởi Tools/balance/p26_ab.expand</t>
        </is>
      </c>
      <c r="V19" t="inlineStr"/>
    </row>
    <row r="20">
      <c r="A20" t="inlineStr">
        <is>
          <t>behemoth/7</t>
        </is>
      </c>
      <c r="B20" t="inlineStr">
        <is>
          <t>behemoth</t>
        </is>
      </c>
      <c r="C20" t="n">
        <v>7</v>
      </c>
      <c r="D20" t="inlineStr">
        <is>
          <t>p26_behemoth_direct_be120</t>
        </is>
      </c>
      <c r="E20" t="inlineStr">
        <is>
          <t>gun</t>
        </is>
      </c>
      <c r="F20" t="inlineStr">
        <is>
          <t>Free</t>
        </is>
      </c>
      <c r="G20" t="inlineStr">
        <is>
          <t>side_gun_l</t>
        </is>
      </c>
      <c r="H20" t="n">
        <v>2</v>
      </c>
      <c r="I20" t="n">
        <v>260</v>
      </c>
      <c r="J20" t="n">
        <v>7.5</v>
      </c>
      <c r="K20" t="n">
        <v>0</v>
      </c>
      <c r="L20" t="n">
        <v>0</v>
      </c>
      <c r="M20" t="n">
        <v>0</v>
      </c>
      <c r="N20">
        <f>INDEX(boss_input_vu_khi_suy_ra!$C$2:$C$94,MATCH($D$20,boss_input_vu_khi_suy_ra!$A$2:$A$94,0))</f>
        <v/>
      </c>
      <c r="O20" t="inlineStr">
        <is>
          <t>giong</t>
        </is>
      </c>
      <c r="R20" t="n">
        <v>7.5</v>
      </c>
      <c r="S20">
        <f>IF($D$20="",0,INDEX(boss_input_vu_khi_suy_ra!$B$2:$B$94,MATCH($D$20,boss_input_vu_khi_suy_ra!$A$2:$A$94,0))*IF(INDEX(boss_input_vu_khi!$D$2:$D$94,MATCH($D$20,boss_input_vu_khi!$A$2:$A$94,0)),1,Boss_dps!$B$5)*Boss_dps!$C$5)</f>
        <v/>
      </c>
      <c r="T20" t="n">
        <v>69.33333333333333</v>
      </c>
      <c r="U20" t="inlineStr">
        <is>
          <t>Assets/MachineBrigade/Resources/Data/balance.json: vehicles[id=behemoth] dựng bởi Tools/balance/p26_ab.expand</t>
        </is>
      </c>
      <c r="V20" t="inlineStr"/>
    </row>
    <row r="21">
      <c r="A21" t="inlineStr">
        <is>
          <t>behemoth/8</t>
        </is>
      </c>
      <c r="B21" t="inlineStr">
        <is>
          <t>behemoth</t>
        </is>
      </c>
      <c r="C21" t="n">
        <v>8</v>
      </c>
      <c r="D21" t="inlineStr">
        <is>
          <t>p26_behemoth_direct_be120</t>
        </is>
      </c>
      <c r="E21" t="inlineStr">
        <is>
          <t>gun</t>
        </is>
      </c>
      <c r="F21" t="inlineStr">
        <is>
          <t>Free</t>
        </is>
      </c>
      <c r="G21" t="inlineStr">
        <is>
          <t>side_gun_r</t>
        </is>
      </c>
      <c r="H21" t="n">
        <v>2</v>
      </c>
      <c r="I21" t="n">
        <v>260</v>
      </c>
      <c r="J21" t="n">
        <v>7.5</v>
      </c>
      <c r="K21" t="n">
        <v>0</v>
      </c>
      <c r="L21" t="n">
        <v>0</v>
      </c>
      <c r="M21" t="n">
        <v>0</v>
      </c>
      <c r="N21">
        <f>INDEX(boss_input_vu_khi_suy_ra!$C$2:$C$94,MATCH($D$21,boss_input_vu_khi_suy_ra!$A$2:$A$94,0))</f>
        <v/>
      </c>
      <c r="O21" t="inlineStr">
        <is>
          <t>giong</t>
        </is>
      </c>
      <c r="R21" t="n">
        <v>7.5</v>
      </c>
      <c r="S21">
        <f>IF($D$21="",0,INDEX(boss_input_vu_khi_suy_ra!$B$2:$B$94,MATCH($D$21,boss_input_vu_khi_suy_ra!$A$2:$A$94,0))*IF(INDEX(boss_input_vu_khi!$D$2:$D$94,MATCH($D$21,boss_input_vu_khi!$A$2:$A$94,0)),1,Boss_dps!$B$5)*Boss_dps!$C$5)</f>
        <v/>
      </c>
      <c r="T21" t="n">
        <v>69.33333333333333</v>
      </c>
      <c r="U21" t="inlineStr">
        <is>
          <t>Assets/MachineBrigade/Resources/Data/balance.json: vehicles[id=behemoth] dựng bởi Tools/balance/p26_ab.expand</t>
        </is>
      </c>
      <c r="V21" t="inlineStr"/>
    </row>
    <row r="22">
      <c r="A22" t="inlineStr">
        <is>
          <t>behemoth/9</t>
        </is>
      </c>
      <c r="B22" t="inlineStr">
        <is>
          <t>behemoth</t>
        </is>
      </c>
      <c r="C22" t="n">
        <v>9</v>
      </c>
      <c r="D22" t="inlineStr">
        <is>
          <t>p26_behemoth_sec_be_rockets</t>
        </is>
      </c>
      <c r="E22" t="inlineStr">
        <is>
          <t>rocket</t>
        </is>
      </c>
      <c r="F22" t="inlineStr">
        <is>
          <t>Free</t>
        </is>
      </c>
      <c r="G22" t="inlineStr">
        <is>
          <t>rocket_pod</t>
        </is>
      </c>
      <c r="H22" t="n">
        <v>1</v>
      </c>
      <c r="I22" t="n">
        <v>200</v>
      </c>
      <c r="J22" t="n">
        <v>2.44</v>
      </c>
      <c r="K22" t="n">
        <v>4.5</v>
      </c>
      <c r="L22" t="n">
        <v>9</v>
      </c>
      <c r="M22" t="n">
        <v>0</v>
      </c>
      <c r="N22">
        <f>INDEX(boss_input_vu_khi_suy_ra!$C$2:$C$94,MATCH($D$22,boss_input_vu_khi_suy_ra!$A$2:$A$94,0))</f>
        <v/>
      </c>
      <c r="O22" t="inlineStr">
        <is>
          <t>giong</t>
        </is>
      </c>
      <c r="R22" t="n">
        <v>21.94</v>
      </c>
      <c r="S22">
        <f>IF($D$22="",0,INDEX(boss_input_vu_khi_suy_ra!$B$2:$B$94,MATCH($D$22,boss_input_vu_khi_suy_ra!$A$2:$A$94,0))*IF(INDEX(boss_input_vu_khi!$D$2:$D$94,MATCH($D$22,boss_input_vu_khi!$A$2:$A$94,0)),1,Boss_dps!$B$5)*Boss_dps!$C$5)</f>
        <v/>
      </c>
      <c r="T22" t="n">
        <v>364.6308113035551</v>
      </c>
      <c r="U22" t="inlineStr">
        <is>
          <t>Assets/MachineBrigade/Resources/Data/balance.json: vehicles[id=behemoth] dựng bởi Tools/balance/p26_ab.expand</t>
        </is>
      </c>
      <c r="V22" t="inlineStr"/>
    </row>
    <row r="23">
      <c r="A23" t="inlineStr">
        <is>
          <t>behemoth_inferno/0</t>
        </is>
      </c>
      <c r="B23" t="inlineStr">
        <is>
          <t>behemoth_inferno</t>
        </is>
      </c>
      <c r="C23" t="n">
        <v>0</v>
      </c>
      <c r="D23" t="inlineStr">
        <is>
          <t>boss_flamer</t>
        </is>
      </c>
      <c r="E23" t="inlineStr">
        <is>
          <t>main</t>
        </is>
      </c>
      <c r="F23" t="inlineStr"/>
      <c r="G23" t="inlineStr">
        <is>
          <t>flamer_r</t>
        </is>
      </c>
      <c r="H23" t="n">
        <v>1</v>
      </c>
      <c r="I23" t="n">
        <v>30</v>
      </c>
      <c r="J23" t="n">
        <v>0.25</v>
      </c>
      <c r="K23" t="n">
        <v>3.5</v>
      </c>
      <c r="L23" t="n">
        <v>7</v>
      </c>
      <c r="M23" t="n">
        <v>0</v>
      </c>
      <c r="N23">
        <f>INDEX(boss_input_vu_khi_suy_ra!$C$2:$C$94,MATCH($D$23,boss_input_vu_khi_suy_ra!$A$2:$A$94,0))</f>
        <v/>
      </c>
      <c r="O23" t="inlineStr">
        <is>
          <t>giong</t>
        </is>
      </c>
      <c r="R23" t="n">
        <v>0.25</v>
      </c>
      <c r="S23">
        <f>IF($D$23="",0,INDEX(boss_input_vu_khi_suy_ra!$B$2:$B$94,MATCH($D$23,boss_input_vu_khi_suy_ra!$A$2:$A$94,0))*IF(INDEX(boss_input_vu_khi!$D$2:$D$94,MATCH($D$23,boss_input_vu_khi!$A$2:$A$94,0)),1,Boss_dps!$B$6)*Boss_dps!$C$6)</f>
        <v/>
      </c>
      <c r="T23" t="n">
        <v>235.44</v>
      </c>
      <c r="U23" t="inlineStr">
        <is>
          <t>Assets/MachineBrigade/Resources/Data/balance.json: vehicles[id=behemoth_inferno] dựng bởi Tools/balance/p26_ab.expand</t>
        </is>
      </c>
      <c r="V23" t="inlineStr"/>
    </row>
    <row r="24">
      <c r="A24" t="inlineStr">
        <is>
          <t>behemoth_inferno/1</t>
        </is>
      </c>
      <c r="B24" t="inlineStr">
        <is>
          <t>behemoth_inferno</t>
        </is>
      </c>
      <c r="C24" t="n">
        <v>1</v>
      </c>
      <c r="D24" t="inlineStr">
        <is>
          <t>boss_thermo</t>
        </is>
      </c>
      <c r="E24" t="inlineStr">
        <is>
          <t>rocket</t>
        </is>
      </c>
      <c r="F24" t="inlineStr">
        <is>
          <t>Free</t>
        </is>
      </c>
      <c r="G24" t="inlineStr">
        <is>
          <t>thermo</t>
        </is>
      </c>
      <c r="H24" t="n">
        <v>1</v>
      </c>
      <c r="I24" t="n">
        <v>291</v>
      </c>
      <c r="J24" t="n">
        <v>6.255</v>
      </c>
      <c r="K24" t="n">
        <v>7</v>
      </c>
      <c r="L24" t="n">
        <v>14</v>
      </c>
      <c r="M24" t="n">
        <v>0</v>
      </c>
      <c r="N24">
        <f>INDEX(boss_input_vu_khi_suy_ra!$C$2:$C$94,MATCH($D$24,boss_input_vu_khi_suy_ra!$A$2:$A$94,0))</f>
        <v/>
      </c>
      <c r="O24" t="inlineStr">
        <is>
          <t>giong</t>
        </is>
      </c>
      <c r="R24" t="n">
        <v>6.255</v>
      </c>
      <c r="S24">
        <f>IF($D$24="",0,INDEX(boss_input_vu_khi_suy_ra!$B$2:$B$94,MATCH($D$24,boss_input_vu_khi_suy_ra!$A$2:$A$94,0))*IF(INDEX(boss_input_vu_khi!$D$2:$D$94,MATCH($D$24,boss_input_vu_khi!$A$2:$A$94,0)),1,Boss_dps!$B$6)*Boss_dps!$C$6)</f>
        <v/>
      </c>
      <c r="T24" t="n">
        <v>91.27769784172662</v>
      </c>
      <c r="U24" t="inlineStr">
        <is>
          <t>Assets/MachineBrigade/Resources/Data/balance.json: vehicles[id=behemoth_inferno] dựng bởi Tools/balance/p26_ab.expand</t>
        </is>
      </c>
      <c r="V24" t="inlineStr"/>
    </row>
    <row r="25">
      <c r="A25" t="inlineStr">
        <is>
          <t>behemoth_inferno/2</t>
        </is>
      </c>
      <c r="B25" t="inlineStr">
        <is>
          <t>behemoth_inferno</t>
        </is>
      </c>
      <c r="C25" t="n">
        <v>2</v>
      </c>
      <c r="D25" t="inlineStr">
        <is>
          <t>boss_flamer</t>
        </is>
      </c>
      <c r="E25" t="inlineStr">
        <is>
          <t>main</t>
        </is>
      </c>
      <c r="F25" t="inlineStr">
        <is>
          <t>Turret</t>
        </is>
      </c>
      <c r="G25" t="inlineStr">
        <is>
          <t>flamer_l</t>
        </is>
      </c>
      <c r="H25" t="n">
        <v>1</v>
      </c>
      <c r="I25" t="n">
        <v>30</v>
      </c>
      <c r="J25" t="n">
        <v>0.25</v>
      </c>
      <c r="K25" t="n">
        <v>3.5</v>
      </c>
      <c r="L25" t="n">
        <v>7</v>
      </c>
      <c r="M25" t="n">
        <v>0</v>
      </c>
      <c r="N25">
        <f>INDEX(boss_input_vu_khi_suy_ra!$C$2:$C$94,MATCH($D$25,boss_input_vu_khi_suy_ra!$A$2:$A$94,0))</f>
        <v/>
      </c>
      <c r="O25" t="inlineStr">
        <is>
          <t>giong</t>
        </is>
      </c>
      <c r="R25" t="n">
        <v>0.25</v>
      </c>
      <c r="S25">
        <f>IF($D$25="",0,INDEX(boss_input_vu_khi_suy_ra!$B$2:$B$94,MATCH($D$25,boss_input_vu_khi_suy_ra!$A$2:$A$94,0))*IF(INDEX(boss_input_vu_khi!$D$2:$D$94,MATCH($D$25,boss_input_vu_khi!$A$2:$A$94,0)),1,Boss_dps!$B$6)*Boss_dps!$C$6)</f>
        <v/>
      </c>
      <c r="T25" t="n">
        <v>235.44</v>
      </c>
      <c r="U25" t="inlineStr">
        <is>
          <t>Assets/MachineBrigade/Resources/Data/balance.json: vehicles[id=behemoth_inferno] dựng bởi Tools/balance/p26_ab.expand</t>
        </is>
      </c>
      <c r="V25" t="inlineStr"/>
    </row>
    <row r="26">
      <c r="A26" t="inlineStr">
        <is>
          <t>behemoth_mk0/0</t>
        </is>
      </c>
      <c r="B26" t="inlineStr">
        <is>
          <t>behemoth_mk0</t>
        </is>
      </c>
      <c r="C26" t="n">
        <v>0</v>
      </c>
      <c r="D26" t="inlineStr">
        <is>
          <t>p26_behemoth_main_be152</t>
        </is>
      </c>
      <c r="E26" t="inlineStr">
        <is>
          <t>main</t>
        </is>
      </c>
      <c r="F26" t="inlineStr"/>
      <c r="G26" t="inlineStr">
        <is>
          <t>main_gun</t>
        </is>
      </c>
      <c r="H26" t="n">
        <v>2</v>
      </c>
      <c r="I26" t="n">
        <v>600</v>
      </c>
      <c r="J26" t="n">
        <v>8.98</v>
      </c>
      <c r="K26" t="n">
        <v>7</v>
      </c>
      <c r="L26" t="n">
        <v>14</v>
      </c>
      <c r="M26" t="n">
        <v>0</v>
      </c>
      <c r="N26">
        <f>INDEX(boss_input_vu_khi_suy_ra!$C$2:$C$94,MATCH($D$26,boss_input_vu_khi_suy_ra!$A$2:$A$94,0))</f>
        <v/>
      </c>
      <c r="O26" t="inlineStr">
        <is>
          <t>giong</t>
        </is>
      </c>
      <c r="R26" t="n">
        <v>8.98</v>
      </c>
      <c r="S26">
        <f>IF($D$26="",0,INDEX(boss_input_vu_khi_suy_ra!$B$2:$B$94,MATCH($D$26,boss_input_vu_khi_suy_ra!$A$2:$A$94,0))*IF(INDEX(boss_input_vu_khi!$D$2:$D$94,MATCH($D$26,boss_input_vu_khi!$A$2:$A$94,0)),1,Boss_dps!$B$7)*Boss_dps!$C$7)</f>
        <v/>
      </c>
      <c r="T26" t="n">
        <v>118.1291759465479</v>
      </c>
      <c r="U26" t="inlineStr">
        <is>
          <t>Assets/MachineBrigade/Resources/Data/balance.json: vehicles[id=behemoth_mk0] dựng bởi Tools/balance/p26_ab.expand</t>
        </is>
      </c>
      <c r="V26" t="inlineStr"/>
    </row>
    <row r="27">
      <c r="A27" t="inlineStr">
        <is>
          <t>behemoth_mk0/1</t>
        </is>
      </c>
      <c r="B27" t="inlineStr">
        <is>
          <t>behemoth_mk0</t>
        </is>
      </c>
      <c r="C27" t="n">
        <v>1</v>
      </c>
      <c r="D27" t="inlineStr">
        <is>
          <t>p26_behemoth_direct_be120</t>
        </is>
      </c>
      <c r="E27" t="inlineStr">
        <is>
          <t>gun</t>
        </is>
      </c>
      <c r="F27" t="inlineStr">
        <is>
          <t>Free</t>
        </is>
      </c>
      <c r="G27" t="inlineStr">
        <is>
          <t>side_gun_l</t>
        </is>
      </c>
      <c r="H27" t="n">
        <v>2</v>
      </c>
      <c r="I27" t="n">
        <v>260</v>
      </c>
      <c r="J27" t="n">
        <v>7.5</v>
      </c>
      <c r="K27" t="n">
        <v>0</v>
      </c>
      <c r="L27" t="n">
        <v>0</v>
      </c>
      <c r="M27" t="n">
        <v>0</v>
      </c>
      <c r="N27">
        <f>INDEX(boss_input_vu_khi_suy_ra!$C$2:$C$94,MATCH($D$27,boss_input_vu_khi_suy_ra!$A$2:$A$94,0))</f>
        <v/>
      </c>
      <c r="O27" t="inlineStr">
        <is>
          <t>giong</t>
        </is>
      </c>
      <c r="R27" t="n">
        <v>7.5</v>
      </c>
      <c r="S27">
        <f>IF($D$27="",0,INDEX(boss_input_vu_khi_suy_ra!$B$2:$B$94,MATCH($D$27,boss_input_vu_khi_suy_ra!$A$2:$A$94,0))*IF(INDEX(boss_input_vu_khi!$D$2:$D$94,MATCH($D$27,boss_input_vu_khi!$A$2:$A$94,0)),1,Boss_dps!$B$7)*Boss_dps!$C$7)</f>
        <v/>
      </c>
      <c r="T27" t="n">
        <v>61.29066666666666</v>
      </c>
      <c r="U27" t="inlineStr">
        <is>
          <t>Assets/MachineBrigade/Resources/Data/balance.json: vehicles[id=behemoth_mk0] dựng bởi Tools/balance/p26_ab.expand</t>
        </is>
      </c>
      <c r="V27" t="inlineStr"/>
    </row>
    <row r="28">
      <c r="A28" t="inlineStr">
        <is>
          <t>behemoth_mk0/2</t>
        </is>
      </c>
      <c r="B28" t="inlineStr">
        <is>
          <t>behemoth_mk0</t>
        </is>
      </c>
      <c r="C28" t="n">
        <v>2</v>
      </c>
      <c r="D28" t="inlineStr">
        <is>
          <t>p26_behemoth_direct_be120</t>
        </is>
      </c>
      <c r="E28" t="inlineStr">
        <is>
          <t>gun</t>
        </is>
      </c>
      <c r="F28" t="inlineStr">
        <is>
          <t>Free</t>
        </is>
      </c>
      <c r="G28" t="inlineStr">
        <is>
          <t>side_gun_r</t>
        </is>
      </c>
      <c r="H28" t="n">
        <v>2</v>
      </c>
      <c r="I28" t="n">
        <v>260</v>
      </c>
      <c r="J28" t="n">
        <v>7.5</v>
      </c>
      <c r="K28" t="n">
        <v>0</v>
      </c>
      <c r="L28" t="n">
        <v>0</v>
      </c>
      <c r="M28" t="n">
        <v>0</v>
      </c>
      <c r="N28">
        <f>INDEX(boss_input_vu_khi_suy_ra!$C$2:$C$94,MATCH($D$28,boss_input_vu_khi_suy_ra!$A$2:$A$94,0))</f>
        <v/>
      </c>
      <c r="O28" t="inlineStr">
        <is>
          <t>giong</t>
        </is>
      </c>
      <c r="R28" t="n">
        <v>7.5</v>
      </c>
      <c r="S28">
        <f>IF($D$28="",0,INDEX(boss_input_vu_khi_suy_ra!$B$2:$B$94,MATCH($D$28,boss_input_vu_khi_suy_ra!$A$2:$A$94,0))*IF(INDEX(boss_input_vu_khi!$D$2:$D$94,MATCH($D$28,boss_input_vu_khi!$A$2:$A$94,0)),1,Boss_dps!$B$7)*Boss_dps!$C$7)</f>
        <v/>
      </c>
      <c r="T28" t="n">
        <v>61.29066666666666</v>
      </c>
      <c r="U28" t="inlineStr">
        <is>
          <t>Assets/MachineBrigade/Resources/Data/balance.json: vehicles[id=behemoth_mk0] dựng bởi Tools/balance/p26_ab.expand</t>
        </is>
      </c>
      <c r="V28" t="inlineStr"/>
    </row>
    <row r="29">
      <c r="A29" t="inlineStr">
        <is>
          <t>behemoth_mk0/3</t>
        </is>
      </c>
      <c r="B29" t="inlineStr">
        <is>
          <t>behemoth_mk0</t>
        </is>
      </c>
      <c r="C29" t="n">
        <v>3</v>
      </c>
      <c r="D29" t="inlineStr">
        <is>
          <t>p26_behemoth_sec_be_rockets</t>
        </is>
      </c>
      <c r="E29" t="inlineStr">
        <is>
          <t>rocket</t>
        </is>
      </c>
      <c r="F29" t="inlineStr">
        <is>
          <t>Free</t>
        </is>
      </c>
      <c r="G29" t="inlineStr">
        <is>
          <t>rocket_pod</t>
        </is>
      </c>
      <c r="H29" t="n">
        <v>1</v>
      </c>
      <c r="I29" t="n">
        <v>200</v>
      </c>
      <c r="J29" t="n">
        <v>2.44</v>
      </c>
      <c r="K29" t="n">
        <v>4.5</v>
      </c>
      <c r="L29" t="n">
        <v>9</v>
      </c>
      <c r="M29" t="n">
        <v>0</v>
      </c>
      <c r="N29">
        <f>INDEX(boss_input_vu_khi_suy_ra!$C$2:$C$94,MATCH($D$29,boss_input_vu_khi_suy_ra!$A$2:$A$94,0))</f>
        <v/>
      </c>
      <c r="O29" t="inlineStr">
        <is>
          <t>giong</t>
        </is>
      </c>
      <c r="R29" t="n">
        <v>21.94</v>
      </c>
      <c r="S29">
        <f>IF($D$29="",0,INDEX(boss_input_vu_khi_suy_ra!$B$2:$B$94,MATCH($D$29,boss_input_vu_khi_suy_ra!$A$2:$A$94,0))*IF(INDEX(boss_input_vu_khi!$D$2:$D$94,MATCH($D$29,boss_input_vu_khi!$A$2:$A$94,0)),1,Boss_dps!$B$7)*Boss_dps!$C$7)</f>
        <v/>
      </c>
      <c r="T29" t="n">
        <v>322.3336371923427</v>
      </c>
      <c r="U29" t="inlineStr">
        <is>
          <t>Assets/MachineBrigade/Resources/Data/balance.json: vehicles[id=behemoth_mk0] dựng bởi Tools/balance/p26_ab.expand</t>
        </is>
      </c>
      <c r="V29" t="inlineStr"/>
    </row>
    <row r="30">
      <c r="A30" t="inlineStr">
        <is>
          <t>behemoth_mk2/0</t>
        </is>
      </c>
      <c r="B30" t="inlineStr">
        <is>
          <t>behemoth_mk2</t>
        </is>
      </c>
      <c r="C30" t="n">
        <v>0</v>
      </c>
      <c r="D30" t="inlineStr">
        <is>
          <t>p26_behemoth_main_be152</t>
        </is>
      </c>
      <c r="E30" t="inlineStr">
        <is>
          <t>main</t>
        </is>
      </c>
      <c r="F30" t="inlineStr"/>
      <c r="G30" t="inlineStr">
        <is>
          <t>main_gun</t>
        </is>
      </c>
      <c r="H30" t="n">
        <v>2</v>
      </c>
      <c r="I30" t="n">
        <v>600</v>
      </c>
      <c r="J30" t="n">
        <v>8.98</v>
      </c>
      <c r="K30" t="n">
        <v>7</v>
      </c>
      <c r="L30" t="n">
        <v>14</v>
      </c>
      <c r="M30" t="n">
        <v>0</v>
      </c>
      <c r="N30">
        <f>INDEX(boss_input_vu_khi_suy_ra!$C$2:$C$94,MATCH($D$30,boss_input_vu_khi_suy_ra!$A$2:$A$94,0))</f>
        <v/>
      </c>
      <c r="O30" t="inlineStr">
        <is>
          <t>giong</t>
        </is>
      </c>
      <c r="R30" t="n">
        <v>8.98</v>
      </c>
      <c r="S30">
        <f>IF($D$30="",0,INDEX(boss_input_vu_khi_suy_ra!$B$2:$B$94,MATCH($D$30,boss_input_vu_khi_suy_ra!$A$2:$A$94,0))*IF(INDEX(boss_input_vu_khi!$D$2:$D$94,MATCH($D$30,boss_input_vu_khi!$A$2:$A$94,0)),1,Boss_dps!$B$8)*Boss_dps!$C$8)</f>
        <v/>
      </c>
      <c r="T30" t="n">
        <v>257.6391982182628</v>
      </c>
      <c r="U30" t="inlineStr">
        <is>
          <t>Assets/MachineBrigade/Resources/Data/balance.json: vehicles[id=behemoth_mk2] dựng bởi Tools/balance/p26_ab.expand</t>
        </is>
      </c>
      <c r="V30" t="inlineStr"/>
    </row>
    <row r="31">
      <c r="A31" t="inlineStr">
        <is>
          <t>behemoth_mk2/1</t>
        </is>
      </c>
      <c r="B31" t="inlineStr">
        <is>
          <t>behemoth_mk2</t>
        </is>
      </c>
      <c r="C31" t="n">
        <v>1</v>
      </c>
      <c r="D31" t="inlineStr">
        <is>
          <t>p26_behemoth_close_boss_flak</t>
        </is>
      </c>
      <c r="E31" t="inlineStr">
        <is>
          <t>mg</t>
        </is>
      </c>
      <c r="F31" t="inlineStr">
        <is>
          <t>Free</t>
        </is>
      </c>
      <c r="G31" t="inlineStr">
        <is>
          <t>flak_r</t>
        </is>
      </c>
      <c r="H31" t="n">
        <v>1</v>
      </c>
      <c r="I31" t="n">
        <v>25</v>
      </c>
      <c r="J31" t="n">
        <v>0.05</v>
      </c>
      <c r="K31" t="n">
        <v>2.5</v>
      </c>
      <c r="L31" t="n">
        <v>0</v>
      </c>
      <c r="M31" t="n">
        <v>0</v>
      </c>
      <c r="N31">
        <f>INDEX(boss_input_vu_khi_suy_ra!$C$2:$C$94,MATCH($D$31,boss_input_vu_khi_suy_ra!$A$2:$A$94,0))</f>
        <v/>
      </c>
      <c r="O31" t="inlineStr">
        <is>
          <t>giong</t>
        </is>
      </c>
      <c r="R31" t="n">
        <v>5.38</v>
      </c>
      <c r="S31">
        <f>IF($D$31="",0,INDEX(boss_input_vu_khi_suy_ra!$B$2:$B$94,MATCH($D$31,boss_input_vu_khi_suy_ra!$A$2:$A$94,0))*IF(INDEX(boss_input_vu_khi!$D$2:$D$94,MATCH($D$31,boss_input_vu_khi!$A$2:$A$94,0)),1,Boss_dps!$B$8)*Boss_dps!$C$8)</f>
        <v/>
      </c>
      <c r="T31" t="n">
        <v>367.3234200743494</v>
      </c>
      <c r="U31" t="inlineStr">
        <is>
          <t>Assets/MachineBrigade/Resources/Data/balance.json: vehicles[id=behemoth_mk2] dựng bởi Tools/balance/p26_ab.expand</t>
        </is>
      </c>
      <c r="V31" t="inlineStr"/>
    </row>
    <row r="32">
      <c r="A32" t="inlineStr">
        <is>
          <t>behemoth_mk2/2</t>
        </is>
      </c>
      <c r="B32" t="inlineStr">
        <is>
          <t>behemoth_mk2</t>
        </is>
      </c>
      <c r="C32" t="n">
        <v>2</v>
      </c>
      <c r="D32" t="inlineStr">
        <is>
          <t>p26_behemoth_close_boss_flak</t>
        </is>
      </c>
      <c r="E32" t="inlineStr">
        <is>
          <t>mg</t>
        </is>
      </c>
      <c r="F32" t="inlineStr">
        <is>
          <t>Free</t>
        </is>
      </c>
      <c r="G32" t="inlineStr">
        <is>
          <t>flak_l</t>
        </is>
      </c>
      <c r="H32" t="n">
        <v>1</v>
      </c>
      <c r="I32" t="n">
        <v>25</v>
      </c>
      <c r="J32" t="n">
        <v>0.05</v>
      </c>
      <c r="K32" t="n">
        <v>2.5</v>
      </c>
      <c r="L32" t="n">
        <v>0</v>
      </c>
      <c r="M32" t="n">
        <v>0</v>
      </c>
      <c r="N32">
        <f>INDEX(boss_input_vu_khi_suy_ra!$C$2:$C$94,MATCH($D$32,boss_input_vu_khi_suy_ra!$A$2:$A$94,0))</f>
        <v/>
      </c>
      <c r="O32" t="inlineStr">
        <is>
          <t>giong</t>
        </is>
      </c>
      <c r="R32" t="n">
        <v>5.38</v>
      </c>
      <c r="S32">
        <f>IF($D$32="",0,INDEX(boss_input_vu_khi_suy_ra!$B$2:$B$94,MATCH($D$32,boss_input_vu_khi_suy_ra!$A$2:$A$94,0))*IF(INDEX(boss_input_vu_khi!$D$2:$D$94,MATCH($D$32,boss_input_vu_khi!$A$2:$A$94,0)),1,Boss_dps!$B$8)*Boss_dps!$C$8)</f>
        <v/>
      </c>
      <c r="T32" t="n">
        <v>367.3234200743494</v>
      </c>
      <c r="U32" t="inlineStr">
        <is>
          <t>Assets/MachineBrigade/Resources/Data/balance.json: vehicles[id=behemoth_mk2] dựng bởi Tools/balance/p26_ab.expand</t>
        </is>
      </c>
      <c r="V32" t="inlineStr"/>
    </row>
    <row r="33">
      <c r="A33" t="inlineStr">
        <is>
          <t>behemoth_tempest/0</t>
        </is>
      </c>
      <c r="B33" t="inlineStr">
        <is>
          <t>behemoth_tempest</t>
        </is>
      </c>
      <c r="C33" t="n">
        <v>0</v>
      </c>
      <c r="D33" t="inlineStr">
        <is>
          <t>boss_railgun</t>
        </is>
      </c>
      <c r="E33" t="inlineStr">
        <is>
          <t>main</t>
        </is>
      </c>
      <c r="F33" t="inlineStr"/>
      <c r="G33" t="inlineStr">
        <is>
          <t>railgun</t>
        </is>
      </c>
      <c r="H33" t="n">
        <v>1</v>
      </c>
      <c r="I33" t="n">
        <v>720</v>
      </c>
      <c r="J33" t="n">
        <v>8</v>
      </c>
      <c r="K33" t="n">
        <v>0</v>
      </c>
      <c r="L33" t="n">
        <v>0</v>
      </c>
      <c r="M33" t="n">
        <v>0</v>
      </c>
      <c r="N33">
        <f>INDEX(boss_input_vu_khi_suy_ra!$C$2:$C$94,MATCH($D$33,boss_input_vu_khi_suy_ra!$A$2:$A$94,0))</f>
        <v/>
      </c>
      <c r="O33" t="inlineStr">
        <is>
          <t>giong</t>
        </is>
      </c>
      <c r="R33" t="n">
        <v>8</v>
      </c>
      <c r="S33">
        <f>IF($D$33="",0,INDEX(boss_input_vu_khi_suy_ra!$B$2:$B$94,MATCH($D$33,boss_input_vu_khi_suy_ra!$A$2:$A$94,0))*IF(INDEX(boss_input_vu_khi!$D$2:$D$94,MATCH($D$33,boss_input_vu_khi!$A$2:$A$94,0)),1,Boss_dps!$B$9)*Boss_dps!$C$9)</f>
        <v/>
      </c>
      <c r="T33" t="n">
        <v>156.6</v>
      </c>
      <c r="U33" t="inlineStr">
        <is>
          <t>Assets/MachineBrigade/Resources/Data/balance.json: vehicles[id=behemoth_tempest] dựng bởi Tools/balance/p26_ab.expand</t>
        </is>
      </c>
      <c r="V33" t="inlineStr"/>
    </row>
    <row r="34">
      <c r="A34" t="inlineStr">
        <is>
          <t>behemoth_tempest/1</t>
        </is>
      </c>
      <c r="B34" t="inlineStr">
        <is>
          <t>behemoth_tempest</t>
        </is>
      </c>
      <c r="C34" t="n">
        <v>1</v>
      </c>
      <c r="D34" t="inlineStr">
        <is>
          <t>coilgun</t>
        </is>
      </c>
      <c r="E34" t="inlineStr">
        <is>
          <t>gun</t>
        </is>
      </c>
      <c r="F34" t="inlineStr">
        <is>
          <t>Free</t>
        </is>
      </c>
      <c r="G34" t="inlineStr">
        <is>
          <t>coil_l</t>
        </is>
      </c>
      <c r="H34" t="n">
        <v>1</v>
      </c>
      <c r="I34" t="n">
        <v>250</v>
      </c>
      <c r="J34" t="n">
        <v>4.54</v>
      </c>
      <c r="K34" t="n">
        <v>0</v>
      </c>
      <c r="L34" t="n">
        <v>0</v>
      </c>
      <c r="M34" t="n">
        <v>0</v>
      </c>
      <c r="N34">
        <f>INDEX(boss_input_vu_khi_suy_ra!$C$2:$C$94,MATCH($D$34,boss_input_vu_khi_suy_ra!$A$2:$A$94,0))</f>
        <v/>
      </c>
      <c r="O34" t="inlineStr">
        <is>
          <t>giong</t>
        </is>
      </c>
      <c r="R34" t="n">
        <v>4.79</v>
      </c>
      <c r="S34">
        <f>IF($D$34="",0,INDEX(boss_input_vu_khi_suy_ra!$B$2:$B$94,MATCH($D$34,boss_input_vu_khi_suy_ra!$A$2:$A$94,0))*IF(INDEX(boss_input_vu_khi!$D$2:$D$94,MATCH($D$34,boss_input_vu_khi!$A$2:$A$94,0)),1,Boss_dps!$B$9)*Boss_dps!$C$9)</f>
        <v/>
      </c>
      <c r="T34" t="n">
        <v>181.6283924843424</v>
      </c>
      <c r="U34" t="inlineStr">
        <is>
          <t>Assets/MachineBrigade/Resources/Data/balance.json: vehicles[id=behemoth_tempest] dựng bởi Tools/balance/p26_ab.expand</t>
        </is>
      </c>
      <c r="V34" t="inlineStr"/>
    </row>
    <row r="35">
      <c r="A35" t="inlineStr">
        <is>
          <t>behemoth_tempest/2</t>
        </is>
      </c>
      <c r="B35" t="inlineStr">
        <is>
          <t>behemoth_tempest</t>
        </is>
      </c>
      <c r="C35" t="n">
        <v>2</v>
      </c>
      <c r="D35" t="inlineStr">
        <is>
          <t>coilgun</t>
        </is>
      </c>
      <c r="E35" t="inlineStr">
        <is>
          <t>gun</t>
        </is>
      </c>
      <c r="F35" t="inlineStr">
        <is>
          <t>Free</t>
        </is>
      </c>
      <c r="G35" t="inlineStr">
        <is>
          <t>coil_r</t>
        </is>
      </c>
      <c r="H35" t="n">
        <v>1</v>
      </c>
      <c r="I35" t="n">
        <v>250</v>
      </c>
      <c r="J35" t="n">
        <v>4.54</v>
      </c>
      <c r="K35" t="n">
        <v>0</v>
      </c>
      <c r="L35" t="n">
        <v>0</v>
      </c>
      <c r="M35" t="n">
        <v>0</v>
      </c>
      <c r="N35">
        <f>INDEX(boss_input_vu_khi_suy_ra!$C$2:$C$94,MATCH($D$35,boss_input_vu_khi_suy_ra!$A$2:$A$94,0))</f>
        <v/>
      </c>
      <c r="O35" t="inlineStr">
        <is>
          <t>giong</t>
        </is>
      </c>
      <c r="R35" t="n">
        <v>4.79</v>
      </c>
      <c r="S35">
        <f>IF($D$35="",0,INDEX(boss_input_vu_khi_suy_ra!$B$2:$B$94,MATCH($D$35,boss_input_vu_khi_suy_ra!$A$2:$A$94,0))*IF(INDEX(boss_input_vu_khi!$D$2:$D$94,MATCH($D$35,boss_input_vu_khi!$A$2:$A$94,0)),1,Boss_dps!$B$9)*Boss_dps!$C$9)</f>
        <v/>
      </c>
      <c r="T35" t="n">
        <v>181.6283924843424</v>
      </c>
      <c r="U35" t="inlineStr">
        <is>
          <t>Assets/MachineBrigade/Resources/Data/balance.json: vehicles[id=behemoth_tempest] dựng bởi Tools/balance/p26_ab.expand</t>
        </is>
      </c>
      <c r="V35" t="inlineStr"/>
    </row>
    <row r="36">
      <c r="A36" t="inlineStr">
        <is>
          <t>coeus/0</t>
        </is>
      </c>
      <c r="B36" t="inlineStr">
        <is>
          <t>coeus</t>
        </is>
      </c>
      <c r="C36" t="n">
        <v>0</v>
      </c>
      <c r="D36" t="inlineStr">
        <is>
          <t>pt14_co_203</t>
        </is>
      </c>
      <c r="E36" t="inlineStr">
        <is>
          <t>main</t>
        </is>
      </c>
      <c r="F36" t="inlineStr">
        <is>
          <t>Free</t>
        </is>
      </c>
      <c r="G36" t="inlineStr">
        <is>
          <t>main_laser</t>
        </is>
      </c>
      <c r="H36" t="n">
        <v>2</v>
      </c>
      <c r="I36" t="n">
        <v>900</v>
      </c>
      <c r="J36" t="n">
        <v>21</v>
      </c>
      <c r="K36" t="n">
        <v>8.5</v>
      </c>
      <c r="L36" t="n">
        <v>17</v>
      </c>
      <c r="M36" t="n">
        <v>2.5</v>
      </c>
      <c r="N36">
        <f>INDEX(boss_input_vu_khi_suy_ra!$C$2:$C$94,MATCH($D$36,boss_input_vu_khi_suy_ra!$A$2:$A$94,0))</f>
        <v/>
      </c>
      <c r="O36" t="inlineStr">
        <is>
          <t>moi</t>
        </is>
      </c>
      <c r="R36" t="n">
        <v>21</v>
      </c>
      <c r="S36">
        <f>IF($D$36="",0,INDEX(boss_input_vu_khi_suy_ra!$B$2:$B$94,MATCH($D$36,boss_input_vu_khi_suy_ra!$A$2:$A$94,0))*IF(INDEX(boss_input_vu_khi!$D$2:$D$94,MATCH($D$36,boss_input_vu_khi!$A$2:$A$94,0)),1,Boss_dps!$B$10)*Boss_dps!$C$10)</f>
        <v/>
      </c>
      <c r="T36" t="n">
        <v>85.71428571428571</v>
      </c>
      <c r="U36" t="inlineStr">
        <is>
          <t>Assets/MachineBrigade/Resources/Data/balance.json: vehicles[id=coeus] dựng bởi Tools/balance/p26_ab.expand</t>
        </is>
      </c>
      <c r="V36" t="inlineStr"/>
    </row>
    <row r="37">
      <c r="A37" t="inlineStr">
        <is>
          <t>coeus/1</t>
        </is>
      </c>
      <c r="B37" t="inlineStr">
        <is>
          <t>coeus</t>
        </is>
      </c>
      <c r="C37" t="n">
        <v>1</v>
      </c>
      <c r="D37" t="inlineStr">
        <is>
          <t>pt14_co_v76</t>
        </is>
      </c>
      <c r="E37" t="inlineStr">
        <is>
          <t>gun</t>
        </is>
      </c>
      <c r="F37" t="inlineStr">
        <is>
          <t>Free</t>
        </is>
      </c>
      <c r="G37" t="inlineStr"/>
      <c r="H37" t="n">
        <v>1</v>
      </c>
      <c r="I37" t="n">
        <v>120</v>
      </c>
      <c r="J37" t="n">
        <v>3.2</v>
      </c>
      <c r="K37" t="n">
        <v>3</v>
      </c>
      <c r="L37" t="n">
        <v>6</v>
      </c>
      <c r="M37" t="n">
        <v>0</v>
      </c>
      <c r="N37">
        <f>INDEX(boss_input_vu_khi_suy_ra!$C$2:$C$94,MATCH($D$37,boss_input_vu_khi_suy_ra!$A$2:$A$94,0))</f>
        <v/>
      </c>
      <c r="O37" t="inlineStr">
        <is>
          <t>moi</t>
        </is>
      </c>
      <c r="R37" t="n">
        <v>4.1</v>
      </c>
      <c r="S37">
        <f>IF($D$37="",0,INDEX(boss_input_vu_khi_suy_ra!$B$2:$B$94,MATCH($D$37,boss_input_vu_khi_suy_ra!$A$2:$A$94,0))*IF(INDEX(boss_input_vu_khi!$D$2:$D$94,MATCH($D$37,boss_input_vu_khi!$A$2:$A$94,0)),1,Boss_dps!$B$10)*Boss_dps!$C$10)</f>
        <v/>
      </c>
      <c r="T37" t="n">
        <v>117.0731707317073</v>
      </c>
      <c r="U37" t="inlineStr">
        <is>
          <t>Assets/MachineBrigade/Resources/Data/balance.json: vehicles[id=coeus] dựng bởi Tools/balance/p26_ab.expand</t>
        </is>
      </c>
      <c r="V37" t="inlineStr"/>
    </row>
    <row r="38">
      <c r="A38" t="inlineStr">
        <is>
          <t>coeus/2</t>
        </is>
      </c>
      <c r="B38" t="inlineStr">
        <is>
          <t>coeus</t>
        </is>
      </c>
      <c r="C38" t="n">
        <v>2</v>
      </c>
      <c r="D38" t="inlineStr">
        <is>
          <t>pt14_co_v76</t>
        </is>
      </c>
      <c r="E38" t="inlineStr">
        <is>
          <t>gun</t>
        </is>
      </c>
      <c r="F38" t="inlineStr">
        <is>
          <t>Free</t>
        </is>
      </c>
      <c r="G38" t="inlineStr"/>
      <c r="H38" t="n">
        <v>1</v>
      </c>
      <c r="I38" t="n">
        <v>120</v>
      </c>
      <c r="J38" t="n">
        <v>3.2</v>
      </c>
      <c r="K38" t="n">
        <v>3</v>
      </c>
      <c r="L38" t="n">
        <v>6</v>
      </c>
      <c r="M38" t="n">
        <v>0</v>
      </c>
      <c r="N38">
        <f>INDEX(boss_input_vu_khi_suy_ra!$C$2:$C$94,MATCH($D$38,boss_input_vu_khi_suy_ra!$A$2:$A$94,0))</f>
        <v/>
      </c>
      <c r="O38" t="inlineStr">
        <is>
          <t>moi</t>
        </is>
      </c>
      <c r="R38" t="n">
        <v>4.1</v>
      </c>
      <c r="S38">
        <f>IF($D$38="",0,INDEX(boss_input_vu_khi_suy_ra!$B$2:$B$94,MATCH($D$38,boss_input_vu_khi_suy_ra!$A$2:$A$94,0))*IF(INDEX(boss_input_vu_khi!$D$2:$D$94,MATCH($D$38,boss_input_vu_khi!$A$2:$A$94,0)),1,Boss_dps!$B$10)*Boss_dps!$C$10)</f>
        <v/>
      </c>
      <c r="T38" t="n">
        <v>117.0731707317073</v>
      </c>
      <c r="U38" t="inlineStr">
        <is>
          <t>Assets/MachineBrigade/Resources/Data/balance.json: vehicles[id=coeus] dựng bởi Tools/balance/p26_ab.expand</t>
        </is>
      </c>
      <c r="V38" t="inlineStr"/>
    </row>
    <row r="39">
      <c r="A39" t="inlineStr">
        <is>
          <t>coeus/3</t>
        </is>
      </c>
      <c r="B39" t="inlineStr">
        <is>
          <t>coeus</t>
        </is>
      </c>
      <c r="C39" t="n">
        <v>3</v>
      </c>
      <c r="D39" t="inlineStr">
        <is>
          <t>pt14_co_spike</t>
        </is>
      </c>
      <c r="E39" t="inlineStr">
        <is>
          <t>rocket</t>
        </is>
      </c>
      <c r="F39" t="inlineStr">
        <is>
          <t>Free</t>
        </is>
      </c>
      <c r="G39" t="inlineStr"/>
      <c r="H39" t="n">
        <v>1</v>
      </c>
      <c r="I39" t="n">
        <v>300</v>
      </c>
      <c r="J39" t="n">
        <v>12</v>
      </c>
      <c r="K39" t="n">
        <v>0</v>
      </c>
      <c r="L39" t="n">
        <v>0</v>
      </c>
      <c r="M39" t="n">
        <v>0</v>
      </c>
      <c r="N39">
        <f>INDEX(boss_input_vu_khi_suy_ra!$C$2:$C$94,MATCH($D$39,boss_input_vu_khi_suy_ra!$A$2:$A$94,0))</f>
        <v/>
      </c>
      <c r="O39" t="inlineStr">
        <is>
          <t>moi</t>
        </is>
      </c>
      <c r="R39" t="n">
        <v>12.8</v>
      </c>
      <c r="S39">
        <f>IF($D$39="",0,INDEX(boss_input_vu_khi_suy_ra!$B$2:$B$94,MATCH($D$39,boss_input_vu_khi_suy_ra!$A$2:$A$94,0))*IF(INDEX(boss_input_vu_khi!$D$2:$D$94,MATCH($D$39,boss_input_vu_khi!$A$2:$A$94,0)),1,Boss_dps!$B$10)*Boss_dps!$C$10)</f>
        <v/>
      </c>
      <c r="T39" t="n">
        <v>46.875</v>
      </c>
      <c r="U39" t="inlineStr">
        <is>
          <t>Assets/MachineBrigade/Resources/Data/balance.json: vehicles[id=coeus] dựng bởi Tools/balance/p26_ab.expand</t>
        </is>
      </c>
      <c r="V39" t="inlineStr"/>
    </row>
    <row r="40">
      <c r="A40" t="inlineStr">
        <is>
          <t>coeus/4</t>
        </is>
      </c>
      <c r="B40" t="inlineStr">
        <is>
          <t>coeus</t>
        </is>
      </c>
      <c r="C40" t="n">
        <v>4</v>
      </c>
      <c r="D40" t="inlineStr">
        <is>
          <t>pt14_co_spike</t>
        </is>
      </c>
      <c r="E40" t="inlineStr">
        <is>
          <t>rocket</t>
        </is>
      </c>
      <c r="F40" t="inlineStr">
        <is>
          <t>Free</t>
        </is>
      </c>
      <c r="G40" t="inlineStr"/>
      <c r="H40" t="n">
        <v>1</v>
      </c>
      <c r="I40" t="n">
        <v>300</v>
      </c>
      <c r="J40" t="n">
        <v>12</v>
      </c>
      <c r="K40" t="n">
        <v>0</v>
      </c>
      <c r="L40" t="n">
        <v>0</v>
      </c>
      <c r="M40" t="n">
        <v>0</v>
      </c>
      <c r="N40">
        <f>INDEX(boss_input_vu_khi_suy_ra!$C$2:$C$94,MATCH($D$40,boss_input_vu_khi_suy_ra!$A$2:$A$94,0))</f>
        <v/>
      </c>
      <c r="O40" t="inlineStr">
        <is>
          <t>moi</t>
        </is>
      </c>
      <c r="R40" t="n">
        <v>12.8</v>
      </c>
      <c r="S40">
        <f>IF($D$40="",0,INDEX(boss_input_vu_khi_suy_ra!$B$2:$B$94,MATCH($D$40,boss_input_vu_khi_suy_ra!$A$2:$A$94,0))*IF(INDEX(boss_input_vu_khi!$D$2:$D$94,MATCH($D$40,boss_input_vu_khi!$A$2:$A$94,0)),1,Boss_dps!$B$10)*Boss_dps!$C$10)</f>
        <v/>
      </c>
      <c r="T40" t="n">
        <v>46.875</v>
      </c>
      <c r="U40" t="inlineStr">
        <is>
          <t>Assets/MachineBrigade/Resources/Data/balance.json: vehicles[id=coeus] dựng bởi Tools/balance/p26_ab.expand</t>
        </is>
      </c>
      <c r="V40" t="inlineStr"/>
    </row>
    <row r="41">
      <c r="A41" t="inlineStr">
        <is>
          <t>command_airship/0</t>
        </is>
      </c>
      <c r="B41" t="inlineStr">
        <is>
          <t>command_airship</t>
        </is>
      </c>
      <c r="C41" t="n">
        <v>0</v>
      </c>
      <c r="D41" t="inlineStr">
        <is>
          <t>p26_roc_main_roc_bombs</t>
        </is>
      </c>
      <c r="E41" t="inlineStr">
        <is>
          <t>gun</t>
        </is>
      </c>
      <c r="F41" t="inlineStr">
        <is>
          <t>Free</t>
        </is>
      </c>
      <c r="G41" t="inlineStr"/>
      <c r="H41" t="n">
        <v>1</v>
      </c>
      <c r="I41" t="n">
        <v>700</v>
      </c>
      <c r="J41" t="n">
        <v>33.34</v>
      </c>
      <c r="K41" t="n">
        <v>10</v>
      </c>
      <c r="L41" t="n">
        <v>20</v>
      </c>
      <c r="M41" t="n">
        <v>2.722222222222222</v>
      </c>
      <c r="N41">
        <f>INDEX(boss_input_vu_khi_suy_ra!$C$2:$C$94,MATCH($D$41,boss_input_vu_khi_suy_ra!$A$2:$A$94,0))</f>
        <v/>
      </c>
      <c r="O41" t="inlineStr">
        <is>
          <t>giong</t>
        </is>
      </c>
      <c r="R41" t="n">
        <v>35.44</v>
      </c>
      <c r="S41">
        <f>IF($D$41="",0,INDEX(boss_input_vu_khi_suy_ra!$B$2:$B$94,MATCH($D$41,boss_input_vu_khi_suy_ra!$A$2:$A$94,0))*IF(INDEX(boss_input_vu_khi!$D$2:$D$94,MATCH($D$41,boss_input_vu_khi!$A$2:$A$94,0)),1,Boss_dps!$B$11)*Boss_dps!$C$11)</f>
        <v/>
      </c>
      <c r="T41" t="n">
        <v>282.7178329571105</v>
      </c>
      <c r="U41" t="inlineStr">
        <is>
          <t>Assets/MachineBrigade/Resources/Data/balance.json: vehicles[id=command_airship] dựng bởi Tools/balance/p26_ab.expand</t>
        </is>
      </c>
      <c r="V41" t="inlineStr"/>
    </row>
    <row r="42">
      <c r="A42" t="inlineStr">
        <is>
          <t>command_airship/1</t>
        </is>
      </c>
      <c r="B42" t="inlineStr">
        <is>
          <t>command_airship</t>
        </is>
      </c>
      <c r="C42" t="n">
        <v>1</v>
      </c>
      <c r="D42" t="inlineStr">
        <is>
          <t>p26_roc_main_roc_bombs</t>
        </is>
      </c>
      <c r="E42" t="inlineStr">
        <is>
          <t>gun</t>
        </is>
      </c>
      <c r="F42" t="inlineStr">
        <is>
          <t>Free</t>
        </is>
      </c>
      <c r="G42" t="inlineStr"/>
      <c r="H42" t="n">
        <v>1</v>
      </c>
      <c r="I42" t="n">
        <v>700</v>
      </c>
      <c r="J42" t="n">
        <v>33.34</v>
      </c>
      <c r="K42" t="n">
        <v>10</v>
      </c>
      <c r="L42" t="n">
        <v>20</v>
      </c>
      <c r="M42" t="n">
        <v>2.722222222222222</v>
      </c>
      <c r="N42">
        <f>INDEX(boss_input_vu_khi_suy_ra!$C$2:$C$94,MATCH($D$42,boss_input_vu_khi_suy_ra!$A$2:$A$94,0))</f>
        <v/>
      </c>
      <c r="O42" t="inlineStr">
        <is>
          <t>giong</t>
        </is>
      </c>
      <c r="R42" t="n">
        <v>35.44</v>
      </c>
      <c r="S42">
        <f>IF($D$42="",0,INDEX(boss_input_vu_khi_suy_ra!$B$2:$B$94,MATCH($D$42,boss_input_vu_khi_suy_ra!$A$2:$A$94,0))*IF(INDEX(boss_input_vu_khi!$D$2:$D$94,MATCH($D$42,boss_input_vu_khi!$A$2:$A$94,0)),1,Boss_dps!$B$11)*Boss_dps!$C$11)</f>
        <v/>
      </c>
      <c r="T42" t="n">
        <v>282.7178329571105</v>
      </c>
      <c r="U42" t="inlineStr">
        <is>
          <t>Assets/MachineBrigade/Resources/Data/balance.json: vehicles[id=command_airship] dựng bởi Tools/balance/p26_ab.expand</t>
        </is>
      </c>
      <c r="V42" t="inlineStr"/>
    </row>
    <row r="43">
      <c r="A43" t="inlineStr">
        <is>
          <t>command_airship/2</t>
        </is>
      </c>
      <c r="B43" t="inlineStr">
        <is>
          <t>command_airship</t>
        </is>
      </c>
      <c r="C43" t="n">
        <v>2</v>
      </c>
      <c r="D43" t="inlineStr">
        <is>
          <t>p26_roc_direct_roc_atgm</t>
        </is>
      </c>
      <c r="E43" t="inlineStr">
        <is>
          <t>door_l</t>
        </is>
      </c>
      <c r="F43" t="inlineStr">
        <is>
          <t>Free</t>
        </is>
      </c>
      <c r="G43" t="inlineStr">
        <is>
          <t>hangar_l</t>
        </is>
      </c>
      <c r="H43" t="n">
        <v>1</v>
      </c>
      <c r="I43" t="n">
        <v>230</v>
      </c>
      <c r="J43" t="n">
        <v>19.4</v>
      </c>
      <c r="K43" t="n">
        <v>0</v>
      </c>
      <c r="L43" t="n">
        <v>0</v>
      </c>
      <c r="M43" t="n">
        <v>0</v>
      </c>
      <c r="N43">
        <f>INDEX(boss_input_vu_khi_suy_ra!$C$2:$C$94,MATCH($D$43,boss_input_vu_khi_suy_ra!$A$2:$A$94,0))</f>
        <v/>
      </c>
      <c r="O43" t="inlineStr">
        <is>
          <t>giong</t>
        </is>
      </c>
      <c r="R43" t="n">
        <v>20</v>
      </c>
      <c r="S43">
        <f>IF($D$43="",0,INDEX(boss_input_vu_khi_suy_ra!$B$2:$B$94,MATCH($D$43,boss_input_vu_khi_suy_ra!$A$2:$A$94,0))*IF(INDEX(boss_input_vu_khi!$D$2:$D$94,MATCH($D$43,boss_input_vu_khi!$A$2:$A$94,0)),1,Boss_dps!$B$11)*Boss_dps!$C$11)</f>
        <v/>
      </c>
      <c r="T43" t="n">
        <v>41.15159999999999</v>
      </c>
      <c r="U43" t="inlineStr">
        <is>
          <t>Assets/MachineBrigade/Resources/Data/balance.json: vehicles[id=command_airship] dựng bởi Tools/balance/p26_ab.expand</t>
        </is>
      </c>
      <c r="V43" t="inlineStr"/>
    </row>
    <row r="44">
      <c r="A44" t="inlineStr">
        <is>
          <t>command_airship/3</t>
        </is>
      </c>
      <c r="B44" t="inlineStr">
        <is>
          <t>command_airship</t>
        </is>
      </c>
      <c r="C44" t="n">
        <v>3</v>
      </c>
      <c r="D44" t="inlineStr">
        <is>
          <t>p26_roc_direct_roc_atgm</t>
        </is>
      </c>
      <c r="E44" t="inlineStr">
        <is>
          <t>door_r</t>
        </is>
      </c>
      <c r="F44" t="inlineStr">
        <is>
          <t>Free</t>
        </is>
      </c>
      <c r="G44" t="inlineStr">
        <is>
          <t>hangar_r</t>
        </is>
      </c>
      <c r="H44" t="n">
        <v>1</v>
      </c>
      <c r="I44" t="n">
        <v>230</v>
      </c>
      <c r="J44" t="n">
        <v>19.4</v>
      </c>
      <c r="K44" t="n">
        <v>0</v>
      </c>
      <c r="L44" t="n">
        <v>0</v>
      </c>
      <c r="M44" t="n">
        <v>0</v>
      </c>
      <c r="N44">
        <f>INDEX(boss_input_vu_khi_suy_ra!$C$2:$C$94,MATCH($D$44,boss_input_vu_khi_suy_ra!$A$2:$A$94,0))</f>
        <v/>
      </c>
      <c r="O44" t="inlineStr">
        <is>
          <t>giong</t>
        </is>
      </c>
      <c r="R44" t="n">
        <v>20</v>
      </c>
      <c r="S44">
        <f>IF($D$44="",0,INDEX(boss_input_vu_khi_suy_ra!$B$2:$B$94,MATCH($D$44,boss_input_vu_khi_suy_ra!$A$2:$A$94,0))*IF(INDEX(boss_input_vu_khi!$D$2:$D$94,MATCH($D$44,boss_input_vu_khi!$A$2:$A$94,0)),1,Boss_dps!$B$11)*Boss_dps!$C$11)</f>
        <v/>
      </c>
      <c r="T44" t="n">
        <v>41.15159999999999</v>
      </c>
      <c r="U44" t="inlineStr">
        <is>
          <t>Assets/MachineBrigade/Resources/Data/balance.json: vehicles[id=command_airship] dựng bởi Tools/balance/p26_ab.expand</t>
        </is>
      </c>
      <c r="V44" t="inlineStr"/>
    </row>
    <row r="45">
      <c r="A45" t="inlineStr">
        <is>
          <t>command_airship/4</t>
        </is>
      </c>
      <c r="B45" t="inlineStr">
        <is>
          <t>command_airship</t>
        </is>
      </c>
      <c r="C45" t="n">
        <v>4</v>
      </c>
      <c r="D45" t="inlineStr">
        <is>
          <t>p26_roc_close_twin_30_bmpt</t>
        </is>
      </c>
      <c r="E45" t="inlineStr">
        <is>
          <t>gun</t>
        </is>
      </c>
      <c r="F45" t="inlineStr">
        <is>
          <t>Free</t>
        </is>
      </c>
      <c r="G45" t="inlineStr">
        <is>
          <t>bomb_bay</t>
        </is>
      </c>
      <c r="H45" t="n">
        <v>1</v>
      </c>
      <c r="I45" t="n">
        <v>22</v>
      </c>
      <c r="J45" t="n">
        <v>1.45</v>
      </c>
      <c r="K45" t="n">
        <v>0</v>
      </c>
      <c r="L45" t="n">
        <v>0</v>
      </c>
      <c r="M45" t="n">
        <v>0</v>
      </c>
      <c r="N45">
        <f>INDEX(boss_input_vu_khi_suy_ra!$C$2:$C$94,MATCH($D$45,boss_input_vu_khi_suy_ra!$A$2:$A$94,0))</f>
        <v/>
      </c>
      <c r="O45" t="inlineStr">
        <is>
          <t>giong</t>
        </is>
      </c>
      <c r="R45" t="n">
        <v>2.3663</v>
      </c>
      <c r="S45">
        <f>IF($D$45="",0,INDEX(boss_input_vu_khi_suy_ra!$B$2:$B$94,MATCH($D$45,boss_input_vu_khi_suy_ra!$A$2:$A$94,0))*IF(INDEX(boss_input_vu_khi!$D$2:$D$94,MATCH($D$45,boss_input_vu_khi!$A$2:$A$94,0)),1,Boss_dps!$B$11)*Boss_dps!$C$11)</f>
        <v/>
      </c>
      <c r="T45" t="n">
        <v>199.6149262561806</v>
      </c>
      <c r="U45" t="inlineStr">
        <is>
          <t>Assets/MachineBrigade/Resources/Data/balance.json: vehicles[id=command_airship] dựng bởi Tools/balance/p26_ab.expand</t>
        </is>
      </c>
      <c r="V45" t="inlineStr"/>
    </row>
    <row r="46">
      <c r="A46" t="inlineStr">
        <is>
          <t>command_airship/5</t>
        </is>
      </c>
      <c r="B46" t="inlineStr">
        <is>
          <t>command_airship</t>
        </is>
      </c>
      <c r="C46" t="n">
        <v>5</v>
      </c>
      <c r="D46" t="inlineStr">
        <is>
          <t>p26_roc_close_twin_30_bmpt</t>
        </is>
      </c>
      <c r="E46" t="inlineStr">
        <is>
          <t>gun</t>
        </is>
      </c>
      <c r="F46" t="inlineStr">
        <is>
          <t>Free</t>
        </is>
      </c>
      <c r="G46" t="inlineStr">
        <is>
          <t>bomb_bay</t>
        </is>
      </c>
      <c r="H46" t="n">
        <v>1</v>
      </c>
      <c r="I46" t="n">
        <v>22</v>
      </c>
      <c r="J46" t="n">
        <v>1.45</v>
      </c>
      <c r="K46" t="n">
        <v>0</v>
      </c>
      <c r="L46" t="n">
        <v>0</v>
      </c>
      <c r="M46" t="n">
        <v>0</v>
      </c>
      <c r="N46">
        <f>INDEX(boss_input_vu_khi_suy_ra!$C$2:$C$94,MATCH($D$46,boss_input_vu_khi_suy_ra!$A$2:$A$94,0))</f>
        <v/>
      </c>
      <c r="O46" t="inlineStr">
        <is>
          <t>giong</t>
        </is>
      </c>
      <c r="R46" t="n">
        <v>2.3663</v>
      </c>
      <c r="S46">
        <f>IF($D$46="",0,INDEX(boss_input_vu_khi_suy_ra!$B$2:$B$94,MATCH($D$46,boss_input_vu_khi_suy_ra!$A$2:$A$94,0))*IF(INDEX(boss_input_vu_khi!$D$2:$D$94,MATCH($D$46,boss_input_vu_khi!$A$2:$A$94,0)),1,Boss_dps!$B$11)*Boss_dps!$C$11)</f>
        <v/>
      </c>
      <c r="T46" t="n">
        <v>199.6149262561806</v>
      </c>
      <c r="U46" t="inlineStr">
        <is>
          <t>Assets/MachineBrigade/Resources/Data/balance.json: vehicles[id=command_airship] dựng bởi Tools/balance/p26_ab.expand</t>
        </is>
      </c>
      <c r="V46" t="inlineStr"/>
    </row>
    <row r="47">
      <c r="A47" t="inlineStr">
        <is>
          <t>command_airship/6</t>
        </is>
      </c>
      <c r="B47" t="inlineStr">
        <is>
          <t>command_airship</t>
        </is>
      </c>
      <c r="C47" t="n">
        <v>6</v>
      </c>
      <c r="D47" t="inlineStr">
        <is>
          <t>p26_roc_roc105</t>
        </is>
      </c>
      <c r="E47" t="inlineStr">
        <is>
          <t>gun</t>
        </is>
      </c>
      <c r="F47" t="inlineStr">
        <is>
          <t>Free</t>
        </is>
      </c>
      <c r="G47" t="inlineStr">
        <is>
          <t>pod_105_l</t>
        </is>
      </c>
      <c r="H47" t="n">
        <v>1</v>
      </c>
      <c r="I47" t="n">
        <v>300</v>
      </c>
      <c r="J47" t="n">
        <v>6</v>
      </c>
      <c r="K47" t="n">
        <v>5.5</v>
      </c>
      <c r="L47" t="n">
        <v>11</v>
      </c>
      <c r="M47" t="n">
        <v>0</v>
      </c>
      <c r="N47">
        <f>INDEX(boss_input_vu_khi_suy_ra!$C$2:$C$94,MATCH($D$47,boss_input_vu_khi_suy_ra!$A$2:$A$94,0))</f>
        <v/>
      </c>
      <c r="O47" t="inlineStr">
        <is>
          <t>giong</t>
        </is>
      </c>
      <c r="R47" t="n">
        <v>6</v>
      </c>
      <c r="S47">
        <f>IF($D$47="",0,INDEX(boss_input_vu_khi_suy_ra!$B$2:$B$94,MATCH($D$47,boss_input_vu_khi_suy_ra!$A$2:$A$94,0))*IF(INDEX(boss_input_vu_khi!$D$2:$D$94,MATCH($D$47,boss_input_vu_khi!$A$2:$A$94,0)),1,Boss_dps!$B$11)*Boss_dps!$C$11)</f>
        <v/>
      </c>
      <c r="T47" t="n">
        <v>89.45999999999999</v>
      </c>
      <c r="U47" t="inlineStr">
        <is>
          <t>Assets/MachineBrigade/Resources/Data/balance.json: vehicles[id=command_airship] dựng bởi Tools/balance/p26_ab.expand</t>
        </is>
      </c>
      <c r="V47" t="inlineStr"/>
    </row>
    <row r="48">
      <c r="A48" t="inlineStr">
        <is>
          <t>command_airship/7</t>
        </is>
      </c>
      <c r="B48" t="inlineStr">
        <is>
          <t>command_airship</t>
        </is>
      </c>
      <c r="C48" t="n">
        <v>7</v>
      </c>
      <c r="D48" t="inlineStr">
        <is>
          <t>p26_roc_roc105</t>
        </is>
      </c>
      <c r="E48" t="inlineStr">
        <is>
          <t>gun</t>
        </is>
      </c>
      <c r="F48" t="inlineStr">
        <is>
          <t>Free</t>
        </is>
      </c>
      <c r="G48" t="inlineStr">
        <is>
          <t>pod_105_r</t>
        </is>
      </c>
      <c r="H48" t="n">
        <v>1</v>
      </c>
      <c r="I48" t="n">
        <v>300</v>
      </c>
      <c r="J48" t="n">
        <v>6</v>
      </c>
      <c r="K48" t="n">
        <v>5.5</v>
      </c>
      <c r="L48" t="n">
        <v>11</v>
      </c>
      <c r="M48" t="n">
        <v>0</v>
      </c>
      <c r="N48">
        <f>INDEX(boss_input_vu_khi_suy_ra!$C$2:$C$94,MATCH($D$48,boss_input_vu_khi_suy_ra!$A$2:$A$94,0))</f>
        <v/>
      </c>
      <c r="O48" t="inlineStr">
        <is>
          <t>giong</t>
        </is>
      </c>
      <c r="R48" t="n">
        <v>6</v>
      </c>
      <c r="S48">
        <f>IF($D$48="",0,INDEX(boss_input_vu_khi_suy_ra!$B$2:$B$94,MATCH($D$48,boss_input_vu_khi_suy_ra!$A$2:$A$94,0))*IF(INDEX(boss_input_vu_khi!$D$2:$D$94,MATCH($D$48,boss_input_vu_khi!$A$2:$A$94,0)),1,Boss_dps!$B$11)*Boss_dps!$C$11)</f>
        <v/>
      </c>
      <c r="T48" t="n">
        <v>89.45999999999999</v>
      </c>
      <c r="U48" t="inlineStr">
        <is>
          <t>Assets/MachineBrigade/Resources/Data/balance.json: vehicles[id=command_airship] dựng bởi Tools/balance/p26_ab.expand</t>
        </is>
      </c>
      <c r="V48" t="inlineStr"/>
    </row>
    <row r="49">
      <c r="A49" t="inlineStr">
        <is>
          <t>daedalus/0</t>
        </is>
      </c>
      <c r="B49" t="inlineStr">
        <is>
          <t>daedalus</t>
        </is>
      </c>
      <c r="C49" t="n">
        <v>0</v>
      </c>
      <c r="D49" t="inlineStr">
        <is>
          <t>p26_daedalus_direct_dae_laser</t>
        </is>
      </c>
      <c r="E49" t="inlineStr">
        <is>
          <t>gun</t>
        </is>
      </c>
      <c r="F49" t="inlineStr">
        <is>
          <t>Free</t>
        </is>
      </c>
      <c r="G49" t="inlineStr">
        <is>
          <t>gun_l</t>
        </is>
      </c>
      <c r="H49" t="n">
        <v>1</v>
      </c>
      <c r="I49" t="n">
        <v>16.5</v>
      </c>
      <c r="J49" t="n">
        <v>0.1</v>
      </c>
      <c r="K49" t="n">
        <v>1.5</v>
      </c>
      <c r="L49" t="n">
        <v>0</v>
      </c>
      <c r="M49" t="n">
        <v>0</v>
      </c>
      <c r="N49">
        <f>INDEX(boss_input_vu_khi_suy_ra!$C$2:$C$94,MATCH($D$49,boss_input_vu_khi_suy_ra!$A$2:$A$94,0))</f>
        <v/>
      </c>
      <c r="O49" t="inlineStr">
        <is>
          <t>giong</t>
        </is>
      </c>
      <c r="R49" t="n">
        <v>0.1</v>
      </c>
      <c r="S49">
        <f>IF($D$49="",0,INDEX(boss_input_vu_khi_suy_ra!$B$2:$B$94,MATCH($D$49,boss_input_vu_khi_suy_ra!$A$2:$A$94,0))*IF(INDEX(boss_input_vu_khi!$D$2:$D$94,MATCH($D$49,boss_input_vu_khi!$A$2:$A$94,0)),1,Boss_dps!$B$12)*Boss_dps!$C$12)</f>
        <v/>
      </c>
      <c r="T49" t="n">
        <v>165</v>
      </c>
      <c r="U49" t="inlineStr">
        <is>
          <t>Assets/MachineBrigade/Resources/Data/balance.json: vehicles[id=daedalus] dựng bởi Tools/balance/p26_ab.expand</t>
        </is>
      </c>
      <c r="V49" t="inlineStr"/>
    </row>
    <row r="50">
      <c r="A50" t="inlineStr">
        <is>
          <t>daedalus/1</t>
        </is>
      </c>
      <c r="B50" t="inlineStr">
        <is>
          <t>daedalus</t>
        </is>
      </c>
      <c r="C50" t="n">
        <v>1</v>
      </c>
      <c r="D50" t="inlineStr">
        <is>
          <t>pt14_dd_v57</t>
        </is>
      </c>
      <c r="E50" t="inlineStr">
        <is>
          <t>gun</t>
        </is>
      </c>
      <c r="F50" t="inlineStr">
        <is>
          <t>Free</t>
        </is>
      </c>
      <c r="G50" t="inlineStr"/>
      <c r="H50" t="n">
        <v>2</v>
      </c>
      <c r="I50" t="n">
        <v>120</v>
      </c>
      <c r="J50" t="n">
        <v>2.79</v>
      </c>
      <c r="K50" t="n">
        <v>3</v>
      </c>
      <c r="L50" t="n">
        <v>6</v>
      </c>
      <c r="M50" t="n">
        <v>0</v>
      </c>
      <c r="N50">
        <f>INDEX(boss_input_vu_khi_suy_ra!$C$2:$C$94,MATCH($D$50,boss_input_vu_khi_suy_ra!$A$2:$A$94,0))</f>
        <v/>
      </c>
      <c r="O50" t="inlineStr">
        <is>
          <t>doi</t>
        </is>
      </c>
      <c r="P50" t="inlineStr">
        <is>
          <t>p26_daedalus_sec_dae57</t>
        </is>
      </c>
      <c r="Q50" t="inlineStr">
        <is>
          <t>pt14_dd_v57</t>
        </is>
      </c>
      <c r="R50" t="n">
        <v>4.29</v>
      </c>
      <c r="S50">
        <f>IF($D$50="",0,INDEX(boss_input_vu_khi_suy_ra!$B$2:$B$94,MATCH($D$50,boss_input_vu_khi_suy_ra!$A$2:$A$94,0))*IF(INDEX(boss_input_vu_khi!$D$2:$D$94,MATCH($D$50,boss_input_vu_khi!$A$2:$A$94,0)),1,Boss_dps!$B$12)*Boss_dps!$C$12)</f>
        <v/>
      </c>
      <c r="T50" t="n">
        <v>223.7762237762238</v>
      </c>
      <c r="U50" t="inlineStr">
        <is>
          <t>Assets/MachineBrigade/Resources/Data/balance.json: vehicles[id=daedalus] dựng bởi Tools/balance/p26_ab.expand</t>
        </is>
      </c>
      <c r="V50" t="inlineStr"/>
    </row>
    <row r="51">
      <c r="A51" t="inlineStr">
        <is>
          <t>daedalus/2</t>
        </is>
      </c>
      <c r="B51" t="inlineStr">
        <is>
          <t>daedalus</t>
        </is>
      </c>
      <c r="C51" t="n">
        <v>2</v>
      </c>
      <c r="D51" t="inlineStr">
        <is>
          <t>pt14_dd_v57</t>
        </is>
      </c>
      <c r="E51" t="inlineStr">
        <is>
          <t>gun</t>
        </is>
      </c>
      <c r="F51" t="inlineStr">
        <is>
          <t>Free</t>
        </is>
      </c>
      <c r="G51" t="inlineStr"/>
      <c r="H51" t="n">
        <v>2</v>
      </c>
      <c r="I51" t="n">
        <v>120</v>
      </c>
      <c r="J51" t="n">
        <v>2.79</v>
      </c>
      <c r="K51" t="n">
        <v>3</v>
      </c>
      <c r="L51" t="n">
        <v>6</v>
      </c>
      <c r="M51" t="n">
        <v>0</v>
      </c>
      <c r="N51">
        <f>INDEX(boss_input_vu_khi_suy_ra!$C$2:$C$94,MATCH($D$51,boss_input_vu_khi_suy_ra!$A$2:$A$94,0))</f>
        <v/>
      </c>
      <c r="O51" t="inlineStr">
        <is>
          <t>doi</t>
        </is>
      </c>
      <c r="P51" t="inlineStr">
        <is>
          <t>p26_daedalus_sec_dae57</t>
        </is>
      </c>
      <c r="Q51" t="inlineStr">
        <is>
          <t>pt14_dd_v57</t>
        </is>
      </c>
      <c r="R51" t="n">
        <v>4.29</v>
      </c>
      <c r="S51">
        <f>IF($D$51="",0,INDEX(boss_input_vu_khi_suy_ra!$B$2:$B$94,MATCH($D$51,boss_input_vu_khi_suy_ra!$A$2:$A$94,0))*IF(INDEX(boss_input_vu_khi!$D$2:$D$94,MATCH($D$51,boss_input_vu_khi!$A$2:$A$94,0)),1,Boss_dps!$B$12)*Boss_dps!$C$12)</f>
        <v/>
      </c>
      <c r="T51" t="n">
        <v>223.7762237762238</v>
      </c>
      <c r="U51" t="inlineStr">
        <is>
          <t>Assets/MachineBrigade/Resources/Data/balance.json: vehicles[id=daedalus] dựng bởi Tools/balance/p26_ab.expand</t>
        </is>
      </c>
      <c r="V51" t="inlineStr"/>
    </row>
    <row r="52">
      <c r="A52" t="inlineStr">
        <is>
          <t>daedalus/3</t>
        </is>
      </c>
      <c r="B52" t="inlineStr">
        <is>
          <t>daedalus</t>
        </is>
      </c>
      <c r="C52" t="n">
        <v>3</v>
      </c>
      <c r="D52" t="inlineStr">
        <is>
          <t>pt14_dd_v25</t>
        </is>
      </c>
      <c r="E52" t="inlineStr">
        <is>
          <t>gun</t>
        </is>
      </c>
      <c r="F52" t="inlineStr">
        <is>
          <t>Free</t>
        </is>
      </c>
      <c r="G52" t="inlineStr"/>
      <c r="H52" t="n">
        <v>1</v>
      </c>
      <c r="I52" t="n">
        <v>15</v>
      </c>
      <c r="J52" t="n">
        <v>2.2</v>
      </c>
      <c r="K52" t="n">
        <v>0</v>
      </c>
      <c r="L52" t="n">
        <v>0</v>
      </c>
      <c r="M52" t="n">
        <v>0</v>
      </c>
      <c r="N52">
        <f>INDEX(boss_input_vu_khi_suy_ra!$C$2:$C$94,MATCH($D$52,boss_input_vu_khi_suy_ra!$A$2:$A$94,0))</f>
        <v/>
      </c>
      <c r="O52" t="inlineStr">
        <is>
          <t>doi</t>
        </is>
      </c>
      <c r="P52" t="inlineStr">
        <is>
          <t>p26_daedalus_direct_dae_laser</t>
        </is>
      </c>
      <c r="Q52" t="inlineStr">
        <is>
          <t>pt14_dd_v25</t>
        </is>
      </c>
      <c r="R52" t="n">
        <v>2.85</v>
      </c>
      <c r="S52">
        <f>IF($D$52="",0,INDEX(boss_input_vu_khi_suy_ra!$B$2:$B$94,MATCH($D$52,boss_input_vu_khi_suy_ra!$A$2:$A$94,0))*IF(INDEX(boss_input_vu_khi!$D$2:$D$94,MATCH($D$52,boss_input_vu_khi!$A$2:$A$94,0)),1,Boss_dps!$B$12)*Boss_dps!$C$12)</f>
        <v/>
      </c>
      <c r="T52" t="n">
        <v>73.68421052631578</v>
      </c>
      <c r="U52" t="inlineStr">
        <is>
          <t>Assets/MachineBrigade/Resources/Data/balance.json: vehicles[id=daedalus] dựng bởi Tools/balance/p26_ab.expand</t>
        </is>
      </c>
      <c r="V52" t="inlineStr"/>
    </row>
    <row r="53">
      <c r="A53" t="inlineStr">
        <is>
          <t>daedalus/4</t>
        </is>
      </c>
      <c r="B53" t="inlineStr">
        <is>
          <t>daedalus</t>
        </is>
      </c>
      <c r="C53" t="n">
        <v>4</v>
      </c>
      <c r="D53" t="inlineStr">
        <is>
          <t>pt14_dd_v25</t>
        </is>
      </c>
      <c r="E53" t="inlineStr">
        <is>
          <t>gun</t>
        </is>
      </c>
      <c r="F53" t="inlineStr">
        <is>
          <t>Free</t>
        </is>
      </c>
      <c r="G53" t="inlineStr"/>
      <c r="H53" t="n">
        <v>1</v>
      </c>
      <c r="I53" t="n">
        <v>15</v>
      </c>
      <c r="J53" t="n">
        <v>2.2</v>
      </c>
      <c r="K53" t="n">
        <v>0</v>
      </c>
      <c r="L53" t="n">
        <v>0</v>
      </c>
      <c r="M53" t="n">
        <v>0</v>
      </c>
      <c r="N53">
        <f>INDEX(boss_input_vu_khi_suy_ra!$C$2:$C$94,MATCH($D$53,boss_input_vu_khi_suy_ra!$A$2:$A$94,0))</f>
        <v/>
      </c>
      <c r="O53" t="inlineStr">
        <is>
          <t>moi</t>
        </is>
      </c>
      <c r="R53" t="n">
        <v>2.85</v>
      </c>
      <c r="S53">
        <f>IF($D$53="",0,INDEX(boss_input_vu_khi_suy_ra!$B$2:$B$94,MATCH($D$53,boss_input_vu_khi_suy_ra!$A$2:$A$94,0))*IF(INDEX(boss_input_vu_khi!$D$2:$D$94,MATCH($D$53,boss_input_vu_khi!$A$2:$A$94,0)),1,Boss_dps!$B$12)*Boss_dps!$C$12)</f>
        <v/>
      </c>
      <c r="T53" t="n">
        <v>73.68421052631578</v>
      </c>
      <c r="U53" t="inlineStr">
        <is>
          <t>Assets/MachineBrigade/Resources/Data/balance.json: vehicles[id=daedalus] dựng bởi Tools/balance/p26_ab.expand</t>
        </is>
      </c>
      <c r="V53" t="inlineStr"/>
    </row>
    <row r="54">
      <c r="A54" t="inlineStr">
        <is>
          <t>daedalus/5</t>
        </is>
      </c>
      <c r="B54" t="inlineStr">
        <is>
          <t>daedalus</t>
        </is>
      </c>
      <c r="C54" t="n">
        <v>5</v>
      </c>
      <c r="D54" t="inlineStr">
        <is>
          <t>p26_daedalus_direct_dae_laser</t>
        </is>
      </c>
      <c r="E54" t="inlineStr">
        <is>
          <t>gun</t>
        </is>
      </c>
      <c r="F54" t="inlineStr">
        <is>
          <t>Free</t>
        </is>
      </c>
      <c r="G54" t="inlineStr">
        <is>
          <t>gun_r</t>
        </is>
      </c>
      <c r="H54" t="n">
        <v>1</v>
      </c>
      <c r="I54" t="n">
        <v>16.5</v>
      </c>
      <c r="J54" t="n">
        <v>0.1</v>
      </c>
      <c r="K54" t="n">
        <v>1.5</v>
      </c>
      <c r="L54" t="n">
        <v>0</v>
      </c>
      <c r="M54" t="n">
        <v>0</v>
      </c>
      <c r="N54">
        <f>INDEX(boss_input_vu_khi_suy_ra!$C$2:$C$94,MATCH($D$54,boss_input_vu_khi_suy_ra!$A$2:$A$94,0))</f>
        <v/>
      </c>
      <c r="O54" t="inlineStr">
        <is>
          <t>moi</t>
        </is>
      </c>
      <c r="R54" t="n">
        <v>0.1</v>
      </c>
      <c r="S54">
        <f>IF($D$54="",0,INDEX(boss_input_vu_khi_suy_ra!$B$2:$B$94,MATCH($D$54,boss_input_vu_khi_suy_ra!$A$2:$A$94,0))*IF(INDEX(boss_input_vu_khi!$D$2:$D$94,MATCH($D$54,boss_input_vu_khi!$A$2:$A$94,0)),1,Boss_dps!$B$12)*Boss_dps!$C$12)</f>
        <v/>
      </c>
      <c r="T54" t="n">
        <v>165</v>
      </c>
      <c r="U54" t="inlineStr">
        <is>
          <t>Assets/MachineBrigade/Resources/Data/balance.json: vehicles[id=daedalus] dựng bởi Tools/balance/p26_ab.expand</t>
        </is>
      </c>
      <c r="V54" t="inlineStr"/>
    </row>
    <row r="55">
      <c r="A55" t="inlineStr">
        <is>
          <t>drone_mothership/0</t>
        </is>
      </c>
      <c r="B55" t="inlineStr">
        <is>
          <t>drone_mothership</t>
        </is>
      </c>
      <c r="C55" t="n">
        <v>0</v>
      </c>
      <c r="D55" t="inlineStr">
        <is>
          <t>p26_matriarch_tiny_mothership_cannon</t>
        </is>
      </c>
      <c r="E55" t="inlineStr">
        <is>
          <t>main</t>
        </is>
      </c>
      <c r="F55" t="inlineStr"/>
      <c r="G55" t="inlineStr">
        <is>
          <t>cannon_bow</t>
        </is>
      </c>
      <c r="H55" t="n">
        <v>1</v>
      </c>
      <c r="I55" t="n">
        <v>120</v>
      </c>
      <c r="J55" t="n">
        <v>2.79</v>
      </c>
      <c r="K55" t="n">
        <v>3</v>
      </c>
      <c r="L55" t="n">
        <v>6</v>
      </c>
      <c r="M55" t="n">
        <v>0</v>
      </c>
      <c r="N55">
        <f>INDEX(boss_input_vu_khi_suy_ra!$C$2:$C$94,MATCH($D$55,boss_input_vu_khi_suy_ra!$A$2:$A$94,0))</f>
        <v/>
      </c>
      <c r="O55" t="inlineStr">
        <is>
          <t>giong</t>
        </is>
      </c>
      <c r="R55" t="n">
        <v>4.29</v>
      </c>
      <c r="S55">
        <f>IF($D$55="",0,INDEX(boss_input_vu_khi_suy_ra!$B$2:$B$94,MATCH($D$55,boss_input_vu_khi_suy_ra!$A$2:$A$94,0))*IF(INDEX(boss_input_vu_khi!$D$2:$D$94,MATCH($D$55,boss_input_vu_khi!$A$2:$A$94,0)),1,Boss_dps!$B$13)*Boss_dps!$C$13)</f>
        <v/>
      </c>
      <c r="T55" t="n">
        <v>111.8881118881119</v>
      </c>
      <c r="U55" t="inlineStr">
        <is>
          <t>Assets/MachineBrigade/Resources/Data/balance.json: vehicles[id=drone_mothership] dựng bởi Tools/balance/p26_ab.expand</t>
        </is>
      </c>
      <c r="V55" t="inlineStr"/>
    </row>
    <row r="56">
      <c r="A56" t="inlineStr">
        <is>
          <t>drone_mothership/1</t>
        </is>
      </c>
      <c r="B56" t="inlineStr">
        <is>
          <t>drone_mothership</t>
        </is>
      </c>
      <c r="C56" t="n">
        <v>1</v>
      </c>
      <c r="D56" t="inlineStr">
        <is>
          <t>p26_matriarch_ma_drones</t>
        </is>
      </c>
      <c r="E56" t="inlineStr">
        <is>
          <t>missile</t>
        </is>
      </c>
      <c r="F56" t="inlineStr">
        <is>
          <t>Free</t>
        </is>
      </c>
      <c r="G56" t="inlineStr">
        <is>
          <t>drone_bay</t>
        </is>
      </c>
      <c r="H56" t="n">
        <v>1</v>
      </c>
      <c r="I56" t="n">
        <v>320</v>
      </c>
      <c r="J56" t="n">
        <v>4</v>
      </c>
      <c r="K56" t="n">
        <v>3</v>
      </c>
      <c r="L56" t="n">
        <v>6</v>
      </c>
      <c r="M56" t="n">
        <v>0</v>
      </c>
      <c r="N56">
        <f>INDEX(boss_input_vu_khi_suy_ra!$C$2:$C$94,MATCH($D$56,boss_input_vu_khi_suy_ra!$A$2:$A$94,0))</f>
        <v/>
      </c>
      <c r="O56" t="inlineStr">
        <is>
          <t>giong</t>
        </is>
      </c>
      <c r="R56" t="n">
        <v>5</v>
      </c>
      <c r="S56">
        <f>IF($D$56="",0,INDEX(boss_input_vu_khi_suy_ra!$B$2:$B$94,MATCH($D$56,boss_input_vu_khi_suy_ra!$A$2:$A$94,0))*IF(INDEX(boss_input_vu_khi!$D$2:$D$94,MATCH($D$56,boss_input_vu_khi!$A$2:$A$94,0)),1,Boss_dps!$B$13)*Boss_dps!$C$13)</f>
        <v/>
      </c>
      <c r="T56" t="n">
        <v>384</v>
      </c>
      <c r="U56" t="inlineStr">
        <is>
          <t>Assets/MachineBrigade/Resources/Data/balance.json: vehicles[id=drone_mothership] dựng bởi Tools/balance/p26_ab.expand</t>
        </is>
      </c>
      <c r="V56" t="inlineStr"/>
    </row>
    <row r="57">
      <c r="A57" t="inlineStr">
        <is>
          <t>drone_mothership/2</t>
        </is>
      </c>
      <c r="B57" t="inlineStr">
        <is>
          <t>drone_mothership</t>
        </is>
      </c>
      <c r="C57" t="n">
        <v>2</v>
      </c>
      <c r="D57" t="inlineStr">
        <is>
          <t>p26_matriarch_close_boss_flak</t>
        </is>
      </c>
      <c r="E57" t="inlineStr">
        <is>
          <t>mg</t>
        </is>
      </c>
      <c r="F57" t="inlineStr">
        <is>
          <t>Free</t>
        </is>
      </c>
      <c r="G57" t="inlineStr">
        <is>
          <t>flak_top</t>
        </is>
      </c>
      <c r="H57" t="n">
        <v>1</v>
      </c>
      <c r="I57" t="n">
        <v>25</v>
      </c>
      <c r="J57" t="n">
        <v>0.05</v>
      </c>
      <c r="K57" t="n">
        <v>2.5</v>
      </c>
      <c r="L57" t="n">
        <v>0</v>
      </c>
      <c r="M57" t="n">
        <v>0</v>
      </c>
      <c r="N57">
        <f>INDEX(boss_input_vu_khi_suy_ra!$C$2:$C$94,MATCH($D$57,boss_input_vu_khi_suy_ra!$A$2:$A$94,0))</f>
        <v/>
      </c>
      <c r="O57" t="inlineStr">
        <is>
          <t>giong</t>
        </is>
      </c>
      <c r="R57" t="n">
        <v>5.38</v>
      </c>
      <c r="S57">
        <f>IF($D$57="",0,INDEX(boss_input_vu_khi_suy_ra!$B$2:$B$94,MATCH($D$57,boss_input_vu_khi_suy_ra!$A$2:$A$94,0))*IF(INDEX(boss_input_vu_khi!$D$2:$D$94,MATCH($D$57,boss_input_vu_khi!$A$2:$A$94,0)),1,Boss_dps!$B$13)*Boss_dps!$C$13)</f>
        <v/>
      </c>
      <c r="T57" t="n">
        <v>190.5204460966543</v>
      </c>
      <c r="U57" t="inlineStr">
        <is>
          <t>Assets/MachineBrigade/Resources/Data/balance.json: vehicles[id=drone_mothership] dựng bởi Tools/balance/p26_ab.expand</t>
        </is>
      </c>
      <c r="V57" t="inlineStr"/>
    </row>
    <row r="58">
      <c r="A58" t="inlineStr">
        <is>
          <t>drone_mothership/3</t>
        </is>
      </c>
      <c r="B58" t="inlineStr">
        <is>
          <t>drone_mothership</t>
        </is>
      </c>
      <c r="C58" t="n">
        <v>3</v>
      </c>
      <c r="D58" t="inlineStr">
        <is>
          <t>p26_matriarch_close_boss_flak</t>
        </is>
      </c>
      <c r="E58" t="inlineStr">
        <is>
          <t>mg</t>
        </is>
      </c>
      <c r="F58" t="inlineStr">
        <is>
          <t>Free</t>
        </is>
      </c>
      <c r="G58" t="inlineStr">
        <is>
          <t>flak_rear</t>
        </is>
      </c>
      <c r="H58" t="n">
        <v>1</v>
      </c>
      <c r="I58" t="n">
        <v>25</v>
      </c>
      <c r="J58" t="n">
        <v>0.05</v>
      </c>
      <c r="K58" t="n">
        <v>2.5</v>
      </c>
      <c r="L58" t="n">
        <v>0</v>
      </c>
      <c r="M58" t="n">
        <v>0</v>
      </c>
      <c r="N58">
        <f>INDEX(boss_input_vu_khi_suy_ra!$C$2:$C$94,MATCH($D$58,boss_input_vu_khi_suy_ra!$A$2:$A$94,0))</f>
        <v/>
      </c>
      <c r="O58" t="inlineStr">
        <is>
          <t>giong</t>
        </is>
      </c>
      <c r="R58" t="n">
        <v>5.38</v>
      </c>
      <c r="S58">
        <f>IF($D$58="",0,INDEX(boss_input_vu_khi_suy_ra!$B$2:$B$94,MATCH($D$58,boss_input_vu_khi_suy_ra!$A$2:$A$94,0))*IF(INDEX(boss_input_vu_khi!$D$2:$D$94,MATCH($D$58,boss_input_vu_khi!$A$2:$A$94,0)),1,Boss_dps!$B$13)*Boss_dps!$C$13)</f>
        <v/>
      </c>
      <c r="T58" t="n">
        <v>190.5204460966543</v>
      </c>
      <c r="U58" t="inlineStr">
        <is>
          <t>Assets/MachineBrigade/Resources/Data/balance.json: vehicles[id=drone_mothership] dựng bởi Tools/balance/p26_ab.expand</t>
        </is>
      </c>
      <c r="V58" t="inlineStr"/>
    </row>
    <row r="59">
      <c r="A59" t="inlineStr">
        <is>
          <t>drone_mothership/4</t>
        </is>
      </c>
      <c r="B59" t="inlineStr">
        <is>
          <t>drone_mothership</t>
        </is>
      </c>
      <c r="C59" t="n">
        <v>4</v>
      </c>
      <c r="D59" t="inlineStr">
        <is>
          <t>p26_matriarch_tiny_mothership_cannon</t>
        </is>
      </c>
      <c r="E59" t="inlineStr">
        <is>
          <t>main</t>
        </is>
      </c>
      <c r="F59" t="inlineStr">
        <is>
          <t>Free</t>
        </is>
      </c>
      <c r="G59" t="inlineStr">
        <is>
          <t>cannon_gondola</t>
        </is>
      </c>
      <c r="H59" t="n">
        <v>1</v>
      </c>
      <c r="I59" t="n">
        <v>120</v>
      </c>
      <c r="J59" t="n">
        <v>2.79</v>
      </c>
      <c r="K59" t="n">
        <v>3</v>
      </c>
      <c r="L59" t="n">
        <v>6</v>
      </c>
      <c r="M59" t="n">
        <v>0</v>
      </c>
      <c r="N59">
        <f>INDEX(boss_input_vu_khi_suy_ra!$C$2:$C$94,MATCH($D$59,boss_input_vu_khi_suy_ra!$A$2:$A$94,0))</f>
        <v/>
      </c>
      <c r="O59" t="inlineStr">
        <is>
          <t>giong</t>
        </is>
      </c>
      <c r="R59" t="n">
        <v>4.29</v>
      </c>
      <c r="S59">
        <f>IF($D$59="",0,INDEX(boss_input_vu_khi_suy_ra!$B$2:$B$94,MATCH($D$59,boss_input_vu_khi_suy_ra!$A$2:$A$94,0))*IF(INDEX(boss_input_vu_khi!$D$2:$D$94,MATCH($D$59,boss_input_vu_khi!$A$2:$A$94,0)),1,Boss_dps!$B$13)*Boss_dps!$C$13)</f>
        <v/>
      </c>
      <c r="T59" t="n">
        <v>111.8881118881119</v>
      </c>
      <c r="U59" t="inlineStr">
        <is>
          <t>Assets/MachineBrigade/Resources/Data/balance.json: vehicles[id=drone_mothership] dựng bởi Tools/balance/p26_ab.expand</t>
        </is>
      </c>
      <c r="V59" t="inlineStr"/>
    </row>
    <row r="60">
      <c r="A60" t="inlineStr">
        <is>
          <t>drone_mothership/5</t>
        </is>
      </c>
      <c r="B60" t="inlineStr">
        <is>
          <t>drone_mothership</t>
        </is>
      </c>
      <c r="C60" t="n">
        <v>5</v>
      </c>
      <c r="D60" t="inlineStr">
        <is>
          <t>p26_matriarch_direct_ma_atgm</t>
        </is>
      </c>
      <c r="E60" t="inlineStr">
        <is>
          <t>missile</t>
        </is>
      </c>
      <c r="F60" t="inlineStr">
        <is>
          <t>Free</t>
        </is>
      </c>
      <c r="G60" t="inlineStr">
        <is>
          <t>uav_bay</t>
        </is>
      </c>
      <c r="H60" t="n">
        <v>1</v>
      </c>
      <c r="I60" t="n">
        <v>230</v>
      </c>
      <c r="J60" t="n">
        <v>20</v>
      </c>
      <c r="K60" t="n">
        <v>0</v>
      </c>
      <c r="L60" t="n">
        <v>0</v>
      </c>
      <c r="M60" t="n">
        <v>0</v>
      </c>
      <c r="N60">
        <f>INDEX(boss_input_vu_khi_suy_ra!$C$2:$C$94,MATCH($D$60,boss_input_vu_khi_suy_ra!$A$2:$A$94,0))</f>
        <v/>
      </c>
      <c r="O60" t="inlineStr">
        <is>
          <t>giong</t>
        </is>
      </c>
      <c r="R60" t="n">
        <v>20</v>
      </c>
      <c r="S60">
        <f>IF($D$60="",0,INDEX(boss_input_vu_khi_suy_ra!$B$2:$B$94,MATCH($D$60,boss_input_vu_khi_suy_ra!$A$2:$A$94,0))*IF(INDEX(boss_input_vu_khi!$D$2:$D$94,MATCH($D$60,boss_input_vu_khi!$A$2:$A$94,0)),1,Boss_dps!$B$13)*Boss_dps!$C$13)</f>
        <v/>
      </c>
      <c r="T60" t="n">
        <v>11.5</v>
      </c>
      <c r="U60" t="inlineStr">
        <is>
          <t>Assets/MachineBrigade/Resources/Data/balance.json: vehicles[id=drone_mothership] dựng bởi Tools/balance/p26_ab.expand</t>
        </is>
      </c>
      <c r="V60" t="inlineStr"/>
    </row>
    <row r="61">
      <c r="A61" t="inlineStr">
        <is>
          <t>drone_mothership/6</t>
        </is>
      </c>
      <c r="B61" t="inlineStr">
        <is>
          <t>drone_mothership</t>
        </is>
      </c>
      <c r="C61" t="n">
        <v>6</v>
      </c>
      <c r="D61" t="inlineStr">
        <is>
          <t>p26_matriarch_sec_autocannon_30</t>
        </is>
      </c>
      <c r="E61" t="inlineStr">
        <is>
          <t>gun</t>
        </is>
      </c>
      <c r="F61" t="inlineStr">
        <is>
          <t>Free</t>
        </is>
      </c>
      <c r="G61" t="inlineStr">
        <is>
          <t>belly_gun_l</t>
        </is>
      </c>
      <c r="H61" t="n">
        <v>1</v>
      </c>
      <c r="I61" t="n">
        <v>22</v>
      </c>
      <c r="J61" t="n">
        <v>1.5</v>
      </c>
      <c r="K61" t="n">
        <v>0</v>
      </c>
      <c r="L61" t="n">
        <v>0</v>
      </c>
      <c r="M61" t="n">
        <v>0</v>
      </c>
      <c r="N61">
        <f>INDEX(boss_input_vu_khi_suy_ra!$C$2:$C$94,MATCH($D$61,boss_input_vu_khi_suy_ra!$A$2:$A$94,0))</f>
        <v/>
      </c>
      <c r="O61" t="inlineStr">
        <is>
          <t>giong</t>
        </is>
      </c>
      <c r="R61" t="n">
        <v>2.4999</v>
      </c>
      <c r="S61">
        <f>IF($D$61="",0,INDEX(boss_input_vu_khi_suy_ra!$B$2:$B$94,MATCH($D$61,boss_input_vu_khi_suy_ra!$A$2:$A$94,0))*IF(INDEX(boss_input_vu_khi!$D$2:$D$94,MATCH($D$61,boss_input_vu_khi!$A$2:$A$94,0)),1,Boss_dps!$B$13)*Boss_dps!$C$13)</f>
        <v/>
      </c>
      <c r="T61" t="n">
        <v>88.00352014080562</v>
      </c>
      <c r="U61" t="inlineStr">
        <is>
          <t>Assets/MachineBrigade/Resources/Data/balance.json: vehicles[id=drone_mothership] dựng bởi Tools/balance/p26_ab.expand</t>
        </is>
      </c>
      <c r="V61" t="inlineStr"/>
    </row>
    <row r="62">
      <c r="A62" t="inlineStr">
        <is>
          <t>drone_mothership/7</t>
        </is>
      </c>
      <c r="B62" t="inlineStr">
        <is>
          <t>drone_mothership</t>
        </is>
      </c>
      <c r="C62" t="n">
        <v>7</v>
      </c>
      <c r="D62" t="inlineStr">
        <is>
          <t>p26_matriarch_sec_autocannon_30</t>
        </is>
      </c>
      <c r="E62" t="inlineStr">
        <is>
          <t>gun</t>
        </is>
      </c>
      <c r="F62" t="inlineStr">
        <is>
          <t>Free</t>
        </is>
      </c>
      <c r="G62" t="inlineStr">
        <is>
          <t>belly_gun_r</t>
        </is>
      </c>
      <c r="H62" t="n">
        <v>1</v>
      </c>
      <c r="I62" t="n">
        <v>22</v>
      </c>
      <c r="J62" t="n">
        <v>1.5</v>
      </c>
      <c r="K62" t="n">
        <v>0</v>
      </c>
      <c r="L62" t="n">
        <v>0</v>
      </c>
      <c r="M62" t="n">
        <v>0</v>
      </c>
      <c r="N62">
        <f>INDEX(boss_input_vu_khi_suy_ra!$C$2:$C$94,MATCH($D$62,boss_input_vu_khi_suy_ra!$A$2:$A$94,0))</f>
        <v/>
      </c>
      <c r="O62" t="inlineStr">
        <is>
          <t>giong</t>
        </is>
      </c>
      <c r="R62" t="n">
        <v>2.4999</v>
      </c>
      <c r="S62">
        <f>IF($D$62="",0,INDEX(boss_input_vu_khi_suy_ra!$B$2:$B$94,MATCH($D$62,boss_input_vu_khi_suy_ra!$A$2:$A$94,0))*IF(INDEX(boss_input_vu_khi!$D$2:$D$94,MATCH($D$62,boss_input_vu_khi!$A$2:$A$94,0)),1,Boss_dps!$B$13)*Boss_dps!$C$13)</f>
        <v/>
      </c>
      <c r="T62" t="n">
        <v>88.00352014080562</v>
      </c>
      <c r="U62" t="inlineStr">
        <is>
          <t>Assets/MachineBrigade/Resources/Data/balance.json: vehicles[id=drone_mothership] dựng bởi Tools/balance/p26_ab.expand</t>
        </is>
      </c>
      <c r="V62" t="inlineStr"/>
    </row>
    <row r="63">
      <c r="A63" t="inlineStr">
        <is>
          <t>drone_mothership/8</t>
        </is>
      </c>
      <c r="B63" t="inlineStr">
        <is>
          <t>drone_mothership</t>
        </is>
      </c>
      <c r="C63" t="n">
        <v>8</v>
      </c>
      <c r="D63" t="inlineStr">
        <is>
          <t>p26_matriarch_direct_ma_atgm</t>
        </is>
      </c>
      <c r="E63" t="inlineStr">
        <is>
          <t>missile</t>
        </is>
      </c>
      <c r="F63" t="inlineStr">
        <is>
          <t>Free</t>
        </is>
      </c>
      <c r="G63" t="inlineStr">
        <is>
          <t>drone_bay_2</t>
        </is>
      </c>
      <c r="H63" t="n">
        <v>1</v>
      </c>
      <c r="I63" t="n">
        <v>230</v>
      </c>
      <c r="J63" t="n">
        <v>20</v>
      </c>
      <c r="K63" t="n">
        <v>0</v>
      </c>
      <c r="L63" t="n">
        <v>0</v>
      </c>
      <c r="M63" t="n">
        <v>0</v>
      </c>
      <c r="N63">
        <f>INDEX(boss_input_vu_khi_suy_ra!$C$2:$C$94,MATCH($D$63,boss_input_vu_khi_suy_ra!$A$2:$A$94,0))</f>
        <v/>
      </c>
      <c r="O63" t="inlineStr">
        <is>
          <t>giong</t>
        </is>
      </c>
      <c r="R63" t="n">
        <v>20</v>
      </c>
      <c r="S63">
        <f>IF($D$63="",0,INDEX(boss_input_vu_khi_suy_ra!$B$2:$B$94,MATCH($D$63,boss_input_vu_khi_suy_ra!$A$2:$A$94,0))*IF(INDEX(boss_input_vu_khi!$D$2:$D$94,MATCH($D$63,boss_input_vu_khi!$A$2:$A$94,0)),1,Boss_dps!$B$13)*Boss_dps!$C$13)</f>
        <v/>
      </c>
      <c r="T63" t="n">
        <v>11.5</v>
      </c>
      <c r="U63" t="inlineStr">
        <is>
          <t>Assets/MachineBrigade/Resources/Data/balance.json: vehicles[id=drone_mothership] dựng bởi Tools/balance/p26_ab.expand</t>
        </is>
      </c>
      <c r="V63" t="inlineStr"/>
    </row>
    <row r="64">
      <c r="A64" t="inlineStr">
        <is>
          <t>earth_borer/0</t>
        </is>
      </c>
      <c r="B64" t="inlineStr">
        <is>
          <t>earth_borer</t>
        </is>
      </c>
      <c r="C64" t="n">
        <v>0</v>
      </c>
      <c r="D64" t="inlineStr">
        <is>
          <t>borer_drill</t>
        </is>
      </c>
      <c r="E64" t="inlineStr">
        <is>
          <t>main</t>
        </is>
      </c>
      <c r="F64" t="inlineStr">
        <is>
          <t>Hull</t>
        </is>
      </c>
      <c r="G64" t="inlineStr">
        <is>
          <t>drill</t>
        </is>
      </c>
      <c r="H64" t="n">
        <v>1</v>
      </c>
      <c r="I64" t="n">
        <v>260</v>
      </c>
      <c r="J64" t="n">
        <v>1.5</v>
      </c>
      <c r="K64" t="n">
        <v>0</v>
      </c>
      <c r="L64" t="n">
        <v>0</v>
      </c>
      <c r="M64" t="n">
        <v>0</v>
      </c>
      <c r="N64">
        <f>INDEX(boss_input_vu_khi_suy_ra!$C$2:$C$94,MATCH($D$64,boss_input_vu_khi_suy_ra!$A$2:$A$94,0))</f>
        <v/>
      </c>
      <c r="O64" t="inlineStr">
        <is>
          <t>giong</t>
        </is>
      </c>
      <c r="R64" t="n">
        <v>1.5</v>
      </c>
      <c r="S64">
        <f>IF($D$64="",0,INDEX(boss_input_vu_khi_suy_ra!$B$2:$B$94,MATCH($D$64,boss_input_vu_khi_suy_ra!$A$2:$A$94,0))*IF(INDEX(boss_input_vu_khi!$D$2:$D$94,MATCH($D$64,boss_input_vu_khi!$A$2:$A$94,0)),1,Boss_dps!$B$14)*Boss_dps!$C$14)</f>
        <v/>
      </c>
      <c r="T64" t="n">
        <v>540.702864</v>
      </c>
      <c r="U64" t="inlineStr">
        <is>
          <t>Assets/MachineBrigade/Resources/Data/balance.json: vehicles[id=earth_borer] dựng bởi Tools/balance/p26_ab.expand</t>
        </is>
      </c>
      <c r="V64" t="inlineStr"/>
    </row>
    <row r="65">
      <c r="A65" t="inlineStr">
        <is>
          <t>earth_borer/1</t>
        </is>
      </c>
      <c r="B65" t="inlineStr">
        <is>
          <t>earth_borer</t>
        </is>
      </c>
      <c r="C65" t="n">
        <v>1</v>
      </c>
      <c r="D65" t="inlineStr">
        <is>
          <t>borer_cannon</t>
        </is>
      </c>
      <c r="E65" t="inlineStr">
        <is>
          <t>gun</t>
        </is>
      </c>
      <c r="F65" t="inlineStr">
        <is>
          <t>Free</t>
        </is>
      </c>
      <c r="G65" t="inlineStr">
        <is>
          <t>gun_l</t>
        </is>
      </c>
      <c r="H65" t="n">
        <v>1</v>
      </c>
      <c r="I65" t="n">
        <v>120</v>
      </c>
      <c r="J65" t="n">
        <v>6</v>
      </c>
      <c r="K65" t="n">
        <v>1.5</v>
      </c>
      <c r="L65" t="n">
        <v>0</v>
      </c>
      <c r="M65" t="n">
        <v>0</v>
      </c>
      <c r="N65">
        <f>INDEX(boss_input_vu_khi_suy_ra!$C$2:$C$94,MATCH($D$65,boss_input_vu_khi_suy_ra!$A$2:$A$94,0))</f>
        <v/>
      </c>
      <c r="O65" t="inlineStr">
        <is>
          <t>giong</t>
        </is>
      </c>
      <c r="R65" t="n">
        <v>6</v>
      </c>
      <c r="S65">
        <f>IF($D$65="",0,INDEX(boss_input_vu_khi_suy_ra!$B$2:$B$94,MATCH($D$65,boss_input_vu_khi_suy_ra!$A$2:$A$94,0))*IF(INDEX(boss_input_vu_khi!$D$2:$D$94,MATCH($D$65,boss_input_vu_khi!$A$2:$A$94,0)),1,Boss_dps!$B$14)*Boss_dps!$C$14)</f>
        <v/>
      </c>
      <c r="T65" t="n">
        <v>62.388792</v>
      </c>
      <c r="U65" t="inlineStr">
        <is>
          <t>Assets/MachineBrigade/Resources/Data/balance.json: vehicles[id=earth_borer] dựng bởi Tools/balance/p26_ab.expand</t>
        </is>
      </c>
      <c r="V65" t="inlineStr"/>
    </row>
    <row r="66">
      <c r="A66" t="inlineStr">
        <is>
          <t>earth_borer/2</t>
        </is>
      </c>
      <c r="B66" t="inlineStr">
        <is>
          <t>earth_borer</t>
        </is>
      </c>
      <c r="C66" t="n">
        <v>2</v>
      </c>
      <c r="D66" t="inlineStr">
        <is>
          <t>borer_cannon</t>
        </is>
      </c>
      <c r="E66" t="inlineStr">
        <is>
          <t>gun</t>
        </is>
      </c>
      <c r="F66" t="inlineStr">
        <is>
          <t>Free</t>
        </is>
      </c>
      <c r="G66" t="inlineStr">
        <is>
          <t>gun_r</t>
        </is>
      </c>
      <c r="H66" t="n">
        <v>1</v>
      </c>
      <c r="I66" t="n">
        <v>120</v>
      </c>
      <c r="J66" t="n">
        <v>6</v>
      </c>
      <c r="K66" t="n">
        <v>1.5</v>
      </c>
      <c r="L66" t="n">
        <v>0</v>
      </c>
      <c r="M66" t="n">
        <v>0</v>
      </c>
      <c r="N66">
        <f>INDEX(boss_input_vu_khi_suy_ra!$C$2:$C$94,MATCH($D$66,boss_input_vu_khi_suy_ra!$A$2:$A$94,0))</f>
        <v/>
      </c>
      <c r="O66" t="inlineStr">
        <is>
          <t>giong</t>
        </is>
      </c>
      <c r="R66" t="n">
        <v>6</v>
      </c>
      <c r="S66">
        <f>IF($D$66="",0,INDEX(boss_input_vu_khi_suy_ra!$B$2:$B$94,MATCH($D$66,boss_input_vu_khi_suy_ra!$A$2:$A$94,0))*IF(INDEX(boss_input_vu_khi!$D$2:$D$94,MATCH($D$66,boss_input_vu_khi!$A$2:$A$94,0)),1,Boss_dps!$B$14)*Boss_dps!$C$14)</f>
        <v/>
      </c>
      <c r="T66" t="n">
        <v>62.388792</v>
      </c>
      <c r="U66" t="inlineStr">
        <is>
          <t>Assets/MachineBrigade/Resources/Data/balance.json: vehicles[id=earth_borer] dựng bởi Tools/balance/p26_ab.expand</t>
        </is>
      </c>
      <c r="V66" t="inlineStr"/>
    </row>
    <row r="67">
      <c r="A67" t="inlineStr">
        <is>
          <t>fenrir/0</t>
        </is>
      </c>
      <c r="B67" t="inlineStr">
        <is>
          <t>fenrir</t>
        </is>
      </c>
      <c r="C67" t="n">
        <v>0</v>
      </c>
      <c r="D67" t="inlineStr">
        <is>
          <t>p26_jotunn_sec_jo_rockets</t>
        </is>
      </c>
      <c r="E67" t="inlineStr">
        <is>
          <t>main</t>
        </is>
      </c>
      <c r="F67" t="inlineStr"/>
      <c r="G67" t="inlineStr">
        <is>
          <t>rockets_l</t>
        </is>
      </c>
      <c r="H67" t="n">
        <v>1</v>
      </c>
      <c r="I67" t="n">
        <v>450</v>
      </c>
      <c r="J67" t="n">
        <v>15.76</v>
      </c>
      <c r="K67" t="n">
        <v>8</v>
      </c>
      <c r="L67" t="n">
        <v>16</v>
      </c>
      <c r="M67" t="n">
        <v>2.5</v>
      </c>
      <c r="N67">
        <f>INDEX(boss_input_vu_khi_suy_ra!$C$2:$C$94,MATCH($D$67,boss_input_vu_khi_suy_ra!$A$2:$A$94,0))</f>
        <v/>
      </c>
      <c r="O67" t="inlineStr">
        <is>
          <t>giong</t>
        </is>
      </c>
      <c r="R67" t="n">
        <v>37.95</v>
      </c>
      <c r="S67">
        <f>IF($D$67="",0,INDEX(boss_input_vu_khi_suy_ra!$B$2:$B$94,MATCH($D$67,boss_input_vu_khi_suy_ra!$A$2:$A$94,0))*IF(INDEX(boss_input_vu_khi!$D$2:$D$94,MATCH($D$67,boss_input_vu_khi!$A$2:$A$94,0)),1,Boss_dps!$B$15)*Boss_dps!$C$15)</f>
        <v/>
      </c>
      <c r="T67" t="n">
        <v>200.4121043478261</v>
      </c>
      <c r="U67" t="inlineStr">
        <is>
          <t>Assets/MachineBrigade/Resources/Data/balance.json: vehicles[id=fenrir] dựng bởi Tools/balance/p26_ab.expand</t>
        </is>
      </c>
      <c r="V67" t="inlineStr"/>
    </row>
    <row r="68">
      <c r="A68" t="inlineStr">
        <is>
          <t>fenrir/1</t>
        </is>
      </c>
      <c r="B68" t="inlineStr">
        <is>
          <t>fenrir</t>
        </is>
      </c>
      <c r="C68" t="n">
        <v>1</v>
      </c>
      <c r="D68" t="inlineStr">
        <is>
          <t>p26_jotunn_sec_jo_rockets</t>
        </is>
      </c>
      <c r="E68" t="inlineStr">
        <is>
          <t>rocket</t>
        </is>
      </c>
      <c r="F68" t="inlineStr">
        <is>
          <t>Free</t>
        </is>
      </c>
      <c r="G68" t="inlineStr">
        <is>
          <t>rockets_r</t>
        </is>
      </c>
      <c r="H68" t="n">
        <v>1</v>
      </c>
      <c r="I68" t="n">
        <v>450</v>
      </c>
      <c r="J68" t="n">
        <v>15.76</v>
      </c>
      <c r="K68" t="n">
        <v>8</v>
      </c>
      <c r="L68" t="n">
        <v>16</v>
      </c>
      <c r="M68" t="n">
        <v>2.5</v>
      </c>
      <c r="N68">
        <f>INDEX(boss_input_vu_khi_suy_ra!$C$2:$C$94,MATCH($D$68,boss_input_vu_khi_suy_ra!$A$2:$A$94,0))</f>
        <v/>
      </c>
      <c r="O68" t="inlineStr">
        <is>
          <t>giong</t>
        </is>
      </c>
      <c r="R68" t="n">
        <v>37.95</v>
      </c>
      <c r="S68">
        <f>IF($D$68="",0,INDEX(boss_input_vu_khi_suy_ra!$B$2:$B$94,MATCH($D$68,boss_input_vu_khi_suy_ra!$A$2:$A$94,0))*IF(INDEX(boss_input_vu_khi!$D$2:$D$94,MATCH($D$68,boss_input_vu_khi!$A$2:$A$94,0)),1,Boss_dps!$B$15)*Boss_dps!$C$15)</f>
        <v/>
      </c>
      <c r="T68" t="n">
        <v>200.4121043478261</v>
      </c>
      <c r="U68" t="inlineStr">
        <is>
          <t>Assets/MachineBrigade/Resources/Data/balance.json: vehicles[id=fenrir] dựng bởi Tools/balance/p26_ab.expand</t>
        </is>
      </c>
      <c r="V68" t="inlineStr"/>
    </row>
    <row r="69">
      <c r="A69" t="inlineStr">
        <is>
          <t>fenrir/2</t>
        </is>
      </c>
      <c r="B69" t="inlineStr">
        <is>
          <t>fenrir</t>
        </is>
      </c>
      <c r="C69" t="n">
        <v>2</v>
      </c>
      <c r="D69" t="inlineStr">
        <is>
          <t>p26_jotunn_close_boss_flak</t>
        </is>
      </c>
      <c r="E69" t="inlineStr">
        <is>
          <t>mg</t>
        </is>
      </c>
      <c r="F69" t="inlineStr">
        <is>
          <t>Free</t>
        </is>
      </c>
      <c r="G69" t="inlineStr">
        <is>
          <t>flak_l</t>
        </is>
      </c>
      <c r="H69" t="n">
        <v>1</v>
      </c>
      <c r="I69" t="n">
        <v>25</v>
      </c>
      <c r="J69" t="n">
        <v>0.05</v>
      </c>
      <c r="K69" t="n">
        <v>2.5</v>
      </c>
      <c r="L69" t="n">
        <v>0</v>
      </c>
      <c r="M69" t="n">
        <v>0</v>
      </c>
      <c r="N69">
        <f>INDEX(boss_input_vu_khi_suy_ra!$C$2:$C$94,MATCH($D$69,boss_input_vu_khi_suy_ra!$A$2:$A$94,0))</f>
        <v/>
      </c>
      <c r="O69" t="inlineStr">
        <is>
          <t>giong</t>
        </is>
      </c>
      <c r="R69" t="n">
        <v>5.38</v>
      </c>
      <c r="S69">
        <f>IF($D$69="",0,INDEX(boss_input_vu_khi_suy_ra!$B$2:$B$94,MATCH($D$69,boss_input_vu_khi_suy_ra!$A$2:$A$94,0))*IF(INDEX(boss_input_vu_khi!$D$2:$D$94,MATCH($D$69,boss_input_vu_khi!$A$2:$A$94,0)),1,Boss_dps!$B$15)*Boss_dps!$C$15)</f>
        <v/>
      </c>
      <c r="T69" t="n">
        <v>402.5082788104089</v>
      </c>
      <c r="U69" t="inlineStr">
        <is>
          <t>Assets/MachineBrigade/Resources/Data/balance.json: vehicles[id=fenrir] dựng bởi Tools/balance/p26_ab.expand</t>
        </is>
      </c>
      <c r="V69" t="inlineStr"/>
    </row>
    <row r="70">
      <c r="A70" t="inlineStr">
        <is>
          <t>fortress_bastion/0</t>
        </is>
      </c>
      <c r="B70" t="inlineStr">
        <is>
          <t>fortress_bastion</t>
        </is>
      </c>
      <c r="C70" t="n">
        <v>0</v>
      </c>
      <c r="D70" t="inlineStr">
        <is>
          <t>p26_bastion_sec_b240</t>
        </is>
      </c>
      <c r="E70" t="inlineStr">
        <is>
          <t>main</t>
        </is>
      </c>
      <c r="F70" t="inlineStr"/>
      <c r="G70" t="inlineStr">
        <is>
          <t>mortar</t>
        </is>
      </c>
      <c r="H70" t="n">
        <v>1</v>
      </c>
      <c r="I70" t="n">
        <v>1100</v>
      </c>
      <c r="J70" t="n">
        <v>60</v>
      </c>
      <c r="K70" t="n">
        <v>10</v>
      </c>
      <c r="L70" t="n">
        <v>20</v>
      </c>
      <c r="M70" t="n">
        <v>2.722222222222222</v>
      </c>
      <c r="N70">
        <f>INDEX(boss_input_vu_khi_suy_ra!$C$2:$C$94,MATCH($D$70,boss_input_vu_khi_suy_ra!$A$2:$A$94,0))</f>
        <v/>
      </c>
      <c r="O70" t="inlineStr">
        <is>
          <t>giong</t>
        </is>
      </c>
      <c r="R70" t="n">
        <v>60</v>
      </c>
      <c r="S70">
        <f>IF($D$70="",0,INDEX(boss_input_vu_khi_suy_ra!$B$2:$B$94,MATCH($D$70,boss_input_vu_khi_suy_ra!$A$2:$A$94,0))*IF(INDEX(boss_input_vu_khi!$D$2:$D$94,MATCH($D$70,boss_input_vu_khi!$A$2:$A$94,0)),1,Boss_dps!$B$16)*Boss_dps!$C$16)</f>
        <v/>
      </c>
      <c r="T70" t="n">
        <v>18.33333333333333</v>
      </c>
      <c r="U70" t="inlineStr">
        <is>
          <t>Assets/MachineBrigade/Resources/Data/balance.json: vehicles[id=fortress_bastion] dựng bởi Tools/balance/p26_ab.expand</t>
        </is>
      </c>
      <c r="V70" t="inlineStr"/>
    </row>
    <row r="71">
      <c r="A71" t="inlineStr">
        <is>
          <t>fortress_bastion/1</t>
        </is>
      </c>
      <c r="B71" t="inlineStr">
        <is>
          <t>fortress_bastion</t>
        </is>
      </c>
      <c r="C71" t="n">
        <v>1</v>
      </c>
      <c r="D71" t="inlineStr">
        <is>
          <t>p26_bastion_direct_b100</t>
        </is>
      </c>
      <c r="E71" t="inlineStr">
        <is>
          <t>gun</t>
        </is>
      </c>
      <c r="F71" t="inlineStr">
        <is>
          <t>Free</t>
        </is>
      </c>
      <c r="G71" t="inlineStr">
        <is>
          <t>turret_fl</t>
        </is>
      </c>
      <c r="H71" t="n">
        <v>2</v>
      </c>
      <c r="I71" t="n">
        <v>240</v>
      </c>
      <c r="J71" t="n">
        <v>8.6</v>
      </c>
      <c r="K71" t="n">
        <v>0</v>
      </c>
      <c r="L71" t="n">
        <v>0</v>
      </c>
      <c r="M71" t="n">
        <v>0</v>
      </c>
      <c r="N71">
        <f>INDEX(boss_input_vu_khi_suy_ra!$C$2:$C$94,MATCH($D$71,boss_input_vu_khi_suy_ra!$A$2:$A$94,0))</f>
        <v/>
      </c>
      <c r="O71" t="inlineStr">
        <is>
          <t>giong</t>
        </is>
      </c>
      <c r="R71" t="n">
        <v>8.6</v>
      </c>
      <c r="S71">
        <f>IF($D$71="",0,INDEX(boss_input_vu_khi_suy_ra!$B$2:$B$94,MATCH($D$71,boss_input_vu_khi_suy_ra!$A$2:$A$94,0))*IF(INDEX(boss_input_vu_khi!$D$2:$D$94,MATCH($D$71,boss_input_vu_khi!$A$2:$A$94,0)),1,Boss_dps!$B$16)*Boss_dps!$C$16)</f>
        <v/>
      </c>
      <c r="T71" t="n">
        <v>55.81395348837209</v>
      </c>
      <c r="U71" t="inlineStr">
        <is>
          <t>Assets/MachineBrigade/Resources/Data/balance.json: vehicles[id=fortress_bastion] dựng bởi Tools/balance/p26_ab.expand</t>
        </is>
      </c>
      <c r="V71" t="inlineStr"/>
    </row>
    <row r="72">
      <c r="A72" t="inlineStr">
        <is>
          <t>fortress_bastion/2</t>
        </is>
      </c>
      <c r="B72" t="inlineStr">
        <is>
          <t>fortress_bastion</t>
        </is>
      </c>
      <c r="C72" t="n">
        <v>2</v>
      </c>
      <c r="D72" t="inlineStr">
        <is>
          <t>p26_bastion_direct_b100</t>
        </is>
      </c>
      <c r="E72" t="inlineStr">
        <is>
          <t>gun</t>
        </is>
      </c>
      <c r="F72" t="inlineStr">
        <is>
          <t>Free</t>
        </is>
      </c>
      <c r="G72" t="inlineStr">
        <is>
          <t>turret_fr</t>
        </is>
      </c>
      <c r="H72" t="n">
        <v>2</v>
      </c>
      <c r="I72" t="n">
        <v>240</v>
      </c>
      <c r="J72" t="n">
        <v>8.6</v>
      </c>
      <c r="K72" t="n">
        <v>0</v>
      </c>
      <c r="L72" t="n">
        <v>0</v>
      </c>
      <c r="M72" t="n">
        <v>0</v>
      </c>
      <c r="N72">
        <f>INDEX(boss_input_vu_khi_suy_ra!$C$2:$C$94,MATCH($D$72,boss_input_vu_khi_suy_ra!$A$2:$A$94,0))</f>
        <v/>
      </c>
      <c r="O72" t="inlineStr">
        <is>
          <t>giong</t>
        </is>
      </c>
      <c r="R72" t="n">
        <v>8.6</v>
      </c>
      <c r="S72">
        <f>IF($D$72="",0,INDEX(boss_input_vu_khi_suy_ra!$B$2:$B$94,MATCH($D$72,boss_input_vu_khi_suy_ra!$A$2:$A$94,0))*IF(INDEX(boss_input_vu_khi!$D$2:$D$94,MATCH($D$72,boss_input_vu_khi!$A$2:$A$94,0)),1,Boss_dps!$B$16)*Boss_dps!$C$16)</f>
        <v/>
      </c>
      <c r="T72" t="n">
        <v>55.81395348837209</v>
      </c>
      <c r="U72" t="inlineStr">
        <is>
          <t>Assets/MachineBrigade/Resources/Data/balance.json: vehicles[id=fortress_bastion] dựng bởi Tools/balance/p26_ab.expand</t>
        </is>
      </c>
      <c r="V72" t="inlineStr"/>
    </row>
    <row r="73">
      <c r="A73" t="inlineStr">
        <is>
          <t>fortress_bastion/3</t>
        </is>
      </c>
      <c r="B73" t="inlineStr">
        <is>
          <t>fortress_bastion</t>
        </is>
      </c>
      <c r="C73" t="n">
        <v>3</v>
      </c>
      <c r="D73" t="inlineStr">
        <is>
          <t>p26_bastion_tiny_autocannon_40</t>
        </is>
      </c>
      <c r="E73" t="inlineStr">
        <is>
          <t>gun</t>
        </is>
      </c>
      <c r="F73" t="inlineStr">
        <is>
          <t>Free</t>
        </is>
      </c>
      <c r="G73" t="inlineStr">
        <is>
          <t>turret_rl</t>
        </is>
      </c>
      <c r="H73" t="n">
        <v>1</v>
      </c>
      <c r="I73" t="n">
        <v>30</v>
      </c>
      <c r="J73" t="n">
        <v>0.2</v>
      </c>
      <c r="K73" t="n">
        <v>0</v>
      </c>
      <c r="L73" t="n">
        <v>0</v>
      </c>
      <c r="M73" t="n">
        <v>0</v>
      </c>
      <c r="N73">
        <f>INDEX(boss_input_vu_khi_suy_ra!$C$2:$C$94,MATCH($D$73,boss_input_vu_khi_suy_ra!$A$2:$A$94,0))</f>
        <v/>
      </c>
      <c r="O73" t="inlineStr">
        <is>
          <t>giong</t>
        </is>
      </c>
      <c r="R73" t="n">
        <v>3.32</v>
      </c>
      <c r="S73">
        <f>IF($D$73="",0,INDEX(boss_input_vu_khi_suy_ra!$B$2:$B$94,MATCH($D$73,boss_input_vu_khi_suy_ra!$A$2:$A$94,0))*IF(INDEX(boss_input_vu_khi!$D$2:$D$94,MATCH($D$73,boss_input_vu_khi!$A$2:$A$94,0)),1,Boss_dps!$B$16)*Boss_dps!$C$16)</f>
        <v/>
      </c>
      <c r="T73" t="n">
        <v>90.36144578313252</v>
      </c>
      <c r="U73" t="inlineStr">
        <is>
          <t>Assets/MachineBrigade/Resources/Data/balance.json: vehicles[id=fortress_bastion] dựng bởi Tools/balance/p26_ab.expand</t>
        </is>
      </c>
      <c r="V73" t="inlineStr"/>
    </row>
    <row r="74">
      <c r="A74" t="inlineStr">
        <is>
          <t>fortress_bastion/4</t>
        </is>
      </c>
      <c r="B74" t="inlineStr">
        <is>
          <t>fortress_bastion</t>
        </is>
      </c>
      <c r="C74" t="n">
        <v>4</v>
      </c>
      <c r="D74" t="inlineStr">
        <is>
          <t>p26_bastion_tiny_autocannon_40</t>
        </is>
      </c>
      <c r="E74" t="inlineStr">
        <is>
          <t>gun</t>
        </is>
      </c>
      <c r="F74" t="inlineStr">
        <is>
          <t>Free</t>
        </is>
      </c>
      <c r="G74" t="inlineStr">
        <is>
          <t>turret_rr</t>
        </is>
      </c>
      <c r="H74" t="n">
        <v>1</v>
      </c>
      <c r="I74" t="n">
        <v>30</v>
      </c>
      <c r="J74" t="n">
        <v>0.2</v>
      </c>
      <c r="K74" t="n">
        <v>0</v>
      </c>
      <c r="L74" t="n">
        <v>0</v>
      </c>
      <c r="M74" t="n">
        <v>0</v>
      </c>
      <c r="N74">
        <f>INDEX(boss_input_vu_khi_suy_ra!$C$2:$C$94,MATCH($D$74,boss_input_vu_khi_suy_ra!$A$2:$A$94,0))</f>
        <v/>
      </c>
      <c r="O74" t="inlineStr">
        <is>
          <t>giong</t>
        </is>
      </c>
      <c r="R74" t="n">
        <v>3.32</v>
      </c>
      <c r="S74">
        <f>IF($D$74="",0,INDEX(boss_input_vu_khi_suy_ra!$B$2:$B$94,MATCH($D$74,boss_input_vu_khi_suy_ra!$A$2:$A$94,0))*IF(INDEX(boss_input_vu_khi!$D$2:$D$94,MATCH($D$74,boss_input_vu_khi!$A$2:$A$94,0)),1,Boss_dps!$B$16)*Boss_dps!$C$16)</f>
        <v/>
      </c>
      <c r="T74" t="n">
        <v>90.36144578313252</v>
      </c>
      <c r="U74" t="inlineStr">
        <is>
          <t>Assets/MachineBrigade/Resources/Data/balance.json: vehicles[id=fortress_bastion] dựng bởi Tools/balance/p26_ab.expand</t>
        </is>
      </c>
      <c r="V74" t="inlineStr"/>
    </row>
    <row r="75">
      <c r="A75" t="inlineStr">
        <is>
          <t>fortress_bastion/5</t>
        </is>
      </c>
      <c r="B75" t="inlineStr">
        <is>
          <t>fortress_bastion</t>
        </is>
      </c>
      <c r="C75" t="n">
        <v>5</v>
      </c>
      <c r="D75" t="inlineStr">
        <is>
          <t>p26_bastion_tiny_kornet_twin</t>
        </is>
      </c>
      <c r="E75" t="inlineStr">
        <is>
          <t>missile</t>
        </is>
      </c>
      <c r="F75" t="inlineStr">
        <is>
          <t>Free</t>
        </is>
      </c>
      <c r="G75" t="inlineStr">
        <is>
          <t>kornet</t>
        </is>
      </c>
      <c r="H75" t="n">
        <v>1</v>
      </c>
      <c r="I75" t="n">
        <v>230</v>
      </c>
      <c r="J75" t="n">
        <v>19.4</v>
      </c>
      <c r="K75" t="n">
        <v>0</v>
      </c>
      <c r="L75" t="n">
        <v>0</v>
      </c>
      <c r="M75" t="n">
        <v>0</v>
      </c>
      <c r="N75">
        <f>INDEX(boss_input_vu_khi_suy_ra!$C$2:$C$94,MATCH($D$75,boss_input_vu_khi_suy_ra!$A$2:$A$94,0))</f>
        <v/>
      </c>
      <c r="O75" t="inlineStr">
        <is>
          <t>giong</t>
        </is>
      </c>
      <c r="R75" t="n">
        <v>20</v>
      </c>
      <c r="S75">
        <f>IF($D$75="",0,INDEX(boss_input_vu_khi_suy_ra!$B$2:$B$94,MATCH($D$75,boss_input_vu_khi_suy_ra!$A$2:$A$94,0))*IF(INDEX(boss_input_vu_khi!$D$2:$D$94,MATCH($D$75,boss_input_vu_khi!$A$2:$A$94,0)),1,Boss_dps!$B$16)*Boss_dps!$C$16)</f>
        <v/>
      </c>
      <c r="T75" t="n">
        <v>23</v>
      </c>
      <c r="U75" t="inlineStr">
        <is>
          <t>Assets/MachineBrigade/Resources/Data/balance.json: vehicles[id=fortress_bastion] dựng bởi Tools/balance/p26_ab.expand</t>
        </is>
      </c>
      <c r="V75" t="inlineStr"/>
    </row>
    <row r="76">
      <c r="A76" t="inlineStr">
        <is>
          <t>fortress_bastion/6</t>
        </is>
      </c>
      <c r="B76" t="inlineStr">
        <is>
          <t>fortress_bastion</t>
        </is>
      </c>
      <c r="C76" t="n">
        <v>6</v>
      </c>
      <c r="D76" t="inlineStr">
        <is>
          <t>p26_bastion_close_boss_hmg</t>
        </is>
      </c>
      <c r="E76" t="inlineStr">
        <is>
          <t>mg</t>
        </is>
      </c>
      <c r="F76" t="inlineStr">
        <is>
          <t>Free</t>
        </is>
      </c>
      <c r="G76" t="inlineStr">
        <is>
          <t>turret_rl</t>
        </is>
      </c>
      <c r="H76" t="n">
        <v>1</v>
      </c>
      <c r="I76" t="n">
        <v>15</v>
      </c>
      <c r="J76" t="n">
        <v>0.0833</v>
      </c>
      <c r="K76" t="n">
        <v>0</v>
      </c>
      <c r="L76" t="n">
        <v>0</v>
      </c>
      <c r="M76" t="n">
        <v>0</v>
      </c>
      <c r="N76">
        <f>INDEX(boss_input_vu_khi_suy_ra!$C$2:$C$94,MATCH($D$76,boss_input_vu_khi_suy_ra!$A$2:$A$94,0))</f>
        <v/>
      </c>
      <c r="O76" t="inlineStr">
        <is>
          <t>giong</t>
        </is>
      </c>
      <c r="R76" t="n">
        <v>13.2467</v>
      </c>
      <c r="S76">
        <f>IF($D$76="",0,INDEX(boss_input_vu_khi_suy_ra!$B$2:$B$94,MATCH($D$76,boss_input_vu_khi_suy_ra!$A$2:$A$94,0))*IF(INDEX(boss_input_vu_khi!$D$2:$D$94,MATCH($D$76,boss_input_vu_khi!$A$2:$A$94,0)),1,Boss_dps!$B$16)*Boss_dps!$C$16)</f>
        <v/>
      </c>
      <c r="T76" t="n">
        <v>113.235749280953</v>
      </c>
      <c r="U76" t="inlineStr">
        <is>
          <t>Assets/MachineBrigade/Resources/Data/balance.json: vehicles[id=fortress_bastion] dựng bởi Tools/balance/p26_ab.expand</t>
        </is>
      </c>
      <c r="V76" t="inlineStr"/>
    </row>
    <row r="77">
      <c r="A77" t="inlineStr">
        <is>
          <t>fortress_bastion/7</t>
        </is>
      </c>
      <c r="B77" t="inlineStr">
        <is>
          <t>fortress_bastion</t>
        </is>
      </c>
      <c r="C77" t="n">
        <v>7</v>
      </c>
      <c r="D77" t="inlineStr">
        <is>
          <t>p26_bastion_close_boss_hmg</t>
        </is>
      </c>
      <c r="E77" t="inlineStr">
        <is>
          <t>mg</t>
        </is>
      </c>
      <c r="F77" t="inlineStr">
        <is>
          <t>Free</t>
        </is>
      </c>
      <c r="G77" t="inlineStr">
        <is>
          <t>turret_rr</t>
        </is>
      </c>
      <c r="H77" t="n">
        <v>1</v>
      </c>
      <c r="I77" t="n">
        <v>15</v>
      </c>
      <c r="J77" t="n">
        <v>0.0833</v>
      </c>
      <c r="K77" t="n">
        <v>0</v>
      </c>
      <c r="L77" t="n">
        <v>0</v>
      </c>
      <c r="M77" t="n">
        <v>0</v>
      </c>
      <c r="N77">
        <f>INDEX(boss_input_vu_khi_suy_ra!$C$2:$C$94,MATCH($D$77,boss_input_vu_khi_suy_ra!$A$2:$A$94,0))</f>
        <v/>
      </c>
      <c r="O77" t="inlineStr">
        <is>
          <t>giong</t>
        </is>
      </c>
      <c r="R77" t="n">
        <v>13.2467</v>
      </c>
      <c r="S77">
        <f>IF($D$77="",0,INDEX(boss_input_vu_khi_suy_ra!$B$2:$B$94,MATCH($D$77,boss_input_vu_khi_suy_ra!$A$2:$A$94,0))*IF(INDEX(boss_input_vu_khi!$D$2:$D$94,MATCH($D$77,boss_input_vu_khi!$A$2:$A$94,0)),1,Boss_dps!$B$16)*Boss_dps!$C$16)</f>
        <v/>
      </c>
      <c r="T77" t="n">
        <v>113.235749280953</v>
      </c>
      <c r="U77" t="inlineStr">
        <is>
          <t>Assets/MachineBrigade/Resources/Data/balance.json: vehicles[id=fortress_bastion] dựng bởi Tools/balance/p26_ab.expand</t>
        </is>
      </c>
      <c r="V77" t="inlineStr"/>
    </row>
    <row r="78">
      <c r="A78" t="inlineStr">
        <is>
          <t>fortress_bastion/8</t>
        </is>
      </c>
      <c r="B78" t="inlineStr">
        <is>
          <t>fortress_bastion</t>
        </is>
      </c>
      <c r="C78" t="n">
        <v>8</v>
      </c>
      <c r="D78" t="inlineStr">
        <is>
          <t>p26_bastion_main_b155</t>
        </is>
      </c>
      <c r="E78" t="inlineStr">
        <is>
          <t>gun</t>
        </is>
      </c>
      <c r="F78" t="inlineStr">
        <is>
          <t>Free</t>
        </is>
      </c>
      <c r="G78" t="inlineStr">
        <is>
          <t>casemate</t>
        </is>
      </c>
      <c r="H78" t="n">
        <v>1</v>
      </c>
      <c r="I78" t="n">
        <v>600</v>
      </c>
      <c r="J78" t="n">
        <v>15</v>
      </c>
      <c r="K78" t="n">
        <v>7</v>
      </c>
      <c r="L78" t="n">
        <v>14</v>
      </c>
      <c r="M78" t="n">
        <v>0</v>
      </c>
      <c r="N78">
        <f>INDEX(boss_input_vu_khi_suy_ra!$C$2:$C$94,MATCH($D$78,boss_input_vu_khi_suy_ra!$A$2:$A$94,0))</f>
        <v/>
      </c>
      <c r="O78" t="inlineStr">
        <is>
          <t>giong</t>
        </is>
      </c>
      <c r="R78" t="n">
        <v>15</v>
      </c>
      <c r="S78">
        <f>IF($D$78="",0,INDEX(boss_input_vu_khi_suy_ra!$B$2:$B$94,MATCH($D$78,boss_input_vu_khi_suy_ra!$A$2:$A$94,0))*IF(INDEX(boss_input_vu_khi!$D$2:$D$94,MATCH($D$78,boss_input_vu_khi!$A$2:$A$94,0)),1,Boss_dps!$B$16)*Boss_dps!$C$16)</f>
        <v/>
      </c>
      <c r="T78" t="n">
        <v>40</v>
      </c>
      <c r="U78" t="inlineStr">
        <is>
          <t>Assets/MachineBrigade/Resources/Data/balance.json: vehicles[id=fortress_bastion] dựng bởi Tools/balance/p26_ab.expand</t>
        </is>
      </c>
      <c r="V78" t="inlineStr"/>
    </row>
    <row r="79">
      <c r="A79" t="inlineStr">
        <is>
          <t>fortress_bastion/9</t>
        </is>
      </c>
      <c r="B79" t="inlineStr">
        <is>
          <t>fortress_bastion</t>
        </is>
      </c>
      <c r="C79" t="n">
        <v>9</v>
      </c>
      <c r="D79" t="inlineStr">
        <is>
          <t>p26_bastion_tiny_zu23</t>
        </is>
      </c>
      <c r="E79" t="inlineStr">
        <is>
          <t>mg</t>
        </is>
      </c>
      <c r="F79" t="inlineStr">
        <is>
          <t>Free</t>
        </is>
      </c>
      <c r="G79" t="inlineStr">
        <is>
          <t>zu23_l</t>
        </is>
      </c>
      <c r="H79" t="n">
        <v>2</v>
      </c>
      <c r="I79" t="n">
        <v>3.5</v>
      </c>
      <c r="J79" t="n">
        <v>0.02</v>
      </c>
      <c r="K79" t="n">
        <v>0</v>
      </c>
      <c r="L79" t="n">
        <v>0</v>
      </c>
      <c r="M79" t="n">
        <v>0</v>
      </c>
      <c r="N79">
        <f>INDEX(boss_input_vu_khi_suy_ra!$C$2:$C$94,MATCH($D$79,boss_input_vu_khi_suy_ra!$A$2:$A$94,0))</f>
        <v/>
      </c>
      <c r="O79" t="inlineStr">
        <is>
          <t>giong</t>
        </is>
      </c>
      <c r="R79" t="n">
        <v>4.96</v>
      </c>
      <c r="S79">
        <f>IF($D$79="",0,INDEX(boss_input_vu_khi_suy_ra!$B$2:$B$94,MATCH($D$79,boss_input_vu_khi_suy_ra!$A$2:$A$94,0))*IF(INDEX(boss_input_vu_khi!$D$2:$D$94,MATCH($D$79,boss_input_vu_khi!$A$2:$A$94,0)),1,Boss_dps!$B$16)*Boss_dps!$C$16)</f>
        <v/>
      </c>
      <c r="T79" t="n">
        <v>70.56451612903226</v>
      </c>
      <c r="U79" t="inlineStr">
        <is>
          <t>Assets/MachineBrigade/Resources/Data/balance.json: vehicles[id=fortress_bastion] dựng bởi Tools/balance/p26_ab.expand</t>
        </is>
      </c>
      <c r="V79" t="inlineStr"/>
    </row>
    <row r="80">
      <c r="A80" t="inlineStr">
        <is>
          <t>fortress_bastion/10</t>
        </is>
      </c>
      <c r="B80" t="inlineStr">
        <is>
          <t>fortress_bastion</t>
        </is>
      </c>
      <c r="C80" t="n">
        <v>10</v>
      </c>
      <c r="D80" t="inlineStr">
        <is>
          <t>p26_bastion_tiny_zu23</t>
        </is>
      </c>
      <c r="E80" t="inlineStr">
        <is>
          <t>mg</t>
        </is>
      </c>
      <c r="F80" t="inlineStr">
        <is>
          <t>Free</t>
        </is>
      </c>
      <c r="G80" t="inlineStr">
        <is>
          <t>zu23_r</t>
        </is>
      </c>
      <c r="H80" t="n">
        <v>2</v>
      </c>
      <c r="I80" t="n">
        <v>3.5</v>
      </c>
      <c r="J80" t="n">
        <v>0.02</v>
      </c>
      <c r="K80" t="n">
        <v>0</v>
      </c>
      <c r="L80" t="n">
        <v>0</v>
      </c>
      <c r="M80" t="n">
        <v>0</v>
      </c>
      <c r="N80">
        <f>INDEX(boss_input_vu_khi_suy_ra!$C$2:$C$94,MATCH($D$80,boss_input_vu_khi_suy_ra!$A$2:$A$94,0))</f>
        <v/>
      </c>
      <c r="O80" t="inlineStr">
        <is>
          <t>giong</t>
        </is>
      </c>
      <c r="R80" t="n">
        <v>4.96</v>
      </c>
      <c r="S80">
        <f>IF($D$80="",0,INDEX(boss_input_vu_khi_suy_ra!$B$2:$B$94,MATCH($D$80,boss_input_vu_khi_suy_ra!$A$2:$A$94,0))*IF(INDEX(boss_input_vu_khi!$D$2:$D$94,MATCH($D$80,boss_input_vu_khi!$A$2:$A$94,0)),1,Boss_dps!$B$16)*Boss_dps!$C$16)</f>
        <v/>
      </c>
      <c r="T80" t="n">
        <v>70.56451612903226</v>
      </c>
      <c r="U80" t="inlineStr">
        <is>
          <t>Assets/MachineBrigade/Resources/Data/balance.json: vehicles[id=fortress_bastion] dựng bởi Tools/balance/p26_ab.expand</t>
        </is>
      </c>
      <c r="V80" t="inlineStr"/>
    </row>
    <row r="81">
      <c r="A81" t="inlineStr">
        <is>
          <t>hydra/0</t>
        </is>
      </c>
      <c r="B81" t="inlineStr">
        <is>
          <t>hydra</t>
        </is>
      </c>
      <c r="C81" t="n">
        <v>0</v>
      </c>
      <c r="D81" t="inlineStr">
        <is>
          <t>p26_typhon_sec_ty57</t>
        </is>
      </c>
      <c r="E81" t="inlineStr">
        <is>
          <t>missile</t>
        </is>
      </c>
      <c r="F81" t="inlineStr"/>
      <c r="G81" t="inlineStr"/>
      <c r="H81" t="n">
        <v>2</v>
      </c>
      <c r="I81" t="n">
        <v>120</v>
      </c>
      <c r="J81" t="n">
        <v>2.79</v>
      </c>
      <c r="K81" t="n">
        <v>3</v>
      </c>
      <c r="L81" t="n">
        <v>6</v>
      </c>
      <c r="M81" t="n">
        <v>0</v>
      </c>
      <c r="N81">
        <f>INDEX(boss_input_vu_khi_suy_ra!$C$2:$C$94,MATCH($D$81,boss_input_vu_khi_suy_ra!$A$2:$A$94,0))</f>
        <v/>
      </c>
      <c r="O81" t="inlineStr">
        <is>
          <t>giong</t>
        </is>
      </c>
      <c r="R81" t="n">
        <v>4.29</v>
      </c>
      <c r="S81">
        <f>IF($D$81="",0,INDEX(boss_input_vu_khi_suy_ra!$B$2:$B$94,MATCH($D$81,boss_input_vu_khi_suy_ra!$A$2:$A$94,0))*IF(INDEX(boss_input_vu_khi!$D$2:$D$94,MATCH($D$81,boss_input_vu_khi!$A$2:$A$94,0)),1,Boss_dps!$B$17)*Boss_dps!$C$17)</f>
        <v/>
      </c>
      <c r="T81" t="n">
        <v>289.1188811188811</v>
      </c>
      <c r="U81" t="inlineStr">
        <is>
          <t>Assets/MachineBrigade/Resources/Data/balance.json: vehicles[id=hydra] dựng bởi Tools/balance/p26_ab.expand</t>
        </is>
      </c>
      <c r="V81" t="inlineStr"/>
    </row>
    <row r="82">
      <c r="A82" t="inlineStr">
        <is>
          <t>hydra/1</t>
        </is>
      </c>
      <c r="B82" t="inlineStr">
        <is>
          <t>hydra</t>
        </is>
      </c>
      <c r="C82" t="n">
        <v>1</v>
      </c>
      <c r="D82" t="inlineStr">
        <is>
          <t>p26_typhon_sec_ty57</t>
        </is>
      </c>
      <c r="E82" t="inlineStr">
        <is>
          <t>gun</t>
        </is>
      </c>
      <c r="F82" t="inlineStr">
        <is>
          <t>Free</t>
        </is>
      </c>
      <c r="G82" t="inlineStr"/>
      <c r="H82" t="n">
        <v>2</v>
      </c>
      <c r="I82" t="n">
        <v>120</v>
      </c>
      <c r="J82" t="n">
        <v>2.79</v>
      </c>
      <c r="K82" t="n">
        <v>3</v>
      </c>
      <c r="L82" t="n">
        <v>6</v>
      </c>
      <c r="M82" t="n">
        <v>0</v>
      </c>
      <c r="N82">
        <f>INDEX(boss_input_vu_khi_suy_ra!$C$2:$C$94,MATCH($D$82,boss_input_vu_khi_suy_ra!$A$2:$A$94,0))</f>
        <v/>
      </c>
      <c r="O82" t="inlineStr">
        <is>
          <t>giong</t>
        </is>
      </c>
      <c r="R82" t="n">
        <v>4.29</v>
      </c>
      <c r="S82">
        <f>IF($D$82="",0,INDEX(boss_input_vu_khi_suy_ra!$B$2:$B$94,MATCH($D$82,boss_input_vu_khi_suy_ra!$A$2:$A$94,0))*IF(INDEX(boss_input_vu_khi!$D$2:$D$94,MATCH($D$82,boss_input_vu_khi!$A$2:$A$94,0)),1,Boss_dps!$B$17)*Boss_dps!$C$17)</f>
        <v/>
      </c>
      <c r="T82" t="n">
        <v>289.1188811188811</v>
      </c>
      <c r="U82" t="inlineStr">
        <is>
          <t>Assets/MachineBrigade/Resources/Data/balance.json: vehicles[id=hydra] dựng bởi Tools/balance/p26_ab.expand</t>
        </is>
      </c>
      <c r="V82" t="inlineStr"/>
    </row>
    <row r="83">
      <c r="A83" t="inlineStr">
        <is>
          <t>hydra/2</t>
        </is>
      </c>
      <c r="B83" t="inlineStr">
        <is>
          <t>hydra</t>
        </is>
      </c>
      <c r="C83" t="n">
        <v>2</v>
      </c>
      <c r="D83" t="inlineStr">
        <is>
          <t>p26_typhon_direct_ty100</t>
        </is>
      </c>
      <c r="E83" t="inlineStr">
        <is>
          <t>gun</t>
        </is>
      </c>
      <c r="F83" t="inlineStr">
        <is>
          <t>Free</t>
        </is>
      </c>
      <c r="G83" t="inlineStr">
        <is>
          <t>deck_gun</t>
        </is>
      </c>
      <c r="H83" t="n">
        <v>1</v>
      </c>
      <c r="I83" t="n">
        <v>300</v>
      </c>
      <c r="J83" t="n">
        <v>2.5</v>
      </c>
      <c r="K83" t="n">
        <v>5</v>
      </c>
      <c r="L83" t="n">
        <v>10</v>
      </c>
      <c r="M83" t="n">
        <v>0</v>
      </c>
      <c r="N83">
        <f>INDEX(boss_input_vu_khi_suy_ra!$C$2:$C$94,MATCH($D$83,boss_input_vu_khi_suy_ra!$A$2:$A$94,0))</f>
        <v/>
      </c>
      <c r="O83" t="inlineStr">
        <is>
          <t>giong</t>
        </is>
      </c>
      <c r="R83" t="n">
        <v>3.5</v>
      </c>
      <c r="S83">
        <f>IF($D$83="",0,INDEX(boss_input_vu_khi_suy_ra!$B$2:$B$94,MATCH($D$83,boss_input_vu_khi_suy_ra!$A$2:$A$94,0))*IF(INDEX(boss_input_vu_khi!$D$2:$D$94,MATCH($D$83,boss_input_vu_khi!$A$2:$A$94,0)),1,Boss_dps!$B$17)*Boss_dps!$C$17)</f>
        <v/>
      </c>
      <c r="T83" t="n">
        <v>221.4857142857143</v>
      </c>
      <c r="U83" t="inlineStr">
        <is>
          <t>Assets/MachineBrigade/Resources/Data/balance.json: vehicles[id=hydra] dựng bởi Tools/balance/p26_ab.expand</t>
        </is>
      </c>
      <c r="V83" t="inlineStr"/>
    </row>
    <row r="84">
      <c r="A84" t="inlineStr">
        <is>
          <t>hyperion/0</t>
        </is>
      </c>
      <c r="B84" t="inlineStr">
        <is>
          <t>hyperion</t>
        </is>
      </c>
      <c r="C84" t="n">
        <v>0</v>
      </c>
      <c r="D84" t="inlineStr">
        <is>
          <t>p26_icarus_sec_orbital_laser</t>
        </is>
      </c>
      <c r="E84" t="inlineStr">
        <is>
          <t>main</t>
        </is>
      </c>
      <c r="F84" t="inlineStr">
        <is>
          <t>Free</t>
        </is>
      </c>
      <c r="G84" t="inlineStr">
        <is>
          <t>main_laser</t>
        </is>
      </c>
      <c r="H84" t="n">
        <v>1</v>
      </c>
      <c r="I84" t="n">
        <v>40</v>
      </c>
      <c r="J84" t="n">
        <v>0.1</v>
      </c>
      <c r="K84" t="n">
        <v>1.5</v>
      </c>
      <c r="L84" t="n">
        <v>0</v>
      </c>
      <c r="M84" t="n">
        <v>0</v>
      </c>
      <c r="N84">
        <f>INDEX(boss_input_vu_khi_suy_ra!$C$2:$C$94,MATCH($D$84,boss_input_vu_khi_suy_ra!$A$2:$A$94,0))</f>
        <v/>
      </c>
      <c r="O84" t="inlineStr">
        <is>
          <t>giong</t>
        </is>
      </c>
      <c r="R84" t="n">
        <v>0.1</v>
      </c>
      <c r="S84">
        <f>IF($D$84="",0,INDEX(boss_input_vu_khi_suy_ra!$B$2:$B$94,MATCH($D$84,boss_input_vu_khi_suy_ra!$A$2:$A$94,0))*IF(INDEX(boss_input_vu_khi!$D$2:$D$94,MATCH($D$84,boss_input_vu_khi!$A$2:$A$94,0)),1,Boss_dps!$B$18)*Boss_dps!$C$18)</f>
        <v/>
      </c>
      <c r="T84" t="n">
        <v>444.4</v>
      </c>
      <c r="U84" t="inlineStr">
        <is>
          <t>Assets/MachineBrigade/Resources/Data/balance.json: vehicles[id=hyperion] dựng bởi Tools/balance/p26_ab.expand</t>
        </is>
      </c>
      <c r="V84" t="inlineStr"/>
    </row>
    <row r="85">
      <c r="A85" t="inlineStr">
        <is>
          <t>hyperion/1</t>
        </is>
      </c>
      <c r="B85" t="inlineStr">
        <is>
          <t>hyperion</t>
        </is>
      </c>
      <c r="C85" t="n">
        <v>1</v>
      </c>
      <c r="D85" t="inlineStr">
        <is>
          <t>pt14_hp_155</t>
        </is>
      </c>
      <c r="E85" t="inlineStr">
        <is>
          <t>gun</t>
        </is>
      </c>
      <c r="F85" t="inlineStr">
        <is>
          <t>Free</t>
        </is>
      </c>
      <c r="G85" t="inlineStr"/>
      <c r="H85" t="n">
        <v>1</v>
      </c>
      <c r="I85" t="n">
        <v>600</v>
      </c>
      <c r="J85" t="n">
        <v>13.5</v>
      </c>
      <c r="K85" t="n">
        <v>7</v>
      </c>
      <c r="L85" t="n">
        <v>14</v>
      </c>
      <c r="M85" t="n">
        <v>0</v>
      </c>
      <c r="N85">
        <f>INDEX(boss_input_vu_khi_suy_ra!$C$2:$C$94,MATCH($D$85,boss_input_vu_khi_suy_ra!$A$2:$A$94,0))</f>
        <v/>
      </c>
      <c r="O85" t="inlineStr">
        <is>
          <t>doi</t>
        </is>
      </c>
      <c r="P85" t="inlineStr">
        <is>
          <t>p26_icarus_main_ic_coil</t>
        </is>
      </c>
      <c r="Q85" t="inlineStr">
        <is>
          <t>pt14_hp_155</t>
        </is>
      </c>
      <c r="R85" t="n">
        <v>13.9</v>
      </c>
      <c r="S85">
        <f>IF($D$85="",0,INDEX(boss_input_vu_khi_suy_ra!$B$2:$B$94,MATCH($D$85,boss_input_vu_khi_suy_ra!$A$2:$A$94,0))*IF(INDEX(boss_input_vu_khi!$D$2:$D$94,MATCH($D$85,boss_input_vu_khi!$A$2:$A$94,0)),1,Boss_dps!$B$18)*Boss_dps!$C$18)</f>
        <v/>
      </c>
      <c r="T85" t="n">
        <v>95.91366906474821</v>
      </c>
      <c r="U85" t="inlineStr">
        <is>
          <t>Assets/MachineBrigade/Resources/Data/balance.json: vehicles[id=hyperion] dựng bởi Tools/balance/p26_ab.expand</t>
        </is>
      </c>
      <c r="V85" t="inlineStr"/>
    </row>
    <row r="86">
      <c r="A86" t="inlineStr">
        <is>
          <t>hyperion/2</t>
        </is>
      </c>
      <c r="B86" t="inlineStr">
        <is>
          <t>hyperion</t>
        </is>
      </c>
      <c r="C86" t="n">
        <v>2</v>
      </c>
      <c r="D86" t="inlineStr">
        <is>
          <t>pt14_hp_155</t>
        </is>
      </c>
      <c r="E86" t="inlineStr">
        <is>
          <t>gun</t>
        </is>
      </c>
      <c r="F86" t="inlineStr">
        <is>
          <t>Free</t>
        </is>
      </c>
      <c r="G86" t="inlineStr"/>
      <c r="H86" t="n">
        <v>1</v>
      </c>
      <c r="I86" t="n">
        <v>600</v>
      </c>
      <c r="J86" t="n">
        <v>13.5</v>
      </c>
      <c r="K86" t="n">
        <v>7</v>
      </c>
      <c r="L86" t="n">
        <v>14</v>
      </c>
      <c r="M86" t="n">
        <v>0</v>
      </c>
      <c r="N86">
        <f>INDEX(boss_input_vu_khi_suy_ra!$C$2:$C$94,MATCH($D$86,boss_input_vu_khi_suy_ra!$A$2:$A$94,0))</f>
        <v/>
      </c>
      <c r="O86" t="inlineStr">
        <is>
          <t>doi</t>
        </is>
      </c>
      <c r="P86" t="inlineStr">
        <is>
          <t>p26_icarus_main_ic_coil</t>
        </is>
      </c>
      <c r="Q86" t="inlineStr">
        <is>
          <t>pt14_hp_155</t>
        </is>
      </c>
      <c r="R86" t="n">
        <v>13.9</v>
      </c>
      <c r="S86">
        <f>IF($D$86="",0,INDEX(boss_input_vu_khi_suy_ra!$B$2:$B$94,MATCH($D$86,boss_input_vu_khi_suy_ra!$A$2:$A$94,0))*IF(INDEX(boss_input_vu_khi!$D$2:$D$94,MATCH($D$86,boss_input_vu_khi!$A$2:$A$94,0)),1,Boss_dps!$B$18)*Boss_dps!$C$18)</f>
        <v/>
      </c>
      <c r="T86" t="n">
        <v>95.91366906474821</v>
      </c>
      <c r="U86" t="inlineStr">
        <is>
          <t>Assets/MachineBrigade/Resources/Data/balance.json: vehicles[id=hyperion] dựng bởi Tools/balance/p26_ab.expand</t>
        </is>
      </c>
      <c r="V86" t="inlineStr"/>
    </row>
    <row r="87">
      <c r="A87" t="inlineStr">
        <is>
          <t>hyperion/3</t>
        </is>
      </c>
      <c r="B87" t="inlineStr">
        <is>
          <t>hyperion</t>
        </is>
      </c>
      <c r="C87" t="n">
        <v>3</v>
      </c>
      <c r="D87" t="inlineStr">
        <is>
          <t>pt14_hp_vlaser</t>
        </is>
      </c>
      <c r="E87" t="inlineStr">
        <is>
          <t>gun</t>
        </is>
      </c>
      <c r="F87" t="inlineStr">
        <is>
          <t>Free</t>
        </is>
      </c>
      <c r="G87" t="inlineStr"/>
      <c r="H87" t="n">
        <v>1</v>
      </c>
      <c r="I87" t="n">
        <v>16</v>
      </c>
      <c r="J87" t="n">
        <v>0.1</v>
      </c>
      <c r="K87" t="n">
        <v>1.5</v>
      </c>
      <c r="L87" t="n">
        <v>0</v>
      </c>
      <c r="M87" t="n">
        <v>0</v>
      </c>
      <c r="N87">
        <f>INDEX(boss_input_vu_khi_suy_ra!$C$2:$C$94,MATCH($D$87,boss_input_vu_khi_suy_ra!$A$2:$A$94,0))</f>
        <v/>
      </c>
      <c r="O87" t="inlineStr">
        <is>
          <t>doi</t>
        </is>
      </c>
      <c r="P87" t="inlineStr">
        <is>
          <t>p26_icarus_direct_ic_laser</t>
        </is>
      </c>
      <c r="Q87" t="inlineStr">
        <is>
          <t>pt14_hp_vlaser</t>
        </is>
      </c>
      <c r="R87" t="n">
        <v>0.1</v>
      </c>
      <c r="S87">
        <f>IF($D$87="",0,INDEX(boss_input_vu_khi_suy_ra!$B$2:$B$94,MATCH($D$87,boss_input_vu_khi_suy_ra!$A$2:$A$94,0))*IF(INDEX(boss_input_vu_khi!$D$2:$D$94,MATCH($D$87,boss_input_vu_khi!$A$2:$A$94,0)),1,Boss_dps!$B$18)*Boss_dps!$C$18)</f>
        <v/>
      </c>
      <c r="T87" t="n">
        <v>177.76</v>
      </c>
      <c r="U87" t="inlineStr">
        <is>
          <t>Assets/MachineBrigade/Resources/Data/balance.json: vehicles[id=hyperion] dựng bởi Tools/balance/p26_ab.expand</t>
        </is>
      </c>
      <c r="V87" t="inlineStr"/>
    </row>
    <row r="88">
      <c r="A88" t="inlineStr">
        <is>
          <t>hyperion/4</t>
        </is>
      </c>
      <c r="B88" t="inlineStr">
        <is>
          <t>hyperion</t>
        </is>
      </c>
      <c r="C88" t="n">
        <v>4</v>
      </c>
      <c r="D88" t="inlineStr">
        <is>
          <t>pt14_hp_vlaser</t>
        </is>
      </c>
      <c r="E88" t="inlineStr">
        <is>
          <t>gun</t>
        </is>
      </c>
      <c r="F88" t="inlineStr">
        <is>
          <t>Free</t>
        </is>
      </c>
      <c r="G88" t="inlineStr"/>
      <c r="H88" t="n">
        <v>1</v>
      </c>
      <c r="I88" t="n">
        <v>16</v>
      </c>
      <c r="J88" t="n">
        <v>0.1</v>
      </c>
      <c r="K88" t="n">
        <v>1.5</v>
      </c>
      <c r="L88" t="n">
        <v>0</v>
      </c>
      <c r="M88" t="n">
        <v>0</v>
      </c>
      <c r="N88">
        <f>INDEX(boss_input_vu_khi_suy_ra!$C$2:$C$94,MATCH($D$88,boss_input_vu_khi_suy_ra!$A$2:$A$94,0))</f>
        <v/>
      </c>
      <c r="O88" t="inlineStr">
        <is>
          <t>doi</t>
        </is>
      </c>
      <c r="P88" t="inlineStr">
        <is>
          <t>p26_icarus_direct_ic_laser</t>
        </is>
      </c>
      <c r="Q88" t="inlineStr">
        <is>
          <t>pt14_hp_vlaser</t>
        </is>
      </c>
      <c r="R88" t="n">
        <v>0.1</v>
      </c>
      <c r="S88">
        <f>IF($D$88="",0,INDEX(boss_input_vu_khi_suy_ra!$B$2:$B$94,MATCH($D$88,boss_input_vu_khi_suy_ra!$A$2:$A$94,0))*IF(INDEX(boss_input_vu_khi!$D$2:$D$94,MATCH($D$88,boss_input_vu_khi!$A$2:$A$94,0)),1,Boss_dps!$B$18)*Boss_dps!$C$18)</f>
        <v/>
      </c>
      <c r="T88" t="n">
        <v>177.76</v>
      </c>
      <c r="U88" t="inlineStr">
        <is>
          <t>Assets/MachineBrigade/Resources/Data/balance.json: vehicles[id=hyperion] dựng bởi Tools/balance/p26_ab.expand</t>
        </is>
      </c>
      <c r="V88" t="inlineStr"/>
    </row>
    <row r="89">
      <c r="A89" t="inlineStr">
        <is>
          <t>hyperion/5</t>
        </is>
      </c>
      <c r="B89" t="inlineStr">
        <is>
          <t>hyperion</t>
        </is>
      </c>
      <c r="C89" t="n">
        <v>5</v>
      </c>
      <c r="D89" t="inlineStr">
        <is>
          <t>pt14_hp_v127</t>
        </is>
      </c>
      <c r="E89" t="inlineStr">
        <is>
          <t>gun</t>
        </is>
      </c>
      <c r="F89" t="inlineStr">
        <is>
          <t>Free</t>
        </is>
      </c>
      <c r="G89" t="inlineStr"/>
      <c r="H89" t="n">
        <v>1</v>
      </c>
      <c r="I89" t="n">
        <v>380</v>
      </c>
      <c r="J89" t="n">
        <v>4.5</v>
      </c>
      <c r="K89" t="n">
        <v>6</v>
      </c>
      <c r="L89" t="n">
        <v>12</v>
      </c>
      <c r="M89" t="n">
        <v>0</v>
      </c>
      <c r="N89">
        <f>INDEX(boss_input_vu_khi_suy_ra!$C$2:$C$94,MATCH($D$89,boss_input_vu_khi_suy_ra!$A$2:$A$94,0))</f>
        <v/>
      </c>
      <c r="O89" t="inlineStr">
        <is>
          <t>moi</t>
        </is>
      </c>
      <c r="R89" t="n">
        <v>5</v>
      </c>
      <c r="S89">
        <f>IF($D$89="",0,INDEX(boss_input_vu_khi_suy_ra!$B$2:$B$94,MATCH($D$89,boss_input_vu_khi_suy_ra!$A$2:$A$94,0))*IF(INDEX(boss_input_vu_khi!$D$2:$D$94,MATCH($D$89,boss_input_vu_khi!$A$2:$A$94,0)),1,Boss_dps!$B$18)*Boss_dps!$C$18)</f>
        <v/>
      </c>
      <c r="T89" t="n">
        <v>168.872</v>
      </c>
      <c r="U89" t="inlineStr">
        <is>
          <t>Assets/MachineBrigade/Resources/Data/balance.json: vehicles[id=hyperion] dựng bởi Tools/balance/p26_ab.expand</t>
        </is>
      </c>
      <c r="V89" t="inlineStr"/>
    </row>
    <row r="90">
      <c r="A90" t="inlineStr">
        <is>
          <t>hyperion/6</t>
        </is>
      </c>
      <c r="B90" t="inlineStr">
        <is>
          <t>hyperion</t>
        </is>
      </c>
      <c r="C90" t="n">
        <v>6</v>
      </c>
      <c r="D90" t="inlineStr">
        <is>
          <t>pt14_hp_v127</t>
        </is>
      </c>
      <c r="E90" t="inlineStr">
        <is>
          <t>gun</t>
        </is>
      </c>
      <c r="F90" t="inlineStr">
        <is>
          <t>Free</t>
        </is>
      </c>
      <c r="G90" t="inlineStr"/>
      <c r="H90" t="n">
        <v>1</v>
      </c>
      <c r="I90" t="n">
        <v>380</v>
      </c>
      <c r="J90" t="n">
        <v>4.5</v>
      </c>
      <c r="K90" t="n">
        <v>6</v>
      </c>
      <c r="L90" t="n">
        <v>12</v>
      </c>
      <c r="M90" t="n">
        <v>0</v>
      </c>
      <c r="N90">
        <f>INDEX(boss_input_vu_khi_suy_ra!$C$2:$C$94,MATCH($D$90,boss_input_vu_khi_suy_ra!$A$2:$A$94,0))</f>
        <v/>
      </c>
      <c r="O90" t="inlineStr">
        <is>
          <t>moi</t>
        </is>
      </c>
      <c r="R90" t="n">
        <v>5</v>
      </c>
      <c r="S90">
        <f>IF($D$90="",0,INDEX(boss_input_vu_khi_suy_ra!$B$2:$B$94,MATCH($D$90,boss_input_vu_khi_suy_ra!$A$2:$A$94,0))*IF(INDEX(boss_input_vu_khi!$D$2:$D$94,MATCH($D$90,boss_input_vu_khi!$A$2:$A$94,0)),1,Boss_dps!$B$18)*Boss_dps!$C$18)</f>
        <v/>
      </c>
      <c r="T90" t="n">
        <v>168.872</v>
      </c>
      <c r="U90" t="inlineStr">
        <is>
          <t>Assets/MachineBrigade/Resources/Data/balance.json: vehicles[id=hyperion] dựng bởi Tools/balance/p26_ab.expand</t>
        </is>
      </c>
      <c r="V90" t="inlineStr"/>
    </row>
    <row r="91">
      <c r="A91" t="inlineStr">
        <is>
          <t>hyperion/7</t>
        </is>
      </c>
      <c r="B91" t="inlineStr">
        <is>
          <t>hyperion</t>
        </is>
      </c>
      <c r="C91" t="n">
        <v>7</v>
      </c>
      <c r="D91" t="inlineStr">
        <is>
          <t>pt14_hp_nsm</t>
        </is>
      </c>
      <c r="E91" t="inlineStr">
        <is>
          <t>rocket</t>
        </is>
      </c>
      <c r="F91" t="inlineStr">
        <is>
          <t>Free</t>
        </is>
      </c>
      <c r="G91" t="inlineStr"/>
      <c r="H91" t="n">
        <v>1</v>
      </c>
      <c r="I91" t="n">
        <v>380</v>
      </c>
      <c r="J91" t="n">
        <v>14</v>
      </c>
      <c r="K91" t="n">
        <v>5</v>
      </c>
      <c r="L91" t="n">
        <v>10</v>
      </c>
      <c r="M91" t="n">
        <v>2.5</v>
      </c>
      <c r="N91">
        <f>INDEX(boss_input_vu_khi_suy_ra!$C$2:$C$94,MATCH($D$91,boss_input_vu_khi_suy_ra!$A$2:$A$94,0))</f>
        <v/>
      </c>
      <c r="O91" t="inlineStr">
        <is>
          <t>moi</t>
        </is>
      </c>
      <c r="R91" t="n">
        <v>14.6</v>
      </c>
      <c r="S91">
        <f>IF($D$91="",0,INDEX(boss_input_vu_khi_suy_ra!$B$2:$B$94,MATCH($D$91,boss_input_vu_khi_suy_ra!$A$2:$A$94,0))*IF(INDEX(boss_input_vu_khi!$D$2:$D$94,MATCH($D$91,boss_input_vu_khi!$A$2:$A$94,0)),1,Boss_dps!$B$18)*Boss_dps!$C$18)</f>
        <v/>
      </c>
      <c r="T91" t="n">
        <v>57.83287671232876</v>
      </c>
      <c r="U91" t="inlineStr">
        <is>
          <t>Assets/MachineBrigade/Resources/Data/balance.json: vehicles[id=hyperion] dựng bởi Tools/balance/p26_ab.expand</t>
        </is>
      </c>
      <c r="V91" t="inlineStr"/>
    </row>
    <row r="92">
      <c r="A92" t="inlineStr">
        <is>
          <t>hyperion/8</t>
        </is>
      </c>
      <c r="B92" t="inlineStr">
        <is>
          <t>hyperion</t>
        </is>
      </c>
      <c r="C92" t="n">
        <v>8</v>
      </c>
      <c r="D92" t="inlineStr">
        <is>
          <t>pt14_hp_nsm</t>
        </is>
      </c>
      <c r="E92" t="inlineStr">
        <is>
          <t>rocket</t>
        </is>
      </c>
      <c r="F92" t="inlineStr">
        <is>
          <t>Free</t>
        </is>
      </c>
      <c r="G92" t="inlineStr"/>
      <c r="H92" t="n">
        <v>1</v>
      </c>
      <c r="I92" t="n">
        <v>380</v>
      </c>
      <c r="J92" t="n">
        <v>14</v>
      </c>
      <c r="K92" t="n">
        <v>5</v>
      </c>
      <c r="L92" t="n">
        <v>10</v>
      </c>
      <c r="M92" t="n">
        <v>2.5</v>
      </c>
      <c r="N92">
        <f>INDEX(boss_input_vu_khi_suy_ra!$C$2:$C$94,MATCH($D$92,boss_input_vu_khi_suy_ra!$A$2:$A$94,0))</f>
        <v/>
      </c>
      <c r="O92" t="inlineStr">
        <is>
          <t>moi</t>
        </is>
      </c>
      <c r="R92" t="n">
        <v>14.6</v>
      </c>
      <c r="S92">
        <f>IF($D$92="",0,INDEX(boss_input_vu_khi_suy_ra!$B$2:$B$94,MATCH($D$92,boss_input_vu_khi_suy_ra!$A$2:$A$94,0))*IF(INDEX(boss_input_vu_khi!$D$2:$D$94,MATCH($D$92,boss_input_vu_khi!$A$2:$A$94,0)),1,Boss_dps!$B$18)*Boss_dps!$C$18)</f>
        <v/>
      </c>
      <c r="T92" t="n">
        <v>57.83287671232876</v>
      </c>
      <c r="U92" t="inlineStr">
        <is>
          <t>Assets/MachineBrigade/Resources/Data/balance.json: vehicles[id=hyperion] dựng bởi Tools/balance/p26_ab.expand</t>
        </is>
      </c>
      <c r="V92" t="inlineStr"/>
    </row>
    <row r="93">
      <c r="A93" t="inlineStr">
        <is>
          <t>icarus_mk0/0</t>
        </is>
      </c>
      <c r="B93" t="inlineStr">
        <is>
          <t>icarus_mk0</t>
        </is>
      </c>
      <c r="C93" t="n">
        <v>0</v>
      </c>
      <c r="D93" t="inlineStr">
        <is>
          <t>p26_icarus_sec_orbital_laser</t>
        </is>
      </c>
      <c r="E93" t="inlineStr">
        <is>
          <t>main</t>
        </is>
      </c>
      <c r="F93" t="inlineStr">
        <is>
          <t>Free</t>
        </is>
      </c>
      <c r="G93" t="inlineStr">
        <is>
          <t>main_laser</t>
        </is>
      </c>
      <c r="H93" t="n">
        <v>1</v>
      </c>
      <c r="I93" t="n">
        <v>40</v>
      </c>
      <c r="J93" t="n">
        <v>0.1</v>
      </c>
      <c r="K93" t="n">
        <v>1.5</v>
      </c>
      <c r="L93" t="n">
        <v>0</v>
      </c>
      <c r="M93" t="n">
        <v>0</v>
      </c>
      <c r="N93">
        <f>INDEX(boss_input_vu_khi_suy_ra!$C$2:$C$94,MATCH($D$93,boss_input_vu_khi_suy_ra!$A$2:$A$94,0))</f>
        <v/>
      </c>
      <c r="O93" t="inlineStr">
        <is>
          <t>giong</t>
        </is>
      </c>
      <c r="R93" t="n">
        <v>0.1</v>
      </c>
      <c r="S93">
        <f>IF($D$93="",0,INDEX(boss_input_vu_khi_suy_ra!$B$2:$B$94,MATCH($D$93,boss_input_vu_khi_suy_ra!$A$2:$A$94,0))*IF(INDEX(boss_input_vu_khi!$D$2:$D$94,MATCH($D$93,boss_input_vu_khi!$A$2:$A$94,0)),1,Boss_dps!$B$19)*Boss_dps!$C$19)</f>
        <v/>
      </c>
      <c r="T93" t="n">
        <v>910</v>
      </c>
      <c r="U93" t="inlineStr">
        <is>
          <t>Assets/MachineBrigade/Resources/Data/balance.json: vehicles[id=icarus_mk0] dựng bởi Tools/balance/p26_ab.expand</t>
        </is>
      </c>
      <c r="V93" t="inlineStr"/>
    </row>
    <row r="94">
      <c r="A94" t="inlineStr">
        <is>
          <t>icarus_mk0/1</t>
        </is>
      </c>
      <c r="B94" t="inlineStr">
        <is>
          <t>icarus_mk0</t>
        </is>
      </c>
      <c r="C94" t="n">
        <v>1</v>
      </c>
      <c r="D94" t="inlineStr">
        <is>
          <t>pt14_mk0_v40</t>
        </is>
      </c>
      <c r="E94" t="inlineStr">
        <is>
          <t>gun</t>
        </is>
      </c>
      <c r="F94" t="inlineStr">
        <is>
          <t>Free</t>
        </is>
      </c>
      <c r="G94" t="inlineStr"/>
      <c r="H94" t="n">
        <v>1</v>
      </c>
      <c r="I94" t="n">
        <v>30</v>
      </c>
      <c r="J94" t="n">
        <v>0.3</v>
      </c>
      <c r="K94" t="n">
        <v>1</v>
      </c>
      <c r="L94" t="n">
        <v>0</v>
      </c>
      <c r="M94" t="n">
        <v>0</v>
      </c>
      <c r="N94">
        <f>INDEX(boss_input_vu_khi_suy_ra!$C$2:$C$94,MATCH($D$94,boss_input_vu_khi_suy_ra!$A$2:$A$94,0))</f>
        <v/>
      </c>
      <c r="O94" t="inlineStr">
        <is>
          <t>moi</t>
        </is>
      </c>
      <c r="R94" t="n">
        <v>4.300000000000001</v>
      </c>
      <c r="S94">
        <f>IF($D$94="",0,INDEX(boss_input_vu_khi_suy_ra!$B$2:$B$94,MATCH($D$94,boss_input_vu_khi_suy_ra!$A$2:$A$94,0))*IF(INDEX(boss_input_vu_khi!$D$2:$D$94,MATCH($D$94,boss_input_vu_khi!$A$2:$A$94,0)),1,Boss_dps!$B$19)*Boss_dps!$C$19)</f>
        <v/>
      </c>
      <c r="T94" t="n">
        <v>126.9767441860465</v>
      </c>
      <c r="U94" t="inlineStr">
        <is>
          <t>Assets/MachineBrigade/Resources/Data/balance.json: vehicles[id=icarus_mk0] dựng bởi Tools/balance/p26_ab.expand</t>
        </is>
      </c>
      <c r="V94" t="inlineStr"/>
    </row>
    <row r="95">
      <c r="A95" t="inlineStr">
        <is>
          <t>icarus_mk0/2</t>
        </is>
      </c>
      <c r="B95" t="inlineStr">
        <is>
          <t>icarus_mk0</t>
        </is>
      </c>
      <c r="C95" t="n">
        <v>2</v>
      </c>
      <c r="D95" t="inlineStr">
        <is>
          <t>pt14_mk0_v40</t>
        </is>
      </c>
      <c r="E95" t="inlineStr">
        <is>
          <t>gun</t>
        </is>
      </c>
      <c r="F95" t="inlineStr">
        <is>
          <t>Free</t>
        </is>
      </c>
      <c r="G95" t="inlineStr"/>
      <c r="H95" t="n">
        <v>1</v>
      </c>
      <c r="I95" t="n">
        <v>30</v>
      </c>
      <c r="J95" t="n">
        <v>0.3</v>
      </c>
      <c r="K95" t="n">
        <v>1</v>
      </c>
      <c r="L95" t="n">
        <v>0</v>
      </c>
      <c r="M95" t="n">
        <v>0</v>
      </c>
      <c r="N95">
        <f>INDEX(boss_input_vu_khi_suy_ra!$C$2:$C$94,MATCH($D$95,boss_input_vu_khi_suy_ra!$A$2:$A$94,0))</f>
        <v/>
      </c>
      <c r="O95" t="inlineStr">
        <is>
          <t>moi</t>
        </is>
      </c>
      <c r="R95" t="n">
        <v>4.300000000000001</v>
      </c>
      <c r="S95">
        <f>IF($D$95="",0,INDEX(boss_input_vu_khi_suy_ra!$B$2:$B$94,MATCH($D$95,boss_input_vu_khi_suy_ra!$A$2:$A$94,0))*IF(INDEX(boss_input_vu_khi!$D$2:$D$94,MATCH($D$95,boss_input_vu_khi!$A$2:$A$94,0)),1,Boss_dps!$B$19)*Boss_dps!$C$19)</f>
        <v/>
      </c>
      <c r="T95" t="n">
        <v>126.9767441860465</v>
      </c>
      <c r="U95" t="inlineStr">
        <is>
          <t>Assets/MachineBrigade/Resources/Data/balance.json: vehicles[id=icarus_mk0] dựng bởi Tools/balance/p26_ab.expand</t>
        </is>
      </c>
      <c r="V95" t="inlineStr"/>
    </row>
    <row r="96">
      <c r="A96" t="inlineStr">
        <is>
          <t>ixion/0</t>
        </is>
      </c>
      <c r="B96" t="inlineStr">
        <is>
          <t>ixion</t>
        </is>
      </c>
      <c r="C96" t="n">
        <v>0</v>
      </c>
      <c r="D96" t="inlineStr">
        <is>
          <t>p26_ixion_125</t>
        </is>
      </c>
      <c r="E96" t="inlineStr">
        <is>
          <t>main</t>
        </is>
      </c>
      <c r="F96" t="inlineStr"/>
      <c r="G96" t="inlineStr">
        <is>
          <t>gun</t>
        </is>
      </c>
      <c r="H96" t="n">
        <v>1</v>
      </c>
      <c r="I96" t="n">
        <v>400</v>
      </c>
      <c r="J96" t="n">
        <v>7.5</v>
      </c>
      <c r="K96" t="n">
        <v>0</v>
      </c>
      <c r="L96" t="n">
        <v>0</v>
      </c>
      <c r="M96" t="n">
        <v>0</v>
      </c>
      <c r="N96">
        <f>INDEX(boss_input_vu_khi_suy_ra!$C$2:$C$94,MATCH($D$96,boss_input_vu_khi_suy_ra!$A$2:$A$94,0))</f>
        <v/>
      </c>
      <c r="O96" t="inlineStr">
        <is>
          <t>giong</t>
        </is>
      </c>
      <c r="R96" t="n">
        <v>7.5</v>
      </c>
      <c r="S96">
        <f>IF($D$96="",0,INDEX(boss_input_vu_khi_suy_ra!$B$2:$B$94,MATCH($D$96,boss_input_vu_khi_suy_ra!$A$2:$A$94,0))*IF(INDEX(boss_input_vu_khi!$D$2:$D$94,MATCH($D$96,boss_input_vu_khi!$A$2:$A$94,0)),1,Boss_dps!$B$20)*Boss_dps!$C$20)</f>
        <v/>
      </c>
      <c r="T96" t="n">
        <v>93.712</v>
      </c>
      <c r="U96" t="inlineStr">
        <is>
          <t>Assets/MachineBrigade/Resources/Data/balance.json: vehicles[id=ixion] dựng bởi Tools/balance/p26_ab.expand</t>
        </is>
      </c>
      <c r="V96" t="inlineStr"/>
    </row>
    <row r="97">
      <c r="A97" t="inlineStr">
        <is>
          <t>ixion/1</t>
        </is>
      </c>
      <c r="B97" t="inlineStr">
        <is>
          <t>ixion</t>
        </is>
      </c>
      <c r="C97" t="n">
        <v>1</v>
      </c>
      <c r="D97" t="inlineStr">
        <is>
          <t>p26_ixion_mg</t>
        </is>
      </c>
      <c r="E97" t="inlineStr">
        <is>
          <t>mg</t>
        </is>
      </c>
      <c r="F97" t="inlineStr">
        <is>
          <t>Free</t>
        </is>
      </c>
      <c r="G97" t="inlineStr">
        <is>
          <t>cab</t>
        </is>
      </c>
      <c r="H97" t="n">
        <v>1</v>
      </c>
      <c r="I97" t="n">
        <v>15</v>
      </c>
      <c r="J97" t="n">
        <v>0.0833</v>
      </c>
      <c r="K97" t="n">
        <v>0</v>
      </c>
      <c r="L97" t="n">
        <v>0</v>
      </c>
      <c r="M97" t="n">
        <v>0</v>
      </c>
      <c r="N97">
        <f>INDEX(boss_input_vu_khi_suy_ra!$C$2:$C$94,MATCH($D$97,boss_input_vu_khi_suy_ra!$A$2:$A$94,0))</f>
        <v/>
      </c>
      <c r="O97" t="inlineStr">
        <is>
          <t>giong</t>
        </is>
      </c>
      <c r="R97" t="n">
        <v>13.2467</v>
      </c>
      <c r="S97">
        <f>IF($D$97="",0,INDEX(boss_input_vu_khi_suy_ra!$B$2:$B$94,MATCH($D$97,boss_input_vu_khi_suy_ra!$A$2:$A$94,0))*IF(INDEX(boss_input_vu_khi!$D$2:$D$94,MATCH($D$97,boss_input_vu_khi!$A$2:$A$94,0)),1,Boss_dps!$B$20)*Boss_dps!$C$20)</f>
        <v/>
      </c>
      <c r="T97" t="n">
        <v>198.9665350615625</v>
      </c>
      <c r="U97" t="inlineStr">
        <is>
          <t>Assets/MachineBrigade/Resources/Data/balance.json: vehicles[id=ixion] dựng bởi Tools/balance/p26_ab.expand</t>
        </is>
      </c>
      <c r="V97" t="inlineStr"/>
    </row>
    <row r="98">
      <c r="A98" t="inlineStr">
        <is>
          <t>ixion/2</t>
        </is>
      </c>
      <c r="B98" t="inlineStr">
        <is>
          <t>ixion</t>
        </is>
      </c>
      <c r="C98" t="n">
        <v>2</v>
      </c>
      <c r="D98" t="inlineStr">
        <is>
          <t>p26_ixion_mg</t>
        </is>
      </c>
      <c r="E98" t="inlineStr">
        <is>
          <t>mg</t>
        </is>
      </c>
      <c r="F98" t="inlineStr">
        <is>
          <t>Free</t>
        </is>
      </c>
      <c r="G98" t="inlineStr">
        <is>
          <t>cab</t>
        </is>
      </c>
      <c r="H98" t="n">
        <v>1</v>
      </c>
      <c r="I98" t="n">
        <v>15</v>
      </c>
      <c r="J98" t="n">
        <v>0.0833</v>
      </c>
      <c r="K98" t="n">
        <v>0</v>
      </c>
      <c r="L98" t="n">
        <v>0</v>
      </c>
      <c r="M98" t="n">
        <v>0</v>
      </c>
      <c r="N98">
        <f>INDEX(boss_input_vu_khi_suy_ra!$C$2:$C$94,MATCH($D$98,boss_input_vu_khi_suy_ra!$A$2:$A$94,0))</f>
        <v/>
      </c>
      <c r="O98" t="inlineStr">
        <is>
          <t>giong</t>
        </is>
      </c>
      <c r="R98" t="n">
        <v>13.2467</v>
      </c>
      <c r="S98">
        <f>IF($D$98="",0,INDEX(boss_input_vu_khi_suy_ra!$B$2:$B$94,MATCH($D$98,boss_input_vu_khi_suy_ra!$A$2:$A$94,0))*IF(INDEX(boss_input_vu_khi!$D$2:$D$94,MATCH($D$98,boss_input_vu_khi!$A$2:$A$94,0)),1,Boss_dps!$B$20)*Boss_dps!$C$20)</f>
        <v/>
      </c>
      <c r="T98" t="n">
        <v>198.9665350615625</v>
      </c>
      <c r="U98" t="inlineStr">
        <is>
          <t>Assets/MachineBrigade/Resources/Data/balance.json: vehicles[id=ixion] dựng bởi Tools/balance/p26_ab.expand</t>
        </is>
      </c>
      <c r="V98" t="inlineStr"/>
    </row>
    <row r="99">
      <c r="A99" t="inlineStr">
        <is>
          <t>ixion/3</t>
        </is>
      </c>
      <c r="B99" t="inlineStr">
        <is>
          <t>ixion</t>
        </is>
      </c>
      <c r="C99" t="n">
        <v>3</v>
      </c>
      <c r="D99" t="inlineStr">
        <is>
          <t>pt14_ixion_30</t>
        </is>
      </c>
      <c r="E99" t="inlineStr">
        <is>
          <t>gun</t>
        </is>
      </c>
      <c r="F99" t="inlineStr">
        <is>
          <t>Free</t>
        </is>
      </c>
      <c r="G99" t="inlineStr"/>
      <c r="H99" t="n">
        <v>1</v>
      </c>
      <c r="I99" t="n">
        <v>22</v>
      </c>
      <c r="J99" t="n">
        <v>3.5</v>
      </c>
      <c r="K99" t="n">
        <v>0</v>
      </c>
      <c r="L99" t="n">
        <v>0</v>
      </c>
      <c r="M99" t="n">
        <v>0</v>
      </c>
      <c r="N99">
        <f>INDEX(boss_input_vu_khi_suy_ra!$C$2:$C$94,MATCH($D$99,boss_input_vu_khi_suy_ra!$A$2:$A$94,0))</f>
        <v/>
      </c>
      <c r="O99" t="inlineStr">
        <is>
          <t>moi</t>
        </is>
      </c>
      <c r="R99" t="n">
        <v>4.2777</v>
      </c>
      <c r="S99">
        <f>IF($D$99="",0,INDEX(boss_input_vu_khi_suy_ra!$B$2:$B$94,MATCH($D$99,boss_input_vu_khi_suy_ra!$A$2:$A$94,0))*IF(INDEX(boss_input_vu_khi!$D$2:$D$94,MATCH($D$99,boss_input_vu_khi!$A$2:$A$94,0)),1,Boss_dps!$B$20)*Boss_dps!$C$20)</f>
        <v/>
      </c>
      <c r="T99" t="n">
        <v>72.29342871169086</v>
      </c>
      <c r="U99" t="inlineStr">
        <is>
          <t>Assets/MachineBrigade/Resources/Data/balance.json: vehicles[id=ixion] dựng bởi Tools/balance/p26_ab.expand</t>
        </is>
      </c>
      <c r="V99" t="inlineStr"/>
    </row>
    <row r="100">
      <c r="A100" t="inlineStr">
        <is>
          <t>ixion/4</t>
        </is>
      </c>
      <c r="B100" t="inlineStr">
        <is>
          <t>ixion</t>
        </is>
      </c>
      <c r="C100" t="n">
        <v>4</v>
      </c>
      <c r="D100" t="inlineStr">
        <is>
          <t>pt14_ixion_kornet</t>
        </is>
      </c>
      <c r="E100" t="inlineStr">
        <is>
          <t>missile</t>
        </is>
      </c>
      <c r="F100" t="inlineStr">
        <is>
          <t>Free</t>
        </is>
      </c>
      <c r="G100" t="inlineStr"/>
      <c r="H100" t="n">
        <v>1</v>
      </c>
      <c r="I100" t="n">
        <v>230</v>
      </c>
      <c r="J100" t="n">
        <v>12</v>
      </c>
      <c r="K100" t="n">
        <v>0</v>
      </c>
      <c r="L100" t="n">
        <v>0</v>
      </c>
      <c r="M100" t="n">
        <v>0</v>
      </c>
      <c r="N100">
        <f>INDEX(boss_input_vu_khi_suy_ra!$C$2:$C$94,MATCH($D$100,boss_input_vu_khi_suy_ra!$A$2:$A$94,0))</f>
        <v/>
      </c>
      <c r="O100" t="inlineStr">
        <is>
          <t>moi</t>
        </is>
      </c>
      <c r="R100" t="n">
        <v>12</v>
      </c>
      <c r="S100">
        <f>IF($D$100="",0,INDEX(boss_input_vu_khi_suy_ra!$B$2:$B$94,MATCH($D$100,boss_input_vu_khi_suy_ra!$A$2:$A$94,0))*IF(INDEX(boss_input_vu_khi!$D$2:$D$94,MATCH($D$100,boss_input_vu_khi!$A$2:$A$94,0)),1,Boss_dps!$B$20)*Boss_dps!$C$20)</f>
        <v/>
      </c>
      <c r="T100" t="n">
        <v>33.67775</v>
      </c>
      <c r="U100" t="inlineStr">
        <is>
          <t>Assets/MachineBrigade/Resources/Data/balance.json: vehicles[id=ixion] dựng bởi Tools/balance/p26_ab.expand</t>
        </is>
      </c>
      <c r="V100" t="inlineStr"/>
    </row>
    <row r="101">
      <c r="A101" t="inlineStr">
        <is>
          <t>ixion/5</t>
        </is>
      </c>
      <c r="B101" t="inlineStr">
        <is>
          <t>ixion</t>
        </is>
      </c>
      <c r="C101" t="n">
        <v>5</v>
      </c>
      <c r="D101" t="inlineStr">
        <is>
          <t>pt14_ixion_kornet</t>
        </is>
      </c>
      <c r="E101" t="inlineStr">
        <is>
          <t>missile</t>
        </is>
      </c>
      <c r="F101" t="inlineStr">
        <is>
          <t>Free</t>
        </is>
      </c>
      <c r="G101" t="inlineStr"/>
      <c r="H101" t="n">
        <v>1</v>
      </c>
      <c r="I101" t="n">
        <v>230</v>
      </c>
      <c r="J101" t="n">
        <v>12</v>
      </c>
      <c r="K101" t="n">
        <v>0</v>
      </c>
      <c r="L101" t="n">
        <v>0</v>
      </c>
      <c r="M101" t="n">
        <v>0</v>
      </c>
      <c r="N101">
        <f>INDEX(boss_input_vu_khi_suy_ra!$C$2:$C$94,MATCH($D$101,boss_input_vu_khi_suy_ra!$A$2:$A$94,0))</f>
        <v/>
      </c>
      <c r="O101" t="inlineStr">
        <is>
          <t>moi</t>
        </is>
      </c>
      <c r="R101" t="n">
        <v>12</v>
      </c>
      <c r="S101">
        <f>IF($D$101="",0,INDEX(boss_input_vu_khi_suy_ra!$B$2:$B$94,MATCH($D$101,boss_input_vu_khi_suy_ra!$A$2:$A$94,0))*IF(INDEX(boss_input_vu_khi!$D$2:$D$94,MATCH($D$101,boss_input_vu_khi!$A$2:$A$94,0)),1,Boss_dps!$B$20)*Boss_dps!$C$20)</f>
        <v/>
      </c>
      <c r="T101" t="n">
        <v>33.67775</v>
      </c>
      <c r="U101" t="inlineStr">
        <is>
          <t>Assets/MachineBrigade/Resources/Data/balance.json: vehicles[id=ixion] dựng bởi Tools/balance/p26_ab.expand</t>
        </is>
      </c>
      <c r="V101" t="inlineStr"/>
    </row>
    <row r="102">
      <c r="A102" t="inlineStr">
        <is>
          <t>ixion/6</t>
        </is>
      </c>
      <c r="B102" t="inlineStr">
        <is>
          <t>ixion</t>
        </is>
      </c>
      <c r="C102" t="n">
        <v>6</v>
      </c>
      <c r="D102" t="inlineStr">
        <is>
          <t>pt14_ixion_grad</t>
        </is>
      </c>
      <c r="E102" t="inlineStr">
        <is>
          <t>rocket</t>
        </is>
      </c>
      <c r="F102" t="inlineStr">
        <is>
          <t>Free</t>
        </is>
      </c>
      <c r="G102" t="inlineStr"/>
      <c r="H102" t="n">
        <v>1</v>
      </c>
      <c r="I102" t="n">
        <v>57</v>
      </c>
      <c r="J102" t="n">
        <v>20</v>
      </c>
      <c r="K102" t="n">
        <v>4.5</v>
      </c>
      <c r="L102" t="n">
        <v>9</v>
      </c>
      <c r="M102" t="n">
        <v>0</v>
      </c>
      <c r="N102">
        <f>INDEX(boss_input_vu_khi_suy_ra!$C$2:$C$94,MATCH($D$102,boss_input_vu_khi_suy_ra!$A$2:$A$94,0))</f>
        <v/>
      </c>
      <c r="O102" t="inlineStr">
        <is>
          <t>moi</t>
        </is>
      </c>
      <c r="R102" t="n">
        <v>24</v>
      </c>
      <c r="S102">
        <f>IF($D$102="",0,INDEX(boss_input_vu_khi_suy_ra!$B$2:$B$94,MATCH($D$102,boss_input_vu_khi_suy_ra!$A$2:$A$94,0))*IF(INDEX(boss_input_vu_khi!$D$2:$D$94,MATCH($D$102,boss_input_vu_khi!$A$2:$A$94,0)),1,Boss_dps!$B$20)*Boss_dps!$C$20)</f>
        <v/>
      </c>
      <c r="T102" t="n">
        <v>30.52118397291197</v>
      </c>
      <c r="U102" t="inlineStr">
        <is>
          <t>Assets/MachineBrigade/Resources/Data/balance.json: vehicles[id=ixion] dựng bởi Tools/balance/p26_ab.expand</t>
        </is>
      </c>
      <c r="V102" t="inlineStr"/>
    </row>
    <row r="103">
      <c r="A103" t="inlineStr">
        <is>
          <t>kraken/0</t>
        </is>
      </c>
      <c r="B103" t="inlineStr">
        <is>
          <t>kraken</t>
        </is>
      </c>
      <c r="C103" t="n">
        <v>0</v>
      </c>
      <c r="D103" t="inlineStr">
        <is>
          <t>p26_leviathan_lev406</t>
        </is>
      </c>
      <c r="E103" t="inlineStr">
        <is>
          <t>gun</t>
        </is>
      </c>
      <c r="F103" t="inlineStr">
        <is>
          <t>Free</t>
        </is>
      </c>
      <c r="G103" t="inlineStr">
        <is>
          <t>turret_fore</t>
        </is>
      </c>
      <c r="H103" t="n">
        <v>3</v>
      </c>
      <c r="I103" t="n">
        <v>2400</v>
      </c>
      <c r="J103" t="n">
        <v>60</v>
      </c>
      <c r="K103" t="n">
        <v>14</v>
      </c>
      <c r="L103" t="n">
        <v>24</v>
      </c>
      <c r="M103" t="n">
        <v>3.611111111111111</v>
      </c>
      <c r="N103">
        <f>INDEX(boss_input_vu_khi_suy_ra!$C$2:$C$94,MATCH($D$103,boss_input_vu_khi_suy_ra!$A$2:$A$94,0))</f>
        <v/>
      </c>
      <c r="O103" t="inlineStr">
        <is>
          <t>giong</t>
        </is>
      </c>
      <c r="R103" t="n">
        <v>60</v>
      </c>
      <c r="S103">
        <f>IF($D$103="",0,INDEX(boss_input_vu_khi_suy_ra!$B$2:$B$94,MATCH($D$103,boss_input_vu_khi_suy_ra!$A$2:$A$94,0))*IF(INDEX(boss_input_vu_khi!$D$2:$D$94,MATCH($D$103,boss_input_vu_khi!$A$2:$A$94,0)),1,Boss_dps!$B$21)*Boss_dps!$C$21)</f>
        <v/>
      </c>
      <c r="T103" t="n">
        <v>116.136</v>
      </c>
      <c r="U103" t="inlineStr">
        <is>
          <t>Assets/MachineBrigade/Resources/Data/balance.json: vehicles[id=kraken] dựng bởi Tools/balance/p26_ab.expand</t>
        </is>
      </c>
      <c r="V103" t="inlineStr"/>
    </row>
    <row r="104">
      <c r="A104" t="inlineStr">
        <is>
          <t>kraken/1</t>
        </is>
      </c>
      <c r="B104" t="inlineStr">
        <is>
          <t>kraken</t>
        </is>
      </c>
      <c r="C104" t="n">
        <v>1</v>
      </c>
      <c r="D104" t="inlineStr">
        <is>
          <t>p26_leviathan_lev406</t>
        </is>
      </c>
      <c r="E104" t="inlineStr">
        <is>
          <t>gun</t>
        </is>
      </c>
      <c r="F104" t="inlineStr">
        <is>
          <t>Free</t>
        </is>
      </c>
      <c r="G104" t="inlineStr">
        <is>
          <t>turret_super</t>
        </is>
      </c>
      <c r="H104" t="n">
        <v>3</v>
      </c>
      <c r="I104" t="n">
        <v>2400</v>
      </c>
      <c r="J104" t="n">
        <v>60</v>
      </c>
      <c r="K104" t="n">
        <v>14</v>
      </c>
      <c r="L104" t="n">
        <v>24</v>
      </c>
      <c r="M104" t="n">
        <v>3.611111111111111</v>
      </c>
      <c r="N104">
        <f>INDEX(boss_input_vu_khi_suy_ra!$C$2:$C$94,MATCH($D$104,boss_input_vu_khi_suy_ra!$A$2:$A$94,0))</f>
        <v/>
      </c>
      <c r="O104" t="inlineStr">
        <is>
          <t>giong</t>
        </is>
      </c>
      <c r="R104" t="n">
        <v>60</v>
      </c>
      <c r="S104">
        <f>IF($D$104="",0,INDEX(boss_input_vu_khi_suy_ra!$B$2:$B$94,MATCH($D$104,boss_input_vu_khi_suy_ra!$A$2:$A$94,0))*IF(INDEX(boss_input_vu_khi!$D$2:$D$94,MATCH($D$104,boss_input_vu_khi!$A$2:$A$94,0)),1,Boss_dps!$B$21)*Boss_dps!$C$21)</f>
        <v/>
      </c>
      <c r="T104" t="n">
        <v>116.136</v>
      </c>
      <c r="U104" t="inlineStr">
        <is>
          <t>Assets/MachineBrigade/Resources/Data/balance.json: vehicles[id=kraken] dựng bởi Tools/balance/p26_ab.expand</t>
        </is>
      </c>
      <c r="V104" t="inlineStr"/>
    </row>
    <row r="105">
      <c r="A105" t="inlineStr">
        <is>
          <t>kraken/2</t>
        </is>
      </c>
      <c r="B105" t="inlineStr">
        <is>
          <t>kraken</t>
        </is>
      </c>
      <c r="C105" t="n">
        <v>2</v>
      </c>
      <c r="D105" t="inlineStr">
        <is>
          <t>p26_leviathan_lev406</t>
        </is>
      </c>
      <c r="E105" t="inlineStr">
        <is>
          <t>gun</t>
        </is>
      </c>
      <c r="F105" t="inlineStr">
        <is>
          <t>Free</t>
        </is>
      </c>
      <c r="G105" t="inlineStr">
        <is>
          <t>turret_aft</t>
        </is>
      </c>
      <c r="H105" t="n">
        <v>3</v>
      </c>
      <c r="I105" t="n">
        <v>2400</v>
      </c>
      <c r="J105" t="n">
        <v>60</v>
      </c>
      <c r="K105" t="n">
        <v>14</v>
      </c>
      <c r="L105" t="n">
        <v>24</v>
      </c>
      <c r="M105" t="n">
        <v>3.611111111111111</v>
      </c>
      <c r="N105">
        <f>INDEX(boss_input_vu_khi_suy_ra!$C$2:$C$94,MATCH($D$105,boss_input_vu_khi_suy_ra!$A$2:$A$94,0))</f>
        <v/>
      </c>
      <c r="O105" t="inlineStr">
        <is>
          <t>giong</t>
        </is>
      </c>
      <c r="R105" t="n">
        <v>60</v>
      </c>
      <c r="S105">
        <f>IF($D$105="",0,INDEX(boss_input_vu_khi_suy_ra!$B$2:$B$94,MATCH($D$105,boss_input_vu_khi_suy_ra!$A$2:$A$94,0))*IF(INDEX(boss_input_vu_khi!$D$2:$D$94,MATCH($D$105,boss_input_vu_khi!$A$2:$A$94,0)),1,Boss_dps!$B$21)*Boss_dps!$C$21)</f>
        <v/>
      </c>
      <c r="T105" t="n">
        <v>116.136</v>
      </c>
      <c r="U105" t="inlineStr">
        <is>
          <t>Assets/MachineBrigade/Resources/Data/balance.json: vehicles[id=kraken] dựng bởi Tools/balance/p26_ab.expand</t>
        </is>
      </c>
      <c r="V105" t="inlineStr"/>
    </row>
    <row r="106">
      <c r="A106" t="inlineStr">
        <is>
          <t>kraken/3</t>
        </is>
      </c>
      <c r="B106" t="inlineStr">
        <is>
          <t>kraken</t>
        </is>
      </c>
      <c r="C106" t="n">
        <v>3</v>
      </c>
      <c r="D106" t="inlineStr">
        <is>
          <t>p26_leviathan_sec_lev155</t>
        </is>
      </c>
      <c r="E106" t="inlineStr">
        <is>
          <t>gun</t>
        </is>
      </c>
      <c r="F106" t="inlineStr">
        <is>
          <t>Free</t>
        </is>
      </c>
      <c r="G106" t="inlineStr">
        <is>
          <t>sec_fore</t>
        </is>
      </c>
      <c r="H106" t="n">
        <v>3</v>
      </c>
      <c r="I106" t="n">
        <v>600</v>
      </c>
      <c r="J106" t="n">
        <v>10.5</v>
      </c>
      <c r="K106" t="n">
        <v>7</v>
      </c>
      <c r="L106" t="n">
        <v>14</v>
      </c>
      <c r="M106" t="n">
        <v>0</v>
      </c>
      <c r="N106">
        <f>INDEX(boss_input_vu_khi_suy_ra!$C$2:$C$94,MATCH($D$106,boss_input_vu_khi_suy_ra!$A$2:$A$94,0))</f>
        <v/>
      </c>
      <c r="O106" t="inlineStr">
        <is>
          <t>giong</t>
        </is>
      </c>
      <c r="R106" t="n">
        <v>10.5</v>
      </c>
      <c r="S106">
        <f>IF($D$106="",0,INDEX(boss_input_vu_khi_suy_ra!$B$2:$B$94,MATCH($D$106,boss_input_vu_khi_suy_ra!$A$2:$A$94,0))*IF(INDEX(boss_input_vu_khi!$D$2:$D$94,MATCH($D$106,boss_input_vu_khi!$A$2:$A$94,0)),1,Boss_dps!$B$21)*Boss_dps!$C$21)</f>
        <v/>
      </c>
      <c r="T106" t="n">
        <v>384.5760685714286</v>
      </c>
      <c r="U106" t="inlineStr">
        <is>
          <t>Assets/MachineBrigade/Resources/Data/balance.json: vehicles[id=kraken] dựng bởi Tools/balance/p26_ab.expand</t>
        </is>
      </c>
      <c r="V106" t="inlineStr"/>
    </row>
    <row r="107">
      <c r="A107" t="inlineStr">
        <is>
          <t>kraken/4</t>
        </is>
      </c>
      <c r="B107" t="inlineStr">
        <is>
          <t>kraken</t>
        </is>
      </c>
      <c r="C107" t="n">
        <v>4</v>
      </c>
      <c r="D107" t="inlineStr">
        <is>
          <t>p26_leviathan_sec_lev155</t>
        </is>
      </c>
      <c r="E107" t="inlineStr">
        <is>
          <t>gun</t>
        </is>
      </c>
      <c r="F107" t="inlineStr">
        <is>
          <t>Free</t>
        </is>
      </c>
      <c r="G107" t="inlineStr">
        <is>
          <t>sec_aft</t>
        </is>
      </c>
      <c r="H107" t="n">
        <v>3</v>
      </c>
      <c r="I107" t="n">
        <v>600</v>
      </c>
      <c r="J107" t="n">
        <v>10.5</v>
      </c>
      <c r="K107" t="n">
        <v>7</v>
      </c>
      <c r="L107" t="n">
        <v>14</v>
      </c>
      <c r="M107" t="n">
        <v>0</v>
      </c>
      <c r="N107">
        <f>INDEX(boss_input_vu_khi_suy_ra!$C$2:$C$94,MATCH($D$107,boss_input_vu_khi_suy_ra!$A$2:$A$94,0))</f>
        <v/>
      </c>
      <c r="O107" t="inlineStr">
        <is>
          <t>giong</t>
        </is>
      </c>
      <c r="R107" t="n">
        <v>10.5</v>
      </c>
      <c r="S107">
        <f>IF($D$107="",0,INDEX(boss_input_vu_khi_suy_ra!$B$2:$B$94,MATCH($D$107,boss_input_vu_khi_suy_ra!$A$2:$A$94,0))*IF(INDEX(boss_input_vu_khi!$D$2:$D$94,MATCH($D$107,boss_input_vu_khi!$A$2:$A$94,0)),1,Boss_dps!$B$21)*Boss_dps!$C$21)</f>
        <v/>
      </c>
      <c r="T107" t="n">
        <v>384.5760685714286</v>
      </c>
      <c r="U107" t="inlineStr">
        <is>
          <t>Assets/MachineBrigade/Resources/Data/balance.json: vehicles[id=kraken] dựng bởi Tools/balance/p26_ab.expand</t>
        </is>
      </c>
      <c r="V107" t="inlineStr"/>
    </row>
    <row r="108">
      <c r="A108" t="inlineStr">
        <is>
          <t>kraken/5</t>
        </is>
      </c>
      <c r="B108" t="inlineStr">
        <is>
          <t>kraken</t>
        </is>
      </c>
      <c r="C108" t="n">
        <v>5</v>
      </c>
      <c r="D108" t="inlineStr">
        <is>
          <t>p26_leviathan_direct_lev127</t>
        </is>
      </c>
      <c r="E108" t="inlineStr">
        <is>
          <t>mg</t>
        </is>
      </c>
      <c r="F108" t="inlineStr">
        <is>
          <t>Free</t>
        </is>
      </c>
      <c r="G108" t="inlineStr">
        <is>
          <t>ciws_fore</t>
        </is>
      </c>
      <c r="H108" t="n">
        <v>1</v>
      </c>
      <c r="I108" t="n">
        <v>380</v>
      </c>
      <c r="J108" t="n">
        <v>3</v>
      </c>
      <c r="K108" t="n">
        <v>0</v>
      </c>
      <c r="L108" t="n">
        <v>0</v>
      </c>
      <c r="M108" t="n">
        <v>0</v>
      </c>
      <c r="N108">
        <f>INDEX(boss_input_vu_khi_suy_ra!$C$2:$C$94,MATCH($D$108,boss_input_vu_khi_suy_ra!$A$2:$A$94,0))</f>
        <v/>
      </c>
      <c r="O108" t="inlineStr">
        <is>
          <t>giong</t>
        </is>
      </c>
      <c r="R108" t="n">
        <v>3</v>
      </c>
      <c r="S108">
        <f>IF($D$108="",0,INDEX(boss_input_vu_khi_suy_ra!$B$2:$B$94,MATCH($D$108,boss_input_vu_khi_suy_ra!$A$2:$A$94,0))*IF(INDEX(boss_input_vu_khi!$D$2:$D$94,MATCH($D$108,boss_input_vu_khi!$A$2:$A$94,0)),1,Boss_dps!$B$21)*Boss_dps!$C$21)</f>
        <v/>
      </c>
      <c r="T108" t="n">
        <v>284.158984</v>
      </c>
      <c r="U108" t="inlineStr">
        <is>
          <t>Assets/MachineBrigade/Resources/Data/balance.json: vehicles[id=kraken] dựng bởi Tools/balance/p26_ab.expand</t>
        </is>
      </c>
      <c r="V108" t="inlineStr"/>
    </row>
    <row r="109">
      <c r="A109" t="inlineStr">
        <is>
          <t>kraken/6</t>
        </is>
      </c>
      <c r="B109" t="inlineStr">
        <is>
          <t>kraken</t>
        </is>
      </c>
      <c r="C109" t="n">
        <v>6</v>
      </c>
      <c r="D109" t="inlineStr">
        <is>
          <t>p26_leviathan_direct_lev127</t>
        </is>
      </c>
      <c r="E109" t="inlineStr">
        <is>
          <t>mg</t>
        </is>
      </c>
      <c r="F109" t="inlineStr">
        <is>
          <t>Free</t>
        </is>
      </c>
      <c r="G109" t="inlineStr">
        <is>
          <t>ciws_aft</t>
        </is>
      </c>
      <c r="H109" t="n">
        <v>1</v>
      </c>
      <c r="I109" t="n">
        <v>380</v>
      </c>
      <c r="J109" t="n">
        <v>3</v>
      </c>
      <c r="K109" t="n">
        <v>0</v>
      </c>
      <c r="L109" t="n">
        <v>0</v>
      </c>
      <c r="M109" t="n">
        <v>0</v>
      </c>
      <c r="N109">
        <f>INDEX(boss_input_vu_khi_suy_ra!$C$2:$C$94,MATCH($D$109,boss_input_vu_khi_suy_ra!$A$2:$A$94,0))</f>
        <v/>
      </c>
      <c r="O109" t="inlineStr">
        <is>
          <t>giong</t>
        </is>
      </c>
      <c r="R109" t="n">
        <v>3</v>
      </c>
      <c r="S109">
        <f>IF($D$109="",0,INDEX(boss_input_vu_khi_suy_ra!$B$2:$B$94,MATCH($D$109,boss_input_vu_khi_suy_ra!$A$2:$A$94,0))*IF(INDEX(boss_input_vu_khi!$D$2:$D$94,MATCH($D$109,boss_input_vu_khi!$A$2:$A$94,0)),1,Boss_dps!$B$21)*Boss_dps!$C$21)</f>
        <v/>
      </c>
      <c r="T109" t="n">
        <v>284.158984</v>
      </c>
      <c r="U109" t="inlineStr">
        <is>
          <t>Assets/MachineBrigade/Resources/Data/balance.json: vehicles[id=kraken] dựng bởi Tools/balance/p26_ab.expand</t>
        </is>
      </c>
      <c r="V109" t="inlineStr"/>
    </row>
    <row r="110">
      <c r="A110" t="inlineStr">
        <is>
          <t>kraken/7</t>
        </is>
      </c>
      <c r="B110" t="inlineStr">
        <is>
          <t>kraken</t>
        </is>
      </c>
      <c r="C110" t="n">
        <v>7</v>
      </c>
      <c r="D110" t="inlineStr">
        <is>
          <t>aa_25_triple</t>
        </is>
      </c>
      <c r="E110" t="inlineStr">
        <is>
          <t>mg</t>
        </is>
      </c>
      <c r="F110" t="inlineStr">
        <is>
          <t>Free</t>
        </is>
      </c>
      <c r="G110" t="inlineStr">
        <is>
          <t>aa_port</t>
        </is>
      </c>
      <c r="H110" t="n">
        <v>1</v>
      </c>
      <c r="I110" t="n">
        <v>17</v>
      </c>
      <c r="J110" t="n">
        <v>0.05</v>
      </c>
      <c r="K110" t="n">
        <v>0</v>
      </c>
      <c r="L110" t="n">
        <v>0</v>
      </c>
      <c r="M110" t="n">
        <v>0</v>
      </c>
      <c r="N110">
        <f>INDEX(boss_input_vu_khi_suy_ra!$C$2:$C$94,MATCH($D$110,boss_input_vu_khi_suy_ra!$A$2:$A$94,0))</f>
        <v/>
      </c>
      <c r="O110" t="inlineStr">
        <is>
          <t>giong</t>
        </is>
      </c>
      <c r="R110" t="n">
        <v>3.1</v>
      </c>
      <c r="S110">
        <f>IF($D$110="",0,INDEX(boss_input_vu_khi_suy_ra!$B$2:$B$94,MATCH($D$110,boss_input_vu_khi_suy_ra!$A$2:$A$94,0))*IF(INDEX(boss_input_vu_khi!$D$2:$D$94,MATCH($D$110,boss_input_vu_khi!$A$2:$A$94,0)),1,Boss_dps!$B$21)*Boss_dps!$C$21)</f>
        <v/>
      </c>
      <c r="T110" t="n">
        <v>184.534484516129</v>
      </c>
      <c r="U110" t="inlineStr">
        <is>
          <t>Assets/MachineBrigade/Resources/Data/balance.json: vehicles[id=kraken] dựng bởi Tools/balance/p26_ab.expand</t>
        </is>
      </c>
      <c r="V110" t="inlineStr"/>
    </row>
    <row r="111">
      <c r="A111" t="inlineStr">
        <is>
          <t>kraken/8</t>
        </is>
      </c>
      <c r="B111" t="inlineStr">
        <is>
          <t>kraken</t>
        </is>
      </c>
      <c r="C111" t="n">
        <v>8</v>
      </c>
      <c r="D111" t="inlineStr">
        <is>
          <t>aa_25_triple</t>
        </is>
      </c>
      <c r="E111" t="inlineStr">
        <is>
          <t>mg</t>
        </is>
      </c>
      <c r="F111" t="inlineStr">
        <is>
          <t>Free</t>
        </is>
      </c>
      <c r="G111" t="inlineStr">
        <is>
          <t>aa_port</t>
        </is>
      </c>
      <c r="H111" t="n">
        <v>1</v>
      </c>
      <c r="I111" t="n">
        <v>17</v>
      </c>
      <c r="J111" t="n">
        <v>0.05</v>
      </c>
      <c r="K111" t="n">
        <v>0</v>
      </c>
      <c r="L111" t="n">
        <v>0</v>
      </c>
      <c r="M111" t="n">
        <v>0</v>
      </c>
      <c r="N111">
        <f>INDEX(boss_input_vu_khi_suy_ra!$C$2:$C$94,MATCH($D$111,boss_input_vu_khi_suy_ra!$A$2:$A$94,0))</f>
        <v/>
      </c>
      <c r="O111" t="inlineStr">
        <is>
          <t>giong</t>
        </is>
      </c>
      <c r="R111" t="n">
        <v>3.1</v>
      </c>
      <c r="S111">
        <f>IF($D$111="",0,INDEX(boss_input_vu_khi_suy_ra!$B$2:$B$94,MATCH($D$111,boss_input_vu_khi_suy_ra!$A$2:$A$94,0))*IF(INDEX(boss_input_vu_khi!$D$2:$D$94,MATCH($D$111,boss_input_vu_khi!$A$2:$A$94,0)),1,Boss_dps!$B$21)*Boss_dps!$C$21)</f>
        <v/>
      </c>
      <c r="T111" t="n">
        <v>184.534484516129</v>
      </c>
      <c r="U111" t="inlineStr">
        <is>
          <t>Assets/MachineBrigade/Resources/Data/balance.json: vehicles[id=kraken] dựng bởi Tools/balance/p26_ab.expand</t>
        </is>
      </c>
      <c r="V111" t="inlineStr"/>
    </row>
    <row r="112">
      <c r="A112" t="inlineStr">
        <is>
          <t>kraken/9</t>
        </is>
      </c>
      <c r="B112" t="inlineStr">
        <is>
          <t>kraken</t>
        </is>
      </c>
      <c r="C112" t="n">
        <v>9</v>
      </c>
      <c r="D112" t="inlineStr">
        <is>
          <t>aa_25_triple</t>
        </is>
      </c>
      <c r="E112" t="inlineStr">
        <is>
          <t>mg</t>
        </is>
      </c>
      <c r="F112" t="inlineStr">
        <is>
          <t>Free</t>
        </is>
      </c>
      <c r="G112" t="inlineStr">
        <is>
          <t>aa_port</t>
        </is>
      </c>
      <c r="H112" t="n">
        <v>1</v>
      </c>
      <c r="I112" t="n">
        <v>17</v>
      </c>
      <c r="J112" t="n">
        <v>0.05</v>
      </c>
      <c r="K112" t="n">
        <v>0</v>
      </c>
      <c r="L112" t="n">
        <v>0</v>
      </c>
      <c r="M112" t="n">
        <v>0</v>
      </c>
      <c r="N112">
        <f>INDEX(boss_input_vu_khi_suy_ra!$C$2:$C$94,MATCH($D$112,boss_input_vu_khi_suy_ra!$A$2:$A$94,0))</f>
        <v/>
      </c>
      <c r="O112" t="inlineStr">
        <is>
          <t>giong</t>
        </is>
      </c>
      <c r="R112" t="n">
        <v>3.1</v>
      </c>
      <c r="S112">
        <f>IF($D$112="",0,INDEX(boss_input_vu_khi_suy_ra!$B$2:$B$94,MATCH($D$112,boss_input_vu_khi_suy_ra!$A$2:$A$94,0))*IF(INDEX(boss_input_vu_khi!$D$2:$D$94,MATCH($D$112,boss_input_vu_khi!$A$2:$A$94,0)),1,Boss_dps!$B$21)*Boss_dps!$C$21)</f>
        <v/>
      </c>
      <c r="T112" t="n">
        <v>184.534484516129</v>
      </c>
      <c r="U112" t="inlineStr">
        <is>
          <t>Assets/MachineBrigade/Resources/Data/balance.json: vehicles[id=kraken] dựng bởi Tools/balance/p26_ab.expand</t>
        </is>
      </c>
      <c r="V112" t="inlineStr"/>
    </row>
    <row r="113">
      <c r="A113" t="inlineStr">
        <is>
          <t>kraken/10</t>
        </is>
      </c>
      <c r="B113" t="inlineStr">
        <is>
          <t>kraken</t>
        </is>
      </c>
      <c r="C113" t="n">
        <v>10</v>
      </c>
      <c r="D113" t="inlineStr">
        <is>
          <t>aa_25_triple</t>
        </is>
      </c>
      <c r="E113" t="inlineStr">
        <is>
          <t>mg</t>
        </is>
      </c>
      <c r="F113" t="inlineStr">
        <is>
          <t>Free</t>
        </is>
      </c>
      <c r="G113" t="inlineStr">
        <is>
          <t>aa_port</t>
        </is>
      </c>
      <c r="H113" t="n">
        <v>1</v>
      </c>
      <c r="I113" t="n">
        <v>17</v>
      </c>
      <c r="J113" t="n">
        <v>0.05</v>
      </c>
      <c r="K113" t="n">
        <v>0</v>
      </c>
      <c r="L113" t="n">
        <v>0</v>
      </c>
      <c r="M113" t="n">
        <v>0</v>
      </c>
      <c r="N113">
        <f>INDEX(boss_input_vu_khi_suy_ra!$C$2:$C$94,MATCH($D$113,boss_input_vu_khi_suy_ra!$A$2:$A$94,0))</f>
        <v/>
      </c>
      <c r="O113" t="inlineStr">
        <is>
          <t>giong</t>
        </is>
      </c>
      <c r="R113" t="n">
        <v>3.1</v>
      </c>
      <c r="S113">
        <f>IF($D$113="",0,INDEX(boss_input_vu_khi_suy_ra!$B$2:$B$94,MATCH($D$113,boss_input_vu_khi_suy_ra!$A$2:$A$94,0))*IF(INDEX(boss_input_vu_khi!$D$2:$D$94,MATCH($D$113,boss_input_vu_khi!$A$2:$A$94,0)),1,Boss_dps!$B$21)*Boss_dps!$C$21)</f>
        <v/>
      </c>
      <c r="T113" t="n">
        <v>184.534484516129</v>
      </c>
      <c r="U113" t="inlineStr">
        <is>
          <t>Assets/MachineBrigade/Resources/Data/balance.json: vehicles[id=kraken] dựng bởi Tools/balance/p26_ab.expand</t>
        </is>
      </c>
      <c r="V113" t="inlineStr"/>
    </row>
    <row r="114">
      <c r="A114" t="inlineStr">
        <is>
          <t>kraken/11</t>
        </is>
      </c>
      <c r="B114" t="inlineStr">
        <is>
          <t>kraken</t>
        </is>
      </c>
      <c r="C114" t="n">
        <v>11</v>
      </c>
      <c r="D114" t="inlineStr">
        <is>
          <t>aa_25_triple</t>
        </is>
      </c>
      <c r="E114" t="inlineStr">
        <is>
          <t>mg</t>
        </is>
      </c>
      <c r="F114" t="inlineStr">
        <is>
          <t>Free</t>
        </is>
      </c>
      <c r="G114" t="inlineStr">
        <is>
          <t>aa_starboard</t>
        </is>
      </c>
      <c r="H114" t="n">
        <v>1</v>
      </c>
      <c r="I114" t="n">
        <v>17</v>
      </c>
      <c r="J114" t="n">
        <v>0.05</v>
      </c>
      <c r="K114" t="n">
        <v>0</v>
      </c>
      <c r="L114" t="n">
        <v>0</v>
      </c>
      <c r="M114" t="n">
        <v>0</v>
      </c>
      <c r="N114">
        <f>INDEX(boss_input_vu_khi_suy_ra!$C$2:$C$94,MATCH($D$114,boss_input_vu_khi_suy_ra!$A$2:$A$94,0))</f>
        <v/>
      </c>
      <c r="O114" t="inlineStr">
        <is>
          <t>giong</t>
        </is>
      </c>
      <c r="R114" t="n">
        <v>3.1</v>
      </c>
      <c r="S114">
        <f>IF($D$114="",0,INDEX(boss_input_vu_khi_suy_ra!$B$2:$B$94,MATCH($D$114,boss_input_vu_khi_suy_ra!$A$2:$A$94,0))*IF(INDEX(boss_input_vu_khi!$D$2:$D$94,MATCH($D$114,boss_input_vu_khi!$A$2:$A$94,0)),1,Boss_dps!$B$21)*Boss_dps!$C$21)</f>
        <v/>
      </c>
      <c r="T114" t="n">
        <v>184.534484516129</v>
      </c>
      <c r="U114" t="inlineStr">
        <is>
          <t>Assets/MachineBrigade/Resources/Data/balance.json: vehicles[id=kraken] dựng bởi Tools/balance/p26_ab.expand</t>
        </is>
      </c>
      <c r="V114" t="inlineStr"/>
    </row>
    <row r="115">
      <c r="A115" t="inlineStr">
        <is>
          <t>kraken/12</t>
        </is>
      </c>
      <c r="B115" t="inlineStr">
        <is>
          <t>kraken</t>
        </is>
      </c>
      <c r="C115" t="n">
        <v>12</v>
      </c>
      <c r="D115" t="inlineStr">
        <is>
          <t>aa_25_triple</t>
        </is>
      </c>
      <c r="E115" t="inlineStr">
        <is>
          <t>mg</t>
        </is>
      </c>
      <c r="F115" t="inlineStr">
        <is>
          <t>Free</t>
        </is>
      </c>
      <c r="G115" t="inlineStr">
        <is>
          <t>aa_starboard</t>
        </is>
      </c>
      <c r="H115" t="n">
        <v>1</v>
      </c>
      <c r="I115" t="n">
        <v>17</v>
      </c>
      <c r="J115" t="n">
        <v>0.05</v>
      </c>
      <c r="K115" t="n">
        <v>0</v>
      </c>
      <c r="L115" t="n">
        <v>0</v>
      </c>
      <c r="M115" t="n">
        <v>0</v>
      </c>
      <c r="N115">
        <f>INDEX(boss_input_vu_khi_suy_ra!$C$2:$C$94,MATCH($D$115,boss_input_vu_khi_suy_ra!$A$2:$A$94,0))</f>
        <v/>
      </c>
      <c r="O115" t="inlineStr">
        <is>
          <t>giong</t>
        </is>
      </c>
      <c r="R115" t="n">
        <v>3.1</v>
      </c>
      <c r="S115">
        <f>IF($D$115="",0,INDEX(boss_input_vu_khi_suy_ra!$B$2:$B$94,MATCH($D$115,boss_input_vu_khi_suy_ra!$A$2:$A$94,0))*IF(INDEX(boss_input_vu_khi!$D$2:$D$94,MATCH($D$115,boss_input_vu_khi!$A$2:$A$94,0)),1,Boss_dps!$B$21)*Boss_dps!$C$21)</f>
        <v/>
      </c>
      <c r="T115" t="n">
        <v>184.534484516129</v>
      </c>
      <c r="U115" t="inlineStr">
        <is>
          <t>Assets/MachineBrigade/Resources/Data/balance.json: vehicles[id=kraken] dựng bởi Tools/balance/p26_ab.expand</t>
        </is>
      </c>
      <c r="V115" t="inlineStr"/>
    </row>
    <row r="116">
      <c r="A116" t="inlineStr">
        <is>
          <t>kraken/13</t>
        </is>
      </c>
      <c r="B116" t="inlineStr">
        <is>
          <t>kraken</t>
        </is>
      </c>
      <c r="C116" t="n">
        <v>13</v>
      </c>
      <c r="D116" t="inlineStr">
        <is>
          <t>aa_25_triple</t>
        </is>
      </c>
      <c r="E116" t="inlineStr">
        <is>
          <t>mg</t>
        </is>
      </c>
      <c r="F116" t="inlineStr">
        <is>
          <t>Free</t>
        </is>
      </c>
      <c r="G116" t="inlineStr">
        <is>
          <t>aa_starboard</t>
        </is>
      </c>
      <c r="H116" t="n">
        <v>1</v>
      </c>
      <c r="I116" t="n">
        <v>17</v>
      </c>
      <c r="J116" t="n">
        <v>0.05</v>
      </c>
      <c r="K116" t="n">
        <v>0</v>
      </c>
      <c r="L116" t="n">
        <v>0</v>
      </c>
      <c r="M116" t="n">
        <v>0</v>
      </c>
      <c r="N116">
        <f>INDEX(boss_input_vu_khi_suy_ra!$C$2:$C$94,MATCH($D$116,boss_input_vu_khi_suy_ra!$A$2:$A$94,0))</f>
        <v/>
      </c>
      <c r="O116" t="inlineStr">
        <is>
          <t>giong</t>
        </is>
      </c>
      <c r="R116" t="n">
        <v>3.1</v>
      </c>
      <c r="S116">
        <f>IF($D$116="",0,INDEX(boss_input_vu_khi_suy_ra!$B$2:$B$94,MATCH($D$116,boss_input_vu_khi_suy_ra!$A$2:$A$94,0))*IF(INDEX(boss_input_vu_khi!$D$2:$D$94,MATCH($D$116,boss_input_vu_khi!$A$2:$A$94,0)),1,Boss_dps!$B$21)*Boss_dps!$C$21)</f>
        <v/>
      </c>
      <c r="T116" t="n">
        <v>184.534484516129</v>
      </c>
      <c r="U116" t="inlineStr">
        <is>
          <t>Assets/MachineBrigade/Resources/Data/balance.json: vehicles[id=kraken] dựng bởi Tools/balance/p26_ab.expand</t>
        </is>
      </c>
      <c r="V116" t="inlineStr"/>
    </row>
    <row r="117">
      <c r="A117" t="inlineStr">
        <is>
          <t>kraken/14</t>
        </is>
      </c>
      <c r="B117" t="inlineStr">
        <is>
          <t>kraken</t>
        </is>
      </c>
      <c r="C117" t="n">
        <v>14</v>
      </c>
      <c r="D117" t="inlineStr">
        <is>
          <t>aa_25_triple</t>
        </is>
      </c>
      <c r="E117" t="inlineStr">
        <is>
          <t>mg</t>
        </is>
      </c>
      <c r="F117" t="inlineStr">
        <is>
          <t>Free</t>
        </is>
      </c>
      <c r="G117" t="inlineStr">
        <is>
          <t>aa_starboard</t>
        </is>
      </c>
      <c r="H117" t="n">
        <v>1</v>
      </c>
      <c r="I117" t="n">
        <v>17</v>
      </c>
      <c r="J117" t="n">
        <v>0.05</v>
      </c>
      <c r="K117" t="n">
        <v>0</v>
      </c>
      <c r="L117" t="n">
        <v>0</v>
      </c>
      <c r="M117" t="n">
        <v>0</v>
      </c>
      <c r="N117">
        <f>INDEX(boss_input_vu_khi_suy_ra!$C$2:$C$94,MATCH($D$117,boss_input_vu_khi_suy_ra!$A$2:$A$94,0))</f>
        <v/>
      </c>
      <c r="O117" t="inlineStr">
        <is>
          <t>giong</t>
        </is>
      </c>
      <c r="R117" t="n">
        <v>3.1</v>
      </c>
      <c r="S117">
        <f>IF($D$117="",0,INDEX(boss_input_vu_khi_suy_ra!$B$2:$B$94,MATCH($D$117,boss_input_vu_khi_suy_ra!$A$2:$A$94,0))*IF(INDEX(boss_input_vu_khi!$D$2:$D$94,MATCH($D$117,boss_input_vu_khi!$A$2:$A$94,0)),1,Boss_dps!$B$21)*Boss_dps!$C$21)</f>
        <v/>
      </c>
      <c r="T117" t="n">
        <v>184.534484516129</v>
      </c>
      <c r="U117" t="inlineStr">
        <is>
          <t>Assets/MachineBrigade/Resources/Data/balance.json: vehicles[id=kraken] dựng bởi Tools/balance/p26_ab.expand</t>
        </is>
      </c>
      <c r="V117" t="inlineStr"/>
    </row>
    <row r="118">
      <c r="A118" t="inlineStr">
        <is>
          <t>kraken/15</t>
        </is>
      </c>
      <c r="B118" t="inlineStr">
        <is>
          <t>kraken</t>
        </is>
      </c>
      <c r="C118" t="n">
        <v>15</v>
      </c>
      <c r="D118" t="inlineStr">
        <is>
          <t>sam_post</t>
        </is>
      </c>
      <c r="E118" t="inlineStr">
        <is>
          <t>missile</t>
        </is>
      </c>
      <c r="F118" t="inlineStr">
        <is>
          <t>Free</t>
        </is>
      </c>
      <c r="G118" t="inlineStr">
        <is>
          <t>radar</t>
        </is>
      </c>
      <c r="H118" t="n">
        <v>1</v>
      </c>
      <c r="I118" t="n">
        <v>320</v>
      </c>
      <c r="J118" t="n">
        <v>3.9</v>
      </c>
      <c r="K118" t="n">
        <v>2</v>
      </c>
      <c r="L118" t="n">
        <v>0</v>
      </c>
      <c r="M118" t="n">
        <v>0</v>
      </c>
      <c r="N118">
        <f>INDEX(boss_input_vu_khi_suy_ra!$C$2:$C$94,MATCH($D$118,boss_input_vu_khi_suy_ra!$A$2:$A$94,0))</f>
        <v/>
      </c>
      <c r="O118" t="inlineStr">
        <is>
          <t>giong</t>
        </is>
      </c>
      <c r="R118" t="n">
        <v>4.4</v>
      </c>
      <c r="S118">
        <f>IF($D$118="",0,INDEX(boss_input_vu_khi_suy_ra!$B$2:$B$94,MATCH($D$118,boss_input_vu_khi_suy_ra!$A$2:$A$94,0))*IF(INDEX(boss_input_vu_khi!$D$2:$D$94,MATCH($D$118,boss_input_vu_khi!$A$2:$A$94,0)),1,Boss_dps!$B$21)*Boss_dps!$C$21)</f>
        <v/>
      </c>
      <c r="T118" t="n">
        <v>326.3069672727273</v>
      </c>
      <c r="U118" t="inlineStr">
        <is>
          <t>Assets/MachineBrigade/Resources/Data/balance.json: vehicles[id=kraken] dựng bởi Tools/balance/p26_ab.expand</t>
        </is>
      </c>
      <c r="V118" t="inlineStr"/>
    </row>
    <row r="119">
      <c r="A119" t="inlineStr">
        <is>
          <t>landing_hovercraft/0</t>
        </is>
      </c>
      <c r="B119" t="inlineStr">
        <is>
          <t>landing_hovercraft</t>
        </is>
      </c>
      <c r="C119" t="n">
        <v>0</v>
      </c>
      <c r="D119" t="inlineStr">
        <is>
          <t>hover_ciws</t>
        </is>
      </c>
      <c r="E119" t="inlineStr">
        <is>
          <t>gun</t>
        </is>
      </c>
      <c r="F119" t="inlineStr">
        <is>
          <t>Free</t>
        </is>
      </c>
      <c r="G119" t="inlineStr">
        <is>
          <t>gun_l</t>
        </is>
      </c>
      <c r="H119" t="n">
        <v>1</v>
      </c>
      <c r="I119" t="n">
        <v>12</v>
      </c>
      <c r="J119" t="n">
        <v>0.0167</v>
      </c>
      <c r="K119" t="n">
        <v>0</v>
      </c>
      <c r="L119" t="n">
        <v>0</v>
      </c>
      <c r="M119" t="n">
        <v>0</v>
      </c>
      <c r="N119">
        <f>INDEX(boss_input_vu_khi_suy_ra!$C$2:$C$94,MATCH($D$119,boss_input_vu_khi_suy_ra!$A$2:$A$94,0))</f>
        <v/>
      </c>
      <c r="O119" t="inlineStr">
        <is>
          <t>giong</t>
        </is>
      </c>
      <c r="R119" t="n">
        <v>6.002</v>
      </c>
      <c r="S119">
        <f>IF($D$119="",0,INDEX(boss_input_vu_khi_suy_ra!$B$2:$B$94,MATCH($D$119,boss_input_vu_khi_suy_ra!$A$2:$A$94,0))*IF(INDEX(boss_input_vu_khi!$D$2:$D$94,MATCH($D$119,boss_input_vu_khi!$A$2:$A$94,0)),1,Boss_dps!$B$22)*Boss_dps!$C$22)</f>
        <v/>
      </c>
      <c r="T119" t="n">
        <v>516.1879373542153</v>
      </c>
      <c r="U119" t="inlineStr">
        <is>
          <t>Assets/MachineBrigade/Resources/Data/balance.json: vehicles[id=landing_hovercraft] dựng bởi Tools/balance/p26_ab.expand</t>
        </is>
      </c>
      <c r="V119" t="inlineStr"/>
    </row>
    <row r="120">
      <c r="A120" t="inlineStr">
        <is>
          <t>landing_hovercraft/1</t>
        </is>
      </c>
      <c r="B120" t="inlineStr">
        <is>
          <t>landing_hovercraft</t>
        </is>
      </c>
      <c r="C120" t="n">
        <v>1</v>
      </c>
      <c r="D120" t="inlineStr">
        <is>
          <t>hover_ciws</t>
        </is>
      </c>
      <c r="E120" t="inlineStr">
        <is>
          <t>gun</t>
        </is>
      </c>
      <c r="F120" t="inlineStr">
        <is>
          <t>Free</t>
        </is>
      </c>
      <c r="G120" t="inlineStr">
        <is>
          <t>gun_r</t>
        </is>
      </c>
      <c r="H120" t="n">
        <v>1</v>
      </c>
      <c r="I120" t="n">
        <v>12</v>
      </c>
      <c r="J120" t="n">
        <v>0.0167</v>
      </c>
      <c r="K120" t="n">
        <v>0</v>
      </c>
      <c r="L120" t="n">
        <v>0</v>
      </c>
      <c r="M120" t="n">
        <v>0</v>
      </c>
      <c r="N120">
        <f>INDEX(boss_input_vu_khi_suy_ra!$C$2:$C$94,MATCH($D$120,boss_input_vu_khi_suy_ra!$A$2:$A$94,0))</f>
        <v/>
      </c>
      <c r="O120" t="inlineStr">
        <is>
          <t>giong</t>
        </is>
      </c>
      <c r="R120" t="n">
        <v>6.002</v>
      </c>
      <c r="S120">
        <f>IF($D$120="",0,INDEX(boss_input_vu_khi_suy_ra!$B$2:$B$94,MATCH($D$120,boss_input_vu_khi_suy_ra!$A$2:$A$94,0))*IF(INDEX(boss_input_vu_khi!$D$2:$D$94,MATCH($D$120,boss_input_vu_khi!$A$2:$A$94,0)),1,Boss_dps!$B$22)*Boss_dps!$C$22)</f>
        <v/>
      </c>
      <c r="T120" t="n">
        <v>516.1879373542153</v>
      </c>
      <c r="U120" t="inlineStr">
        <is>
          <t>Assets/MachineBrigade/Resources/Data/balance.json: vehicles[id=landing_hovercraft] dựng bởi Tools/balance/p26_ab.expand</t>
        </is>
      </c>
      <c r="V120" t="inlineStr"/>
    </row>
    <row r="121">
      <c r="A121" t="inlineStr">
        <is>
          <t>landing_hovercraft/2</t>
        </is>
      </c>
      <c r="B121" t="inlineStr">
        <is>
          <t>landing_hovercraft</t>
        </is>
      </c>
      <c r="C121" t="n">
        <v>2</v>
      </c>
      <c r="D121" t="inlineStr">
        <is>
          <t>ciws_aa</t>
        </is>
      </c>
      <c r="E121" t="inlineStr">
        <is>
          <t>mg</t>
        </is>
      </c>
      <c r="F121" t="inlineStr">
        <is>
          <t>Free</t>
        </is>
      </c>
      <c r="G121" t="inlineStr">
        <is>
          <t>ciws_r</t>
        </is>
      </c>
      <c r="H121" t="n">
        <v>1</v>
      </c>
      <c r="I121" t="n">
        <v>12</v>
      </c>
      <c r="J121" t="n">
        <v>0.0167</v>
      </c>
      <c r="K121" t="n">
        <v>0</v>
      </c>
      <c r="L121" t="n">
        <v>0</v>
      </c>
      <c r="M121" t="n">
        <v>0</v>
      </c>
      <c r="N121">
        <f>INDEX(boss_input_vu_khi_suy_ra!$C$2:$C$94,MATCH($D$121,boss_input_vu_khi_suy_ra!$A$2:$A$94,0))</f>
        <v/>
      </c>
      <c r="O121" t="inlineStr">
        <is>
          <t>giong</t>
        </is>
      </c>
      <c r="R121" t="n">
        <v>6.002</v>
      </c>
      <c r="S121">
        <f>IF($D$121="",0,INDEX(boss_input_vu_khi_suy_ra!$B$2:$B$94,MATCH($D$121,boss_input_vu_khi_suy_ra!$A$2:$A$94,0))*IF(INDEX(boss_input_vu_khi!$D$2:$D$94,MATCH($D$121,boss_input_vu_khi!$A$2:$A$94,0)),1,Boss_dps!$B$22)*Boss_dps!$C$22)</f>
        <v/>
      </c>
      <c r="T121" t="n">
        <v>516.1879373542153</v>
      </c>
      <c r="U121" t="inlineStr">
        <is>
          <t>Assets/MachineBrigade/Resources/Data/balance.json: vehicles[id=landing_hovercraft] dựng bởi Tools/balance/p26_ab.expand</t>
        </is>
      </c>
      <c r="V121" t="inlineStr"/>
    </row>
    <row r="122">
      <c r="A122" t="inlineStr">
        <is>
          <t>landing_hovercraft/3</t>
        </is>
      </c>
      <c r="B122" t="inlineStr">
        <is>
          <t>landing_hovercraft</t>
        </is>
      </c>
      <c r="C122" t="n">
        <v>3</v>
      </c>
      <c r="D122" t="inlineStr">
        <is>
          <t>hover_rockets</t>
        </is>
      </c>
      <c r="E122" t="inlineStr">
        <is>
          <t>rocket</t>
        </is>
      </c>
      <c r="F122" t="inlineStr">
        <is>
          <t>Free</t>
        </is>
      </c>
      <c r="G122" t="inlineStr">
        <is>
          <t>rockets_l</t>
        </is>
      </c>
      <c r="H122" t="n">
        <v>1</v>
      </c>
      <c r="I122" t="n">
        <v>65</v>
      </c>
      <c r="J122" t="n">
        <v>22</v>
      </c>
      <c r="K122" t="n">
        <v>4</v>
      </c>
      <c r="L122" t="n">
        <v>8</v>
      </c>
      <c r="M122" t="n">
        <v>0</v>
      </c>
      <c r="N122">
        <f>INDEX(boss_input_vu_khi_suy_ra!$C$2:$C$94,MATCH($D$122,boss_input_vu_khi_suy_ra!$A$2:$A$94,0))</f>
        <v/>
      </c>
      <c r="O122" t="inlineStr">
        <is>
          <t>giong</t>
        </is>
      </c>
      <c r="R122" t="n">
        <v>27</v>
      </c>
      <c r="S122">
        <f>IF($D$122="",0,INDEX(boss_input_vu_khi_suy_ra!$B$2:$B$94,MATCH($D$122,boss_input_vu_khi_suy_ra!$A$2:$A$94,0))*IF(INDEX(boss_input_vu_khi!$D$2:$D$94,MATCH($D$122,boss_input_vu_khi!$A$2:$A$94,0)),1,Boss_dps!$B$22)*Boss_dps!$C$22)</f>
        <v/>
      </c>
      <c r="T122" t="n">
        <v>113.9498148148148</v>
      </c>
      <c r="U122" t="inlineStr">
        <is>
          <t>Assets/MachineBrigade/Resources/Data/balance.json: vehicles[id=landing_hovercraft] dựng bởi Tools/balance/p26_ab.expand</t>
        </is>
      </c>
      <c r="V122" t="inlineStr"/>
    </row>
    <row r="123">
      <c r="A123" t="inlineStr">
        <is>
          <t>landing_hovercraft/4</t>
        </is>
      </c>
      <c r="B123" t="inlineStr">
        <is>
          <t>landing_hovercraft</t>
        </is>
      </c>
      <c r="C123" t="n">
        <v>4</v>
      </c>
      <c r="D123" t="inlineStr">
        <is>
          <t>hover_rockets</t>
        </is>
      </c>
      <c r="E123" t="inlineStr">
        <is>
          <t>rocket</t>
        </is>
      </c>
      <c r="F123" t="inlineStr">
        <is>
          <t>Free</t>
        </is>
      </c>
      <c r="G123" t="inlineStr">
        <is>
          <t>rockets_r</t>
        </is>
      </c>
      <c r="H123" t="n">
        <v>1</v>
      </c>
      <c r="I123" t="n">
        <v>65</v>
      </c>
      <c r="J123" t="n">
        <v>22</v>
      </c>
      <c r="K123" t="n">
        <v>4</v>
      </c>
      <c r="L123" t="n">
        <v>8</v>
      </c>
      <c r="M123" t="n">
        <v>0</v>
      </c>
      <c r="N123">
        <f>INDEX(boss_input_vu_khi_suy_ra!$C$2:$C$94,MATCH($D$123,boss_input_vu_khi_suy_ra!$A$2:$A$94,0))</f>
        <v/>
      </c>
      <c r="O123" t="inlineStr">
        <is>
          <t>giong</t>
        </is>
      </c>
      <c r="R123" t="n">
        <v>27</v>
      </c>
      <c r="S123">
        <f>IF($D$123="",0,INDEX(boss_input_vu_khi_suy_ra!$B$2:$B$94,MATCH($D$123,boss_input_vu_khi_suy_ra!$A$2:$A$94,0))*IF(INDEX(boss_input_vu_khi!$D$2:$D$94,MATCH($D$123,boss_input_vu_khi!$A$2:$A$94,0)),1,Boss_dps!$B$22)*Boss_dps!$C$22)</f>
        <v/>
      </c>
      <c r="T123" t="n">
        <v>113.9498148148148</v>
      </c>
      <c r="U123" t="inlineStr">
        <is>
          <t>Assets/MachineBrigade/Resources/Data/balance.json: vehicles[id=landing_hovercraft] dựng bởi Tools/balance/p26_ab.expand</t>
        </is>
      </c>
      <c r="V123" t="inlineStr"/>
    </row>
    <row r="124">
      <c r="A124" t="inlineStr">
        <is>
          <t>leviathan/0</t>
        </is>
      </c>
      <c r="B124" t="inlineStr">
        <is>
          <t>leviathan</t>
        </is>
      </c>
      <c r="C124" t="n">
        <v>0</v>
      </c>
      <c r="D124" t="inlineStr">
        <is>
          <t>p26_leviathan_lev406</t>
        </is>
      </c>
      <c r="E124" t="inlineStr">
        <is>
          <t>gun</t>
        </is>
      </c>
      <c r="F124" t="inlineStr">
        <is>
          <t>Free</t>
        </is>
      </c>
      <c r="G124" t="inlineStr">
        <is>
          <t>turret_fore</t>
        </is>
      </c>
      <c r="H124" t="n">
        <v>3</v>
      </c>
      <c r="I124" t="n">
        <v>2400</v>
      </c>
      <c r="J124" t="n">
        <v>60</v>
      </c>
      <c r="K124" t="n">
        <v>14</v>
      </c>
      <c r="L124" t="n">
        <v>24</v>
      </c>
      <c r="M124" t="n">
        <v>3.611111111111111</v>
      </c>
      <c r="N124">
        <f>INDEX(boss_input_vu_khi_suy_ra!$C$2:$C$94,MATCH($D$124,boss_input_vu_khi_suy_ra!$A$2:$A$94,0))</f>
        <v/>
      </c>
      <c r="O124" t="inlineStr">
        <is>
          <t>giong</t>
        </is>
      </c>
      <c r="R124" t="n">
        <v>60</v>
      </c>
      <c r="S124">
        <f>IF($D$124="",0,INDEX(boss_input_vu_khi_suy_ra!$B$2:$B$94,MATCH($D$124,boss_input_vu_khi_suy_ra!$A$2:$A$94,0))*IF(INDEX(boss_input_vu_khi!$D$2:$D$94,MATCH($D$124,boss_input_vu_khi!$A$2:$A$94,0)),1,Boss_dps!$B$23)*Boss_dps!$C$23)</f>
        <v/>
      </c>
      <c r="T124" t="n">
        <v>116.136</v>
      </c>
      <c r="U124" t="inlineStr">
        <is>
          <t>Assets/MachineBrigade/Resources/Data/balance.json: vehicles[id=leviathan] dựng bởi Tools/balance/p26_ab.expand</t>
        </is>
      </c>
      <c r="V124" t="inlineStr"/>
    </row>
    <row r="125">
      <c r="A125" t="inlineStr">
        <is>
          <t>leviathan/1</t>
        </is>
      </c>
      <c r="B125" t="inlineStr">
        <is>
          <t>leviathan</t>
        </is>
      </c>
      <c r="C125" t="n">
        <v>1</v>
      </c>
      <c r="D125" t="inlineStr">
        <is>
          <t>p26_leviathan_lev406</t>
        </is>
      </c>
      <c r="E125" t="inlineStr">
        <is>
          <t>gun</t>
        </is>
      </c>
      <c r="F125" t="inlineStr">
        <is>
          <t>Free</t>
        </is>
      </c>
      <c r="G125" t="inlineStr">
        <is>
          <t>turret_super</t>
        </is>
      </c>
      <c r="H125" t="n">
        <v>3</v>
      </c>
      <c r="I125" t="n">
        <v>2400</v>
      </c>
      <c r="J125" t="n">
        <v>60</v>
      </c>
      <c r="K125" t="n">
        <v>14</v>
      </c>
      <c r="L125" t="n">
        <v>24</v>
      </c>
      <c r="M125" t="n">
        <v>3.611111111111111</v>
      </c>
      <c r="N125">
        <f>INDEX(boss_input_vu_khi_suy_ra!$C$2:$C$94,MATCH($D$125,boss_input_vu_khi_suy_ra!$A$2:$A$94,0))</f>
        <v/>
      </c>
      <c r="O125" t="inlineStr">
        <is>
          <t>giong</t>
        </is>
      </c>
      <c r="R125" t="n">
        <v>60</v>
      </c>
      <c r="S125">
        <f>IF($D$125="",0,INDEX(boss_input_vu_khi_suy_ra!$B$2:$B$94,MATCH($D$125,boss_input_vu_khi_suy_ra!$A$2:$A$94,0))*IF(INDEX(boss_input_vu_khi!$D$2:$D$94,MATCH($D$125,boss_input_vu_khi!$A$2:$A$94,0)),1,Boss_dps!$B$23)*Boss_dps!$C$23)</f>
        <v/>
      </c>
      <c r="T125" t="n">
        <v>116.136</v>
      </c>
      <c r="U125" t="inlineStr">
        <is>
          <t>Assets/MachineBrigade/Resources/Data/balance.json: vehicles[id=leviathan] dựng bởi Tools/balance/p26_ab.expand</t>
        </is>
      </c>
      <c r="V125" t="inlineStr"/>
    </row>
    <row r="126">
      <c r="A126" t="inlineStr">
        <is>
          <t>leviathan/2</t>
        </is>
      </c>
      <c r="B126" t="inlineStr">
        <is>
          <t>leviathan</t>
        </is>
      </c>
      <c r="C126" t="n">
        <v>2</v>
      </c>
      <c r="D126" t="inlineStr">
        <is>
          <t>p26_leviathan_lev406</t>
        </is>
      </c>
      <c r="E126" t="inlineStr">
        <is>
          <t>gun</t>
        </is>
      </c>
      <c r="F126" t="inlineStr">
        <is>
          <t>Free</t>
        </is>
      </c>
      <c r="G126" t="inlineStr">
        <is>
          <t>turret_aft</t>
        </is>
      </c>
      <c r="H126" t="n">
        <v>3</v>
      </c>
      <c r="I126" t="n">
        <v>2400</v>
      </c>
      <c r="J126" t="n">
        <v>60</v>
      </c>
      <c r="K126" t="n">
        <v>14</v>
      </c>
      <c r="L126" t="n">
        <v>24</v>
      </c>
      <c r="M126" t="n">
        <v>3.611111111111111</v>
      </c>
      <c r="N126">
        <f>INDEX(boss_input_vu_khi_suy_ra!$C$2:$C$94,MATCH($D$126,boss_input_vu_khi_suy_ra!$A$2:$A$94,0))</f>
        <v/>
      </c>
      <c r="O126" t="inlineStr">
        <is>
          <t>giong</t>
        </is>
      </c>
      <c r="R126" t="n">
        <v>60</v>
      </c>
      <c r="S126">
        <f>IF($D$126="",0,INDEX(boss_input_vu_khi_suy_ra!$B$2:$B$94,MATCH($D$126,boss_input_vu_khi_suy_ra!$A$2:$A$94,0))*IF(INDEX(boss_input_vu_khi!$D$2:$D$94,MATCH($D$126,boss_input_vu_khi!$A$2:$A$94,0)),1,Boss_dps!$B$23)*Boss_dps!$C$23)</f>
        <v/>
      </c>
      <c r="T126" t="n">
        <v>116.136</v>
      </c>
      <c r="U126" t="inlineStr">
        <is>
          <t>Assets/MachineBrigade/Resources/Data/balance.json: vehicles[id=leviathan] dựng bởi Tools/balance/p26_ab.expand</t>
        </is>
      </c>
      <c r="V126" t="inlineStr"/>
    </row>
    <row r="127">
      <c r="A127" t="inlineStr">
        <is>
          <t>leviathan/3</t>
        </is>
      </c>
      <c r="B127" t="inlineStr">
        <is>
          <t>leviathan</t>
        </is>
      </c>
      <c r="C127" t="n">
        <v>3</v>
      </c>
      <c r="D127" t="inlineStr">
        <is>
          <t>p26_leviathan_sec_lev155</t>
        </is>
      </c>
      <c r="E127" t="inlineStr">
        <is>
          <t>gun</t>
        </is>
      </c>
      <c r="F127" t="inlineStr">
        <is>
          <t>Free</t>
        </is>
      </c>
      <c r="G127" t="inlineStr">
        <is>
          <t>sec_fore</t>
        </is>
      </c>
      <c r="H127" t="n">
        <v>3</v>
      </c>
      <c r="I127" t="n">
        <v>600</v>
      </c>
      <c r="J127" t="n">
        <v>10.5</v>
      </c>
      <c r="K127" t="n">
        <v>7</v>
      </c>
      <c r="L127" t="n">
        <v>14</v>
      </c>
      <c r="M127" t="n">
        <v>0</v>
      </c>
      <c r="N127">
        <f>INDEX(boss_input_vu_khi_suy_ra!$C$2:$C$94,MATCH($D$127,boss_input_vu_khi_suy_ra!$A$2:$A$94,0))</f>
        <v/>
      </c>
      <c r="O127" t="inlineStr">
        <is>
          <t>giong</t>
        </is>
      </c>
      <c r="R127" t="n">
        <v>10.5</v>
      </c>
      <c r="S127">
        <f>IF($D$127="",0,INDEX(boss_input_vu_khi_suy_ra!$B$2:$B$94,MATCH($D$127,boss_input_vu_khi_suy_ra!$A$2:$A$94,0))*IF(INDEX(boss_input_vu_khi!$D$2:$D$94,MATCH($D$127,boss_input_vu_khi!$A$2:$A$94,0)),1,Boss_dps!$B$23)*Boss_dps!$C$23)</f>
        <v/>
      </c>
      <c r="T127" t="n">
        <v>165.9085714285714</v>
      </c>
      <c r="U127" t="inlineStr">
        <is>
          <t>Assets/MachineBrigade/Resources/Data/balance.json: vehicles[id=leviathan] dựng bởi Tools/balance/p26_ab.expand</t>
        </is>
      </c>
      <c r="V127" t="inlineStr"/>
    </row>
    <row r="128">
      <c r="A128" t="inlineStr">
        <is>
          <t>leviathan/4</t>
        </is>
      </c>
      <c r="B128" t="inlineStr">
        <is>
          <t>leviathan</t>
        </is>
      </c>
      <c r="C128" t="n">
        <v>4</v>
      </c>
      <c r="D128" t="inlineStr">
        <is>
          <t>p26_leviathan_sec_lev155</t>
        </is>
      </c>
      <c r="E128" t="inlineStr">
        <is>
          <t>gun</t>
        </is>
      </c>
      <c r="F128" t="inlineStr">
        <is>
          <t>Free</t>
        </is>
      </c>
      <c r="G128" t="inlineStr">
        <is>
          <t>sec_aft</t>
        </is>
      </c>
      <c r="H128" t="n">
        <v>3</v>
      </c>
      <c r="I128" t="n">
        <v>600</v>
      </c>
      <c r="J128" t="n">
        <v>10.5</v>
      </c>
      <c r="K128" t="n">
        <v>7</v>
      </c>
      <c r="L128" t="n">
        <v>14</v>
      </c>
      <c r="M128" t="n">
        <v>0</v>
      </c>
      <c r="N128">
        <f>INDEX(boss_input_vu_khi_suy_ra!$C$2:$C$94,MATCH($D$128,boss_input_vu_khi_suy_ra!$A$2:$A$94,0))</f>
        <v/>
      </c>
      <c r="O128" t="inlineStr">
        <is>
          <t>giong</t>
        </is>
      </c>
      <c r="R128" t="n">
        <v>10.5</v>
      </c>
      <c r="S128">
        <f>IF($D$128="",0,INDEX(boss_input_vu_khi_suy_ra!$B$2:$B$94,MATCH($D$128,boss_input_vu_khi_suy_ra!$A$2:$A$94,0))*IF(INDEX(boss_input_vu_khi!$D$2:$D$94,MATCH($D$128,boss_input_vu_khi!$A$2:$A$94,0)),1,Boss_dps!$B$23)*Boss_dps!$C$23)</f>
        <v/>
      </c>
      <c r="T128" t="n">
        <v>165.9085714285714</v>
      </c>
      <c r="U128" t="inlineStr">
        <is>
          <t>Assets/MachineBrigade/Resources/Data/balance.json: vehicles[id=leviathan] dựng bởi Tools/balance/p26_ab.expand</t>
        </is>
      </c>
      <c r="V128" t="inlineStr"/>
    </row>
    <row r="129">
      <c r="A129" t="inlineStr">
        <is>
          <t>leviathan/5</t>
        </is>
      </c>
      <c r="B129" t="inlineStr">
        <is>
          <t>leviathan</t>
        </is>
      </c>
      <c r="C129" t="n">
        <v>5</v>
      </c>
      <c r="D129" t="inlineStr">
        <is>
          <t>p26_leviathan_direct_lev127</t>
        </is>
      </c>
      <c r="E129" t="inlineStr">
        <is>
          <t>mg</t>
        </is>
      </c>
      <c r="F129" t="inlineStr">
        <is>
          <t>Free</t>
        </is>
      </c>
      <c r="G129" t="inlineStr">
        <is>
          <t>ciws_fore</t>
        </is>
      </c>
      <c r="H129" t="n">
        <v>1</v>
      </c>
      <c r="I129" t="n">
        <v>380</v>
      </c>
      <c r="J129" t="n">
        <v>3</v>
      </c>
      <c r="K129" t="n">
        <v>0</v>
      </c>
      <c r="L129" t="n">
        <v>0</v>
      </c>
      <c r="M129" t="n">
        <v>0</v>
      </c>
      <c r="N129">
        <f>INDEX(boss_input_vu_khi_suy_ra!$C$2:$C$94,MATCH($D$129,boss_input_vu_khi_suy_ra!$A$2:$A$94,0))</f>
        <v/>
      </c>
      <c r="O129" t="inlineStr">
        <is>
          <t>giong</t>
        </is>
      </c>
      <c r="R129" t="n">
        <v>3</v>
      </c>
      <c r="S129">
        <f>IF($D$129="",0,INDEX(boss_input_vu_khi_suy_ra!$B$2:$B$94,MATCH($D$129,boss_input_vu_khi_suy_ra!$A$2:$A$94,0))*IF(INDEX(boss_input_vu_khi!$D$2:$D$94,MATCH($D$129,boss_input_vu_khi!$A$2:$A$94,0)),1,Boss_dps!$B$23)*Boss_dps!$C$23)</f>
        <v/>
      </c>
      <c r="T129" t="n">
        <v>122.588</v>
      </c>
      <c r="U129" t="inlineStr">
        <is>
          <t>Assets/MachineBrigade/Resources/Data/balance.json: vehicles[id=leviathan] dựng bởi Tools/balance/p26_ab.expand</t>
        </is>
      </c>
      <c r="V129" t="inlineStr"/>
    </row>
    <row r="130">
      <c r="A130" t="inlineStr">
        <is>
          <t>leviathan/6</t>
        </is>
      </c>
      <c r="B130" t="inlineStr">
        <is>
          <t>leviathan</t>
        </is>
      </c>
      <c r="C130" t="n">
        <v>6</v>
      </c>
      <c r="D130" t="inlineStr">
        <is>
          <t>p26_leviathan_direct_lev127</t>
        </is>
      </c>
      <c r="E130" t="inlineStr">
        <is>
          <t>mg</t>
        </is>
      </c>
      <c r="F130" t="inlineStr">
        <is>
          <t>Free</t>
        </is>
      </c>
      <c r="G130" t="inlineStr">
        <is>
          <t>ciws_aft</t>
        </is>
      </c>
      <c r="H130" t="n">
        <v>1</v>
      </c>
      <c r="I130" t="n">
        <v>380</v>
      </c>
      <c r="J130" t="n">
        <v>3</v>
      </c>
      <c r="K130" t="n">
        <v>0</v>
      </c>
      <c r="L130" t="n">
        <v>0</v>
      </c>
      <c r="M130" t="n">
        <v>0</v>
      </c>
      <c r="N130">
        <f>INDEX(boss_input_vu_khi_suy_ra!$C$2:$C$94,MATCH($D$130,boss_input_vu_khi_suy_ra!$A$2:$A$94,0))</f>
        <v/>
      </c>
      <c r="O130" t="inlineStr">
        <is>
          <t>giong</t>
        </is>
      </c>
      <c r="R130" t="n">
        <v>3</v>
      </c>
      <c r="S130">
        <f>IF($D$130="",0,INDEX(boss_input_vu_khi_suy_ra!$B$2:$B$94,MATCH($D$130,boss_input_vu_khi_suy_ra!$A$2:$A$94,0))*IF(INDEX(boss_input_vu_khi!$D$2:$D$94,MATCH($D$130,boss_input_vu_khi!$A$2:$A$94,0)),1,Boss_dps!$B$23)*Boss_dps!$C$23)</f>
        <v/>
      </c>
      <c r="T130" t="n">
        <v>122.588</v>
      </c>
      <c r="U130" t="inlineStr">
        <is>
          <t>Assets/MachineBrigade/Resources/Data/balance.json: vehicles[id=leviathan] dựng bởi Tools/balance/p26_ab.expand</t>
        </is>
      </c>
      <c r="V130" t="inlineStr"/>
    </row>
    <row r="131">
      <c r="A131" t="inlineStr">
        <is>
          <t>leviathan/7</t>
        </is>
      </c>
      <c r="B131" t="inlineStr">
        <is>
          <t>leviathan</t>
        </is>
      </c>
      <c r="C131" t="n">
        <v>7</v>
      </c>
      <c r="D131" t="inlineStr">
        <is>
          <t>aa_25_triple</t>
        </is>
      </c>
      <c r="E131" t="inlineStr">
        <is>
          <t>mg</t>
        </is>
      </c>
      <c r="F131" t="inlineStr">
        <is>
          <t>Free</t>
        </is>
      </c>
      <c r="G131" t="inlineStr">
        <is>
          <t>aa_port</t>
        </is>
      </c>
      <c r="H131" t="n">
        <v>1</v>
      </c>
      <c r="I131" t="n">
        <v>17</v>
      </c>
      <c r="J131" t="n">
        <v>0.05</v>
      </c>
      <c r="K131" t="n">
        <v>0</v>
      </c>
      <c r="L131" t="n">
        <v>0</v>
      </c>
      <c r="M131" t="n">
        <v>0</v>
      </c>
      <c r="N131">
        <f>INDEX(boss_input_vu_khi_suy_ra!$C$2:$C$94,MATCH($D$131,boss_input_vu_khi_suy_ra!$A$2:$A$94,0))</f>
        <v/>
      </c>
      <c r="O131" t="inlineStr">
        <is>
          <t>giong</t>
        </is>
      </c>
      <c r="R131" t="n">
        <v>3.1</v>
      </c>
      <c r="S131">
        <f>IF($D$131="",0,INDEX(boss_input_vu_khi_suy_ra!$B$2:$B$94,MATCH($D$131,boss_input_vu_khi_suy_ra!$A$2:$A$94,0))*IF(INDEX(boss_input_vu_khi!$D$2:$D$94,MATCH($D$131,boss_input_vu_khi!$A$2:$A$94,0)),1,Boss_dps!$B$23)*Boss_dps!$C$23)</f>
        <v/>
      </c>
      <c r="T131" t="n">
        <v>79.60935483870966</v>
      </c>
      <c r="U131" t="inlineStr">
        <is>
          <t>Assets/MachineBrigade/Resources/Data/balance.json: vehicles[id=leviathan] dựng bởi Tools/balance/p26_ab.expand</t>
        </is>
      </c>
      <c r="V131" t="inlineStr"/>
    </row>
    <row r="132">
      <c r="A132" t="inlineStr">
        <is>
          <t>leviathan/8</t>
        </is>
      </c>
      <c r="B132" t="inlineStr">
        <is>
          <t>leviathan</t>
        </is>
      </c>
      <c r="C132" t="n">
        <v>8</v>
      </c>
      <c r="D132" t="inlineStr">
        <is>
          <t>aa_25_triple</t>
        </is>
      </c>
      <c r="E132" t="inlineStr">
        <is>
          <t>mg</t>
        </is>
      </c>
      <c r="F132" t="inlineStr">
        <is>
          <t>Free</t>
        </is>
      </c>
      <c r="G132" t="inlineStr">
        <is>
          <t>aa_port</t>
        </is>
      </c>
      <c r="H132" t="n">
        <v>1</v>
      </c>
      <c r="I132" t="n">
        <v>17</v>
      </c>
      <c r="J132" t="n">
        <v>0.05</v>
      </c>
      <c r="K132" t="n">
        <v>0</v>
      </c>
      <c r="L132" t="n">
        <v>0</v>
      </c>
      <c r="M132" t="n">
        <v>0</v>
      </c>
      <c r="N132">
        <f>INDEX(boss_input_vu_khi_suy_ra!$C$2:$C$94,MATCH($D$132,boss_input_vu_khi_suy_ra!$A$2:$A$94,0))</f>
        <v/>
      </c>
      <c r="O132" t="inlineStr">
        <is>
          <t>giong</t>
        </is>
      </c>
      <c r="R132" t="n">
        <v>3.1</v>
      </c>
      <c r="S132">
        <f>IF($D$132="",0,INDEX(boss_input_vu_khi_suy_ra!$B$2:$B$94,MATCH($D$132,boss_input_vu_khi_suy_ra!$A$2:$A$94,0))*IF(INDEX(boss_input_vu_khi!$D$2:$D$94,MATCH($D$132,boss_input_vu_khi!$A$2:$A$94,0)),1,Boss_dps!$B$23)*Boss_dps!$C$23)</f>
        <v/>
      </c>
      <c r="T132" t="n">
        <v>79.60935483870966</v>
      </c>
      <c r="U132" t="inlineStr">
        <is>
          <t>Assets/MachineBrigade/Resources/Data/balance.json: vehicles[id=leviathan] dựng bởi Tools/balance/p26_ab.expand</t>
        </is>
      </c>
      <c r="V132" t="inlineStr"/>
    </row>
    <row r="133">
      <c r="A133" t="inlineStr">
        <is>
          <t>leviathan/9</t>
        </is>
      </c>
      <c r="B133" t="inlineStr">
        <is>
          <t>leviathan</t>
        </is>
      </c>
      <c r="C133" t="n">
        <v>9</v>
      </c>
      <c r="D133" t="inlineStr">
        <is>
          <t>aa_25_triple</t>
        </is>
      </c>
      <c r="E133" t="inlineStr">
        <is>
          <t>mg</t>
        </is>
      </c>
      <c r="F133" t="inlineStr">
        <is>
          <t>Free</t>
        </is>
      </c>
      <c r="G133" t="inlineStr">
        <is>
          <t>aa_port</t>
        </is>
      </c>
      <c r="H133" t="n">
        <v>1</v>
      </c>
      <c r="I133" t="n">
        <v>17</v>
      </c>
      <c r="J133" t="n">
        <v>0.05</v>
      </c>
      <c r="K133" t="n">
        <v>0</v>
      </c>
      <c r="L133" t="n">
        <v>0</v>
      </c>
      <c r="M133" t="n">
        <v>0</v>
      </c>
      <c r="N133">
        <f>INDEX(boss_input_vu_khi_suy_ra!$C$2:$C$94,MATCH($D$133,boss_input_vu_khi_suy_ra!$A$2:$A$94,0))</f>
        <v/>
      </c>
      <c r="O133" t="inlineStr">
        <is>
          <t>giong</t>
        </is>
      </c>
      <c r="R133" t="n">
        <v>3.1</v>
      </c>
      <c r="S133">
        <f>IF($D$133="",0,INDEX(boss_input_vu_khi_suy_ra!$B$2:$B$94,MATCH($D$133,boss_input_vu_khi_suy_ra!$A$2:$A$94,0))*IF(INDEX(boss_input_vu_khi!$D$2:$D$94,MATCH($D$133,boss_input_vu_khi!$A$2:$A$94,0)),1,Boss_dps!$B$23)*Boss_dps!$C$23)</f>
        <v/>
      </c>
      <c r="T133" t="n">
        <v>79.60935483870966</v>
      </c>
      <c r="U133" t="inlineStr">
        <is>
          <t>Assets/MachineBrigade/Resources/Data/balance.json: vehicles[id=leviathan] dựng bởi Tools/balance/p26_ab.expand</t>
        </is>
      </c>
      <c r="V133" t="inlineStr"/>
    </row>
    <row r="134">
      <c r="A134" t="inlineStr">
        <is>
          <t>leviathan/10</t>
        </is>
      </c>
      <c r="B134" t="inlineStr">
        <is>
          <t>leviathan</t>
        </is>
      </c>
      <c r="C134" t="n">
        <v>10</v>
      </c>
      <c r="D134" t="inlineStr">
        <is>
          <t>aa_25_triple</t>
        </is>
      </c>
      <c r="E134" t="inlineStr">
        <is>
          <t>mg</t>
        </is>
      </c>
      <c r="F134" t="inlineStr">
        <is>
          <t>Free</t>
        </is>
      </c>
      <c r="G134" t="inlineStr">
        <is>
          <t>aa_port</t>
        </is>
      </c>
      <c r="H134" t="n">
        <v>1</v>
      </c>
      <c r="I134" t="n">
        <v>17</v>
      </c>
      <c r="J134" t="n">
        <v>0.05</v>
      </c>
      <c r="K134" t="n">
        <v>0</v>
      </c>
      <c r="L134" t="n">
        <v>0</v>
      </c>
      <c r="M134" t="n">
        <v>0</v>
      </c>
      <c r="N134">
        <f>INDEX(boss_input_vu_khi_suy_ra!$C$2:$C$94,MATCH($D$134,boss_input_vu_khi_suy_ra!$A$2:$A$94,0))</f>
        <v/>
      </c>
      <c r="O134" t="inlineStr">
        <is>
          <t>giong</t>
        </is>
      </c>
      <c r="R134" t="n">
        <v>3.1</v>
      </c>
      <c r="S134">
        <f>IF($D$134="",0,INDEX(boss_input_vu_khi_suy_ra!$B$2:$B$94,MATCH($D$134,boss_input_vu_khi_suy_ra!$A$2:$A$94,0))*IF(INDEX(boss_input_vu_khi!$D$2:$D$94,MATCH($D$134,boss_input_vu_khi!$A$2:$A$94,0)),1,Boss_dps!$B$23)*Boss_dps!$C$23)</f>
        <v/>
      </c>
      <c r="T134" t="n">
        <v>79.60935483870966</v>
      </c>
      <c r="U134" t="inlineStr">
        <is>
          <t>Assets/MachineBrigade/Resources/Data/balance.json: vehicles[id=leviathan] dựng bởi Tools/balance/p26_ab.expand</t>
        </is>
      </c>
      <c r="V134" t="inlineStr"/>
    </row>
    <row r="135">
      <c r="A135" t="inlineStr">
        <is>
          <t>leviathan/11</t>
        </is>
      </c>
      <c r="B135" t="inlineStr">
        <is>
          <t>leviathan</t>
        </is>
      </c>
      <c r="C135" t="n">
        <v>11</v>
      </c>
      <c r="D135" t="inlineStr">
        <is>
          <t>aa_25_triple</t>
        </is>
      </c>
      <c r="E135" t="inlineStr">
        <is>
          <t>mg</t>
        </is>
      </c>
      <c r="F135" t="inlineStr">
        <is>
          <t>Free</t>
        </is>
      </c>
      <c r="G135" t="inlineStr">
        <is>
          <t>aa_starboard</t>
        </is>
      </c>
      <c r="H135" t="n">
        <v>1</v>
      </c>
      <c r="I135" t="n">
        <v>17</v>
      </c>
      <c r="J135" t="n">
        <v>0.05</v>
      </c>
      <c r="K135" t="n">
        <v>0</v>
      </c>
      <c r="L135" t="n">
        <v>0</v>
      </c>
      <c r="M135" t="n">
        <v>0</v>
      </c>
      <c r="N135">
        <f>INDEX(boss_input_vu_khi_suy_ra!$C$2:$C$94,MATCH($D$135,boss_input_vu_khi_suy_ra!$A$2:$A$94,0))</f>
        <v/>
      </c>
      <c r="O135" t="inlineStr">
        <is>
          <t>giong</t>
        </is>
      </c>
      <c r="R135" t="n">
        <v>3.1</v>
      </c>
      <c r="S135">
        <f>IF($D$135="",0,INDEX(boss_input_vu_khi_suy_ra!$B$2:$B$94,MATCH($D$135,boss_input_vu_khi_suy_ra!$A$2:$A$94,0))*IF(INDEX(boss_input_vu_khi!$D$2:$D$94,MATCH($D$135,boss_input_vu_khi!$A$2:$A$94,0)),1,Boss_dps!$B$23)*Boss_dps!$C$23)</f>
        <v/>
      </c>
      <c r="T135" t="n">
        <v>79.60935483870966</v>
      </c>
      <c r="U135" t="inlineStr">
        <is>
          <t>Assets/MachineBrigade/Resources/Data/balance.json: vehicles[id=leviathan] dựng bởi Tools/balance/p26_ab.expand</t>
        </is>
      </c>
      <c r="V135" t="inlineStr"/>
    </row>
    <row r="136">
      <c r="A136" t="inlineStr">
        <is>
          <t>leviathan/12</t>
        </is>
      </c>
      <c r="B136" t="inlineStr">
        <is>
          <t>leviathan</t>
        </is>
      </c>
      <c r="C136" t="n">
        <v>12</v>
      </c>
      <c r="D136" t="inlineStr">
        <is>
          <t>aa_25_triple</t>
        </is>
      </c>
      <c r="E136" t="inlineStr">
        <is>
          <t>mg</t>
        </is>
      </c>
      <c r="F136" t="inlineStr">
        <is>
          <t>Free</t>
        </is>
      </c>
      <c r="G136" t="inlineStr">
        <is>
          <t>aa_starboard</t>
        </is>
      </c>
      <c r="H136" t="n">
        <v>1</v>
      </c>
      <c r="I136" t="n">
        <v>17</v>
      </c>
      <c r="J136" t="n">
        <v>0.05</v>
      </c>
      <c r="K136" t="n">
        <v>0</v>
      </c>
      <c r="L136" t="n">
        <v>0</v>
      </c>
      <c r="M136" t="n">
        <v>0</v>
      </c>
      <c r="N136">
        <f>INDEX(boss_input_vu_khi_suy_ra!$C$2:$C$94,MATCH($D$136,boss_input_vu_khi_suy_ra!$A$2:$A$94,0))</f>
        <v/>
      </c>
      <c r="O136" t="inlineStr">
        <is>
          <t>giong</t>
        </is>
      </c>
      <c r="R136" t="n">
        <v>3.1</v>
      </c>
      <c r="S136">
        <f>IF($D$136="",0,INDEX(boss_input_vu_khi_suy_ra!$B$2:$B$94,MATCH($D$136,boss_input_vu_khi_suy_ra!$A$2:$A$94,0))*IF(INDEX(boss_input_vu_khi!$D$2:$D$94,MATCH($D$136,boss_input_vu_khi!$A$2:$A$94,0)),1,Boss_dps!$B$23)*Boss_dps!$C$23)</f>
        <v/>
      </c>
      <c r="T136" t="n">
        <v>79.60935483870966</v>
      </c>
      <c r="U136" t="inlineStr">
        <is>
          <t>Assets/MachineBrigade/Resources/Data/balance.json: vehicles[id=leviathan] dựng bởi Tools/balance/p26_ab.expand</t>
        </is>
      </c>
      <c r="V136" t="inlineStr"/>
    </row>
    <row r="137">
      <c r="A137" t="inlineStr">
        <is>
          <t>leviathan/13</t>
        </is>
      </c>
      <c r="B137" t="inlineStr">
        <is>
          <t>leviathan</t>
        </is>
      </c>
      <c r="C137" t="n">
        <v>13</v>
      </c>
      <c r="D137" t="inlineStr">
        <is>
          <t>aa_25_triple</t>
        </is>
      </c>
      <c r="E137" t="inlineStr">
        <is>
          <t>mg</t>
        </is>
      </c>
      <c r="F137" t="inlineStr">
        <is>
          <t>Free</t>
        </is>
      </c>
      <c r="G137" t="inlineStr">
        <is>
          <t>aa_starboard</t>
        </is>
      </c>
      <c r="H137" t="n">
        <v>1</v>
      </c>
      <c r="I137" t="n">
        <v>17</v>
      </c>
      <c r="J137" t="n">
        <v>0.05</v>
      </c>
      <c r="K137" t="n">
        <v>0</v>
      </c>
      <c r="L137" t="n">
        <v>0</v>
      </c>
      <c r="M137" t="n">
        <v>0</v>
      </c>
      <c r="N137">
        <f>INDEX(boss_input_vu_khi_suy_ra!$C$2:$C$94,MATCH($D$137,boss_input_vu_khi_suy_ra!$A$2:$A$94,0))</f>
        <v/>
      </c>
      <c r="O137" t="inlineStr">
        <is>
          <t>giong</t>
        </is>
      </c>
      <c r="R137" t="n">
        <v>3.1</v>
      </c>
      <c r="S137">
        <f>IF($D$137="",0,INDEX(boss_input_vu_khi_suy_ra!$B$2:$B$94,MATCH($D$137,boss_input_vu_khi_suy_ra!$A$2:$A$94,0))*IF(INDEX(boss_input_vu_khi!$D$2:$D$94,MATCH($D$137,boss_input_vu_khi!$A$2:$A$94,0)),1,Boss_dps!$B$23)*Boss_dps!$C$23)</f>
        <v/>
      </c>
      <c r="T137" t="n">
        <v>79.60935483870966</v>
      </c>
      <c r="U137" t="inlineStr">
        <is>
          <t>Assets/MachineBrigade/Resources/Data/balance.json: vehicles[id=leviathan] dựng bởi Tools/balance/p26_ab.expand</t>
        </is>
      </c>
      <c r="V137" t="inlineStr"/>
    </row>
    <row r="138">
      <c r="A138" t="inlineStr">
        <is>
          <t>leviathan/14</t>
        </is>
      </c>
      <c r="B138" t="inlineStr">
        <is>
          <t>leviathan</t>
        </is>
      </c>
      <c r="C138" t="n">
        <v>14</v>
      </c>
      <c r="D138" t="inlineStr">
        <is>
          <t>aa_25_triple</t>
        </is>
      </c>
      <c r="E138" t="inlineStr">
        <is>
          <t>mg</t>
        </is>
      </c>
      <c r="F138" t="inlineStr">
        <is>
          <t>Free</t>
        </is>
      </c>
      <c r="G138" t="inlineStr">
        <is>
          <t>aa_starboard</t>
        </is>
      </c>
      <c r="H138" t="n">
        <v>1</v>
      </c>
      <c r="I138" t="n">
        <v>17</v>
      </c>
      <c r="J138" t="n">
        <v>0.05</v>
      </c>
      <c r="K138" t="n">
        <v>0</v>
      </c>
      <c r="L138" t="n">
        <v>0</v>
      </c>
      <c r="M138" t="n">
        <v>0</v>
      </c>
      <c r="N138">
        <f>INDEX(boss_input_vu_khi_suy_ra!$C$2:$C$94,MATCH($D$138,boss_input_vu_khi_suy_ra!$A$2:$A$94,0))</f>
        <v/>
      </c>
      <c r="O138" t="inlineStr">
        <is>
          <t>giong</t>
        </is>
      </c>
      <c r="R138" t="n">
        <v>3.1</v>
      </c>
      <c r="S138">
        <f>IF($D$138="",0,INDEX(boss_input_vu_khi_suy_ra!$B$2:$B$94,MATCH($D$138,boss_input_vu_khi_suy_ra!$A$2:$A$94,0))*IF(INDEX(boss_input_vu_khi!$D$2:$D$94,MATCH($D$138,boss_input_vu_khi!$A$2:$A$94,0)),1,Boss_dps!$B$23)*Boss_dps!$C$23)</f>
        <v/>
      </c>
      <c r="T138" t="n">
        <v>79.60935483870966</v>
      </c>
      <c r="U138" t="inlineStr">
        <is>
          <t>Assets/MachineBrigade/Resources/Data/balance.json: vehicles[id=leviathan] dựng bởi Tools/balance/p26_ab.expand</t>
        </is>
      </c>
      <c r="V138" t="inlineStr"/>
    </row>
    <row r="139">
      <c r="A139" t="inlineStr">
        <is>
          <t>leviathan/15</t>
        </is>
      </c>
      <c r="B139" t="inlineStr">
        <is>
          <t>leviathan</t>
        </is>
      </c>
      <c r="C139" t="n">
        <v>15</v>
      </c>
      <c r="D139" t="inlineStr">
        <is>
          <t>sam_post</t>
        </is>
      </c>
      <c r="E139" t="inlineStr">
        <is>
          <t>missile</t>
        </is>
      </c>
      <c r="F139" t="inlineStr">
        <is>
          <t>Free</t>
        </is>
      </c>
      <c r="G139" t="inlineStr">
        <is>
          <t>radar</t>
        </is>
      </c>
      <c r="H139" t="n">
        <v>1</v>
      </c>
      <c r="I139" t="n">
        <v>320</v>
      </c>
      <c r="J139" t="n">
        <v>3.9</v>
      </c>
      <c r="K139" t="n">
        <v>2</v>
      </c>
      <c r="L139" t="n">
        <v>0</v>
      </c>
      <c r="M139" t="n">
        <v>0</v>
      </c>
      <c r="N139">
        <f>INDEX(boss_input_vu_khi_suy_ra!$C$2:$C$94,MATCH($D$139,boss_input_vu_khi_suy_ra!$A$2:$A$94,0))</f>
        <v/>
      </c>
      <c r="O139" t="inlineStr">
        <is>
          <t>giong</t>
        </is>
      </c>
      <c r="R139" t="n">
        <v>4.4</v>
      </c>
      <c r="S139">
        <f>IF($D$139="",0,INDEX(boss_input_vu_khi_suy_ra!$B$2:$B$94,MATCH($D$139,boss_input_vu_khi_suy_ra!$A$2:$A$94,0))*IF(INDEX(boss_input_vu_khi!$D$2:$D$94,MATCH($D$139,boss_input_vu_khi!$A$2:$A$94,0)),1,Boss_dps!$B$23)*Boss_dps!$C$23)</f>
        <v/>
      </c>
      <c r="T139" t="n">
        <v>140.7709090909091</v>
      </c>
      <c r="U139" t="inlineStr">
        <is>
          <t>Assets/MachineBrigade/Resources/Data/balance.json: vehicles[id=leviathan] dựng bởi Tools/balance/p26_ab.expand</t>
        </is>
      </c>
      <c r="V139" t="inlineStr"/>
    </row>
    <row r="140">
      <c r="A140" t="inlineStr">
        <is>
          <t>locust/0</t>
        </is>
      </c>
      <c r="B140" t="inlineStr">
        <is>
          <t>locust</t>
        </is>
      </c>
      <c r="C140" t="n">
        <v>0</v>
      </c>
      <c r="D140" t="inlineStr">
        <is>
          <t>locust_drones</t>
        </is>
      </c>
      <c r="E140" t="inlineStr">
        <is>
          <t>main</t>
        </is>
      </c>
      <c r="F140" t="inlineStr"/>
      <c r="G140" t="inlineStr">
        <is>
          <t>drone_bay</t>
        </is>
      </c>
      <c r="H140" t="n">
        <v>1</v>
      </c>
      <c r="I140" t="n">
        <v>320</v>
      </c>
      <c r="J140" t="n">
        <v>2</v>
      </c>
      <c r="K140" t="n">
        <v>3</v>
      </c>
      <c r="L140" t="n">
        <v>6</v>
      </c>
      <c r="M140" t="n">
        <v>0</v>
      </c>
      <c r="N140">
        <f>INDEX(boss_input_vu_khi_suy_ra!$C$2:$C$94,MATCH($D$140,boss_input_vu_khi_suy_ra!$A$2:$A$94,0))</f>
        <v/>
      </c>
      <c r="O140" t="inlineStr">
        <is>
          <t>doi</t>
        </is>
      </c>
      <c r="P140" t="inlineStr">
        <is>
          <t>p26_matriarch_ma_drones</t>
        </is>
      </c>
      <c r="Q140" t="inlineStr">
        <is>
          <t>locust_drones</t>
        </is>
      </c>
      <c r="R140" t="n">
        <v>2</v>
      </c>
      <c r="S140">
        <f>IF($D$140="",0,INDEX(boss_input_vu_khi_suy_ra!$B$2:$B$94,MATCH($D$140,boss_input_vu_khi_suy_ra!$A$2:$A$94,0))*IF(INDEX(boss_input_vu_khi!$D$2:$D$94,MATCH($D$140,boss_input_vu_khi!$A$2:$A$94,0)),1,Boss_dps!$B$24)*Boss_dps!$C$24)</f>
        <v/>
      </c>
      <c r="T140" t="n">
        <v>207.52</v>
      </c>
      <c r="U140" t="inlineStr">
        <is>
          <t>Assets/MachineBrigade/Resources/Data/balance.json: vehicles[id=locust] dựng bởi Tools/balance/p26_ab.expand</t>
        </is>
      </c>
      <c r="V140" t="inlineStr"/>
    </row>
    <row r="141">
      <c r="A141" t="inlineStr">
        <is>
          <t>locust/1</t>
        </is>
      </c>
      <c r="B141" t="inlineStr">
        <is>
          <t>locust</t>
        </is>
      </c>
      <c r="C141" t="n">
        <v>1</v>
      </c>
      <c r="D141" t="inlineStr">
        <is>
          <t>p26_matriarch_close_boss_flak</t>
        </is>
      </c>
      <c r="E141" t="inlineStr">
        <is>
          <t>mg</t>
        </is>
      </c>
      <c r="F141" t="inlineStr">
        <is>
          <t>Free</t>
        </is>
      </c>
      <c r="G141" t="inlineStr">
        <is>
          <t>flak_top</t>
        </is>
      </c>
      <c r="H141" t="n">
        <v>1</v>
      </c>
      <c r="I141" t="n">
        <v>25</v>
      </c>
      <c r="J141" t="n">
        <v>0.05</v>
      </c>
      <c r="K141" t="n">
        <v>2.5</v>
      </c>
      <c r="L141" t="n">
        <v>0</v>
      </c>
      <c r="M141" t="n">
        <v>0</v>
      </c>
      <c r="N141">
        <f>INDEX(boss_input_vu_khi_suy_ra!$C$2:$C$94,MATCH($D$141,boss_input_vu_khi_suy_ra!$A$2:$A$94,0))</f>
        <v/>
      </c>
      <c r="O141" t="inlineStr">
        <is>
          <t>giong</t>
        </is>
      </c>
      <c r="R141" t="n">
        <v>5.38</v>
      </c>
      <c r="S141">
        <f>IF($D$141="",0,INDEX(boss_input_vu_khi_suy_ra!$B$2:$B$94,MATCH($D$141,boss_input_vu_khi_suy_ra!$A$2:$A$94,0))*IF(INDEX(boss_input_vu_khi!$D$2:$D$94,MATCH($D$141,boss_input_vu_khi!$A$2:$A$94,0)),1,Boss_dps!$B$24)*Boss_dps!$C$24)</f>
        <v/>
      </c>
      <c r="T141" t="n">
        <v>247.1050185873606</v>
      </c>
      <c r="U141" t="inlineStr">
        <is>
          <t>Assets/MachineBrigade/Resources/Data/balance.json: vehicles[id=locust] dựng bởi Tools/balance/p26_ab.expand</t>
        </is>
      </c>
      <c r="V141" t="inlineStr"/>
    </row>
    <row r="142">
      <c r="A142" t="inlineStr">
        <is>
          <t>mega_gunship/0</t>
        </is>
      </c>
      <c r="B142" t="inlineStr">
        <is>
          <t>mega_gunship</t>
        </is>
      </c>
      <c r="C142" t="n">
        <v>0</v>
      </c>
      <c r="D142" t="inlineStr">
        <is>
          <t>gunship_rockets</t>
        </is>
      </c>
      <c r="E142" t="inlineStr">
        <is>
          <t>rocket</t>
        </is>
      </c>
      <c r="F142" t="inlineStr"/>
      <c r="G142" t="inlineStr">
        <is>
          <t>pod_l</t>
        </is>
      </c>
      <c r="H142" t="n">
        <v>1</v>
      </c>
      <c r="I142" t="n">
        <v>32</v>
      </c>
      <c r="J142" t="n">
        <v>8.271000000000001</v>
      </c>
      <c r="K142" t="n">
        <v>3</v>
      </c>
      <c r="L142" t="n">
        <v>6</v>
      </c>
      <c r="M142" t="n">
        <v>0</v>
      </c>
      <c r="N142">
        <f>INDEX(boss_input_vu_khi_suy_ra!$C$2:$C$94,MATCH($D$142,boss_input_vu_khi_suy_ra!$A$2:$A$94,0))</f>
        <v/>
      </c>
      <c r="O142" t="inlineStr">
        <is>
          <t>giong</t>
        </is>
      </c>
      <c r="R142" t="n">
        <v>9.771000000000001</v>
      </c>
      <c r="S142">
        <f>IF($D$142="",0,INDEX(boss_input_vu_khi_suy_ra!$B$2:$B$94,MATCH($D$142,boss_input_vu_khi_suy_ra!$A$2:$A$94,0))*IF(INDEX(boss_input_vu_khi!$D$2:$D$94,MATCH($D$142,boss_input_vu_khi!$A$2:$A$94,0)),1,Boss_dps!$B$25)*Boss_dps!$C$25)</f>
        <v/>
      </c>
      <c r="T142" t="n">
        <v>130.7902978200798</v>
      </c>
      <c r="U142" t="inlineStr">
        <is>
          <t>Assets/MachineBrigade/Resources/Data/balance.json: vehicles[id=mega_gunship] dựng bởi Tools/balance/p26_ab.expand</t>
        </is>
      </c>
      <c r="V142" t="inlineStr"/>
    </row>
    <row r="143">
      <c r="A143" t="inlineStr">
        <is>
          <t>mega_gunship/1</t>
        </is>
      </c>
      <c r="B143" t="inlineStr">
        <is>
          <t>mega_gunship</t>
        </is>
      </c>
      <c r="C143" t="n">
        <v>1</v>
      </c>
      <c r="D143" t="inlineStr">
        <is>
          <t>boss_heli_gun</t>
        </is>
      </c>
      <c r="E143" t="inlineStr">
        <is>
          <t>gun</t>
        </is>
      </c>
      <c r="F143" t="inlineStr">
        <is>
          <t>Free</t>
        </is>
      </c>
      <c r="G143" t="inlineStr">
        <is>
          <t>gun_l</t>
        </is>
      </c>
      <c r="H143" t="n">
        <v>1</v>
      </c>
      <c r="I143" t="n">
        <v>22</v>
      </c>
      <c r="J143" t="n">
        <v>0.1667</v>
      </c>
      <c r="K143" t="n">
        <v>0</v>
      </c>
      <c r="L143" t="n">
        <v>0</v>
      </c>
      <c r="M143" t="n">
        <v>0</v>
      </c>
      <c r="N143">
        <f>INDEX(boss_input_vu_khi_suy_ra!$C$2:$C$94,MATCH($D$143,boss_input_vu_khi_suy_ra!$A$2:$A$94,0))</f>
        <v/>
      </c>
      <c r="O143" t="inlineStr">
        <is>
          <t>giong</t>
        </is>
      </c>
      <c r="R143" t="n">
        <v>9.668299999999999</v>
      </c>
      <c r="S143">
        <f>IF($D$143="",0,INDEX(boss_input_vu_khi_suy_ra!$B$2:$B$94,MATCH($D$143,boss_input_vu_khi_suy_ra!$A$2:$A$94,0))*IF(INDEX(boss_input_vu_khi!$D$2:$D$94,MATCH($D$143,boss_input_vu_khi!$A$2:$A$94,0)),1,Boss_dps!$B$25)*Boss_dps!$C$25)</f>
        <v/>
      </c>
      <c r="T143" t="n">
        <v>227.1836827570514</v>
      </c>
      <c r="U143" t="inlineStr">
        <is>
          <t>Assets/MachineBrigade/Resources/Data/balance.json: vehicles[id=mega_gunship] dựng bởi Tools/balance/p26_ab.expand</t>
        </is>
      </c>
      <c r="V143" t="inlineStr"/>
    </row>
    <row r="144">
      <c r="A144" t="inlineStr">
        <is>
          <t>mega_gunship/2</t>
        </is>
      </c>
      <c r="B144" t="inlineStr">
        <is>
          <t>mega_gunship</t>
        </is>
      </c>
      <c r="C144" t="n">
        <v>2</v>
      </c>
      <c r="D144" t="inlineStr">
        <is>
          <t>boss_heli_gun</t>
        </is>
      </c>
      <c r="E144" t="inlineStr">
        <is>
          <t>gun</t>
        </is>
      </c>
      <c r="F144" t="inlineStr">
        <is>
          <t>Free</t>
        </is>
      </c>
      <c r="G144" t="inlineStr">
        <is>
          <t>gun_r</t>
        </is>
      </c>
      <c r="H144" t="n">
        <v>1</v>
      </c>
      <c r="I144" t="n">
        <v>22</v>
      </c>
      <c r="J144" t="n">
        <v>0.1667</v>
      </c>
      <c r="K144" t="n">
        <v>0</v>
      </c>
      <c r="L144" t="n">
        <v>0</v>
      </c>
      <c r="M144" t="n">
        <v>0</v>
      </c>
      <c r="N144">
        <f>INDEX(boss_input_vu_khi_suy_ra!$C$2:$C$94,MATCH($D$144,boss_input_vu_khi_suy_ra!$A$2:$A$94,0))</f>
        <v/>
      </c>
      <c r="O144" t="inlineStr">
        <is>
          <t>giong</t>
        </is>
      </c>
      <c r="R144" t="n">
        <v>9.668299999999999</v>
      </c>
      <c r="S144">
        <f>IF($D$144="",0,INDEX(boss_input_vu_khi_suy_ra!$B$2:$B$94,MATCH($D$144,boss_input_vu_khi_suy_ra!$A$2:$A$94,0))*IF(INDEX(boss_input_vu_khi!$D$2:$D$94,MATCH($D$144,boss_input_vu_khi!$A$2:$A$94,0)),1,Boss_dps!$B$25)*Boss_dps!$C$25)</f>
        <v/>
      </c>
      <c r="T144" t="n">
        <v>227.1836827570514</v>
      </c>
      <c r="U144" t="inlineStr">
        <is>
          <t>Assets/MachineBrigade/Resources/Data/balance.json: vehicles[id=mega_gunship] dựng bởi Tools/balance/p26_ab.expand</t>
        </is>
      </c>
      <c r="V144" t="inlineStr"/>
    </row>
    <row r="145">
      <c r="A145" t="inlineStr">
        <is>
          <t>mega_gunship/3</t>
        </is>
      </c>
      <c r="B145" t="inlineStr">
        <is>
          <t>mega_gunship</t>
        </is>
      </c>
      <c r="C145" t="n">
        <v>3</v>
      </c>
      <c r="D145" t="inlineStr">
        <is>
          <t>boss_minigun</t>
        </is>
      </c>
      <c r="E145" t="inlineStr">
        <is>
          <t>mg</t>
        </is>
      </c>
      <c r="F145" t="inlineStr">
        <is>
          <t>Free</t>
        </is>
      </c>
      <c r="G145" t="inlineStr">
        <is>
          <t>minigun_r</t>
        </is>
      </c>
      <c r="H145" t="n">
        <v>1</v>
      </c>
      <c r="I145" t="n">
        <v>5.5</v>
      </c>
      <c r="J145" t="n">
        <v>0.0172</v>
      </c>
      <c r="K145" t="n">
        <v>0</v>
      </c>
      <c r="L145" t="n">
        <v>0</v>
      </c>
      <c r="M145" t="n">
        <v>0</v>
      </c>
      <c r="N145">
        <f>INDEX(boss_input_vu_khi_suy_ra!$C$2:$C$94,MATCH($D$145,boss_input_vu_khi_suy_ra!$A$2:$A$94,0))</f>
        <v/>
      </c>
      <c r="O145" t="inlineStr">
        <is>
          <t>giong</t>
        </is>
      </c>
      <c r="R145" t="n">
        <v>6.7608</v>
      </c>
      <c r="S145">
        <f>IF($D$145="",0,INDEX(boss_input_vu_khi_suy_ra!$B$2:$B$94,MATCH($D$145,boss_input_vu_khi_suy_ra!$A$2:$A$94,0))*IF(INDEX(boss_input_vu_khi!$D$2:$D$94,MATCH($D$145,boss_input_vu_khi!$A$2:$A$94,0)),1,Boss_dps!$B$25)*Boss_dps!$C$25)</f>
        <v/>
      </c>
      <c r="T145" t="n">
        <v>81.22115725949591</v>
      </c>
      <c r="U145" t="inlineStr">
        <is>
          <t>Assets/MachineBrigade/Resources/Data/balance.json: vehicles[id=mega_gunship] dựng bởi Tools/balance/p26_ab.expand</t>
        </is>
      </c>
      <c r="V145" t="inlineStr"/>
    </row>
    <row r="146">
      <c r="A146" t="inlineStr">
        <is>
          <t>mega_gunship/4</t>
        </is>
      </c>
      <c r="B146" t="inlineStr">
        <is>
          <t>mega_gunship</t>
        </is>
      </c>
      <c r="C146" t="n">
        <v>4</v>
      </c>
      <c r="D146" t="inlineStr">
        <is>
          <t>gunship_rockets</t>
        </is>
      </c>
      <c r="E146" t="inlineStr">
        <is>
          <t>rocket</t>
        </is>
      </c>
      <c r="F146" t="inlineStr">
        <is>
          <t>Hull</t>
        </is>
      </c>
      <c r="G146" t="inlineStr">
        <is>
          <t>pod_r</t>
        </is>
      </c>
      <c r="H146" t="n">
        <v>1</v>
      </c>
      <c r="I146" t="n">
        <v>32</v>
      </c>
      <c r="J146" t="n">
        <v>8.271000000000001</v>
      </c>
      <c r="K146" t="n">
        <v>3</v>
      </c>
      <c r="L146" t="n">
        <v>6</v>
      </c>
      <c r="M146" t="n">
        <v>0</v>
      </c>
      <c r="N146">
        <f>INDEX(boss_input_vu_khi_suy_ra!$C$2:$C$94,MATCH($D$146,boss_input_vu_khi_suy_ra!$A$2:$A$94,0))</f>
        <v/>
      </c>
      <c r="O146" t="inlineStr">
        <is>
          <t>giong</t>
        </is>
      </c>
      <c r="R146" t="n">
        <v>9.771000000000001</v>
      </c>
      <c r="S146">
        <f>IF($D$146="",0,INDEX(boss_input_vu_khi_suy_ra!$B$2:$B$94,MATCH($D$146,boss_input_vu_khi_suy_ra!$A$2:$A$94,0))*IF(INDEX(boss_input_vu_khi!$D$2:$D$94,MATCH($D$146,boss_input_vu_khi!$A$2:$A$94,0)),1,Boss_dps!$B$25)*Boss_dps!$C$25)</f>
        <v/>
      </c>
      <c r="T146" t="n">
        <v>130.7902978200798</v>
      </c>
      <c r="U146" t="inlineStr">
        <is>
          <t>Assets/MachineBrigade/Resources/Data/balance.json: vehicles[id=mega_gunship] dựng bởi Tools/balance/p26_ab.expand</t>
        </is>
      </c>
      <c r="V146" t="inlineStr"/>
    </row>
    <row r="147">
      <c r="A147" t="inlineStr">
        <is>
          <t>mega_gunship/5</t>
        </is>
      </c>
      <c r="B147" t="inlineStr">
        <is>
          <t>mega_gunship</t>
        </is>
      </c>
      <c r="C147" t="n">
        <v>5</v>
      </c>
      <c r="D147" t="inlineStr">
        <is>
          <t>boss_hmg</t>
        </is>
      </c>
      <c r="E147" t="inlineStr">
        <is>
          <t>mg</t>
        </is>
      </c>
      <c r="F147" t="inlineStr">
        <is>
          <t>Free</t>
        </is>
      </c>
      <c r="G147" t="inlineStr"/>
      <c r="H147" t="n">
        <v>1</v>
      </c>
      <c r="I147" t="n">
        <v>15</v>
      </c>
      <c r="J147" t="n">
        <v>0.0833</v>
      </c>
      <c r="K147" t="n">
        <v>0</v>
      </c>
      <c r="L147" t="n">
        <v>0</v>
      </c>
      <c r="M147" t="n">
        <v>0</v>
      </c>
      <c r="N147">
        <f>INDEX(boss_input_vu_khi_suy_ra!$C$2:$C$94,MATCH($D$147,boss_input_vu_khi_suy_ra!$A$2:$A$94,0))</f>
        <v/>
      </c>
      <c r="O147" t="inlineStr">
        <is>
          <t>giong</t>
        </is>
      </c>
      <c r="R147" t="n">
        <v>13.2467</v>
      </c>
      <c r="S147">
        <f>IF($D$147="",0,INDEX(boss_input_vu_khi_suy_ra!$B$2:$B$94,MATCH($D$147,boss_input_vu_khi_suy_ra!$A$2:$A$94,0))*IF(INDEX(boss_input_vu_khi!$D$2:$D$94,MATCH($D$147,boss_input_vu_khi!$A$2:$A$94,0)),1,Boss_dps!$B$25)*Boss_dps!$C$25)</f>
        <v/>
      </c>
      <c r="T147" t="n">
        <v>282.6364302052586</v>
      </c>
      <c r="U147" t="inlineStr">
        <is>
          <t>Assets/MachineBrigade/Resources/Data/balance.json: vehicles[id=mega_gunship] dựng bởi Tools/balance/p26_ab.expand</t>
        </is>
      </c>
      <c r="V147" t="inlineStr"/>
    </row>
    <row r="148">
      <c r="A148" t="inlineStr">
        <is>
          <t>mega_gunship/6</t>
        </is>
      </c>
      <c r="B148" t="inlineStr">
        <is>
          <t>mega_gunship</t>
        </is>
      </c>
      <c r="C148" t="n">
        <v>6</v>
      </c>
      <c r="D148" t="inlineStr">
        <is>
          <t>boss_hmg</t>
        </is>
      </c>
      <c r="E148" t="inlineStr">
        <is>
          <t>mg</t>
        </is>
      </c>
      <c r="F148" t="inlineStr">
        <is>
          <t>Free</t>
        </is>
      </c>
      <c r="G148" t="inlineStr"/>
      <c r="H148" t="n">
        <v>1</v>
      </c>
      <c r="I148" t="n">
        <v>15</v>
      </c>
      <c r="J148" t="n">
        <v>0.0833</v>
      </c>
      <c r="K148" t="n">
        <v>0</v>
      </c>
      <c r="L148" t="n">
        <v>0</v>
      </c>
      <c r="M148" t="n">
        <v>0</v>
      </c>
      <c r="N148">
        <f>INDEX(boss_input_vu_khi_suy_ra!$C$2:$C$94,MATCH($D$148,boss_input_vu_khi_suy_ra!$A$2:$A$94,0))</f>
        <v/>
      </c>
      <c r="O148" t="inlineStr">
        <is>
          <t>giong</t>
        </is>
      </c>
      <c r="R148" t="n">
        <v>13.2467</v>
      </c>
      <c r="S148">
        <f>IF($D$148="",0,INDEX(boss_input_vu_khi_suy_ra!$B$2:$B$94,MATCH($D$148,boss_input_vu_khi_suy_ra!$A$2:$A$94,0))*IF(INDEX(boss_input_vu_khi!$D$2:$D$94,MATCH($D$148,boss_input_vu_khi!$A$2:$A$94,0)),1,Boss_dps!$B$25)*Boss_dps!$C$25)</f>
        <v/>
      </c>
      <c r="T148" t="n">
        <v>282.6364302052586</v>
      </c>
      <c r="U148" t="inlineStr">
        <is>
          <t>Assets/MachineBrigade/Resources/Data/balance.json: vehicles[id=mega_gunship] dựng bởi Tools/balance/p26_ab.expand</t>
        </is>
      </c>
      <c r="V148" t="inlineStr"/>
    </row>
    <row r="149">
      <c r="A149" t="inlineStr">
        <is>
          <t>mobile_fortress/0</t>
        </is>
      </c>
      <c r="B149" t="inlineStr">
        <is>
          <t>mobile_fortress</t>
        </is>
      </c>
      <c r="C149" t="n">
        <v>0</v>
      </c>
      <c r="D149" t="inlineStr">
        <is>
          <t>p26_jotunn_jo203</t>
        </is>
      </c>
      <c r="E149" t="inlineStr">
        <is>
          <t>main</t>
        </is>
      </c>
      <c r="F149" t="inlineStr"/>
      <c r="G149" t="inlineStr">
        <is>
          <t>howitzer</t>
        </is>
      </c>
      <c r="H149" t="n">
        <v>1</v>
      </c>
      <c r="I149" t="n">
        <v>900</v>
      </c>
      <c r="J149" t="n">
        <v>24</v>
      </c>
      <c r="K149" t="n">
        <v>8.5</v>
      </c>
      <c r="L149" t="n">
        <v>17</v>
      </c>
      <c r="M149" t="n">
        <v>2.5</v>
      </c>
      <c r="N149">
        <f>INDEX(boss_input_vu_khi_suy_ra!$C$2:$C$94,MATCH($D$149,boss_input_vu_khi_suy_ra!$A$2:$A$94,0))</f>
        <v/>
      </c>
      <c r="O149" t="inlineStr">
        <is>
          <t>giong</t>
        </is>
      </c>
      <c r="R149" t="n">
        <v>24</v>
      </c>
      <c r="S149">
        <f>IF($D$149="",0,INDEX(boss_input_vu_khi_suy_ra!$B$2:$B$94,MATCH($D$149,boss_input_vu_khi_suy_ra!$A$2:$A$94,0))*IF(INDEX(boss_input_vu_khi!$D$2:$D$94,MATCH($D$149,boss_input_vu_khi!$A$2:$A$94,0)),1,Boss_dps!$B$26)*Boss_dps!$C$26)</f>
        <v/>
      </c>
      <c r="T149" t="n">
        <v>35.655</v>
      </c>
      <c r="U149" t="inlineStr">
        <is>
          <t>Assets/MachineBrigade/Resources/Data/balance.json: vehicles[id=mobile_fortress] dựng bởi Tools/balance/p26_ab.expand</t>
        </is>
      </c>
      <c r="V149" t="inlineStr"/>
    </row>
    <row r="150">
      <c r="A150" t="inlineStr">
        <is>
          <t>mobile_fortress/1</t>
        </is>
      </c>
      <c r="B150" t="inlineStr">
        <is>
          <t>mobile_fortress</t>
        </is>
      </c>
      <c r="C150" t="n">
        <v>1</v>
      </c>
      <c r="D150" t="inlineStr">
        <is>
          <t>p26_jotunn_sec_jo_rockets</t>
        </is>
      </c>
      <c r="E150" t="inlineStr">
        <is>
          <t>rocket</t>
        </is>
      </c>
      <c r="F150" t="inlineStr">
        <is>
          <t>Free</t>
        </is>
      </c>
      <c r="G150" t="inlineStr">
        <is>
          <t>rockets_l</t>
        </is>
      </c>
      <c r="H150" t="n">
        <v>1</v>
      </c>
      <c r="I150" t="n">
        <v>450</v>
      </c>
      <c r="J150" t="n">
        <v>15.76</v>
      </c>
      <c r="K150" t="n">
        <v>8</v>
      </c>
      <c r="L150" t="n">
        <v>16</v>
      </c>
      <c r="M150" t="n">
        <v>2.5</v>
      </c>
      <c r="N150">
        <f>INDEX(boss_input_vu_khi_suy_ra!$C$2:$C$94,MATCH($D$150,boss_input_vu_khi_suy_ra!$A$2:$A$94,0))</f>
        <v/>
      </c>
      <c r="O150" t="inlineStr">
        <is>
          <t>giong</t>
        </is>
      </c>
      <c r="R150" t="n">
        <v>37.95</v>
      </c>
      <c r="S150">
        <f>IF($D$150="",0,INDEX(boss_input_vu_khi_suy_ra!$B$2:$B$94,MATCH($D$150,boss_input_vu_khi_suy_ra!$A$2:$A$94,0))*IF(INDEX(boss_input_vu_khi!$D$2:$D$94,MATCH($D$150,boss_input_vu_khi!$A$2:$A$94,0)),1,Boss_dps!$B$26)*Boss_dps!$C$26)</f>
        <v/>
      </c>
      <c r="T150" t="n">
        <v>90.19446640316205</v>
      </c>
      <c r="U150" t="inlineStr">
        <is>
          <t>Assets/MachineBrigade/Resources/Data/balance.json: vehicles[id=mobile_fortress] dựng bởi Tools/balance/p26_ab.expand</t>
        </is>
      </c>
      <c r="V150" t="inlineStr"/>
    </row>
    <row r="151">
      <c r="A151" t="inlineStr">
        <is>
          <t>mobile_fortress/2</t>
        </is>
      </c>
      <c r="B151" t="inlineStr">
        <is>
          <t>mobile_fortress</t>
        </is>
      </c>
      <c r="C151" t="n">
        <v>2</v>
      </c>
      <c r="D151" t="inlineStr">
        <is>
          <t>p26_jotunn_sec_jo_rockets</t>
        </is>
      </c>
      <c r="E151" t="inlineStr">
        <is>
          <t>rocket</t>
        </is>
      </c>
      <c r="F151" t="inlineStr">
        <is>
          <t>Free</t>
        </is>
      </c>
      <c r="G151" t="inlineStr">
        <is>
          <t>rockets_r</t>
        </is>
      </c>
      <c r="H151" t="n">
        <v>1</v>
      </c>
      <c r="I151" t="n">
        <v>450</v>
      </c>
      <c r="J151" t="n">
        <v>15.76</v>
      </c>
      <c r="K151" t="n">
        <v>8</v>
      </c>
      <c r="L151" t="n">
        <v>16</v>
      </c>
      <c r="M151" t="n">
        <v>2.5</v>
      </c>
      <c r="N151">
        <f>INDEX(boss_input_vu_khi_suy_ra!$C$2:$C$94,MATCH($D$151,boss_input_vu_khi_suy_ra!$A$2:$A$94,0))</f>
        <v/>
      </c>
      <c r="O151" t="inlineStr">
        <is>
          <t>giong</t>
        </is>
      </c>
      <c r="R151" t="n">
        <v>37.95</v>
      </c>
      <c r="S151">
        <f>IF($D$151="",0,INDEX(boss_input_vu_khi_suy_ra!$B$2:$B$94,MATCH($D$151,boss_input_vu_khi_suy_ra!$A$2:$A$94,0))*IF(INDEX(boss_input_vu_khi!$D$2:$D$94,MATCH($D$151,boss_input_vu_khi!$A$2:$A$94,0)),1,Boss_dps!$B$26)*Boss_dps!$C$26)</f>
        <v/>
      </c>
      <c r="T151" t="n">
        <v>90.19446640316205</v>
      </c>
      <c r="U151" t="inlineStr">
        <is>
          <t>Assets/MachineBrigade/Resources/Data/balance.json: vehicles[id=mobile_fortress] dựng bởi Tools/balance/p26_ab.expand</t>
        </is>
      </c>
      <c r="V151" t="inlineStr"/>
    </row>
    <row r="152">
      <c r="A152" t="inlineStr">
        <is>
          <t>mobile_fortress/3</t>
        </is>
      </c>
      <c r="B152" t="inlineStr">
        <is>
          <t>mobile_fortress</t>
        </is>
      </c>
      <c r="C152" t="n">
        <v>3</v>
      </c>
      <c r="D152" t="inlineStr">
        <is>
          <t>p26_jotunn_close_boss_flak</t>
        </is>
      </c>
      <c r="E152" t="inlineStr">
        <is>
          <t>mg</t>
        </is>
      </c>
      <c r="F152" t="inlineStr">
        <is>
          <t>Free</t>
        </is>
      </c>
      <c r="G152" t="inlineStr">
        <is>
          <t>flak_l</t>
        </is>
      </c>
      <c r="H152" t="n">
        <v>1</v>
      </c>
      <c r="I152" t="n">
        <v>25</v>
      </c>
      <c r="J152" t="n">
        <v>0.05</v>
      </c>
      <c r="K152" t="n">
        <v>2.5</v>
      </c>
      <c r="L152" t="n">
        <v>0</v>
      </c>
      <c r="M152" t="n">
        <v>0</v>
      </c>
      <c r="N152">
        <f>INDEX(boss_input_vu_khi_suy_ra!$C$2:$C$94,MATCH($D$152,boss_input_vu_khi_suy_ra!$A$2:$A$94,0))</f>
        <v/>
      </c>
      <c r="O152" t="inlineStr">
        <is>
          <t>giong</t>
        </is>
      </c>
      <c r="R152" t="n">
        <v>5.38</v>
      </c>
      <c r="S152">
        <f>IF($D$152="",0,INDEX(boss_input_vu_khi_suy_ra!$B$2:$B$94,MATCH($D$152,boss_input_vu_khi_suy_ra!$A$2:$A$94,0))*IF(INDEX(boss_input_vu_khi!$D$2:$D$94,MATCH($D$152,boss_input_vu_khi!$A$2:$A$94,0)),1,Boss_dps!$B$26)*Boss_dps!$C$26)</f>
        <v/>
      </c>
      <c r="T152" t="n">
        <v>181.1468401486989</v>
      </c>
      <c r="U152" t="inlineStr">
        <is>
          <t>Assets/MachineBrigade/Resources/Data/balance.json: vehicles[id=mobile_fortress] dựng bởi Tools/balance/p26_ab.expand</t>
        </is>
      </c>
      <c r="V152" t="inlineStr"/>
    </row>
    <row r="153">
      <c r="A153" t="inlineStr">
        <is>
          <t>mobile_fortress/4</t>
        </is>
      </c>
      <c r="B153" t="inlineStr">
        <is>
          <t>mobile_fortress</t>
        </is>
      </c>
      <c r="C153" t="n">
        <v>4</v>
      </c>
      <c r="D153" t="inlineStr">
        <is>
          <t>p26_jotunn_close_boss_flak</t>
        </is>
      </c>
      <c r="E153" t="inlineStr">
        <is>
          <t>mg</t>
        </is>
      </c>
      <c r="F153" t="inlineStr">
        <is>
          <t>Free</t>
        </is>
      </c>
      <c r="G153" t="inlineStr">
        <is>
          <t>flak_r</t>
        </is>
      </c>
      <c r="H153" t="n">
        <v>1</v>
      </c>
      <c r="I153" t="n">
        <v>25</v>
      </c>
      <c r="J153" t="n">
        <v>0.05</v>
      </c>
      <c r="K153" t="n">
        <v>2.5</v>
      </c>
      <c r="L153" t="n">
        <v>0</v>
      </c>
      <c r="M153" t="n">
        <v>0</v>
      </c>
      <c r="N153">
        <f>INDEX(boss_input_vu_khi_suy_ra!$C$2:$C$94,MATCH($D$153,boss_input_vu_khi_suy_ra!$A$2:$A$94,0))</f>
        <v/>
      </c>
      <c r="O153" t="inlineStr">
        <is>
          <t>giong</t>
        </is>
      </c>
      <c r="R153" t="n">
        <v>5.38</v>
      </c>
      <c r="S153">
        <f>IF($D$153="",0,INDEX(boss_input_vu_khi_suy_ra!$B$2:$B$94,MATCH($D$153,boss_input_vu_khi_suy_ra!$A$2:$A$94,0))*IF(INDEX(boss_input_vu_khi!$D$2:$D$94,MATCH($D$153,boss_input_vu_khi!$A$2:$A$94,0)),1,Boss_dps!$B$26)*Boss_dps!$C$26)</f>
        <v/>
      </c>
      <c r="T153" t="n">
        <v>181.1468401486989</v>
      </c>
      <c r="U153" t="inlineStr">
        <is>
          <t>Assets/MachineBrigade/Resources/Data/balance.json: vehicles[id=mobile_fortress] dựng bởi Tools/balance/p26_ab.expand</t>
        </is>
      </c>
      <c r="V153" t="inlineStr"/>
    </row>
    <row r="154">
      <c r="A154" t="inlineStr">
        <is>
          <t>mobile_fortress/5</t>
        </is>
      </c>
      <c r="B154" t="inlineStr">
        <is>
          <t>mobile_fortress</t>
        </is>
      </c>
      <c r="C154" t="n">
        <v>5</v>
      </c>
      <c r="D154" t="inlineStr">
        <is>
          <t>p26_jotunn_direct_jo125</t>
        </is>
      </c>
      <c r="E154" t="inlineStr">
        <is>
          <t>missile</t>
        </is>
      </c>
      <c r="F154" t="inlineStr">
        <is>
          <t>Hull</t>
        </is>
      </c>
      <c r="G154" t="inlineStr">
        <is>
          <t>missiles</t>
        </is>
      </c>
      <c r="H154" t="n">
        <v>1</v>
      </c>
      <c r="I154" t="n">
        <v>400</v>
      </c>
      <c r="J154" t="n">
        <v>7.5</v>
      </c>
      <c r="K154" t="n">
        <v>0</v>
      </c>
      <c r="L154" t="n">
        <v>0</v>
      </c>
      <c r="M154" t="n">
        <v>0</v>
      </c>
      <c r="N154">
        <f>INDEX(boss_input_vu_khi_suy_ra!$C$2:$C$94,MATCH($D$154,boss_input_vu_khi_suy_ra!$A$2:$A$94,0))</f>
        <v/>
      </c>
      <c r="O154" t="inlineStr">
        <is>
          <t>giong</t>
        </is>
      </c>
      <c r="R154" t="n">
        <v>7.5</v>
      </c>
      <c r="S154">
        <f>IF($D$154="",0,INDEX(boss_input_vu_khi_suy_ra!$B$2:$B$94,MATCH($D$154,boss_input_vu_khi_suy_ra!$A$2:$A$94,0))*IF(INDEX(boss_input_vu_khi!$D$2:$D$94,MATCH($D$154,boss_input_vu_khi!$A$2:$A$94,0)),1,Boss_dps!$B$26)*Boss_dps!$C$26)</f>
        <v/>
      </c>
      <c r="T154" t="n">
        <v>50.70933333333333</v>
      </c>
      <c r="U154" t="inlineStr">
        <is>
          <t>Assets/MachineBrigade/Resources/Data/balance.json: vehicles[id=mobile_fortress] dựng bởi Tools/balance/p26_ab.expand</t>
        </is>
      </c>
      <c r="V154" t="inlineStr"/>
    </row>
    <row r="155">
      <c r="A155" t="inlineStr">
        <is>
          <t>mobile_fortress/6</t>
        </is>
      </c>
      <c r="B155" t="inlineStr">
        <is>
          <t>mobile_fortress</t>
        </is>
      </c>
      <c r="C155" t="n">
        <v>6</v>
      </c>
      <c r="D155" t="inlineStr">
        <is>
          <t>p26_jotunn_tiny_twin_30_flak</t>
        </is>
      </c>
      <c r="E155" t="inlineStr">
        <is>
          <t>mg</t>
        </is>
      </c>
      <c r="F155" t="inlineStr">
        <is>
          <t>Free</t>
        </is>
      </c>
      <c r="G155" t="inlineStr">
        <is>
          <t>flak_r</t>
        </is>
      </c>
      <c r="H155" t="n">
        <v>1</v>
      </c>
      <c r="I155" t="n">
        <v>22</v>
      </c>
      <c r="J155" t="n">
        <v>0.025</v>
      </c>
      <c r="K155" t="n">
        <v>2.5</v>
      </c>
      <c r="L155" t="n">
        <v>0</v>
      </c>
      <c r="M155" t="n">
        <v>0</v>
      </c>
      <c r="N155">
        <f>INDEX(boss_input_vu_khi_suy_ra!$C$2:$C$94,MATCH($D$155,boss_input_vu_khi_suy_ra!$A$2:$A$94,0))</f>
        <v/>
      </c>
      <c r="O155" t="inlineStr">
        <is>
          <t>giong</t>
        </is>
      </c>
      <c r="R155" t="n">
        <v>6.975</v>
      </c>
      <c r="S155">
        <f>IF($D$155="",0,INDEX(boss_input_vu_khi_suy_ra!$B$2:$B$94,MATCH($D$155,boss_input_vu_khi_suy_ra!$A$2:$A$94,0))*IF(INDEX(boss_input_vu_khi!$D$2:$D$94,MATCH($D$155,boss_input_vu_khi!$A$2:$A$94,0)),1,Boss_dps!$B$26)*Boss_dps!$C$26)</f>
        <v/>
      </c>
      <c r="T155" t="n">
        <v>479.8302508960574</v>
      </c>
      <c r="U155" t="inlineStr">
        <is>
          <t>Assets/MachineBrigade/Resources/Data/balance.json: vehicles[id=mobile_fortress] dựng bởi Tools/balance/p26_ab.expand</t>
        </is>
      </c>
      <c r="V155" t="inlineStr"/>
    </row>
    <row r="156">
      <c r="A156" t="inlineStr">
        <is>
          <t>mobile_fortress/7</t>
        </is>
      </c>
      <c r="B156" t="inlineStr">
        <is>
          <t>mobile_fortress</t>
        </is>
      </c>
      <c r="C156" t="n">
        <v>7</v>
      </c>
      <c r="D156" t="inlineStr">
        <is>
          <t>p26_jotunn_jo203</t>
        </is>
      </c>
      <c r="E156" t="inlineStr">
        <is>
          <t>gun</t>
        </is>
      </c>
      <c r="F156" t="inlineStr">
        <is>
          <t>Free</t>
        </is>
      </c>
      <c r="G156" t="inlineStr">
        <is>
          <t>howitzer_2</t>
        </is>
      </c>
      <c r="H156" t="n">
        <v>1</v>
      </c>
      <c r="I156" t="n">
        <v>900</v>
      </c>
      <c r="J156" t="n">
        <v>24</v>
      </c>
      <c r="K156" t="n">
        <v>8.5</v>
      </c>
      <c r="L156" t="n">
        <v>17</v>
      </c>
      <c r="M156" t="n">
        <v>2.5</v>
      </c>
      <c r="N156">
        <f>INDEX(boss_input_vu_khi_suy_ra!$C$2:$C$94,MATCH($D$156,boss_input_vu_khi_suy_ra!$A$2:$A$94,0))</f>
        <v/>
      </c>
      <c r="O156" t="inlineStr">
        <is>
          <t>giong</t>
        </is>
      </c>
      <c r="R156" t="n">
        <v>24</v>
      </c>
      <c r="S156">
        <f>IF($D$156="",0,INDEX(boss_input_vu_khi_suy_ra!$B$2:$B$94,MATCH($D$156,boss_input_vu_khi_suy_ra!$A$2:$A$94,0))*IF(INDEX(boss_input_vu_khi!$D$2:$D$94,MATCH($D$156,boss_input_vu_khi!$A$2:$A$94,0)),1,Boss_dps!$B$26)*Boss_dps!$C$26)</f>
        <v/>
      </c>
      <c r="T156" t="n">
        <v>35.655</v>
      </c>
      <c r="U156" t="inlineStr">
        <is>
          <t>Assets/MachineBrigade/Resources/Data/balance.json: vehicles[id=mobile_fortress] dựng bởi Tools/balance/p26_ab.expand</t>
        </is>
      </c>
      <c r="V156" t="inlineStr"/>
    </row>
    <row r="157">
      <c r="A157" t="inlineStr">
        <is>
          <t>mobile_fortress/8</t>
        </is>
      </c>
      <c r="B157" t="inlineStr">
        <is>
          <t>mobile_fortress</t>
        </is>
      </c>
      <c r="C157" t="n">
        <v>8</v>
      </c>
      <c r="D157" t="inlineStr">
        <is>
          <t>sam_post</t>
        </is>
      </c>
      <c r="E157" t="inlineStr">
        <is>
          <t>missile</t>
        </is>
      </c>
      <c r="F157" t="inlineStr">
        <is>
          <t>Free</t>
        </is>
      </c>
      <c r="G157" t="inlineStr">
        <is>
          <t>sam</t>
        </is>
      </c>
      <c r="H157" t="n">
        <v>1</v>
      </c>
      <c r="I157" t="n">
        <v>320</v>
      </c>
      <c r="J157" t="n">
        <v>3.9</v>
      </c>
      <c r="K157" t="n">
        <v>2</v>
      </c>
      <c r="L157" t="n">
        <v>0</v>
      </c>
      <c r="M157" t="n">
        <v>0</v>
      </c>
      <c r="N157">
        <f>INDEX(boss_input_vu_khi_suy_ra!$C$2:$C$94,MATCH($D$157,boss_input_vu_khi_suy_ra!$A$2:$A$94,0))</f>
        <v/>
      </c>
      <c r="O157" t="inlineStr">
        <is>
          <t>giong</t>
        </is>
      </c>
      <c r="R157" t="n">
        <v>4.4</v>
      </c>
      <c r="S157">
        <f>IF($D$157="",0,INDEX(boss_input_vu_khi_suy_ra!$B$2:$B$94,MATCH($D$157,boss_input_vu_khi_suy_ra!$A$2:$A$94,0))*IF(INDEX(boss_input_vu_khi!$D$2:$D$94,MATCH($D$157,boss_input_vu_khi!$A$2:$A$94,0)),1,Boss_dps!$B$26)*Boss_dps!$C$26)</f>
        <v/>
      </c>
      <c r="T157" t="n">
        <v>138.2981818181818</v>
      </c>
      <c r="U157" t="inlineStr">
        <is>
          <t>Assets/MachineBrigade/Resources/Data/balance.json: vehicles[id=mobile_fortress] dựng bởi Tools/balance/p26_ab.expand</t>
        </is>
      </c>
      <c r="V157" t="inlineStr"/>
    </row>
    <row r="158">
      <c r="A158" t="inlineStr">
        <is>
          <t>moloch/0</t>
        </is>
      </c>
      <c r="B158" t="inlineStr">
        <is>
          <t>moloch</t>
        </is>
      </c>
      <c r="C158" t="n">
        <v>0</v>
      </c>
      <c r="D158" t="inlineStr">
        <is>
          <t>p26_moloch_main_mo120</t>
        </is>
      </c>
      <c r="E158" t="inlineStr">
        <is>
          <t>main</t>
        </is>
      </c>
      <c r="F158" t="inlineStr"/>
      <c r="G158" t="inlineStr">
        <is>
          <t>turret_fl</t>
        </is>
      </c>
      <c r="H158" t="n">
        <v>2</v>
      </c>
      <c r="I158" t="n">
        <v>340</v>
      </c>
      <c r="J158" t="n">
        <v>7.5</v>
      </c>
      <c r="K158" t="n">
        <v>5</v>
      </c>
      <c r="L158" t="n">
        <v>10</v>
      </c>
      <c r="M158" t="n">
        <v>0</v>
      </c>
      <c r="N158">
        <f>INDEX(boss_input_vu_khi_suy_ra!$C$2:$C$94,MATCH($D$158,boss_input_vu_khi_suy_ra!$A$2:$A$94,0))</f>
        <v/>
      </c>
      <c r="O158" t="inlineStr">
        <is>
          <t>giong</t>
        </is>
      </c>
      <c r="R158" t="n">
        <v>7.5</v>
      </c>
      <c r="S158">
        <f>IF($D$158="",0,INDEX(boss_input_vu_khi_suy_ra!$B$2:$B$94,MATCH($D$158,boss_input_vu_khi_suy_ra!$A$2:$A$94,0))*IF(INDEX(boss_input_vu_khi!$D$2:$D$94,MATCH($D$158,boss_input_vu_khi!$A$2:$A$94,0)),1,Boss_dps!$B$27)*Boss_dps!$C$27)</f>
        <v/>
      </c>
      <c r="T158" t="n">
        <v>153.7434666666667</v>
      </c>
      <c r="U158" t="inlineStr">
        <is>
          <t>Assets/MachineBrigade/Resources/Data/balance.json: vehicles[id=moloch] dựng bởi Tools/balance/p26_ab.expand</t>
        </is>
      </c>
      <c r="V158" t="inlineStr"/>
    </row>
    <row r="159">
      <c r="A159" t="inlineStr">
        <is>
          <t>moloch/1</t>
        </is>
      </c>
      <c r="B159" t="inlineStr">
        <is>
          <t>moloch</t>
        </is>
      </c>
      <c r="C159" t="n">
        <v>1</v>
      </c>
      <c r="D159" t="inlineStr">
        <is>
          <t>p26_moloch_tiny_zu23</t>
        </is>
      </c>
      <c r="E159" t="inlineStr">
        <is>
          <t>mg</t>
        </is>
      </c>
      <c r="F159" t="inlineStr">
        <is>
          <t>Free</t>
        </is>
      </c>
      <c r="G159" t="inlineStr"/>
      <c r="H159" t="n">
        <v>2</v>
      </c>
      <c r="I159" t="n">
        <v>3.5</v>
      </c>
      <c r="J159" t="n">
        <v>0.02</v>
      </c>
      <c r="K159" t="n">
        <v>0</v>
      </c>
      <c r="L159" t="n">
        <v>0</v>
      </c>
      <c r="M159" t="n">
        <v>0</v>
      </c>
      <c r="N159">
        <f>INDEX(boss_input_vu_khi_suy_ra!$C$2:$C$94,MATCH($D$159,boss_input_vu_khi_suy_ra!$A$2:$A$94,0))</f>
        <v/>
      </c>
      <c r="O159" t="inlineStr">
        <is>
          <t>giong</t>
        </is>
      </c>
      <c r="R159" t="n">
        <v>4.96</v>
      </c>
      <c r="S159">
        <f>IF($D$159="",0,INDEX(boss_input_vu_khi_suy_ra!$B$2:$B$94,MATCH($D$159,boss_input_vu_khi_suy_ra!$A$2:$A$94,0))*IF(INDEX(boss_input_vu_khi!$D$2:$D$94,MATCH($D$159,boss_input_vu_khi!$A$2:$A$94,0)),1,Boss_dps!$B$27)*Boss_dps!$C$27)</f>
        <v/>
      </c>
      <c r="T159" t="n">
        <v>119.65625</v>
      </c>
      <c r="U159" t="inlineStr">
        <is>
          <t>Assets/MachineBrigade/Resources/Data/balance.json: vehicles[id=moloch] dựng bởi Tools/balance/p26_ab.expand</t>
        </is>
      </c>
      <c r="V159" t="inlineStr"/>
    </row>
    <row r="160">
      <c r="A160" t="inlineStr">
        <is>
          <t>moloch/2</t>
        </is>
      </c>
      <c r="B160" t="inlineStr">
        <is>
          <t>moloch</t>
        </is>
      </c>
      <c r="C160" t="n">
        <v>2</v>
      </c>
      <c r="D160" t="inlineStr">
        <is>
          <t>p26_moloch_tiny_zu23</t>
        </is>
      </c>
      <c r="E160" t="inlineStr">
        <is>
          <t>mg</t>
        </is>
      </c>
      <c r="F160" t="inlineStr">
        <is>
          <t>Free</t>
        </is>
      </c>
      <c r="G160" t="inlineStr"/>
      <c r="H160" t="n">
        <v>2</v>
      </c>
      <c r="I160" t="n">
        <v>3.5</v>
      </c>
      <c r="J160" t="n">
        <v>0.02</v>
      </c>
      <c r="K160" t="n">
        <v>0</v>
      </c>
      <c r="L160" t="n">
        <v>0</v>
      </c>
      <c r="M160" t="n">
        <v>0</v>
      </c>
      <c r="N160">
        <f>INDEX(boss_input_vu_khi_suy_ra!$C$2:$C$94,MATCH($D$160,boss_input_vu_khi_suy_ra!$A$2:$A$94,0))</f>
        <v/>
      </c>
      <c r="O160" t="inlineStr">
        <is>
          <t>giong</t>
        </is>
      </c>
      <c r="R160" t="n">
        <v>4.96</v>
      </c>
      <c r="S160">
        <f>IF($D$160="",0,INDEX(boss_input_vu_khi_suy_ra!$B$2:$B$94,MATCH($D$160,boss_input_vu_khi_suy_ra!$A$2:$A$94,0))*IF(INDEX(boss_input_vu_khi!$D$2:$D$94,MATCH($D$160,boss_input_vu_khi!$A$2:$A$94,0)),1,Boss_dps!$B$27)*Boss_dps!$C$27)</f>
        <v/>
      </c>
      <c r="T160" t="n">
        <v>119.65625</v>
      </c>
      <c r="U160" t="inlineStr">
        <is>
          <t>Assets/MachineBrigade/Resources/Data/balance.json: vehicles[id=moloch] dựng bởi Tools/balance/p26_ab.expand</t>
        </is>
      </c>
      <c r="V160" t="inlineStr"/>
    </row>
    <row r="161">
      <c r="A161" t="inlineStr">
        <is>
          <t>moloch/3</t>
        </is>
      </c>
      <c r="B161" t="inlineStr">
        <is>
          <t>moloch</t>
        </is>
      </c>
      <c r="C161" t="n">
        <v>3</v>
      </c>
      <c r="D161" t="inlineStr">
        <is>
          <t>p26_moloch_main_mo120</t>
        </is>
      </c>
      <c r="E161" t="inlineStr">
        <is>
          <t>gun</t>
        </is>
      </c>
      <c r="F161" t="inlineStr">
        <is>
          <t>Free</t>
        </is>
      </c>
      <c r="G161" t="inlineStr">
        <is>
          <t>turret_fr</t>
        </is>
      </c>
      <c r="H161" t="n">
        <v>2</v>
      </c>
      <c r="I161" t="n">
        <v>340</v>
      </c>
      <c r="J161" t="n">
        <v>7.5</v>
      </c>
      <c r="K161" t="n">
        <v>5</v>
      </c>
      <c r="L161" t="n">
        <v>10</v>
      </c>
      <c r="M161" t="n">
        <v>0</v>
      </c>
      <c r="N161">
        <f>INDEX(boss_input_vu_khi_suy_ra!$C$2:$C$94,MATCH($D$161,boss_input_vu_khi_suy_ra!$A$2:$A$94,0))</f>
        <v/>
      </c>
      <c r="O161" t="inlineStr">
        <is>
          <t>giong</t>
        </is>
      </c>
      <c r="R161" t="n">
        <v>7.5</v>
      </c>
      <c r="S161">
        <f>IF($D$161="",0,INDEX(boss_input_vu_khi_suy_ra!$B$2:$B$94,MATCH($D$161,boss_input_vu_khi_suy_ra!$A$2:$A$94,0))*IF(INDEX(boss_input_vu_khi!$D$2:$D$94,MATCH($D$161,boss_input_vu_khi!$A$2:$A$94,0)),1,Boss_dps!$B$27)*Boss_dps!$C$27)</f>
        <v/>
      </c>
      <c r="T161" t="n">
        <v>153.7434666666667</v>
      </c>
      <c r="U161" t="inlineStr">
        <is>
          <t>Assets/MachineBrigade/Resources/Data/balance.json: vehicles[id=moloch] dựng bởi Tools/balance/p26_ab.expand</t>
        </is>
      </c>
      <c r="V161" t="inlineStr"/>
    </row>
    <row r="162">
      <c r="A162" t="inlineStr">
        <is>
          <t>moloch/4</t>
        </is>
      </c>
      <c r="B162" t="inlineStr">
        <is>
          <t>moloch</t>
        </is>
      </c>
      <c r="C162" t="n">
        <v>4</v>
      </c>
      <c r="D162" t="inlineStr">
        <is>
          <t>p26_moloch_direct_mo120ap</t>
        </is>
      </c>
      <c r="E162" t="inlineStr">
        <is>
          <t>gun</t>
        </is>
      </c>
      <c r="F162" t="inlineStr">
        <is>
          <t>Free</t>
        </is>
      </c>
      <c r="G162" t="inlineStr">
        <is>
          <t>turret_rl</t>
        </is>
      </c>
      <c r="H162" t="n">
        <v>2</v>
      </c>
      <c r="I162" t="n">
        <v>260</v>
      </c>
      <c r="J162" t="n">
        <v>7.5</v>
      </c>
      <c r="K162" t="n">
        <v>0</v>
      </c>
      <c r="L162" t="n">
        <v>0</v>
      </c>
      <c r="M162" t="n">
        <v>0</v>
      </c>
      <c r="N162">
        <f>INDEX(boss_input_vu_khi_suy_ra!$C$2:$C$94,MATCH($D$162,boss_input_vu_khi_suy_ra!$A$2:$A$94,0))</f>
        <v/>
      </c>
      <c r="O162" t="inlineStr">
        <is>
          <t>giong</t>
        </is>
      </c>
      <c r="R162" t="n">
        <v>7.5</v>
      </c>
      <c r="S162">
        <f>IF($D$162="",0,INDEX(boss_input_vu_khi_suy_ra!$B$2:$B$94,MATCH($D$162,boss_input_vu_khi_suy_ra!$A$2:$A$94,0))*IF(INDEX(boss_input_vu_khi!$D$2:$D$94,MATCH($D$162,boss_input_vu_khi!$A$2:$A$94,0)),1,Boss_dps!$B$27)*Boss_dps!$C$27)</f>
        <v/>
      </c>
      <c r="T162" t="n">
        <v>117.5685333333333</v>
      </c>
      <c r="U162" t="inlineStr">
        <is>
          <t>Assets/MachineBrigade/Resources/Data/balance.json: vehicles[id=moloch] dựng bởi Tools/balance/p26_ab.expand</t>
        </is>
      </c>
      <c r="V162" t="inlineStr"/>
    </row>
    <row r="163">
      <c r="A163" t="inlineStr">
        <is>
          <t>moloch/5</t>
        </is>
      </c>
      <c r="B163" t="inlineStr">
        <is>
          <t>moloch</t>
        </is>
      </c>
      <c r="C163" t="n">
        <v>5</v>
      </c>
      <c r="D163" t="inlineStr">
        <is>
          <t>p26_moloch_direct_mo120ap</t>
        </is>
      </c>
      <c r="E163" t="inlineStr">
        <is>
          <t>gun</t>
        </is>
      </c>
      <c r="F163" t="inlineStr">
        <is>
          <t>Free</t>
        </is>
      </c>
      <c r="G163" t="inlineStr">
        <is>
          <t>turret_rr</t>
        </is>
      </c>
      <c r="H163" t="n">
        <v>2</v>
      </c>
      <c r="I163" t="n">
        <v>260</v>
      </c>
      <c r="J163" t="n">
        <v>7.5</v>
      </c>
      <c r="K163" t="n">
        <v>0</v>
      </c>
      <c r="L163" t="n">
        <v>0</v>
      </c>
      <c r="M163" t="n">
        <v>0</v>
      </c>
      <c r="N163">
        <f>INDEX(boss_input_vu_khi_suy_ra!$C$2:$C$94,MATCH($D$163,boss_input_vu_khi_suy_ra!$A$2:$A$94,0))</f>
        <v/>
      </c>
      <c r="O163" t="inlineStr">
        <is>
          <t>giong</t>
        </is>
      </c>
      <c r="R163" t="n">
        <v>7.5</v>
      </c>
      <c r="S163">
        <f>IF($D$163="",0,INDEX(boss_input_vu_khi_suy_ra!$B$2:$B$94,MATCH($D$163,boss_input_vu_khi_suy_ra!$A$2:$A$94,0))*IF(INDEX(boss_input_vu_khi!$D$2:$D$94,MATCH($D$163,boss_input_vu_khi!$A$2:$A$94,0)),1,Boss_dps!$B$27)*Boss_dps!$C$27)</f>
        <v/>
      </c>
      <c r="T163" t="n">
        <v>117.5685333333333</v>
      </c>
      <c r="U163" t="inlineStr">
        <is>
          <t>Assets/MachineBrigade/Resources/Data/balance.json: vehicles[id=moloch] dựng bởi Tools/balance/p26_ab.expand</t>
        </is>
      </c>
      <c r="V163" t="inlineStr"/>
    </row>
    <row r="164">
      <c r="A164" t="inlineStr">
        <is>
          <t>moloch/6</t>
        </is>
      </c>
      <c r="B164" t="inlineStr">
        <is>
          <t>moloch</t>
        </is>
      </c>
      <c r="C164" t="n">
        <v>6</v>
      </c>
      <c r="D164" t="inlineStr">
        <is>
          <t>p26_moloch_close_boss_flak</t>
        </is>
      </c>
      <c r="E164" t="inlineStr">
        <is>
          <t>mg</t>
        </is>
      </c>
      <c r="F164" t="inlineStr">
        <is>
          <t>Free</t>
        </is>
      </c>
      <c r="G164" t="inlineStr">
        <is>
          <t>flak</t>
        </is>
      </c>
      <c r="H164" t="n">
        <v>1</v>
      </c>
      <c r="I164" t="n">
        <v>25</v>
      </c>
      <c r="J164" t="n">
        <v>0.05</v>
      </c>
      <c r="K164" t="n">
        <v>2.5</v>
      </c>
      <c r="L164" t="n">
        <v>0</v>
      </c>
      <c r="M164" t="n">
        <v>0</v>
      </c>
      <c r="N164">
        <f>INDEX(boss_input_vu_khi_suy_ra!$C$2:$C$94,MATCH($D$164,boss_input_vu_khi_suy_ra!$A$2:$A$94,0))</f>
        <v/>
      </c>
      <c r="O164" t="inlineStr">
        <is>
          <t>giong</t>
        </is>
      </c>
      <c r="R164" t="n">
        <v>5.38</v>
      </c>
      <c r="S164">
        <f>IF($D$164="",0,INDEX(boss_input_vu_khi_suy_ra!$B$2:$B$94,MATCH($D$164,boss_input_vu_khi_suy_ra!$A$2:$A$94,0))*IF(INDEX(boss_input_vu_khi!$D$2:$D$94,MATCH($D$164,boss_input_vu_khi!$A$2:$A$94,0)),1,Boss_dps!$B$27)*Boss_dps!$C$27)</f>
        <v/>
      </c>
      <c r="T164" t="n">
        <v>323.0655204460966</v>
      </c>
      <c r="U164" t="inlineStr">
        <is>
          <t>Assets/MachineBrigade/Resources/Data/balance.json: vehicles[id=moloch] dựng bởi Tools/balance/p26_ab.expand</t>
        </is>
      </c>
      <c r="V164" t="inlineStr"/>
    </row>
    <row r="165">
      <c r="A165" t="inlineStr">
        <is>
          <t>monster/0</t>
        </is>
      </c>
      <c r="B165" t="inlineStr">
        <is>
          <t>monster</t>
        </is>
      </c>
      <c r="C165" t="n">
        <v>0</v>
      </c>
      <c r="D165" t="inlineStr">
        <is>
          <t>p26_bastion_sec_b240</t>
        </is>
      </c>
      <c r="E165" t="inlineStr">
        <is>
          <t>main</t>
        </is>
      </c>
      <c r="F165" t="inlineStr"/>
      <c r="G165" t="inlineStr">
        <is>
          <t>mortar</t>
        </is>
      </c>
      <c r="H165" t="n">
        <v>1</v>
      </c>
      <c r="I165" t="n">
        <v>1100</v>
      </c>
      <c r="J165" t="n">
        <v>60</v>
      </c>
      <c r="K165" t="n">
        <v>10</v>
      </c>
      <c r="L165" t="n">
        <v>20</v>
      </c>
      <c r="M165" t="n">
        <v>2.722222222222222</v>
      </c>
      <c r="N165">
        <f>INDEX(boss_input_vu_khi_suy_ra!$C$2:$C$94,MATCH($D$165,boss_input_vu_khi_suy_ra!$A$2:$A$94,0))</f>
        <v/>
      </c>
      <c r="O165" t="inlineStr">
        <is>
          <t>giong</t>
        </is>
      </c>
      <c r="R165" t="n">
        <v>60</v>
      </c>
      <c r="S165">
        <f>IF($D$165="",0,INDEX(boss_input_vu_khi_suy_ra!$B$2:$B$94,MATCH($D$165,boss_input_vu_khi_suy_ra!$A$2:$A$94,0))*IF(INDEX(boss_input_vu_khi!$D$2:$D$94,MATCH($D$165,boss_input_vu_khi!$A$2:$A$94,0)),1,Boss_dps!$B$28)*Boss_dps!$C$28)</f>
        <v/>
      </c>
      <c r="T165" t="n">
        <v>36.61166666666666</v>
      </c>
      <c r="U165" t="inlineStr">
        <is>
          <t>Assets/MachineBrigade/Resources/Data/balance.json: vehicles[id=monster] dựng bởi Tools/balance/p26_ab.expand</t>
        </is>
      </c>
      <c r="V165" t="inlineStr"/>
    </row>
    <row r="166">
      <c r="A166" t="inlineStr">
        <is>
          <t>monster/1</t>
        </is>
      </c>
      <c r="B166" t="inlineStr">
        <is>
          <t>monster</t>
        </is>
      </c>
      <c r="C166" t="n">
        <v>1</v>
      </c>
      <c r="D166" t="inlineStr">
        <is>
          <t>p26_bastion_direct_b100</t>
        </is>
      </c>
      <c r="E166" t="inlineStr">
        <is>
          <t>gun</t>
        </is>
      </c>
      <c r="F166" t="inlineStr">
        <is>
          <t>Free</t>
        </is>
      </c>
      <c r="G166" t="inlineStr">
        <is>
          <t>turret_fl</t>
        </is>
      </c>
      <c r="H166" t="n">
        <v>2</v>
      </c>
      <c r="I166" t="n">
        <v>240</v>
      </c>
      <c r="J166" t="n">
        <v>8.6</v>
      </c>
      <c r="K166" t="n">
        <v>0</v>
      </c>
      <c r="L166" t="n">
        <v>0</v>
      </c>
      <c r="M166" t="n">
        <v>0</v>
      </c>
      <c r="N166">
        <f>INDEX(boss_input_vu_khi_suy_ra!$C$2:$C$94,MATCH($D$166,boss_input_vu_khi_suy_ra!$A$2:$A$94,0))</f>
        <v/>
      </c>
      <c r="O166" t="inlineStr">
        <is>
          <t>giong</t>
        </is>
      </c>
      <c r="R166" t="n">
        <v>8.6</v>
      </c>
      <c r="S166">
        <f>IF($D$166="",0,INDEX(boss_input_vu_khi_suy_ra!$B$2:$B$94,MATCH($D$166,boss_input_vu_khi_suy_ra!$A$2:$A$94,0))*IF(INDEX(boss_input_vu_khi!$D$2:$D$94,MATCH($D$166,boss_input_vu_khi!$A$2:$A$94,0)),1,Boss_dps!$B$28)*Boss_dps!$C$28)</f>
        <v/>
      </c>
      <c r="T166" t="n">
        <v>111.4604651162791</v>
      </c>
      <c r="U166" t="inlineStr">
        <is>
          <t>Assets/MachineBrigade/Resources/Data/balance.json: vehicles[id=monster] dựng bởi Tools/balance/p26_ab.expand</t>
        </is>
      </c>
      <c r="V166" t="inlineStr"/>
    </row>
    <row r="167">
      <c r="A167" t="inlineStr">
        <is>
          <t>monster/2</t>
        </is>
      </c>
      <c r="B167" t="inlineStr">
        <is>
          <t>monster</t>
        </is>
      </c>
      <c r="C167" t="n">
        <v>2</v>
      </c>
      <c r="D167" t="inlineStr">
        <is>
          <t>p26_bastion_direct_b100</t>
        </is>
      </c>
      <c r="E167" t="inlineStr">
        <is>
          <t>gun</t>
        </is>
      </c>
      <c r="F167" t="inlineStr">
        <is>
          <t>Free</t>
        </is>
      </c>
      <c r="G167" t="inlineStr">
        <is>
          <t>turret_fr</t>
        </is>
      </c>
      <c r="H167" t="n">
        <v>2</v>
      </c>
      <c r="I167" t="n">
        <v>240</v>
      </c>
      <c r="J167" t="n">
        <v>8.6</v>
      </c>
      <c r="K167" t="n">
        <v>0</v>
      </c>
      <c r="L167" t="n">
        <v>0</v>
      </c>
      <c r="M167" t="n">
        <v>0</v>
      </c>
      <c r="N167">
        <f>INDEX(boss_input_vu_khi_suy_ra!$C$2:$C$94,MATCH($D$167,boss_input_vu_khi_suy_ra!$A$2:$A$94,0))</f>
        <v/>
      </c>
      <c r="O167" t="inlineStr">
        <is>
          <t>giong</t>
        </is>
      </c>
      <c r="R167" t="n">
        <v>8.6</v>
      </c>
      <c r="S167">
        <f>IF($D$167="",0,INDEX(boss_input_vu_khi_suy_ra!$B$2:$B$94,MATCH($D$167,boss_input_vu_khi_suy_ra!$A$2:$A$94,0))*IF(INDEX(boss_input_vu_khi!$D$2:$D$94,MATCH($D$167,boss_input_vu_khi!$A$2:$A$94,0)),1,Boss_dps!$B$28)*Boss_dps!$C$28)</f>
        <v/>
      </c>
      <c r="T167" t="n">
        <v>111.4604651162791</v>
      </c>
      <c r="U167" t="inlineStr">
        <is>
          <t>Assets/MachineBrigade/Resources/Data/balance.json: vehicles[id=monster] dựng bởi Tools/balance/p26_ab.expand</t>
        </is>
      </c>
      <c r="V167" t="inlineStr"/>
    </row>
    <row r="168">
      <c r="A168" t="inlineStr">
        <is>
          <t>monster/3</t>
        </is>
      </c>
      <c r="B168" t="inlineStr">
        <is>
          <t>monster</t>
        </is>
      </c>
      <c r="C168" t="n">
        <v>3</v>
      </c>
      <c r="D168" t="inlineStr">
        <is>
          <t>p26_bastion_tiny_autocannon_40</t>
        </is>
      </c>
      <c r="E168" t="inlineStr">
        <is>
          <t>gun</t>
        </is>
      </c>
      <c r="F168" t="inlineStr">
        <is>
          <t>Free</t>
        </is>
      </c>
      <c r="G168" t="inlineStr">
        <is>
          <t>turret_rl</t>
        </is>
      </c>
      <c r="H168" t="n">
        <v>1</v>
      </c>
      <c r="I168" t="n">
        <v>30</v>
      </c>
      <c r="J168" t="n">
        <v>0.2</v>
      </c>
      <c r="K168" t="n">
        <v>0</v>
      </c>
      <c r="L168" t="n">
        <v>0</v>
      </c>
      <c r="M168" t="n">
        <v>0</v>
      </c>
      <c r="N168">
        <f>INDEX(boss_input_vu_khi_suy_ra!$C$2:$C$94,MATCH($D$168,boss_input_vu_khi_suy_ra!$A$2:$A$94,0))</f>
        <v/>
      </c>
      <c r="O168" t="inlineStr">
        <is>
          <t>giong</t>
        </is>
      </c>
      <c r="R168" t="n">
        <v>3.32</v>
      </c>
      <c r="S168">
        <f>IF($D$168="",0,INDEX(boss_input_vu_khi_suy_ra!$B$2:$B$94,MATCH($D$168,boss_input_vu_khi_suy_ra!$A$2:$A$94,0))*IF(INDEX(boss_input_vu_khi!$D$2:$D$94,MATCH($D$168,boss_input_vu_khi!$A$2:$A$94,0)),1,Boss_dps!$B$28)*Boss_dps!$C$28)</f>
        <v/>
      </c>
      <c r="T168" t="n">
        <v>180.4518072289157</v>
      </c>
      <c r="U168" t="inlineStr">
        <is>
          <t>Assets/MachineBrigade/Resources/Data/balance.json: vehicles[id=monster] dựng bởi Tools/balance/p26_ab.expand</t>
        </is>
      </c>
      <c r="V168" t="inlineStr"/>
    </row>
    <row r="169">
      <c r="A169" t="inlineStr">
        <is>
          <t>monster/4</t>
        </is>
      </c>
      <c r="B169" t="inlineStr">
        <is>
          <t>monster</t>
        </is>
      </c>
      <c r="C169" t="n">
        <v>4</v>
      </c>
      <c r="D169" t="inlineStr">
        <is>
          <t>p26_bastion_tiny_autocannon_40</t>
        </is>
      </c>
      <c r="E169" t="inlineStr">
        <is>
          <t>gun</t>
        </is>
      </c>
      <c r="F169" t="inlineStr">
        <is>
          <t>Free</t>
        </is>
      </c>
      <c r="G169" t="inlineStr">
        <is>
          <t>turret_rr</t>
        </is>
      </c>
      <c r="H169" t="n">
        <v>1</v>
      </c>
      <c r="I169" t="n">
        <v>30</v>
      </c>
      <c r="J169" t="n">
        <v>0.2</v>
      </c>
      <c r="K169" t="n">
        <v>0</v>
      </c>
      <c r="L169" t="n">
        <v>0</v>
      </c>
      <c r="M169" t="n">
        <v>0</v>
      </c>
      <c r="N169">
        <f>INDEX(boss_input_vu_khi_suy_ra!$C$2:$C$94,MATCH($D$169,boss_input_vu_khi_suy_ra!$A$2:$A$94,0))</f>
        <v/>
      </c>
      <c r="O169" t="inlineStr">
        <is>
          <t>giong</t>
        </is>
      </c>
      <c r="R169" t="n">
        <v>3.32</v>
      </c>
      <c r="S169">
        <f>IF($D$169="",0,INDEX(boss_input_vu_khi_suy_ra!$B$2:$B$94,MATCH($D$169,boss_input_vu_khi_suy_ra!$A$2:$A$94,0))*IF(INDEX(boss_input_vu_khi!$D$2:$D$94,MATCH($D$169,boss_input_vu_khi!$A$2:$A$94,0)),1,Boss_dps!$B$28)*Boss_dps!$C$28)</f>
        <v/>
      </c>
      <c r="T169" t="n">
        <v>180.4518072289157</v>
      </c>
      <c r="U169" t="inlineStr">
        <is>
          <t>Assets/MachineBrigade/Resources/Data/balance.json: vehicles[id=monster] dựng bởi Tools/balance/p26_ab.expand</t>
        </is>
      </c>
      <c r="V169" t="inlineStr"/>
    </row>
    <row r="170">
      <c r="A170" t="inlineStr">
        <is>
          <t>monster/5</t>
        </is>
      </c>
      <c r="B170" t="inlineStr">
        <is>
          <t>monster</t>
        </is>
      </c>
      <c r="C170" t="n">
        <v>5</v>
      </c>
      <c r="D170" t="inlineStr">
        <is>
          <t>p26_bastion_tiny_kornet_twin</t>
        </is>
      </c>
      <c r="E170" t="inlineStr">
        <is>
          <t>missile</t>
        </is>
      </c>
      <c r="F170" t="inlineStr">
        <is>
          <t>Free</t>
        </is>
      </c>
      <c r="G170" t="inlineStr">
        <is>
          <t>kornet</t>
        </is>
      </c>
      <c r="H170" t="n">
        <v>1</v>
      </c>
      <c r="I170" t="n">
        <v>230</v>
      </c>
      <c r="J170" t="n">
        <v>19.4</v>
      </c>
      <c r="K170" t="n">
        <v>0</v>
      </c>
      <c r="L170" t="n">
        <v>0</v>
      </c>
      <c r="M170" t="n">
        <v>0</v>
      </c>
      <c r="N170">
        <f>INDEX(boss_input_vu_khi_suy_ra!$C$2:$C$94,MATCH($D$170,boss_input_vu_khi_suy_ra!$A$2:$A$94,0))</f>
        <v/>
      </c>
      <c r="O170" t="inlineStr">
        <is>
          <t>giong</t>
        </is>
      </c>
      <c r="R170" t="n">
        <v>20</v>
      </c>
      <c r="S170">
        <f>IF($D$170="",0,INDEX(boss_input_vu_khi_suy_ra!$B$2:$B$94,MATCH($D$170,boss_input_vu_khi_suy_ra!$A$2:$A$94,0))*IF(INDEX(boss_input_vu_khi!$D$2:$D$94,MATCH($D$170,boss_input_vu_khi!$A$2:$A$94,0)),1,Boss_dps!$B$28)*Boss_dps!$C$28)</f>
        <v/>
      </c>
      <c r="T170" t="n">
        <v>45.931</v>
      </c>
      <c r="U170" t="inlineStr">
        <is>
          <t>Assets/MachineBrigade/Resources/Data/balance.json: vehicles[id=monster] dựng bởi Tools/balance/p26_ab.expand</t>
        </is>
      </c>
      <c r="V170" t="inlineStr"/>
    </row>
    <row r="171">
      <c r="A171" t="inlineStr">
        <is>
          <t>monster/6</t>
        </is>
      </c>
      <c r="B171" t="inlineStr">
        <is>
          <t>monster</t>
        </is>
      </c>
      <c r="C171" t="n">
        <v>6</v>
      </c>
      <c r="D171" t="inlineStr">
        <is>
          <t>p26_bastion_close_boss_hmg</t>
        </is>
      </c>
      <c r="E171" t="inlineStr">
        <is>
          <t>mg</t>
        </is>
      </c>
      <c r="F171" t="inlineStr">
        <is>
          <t>Free</t>
        </is>
      </c>
      <c r="G171" t="inlineStr">
        <is>
          <t>turret_rl</t>
        </is>
      </c>
      <c r="H171" t="n">
        <v>1</v>
      </c>
      <c r="I171" t="n">
        <v>15</v>
      </c>
      <c r="J171" t="n">
        <v>0.0833</v>
      </c>
      <c r="K171" t="n">
        <v>0</v>
      </c>
      <c r="L171" t="n">
        <v>0</v>
      </c>
      <c r="M171" t="n">
        <v>0</v>
      </c>
      <c r="N171">
        <f>INDEX(boss_input_vu_khi_suy_ra!$C$2:$C$94,MATCH($D$171,boss_input_vu_khi_suy_ra!$A$2:$A$94,0))</f>
        <v/>
      </c>
      <c r="O171" t="inlineStr">
        <is>
          <t>giong</t>
        </is>
      </c>
      <c r="R171" t="n">
        <v>13.2467</v>
      </c>
      <c r="S171">
        <f>IF($D$171="",0,INDEX(boss_input_vu_khi_suy_ra!$B$2:$B$94,MATCH($D$171,boss_input_vu_khi_suy_ra!$A$2:$A$94,0))*IF(INDEX(boss_input_vu_khi!$D$2:$D$94,MATCH($D$171,boss_input_vu_khi!$A$2:$A$94,0)),1,Boss_dps!$B$28)*Boss_dps!$C$28)</f>
        <v/>
      </c>
      <c r="T171" t="n">
        <v>226.1317913140631</v>
      </c>
      <c r="U171" t="inlineStr">
        <is>
          <t>Assets/MachineBrigade/Resources/Data/balance.json: vehicles[id=monster] dựng bởi Tools/balance/p26_ab.expand</t>
        </is>
      </c>
      <c r="V171" t="inlineStr"/>
    </row>
    <row r="172">
      <c r="A172" t="inlineStr">
        <is>
          <t>monster/7</t>
        </is>
      </c>
      <c r="B172" t="inlineStr">
        <is>
          <t>monster</t>
        </is>
      </c>
      <c r="C172" t="n">
        <v>7</v>
      </c>
      <c r="D172" t="inlineStr">
        <is>
          <t>p26_bastion_close_boss_hmg</t>
        </is>
      </c>
      <c r="E172" t="inlineStr">
        <is>
          <t>mg</t>
        </is>
      </c>
      <c r="F172" t="inlineStr">
        <is>
          <t>Free</t>
        </is>
      </c>
      <c r="G172" t="inlineStr">
        <is>
          <t>turret_rr</t>
        </is>
      </c>
      <c r="H172" t="n">
        <v>1</v>
      </c>
      <c r="I172" t="n">
        <v>15</v>
      </c>
      <c r="J172" t="n">
        <v>0.0833</v>
      </c>
      <c r="K172" t="n">
        <v>0</v>
      </c>
      <c r="L172" t="n">
        <v>0</v>
      </c>
      <c r="M172" t="n">
        <v>0</v>
      </c>
      <c r="N172">
        <f>INDEX(boss_input_vu_khi_suy_ra!$C$2:$C$94,MATCH($D$172,boss_input_vu_khi_suy_ra!$A$2:$A$94,0))</f>
        <v/>
      </c>
      <c r="O172" t="inlineStr">
        <is>
          <t>giong</t>
        </is>
      </c>
      <c r="R172" t="n">
        <v>13.2467</v>
      </c>
      <c r="S172">
        <f>IF($D$172="",0,INDEX(boss_input_vu_khi_suy_ra!$B$2:$B$94,MATCH($D$172,boss_input_vu_khi_suy_ra!$A$2:$A$94,0))*IF(INDEX(boss_input_vu_khi!$D$2:$D$94,MATCH($D$172,boss_input_vu_khi!$A$2:$A$94,0)),1,Boss_dps!$B$28)*Boss_dps!$C$28)</f>
        <v/>
      </c>
      <c r="T172" t="n">
        <v>226.1317913140631</v>
      </c>
      <c r="U172" t="inlineStr">
        <is>
          <t>Assets/MachineBrigade/Resources/Data/balance.json: vehicles[id=monster] dựng bởi Tools/balance/p26_ab.expand</t>
        </is>
      </c>
      <c r="V172" t="inlineStr"/>
    </row>
    <row r="173">
      <c r="A173" t="inlineStr">
        <is>
          <t>monster/8</t>
        </is>
      </c>
      <c r="B173" t="inlineStr">
        <is>
          <t>monster</t>
        </is>
      </c>
      <c r="C173" t="n">
        <v>8</v>
      </c>
      <c r="D173" t="inlineStr">
        <is>
          <t>p26_bastion_main_b155</t>
        </is>
      </c>
      <c r="E173" t="inlineStr">
        <is>
          <t>gun</t>
        </is>
      </c>
      <c r="F173" t="inlineStr">
        <is>
          <t>Free</t>
        </is>
      </c>
      <c r="G173" t="inlineStr">
        <is>
          <t>casemate</t>
        </is>
      </c>
      <c r="H173" t="n">
        <v>1</v>
      </c>
      <c r="I173" t="n">
        <v>600</v>
      </c>
      <c r="J173" t="n">
        <v>15</v>
      </c>
      <c r="K173" t="n">
        <v>7</v>
      </c>
      <c r="L173" t="n">
        <v>14</v>
      </c>
      <c r="M173" t="n">
        <v>0</v>
      </c>
      <c r="N173">
        <f>INDEX(boss_input_vu_khi_suy_ra!$C$2:$C$94,MATCH($D$173,boss_input_vu_khi_suy_ra!$A$2:$A$94,0))</f>
        <v/>
      </c>
      <c r="O173" t="inlineStr">
        <is>
          <t>giong</t>
        </is>
      </c>
      <c r="R173" t="n">
        <v>15</v>
      </c>
      <c r="S173">
        <f>IF($D$173="",0,INDEX(boss_input_vu_khi_suy_ra!$B$2:$B$94,MATCH($D$173,boss_input_vu_khi_suy_ra!$A$2:$A$94,0))*IF(INDEX(boss_input_vu_khi!$D$2:$D$94,MATCH($D$173,boss_input_vu_khi!$A$2:$A$94,0)),1,Boss_dps!$B$28)*Boss_dps!$C$28)</f>
        <v/>
      </c>
      <c r="T173" t="n">
        <v>79.88000000000001</v>
      </c>
      <c r="U173" t="inlineStr">
        <is>
          <t>Assets/MachineBrigade/Resources/Data/balance.json: vehicles[id=monster] dựng bởi Tools/balance/p26_ab.expand</t>
        </is>
      </c>
      <c r="V173" t="inlineStr"/>
    </row>
    <row r="174">
      <c r="A174" t="inlineStr">
        <is>
          <t>monster/9</t>
        </is>
      </c>
      <c r="B174" t="inlineStr">
        <is>
          <t>monster</t>
        </is>
      </c>
      <c r="C174" t="n">
        <v>9</v>
      </c>
      <c r="D174" t="inlineStr">
        <is>
          <t>p26_bastion_tiny_zu23</t>
        </is>
      </c>
      <c r="E174" t="inlineStr">
        <is>
          <t>mg</t>
        </is>
      </c>
      <c r="F174" t="inlineStr">
        <is>
          <t>Free</t>
        </is>
      </c>
      <c r="G174" t="inlineStr">
        <is>
          <t>zu23_l</t>
        </is>
      </c>
      <c r="H174" t="n">
        <v>2</v>
      </c>
      <c r="I174" t="n">
        <v>3.5</v>
      </c>
      <c r="J174" t="n">
        <v>0.02</v>
      </c>
      <c r="K174" t="n">
        <v>0</v>
      </c>
      <c r="L174" t="n">
        <v>0</v>
      </c>
      <c r="M174" t="n">
        <v>0</v>
      </c>
      <c r="N174">
        <f>INDEX(boss_input_vu_khi_suy_ra!$C$2:$C$94,MATCH($D$174,boss_input_vu_khi_suy_ra!$A$2:$A$94,0))</f>
        <v/>
      </c>
      <c r="O174" t="inlineStr">
        <is>
          <t>giong</t>
        </is>
      </c>
      <c r="R174" t="n">
        <v>4.96</v>
      </c>
      <c r="S174">
        <f>IF($D$174="",0,INDEX(boss_input_vu_khi_suy_ra!$B$2:$B$94,MATCH($D$174,boss_input_vu_khi_suy_ra!$A$2:$A$94,0))*IF(INDEX(boss_input_vu_khi!$D$2:$D$94,MATCH($D$174,boss_input_vu_khi!$A$2:$A$94,0)),1,Boss_dps!$B$28)*Boss_dps!$C$28)</f>
        <v/>
      </c>
      <c r="T174" t="n">
        <v>140.9173387096774</v>
      </c>
      <c r="U174" t="inlineStr">
        <is>
          <t>Assets/MachineBrigade/Resources/Data/balance.json: vehicles[id=monster] dựng bởi Tools/balance/p26_ab.expand</t>
        </is>
      </c>
      <c r="V174" t="inlineStr"/>
    </row>
    <row r="175">
      <c r="A175" t="inlineStr">
        <is>
          <t>monster/10</t>
        </is>
      </c>
      <c r="B175" t="inlineStr">
        <is>
          <t>monster</t>
        </is>
      </c>
      <c r="C175" t="n">
        <v>10</v>
      </c>
      <c r="D175" t="inlineStr">
        <is>
          <t>p26_bastion_tiny_zu23</t>
        </is>
      </c>
      <c r="E175" t="inlineStr">
        <is>
          <t>mg</t>
        </is>
      </c>
      <c r="F175" t="inlineStr">
        <is>
          <t>Free</t>
        </is>
      </c>
      <c r="G175" t="inlineStr">
        <is>
          <t>zu23_r</t>
        </is>
      </c>
      <c r="H175" t="n">
        <v>2</v>
      </c>
      <c r="I175" t="n">
        <v>3.5</v>
      </c>
      <c r="J175" t="n">
        <v>0.02</v>
      </c>
      <c r="K175" t="n">
        <v>0</v>
      </c>
      <c r="L175" t="n">
        <v>0</v>
      </c>
      <c r="M175" t="n">
        <v>0</v>
      </c>
      <c r="N175">
        <f>INDEX(boss_input_vu_khi_suy_ra!$C$2:$C$94,MATCH($D$175,boss_input_vu_khi_suy_ra!$A$2:$A$94,0))</f>
        <v/>
      </c>
      <c r="O175" t="inlineStr">
        <is>
          <t>giong</t>
        </is>
      </c>
      <c r="R175" t="n">
        <v>4.96</v>
      </c>
      <c r="S175">
        <f>IF($D$175="",0,INDEX(boss_input_vu_khi_suy_ra!$B$2:$B$94,MATCH($D$175,boss_input_vu_khi_suy_ra!$A$2:$A$94,0))*IF(INDEX(boss_input_vu_khi!$D$2:$D$94,MATCH($D$175,boss_input_vu_khi!$A$2:$A$94,0)),1,Boss_dps!$B$28)*Boss_dps!$C$28)</f>
        <v/>
      </c>
      <c r="T175" t="n">
        <v>140.9173387096774</v>
      </c>
      <c r="U175" t="inlineStr">
        <is>
          <t>Assets/MachineBrigade/Resources/Data/balance.json: vehicles[id=monster] dựng bởi Tools/balance/p26_ab.expand</t>
        </is>
      </c>
      <c r="V175" t="inlineStr"/>
    </row>
    <row r="176">
      <c r="A176" t="inlineStr">
        <is>
          <t>nuke_train/0</t>
        </is>
      </c>
      <c r="B176" t="inlineStr">
        <is>
          <t>nuke_train</t>
        </is>
      </c>
      <c r="C176" t="n">
        <v>0</v>
      </c>
      <c r="D176" t="inlineStr">
        <is>
          <t>p26_nemesis_main_ne152</t>
        </is>
      </c>
      <c r="E176" t="inlineStr">
        <is>
          <t>main</t>
        </is>
      </c>
      <c r="F176" t="inlineStr"/>
      <c r="G176" t="inlineStr">
        <is>
          <t>twin_gun</t>
        </is>
      </c>
      <c r="H176" t="n">
        <v>1</v>
      </c>
      <c r="I176" t="n">
        <v>600</v>
      </c>
      <c r="J176" t="n">
        <v>7.5</v>
      </c>
      <c r="K176" t="n">
        <v>7</v>
      </c>
      <c r="L176" t="n">
        <v>14</v>
      </c>
      <c r="M176" t="n">
        <v>0</v>
      </c>
      <c r="N176">
        <f>INDEX(boss_input_vu_khi_suy_ra!$C$2:$C$94,MATCH($D$176,boss_input_vu_khi_suy_ra!$A$2:$A$94,0))</f>
        <v/>
      </c>
      <c r="O176" t="inlineStr">
        <is>
          <t>giong</t>
        </is>
      </c>
      <c r="R176" t="n">
        <v>7.5</v>
      </c>
      <c r="S176">
        <f>IF($D$176="",0,INDEX(boss_input_vu_khi_suy_ra!$B$2:$B$94,MATCH($D$176,boss_input_vu_khi_suy_ra!$A$2:$A$94,0))*IF(INDEX(boss_input_vu_khi!$D$2:$D$94,MATCH($D$176,boss_input_vu_khi!$A$2:$A$94,0)),1,Boss_dps!$B$29)*Boss_dps!$C$29)</f>
        <v/>
      </c>
      <c r="T176" t="n">
        <v>104.736</v>
      </c>
      <c r="U176" t="inlineStr">
        <is>
          <t>Assets/MachineBrigade/Resources/Data/balance.json: vehicles[id=nuke_train] dựng bởi Tools/balance/p26_ab.expand</t>
        </is>
      </c>
      <c r="V176" t="inlineStr"/>
    </row>
    <row r="177">
      <c r="A177" t="inlineStr">
        <is>
          <t>nuke_train/1</t>
        </is>
      </c>
      <c r="B177" t="inlineStr">
        <is>
          <t>nuke_train</t>
        </is>
      </c>
      <c r="C177" t="n">
        <v>1</v>
      </c>
      <c r="D177" t="inlineStr">
        <is>
          <t>p26_nemesis_close_boss_flak</t>
        </is>
      </c>
      <c r="E177" t="inlineStr">
        <is>
          <t>mg</t>
        </is>
      </c>
      <c r="F177" t="inlineStr">
        <is>
          <t>Free</t>
        </is>
      </c>
      <c r="G177" t="inlineStr">
        <is>
          <t>flak_front</t>
        </is>
      </c>
      <c r="H177" t="n">
        <v>1</v>
      </c>
      <c r="I177" t="n">
        <v>25</v>
      </c>
      <c r="J177" t="n">
        <v>0.05</v>
      </c>
      <c r="K177" t="n">
        <v>2.5</v>
      </c>
      <c r="L177" t="n">
        <v>0</v>
      </c>
      <c r="M177" t="n">
        <v>0</v>
      </c>
      <c r="N177">
        <f>INDEX(boss_input_vu_khi_suy_ra!$C$2:$C$94,MATCH($D$177,boss_input_vu_khi_suy_ra!$A$2:$A$94,0))</f>
        <v/>
      </c>
      <c r="O177" t="inlineStr">
        <is>
          <t>giong</t>
        </is>
      </c>
      <c r="R177" t="n">
        <v>5.38</v>
      </c>
      <c r="S177">
        <f>IF($D$177="",0,INDEX(boss_input_vu_khi_suy_ra!$B$2:$B$94,MATCH($D$177,boss_input_vu_khi_suy_ra!$A$2:$A$94,0))*IF(INDEX(boss_input_vu_khi!$D$2:$D$94,MATCH($D$177,boss_input_vu_khi!$A$2:$A$94,0)),1,Boss_dps!$B$29)*Boss_dps!$C$29)</f>
        <v/>
      </c>
      <c r="T177" t="n">
        <v>249.4293680297397</v>
      </c>
      <c r="U177" t="inlineStr">
        <is>
          <t>Assets/MachineBrigade/Resources/Data/balance.json: vehicles[id=nuke_train] dựng bởi Tools/balance/p26_ab.expand</t>
        </is>
      </c>
      <c r="V177" t="inlineStr"/>
    </row>
    <row r="178">
      <c r="A178" t="inlineStr">
        <is>
          <t>nuke_train/2</t>
        </is>
      </c>
      <c r="B178" t="inlineStr">
        <is>
          <t>nuke_train</t>
        </is>
      </c>
      <c r="C178" t="n">
        <v>2</v>
      </c>
      <c r="D178" t="inlineStr">
        <is>
          <t>p26_nemesis_close_boss_flak</t>
        </is>
      </c>
      <c r="E178" t="inlineStr">
        <is>
          <t>mg</t>
        </is>
      </c>
      <c r="F178" t="inlineStr">
        <is>
          <t>Free</t>
        </is>
      </c>
      <c r="G178" t="inlineStr">
        <is>
          <t>flak_rear</t>
        </is>
      </c>
      <c r="H178" t="n">
        <v>1</v>
      </c>
      <c r="I178" t="n">
        <v>25</v>
      </c>
      <c r="J178" t="n">
        <v>0.05</v>
      </c>
      <c r="K178" t="n">
        <v>2.5</v>
      </c>
      <c r="L178" t="n">
        <v>0</v>
      </c>
      <c r="M178" t="n">
        <v>0</v>
      </c>
      <c r="N178">
        <f>INDEX(boss_input_vu_khi_suy_ra!$C$2:$C$94,MATCH($D$178,boss_input_vu_khi_suy_ra!$A$2:$A$94,0))</f>
        <v/>
      </c>
      <c r="O178" t="inlineStr">
        <is>
          <t>giong</t>
        </is>
      </c>
      <c r="R178" t="n">
        <v>5.38</v>
      </c>
      <c r="S178">
        <f>IF($D$178="",0,INDEX(boss_input_vu_khi_suy_ra!$B$2:$B$94,MATCH($D$178,boss_input_vu_khi_suy_ra!$A$2:$A$94,0))*IF(INDEX(boss_input_vu_khi!$D$2:$D$94,MATCH($D$178,boss_input_vu_khi!$A$2:$A$94,0)),1,Boss_dps!$B$29)*Boss_dps!$C$29)</f>
        <v/>
      </c>
      <c r="T178" t="n">
        <v>249.4293680297397</v>
      </c>
      <c r="U178" t="inlineStr">
        <is>
          <t>Assets/MachineBrigade/Resources/Data/balance.json: vehicles[id=nuke_train] dựng bởi Tools/balance/p26_ab.expand</t>
        </is>
      </c>
      <c r="V178" t="inlineStr"/>
    </row>
    <row r="179">
      <c r="A179" t="inlineStr">
        <is>
          <t>nuke_train/3</t>
        </is>
      </c>
      <c r="B179" t="inlineStr">
        <is>
          <t>nuke_train</t>
        </is>
      </c>
      <c r="C179" t="n">
        <v>3</v>
      </c>
      <c r="D179" t="inlineStr">
        <is>
          <t>p26_nemesis_sec_boss_rockets</t>
        </is>
      </c>
      <c r="E179" t="inlineStr">
        <is>
          <t>rocket</t>
        </is>
      </c>
      <c r="F179" t="inlineStr">
        <is>
          <t>Free</t>
        </is>
      </c>
      <c r="G179" t="inlineStr">
        <is>
          <t>rocket_car</t>
        </is>
      </c>
      <c r="H179" t="n">
        <v>1</v>
      </c>
      <c r="I179" t="n">
        <v>200</v>
      </c>
      <c r="J179" t="n">
        <v>2.44</v>
      </c>
      <c r="K179" t="n">
        <v>4.5</v>
      </c>
      <c r="L179" t="n">
        <v>9</v>
      </c>
      <c r="M179" t="n">
        <v>0</v>
      </c>
      <c r="N179">
        <f>INDEX(boss_input_vu_khi_suy_ra!$C$2:$C$94,MATCH($D$179,boss_input_vu_khi_suy_ra!$A$2:$A$94,0))</f>
        <v/>
      </c>
      <c r="O179" t="inlineStr">
        <is>
          <t>giong</t>
        </is>
      </c>
      <c r="R179" t="n">
        <v>21.94</v>
      </c>
      <c r="S179">
        <f>IF($D$179="",0,INDEX(boss_input_vu_khi_suy_ra!$B$2:$B$94,MATCH($D$179,boss_input_vu_khi_suy_ra!$A$2:$A$94,0))*IF(INDEX(boss_input_vu_khi!$D$2:$D$94,MATCH($D$179,boss_input_vu_khi!$A$2:$A$94,0)),1,Boss_dps!$B$29)*Boss_dps!$C$29)</f>
        <v/>
      </c>
      <c r="T179" t="n">
        <v>477.3746581586143</v>
      </c>
      <c r="U179" t="inlineStr">
        <is>
          <t>Assets/MachineBrigade/Resources/Data/balance.json: vehicles[id=nuke_train] dựng bởi Tools/balance/p26_ab.expand</t>
        </is>
      </c>
      <c r="V179" t="inlineStr"/>
    </row>
    <row r="180">
      <c r="A180" t="inlineStr">
        <is>
          <t>nuke_train/4</t>
        </is>
      </c>
      <c r="B180" t="inlineStr">
        <is>
          <t>nuke_train</t>
        </is>
      </c>
      <c r="C180" t="n">
        <v>4</v>
      </c>
      <c r="D180" t="inlineStr">
        <is>
          <t>sam_battery</t>
        </is>
      </c>
      <c r="E180" t="inlineStr">
        <is>
          <t>missile</t>
        </is>
      </c>
      <c r="F180" t="inlineStr">
        <is>
          <t>Free</t>
        </is>
      </c>
      <c r="G180" t="inlineStr">
        <is>
          <t>sam_car</t>
        </is>
      </c>
      <c r="H180" t="n">
        <v>1</v>
      </c>
      <c r="I180" t="n">
        <v>340</v>
      </c>
      <c r="J180" t="n">
        <v>8</v>
      </c>
      <c r="K180" t="n">
        <v>2.5</v>
      </c>
      <c r="L180" t="n">
        <v>0</v>
      </c>
      <c r="M180" t="n">
        <v>0</v>
      </c>
      <c r="N180">
        <f>INDEX(boss_input_vu_khi_suy_ra!$C$2:$C$94,MATCH($D$180,boss_input_vu_khi_suy_ra!$A$2:$A$94,0))</f>
        <v/>
      </c>
      <c r="O180" t="inlineStr">
        <is>
          <t>giong</t>
        </is>
      </c>
      <c r="R180" t="n">
        <v>11</v>
      </c>
      <c r="S180">
        <f>IF($D$180="",0,INDEX(boss_input_vu_khi_suy_ra!$B$2:$B$94,MATCH($D$180,boss_input_vu_khi_suy_ra!$A$2:$A$94,0))*IF(INDEX(boss_input_vu_khi!$D$2:$D$94,MATCH($D$180,boss_input_vu_khi!$A$2:$A$94,0)),1,Boss_dps!$B$29)*Boss_dps!$C$29)</f>
        <v/>
      </c>
      <c r="T180" t="n">
        <v>80.93236363636363</v>
      </c>
      <c r="U180" t="inlineStr">
        <is>
          <t>Assets/MachineBrigade/Resources/Data/balance.json: vehicles[id=nuke_train] dựng bởi Tools/balance/p26_ab.expand</t>
        </is>
      </c>
      <c r="V180" t="inlineStr"/>
    </row>
    <row r="181">
      <c r="A181" t="inlineStr">
        <is>
          <t>nuke_train/5</t>
        </is>
      </c>
      <c r="B181" t="inlineStr">
        <is>
          <t>nuke_train</t>
        </is>
      </c>
      <c r="C181" t="n">
        <v>5</v>
      </c>
      <c r="D181" t="inlineStr">
        <is>
          <t>p26_nemesis_direct_ne125</t>
        </is>
      </c>
      <c r="E181" t="inlineStr">
        <is>
          <t>gun</t>
        </is>
      </c>
      <c r="F181" t="inlineStr">
        <is>
          <t>Free</t>
        </is>
      </c>
      <c r="G181" t="inlineStr">
        <is>
          <t>gun_car_152</t>
        </is>
      </c>
      <c r="H181" t="n">
        <v>1</v>
      </c>
      <c r="I181" t="n">
        <v>400</v>
      </c>
      <c r="J181" t="n">
        <v>7.5</v>
      </c>
      <c r="K181" t="n">
        <v>0</v>
      </c>
      <c r="L181" t="n">
        <v>0</v>
      </c>
      <c r="M181" t="n">
        <v>0</v>
      </c>
      <c r="N181">
        <f>INDEX(boss_input_vu_khi_suy_ra!$C$2:$C$94,MATCH($D$181,boss_input_vu_khi_suy_ra!$A$2:$A$94,0))</f>
        <v/>
      </c>
      <c r="O181" t="inlineStr">
        <is>
          <t>giong</t>
        </is>
      </c>
      <c r="R181" t="n">
        <v>7.5</v>
      </c>
      <c r="S181">
        <f>IF($D$181="",0,INDEX(boss_input_vu_khi_suy_ra!$B$2:$B$94,MATCH($D$181,boss_input_vu_khi_suy_ra!$A$2:$A$94,0))*IF(INDEX(boss_input_vu_khi!$D$2:$D$94,MATCH($D$181,boss_input_vu_khi!$A$2:$A$94,0)),1,Boss_dps!$B$29)*Boss_dps!$C$29)</f>
        <v/>
      </c>
      <c r="T181" t="n">
        <v>69.824</v>
      </c>
      <c r="U181" t="inlineStr">
        <is>
          <t>Assets/MachineBrigade/Resources/Data/balance.json: vehicles[id=nuke_train] dựng bởi Tools/balance/p26_ab.expand</t>
        </is>
      </c>
      <c r="V181" t="inlineStr"/>
    </row>
    <row r="182">
      <c r="A182" t="inlineStr">
        <is>
          <t>nuke_train/6</t>
        </is>
      </c>
      <c r="B182" t="inlineStr">
        <is>
          <t>nuke_train</t>
        </is>
      </c>
      <c r="C182" t="n">
        <v>6</v>
      </c>
      <c r="D182" t="inlineStr">
        <is>
          <t>p26_nemesis_close_boss_flak</t>
        </is>
      </c>
      <c r="E182" t="inlineStr">
        <is>
          <t>mg</t>
        </is>
      </c>
      <c r="F182" t="inlineStr">
        <is>
          <t>Free</t>
        </is>
      </c>
      <c r="G182" t="inlineStr">
        <is>
          <t>aa_car</t>
        </is>
      </c>
      <c r="H182" t="n">
        <v>1</v>
      </c>
      <c r="I182" t="n">
        <v>25</v>
      </c>
      <c r="J182" t="n">
        <v>0.05</v>
      </c>
      <c r="K182" t="n">
        <v>2.5</v>
      </c>
      <c r="L182" t="n">
        <v>0</v>
      </c>
      <c r="M182" t="n">
        <v>0</v>
      </c>
      <c r="N182">
        <f>INDEX(boss_input_vu_khi_suy_ra!$C$2:$C$94,MATCH($D$182,boss_input_vu_khi_suy_ra!$A$2:$A$94,0))</f>
        <v/>
      </c>
      <c r="O182" t="inlineStr">
        <is>
          <t>giong</t>
        </is>
      </c>
      <c r="R182" t="n">
        <v>5.38</v>
      </c>
      <c r="S182">
        <f>IF($D$182="",0,INDEX(boss_input_vu_khi_suy_ra!$B$2:$B$94,MATCH($D$182,boss_input_vu_khi_suy_ra!$A$2:$A$94,0))*IF(INDEX(boss_input_vu_khi!$D$2:$D$94,MATCH($D$182,boss_input_vu_khi!$A$2:$A$94,0)),1,Boss_dps!$B$29)*Boss_dps!$C$29)</f>
        <v/>
      </c>
      <c r="T182" t="n">
        <v>249.4293680297397</v>
      </c>
      <c r="U182" t="inlineStr">
        <is>
          <t>Assets/MachineBrigade/Resources/Data/balance.json: vehicles[id=nuke_train] dựng bởi Tools/balance/p26_ab.expand</t>
        </is>
      </c>
      <c r="V182" t="inlineStr"/>
    </row>
    <row r="183">
      <c r="A183" t="inlineStr">
        <is>
          <t>nyx/0</t>
        </is>
      </c>
      <c r="B183" t="inlineStr">
        <is>
          <t>nyx</t>
        </is>
      </c>
      <c r="C183" t="n">
        <v>0</v>
      </c>
      <c r="D183" t="inlineStr">
        <is>
          <t>nyx_ags_155</t>
        </is>
      </c>
      <c r="E183" t="inlineStr">
        <is>
          <t>gun</t>
        </is>
      </c>
      <c r="F183" t="inlineStr">
        <is>
          <t>Free</t>
        </is>
      </c>
      <c r="G183" t="inlineStr">
        <is>
          <t>turret_fore</t>
        </is>
      </c>
      <c r="H183" t="n">
        <v>1</v>
      </c>
      <c r="I183" t="n">
        <v>360</v>
      </c>
      <c r="J183" t="n">
        <v>8</v>
      </c>
      <c r="K183" t="n">
        <v>7</v>
      </c>
      <c r="L183" t="n">
        <v>14</v>
      </c>
      <c r="M183" t="n">
        <v>0</v>
      </c>
      <c r="N183">
        <f>INDEX(boss_input_vu_khi_suy_ra!$C$2:$C$94,MATCH($D$183,boss_input_vu_khi_suy_ra!$A$2:$A$94,0))</f>
        <v/>
      </c>
      <c r="O183" t="inlineStr">
        <is>
          <t>doi</t>
        </is>
      </c>
      <c r="P183" t="inlineStr">
        <is>
          <t>boss_railgun</t>
        </is>
      </c>
      <c r="Q183" t="inlineStr">
        <is>
          <t>nyx_ags_155</t>
        </is>
      </c>
      <c r="R183" t="n">
        <v>8.6</v>
      </c>
      <c r="S183">
        <f>IF($D$183="",0,INDEX(boss_input_vu_khi_suy_ra!$B$2:$B$94,MATCH($D$183,boss_input_vu_khi_suy_ra!$A$2:$A$94,0))*IF(INDEX(boss_input_vu_khi!$D$2:$D$94,MATCH($D$183,boss_input_vu_khi!$A$2:$A$94,0)),1,Boss_dps!$B$30)*Boss_dps!$C$30)</f>
        <v/>
      </c>
      <c r="T183" t="n">
        <v>130.5638790697675</v>
      </c>
      <c r="U183" t="inlineStr">
        <is>
          <t>Assets/MachineBrigade/Resources/Data/balance.json: vehicles[id=nyx] dựng bởi Tools/balance/p26_ab.expand</t>
        </is>
      </c>
      <c r="V183" t="inlineStr"/>
    </row>
    <row r="184">
      <c r="A184" t="inlineStr">
        <is>
          <t>nyx/1</t>
        </is>
      </c>
      <c r="B184" t="inlineStr">
        <is>
          <t>nyx</t>
        </is>
      </c>
      <c r="C184" t="n">
        <v>1</v>
      </c>
      <c r="D184" t="inlineStr">
        <is>
          <t>p26_leviathan_direct_lev127</t>
        </is>
      </c>
      <c r="E184" t="inlineStr">
        <is>
          <t>mg</t>
        </is>
      </c>
      <c r="F184" t="inlineStr">
        <is>
          <t>Free</t>
        </is>
      </c>
      <c r="G184" t="inlineStr">
        <is>
          <t>ciws_fore</t>
        </is>
      </c>
      <c r="H184" t="n">
        <v>1</v>
      </c>
      <c r="I184" t="n">
        <v>380</v>
      </c>
      <c r="J184" t="n">
        <v>3</v>
      </c>
      <c r="K184" t="n">
        <v>0</v>
      </c>
      <c r="L184" t="n">
        <v>0</v>
      </c>
      <c r="M184" t="n">
        <v>0</v>
      </c>
      <c r="N184">
        <f>INDEX(boss_input_vu_khi_suy_ra!$C$2:$C$94,MATCH($D$184,boss_input_vu_khi_suy_ra!$A$2:$A$94,0))</f>
        <v/>
      </c>
      <c r="O184" t="inlineStr">
        <is>
          <t>giong</t>
        </is>
      </c>
      <c r="R184" t="n">
        <v>3</v>
      </c>
      <c r="S184">
        <f>IF($D$184="",0,INDEX(boss_input_vu_khi_suy_ra!$B$2:$B$94,MATCH($D$184,boss_input_vu_khi_suy_ra!$A$2:$A$94,0))*IF(INDEX(boss_input_vu_khi!$D$2:$D$94,MATCH($D$184,boss_input_vu_khi!$A$2:$A$94,0)),1,Boss_dps!$B$30)*Boss_dps!$C$30)</f>
        <v/>
      </c>
      <c r="T184" t="n">
        <v>197.5383133333333</v>
      </c>
      <c r="U184" t="inlineStr">
        <is>
          <t>Assets/MachineBrigade/Resources/Data/balance.json: vehicles[id=nyx] dựng bởi Tools/balance/p26_ab.expand</t>
        </is>
      </c>
      <c r="V184" t="inlineStr"/>
    </row>
    <row r="185">
      <c r="A185" t="inlineStr">
        <is>
          <t>nyx/2</t>
        </is>
      </c>
      <c r="B185" t="inlineStr">
        <is>
          <t>nyx</t>
        </is>
      </c>
      <c r="C185" t="n">
        <v>2</v>
      </c>
      <c r="D185" t="inlineStr">
        <is>
          <t>p26_leviathan_direct_lev127</t>
        </is>
      </c>
      <c r="E185" t="inlineStr">
        <is>
          <t>mg</t>
        </is>
      </c>
      <c r="F185" t="inlineStr">
        <is>
          <t>Free</t>
        </is>
      </c>
      <c r="G185" t="inlineStr">
        <is>
          <t>ciws_aft</t>
        </is>
      </c>
      <c r="H185" t="n">
        <v>1</v>
      </c>
      <c r="I185" t="n">
        <v>380</v>
      </c>
      <c r="J185" t="n">
        <v>3</v>
      </c>
      <c r="K185" t="n">
        <v>0</v>
      </c>
      <c r="L185" t="n">
        <v>0</v>
      </c>
      <c r="M185" t="n">
        <v>0</v>
      </c>
      <c r="N185">
        <f>INDEX(boss_input_vu_khi_suy_ra!$C$2:$C$94,MATCH($D$185,boss_input_vu_khi_suy_ra!$A$2:$A$94,0))</f>
        <v/>
      </c>
      <c r="O185" t="inlineStr">
        <is>
          <t>giong</t>
        </is>
      </c>
      <c r="R185" t="n">
        <v>3</v>
      </c>
      <c r="S185">
        <f>IF($D$185="",0,INDEX(boss_input_vu_khi_suy_ra!$B$2:$B$94,MATCH($D$185,boss_input_vu_khi_suy_ra!$A$2:$A$94,0))*IF(INDEX(boss_input_vu_khi!$D$2:$D$94,MATCH($D$185,boss_input_vu_khi!$A$2:$A$94,0)),1,Boss_dps!$B$30)*Boss_dps!$C$30)</f>
        <v/>
      </c>
      <c r="T185" t="n">
        <v>197.5383133333333</v>
      </c>
      <c r="U185" t="inlineStr">
        <is>
          <t>Assets/MachineBrigade/Resources/Data/balance.json: vehicles[id=nyx] dựng bởi Tools/balance/p26_ab.expand</t>
        </is>
      </c>
      <c r="V185" t="inlineStr"/>
    </row>
    <row r="186">
      <c r="A186" t="inlineStr">
        <is>
          <t>nyx/3</t>
        </is>
      </c>
      <c r="B186" t="inlineStr">
        <is>
          <t>nyx</t>
        </is>
      </c>
      <c r="C186" t="n">
        <v>3</v>
      </c>
      <c r="D186" t="inlineStr">
        <is>
          <t>nyx_millennium</t>
        </is>
      </c>
      <c r="E186" t="inlineStr">
        <is>
          <t>mg</t>
        </is>
      </c>
      <c r="F186" t="inlineStr">
        <is>
          <t>Free</t>
        </is>
      </c>
      <c r="G186" t="inlineStr"/>
      <c r="H186" t="n">
        <v>1</v>
      </c>
      <c r="I186" t="n">
        <v>24</v>
      </c>
      <c r="J186" t="n">
        <v>0.06</v>
      </c>
      <c r="K186" t="n">
        <v>2.5</v>
      </c>
      <c r="L186" t="n">
        <v>0</v>
      </c>
      <c r="M186" t="n">
        <v>0</v>
      </c>
      <c r="N186">
        <f>INDEX(boss_input_vu_khi_suy_ra!$C$2:$C$94,MATCH($D$186,boss_input_vu_khi_suy_ra!$A$2:$A$94,0))</f>
        <v/>
      </c>
      <c r="O186" t="inlineStr">
        <is>
          <t>moi</t>
        </is>
      </c>
      <c r="R186" t="n">
        <v>4.18</v>
      </c>
      <c r="S186">
        <f>IF($D$186="",0,INDEX(boss_input_vu_khi_suy_ra!$B$2:$B$94,MATCH($D$186,boss_input_vu_khi_suy_ra!$A$2:$A$94,0))*IF(INDEX(boss_input_vu_khi!$D$2:$D$94,MATCH($D$186,boss_input_vu_khi!$A$2:$A$94,0)),1,Boss_dps!$B$30)*Boss_dps!$C$30)</f>
        <v/>
      </c>
      <c r="T186" t="n">
        <v>214.8993990430622</v>
      </c>
      <c r="U186" t="inlineStr">
        <is>
          <t>Assets/MachineBrigade/Resources/Data/balance.json: vehicles[id=nyx] dựng bởi Tools/balance/p26_ab.expand</t>
        </is>
      </c>
      <c r="V186" t="inlineStr"/>
    </row>
    <row r="187">
      <c r="A187" t="inlineStr">
        <is>
          <t>nyx/4</t>
        </is>
      </c>
      <c r="B187" t="inlineStr">
        <is>
          <t>nyx</t>
        </is>
      </c>
      <c r="C187" t="n">
        <v>4</v>
      </c>
      <c r="D187" t="inlineStr">
        <is>
          <t>nyx_millennium</t>
        </is>
      </c>
      <c r="E187" t="inlineStr">
        <is>
          <t>mg</t>
        </is>
      </c>
      <c r="F187" t="inlineStr">
        <is>
          <t>Free</t>
        </is>
      </c>
      <c r="G187" t="inlineStr"/>
      <c r="H187" t="n">
        <v>1</v>
      </c>
      <c r="I187" t="n">
        <v>24</v>
      </c>
      <c r="J187" t="n">
        <v>0.06</v>
      </c>
      <c r="K187" t="n">
        <v>2.5</v>
      </c>
      <c r="L187" t="n">
        <v>0</v>
      </c>
      <c r="M187" t="n">
        <v>0</v>
      </c>
      <c r="N187">
        <f>INDEX(boss_input_vu_khi_suy_ra!$C$2:$C$94,MATCH($D$187,boss_input_vu_khi_suy_ra!$A$2:$A$94,0))</f>
        <v/>
      </c>
      <c r="O187" t="inlineStr">
        <is>
          <t>moi</t>
        </is>
      </c>
      <c r="R187" t="n">
        <v>4.18</v>
      </c>
      <c r="S187">
        <f>IF($D$187="",0,INDEX(boss_input_vu_khi_suy_ra!$B$2:$B$94,MATCH($D$187,boss_input_vu_khi_suy_ra!$A$2:$A$94,0))*IF(INDEX(boss_input_vu_khi!$D$2:$D$94,MATCH($D$187,boss_input_vu_khi!$A$2:$A$94,0)),1,Boss_dps!$B$30)*Boss_dps!$C$30)</f>
        <v/>
      </c>
      <c r="T187" t="n">
        <v>214.8993990430622</v>
      </c>
      <c r="U187" t="inlineStr">
        <is>
          <t>Assets/MachineBrigade/Resources/Data/balance.json: vehicles[id=nyx] dựng bởi Tools/balance/p26_ab.expand</t>
        </is>
      </c>
      <c r="V187" t="inlineStr"/>
    </row>
    <row r="188">
      <c r="A188" t="inlineStr">
        <is>
          <t>nyx/5</t>
        </is>
      </c>
      <c r="B188" t="inlineStr">
        <is>
          <t>nyx</t>
        </is>
      </c>
      <c r="C188" t="n">
        <v>5</v>
      </c>
      <c r="D188" t="inlineStr">
        <is>
          <t>nyx_tomahawk</t>
        </is>
      </c>
      <c r="E188" t="inlineStr">
        <is>
          <t>missile</t>
        </is>
      </c>
      <c r="F188" t="inlineStr">
        <is>
          <t>Free</t>
        </is>
      </c>
      <c r="G188" t="inlineStr"/>
      <c r="H188" t="n">
        <v>1</v>
      </c>
      <c r="I188" t="n">
        <v>340</v>
      </c>
      <c r="J188" t="n">
        <v>24</v>
      </c>
      <c r="K188" t="n">
        <v>8</v>
      </c>
      <c r="L188" t="n">
        <v>16</v>
      </c>
      <c r="M188" t="n">
        <v>2.5</v>
      </c>
      <c r="N188">
        <f>INDEX(boss_input_vu_khi_suy_ra!$C$2:$C$94,MATCH($D$188,boss_input_vu_khi_suy_ra!$A$2:$A$94,0))</f>
        <v/>
      </c>
      <c r="O188" t="inlineStr">
        <is>
          <t>moi</t>
        </is>
      </c>
      <c r="R188" t="n">
        <v>54</v>
      </c>
      <c r="S188">
        <f>IF($D$188="",0,INDEX(boss_input_vu_khi_suy_ra!$B$2:$B$94,MATCH($D$188,boss_input_vu_khi_suy_ra!$A$2:$A$94,0))*IF(INDEX(boss_input_vu_khi!$D$2:$D$94,MATCH($D$188,boss_input_vu_khi!$A$2:$A$94,0)),1,Boss_dps!$B$30)*Boss_dps!$C$30)</f>
        <v/>
      </c>
      <c r="T188" t="n">
        <v>19.63831185185186</v>
      </c>
      <c r="U188" t="inlineStr">
        <is>
          <t>Assets/MachineBrigade/Resources/Data/balance.json: vehicles[id=nyx] dựng bởi Tools/balance/p26_ab.expand</t>
        </is>
      </c>
      <c r="V188" t="inlineStr"/>
    </row>
    <row r="189">
      <c r="A189" t="inlineStr">
        <is>
          <t>scylla/0</t>
        </is>
      </c>
      <c r="B189" t="inlineStr">
        <is>
          <t>scylla</t>
        </is>
      </c>
      <c r="C189" t="n">
        <v>0</v>
      </c>
      <c r="D189" t="inlineStr">
        <is>
          <t>naval_130_twin</t>
        </is>
      </c>
      <c r="E189" t="inlineStr">
        <is>
          <t>gun</t>
        </is>
      </c>
      <c r="F189" t="inlineStr">
        <is>
          <t>Free</t>
        </is>
      </c>
      <c r="G189" t="inlineStr">
        <is>
          <t>turret_fore</t>
        </is>
      </c>
      <c r="H189" t="n">
        <v>2</v>
      </c>
      <c r="I189" t="n">
        <v>543</v>
      </c>
      <c r="J189" t="n">
        <v>4.286</v>
      </c>
      <c r="K189" t="n">
        <v>5</v>
      </c>
      <c r="L189" t="n">
        <v>10</v>
      </c>
      <c r="M189" t="n">
        <v>0</v>
      </c>
      <c r="N189">
        <f>INDEX(boss_input_vu_khi_suy_ra!$C$2:$C$94,MATCH($D$189,boss_input_vu_khi_suy_ra!$A$2:$A$94,0))</f>
        <v/>
      </c>
      <c r="O189" t="inlineStr">
        <is>
          <t>giong</t>
        </is>
      </c>
      <c r="R189" t="n">
        <v>4.286</v>
      </c>
      <c r="S189">
        <f>IF($D$189="",0,INDEX(boss_input_vu_khi_suy_ra!$B$2:$B$94,MATCH($D$189,boss_input_vu_khi_suy_ra!$A$2:$A$94,0))*IF(INDEX(boss_input_vu_khi!$D$2:$D$94,MATCH($D$189,boss_input_vu_khi!$A$2:$A$94,0)),1,Boss_dps!$B$31)*Boss_dps!$C$31)</f>
        <v/>
      </c>
      <c r="T189" t="n">
        <v>410.9583884741018</v>
      </c>
      <c r="U189" t="inlineStr">
        <is>
          <t>Assets/MachineBrigade/Resources/Data/balance.json: vehicles[id=scylla] dựng bởi Tools/balance/p26_ab.expand</t>
        </is>
      </c>
      <c r="V189" t="inlineStr"/>
    </row>
    <row r="190">
      <c r="A190" t="inlineStr">
        <is>
          <t>scylla/1</t>
        </is>
      </c>
      <c r="B190" t="inlineStr">
        <is>
          <t>scylla</t>
        </is>
      </c>
      <c r="C190" t="n">
        <v>1</v>
      </c>
      <c r="D190" t="inlineStr">
        <is>
          <t>p26_leviathan_direct_lev127</t>
        </is>
      </c>
      <c r="E190" t="inlineStr">
        <is>
          <t>mg</t>
        </is>
      </c>
      <c r="F190" t="inlineStr">
        <is>
          <t>Free</t>
        </is>
      </c>
      <c r="G190" t="inlineStr">
        <is>
          <t>ciws_fore</t>
        </is>
      </c>
      <c r="H190" t="n">
        <v>1</v>
      </c>
      <c r="I190" t="n">
        <v>380</v>
      </c>
      <c r="J190" t="n">
        <v>3</v>
      </c>
      <c r="K190" t="n">
        <v>0</v>
      </c>
      <c r="L190" t="n">
        <v>0</v>
      </c>
      <c r="M190" t="n">
        <v>0</v>
      </c>
      <c r="N190">
        <f>INDEX(boss_input_vu_khi_suy_ra!$C$2:$C$94,MATCH($D$190,boss_input_vu_khi_suy_ra!$A$2:$A$94,0))</f>
        <v/>
      </c>
      <c r="O190" t="inlineStr">
        <is>
          <t>giong</t>
        </is>
      </c>
      <c r="R190" t="n">
        <v>3</v>
      </c>
      <c r="S190">
        <f>IF($D$190="",0,INDEX(boss_input_vu_khi_suy_ra!$B$2:$B$94,MATCH($D$190,boss_input_vu_khi_suy_ra!$A$2:$A$94,0))*IF(INDEX(boss_input_vu_khi!$D$2:$D$94,MATCH($D$190,boss_input_vu_khi!$A$2:$A$94,0)),1,Boss_dps!$B$31)*Boss_dps!$C$31)</f>
        <v/>
      </c>
      <c r="T190" t="n">
        <v>205.43883</v>
      </c>
      <c r="U190" t="inlineStr">
        <is>
          <t>Assets/MachineBrigade/Resources/Data/balance.json: vehicles[id=scylla] dựng bởi Tools/balance/p26_ab.expand</t>
        </is>
      </c>
      <c r="V190" t="inlineStr"/>
    </row>
    <row r="191">
      <c r="A191" t="inlineStr">
        <is>
          <t>scylla/2</t>
        </is>
      </c>
      <c r="B191" t="inlineStr">
        <is>
          <t>scylla</t>
        </is>
      </c>
      <c r="C191" t="n">
        <v>2</v>
      </c>
      <c r="D191" t="inlineStr">
        <is>
          <t>scylla_ak230</t>
        </is>
      </c>
      <c r="E191" t="inlineStr">
        <is>
          <t>mg</t>
        </is>
      </c>
      <c r="F191" t="inlineStr">
        <is>
          <t>Free</t>
        </is>
      </c>
      <c r="G191" t="inlineStr"/>
      <c r="H191" t="n">
        <v>2</v>
      </c>
      <c r="I191" t="n">
        <v>20</v>
      </c>
      <c r="J191" t="n">
        <v>0.06</v>
      </c>
      <c r="K191" t="n">
        <v>0</v>
      </c>
      <c r="L191" t="n">
        <v>0</v>
      </c>
      <c r="M191" t="n">
        <v>0</v>
      </c>
      <c r="N191">
        <f>INDEX(boss_input_vu_khi_suy_ra!$C$2:$C$94,MATCH($D$191,boss_input_vu_khi_suy_ra!$A$2:$A$94,0))</f>
        <v/>
      </c>
      <c r="O191" t="inlineStr">
        <is>
          <t>moi</t>
        </is>
      </c>
      <c r="R191" t="n">
        <v>3.98</v>
      </c>
      <c r="S191">
        <f>IF($D$191="",0,INDEX(boss_input_vu_khi_suy_ra!$B$2:$B$94,MATCH($D$191,boss_input_vu_khi_suy_ra!$A$2:$A$94,0))*IF(INDEX(boss_input_vu_khi!$D$2:$D$94,MATCH($D$191,boss_input_vu_khi!$A$2:$A$94,0)),1,Boss_dps!$B$31)*Boss_dps!$C$31)</f>
        <v/>
      </c>
      <c r="T191" t="n">
        <v>195.6042814070352</v>
      </c>
      <c r="U191" t="inlineStr">
        <is>
          <t>Assets/MachineBrigade/Resources/Data/balance.json: vehicles[id=scylla] dựng bởi Tools/balance/p26_ab.expand</t>
        </is>
      </c>
      <c r="V191" t="inlineStr"/>
    </row>
    <row r="192">
      <c r="A192" t="inlineStr">
        <is>
          <t>scylla/3</t>
        </is>
      </c>
      <c r="B192" t="inlineStr">
        <is>
          <t>scylla</t>
        </is>
      </c>
      <c r="C192" t="n">
        <v>3</v>
      </c>
      <c r="D192" t="inlineStr">
        <is>
          <t>scylla_ak230</t>
        </is>
      </c>
      <c r="E192" t="inlineStr">
        <is>
          <t>mg</t>
        </is>
      </c>
      <c r="F192" t="inlineStr">
        <is>
          <t>Free</t>
        </is>
      </c>
      <c r="G192" t="inlineStr"/>
      <c r="H192" t="n">
        <v>2</v>
      </c>
      <c r="I192" t="n">
        <v>20</v>
      </c>
      <c r="J192" t="n">
        <v>0.06</v>
      </c>
      <c r="K192" t="n">
        <v>0</v>
      </c>
      <c r="L192" t="n">
        <v>0</v>
      </c>
      <c r="M192" t="n">
        <v>0</v>
      </c>
      <c r="N192">
        <f>INDEX(boss_input_vu_khi_suy_ra!$C$2:$C$94,MATCH($D$192,boss_input_vu_khi_suy_ra!$A$2:$A$94,0))</f>
        <v/>
      </c>
      <c r="O192" t="inlineStr">
        <is>
          <t>moi</t>
        </is>
      </c>
      <c r="R192" t="n">
        <v>3.98</v>
      </c>
      <c r="S192">
        <f>IF($D$192="",0,INDEX(boss_input_vu_khi_suy_ra!$B$2:$B$94,MATCH($D$192,boss_input_vu_khi_suy_ra!$A$2:$A$94,0))*IF(INDEX(boss_input_vu_khi!$D$2:$D$94,MATCH($D$192,boss_input_vu_khi!$A$2:$A$94,0)),1,Boss_dps!$B$31)*Boss_dps!$C$31)</f>
        <v/>
      </c>
      <c r="T192" t="n">
        <v>195.6042814070352</v>
      </c>
      <c r="U192" t="inlineStr">
        <is>
          <t>Assets/MachineBrigade/Resources/Data/balance.json: vehicles[id=scylla] dựng bởi Tools/balance/p26_ab.expand</t>
        </is>
      </c>
      <c r="V192" t="inlineStr"/>
    </row>
    <row r="193">
      <c r="A193" t="inlineStr">
        <is>
          <t>scylla/4</t>
        </is>
      </c>
      <c r="B193" t="inlineStr">
        <is>
          <t>scylla</t>
        </is>
      </c>
      <c r="C193" t="n">
        <v>4</v>
      </c>
      <c r="D193" t="inlineStr">
        <is>
          <t>scylla_2m7</t>
        </is>
      </c>
      <c r="E193" t="inlineStr">
        <is>
          <t>mg</t>
        </is>
      </c>
      <c r="F193" t="inlineStr">
        <is>
          <t>Free</t>
        </is>
      </c>
      <c r="G193" t="inlineStr"/>
      <c r="H193" t="n">
        <v>2</v>
      </c>
      <c r="I193" t="n">
        <v>11</v>
      </c>
      <c r="J193" t="n">
        <v>0.05</v>
      </c>
      <c r="K193" t="n">
        <v>0</v>
      </c>
      <c r="L193" t="n">
        <v>0</v>
      </c>
      <c r="M193" t="n">
        <v>0</v>
      </c>
      <c r="N193">
        <f>INDEX(boss_input_vu_khi_suy_ra!$C$2:$C$94,MATCH($D$193,boss_input_vu_khi_suy_ra!$A$2:$A$94,0))</f>
        <v/>
      </c>
      <c r="O193" t="inlineStr">
        <is>
          <t>moi</t>
        </is>
      </c>
      <c r="R193" t="n">
        <v>4.95</v>
      </c>
      <c r="S193">
        <f>IF($D$193="",0,INDEX(boss_input_vu_khi_suy_ra!$B$2:$B$94,MATCH($D$193,boss_input_vu_khi_suy_ra!$A$2:$A$94,0))*IF(INDEX(boss_input_vu_khi!$D$2:$D$94,MATCH($D$193,boss_input_vu_khi!$A$2:$A$94,0)),1,Boss_dps!$B$31)*Boss_dps!$C$31)</f>
        <v/>
      </c>
      <c r="T193" t="n">
        <v>144.1676</v>
      </c>
      <c r="U193" t="inlineStr">
        <is>
          <t>Assets/MachineBrigade/Resources/Data/balance.json: vehicles[id=scylla] dựng bởi Tools/balance/p26_ab.expand</t>
        </is>
      </c>
      <c r="V193" t="inlineStr"/>
    </row>
    <row r="194">
      <c r="A194" t="inlineStr">
        <is>
          <t>scylla/5</t>
        </is>
      </c>
      <c r="B194" t="inlineStr">
        <is>
          <t>scylla</t>
        </is>
      </c>
      <c r="C194" t="n">
        <v>5</v>
      </c>
      <c r="D194" t="inlineStr">
        <is>
          <t>scylla_2m7</t>
        </is>
      </c>
      <c r="E194" t="inlineStr">
        <is>
          <t>mg</t>
        </is>
      </c>
      <c r="F194" t="inlineStr">
        <is>
          <t>Free</t>
        </is>
      </c>
      <c r="G194" t="inlineStr"/>
      <c r="H194" t="n">
        <v>2</v>
      </c>
      <c r="I194" t="n">
        <v>11</v>
      </c>
      <c r="J194" t="n">
        <v>0.05</v>
      </c>
      <c r="K194" t="n">
        <v>0</v>
      </c>
      <c r="L194" t="n">
        <v>0</v>
      </c>
      <c r="M194" t="n">
        <v>0</v>
      </c>
      <c r="N194">
        <f>INDEX(boss_input_vu_khi_suy_ra!$C$2:$C$94,MATCH($D$194,boss_input_vu_khi_suy_ra!$A$2:$A$94,0))</f>
        <v/>
      </c>
      <c r="O194" t="inlineStr">
        <is>
          <t>moi</t>
        </is>
      </c>
      <c r="R194" t="n">
        <v>4.95</v>
      </c>
      <c r="S194">
        <f>IF($D$194="",0,INDEX(boss_input_vu_khi_suy_ra!$B$2:$B$94,MATCH($D$194,boss_input_vu_khi_suy_ra!$A$2:$A$94,0))*IF(INDEX(boss_input_vu_khi!$D$2:$D$94,MATCH($D$194,boss_input_vu_khi!$A$2:$A$94,0)),1,Boss_dps!$B$31)*Boss_dps!$C$31)</f>
        <v/>
      </c>
      <c r="T194" t="n">
        <v>144.1676</v>
      </c>
      <c r="U194" t="inlineStr">
        <is>
          <t>Assets/MachineBrigade/Resources/Data/balance.json: vehicles[id=scylla] dựng bởi Tools/balance/p26_ab.expand</t>
        </is>
      </c>
      <c r="V194" t="inlineStr"/>
    </row>
    <row r="195">
      <c r="A195" t="inlineStr">
        <is>
          <t>scylla/6</t>
        </is>
      </c>
      <c r="B195" t="inlineStr">
        <is>
          <t>scylla</t>
        </is>
      </c>
      <c r="C195" t="n">
        <v>6</v>
      </c>
      <c r="D195" t="inlineStr">
        <is>
          <t>scylla_kh35</t>
        </is>
      </c>
      <c r="E195" t="inlineStr">
        <is>
          <t>missile</t>
        </is>
      </c>
      <c r="F195" t="inlineStr">
        <is>
          <t>Free</t>
        </is>
      </c>
      <c r="G195" t="inlineStr"/>
      <c r="H195" t="n">
        <v>1</v>
      </c>
      <c r="I195" t="n">
        <v>230</v>
      </c>
      <c r="J195" t="n">
        <v>22</v>
      </c>
      <c r="K195" t="n">
        <v>6</v>
      </c>
      <c r="L195" t="n">
        <v>12</v>
      </c>
      <c r="M195" t="n">
        <v>2.5</v>
      </c>
      <c r="N195">
        <f>INDEX(boss_input_vu_khi_suy_ra!$C$2:$C$94,MATCH($D$195,boss_input_vu_khi_suy_ra!$A$2:$A$94,0))</f>
        <v/>
      </c>
      <c r="O195" t="inlineStr">
        <is>
          <t>moi</t>
        </is>
      </c>
      <c r="R195" t="n">
        <v>22.7</v>
      </c>
      <c r="S195">
        <f>IF($D$195="",0,INDEX(boss_input_vu_khi_suy_ra!$B$2:$B$94,MATCH($D$195,boss_input_vu_khi_suy_ra!$A$2:$A$94,0))*IF(INDEX(boss_input_vu_khi!$D$2:$D$94,MATCH($D$195,boss_input_vu_khi!$A$2:$A$94,0)),1,Boss_dps!$B$31)*Boss_dps!$C$31)</f>
        <v/>
      </c>
      <c r="T195" t="n">
        <v>32.86640220264317</v>
      </c>
      <c r="U195" t="inlineStr">
        <is>
          <t>Assets/MachineBrigade/Resources/Data/balance.json: vehicles[id=scylla] dựng bởi Tools/balance/p26_ab.expand</t>
        </is>
      </c>
      <c r="V195" t="inlineStr"/>
    </row>
    <row r="196">
      <c r="A196" t="inlineStr">
        <is>
          <t>scylla/7</t>
        </is>
      </c>
      <c r="B196" t="inlineStr">
        <is>
          <t>scylla</t>
        </is>
      </c>
      <c r="C196" t="n">
        <v>7</v>
      </c>
      <c r="D196" t="inlineStr">
        <is>
          <t>scylla_kh35</t>
        </is>
      </c>
      <c r="E196" t="inlineStr">
        <is>
          <t>missile</t>
        </is>
      </c>
      <c r="F196" t="inlineStr">
        <is>
          <t>Free</t>
        </is>
      </c>
      <c r="G196" t="inlineStr"/>
      <c r="H196" t="n">
        <v>1</v>
      </c>
      <c r="I196" t="n">
        <v>230</v>
      </c>
      <c r="J196" t="n">
        <v>22</v>
      </c>
      <c r="K196" t="n">
        <v>6</v>
      </c>
      <c r="L196" t="n">
        <v>12</v>
      </c>
      <c r="M196" t="n">
        <v>2.5</v>
      </c>
      <c r="N196">
        <f>INDEX(boss_input_vu_khi_suy_ra!$C$2:$C$94,MATCH($D$196,boss_input_vu_khi_suy_ra!$A$2:$A$94,0))</f>
        <v/>
      </c>
      <c r="O196" t="inlineStr">
        <is>
          <t>moi</t>
        </is>
      </c>
      <c r="R196" t="n">
        <v>22.7</v>
      </c>
      <c r="S196">
        <f>IF($D$196="",0,INDEX(boss_input_vu_khi_suy_ra!$B$2:$B$94,MATCH($D$196,boss_input_vu_khi_suy_ra!$A$2:$A$94,0))*IF(INDEX(boss_input_vu_khi!$D$2:$D$94,MATCH($D$196,boss_input_vu_khi!$A$2:$A$94,0)),1,Boss_dps!$B$31)*Boss_dps!$C$31)</f>
        <v/>
      </c>
      <c r="T196" t="n">
        <v>32.86640220264317</v>
      </c>
      <c r="U196" t="inlineStr">
        <is>
          <t>Assets/MachineBrigade/Resources/Data/balance.json: vehicles[id=scylla] dựng bởi Tools/balance/p26_ab.expand</t>
        </is>
      </c>
      <c r="V196" t="inlineStr"/>
    </row>
    <row r="197">
      <c r="A197" t="inlineStr">
        <is>
          <t>silver_bug/0</t>
        </is>
      </c>
      <c r="B197" t="inlineStr">
        <is>
          <t>silver_bug</t>
        </is>
      </c>
      <c r="C197" t="n">
        <v>0</v>
      </c>
      <c r="D197" t="inlineStr">
        <is>
          <t>p26_icarus_sec_orbital_laser</t>
        </is>
      </c>
      <c r="E197" t="inlineStr">
        <is>
          <t>main</t>
        </is>
      </c>
      <c r="F197" t="inlineStr">
        <is>
          <t>Free</t>
        </is>
      </c>
      <c r="G197" t="inlineStr">
        <is>
          <t>main_laser</t>
        </is>
      </c>
      <c r="H197" t="n">
        <v>1</v>
      </c>
      <c r="I197" t="n">
        <v>40</v>
      </c>
      <c r="J197" t="n">
        <v>0.1</v>
      </c>
      <c r="K197" t="n">
        <v>1.5</v>
      </c>
      <c r="L197" t="n">
        <v>0</v>
      </c>
      <c r="M197" t="n">
        <v>0</v>
      </c>
      <c r="N197">
        <f>INDEX(boss_input_vu_khi_suy_ra!$C$2:$C$94,MATCH($D$197,boss_input_vu_khi_suy_ra!$A$2:$A$94,0))</f>
        <v/>
      </c>
      <c r="O197" t="inlineStr">
        <is>
          <t>giong</t>
        </is>
      </c>
      <c r="R197" t="n">
        <v>0.1</v>
      </c>
      <c r="S197">
        <f>IF($D$197="",0,INDEX(boss_input_vu_khi_suy_ra!$B$2:$B$94,MATCH($D$197,boss_input_vu_khi_suy_ra!$A$2:$A$94,0))*IF(INDEX(boss_input_vu_khi!$D$2:$D$94,MATCH($D$197,boss_input_vu_khi!$A$2:$A$94,0)),1,Boss_dps!$B$32)*Boss_dps!$C$32)</f>
        <v/>
      </c>
      <c r="T197" t="n">
        <v>400</v>
      </c>
      <c r="U197" t="inlineStr">
        <is>
          <t>Assets/MachineBrigade/Resources/Data/balance.json: vehicles[id=silver_bug] dựng bởi Tools/balance/p26_ab.expand</t>
        </is>
      </c>
      <c r="V197" t="inlineStr"/>
    </row>
    <row r="198">
      <c r="A198" t="inlineStr">
        <is>
          <t>silver_bug/1</t>
        </is>
      </c>
      <c r="B198" t="inlineStr">
        <is>
          <t>silver_bug</t>
        </is>
      </c>
      <c r="C198" t="n">
        <v>1</v>
      </c>
      <c r="D198" t="inlineStr">
        <is>
          <t>p26_icarus_main_ic_coil</t>
        </is>
      </c>
      <c r="E198" t="inlineStr">
        <is>
          <t>gun</t>
        </is>
      </c>
      <c r="F198" t="inlineStr">
        <is>
          <t>Free</t>
        </is>
      </c>
      <c r="G198" t="inlineStr"/>
      <c r="H198" t="n">
        <v>1</v>
      </c>
      <c r="I198" t="n">
        <v>1500</v>
      </c>
      <c r="J198" t="n">
        <v>5</v>
      </c>
      <c r="K198" t="n">
        <v>0</v>
      </c>
      <c r="L198" t="n">
        <v>0</v>
      </c>
      <c r="M198" t="n">
        <v>0</v>
      </c>
      <c r="N198">
        <f>INDEX(boss_input_vu_khi_suy_ra!$C$2:$C$94,MATCH($D$198,boss_input_vu_khi_suy_ra!$A$2:$A$94,0))</f>
        <v/>
      </c>
      <c r="O198" t="inlineStr">
        <is>
          <t>giong</t>
        </is>
      </c>
      <c r="R198" t="n">
        <v>5</v>
      </c>
      <c r="S198">
        <f>IF($D$198="",0,INDEX(boss_input_vu_khi_suy_ra!$B$2:$B$94,MATCH($D$198,boss_input_vu_khi_suy_ra!$A$2:$A$94,0))*IF(INDEX(boss_input_vu_khi!$D$2:$D$94,MATCH($D$198,boss_input_vu_khi!$A$2:$A$94,0)),1,Boss_dps!$B$32)*Boss_dps!$C$32)</f>
        <v/>
      </c>
      <c r="T198" t="n">
        <v>300</v>
      </c>
      <c r="U198" t="inlineStr">
        <is>
          <t>Assets/MachineBrigade/Resources/Data/balance.json: vehicles[id=silver_bug] dựng bởi Tools/balance/p26_ab.expand</t>
        </is>
      </c>
      <c r="V198" t="inlineStr"/>
    </row>
    <row r="199">
      <c r="A199" t="inlineStr">
        <is>
          <t>silver_bug/2</t>
        </is>
      </c>
      <c r="B199" t="inlineStr">
        <is>
          <t>silver_bug</t>
        </is>
      </c>
      <c r="C199" t="n">
        <v>2</v>
      </c>
      <c r="D199" t="inlineStr">
        <is>
          <t>p26_icarus_main_ic_coil</t>
        </is>
      </c>
      <c r="E199" t="inlineStr">
        <is>
          <t>gun</t>
        </is>
      </c>
      <c r="F199" t="inlineStr">
        <is>
          <t>Free</t>
        </is>
      </c>
      <c r="G199" t="inlineStr"/>
      <c r="H199" t="n">
        <v>1</v>
      </c>
      <c r="I199" t="n">
        <v>1500</v>
      </c>
      <c r="J199" t="n">
        <v>5</v>
      </c>
      <c r="K199" t="n">
        <v>0</v>
      </c>
      <c r="L199" t="n">
        <v>0</v>
      </c>
      <c r="M199" t="n">
        <v>0</v>
      </c>
      <c r="N199">
        <f>INDEX(boss_input_vu_khi_suy_ra!$C$2:$C$94,MATCH($D$199,boss_input_vu_khi_suy_ra!$A$2:$A$94,0))</f>
        <v/>
      </c>
      <c r="O199" t="inlineStr">
        <is>
          <t>giong</t>
        </is>
      </c>
      <c r="R199" t="n">
        <v>5</v>
      </c>
      <c r="S199">
        <f>IF($D$199="",0,INDEX(boss_input_vu_khi_suy_ra!$B$2:$B$94,MATCH($D$199,boss_input_vu_khi_suy_ra!$A$2:$A$94,0))*IF(INDEX(boss_input_vu_khi!$D$2:$D$94,MATCH($D$199,boss_input_vu_khi!$A$2:$A$94,0)),1,Boss_dps!$B$32)*Boss_dps!$C$32)</f>
        <v/>
      </c>
      <c r="T199" t="n">
        <v>300</v>
      </c>
      <c r="U199" t="inlineStr">
        <is>
          <t>Assets/MachineBrigade/Resources/Data/balance.json: vehicles[id=silver_bug] dựng bởi Tools/balance/p26_ab.expand</t>
        </is>
      </c>
      <c r="V199" t="inlineStr"/>
    </row>
    <row r="200">
      <c r="A200" t="inlineStr">
        <is>
          <t>silver_bug/3</t>
        </is>
      </c>
      <c r="B200" t="inlineStr">
        <is>
          <t>silver_bug</t>
        </is>
      </c>
      <c r="C200" t="n">
        <v>3</v>
      </c>
      <c r="D200" t="inlineStr">
        <is>
          <t>p26_icarus_direct_ic_laser</t>
        </is>
      </c>
      <c r="E200" t="inlineStr">
        <is>
          <t>gun</t>
        </is>
      </c>
      <c r="F200" t="inlineStr">
        <is>
          <t>Free</t>
        </is>
      </c>
      <c r="G200" t="inlineStr"/>
      <c r="H200" t="n">
        <v>1</v>
      </c>
      <c r="I200" t="n">
        <v>16</v>
      </c>
      <c r="J200" t="n">
        <v>0.1</v>
      </c>
      <c r="K200" t="n">
        <v>1.5</v>
      </c>
      <c r="L200" t="n">
        <v>0</v>
      </c>
      <c r="M200" t="n">
        <v>0</v>
      </c>
      <c r="N200">
        <f>INDEX(boss_input_vu_khi_suy_ra!$C$2:$C$94,MATCH($D$200,boss_input_vu_khi_suy_ra!$A$2:$A$94,0))</f>
        <v/>
      </c>
      <c r="O200" t="inlineStr">
        <is>
          <t>giong</t>
        </is>
      </c>
      <c r="R200" t="n">
        <v>0.1</v>
      </c>
      <c r="S200">
        <f>IF($D$200="",0,INDEX(boss_input_vu_khi_suy_ra!$B$2:$B$94,MATCH($D$200,boss_input_vu_khi_suy_ra!$A$2:$A$94,0))*IF(INDEX(boss_input_vu_khi!$D$2:$D$94,MATCH($D$200,boss_input_vu_khi!$A$2:$A$94,0)),1,Boss_dps!$B$32)*Boss_dps!$C$32)</f>
        <v/>
      </c>
      <c r="T200" t="n">
        <v>160</v>
      </c>
      <c r="U200" t="inlineStr">
        <is>
          <t>Assets/MachineBrigade/Resources/Data/balance.json: vehicles[id=silver_bug] dựng bởi Tools/balance/p26_ab.expand</t>
        </is>
      </c>
      <c r="V200" t="inlineStr"/>
    </row>
    <row r="201">
      <c r="A201" t="inlineStr">
        <is>
          <t>silver_bug/4</t>
        </is>
      </c>
      <c r="B201" t="inlineStr">
        <is>
          <t>silver_bug</t>
        </is>
      </c>
      <c r="C201" t="n">
        <v>4</v>
      </c>
      <c r="D201" t="inlineStr">
        <is>
          <t>p26_icarus_direct_ic_laser</t>
        </is>
      </c>
      <c r="E201" t="inlineStr">
        <is>
          <t>gun</t>
        </is>
      </c>
      <c r="F201" t="inlineStr">
        <is>
          <t>Free</t>
        </is>
      </c>
      <c r="G201" t="inlineStr"/>
      <c r="H201" t="n">
        <v>1</v>
      </c>
      <c r="I201" t="n">
        <v>16</v>
      </c>
      <c r="J201" t="n">
        <v>0.1</v>
      </c>
      <c r="K201" t="n">
        <v>1.5</v>
      </c>
      <c r="L201" t="n">
        <v>0</v>
      </c>
      <c r="M201" t="n">
        <v>0</v>
      </c>
      <c r="N201">
        <f>INDEX(boss_input_vu_khi_suy_ra!$C$2:$C$94,MATCH($D$201,boss_input_vu_khi_suy_ra!$A$2:$A$94,0))</f>
        <v/>
      </c>
      <c r="O201" t="inlineStr">
        <is>
          <t>giong</t>
        </is>
      </c>
      <c r="R201" t="n">
        <v>0.1</v>
      </c>
      <c r="S201">
        <f>IF($D$201="",0,INDEX(boss_input_vu_khi_suy_ra!$B$2:$B$94,MATCH($D$201,boss_input_vu_khi_suy_ra!$A$2:$A$94,0))*IF(INDEX(boss_input_vu_khi!$D$2:$D$94,MATCH($D$201,boss_input_vu_khi!$A$2:$A$94,0)),1,Boss_dps!$B$32)*Boss_dps!$C$32)</f>
        <v/>
      </c>
      <c r="T201" t="n">
        <v>160</v>
      </c>
      <c r="U201" t="inlineStr">
        <is>
          <t>Assets/MachineBrigade/Resources/Data/balance.json: vehicles[id=silver_bug] dựng bởi Tools/balance/p26_ab.expand</t>
        </is>
      </c>
      <c r="V201" t="inlineStr"/>
    </row>
    <row r="202">
      <c r="A202" t="inlineStr">
        <is>
          <t>silver_bug/5</t>
        </is>
      </c>
      <c r="B202" t="inlineStr">
        <is>
          <t>silver_bug</t>
        </is>
      </c>
      <c r="C202" t="n">
        <v>5</v>
      </c>
      <c r="D202" t="inlineStr">
        <is>
          <t>pt14_sb_v30</t>
        </is>
      </c>
      <c r="E202" t="inlineStr">
        <is>
          <t>gun</t>
        </is>
      </c>
      <c r="F202" t="inlineStr">
        <is>
          <t>Free</t>
        </is>
      </c>
      <c r="G202" t="inlineStr"/>
      <c r="H202" t="n">
        <v>1</v>
      </c>
      <c r="I202" t="n">
        <v>22</v>
      </c>
      <c r="J202" t="n">
        <v>1.9</v>
      </c>
      <c r="K202" t="n">
        <v>0</v>
      </c>
      <c r="L202" t="n">
        <v>0</v>
      </c>
      <c r="M202" t="n">
        <v>0</v>
      </c>
      <c r="N202">
        <f>INDEX(boss_input_vu_khi_suy_ra!$C$2:$C$94,MATCH($D$202,boss_input_vu_khi_suy_ra!$A$2:$A$94,0))</f>
        <v/>
      </c>
      <c r="O202" t="inlineStr">
        <is>
          <t>doi</t>
        </is>
      </c>
      <c r="P202" t="inlineStr">
        <is>
          <t>p26_icarus_close_autocannon_40</t>
        </is>
      </c>
      <c r="Q202" t="inlineStr">
        <is>
          <t>pt14_sb_v30</t>
        </is>
      </c>
      <c r="R202" t="n">
        <v>2.6</v>
      </c>
      <c r="S202">
        <f>IF($D$202="",0,INDEX(boss_input_vu_khi_suy_ra!$B$2:$B$94,MATCH($D$202,boss_input_vu_khi_suy_ra!$A$2:$A$94,0))*IF(INDEX(boss_input_vu_khi!$D$2:$D$94,MATCH($D$202,boss_input_vu_khi!$A$2:$A$94,0)),1,Boss_dps!$B$32)*Boss_dps!$C$32)</f>
        <v/>
      </c>
      <c r="T202" t="n">
        <v>67.69230769230769</v>
      </c>
      <c r="U202" t="inlineStr">
        <is>
          <t>Assets/MachineBrigade/Resources/Data/balance.json: vehicles[id=silver_bug] dựng bởi Tools/balance/p26_ab.expand</t>
        </is>
      </c>
      <c r="V202" t="inlineStr"/>
    </row>
    <row r="203">
      <c r="A203" t="inlineStr">
        <is>
          <t>silver_bug/6</t>
        </is>
      </c>
      <c r="B203" t="inlineStr">
        <is>
          <t>silver_bug</t>
        </is>
      </c>
      <c r="C203" t="n">
        <v>6</v>
      </c>
      <c r="D203" t="inlineStr">
        <is>
          <t>pt14_sb_v30</t>
        </is>
      </c>
      <c r="E203" t="inlineStr">
        <is>
          <t>gun</t>
        </is>
      </c>
      <c r="F203" t="inlineStr">
        <is>
          <t>Free</t>
        </is>
      </c>
      <c r="G203" t="inlineStr"/>
      <c r="H203" t="n">
        <v>1</v>
      </c>
      <c r="I203" t="n">
        <v>22</v>
      </c>
      <c r="J203" t="n">
        <v>1.9</v>
      </c>
      <c r="K203" t="n">
        <v>0</v>
      </c>
      <c r="L203" t="n">
        <v>0</v>
      </c>
      <c r="M203" t="n">
        <v>0</v>
      </c>
      <c r="N203">
        <f>INDEX(boss_input_vu_khi_suy_ra!$C$2:$C$94,MATCH($D$203,boss_input_vu_khi_suy_ra!$A$2:$A$94,0))</f>
        <v/>
      </c>
      <c r="O203" t="inlineStr">
        <is>
          <t>doi</t>
        </is>
      </c>
      <c r="P203" t="inlineStr">
        <is>
          <t>p26_icarus_close_autocannon_40</t>
        </is>
      </c>
      <c r="Q203" t="inlineStr">
        <is>
          <t>pt14_sb_v30</t>
        </is>
      </c>
      <c r="R203" t="n">
        <v>2.6</v>
      </c>
      <c r="S203">
        <f>IF($D$203="",0,INDEX(boss_input_vu_khi_suy_ra!$B$2:$B$94,MATCH($D$203,boss_input_vu_khi_suy_ra!$A$2:$A$94,0))*IF(INDEX(boss_input_vu_khi!$D$2:$D$94,MATCH($D$203,boss_input_vu_khi!$A$2:$A$94,0)),1,Boss_dps!$B$32)*Boss_dps!$C$32)</f>
        <v/>
      </c>
      <c r="T203" t="n">
        <v>67.69230769230769</v>
      </c>
      <c r="U203" t="inlineStr">
        <is>
          <t>Assets/MachineBrigade/Resources/Data/balance.json: vehicles[id=silver_bug] dựng bởi Tools/balance/p26_ab.expand</t>
        </is>
      </c>
      <c r="V203" t="inlineStr"/>
    </row>
    <row r="204">
      <c r="A204" t="inlineStr">
        <is>
          <t>silver_bug/7</t>
        </is>
      </c>
      <c r="B204" t="inlineStr">
        <is>
          <t>silver_bug</t>
        </is>
      </c>
      <c r="C204" t="n">
        <v>7</v>
      </c>
      <c r="D204" t="inlineStr">
        <is>
          <t>pt14_sb_v105</t>
        </is>
      </c>
      <c r="E204" t="inlineStr">
        <is>
          <t>gun</t>
        </is>
      </c>
      <c r="F204" t="inlineStr">
        <is>
          <t>Free</t>
        </is>
      </c>
      <c r="G204" t="inlineStr"/>
      <c r="H204" t="n">
        <v>1</v>
      </c>
      <c r="I204" t="n">
        <v>300</v>
      </c>
      <c r="J204" t="n">
        <v>6</v>
      </c>
      <c r="K204" t="n">
        <v>5.5</v>
      </c>
      <c r="L204" t="n">
        <v>11</v>
      </c>
      <c r="M204" t="n">
        <v>0</v>
      </c>
      <c r="N204">
        <f>INDEX(boss_input_vu_khi_suy_ra!$C$2:$C$94,MATCH($D$204,boss_input_vu_khi_suy_ra!$A$2:$A$94,0))</f>
        <v/>
      </c>
      <c r="O204" t="inlineStr">
        <is>
          <t>moi</t>
        </is>
      </c>
      <c r="R204" t="n">
        <v>6</v>
      </c>
      <c r="S204">
        <f>IF($D$204="",0,INDEX(boss_input_vu_khi_suy_ra!$B$2:$B$94,MATCH($D$204,boss_input_vu_khi_suy_ra!$A$2:$A$94,0))*IF(INDEX(boss_input_vu_khi!$D$2:$D$94,MATCH($D$204,boss_input_vu_khi!$A$2:$A$94,0)),1,Boss_dps!$B$32)*Boss_dps!$C$32)</f>
        <v/>
      </c>
      <c r="T204" t="n">
        <v>50</v>
      </c>
      <c r="U204" t="inlineStr">
        <is>
          <t>Assets/MachineBrigade/Resources/Data/balance.json: vehicles[id=silver_bug] dựng bởi Tools/balance/p26_ab.expand</t>
        </is>
      </c>
      <c r="V204" t="inlineStr"/>
    </row>
    <row r="205">
      <c r="A205" t="inlineStr">
        <is>
          <t>silver_bug/8</t>
        </is>
      </c>
      <c r="B205" t="inlineStr">
        <is>
          <t>silver_bug</t>
        </is>
      </c>
      <c r="C205" t="n">
        <v>8</v>
      </c>
      <c r="D205" t="inlineStr">
        <is>
          <t>pt14_sb_v105</t>
        </is>
      </c>
      <c r="E205" t="inlineStr">
        <is>
          <t>gun</t>
        </is>
      </c>
      <c r="F205" t="inlineStr">
        <is>
          <t>Free</t>
        </is>
      </c>
      <c r="G205" t="inlineStr"/>
      <c r="H205" t="n">
        <v>1</v>
      </c>
      <c r="I205" t="n">
        <v>300</v>
      </c>
      <c r="J205" t="n">
        <v>6</v>
      </c>
      <c r="K205" t="n">
        <v>5.5</v>
      </c>
      <c r="L205" t="n">
        <v>11</v>
      </c>
      <c r="M205" t="n">
        <v>0</v>
      </c>
      <c r="N205">
        <f>INDEX(boss_input_vu_khi_suy_ra!$C$2:$C$94,MATCH($D$205,boss_input_vu_khi_suy_ra!$A$2:$A$94,0))</f>
        <v/>
      </c>
      <c r="O205" t="inlineStr">
        <is>
          <t>moi</t>
        </is>
      </c>
      <c r="R205" t="n">
        <v>6</v>
      </c>
      <c r="S205">
        <f>IF($D$205="",0,INDEX(boss_input_vu_khi_suy_ra!$B$2:$B$94,MATCH($D$205,boss_input_vu_khi_suy_ra!$A$2:$A$94,0))*IF(INDEX(boss_input_vu_khi!$D$2:$D$94,MATCH($D$205,boss_input_vu_khi!$A$2:$A$94,0)),1,Boss_dps!$B$32)*Boss_dps!$C$32)</f>
        <v/>
      </c>
      <c r="T205" t="n">
        <v>50</v>
      </c>
      <c r="U205" t="inlineStr">
        <is>
          <t>Assets/MachineBrigade/Resources/Data/balance.json: vehicles[id=silver_bug] dựng bởi Tools/balance/p26_ab.expand</t>
        </is>
      </c>
      <c r="V205" t="inlineStr"/>
    </row>
    <row r="206">
      <c r="A206" t="inlineStr">
        <is>
          <t>silver_bug/9</t>
        </is>
      </c>
      <c r="B206" t="inlineStr">
        <is>
          <t>silver_bug</t>
        </is>
      </c>
      <c r="C206" t="n">
        <v>9</v>
      </c>
      <c r="D206" t="inlineStr">
        <is>
          <t>p26_icarus_close_autocannon_40</t>
        </is>
      </c>
      <c r="E206" t="inlineStr">
        <is>
          <t>gun</t>
        </is>
      </c>
      <c r="F206" t="inlineStr">
        <is>
          <t>Free</t>
        </is>
      </c>
      <c r="G206" t="inlineStr">
        <is>
          <t>crash_turret_l</t>
        </is>
      </c>
      <c r="H206" t="n">
        <v>1</v>
      </c>
      <c r="I206" t="n">
        <v>30</v>
      </c>
      <c r="J206" t="n">
        <v>0.2</v>
      </c>
      <c r="K206" t="n">
        <v>0</v>
      </c>
      <c r="L206" t="n">
        <v>0</v>
      </c>
      <c r="M206" t="n">
        <v>0</v>
      </c>
      <c r="N206">
        <f>INDEX(boss_input_vu_khi_suy_ra!$C$2:$C$94,MATCH($D$206,boss_input_vu_khi_suy_ra!$A$2:$A$94,0))</f>
        <v/>
      </c>
      <c r="O206" t="inlineStr">
        <is>
          <t>moi</t>
        </is>
      </c>
      <c r="R206" t="n">
        <v>3.32</v>
      </c>
      <c r="S206">
        <f>IF($D$206="",0,INDEX(boss_input_vu_khi_suy_ra!$B$2:$B$94,MATCH($D$206,boss_input_vu_khi_suy_ra!$A$2:$A$94,0))*IF(INDEX(boss_input_vu_khi!$D$2:$D$94,MATCH($D$206,boss_input_vu_khi!$A$2:$A$94,0)),1,Boss_dps!$B$32)*Boss_dps!$C$32)</f>
        <v/>
      </c>
      <c r="T206" t="n">
        <v>90.36144578313252</v>
      </c>
      <c r="U206" t="inlineStr">
        <is>
          <t>Assets/MachineBrigade/Resources/Data/balance.json: vehicles[id=silver_bug] dựng bởi Tools/balance/p26_ab.expand</t>
        </is>
      </c>
      <c r="V206" t="inlineStr"/>
    </row>
    <row r="207">
      <c r="A207" t="inlineStr">
        <is>
          <t>silver_bug/10</t>
        </is>
      </c>
      <c r="B207" t="inlineStr">
        <is>
          <t>silver_bug</t>
        </is>
      </c>
      <c r="C207" t="n">
        <v>10</v>
      </c>
      <c r="D207" t="inlineStr">
        <is>
          <t>p26_icarus_close_autocannon_40</t>
        </is>
      </c>
      <c r="E207" t="inlineStr">
        <is>
          <t>gun</t>
        </is>
      </c>
      <c r="F207" t="inlineStr">
        <is>
          <t>Free</t>
        </is>
      </c>
      <c r="G207" t="inlineStr">
        <is>
          <t>crash_turret_r</t>
        </is>
      </c>
      <c r="H207" t="n">
        <v>1</v>
      </c>
      <c r="I207" t="n">
        <v>30</v>
      </c>
      <c r="J207" t="n">
        <v>0.2</v>
      </c>
      <c r="K207" t="n">
        <v>0</v>
      </c>
      <c r="L207" t="n">
        <v>0</v>
      </c>
      <c r="M207" t="n">
        <v>0</v>
      </c>
      <c r="N207">
        <f>INDEX(boss_input_vu_khi_suy_ra!$C$2:$C$94,MATCH($D$207,boss_input_vu_khi_suy_ra!$A$2:$A$94,0))</f>
        <v/>
      </c>
      <c r="O207" t="inlineStr">
        <is>
          <t>moi</t>
        </is>
      </c>
      <c r="R207" t="n">
        <v>3.32</v>
      </c>
      <c r="S207">
        <f>IF($D$207="",0,INDEX(boss_input_vu_khi_suy_ra!$B$2:$B$94,MATCH($D$207,boss_input_vu_khi_suy_ra!$A$2:$A$94,0))*IF(INDEX(boss_input_vu_khi!$D$2:$D$94,MATCH($D$207,boss_input_vu_khi!$A$2:$A$94,0)),1,Boss_dps!$B$32)*Boss_dps!$C$32)</f>
        <v/>
      </c>
      <c r="T207" t="n">
        <v>90.36144578313252</v>
      </c>
      <c r="U207" t="inlineStr">
        <is>
          <t>Assets/MachineBrigade/Resources/Data/balance.json: vehicles[id=silver_bug] dựng bởi Tools/balance/p26_ab.expand</t>
        </is>
      </c>
      <c r="V207" t="inlineStr"/>
    </row>
    <row r="208">
      <c r="A208" t="inlineStr">
        <is>
          <t>theia/0</t>
        </is>
      </c>
      <c r="B208" t="inlineStr">
        <is>
          <t>theia</t>
        </is>
      </c>
      <c r="C208" t="n">
        <v>0</v>
      </c>
      <c r="D208" t="inlineStr">
        <is>
          <t>p26_icarus_sec_orbital_laser</t>
        </is>
      </c>
      <c r="E208" t="inlineStr">
        <is>
          <t>main</t>
        </is>
      </c>
      <c r="F208" t="inlineStr">
        <is>
          <t>Free</t>
        </is>
      </c>
      <c r="G208" t="inlineStr">
        <is>
          <t>main_laser</t>
        </is>
      </c>
      <c r="H208" t="n">
        <v>1</v>
      </c>
      <c r="I208" t="n">
        <v>40</v>
      </c>
      <c r="J208" t="n">
        <v>0.1</v>
      </c>
      <c r="K208" t="n">
        <v>1.5</v>
      </c>
      <c r="L208" t="n">
        <v>0</v>
      </c>
      <c r="M208" t="n">
        <v>0</v>
      </c>
      <c r="N208">
        <f>INDEX(boss_input_vu_khi_suy_ra!$C$2:$C$94,MATCH($D$208,boss_input_vu_khi_suy_ra!$A$2:$A$94,0))</f>
        <v/>
      </c>
      <c r="O208" t="inlineStr">
        <is>
          <t>moi</t>
        </is>
      </c>
      <c r="R208" t="n">
        <v>0.1</v>
      </c>
      <c r="S208">
        <f>IF($D$208="",0,INDEX(boss_input_vu_khi_suy_ra!$B$2:$B$94,MATCH($D$208,boss_input_vu_khi_suy_ra!$A$2:$A$94,0))*IF(INDEX(boss_input_vu_khi!$D$2:$D$94,MATCH($D$208,boss_input_vu_khi!$A$2:$A$94,0)),1,Boss_dps!$B$33)*Boss_dps!$C$33)</f>
        <v/>
      </c>
      <c r="T208" t="n">
        <v>400</v>
      </c>
      <c r="U208" t="inlineStr">
        <is>
          <t>Assets/MachineBrigade/Resources/Data/balance.json: vehicles[id=theia] dựng bởi Tools/balance/p26_ab.expand</t>
        </is>
      </c>
      <c r="V208" t="inlineStr"/>
    </row>
    <row r="209">
      <c r="A209" t="inlineStr">
        <is>
          <t>theia/1</t>
        </is>
      </c>
      <c r="B209" t="inlineStr">
        <is>
          <t>theia</t>
        </is>
      </c>
      <c r="C209" t="n">
        <v>1</v>
      </c>
      <c r="D209" t="inlineStr">
        <is>
          <t>p26_matriarch_ma_drones</t>
        </is>
      </c>
      <c r="E209" t="inlineStr">
        <is>
          <t>missile</t>
        </is>
      </c>
      <c r="F209" t="inlineStr">
        <is>
          <t>Free</t>
        </is>
      </c>
      <c r="G209" t="inlineStr"/>
      <c r="H209" t="n">
        <v>1</v>
      </c>
      <c r="I209" t="n">
        <v>320</v>
      </c>
      <c r="J209" t="n">
        <v>4</v>
      </c>
      <c r="K209" t="n">
        <v>3</v>
      </c>
      <c r="L209" t="n">
        <v>6</v>
      </c>
      <c r="M209" t="n">
        <v>0</v>
      </c>
      <c r="N209">
        <f>INDEX(boss_input_vu_khi_suy_ra!$C$2:$C$94,MATCH($D$209,boss_input_vu_khi_suy_ra!$A$2:$A$94,0))</f>
        <v/>
      </c>
      <c r="O209" t="inlineStr">
        <is>
          <t>moi</t>
        </is>
      </c>
      <c r="R209" t="n">
        <v>5</v>
      </c>
      <c r="S209">
        <f>IF($D$209="",0,INDEX(boss_input_vu_khi_suy_ra!$B$2:$B$94,MATCH($D$209,boss_input_vu_khi_suy_ra!$A$2:$A$94,0))*IF(INDEX(boss_input_vu_khi!$D$2:$D$94,MATCH($D$209,boss_input_vu_khi!$A$2:$A$94,0)),1,Boss_dps!$B$33)*Boss_dps!$C$33)</f>
        <v/>
      </c>
      <c r="T209" t="n">
        <v>384</v>
      </c>
      <c r="U209" t="inlineStr">
        <is>
          <t>Assets/MachineBrigade/Resources/Data/balance.json: vehicles[id=theia] dựng bởi Tools/balance/p26_ab.expand</t>
        </is>
      </c>
      <c r="V209" t="inlineStr"/>
    </row>
    <row r="210">
      <c r="A210" t="inlineStr">
        <is>
          <t>theia/2</t>
        </is>
      </c>
      <c r="B210" t="inlineStr">
        <is>
          <t>theia</t>
        </is>
      </c>
      <c r="C210" t="n">
        <v>2</v>
      </c>
      <c r="D210" t="inlineStr">
        <is>
          <t>pt14_th_jagm</t>
        </is>
      </c>
      <c r="E210" t="inlineStr">
        <is>
          <t>rocket</t>
        </is>
      </c>
      <c r="F210" t="inlineStr">
        <is>
          <t>Free</t>
        </is>
      </c>
      <c r="G210" t="inlineStr"/>
      <c r="H210" t="n">
        <v>1</v>
      </c>
      <c r="I210" t="n">
        <v>270</v>
      </c>
      <c r="J210" t="n">
        <v>9</v>
      </c>
      <c r="K210" t="n">
        <v>0</v>
      </c>
      <c r="L210" t="n">
        <v>0</v>
      </c>
      <c r="M210" t="n">
        <v>0</v>
      </c>
      <c r="N210">
        <f>INDEX(boss_input_vu_khi_suy_ra!$C$2:$C$94,MATCH($D$210,boss_input_vu_khi_suy_ra!$A$2:$A$94,0))</f>
        <v/>
      </c>
      <c r="O210" t="inlineStr">
        <is>
          <t>moi</t>
        </is>
      </c>
      <c r="R210" t="n">
        <v>9.5</v>
      </c>
      <c r="S210">
        <f>IF($D$210="",0,INDEX(boss_input_vu_khi_suy_ra!$B$2:$B$94,MATCH($D$210,boss_input_vu_khi_suy_ra!$A$2:$A$94,0))*IF(INDEX(boss_input_vu_khi!$D$2:$D$94,MATCH($D$210,boss_input_vu_khi!$A$2:$A$94,0)),1,Boss_dps!$B$33)*Boss_dps!$C$33)</f>
        <v/>
      </c>
      <c r="T210" t="n">
        <v>56.8421052631579</v>
      </c>
      <c r="U210" t="inlineStr">
        <is>
          <t>Assets/MachineBrigade/Resources/Data/balance.json: vehicles[id=theia] dựng bởi Tools/balance/p26_ab.expand</t>
        </is>
      </c>
      <c r="V210" t="inlineStr"/>
    </row>
    <row r="211">
      <c r="A211" t="inlineStr">
        <is>
          <t>theia/3</t>
        </is>
      </c>
      <c r="B211" t="inlineStr">
        <is>
          <t>theia</t>
        </is>
      </c>
      <c r="C211" t="n">
        <v>3</v>
      </c>
      <c r="D211" t="inlineStr">
        <is>
          <t>pt14_th_jagm</t>
        </is>
      </c>
      <c r="E211" t="inlineStr">
        <is>
          <t>rocket</t>
        </is>
      </c>
      <c r="F211" t="inlineStr">
        <is>
          <t>Free</t>
        </is>
      </c>
      <c r="G211" t="inlineStr"/>
      <c r="H211" t="n">
        <v>1</v>
      </c>
      <c r="I211" t="n">
        <v>270</v>
      </c>
      <c r="J211" t="n">
        <v>9</v>
      </c>
      <c r="K211" t="n">
        <v>0</v>
      </c>
      <c r="L211" t="n">
        <v>0</v>
      </c>
      <c r="M211" t="n">
        <v>0</v>
      </c>
      <c r="N211">
        <f>INDEX(boss_input_vu_khi_suy_ra!$C$2:$C$94,MATCH($D$211,boss_input_vu_khi_suy_ra!$A$2:$A$94,0))</f>
        <v/>
      </c>
      <c r="O211" t="inlineStr">
        <is>
          <t>moi</t>
        </is>
      </c>
      <c r="R211" t="n">
        <v>9.5</v>
      </c>
      <c r="S211">
        <f>IF($D$211="",0,INDEX(boss_input_vu_khi_suy_ra!$B$2:$B$94,MATCH($D$211,boss_input_vu_khi_suy_ra!$A$2:$A$94,0))*IF(INDEX(boss_input_vu_khi!$D$2:$D$94,MATCH($D$211,boss_input_vu_khi!$A$2:$A$94,0)),1,Boss_dps!$B$33)*Boss_dps!$C$33)</f>
        <v/>
      </c>
      <c r="T211" t="n">
        <v>56.8421052631579</v>
      </c>
      <c r="U211" t="inlineStr">
        <is>
          <t>Assets/MachineBrigade/Resources/Data/balance.json: vehicles[id=theia] dựng bởi Tools/balance/p26_ab.expand</t>
        </is>
      </c>
      <c r="V211" t="inlineStr"/>
    </row>
    <row r="212">
      <c r="A212" t="inlineStr">
        <is>
          <t>theia/4</t>
        </is>
      </c>
      <c r="B212" t="inlineStr">
        <is>
          <t>theia</t>
        </is>
      </c>
      <c r="C212" t="n">
        <v>4</v>
      </c>
      <c r="D212" t="inlineStr">
        <is>
          <t>pt14_th_v35</t>
        </is>
      </c>
      <c r="E212" t="inlineStr">
        <is>
          <t>gun</t>
        </is>
      </c>
      <c r="F212" t="inlineStr">
        <is>
          <t>Free</t>
        </is>
      </c>
      <c r="G212" t="inlineStr"/>
      <c r="H212" t="n">
        <v>1</v>
      </c>
      <c r="I212" t="n">
        <v>25</v>
      </c>
      <c r="J212" t="n">
        <v>0.25</v>
      </c>
      <c r="K212" t="n">
        <v>2.5</v>
      </c>
      <c r="L212" t="n">
        <v>0</v>
      </c>
      <c r="M212" t="n">
        <v>0</v>
      </c>
      <c r="N212">
        <f>INDEX(boss_input_vu_khi_suy_ra!$C$2:$C$94,MATCH($D$212,boss_input_vu_khi_suy_ra!$A$2:$A$94,0))</f>
        <v/>
      </c>
      <c r="O212" t="inlineStr">
        <is>
          <t>moi</t>
        </is>
      </c>
      <c r="R212" t="n">
        <v>5.55</v>
      </c>
      <c r="S212">
        <f>IF($D$212="",0,INDEX(boss_input_vu_khi_suy_ra!$B$2:$B$94,MATCH($D$212,boss_input_vu_khi_suy_ra!$A$2:$A$94,0))*IF(INDEX(boss_input_vu_khi!$D$2:$D$94,MATCH($D$212,boss_input_vu_khi!$A$2:$A$94,0)),1,Boss_dps!$B$33)*Boss_dps!$C$33)</f>
        <v/>
      </c>
      <c r="T212" t="n">
        <v>72.07207207207207</v>
      </c>
      <c r="U212" t="inlineStr">
        <is>
          <t>Assets/MachineBrigade/Resources/Data/balance.json: vehicles[id=theia] dựng bởi Tools/balance/p26_ab.expand</t>
        </is>
      </c>
      <c r="V212" t="inlineStr"/>
    </row>
    <row r="213">
      <c r="A213" t="inlineStr">
        <is>
          <t>theia/5</t>
        </is>
      </c>
      <c r="B213" t="inlineStr">
        <is>
          <t>theia</t>
        </is>
      </c>
      <c r="C213" t="n">
        <v>5</v>
      </c>
      <c r="D213" t="inlineStr">
        <is>
          <t>pt14_th_v35</t>
        </is>
      </c>
      <c r="E213" t="inlineStr">
        <is>
          <t>gun</t>
        </is>
      </c>
      <c r="F213" t="inlineStr">
        <is>
          <t>Free</t>
        </is>
      </c>
      <c r="G213" t="inlineStr"/>
      <c r="H213" t="n">
        <v>1</v>
      </c>
      <c r="I213" t="n">
        <v>25</v>
      </c>
      <c r="J213" t="n">
        <v>0.25</v>
      </c>
      <c r="K213" t="n">
        <v>2.5</v>
      </c>
      <c r="L213" t="n">
        <v>0</v>
      </c>
      <c r="M213" t="n">
        <v>0</v>
      </c>
      <c r="N213">
        <f>INDEX(boss_input_vu_khi_suy_ra!$C$2:$C$94,MATCH($D$213,boss_input_vu_khi_suy_ra!$A$2:$A$94,0))</f>
        <v/>
      </c>
      <c r="O213" t="inlineStr">
        <is>
          <t>moi</t>
        </is>
      </c>
      <c r="R213" t="n">
        <v>5.55</v>
      </c>
      <c r="S213">
        <f>IF($D$213="",0,INDEX(boss_input_vu_khi_suy_ra!$B$2:$B$94,MATCH($D$213,boss_input_vu_khi_suy_ra!$A$2:$A$94,0))*IF(INDEX(boss_input_vu_khi!$D$2:$D$94,MATCH($D$213,boss_input_vu_khi!$A$2:$A$94,0)),1,Boss_dps!$B$33)*Boss_dps!$C$33)</f>
        <v/>
      </c>
      <c r="T213" t="n">
        <v>72.07207207207207</v>
      </c>
      <c r="U213" t="inlineStr">
        <is>
          <t>Assets/MachineBrigade/Resources/Data/balance.json: vehicles[id=theia] dựng bởi Tools/balance/p26_ab.expand</t>
        </is>
      </c>
      <c r="V213" t="inlineStr"/>
    </row>
    <row r="214">
      <c r="A214" t="inlineStr">
        <is>
          <t>theia/6</t>
        </is>
      </c>
      <c r="B214" t="inlineStr">
        <is>
          <t>theia</t>
        </is>
      </c>
      <c r="C214" t="n">
        <v>6</v>
      </c>
      <c r="D214" t="inlineStr">
        <is>
          <t>pt14_th_pd</t>
        </is>
      </c>
      <c r="E214" t="inlineStr">
        <is>
          <t>mg</t>
        </is>
      </c>
      <c r="F214" t="inlineStr">
        <is>
          <t>Free</t>
        </is>
      </c>
      <c r="G214" t="inlineStr"/>
      <c r="H214" t="n">
        <v>1</v>
      </c>
      <c r="I214" t="n">
        <v>6</v>
      </c>
      <c r="J214" t="n">
        <v>0.0667</v>
      </c>
      <c r="K214" t="n">
        <v>0</v>
      </c>
      <c r="L214" t="n">
        <v>0</v>
      </c>
      <c r="M214" t="n">
        <v>0</v>
      </c>
      <c r="N214">
        <f>INDEX(boss_input_vu_khi_suy_ra!$C$2:$C$94,MATCH($D$214,boss_input_vu_khi_suy_ra!$A$2:$A$94,0))</f>
        <v/>
      </c>
      <c r="O214" t="inlineStr">
        <is>
          <t>moi</t>
        </is>
      </c>
      <c r="R214" t="n">
        <v>0.0667</v>
      </c>
      <c r="S214">
        <f>IF($D$214="",0,INDEX(boss_input_vu_khi_suy_ra!$B$2:$B$94,MATCH($D$214,boss_input_vu_khi_suy_ra!$A$2:$A$94,0))*IF(INDEX(boss_input_vu_khi!$D$2:$D$94,MATCH($D$214,boss_input_vu_khi!$A$2:$A$94,0)),1,Boss_dps!$B$33)*Boss_dps!$C$33)</f>
        <v/>
      </c>
      <c r="T214" t="n">
        <v>89.95502248875563</v>
      </c>
      <c r="U214" t="inlineStr">
        <is>
          <t>Assets/MachineBrigade/Resources/Data/balance.json: vehicles[id=theia] dựng bởi Tools/balance/p26_ab.expand</t>
        </is>
      </c>
      <c r="V214" t="inlineStr"/>
    </row>
    <row r="215">
      <c r="A215" t="inlineStr">
        <is>
          <t>theia/7</t>
        </is>
      </c>
      <c r="B215" t="inlineStr">
        <is>
          <t>theia</t>
        </is>
      </c>
      <c r="C215" t="n">
        <v>7</v>
      </c>
      <c r="D215" t="inlineStr">
        <is>
          <t>pt14_th_pd</t>
        </is>
      </c>
      <c r="E215" t="inlineStr">
        <is>
          <t>mg</t>
        </is>
      </c>
      <c r="F215" t="inlineStr">
        <is>
          <t>Free</t>
        </is>
      </c>
      <c r="G215" t="inlineStr"/>
      <c r="H215" t="n">
        <v>1</v>
      </c>
      <c r="I215" t="n">
        <v>6</v>
      </c>
      <c r="J215" t="n">
        <v>0.0667</v>
      </c>
      <c r="K215" t="n">
        <v>0</v>
      </c>
      <c r="L215" t="n">
        <v>0</v>
      </c>
      <c r="M215" t="n">
        <v>0</v>
      </c>
      <c r="N215">
        <f>INDEX(boss_input_vu_khi_suy_ra!$C$2:$C$94,MATCH($D$215,boss_input_vu_khi_suy_ra!$A$2:$A$94,0))</f>
        <v/>
      </c>
      <c r="O215" t="inlineStr">
        <is>
          <t>moi</t>
        </is>
      </c>
      <c r="R215" t="n">
        <v>0.0667</v>
      </c>
      <c r="S215">
        <f>IF($D$215="",0,INDEX(boss_input_vu_khi_suy_ra!$B$2:$B$94,MATCH($D$215,boss_input_vu_khi_suy_ra!$A$2:$A$94,0))*IF(INDEX(boss_input_vu_khi!$D$2:$D$94,MATCH($D$215,boss_input_vu_khi!$A$2:$A$94,0)),1,Boss_dps!$B$33)*Boss_dps!$C$33)</f>
        <v/>
      </c>
      <c r="T215" t="n">
        <v>89.95502248875563</v>
      </c>
      <c r="U215" t="inlineStr">
        <is>
          <t>Assets/MachineBrigade/Resources/Data/balance.json: vehicles[id=theia] dựng bởi Tools/balance/p26_ab.expand</t>
        </is>
      </c>
      <c r="V215" t="inlineStr"/>
    </row>
    <row r="216">
      <c r="A216" t="inlineStr">
        <is>
          <t>typhon/0</t>
        </is>
      </c>
      <c r="B216" t="inlineStr">
        <is>
          <t>typhon</t>
        </is>
      </c>
      <c r="C216" t="n">
        <v>0</v>
      </c>
      <c r="D216" t="inlineStr">
        <is>
          <t>sam_post</t>
        </is>
      </c>
      <c r="E216" t="inlineStr">
        <is>
          <t>missile</t>
        </is>
      </c>
      <c r="F216" t="inlineStr"/>
      <c r="G216" t="inlineStr">
        <is>
          <t>sam</t>
        </is>
      </c>
      <c r="H216" t="n">
        <v>1</v>
      </c>
      <c r="I216" t="n">
        <v>320</v>
      </c>
      <c r="J216" t="n">
        <v>3.9</v>
      </c>
      <c r="K216" t="n">
        <v>2</v>
      </c>
      <c r="L216" t="n">
        <v>0</v>
      </c>
      <c r="M216" t="n">
        <v>0</v>
      </c>
      <c r="N216">
        <f>INDEX(boss_input_vu_khi_suy_ra!$C$2:$C$94,MATCH($D$216,boss_input_vu_khi_suy_ra!$A$2:$A$94,0))</f>
        <v/>
      </c>
      <c r="O216" t="inlineStr">
        <is>
          <t>giong</t>
        </is>
      </c>
      <c r="R216" t="n">
        <v>4.4</v>
      </c>
      <c r="S216">
        <f>IF($D$216="",0,INDEX(boss_input_vu_khi_suy_ra!$B$2:$B$94,MATCH($D$216,boss_input_vu_khi_suy_ra!$A$2:$A$94,0))*IF(INDEX(boss_input_vu_khi!$D$2:$D$94,MATCH($D$216,boss_input_vu_khi!$A$2:$A$94,0)),1,Boss_dps!$B$34)*Boss_dps!$C$34)</f>
        <v/>
      </c>
      <c r="T216" t="n">
        <v>145.4545454545454</v>
      </c>
      <c r="U216" t="inlineStr">
        <is>
          <t>Assets/MachineBrigade/Resources/Data/balance.json: vehicles[id=typhon] dựng bởi Tools/balance/p26_ab.expand</t>
        </is>
      </c>
      <c r="V216" t="inlineStr"/>
    </row>
    <row r="217">
      <c r="A217" t="inlineStr">
        <is>
          <t>typhon/1</t>
        </is>
      </c>
      <c r="B217" t="inlineStr">
        <is>
          <t>typhon</t>
        </is>
      </c>
      <c r="C217" t="n">
        <v>1</v>
      </c>
      <c r="D217" t="inlineStr">
        <is>
          <t>p26_typhon_sec_ty57</t>
        </is>
      </c>
      <c r="E217" t="inlineStr">
        <is>
          <t>gun</t>
        </is>
      </c>
      <c r="F217" t="inlineStr">
        <is>
          <t>Free</t>
        </is>
      </c>
      <c r="G217" t="inlineStr"/>
      <c r="H217" t="n">
        <v>2</v>
      </c>
      <c r="I217" t="n">
        <v>120</v>
      </c>
      <c r="J217" t="n">
        <v>2.79</v>
      </c>
      <c r="K217" t="n">
        <v>3</v>
      </c>
      <c r="L217" t="n">
        <v>6</v>
      </c>
      <c r="M217" t="n">
        <v>0</v>
      </c>
      <c r="N217">
        <f>INDEX(boss_input_vu_khi_suy_ra!$C$2:$C$94,MATCH($D$217,boss_input_vu_khi_suy_ra!$A$2:$A$94,0))</f>
        <v/>
      </c>
      <c r="O217" t="inlineStr">
        <is>
          <t>giong</t>
        </is>
      </c>
      <c r="R217" t="n">
        <v>4.29</v>
      </c>
      <c r="S217">
        <f>IF($D$217="",0,INDEX(boss_input_vu_khi_suy_ra!$B$2:$B$94,MATCH($D$217,boss_input_vu_khi_suy_ra!$A$2:$A$94,0))*IF(INDEX(boss_input_vu_khi!$D$2:$D$94,MATCH($D$217,boss_input_vu_khi!$A$2:$A$94,0)),1,Boss_dps!$B$34)*Boss_dps!$C$34)</f>
        <v/>
      </c>
      <c r="T217" t="n">
        <v>223.7762237762238</v>
      </c>
      <c r="U217" t="inlineStr">
        <is>
          <t>Assets/MachineBrigade/Resources/Data/balance.json: vehicles[id=typhon] dựng bởi Tools/balance/p26_ab.expand</t>
        </is>
      </c>
      <c r="V217" t="inlineStr"/>
    </row>
    <row r="218">
      <c r="A218" t="inlineStr">
        <is>
          <t>typhon/2</t>
        </is>
      </c>
      <c r="B218" t="inlineStr">
        <is>
          <t>typhon</t>
        </is>
      </c>
      <c r="C218" t="n">
        <v>2</v>
      </c>
      <c r="D218" t="inlineStr">
        <is>
          <t>p26_typhon_sec_ty57</t>
        </is>
      </c>
      <c r="E218" t="inlineStr">
        <is>
          <t>gun</t>
        </is>
      </c>
      <c r="F218" t="inlineStr">
        <is>
          <t>Free</t>
        </is>
      </c>
      <c r="G218" t="inlineStr"/>
      <c r="H218" t="n">
        <v>2</v>
      </c>
      <c r="I218" t="n">
        <v>120</v>
      </c>
      <c r="J218" t="n">
        <v>2.79</v>
      </c>
      <c r="K218" t="n">
        <v>3</v>
      </c>
      <c r="L218" t="n">
        <v>6</v>
      </c>
      <c r="M218" t="n">
        <v>0</v>
      </c>
      <c r="N218">
        <f>INDEX(boss_input_vu_khi_suy_ra!$C$2:$C$94,MATCH($D$218,boss_input_vu_khi_suy_ra!$A$2:$A$94,0))</f>
        <v/>
      </c>
      <c r="O218" t="inlineStr">
        <is>
          <t>giong</t>
        </is>
      </c>
      <c r="R218" t="n">
        <v>4.29</v>
      </c>
      <c r="S218">
        <f>IF($D$218="",0,INDEX(boss_input_vu_khi_suy_ra!$B$2:$B$94,MATCH($D$218,boss_input_vu_khi_suy_ra!$A$2:$A$94,0))*IF(INDEX(boss_input_vu_khi!$D$2:$D$94,MATCH($D$218,boss_input_vu_khi!$A$2:$A$94,0)),1,Boss_dps!$B$34)*Boss_dps!$C$34)</f>
        <v/>
      </c>
      <c r="T218" t="n">
        <v>223.7762237762238</v>
      </c>
      <c r="U218" t="inlineStr">
        <is>
          <t>Assets/MachineBrigade/Resources/Data/balance.json: vehicles[id=typhon] dựng bởi Tools/balance/p26_ab.expand</t>
        </is>
      </c>
      <c r="V218" t="inlineStr"/>
    </row>
    <row r="219">
      <c r="A219" t="inlineStr">
        <is>
          <t>typhon/3</t>
        </is>
      </c>
      <c r="B219" t="inlineStr">
        <is>
          <t>typhon</t>
        </is>
      </c>
      <c r="C219" t="n">
        <v>3</v>
      </c>
      <c r="D219" t="inlineStr">
        <is>
          <t>p26_typhon_direct_ty100</t>
        </is>
      </c>
      <c r="E219" t="inlineStr">
        <is>
          <t>gun</t>
        </is>
      </c>
      <c r="F219" t="inlineStr">
        <is>
          <t>Free</t>
        </is>
      </c>
      <c r="G219" t="inlineStr">
        <is>
          <t>deck_gun</t>
        </is>
      </c>
      <c r="H219" t="n">
        <v>1</v>
      </c>
      <c r="I219" t="n">
        <v>300</v>
      </c>
      <c r="J219" t="n">
        <v>2.5</v>
      </c>
      <c r="K219" t="n">
        <v>5</v>
      </c>
      <c r="L219" t="n">
        <v>10</v>
      </c>
      <c r="M219" t="n">
        <v>0</v>
      </c>
      <c r="N219">
        <f>INDEX(boss_input_vu_khi_suy_ra!$C$2:$C$94,MATCH($D$219,boss_input_vu_khi_suy_ra!$A$2:$A$94,0))</f>
        <v/>
      </c>
      <c r="O219" t="inlineStr">
        <is>
          <t>giong</t>
        </is>
      </c>
      <c r="R219" t="n">
        <v>3.5</v>
      </c>
      <c r="S219">
        <f>IF($D$219="",0,INDEX(boss_input_vu_khi_suy_ra!$B$2:$B$94,MATCH($D$219,boss_input_vu_khi_suy_ra!$A$2:$A$94,0))*IF(INDEX(boss_input_vu_khi!$D$2:$D$94,MATCH($D$219,boss_input_vu_khi!$A$2:$A$94,0)),1,Boss_dps!$B$34)*Boss_dps!$C$34)</f>
        <v/>
      </c>
      <c r="T219" t="n">
        <v>171.4285714285714</v>
      </c>
      <c r="U219" t="inlineStr">
        <is>
          <t>Assets/MachineBrigade/Resources/Data/balance.json: vehicles[id=typhon] dựng bởi Tools/balance/p26_ab.expand</t>
        </is>
      </c>
      <c r="V219" t="inlineStr"/>
    </row>
    <row r="220">
      <c r="A220" t="inlineStr">
        <is>
          <t>typhon/4</t>
        </is>
      </c>
      <c r="B220" t="inlineStr">
        <is>
          <t>typhon</t>
        </is>
      </c>
      <c r="C220" t="n">
        <v>4</v>
      </c>
      <c r="D220" t="inlineStr">
        <is>
          <t>p26_typhon_sec_ty57</t>
        </is>
      </c>
      <c r="E220" t="inlineStr">
        <is>
          <t>gun</t>
        </is>
      </c>
      <c r="F220" t="inlineStr">
        <is>
          <t>Free</t>
        </is>
      </c>
      <c r="G220" t="inlineStr"/>
      <c r="H220" t="n">
        <v>2</v>
      </c>
      <c r="I220" t="n">
        <v>120</v>
      </c>
      <c r="J220" t="n">
        <v>2.79</v>
      </c>
      <c r="K220" t="n">
        <v>3</v>
      </c>
      <c r="L220" t="n">
        <v>6</v>
      </c>
      <c r="M220" t="n">
        <v>0</v>
      </c>
      <c r="N220">
        <f>INDEX(boss_input_vu_khi_suy_ra!$C$2:$C$94,MATCH($D$220,boss_input_vu_khi_suy_ra!$A$2:$A$94,0))</f>
        <v/>
      </c>
      <c r="O220" t="inlineStr">
        <is>
          <t>moi</t>
        </is>
      </c>
      <c r="R220" t="n">
        <v>4.29</v>
      </c>
      <c r="S220">
        <f>IF($D$220="",0,INDEX(boss_input_vu_khi_suy_ra!$B$2:$B$94,MATCH($D$220,boss_input_vu_khi_suy_ra!$A$2:$A$94,0))*IF(INDEX(boss_input_vu_khi!$D$2:$D$94,MATCH($D$220,boss_input_vu_khi!$A$2:$A$94,0)),1,Boss_dps!$B$34)*Boss_dps!$C$34)</f>
        <v/>
      </c>
      <c r="T220" t="n">
        <v>223.7762237762238</v>
      </c>
      <c r="U220" t="inlineStr">
        <is>
          <t>Assets/MachineBrigade/Resources/Data/balance.json: vehicles[id=typhon] dựng bởi Tools/balance/p26_ab.expand</t>
        </is>
      </c>
      <c r="V220" t="inlineStr"/>
    </row>
  </sheetData>
  <autoFilter ref="A1:V220"/>
  <pageMargins left="0.75" right="0.75" top="1" bottom="1" header="0.5" footer="0.5"/>
</worksheet>
</file>

<file path=xl/worksheets/sheet1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37" customWidth="1" min="3" max="3"/>
    <col width="15" customWidth="1" min="4" max="4"/>
    <col width="11" customWidth="1" min="5" max="5"/>
    <col width="8" customWidth="1" min="6" max="6"/>
    <col width="8" customWidth="1" min="7" max="7"/>
    <col width="14" customWidth="1" min="8" max="8"/>
    <col width="14" customWidth="1" min="9" max="9"/>
    <col width="19" customWidth="1" min="10" max="10"/>
    <col width="14" customWidth="1" min="11" max="11"/>
    <col width="19" customWidth="1" min="12" max="12"/>
    <col width="10" customWidth="1" min="13" max="13"/>
    <col width="12" customWidth="1" min="14" max="14"/>
    <col width="15" customWidth="1" min="15" max="15"/>
    <col width="21" customWidth="1" min="16" max="16"/>
    <col width="20" customWidth="1" min="17" max="17"/>
    <col width="15" customWidth="1" min="18" max="18"/>
    <col width="42" customWidth="1" min="19" max="19"/>
    <col width="18" customWidth="1" min="20" max="20"/>
    <col width="40" customWidth="1" min="21" max="21"/>
    <col width="37" customWidth="1" min="22" max="22"/>
    <col width="22" customWidth="1" min="23" max="23"/>
    <col width="14" customWidth="1" min="24" max="24"/>
    <col width="24" customWidth="1" min="25" max="25"/>
    <col width="21" customWidth="1" min="26" max="26"/>
    <col width="24" customWidth="1" min="27" max="27"/>
    <col width="20" customWidth="1" min="28" max="28"/>
    <col width="18" customWidth="1" min="29" max="29"/>
    <col width="10" customWidth="1" min="30" max="30"/>
    <col width="26" customWidth="1" min="31" max="31"/>
    <col width="17" customWidth="1" min="32" max="32"/>
    <col width="21" customWidth="1" min="33" max="33"/>
    <col width="14" customWidth="1" min="34" max="34"/>
    <col width="21" customWidth="1" min="35" max="35"/>
    <col width="25" customWidth="1" min="36" max="36"/>
    <col width="24" customWidth="1" min="37" max="37"/>
    <col width="23" customWidth="1" min="38" max="38"/>
    <col width="21" customWidth="1" min="39" max="39"/>
    <col width="34" customWidth="1" min="40" max="40"/>
    <col width="26" customWidth="1" min="41" max="41"/>
    <col width="33" customWidth="1" min="42" max="42"/>
    <col width="36" customWidth="1" min="43" max="43"/>
    <col width="25" customWidth="1" min="44" max="44"/>
    <col width="9" customWidth="1" min="45" max="45"/>
    <col width="23" customWidth="1" min="46" max="46"/>
    <col width="14" customWidth="1" min="47" max="47"/>
    <col width="17" customWidth="1" min="48" max="48"/>
    <col width="21" customWidth="1" min="49" max="49"/>
    <col width="18" customWidth="1" min="50" max="50"/>
    <col width="28" customWidth="1" min="51" max="51"/>
    <col width="22" customWidth="1" min="52" max="52"/>
    <col width="60" customWidth="1" min="53" max="53"/>
    <col width="30" customWidth="1" min="54" max="54"/>
    <col width="18" customWidth="1" min="55" max="55"/>
    <col width="60" customWidth="1" min="56" max="56"/>
    <col width="10" customWidth="1" min="57" max="57"/>
  </cols>
  <sheetData>
    <row r="1">
      <c r="A1" s="1" t="inlineStr">
        <is>
          <t>id</t>
        </is>
      </c>
      <c r="B1" s="1" t="inlineStr">
        <is>
          <t>boss_id</t>
        </is>
      </c>
      <c r="C1" s="1" t="inlineStr">
        <is>
          <t>vu_khi_id</t>
        </is>
      </c>
      <c r="D1" s="1" t="inlineStr">
        <is>
          <t>bo_phan_id</t>
        </is>
      </c>
      <c r="E1" s="1" t="inlineStr">
        <is>
          <t>chi_so_be</t>
        </is>
      </c>
      <c r="F1" s="1" t="inlineStr">
        <is>
          <t>slot</t>
        </is>
      </c>
      <c r="G1" s="1" t="inlineStr">
        <is>
          <t>aim</t>
        </is>
      </c>
      <c r="H1" s="1" t="inlineStr">
        <is>
          <t>lop_vu_khi</t>
        </is>
      </c>
      <c r="I1" s="1" t="inlineStr">
        <is>
          <t>nhom</t>
        </is>
      </c>
      <c r="J1" s="1" t="inlineStr">
        <is>
          <t>nut_glb</t>
        </is>
      </c>
      <c r="K1" s="1" t="inlineStr">
        <is>
          <t>cach_tim_nut</t>
        </is>
      </c>
      <c r="L1" s="1" t="inlineStr">
        <is>
          <t>model</t>
        </is>
      </c>
      <c r="M1" s="1" t="inlineStr">
        <is>
          <t>ti_le_ve</t>
        </is>
      </c>
      <c r="N1" s="1" t="inlineStr">
        <is>
          <t>he_so_size</t>
        </is>
      </c>
      <c r="O1" s="1" t="inlineStr">
        <is>
          <t>do_cao_nong_m</t>
        </is>
      </c>
      <c r="P1" s="1" t="inlineStr">
        <is>
          <t>do_cao_be_du_lieu_m</t>
        </is>
      </c>
      <c r="Q1" s="1" t="inlineStr">
        <is>
          <t>lech_glb_du_lieu_m</t>
        </is>
      </c>
      <c r="R1" s="1" t="inlineStr">
        <is>
          <t>do_cao_boss_m</t>
        </is>
      </c>
      <c r="S1" s="1" t="inlineStr">
        <is>
          <t>khoang_cach_ngang_tu_tam_boss_den_nong_m</t>
        </is>
      </c>
      <c r="T1" s="1" t="inlineStr">
        <is>
          <t>nut_be_xoay</t>
        </is>
      </c>
      <c r="U1" s="1" t="inlineStr">
        <is>
          <t>khoang_cach_ngang_tu_tam_boss_den_be_m</t>
        </is>
      </c>
      <c r="V1" s="1" t="inlineStr">
        <is>
          <t>khoang_cach_ngang_theo_huong_ngam_m</t>
        </is>
      </c>
      <c r="W1" s="1" t="inlineStr">
        <is>
          <t>ban_kinh_than_boss_m</t>
        </is>
      </c>
      <c r="X1" s="1" t="inlineStr">
        <is>
          <t>do_cao_bay_m</t>
        </is>
      </c>
      <c r="Y1" s="1" t="inlineStr">
        <is>
          <t>goc_ha_nong_toi_da_deg</t>
        </is>
      </c>
      <c r="Z1" s="1" t="inlineStr">
        <is>
          <t>goc_nang_toi_da_deg</t>
        </is>
      </c>
      <c r="AA1" s="1" t="inlineStr">
        <is>
          <t>goc_nang_toi_thieu_deg</t>
        </is>
      </c>
      <c r="AB1" s="1" t="inlineStr">
        <is>
          <t>goc_quay_ngang_deg</t>
        </is>
      </c>
      <c r="AC1" s="1" t="inlineStr">
        <is>
          <t>nguon_goc_nong</t>
        </is>
      </c>
      <c r="AD1" s="1" t="inlineStr">
        <is>
          <t>uoc_dinh</t>
        </is>
      </c>
      <c r="AE1" s="1" t="inlineStr">
        <is>
          <t>tam_toi_thieu_m_hien_tai</t>
        </is>
      </c>
      <c r="AF1" s="1" t="inlineStr">
        <is>
          <t>tam_toi_thieu_m</t>
        </is>
      </c>
      <c r="AG1" s="1" t="inlineStr">
        <is>
          <t>tam_toi_thieu_mep_m</t>
        </is>
      </c>
      <c r="AH1" s="1" t="inlineStr">
        <is>
          <t>tam_toi_da_m</t>
        </is>
      </c>
      <c r="AI1" s="1" t="inlineStr">
        <is>
          <t>toc_do_dau_nong_m_s</t>
        </is>
      </c>
      <c r="AJ1" s="1" t="inlineStr">
        <is>
          <t>toc_do_dan_dao_game_m_s</t>
        </is>
      </c>
      <c r="AK1" s="1" t="inlineStr">
        <is>
          <t>khoang_cach_vu_trang_m</t>
        </is>
      </c>
      <c r="AL1" s="1" t="inlineStr">
        <is>
          <t>do_cao_tam_muc_tieu_m</t>
        </is>
      </c>
      <c r="AM1" s="1" t="inlineStr">
        <is>
          <t>cong_thuc</t>
        </is>
      </c>
      <c r="AN1" s="1" t="inlineStr">
        <is>
          <t>tam_toi_thieu_hinh_hoc_tu_nong_m</t>
        </is>
      </c>
      <c r="AO1" s="1" t="inlineStr">
        <is>
          <t>tam_toi_thieu_hinh_hoc_m</t>
        </is>
      </c>
      <c r="AP1" s="1" t="inlineStr">
        <is>
          <t>tam_toi_thieu_hinh_hoc_xe_nhe_m</t>
        </is>
      </c>
      <c r="AQ1" s="1" t="inlineStr">
        <is>
          <t>tam_toi_thieu_hinh_hoc_hang_nang_m</t>
        </is>
      </c>
      <c r="AR1" s="1" t="inlineStr">
        <is>
          <t>tam_toi_thieu_de_xuat_m</t>
        </is>
      </c>
      <c r="AS1" s="1" t="inlineStr">
        <is>
          <t>ap_dung</t>
        </is>
      </c>
      <c r="AT1" s="1" t="inlineStr">
        <is>
          <t>truong_ghi</t>
        </is>
      </c>
      <c r="AU1" s="1" t="inlineStr">
        <is>
          <t>cat_theo_tam</t>
        </is>
      </c>
      <c r="AV1" s="1" t="inlineStr">
        <is>
          <t>ghi_de_tu_boss</t>
        </is>
      </c>
      <c r="AW1" s="1" t="inlineStr">
        <is>
          <t>tam_toi_thieu_ghi_m</t>
        </is>
      </c>
      <c r="AX1" s="1" t="inlineStr">
        <is>
          <t>tam_toi_da_ghi_m</t>
        </is>
      </c>
      <c r="AY1" s="1" t="inlineStr">
        <is>
          <t>ti_le_tam_toi_da_toi_thieu</t>
        </is>
      </c>
      <c r="AZ1" s="1" t="inlineStr">
        <is>
          <t>vung_chet_ban_kinh_m</t>
        </is>
      </c>
      <c r="BA1" s="1" t="inlineStr">
        <is>
          <t>vu_khi_che_vung_chet</t>
        </is>
      </c>
      <c r="BB1" s="1" t="inlineStr">
        <is>
          <t>phan_tram_vung_chet_duoc_phu</t>
        </is>
      </c>
      <c r="BC1" s="1" t="inlineStr">
        <is>
          <t>co_che_vung_chet</t>
        </is>
      </c>
      <c r="BD1" s="1" t="inlineStr">
        <is>
          <t>nguon</t>
        </is>
      </c>
      <c r="BE1" s="1" t="inlineStr">
        <is>
          <t>raw_json</t>
        </is>
      </c>
    </row>
    <row r="2">
      <c r="A2" t="inlineStr">
        <is>
          <t>argus/0</t>
        </is>
      </c>
      <c r="B2" t="inlineStr">
        <is>
          <t>argus</t>
        </is>
      </c>
      <c r="C2" t="inlineStr">
        <is>
          <t>p26_roc_main_roc_bombs</t>
        </is>
      </c>
      <c r="D2" t="inlineStr"/>
      <c r="E2" t="n">
        <v>0</v>
      </c>
      <c r="F2" t="inlineStr">
        <is>
          <t>gun</t>
        </is>
      </c>
      <c r="G2" t="inlineStr">
        <is>
          <t>Free</t>
        </is>
      </c>
      <c r="H2" t="inlineStr">
        <is>
          <t>bom</t>
        </is>
      </c>
      <c r="I2" t="inlineStr">
        <is>
          <t>dan_dan</t>
        </is>
      </c>
      <c r="J2" t="inlineStr">
        <is>
          <t>Muzzle_gun</t>
        </is>
      </c>
      <c r="K2" t="inlineStr">
        <is>
          <t>muzzle</t>
        </is>
      </c>
      <c r="L2" t="inlineStr">
        <is>
          <t>command_airship</t>
        </is>
      </c>
      <c r="M2" t="n">
        <v>0.7684</v>
      </c>
      <c r="N2" t="n">
        <v>0.7684</v>
      </c>
      <c r="O2" t="n">
        <v>32.56</v>
      </c>
      <c r="P2" t="inlineStr"/>
      <c r="Q2" t="inlineStr"/>
      <c r="R2" t="n">
        <v>37.6</v>
      </c>
      <c r="S2" t="n">
        <v>12.64</v>
      </c>
      <c r="T2" t="inlineStr">
        <is>
          <t>Mount_gun</t>
        </is>
      </c>
      <c r="U2" t="n">
        <v>10.14</v>
      </c>
      <c r="V2" t="n">
        <v>2.5</v>
      </c>
      <c r="W2" t="n">
        <v>13.83165</v>
      </c>
      <c r="X2" t="n">
        <v>30</v>
      </c>
      <c r="Y2" t="inlineStr"/>
      <c r="Z2" t="inlineStr"/>
      <c r="AA2" t="inlineStr"/>
      <c r="AB2" t="n">
        <v>360</v>
      </c>
      <c r="AC2" t="inlineStr">
        <is>
          <t>khong_ap</t>
        </is>
      </c>
      <c r="AD2" t="b">
        <v>0</v>
      </c>
      <c r="AE2" t="n">
        <v>0</v>
      </c>
      <c r="AF2" t="n">
        <v>0</v>
      </c>
      <c r="AG2" t="n">
        <v>0</v>
      </c>
      <c r="AH2" t="n">
        <v>45</v>
      </c>
      <c r="AI2" t="n">
        <v>100</v>
      </c>
      <c r="AJ2" t="n">
        <v>21.01</v>
      </c>
      <c r="AK2" t="inlineStr"/>
      <c r="AL2" t="n">
        <v>1.3</v>
      </c>
      <c r="AM2" t="inlineStr">
        <is>
          <t>khong_ap</t>
        </is>
      </c>
      <c r="AN2" t="n">
        <v>0</v>
      </c>
      <c r="AO2" t="n">
        <v>0</v>
      </c>
      <c r="AP2" t="n">
        <v>0</v>
      </c>
      <c r="AQ2" t="n">
        <v>0</v>
      </c>
      <c r="AR2" t="n">
        <v>0</v>
      </c>
      <c r="AS2" t="b">
        <v>0</v>
      </c>
      <c r="AT2" t="inlineStr">
        <is>
          <t>khong_ap</t>
        </is>
      </c>
      <c r="AU2" t="b">
        <v>0</v>
      </c>
      <c r="AV2" t="inlineStr"/>
      <c r="AW2" t="n">
        <v>0</v>
      </c>
      <c r="AX2" t="n">
        <v>45</v>
      </c>
      <c r="AY2" t="inlineStr"/>
      <c r="AZ2" t="n">
        <v>0</v>
      </c>
      <c r="BA2" t="inlineStr"/>
      <c r="BB2" t="n">
        <v>100</v>
      </c>
      <c r="BC2" t="b">
        <v>1</v>
      </c>
      <c r="BD2" t="inlineStr">
        <is>
          <t>Assets/MachineBrigade/Resources/Data/balance.json: vehicles[id=argus] x Resources/Models/command_airship.glb</t>
        </is>
      </c>
      <c r="BE2" t="inlineStr"/>
    </row>
    <row r="3">
      <c r="A3" t="inlineStr">
        <is>
          <t>argus/1</t>
        </is>
      </c>
      <c r="B3" t="inlineStr">
        <is>
          <t>argus</t>
        </is>
      </c>
      <c r="C3" t="inlineStr">
        <is>
          <t>p26_roc_main_roc_bombs</t>
        </is>
      </c>
      <c r="D3" t="inlineStr"/>
      <c r="E3" t="n">
        <v>1</v>
      </c>
      <c r="F3" t="inlineStr">
        <is>
          <t>gun</t>
        </is>
      </c>
      <c r="G3" t="inlineStr">
        <is>
          <t>Free</t>
        </is>
      </c>
      <c r="H3" t="inlineStr">
        <is>
          <t>bom</t>
        </is>
      </c>
      <c r="I3" t="inlineStr">
        <is>
          <t>dan_dan</t>
        </is>
      </c>
      <c r="J3" t="inlineStr">
        <is>
          <t>Muzzle_gun.001</t>
        </is>
      </c>
      <c r="K3" t="inlineStr">
        <is>
          <t>muzzle</t>
        </is>
      </c>
      <c r="L3" t="inlineStr">
        <is>
          <t>command_airship</t>
        </is>
      </c>
      <c r="M3" t="n">
        <v>0.7684</v>
      </c>
      <c r="N3" t="n">
        <v>0.7684</v>
      </c>
      <c r="O3" t="n">
        <v>32.56</v>
      </c>
      <c r="P3" t="inlineStr"/>
      <c r="Q3" t="inlineStr"/>
      <c r="R3" t="n">
        <v>37.6</v>
      </c>
      <c r="S3" t="n">
        <v>5.34</v>
      </c>
      <c r="T3" t="inlineStr">
        <is>
          <t>Mount_gun.001</t>
        </is>
      </c>
      <c r="U3" t="n">
        <v>7.84</v>
      </c>
      <c r="V3" t="n">
        <v>2.5</v>
      </c>
      <c r="W3" t="n">
        <v>13.83165</v>
      </c>
      <c r="X3" t="n">
        <v>30</v>
      </c>
      <c r="Y3" t="inlineStr"/>
      <c r="Z3" t="inlineStr"/>
      <c r="AA3" t="inlineStr"/>
      <c r="AB3" t="n">
        <v>360</v>
      </c>
      <c r="AC3" t="inlineStr">
        <is>
          <t>khong_ap</t>
        </is>
      </c>
      <c r="AD3" t="b">
        <v>0</v>
      </c>
      <c r="AE3" t="n">
        <v>0</v>
      </c>
      <c r="AF3" t="n">
        <v>0</v>
      </c>
      <c r="AG3" t="n">
        <v>0</v>
      </c>
      <c r="AH3" t="n">
        <v>45</v>
      </c>
      <c r="AI3" t="n">
        <v>100</v>
      </c>
      <c r="AJ3" t="n">
        <v>21.01</v>
      </c>
      <c r="AK3" t="inlineStr"/>
      <c r="AL3" t="n">
        <v>1.3</v>
      </c>
      <c r="AM3" t="inlineStr">
        <is>
          <t>khong_ap</t>
        </is>
      </c>
      <c r="AN3" t="n">
        <v>0</v>
      </c>
      <c r="AO3" t="n">
        <v>0</v>
      </c>
      <c r="AP3" t="n">
        <v>0</v>
      </c>
      <c r="AQ3" t="n">
        <v>0</v>
      </c>
      <c r="AR3" t="n">
        <v>0</v>
      </c>
      <c r="AS3" t="b">
        <v>0</v>
      </c>
      <c r="AT3" t="inlineStr">
        <is>
          <t>khong_ap</t>
        </is>
      </c>
      <c r="AU3" t="b">
        <v>0</v>
      </c>
      <c r="AV3" t="inlineStr"/>
      <c r="AW3" t="n">
        <v>0</v>
      </c>
      <c r="AX3" t="n">
        <v>45</v>
      </c>
      <c r="AY3" t="inlineStr"/>
      <c r="AZ3" t="n">
        <v>0</v>
      </c>
      <c r="BA3" t="inlineStr"/>
      <c r="BB3" t="n">
        <v>100</v>
      </c>
      <c r="BC3" t="b">
        <v>1</v>
      </c>
      <c r="BD3" t="inlineStr">
        <is>
          <t>Assets/MachineBrigade/Resources/Data/balance.json: vehicles[id=argus] x Resources/Models/command_airship.glb</t>
        </is>
      </c>
      <c r="BE3" t="inlineStr"/>
    </row>
    <row r="4">
      <c r="A4" t="inlineStr">
        <is>
          <t>armored_train/0</t>
        </is>
      </c>
      <c r="B4" t="inlineStr">
        <is>
          <t>armored_train</t>
        </is>
      </c>
      <c r="C4" t="inlineStr">
        <is>
          <t>train_gun</t>
        </is>
      </c>
      <c r="D4" t="inlineStr">
        <is>
          <t>gun_car_front</t>
        </is>
      </c>
      <c r="E4" t="n">
        <v>0</v>
      </c>
      <c r="F4" t="inlineStr">
        <is>
          <t>main</t>
        </is>
      </c>
      <c r="G4" t="inlineStr"/>
      <c r="H4" t="inlineStr">
        <is>
          <t>phao_boss</t>
        </is>
      </c>
      <c r="I4" t="inlineStr">
        <is>
          <t>chinh</t>
        </is>
      </c>
      <c r="J4" t="inlineStr">
        <is>
          <t>Muzzle_main</t>
        </is>
      </c>
      <c r="K4" t="inlineStr">
        <is>
          <t>muzzle</t>
        </is>
      </c>
      <c r="L4" t="inlineStr">
        <is>
          <t>armored_train</t>
        </is>
      </c>
      <c r="M4" t="n">
        <v>0.9775</v>
      </c>
      <c r="N4" t="n">
        <v>0.85</v>
      </c>
      <c r="O4" t="n">
        <v>3.71</v>
      </c>
      <c r="P4" t="n">
        <v>3.15</v>
      </c>
      <c r="Q4" t="n">
        <v>0.57</v>
      </c>
      <c r="R4" t="n">
        <v>4.91</v>
      </c>
      <c r="S4" t="n">
        <v>11.28</v>
      </c>
      <c r="T4" t="inlineStr">
        <is>
          <t>Turret</t>
        </is>
      </c>
      <c r="U4" t="n">
        <v>3.88</v>
      </c>
      <c r="V4" t="n">
        <v>7.4</v>
      </c>
      <c r="W4" t="n">
        <v>3.06</v>
      </c>
      <c r="X4" t="n">
        <v>0</v>
      </c>
      <c r="Y4" t="n">
        <v>8</v>
      </c>
      <c r="Z4" t="n">
        <v>70</v>
      </c>
      <c r="AA4" t="inlineStr"/>
      <c r="AB4" t="n">
        <v>360</v>
      </c>
      <c r="AC4" t="inlineStr">
        <is>
          <t>lop:phao_boss</t>
        </is>
      </c>
      <c r="AD4" t="b">
        <v>1</v>
      </c>
      <c r="AE4" t="n">
        <v>14</v>
      </c>
      <c r="AF4" t="n">
        <v>0</v>
      </c>
      <c r="AG4" t="n">
        <v>14</v>
      </c>
      <c r="AH4" t="n">
        <v>42</v>
      </c>
      <c r="AI4" t="n">
        <v>170</v>
      </c>
      <c r="AJ4" t="n">
        <v>20.3</v>
      </c>
      <c r="AK4" t="inlineStr"/>
      <c r="AL4" t="n">
        <v>1.3</v>
      </c>
      <c r="AM4" t="inlineStr">
        <is>
          <t>ban_thang</t>
        </is>
      </c>
      <c r="AN4" t="n">
        <v>17.18</v>
      </c>
      <c r="AO4" t="n">
        <v>24.58</v>
      </c>
      <c r="AP4" t="n">
        <v>26.71</v>
      </c>
      <c r="AQ4" t="n">
        <v>22.45</v>
      </c>
      <c r="AR4" t="n">
        <v>25</v>
      </c>
      <c r="AS4" t="b">
        <v>1</v>
      </c>
      <c r="AT4" t="inlineStr">
        <is>
          <t>groundMinReach</t>
        </is>
      </c>
      <c r="AU4" t="b">
        <v>0</v>
      </c>
      <c r="AV4" t="inlineStr">
        <is>
          <t>armored_train</t>
        </is>
      </c>
      <c r="AW4" t="n">
        <v>25</v>
      </c>
      <c r="AX4" t="n">
        <v>80</v>
      </c>
      <c r="AY4" t="n">
        <v>3.2</v>
      </c>
      <c r="AZ4" t="n">
        <v>16</v>
      </c>
      <c r="BA4" t="inlineStr">
        <is>
          <t>boss_flak;boss_hmg</t>
        </is>
      </c>
      <c r="BB4" t="n">
        <v>100</v>
      </c>
      <c r="BC4" t="b">
        <v>1</v>
      </c>
      <c r="BD4" t="inlineStr">
        <is>
          <t>Assets/MachineBrigade/Resources/Data/balance.json: vehicles[id=armored_train] x Resources/Models/armored_train.glb</t>
        </is>
      </c>
      <c r="BE4" t="inlineStr"/>
    </row>
    <row r="5">
      <c r="A5" t="inlineStr">
        <is>
          <t>armored_train/1</t>
        </is>
      </c>
      <c r="B5" t="inlineStr">
        <is>
          <t>armored_train</t>
        </is>
      </c>
      <c r="C5" t="inlineStr">
        <is>
          <t>pt14_train_grad</t>
        </is>
      </c>
      <c r="D5" t="inlineStr">
        <is>
          <t>rocket_car</t>
        </is>
      </c>
      <c r="E5" t="n">
        <v>1</v>
      </c>
      <c r="F5" t="inlineStr">
        <is>
          <t>rocket</t>
        </is>
      </c>
      <c r="G5" t="inlineStr">
        <is>
          <t>Free</t>
        </is>
      </c>
      <c r="H5" t="inlineStr">
        <is>
          <t>be_rocket</t>
        </is>
      </c>
      <c r="I5" t="inlineStr">
        <is>
          <t>chinh</t>
        </is>
      </c>
      <c r="J5" t="inlineStr">
        <is>
          <t>Muzzle_rocket</t>
        </is>
      </c>
      <c r="K5" t="inlineStr">
        <is>
          <t>muzzle</t>
        </is>
      </c>
      <c r="L5" t="inlineStr">
        <is>
          <t>armored_train</t>
        </is>
      </c>
      <c r="M5" t="n">
        <v>0.9775</v>
      </c>
      <c r="N5" t="n">
        <v>0.85</v>
      </c>
      <c r="O5" t="n">
        <v>3.66</v>
      </c>
      <c r="P5" t="n">
        <v>2.55</v>
      </c>
      <c r="Q5" t="n">
        <v>1.11</v>
      </c>
      <c r="R5" t="n">
        <v>4.91</v>
      </c>
      <c r="S5" t="n">
        <v>0.19</v>
      </c>
      <c r="T5" t="inlineStr">
        <is>
          <t>Mount_rocket</t>
        </is>
      </c>
      <c r="U5" t="n">
        <v>1.1</v>
      </c>
      <c r="V5" t="n">
        <v>0.92</v>
      </c>
      <c r="W5" t="n">
        <v>3.06</v>
      </c>
      <c r="X5" t="n">
        <v>0</v>
      </c>
      <c r="Y5" t="n">
        <v>0</v>
      </c>
      <c r="Z5" t="n">
        <v>50</v>
      </c>
      <c r="AA5" t="n">
        <v>0</v>
      </c>
      <c r="AB5" t="n">
        <v>360</v>
      </c>
      <c r="AC5" t="inlineStr">
        <is>
          <t>lop:be_rocket</t>
        </is>
      </c>
      <c r="AD5" t="b">
        <v>1</v>
      </c>
      <c r="AE5" t="n">
        <v>14</v>
      </c>
      <c r="AF5" t="n">
        <v>0</v>
      </c>
      <c r="AG5" t="n">
        <v>14</v>
      </c>
      <c r="AH5" t="n">
        <v>45</v>
      </c>
      <c r="AI5" t="n">
        <v>65</v>
      </c>
      <c r="AJ5" t="n">
        <v>21.01</v>
      </c>
      <c r="AK5" t="inlineStr"/>
      <c r="AL5" t="n">
        <v>1.3</v>
      </c>
      <c r="AM5" t="inlineStr">
        <is>
          <t>roi_tu_do_be_co_dinh</t>
        </is>
      </c>
      <c r="AN5" t="n">
        <v>14.58</v>
      </c>
      <c r="AO5" t="n">
        <v>15.5</v>
      </c>
      <c r="AP5" t="n">
        <v>16.4</v>
      </c>
      <c r="AQ5" t="n">
        <v>14.54</v>
      </c>
      <c r="AR5" t="n">
        <v>16</v>
      </c>
      <c r="AS5" t="b">
        <v>1</v>
      </c>
      <c r="AT5" t="inlineStr">
        <is>
          <t>groundMinReach</t>
        </is>
      </c>
      <c r="AU5" t="b">
        <v>0</v>
      </c>
      <c r="AV5" t="inlineStr">
        <is>
          <t>armored_train</t>
        </is>
      </c>
      <c r="AW5" t="n">
        <v>16</v>
      </c>
      <c r="AX5" t="n">
        <v>52</v>
      </c>
      <c r="AY5" t="n">
        <v>3.25</v>
      </c>
      <c r="AZ5" t="n">
        <v>16</v>
      </c>
      <c r="BA5" t="inlineStr">
        <is>
          <t>boss_flak;boss_hmg</t>
        </is>
      </c>
      <c r="BB5" t="n">
        <v>100</v>
      </c>
      <c r="BC5" t="b">
        <v>1</v>
      </c>
      <c r="BD5" t="inlineStr">
        <is>
          <t>Assets/MachineBrigade/Resources/Data/balance.json: vehicles[id=armored_train] x Resources/Models/armored_train.glb</t>
        </is>
      </c>
      <c r="BE5" t="inlineStr"/>
    </row>
    <row r="6">
      <c r="A6" t="inlineStr">
        <is>
          <t>armored_train/2</t>
        </is>
      </c>
      <c r="B6" t="inlineStr">
        <is>
          <t>armored_train</t>
        </is>
      </c>
      <c r="C6" t="inlineStr">
        <is>
          <t>boss_hmg</t>
        </is>
      </c>
      <c r="D6" t="inlineStr"/>
      <c r="E6" t="n">
        <v>2</v>
      </c>
      <c r="F6" t="inlineStr">
        <is>
          <t>mg</t>
        </is>
      </c>
      <c r="G6" t="inlineStr">
        <is>
          <t>Free</t>
        </is>
      </c>
      <c r="H6" t="inlineStr">
        <is>
          <t>sung_may</t>
        </is>
      </c>
      <c r="I6" t="inlineStr">
        <is>
          <t>phong_thu_gan</t>
        </is>
      </c>
      <c r="J6" t="inlineStr">
        <is>
          <t>Muzzle_mg</t>
        </is>
      </c>
      <c r="K6" t="inlineStr">
        <is>
          <t>muzzle</t>
        </is>
      </c>
      <c r="L6" t="inlineStr">
        <is>
          <t>armored_train</t>
        </is>
      </c>
      <c r="M6" t="n">
        <v>0.9775</v>
      </c>
      <c r="N6" t="n">
        <v>0.85</v>
      </c>
      <c r="O6" t="n">
        <v>2.83</v>
      </c>
      <c r="P6" t="inlineStr"/>
      <c r="Q6" t="inlineStr"/>
      <c r="R6" t="n">
        <v>4.91</v>
      </c>
      <c r="S6" t="n">
        <v>2.14</v>
      </c>
      <c r="T6" t="inlineStr">
        <is>
          <t>Mount_mg</t>
        </is>
      </c>
      <c r="U6" t="n">
        <v>0.8</v>
      </c>
      <c r="V6" t="n">
        <v>1.34</v>
      </c>
      <c r="W6" t="n">
        <v>3.06</v>
      </c>
      <c r="X6" t="n">
        <v>0</v>
      </c>
      <c r="Y6" t="n">
        <v>20</v>
      </c>
      <c r="Z6" t="n">
        <v>70</v>
      </c>
      <c r="AA6" t="inlineStr"/>
      <c r="AB6" t="n">
        <v>360</v>
      </c>
      <c r="AC6" t="inlineStr">
        <is>
          <t>lop:sung_may</t>
        </is>
      </c>
      <c r="AD6" t="b">
        <v>1</v>
      </c>
      <c r="AE6" t="n">
        <v>0</v>
      </c>
      <c r="AF6" t="n">
        <v>0</v>
      </c>
      <c r="AG6" t="n">
        <v>0</v>
      </c>
      <c r="AH6" t="n">
        <v>30</v>
      </c>
      <c r="AI6" t="n">
        <v>240</v>
      </c>
      <c r="AJ6" t="n">
        <v>17.16</v>
      </c>
      <c r="AK6" t="inlineStr"/>
      <c r="AL6" t="n">
        <v>1.3</v>
      </c>
      <c r="AM6" t="inlineStr">
        <is>
          <t>ban_thang</t>
        </is>
      </c>
      <c r="AN6" t="n">
        <v>4.22</v>
      </c>
      <c r="AO6" t="n">
        <v>5.56</v>
      </c>
      <c r="AP6" t="n">
        <v>6.38</v>
      </c>
      <c r="AQ6" t="n">
        <v>4.73</v>
      </c>
      <c r="AR6" t="n">
        <v>0</v>
      </c>
      <c r="AS6" t="b">
        <v>0</v>
      </c>
      <c r="AT6" t="inlineStr">
        <is>
          <t>khong_ap:phong_thu_gan</t>
        </is>
      </c>
      <c r="AU6" t="b">
        <v>0</v>
      </c>
      <c r="AV6" t="inlineStr"/>
      <c r="AW6" t="n">
        <v>0</v>
      </c>
      <c r="AX6" t="n">
        <v>30</v>
      </c>
      <c r="AY6" t="inlineStr"/>
      <c r="AZ6" t="n">
        <v>16</v>
      </c>
      <c r="BA6" t="inlineStr">
        <is>
          <t>boss_flak;boss_hmg</t>
        </is>
      </c>
      <c r="BB6" t="n">
        <v>100</v>
      </c>
      <c r="BC6" t="b">
        <v>1</v>
      </c>
      <c r="BD6" t="inlineStr">
        <is>
          <t>Assets/MachineBrigade/Resources/Data/balance.json: vehicles[id=armored_train] x Resources/Models/armored_train.glb</t>
        </is>
      </c>
      <c r="BE6" t="inlineStr"/>
    </row>
    <row r="7">
      <c r="A7" t="inlineStr">
        <is>
          <t>armored_train/3</t>
        </is>
      </c>
      <c r="B7" t="inlineStr">
        <is>
          <t>armored_train</t>
        </is>
      </c>
      <c r="C7" t="inlineStr">
        <is>
          <t>boss_flak</t>
        </is>
      </c>
      <c r="D7" t="inlineStr">
        <is>
          <t>flak_car</t>
        </is>
      </c>
      <c r="E7" t="n">
        <v>3</v>
      </c>
      <c r="F7" t="inlineStr">
        <is>
          <t>mg</t>
        </is>
      </c>
      <c r="G7" t="inlineStr">
        <is>
          <t>Free</t>
        </is>
      </c>
      <c r="H7" t="inlineStr">
        <is>
          <t>phao_nho_ciws</t>
        </is>
      </c>
      <c r="I7" t="inlineStr">
        <is>
          <t>phong_thu_gan</t>
        </is>
      </c>
      <c r="J7" t="inlineStr">
        <is>
          <t>Muzzle_mg.001</t>
        </is>
      </c>
      <c r="K7" t="inlineStr">
        <is>
          <t>muzzle</t>
        </is>
      </c>
      <c r="L7" t="inlineStr">
        <is>
          <t>armored_train</t>
        </is>
      </c>
      <c r="M7" t="n">
        <v>0.9775</v>
      </c>
      <c r="N7" t="n">
        <v>0.85</v>
      </c>
      <c r="O7" t="n">
        <v>3.67</v>
      </c>
      <c r="P7" t="n">
        <v>2.72</v>
      </c>
      <c r="Q7" t="n">
        <v>0.95</v>
      </c>
      <c r="R7" t="n">
        <v>4.91</v>
      </c>
      <c r="S7" t="n">
        <v>15.61</v>
      </c>
      <c r="T7" t="inlineStr">
        <is>
          <t>Mount_mg.001</t>
        </is>
      </c>
      <c r="U7" t="n">
        <v>14.44</v>
      </c>
      <c r="V7" t="n">
        <v>1.17</v>
      </c>
      <c r="W7" t="n">
        <v>3.06</v>
      </c>
      <c r="X7" t="n">
        <v>0</v>
      </c>
      <c r="Y7" t="n">
        <v>15</v>
      </c>
      <c r="Z7" t="n">
        <v>85</v>
      </c>
      <c r="AA7" t="inlineStr"/>
      <c r="AB7" t="n">
        <v>360</v>
      </c>
      <c r="AC7" t="inlineStr">
        <is>
          <t>lop:phao_nho_ciws</t>
        </is>
      </c>
      <c r="AD7" t="b">
        <v>1</v>
      </c>
      <c r="AE7" t="n">
        <v>0</v>
      </c>
      <c r="AF7" t="n">
        <v>0</v>
      </c>
      <c r="AG7" t="n">
        <v>0</v>
      </c>
      <c r="AH7" t="n">
        <v>40</v>
      </c>
      <c r="AI7" t="n">
        <v>260</v>
      </c>
      <c r="AJ7" t="n">
        <v>19.81</v>
      </c>
      <c r="AK7" t="inlineStr"/>
      <c r="AL7" t="n">
        <v>1.3</v>
      </c>
      <c r="AM7" t="inlineStr">
        <is>
          <t>ban_thang</t>
        </is>
      </c>
      <c r="AN7" t="n">
        <v>8.83</v>
      </c>
      <c r="AO7" t="n">
        <v>10</v>
      </c>
      <c r="AP7" t="n">
        <v>11.12</v>
      </c>
      <c r="AQ7" t="n">
        <v>8.880000000000001</v>
      </c>
      <c r="AR7" t="n">
        <v>0</v>
      </c>
      <c r="AS7" t="b">
        <v>0</v>
      </c>
      <c r="AT7" t="inlineStr">
        <is>
          <t>khong_ap:phong_thu_gan</t>
        </is>
      </c>
      <c r="AU7" t="b">
        <v>0</v>
      </c>
      <c r="AV7" t="inlineStr"/>
      <c r="AW7" t="n">
        <v>0</v>
      </c>
      <c r="AX7" t="n">
        <v>40</v>
      </c>
      <c r="AY7" t="inlineStr"/>
      <c r="AZ7" t="n">
        <v>16</v>
      </c>
      <c r="BA7" t="inlineStr">
        <is>
          <t>boss_flak;boss_hmg</t>
        </is>
      </c>
      <c r="BB7" t="n">
        <v>100</v>
      </c>
      <c r="BC7" t="b">
        <v>1</v>
      </c>
      <c r="BD7" t="inlineStr">
        <is>
          <t>Assets/MachineBrigade/Resources/Data/balance.json: vehicles[id=armored_train] x Resources/Models/armored_train.glb</t>
        </is>
      </c>
      <c r="BE7" t="inlineStr"/>
    </row>
    <row r="8">
      <c r="A8" t="inlineStr">
        <is>
          <t>armored_train/4</t>
        </is>
      </c>
      <c r="B8" t="inlineStr">
        <is>
          <t>armored_train</t>
        </is>
      </c>
      <c r="C8" t="inlineStr">
        <is>
          <t>train_gun</t>
        </is>
      </c>
      <c r="D8" t="inlineStr">
        <is>
          <t>gun_car_rear</t>
        </is>
      </c>
      <c r="E8" t="n">
        <v>4</v>
      </c>
      <c r="F8" t="inlineStr">
        <is>
          <t>main</t>
        </is>
      </c>
      <c r="G8" t="inlineStr">
        <is>
          <t>Free</t>
        </is>
      </c>
      <c r="H8" t="inlineStr">
        <is>
          <t>phao_boss</t>
        </is>
      </c>
      <c r="I8" t="inlineStr">
        <is>
          <t>chinh</t>
        </is>
      </c>
      <c r="J8" t="inlineStr">
        <is>
          <t>Muzzle_main.001</t>
        </is>
      </c>
      <c r="K8" t="inlineStr">
        <is>
          <t>muzzle</t>
        </is>
      </c>
      <c r="L8" t="inlineStr">
        <is>
          <t>armored_train</t>
        </is>
      </c>
      <c r="M8" t="n">
        <v>0.9775</v>
      </c>
      <c r="N8" t="n">
        <v>0.85</v>
      </c>
      <c r="O8" t="n">
        <v>3.23</v>
      </c>
      <c r="P8" t="n">
        <v>2.55</v>
      </c>
      <c r="Q8" t="n">
        <v>0.68</v>
      </c>
      <c r="R8" t="n">
        <v>4.91</v>
      </c>
      <c r="S8" t="n">
        <v>12.06</v>
      </c>
      <c r="T8" t="inlineStr"/>
      <c r="U8" t="n">
        <v>12.06</v>
      </c>
      <c r="V8" t="n">
        <v>0</v>
      </c>
      <c r="W8" t="n">
        <v>3.06</v>
      </c>
      <c r="X8" t="n">
        <v>0</v>
      </c>
      <c r="Y8" t="n">
        <v>8</v>
      </c>
      <c r="Z8" t="n">
        <v>70</v>
      </c>
      <c r="AA8" t="inlineStr"/>
      <c r="AB8" t="n">
        <v>360</v>
      </c>
      <c r="AC8" t="inlineStr">
        <is>
          <t>lop:phao_boss</t>
        </is>
      </c>
      <c r="AD8" t="b">
        <v>1</v>
      </c>
      <c r="AE8" t="n">
        <v>14</v>
      </c>
      <c r="AF8" t="n">
        <v>0</v>
      </c>
      <c r="AG8" t="n">
        <v>14</v>
      </c>
      <c r="AH8" t="n">
        <v>42</v>
      </c>
      <c r="AI8" t="n">
        <v>170</v>
      </c>
      <c r="AJ8" t="n">
        <v>20.3</v>
      </c>
      <c r="AK8" t="inlineStr"/>
      <c r="AL8" t="n">
        <v>1.3</v>
      </c>
      <c r="AM8" t="inlineStr">
        <is>
          <t>ban_thang</t>
        </is>
      </c>
      <c r="AN8" t="n">
        <v>13.7</v>
      </c>
      <c r="AO8" t="n">
        <v>13.7</v>
      </c>
      <c r="AP8" t="n">
        <v>15.84</v>
      </c>
      <c r="AQ8" t="n">
        <v>11.57</v>
      </c>
      <c r="AR8" t="n">
        <v>14</v>
      </c>
      <c r="AS8" t="b">
        <v>1</v>
      </c>
      <c r="AT8" t="inlineStr">
        <is>
          <t>groundMinReach</t>
        </is>
      </c>
      <c r="AU8" t="b">
        <v>0</v>
      </c>
      <c r="AV8" t="inlineStr">
        <is>
          <t>armored_train</t>
        </is>
      </c>
      <c r="AW8" t="n">
        <v>25</v>
      </c>
      <c r="AX8" t="n">
        <v>80</v>
      </c>
      <c r="AY8" t="n">
        <v>3.2</v>
      </c>
      <c r="AZ8" t="n">
        <v>16</v>
      </c>
      <c r="BA8" t="inlineStr">
        <is>
          <t>boss_flak;boss_hmg</t>
        </is>
      </c>
      <c r="BB8" t="n">
        <v>100</v>
      </c>
      <c r="BC8" t="b">
        <v>1</v>
      </c>
      <c r="BD8" t="inlineStr">
        <is>
          <t>Assets/MachineBrigade/Resources/Data/balance.json: vehicles[id=armored_train] x Resources/Models/armored_train.glb</t>
        </is>
      </c>
      <c r="BE8" t="inlineStr"/>
    </row>
    <row r="9">
      <c r="A9" t="inlineStr">
        <is>
          <t>armored_train/5</t>
        </is>
      </c>
      <c r="B9" t="inlineStr">
        <is>
          <t>armored_train</t>
        </is>
      </c>
      <c r="C9" t="inlineStr">
        <is>
          <t>boss_flak</t>
        </is>
      </c>
      <c r="D9" t="inlineStr"/>
      <c r="E9" t="n">
        <v>5</v>
      </c>
      <c r="F9" t="inlineStr">
        <is>
          <t>mg</t>
        </is>
      </c>
      <c r="G9" t="inlineStr">
        <is>
          <t>Free</t>
        </is>
      </c>
      <c r="H9" t="inlineStr">
        <is>
          <t>phao_nho_ciws</t>
        </is>
      </c>
      <c r="I9" t="inlineStr">
        <is>
          <t>phong_thu_gan</t>
        </is>
      </c>
      <c r="J9" t="inlineStr">
        <is>
          <t>Muzzle_mg.002</t>
        </is>
      </c>
      <c r="K9" t="inlineStr">
        <is>
          <t>muzzle</t>
        </is>
      </c>
      <c r="L9" t="inlineStr">
        <is>
          <t>armored_train</t>
        </is>
      </c>
      <c r="M9" t="n">
        <v>0.9775</v>
      </c>
      <c r="N9" t="n">
        <v>0.85</v>
      </c>
      <c r="O9" t="n">
        <v>1.81</v>
      </c>
      <c r="P9" t="inlineStr"/>
      <c r="Q9" t="inlineStr"/>
      <c r="R9" t="n">
        <v>4.91</v>
      </c>
      <c r="S9" t="n">
        <v>5.89</v>
      </c>
      <c r="T9" t="inlineStr">
        <is>
          <t>Mount_mg.002</t>
        </is>
      </c>
      <c r="U9" t="n">
        <v>6.97</v>
      </c>
      <c r="V9" t="n">
        <v>1.08</v>
      </c>
      <c r="W9" t="n">
        <v>3.06</v>
      </c>
      <c r="X9" t="n">
        <v>0</v>
      </c>
      <c r="Y9" t="n">
        <v>15</v>
      </c>
      <c r="Z9" t="n">
        <v>85</v>
      </c>
      <c r="AA9" t="inlineStr"/>
      <c r="AB9" t="n">
        <v>360</v>
      </c>
      <c r="AC9" t="inlineStr">
        <is>
          <t>lop:phao_nho_ciws</t>
        </is>
      </c>
      <c r="AD9" t="b">
        <v>1</v>
      </c>
      <c r="AE9" t="n">
        <v>0</v>
      </c>
      <c r="AF9" t="n">
        <v>0</v>
      </c>
      <c r="AG9" t="n">
        <v>0</v>
      </c>
      <c r="AH9" t="n">
        <v>40</v>
      </c>
      <c r="AI9" t="n">
        <v>260</v>
      </c>
      <c r="AJ9" t="n">
        <v>19.81</v>
      </c>
      <c r="AK9" t="inlineStr"/>
      <c r="AL9" t="n">
        <v>1.3</v>
      </c>
      <c r="AM9" t="inlineStr">
        <is>
          <t>ban_thang</t>
        </is>
      </c>
      <c r="AN9" t="n">
        <v>1.9</v>
      </c>
      <c r="AO9" t="n">
        <v>2.97</v>
      </c>
      <c r="AP9" t="n">
        <v>4.09</v>
      </c>
      <c r="AQ9" t="n">
        <v>1.85</v>
      </c>
      <c r="AR9" t="n">
        <v>0</v>
      </c>
      <c r="AS9" t="b">
        <v>0</v>
      </c>
      <c r="AT9" t="inlineStr">
        <is>
          <t>khong_ap:phong_thu_gan</t>
        </is>
      </c>
      <c r="AU9" t="b">
        <v>0</v>
      </c>
      <c r="AV9" t="inlineStr"/>
      <c r="AW9" t="n">
        <v>0</v>
      </c>
      <c r="AX9" t="n">
        <v>40</v>
      </c>
      <c r="AY9" t="inlineStr"/>
      <c r="AZ9" t="n">
        <v>16</v>
      </c>
      <c r="BA9" t="inlineStr">
        <is>
          <t>boss_flak;boss_hmg</t>
        </is>
      </c>
      <c r="BB9" t="n">
        <v>100</v>
      </c>
      <c r="BC9" t="b">
        <v>1</v>
      </c>
      <c r="BD9" t="inlineStr">
        <is>
          <t>Assets/MachineBrigade/Resources/Data/balance.json: vehicles[id=armored_train] x Resources/Models/armored_train.glb</t>
        </is>
      </c>
      <c r="BE9" t="inlineStr"/>
    </row>
    <row r="10">
      <c r="A10" t="inlineStr">
        <is>
          <t>bastion_mk0/0</t>
        </is>
      </c>
      <c r="B10" t="inlineStr">
        <is>
          <t>bastion_mk0</t>
        </is>
      </c>
      <c r="C10" t="inlineStr">
        <is>
          <t>p26_bastion_sec_b240</t>
        </is>
      </c>
      <c r="D10" t="inlineStr">
        <is>
          <t>mortar</t>
        </is>
      </c>
      <c r="E10" t="n">
        <v>0</v>
      </c>
      <c r="F10" t="inlineStr">
        <is>
          <t>main</t>
        </is>
      </c>
      <c r="G10" t="inlineStr"/>
      <c r="H10" t="inlineStr">
        <is>
          <t>ban_cau</t>
        </is>
      </c>
      <c r="I10" t="inlineStr">
        <is>
          <t>chinh</t>
        </is>
      </c>
      <c r="J10" t="inlineStr">
        <is>
          <t>Muzzle_main</t>
        </is>
      </c>
      <c r="K10" t="inlineStr">
        <is>
          <t>muzzle</t>
        </is>
      </c>
      <c r="L10" t="inlineStr">
        <is>
          <t>bastion_mk0</t>
        </is>
      </c>
      <c r="M10" t="n">
        <v>1.0872</v>
      </c>
      <c r="N10" t="n">
        <v>0.906</v>
      </c>
      <c r="O10" t="n">
        <v>9.68</v>
      </c>
      <c r="P10" t="n">
        <v>5.8</v>
      </c>
      <c r="Q10" t="n">
        <v>3.89</v>
      </c>
      <c r="R10" t="n">
        <v>9.869999999999999</v>
      </c>
      <c r="S10" t="n">
        <v>1</v>
      </c>
      <c r="T10" t="inlineStr">
        <is>
          <t>Turret</t>
        </is>
      </c>
      <c r="U10" t="n">
        <v>0.6</v>
      </c>
      <c r="V10" t="n">
        <v>1.6</v>
      </c>
      <c r="W10" t="n">
        <v>6.794999999999999</v>
      </c>
      <c r="X10" t="n">
        <v>0</v>
      </c>
      <c r="Y10" t="inlineStr"/>
      <c r="Z10" t="n">
        <v>85</v>
      </c>
      <c r="AA10" t="n">
        <v>45</v>
      </c>
      <c r="AB10" t="n">
        <v>360</v>
      </c>
      <c r="AC10" t="inlineStr">
        <is>
          <t>ho:mortar</t>
        </is>
      </c>
      <c r="AD10" t="b">
        <v>1</v>
      </c>
      <c r="AE10" t="n">
        <v>14</v>
      </c>
      <c r="AF10" t="n">
        <v>14</v>
      </c>
      <c r="AG10" t="n">
        <v>0</v>
      </c>
      <c r="AH10" t="n">
        <v>80</v>
      </c>
      <c r="AI10" t="n">
        <v>60</v>
      </c>
      <c r="AJ10" t="n">
        <v>28.01</v>
      </c>
      <c r="AK10" t="inlineStr"/>
      <c r="AL10" t="n">
        <v>1.3</v>
      </c>
      <c r="AM10" t="inlineStr">
        <is>
          <t>v2_sin2theta_g</t>
        </is>
      </c>
      <c r="AN10" t="n">
        <v>13.89</v>
      </c>
      <c r="AO10" t="n">
        <v>13.89</v>
      </c>
      <c r="AP10" t="n">
        <v>13.89</v>
      </c>
      <c r="AQ10" t="n">
        <v>13.89</v>
      </c>
      <c r="AR10" t="n">
        <v>14</v>
      </c>
      <c r="AS10" t="b">
        <v>1</v>
      </c>
      <c r="AT10" t="inlineStr">
        <is>
          <t>minRange</t>
        </is>
      </c>
      <c r="AU10" t="b">
        <v>0</v>
      </c>
      <c r="AV10" t="inlineStr"/>
      <c r="AW10" t="n">
        <v>14</v>
      </c>
      <c r="AX10" t="n">
        <v>80</v>
      </c>
      <c r="AY10" t="n">
        <v>5.71</v>
      </c>
      <c r="AZ10" t="n">
        <v>14</v>
      </c>
      <c r="BA10" t="inlineStr"/>
      <c r="BB10" t="n">
        <v>0</v>
      </c>
      <c r="BC10" t="b">
        <v>0</v>
      </c>
      <c r="BD10" t="inlineStr">
        <is>
          <t>Assets/MachineBrigade/Resources/Data/balance.json: vehicles[id=bastion_mk0] x Resources/Models/bastion_mk0.glb</t>
        </is>
      </c>
      <c r="BE10" t="inlineStr"/>
    </row>
    <row r="11">
      <c r="A11" t="inlineStr">
        <is>
          <t>bastion_mk0/1</t>
        </is>
      </c>
      <c r="B11" t="inlineStr">
        <is>
          <t>bastion_mk0</t>
        </is>
      </c>
      <c r="C11" t="inlineStr">
        <is>
          <t>p26_bastion_direct_b100</t>
        </is>
      </c>
      <c r="D11" t="inlineStr">
        <is>
          <t>turret_fl</t>
        </is>
      </c>
      <c r="E11" t="n">
        <v>1</v>
      </c>
      <c r="F11" t="inlineStr">
        <is>
          <t>gun</t>
        </is>
      </c>
      <c r="G11" t="inlineStr">
        <is>
          <t>Free</t>
        </is>
      </c>
      <c r="H11" t="inlineStr">
        <is>
          <t>phao_boss</t>
        </is>
      </c>
      <c r="I11" t="inlineStr">
        <is>
          <t>chinh</t>
        </is>
      </c>
      <c r="J11" t="inlineStr">
        <is>
          <t>Muzzle_gun</t>
        </is>
      </c>
      <c r="K11" t="inlineStr">
        <is>
          <t>muzzle</t>
        </is>
      </c>
      <c r="L11" t="inlineStr">
        <is>
          <t>bastion_mk0</t>
        </is>
      </c>
      <c r="M11" t="n">
        <v>1.0872</v>
      </c>
      <c r="N11" t="n">
        <v>0.906</v>
      </c>
      <c r="O11" t="n">
        <v>3.39</v>
      </c>
      <c r="P11" t="n">
        <v>2.99</v>
      </c>
      <c r="Q11" t="n">
        <v>0.4</v>
      </c>
      <c r="R11" t="n">
        <v>9.869999999999999</v>
      </c>
      <c r="S11" t="n">
        <v>10.35</v>
      </c>
      <c r="T11" t="inlineStr">
        <is>
          <t>Mount_gun</t>
        </is>
      </c>
      <c r="U11" t="n">
        <v>6.42</v>
      </c>
      <c r="V11" t="n">
        <v>4.66</v>
      </c>
      <c r="W11" t="n">
        <v>6.794999999999999</v>
      </c>
      <c r="X11" t="n">
        <v>0</v>
      </c>
      <c r="Y11" t="n">
        <v>8</v>
      </c>
      <c r="Z11" t="n">
        <v>70</v>
      </c>
      <c r="AA11" t="inlineStr"/>
      <c r="AB11" t="n">
        <v>160</v>
      </c>
      <c r="AC11" t="inlineStr">
        <is>
          <t>lop:phao_boss</t>
        </is>
      </c>
      <c r="AD11" t="b">
        <v>1</v>
      </c>
      <c r="AE11" t="n">
        <v>19</v>
      </c>
      <c r="AF11" t="n">
        <v>0</v>
      </c>
      <c r="AG11" t="n">
        <v>19</v>
      </c>
      <c r="AH11" t="n">
        <v>36</v>
      </c>
      <c r="AI11" t="n">
        <v>170</v>
      </c>
      <c r="AJ11" t="n">
        <v>18.79</v>
      </c>
      <c r="AK11" t="inlineStr"/>
      <c r="AL11" t="n">
        <v>1.3</v>
      </c>
      <c r="AM11" t="inlineStr">
        <is>
          <t>ban_thang</t>
        </is>
      </c>
      <c r="AN11" t="n">
        <v>14.89</v>
      </c>
      <c r="AO11" t="n">
        <v>19.55</v>
      </c>
      <c r="AP11" t="n">
        <v>21.68</v>
      </c>
      <c r="AQ11" t="n">
        <v>17.42</v>
      </c>
      <c r="AR11" t="n">
        <v>20</v>
      </c>
      <c r="AS11" t="b">
        <v>1</v>
      </c>
      <c r="AT11" t="inlineStr">
        <is>
          <t>groundMinReach</t>
        </is>
      </c>
      <c r="AU11" t="b">
        <v>0</v>
      </c>
      <c r="AV11" t="inlineStr">
        <is>
          <t>bastion_mk0</t>
        </is>
      </c>
      <c r="AW11" t="n">
        <v>19</v>
      </c>
      <c r="AX11" t="n">
        <v>61</v>
      </c>
      <c r="AY11" t="n">
        <v>3.21</v>
      </c>
      <c r="AZ11" t="n">
        <v>14</v>
      </c>
      <c r="BA11" t="inlineStr"/>
      <c r="BB11" t="n">
        <v>0</v>
      </c>
      <c r="BC11" t="b">
        <v>0</v>
      </c>
      <c r="BD11" t="inlineStr">
        <is>
          <t>Assets/MachineBrigade/Resources/Data/balance.json: vehicles[id=bastion_mk0] x Resources/Models/bastion_mk0.glb</t>
        </is>
      </c>
      <c r="BE11" t="inlineStr"/>
    </row>
    <row r="12">
      <c r="A12" t="inlineStr">
        <is>
          <t>bastion_mk0/2</t>
        </is>
      </c>
      <c r="B12" t="inlineStr">
        <is>
          <t>bastion_mk0</t>
        </is>
      </c>
      <c r="C12" t="inlineStr">
        <is>
          <t>p26_bastion_direct_b100</t>
        </is>
      </c>
      <c r="D12" t="inlineStr">
        <is>
          <t>turret_fr</t>
        </is>
      </c>
      <c r="E12" t="n">
        <v>2</v>
      </c>
      <c r="F12" t="inlineStr">
        <is>
          <t>gun</t>
        </is>
      </c>
      <c r="G12" t="inlineStr">
        <is>
          <t>Free</t>
        </is>
      </c>
      <c r="H12" t="inlineStr">
        <is>
          <t>phao_boss</t>
        </is>
      </c>
      <c r="I12" t="inlineStr">
        <is>
          <t>chinh</t>
        </is>
      </c>
      <c r="J12" t="inlineStr">
        <is>
          <t>Muzzle_gun.001</t>
        </is>
      </c>
      <c r="K12" t="inlineStr">
        <is>
          <t>muzzle</t>
        </is>
      </c>
      <c r="L12" t="inlineStr">
        <is>
          <t>bastion_mk0</t>
        </is>
      </c>
      <c r="M12" t="n">
        <v>1.0872</v>
      </c>
      <c r="N12" t="n">
        <v>0.906</v>
      </c>
      <c r="O12" t="n">
        <v>3.39</v>
      </c>
      <c r="P12" t="n">
        <v>2.99</v>
      </c>
      <c r="Q12" t="n">
        <v>0.4</v>
      </c>
      <c r="R12" t="n">
        <v>9.869999999999999</v>
      </c>
      <c r="S12" t="n">
        <v>10.35</v>
      </c>
      <c r="T12" t="inlineStr">
        <is>
          <t>Mount_gun.001</t>
        </is>
      </c>
      <c r="U12" t="n">
        <v>6.42</v>
      </c>
      <c r="V12" t="n">
        <v>4.66</v>
      </c>
      <c r="W12" t="n">
        <v>6.794999999999999</v>
      </c>
      <c r="X12" t="n">
        <v>0</v>
      </c>
      <c r="Y12" t="n">
        <v>8</v>
      </c>
      <c r="Z12" t="n">
        <v>70</v>
      </c>
      <c r="AA12" t="inlineStr"/>
      <c r="AB12" t="n">
        <v>160</v>
      </c>
      <c r="AC12" t="inlineStr">
        <is>
          <t>lop:phao_boss</t>
        </is>
      </c>
      <c r="AD12" t="b">
        <v>1</v>
      </c>
      <c r="AE12" t="n">
        <v>19</v>
      </c>
      <c r="AF12" t="n">
        <v>0</v>
      </c>
      <c r="AG12" t="n">
        <v>19</v>
      </c>
      <c r="AH12" t="n">
        <v>36</v>
      </c>
      <c r="AI12" t="n">
        <v>170</v>
      </c>
      <c r="AJ12" t="n">
        <v>18.79</v>
      </c>
      <c r="AK12" t="inlineStr"/>
      <c r="AL12" t="n">
        <v>1.3</v>
      </c>
      <c r="AM12" t="inlineStr">
        <is>
          <t>ban_thang</t>
        </is>
      </c>
      <c r="AN12" t="n">
        <v>14.89</v>
      </c>
      <c r="AO12" t="n">
        <v>19.55</v>
      </c>
      <c r="AP12" t="n">
        <v>21.68</v>
      </c>
      <c r="AQ12" t="n">
        <v>17.42</v>
      </c>
      <c r="AR12" t="n">
        <v>20</v>
      </c>
      <c r="AS12" t="b">
        <v>1</v>
      </c>
      <c r="AT12" t="inlineStr">
        <is>
          <t>groundMinReach</t>
        </is>
      </c>
      <c r="AU12" t="b">
        <v>0</v>
      </c>
      <c r="AV12" t="inlineStr">
        <is>
          <t>bastion_mk0</t>
        </is>
      </c>
      <c r="AW12" t="n">
        <v>19</v>
      </c>
      <c r="AX12" t="n">
        <v>61</v>
      </c>
      <c r="AY12" t="n">
        <v>3.21</v>
      </c>
      <c r="AZ12" t="n">
        <v>14</v>
      </c>
      <c r="BA12" t="inlineStr"/>
      <c r="BB12" t="n">
        <v>0</v>
      </c>
      <c r="BC12" t="b">
        <v>0</v>
      </c>
      <c r="BD12" t="inlineStr">
        <is>
          <t>Assets/MachineBrigade/Resources/Data/balance.json: vehicles[id=bastion_mk0] x Resources/Models/bastion_mk0.glb</t>
        </is>
      </c>
      <c r="BE12" t="inlineStr"/>
    </row>
    <row r="13">
      <c r="A13" t="inlineStr">
        <is>
          <t>behemoth/0</t>
        </is>
      </c>
      <c r="B13" t="inlineStr">
        <is>
          <t>behemoth</t>
        </is>
      </c>
      <c r="C13" t="inlineStr">
        <is>
          <t>p26_behemoth_main_be152</t>
        </is>
      </c>
      <c r="D13" t="inlineStr">
        <is>
          <t>main_gun</t>
        </is>
      </c>
      <c r="E13" t="n">
        <v>0</v>
      </c>
      <c r="F13" t="inlineStr">
        <is>
          <t>main</t>
        </is>
      </c>
      <c r="G13" t="inlineStr"/>
      <c r="H13" t="inlineStr">
        <is>
          <t>phao_boss</t>
        </is>
      </c>
      <c r="I13" t="inlineStr">
        <is>
          <t>chinh</t>
        </is>
      </c>
      <c r="J13" t="inlineStr">
        <is>
          <t>Muzzle_main</t>
        </is>
      </c>
      <c r="K13" t="inlineStr">
        <is>
          <t>muzzle</t>
        </is>
      </c>
      <c r="L13" t="inlineStr">
        <is>
          <t>behemoth</t>
        </is>
      </c>
      <c r="M13" t="n">
        <v>1.8854</v>
      </c>
      <c r="N13" t="n">
        <v>1.5712</v>
      </c>
      <c r="O13" t="n">
        <v>7.67</v>
      </c>
      <c r="P13" t="n">
        <v>6.44</v>
      </c>
      <c r="Q13" t="n">
        <v>1.23</v>
      </c>
      <c r="R13" t="n">
        <v>11.04</v>
      </c>
      <c r="S13" t="n">
        <v>14.42</v>
      </c>
      <c r="T13" t="inlineStr">
        <is>
          <t>Turret</t>
        </is>
      </c>
      <c r="U13" t="n">
        <v>0.75</v>
      </c>
      <c r="V13" t="n">
        <v>15.18</v>
      </c>
      <c r="W13" t="n">
        <v>10.05568</v>
      </c>
      <c r="X13" t="n">
        <v>0</v>
      </c>
      <c r="Y13" t="n">
        <v>8</v>
      </c>
      <c r="Z13" t="n">
        <v>70</v>
      </c>
      <c r="AA13" t="inlineStr"/>
      <c r="AB13" t="n">
        <v>360</v>
      </c>
      <c r="AC13" t="inlineStr">
        <is>
          <t>lop:phao_boss</t>
        </is>
      </c>
      <c r="AD13" t="b">
        <v>1</v>
      </c>
      <c r="AE13" t="n">
        <v>32</v>
      </c>
      <c r="AF13" t="n">
        <v>0</v>
      </c>
      <c r="AG13" t="n">
        <v>32</v>
      </c>
      <c r="AH13" t="n">
        <v>40</v>
      </c>
      <c r="AI13" t="n">
        <v>150</v>
      </c>
      <c r="AJ13" t="n">
        <v>19.81</v>
      </c>
      <c r="AK13" t="inlineStr"/>
      <c r="AL13" t="n">
        <v>1.3</v>
      </c>
      <c r="AM13" t="inlineStr">
        <is>
          <t>ban_thang</t>
        </is>
      </c>
      <c r="AN13" t="n">
        <v>45.35</v>
      </c>
      <c r="AO13" t="n">
        <v>60.53</v>
      </c>
      <c r="AP13" t="n">
        <v>62.66</v>
      </c>
      <c r="AQ13" t="n">
        <v>58.39</v>
      </c>
      <c r="AR13" t="n">
        <v>32</v>
      </c>
      <c r="AS13" t="b">
        <v>1</v>
      </c>
      <c r="AT13" t="inlineStr">
        <is>
          <t>groundMinReach</t>
        </is>
      </c>
      <c r="AU13" t="b">
        <v>1</v>
      </c>
      <c r="AV13" t="inlineStr">
        <is>
          <t>behemoth</t>
        </is>
      </c>
      <c r="AW13" t="n">
        <v>32</v>
      </c>
      <c r="AX13" t="n">
        <v>103</v>
      </c>
      <c r="AY13" t="n">
        <v>3.22</v>
      </c>
      <c r="AZ13" t="n">
        <v>25</v>
      </c>
      <c r="BA13" t="inlineStr">
        <is>
          <t>p26_behemoth_close_boss_flak;p26_behemoth_tiny_boss_missiles</t>
        </is>
      </c>
      <c r="BB13" t="n">
        <v>100</v>
      </c>
      <c r="BC13" t="b">
        <v>1</v>
      </c>
      <c r="BD13" t="inlineStr">
        <is>
          <t>Assets/MachineBrigade/Resources/Data/balance.json: vehicles[id=behemoth] x Resources/Models/behemoth.glb</t>
        </is>
      </c>
      <c r="BE13" t="inlineStr"/>
    </row>
    <row r="14">
      <c r="A14" t="inlineStr">
        <is>
          <t>behemoth/1</t>
        </is>
      </c>
      <c r="B14" t="inlineStr">
        <is>
          <t>behemoth</t>
        </is>
      </c>
      <c r="C14" t="inlineStr">
        <is>
          <t>p26_behemoth_tiny_be120</t>
        </is>
      </c>
      <c r="D14" t="inlineStr">
        <is>
          <t>gun_120</t>
        </is>
      </c>
      <c r="E14" t="n">
        <v>1</v>
      </c>
      <c r="F14" t="inlineStr">
        <is>
          <t>gun</t>
        </is>
      </c>
      <c r="G14" t="inlineStr">
        <is>
          <t>Free</t>
        </is>
      </c>
      <c r="H14" t="inlineStr">
        <is>
          <t>phao_boss</t>
        </is>
      </c>
      <c r="I14" t="inlineStr">
        <is>
          <t>chinh</t>
        </is>
      </c>
      <c r="J14" t="inlineStr">
        <is>
          <t>Muzzle_gun</t>
        </is>
      </c>
      <c r="K14" t="inlineStr">
        <is>
          <t>muzzle</t>
        </is>
      </c>
      <c r="L14" t="inlineStr">
        <is>
          <t>behemoth</t>
        </is>
      </c>
      <c r="M14" t="n">
        <v>1.8854</v>
      </c>
      <c r="N14" t="n">
        <v>1.5712</v>
      </c>
      <c r="O14" t="n">
        <v>5.53</v>
      </c>
      <c r="P14" t="n">
        <v>4.4</v>
      </c>
      <c r="Q14" t="n">
        <v>1.13</v>
      </c>
      <c r="R14" t="n">
        <v>11.04</v>
      </c>
      <c r="S14" t="n">
        <v>13.14</v>
      </c>
      <c r="T14" t="inlineStr">
        <is>
          <t>Mount_gun</t>
        </is>
      </c>
      <c r="U14" t="n">
        <v>6.5</v>
      </c>
      <c r="V14" t="n">
        <v>6.64</v>
      </c>
      <c r="W14" t="n">
        <v>10.05568</v>
      </c>
      <c r="X14" t="n">
        <v>0</v>
      </c>
      <c r="Y14" t="n">
        <v>8</v>
      </c>
      <c r="Z14" t="n">
        <v>70</v>
      </c>
      <c r="AA14" t="inlineStr"/>
      <c r="AB14" t="n">
        <v>360</v>
      </c>
      <c r="AC14" t="inlineStr">
        <is>
          <t>lop:phao_boss</t>
        </is>
      </c>
      <c r="AD14" t="b">
        <v>1</v>
      </c>
      <c r="AE14" t="n">
        <v>25</v>
      </c>
      <c r="AF14" t="n">
        <v>0</v>
      </c>
      <c r="AG14" t="n">
        <v>25</v>
      </c>
      <c r="AH14" t="n">
        <v>32</v>
      </c>
      <c r="AI14" t="n">
        <v>170</v>
      </c>
      <c r="AJ14" t="n">
        <v>17.72</v>
      </c>
      <c r="AK14" t="inlineStr"/>
      <c r="AL14" t="n">
        <v>1.3</v>
      </c>
      <c r="AM14" t="inlineStr">
        <is>
          <t>ban_thang</t>
        </is>
      </c>
      <c r="AN14" t="n">
        <v>30.09</v>
      </c>
      <c r="AO14" t="n">
        <v>36.73</v>
      </c>
      <c r="AP14" t="n">
        <v>38.86</v>
      </c>
      <c r="AQ14" t="n">
        <v>34.59</v>
      </c>
      <c r="AR14" t="n">
        <v>25</v>
      </c>
      <c r="AS14" t="b">
        <v>1</v>
      </c>
      <c r="AT14" t="inlineStr">
        <is>
          <t>groundMinReach</t>
        </is>
      </c>
      <c r="AU14" t="b">
        <v>1</v>
      </c>
      <c r="AV14" t="inlineStr">
        <is>
          <t>behemoth</t>
        </is>
      </c>
      <c r="AW14" t="n">
        <v>25</v>
      </c>
      <c r="AX14" t="n">
        <v>80</v>
      </c>
      <c r="AY14" t="n">
        <v>3.2</v>
      </c>
      <c r="AZ14" t="n">
        <v>25</v>
      </c>
      <c r="BA14" t="inlineStr">
        <is>
          <t>p26_behemoth_close_boss_flak;p26_behemoth_tiny_boss_missiles</t>
        </is>
      </c>
      <c r="BB14" t="n">
        <v>100</v>
      </c>
      <c r="BC14" t="b">
        <v>1</v>
      </c>
      <c r="BD14" t="inlineStr">
        <is>
          <t>Assets/MachineBrigade/Resources/Data/balance.json: vehicles[id=behemoth] x Resources/Models/behemoth.glb</t>
        </is>
      </c>
      <c r="BE14" t="inlineStr"/>
    </row>
    <row r="15">
      <c r="A15" t="inlineStr">
        <is>
          <t>behemoth/2</t>
        </is>
      </c>
      <c r="B15" t="inlineStr">
        <is>
          <t>behemoth</t>
        </is>
      </c>
      <c r="C15" t="inlineStr">
        <is>
          <t>p26_behemoth_close_boss_flak</t>
        </is>
      </c>
      <c r="D15" t="inlineStr">
        <is>
          <t>flak_r</t>
        </is>
      </c>
      <c r="E15" t="n">
        <v>2</v>
      </c>
      <c r="F15" t="inlineStr">
        <is>
          <t>mg</t>
        </is>
      </c>
      <c r="G15" t="inlineStr">
        <is>
          <t>Free</t>
        </is>
      </c>
      <c r="H15" t="inlineStr">
        <is>
          <t>phao_nho_ciws</t>
        </is>
      </c>
      <c r="I15" t="inlineStr">
        <is>
          <t>phong_thu_gan</t>
        </is>
      </c>
      <c r="J15" t="inlineStr">
        <is>
          <t>Muzzle_mg</t>
        </is>
      </c>
      <c r="K15" t="inlineStr">
        <is>
          <t>muzzle</t>
        </is>
      </c>
      <c r="L15" t="inlineStr">
        <is>
          <t>behemoth</t>
        </is>
      </c>
      <c r="M15" t="n">
        <v>1.8854</v>
      </c>
      <c r="N15" t="n">
        <v>1.5712</v>
      </c>
      <c r="O15" t="n">
        <v>9.460000000000001</v>
      </c>
      <c r="P15" t="n">
        <v>7.54</v>
      </c>
      <c r="Q15" t="n">
        <v>1.92</v>
      </c>
      <c r="R15" t="n">
        <v>11.04</v>
      </c>
      <c r="S15" t="n">
        <v>1.9</v>
      </c>
      <c r="T15" t="inlineStr">
        <is>
          <t>Mount_mg</t>
        </is>
      </c>
      <c r="U15" t="n">
        <v>2.75</v>
      </c>
      <c r="V15" t="n">
        <v>3.02</v>
      </c>
      <c r="W15" t="n">
        <v>10.05568</v>
      </c>
      <c r="X15" t="n">
        <v>0</v>
      </c>
      <c r="Y15" t="n">
        <v>15</v>
      </c>
      <c r="Z15" t="n">
        <v>85</v>
      </c>
      <c r="AA15" t="inlineStr"/>
      <c r="AB15" t="n">
        <v>360</v>
      </c>
      <c r="AC15" t="inlineStr">
        <is>
          <t>lop:phao_nho_ciws</t>
        </is>
      </c>
      <c r="AD15" t="b">
        <v>1</v>
      </c>
      <c r="AE15" t="n">
        <v>0</v>
      </c>
      <c r="AF15" t="n">
        <v>0</v>
      </c>
      <c r="AG15" t="n">
        <v>0</v>
      </c>
      <c r="AH15" t="n">
        <v>40</v>
      </c>
      <c r="AI15" t="n">
        <v>260</v>
      </c>
      <c r="AJ15" t="n">
        <v>19.81</v>
      </c>
      <c r="AK15" t="inlineStr"/>
      <c r="AL15" t="n">
        <v>1.3</v>
      </c>
      <c r="AM15" t="inlineStr">
        <is>
          <t>ban_thang</t>
        </is>
      </c>
      <c r="AN15" t="n">
        <v>30.47</v>
      </c>
      <c r="AO15" t="n">
        <v>33.49</v>
      </c>
      <c r="AP15" t="n">
        <v>34.61</v>
      </c>
      <c r="AQ15" t="n">
        <v>32.37</v>
      </c>
      <c r="AR15" t="n">
        <v>0</v>
      </c>
      <c r="AS15" t="b">
        <v>0</v>
      </c>
      <c r="AT15" t="inlineStr">
        <is>
          <t>khong_ap:phong_thu_gan</t>
        </is>
      </c>
      <c r="AU15" t="b">
        <v>0</v>
      </c>
      <c r="AV15" t="inlineStr"/>
      <c r="AW15" t="n">
        <v>0</v>
      </c>
      <c r="AX15" t="n">
        <v>40</v>
      </c>
      <c r="AY15" t="inlineStr"/>
      <c r="AZ15" t="n">
        <v>25</v>
      </c>
      <c r="BA15" t="inlineStr">
        <is>
          <t>p26_behemoth_close_boss_flak;p26_behemoth_tiny_boss_missiles</t>
        </is>
      </c>
      <c r="BB15" t="n">
        <v>100</v>
      </c>
      <c r="BC15" t="b">
        <v>1</v>
      </c>
      <c r="BD15" t="inlineStr">
        <is>
          <t>Assets/MachineBrigade/Resources/Data/balance.json: vehicles[id=behemoth] x Resources/Models/behemoth.glb</t>
        </is>
      </c>
      <c r="BE15" t="inlineStr"/>
    </row>
    <row r="16">
      <c r="A16" t="inlineStr">
        <is>
          <t>behemoth/3</t>
        </is>
      </c>
      <c r="B16" t="inlineStr">
        <is>
          <t>behemoth</t>
        </is>
      </c>
      <c r="C16" t="inlineStr">
        <is>
          <t>p26_behemoth_close_boss_flak</t>
        </is>
      </c>
      <c r="D16" t="inlineStr">
        <is>
          <t>flak_l</t>
        </is>
      </c>
      <c r="E16" t="n">
        <v>3</v>
      </c>
      <c r="F16" t="inlineStr">
        <is>
          <t>mg</t>
        </is>
      </c>
      <c r="G16" t="inlineStr">
        <is>
          <t>Free</t>
        </is>
      </c>
      <c r="H16" t="inlineStr">
        <is>
          <t>phao_nho_ciws</t>
        </is>
      </c>
      <c r="I16" t="inlineStr">
        <is>
          <t>phong_thu_gan</t>
        </is>
      </c>
      <c r="J16" t="inlineStr">
        <is>
          <t>Muzzle_mg.001</t>
        </is>
      </c>
      <c r="K16" t="inlineStr">
        <is>
          <t>muzzle</t>
        </is>
      </c>
      <c r="L16" t="inlineStr">
        <is>
          <t>behemoth</t>
        </is>
      </c>
      <c r="M16" t="n">
        <v>1.8854</v>
      </c>
      <c r="N16" t="n">
        <v>1.5712</v>
      </c>
      <c r="O16" t="n">
        <v>9.460000000000001</v>
      </c>
      <c r="P16" t="n">
        <v>7.54</v>
      </c>
      <c r="Q16" t="n">
        <v>1.92</v>
      </c>
      <c r="R16" t="n">
        <v>11.04</v>
      </c>
      <c r="S16" t="n">
        <v>1.9</v>
      </c>
      <c r="T16" t="inlineStr">
        <is>
          <t>Mount_mg.001</t>
        </is>
      </c>
      <c r="U16" t="n">
        <v>2.75</v>
      </c>
      <c r="V16" t="n">
        <v>3.02</v>
      </c>
      <c r="W16" t="n">
        <v>10.05568</v>
      </c>
      <c r="X16" t="n">
        <v>0</v>
      </c>
      <c r="Y16" t="n">
        <v>15</v>
      </c>
      <c r="Z16" t="n">
        <v>85</v>
      </c>
      <c r="AA16" t="inlineStr"/>
      <c r="AB16" t="n">
        <v>360</v>
      </c>
      <c r="AC16" t="inlineStr">
        <is>
          <t>lop:phao_nho_ciws</t>
        </is>
      </c>
      <c r="AD16" t="b">
        <v>1</v>
      </c>
      <c r="AE16" t="n">
        <v>0</v>
      </c>
      <c r="AF16" t="n">
        <v>0</v>
      </c>
      <c r="AG16" t="n">
        <v>0</v>
      </c>
      <c r="AH16" t="n">
        <v>40</v>
      </c>
      <c r="AI16" t="n">
        <v>260</v>
      </c>
      <c r="AJ16" t="n">
        <v>19.81</v>
      </c>
      <c r="AK16" t="inlineStr"/>
      <c r="AL16" t="n">
        <v>1.3</v>
      </c>
      <c r="AM16" t="inlineStr">
        <is>
          <t>ban_thang</t>
        </is>
      </c>
      <c r="AN16" t="n">
        <v>30.47</v>
      </c>
      <c r="AO16" t="n">
        <v>33.49</v>
      </c>
      <c r="AP16" t="n">
        <v>34.61</v>
      </c>
      <c r="AQ16" t="n">
        <v>32.37</v>
      </c>
      <c r="AR16" t="n">
        <v>0</v>
      </c>
      <c r="AS16" t="b">
        <v>0</v>
      </c>
      <c r="AT16" t="inlineStr">
        <is>
          <t>khong_ap:phong_thu_gan</t>
        </is>
      </c>
      <c r="AU16" t="b">
        <v>0</v>
      </c>
      <c r="AV16" t="inlineStr"/>
      <c r="AW16" t="n">
        <v>0</v>
      </c>
      <c r="AX16" t="n">
        <v>40</v>
      </c>
      <c r="AY16" t="inlineStr"/>
      <c r="AZ16" t="n">
        <v>25</v>
      </c>
      <c r="BA16" t="inlineStr">
        <is>
          <t>p26_behemoth_close_boss_flak;p26_behemoth_tiny_boss_missiles</t>
        </is>
      </c>
      <c r="BB16" t="n">
        <v>100</v>
      </c>
      <c r="BC16" t="b">
        <v>1</v>
      </c>
      <c r="BD16" t="inlineStr">
        <is>
          <t>Assets/MachineBrigade/Resources/Data/balance.json: vehicles[id=behemoth] x Resources/Models/behemoth.glb</t>
        </is>
      </c>
      <c r="BE16" t="inlineStr"/>
    </row>
    <row r="17">
      <c r="A17" t="inlineStr">
        <is>
          <t>behemoth/4</t>
        </is>
      </c>
      <c r="B17" t="inlineStr">
        <is>
          <t>behemoth</t>
        </is>
      </c>
      <c r="C17" t="inlineStr">
        <is>
          <t>p26_behemoth_tiny_boss_missiles</t>
        </is>
      </c>
      <c r="D17" t="inlineStr">
        <is>
          <t>missiles_r</t>
        </is>
      </c>
      <c r="E17" t="n">
        <v>4</v>
      </c>
      <c r="F17" t="inlineStr">
        <is>
          <t>missile</t>
        </is>
      </c>
      <c r="G17" t="inlineStr">
        <is>
          <t>Hull</t>
        </is>
      </c>
      <c r="H17" t="inlineStr">
        <is>
          <t>ten_lua</t>
        </is>
      </c>
      <c r="I17" t="inlineStr">
        <is>
          <t>dan_dan</t>
        </is>
      </c>
      <c r="J17" t="inlineStr">
        <is>
          <t>Muzzle_missile</t>
        </is>
      </c>
      <c r="K17" t="inlineStr">
        <is>
          <t>muzzle</t>
        </is>
      </c>
      <c r="L17" t="inlineStr">
        <is>
          <t>behemoth</t>
        </is>
      </c>
      <c r="M17" t="n">
        <v>1.8854</v>
      </c>
      <c r="N17" t="n">
        <v>1.5712</v>
      </c>
      <c r="O17" t="n">
        <v>4</v>
      </c>
      <c r="P17" t="n">
        <v>3.61</v>
      </c>
      <c r="Q17" t="n">
        <v>0.38</v>
      </c>
      <c r="R17" t="n">
        <v>11.04</v>
      </c>
      <c r="S17" t="n">
        <v>6.1</v>
      </c>
      <c r="T17" t="inlineStr"/>
      <c r="U17" t="n">
        <v>0</v>
      </c>
      <c r="V17" t="n">
        <v>3.58</v>
      </c>
      <c r="W17" t="n">
        <v>10.05568</v>
      </c>
      <c r="X17" t="n">
        <v>0</v>
      </c>
      <c r="Y17" t="inlineStr"/>
      <c r="Z17" t="inlineStr"/>
      <c r="AA17" t="inlineStr"/>
      <c r="AB17" t="inlineStr"/>
      <c r="AC17" t="inlineStr">
        <is>
          <t>missileArmingM</t>
        </is>
      </c>
      <c r="AD17" t="b">
        <v>1</v>
      </c>
      <c r="AE17" t="n">
        <v>1</v>
      </c>
      <c r="AF17" t="n">
        <v>0</v>
      </c>
      <c r="AG17" t="n">
        <v>1</v>
      </c>
      <c r="AH17" t="n">
        <v>45</v>
      </c>
      <c r="AI17" t="n">
        <v>80</v>
      </c>
      <c r="AJ17" t="n">
        <v>21.01</v>
      </c>
      <c r="AK17" t="n">
        <v>1</v>
      </c>
      <c r="AL17" t="n">
        <v>1.3</v>
      </c>
      <c r="AM17" t="inlineStr">
        <is>
          <t>max(vu_trang, khoa)</t>
        </is>
      </c>
      <c r="AN17" t="n">
        <v>1</v>
      </c>
      <c r="AO17" t="n">
        <v>1</v>
      </c>
      <c r="AP17" t="n">
        <v>1</v>
      </c>
      <c r="AQ17" t="n">
        <v>1</v>
      </c>
      <c r="AR17" t="n">
        <v>1</v>
      </c>
      <c r="AS17" t="b">
        <v>1</v>
      </c>
      <c r="AT17" t="inlineStr">
        <is>
          <t>groundMinReach</t>
        </is>
      </c>
      <c r="AU17" t="b">
        <v>0</v>
      </c>
      <c r="AV17" t="inlineStr">
        <is>
          <t>behemoth</t>
        </is>
      </c>
      <c r="AW17" t="n">
        <v>1</v>
      </c>
      <c r="AX17" t="n">
        <v>45</v>
      </c>
      <c r="AY17" t="n">
        <v>45</v>
      </c>
      <c r="AZ17" t="n">
        <v>25</v>
      </c>
      <c r="BA17" t="inlineStr">
        <is>
          <t>p26_behemoth_close_boss_flak;p26_behemoth_tiny_boss_missiles</t>
        </is>
      </c>
      <c r="BB17" t="n">
        <v>100</v>
      </c>
      <c r="BC17" t="b">
        <v>1</v>
      </c>
      <c r="BD17" t="inlineStr">
        <is>
          <t>Assets/MachineBrigade/Resources/Data/balance.json: vehicles[id=behemoth] x Resources/Models/behemoth.glb</t>
        </is>
      </c>
      <c r="BE17" t="inlineStr"/>
    </row>
    <row r="18">
      <c r="A18" t="inlineStr">
        <is>
          <t>behemoth/5</t>
        </is>
      </c>
      <c r="B18" t="inlineStr">
        <is>
          <t>behemoth</t>
        </is>
      </c>
      <c r="C18" t="inlineStr">
        <is>
          <t>p26_behemoth_tiny_boss_missiles</t>
        </is>
      </c>
      <c r="D18" t="inlineStr">
        <is>
          <t>missiles_l</t>
        </is>
      </c>
      <c r="E18" t="n">
        <v>5</v>
      </c>
      <c r="F18" t="inlineStr">
        <is>
          <t>missile</t>
        </is>
      </c>
      <c r="G18" t="inlineStr">
        <is>
          <t>Hull</t>
        </is>
      </c>
      <c r="H18" t="inlineStr">
        <is>
          <t>ten_lua</t>
        </is>
      </c>
      <c r="I18" t="inlineStr">
        <is>
          <t>dan_dan</t>
        </is>
      </c>
      <c r="J18" t="inlineStr">
        <is>
          <t>Muzzle_missile.001</t>
        </is>
      </c>
      <c r="K18" t="inlineStr">
        <is>
          <t>muzzle</t>
        </is>
      </c>
      <c r="L18" t="inlineStr">
        <is>
          <t>behemoth</t>
        </is>
      </c>
      <c r="M18" t="n">
        <v>1.8854</v>
      </c>
      <c r="N18" t="n">
        <v>1.5712</v>
      </c>
      <c r="O18" t="n">
        <v>4</v>
      </c>
      <c r="P18" t="n">
        <v>3.61</v>
      </c>
      <c r="Q18" t="n">
        <v>0.38</v>
      </c>
      <c r="R18" t="n">
        <v>11.04</v>
      </c>
      <c r="S18" t="n">
        <v>6.1</v>
      </c>
      <c r="T18" t="inlineStr"/>
      <c r="U18" t="n">
        <v>0</v>
      </c>
      <c r="V18" t="n">
        <v>3.58</v>
      </c>
      <c r="W18" t="n">
        <v>10.05568</v>
      </c>
      <c r="X18" t="n">
        <v>0</v>
      </c>
      <c r="Y18" t="inlineStr"/>
      <c r="Z18" t="inlineStr"/>
      <c r="AA18" t="inlineStr"/>
      <c r="AB18" t="inlineStr"/>
      <c r="AC18" t="inlineStr">
        <is>
          <t>missileArmingM</t>
        </is>
      </c>
      <c r="AD18" t="b">
        <v>1</v>
      </c>
      <c r="AE18" t="n">
        <v>1</v>
      </c>
      <c r="AF18" t="n">
        <v>0</v>
      </c>
      <c r="AG18" t="n">
        <v>1</v>
      </c>
      <c r="AH18" t="n">
        <v>45</v>
      </c>
      <c r="AI18" t="n">
        <v>80</v>
      </c>
      <c r="AJ18" t="n">
        <v>21.01</v>
      </c>
      <c r="AK18" t="n">
        <v>1</v>
      </c>
      <c r="AL18" t="n">
        <v>1.3</v>
      </c>
      <c r="AM18" t="inlineStr">
        <is>
          <t>max(vu_trang, khoa)</t>
        </is>
      </c>
      <c r="AN18" t="n">
        <v>1</v>
      </c>
      <c r="AO18" t="n">
        <v>1</v>
      </c>
      <c r="AP18" t="n">
        <v>1</v>
      </c>
      <c r="AQ18" t="n">
        <v>1</v>
      </c>
      <c r="AR18" t="n">
        <v>1</v>
      </c>
      <c r="AS18" t="b">
        <v>1</v>
      </c>
      <c r="AT18" t="inlineStr">
        <is>
          <t>groundMinReach</t>
        </is>
      </c>
      <c r="AU18" t="b">
        <v>0</v>
      </c>
      <c r="AV18" t="inlineStr">
        <is>
          <t>behemoth</t>
        </is>
      </c>
      <c r="AW18" t="n">
        <v>1</v>
      </c>
      <c r="AX18" t="n">
        <v>45</v>
      </c>
      <c r="AY18" t="n">
        <v>45</v>
      </c>
      <c r="AZ18" t="n">
        <v>25</v>
      </c>
      <c r="BA18" t="inlineStr">
        <is>
          <t>p26_behemoth_close_boss_flak;p26_behemoth_tiny_boss_missiles</t>
        </is>
      </c>
      <c r="BB18" t="n">
        <v>100</v>
      </c>
      <c r="BC18" t="b">
        <v>1</v>
      </c>
      <c r="BD18" t="inlineStr">
        <is>
          <t>Assets/MachineBrigade/Resources/Data/balance.json: vehicles[id=behemoth] x Resources/Models/behemoth.glb</t>
        </is>
      </c>
      <c r="BE18" t="inlineStr"/>
    </row>
    <row r="19">
      <c r="A19" t="inlineStr">
        <is>
          <t>behemoth/6</t>
        </is>
      </c>
      <c r="B19" t="inlineStr">
        <is>
          <t>behemoth</t>
        </is>
      </c>
      <c r="C19" t="inlineStr">
        <is>
          <t>p26_behemoth_tiny_kornet_twin</t>
        </is>
      </c>
      <c r="D19" t="inlineStr">
        <is>
          <t>gun_120</t>
        </is>
      </c>
      <c r="E19" t="n">
        <v>6</v>
      </c>
      <c r="F19" t="inlineStr">
        <is>
          <t>missile</t>
        </is>
      </c>
      <c r="G19" t="inlineStr">
        <is>
          <t>Free</t>
        </is>
      </c>
      <c r="H19" t="inlineStr">
        <is>
          <t>phao_boss</t>
        </is>
      </c>
      <c r="I19" t="inlineStr">
        <is>
          <t>chinh</t>
        </is>
      </c>
      <c r="J19" t="inlineStr">
        <is>
          <t>Muzzle_missile.002</t>
        </is>
      </c>
      <c r="K19" t="inlineStr">
        <is>
          <t>muzzle</t>
        </is>
      </c>
      <c r="L19" t="inlineStr">
        <is>
          <t>behemoth</t>
        </is>
      </c>
      <c r="M19" t="n">
        <v>1.8854</v>
      </c>
      <c r="N19" t="n">
        <v>1.5712</v>
      </c>
      <c r="O19" t="n">
        <v>5.53</v>
      </c>
      <c r="P19" t="n">
        <v>4.4</v>
      </c>
      <c r="Q19" t="n">
        <v>1.13</v>
      </c>
      <c r="R19" t="n">
        <v>11.04</v>
      </c>
      <c r="S19" t="n">
        <v>13.15</v>
      </c>
      <c r="T19" t="inlineStr">
        <is>
          <t>Mount_gun</t>
        </is>
      </c>
      <c r="U19" t="n">
        <v>6.5</v>
      </c>
      <c r="V19" t="n">
        <v>6.64</v>
      </c>
      <c r="W19" t="n">
        <v>10.05568</v>
      </c>
      <c r="X19" t="n">
        <v>0</v>
      </c>
      <c r="Y19" t="n">
        <v>8</v>
      </c>
      <c r="Z19" t="n">
        <v>70</v>
      </c>
      <c r="AA19" t="inlineStr"/>
      <c r="AB19" t="n">
        <v>360</v>
      </c>
      <c r="AC19" t="inlineStr">
        <is>
          <t>lop:phao_boss</t>
        </is>
      </c>
      <c r="AD19" t="b">
        <v>1</v>
      </c>
      <c r="AE19" t="n">
        <v>25</v>
      </c>
      <c r="AF19" t="n">
        <v>0</v>
      </c>
      <c r="AG19" t="n">
        <v>25</v>
      </c>
      <c r="AH19" t="n">
        <v>32</v>
      </c>
      <c r="AI19" t="n">
        <v>170</v>
      </c>
      <c r="AJ19" t="n">
        <v>17.72</v>
      </c>
      <c r="AK19" t="inlineStr"/>
      <c r="AL19" t="n">
        <v>1.3</v>
      </c>
      <c r="AM19" t="inlineStr">
        <is>
          <t>ban_thang</t>
        </is>
      </c>
      <c r="AN19" t="n">
        <v>30.09</v>
      </c>
      <c r="AO19" t="n">
        <v>36.74</v>
      </c>
      <c r="AP19" t="n">
        <v>38.87</v>
      </c>
      <c r="AQ19" t="n">
        <v>34.6</v>
      </c>
      <c r="AR19" t="n">
        <v>25</v>
      </c>
      <c r="AS19" t="b">
        <v>1</v>
      </c>
      <c r="AT19" t="inlineStr">
        <is>
          <t>groundMinReach</t>
        </is>
      </c>
      <c r="AU19" t="b">
        <v>1</v>
      </c>
      <c r="AV19" t="inlineStr">
        <is>
          <t>behemoth</t>
        </is>
      </c>
      <c r="AW19" t="n">
        <v>25</v>
      </c>
      <c r="AX19" t="n">
        <v>80</v>
      </c>
      <c r="AY19" t="n">
        <v>3.2</v>
      </c>
      <c r="AZ19" t="n">
        <v>25</v>
      </c>
      <c r="BA19" t="inlineStr">
        <is>
          <t>p26_behemoth_close_boss_flak;p26_behemoth_tiny_boss_missiles</t>
        </is>
      </c>
      <c r="BB19" t="n">
        <v>100</v>
      </c>
      <c r="BC19" t="b">
        <v>1</v>
      </c>
      <c r="BD19" t="inlineStr">
        <is>
          <t>Assets/MachineBrigade/Resources/Data/balance.json: vehicles[id=behemoth] x Resources/Models/behemoth.glb</t>
        </is>
      </c>
      <c r="BE19" t="inlineStr"/>
    </row>
    <row r="20">
      <c r="A20" t="inlineStr">
        <is>
          <t>behemoth/7</t>
        </is>
      </c>
      <c r="B20" t="inlineStr">
        <is>
          <t>behemoth</t>
        </is>
      </c>
      <c r="C20" t="inlineStr">
        <is>
          <t>p26_behemoth_direct_be120</t>
        </is>
      </c>
      <c r="D20" t="inlineStr">
        <is>
          <t>side_gun_l</t>
        </is>
      </c>
      <c r="E20" t="n">
        <v>7</v>
      </c>
      <c r="F20" t="inlineStr">
        <is>
          <t>gun</t>
        </is>
      </c>
      <c r="G20" t="inlineStr">
        <is>
          <t>Free</t>
        </is>
      </c>
      <c r="H20" t="inlineStr">
        <is>
          <t>phao_boss</t>
        </is>
      </c>
      <c r="I20" t="inlineStr">
        <is>
          <t>chinh</t>
        </is>
      </c>
      <c r="J20" t="inlineStr">
        <is>
          <t>Muzzle_gun.001</t>
        </is>
      </c>
      <c r="K20" t="inlineStr">
        <is>
          <t>muzzle</t>
        </is>
      </c>
      <c r="L20" t="inlineStr">
        <is>
          <t>behemoth</t>
        </is>
      </c>
      <c r="M20" t="n">
        <v>1.8854</v>
      </c>
      <c r="N20" t="n">
        <v>1.5712</v>
      </c>
      <c r="O20" t="n">
        <v>5.73</v>
      </c>
      <c r="P20" t="n">
        <v>4.09</v>
      </c>
      <c r="Q20" t="n">
        <v>1.65</v>
      </c>
      <c r="R20" t="n">
        <v>11.04</v>
      </c>
      <c r="S20" t="n">
        <v>13</v>
      </c>
      <c r="T20" t="inlineStr">
        <is>
          <t>Mount_gun.001</t>
        </is>
      </c>
      <c r="U20" t="n">
        <v>6.68</v>
      </c>
      <c r="V20" t="n">
        <v>9.43</v>
      </c>
      <c r="W20" t="n">
        <v>10.05568</v>
      </c>
      <c r="X20" t="n">
        <v>0</v>
      </c>
      <c r="Y20" t="n">
        <v>8</v>
      </c>
      <c r="Z20" t="n">
        <v>70</v>
      </c>
      <c r="AA20" t="inlineStr"/>
      <c r="AB20" t="n">
        <v>360</v>
      </c>
      <c r="AC20" t="inlineStr">
        <is>
          <t>lop:phao_boss</t>
        </is>
      </c>
      <c r="AD20" t="b">
        <v>1</v>
      </c>
      <c r="AE20" t="n">
        <v>21</v>
      </c>
      <c r="AF20" t="n">
        <v>0</v>
      </c>
      <c r="AG20" t="n">
        <v>21</v>
      </c>
      <c r="AH20" t="n">
        <v>32</v>
      </c>
      <c r="AI20" t="n">
        <v>170</v>
      </c>
      <c r="AJ20" t="n">
        <v>17.72</v>
      </c>
      <c r="AK20" t="inlineStr"/>
      <c r="AL20" t="n">
        <v>1.3</v>
      </c>
      <c r="AM20" t="inlineStr">
        <is>
          <t>ban_thang</t>
        </is>
      </c>
      <c r="AN20" t="n">
        <v>31.53</v>
      </c>
      <c r="AO20" t="n">
        <v>40.96</v>
      </c>
      <c r="AP20" t="n">
        <v>43.1</v>
      </c>
      <c r="AQ20" t="n">
        <v>38.83</v>
      </c>
      <c r="AR20" t="n">
        <v>25</v>
      </c>
      <c r="AS20" t="b">
        <v>1</v>
      </c>
      <c r="AT20" t="inlineStr">
        <is>
          <t>groundMinReach</t>
        </is>
      </c>
      <c r="AU20" t="b">
        <v>1</v>
      </c>
      <c r="AV20" t="inlineStr">
        <is>
          <t>behemoth</t>
        </is>
      </c>
      <c r="AW20" t="n">
        <v>25</v>
      </c>
      <c r="AX20" t="n">
        <v>80</v>
      </c>
      <c r="AY20" t="n">
        <v>3.2</v>
      </c>
      <c r="AZ20" t="n">
        <v>25</v>
      </c>
      <c r="BA20" t="inlineStr">
        <is>
          <t>p26_behemoth_close_boss_flak;p26_behemoth_tiny_boss_missiles</t>
        </is>
      </c>
      <c r="BB20" t="n">
        <v>100</v>
      </c>
      <c r="BC20" t="b">
        <v>1</v>
      </c>
      <c r="BD20" t="inlineStr">
        <is>
          <t>Assets/MachineBrigade/Resources/Data/balance.json: vehicles[id=behemoth] x Resources/Models/behemoth.glb</t>
        </is>
      </c>
      <c r="BE20" t="inlineStr"/>
    </row>
    <row r="21">
      <c r="A21" t="inlineStr">
        <is>
          <t>behemoth/8</t>
        </is>
      </c>
      <c r="B21" t="inlineStr">
        <is>
          <t>behemoth</t>
        </is>
      </c>
      <c r="C21" t="inlineStr">
        <is>
          <t>p26_behemoth_direct_be120</t>
        </is>
      </c>
      <c r="D21" t="inlineStr">
        <is>
          <t>side_gun_r</t>
        </is>
      </c>
      <c r="E21" t="n">
        <v>8</v>
      </c>
      <c r="F21" t="inlineStr">
        <is>
          <t>gun</t>
        </is>
      </c>
      <c r="G21" t="inlineStr">
        <is>
          <t>Free</t>
        </is>
      </c>
      <c r="H21" t="inlineStr">
        <is>
          <t>phao_boss</t>
        </is>
      </c>
      <c r="I21" t="inlineStr">
        <is>
          <t>chinh</t>
        </is>
      </c>
      <c r="J21" t="inlineStr">
        <is>
          <t>Muzzle_gun.002</t>
        </is>
      </c>
      <c r="K21" t="inlineStr">
        <is>
          <t>muzzle</t>
        </is>
      </c>
      <c r="L21" t="inlineStr">
        <is>
          <t>behemoth</t>
        </is>
      </c>
      <c r="M21" t="n">
        <v>1.8854</v>
      </c>
      <c r="N21" t="n">
        <v>1.5712</v>
      </c>
      <c r="O21" t="n">
        <v>5.73</v>
      </c>
      <c r="P21" t="n">
        <v>4.09</v>
      </c>
      <c r="Q21" t="n">
        <v>1.65</v>
      </c>
      <c r="R21" t="n">
        <v>11.04</v>
      </c>
      <c r="S21" t="n">
        <v>13</v>
      </c>
      <c r="T21" t="inlineStr">
        <is>
          <t>Mount_gun.002</t>
        </is>
      </c>
      <c r="U21" t="n">
        <v>6.68</v>
      </c>
      <c r="V21" t="n">
        <v>9.43</v>
      </c>
      <c r="W21" t="n">
        <v>10.05568</v>
      </c>
      <c r="X21" t="n">
        <v>0</v>
      </c>
      <c r="Y21" t="n">
        <v>8</v>
      </c>
      <c r="Z21" t="n">
        <v>70</v>
      </c>
      <c r="AA21" t="inlineStr"/>
      <c r="AB21" t="n">
        <v>360</v>
      </c>
      <c r="AC21" t="inlineStr">
        <is>
          <t>lop:phao_boss</t>
        </is>
      </c>
      <c r="AD21" t="b">
        <v>1</v>
      </c>
      <c r="AE21" t="n">
        <v>21</v>
      </c>
      <c r="AF21" t="n">
        <v>0</v>
      </c>
      <c r="AG21" t="n">
        <v>21</v>
      </c>
      <c r="AH21" t="n">
        <v>32</v>
      </c>
      <c r="AI21" t="n">
        <v>170</v>
      </c>
      <c r="AJ21" t="n">
        <v>17.72</v>
      </c>
      <c r="AK21" t="inlineStr"/>
      <c r="AL21" t="n">
        <v>1.3</v>
      </c>
      <c r="AM21" t="inlineStr">
        <is>
          <t>ban_thang</t>
        </is>
      </c>
      <c r="AN21" t="n">
        <v>31.53</v>
      </c>
      <c r="AO21" t="n">
        <v>40.96</v>
      </c>
      <c r="AP21" t="n">
        <v>43.1</v>
      </c>
      <c r="AQ21" t="n">
        <v>38.83</v>
      </c>
      <c r="AR21" t="n">
        <v>25</v>
      </c>
      <c r="AS21" t="b">
        <v>1</v>
      </c>
      <c r="AT21" t="inlineStr">
        <is>
          <t>groundMinReach</t>
        </is>
      </c>
      <c r="AU21" t="b">
        <v>1</v>
      </c>
      <c r="AV21" t="inlineStr">
        <is>
          <t>behemoth</t>
        </is>
      </c>
      <c r="AW21" t="n">
        <v>25</v>
      </c>
      <c r="AX21" t="n">
        <v>80</v>
      </c>
      <c r="AY21" t="n">
        <v>3.2</v>
      </c>
      <c r="AZ21" t="n">
        <v>25</v>
      </c>
      <c r="BA21" t="inlineStr">
        <is>
          <t>p26_behemoth_close_boss_flak;p26_behemoth_tiny_boss_missiles</t>
        </is>
      </c>
      <c r="BB21" t="n">
        <v>100</v>
      </c>
      <c r="BC21" t="b">
        <v>1</v>
      </c>
      <c r="BD21" t="inlineStr">
        <is>
          <t>Assets/MachineBrigade/Resources/Data/balance.json: vehicles[id=behemoth] x Resources/Models/behemoth.glb</t>
        </is>
      </c>
      <c r="BE21" t="inlineStr"/>
    </row>
    <row r="22">
      <c r="A22" t="inlineStr">
        <is>
          <t>behemoth/9</t>
        </is>
      </c>
      <c r="B22" t="inlineStr">
        <is>
          <t>behemoth</t>
        </is>
      </c>
      <c r="C22" t="inlineStr">
        <is>
          <t>p26_behemoth_sec_be_rockets</t>
        </is>
      </c>
      <c r="D22" t="inlineStr">
        <is>
          <t>rocket_pod</t>
        </is>
      </c>
      <c r="E22" t="n">
        <v>9</v>
      </c>
      <c r="F22" t="inlineStr">
        <is>
          <t>rocket</t>
        </is>
      </c>
      <c r="G22" t="inlineStr">
        <is>
          <t>Free</t>
        </is>
      </c>
      <c r="H22" t="inlineStr">
        <is>
          <t>be_rocket</t>
        </is>
      </c>
      <c r="I22" t="inlineStr">
        <is>
          <t>chinh</t>
        </is>
      </c>
      <c r="J22" t="inlineStr">
        <is>
          <t>Muzzle_rocket</t>
        </is>
      </c>
      <c r="K22" t="inlineStr">
        <is>
          <t>muzzle</t>
        </is>
      </c>
      <c r="L22" t="inlineStr">
        <is>
          <t>behemoth</t>
        </is>
      </c>
      <c r="M22" t="n">
        <v>1.8854</v>
      </c>
      <c r="N22" t="n">
        <v>1.5712</v>
      </c>
      <c r="O22" t="n">
        <v>9.99</v>
      </c>
      <c r="P22" t="n">
        <v>6.91</v>
      </c>
      <c r="Q22" t="n">
        <v>3.08</v>
      </c>
      <c r="R22" t="n">
        <v>11.04</v>
      </c>
      <c r="S22" t="n">
        <v>5.18</v>
      </c>
      <c r="T22" t="inlineStr">
        <is>
          <t>Mount_rocket</t>
        </is>
      </c>
      <c r="U22" t="n">
        <v>7.16</v>
      </c>
      <c r="V22" t="n">
        <v>1.98</v>
      </c>
      <c r="W22" t="n">
        <v>10.05568</v>
      </c>
      <c r="X22" t="n">
        <v>0</v>
      </c>
      <c r="Y22" t="n">
        <v>0</v>
      </c>
      <c r="Z22" t="n">
        <v>50</v>
      </c>
      <c r="AA22" t="n">
        <v>0</v>
      </c>
      <c r="AB22" t="n">
        <v>360</v>
      </c>
      <c r="AC22" t="inlineStr">
        <is>
          <t>lop:be_rocket</t>
        </is>
      </c>
      <c r="AD22" t="b">
        <v>1</v>
      </c>
      <c r="AE22" t="n">
        <v>23</v>
      </c>
      <c r="AF22" t="n">
        <v>0</v>
      </c>
      <c r="AG22" t="n">
        <v>23</v>
      </c>
      <c r="AH22" t="n">
        <v>45</v>
      </c>
      <c r="AI22" t="n">
        <v>130</v>
      </c>
      <c r="AJ22" t="n">
        <v>21.01</v>
      </c>
      <c r="AK22" t="inlineStr"/>
      <c r="AL22" t="n">
        <v>1.3</v>
      </c>
      <c r="AM22" t="inlineStr">
        <is>
          <t>roi_tu_do_be_co_dinh</t>
        </is>
      </c>
      <c r="AN22" t="n">
        <v>27.97</v>
      </c>
      <c r="AO22" t="n">
        <v>29.95</v>
      </c>
      <c r="AP22" t="n">
        <v>30.43</v>
      </c>
      <c r="AQ22" t="n">
        <v>29.46</v>
      </c>
      <c r="AR22" t="n">
        <v>30</v>
      </c>
      <c r="AS22" t="b">
        <v>1</v>
      </c>
      <c r="AT22" t="inlineStr">
        <is>
          <t>groundMinReach</t>
        </is>
      </c>
      <c r="AU22" t="b">
        <v>0</v>
      </c>
      <c r="AV22" t="inlineStr">
        <is>
          <t>behemoth</t>
        </is>
      </c>
      <c r="AW22" t="n">
        <v>30</v>
      </c>
      <c r="AX22" t="n">
        <v>96</v>
      </c>
      <c r="AY22" t="n">
        <v>3.2</v>
      </c>
      <c r="AZ22" t="n">
        <v>25</v>
      </c>
      <c r="BA22" t="inlineStr">
        <is>
          <t>p26_behemoth_close_boss_flak;p26_behemoth_tiny_boss_missiles</t>
        </is>
      </c>
      <c r="BB22" t="n">
        <v>100</v>
      </c>
      <c r="BC22" t="b">
        <v>1</v>
      </c>
      <c r="BD22" t="inlineStr">
        <is>
          <t>Assets/MachineBrigade/Resources/Data/balance.json: vehicles[id=behemoth] x Resources/Models/behemoth.glb</t>
        </is>
      </c>
      <c r="BE22" t="inlineStr"/>
    </row>
    <row r="23">
      <c r="A23" t="inlineStr">
        <is>
          <t>behemoth_inferno/0</t>
        </is>
      </c>
      <c r="B23" t="inlineStr">
        <is>
          <t>behemoth_inferno</t>
        </is>
      </c>
      <c r="C23" t="inlineStr">
        <is>
          <t>boss_flamer</t>
        </is>
      </c>
      <c r="D23" t="inlineStr">
        <is>
          <t>flamer_r</t>
        </is>
      </c>
      <c r="E23" t="n">
        <v>0</v>
      </c>
      <c r="F23" t="inlineStr">
        <is>
          <t>main</t>
        </is>
      </c>
      <c r="G23" t="inlineStr"/>
      <c r="H23" t="inlineStr">
        <is>
          <t>phun_lua</t>
        </is>
      </c>
      <c r="I23" t="inlineStr">
        <is>
          <t>phong_thu_gan</t>
        </is>
      </c>
      <c r="J23" t="inlineStr">
        <is>
          <t>Muzzle_main</t>
        </is>
      </c>
      <c r="K23" t="inlineStr">
        <is>
          <t>muzzle</t>
        </is>
      </c>
      <c r="L23" t="inlineStr">
        <is>
          <t>behemoth_inferno</t>
        </is>
      </c>
      <c r="M23" t="n">
        <v>1.3502</v>
      </c>
      <c r="N23" t="n">
        <v>1.1252</v>
      </c>
      <c r="O23" t="n">
        <v>4.79</v>
      </c>
      <c r="P23" t="n">
        <v>4.61</v>
      </c>
      <c r="Q23" t="n">
        <v>0.18</v>
      </c>
      <c r="R23" t="n">
        <v>6.94</v>
      </c>
      <c r="S23" t="n">
        <v>7.94</v>
      </c>
      <c r="T23" t="inlineStr">
        <is>
          <t>Turret</t>
        </is>
      </c>
      <c r="U23" t="n">
        <v>0.54</v>
      </c>
      <c r="V23" t="n">
        <v>8.48</v>
      </c>
      <c r="W23" t="n">
        <v>7.201280000000001</v>
      </c>
      <c r="X23" t="n">
        <v>0</v>
      </c>
      <c r="Y23" t="n">
        <v>20</v>
      </c>
      <c r="Z23" t="n">
        <v>45</v>
      </c>
      <c r="AA23" t="inlineStr"/>
      <c r="AB23" t="n">
        <v>360</v>
      </c>
      <c r="AC23" t="inlineStr">
        <is>
          <t>lop:phun_lua</t>
        </is>
      </c>
      <c r="AD23" t="b">
        <v>1</v>
      </c>
      <c r="AE23" t="n">
        <v>0</v>
      </c>
      <c r="AF23" t="n">
        <v>0</v>
      </c>
      <c r="AG23" t="n">
        <v>0</v>
      </c>
      <c r="AH23" t="n">
        <v>20</v>
      </c>
      <c r="AI23" t="n">
        <v>38</v>
      </c>
      <c r="AJ23" t="n">
        <v>14.01</v>
      </c>
      <c r="AK23" t="inlineStr"/>
      <c r="AL23" t="n">
        <v>1.3</v>
      </c>
      <c r="AM23" t="inlineStr">
        <is>
          <t>ban_thang</t>
        </is>
      </c>
      <c r="AN23" t="n">
        <v>9.6</v>
      </c>
      <c r="AO23" t="n">
        <v>18.08</v>
      </c>
      <c r="AP23" t="n">
        <v>18.9</v>
      </c>
      <c r="AQ23" t="n">
        <v>17.25</v>
      </c>
      <c r="AR23" t="n">
        <v>0</v>
      </c>
      <c r="AS23" t="b">
        <v>0</v>
      </c>
      <c r="AT23" t="inlineStr">
        <is>
          <t>khong_ap:phong_thu_gan</t>
        </is>
      </c>
      <c r="AU23" t="b">
        <v>0</v>
      </c>
      <c r="AV23" t="inlineStr"/>
      <c r="AW23" t="n">
        <v>0</v>
      </c>
      <c r="AX23" t="n">
        <v>20</v>
      </c>
      <c r="AY23" t="inlineStr"/>
      <c r="AZ23" t="n">
        <v>21</v>
      </c>
      <c r="BA23" t="inlineStr">
        <is>
          <t>boss_flamer</t>
        </is>
      </c>
      <c r="BB23" t="n">
        <v>100</v>
      </c>
      <c r="BC23" t="b">
        <v>1</v>
      </c>
      <c r="BD23" t="inlineStr">
        <is>
          <t>Assets/MachineBrigade/Resources/Data/balance.json: vehicles[id=behemoth_inferno] x Resources/Models/behemoth_inferno.glb</t>
        </is>
      </c>
      <c r="BE23" t="inlineStr"/>
    </row>
    <row r="24">
      <c r="A24" t="inlineStr">
        <is>
          <t>behemoth_inferno/1</t>
        </is>
      </c>
      <c r="B24" t="inlineStr">
        <is>
          <t>behemoth_inferno</t>
        </is>
      </c>
      <c r="C24" t="inlineStr">
        <is>
          <t>boss_thermo</t>
        </is>
      </c>
      <c r="D24" t="inlineStr">
        <is>
          <t>thermo</t>
        </is>
      </c>
      <c r="E24" t="n">
        <v>1</v>
      </c>
      <c r="F24" t="inlineStr">
        <is>
          <t>rocket</t>
        </is>
      </c>
      <c r="G24" t="inlineStr">
        <is>
          <t>Free</t>
        </is>
      </c>
      <c r="H24" t="inlineStr">
        <is>
          <t>phao_boss</t>
        </is>
      </c>
      <c r="I24" t="inlineStr">
        <is>
          <t>chinh</t>
        </is>
      </c>
      <c r="J24" t="inlineStr">
        <is>
          <t>Muzzle_rocket</t>
        </is>
      </c>
      <c r="K24" t="inlineStr">
        <is>
          <t>muzzle</t>
        </is>
      </c>
      <c r="L24" t="inlineStr">
        <is>
          <t>behemoth_inferno</t>
        </is>
      </c>
      <c r="M24" t="n">
        <v>1.3502</v>
      </c>
      <c r="N24" t="n">
        <v>1.1252</v>
      </c>
      <c r="O24" t="n">
        <v>3.62</v>
      </c>
      <c r="P24" t="n">
        <v>3.15</v>
      </c>
      <c r="Q24" t="n">
        <v>0.47</v>
      </c>
      <c r="R24" t="n">
        <v>6.94</v>
      </c>
      <c r="S24" t="n">
        <v>8.25</v>
      </c>
      <c r="T24" t="inlineStr">
        <is>
          <t>Mount_rocket</t>
        </is>
      </c>
      <c r="U24" t="n">
        <v>4.59</v>
      </c>
      <c r="V24" t="n">
        <v>3.66</v>
      </c>
      <c r="W24" t="n">
        <v>7.201280000000001</v>
      </c>
      <c r="X24" t="n">
        <v>0</v>
      </c>
      <c r="Y24" t="n">
        <v>8</v>
      </c>
      <c r="Z24" t="n">
        <v>70</v>
      </c>
      <c r="AA24" t="inlineStr"/>
      <c r="AB24" t="n">
        <v>360</v>
      </c>
      <c r="AC24" t="inlineStr">
        <is>
          <t>lop:phao_boss</t>
        </is>
      </c>
      <c r="AD24" t="b">
        <v>1</v>
      </c>
      <c r="AE24" t="n">
        <v>21</v>
      </c>
      <c r="AF24" t="n">
        <v>0</v>
      </c>
      <c r="AG24" t="n">
        <v>21</v>
      </c>
      <c r="AH24" t="n">
        <v>46</v>
      </c>
      <c r="AI24" t="n">
        <v>170</v>
      </c>
      <c r="AJ24" t="n">
        <v>21.24</v>
      </c>
      <c r="AK24" t="inlineStr"/>
      <c r="AL24" t="n">
        <v>1.3</v>
      </c>
      <c r="AM24" t="inlineStr">
        <is>
          <t>ban_thang</t>
        </is>
      </c>
      <c r="AN24" t="n">
        <v>16.5</v>
      </c>
      <c r="AO24" t="n">
        <v>20.16</v>
      </c>
      <c r="AP24" t="n">
        <v>22.29</v>
      </c>
      <c r="AQ24" t="n">
        <v>18.02</v>
      </c>
      <c r="AR24" t="n">
        <v>21</v>
      </c>
      <c r="AS24" t="b">
        <v>1</v>
      </c>
      <c r="AT24" t="inlineStr">
        <is>
          <t>groundMinReach</t>
        </is>
      </c>
      <c r="AU24" t="b">
        <v>0</v>
      </c>
      <c r="AV24" t="inlineStr">
        <is>
          <t>behemoth_inferno</t>
        </is>
      </c>
      <c r="AW24" t="n">
        <v>21</v>
      </c>
      <c r="AX24" t="n">
        <v>68</v>
      </c>
      <c r="AY24" t="n">
        <v>3.24</v>
      </c>
      <c r="AZ24" t="n">
        <v>21</v>
      </c>
      <c r="BA24" t="inlineStr">
        <is>
          <t>boss_flamer</t>
        </is>
      </c>
      <c r="BB24" t="n">
        <v>100</v>
      </c>
      <c r="BC24" t="b">
        <v>1</v>
      </c>
      <c r="BD24" t="inlineStr">
        <is>
          <t>Assets/MachineBrigade/Resources/Data/balance.json: vehicles[id=behemoth_inferno] x Resources/Models/behemoth_inferno.glb</t>
        </is>
      </c>
      <c r="BE24" t="inlineStr"/>
    </row>
    <row r="25">
      <c r="A25" t="inlineStr">
        <is>
          <t>behemoth_inferno/2</t>
        </is>
      </c>
      <c r="B25" t="inlineStr">
        <is>
          <t>behemoth_inferno</t>
        </is>
      </c>
      <c r="C25" t="inlineStr">
        <is>
          <t>boss_flamer</t>
        </is>
      </c>
      <c r="D25" t="inlineStr">
        <is>
          <t>flamer_l</t>
        </is>
      </c>
      <c r="E25" t="n">
        <v>2</v>
      </c>
      <c r="F25" t="inlineStr">
        <is>
          <t>main</t>
        </is>
      </c>
      <c r="G25" t="inlineStr">
        <is>
          <t>Turret</t>
        </is>
      </c>
      <c r="H25" t="inlineStr">
        <is>
          <t>phun_lua</t>
        </is>
      </c>
      <c r="I25" t="inlineStr">
        <is>
          <t>phong_thu_gan</t>
        </is>
      </c>
      <c r="J25" t="inlineStr">
        <is>
          <t>Muzzle_main</t>
        </is>
      </c>
      <c r="K25" t="inlineStr">
        <is>
          <t>muzzle</t>
        </is>
      </c>
      <c r="L25" t="inlineStr">
        <is>
          <t>behemoth_inferno</t>
        </is>
      </c>
      <c r="M25" t="n">
        <v>1.3502</v>
      </c>
      <c r="N25" t="n">
        <v>1.1252</v>
      </c>
      <c r="O25" t="n">
        <v>4.79</v>
      </c>
      <c r="P25" t="n">
        <v>4.61</v>
      </c>
      <c r="Q25" t="n">
        <v>0.18</v>
      </c>
      <c r="R25" t="n">
        <v>6.94</v>
      </c>
      <c r="S25" t="n">
        <v>7.94</v>
      </c>
      <c r="T25" t="inlineStr">
        <is>
          <t>Turret</t>
        </is>
      </c>
      <c r="U25" t="n">
        <v>0.54</v>
      </c>
      <c r="V25" t="n">
        <v>8.48</v>
      </c>
      <c r="W25" t="n">
        <v>7.201280000000001</v>
      </c>
      <c r="X25" t="n">
        <v>0</v>
      </c>
      <c r="Y25" t="n">
        <v>20</v>
      </c>
      <c r="Z25" t="n">
        <v>45</v>
      </c>
      <c r="AA25" t="inlineStr"/>
      <c r="AB25" t="n">
        <v>360</v>
      </c>
      <c r="AC25" t="inlineStr">
        <is>
          <t>lop:phun_lua</t>
        </is>
      </c>
      <c r="AD25" t="b">
        <v>1</v>
      </c>
      <c r="AE25" t="n">
        <v>0</v>
      </c>
      <c r="AF25" t="n">
        <v>0</v>
      </c>
      <c r="AG25" t="n">
        <v>0</v>
      </c>
      <c r="AH25" t="n">
        <v>20</v>
      </c>
      <c r="AI25" t="n">
        <v>38</v>
      </c>
      <c r="AJ25" t="n">
        <v>14.01</v>
      </c>
      <c r="AK25" t="inlineStr"/>
      <c r="AL25" t="n">
        <v>1.3</v>
      </c>
      <c r="AM25" t="inlineStr">
        <is>
          <t>ban_thang</t>
        </is>
      </c>
      <c r="AN25" t="n">
        <v>9.6</v>
      </c>
      <c r="AO25" t="n">
        <v>18.08</v>
      </c>
      <c r="AP25" t="n">
        <v>18.9</v>
      </c>
      <c r="AQ25" t="n">
        <v>17.25</v>
      </c>
      <c r="AR25" t="n">
        <v>0</v>
      </c>
      <c r="AS25" t="b">
        <v>0</v>
      </c>
      <c r="AT25" t="inlineStr">
        <is>
          <t>khong_ap:phong_thu_gan</t>
        </is>
      </c>
      <c r="AU25" t="b">
        <v>0</v>
      </c>
      <c r="AV25" t="inlineStr"/>
      <c r="AW25" t="n">
        <v>0</v>
      </c>
      <c r="AX25" t="n">
        <v>20</v>
      </c>
      <c r="AY25" t="inlineStr"/>
      <c r="AZ25" t="n">
        <v>21</v>
      </c>
      <c r="BA25" t="inlineStr">
        <is>
          <t>boss_flamer</t>
        </is>
      </c>
      <c r="BB25" t="n">
        <v>100</v>
      </c>
      <c r="BC25" t="b">
        <v>1</v>
      </c>
      <c r="BD25" t="inlineStr">
        <is>
          <t>Assets/MachineBrigade/Resources/Data/balance.json: vehicles[id=behemoth_inferno] x Resources/Models/behemoth_inferno.glb</t>
        </is>
      </c>
      <c r="BE25" t="inlineStr"/>
    </row>
    <row r="26">
      <c r="A26" t="inlineStr">
        <is>
          <t>behemoth_mk0/0</t>
        </is>
      </c>
      <c r="B26" t="inlineStr">
        <is>
          <t>behemoth_mk0</t>
        </is>
      </c>
      <c r="C26" t="inlineStr">
        <is>
          <t>p26_behemoth_main_be152</t>
        </is>
      </c>
      <c r="D26" t="inlineStr">
        <is>
          <t>main_gun</t>
        </is>
      </c>
      <c r="E26" t="n">
        <v>0</v>
      </c>
      <c r="F26" t="inlineStr">
        <is>
          <t>main</t>
        </is>
      </c>
      <c r="G26" t="inlineStr"/>
      <c r="H26" t="inlineStr">
        <is>
          <t>phao_boss</t>
        </is>
      </c>
      <c r="I26" t="inlineStr">
        <is>
          <t>chinh</t>
        </is>
      </c>
      <c r="J26" t="inlineStr">
        <is>
          <t>Muzzle_main</t>
        </is>
      </c>
      <c r="K26" t="inlineStr">
        <is>
          <t>muzzle</t>
        </is>
      </c>
      <c r="L26" t="inlineStr">
        <is>
          <t>behemoth</t>
        </is>
      </c>
      <c r="M26" t="n">
        <v>1.2327</v>
      </c>
      <c r="N26" t="n">
        <v>1.0273</v>
      </c>
      <c r="O26" t="n">
        <v>5.02</v>
      </c>
      <c r="P26" t="n">
        <v>4.21</v>
      </c>
      <c r="Q26" t="n">
        <v>0.8100000000000001</v>
      </c>
      <c r="R26" t="n">
        <v>7.22</v>
      </c>
      <c r="S26" t="n">
        <v>9.43</v>
      </c>
      <c r="T26" t="inlineStr">
        <is>
          <t>Turret</t>
        </is>
      </c>
      <c r="U26" t="n">
        <v>0.49</v>
      </c>
      <c r="V26" t="n">
        <v>9.92</v>
      </c>
      <c r="W26" t="n">
        <v>6.574403584</v>
      </c>
      <c r="X26" t="n">
        <v>0</v>
      </c>
      <c r="Y26" t="n">
        <v>8</v>
      </c>
      <c r="Z26" t="n">
        <v>70</v>
      </c>
      <c r="AA26" t="inlineStr"/>
      <c r="AB26" t="n">
        <v>360</v>
      </c>
      <c r="AC26" t="inlineStr">
        <is>
          <t>lop:phao_boss</t>
        </is>
      </c>
      <c r="AD26" t="b">
        <v>1</v>
      </c>
      <c r="AE26" t="n">
        <v>32</v>
      </c>
      <c r="AF26" t="n">
        <v>0</v>
      </c>
      <c r="AG26" t="n">
        <v>32</v>
      </c>
      <c r="AH26" t="n">
        <v>40</v>
      </c>
      <c r="AI26" t="n">
        <v>150</v>
      </c>
      <c r="AJ26" t="n">
        <v>19.81</v>
      </c>
      <c r="AK26" t="inlineStr"/>
      <c r="AL26" t="n">
        <v>1.3</v>
      </c>
      <c r="AM26" t="inlineStr">
        <is>
          <t>ban_thang</t>
        </is>
      </c>
      <c r="AN26" t="n">
        <v>26.45</v>
      </c>
      <c r="AO26" t="n">
        <v>36.37</v>
      </c>
      <c r="AP26" t="n">
        <v>38.51</v>
      </c>
      <c r="AQ26" t="n">
        <v>34.24</v>
      </c>
      <c r="AR26" t="n">
        <v>36</v>
      </c>
      <c r="AS26" t="b">
        <v>1</v>
      </c>
      <c r="AT26" t="inlineStr">
        <is>
          <t>groundMinReach</t>
        </is>
      </c>
      <c r="AU26" t="b">
        <v>0</v>
      </c>
      <c r="AV26" t="inlineStr">
        <is>
          <t>behemoth_mk0</t>
        </is>
      </c>
      <c r="AW26" t="n">
        <v>36</v>
      </c>
      <c r="AX26" t="n">
        <v>116</v>
      </c>
      <c r="AY26" t="n">
        <v>3.22</v>
      </c>
      <c r="AZ26" t="n">
        <v>23</v>
      </c>
      <c r="BA26" t="inlineStr"/>
      <c r="BB26" t="n">
        <v>0</v>
      </c>
      <c r="BC26" t="b">
        <v>0</v>
      </c>
      <c r="BD26" t="inlineStr">
        <is>
          <t>Assets/MachineBrigade/Resources/Data/balance.json: vehicles[id=behemoth_mk0] x Resources/Models/behemoth.glb</t>
        </is>
      </c>
      <c r="BE26" t="inlineStr"/>
    </row>
    <row r="27">
      <c r="A27" t="inlineStr">
        <is>
          <t>behemoth_mk0/1</t>
        </is>
      </c>
      <c r="B27" t="inlineStr">
        <is>
          <t>behemoth_mk0</t>
        </is>
      </c>
      <c r="C27" t="inlineStr">
        <is>
          <t>p26_behemoth_direct_be120</t>
        </is>
      </c>
      <c r="D27" t="inlineStr">
        <is>
          <t>side_gun_l</t>
        </is>
      </c>
      <c r="E27" t="n">
        <v>1</v>
      </c>
      <c r="F27" t="inlineStr">
        <is>
          <t>gun</t>
        </is>
      </c>
      <c r="G27" t="inlineStr">
        <is>
          <t>Free</t>
        </is>
      </c>
      <c r="H27" t="inlineStr">
        <is>
          <t>phao_boss</t>
        </is>
      </c>
      <c r="I27" t="inlineStr">
        <is>
          <t>chinh</t>
        </is>
      </c>
      <c r="J27" t="inlineStr">
        <is>
          <t>Muzzle_gun</t>
        </is>
      </c>
      <c r="K27" t="inlineStr">
        <is>
          <t>muzzle</t>
        </is>
      </c>
      <c r="L27" t="inlineStr">
        <is>
          <t>behemoth</t>
        </is>
      </c>
      <c r="M27" t="n">
        <v>1.2327</v>
      </c>
      <c r="N27" t="n">
        <v>1.0273</v>
      </c>
      <c r="O27" t="n">
        <v>3.61</v>
      </c>
      <c r="P27" t="n">
        <v>2.67</v>
      </c>
      <c r="Q27" t="n">
        <v>0.9399999999999999</v>
      </c>
      <c r="R27" t="n">
        <v>7.22</v>
      </c>
      <c r="S27" t="n">
        <v>8.59</v>
      </c>
      <c r="T27" t="inlineStr">
        <is>
          <t>Mount_gun</t>
        </is>
      </c>
      <c r="U27" t="n">
        <v>4.25</v>
      </c>
      <c r="V27" t="n">
        <v>4.34</v>
      </c>
      <c r="W27" t="n">
        <v>6.574403584</v>
      </c>
      <c r="X27" t="n">
        <v>0</v>
      </c>
      <c r="Y27" t="n">
        <v>8</v>
      </c>
      <c r="Z27" t="n">
        <v>70</v>
      </c>
      <c r="AA27" t="inlineStr"/>
      <c r="AB27" t="n">
        <v>360</v>
      </c>
      <c r="AC27" t="inlineStr">
        <is>
          <t>lop:phao_boss</t>
        </is>
      </c>
      <c r="AD27" t="b">
        <v>1</v>
      </c>
      <c r="AE27" t="n">
        <v>21</v>
      </c>
      <c r="AF27" t="n">
        <v>0</v>
      </c>
      <c r="AG27" t="n">
        <v>21</v>
      </c>
      <c r="AH27" t="n">
        <v>32</v>
      </c>
      <c r="AI27" t="n">
        <v>170</v>
      </c>
      <c r="AJ27" t="n">
        <v>17.72</v>
      </c>
      <c r="AK27" t="inlineStr"/>
      <c r="AL27" t="n">
        <v>1.3</v>
      </c>
      <c r="AM27" t="inlineStr">
        <is>
          <t>ban_thang</t>
        </is>
      </c>
      <c r="AN27" t="n">
        <v>16.47</v>
      </c>
      <c r="AO27" t="n">
        <v>20.81</v>
      </c>
      <c r="AP27" t="n">
        <v>22.95</v>
      </c>
      <c r="AQ27" t="n">
        <v>18.68</v>
      </c>
      <c r="AR27" t="n">
        <v>21</v>
      </c>
      <c r="AS27" t="b">
        <v>1</v>
      </c>
      <c r="AT27" t="inlineStr">
        <is>
          <t>groundMinReach</t>
        </is>
      </c>
      <c r="AU27" t="b">
        <v>0</v>
      </c>
      <c r="AV27" t="inlineStr">
        <is>
          <t>behemoth_mk0</t>
        </is>
      </c>
      <c r="AW27" t="n">
        <v>24</v>
      </c>
      <c r="AX27" t="n">
        <v>77</v>
      </c>
      <c r="AY27" t="n">
        <v>3.21</v>
      </c>
      <c r="AZ27" t="n">
        <v>23</v>
      </c>
      <c r="BA27" t="inlineStr"/>
      <c r="BB27" t="n">
        <v>0</v>
      </c>
      <c r="BC27" t="b">
        <v>0</v>
      </c>
      <c r="BD27" t="inlineStr">
        <is>
          <t>Assets/MachineBrigade/Resources/Data/balance.json: vehicles[id=behemoth_mk0] x Resources/Models/behemoth.glb</t>
        </is>
      </c>
      <c r="BE27" t="inlineStr"/>
    </row>
    <row r="28">
      <c r="A28" t="inlineStr">
        <is>
          <t>behemoth_mk0/2</t>
        </is>
      </c>
      <c r="B28" t="inlineStr">
        <is>
          <t>behemoth_mk0</t>
        </is>
      </c>
      <c r="C28" t="inlineStr">
        <is>
          <t>p26_behemoth_direct_be120</t>
        </is>
      </c>
      <c r="D28" t="inlineStr">
        <is>
          <t>side_gun_r</t>
        </is>
      </c>
      <c r="E28" t="n">
        <v>2</v>
      </c>
      <c r="F28" t="inlineStr">
        <is>
          <t>gun</t>
        </is>
      </c>
      <c r="G28" t="inlineStr">
        <is>
          <t>Free</t>
        </is>
      </c>
      <c r="H28" t="inlineStr">
        <is>
          <t>phao_boss</t>
        </is>
      </c>
      <c r="I28" t="inlineStr">
        <is>
          <t>chinh</t>
        </is>
      </c>
      <c r="J28" t="inlineStr">
        <is>
          <t>Muzzle_gun.001</t>
        </is>
      </c>
      <c r="K28" t="inlineStr">
        <is>
          <t>muzzle</t>
        </is>
      </c>
      <c r="L28" t="inlineStr">
        <is>
          <t>behemoth</t>
        </is>
      </c>
      <c r="M28" t="n">
        <v>1.2327</v>
      </c>
      <c r="N28" t="n">
        <v>1.0273</v>
      </c>
      <c r="O28" t="n">
        <v>3.75</v>
      </c>
      <c r="P28" t="n">
        <v>2.67</v>
      </c>
      <c r="Q28" t="n">
        <v>1.08</v>
      </c>
      <c r="R28" t="n">
        <v>7.22</v>
      </c>
      <c r="S28" t="n">
        <v>8.5</v>
      </c>
      <c r="T28" t="inlineStr">
        <is>
          <t>Mount_gun.001</t>
        </is>
      </c>
      <c r="U28" t="n">
        <v>4.37</v>
      </c>
      <c r="V28" t="n">
        <v>6.16</v>
      </c>
      <c r="W28" t="n">
        <v>6.574403584</v>
      </c>
      <c r="X28" t="n">
        <v>0</v>
      </c>
      <c r="Y28" t="n">
        <v>8</v>
      </c>
      <c r="Z28" t="n">
        <v>70</v>
      </c>
      <c r="AA28" t="inlineStr"/>
      <c r="AB28" t="n">
        <v>360</v>
      </c>
      <c r="AC28" t="inlineStr">
        <is>
          <t>lop:phao_boss</t>
        </is>
      </c>
      <c r="AD28" t="b">
        <v>1</v>
      </c>
      <c r="AE28" t="n">
        <v>21</v>
      </c>
      <c r="AF28" t="n">
        <v>0</v>
      </c>
      <c r="AG28" t="n">
        <v>21</v>
      </c>
      <c r="AH28" t="n">
        <v>32</v>
      </c>
      <c r="AI28" t="n">
        <v>170</v>
      </c>
      <c r="AJ28" t="n">
        <v>17.72</v>
      </c>
      <c r="AK28" t="inlineStr"/>
      <c r="AL28" t="n">
        <v>1.3</v>
      </c>
      <c r="AM28" t="inlineStr">
        <is>
          <t>ban_thang</t>
        </is>
      </c>
      <c r="AN28" t="n">
        <v>17.41</v>
      </c>
      <c r="AO28" t="n">
        <v>23.58</v>
      </c>
      <c r="AP28" t="n">
        <v>25.71</v>
      </c>
      <c r="AQ28" t="n">
        <v>21.44</v>
      </c>
      <c r="AR28" t="n">
        <v>24</v>
      </c>
      <c r="AS28" t="b">
        <v>1</v>
      </c>
      <c r="AT28" t="inlineStr">
        <is>
          <t>groundMinReach</t>
        </is>
      </c>
      <c r="AU28" t="b">
        <v>0</v>
      </c>
      <c r="AV28" t="inlineStr">
        <is>
          <t>behemoth_mk0</t>
        </is>
      </c>
      <c r="AW28" t="n">
        <v>24</v>
      </c>
      <c r="AX28" t="n">
        <v>77</v>
      </c>
      <c r="AY28" t="n">
        <v>3.21</v>
      </c>
      <c r="AZ28" t="n">
        <v>23</v>
      </c>
      <c r="BA28" t="inlineStr"/>
      <c r="BB28" t="n">
        <v>0</v>
      </c>
      <c r="BC28" t="b">
        <v>0</v>
      </c>
      <c r="BD28" t="inlineStr">
        <is>
          <t>Assets/MachineBrigade/Resources/Data/balance.json: vehicles[id=behemoth_mk0] x Resources/Models/behemoth.glb</t>
        </is>
      </c>
      <c r="BE28" t="inlineStr"/>
    </row>
    <row r="29">
      <c r="A29" t="inlineStr">
        <is>
          <t>behemoth_mk0/3</t>
        </is>
      </c>
      <c r="B29" t="inlineStr">
        <is>
          <t>behemoth_mk0</t>
        </is>
      </c>
      <c r="C29" t="inlineStr">
        <is>
          <t>p26_behemoth_sec_be_rockets</t>
        </is>
      </c>
      <c r="D29" t="inlineStr">
        <is>
          <t>rocket_pod</t>
        </is>
      </c>
      <c r="E29" t="n">
        <v>3</v>
      </c>
      <c r="F29" t="inlineStr">
        <is>
          <t>rocket</t>
        </is>
      </c>
      <c r="G29" t="inlineStr">
        <is>
          <t>Free</t>
        </is>
      </c>
      <c r="H29" t="inlineStr">
        <is>
          <t>be_rocket</t>
        </is>
      </c>
      <c r="I29" t="inlineStr">
        <is>
          <t>chinh</t>
        </is>
      </c>
      <c r="J29" t="inlineStr">
        <is>
          <t>Muzzle_rocket</t>
        </is>
      </c>
      <c r="K29" t="inlineStr">
        <is>
          <t>muzzle</t>
        </is>
      </c>
      <c r="L29" t="inlineStr">
        <is>
          <t>behemoth</t>
        </is>
      </c>
      <c r="M29" t="n">
        <v>1.2327</v>
      </c>
      <c r="N29" t="n">
        <v>1.0273</v>
      </c>
      <c r="O29" t="n">
        <v>6.53</v>
      </c>
      <c r="P29" t="n">
        <v>4.52</v>
      </c>
      <c r="Q29" t="n">
        <v>2.01</v>
      </c>
      <c r="R29" t="n">
        <v>7.22</v>
      </c>
      <c r="S29" t="n">
        <v>3.39</v>
      </c>
      <c r="T29" t="inlineStr">
        <is>
          <t>Mount_rocket</t>
        </is>
      </c>
      <c r="U29" t="n">
        <v>4.68</v>
      </c>
      <c r="V29" t="n">
        <v>1.29</v>
      </c>
      <c r="W29" t="n">
        <v>6.574403584</v>
      </c>
      <c r="X29" t="n">
        <v>0</v>
      </c>
      <c r="Y29" t="n">
        <v>0</v>
      </c>
      <c r="Z29" t="n">
        <v>50</v>
      </c>
      <c r="AA29" t="n">
        <v>0</v>
      </c>
      <c r="AB29" t="n">
        <v>360</v>
      </c>
      <c r="AC29" t="inlineStr">
        <is>
          <t>lop:be_rocket</t>
        </is>
      </c>
      <c r="AD29" t="b">
        <v>1</v>
      </c>
      <c r="AE29" t="n">
        <v>23</v>
      </c>
      <c r="AF29" t="n">
        <v>0</v>
      </c>
      <c r="AG29" t="n">
        <v>23</v>
      </c>
      <c r="AH29" t="n">
        <v>45</v>
      </c>
      <c r="AI29" t="n">
        <v>130</v>
      </c>
      <c r="AJ29" t="n">
        <v>21.01</v>
      </c>
      <c r="AK29" t="inlineStr"/>
      <c r="AL29" t="n">
        <v>1.3</v>
      </c>
      <c r="AM29" t="inlineStr">
        <is>
          <t>roi_tu_do_be_co_dinh</t>
        </is>
      </c>
      <c r="AN29" t="n">
        <v>21.7</v>
      </c>
      <c r="AO29" t="n">
        <v>23</v>
      </c>
      <c r="AP29" t="n">
        <v>23.61</v>
      </c>
      <c r="AQ29" t="n">
        <v>22.37</v>
      </c>
      <c r="AR29" t="n">
        <v>23</v>
      </c>
      <c r="AS29" t="b">
        <v>1</v>
      </c>
      <c r="AT29" t="inlineStr">
        <is>
          <t>groundMinReach</t>
        </is>
      </c>
      <c r="AU29" t="b">
        <v>0</v>
      </c>
      <c r="AV29" t="inlineStr">
        <is>
          <t>behemoth_mk0</t>
        </is>
      </c>
      <c r="AW29" t="n">
        <v>23</v>
      </c>
      <c r="AX29" t="n">
        <v>74</v>
      </c>
      <c r="AY29" t="n">
        <v>3.22</v>
      </c>
      <c r="AZ29" t="n">
        <v>23</v>
      </c>
      <c r="BA29" t="inlineStr"/>
      <c r="BB29" t="n">
        <v>0</v>
      </c>
      <c r="BC29" t="b">
        <v>0</v>
      </c>
      <c r="BD29" t="inlineStr">
        <is>
          <t>Assets/MachineBrigade/Resources/Data/balance.json: vehicles[id=behemoth_mk0] x Resources/Models/behemoth.glb</t>
        </is>
      </c>
      <c r="BE29" t="inlineStr"/>
    </row>
    <row r="30">
      <c r="A30" t="inlineStr">
        <is>
          <t>behemoth_mk2/0</t>
        </is>
      </c>
      <c r="B30" t="inlineStr">
        <is>
          <t>behemoth_mk2</t>
        </is>
      </c>
      <c r="C30" t="inlineStr">
        <is>
          <t>p26_behemoth_main_be152</t>
        </is>
      </c>
      <c r="D30" t="inlineStr">
        <is>
          <t>main_gun</t>
        </is>
      </c>
      <c r="E30" t="n">
        <v>0</v>
      </c>
      <c r="F30" t="inlineStr">
        <is>
          <t>main</t>
        </is>
      </c>
      <c r="G30" t="inlineStr"/>
      <c r="H30" t="inlineStr">
        <is>
          <t>phao_boss</t>
        </is>
      </c>
      <c r="I30" t="inlineStr">
        <is>
          <t>chinh</t>
        </is>
      </c>
      <c r="J30" t="inlineStr">
        <is>
          <t>Muzzle_main</t>
        </is>
      </c>
      <c r="K30" t="inlineStr">
        <is>
          <t>muzzle</t>
        </is>
      </c>
      <c r="L30" t="inlineStr">
        <is>
          <t>behemoth</t>
        </is>
      </c>
      <c r="M30" t="n">
        <v>1.3053</v>
      </c>
      <c r="N30" t="n">
        <v>1.0877</v>
      </c>
      <c r="O30" t="n">
        <v>5.31</v>
      </c>
      <c r="P30" t="n">
        <v>4.46</v>
      </c>
      <c r="Q30" t="n">
        <v>0.85</v>
      </c>
      <c r="R30" t="n">
        <v>7.64</v>
      </c>
      <c r="S30" t="n">
        <v>9.99</v>
      </c>
      <c r="T30" t="inlineStr">
        <is>
          <t>Turret</t>
        </is>
      </c>
      <c r="U30" t="n">
        <v>0.52</v>
      </c>
      <c r="V30" t="n">
        <v>10.51</v>
      </c>
      <c r="W30" t="n">
        <v>6.961547264</v>
      </c>
      <c r="X30" t="n">
        <v>0</v>
      </c>
      <c r="Y30" t="n">
        <v>8</v>
      </c>
      <c r="Z30" t="n">
        <v>70</v>
      </c>
      <c r="AA30" t="inlineStr"/>
      <c r="AB30" t="n">
        <v>360</v>
      </c>
      <c r="AC30" t="inlineStr">
        <is>
          <t>lop:phao_boss</t>
        </is>
      </c>
      <c r="AD30" t="b">
        <v>1</v>
      </c>
      <c r="AE30" t="n">
        <v>32</v>
      </c>
      <c r="AF30" t="n">
        <v>0</v>
      </c>
      <c r="AG30" t="n">
        <v>32</v>
      </c>
      <c r="AH30" t="n">
        <v>40</v>
      </c>
      <c r="AI30" t="n">
        <v>150</v>
      </c>
      <c r="AJ30" t="n">
        <v>19.81</v>
      </c>
      <c r="AK30" t="inlineStr"/>
      <c r="AL30" t="n">
        <v>1.3</v>
      </c>
      <c r="AM30" t="inlineStr">
        <is>
          <t>ban_thang</t>
        </is>
      </c>
      <c r="AN30" t="n">
        <v>28.55</v>
      </c>
      <c r="AO30" t="n">
        <v>39.06</v>
      </c>
      <c r="AP30" t="n">
        <v>41.19</v>
      </c>
      <c r="AQ30" t="n">
        <v>36.92</v>
      </c>
      <c r="AR30" t="n">
        <v>32</v>
      </c>
      <c r="AS30" t="b">
        <v>1</v>
      </c>
      <c r="AT30" t="inlineStr">
        <is>
          <t>groundMinReach</t>
        </is>
      </c>
      <c r="AU30" t="b">
        <v>1</v>
      </c>
      <c r="AV30" t="inlineStr">
        <is>
          <t>behemoth_mk2</t>
        </is>
      </c>
      <c r="AW30" t="n">
        <v>32</v>
      </c>
      <c r="AX30" t="n">
        <v>103</v>
      </c>
      <c r="AY30" t="n">
        <v>3.22</v>
      </c>
      <c r="AZ30" t="n">
        <v>32</v>
      </c>
      <c r="BA30" t="inlineStr">
        <is>
          <t>p26_behemoth_close_boss_flak</t>
        </is>
      </c>
      <c r="BB30" t="n">
        <v>100</v>
      </c>
      <c r="BC30" t="b">
        <v>1</v>
      </c>
      <c r="BD30" t="inlineStr">
        <is>
          <t>Assets/MachineBrigade/Resources/Data/balance.json: vehicles[id=behemoth_mk2] x Resources/Models/behemoth.glb</t>
        </is>
      </c>
      <c r="BE30" t="inlineStr"/>
    </row>
    <row r="31">
      <c r="A31" t="inlineStr">
        <is>
          <t>behemoth_mk2/1</t>
        </is>
      </c>
      <c r="B31" t="inlineStr">
        <is>
          <t>behemoth_mk2</t>
        </is>
      </c>
      <c r="C31" t="inlineStr">
        <is>
          <t>p26_behemoth_close_boss_flak</t>
        </is>
      </c>
      <c r="D31" t="inlineStr">
        <is>
          <t>flak_r</t>
        </is>
      </c>
      <c r="E31" t="n">
        <v>1</v>
      </c>
      <c r="F31" t="inlineStr">
        <is>
          <t>mg</t>
        </is>
      </c>
      <c r="G31" t="inlineStr">
        <is>
          <t>Free</t>
        </is>
      </c>
      <c r="H31" t="inlineStr">
        <is>
          <t>phao_nho_ciws</t>
        </is>
      </c>
      <c r="I31" t="inlineStr">
        <is>
          <t>phong_thu_gan</t>
        </is>
      </c>
      <c r="J31" t="inlineStr">
        <is>
          <t>Muzzle_mg</t>
        </is>
      </c>
      <c r="K31" t="inlineStr">
        <is>
          <t>muzzle</t>
        </is>
      </c>
      <c r="L31" t="inlineStr">
        <is>
          <t>behemoth</t>
        </is>
      </c>
      <c r="M31" t="n">
        <v>1.3053</v>
      </c>
      <c r="N31" t="n">
        <v>1.0877</v>
      </c>
      <c r="O31" t="n">
        <v>6.55</v>
      </c>
      <c r="P31" t="n">
        <v>5.22</v>
      </c>
      <c r="Q31" t="n">
        <v>1.33</v>
      </c>
      <c r="R31" t="n">
        <v>7.64</v>
      </c>
      <c r="S31" t="n">
        <v>1.31</v>
      </c>
      <c r="T31" t="inlineStr">
        <is>
          <t>Mount_mg</t>
        </is>
      </c>
      <c r="U31" t="n">
        <v>1.91</v>
      </c>
      <c r="V31" t="n">
        <v>2.09</v>
      </c>
      <c r="W31" t="n">
        <v>6.961547264</v>
      </c>
      <c r="X31" t="n">
        <v>0</v>
      </c>
      <c r="Y31" t="n">
        <v>15</v>
      </c>
      <c r="Z31" t="n">
        <v>85</v>
      </c>
      <c r="AA31" t="inlineStr"/>
      <c r="AB31" t="n">
        <v>360</v>
      </c>
      <c r="AC31" t="inlineStr">
        <is>
          <t>lop:phao_nho_ciws</t>
        </is>
      </c>
      <c r="AD31" t="b">
        <v>1</v>
      </c>
      <c r="AE31" t="n">
        <v>0</v>
      </c>
      <c r="AF31" t="n">
        <v>0</v>
      </c>
      <c r="AG31" t="n">
        <v>0</v>
      </c>
      <c r="AH31" t="n">
        <v>40</v>
      </c>
      <c r="AI31" t="n">
        <v>260</v>
      </c>
      <c r="AJ31" t="n">
        <v>19.81</v>
      </c>
      <c r="AK31" t="inlineStr"/>
      <c r="AL31" t="n">
        <v>1.3</v>
      </c>
      <c r="AM31" t="inlineStr">
        <is>
          <t>ban_thang</t>
        </is>
      </c>
      <c r="AN31" t="n">
        <v>19.6</v>
      </c>
      <c r="AO31" t="n">
        <v>21.69</v>
      </c>
      <c r="AP31" t="n">
        <v>22.81</v>
      </c>
      <c r="AQ31" t="n">
        <v>20.57</v>
      </c>
      <c r="AR31" t="n">
        <v>0</v>
      </c>
      <c r="AS31" t="b">
        <v>0</v>
      </c>
      <c r="AT31" t="inlineStr">
        <is>
          <t>khong_ap:phong_thu_gan</t>
        </is>
      </c>
      <c r="AU31" t="b">
        <v>0</v>
      </c>
      <c r="AV31" t="inlineStr"/>
      <c r="AW31" t="n">
        <v>0</v>
      </c>
      <c r="AX31" t="n">
        <v>40</v>
      </c>
      <c r="AY31" t="inlineStr"/>
      <c r="AZ31" t="n">
        <v>32</v>
      </c>
      <c r="BA31" t="inlineStr">
        <is>
          <t>p26_behemoth_close_boss_flak</t>
        </is>
      </c>
      <c r="BB31" t="n">
        <v>100</v>
      </c>
      <c r="BC31" t="b">
        <v>1</v>
      </c>
      <c r="BD31" t="inlineStr">
        <is>
          <t>Assets/MachineBrigade/Resources/Data/balance.json: vehicles[id=behemoth_mk2] x Resources/Models/behemoth.glb</t>
        </is>
      </c>
      <c r="BE31" t="inlineStr"/>
    </row>
    <row r="32">
      <c r="A32" t="inlineStr">
        <is>
          <t>behemoth_mk2/2</t>
        </is>
      </c>
      <c r="B32" t="inlineStr">
        <is>
          <t>behemoth_mk2</t>
        </is>
      </c>
      <c r="C32" t="inlineStr">
        <is>
          <t>p26_behemoth_close_boss_flak</t>
        </is>
      </c>
      <c r="D32" t="inlineStr">
        <is>
          <t>flak_l</t>
        </is>
      </c>
      <c r="E32" t="n">
        <v>2</v>
      </c>
      <c r="F32" t="inlineStr">
        <is>
          <t>mg</t>
        </is>
      </c>
      <c r="G32" t="inlineStr">
        <is>
          <t>Free</t>
        </is>
      </c>
      <c r="H32" t="inlineStr">
        <is>
          <t>phao_nho_ciws</t>
        </is>
      </c>
      <c r="I32" t="inlineStr">
        <is>
          <t>phong_thu_gan</t>
        </is>
      </c>
      <c r="J32" t="inlineStr">
        <is>
          <t>Muzzle_mg.001</t>
        </is>
      </c>
      <c r="K32" t="inlineStr">
        <is>
          <t>muzzle</t>
        </is>
      </c>
      <c r="L32" t="inlineStr">
        <is>
          <t>behemoth</t>
        </is>
      </c>
      <c r="M32" t="n">
        <v>1.3053</v>
      </c>
      <c r="N32" t="n">
        <v>1.0877</v>
      </c>
      <c r="O32" t="n">
        <v>6.55</v>
      </c>
      <c r="P32" t="n">
        <v>5.22</v>
      </c>
      <c r="Q32" t="n">
        <v>1.33</v>
      </c>
      <c r="R32" t="n">
        <v>7.64</v>
      </c>
      <c r="S32" t="n">
        <v>1.31</v>
      </c>
      <c r="T32" t="inlineStr">
        <is>
          <t>Mount_mg.001</t>
        </is>
      </c>
      <c r="U32" t="n">
        <v>1.91</v>
      </c>
      <c r="V32" t="n">
        <v>2.09</v>
      </c>
      <c r="W32" t="n">
        <v>6.961547264</v>
      </c>
      <c r="X32" t="n">
        <v>0</v>
      </c>
      <c r="Y32" t="n">
        <v>15</v>
      </c>
      <c r="Z32" t="n">
        <v>85</v>
      </c>
      <c r="AA32" t="inlineStr"/>
      <c r="AB32" t="n">
        <v>360</v>
      </c>
      <c r="AC32" t="inlineStr">
        <is>
          <t>lop:phao_nho_ciws</t>
        </is>
      </c>
      <c r="AD32" t="b">
        <v>1</v>
      </c>
      <c r="AE32" t="n">
        <v>0</v>
      </c>
      <c r="AF32" t="n">
        <v>0</v>
      </c>
      <c r="AG32" t="n">
        <v>0</v>
      </c>
      <c r="AH32" t="n">
        <v>40</v>
      </c>
      <c r="AI32" t="n">
        <v>260</v>
      </c>
      <c r="AJ32" t="n">
        <v>19.81</v>
      </c>
      <c r="AK32" t="inlineStr"/>
      <c r="AL32" t="n">
        <v>1.3</v>
      </c>
      <c r="AM32" t="inlineStr">
        <is>
          <t>ban_thang</t>
        </is>
      </c>
      <c r="AN32" t="n">
        <v>19.6</v>
      </c>
      <c r="AO32" t="n">
        <v>21.69</v>
      </c>
      <c r="AP32" t="n">
        <v>22.81</v>
      </c>
      <c r="AQ32" t="n">
        <v>20.57</v>
      </c>
      <c r="AR32" t="n">
        <v>0</v>
      </c>
      <c r="AS32" t="b">
        <v>0</v>
      </c>
      <c r="AT32" t="inlineStr">
        <is>
          <t>khong_ap:phong_thu_gan</t>
        </is>
      </c>
      <c r="AU32" t="b">
        <v>0</v>
      </c>
      <c r="AV32" t="inlineStr"/>
      <c r="AW32" t="n">
        <v>0</v>
      </c>
      <c r="AX32" t="n">
        <v>40</v>
      </c>
      <c r="AY32" t="inlineStr"/>
      <c r="AZ32" t="n">
        <v>32</v>
      </c>
      <c r="BA32" t="inlineStr">
        <is>
          <t>p26_behemoth_close_boss_flak</t>
        </is>
      </c>
      <c r="BB32" t="n">
        <v>100</v>
      </c>
      <c r="BC32" t="b">
        <v>1</v>
      </c>
      <c r="BD32" t="inlineStr">
        <is>
          <t>Assets/MachineBrigade/Resources/Data/balance.json: vehicles[id=behemoth_mk2] x Resources/Models/behemoth.glb</t>
        </is>
      </c>
      <c r="BE32" t="inlineStr"/>
    </row>
    <row r="33">
      <c r="A33" t="inlineStr">
        <is>
          <t>behemoth_tempest/0</t>
        </is>
      </c>
      <c r="B33" t="inlineStr">
        <is>
          <t>behemoth_tempest</t>
        </is>
      </c>
      <c r="C33" t="inlineStr">
        <is>
          <t>boss_railgun</t>
        </is>
      </c>
      <c r="D33" t="inlineStr">
        <is>
          <t>railgun</t>
        </is>
      </c>
      <c r="E33" t="n">
        <v>0</v>
      </c>
      <c r="F33" t="inlineStr">
        <is>
          <t>main</t>
        </is>
      </c>
      <c r="G33" t="inlineStr"/>
      <c r="H33" t="inlineStr">
        <is>
          <t>phao_boss</t>
        </is>
      </c>
      <c r="I33" t="inlineStr">
        <is>
          <t>chinh</t>
        </is>
      </c>
      <c r="J33" t="inlineStr">
        <is>
          <t>Muzzle_main</t>
        </is>
      </c>
      <c r="K33" t="inlineStr">
        <is>
          <t>muzzle</t>
        </is>
      </c>
      <c r="L33" t="inlineStr">
        <is>
          <t>behemoth_tempest</t>
        </is>
      </c>
      <c r="M33" t="n">
        <v>1.0733</v>
      </c>
      <c r="N33" t="n">
        <v>0.8944</v>
      </c>
      <c r="O33" t="n">
        <v>4.39</v>
      </c>
      <c r="P33" t="n">
        <v>3.67</v>
      </c>
      <c r="Q33" t="n">
        <v>0.72</v>
      </c>
      <c r="R33" t="n">
        <v>6.28</v>
      </c>
      <c r="S33" t="n">
        <v>10.13</v>
      </c>
      <c r="T33" t="inlineStr">
        <is>
          <t>Turret</t>
        </is>
      </c>
      <c r="U33" t="n">
        <v>0.43</v>
      </c>
      <c r="V33" t="n">
        <v>10.56</v>
      </c>
      <c r="W33" t="n">
        <v>5.72416</v>
      </c>
      <c r="X33" t="n">
        <v>0</v>
      </c>
      <c r="Y33" t="n">
        <v>8</v>
      </c>
      <c r="Z33" t="n">
        <v>70</v>
      </c>
      <c r="AA33" t="inlineStr"/>
      <c r="AB33" t="n">
        <v>360</v>
      </c>
      <c r="AC33" t="inlineStr">
        <is>
          <t>lop:phao_boss</t>
        </is>
      </c>
      <c r="AD33" t="b">
        <v>1</v>
      </c>
      <c r="AE33" t="n">
        <v>33</v>
      </c>
      <c r="AF33" t="n">
        <v>0</v>
      </c>
      <c r="AG33" t="n">
        <v>33</v>
      </c>
      <c r="AH33" t="n">
        <v>80</v>
      </c>
      <c r="AI33" t="n">
        <v>700</v>
      </c>
      <c r="AJ33" t="n">
        <v>28.01</v>
      </c>
      <c r="AK33" t="inlineStr"/>
      <c r="AL33" t="n">
        <v>1.3</v>
      </c>
      <c r="AM33" t="inlineStr">
        <is>
          <t>ban_thang</t>
        </is>
      </c>
      <c r="AN33" t="n">
        <v>21.98</v>
      </c>
      <c r="AO33" t="n">
        <v>32.55</v>
      </c>
      <c r="AP33" t="n">
        <v>34.68</v>
      </c>
      <c r="AQ33" t="n">
        <v>30.41</v>
      </c>
      <c r="AR33" t="n">
        <v>33</v>
      </c>
      <c r="AS33" t="b">
        <v>1</v>
      </c>
      <c r="AT33" t="inlineStr">
        <is>
          <t>groundMinReach</t>
        </is>
      </c>
      <c r="AU33" t="b">
        <v>0</v>
      </c>
      <c r="AV33" t="inlineStr">
        <is>
          <t>behemoth_tempest</t>
        </is>
      </c>
      <c r="AW33" t="n">
        <v>33</v>
      </c>
      <c r="AX33" t="n">
        <v>106</v>
      </c>
      <c r="AY33" t="n">
        <v>3.21</v>
      </c>
      <c r="AZ33" t="n">
        <v>17</v>
      </c>
      <c r="BA33" t="inlineStr"/>
      <c r="BB33" t="n">
        <v>0</v>
      </c>
      <c r="BC33" t="b">
        <v>0</v>
      </c>
      <c r="BD33" t="inlineStr">
        <is>
          <t>Assets/MachineBrigade/Resources/Data/balance.json: vehicles[id=behemoth_tempest] x Resources/Models/behemoth_tempest.glb</t>
        </is>
      </c>
      <c r="BE33" t="inlineStr"/>
    </row>
    <row r="34">
      <c r="A34" t="inlineStr">
        <is>
          <t>behemoth_tempest/1</t>
        </is>
      </c>
      <c r="B34" t="inlineStr">
        <is>
          <t>behemoth_tempest</t>
        </is>
      </c>
      <c r="C34" t="inlineStr">
        <is>
          <t>coilgun</t>
        </is>
      </c>
      <c r="D34" t="inlineStr">
        <is>
          <t>coil_l</t>
        </is>
      </c>
      <c r="E34" t="n">
        <v>1</v>
      </c>
      <c r="F34" t="inlineStr">
        <is>
          <t>gun</t>
        </is>
      </c>
      <c r="G34" t="inlineStr">
        <is>
          <t>Free</t>
        </is>
      </c>
      <c r="H34" t="inlineStr">
        <is>
          <t>phao_boss</t>
        </is>
      </c>
      <c r="I34" t="inlineStr">
        <is>
          <t>chinh</t>
        </is>
      </c>
      <c r="J34" t="inlineStr">
        <is>
          <t>Muzzle_gun</t>
        </is>
      </c>
      <c r="K34" t="inlineStr">
        <is>
          <t>muzzle</t>
        </is>
      </c>
      <c r="L34" t="inlineStr">
        <is>
          <t>behemoth_tempest</t>
        </is>
      </c>
      <c r="M34" t="n">
        <v>1.0733</v>
      </c>
      <c r="N34" t="n">
        <v>0.8944</v>
      </c>
      <c r="O34" t="n">
        <v>3.16</v>
      </c>
      <c r="P34" t="n">
        <v>2.59</v>
      </c>
      <c r="Q34" t="n">
        <v>0.5600000000000001</v>
      </c>
      <c r="R34" t="n">
        <v>6.28</v>
      </c>
      <c r="S34" t="n">
        <v>7.18</v>
      </c>
      <c r="T34" t="inlineStr">
        <is>
          <t>Mount_gun</t>
        </is>
      </c>
      <c r="U34" t="n">
        <v>3.67</v>
      </c>
      <c r="V34" t="n">
        <v>3.57</v>
      </c>
      <c r="W34" t="n">
        <v>5.72416</v>
      </c>
      <c r="X34" t="n">
        <v>0</v>
      </c>
      <c r="Y34" t="n">
        <v>8</v>
      </c>
      <c r="Z34" t="n">
        <v>70</v>
      </c>
      <c r="AA34" t="inlineStr"/>
      <c r="AB34" t="n">
        <v>360</v>
      </c>
      <c r="AC34" t="inlineStr">
        <is>
          <t>lop:phao_boss</t>
        </is>
      </c>
      <c r="AD34" t="b">
        <v>1</v>
      </c>
      <c r="AE34" t="n">
        <v>17</v>
      </c>
      <c r="AF34" t="n">
        <v>0</v>
      </c>
      <c r="AG34" t="n">
        <v>17</v>
      </c>
      <c r="AH34" t="n">
        <v>55</v>
      </c>
      <c r="AI34" t="n">
        <v>420</v>
      </c>
      <c r="AJ34" t="n">
        <v>23.23</v>
      </c>
      <c r="AK34" t="inlineStr"/>
      <c r="AL34" t="n">
        <v>1.3</v>
      </c>
      <c r="AM34" t="inlineStr">
        <is>
          <t>ban_thang</t>
        </is>
      </c>
      <c r="AN34" t="n">
        <v>13.2</v>
      </c>
      <c r="AO34" t="n">
        <v>16.78</v>
      </c>
      <c r="AP34" t="n">
        <v>18.91</v>
      </c>
      <c r="AQ34" t="n">
        <v>14.64</v>
      </c>
      <c r="AR34" t="n">
        <v>17</v>
      </c>
      <c r="AS34" t="b">
        <v>1</v>
      </c>
      <c r="AT34" t="inlineStr">
        <is>
          <t>groundMinReach</t>
        </is>
      </c>
      <c r="AU34" t="b">
        <v>0</v>
      </c>
      <c r="AV34" t="inlineStr">
        <is>
          <t>behemoth_tempest</t>
        </is>
      </c>
      <c r="AW34" t="n">
        <v>17</v>
      </c>
      <c r="AX34" t="n">
        <v>55</v>
      </c>
      <c r="AY34" t="n">
        <v>3.24</v>
      </c>
      <c r="AZ34" t="n">
        <v>17</v>
      </c>
      <c r="BA34" t="inlineStr"/>
      <c r="BB34" t="n">
        <v>0</v>
      </c>
      <c r="BC34" t="b">
        <v>0</v>
      </c>
      <c r="BD34" t="inlineStr">
        <is>
          <t>Assets/MachineBrigade/Resources/Data/balance.json: vehicles[id=behemoth_tempest] x Resources/Models/behemoth_tempest.glb</t>
        </is>
      </c>
      <c r="BE34" t="inlineStr"/>
    </row>
    <row r="35">
      <c r="A35" t="inlineStr">
        <is>
          <t>behemoth_tempest/2</t>
        </is>
      </c>
      <c r="B35" t="inlineStr">
        <is>
          <t>behemoth_tempest</t>
        </is>
      </c>
      <c r="C35" t="inlineStr">
        <is>
          <t>coilgun</t>
        </is>
      </c>
      <c r="D35" t="inlineStr">
        <is>
          <t>coil_r</t>
        </is>
      </c>
      <c r="E35" t="n">
        <v>2</v>
      </c>
      <c r="F35" t="inlineStr">
        <is>
          <t>gun</t>
        </is>
      </c>
      <c r="G35" t="inlineStr">
        <is>
          <t>Free</t>
        </is>
      </c>
      <c r="H35" t="inlineStr">
        <is>
          <t>phao_boss</t>
        </is>
      </c>
      <c r="I35" t="inlineStr">
        <is>
          <t>chinh</t>
        </is>
      </c>
      <c r="J35" t="inlineStr">
        <is>
          <t>Muzzle_gun.001</t>
        </is>
      </c>
      <c r="K35" t="inlineStr">
        <is>
          <t>muzzle</t>
        </is>
      </c>
      <c r="L35" t="inlineStr">
        <is>
          <t>behemoth_tempest</t>
        </is>
      </c>
      <c r="M35" t="n">
        <v>1.0733</v>
      </c>
      <c r="N35" t="n">
        <v>0.8944</v>
      </c>
      <c r="O35" t="n">
        <v>3.16</v>
      </c>
      <c r="P35" t="n">
        <v>2.59</v>
      </c>
      <c r="Q35" t="n">
        <v>0.5600000000000001</v>
      </c>
      <c r="R35" t="n">
        <v>6.28</v>
      </c>
      <c r="S35" t="n">
        <v>7.18</v>
      </c>
      <c r="T35" t="inlineStr">
        <is>
          <t>Mount_gun.001</t>
        </is>
      </c>
      <c r="U35" t="n">
        <v>3.67</v>
      </c>
      <c r="V35" t="n">
        <v>3.57</v>
      </c>
      <c r="W35" t="n">
        <v>5.72416</v>
      </c>
      <c r="X35" t="n">
        <v>0</v>
      </c>
      <c r="Y35" t="n">
        <v>8</v>
      </c>
      <c r="Z35" t="n">
        <v>70</v>
      </c>
      <c r="AA35" t="inlineStr"/>
      <c r="AB35" t="n">
        <v>360</v>
      </c>
      <c r="AC35" t="inlineStr">
        <is>
          <t>lop:phao_boss</t>
        </is>
      </c>
      <c r="AD35" t="b">
        <v>1</v>
      </c>
      <c r="AE35" t="n">
        <v>17</v>
      </c>
      <c r="AF35" t="n">
        <v>0</v>
      </c>
      <c r="AG35" t="n">
        <v>17</v>
      </c>
      <c r="AH35" t="n">
        <v>55</v>
      </c>
      <c r="AI35" t="n">
        <v>420</v>
      </c>
      <c r="AJ35" t="n">
        <v>23.23</v>
      </c>
      <c r="AK35" t="inlineStr"/>
      <c r="AL35" t="n">
        <v>1.3</v>
      </c>
      <c r="AM35" t="inlineStr">
        <is>
          <t>ban_thang</t>
        </is>
      </c>
      <c r="AN35" t="n">
        <v>13.2</v>
      </c>
      <c r="AO35" t="n">
        <v>16.78</v>
      </c>
      <c r="AP35" t="n">
        <v>18.91</v>
      </c>
      <c r="AQ35" t="n">
        <v>14.64</v>
      </c>
      <c r="AR35" t="n">
        <v>17</v>
      </c>
      <c r="AS35" t="b">
        <v>1</v>
      </c>
      <c r="AT35" t="inlineStr">
        <is>
          <t>groundMinReach</t>
        </is>
      </c>
      <c r="AU35" t="b">
        <v>0</v>
      </c>
      <c r="AV35" t="inlineStr">
        <is>
          <t>behemoth_tempest</t>
        </is>
      </c>
      <c r="AW35" t="n">
        <v>17</v>
      </c>
      <c r="AX35" t="n">
        <v>55</v>
      </c>
      <c r="AY35" t="n">
        <v>3.24</v>
      </c>
      <c r="AZ35" t="n">
        <v>17</v>
      </c>
      <c r="BA35" t="inlineStr"/>
      <c r="BB35" t="n">
        <v>0</v>
      </c>
      <c r="BC35" t="b">
        <v>0</v>
      </c>
      <c r="BD35" t="inlineStr">
        <is>
          <t>Assets/MachineBrigade/Resources/Data/balance.json: vehicles[id=behemoth_tempest] x Resources/Models/behemoth_tempest.glb</t>
        </is>
      </c>
      <c r="BE35" t="inlineStr"/>
    </row>
    <row r="36">
      <c r="A36" t="inlineStr">
        <is>
          <t>coeus/0</t>
        </is>
      </c>
      <c r="B36" t="inlineStr">
        <is>
          <t>coeus</t>
        </is>
      </c>
      <c r="C36" t="inlineStr">
        <is>
          <t>pt14_co_203</t>
        </is>
      </c>
      <c r="D36" t="inlineStr">
        <is>
          <t>main_laser</t>
        </is>
      </c>
      <c r="E36" t="n">
        <v>0</v>
      </c>
      <c r="F36" t="inlineStr">
        <is>
          <t>main</t>
        </is>
      </c>
      <c r="G36" t="inlineStr">
        <is>
          <t>Free</t>
        </is>
      </c>
      <c r="H36" t="inlineStr">
        <is>
          <t>phao_boss</t>
        </is>
      </c>
      <c r="I36" t="inlineStr">
        <is>
          <t>chinh</t>
        </is>
      </c>
      <c r="J36" t="inlineStr">
        <is>
          <t>Muzzle_main</t>
        </is>
      </c>
      <c r="K36" t="inlineStr">
        <is>
          <t>muzzle</t>
        </is>
      </c>
      <c r="L36" t="inlineStr">
        <is>
          <t>coeus</t>
        </is>
      </c>
      <c r="M36" t="n">
        <v>1.0002</v>
      </c>
      <c r="N36" t="n">
        <v>0.6</v>
      </c>
      <c r="O36" t="n">
        <v>35.59</v>
      </c>
      <c r="P36" t="n">
        <v>34.3</v>
      </c>
      <c r="Q36" t="n">
        <v>1.29</v>
      </c>
      <c r="R36" t="n">
        <v>37.87</v>
      </c>
      <c r="S36" t="n">
        <v>17.07</v>
      </c>
      <c r="T36" t="inlineStr">
        <is>
          <t>Turret</t>
        </is>
      </c>
      <c r="U36" t="n">
        <v>5.4</v>
      </c>
      <c r="V36" t="n">
        <v>11.67</v>
      </c>
      <c r="W36" t="n">
        <v>6</v>
      </c>
      <c r="X36" t="n">
        <v>22</v>
      </c>
      <c r="Y36" t="n">
        <v>65</v>
      </c>
      <c r="Z36" t="n">
        <v>5</v>
      </c>
      <c r="AA36" t="inlineStr"/>
      <c r="AB36" t="n">
        <v>360</v>
      </c>
      <c r="AC36" t="inlineStr">
        <is>
          <t>lop:may_bay</t>
        </is>
      </c>
      <c r="AD36" t="b">
        <v>0</v>
      </c>
      <c r="AE36" t="n">
        <v>19</v>
      </c>
      <c r="AF36" t="n">
        <v>0</v>
      </c>
      <c r="AG36" t="n">
        <v>19</v>
      </c>
      <c r="AH36" t="n">
        <v>95</v>
      </c>
      <c r="AI36" t="n">
        <v>110</v>
      </c>
      <c r="AJ36" t="n">
        <v>30.53</v>
      </c>
      <c r="AK36" t="inlineStr"/>
      <c r="AL36" t="n">
        <v>1.3</v>
      </c>
      <c r="AM36" t="inlineStr">
        <is>
          <t>ban_thang_may_bay</t>
        </is>
      </c>
      <c r="AN36" t="n">
        <v>15.99</v>
      </c>
      <c r="AO36" t="n">
        <v>27.66</v>
      </c>
      <c r="AP36" t="n">
        <v>27.8</v>
      </c>
      <c r="AQ36" t="n">
        <v>27.52</v>
      </c>
      <c r="AR36" t="n">
        <v>28</v>
      </c>
      <c r="AS36" t="b">
        <v>1</v>
      </c>
      <c r="AT36" t="inlineStr">
        <is>
          <t>groundMinReach</t>
        </is>
      </c>
      <c r="AU36" t="b">
        <v>0</v>
      </c>
      <c r="AV36" t="inlineStr">
        <is>
          <t>coeus</t>
        </is>
      </c>
      <c r="AW36" t="n">
        <v>28</v>
      </c>
      <c r="AX36" t="n">
        <v>95</v>
      </c>
      <c r="AY36" t="n">
        <v>3.39</v>
      </c>
      <c r="AZ36" t="n">
        <v>0</v>
      </c>
      <c r="BA36" t="inlineStr"/>
      <c r="BB36" t="n">
        <v>100</v>
      </c>
      <c r="BC36" t="b">
        <v>1</v>
      </c>
      <c r="BD36" t="inlineStr">
        <is>
          <t>Assets/MachineBrigade/Resources/Data/balance.json: vehicles[id=coeus] x Resources/Models/coeus.glb</t>
        </is>
      </c>
      <c r="BE36" t="inlineStr"/>
    </row>
    <row r="37">
      <c r="A37" t="inlineStr">
        <is>
          <t>coeus/1</t>
        </is>
      </c>
      <c r="B37" t="inlineStr">
        <is>
          <t>coeus</t>
        </is>
      </c>
      <c r="C37" t="inlineStr">
        <is>
          <t>pt14_co_v76</t>
        </is>
      </c>
      <c r="D37" t="inlineStr"/>
      <c r="E37" t="n">
        <v>1</v>
      </c>
      <c r="F37" t="inlineStr">
        <is>
          <t>gun</t>
        </is>
      </c>
      <c r="G37" t="inlineStr">
        <is>
          <t>Free</t>
        </is>
      </c>
      <c r="H37" t="inlineStr">
        <is>
          <t>sung_phu</t>
        </is>
      </c>
      <c r="I37" t="inlineStr">
        <is>
          <t>chinh</t>
        </is>
      </c>
      <c r="J37" t="inlineStr">
        <is>
          <t>Muzzle_gun</t>
        </is>
      </c>
      <c r="K37" t="inlineStr">
        <is>
          <t>muzzle</t>
        </is>
      </c>
      <c r="L37" t="inlineStr">
        <is>
          <t>coeus</t>
        </is>
      </c>
      <c r="M37" t="n">
        <v>1.0002</v>
      </c>
      <c r="N37" t="n">
        <v>0.6</v>
      </c>
      <c r="O37" t="n">
        <v>24</v>
      </c>
      <c r="P37" t="inlineStr"/>
      <c r="Q37" t="inlineStr"/>
      <c r="R37" t="n">
        <v>37.87</v>
      </c>
      <c r="S37" t="n">
        <v>8.74</v>
      </c>
      <c r="T37" t="inlineStr">
        <is>
          <t>Mount_gun</t>
        </is>
      </c>
      <c r="U37" t="n">
        <v>5.19</v>
      </c>
      <c r="V37" t="n">
        <v>4.09</v>
      </c>
      <c r="W37" t="n">
        <v>6</v>
      </c>
      <c r="X37" t="n">
        <v>22</v>
      </c>
      <c r="Y37" t="n">
        <v>65</v>
      </c>
      <c r="Z37" t="n">
        <v>5</v>
      </c>
      <c r="AA37" t="inlineStr"/>
      <c r="AB37" t="n">
        <v>360</v>
      </c>
      <c r="AC37" t="inlineStr">
        <is>
          <t>lop:may_bay</t>
        </is>
      </c>
      <c r="AD37" t="b">
        <v>0</v>
      </c>
      <c r="AE37" t="n">
        <v>0</v>
      </c>
      <c r="AF37" t="n">
        <v>0</v>
      </c>
      <c r="AG37" t="n">
        <v>0</v>
      </c>
      <c r="AH37" t="n">
        <v>70</v>
      </c>
      <c r="AI37" t="n">
        <v>110</v>
      </c>
      <c r="AJ37" t="n">
        <v>26.2</v>
      </c>
      <c r="AK37" t="inlineStr"/>
      <c r="AL37" t="n">
        <v>1.3</v>
      </c>
      <c r="AM37" t="inlineStr">
        <is>
          <t>ban_thang_may_bay</t>
        </is>
      </c>
      <c r="AN37" t="n">
        <v>10.59</v>
      </c>
      <c r="AO37" t="n">
        <v>14.68</v>
      </c>
      <c r="AP37" t="n">
        <v>14.82</v>
      </c>
      <c r="AQ37" t="n">
        <v>14.54</v>
      </c>
      <c r="AR37" t="n">
        <v>15</v>
      </c>
      <c r="AS37" t="b">
        <v>1</v>
      </c>
      <c r="AT37" t="inlineStr">
        <is>
          <t>groundMinReach</t>
        </is>
      </c>
      <c r="AU37" t="b">
        <v>0</v>
      </c>
      <c r="AV37" t="inlineStr"/>
      <c r="AW37" t="n">
        <v>0</v>
      </c>
      <c r="AX37" t="n">
        <v>70</v>
      </c>
      <c r="AY37" t="inlineStr"/>
      <c r="AZ37" t="n">
        <v>0</v>
      </c>
      <c r="BA37" t="inlineStr"/>
      <c r="BB37" t="n">
        <v>100</v>
      </c>
      <c r="BC37" t="b">
        <v>1</v>
      </c>
      <c r="BD37" t="inlineStr">
        <is>
          <t>Assets/MachineBrigade/Resources/Data/balance.json: vehicles[id=coeus] x Resources/Models/coeus.glb</t>
        </is>
      </c>
      <c r="BE37" t="inlineStr"/>
    </row>
    <row r="38">
      <c r="A38" t="inlineStr">
        <is>
          <t>coeus/2</t>
        </is>
      </c>
      <c r="B38" t="inlineStr">
        <is>
          <t>coeus</t>
        </is>
      </c>
      <c r="C38" t="inlineStr">
        <is>
          <t>pt14_co_v76</t>
        </is>
      </c>
      <c r="D38" t="inlineStr"/>
      <c r="E38" t="n">
        <v>2</v>
      </c>
      <c r="F38" t="inlineStr">
        <is>
          <t>gun</t>
        </is>
      </c>
      <c r="G38" t="inlineStr">
        <is>
          <t>Free</t>
        </is>
      </c>
      <c r="H38" t="inlineStr">
        <is>
          <t>sung_phu</t>
        </is>
      </c>
      <c r="I38" t="inlineStr">
        <is>
          <t>chinh</t>
        </is>
      </c>
      <c r="J38" t="inlineStr">
        <is>
          <t>Muzzle_gun.001</t>
        </is>
      </c>
      <c r="K38" t="inlineStr">
        <is>
          <t>muzzle</t>
        </is>
      </c>
      <c r="L38" t="inlineStr">
        <is>
          <t>coeus</t>
        </is>
      </c>
      <c r="M38" t="n">
        <v>1.0002</v>
      </c>
      <c r="N38" t="n">
        <v>0.6</v>
      </c>
      <c r="O38" t="n">
        <v>24</v>
      </c>
      <c r="P38" t="inlineStr"/>
      <c r="Q38" t="inlineStr"/>
      <c r="R38" t="n">
        <v>37.87</v>
      </c>
      <c r="S38" t="n">
        <v>8.74</v>
      </c>
      <c r="T38" t="inlineStr">
        <is>
          <t>Mount_gun.001</t>
        </is>
      </c>
      <c r="U38" t="n">
        <v>5.19</v>
      </c>
      <c r="V38" t="n">
        <v>4.09</v>
      </c>
      <c r="W38" t="n">
        <v>6</v>
      </c>
      <c r="X38" t="n">
        <v>22</v>
      </c>
      <c r="Y38" t="n">
        <v>65</v>
      </c>
      <c r="Z38" t="n">
        <v>5</v>
      </c>
      <c r="AA38" t="inlineStr"/>
      <c r="AB38" t="n">
        <v>360</v>
      </c>
      <c r="AC38" t="inlineStr">
        <is>
          <t>lop:may_bay</t>
        </is>
      </c>
      <c r="AD38" t="b">
        <v>0</v>
      </c>
      <c r="AE38" t="n">
        <v>0</v>
      </c>
      <c r="AF38" t="n">
        <v>0</v>
      </c>
      <c r="AG38" t="n">
        <v>0</v>
      </c>
      <c r="AH38" t="n">
        <v>70</v>
      </c>
      <c r="AI38" t="n">
        <v>110</v>
      </c>
      <c r="AJ38" t="n">
        <v>26.2</v>
      </c>
      <c r="AK38" t="inlineStr"/>
      <c r="AL38" t="n">
        <v>1.3</v>
      </c>
      <c r="AM38" t="inlineStr">
        <is>
          <t>ban_thang_may_bay</t>
        </is>
      </c>
      <c r="AN38" t="n">
        <v>10.59</v>
      </c>
      <c r="AO38" t="n">
        <v>14.68</v>
      </c>
      <c r="AP38" t="n">
        <v>14.82</v>
      </c>
      <c r="AQ38" t="n">
        <v>14.54</v>
      </c>
      <c r="AR38" t="n">
        <v>15</v>
      </c>
      <c r="AS38" t="b">
        <v>1</v>
      </c>
      <c r="AT38" t="inlineStr">
        <is>
          <t>groundMinReach</t>
        </is>
      </c>
      <c r="AU38" t="b">
        <v>0</v>
      </c>
      <c r="AV38" t="inlineStr"/>
      <c r="AW38" t="n">
        <v>0</v>
      </c>
      <c r="AX38" t="n">
        <v>70</v>
      </c>
      <c r="AY38" t="inlineStr"/>
      <c r="AZ38" t="n">
        <v>0</v>
      </c>
      <c r="BA38" t="inlineStr"/>
      <c r="BB38" t="n">
        <v>100</v>
      </c>
      <c r="BC38" t="b">
        <v>1</v>
      </c>
      <c r="BD38" t="inlineStr">
        <is>
          <t>Assets/MachineBrigade/Resources/Data/balance.json: vehicles[id=coeus] x Resources/Models/coeus.glb</t>
        </is>
      </c>
      <c r="BE38" t="inlineStr"/>
    </row>
    <row r="39">
      <c r="A39" t="inlineStr">
        <is>
          <t>coeus/3</t>
        </is>
      </c>
      <c r="B39" t="inlineStr">
        <is>
          <t>coeus</t>
        </is>
      </c>
      <c r="C39" t="inlineStr">
        <is>
          <t>pt14_co_spike</t>
        </is>
      </c>
      <c r="D39" t="inlineStr"/>
      <c r="E39" t="n">
        <v>3</v>
      </c>
      <c r="F39" t="inlineStr">
        <is>
          <t>rocket</t>
        </is>
      </c>
      <c r="G39" t="inlineStr">
        <is>
          <t>Free</t>
        </is>
      </c>
      <c r="H39" t="inlineStr">
        <is>
          <t>ten_lua</t>
        </is>
      </c>
      <c r="I39" t="inlineStr">
        <is>
          <t>dan_dan</t>
        </is>
      </c>
      <c r="J39" t="inlineStr">
        <is>
          <t>Muzzle_rocket</t>
        </is>
      </c>
      <c r="K39" t="inlineStr">
        <is>
          <t>muzzle</t>
        </is>
      </c>
      <c r="L39" t="inlineStr">
        <is>
          <t>coeus</t>
        </is>
      </c>
      <c r="M39" t="n">
        <v>1.0002</v>
      </c>
      <c r="N39" t="n">
        <v>0.6</v>
      </c>
      <c r="O39" t="n">
        <v>33.28</v>
      </c>
      <c r="P39" t="inlineStr"/>
      <c r="Q39" t="inlineStr"/>
      <c r="R39" t="n">
        <v>37.87</v>
      </c>
      <c r="S39" t="n">
        <v>17.95</v>
      </c>
      <c r="T39" t="inlineStr"/>
      <c r="U39" t="n">
        <v>17.95</v>
      </c>
      <c r="V39" t="n">
        <v>0</v>
      </c>
      <c r="W39" t="n">
        <v>6</v>
      </c>
      <c r="X39" t="n">
        <v>22</v>
      </c>
      <c r="Y39" t="inlineStr"/>
      <c r="Z39" t="inlineStr"/>
      <c r="AA39" t="inlineStr"/>
      <c r="AB39" t="n">
        <v>360</v>
      </c>
      <c r="AC39" t="inlineStr">
        <is>
          <t>missileArmingM</t>
        </is>
      </c>
      <c r="AD39" t="b">
        <v>1</v>
      </c>
      <c r="AE39" t="n">
        <v>0</v>
      </c>
      <c r="AF39" t="n">
        <v>0</v>
      </c>
      <c r="AG39" t="n">
        <v>0</v>
      </c>
      <c r="AH39" t="n">
        <v>80</v>
      </c>
      <c r="AI39" t="n">
        <v>60</v>
      </c>
      <c r="AJ39" t="n">
        <v>28.01</v>
      </c>
      <c r="AK39" t="n">
        <v>1</v>
      </c>
      <c r="AL39" t="n">
        <v>1.3</v>
      </c>
      <c r="AM39" t="inlineStr">
        <is>
          <t>max(vu_trang, khoa)</t>
        </is>
      </c>
      <c r="AN39" t="n">
        <v>1</v>
      </c>
      <c r="AO39" t="n">
        <v>1</v>
      </c>
      <c r="AP39" t="n">
        <v>1</v>
      </c>
      <c r="AQ39" t="n">
        <v>1</v>
      </c>
      <c r="AR39" t="n">
        <v>1</v>
      </c>
      <c r="AS39" t="b">
        <v>1</v>
      </c>
      <c r="AT39" t="inlineStr">
        <is>
          <t>groundMinReach</t>
        </is>
      </c>
      <c r="AU39" t="b">
        <v>0</v>
      </c>
      <c r="AV39" t="inlineStr">
        <is>
          <t>coeus</t>
        </is>
      </c>
      <c r="AW39" t="n">
        <v>1</v>
      </c>
      <c r="AX39" t="n">
        <v>80</v>
      </c>
      <c r="AY39" t="n">
        <v>80</v>
      </c>
      <c r="AZ39" t="n">
        <v>0</v>
      </c>
      <c r="BA39" t="inlineStr"/>
      <c r="BB39" t="n">
        <v>100</v>
      </c>
      <c r="BC39" t="b">
        <v>1</v>
      </c>
      <c r="BD39" t="inlineStr">
        <is>
          <t>Assets/MachineBrigade/Resources/Data/balance.json: vehicles[id=coeus] x Resources/Models/coeus.glb</t>
        </is>
      </c>
      <c r="BE39" t="inlineStr"/>
    </row>
    <row r="40">
      <c r="A40" t="inlineStr">
        <is>
          <t>coeus/4</t>
        </is>
      </c>
      <c r="B40" t="inlineStr">
        <is>
          <t>coeus</t>
        </is>
      </c>
      <c r="C40" t="inlineStr">
        <is>
          <t>pt14_co_spike</t>
        </is>
      </c>
      <c r="D40" t="inlineStr"/>
      <c r="E40" t="n">
        <v>4</v>
      </c>
      <c r="F40" t="inlineStr">
        <is>
          <t>rocket</t>
        </is>
      </c>
      <c r="G40" t="inlineStr">
        <is>
          <t>Free</t>
        </is>
      </c>
      <c r="H40" t="inlineStr">
        <is>
          <t>ten_lua</t>
        </is>
      </c>
      <c r="I40" t="inlineStr">
        <is>
          <t>dan_dan</t>
        </is>
      </c>
      <c r="J40" t="inlineStr">
        <is>
          <t>Muzzle_rocket.001</t>
        </is>
      </c>
      <c r="K40" t="inlineStr">
        <is>
          <t>muzzle</t>
        </is>
      </c>
      <c r="L40" t="inlineStr">
        <is>
          <t>coeus</t>
        </is>
      </c>
      <c r="M40" t="n">
        <v>1.0002</v>
      </c>
      <c r="N40" t="n">
        <v>0.6</v>
      </c>
      <c r="O40" t="n">
        <v>33.28</v>
      </c>
      <c r="P40" t="inlineStr"/>
      <c r="Q40" t="inlineStr"/>
      <c r="R40" t="n">
        <v>37.87</v>
      </c>
      <c r="S40" t="n">
        <v>17.95</v>
      </c>
      <c r="T40" t="inlineStr"/>
      <c r="U40" t="n">
        <v>17.95</v>
      </c>
      <c r="V40" t="n">
        <v>0</v>
      </c>
      <c r="W40" t="n">
        <v>6</v>
      </c>
      <c r="X40" t="n">
        <v>22</v>
      </c>
      <c r="Y40" t="inlineStr"/>
      <c r="Z40" t="inlineStr"/>
      <c r="AA40" t="inlineStr"/>
      <c r="AB40" t="n">
        <v>360</v>
      </c>
      <c r="AC40" t="inlineStr">
        <is>
          <t>missileArmingM</t>
        </is>
      </c>
      <c r="AD40" t="b">
        <v>1</v>
      </c>
      <c r="AE40" t="n">
        <v>0</v>
      </c>
      <c r="AF40" t="n">
        <v>0</v>
      </c>
      <c r="AG40" t="n">
        <v>0</v>
      </c>
      <c r="AH40" t="n">
        <v>80</v>
      </c>
      <c r="AI40" t="n">
        <v>60</v>
      </c>
      <c r="AJ40" t="n">
        <v>28.01</v>
      </c>
      <c r="AK40" t="n">
        <v>1</v>
      </c>
      <c r="AL40" t="n">
        <v>1.3</v>
      </c>
      <c r="AM40" t="inlineStr">
        <is>
          <t>max(vu_trang, khoa)</t>
        </is>
      </c>
      <c r="AN40" t="n">
        <v>1</v>
      </c>
      <c r="AO40" t="n">
        <v>1</v>
      </c>
      <c r="AP40" t="n">
        <v>1</v>
      </c>
      <c r="AQ40" t="n">
        <v>1</v>
      </c>
      <c r="AR40" t="n">
        <v>1</v>
      </c>
      <c r="AS40" t="b">
        <v>1</v>
      </c>
      <c r="AT40" t="inlineStr">
        <is>
          <t>groundMinReach</t>
        </is>
      </c>
      <c r="AU40" t="b">
        <v>0</v>
      </c>
      <c r="AV40" t="inlineStr">
        <is>
          <t>coeus</t>
        </is>
      </c>
      <c r="AW40" t="n">
        <v>1</v>
      </c>
      <c r="AX40" t="n">
        <v>80</v>
      </c>
      <c r="AY40" t="n">
        <v>80</v>
      </c>
      <c r="AZ40" t="n">
        <v>0</v>
      </c>
      <c r="BA40" t="inlineStr"/>
      <c r="BB40" t="n">
        <v>100</v>
      </c>
      <c r="BC40" t="b">
        <v>1</v>
      </c>
      <c r="BD40" t="inlineStr">
        <is>
          <t>Assets/MachineBrigade/Resources/Data/balance.json: vehicles[id=coeus] x Resources/Models/coeus.glb</t>
        </is>
      </c>
      <c r="BE40" t="inlineStr"/>
    </row>
    <row r="41">
      <c r="A41" t="inlineStr">
        <is>
          <t>command_airship/0</t>
        </is>
      </c>
      <c r="B41" t="inlineStr">
        <is>
          <t>command_airship</t>
        </is>
      </c>
      <c r="C41" t="inlineStr">
        <is>
          <t>p26_roc_main_roc_bombs</t>
        </is>
      </c>
      <c r="D41" t="inlineStr"/>
      <c r="E41" t="n">
        <v>0</v>
      </c>
      <c r="F41" t="inlineStr">
        <is>
          <t>gun</t>
        </is>
      </c>
      <c r="G41" t="inlineStr">
        <is>
          <t>Free</t>
        </is>
      </c>
      <c r="H41" t="inlineStr">
        <is>
          <t>bom</t>
        </is>
      </c>
      <c r="I41" t="inlineStr">
        <is>
          <t>dan_dan</t>
        </is>
      </c>
      <c r="J41" t="inlineStr">
        <is>
          <t>Muzzle_gun</t>
        </is>
      </c>
      <c r="K41" t="inlineStr">
        <is>
          <t>muzzle</t>
        </is>
      </c>
      <c r="L41" t="inlineStr">
        <is>
          <t>command_airship</t>
        </is>
      </c>
      <c r="M41" t="n">
        <v>1.7564</v>
      </c>
      <c r="N41" t="n">
        <v>1.7564</v>
      </c>
      <c r="O41" t="n">
        <v>35.85</v>
      </c>
      <c r="P41" t="inlineStr"/>
      <c r="Q41" t="inlineStr"/>
      <c r="R41" t="n">
        <v>47.37</v>
      </c>
      <c r="S41" t="n">
        <v>28.89</v>
      </c>
      <c r="T41" t="inlineStr">
        <is>
          <t>Mount_gun</t>
        </is>
      </c>
      <c r="U41" t="n">
        <v>23.18</v>
      </c>
      <c r="V41" t="n">
        <v>5.71</v>
      </c>
      <c r="W41" t="n">
        <v>31.6152</v>
      </c>
      <c r="X41" t="n">
        <v>30</v>
      </c>
      <c r="Y41" t="inlineStr"/>
      <c r="Z41" t="inlineStr"/>
      <c r="AA41" t="inlineStr"/>
      <c r="AB41" t="n">
        <v>360</v>
      </c>
      <c r="AC41" t="inlineStr">
        <is>
          <t>khong_ap</t>
        </is>
      </c>
      <c r="AD41" t="b">
        <v>0</v>
      </c>
      <c r="AE41" t="n">
        <v>0</v>
      </c>
      <c r="AF41" t="n">
        <v>0</v>
      </c>
      <c r="AG41" t="n">
        <v>0</v>
      </c>
      <c r="AH41" t="n">
        <v>45</v>
      </c>
      <c r="AI41" t="n">
        <v>100</v>
      </c>
      <c r="AJ41" t="n">
        <v>21.01</v>
      </c>
      <c r="AK41" t="inlineStr"/>
      <c r="AL41" t="n">
        <v>1.3</v>
      </c>
      <c r="AM41" t="inlineStr">
        <is>
          <t>khong_ap</t>
        </is>
      </c>
      <c r="AN41" t="n">
        <v>0</v>
      </c>
      <c r="AO41" t="n">
        <v>0</v>
      </c>
      <c r="AP41" t="n">
        <v>0</v>
      </c>
      <c r="AQ41" t="n">
        <v>0</v>
      </c>
      <c r="AR41" t="n">
        <v>0</v>
      </c>
      <c r="AS41" t="b">
        <v>0</v>
      </c>
      <c r="AT41" t="inlineStr">
        <is>
          <t>khong_ap</t>
        </is>
      </c>
      <c r="AU41" t="b">
        <v>0</v>
      </c>
      <c r="AV41" t="inlineStr"/>
      <c r="AW41" t="n">
        <v>0</v>
      </c>
      <c r="AX41" t="n">
        <v>45</v>
      </c>
      <c r="AY41" t="inlineStr"/>
      <c r="AZ41" t="n">
        <v>22</v>
      </c>
      <c r="BA41" t="inlineStr">
        <is>
          <t>p26_roc_close_twin_30_bmpt;p26_roc_direct_roc_atgm;p26_roc_main_roc_bombs</t>
        </is>
      </c>
      <c r="BB41" t="n">
        <v>100</v>
      </c>
      <c r="BC41" t="b">
        <v>1</v>
      </c>
      <c r="BD41" t="inlineStr">
        <is>
          <t>Assets/MachineBrigade/Resources/Data/balance.json: vehicles[id=command_airship] x Resources/Models/command_airship.glb</t>
        </is>
      </c>
      <c r="BE41" t="inlineStr"/>
    </row>
    <row r="42">
      <c r="A42" t="inlineStr">
        <is>
          <t>command_airship/1</t>
        </is>
      </c>
      <c r="B42" t="inlineStr">
        <is>
          <t>command_airship</t>
        </is>
      </c>
      <c r="C42" t="inlineStr">
        <is>
          <t>p26_roc_main_roc_bombs</t>
        </is>
      </c>
      <c r="D42" t="inlineStr"/>
      <c r="E42" t="n">
        <v>1</v>
      </c>
      <c r="F42" t="inlineStr">
        <is>
          <t>gun</t>
        </is>
      </c>
      <c r="G42" t="inlineStr">
        <is>
          <t>Free</t>
        </is>
      </c>
      <c r="H42" t="inlineStr">
        <is>
          <t>bom</t>
        </is>
      </c>
      <c r="I42" t="inlineStr">
        <is>
          <t>dan_dan</t>
        </is>
      </c>
      <c r="J42" t="inlineStr">
        <is>
          <t>Muzzle_gun.001</t>
        </is>
      </c>
      <c r="K42" t="inlineStr">
        <is>
          <t>muzzle</t>
        </is>
      </c>
      <c r="L42" t="inlineStr">
        <is>
          <t>command_airship</t>
        </is>
      </c>
      <c r="M42" t="n">
        <v>1.7564</v>
      </c>
      <c r="N42" t="n">
        <v>1.7564</v>
      </c>
      <c r="O42" t="n">
        <v>35.85</v>
      </c>
      <c r="P42" t="inlineStr"/>
      <c r="Q42" t="inlineStr"/>
      <c r="R42" t="n">
        <v>47.37</v>
      </c>
      <c r="S42" t="n">
        <v>12.21</v>
      </c>
      <c r="T42" t="inlineStr">
        <is>
          <t>Mount_gun.001</t>
        </is>
      </c>
      <c r="U42" t="n">
        <v>17.92</v>
      </c>
      <c r="V42" t="n">
        <v>5.71</v>
      </c>
      <c r="W42" t="n">
        <v>31.6152</v>
      </c>
      <c r="X42" t="n">
        <v>30</v>
      </c>
      <c r="Y42" t="inlineStr"/>
      <c r="Z42" t="inlineStr"/>
      <c r="AA42" t="inlineStr"/>
      <c r="AB42" t="n">
        <v>360</v>
      </c>
      <c r="AC42" t="inlineStr">
        <is>
          <t>khong_ap</t>
        </is>
      </c>
      <c r="AD42" t="b">
        <v>0</v>
      </c>
      <c r="AE42" t="n">
        <v>0</v>
      </c>
      <c r="AF42" t="n">
        <v>0</v>
      </c>
      <c r="AG42" t="n">
        <v>0</v>
      </c>
      <c r="AH42" t="n">
        <v>45</v>
      </c>
      <c r="AI42" t="n">
        <v>100</v>
      </c>
      <c r="AJ42" t="n">
        <v>21.01</v>
      </c>
      <c r="AK42" t="inlineStr"/>
      <c r="AL42" t="n">
        <v>1.3</v>
      </c>
      <c r="AM42" t="inlineStr">
        <is>
          <t>khong_ap</t>
        </is>
      </c>
      <c r="AN42" t="n">
        <v>0</v>
      </c>
      <c r="AO42" t="n">
        <v>0</v>
      </c>
      <c r="AP42" t="n">
        <v>0</v>
      </c>
      <c r="AQ42" t="n">
        <v>0</v>
      </c>
      <c r="AR42" t="n">
        <v>0</v>
      </c>
      <c r="AS42" t="b">
        <v>0</v>
      </c>
      <c r="AT42" t="inlineStr">
        <is>
          <t>khong_ap</t>
        </is>
      </c>
      <c r="AU42" t="b">
        <v>0</v>
      </c>
      <c r="AV42" t="inlineStr"/>
      <c r="AW42" t="n">
        <v>0</v>
      </c>
      <c r="AX42" t="n">
        <v>45</v>
      </c>
      <c r="AY42" t="inlineStr"/>
      <c r="AZ42" t="n">
        <v>22</v>
      </c>
      <c r="BA42" t="inlineStr">
        <is>
          <t>p26_roc_close_twin_30_bmpt;p26_roc_direct_roc_atgm;p26_roc_main_roc_bombs</t>
        </is>
      </c>
      <c r="BB42" t="n">
        <v>100</v>
      </c>
      <c r="BC42" t="b">
        <v>1</v>
      </c>
      <c r="BD42" t="inlineStr">
        <is>
          <t>Assets/MachineBrigade/Resources/Data/balance.json: vehicles[id=command_airship] x Resources/Models/command_airship.glb</t>
        </is>
      </c>
      <c r="BE42" t="inlineStr"/>
    </row>
    <row r="43">
      <c r="A43" t="inlineStr">
        <is>
          <t>command_airship/2</t>
        </is>
      </c>
      <c r="B43" t="inlineStr">
        <is>
          <t>command_airship</t>
        </is>
      </c>
      <c r="C43" t="inlineStr">
        <is>
          <t>p26_roc_direct_roc_atgm</t>
        </is>
      </c>
      <c r="D43" t="inlineStr">
        <is>
          <t>hangar_l</t>
        </is>
      </c>
      <c r="E43" t="n">
        <v>2</v>
      </c>
      <c r="F43" t="inlineStr">
        <is>
          <t>door_l</t>
        </is>
      </c>
      <c r="G43" t="inlineStr">
        <is>
          <t>Free</t>
        </is>
      </c>
      <c r="H43" t="inlineStr">
        <is>
          <t>ten_lua</t>
        </is>
      </c>
      <c r="I43" t="inlineStr">
        <is>
          <t>dan_dan</t>
        </is>
      </c>
      <c r="J43" t="inlineStr">
        <is>
          <t>Muzzle_door_l</t>
        </is>
      </c>
      <c r="K43" t="inlineStr">
        <is>
          <t>muzzle</t>
        </is>
      </c>
      <c r="L43" t="inlineStr">
        <is>
          <t>command_airship</t>
        </is>
      </c>
      <c r="M43" t="n">
        <v>1.7564</v>
      </c>
      <c r="N43" t="n">
        <v>1.7564</v>
      </c>
      <c r="O43" t="n">
        <v>22.54</v>
      </c>
      <c r="P43" t="n">
        <v>26.14</v>
      </c>
      <c r="Q43" t="n">
        <v>-3.6</v>
      </c>
      <c r="R43" t="n">
        <v>47.37</v>
      </c>
      <c r="S43" t="n">
        <v>3.49</v>
      </c>
      <c r="T43" t="inlineStr"/>
      <c r="U43" t="n">
        <v>3.49</v>
      </c>
      <c r="V43" t="n">
        <v>0</v>
      </c>
      <c r="W43" t="n">
        <v>31.6152</v>
      </c>
      <c r="X43" t="n">
        <v>30</v>
      </c>
      <c r="Y43" t="inlineStr"/>
      <c r="Z43" t="inlineStr"/>
      <c r="AA43" t="inlineStr"/>
      <c r="AB43" t="n">
        <v>360</v>
      </c>
      <c r="AC43" t="inlineStr">
        <is>
          <t>missileArmingM</t>
        </is>
      </c>
      <c r="AD43" t="b">
        <v>1</v>
      </c>
      <c r="AE43" t="n">
        <v>1</v>
      </c>
      <c r="AF43" t="n">
        <v>0</v>
      </c>
      <c r="AG43" t="n">
        <v>1</v>
      </c>
      <c r="AH43" t="n">
        <v>55</v>
      </c>
      <c r="AI43" t="n">
        <v>80</v>
      </c>
      <c r="AJ43" t="n">
        <v>23.23</v>
      </c>
      <c r="AK43" t="n">
        <v>1</v>
      </c>
      <c r="AL43" t="n">
        <v>1.3</v>
      </c>
      <c r="AM43" t="inlineStr">
        <is>
          <t>max(vu_trang, khoa)</t>
        </is>
      </c>
      <c r="AN43" t="n">
        <v>1</v>
      </c>
      <c r="AO43" t="n">
        <v>1</v>
      </c>
      <c r="AP43" t="n">
        <v>1</v>
      </c>
      <c r="AQ43" t="n">
        <v>1</v>
      </c>
      <c r="AR43" t="n">
        <v>1</v>
      </c>
      <c r="AS43" t="b">
        <v>1</v>
      </c>
      <c r="AT43" t="inlineStr">
        <is>
          <t>groundMinReach</t>
        </is>
      </c>
      <c r="AU43" t="b">
        <v>0</v>
      </c>
      <c r="AV43" t="inlineStr">
        <is>
          <t>command_airship</t>
        </is>
      </c>
      <c r="AW43" t="n">
        <v>1</v>
      </c>
      <c r="AX43" t="n">
        <v>55</v>
      </c>
      <c r="AY43" t="n">
        <v>55</v>
      </c>
      <c r="AZ43" t="n">
        <v>22</v>
      </c>
      <c r="BA43" t="inlineStr">
        <is>
          <t>p26_roc_close_twin_30_bmpt;p26_roc_direct_roc_atgm;p26_roc_main_roc_bombs</t>
        </is>
      </c>
      <c r="BB43" t="n">
        <v>100</v>
      </c>
      <c r="BC43" t="b">
        <v>1</v>
      </c>
      <c r="BD43" t="inlineStr">
        <is>
          <t>Assets/MachineBrigade/Resources/Data/balance.json: vehicles[id=command_airship] x Resources/Models/command_airship.glb</t>
        </is>
      </c>
      <c r="BE43" t="inlineStr"/>
    </row>
    <row r="44">
      <c r="A44" t="inlineStr">
        <is>
          <t>command_airship/3</t>
        </is>
      </c>
      <c r="B44" t="inlineStr">
        <is>
          <t>command_airship</t>
        </is>
      </c>
      <c r="C44" t="inlineStr">
        <is>
          <t>p26_roc_direct_roc_atgm</t>
        </is>
      </c>
      <c r="D44" t="inlineStr">
        <is>
          <t>hangar_r</t>
        </is>
      </c>
      <c r="E44" t="n">
        <v>3</v>
      </c>
      <c r="F44" t="inlineStr">
        <is>
          <t>door_r</t>
        </is>
      </c>
      <c r="G44" t="inlineStr">
        <is>
          <t>Free</t>
        </is>
      </c>
      <c r="H44" t="inlineStr">
        <is>
          <t>ten_lua</t>
        </is>
      </c>
      <c r="I44" t="inlineStr">
        <is>
          <t>dan_dan</t>
        </is>
      </c>
      <c r="J44" t="inlineStr">
        <is>
          <t>Muzzle_door_r</t>
        </is>
      </c>
      <c r="K44" t="inlineStr">
        <is>
          <t>muzzle</t>
        </is>
      </c>
      <c r="L44" t="inlineStr">
        <is>
          <t>command_airship</t>
        </is>
      </c>
      <c r="M44" t="n">
        <v>1.7564</v>
      </c>
      <c r="N44" t="n">
        <v>1.7564</v>
      </c>
      <c r="O44" t="n">
        <v>22.54</v>
      </c>
      <c r="P44" t="n">
        <v>26.14</v>
      </c>
      <c r="Q44" t="n">
        <v>-3.6</v>
      </c>
      <c r="R44" t="n">
        <v>47.37</v>
      </c>
      <c r="S44" t="n">
        <v>3.49</v>
      </c>
      <c r="T44" t="inlineStr"/>
      <c r="U44" t="n">
        <v>3.49</v>
      </c>
      <c r="V44" t="n">
        <v>0</v>
      </c>
      <c r="W44" t="n">
        <v>31.6152</v>
      </c>
      <c r="X44" t="n">
        <v>30</v>
      </c>
      <c r="Y44" t="inlineStr"/>
      <c r="Z44" t="inlineStr"/>
      <c r="AA44" t="inlineStr"/>
      <c r="AB44" t="n">
        <v>360</v>
      </c>
      <c r="AC44" t="inlineStr">
        <is>
          <t>missileArmingM</t>
        </is>
      </c>
      <c r="AD44" t="b">
        <v>1</v>
      </c>
      <c r="AE44" t="n">
        <v>1</v>
      </c>
      <c r="AF44" t="n">
        <v>0</v>
      </c>
      <c r="AG44" t="n">
        <v>1</v>
      </c>
      <c r="AH44" t="n">
        <v>55</v>
      </c>
      <c r="AI44" t="n">
        <v>80</v>
      </c>
      <c r="AJ44" t="n">
        <v>23.23</v>
      </c>
      <c r="AK44" t="n">
        <v>1</v>
      </c>
      <c r="AL44" t="n">
        <v>1.3</v>
      </c>
      <c r="AM44" t="inlineStr">
        <is>
          <t>max(vu_trang, khoa)</t>
        </is>
      </c>
      <c r="AN44" t="n">
        <v>1</v>
      </c>
      <c r="AO44" t="n">
        <v>1</v>
      </c>
      <c r="AP44" t="n">
        <v>1</v>
      </c>
      <c r="AQ44" t="n">
        <v>1</v>
      </c>
      <c r="AR44" t="n">
        <v>1</v>
      </c>
      <c r="AS44" t="b">
        <v>1</v>
      </c>
      <c r="AT44" t="inlineStr">
        <is>
          <t>groundMinReach</t>
        </is>
      </c>
      <c r="AU44" t="b">
        <v>0</v>
      </c>
      <c r="AV44" t="inlineStr">
        <is>
          <t>command_airship</t>
        </is>
      </c>
      <c r="AW44" t="n">
        <v>1</v>
      </c>
      <c r="AX44" t="n">
        <v>55</v>
      </c>
      <c r="AY44" t="n">
        <v>55</v>
      </c>
      <c r="AZ44" t="n">
        <v>22</v>
      </c>
      <c r="BA44" t="inlineStr">
        <is>
          <t>p26_roc_close_twin_30_bmpt;p26_roc_direct_roc_atgm;p26_roc_main_roc_bombs</t>
        </is>
      </c>
      <c r="BB44" t="n">
        <v>100</v>
      </c>
      <c r="BC44" t="b">
        <v>1</v>
      </c>
      <c r="BD44" t="inlineStr">
        <is>
          <t>Assets/MachineBrigade/Resources/Data/balance.json: vehicles[id=command_airship] x Resources/Models/command_airship.glb</t>
        </is>
      </c>
      <c r="BE44" t="inlineStr"/>
    </row>
    <row r="45">
      <c r="A45" t="inlineStr">
        <is>
          <t>command_airship/4</t>
        </is>
      </c>
      <c r="B45" t="inlineStr">
        <is>
          <t>command_airship</t>
        </is>
      </c>
      <c r="C45" t="inlineStr">
        <is>
          <t>p26_roc_close_twin_30_bmpt</t>
        </is>
      </c>
      <c r="D45" t="inlineStr">
        <is>
          <t>bomb_bay</t>
        </is>
      </c>
      <c r="E45" t="n">
        <v>4</v>
      </c>
      <c r="F45" t="inlineStr">
        <is>
          <t>gun</t>
        </is>
      </c>
      <c r="G45" t="inlineStr">
        <is>
          <t>Free</t>
        </is>
      </c>
      <c r="H45" t="inlineStr">
        <is>
          <t>phao_nho_ciws</t>
        </is>
      </c>
      <c r="I45" t="inlineStr">
        <is>
          <t>phong_thu_gan</t>
        </is>
      </c>
      <c r="J45" t="inlineStr">
        <is>
          <t>Muzzle_gun.002</t>
        </is>
      </c>
      <c r="K45" t="inlineStr">
        <is>
          <t>muzzle</t>
        </is>
      </c>
      <c r="L45" t="inlineStr">
        <is>
          <t>command_airship</t>
        </is>
      </c>
      <c r="M45" t="n">
        <v>1.7564</v>
      </c>
      <c r="N45" t="n">
        <v>1.7564</v>
      </c>
      <c r="O45" t="n">
        <v>23.24</v>
      </c>
      <c r="P45" t="n">
        <v>24.73</v>
      </c>
      <c r="Q45" t="n">
        <v>-1.49</v>
      </c>
      <c r="R45" t="n">
        <v>47.37</v>
      </c>
      <c r="S45" t="n">
        <v>15.74</v>
      </c>
      <c r="T45" t="inlineStr">
        <is>
          <t>Mount_gun.002</t>
        </is>
      </c>
      <c r="U45" t="n">
        <v>13.47</v>
      </c>
      <c r="V45" t="n">
        <v>5.8</v>
      </c>
      <c r="W45" t="n">
        <v>31.6152</v>
      </c>
      <c r="X45" t="n">
        <v>30</v>
      </c>
      <c r="Y45" t="n">
        <v>65</v>
      </c>
      <c r="Z45" t="n">
        <v>5</v>
      </c>
      <c r="AA45" t="inlineStr"/>
      <c r="AB45" t="n">
        <v>360</v>
      </c>
      <c r="AC45" t="inlineStr">
        <is>
          <t>lop:may_bay</t>
        </is>
      </c>
      <c r="AD45" t="b">
        <v>0</v>
      </c>
      <c r="AE45" t="n">
        <v>0</v>
      </c>
      <c r="AF45" t="n">
        <v>0</v>
      </c>
      <c r="AG45" t="n">
        <v>0</v>
      </c>
      <c r="AH45" t="n">
        <v>30</v>
      </c>
      <c r="AI45" t="n">
        <v>200</v>
      </c>
      <c r="AJ45" t="n">
        <v>17.16</v>
      </c>
      <c r="AK45" t="inlineStr"/>
      <c r="AL45" t="n">
        <v>1.3</v>
      </c>
      <c r="AM45" t="inlineStr">
        <is>
          <t>ban_thang_may_bay</t>
        </is>
      </c>
      <c r="AN45" t="n">
        <v>10.23</v>
      </c>
      <c r="AO45" t="n">
        <v>16.03</v>
      </c>
      <c r="AP45" t="n">
        <v>16.17</v>
      </c>
      <c r="AQ45" t="n">
        <v>15.89</v>
      </c>
      <c r="AR45" t="n">
        <v>0</v>
      </c>
      <c r="AS45" t="b">
        <v>0</v>
      </c>
      <c r="AT45" t="inlineStr">
        <is>
          <t>khong_ap:phong_thu_gan</t>
        </is>
      </c>
      <c r="AU45" t="b">
        <v>0</v>
      </c>
      <c r="AV45" t="inlineStr"/>
      <c r="AW45" t="n">
        <v>0</v>
      </c>
      <c r="AX45" t="n">
        <v>30</v>
      </c>
      <c r="AY45" t="inlineStr"/>
      <c r="AZ45" t="n">
        <v>22</v>
      </c>
      <c r="BA45" t="inlineStr">
        <is>
          <t>p26_roc_close_twin_30_bmpt;p26_roc_direct_roc_atgm;p26_roc_main_roc_bombs</t>
        </is>
      </c>
      <c r="BB45" t="n">
        <v>100</v>
      </c>
      <c r="BC45" t="b">
        <v>1</v>
      </c>
      <c r="BD45" t="inlineStr">
        <is>
          <t>Assets/MachineBrigade/Resources/Data/balance.json: vehicles[id=command_airship] x Resources/Models/command_airship.glb</t>
        </is>
      </c>
      <c r="BE45" t="inlineStr"/>
    </row>
    <row r="46">
      <c r="A46" t="inlineStr">
        <is>
          <t>command_airship/5</t>
        </is>
      </c>
      <c r="B46" t="inlineStr">
        <is>
          <t>command_airship</t>
        </is>
      </c>
      <c r="C46" t="inlineStr">
        <is>
          <t>p26_roc_close_twin_30_bmpt</t>
        </is>
      </c>
      <c r="D46" t="inlineStr">
        <is>
          <t>bomb_bay</t>
        </is>
      </c>
      <c r="E46" t="n">
        <v>5</v>
      </c>
      <c r="F46" t="inlineStr">
        <is>
          <t>gun</t>
        </is>
      </c>
      <c r="G46" t="inlineStr">
        <is>
          <t>Free</t>
        </is>
      </c>
      <c r="H46" t="inlineStr">
        <is>
          <t>phao_nho_ciws</t>
        </is>
      </c>
      <c r="I46" t="inlineStr">
        <is>
          <t>phong_thu_gan</t>
        </is>
      </c>
      <c r="J46" t="inlineStr">
        <is>
          <t>Muzzle_gun.003</t>
        </is>
      </c>
      <c r="K46" t="inlineStr">
        <is>
          <t>muzzle</t>
        </is>
      </c>
      <c r="L46" t="inlineStr">
        <is>
          <t>command_airship</t>
        </is>
      </c>
      <c r="M46" t="n">
        <v>1.7564</v>
      </c>
      <c r="N46" t="n">
        <v>1.7564</v>
      </c>
      <c r="O46" t="n">
        <v>23.24</v>
      </c>
      <c r="P46" t="n">
        <v>24.73</v>
      </c>
      <c r="Q46" t="n">
        <v>-1.49</v>
      </c>
      <c r="R46" t="n">
        <v>47.37</v>
      </c>
      <c r="S46" t="n">
        <v>15.74</v>
      </c>
      <c r="T46" t="inlineStr">
        <is>
          <t>Mount_gun.003</t>
        </is>
      </c>
      <c r="U46" t="n">
        <v>13.47</v>
      </c>
      <c r="V46" t="n">
        <v>5.8</v>
      </c>
      <c r="W46" t="n">
        <v>31.6152</v>
      </c>
      <c r="X46" t="n">
        <v>30</v>
      </c>
      <c r="Y46" t="n">
        <v>65</v>
      </c>
      <c r="Z46" t="n">
        <v>5</v>
      </c>
      <c r="AA46" t="inlineStr"/>
      <c r="AB46" t="n">
        <v>360</v>
      </c>
      <c r="AC46" t="inlineStr">
        <is>
          <t>lop:may_bay</t>
        </is>
      </c>
      <c r="AD46" t="b">
        <v>0</v>
      </c>
      <c r="AE46" t="n">
        <v>0</v>
      </c>
      <c r="AF46" t="n">
        <v>0</v>
      </c>
      <c r="AG46" t="n">
        <v>0</v>
      </c>
      <c r="AH46" t="n">
        <v>30</v>
      </c>
      <c r="AI46" t="n">
        <v>200</v>
      </c>
      <c r="AJ46" t="n">
        <v>17.16</v>
      </c>
      <c r="AK46" t="inlineStr"/>
      <c r="AL46" t="n">
        <v>1.3</v>
      </c>
      <c r="AM46" t="inlineStr">
        <is>
          <t>ban_thang_may_bay</t>
        </is>
      </c>
      <c r="AN46" t="n">
        <v>10.23</v>
      </c>
      <c r="AO46" t="n">
        <v>16.03</v>
      </c>
      <c r="AP46" t="n">
        <v>16.17</v>
      </c>
      <c r="AQ46" t="n">
        <v>15.89</v>
      </c>
      <c r="AR46" t="n">
        <v>0</v>
      </c>
      <c r="AS46" t="b">
        <v>0</v>
      </c>
      <c r="AT46" t="inlineStr">
        <is>
          <t>khong_ap:phong_thu_gan</t>
        </is>
      </c>
      <c r="AU46" t="b">
        <v>0</v>
      </c>
      <c r="AV46" t="inlineStr"/>
      <c r="AW46" t="n">
        <v>0</v>
      </c>
      <c r="AX46" t="n">
        <v>30</v>
      </c>
      <c r="AY46" t="inlineStr"/>
      <c r="AZ46" t="n">
        <v>22</v>
      </c>
      <c r="BA46" t="inlineStr">
        <is>
          <t>p26_roc_close_twin_30_bmpt;p26_roc_direct_roc_atgm;p26_roc_main_roc_bombs</t>
        </is>
      </c>
      <c r="BB46" t="n">
        <v>100</v>
      </c>
      <c r="BC46" t="b">
        <v>1</v>
      </c>
      <c r="BD46" t="inlineStr">
        <is>
          <t>Assets/MachineBrigade/Resources/Data/balance.json: vehicles[id=command_airship] x Resources/Models/command_airship.glb</t>
        </is>
      </c>
      <c r="BE46" t="inlineStr"/>
    </row>
    <row r="47">
      <c r="A47" t="inlineStr">
        <is>
          <t>command_airship/6</t>
        </is>
      </c>
      <c r="B47" t="inlineStr">
        <is>
          <t>command_airship</t>
        </is>
      </c>
      <c r="C47" t="inlineStr">
        <is>
          <t>p26_roc_roc105</t>
        </is>
      </c>
      <c r="D47" t="inlineStr">
        <is>
          <t>pod_105_l</t>
        </is>
      </c>
      <c r="E47" t="n">
        <v>6</v>
      </c>
      <c r="F47" t="inlineStr">
        <is>
          <t>gun</t>
        </is>
      </c>
      <c r="G47" t="inlineStr">
        <is>
          <t>Free</t>
        </is>
      </c>
      <c r="H47" t="inlineStr">
        <is>
          <t>phao_boss</t>
        </is>
      </c>
      <c r="I47" t="inlineStr">
        <is>
          <t>chinh</t>
        </is>
      </c>
      <c r="J47" t="inlineStr">
        <is>
          <t>Muzzle_gun</t>
        </is>
      </c>
      <c r="K47" t="inlineStr">
        <is>
          <t>muzzle</t>
        </is>
      </c>
      <c r="L47" t="inlineStr">
        <is>
          <t>command_airship</t>
        </is>
      </c>
      <c r="M47" t="n">
        <v>1.7564</v>
      </c>
      <c r="N47" t="n">
        <v>1.7564</v>
      </c>
      <c r="O47" t="n">
        <v>35.85</v>
      </c>
      <c r="P47" t="n">
        <v>24.73</v>
      </c>
      <c r="Q47" t="n">
        <v>11.12</v>
      </c>
      <c r="R47" t="n">
        <v>47.37</v>
      </c>
      <c r="S47" t="n">
        <v>28.89</v>
      </c>
      <c r="T47" t="inlineStr">
        <is>
          <t>Mount_gun</t>
        </is>
      </c>
      <c r="U47" t="n">
        <v>23.18</v>
      </c>
      <c r="V47" t="n">
        <v>5.71</v>
      </c>
      <c r="W47" t="n">
        <v>31.6152</v>
      </c>
      <c r="X47" t="n">
        <v>30</v>
      </c>
      <c r="Y47" t="n">
        <v>65</v>
      </c>
      <c r="Z47" t="n">
        <v>5</v>
      </c>
      <c r="AA47" t="inlineStr"/>
      <c r="AB47" t="n">
        <v>360</v>
      </c>
      <c r="AC47" t="inlineStr">
        <is>
          <t>lop:may_bay</t>
        </is>
      </c>
      <c r="AD47" t="b">
        <v>0</v>
      </c>
      <c r="AE47" t="n">
        <v>22</v>
      </c>
      <c r="AF47" t="n">
        <v>0</v>
      </c>
      <c r="AG47" t="n">
        <v>22</v>
      </c>
      <c r="AH47" t="n">
        <v>58</v>
      </c>
      <c r="AI47" t="n">
        <v>120</v>
      </c>
      <c r="AJ47" t="n">
        <v>23.85</v>
      </c>
      <c r="AK47" t="inlineStr"/>
      <c r="AL47" t="n">
        <v>1.3</v>
      </c>
      <c r="AM47" t="inlineStr">
        <is>
          <t>ban_thang_may_bay</t>
        </is>
      </c>
      <c r="AN47" t="n">
        <v>16.11</v>
      </c>
      <c r="AO47" t="n">
        <v>21.82</v>
      </c>
      <c r="AP47" t="n">
        <v>21.96</v>
      </c>
      <c r="AQ47" t="n">
        <v>21.68</v>
      </c>
      <c r="AR47" t="n">
        <v>22</v>
      </c>
      <c r="AS47" t="b">
        <v>1</v>
      </c>
      <c r="AT47" t="inlineStr">
        <is>
          <t>groundMinReach</t>
        </is>
      </c>
      <c r="AU47" t="b">
        <v>0</v>
      </c>
      <c r="AV47" t="inlineStr">
        <is>
          <t>command_airship</t>
        </is>
      </c>
      <c r="AW47" t="n">
        <v>22</v>
      </c>
      <c r="AX47" t="n">
        <v>71</v>
      </c>
      <c r="AY47" t="n">
        <v>3.23</v>
      </c>
      <c r="AZ47" t="n">
        <v>22</v>
      </c>
      <c r="BA47" t="inlineStr">
        <is>
          <t>p26_roc_close_twin_30_bmpt;p26_roc_direct_roc_atgm;p26_roc_main_roc_bombs</t>
        </is>
      </c>
      <c r="BB47" t="n">
        <v>100</v>
      </c>
      <c r="BC47" t="b">
        <v>1</v>
      </c>
      <c r="BD47" t="inlineStr">
        <is>
          <t>Assets/MachineBrigade/Resources/Data/balance.json: vehicles[id=command_airship] x Resources/Models/command_airship.glb</t>
        </is>
      </c>
      <c r="BE47" t="inlineStr"/>
    </row>
    <row r="48">
      <c r="A48" t="inlineStr">
        <is>
          <t>command_airship/7</t>
        </is>
      </c>
      <c r="B48" t="inlineStr">
        <is>
          <t>command_airship</t>
        </is>
      </c>
      <c r="C48" t="inlineStr">
        <is>
          <t>p26_roc_roc105</t>
        </is>
      </c>
      <c r="D48" t="inlineStr">
        <is>
          <t>pod_105_r</t>
        </is>
      </c>
      <c r="E48" t="n">
        <v>7</v>
      </c>
      <c r="F48" t="inlineStr">
        <is>
          <t>gun</t>
        </is>
      </c>
      <c r="G48" t="inlineStr">
        <is>
          <t>Free</t>
        </is>
      </c>
      <c r="H48" t="inlineStr">
        <is>
          <t>phao_boss</t>
        </is>
      </c>
      <c r="I48" t="inlineStr">
        <is>
          <t>chinh</t>
        </is>
      </c>
      <c r="J48" t="inlineStr">
        <is>
          <t>Muzzle_gun.001</t>
        </is>
      </c>
      <c r="K48" t="inlineStr">
        <is>
          <t>muzzle</t>
        </is>
      </c>
      <c r="L48" t="inlineStr">
        <is>
          <t>command_airship</t>
        </is>
      </c>
      <c r="M48" t="n">
        <v>1.7564</v>
      </c>
      <c r="N48" t="n">
        <v>1.7564</v>
      </c>
      <c r="O48" t="n">
        <v>35.85</v>
      </c>
      <c r="P48" t="n">
        <v>24.73</v>
      </c>
      <c r="Q48" t="n">
        <v>11.12</v>
      </c>
      <c r="R48" t="n">
        <v>47.37</v>
      </c>
      <c r="S48" t="n">
        <v>12.21</v>
      </c>
      <c r="T48" t="inlineStr">
        <is>
          <t>Mount_gun.001</t>
        </is>
      </c>
      <c r="U48" t="n">
        <v>17.92</v>
      </c>
      <c r="V48" t="n">
        <v>5.71</v>
      </c>
      <c r="W48" t="n">
        <v>31.6152</v>
      </c>
      <c r="X48" t="n">
        <v>30</v>
      </c>
      <c r="Y48" t="n">
        <v>65</v>
      </c>
      <c r="Z48" t="n">
        <v>5</v>
      </c>
      <c r="AA48" t="inlineStr"/>
      <c r="AB48" t="n">
        <v>360</v>
      </c>
      <c r="AC48" t="inlineStr">
        <is>
          <t>lop:may_bay</t>
        </is>
      </c>
      <c r="AD48" t="b">
        <v>0</v>
      </c>
      <c r="AE48" t="n">
        <v>22</v>
      </c>
      <c r="AF48" t="n">
        <v>0</v>
      </c>
      <c r="AG48" t="n">
        <v>22</v>
      </c>
      <c r="AH48" t="n">
        <v>58</v>
      </c>
      <c r="AI48" t="n">
        <v>120</v>
      </c>
      <c r="AJ48" t="n">
        <v>23.85</v>
      </c>
      <c r="AK48" t="inlineStr"/>
      <c r="AL48" t="n">
        <v>1.3</v>
      </c>
      <c r="AM48" t="inlineStr">
        <is>
          <t>ban_thang_may_bay</t>
        </is>
      </c>
      <c r="AN48" t="n">
        <v>16.11</v>
      </c>
      <c r="AO48" t="n">
        <v>21.82</v>
      </c>
      <c r="AP48" t="n">
        <v>21.96</v>
      </c>
      <c r="AQ48" t="n">
        <v>21.68</v>
      </c>
      <c r="AR48" t="n">
        <v>22</v>
      </c>
      <c r="AS48" t="b">
        <v>1</v>
      </c>
      <c r="AT48" t="inlineStr">
        <is>
          <t>groundMinReach</t>
        </is>
      </c>
      <c r="AU48" t="b">
        <v>0</v>
      </c>
      <c r="AV48" t="inlineStr">
        <is>
          <t>command_airship</t>
        </is>
      </c>
      <c r="AW48" t="n">
        <v>22</v>
      </c>
      <c r="AX48" t="n">
        <v>71</v>
      </c>
      <c r="AY48" t="n">
        <v>3.23</v>
      </c>
      <c r="AZ48" t="n">
        <v>22</v>
      </c>
      <c r="BA48" t="inlineStr">
        <is>
          <t>p26_roc_close_twin_30_bmpt;p26_roc_direct_roc_atgm;p26_roc_main_roc_bombs</t>
        </is>
      </c>
      <c r="BB48" t="n">
        <v>100</v>
      </c>
      <c r="BC48" t="b">
        <v>1</v>
      </c>
      <c r="BD48" t="inlineStr">
        <is>
          <t>Assets/MachineBrigade/Resources/Data/balance.json: vehicles[id=command_airship] x Resources/Models/command_airship.glb</t>
        </is>
      </c>
      <c r="BE48" t="inlineStr"/>
    </row>
    <row r="49">
      <c r="A49" t="inlineStr">
        <is>
          <t>daedalus/0</t>
        </is>
      </c>
      <c r="B49" t="inlineStr">
        <is>
          <t>daedalus</t>
        </is>
      </c>
      <c r="C49" t="inlineStr">
        <is>
          <t>p26_daedalus_direct_dae_laser</t>
        </is>
      </c>
      <c r="D49" t="inlineStr">
        <is>
          <t>gun_l</t>
        </is>
      </c>
      <c r="E49" t="n">
        <v>0</v>
      </c>
      <c r="F49" t="inlineStr">
        <is>
          <t>gun</t>
        </is>
      </c>
      <c r="G49" t="inlineStr">
        <is>
          <t>Free</t>
        </is>
      </c>
      <c r="H49" t="inlineStr">
        <is>
          <t>phao_boss</t>
        </is>
      </c>
      <c r="I49" t="inlineStr">
        <is>
          <t>chinh</t>
        </is>
      </c>
      <c r="J49" t="inlineStr">
        <is>
          <t>Muzzle_gun</t>
        </is>
      </c>
      <c r="K49" t="inlineStr">
        <is>
          <t>muzzle</t>
        </is>
      </c>
      <c r="L49" t="inlineStr">
        <is>
          <t>daedalus</t>
        </is>
      </c>
      <c r="M49" t="n">
        <v>1.6183</v>
      </c>
      <c r="N49" t="n">
        <v>1.6183</v>
      </c>
      <c r="O49" t="n">
        <v>16.1</v>
      </c>
      <c r="P49" t="n">
        <v>17.63</v>
      </c>
      <c r="Q49" t="n">
        <v>-1.53</v>
      </c>
      <c r="R49" t="n">
        <v>38.66</v>
      </c>
      <c r="S49" t="n">
        <v>14.15</v>
      </c>
      <c r="T49" t="inlineStr">
        <is>
          <t>Mount_gun</t>
        </is>
      </c>
      <c r="U49" t="n">
        <v>10.46</v>
      </c>
      <c r="V49" t="n">
        <v>3.9</v>
      </c>
      <c r="W49" t="n">
        <v>16.183</v>
      </c>
      <c r="X49" t="n">
        <v>22</v>
      </c>
      <c r="Y49" t="n">
        <v>65</v>
      </c>
      <c r="Z49" t="n">
        <v>5</v>
      </c>
      <c r="AA49" t="inlineStr"/>
      <c r="AB49" t="n">
        <v>360</v>
      </c>
      <c r="AC49" t="inlineStr">
        <is>
          <t>lop:may_bay</t>
        </is>
      </c>
      <c r="AD49" t="b">
        <v>0</v>
      </c>
      <c r="AE49" t="n">
        <v>13</v>
      </c>
      <c r="AF49" t="n">
        <v>0</v>
      </c>
      <c r="AG49" t="n">
        <v>13</v>
      </c>
      <c r="AH49" t="n">
        <v>36</v>
      </c>
      <c r="AI49" t="n">
        <v>3000</v>
      </c>
      <c r="AJ49" t="n">
        <v>18.79</v>
      </c>
      <c r="AK49" t="inlineStr"/>
      <c r="AL49" t="n">
        <v>1.3</v>
      </c>
      <c r="AM49" t="inlineStr">
        <is>
          <t>ban_thang_may_bay</t>
        </is>
      </c>
      <c r="AN49" t="n">
        <v>6.9</v>
      </c>
      <c r="AO49" t="n">
        <v>10.8</v>
      </c>
      <c r="AP49" t="n">
        <v>10.94</v>
      </c>
      <c r="AQ49" t="n">
        <v>10.66</v>
      </c>
      <c r="AR49" t="n">
        <v>13</v>
      </c>
      <c r="AS49" t="b">
        <v>1</v>
      </c>
      <c r="AT49" t="inlineStr">
        <is>
          <t>groundMinReach</t>
        </is>
      </c>
      <c r="AU49" t="b">
        <v>0</v>
      </c>
      <c r="AV49" t="inlineStr">
        <is>
          <t>daedalus</t>
        </is>
      </c>
      <c r="AW49" t="n">
        <v>13</v>
      </c>
      <c r="AX49" t="n">
        <v>42</v>
      </c>
      <c r="AY49" t="n">
        <v>3.23</v>
      </c>
      <c r="AZ49" t="n">
        <v>0</v>
      </c>
      <c r="BA49" t="inlineStr"/>
      <c r="BB49" t="n">
        <v>100</v>
      </c>
      <c r="BC49" t="b">
        <v>1</v>
      </c>
      <c r="BD49" t="inlineStr">
        <is>
          <t>Assets/MachineBrigade/Resources/Data/balance.json: vehicles[id=daedalus] x Resources/Models/daedalus.glb</t>
        </is>
      </c>
      <c r="BE49" t="inlineStr"/>
    </row>
    <row r="50">
      <c r="A50" t="inlineStr">
        <is>
          <t>daedalus/1</t>
        </is>
      </c>
      <c r="B50" t="inlineStr">
        <is>
          <t>daedalus</t>
        </is>
      </c>
      <c r="C50" t="inlineStr">
        <is>
          <t>pt14_dd_v57</t>
        </is>
      </c>
      <c r="D50" t="inlineStr"/>
      <c r="E50" t="n">
        <v>1</v>
      </c>
      <c r="F50" t="inlineStr">
        <is>
          <t>gun</t>
        </is>
      </c>
      <c r="G50" t="inlineStr">
        <is>
          <t>Free</t>
        </is>
      </c>
      <c r="H50" t="inlineStr">
        <is>
          <t>sung_phu</t>
        </is>
      </c>
      <c r="I50" t="inlineStr">
        <is>
          <t>chinh</t>
        </is>
      </c>
      <c r="J50" t="inlineStr">
        <is>
          <t>Muzzle_gun.001</t>
        </is>
      </c>
      <c r="K50" t="inlineStr">
        <is>
          <t>muzzle</t>
        </is>
      </c>
      <c r="L50" t="inlineStr">
        <is>
          <t>daedalus</t>
        </is>
      </c>
      <c r="M50" t="n">
        <v>1.6183</v>
      </c>
      <c r="N50" t="n">
        <v>1.6183</v>
      </c>
      <c r="O50" t="n">
        <v>15.63</v>
      </c>
      <c r="P50" t="inlineStr"/>
      <c r="Q50" t="inlineStr"/>
      <c r="R50" t="n">
        <v>38.66</v>
      </c>
      <c r="S50" t="n">
        <v>8.59</v>
      </c>
      <c r="T50" t="inlineStr">
        <is>
          <t>Mount_gun.001</t>
        </is>
      </c>
      <c r="U50" t="n">
        <v>11.94</v>
      </c>
      <c r="V50" t="n">
        <v>5.39</v>
      </c>
      <c r="W50" t="n">
        <v>16.183</v>
      </c>
      <c r="X50" t="n">
        <v>22</v>
      </c>
      <c r="Y50" t="n">
        <v>65</v>
      </c>
      <c r="Z50" t="n">
        <v>5</v>
      </c>
      <c r="AA50" t="inlineStr"/>
      <c r="AB50" t="n">
        <v>360</v>
      </c>
      <c r="AC50" t="inlineStr">
        <is>
          <t>lop:may_bay</t>
        </is>
      </c>
      <c r="AD50" t="b">
        <v>0</v>
      </c>
      <c r="AE50" t="n">
        <v>0</v>
      </c>
      <c r="AF50" t="n">
        <v>0</v>
      </c>
      <c r="AG50" t="n">
        <v>0</v>
      </c>
      <c r="AH50" t="n">
        <v>28</v>
      </c>
      <c r="AI50" t="n">
        <v>150</v>
      </c>
      <c r="AJ50" t="n">
        <v>16.57</v>
      </c>
      <c r="AK50" t="inlineStr"/>
      <c r="AL50" t="n">
        <v>1.3</v>
      </c>
      <c r="AM50" t="inlineStr">
        <is>
          <t>ban_thang_may_bay</t>
        </is>
      </c>
      <c r="AN50" t="n">
        <v>6.68</v>
      </c>
      <c r="AO50" t="n">
        <v>12.08</v>
      </c>
      <c r="AP50" t="n">
        <v>12.22</v>
      </c>
      <c r="AQ50" t="n">
        <v>11.94</v>
      </c>
      <c r="AR50" t="n">
        <v>12</v>
      </c>
      <c r="AS50" t="b">
        <v>1</v>
      </c>
      <c r="AT50" t="inlineStr">
        <is>
          <t>groundMinReach</t>
        </is>
      </c>
      <c r="AU50" t="b">
        <v>0</v>
      </c>
      <c r="AV50" t="inlineStr"/>
      <c r="AW50" t="n">
        <v>0</v>
      </c>
      <c r="AX50" t="n">
        <v>28</v>
      </c>
      <c r="AY50" t="inlineStr"/>
      <c r="AZ50" t="n">
        <v>0</v>
      </c>
      <c r="BA50" t="inlineStr"/>
      <c r="BB50" t="n">
        <v>100</v>
      </c>
      <c r="BC50" t="b">
        <v>1</v>
      </c>
      <c r="BD50" t="inlineStr">
        <is>
          <t>Assets/MachineBrigade/Resources/Data/balance.json: vehicles[id=daedalus] x Resources/Models/daedalus.glb</t>
        </is>
      </c>
      <c r="BE50" t="inlineStr"/>
    </row>
    <row r="51">
      <c r="A51" t="inlineStr">
        <is>
          <t>daedalus/2</t>
        </is>
      </c>
      <c r="B51" t="inlineStr">
        <is>
          <t>daedalus</t>
        </is>
      </c>
      <c r="C51" t="inlineStr">
        <is>
          <t>pt14_dd_v57</t>
        </is>
      </c>
      <c r="D51" t="inlineStr"/>
      <c r="E51" t="n">
        <v>2</v>
      </c>
      <c r="F51" t="inlineStr">
        <is>
          <t>gun</t>
        </is>
      </c>
      <c r="G51" t="inlineStr">
        <is>
          <t>Free</t>
        </is>
      </c>
      <c r="H51" t="inlineStr">
        <is>
          <t>sung_phu</t>
        </is>
      </c>
      <c r="I51" t="inlineStr">
        <is>
          <t>chinh</t>
        </is>
      </c>
      <c r="J51" t="inlineStr">
        <is>
          <t>Muzzle_gun.002</t>
        </is>
      </c>
      <c r="K51" t="inlineStr">
        <is>
          <t>muzzle</t>
        </is>
      </c>
      <c r="L51" t="inlineStr">
        <is>
          <t>daedalus</t>
        </is>
      </c>
      <c r="M51" t="n">
        <v>1.6183</v>
      </c>
      <c r="N51" t="n">
        <v>1.6183</v>
      </c>
      <c r="O51" t="n">
        <v>15.63</v>
      </c>
      <c r="P51" t="inlineStr"/>
      <c r="Q51" t="inlineStr"/>
      <c r="R51" t="n">
        <v>38.66</v>
      </c>
      <c r="S51" t="n">
        <v>8.59</v>
      </c>
      <c r="T51" t="inlineStr">
        <is>
          <t>Mount_gun.002</t>
        </is>
      </c>
      <c r="U51" t="n">
        <v>11.94</v>
      </c>
      <c r="V51" t="n">
        <v>5.39</v>
      </c>
      <c r="W51" t="n">
        <v>16.183</v>
      </c>
      <c r="X51" t="n">
        <v>22</v>
      </c>
      <c r="Y51" t="n">
        <v>65</v>
      </c>
      <c r="Z51" t="n">
        <v>5</v>
      </c>
      <c r="AA51" t="inlineStr"/>
      <c r="AB51" t="n">
        <v>360</v>
      </c>
      <c r="AC51" t="inlineStr">
        <is>
          <t>lop:may_bay</t>
        </is>
      </c>
      <c r="AD51" t="b">
        <v>0</v>
      </c>
      <c r="AE51" t="n">
        <v>0</v>
      </c>
      <c r="AF51" t="n">
        <v>0</v>
      </c>
      <c r="AG51" t="n">
        <v>0</v>
      </c>
      <c r="AH51" t="n">
        <v>28</v>
      </c>
      <c r="AI51" t="n">
        <v>150</v>
      </c>
      <c r="AJ51" t="n">
        <v>16.57</v>
      </c>
      <c r="AK51" t="inlineStr"/>
      <c r="AL51" t="n">
        <v>1.3</v>
      </c>
      <c r="AM51" t="inlineStr">
        <is>
          <t>ban_thang_may_bay</t>
        </is>
      </c>
      <c r="AN51" t="n">
        <v>6.68</v>
      </c>
      <c r="AO51" t="n">
        <v>12.08</v>
      </c>
      <c r="AP51" t="n">
        <v>12.22</v>
      </c>
      <c r="AQ51" t="n">
        <v>11.94</v>
      </c>
      <c r="AR51" t="n">
        <v>12</v>
      </c>
      <c r="AS51" t="b">
        <v>1</v>
      </c>
      <c r="AT51" t="inlineStr">
        <is>
          <t>groundMinReach</t>
        </is>
      </c>
      <c r="AU51" t="b">
        <v>0</v>
      </c>
      <c r="AV51" t="inlineStr"/>
      <c r="AW51" t="n">
        <v>0</v>
      </c>
      <c r="AX51" t="n">
        <v>28</v>
      </c>
      <c r="AY51" t="inlineStr"/>
      <c r="AZ51" t="n">
        <v>0</v>
      </c>
      <c r="BA51" t="inlineStr"/>
      <c r="BB51" t="n">
        <v>100</v>
      </c>
      <c r="BC51" t="b">
        <v>1</v>
      </c>
      <c r="BD51" t="inlineStr">
        <is>
          <t>Assets/MachineBrigade/Resources/Data/balance.json: vehicles[id=daedalus] x Resources/Models/daedalus.glb</t>
        </is>
      </c>
      <c r="BE51" t="inlineStr"/>
    </row>
    <row r="52">
      <c r="A52" t="inlineStr">
        <is>
          <t>daedalus/3</t>
        </is>
      </c>
      <c r="B52" t="inlineStr">
        <is>
          <t>daedalus</t>
        </is>
      </c>
      <c r="C52" t="inlineStr">
        <is>
          <t>pt14_dd_v25</t>
        </is>
      </c>
      <c r="D52" t="inlineStr"/>
      <c r="E52" t="n">
        <v>3</v>
      </c>
      <c r="F52" t="inlineStr">
        <is>
          <t>gun</t>
        </is>
      </c>
      <c r="G52" t="inlineStr">
        <is>
          <t>Free</t>
        </is>
      </c>
      <c r="H52" t="inlineStr">
        <is>
          <t>phao_nho_ciws</t>
        </is>
      </c>
      <c r="I52" t="inlineStr">
        <is>
          <t>phong_thu_gan</t>
        </is>
      </c>
      <c r="J52" t="inlineStr">
        <is>
          <t>Muzzle_gun.003</t>
        </is>
      </c>
      <c r="K52" t="inlineStr">
        <is>
          <t>muzzle</t>
        </is>
      </c>
      <c r="L52" t="inlineStr">
        <is>
          <t>daedalus</t>
        </is>
      </c>
      <c r="M52" t="n">
        <v>1.6183</v>
      </c>
      <c r="N52" t="n">
        <v>1.6183</v>
      </c>
      <c r="O52" t="n">
        <v>15.65</v>
      </c>
      <c r="P52" t="inlineStr"/>
      <c r="Q52" t="inlineStr"/>
      <c r="R52" t="n">
        <v>38.66</v>
      </c>
      <c r="S52" t="n">
        <v>17.54</v>
      </c>
      <c r="T52" t="inlineStr">
        <is>
          <t>Mount_gun.003</t>
        </is>
      </c>
      <c r="U52" t="n">
        <v>21.52</v>
      </c>
      <c r="V52" t="n">
        <v>4.1</v>
      </c>
      <c r="W52" t="n">
        <v>16.183</v>
      </c>
      <c r="X52" t="n">
        <v>22</v>
      </c>
      <c r="Y52" t="n">
        <v>65</v>
      </c>
      <c r="Z52" t="n">
        <v>5</v>
      </c>
      <c r="AA52" t="inlineStr"/>
      <c r="AB52" t="n">
        <v>360</v>
      </c>
      <c r="AC52" t="inlineStr">
        <is>
          <t>lop:may_bay</t>
        </is>
      </c>
      <c r="AD52" t="b">
        <v>0</v>
      </c>
      <c r="AE52" t="n">
        <v>0</v>
      </c>
      <c r="AF52" t="n">
        <v>0</v>
      </c>
      <c r="AG52" t="n">
        <v>0</v>
      </c>
      <c r="AH52" t="n">
        <v>30</v>
      </c>
      <c r="AI52" t="n">
        <v>210</v>
      </c>
      <c r="AJ52" t="n">
        <v>17.16</v>
      </c>
      <c r="AK52" t="inlineStr"/>
      <c r="AL52" t="n">
        <v>1.3</v>
      </c>
      <c r="AM52" t="inlineStr">
        <is>
          <t>ban_thang_may_bay</t>
        </is>
      </c>
      <c r="AN52" t="n">
        <v>6.69</v>
      </c>
      <c r="AO52" t="n">
        <v>10.79</v>
      </c>
      <c r="AP52" t="n">
        <v>10.93</v>
      </c>
      <c r="AQ52" t="n">
        <v>10.65</v>
      </c>
      <c r="AR52" t="n">
        <v>0</v>
      </c>
      <c r="AS52" t="b">
        <v>0</v>
      </c>
      <c r="AT52" t="inlineStr">
        <is>
          <t>khong_ap:phong_thu_gan</t>
        </is>
      </c>
      <c r="AU52" t="b">
        <v>0</v>
      </c>
      <c r="AV52" t="inlineStr"/>
      <c r="AW52" t="n">
        <v>0</v>
      </c>
      <c r="AX52" t="n">
        <v>30</v>
      </c>
      <c r="AY52" t="inlineStr"/>
      <c r="AZ52" t="n">
        <v>0</v>
      </c>
      <c r="BA52" t="inlineStr"/>
      <c r="BB52" t="n">
        <v>100</v>
      </c>
      <c r="BC52" t="b">
        <v>1</v>
      </c>
      <c r="BD52" t="inlineStr">
        <is>
          <t>Assets/MachineBrigade/Resources/Data/balance.json: vehicles[id=daedalus] x Resources/Models/daedalus.glb</t>
        </is>
      </c>
      <c r="BE52" t="inlineStr"/>
    </row>
    <row r="53">
      <c r="A53" t="inlineStr">
        <is>
          <t>daedalus/4</t>
        </is>
      </c>
      <c r="B53" t="inlineStr">
        <is>
          <t>daedalus</t>
        </is>
      </c>
      <c r="C53" t="inlineStr">
        <is>
          <t>pt14_dd_v25</t>
        </is>
      </c>
      <c r="D53" t="inlineStr"/>
      <c r="E53" t="n">
        <v>4</v>
      </c>
      <c r="F53" t="inlineStr">
        <is>
          <t>gun</t>
        </is>
      </c>
      <c r="G53" t="inlineStr">
        <is>
          <t>Free</t>
        </is>
      </c>
      <c r="H53" t="inlineStr">
        <is>
          <t>phao_nho_ciws</t>
        </is>
      </c>
      <c r="I53" t="inlineStr">
        <is>
          <t>phong_thu_gan</t>
        </is>
      </c>
      <c r="J53" t="inlineStr">
        <is>
          <t>Muzzle_gun.004</t>
        </is>
      </c>
      <c r="K53" t="inlineStr">
        <is>
          <t>muzzle</t>
        </is>
      </c>
      <c r="L53" t="inlineStr">
        <is>
          <t>daedalus</t>
        </is>
      </c>
      <c r="M53" t="n">
        <v>1.6183</v>
      </c>
      <c r="N53" t="n">
        <v>1.6183</v>
      </c>
      <c r="O53" t="n">
        <v>15.65</v>
      </c>
      <c r="P53" t="inlineStr"/>
      <c r="Q53" t="inlineStr"/>
      <c r="R53" t="n">
        <v>38.66</v>
      </c>
      <c r="S53" t="n">
        <v>17.54</v>
      </c>
      <c r="T53" t="inlineStr">
        <is>
          <t>Mount_gun.004</t>
        </is>
      </c>
      <c r="U53" t="n">
        <v>21.52</v>
      </c>
      <c r="V53" t="n">
        <v>4.1</v>
      </c>
      <c r="W53" t="n">
        <v>16.183</v>
      </c>
      <c r="X53" t="n">
        <v>22</v>
      </c>
      <c r="Y53" t="n">
        <v>65</v>
      </c>
      <c r="Z53" t="n">
        <v>5</v>
      </c>
      <c r="AA53" t="inlineStr"/>
      <c r="AB53" t="n">
        <v>360</v>
      </c>
      <c r="AC53" t="inlineStr">
        <is>
          <t>lop:may_bay</t>
        </is>
      </c>
      <c r="AD53" t="b">
        <v>0</v>
      </c>
      <c r="AE53" t="n">
        <v>0</v>
      </c>
      <c r="AF53" t="n">
        <v>0</v>
      </c>
      <c r="AG53" t="n">
        <v>0</v>
      </c>
      <c r="AH53" t="n">
        <v>30</v>
      </c>
      <c r="AI53" t="n">
        <v>210</v>
      </c>
      <c r="AJ53" t="n">
        <v>17.16</v>
      </c>
      <c r="AK53" t="inlineStr"/>
      <c r="AL53" t="n">
        <v>1.3</v>
      </c>
      <c r="AM53" t="inlineStr">
        <is>
          <t>ban_thang_may_bay</t>
        </is>
      </c>
      <c r="AN53" t="n">
        <v>6.69</v>
      </c>
      <c r="AO53" t="n">
        <v>10.79</v>
      </c>
      <c r="AP53" t="n">
        <v>10.93</v>
      </c>
      <c r="AQ53" t="n">
        <v>10.65</v>
      </c>
      <c r="AR53" t="n">
        <v>0</v>
      </c>
      <c r="AS53" t="b">
        <v>0</v>
      </c>
      <c r="AT53" t="inlineStr">
        <is>
          <t>khong_ap:phong_thu_gan</t>
        </is>
      </c>
      <c r="AU53" t="b">
        <v>0</v>
      </c>
      <c r="AV53" t="inlineStr"/>
      <c r="AW53" t="n">
        <v>0</v>
      </c>
      <c r="AX53" t="n">
        <v>30</v>
      </c>
      <c r="AY53" t="inlineStr"/>
      <c r="AZ53" t="n">
        <v>0</v>
      </c>
      <c r="BA53" t="inlineStr"/>
      <c r="BB53" t="n">
        <v>100</v>
      </c>
      <c r="BC53" t="b">
        <v>1</v>
      </c>
      <c r="BD53" t="inlineStr">
        <is>
          <t>Assets/MachineBrigade/Resources/Data/balance.json: vehicles[id=daedalus] x Resources/Models/daedalus.glb</t>
        </is>
      </c>
      <c r="BE53" t="inlineStr"/>
    </row>
    <row r="54">
      <c r="A54" t="inlineStr">
        <is>
          <t>daedalus/5</t>
        </is>
      </c>
      <c r="B54" t="inlineStr">
        <is>
          <t>daedalus</t>
        </is>
      </c>
      <c r="C54" t="inlineStr">
        <is>
          <t>p26_daedalus_direct_dae_laser</t>
        </is>
      </c>
      <c r="D54" t="inlineStr">
        <is>
          <t>gun_r</t>
        </is>
      </c>
      <c r="E54" t="n">
        <v>5</v>
      </c>
      <c r="F54" t="inlineStr">
        <is>
          <t>gun</t>
        </is>
      </c>
      <c r="G54" t="inlineStr">
        <is>
          <t>Free</t>
        </is>
      </c>
      <c r="H54" t="inlineStr">
        <is>
          <t>phao_boss</t>
        </is>
      </c>
      <c r="I54" t="inlineStr">
        <is>
          <t>chinh</t>
        </is>
      </c>
      <c r="J54" t="inlineStr">
        <is>
          <t>Muzzle_gun.005</t>
        </is>
      </c>
      <c r="K54" t="inlineStr">
        <is>
          <t>muzzle</t>
        </is>
      </c>
      <c r="L54" t="inlineStr">
        <is>
          <t>daedalus</t>
        </is>
      </c>
      <c r="M54" t="n">
        <v>1.6183</v>
      </c>
      <c r="N54" t="n">
        <v>1.6183</v>
      </c>
      <c r="O54" t="n">
        <v>16.1</v>
      </c>
      <c r="P54" t="n">
        <v>17.63</v>
      </c>
      <c r="Q54" t="n">
        <v>-1.53</v>
      </c>
      <c r="R54" t="n">
        <v>38.66</v>
      </c>
      <c r="S54" t="n">
        <v>14.15</v>
      </c>
      <c r="T54" t="inlineStr">
        <is>
          <t>Mount_gun.005</t>
        </is>
      </c>
      <c r="U54" t="n">
        <v>10.46</v>
      </c>
      <c r="V54" t="n">
        <v>3.9</v>
      </c>
      <c r="W54" t="n">
        <v>16.183</v>
      </c>
      <c r="X54" t="n">
        <v>22</v>
      </c>
      <c r="Y54" t="n">
        <v>65</v>
      </c>
      <c r="Z54" t="n">
        <v>5</v>
      </c>
      <c r="AA54" t="inlineStr"/>
      <c r="AB54" t="n">
        <v>360</v>
      </c>
      <c r="AC54" t="inlineStr">
        <is>
          <t>lop:may_bay</t>
        </is>
      </c>
      <c r="AD54" t="b">
        <v>0</v>
      </c>
      <c r="AE54" t="n">
        <v>13</v>
      </c>
      <c r="AF54" t="n">
        <v>0</v>
      </c>
      <c r="AG54" t="n">
        <v>13</v>
      </c>
      <c r="AH54" t="n">
        <v>36</v>
      </c>
      <c r="AI54" t="n">
        <v>3000</v>
      </c>
      <c r="AJ54" t="n">
        <v>18.79</v>
      </c>
      <c r="AK54" t="inlineStr"/>
      <c r="AL54" t="n">
        <v>1.3</v>
      </c>
      <c r="AM54" t="inlineStr">
        <is>
          <t>ban_thang_may_bay</t>
        </is>
      </c>
      <c r="AN54" t="n">
        <v>6.9</v>
      </c>
      <c r="AO54" t="n">
        <v>10.8</v>
      </c>
      <c r="AP54" t="n">
        <v>10.94</v>
      </c>
      <c r="AQ54" t="n">
        <v>10.66</v>
      </c>
      <c r="AR54" t="n">
        <v>13</v>
      </c>
      <c r="AS54" t="b">
        <v>1</v>
      </c>
      <c r="AT54" t="inlineStr">
        <is>
          <t>groundMinReach</t>
        </is>
      </c>
      <c r="AU54" t="b">
        <v>0</v>
      </c>
      <c r="AV54" t="inlineStr">
        <is>
          <t>daedalus</t>
        </is>
      </c>
      <c r="AW54" t="n">
        <v>13</v>
      </c>
      <c r="AX54" t="n">
        <v>42</v>
      </c>
      <c r="AY54" t="n">
        <v>3.23</v>
      </c>
      <c r="AZ54" t="n">
        <v>0</v>
      </c>
      <c r="BA54" t="inlineStr"/>
      <c r="BB54" t="n">
        <v>100</v>
      </c>
      <c r="BC54" t="b">
        <v>1</v>
      </c>
      <c r="BD54" t="inlineStr">
        <is>
          <t>Assets/MachineBrigade/Resources/Data/balance.json: vehicles[id=daedalus] x Resources/Models/daedalus.glb</t>
        </is>
      </c>
      <c r="BE54" t="inlineStr"/>
    </row>
    <row r="55">
      <c r="A55" t="inlineStr">
        <is>
          <t>drone_mothership/0</t>
        </is>
      </c>
      <c r="B55" t="inlineStr">
        <is>
          <t>drone_mothership</t>
        </is>
      </c>
      <c r="C55" t="inlineStr">
        <is>
          <t>p26_matriarch_tiny_mothership_cannon</t>
        </is>
      </c>
      <c r="D55" t="inlineStr">
        <is>
          <t>cannon_bow</t>
        </is>
      </c>
      <c r="E55" t="n">
        <v>0</v>
      </c>
      <c r="F55" t="inlineStr">
        <is>
          <t>main</t>
        </is>
      </c>
      <c r="G55" t="inlineStr"/>
      <c r="H55" t="inlineStr">
        <is>
          <t>phao_boss</t>
        </is>
      </c>
      <c r="I55" t="inlineStr">
        <is>
          <t>chinh</t>
        </is>
      </c>
      <c r="J55" t="inlineStr">
        <is>
          <t>Muzzle_main</t>
        </is>
      </c>
      <c r="K55" t="inlineStr">
        <is>
          <t>muzzle</t>
        </is>
      </c>
      <c r="L55" t="inlineStr">
        <is>
          <t>drone_mothership</t>
        </is>
      </c>
      <c r="M55" t="n">
        <v>1.9438</v>
      </c>
      <c r="N55" t="n">
        <v>1.6903</v>
      </c>
      <c r="O55" t="n">
        <v>18.36</v>
      </c>
      <c r="P55" t="n">
        <v>19.91</v>
      </c>
      <c r="Q55" t="n">
        <v>-1.55</v>
      </c>
      <c r="R55" t="n">
        <v>35.88</v>
      </c>
      <c r="S55" t="n">
        <v>26.36</v>
      </c>
      <c r="T55" t="inlineStr">
        <is>
          <t>Turret</t>
        </is>
      </c>
      <c r="U55" t="n">
        <v>20.99</v>
      </c>
      <c r="V55" t="n">
        <v>5.37</v>
      </c>
      <c r="W55" t="n">
        <v>15.2127</v>
      </c>
      <c r="X55" t="n">
        <v>26</v>
      </c>
      <c r="Y55" t="n">
        <v>65</v>
      </c>
      <c r="Z55" t="n">
        <v>5</v>
      </c>
      <c r="AA55" t="inlineStr"/>
      <c r="AB55" t="n">
        <v>360</v>
      </c>
      <c r="AC55" t="inlineStr">
        <is>
          <t>lop:may_bay</t>
        </is>
      </c>
      <c r="AD55" t="b">
        <v>0</v>
      </c>
      <c r="AE55" t="n">
        <v>11</v>
      </c>
      <c r="AF55" t="n">
        <v>0</v>
      </c>
      <c r="AG55" t="n">
        <v>11</v>
      </c>
      <c r="AH55" t="n">
        <v>45</v>
      </c>
      <c r="AI55" t="n">
        <v>150</v>
      </c>
      <c r="AJ55" t="n">
        <v>21.01</v>
      </c>
      <c r="AK55" t="inlineStr"/>
      <c r="AL55" t="n">
        <v>1.3</v>
      </c>
      <c r="AM55" t="inlineStr">
        <is>
          <t>ban_thang_may_bay</t>
        </is>
      </c>
      <c r="AN55" t="n">
        <v>7.96</v>
      </c>
      <c r="AO55" t="n">
        <v>13.32</v>
      </c>
      <c r="AP55" t="n">
        <v>13.46</v>
      </c>
      <c r="AQ55" t="n">
        <v>13.18</v>
      </c>
      <c r="AR55" t="n">
        <v>13</v>
      </c>
      <c r="AS55" t="b">
        <v>1</v>
      </c>
      <c r="AT55" t="inlineStr">
        <is>
          <t>groundMinReach</t>
        </is>
      </c>
      <c r="AU55" t="b">
        <v>0</v>
      </c>
      <c r="AV55" t="inlineStr">
        <is>
          <t>drone_mothership</t>
        </is>
      </c>
      <c r="AW55" t="n">
        <v>13</v>
      </c>
      <c r="AX55" t="n">
        <v>45</v>
      </c>
      <c r="AY55" t="n">
        <v>3.46</v>
      </c>
      <c r="AZ55" t="n">
        <v>13</v>
      </c>
      <c r="BA55" t="inlineStr">
        <is>
          <t>p26_matriarch_close_boss_flak;p26_matriarch_direct_ma_atgm;p26_matriarch_ma_drones;p26_matriarch_sec_autocannon_30</t>
        </is>
      </c>
      <c r="BB55" t="n">
        <v>100</v>
      </c>
      <c r="BC55" t="b">
        <v>1</v>
      </c>
      <c r="BD55" t="inlineStr">
        <is>
          <t>Assets/MachineBrigade/Resources/Data/balance.json: vehicles[id=drone_mothership] x Resources/Models/drone_mothership.glb</t>
        </is>
      </c>
      <c r="BE55" t="inlineStr"/>
    </row>
    <row r="56">
      <c r="A56" t="inlineStr">
        <is>
          <t>drone_mothership/1</t>
        </is>
      </c>
      <c r="B56" t="inlineStr">
        <is>
          <t>drone_mothership</t>
        </is>
      </c>
      <c r="C56" t="inlineStr">
        <is>
          <t>p26_matriarch_ma_drones</t>
        </is>
      </c>
      <c r="D56" t="inlineStr">
        <is>
          <t>drone_bay</t>
        </is>
      </c>
      <c r="E56" t="n">
        <v>1</v>
      </c>
      <c r="F56" t="inlineStr">
        <is>
          <t>missile</t>
        </is>
      </c>
      <c r="G56" t="inlineStr">
        <is>
          <t>Free</t>
        </is>
      </c>
      <c r="H56" t="inlineStr">
        <is>
          <t>drone</t>
        </is>
      </c>
      <c r="I56" t="inlineStr">
        <is>
          <t>dan_dan</t>
        </is>
      </c>
      <c r="J56" t="inlineStr">
        <is>
          <t>Muzzle_missile</t>
        </is>
      </c>
      <c r="K56" t="inlineStr">
        <is>
          <t>muzzle</t>
        </is>
      </c>
      <c r="L56" t="inlineStr">
        <is>
          <t>drone_mothership</t>
        </is>
      </c>
      <c r="M56" t="n">
        <v>1.9438</v>
      </c>
      <c r="N56" t="n">
        <v>1.6903</v>
      </c>
      <c r="O56" t="n">
        <v>17.02</v>
      </c>
      <c r="P56" t="n">
        <v>18.22</v>
      </c>
      <c r="Q56" t="n">
        <v>-1.21</v>
      </c>
      <c r="R56" t="n">
        <v>35.88</v>
      </c>
      <c r="S56" t="n">
        <v>4.47</v>
      </c>
      <c r="T56" t="inlineStr"/>
      <c r="U56" t="n">
        <v>4.47</v>
      </c>
      <c r="V56" t="n">
        <v>0</v>
      </c>
      <c r="W56" t="n">
        <v>15.2127</v>
      </c>
      <c r="X56" t="n">
        <v>26</v>
      </c>
      <c r="Y56" t="inlineStr"/>
      <c r="Z56" t="inlineStr"/>
      <c r="AA56" t="inlineStr"/>
      <c r="AB56" t="n">
        <v>360</v>
      </c>
      <c r="AC56" t="inlineStr">
        <is>
          <t>missileArmingM</t>
        </is>
      </c>
      <c r="AD56" t="b">
        <v>1</v>
      </c>
      <c r="AE56" t="n">
        <v>1</v>
      </c>
      <c r="AF56" t="n">
        <v>0</v>
      </c>
      <c r="AG56" t="n">
        <v>1</v>
      </c>
      <c r="AH56" t="n">
        <v>70</v>
      </c>
      <c r="AI56" t="n">
        <v>28</v>
      </c>
      <c r="AJ56" t="n">
        <v>26.2</v>
      </c>
      <c r="AK56" t="n">
        <v>1</v>
      </c>
      <c r="AL56" t="n">
        <v>1.3</v>
      </c>
      <c r="AM56" t="inlineStr">
        <is>
          <t>max(vu_trang, khoa)</t>
        </is>
      </c>
      <c r="AN56" t="n">
        <v>1</v>
      </c>
      <c r="AO56" t="n">
        <v>1</v>
      </c>
      <c r="AP56" t="n">
        <v>1</v>
      </c>
      <c r="AQ56" t="n">
        <v>1</v>
      </c>
      <c r="AR56" t="n">
        <v>1</v>
      </c>
      <c r="AS56" t="b">
        <v>1</v>
      </c>
      <c r="AT56" t="inlineStr">
        <is>
          <t>groundMinReach</t>
        </is>
      </c>
      <c r="AU56" t="b">
        <v>0</v>
      </c>
      <c r="AV56" t="inlineStr">
        <is>
          <t>drone_mothership</t>
        </is>
      </c>
      <c r="AW56" t="n">
        <v>1</v>
      </c>
      <c r="AX56" t="n">
        <v>70</v>
      </c>
      <c r="AY56" t="n">
        <v>70</v>
      </c>
      <c r="AZ56" t="n">
        <v>13</v>
      </c>
      <c r="BA56" t="inlineStr">
        <is>
          <t>p26_matriarch_close_boss_flak;p26_matriarch_direct_ma_atgm;p26_matriarch_ma_drones;p26_matriarch_sec_autocannon_30</t>
        </is>
      </c>
      <c r="BB56" t="n">
        <v>100</v>
      </c>
      <c r="BC56" t="b">
        <v>1</v>
      </c>
      <c r="BD56" t="inlineStr">
        <is>
          <t>Assets/MachineBrigade/Resources/Data/balance.json: vehicles[id=drone_mothership] x Resources/Models/drone_mothership.glb</t>
        </is>
      </c>
      <c r="BE56" t="inlineStr"/>
    </row>
    <row r="57">
      <c r="A57" t="inlineStr">
        <is>
          <t>drone_mothership/2</t>
        </is>
      </c>
      <c r="B57" t="inlineStr">
        <is>
          <t>drone_mothership</t>
        </is>
      </c>
      <c r="C57" t="inlineStr">
        <is>
          <t>p26_matriarch_close_boss_flak</t>
        </is>
      </c>
      <c r="D57" t="inlineStr">
        <is>
          <t>flak_top</t>
        </is>
      </c>
      <c r="E57" t="n">
        <v>2</v>
      </c>
      <c r="F57" t="inlineStr">
        <is>
          <t>mg</t>
        </is>
      </c>
      <c r="G57" t="inlineStr">
        <is>
          <t>Free</t>
        </is>
      </c>
      <c r="H57" t="inlineStr">
        <is>
          <t>phao_nho_ciws</t>
        </is>
      </c>
      <c r="I57" t="inlineStr">
        <is>
          <t>phong_thu_gan</t>
        </is>
      </c>
      <c r="J57" t="inlineStr">
        <is>
          <t>Muzzle_mg</t>
        </is>
      </c>
      <c r="K57" t="inlineStr">
        <is>
          <t>muzzle</t>
        </is>
      </c>
      <c r="L57" t="inlineStr">
        <is>
          <t>drone_mothership</t>
        </is>
      </c>
      <c r="M57" t="n">
        <v>1.9438</v>
      </c>
      <c r="N57" t="n">
        <v>1.6903</v>
      </c>
      <c r="O57" t="n">
        <v>34.81</v>
      </c>
      <c r="P57" t="n">
        <v>32.93</v>
      </c>
      <c r="Q57" t="n">
        <v>1.88</v>
      </c>
      <c r="R57" t="n">
        <v>35.88</v>
      </c>
      <c r="S57" t="n">
        <v>14.29</v>
      </c>
      <c r="T57" t="inlineStr">
        <is>
          <t>Mount_mg</t>
        </is>
      </c>
      <c r="U57" t="n">
        <v>9.33</v>
      </c>
      <c r="V57" t="n">
        <v>4.96</v>
      </c>
      <c r="W57" t="n">
        <v>15.2127</v>
      </c>
      <c r="X57" t="n">
        <v>26</v>
      </c>
      <c r="Y57" t="n">
        <v>65</v>
      </c>
      <c r="Z57" t="n">
        <v>5</v>
      </c>
      <c r="AA57" t="inlineStr"/>
      <c r="AB57" t="n">
        <v>360</v>
      </c>
      <c r="AC57" t="inlineStr">
        <is>
          <t>lop:may_bay</t>
        </is>
      </c>
      <c r="AD57" t="b">
        <v>0</v>
      </c>
      <c r="AE57" t="n">
        <v>0</v>
      </c>
      <c r="AF57" t="n">
        <v>0</v>
      </c>
      <c r="AG57" t="n">
        <v>0</v>
      </c>
      <c r="AH57" t="n">
        <v>40</v>
      </c>
      <c r="AI57" t="n">
        <v>260</v>
      </c>
      <c r="AJ57" t="n">
        <v>19.81</v>
      </c>
      <c r="AK57" t="inlineStr"/>
      <c r="AL57" t="n">
        <v>1.3</v>
      </c>
      <c r="AM57" t="inlineStr">
        <is>
          <t>ban_thang_may_bay</t>
        </is>
      </c>
      <c r="AN57" t="n">
        <v>15.62</v>
      </c>
      <c r="AO57" t="n">
        <v>20.58</v>
      </c>
      <c r="AP57" t="n">
        <v>20.72</v>
      </c>
      <c r="AQ57" t="n">
        <v>20.44</v>
      </c>
      <c r="AR57" t="n">
        <v>0</v>
      </c>
      <c r="AS57" t="b">
        <v>0</v>
      </c>
      <c r="AT57" t="inlineStr">
        <is>
          <t>khong_ap:phong_thu_gan</t>
        </is>
      </c>
      <c r="AU57" t="b">
        <v>0</v>
      </c>
      <c r="AV57" t="inlineStr"/>
      <c r="AW57" t="n">
        <v>0</v>
      </c>
      <c r="AX57" t="n">
        <v>40</v>
      </c>
      <c r="AY57" t="inlineStr"/>
      <c r="AZ57" t="n">
        <v>13</v>
      </c>
      <c r="BA57" t="inlineStr">
        <is>
          <t>p26_matriarch_close_boss_flak;p26_matriarch_direct_ma_atgm;p26_matriarch_ma_drones;p26_matriarch_sec_autocannon_30</t>
        </is>
      </c>
      <c r="BB57" t="n">
        <v>100</v>
      </c>
      <c r="BC57" t="b">
        <v>1</v>
      </c>
      <c r="BD57" t="inlineStr">
        <is>
          <t>Assets/MachineBrigade/Resources/Data/balance.json: vehicles[id=drone_mothership] x Resources/Models/drone_mothership.glb</t>
        </is>
      </c>
      <c r="BE57" t="inlineStr"/>
    </row>
    <row r="58">
      <c r="A58" t="inlineStr">
        <is>
          <t>drone_mothership/3</t>
        </is>
      </c>
      <c r="B58" t="inlineStr">
        <is>
          <t>drone_mothership</t>
        </is>
      </c>
      <c r="C58" t="inlineStr">
        <is>
          <t>p26_matriarch_close_boss_flak</t>
        </is>
      </c>
      <c r="D58" t="inlineStr">
        <is>
          <t>flak_rear</t>
        </is>
      </c>
      <c r="E58" t="n">
        <v>3</v>
      </c>
      <c r="F58" t="inlineStr">
        <is>
          <t>mg</t>
        </is>
      </c>
      <c r="G58" t="inlineStr">
        <is>
          <t>Free</t>
        </is>
      </c>
      <c r="H58" t="inlineStr">
        <is>
          <t>phao_nho_ciws</t>
        </is>
      </c>
      <c r="I58" t="inlineStr">
        <is>
          <t>phong_thu_gan</t>
        </is>
      </c>
      <c r="J58" t="inlineStr">
        <is>
          <t>Muzzle_mg.001</t>
        </is>
      </c>
      <c r="K58" t="inlineStr">
        <is>
          <t>muzzle</t>
        </is>
      </c>
      <c r="L58" t="inlineStr">
        <is>
          <t>drone_mothership</t>
        </is>
      </c>
      <c r="M58" t="n">
        <v>1.9438</v>
      </c>
      <c r="N58" t="n">
        <v>1.6903</v>
      </c>
      <c r="O58" t="n">
        <v>34.44</v>
      </c>
      <c r="P58" t="n">
        <v>32.59</v>
      </c>
      <c r="Q58" t="n">
        <v>1.84</v>
      </c>
      <c r="R58" t="n">
        <v>35.88</v>
      </c>
      <c r="S58" t="n">
        <v>1.65</v>
      </c>
      <c r="T58" t="inlineStr">
        <is>
          <t>Mount_mg.001</t>
        </is>
      </c>
      <c r="U58" t="n">
        <v>6.61</v>
      </c>
      <c r="V58" t="n">
        <v>4.96</v>
      </c>
      <c r="W58" t="n">
        <v>15.2127</v>
      </c>
      <c r="X58" t="n">
        <v>26</v>
      </c>
      <c r="Y58" t="n">
        <v>65</v>
      </c>
      <c r="Z58" t="n">
        <v>5</v>
      </c>
      <c r="AA58" t="inlineStr"/>
      <c r="AB58" t="n">
        <v>360</v>
      </c>
      <c r="AC58" t="inlineStr">
        <is>
          <t>lop:may_bay</t>
        </is>
      </c>
      <c r="AD58" t="b">
        <v>0</v>
      </c>
      <c r="AE58" t="n">
        <v>0</v>
      </c>
      <c r="AF58" t="n">
        <v>0</v>
      </c>
      <c r="AG58" t="n">
        <v>0</v>
      </c>
      <c r="AH58" t="n">
        <v>40</v>
      </c>
      <c r="AI58" t="n">
        <v>260</v>
      </c>
      <c r="AJ58" t="n">
        <v>19.81</v>
      </c>
      <c r="AK58" t="inlineStr"/>
      <c r="AL58" t="n">
        <v>1.3</v>
      </c>
      <c r="AM58" t="inlineStr">
        <is>
          <t>ban_thang_may_bay</t>
        </is>
      </c>
      <c r="AN58" t="n">
        <v>15.45</v>
      </c>
      <c r="AO58" t="n">
        <v>20.41</v>
      </c>
      <c r="AP58" t="n">
        <v>20.55</v>
      </c>
      <c r="AQ58" t="n">
        <v>20.27</v>
      </c>
      <c r="AR58" t="n">
        <v>0</v>
      </c>
      <c r="AS58" t="b">
        <v>0</v>
      </c>
      <c r="AT58" t="inlineStr">
        <is>
          <t>khong_ap:phong_thu_gan</t>
        </is>
      </c>
      <c r="AU58" t="b">
        <v>0</v>
      </c>
      <c r="AV58" t="inlineStr"/>
      <c r="AW58" t="n">
        <v>0</v>
      </c>
      <c r="AX58" t="n">
        <v>40</v>
      </c>
      <c r="AY58" t="inlineStr"/>
      <c r="AZ58" t="n">
        <v>13</v>
      </c>
      <c r="BA58" t="inlineStr">
        <is>
          <t>p26_matriarch_close_boss_flak;p26_matriarch_direct_ma_atgm;p26_matriarch_ma_drones;p26_matriarch_sec_autocannon_30</t>
        </is>
      </c>
      <c r="BB58" t="n">
        <v>100</v>
      </c>
      <c r="BC58" t="b">
        <v>1</v>
      </c>
      <c r="BD58" t="inlineStr">
        <is>
          <t>Assets/MachineBrigade/Resources/Data/balance.json: vehicles[id=drone_mothership] x Resources/Models/drone_mothership.glb</t>
        </is>
      </c>
      <c r="BE58" t="inlineStr"/>
    </row>
    <row r="59">
      <c r="A59" t="inlineStr">
        <is>
          <t>drone_mothership/4</t>
        </is>
      </c>
      <c r="B59" t="inlineStr">
        <is>
          <t>drone_mothership</t>
        </is>
      </c>
      <c r="C59" t="inlineStr">
        <is>
          <t>p26_matriarch_tiny_mothership_cannon</t>
        </is>
      </c>
      <c r="D59" t="inlineStr">
        <is>
          <t>cannon_gondola</t>
        </is>
      </c>
      <c r="E59" t="n">
        <v>4</v>
      </c>
      <c r="F59" t="inlineStr">
        <is>
          <t>main</t>
        </is>
      </c>
      <c r="G59" t="inlineStr">
        <is>
          <t>Free</t>
        </is>
      </c>
      <c r="H59" t="inlineStr">
        <is>
          <t>sung_phu</t>
        </is>
      </c>
      <c r="I59" t="inlineStr">
        <is>
          <t>chinh</t>
        </is>
      </c>
      <c r="J59" t="inlineStr">
        <is>
          <t>Muzzle_main.001</t>
        </is>
      </c>
      <c r="K59" t="inlineStr">
        <is>
          <t>muzzle</t>
        </is>
      </c>
      <c r="L59" t="inlineStr">
        <is>
          <t>drone_mothership</t>
        </is>
      </c>
      <c r="M59" t="n">
        <v>1.9438</v>
      </c>
      <c r="N59" t="n">
        <v>1.6903</v>
      </c>
      <c r="O59" t="n">
        <v>14.96</v>
      </c>
      <c r="P59" t="n">
        <v>16.87</v>
      </c>
      <c r="Q59" t="n">
        <v>-1.91</v>
      </c>
      <c r="R59" t="n">
        <v>35.88</v>
      </c>
      <c r="S59" t="n">
        <v>8.59</v>
      </c>
      <c r="T59" t="inlineStr">
        <is>
          <t>Mount_main.001</t>
        </is>
      </c>
      <c r="U59" t="n">
        <v>4.28</v>
      </c>
      <c r="V59" t="n">
        <v>4.32</v>
      </c>
      <c r="W59" t="n">
        <v>15.2127</v>
      </c>
      <c r="X59" t="n">
        <v>26</v>
      </c>
      <c r="Y59" t="n">
        <v>65</v>
      </c>
      <c r="Z59" t="n">
        <v>5</v>
      </c>
      <c r="AA59" t="inlineStr"/>
      <c r="AB59" t="n">
        <v>360</v>
      </c>
      <c r="AC59" t="inlineStr">
        <is>
          <t>lop:may_bay</t>
        </is>
      </c>
      <c r="AD59" t="b">
        <v>0</v>
      </c>
      <c r="AE59" t="n">
        <v>11</v>
      </c>
      <c r="AF59" t="n">
        <v>0</v>
      </c>
      <c r="AG59" t="n">
        <v>11</v>
      </c>
      <c r="AH59" t="n">
        <v>45</v>
      </c>
      <c r="AI59" t="n">
        <v>150</v>
      </c>
      <c r="AJ59" t="n">
        <v>21.01</v>
      </c>
      <c r="AK59" t="inlineStr"/>
      <c r="AL59" t="n">
        <v>1.3</v>
      </c>
      <c r="AM59" t="inlineStr">
        <is>
          <t>ban_thang_may_bay</t>
        </is>
      </c>
      <c r="AN59" t="n">
        <v>6.37</v>
      </c>
      <c r="AO59" t="n">
        <v>10.68</v>
      </c>
      <c r="AP59" t="n">
        <v>10.82</v>
      </c>
      <c r="AQ59" t="n">
        <v>10.54</v>
      </c>
      <c r="AR59" t="n">
        <v>11</v>
      </c>
      <c r="AS59" t="b">
        <v>1</v>
      </c>
      <c r="AT59" t="inlineStr">
        <is>
          <t>groundMinReach</t>
        </is>
      </c>
      <c r="AU59" t="b">
        <v>0</v>
      </c>
      <c r="AV59" t="inlineStr">
        <is>
          <t>drone_mothership</t>
        </is>
      </c>
      <c r="AW59" t="n">
        <v>13</v>
      </c>
      <c r="AX59" t="n">
        <v>45</v>
      </c>
      <c r="AY59" t="n">
        <v>3.46</v>
      </c>
      <c r="AZ59" t="n">
        <v>13</v>
      </c>
      <c r="BA59" t="inlineStr">
        <is>
          <t>p26_matriarch_close_boss_flak;p26_matriarch_direct_ma_atgm;p26_matriarch_ma_drones;p26_matriarch_sec_autocannon_30</t>
        </is>
      </c>
      <c r="BB59" t="n">
        <v>100</v>
      </c>
      <c r="BC59" t="b">
        <v>1</v>
      </c>
      <c r="BD59" t="inlineStr">
        <is>
          <t>Assets/MachineBrigade/Resources/Data/balance.json: vehicles[id=drone_mothership] x Resources/Models/drone_mothership.glb</t>
        </is>
      </c>
      <c r="BE59" t="inlineStr"/>
    </row>
    <row r="60">
      <c r="A60" t="inlineStr">
        <is>
          <t>drone_mothership/5</t>
        </is>
      </c>
      <c r="B60" t="inlineStr">
        <is>
          <t>drone_mothership</t>
        </is>
      </c>
      <c r="C60" t="inlineStr">
        <is>
          <t>p26_matriarch_direct_ma_atgm</t>
        </is>
      </c>
      <c r="D60" t="inlineStr">
        <is>
          <t>uav_bay</t>
        </is>
      </c>
      <c r="E60" t="n">
        <v>5</v>
      </c>
      <c r="F60" t="inlineStr">
        <is>
          <t>missile</t>
        </is>
      </c>
      <c r="G60" t="inlineStr">
        <is>
          <t>Free</t>
        </is>
      </c>
      <c r="H60" t="inlineStr">
        <is>
          <t>ten_lua</t>
        </is>
      </c>
      <c r="I60" t="inlineStr">
        <is>
          <t>dan_dan</t>
        </is>
      </c>
      <c r="J60" t="inlineStr">
        <is>
          <t>Muzzle_missile.001</t>
        </is>
      </c>
      <c r="K60" t="inlineStr">
        <is>
          <t>muzzle</t>
        </is>
      </c>
      <c r="L60" t="inlineStr">
        <is>
          <t>drone_mothership</t>
        </is>
      </c>
      <c r="M60" t="n">
        <v>1.9438</v>
      </c>
      <c r="N60" t="n">
        <v>1.6903</v>
      </c>
      <c r="O60" t="n">
        <v>16.86</v>
      </c>
      <c r="P60" t="n">
        <v>20.08</v>
      </c>
      <c r="Q60" t="n">
        <v>-3.22</v>
      </c>
      <c r="R60" t="n">
        <v>35.88</v>
      </c>
      <c r="S60" t="n">
        <v>11.66</v>
      </c>
      <c r="T60" t="inlineStr">
        <is>
          <t>Mount_missile.001</t>
        </is>
      </c>
      <c r="U60" t="n">
        <v>11.66</v>
      </c>
      <c r="V60" t="n">
        <v>0</v>
      </c>
      <c r="W60" t="n">
        <v>15.2127</v>
      </c>
      <c r="X60" t="n">
        <v>26</v>
      </c>
      <c r="Y60" t="inlineStr"/>
      <c r="Z60" t="inlineStr"/>
      <c r="AA60" t="inlineStr"/>
      <c r="AB60" t="n">
        <v>360</v>
      </c>
      <c r="AC60" t="inlineStr">
        <is>
          <t>missileArmingM</t>
        </is>
      </c>
      <c r="AD60" t="b">
        <v>1</v>
      </c>
      <c r="AE60" t="n">
        <v>1</v>
      </c>
      <c r="AF60" t="n">
        <v>0</v>
      </c>
      <c r="AG60" t="n">
        <v>1</v>
      </c>
      <c r="AH60" t="n">
        <v>55</v>
      </c>
      <c r="AI60" t="n">
        <v>80</v>
      </c>
      <c r="AJ60" t="n">
        <v>23.23</v>
      </c>
      <c r="AK60" t="n">
        <v>1</v>
      </c>
      <c r="AL60" t="n">
        <v>1.3</v>
      </c>
      <c r="AM60" t="inlineStr">
        <is>
          <t>max(vu_trang, khoa)</t>
        </is>
      </c>
      <c r="AN60" t="n">
        <v>1</v>
      </c>
      <c r="AO60" t="n">
        <v>1</v>
      </c>
      <c r="AP60" t="n">
        <v>1</v>
      </c>
      <c r="AQ60" t="n">
        <v>1</v>
      </c>
      <c r="AR60" t="n">
        <v>1</v>
      </c>
      <c r="AS60" t="b">
        <v>1</v>
      </c>
      <c r="AT60" t="inlineStr">
        <is>
          <t>groundMinReach</t>
        </is>
      </c>
      <c r="AU60" t="b">
        <v>0</v>
      </c>
      <c r="AV60" t="inlineStr">
        <is>
          <t>drone_mothership</t>
        </is>
      </c>
      <c r="AW60" t="n">
        <v>1</v>
      </c>
      <c r="AX60" t="n">
        <v>55</v>
      </c>
      <c r="AY60" t="n">
        <v>55</v>
      </c>
      <c r="AZ60" t="n">
        <v>13</v>
      </c>
      <c r="BA60" t="inlineStr">
        <is>
          <t>p26_matriarch_close_boss_flak;p26_matriarch_direct_ma_atgm;p26_matriarch_ma_drones;p26_matriarch_sec_autocannon_30</t>
        </is>
      </c>
      <c r="BB60" t="n">
        <v>100</v>
      </c>
      <c r="BC60" t="b">
        <v>1</v>
      </c>
      <c r="BD60" t="inlineStr">
        <is>
          <t>Assets/MachineBrigade/Resources/Data/balance.json: vehicles[id=drone_mothership] x Resources/Models/drone_mothership.glb</t>
        </is>
      </c>
      <c r="BE60" t="inlineStr"/>
    </row>
    <row r="61">
      <c r="A61" t="inlineStr">
        <is>
          <t>drone_mothership/6</t>
        </is>
      </c>
      <c r="B61" t="inlineStr">
        <is>
          <t>drone_mothership</t>
        </is>
      </c>
      <c r="C61" t="inlineStr">
        <is>
          <t>p26_matriarch_sec_autocannon_30</t>
        </is>
      </c>
      <c r="D61" t="inlineStr">
        <is>
          <t>belly_gun_l</t>
        </is>
      </c>
      <c r="E61" t="n">
        <v>6</v>
      </c>
      <c r="F61" t="inlineStr">
        <is>
          <t>gun</t>
        </is>
      </c>
      <c r="G61" t="inlineStr">
        <is>
          <t>Free</t>
        </is>
      </c>
      <c r="H61" t="inlineStr">
        <is>
          <t>phao_nho_ciws</t>
        </is>
      </c>
      <c r="I61" t="inlineStr">
        <is>
          <t>phong_thu_gan</t>
        </is>
      </c>
      <c r="J61" t="inlineStr">
        <is>
          <t>Muzzle_gun</t>
        </is>
      </c>
      <c r="K61" t="inlineStr">
        <is>
          <t>muzzle</t>
        </is>
      </c>
      <c r="L61" t="inlineStr">
        <is>
          <t>drone_mothership</t>
        </is>
      </c>
      <c r="M61" t="n">
        <v>1.9438</v>
      </c>
      <c r="N61" t="n">
        <v>1.6903</v>
      </c>
      <c r="O61" t="n">
        <v>15.02</v>
      </c>
      <c r="P61" t="n">
        <v>16.2</v>
      </c>
      <c r="Q61" t="n">
        <v>-1.18</v>
      </c>
      <c r="R61" t="n">
        <v>35.88</v>
      </c>
      <c r="S61" t="n">
        <v>17.44</v>
      </c>
      <c r="T61" t="inlineStr">
        <is>
          <t>Mount_gun</t>
        </is>
      </c>
      <c r="U61" t="n">
        <v>12.42</v>
      </c>
      <c r="V61" t="n">
        <v>5.25</v>
      </c>
      <c r="W61" t="n">
        <v>15.2127</v>
      </c>
      <c r="X61" t="n">
        <v>26</v>
      </c>
      <c r="Y61" t="n">
        <v>65</v>
      </c>
      <c r="Z61" t="n">
        <v>5</v>
      </c>
      <c r="AA61" t="inlineStr"/>
      <c r="AB61" t="n">
        <v>360</v>
      </c>
      <c r="AC61" t="inlineStr">
        <is>
          <t>lop:may_bay</t>
        </is>
      </c>
      <c r="AD61" t="b">
        <v>0</v>
      </c>
      <c r="AE61" t="n">
        <v>0</v>
      </c>
      <c r="AF61" t="n">
        <v>0</v>
      </c>
      <c r="AG61" t="n">
        <v>0</v>
      </c>
      <c r="AH61" t="n">
        <v>30</v>
      </c>
      <c r="AI61" t="n">
        <v>200</v>
      </c>
      <c r="AJ61" t="n">
        <v>17.16</v>
      </c>
      <c r="AK61" t="inlineStr"/>
      <c r="AL61" t="n">
        <v>1.3</v>
      </c>
      <c r="AM61" t="inlineStr">
        <is>
          <t>ban_thang_may_bay</t>
        </is>
      </c>
      <c r="AN61" t="n">
        <v>6.4</v>
      </c>
      <c r="AO61" t="n">
        <v>11.64</v>
      </c>
      <c r="AP61" t="n">
        <v>11.78</v>
      </c>
      <c r="AQ61" t="n">
        <v>11.5</v>
      </c>
      <c r="AR61" t="n">
        <v>0</v>
      </c>
      <c r="AS61" t="b">
        <v>0</v>
      </c>
      <c r="AT61" t="inlineStr">
        <is>
          <t>khong_ap:phong_thu_gan</t>
        </is>
      </c>
      <c r="AU61" t="b">
        <v>0</v>
      </c>
      <c r="AV61" t="inlineStr"/>
      <c r="AW61" t="n">
        <v>0</v>
      </c>
      <c r="AX61" t="n">
        <v>30</v>
      </c>
      <c r="AY61" t="inlineStr"/>
      <c r="AZ61" t="n">
        <v>13</v>
      </c>
      <c r="BA61" t="inlineStr">
        <is>
          <t>p26_matriarch_close_boss_flak;p26_matriarch_direct_ma_atgm;p26_matriarch_ma_drones;p26_matriarch_sec_autocannon_30</t>
        </is>
      </c>
      <c r="BB61" t="n">
        <v>100</v>
      </c>
      <c r="BC61" t="b">
        <v>1</v>
      </c>
      <c r="BD61" t="inlineStr">
        <is>
          <t>Assets/MachineBrigade/Resources/Data/balance.json: vehicles[id=drone_mothership] x Resources/Models/drone_mothership.glb</t>
        </is>
      </c>
      <c r="BE61" t="inlineStr"/>
    </row>
    <row r="62">
      <c r="A62" t="inlineStr">
        <is>
          <t>drone_mothership/7</t>
        </is>
      </c>
      <c r="B62" t="inlineStr">
        <is>
          <t>drone_mothership</t>
        </is>
      </c>
      <c r="C62" t="inlineStr">
        <is>
          <t>p26_matriarch_sec_autocannon_30</t>
        </is>
      </c>
      <c r="D62" t="inlineStr">
        <is>
          <t>belly_gun_r</t>
        </is>
      </c>
      <c r="E62" t="n">
        <v>7</v>
      </c>
      <c r="F62" t="inlineStr">
        <is>
          <t>gun</t>
        </is>
      </c>
      <c r="G62" t="inlineStr">
        <is>
          <t>Free</t>
        </is>
      </c>
      <c r="H62" t="inlineStr">
        <is>
          <t>phao_nho_ciws</t>
        </is>
      </c>
      <c r="I62" t="inlineStr">
        <is>
          <t>phong_thu_gan</t>
        </is>
      </c>
      <c r="J62" t="inlineStr">
        <is>
          <t>Muzzle_gun.001</t>
        </is>
      </c>
      <c r="K62" t="inlineStr">
        <is>
          <t>muzzle</t>
        </is>
      </c>
      <c r="L62" t="inlineStr">
        <is>
          <t>drone_mothership</t>
        </is>
      </c>
      <c r="M62" t="n">
        <v>1.9438</v>
      </c>
      <c r="N62" t="n">
        <v>1.6903</v>
      </c>
      <c r="O62" t="n">
        <v>15.02</v>
      </c>
      <c r="P62" t="n">
        <v>16.2</v>
      </c>
      <c r="Q62" t="n">
        <v>-1.18</v>
      </c>
      <c r="R62" t="n">
        <v>35.88</v>
      </c>
      <c r="S62" t="n">
        <v>17.44</v>
      </c>
      <c r="T62" t="inlineStr">
        <is>
          <t>Mount_gun.001</t>
        </is>
      </c>
      <c r="U62" t="n">
        <v>12.42</v>
      </c>
      <c r="V62" t="n">
        <v>5.25</v>
      </c>
      <c r="W62" t="n">
        <v>15.2127</v>
      </c>
      <c r="X62" t="n">
        <v>26</v>
      </c>
      <c r="Y62" t="n">
        <v>65</v>
      </c>
      <c r="Z62" t="n">
        <v>5</v>
      </c>
      <c r="AA62" t="inlineStr"/>
      <c r="AB62" t="n">
        <v>360</v>
      </c>
      <c r="AC62" t="inlineStr">
        <is>
          <t>lop:may_bay</t>
        </is>
      </c>
      <c r="AD62" t="b">
        <v>0</v>
      </c>
      <c r="AE62" t="n">
        <v>0</v>
      </c>
      <c r="AF62" t="n">
        <v>0</v>
      </c>
      <c r="AG62" t="n">
        <v>0</v>
      </c>
      <c r="AH62" t="n">
        <v>30</v>
      </c>
      <c r="AI62" t="n">
        <v>200</v>
      </c>
      <c r="AJ62" t="n">
        <v>17.16</v>
      </c>
      <c r="AK62" t="inlineStr"/>
      <c r="AL62" t="n">
        <v>1.3</v>
      </c>
      <c r="AM62" t="inlineStr">
        <is>
          <t>ban_thang_may_bay</t>
        </is>
      </c>
      <c r="AN62" t="n">
        <v>6.4</v>
      </c>
      <c r="AO62" t="n">
        <v>11.64</v>
      </c>
      <c r="AP62" t="n">
        <v>11.78</v>
      </c>
      <c r="AQ62" t="n">
        <v>11.5</v>
      </c>
      <c r="AR62" t="n">
        <v>0</v>
      </c>
      <c r="AS62" t="b">
        <v>0</v>
      </c>
      <c r="AT62" t="inlineStr">
        <is>
          <t>khong_ap:phong_thu_gan</t>
        </is>
      </c>
      <c r="AU62" t="b">
        <v>0</v>
      </c>
      <c r="AV62" t="inlineStr"/>
      <c r="AW62" t="n">
        <v>0</v>
      </c>
      <c r="AX62" t="n">
        <v>30</v>
      </c>
      <c r="AY62" t="inlineStr"/>
      <c r="AZ62" t="n">
        <v>13</v>
      </c>
      <c r="BA62" t="inlineStr">
        <is>
          <t>p26_matriarch_close_boss_flak;p26_matriarch_direct_ma_atgm;p26_matriarch_ma_drones;p26_matriarch_sec_autocannon_30</t>
        </is>
      </c>
      <c r="BB62" t="n">
        <v>100</v>
      </c>
      <c r="BC62" t="b">
        <v>1</v>
      </c>
      <c r="BD62" t="inlineStr">
        <is>
          <t>Assets/MachineBrigade/Resources/Data/balance.json: vehicles[id=drone_mothership] x Resources/Models/drone_mothership.glb</t>
        </is>
      </c>
      <c r="BE62" t="inlineStr"/>
    </row>
    <row r="63">
      <c r="A63" t="inlineStr">
        <is>
          <t>drone_mothership/8</t>
        </is>
      </c>
      <c r="B63" t="inlineStr">
        <is>
          <t>drone_mothership</t>
        </is>
      </c>
      <c r="C63" t="inlineStr">
        <is>
          <t>p26_matriarch_direct_ma_atgm</t>
        </is>
      </c>
      <c r="D63" t="inlineStr">
        <is>
          <t>drone_bay_2</t>
        </is>
      </c>
      <c r="E63" t="n">
        <v>8</v>
      </c>
      <c r="F63" t="inlineStr">
        <is>
          <t>missile</t>
        </is>
      </c>
      <c r="G63" t="inlineStr">
        <is>
          <t>Free</t>
        </is>
      </c>
      <c r="H63" t="inlineStr">
        <is>
          <t>ten_lua</t>
        </is>
      </c>
      <c r="I63" t="inlineStr">
        <is>
          <t>dan_dan</t>
        </is>
      </c>
      <c r="J63" t="inlineStr">
        <is>
          <t>Muzzle_missile</t>
        </is>
      </c>
      <c r="K63" t="inlineStr">
        <is>
          <t>muzzle</t>
        </is>
      </c>
      <c r="L63" t="inlineStr">
        <is>
          <t>drone_mothership</t>
        </is>
      </c>
      <c r="M63" t="n">
        <v>1.9438</v>
      </c>
      <c r="N63" t="n">
        <v>1.6903</v>
      </c>
      <c r="O63" t="n">
        <v>17.02</v>
      </c>
      <c r="P63" t="n">
        <v>18.56</v>
      </c>
      <c r="Q63" t="n">
        <v>-1.54</v>
      </c>
      <c r="R63" t="n">
        <v>35.88</v>
      </c>
      <c r="S63" t="n">
        <v>4.47</v>
      </c>
      <c r="T63" t="inlineStr"/>
      <c r="U63" t="n">
        <v>4.47</v>
      </c>
      <c r="V63" t="n">
        <v>0</v>
      </c>
      <c r="W63" t="n">
        <v>15.2127</v>
      </c>
      <c r="X63" t="n">
        <v>26</v>
      </c>
      <c r="Y63" t="inlineStr"/>
      <c r="Z63" t="inlineStr"/>
      <c r="AA63" t="inlineStr"/>
      <c r="AB63" t="n">
        <v>360</v>
      </c>
      <c r="AC63" t="inlineStr">
        <is>
          <t>missileArmingM</t>
        </is>
      </c>
      <c r="AD63" t="b">
        <v>1</v>
      </c>
      <c r="AE63" t="n">
        <v>1</v>
      </c>
      <c r="AF63" t="n">
        <v>0</v>
      </c>
      <c r="AG63" t="n">
        <v>1</v>
      </c>
      <c r="AH63" t="n">
        <v>55</v>
      </c>
      <c r="AI63" t="n">
        <v>80</v>
      </c>
      <c r="AJ63" t="n">
        <v>23.23</v>
      </c>
      <c r="AK63" t="n">
        <v>1</v>
      </c>
      <c r="AL63" t="n">
        <v>1.3</v>
      </c>
      <c r="AM63" t="inlineStr">
        <is>
          <t>max(vu_trang, khoa)</t>
        </is>
      </c>
      <c r="AN63" t="n">
        <v>1</v>
      </c>
      <c r="AO63" t="n">
        <v>1</v>
      </c>
      <c r="AP63" t="n">
        <v>1</v>
      </c>
      <c r="AQ63" t="n">
        <v>1</v>
      </c>
      <c r="AR63" t="n">
        <v>1</v>
      </c>
      <c r="AS63" t="b">
        <v>1</v>
      </c>
      <c r="AT63" t="inlineStr">
        <is>
          <t>groundMinReach</t>
        </is>
      </c>
      <c r="AU63" t="b">
        <v>0</v>
      </c>
      <c r="AV63" t="inlineStr">
        <is>
          <t>drone_mothership</t>
        </is>
      </c>
      <c r="AW63" t="n">
        <v>1</v>
      </c>
      <c r="AX63" t="n">
        <v>55</v>
      </c>
      <c r="AY63" t="n">
        <v>55</v>
      </c>
      <c r="AZ63" t="n">
        <v>13</v>
      </c>
      <c r="BA63" t="inlineStr">
        <is>
          <t>p26_matriarch_close_boss_flak;p26_matriarch_direct_ma_atgm;p26_matriarch_ma_drones;p26_matriarch_sec_autocannon_30</t>
        </is>
      </c>
      <c r="BB63" t="n">
        <v>100</v>
      </c>
      <c r="BC63" t="b">
        <v>1</v>
      </c>
      <c r="BD63" t="inlineStr">
        <is>
          <t>Assets/MachineBrigade/Resources/Data/balance.json: vehicles[id=drone_mothership] x Resources/Models/drone_mothership.glb</t>
        </is>
      </c>
      <c r="BE63" t="inlineStr"/>
    </row>
    <row r="64">
      <c r="A64" t="inlineStr">
        <is>
          <t>earth_borer/0</t>
        </is>
      </c>
      <c r="B64" t="inlineStr">
        <is>
          <t>earth_borer</t>
        </is>
      </c>
      <c r="C64" t="inlineStr">
        <is>
          <t>borer_drill</t>
        </is>
      </c>
      <c r="D64" t="inlineStr">
        <is>
          <t>drill</t>
        </is>
      </c>
      <c r="E64" t="n">
        <v>0</v>
      </c>
      <c r="F64" t="inlineStr">
        <is>
          <t>main</t>
        </is>
      </c>
      <c r="G64" t="inlineStr">
        <is>
          <t>Hull</t>
        </is>
      </c>
      <c r="H64" t="inlineStr">
        <is>
          <t>can_chien</t>
        </is>
      </c>
      <c r="I64" t="inlineStr">
        <is>
          <t>phong_thu_gan</t>
        </is>
      </c>
      <c r="J64" t="inlineStr">
        <is>
          <t>Muzzle_main</t>
        </is>
      </c>
      <c r="K64" t="inlineStr">
        <is>
          <t>muzzle</t>
        </is>
      </c>
      <c r="L64" t="inlineStr">
        <is>
          <t>earth_borer</t>
        </is>
      </c>
      <c r="M64" t="n">
        <v>0.85</v>
      </c>
      <c r="N64" t="n">
        <v>0.85</v>
      </c>
      <c r="O64" t="n">
        <v>2.8</v>
      </c>
      <c r="P64" t="n">
        <v>2.8</v>
      </c>
      <c r="Q64" t="n">
        <v>-0</v>
      </c>
      <c r="R64" t="n">
        <v>6.25</v>
      </c>
      <c r="S64" t="n">
        <v>10.08</v>
      </c>
      <c r="T64" t="inlineStr"/>
      <c r="U64" t="n">
        <v>0</v>
      </c>
      <c r="V64" t="n">
        <v>10.08</v>
      </c>
      <c r="W64" t="n">
        <v>5.1</v>
      </c>
      <c r="X64" t="n">
        <v>0</v>
      </c>
      <c r="Y64" t="inlineStr"/>
      <c r="Z64" t="inlineStr"/>
      <c r="AA64" t="inlineStr"/>
      <c r="AB64" t="inlineStr"/>
      <c r="AC64" t="inlineStr">
        <is>
          <t>khong_ap</t>
        </is>
      </c>
      <c r="AD64" t="b">
        <v>0</v>
      </c>
      <c r="AE64" t="n">
        <v>0</v>
      </c>
      <c r="AF64" t="n">
        <v>0</v>
      </c>
      <c r="AG64" t="n">
        <v>0</v>
      </c>
      <c r="AH64" t="n">
        <v>7</v>
      </c>
      <c r="AI64" t="n">
        <v>400</v>
      </c>
      <c r="AJ64" t="n">
        <v>8.289999999999999</v>
      </c>
      <c r="AK64" t="inlineStr"/>
      <c r="AL64" t="n">
        <v>1.3</v>
      </c>
      <c r="AM64" t="inlineStr">
        <is>
          <t>khong_ap</t>
        </is>
      </c>
      <c r="AN64" t="n">
        <v>0</v>
      </c>
      <c r="AO64" t="n">
        <v>0</v>
      </c>
      <c r="AP64" t="n">
        <v>0</v>
      </c>
      <c r="AQ64" t="n">
        <v>0</v>
      </c>
      <c r="AR64" t="n">
        <v>0</v>
      </c>
      <c r="AS64" t="b">
        <v>0</v>
      </c>
      <c r="AT64" t="inlineStr">
        <is>
          <t>khong_ap:phong_thu_gan</t>
        </is>
      </c>
      <c r="AU64" t="b">
        <v>0</v>
      </c>
      <c r="AV64" t="inlineStr"/>
      <c r="AW64" t="n">
        <v>0</v>
      </c>
      <c r="AX64" t="n">
        <v>7</v>
      </c>
      <c r="AY64" t="inlineStr"/>
      <c r="AZ64" t="n">
        <v>16</v>
      </c>
      <c r="BA64" t="inlineStr">
        <is>
          <t>borer_drill</t>
        </is>
      </c>
      <c r="BB64" t="n">
        <v>100</v>
      </c>
      <c r="BC64" t="b">
        <v>1</v>
      </c>
      <c r="BD64" t="inlineStr">
        <is>
          <t>Assets/MachineBrigade/Resources/Data/balance.json: vehicles[id=earth_borer] x Resources/Models/earth_borer.glb</t>
        </is>
      </c>
      <c r="BE64" t="inlineStr"/>
    </row>
    <row r="65">
      <c r="A65" t="inlineStr">
        <is>
          <t>earth_borer/1</t>
        </is>
      </c>
      <c r="B65" t="inlineStr">
        <is>
          <t>earth_borer</t>
        </is>
      </c>
      <c r="C65" t="inlineStr">
        <is>
          <t>borer_cannon</t>
        </is>
      </c>
      <c r="D65" t="inlineStr">
        <is>
          <t>gun_l</t>
        </is>
      </c>
      <c r="E65" t="n">
        <v>1</v>
      </c>
      <c r="F65" t="inlineStr">
        <is>
          <t>gun</t>
        </is>
      </c>
      <c r="G65" t="inlineStr">
        <is>
          <t>Free</t>
        </is>
      </c>
      <c r="H65" t="inlineStr">
        <is>
          <t>sung_phu</t>
        </is>
      </c>
      <c r="I65" t="inlineStr">
        <is>
          <t>chinh</t>
        </is>
      </c>
      <c r="J65" t="inlineStr">
        <is>
          <t>Muzzle_gun</t>
        </is>
      </c>
      <c r="K65" t="inlineStr">
        <is>
          <t>muzzle</t>
        </is>
      </c>
      <c r="L65" t="inlineStr">
        <is>
          <t>earth_borer</t>
        </is>
      </c>
      <c r="M65" t="n">
        <v>0.85</v>
      </c>
      <c r="N65" t="n">
        <v>0.85</v>
      </c>
      <c r="O65" t="n">
        <v>5.04</v>
      </c>
      <c r="P65" t="n">
        <v>4.76</v>
      </c>
      <c r="Q65" t="n">
        <v>0.28</v>
      </c>
      <c r="R65" t="n">
        <v>6.25</v>
      </c>
      <c r="S65" t="n">
        <v>2.4</v>
      </c>
      <c r="T65" t="inlineStr">
        <is>
          <t>Mount_gun</t>
        </is>
      </c>
      <c r="U65" t="n">
        <v>1.12</v>
      </c>
      <c r="V65" t="n">
        <v>1.95</v>
      </c>
      <c r="W65" t="n">
        <v>5.1</v>
      </c>
      <c r="X65" t="n">
        <v>0</v>
      </c>
      <c r="Y65" t="n">
        <v>15</v>
      </c>
      <c r="Z65" t="n">
        <v>70</v>
      </c>
      <c r="AA65" t="inlineStr"/>
      <c r="AB65" t="n">
        <v>360</v>
      </c>
      <c r="AC65" t="inlineStr">
        <is>
          <t>lop:sung_phu</t>
        </is>
      </c>
      <c r="AD65" t="b">
        <v>1</v>
      </c>
      <c r="AE65" t="n">
        <v>16</v>
      </c>
      <c r="AF65" t="n">
        <v>0</v>
      </c>
      <c r="AG65" t="n">
        <v>16</v>
      </c>
      <c r="AH65" t="n">
        <v>34</v>
      </c>
      <c r="AI65" t="n">
        <v>170</v>
      </c>
      <c r="AJ65" t="n">
        <v>18.26</v>
      </c>
      <c r="AK65" t="inlineStr"/>
      <c r="AL65" t="n">
        <v>1.3</v>
      </c>
      <c r="AM65" t="inlineStr">
        <is>
          <t>ban_thang</t>
        </is>
      </c>
      <c r="AN65" t="n">
        <v>13.96</v>
      </c>
      <c r="AO65" t="n">
        <v>15.91</v>
      </c>
      <c r="AP65" t="n">
        <v>17.03</v>
      </c>
      <c r="AQ65" t="n">
        <v>14.8</v>
      </c>
      <c r="AR65" t="n">
        <v>16</v>
      </c>
      <c r="AS65" t="b">
        <v>1</v>
      </c>
      <c r="AT65" t="inlineStr">
        <is>
          <t>groundMinReach</t>
        </is>
      </c>
      <c r="AU65" t="b">
        <v>0</v>
      </c>
      <c r="AV65" t="inlineStr">
        <is>
          <t>earth_borer</t>
        </is>
      </c>
      <c r="AW65" t="n">
        <v>16</v>
      </c>
      <c r="AX65" t="n">
        <v>52</v>
      </c>
      <c r="AY65" t="n">
        <v>3.25</v>
      </c>
      <c r="AZ65" t="n">
        <v>16</v>
      </c>
      <c r="BA65" t="inlineStr">
        <is>
          <t>borer_drill</t>
        </is>
      </c>
      <c r="BB65" t="n">
        <v>100</v>
      </c>
      <c r="BC65" t="b">
        <v>1</v>
      </c>
      <c r="BD65" t="inlineStr">
        <is>
          <t>Assets/MachineBrigade/Resources/Data/balance.json: vehicles[id=earth_borer] x Resources/Models/earth_borer.glb</t>
        </is>
      </c>
      <c r="BE65" t="inlineStr"/>
    </row>
    <row r="66">
      <c r="A66" t="inlineStr">
        <is>
          <t>earth_borer/2</t>
        </is>
      </c>
      <c r="B66" t="inlineStr">
        <is>
          <t>earth_borer</t>
        </is>
      </c>
      <c r="C66" t="inlineStr">
        <is>
          <t>borer_cannon</t>
        </is>
      </c>
      <c r="D66" t="inlineStr">
        <is>
          <t>gun_r</t>
        </is>
      </c>
      <c r="E66" t="n">
        <v>2</v>
      </c>
      <c r="F66" t="inlineStr">
        <is>
          <t>gun</t>
        </is>
      </c>
      <c r="G66" t="inlineStr">
        <is>
          <t>Free</t>
        </is>
      </c>
      <c r="H66" t="inlineStr">
        <is>
          <t>sung_phu</t>
        </is>
      </c>
      <c r="I66" t="inlineStr">
        <is>
          <t>chinh</t>
        </is>
      </c>
      <c r="J66" t="inlineStr">
        <is>
          <t>Muzzle_gun.001</t>
        </is>
      </c>
      <c r="K66" t="inlineStr">
        <is>
          <t>muzzle</t>
        </is>
      </c>
      <c r="L66" t="inlineStr">
        <is>
          <t>earth_borer</t>
        </is>
      </c>
      <c r="M66" t="n">
        <v>0.85</v>
      </c>
      <c r="N66" t="n">
        <v>0.85</v>
      </c>
      <c r="O66" t="n">
        <v>5.04</v>
      </c>
      <c r="P66" t="n">
        <v>4.76</v>
      </c>
      <c r="Q66" t="n">
        <v>0.28</v>
      </c>
      <c r="R66" t="n">
        <v>6.25</v>
      </c>
      <c r="S66" t="n">
        <v>1.34</v>
      </c>
      <c r="T66" t="inlineStr">
        <is>
          <t>Mount_gun.001</t>
        </is>
      </c>
      <c r="U66" t="n">
        <v>2.94</v>
      </c>
      <c r="V66" t="n">
        <v>1.95</v>
      </c>
      <c r="W66" t="n">
        <v>5.1</v>
      </c>
      <c r="X66" t="n">
        <v>0</v>
      </c>
      <c r="Y66" t="n">
        <v>15</v>
      </c>
      <c r="Z66" t="n">
        <v>70</v>
      </c>
      <c r="AA66" t="inlineStr"/>
      <c r="AB66" t="n">
        <v>360</v>
      </c>
      <c r="AC66" t="inlineStr">
        <is>
          <t>lop:sung_phu</t>
        </is>
      </c>
      <c r="AD66" t="b">
        <v>1</v>
      </c>
      <c r="AE66" t="n">
        <v>16</v>
      </c>
      <c r="AF66" t="n">
        <v>0</v>
      </c>
      <c r="AG66" t="n">
        <v>16</v>
      </c>
      <c r="AH66" t="n">
        <v>34</v>
      </c>
      <c r="AI66" t="n">
        <v>170</v>
      </c>
      <c r="AJ66" t="n">
        <v>18.26</v>
      </c>
      <c r="AK66" t="inlineStr"/>
      <c r="AL66" t="n">
        <v>1.3</v>
      </c>
      <c r="AM66" t="inlineStr">
        <is>
          <t>ban_thang</t>
        </is>
      </c>
      <c r="AN66" t="n">
        <v>13.96</v>
      </c>
      <c r="AO66" t="n">
        <v>15.91</v>
      </c>
      <c r="AP66" t="n">
        <v>17.03</v>
      </c>
      <c r="AQ66" t="n">
        <v>14.8</v>
      </c>
      <c r="AR66" t="n">
        <v>16</v>
      </c>
      <c r="AS66" t="b">
        <v>1</v>
      </c>
      <c r="AT66" t="inlineStr">
        <is>
          <t>groundMinReach</t>
        </is>
      </c>
      <c r="AU66" t="b">
        <v>0</v>
      </c>
      <c r="AV66" t="inlineStr">
        <is>
          <t>earth_borer</t>
        </is>
      </c>
      <c r="AW66" t="n">
        <v>16</v>
      </c>
      <c r="AX66" t="n">
        <v>52</v>
      </c>
      <c r="AY66" t="n">
        <v>3.25</v>
      </c>
      <c r="AZ66" t="n">
        <v>16</v>
      </c>
      <c r="BA66" t="inlineStr">
        <is>
          <t>borer_drill</t>
        </is>
      </c>
      <c r="BB66" t="n">
        <v>100</v>
      </c>
      <c r="BC66" t="b">
        <v>1</v>
      </c>
      <c r="BD66" t="inlineStr">
        <is>
          <t>Assets/MachineBrigade/Resources/Data/balance.json: vehicles[id=earth_borer] x Resources/Models/earth_borer.glb</t>
        </is>
      </c>
      <c r="BE66" t="inlineStr"/>
    </row>
    <row r="67">
      <c r="A67" t="inlineStr">
        <is>
          <t>fenrir/0</t>
        </is>
      </c>
      <c r="B67" t="inlineStr">
        <is>
          <t>fenrir</t>
        </is>
      </c>
      <c r="C67" t="inlineStr">
        <is>
          <t>p26_jotunn_sec_jo_rockets</t>
        </is>
      </c>
      <c r="D67" t="inlineStr">
        <is>
          <t>rockets_l</t>
        </is>
      </c>
      <c r="E67" t="n">
        <v>0</v>
      </c>
      <c r="F67" t="inlineStr">
        <is>
          <t>main</t>
        </is>
      </c>
      <c r="G67" t="inlineStr"/>
      <c r="H67" t="inlineStr">
        <is>
          <t>be_rocket</t>
        </is>
      </c>
      <c r="I67" t="inlineStr">
        <is>
          <t>chinh</t>
        </is>
      </c>
      <c r="J67" t="inlineStr"/>
      <c r="K67" t="inlineStr">
        <is>
          <t>bo_phan</t>
        </is>
      </c>
      <c r="L67" t="inlineStr">
        <is>
          <t>fenrir</t>
        </is>
      </c>
      <c r="M67" t="n">
        <v>1.0043</v>
      </c>
      <c r="N67" t="n">
        <v>0.837</v>
      </c>
      <c r="O67" t="n">
        <v>2.84</v>
      </c>
      <c r="P67" t="n">
        <v>2.84</v>
      </c>
      <c r="Q67" t="inlineStr"/>
      <c r="R67" t="n">
        <v>6.61</v>
      </c>
      <c r="S67" t="n">
        <v>0</v>
      </c>
      <c r="T67" t="inlineStr"/>
      <c r="U67" t="n">
        <v>0</v>
      </c>
      <c r="V67" t="n">
        <v>0</v>
      </c>
      <c r="W67" t="n">
        <v>6.277130250000001</v>
      </c>
      <c r="X67" t="n">
        <v>0</v>
      </c>
      <c r="Y67" t="n">
        <v>0</v>
      </c>
      <c r="Z67" t="n">
        <v>50</v>
      </c>
      <c r="AA67" t="n">
        <v>0</v>
      </c>
      <c r="AB67" t="n">
        <v>360</v>
      </c>
      <c r="AC67" t="inlineStr">
        <is>
          <t>lop:be_rocket</t>
        </is>
      </c>
      <c r="AD67" t="b">
        <v>1</v>
      </c>
      <c r="AE67" t="n">
        <v>12</v>
      </c>
      <c r="AF67" t="n">
        <v>0</v>
      </c>
      <c r="AG67" t="n">
        <v>12</v>
      </c>
      <c r="AH67" t="n">
        <v>45</v>
      </c>
      <c r="AI67" t="n">
        <v>120</v>
      </c>
      <c r="AJ67" t="n">
        <v>21.01</v>
      </c>
      <c r="AK67" t="inlineStr"/>
      <c r="AL67" t="n">
        <v>1.3</v>
      </c>
      <c r="AM67" t="inlineStr">
        <is>
          <t>roi_tu_do_be_co_dinh</t>
        </is>
      </c>
      <c r="AN67" t="n">
        <v>11.79</v>
      </c>
      <c r="AO67" t="n">
        <v>11.79</v>
      </c>
      <c r="AP67" t="n">
        <v>12.88</v>
      </c>
      <c r="AQ67" t="n">
        <v>10.58</v>
      </c>
      <c r="AR67" t="n">
        <v>12</v>
      </c>
      <c r="AS67" t="b">
        <v>1</v>
      </c>
      <c r="AT67" t="inlineStr">
        <is>
          <t>groundMinReach</t>
        </is>
      </c>
      <c r="AU67" t="b">
        <v>0</v>
      </c>
      <c r="AV67" t="inlineStr">
        <is>
          <t>fenrir</t>
        </is>
      </c>
      <c r="AW67" t="n">
        <v>16</v>
      </c>
      <c r="AX67" t="n">
        <v>52</v>
      </c>
      <c r="AY67" t="n">
        <v>3.25</v>
      </c>
      <c r="AZ67" t="n">
        <v>16</v>
      </c>
      <c r="BA67" t="inlineStr">
        <is>
          <t>p26_jotunn_close_boss_flak</t>
        </is>
      </c>
      <c r="BB67" t="n">
        <v>100</v>
      </c>
      <c r="BC67" t="b">
        <v>1</v>
      </c>
      <c r="BD67" t="inlineStr">
        <is>
          <t>Assets/MachineBrigade/Resources/Data/balance.json: vehicles[id=fenrir] x Resources/Models/fenrir.glb</t>
        </is>
      </c>
      <c r="BE67" t="inlineStr"/>
    </row>
    <row r="68">
      <c r="A68" t="inlineStr">
        <is>
          <t>fenrir/1</t>
        </is>
      </c>
      <c r="B68" t="inlineStr">
        <is>
          <t>fenrir</t>
        </is>
      </c>
      <c r="C68" t="inlineStr">
        <is>
          <t>p26_jotunn_sec_jo_rockets</t>
        </is>
      </c>
      <c r="D68" t="inlineStr">
        <is>
          <t>rockets_r</t>
        </is>
      </c>
      <c r="E68" t="n">
        <v>1</v>
      </c>
      <c r="F68" t="inlineStr">
        <is>
          <t>rocket</t>
        </is>
      </c>
      <c r="G68" t="inlineStr">
        <is>
          <t>Free</t>
        </is>
      </c>
      <c r="H68" t="inlineStr">
        <is>
          <t>be_rocket</t>
        </is>
      </c>
      <c r="I68" t="inlineStr">
        <is>
          <t>chinh</t>
        </is>
      </c>
      <c r="J68" t="inlineStr">
        <is>
          <t>Muzzle_rocket</t>
        </is>
      </c>
      <c r="K68" t="inlineStr">
        <is>
          <t>muzzle</t>
        </is>
      </c>
      <c r="L68" t="inlineStr">
        <is>
          <t>fenrir</t>
        </is>
      </c>
      <c r="M68" t="n">
        <v>1.0043</v>
      </c>
      <c r="N68" t="n">
        <v>0.837</v>
      </c>
      <c r="O68" t="n">
        <v>4.06</v>
      </c>
      <c r="P68" t="n">
        <v>2.84</v>
      </c>
      <c r="Q68" t="n">
        <v>1.21</v>
      </c>
      <c r="R68" t="n">
        <v>6.61</v>
      </c>
      <c r="S68" t="n">
        <v>2.75</v>
      </c>
      <c r="T68" t="inlineStr">
        <is>
          <t>Mount_rocket</t>
        </is>
      </c>
      <c r="U68" t="n">
        <v>4.01</v>
      </c>
      <c r="V68" t="n">
        <v>1.36</v>
      </c>
      <c r="W68" t="n">
        <v>6.277130250000001</v>
      </c>
      <c r="X68" t="n">
        <v>0</v>
      </c>
      <c r="Y68" t="n">
        <v>0</v>
      </c>
      <c r="Z68" t="n">
        <v>50</v>
      </c>
      <c r="AA68" t="n">
        <v>0</v>
      </c>
      <c r="AB68" t="n">
        <v>360</v>
      </c>
      <c r="AC68" t="inlineStr">
        <is>
          <t>lop:be_rocket</t>
        </is>
      </c>
      <c r="AD68" t="b">
        <v>1</v>
      </c>
      <c r="AE68" t="n">
        <v>12</v>
      </c>
      <c r="AF68" t="n">
        <v>0</v>
      </c>
      <c r="AG68" t="n">
        <v>12</v>
      </c>
      <c r="AH68" t="n">
        <v>45</v>
      </c>
      <c r="AI68" t="n">
        <v>120</v>
      </c>
      <c r="AJ68" t="n">
        <v>21.01</v>
      </c>
      <c r="AK68" t="inlineStr"/>
      <c r="AL68" t="n">
        <v>1.3</v>
      </c>
      <c r="AM68" t="inlineStr">
        <is>
          <t>roi_tu_do_be_co_dinh</t>
        </is>
      </c>
      <c r="AN68" t="n">
        <v>15.75</v>
      </c>
      <c r="AO68" t="n">
        <v>17.11</v>
      </c>
      <c r="AP68" t="n">
        <v>17.94</v>
      </c>
      <c r="AQ68" t="n">
        <v>16.23</v>
      </c>
      <c r="AR68" t="n">
        <v>17</v>
      </c>
      <c r="AS68" t="b">
        <v>1</v>
      </c>
      <c r="AT68" t="inlineStr">
        <is>
          <t>groundMinReach</t>
        </is>
      </c>
      <c r="AU68" t="b">
        <v>0</v>
      </c>
      <c r="AV68" t="inlineStr">
        <is>
          <t>fenrir</t>
        </is>
      </c>
      <c r="AW68" t="n">
        <v>16</v>
      </c>
      <c r="AX68" t="n">
        <v>52</v>
      </c>
      <c r="AY68" t="n">
        <v>3.25</v>
      </c>
      <c r="AZ68" t="n">
        <v>16</v>
      </c>
      <c r="BA68" t="inlineStr">
        <is>
          <t>p26_jotunn_close_boss_flak</t>
        </is>
      </c>
      <c r="BB68" t="n">
        <v>100</v>
      </c>
      <c r="BC68" t="b">
        <v>1</v>
      </c>
      <c r="BD68" t="inlineStr">
        <is>
          <t>Assets/MachineBrigade/Resources/Data/balance.json: vehicles[id=fenrir] x Resources/Models/fenrir.glb</t>
        </is>
      </c>
      <c r="BE68" t="inlineStr"/>
    </row>
    <row r="69">
      <c r="A69" t="inlineStr">
        <is>
          <t>fenrir/2</t>
        </is>
      </c>
      <c r="B69" t="inlineStr">
        <is>
          <t>fenrir</t>
        </is>
      </c>
      <c r="C69" t="inlineStr">
        <is>
          <t>p26_jotunn_close_boss_flak</t>
        </is>
      </c>
      <c r="D69" t="inlineStr">
        <is>
          <t>flak_l</t>
        </is>
      </c>
      <c r="E69" t="n">
        <v>2</v>
      </c>
      <c r="F69" t="inlineStr">
        <is>
          <t>mg</t>
        </is>
      </c>
      <c r="G69" t="inlineStr">
        <is>
          <t>Free</t>
        </is>
      </c>
      <c r="H69" t="inlineStr">
        <is>
          <t>phao_nho_ciws</t>
        </is>
      </c>
      <c r="I69" t="inlineStr">
        <is>
          <t>phong_thu_gan</t>
        </is>
      </c>
      <c r="J69" t="inlineStr">
        <is>
          <t>Muzzle_mg</t>
        </is>
      </c>
      <c r="K69" t="inlineStr">
        <is>
          <t>muzzle</t>
        </is>
      </c>
      <c r="L69" t="inlineStr">
        <is>
          <t>fenrir</t>
        </is>
      </c>
      <c r="M69" t="n">
        <v>1.0043</v>
      </c>
      <c r="N69" t="n">
        <v>0.837</v>
      </c>
      <c r="O69" t="n">
        <v>3.17</v>
      </c>
      <c r="P69" t="n">
        <v>2.76</v>
      </c>
      <c r="Q69" t="n">
        <v>0.41</v>
      </c>
      <c r="R69" t="n">
        <v>6.61</v>
      </c>
      <c r="S69" t="n">
        <v>5.48</v>
      </c>
      <c r="T69" t="inlineStr">
        <is>
          <t>Mount_mg</t>
        </is>
      </c>
      <c r="U69" t="n">
        <v>2.56</v>
      </c>
      <c r="V69" t="n">
        <v>2.92</v>
      </c>
      <c r="W69" t="n">
        <v>6.277130250000001</v>
      </c>
      <c r="X69" t="n">
        <v>0</v>
      </c>
      <c r="Y69" t="n">
        <v>15</v>
      </c>
      <c r="Z69" t="n">
        <v>85</v>
      </c>
      <c r="AA69" t="inlineStr"/>
      <c r="AB69" t="n">
        <v>360</v>
      </c>
      <c r="AC69" t="inlineStr">
        <is>
          <t>lop:phao_nho_ciws</t>
        </is>
      </c>
      <c r="AD69" t="b">
        <v>1</v>
      </c>
      <c r="AE69" t="n">
        <v>0</v>
      </c>
      <c r="AF69" t="n">
        <v>0</v>
      </c>
      <c r="AG69" t="n">
        <v>0</v>
      </c>
      <c r="AH69" t="n">
        <v>40</v>
      </c>
      <c r="AI69" t="n">
        <v>260</v>
      </c>
      <c r="AJ69" t="n">
        <v>19.81</v>
      </c>
      <c r="AK69" t="inlineStr"/>
      <c r="AL69" t="n">
        <v>1.3</v>
      </c>
      <c r="AM69" t="inlineStr">
        <is>
          <t>ban_thang</t>
        </is>
      </c>
      <c r="AN69" t="n">
        <v>6.99</v>
      </c>
      <c r="AO69" t="n">
        <v>9.92</v>
      </c>
      <c r="AP69" t="n">
        <v>11.04</v>
      </c>
      <c r="AQ69" t="n">
        <v>8.800000000000001</v>
      </c>
      <c r="AR69" t="n">
        <v>0</v>
      </c>
      <c r="AS69" t="b">
        <v>0</v>
      </c>
      <c r="AT69" t="inlineStr">
        <is>
          <t>khong_ap:phong_thu_gan</t>
        </is>
      </c>
      <c r="AU69" t="b">
        <v>0</v>
      </c>
      <c r="AV69" t="inlineStr"/>
      <c r="AW69" t="n">
        <v>0</v>
      </c>
      <c r="AX69" t="n">
        <v>40</v>
      </c>
      <c r="AY69" t="inlineStr"/>
      <c r="AZ69" t="n">
        <v>16</v>
      </c>
      <c r="BA69" t="inlineStr">
        <is>
          <t>p26_jotunn_close_boss_flak</t>
        </is>
      </c>
      <c r="BB69" t="n">
        <v>100</v>
      </c>
      <c r="BC69" t="b">
        <v>1</v>
      </c>
      <c r="BD69" t="inlineStr">
        <is>
          <t>Assets/MachineBrigade/Resources/Data/balance.json: vehicles[id=fenrir] x Resources/Models/fenrir.glb</t>
        </is>
      </c>
      <c r="BE69" t="inlineStr"/>
    </row>
    <row r="70">
      <c r="A70" t="inlineStr">
        <is>
          <t>fortress_bastion/0</t>
        </is>
      </c>
      <c r="B70" t="inlineStr">
        <is>
          <t>fortress_bastion</t>
        </is>
      </c>
      <c r="C70" t="inlineStr">
        <is>
          <t>p26_bastion_sec_b240</t>
        </is>
      </c>
      <c r="D70" t="inlineStr">
        <is>
          <t>mortar</t>
        </is>
      </c>
      <c r="E70" t="n">
        <v>0</v>
      </c>
      <c r="F70" t="inlineStr">
        <is>
          <t>main</t>
        </is>
      </c>
      <c r="G70" t="inlineStr"/>
      <c r="H70" t="inlineStr">
        <is>
          <t>ban_cau</t>
        </is>
      </c>
      <c r="I70" t="inlineStr">
        <is>
          <t>chinh</t>
        </is>
      </c>
      <c r="J70" t="inlineStr">
        <is>
          <t>Muzzle_main</t>
        </is>
      </c>
      <c r="K70" t="inlineStr">
        <is>
          <t>muzzle</t>
        </is>
      </c>
      <c r="L70" t="inlineStr">
        <is>
          <t>fortress_bastion</t>
        </is>
      </c>
      <c r="M70" t="n">
        <v>1.812</v>
      </c>
      <c r="N70" t="n">
        <v>1.51</v>
      </c>
      <c r="O70" t="n">
        <v>18.44</v>
      </c>
      <c r="P70" t="n">
        <v>11.32</v>
      </c>
      <c r="Q70" t="n">
        <v>7.11</v>
      </c>
      <c r="R70" t="n">
        <v>18.68</v>
      </c>
      <c r="S70" t="n">
        <v>1.59</v>
      </c>
      <c r="T70" t="inlineStr">
        <is>
          <t>Turret</t>
        </is>
      </c>
      <c r="U70" t="n">
        <v>1.09</v>
      </c>
      <c r="V70" t="n">
        <v>2.67</v>
      </c>
      <c r="W70" t="n">
        <v>11.325</v>
      </c>
      <c r="X70" t="n">
        <v>0</v>
      </c>
      <c r="Y70" t="inlineStr"/>
      <c r="Z70" t="n">
        <v>85</v>
      </c>
      <c r="AA70" t="n">
        <v>45</v>
      </c>
      <c r="AB70" t="n">
        <v>360</v>
      </c>
      <c r="AC70" t="inlineStr">
        <is>
          <t>ho:mortar</t>
        </is>
      </c>
      <c r="AD70" t="b">
        <v>1</v>
      </c>
      <c r="AE70" t="n">
        <v>14</v>
      </c>
      <c r="AF70" t="n">
        <v>14</v>
      </c>
      <c r="AG70" t="n">
        <v>0</v>
      </c>
      <c r="AH70" t="n">
        <v>80</v>
      </c>
      <c r="AI70" t="n">
        <v>60</v>
      </c>
      <c r="AJ70" t="n">
        <v>28.01</v>
      </c>
      <c r="AK70" t="inlineStr"/>
      <c r="AL70" t="n">
        <v>1.3</v>
      </c>
      <c r="AM70" t="inlineStr">
        <is>
          <t>v2_sin2theta_g</t>
        </is>
      </c>
      <c r="AN70" t="n">
        <v>13.89</v>
      </c>
      <c r="AO70" t="n">
        <v>13.89</v>
      </c>
      <c r="AP70" t="n">
        <v>13.89</v>
      </c>
      <c r="AQ70" t="n">
        <v>13.89</v>
      </c>
      <c r="AR70" t="n">
        <v>14</v>
      </c>
      <c r="AS70" t="b">
        <v>1</v>
      </c>
      <c r="AT70" t="inlineStr">
        <is>
          <t>minRange</t>
        </is>
      </c>
      <c r="AU70" t="b">
        <v>0</v>
      </c>
      <c r="AV70" t="inlineStr"/>
      <c r="AW70" t="n">
        <v>14</v>
      </c>
      <c r="AX70" t="n">
        <v>80</v>
      </c>
      <c r="AY70" t="n">
        <v>5.71</v>
      </c>
      <c r="AZ70" t="n">
        <v>14</v>
      </c>
      <c r="BA70" t="inlineStr">
        <is>
          <t>p26_bastion_close_boss_hmg;p26_bastion_tiny_autocannon_40;p26_bastion_tiny_kornet_twin;p26_bastion_tiny_zu23</t>
        </is>
      </c>
      <c r="BB70" t="n">
        <v>100</v>
      </c>
      <c r="BC70" t="b">
        <v>1</v>
      </c>
      <c r="BD70" t="inlineStr">
        <is>
          <t>Assets/MachineBrigade/Resources/Data/balance.json: vehicles[id=fortress_bastion] x Resources/Models/fortress_bastion.glb</t>
        </is>
      </c>
      <c r="BE70" t="inlineStr"/>
    </row>
    <row r="71">
      <c r="A71" t="inlineStr">
        <is>
          <t>fortress_bastion/1</t>
        </is>
      </c>
      <c r="B71" t="inlineStr">
        <is>
          <t>fortress_bastion</t>
        </is>
      </c>
      <c r="C71" t="inlineStr">
        <is>
          <t>p26_bastion_direct_b100</t>
        </is>
      </c>
      <c r="D71" t="inlineStr">
        <is>
          <t>turret_fl</t>
        </is>
      </c>
      <c r="E71" t="n">
        <v>1</v>
      </c>
      <c r="F71" t="inlineStr">
        <is>
          <t>gun</t>
        </is>
      </c>
      <c r="G71" t="inlineStr">
        <is>
          <t>Free</t>
        </is>
      </c>
      <c r="H71" t="inlineStr">
        <is>
          <t>phao_boss</t>
        </is>
      </c>
      <c r="I71" t="inlineStr">
        <is>
          <t>chinh</t>
        </is>
      </c>
      <c r="J71" t="inlineStr">
        <is>
          <t>Muzzle_gun</t>
        </is>
      </c>
      <c r="K71" t="inlineStr">
        <is>
          <t>muzzle</t>
        </is>
      </c>
      <c r="L71" t="inlineStr">
        <is>
          <t>fortress_bastion</t>
        </is>
      </c>
      <c r="M71" t="n">
        <v>1.812</v>
      </c>
      <c r="N71" t="n">
        <v>1.51</v>
      </c>
      <c r="O71" t="n">
        <v>5.93</v>
      </c>
      <c r="P71" t="n">
        <v>4.98</v>
      </c>
      <c r="Q71" t="n">
        <v>0.9399999999999999</v>
      </c>
      <c r="R71" t="n">
        <v>18.68</v>
      </c>
      <c r="S71" t="n">
        <v>17.61</v>
      </c>
      <c r="T71" t="inlineStr">
        <is>
          <t>Mount_gun</t>
        </is>
      </c>
      <c r="U71" t="n">
        <v>10.83</v>
      </c>
      <c r="V71" t="n">
        <v>8.08</v>
      </c>
      <c r="W71" t="n">
        <v>11.325</v>
      </c>
      <c r="X71" t="n">
        <v>0</v>
      </c>
      <c r="Y71" t="n">
        <v>8</v>
      </c>
      <c r="Z71" t="n">
        <v>70</v>
      </c>
      <c r="AA71" t="inlineStr"/>
      <c r="AB71" t="n">
        <v>160</v>
      </c>
      <c r="AC71" t="inlineStr">
        <is>
          <t>lop:phao_boss</t>
        </is>
      </c>
      <c r="AD71" t="b">
        <v>1</v>
      </c>
      <c r="AE71" t="n">
        <v>19</v>
      </c>
      <c r="AF71" t="n">
        <v>0</v>
      </c>
      <c r="AG71" t="n">
        <v>19</v>
      </c>
      <c r="AH71" t="n">
        <v>36</v>
      </c>
      <c r="AI71" t="n">
        <v>170</v>
      </c>
      <c r="AJ71" t="n">
        <v>18.79</v>
      </c>
      <c r="AK71" t="inlineStr"/>
      <c r="AL71" t="n">
        <v>1.3</v>
      </c>
      <c r="AM71" t="inlineStr">
        <is>
          <t>ban_thang</t>
        </is>
      </c>
      <c r="AN71" t="n">
        <v>32.91</v>
      </c>
      <c r="AO71" t="n">
        <v>40.99</v>
      </c>
      <c r="AP71" t="n">
        <v>43.13</v>
      </c>
      <c r="AQ71" t="n">
        <v>38.86</v>
      </c>
      <c r="AR71" t="n">
        <v>28</v>
      </c>
      <c r="AS71" t="b">
        <v>1</v>
      </c>
      <c r="AT71" t="inlineStr">
        <is>
          <t>groundMinReach</t>
        </is>
      </c>
      <c r="AU71" t="b">
        <v>1</v>
      </c>
      <c r="AV71" t="inlineStr">
        <is>
          <t>fortress_bastion</t>
        </is>
      </c>
      <c r="AW71" t="n">
        <v>28</v>
      </c>
      <c r="AX71" t="n">
        <v>90</v>
      </c>
      <c r="AY71" t="n">
        <v>3.21</v>
      </c>
      <c r="AZ71" t="n">
        <v>14</v>
      </c>
      <c r="BA71" t="inlineStr">
        <is>
          <t>p26_bastion_close_boss_hmg;p26_bastion_tiny_autocannon_40;p26_bastion_tiny_kornet_twin;p26_bastion_tiny_zu23</t>
        </is>
      </c>
      <c r="BB71" t="n">
        <v>100</v>
      </c>
      <c r="BC71" t="b">
        <v>1</v>
      </c>
      <c r="BD71" t="inlineStr">
        <is>
          <t>Assets/MachineBrigade/Resources/Data/balance.json: vehicles[id=fortress_bastion] x Resources/Models/fortress_bastion.glb</t>
        </is>
      </c>
      <c r="BE71" t="inlineStr"/>
    </row>
    <row r="72">
      <c r="A72" t="inlineStr">
        <is>
          <t>fortress_bastion/2</t>
        </is>
      </c>
      <c r="B72" t="inlineStr">
        <is>
          <t>fortress_bastion</t>
        </is>
      </c>
      <c r="C72" t="inlineStr">
        <is>
          <t>p26_bastion_direct_b100</t>
        </is>
      </c>
      <c r="D72" t="inlineStr">
        <is>
          <t>turret_fr</t>
        </is>
      </c>
      <c r="E72" t="n">
        <v>2</v>
      </c>
      <c r="F72" t="inlineStr">
        <is>
          <t>gun</t>
        </is>
      </c>
      <c r="G72" t="inlineStr">
        <is>
          <t>Free</t>
        </is>
      </c>
      <c r="H72" t="inlineStr">
        <is>
          <t>phao_boss</t>
        </is>
      </c>
      <c r="I72" t="inlineStr">
        <is>
          <t>chinh</t>
        </is>
      </c>
      <c r="J72" t="inlineStr">
        <is>
          <t>Muzzle_gun.001</t>
        </is>
      </c>
      <c r="K72" t="inlineStr">
        <is>
          <t>muzzle</t>
        </is>
      </c>
      <c r="L72" t="inlineStr">
        <is>
          <t>fortress_bastion</t>
        </is>
      </c>
      <c r="M72" t="n">
        <v>1.812</v>
      </c>
      <c r="N72" t="n">
        <v>1.51</v>
      </c>
      <c r="O72" t="n">
        <v>5.93</v>
      </c>
      <c r="P72" t="n">
        <v>4.98</v>
      </c>
      <c r="Q72" t="n">
        <v>0.9399999999999999</v>
      </c>
      <c r="R72" t="n">
        <v>18.68</v>
      </c>
      <c r="S72" t="n">
        <v>17.61</v>
      </c>
      <c r="T72" t="inlineStr">
        <is>
          <t>Mount_gun.001</t>
        </is>
      </c>
      <c r="U72" t="n">
        <v>10.83</v>
      </c>
      <c r="V72" t="n">
        <v>8.08</v>
      </c>
      <c r="W72" t="n">
        <v>11.325</v>
      </c>
      <c r="X72" t="n">
        <v>0</v>
      </c>
      <c r="Y72" t="n">
        <v>8</v>
      </c>
      <c r="Z72" t="n">
        <v>70</v>
      </c>
      <c r="AA72" t="inlineStr"/>
      <c r="AB72" t="n">
        <v>160</v>
      </c>
      <c r="AC72" t="inlineStr">
        <is>
          <t>lop:phao_boss</t>
        </is>
      </c>
      <c r="AD72" t="b">
        <v>1</v>
      </c>
      <c r="AE72" t="n">
        <v>19</v>
      </c>
      <c r="AF72" t="n">
        <v>0</v>
      </c>
      <c r="AG72" t="n">
        <v>19</v>
      </c>
      <c r="AH72" t="n">
        <v>36</v>
      </c>
      <c r="AI72" t="n">
        <v>170</v>
      </c>
      <c r="AJ72" t="n">
        <v>18.79</v>
      </c>
      <c r="AK72" t="inlineStr"/>
      <c r="AL72" t="n">
        <v>1.3</v>
      </c>
      <c r="AM72" t="inlineStr">
        <is>
          <t>ban_thang</t>
        </is>
      </c>
      <c r="AN72" t="n">
        <v>32.91</v>
      </c>
      <c r="AO72" t="n">
        <v>40.99</v>
      </c>
      <c r="AP72" t="n">
        <v>43.13</v>
      </c>
      <c r="AQ72" t="n">
        <v>38.86</v>
      </c>
      <c r="AR72" t="n">
        <v>28</v>
      </c>
      <c r="AS72" t="b">
        <v>1</v>
      </c>
      <c r="AT72" t="inlineStr">
        <is>
          <t>groundMinReach</t>
        </is>
      </c>
      <c r="AU72" t="b">
        <v>1</v>
      </c>
      <c r="AV72" t="inlineStr">
        <is>
          <t>fortress_bastion</t>
        </is>
      </c>
      <c r="AW72" t="n">
        <v>28</v>
      </c>
      <c r="AX72" t="n">
        <v>90</v>
      </c>
      <c r="AY72" t="n">
        <v>3.21</v>
      </c>
      <c r="AZ72" t="n">
        <v>14</v>
      </c>
      <c r="BA72" t="inlineStr">
        <is>
          <t>p26_bastion_close_boss_hmg;p26_bastion_tiny_autocannon_40;p26_bastion_tiny_kornet_twin;p26_bastion_tiny_zu23</t>
        </is>
      </c>
      <c r="BB72" t="n">
        <v>100</v>
      </c>
      <c r="BC72" t="b">
        <v>1</v>
      </c>
      <c r="BD72" t="inlineStr">
        <is>
          <t>Assets/MachineBrigade/Resources/Data/balance.json: vehicles[id=fortress_bastion] x Resources/Models/fortress_bastion.glb</t>
        </is>
      </c>
      <c r="BE72" t="inlineStr"/>
    </row>
    <row r="73">
      <c r="A73" t="inlineStr">
        <is>
          <t>fortress_bastion/3</t>
        </is>
      </c>
      <c r="B73" t="inlineStr">
        <is>
          <t>fortress_bastion</t>
        </is>
      </c>
      <c r="C73" t="inlineStr">
        <is>
          <t>p26_bastion_tiny_autocannon_40</t>
        </is>
      </c>
      <c r="D73" t="inlineStr">
        <is>
          <t>turret_rl</t>
        </is>
      </c>
      <c r="E73" t="n">
        <v>3</v>
      </c>
      <c r="F73" t="inlineStr">
        <is>
          <t>gun</t>
        </is>
      </c>
      <c r="G73" t="inlineStr">
        <is>
          <t>Free</t>
        </is>
      </c>
      <c r="H73" t="inlineStr">
        <is>
          <t>phao_nho_ciws</t>
        </is>
      </c>
      <c r="I73" t="inlineStr">
        <is>
          <t>phong_thu_gan</t>
        </is>
      </c>
      <c r="J73" t="inlineStr">
        <is>
          <t>Muzzle_gun.002</t>
        </is>
      </c>
      <c r="K73" t="inlineStr">
        <is>
          <t>muzzle</t>
        </is>
      </c>
      <c r="L73" t="inlineStr">
        <is>
          <t>fortress_bastion</t>
        </is>
      </c>
      <c r="M73" t="n">
        <v>1.812</v>
      </c>
      <c r="N73" t="n">
        <v>1.51</v>
      </c>
      <c r="O73" t="n">
        <v>5.74</v>
      </c>
      <c r="P73" t="n">
        <v>4.98</v>
      </c>
      <c r="Q73" t="n">
        <v>0.76</v>
      </c>
      <c r="R73" t="n">
        <v>18.68</v>
      </c>
      <c r="S73" t="n">
        <v>7.45</v>
      </c>
      <c r="T73" t="inlineStr">
        <is>
          <t>Mount_gun.002</t>
        </is>
      </c>
      <c r="U73" t="n">
        <v>10.7</v>
      </c>
      <c r="V73" t="n">
        <v>7.08</v>
      </c>
      <c r="W73" t="n">
        <v>11.325</v>
      </c>
      <c r="X73" t="n">
        <v>0</v>
      </c>
      <c r="Y73" t="n">
        <v>15</v>
      </c>
      <c r="Z73" t="n">
        <v>85</v>
      </c>
      <c r="AA73" t="inlineStr"/>
      <c r="AB73" t="n">
        <v>160</v>
      </c>
      <c r="AC73" t="inlineStr">
        <is>
          <t>lop:phao_nho_ciws</t>
        </is>
      </c>
      <c r="AD73" t="b">
        <v>1</v>
      </c>
      <c r="AE73" t="n">
        <v>0</v>
      </c>
      <c r="AF73" t="n">
        <v>0</v>
      </c>
      <c r="AG73" t="n">
        <v>0</v>
      </c>
      <c r="AH73" t="n">
        <v>28</v>
      </c>
      <c r="AI73" t="n">
        <v>210</v>
      </c>
      <c r="AJ73" t="n">
        <v>16.57</v>
      </c>
      <c r="AK73" t="inlineStr"/>
      <c r="AL73" t="n">
        <v>1.3</v>
      </c>
      <c r="AM73" t="inlineStr">
        <is>
          <t>ban_thang</t>
        </is>
      </c>
      <c r="AN73" t="n">
        <v>16.59</v>
      </c>
      <c r="AO73" t="n">
        <v>23.67</v>
      </c>
      <c r="AP73" t="n">
        <v>24.79</v>
      </c>
      <c r="AQ73" t="n">
        <v>22.55</v>
      </c>
      <c r="AR73" t="n">
        <v>0</v>
      </c>
      <c r="AS73" t="b">
        <v>0</v>
      </c>
      <c r="AT73" t="inlineStr">
        <is>
          <t>khong_ap:phong_thu_gan</t>
        </is>
      </c>
      <c r="AU73" t="b">
        <v>0</v>
      </c>
      <c r="AV73" t="inlineStr"/>
      <c r="AW73" t="n">
        <v>0</v>
      </c>
      <c r="AX73" t="n">
        <v>28</v>
      </c>
      <c r="AY73" t="inlineStr"/>
      <c r="AZ73" t="n">
        <v>14</v>
      </c>
      <c r="BA73" t="inlineStr">
        <is>
          <t>p26_bastion_close_boss_hmg;p26_bastion_tiny_autocannon_40;p26_bastion_tiny_kornet_twin;p26_bastion_tiny_zu23</t>
        </is>
      </c>
      <c r="BB73" t="n">
        <v>100</v>
      </c>
      <c r="BC73" t="b">
        <v>1</v>
      </c>
      <c r="BD73" t="inlineStr">
        <is>
          <t>Assets/MachineBrigade/Resources/Data/balance.json: vehicles[id=fortress_bastion] x Resources/Models/fortress_bastion.glb</t>
        </is>
      </c>
      <c r="BE73" t="inlineStr"/>
    </row>
    <row r="74">
      <c r="A74" t="inlineStr">
        <is>
          <t>fortress_bastion/4</t>
        </is>
      </c>
      <c r="B74" t="inlineStr">
        <is>
          <t>fortress_bastion</t>
        </is>
      </c>
      <c r="C74" t="inlineStr">
        <is>
          <t>p26_bastion_tiny_autocannon_40</t>
        </is>
      </c>
      <c r="D74" t="inlineStr">
        <is>
          <t>turret_rr</t>
        </is>
      </c>
      <c r="E74" t="n">
        <v>4</v>
      </c>
      <c r="F74" t="inlineStr">
        <is>
          <t>gun</t>
        </is>
      </c>
      <c r="G74" t="inlineStr">
        <is>
          <t>Free</t>
        </is>
      </c>
      <c r="H74" t="inlineStr">
        <is>
          <t>phao_nho_ciws</t>
        </is>
      </c>
      <c r="I74" t="inlineStr">
        <is>
          <t>phong_thu_gan</t>
        </is>
      </c>
      <c r="J74" t="inlineStr">
        <is>
          <t>Muzzle_gun.003</t>
        </is>
      </c>
      <c r="K74" t="inlineStr">
        <is>
          <t>muzzle</t>
        </is>
      </c>
      <c r="L74" t="inlineStr">
        <is>
          <t>fortress_bastion</t>
        </is>
      </c>
      <c r="M74" t="n">
        <v>1.812</v>
      </c>
      <c r="N74" t="n">
        <v>1.51</v>
      </c>
      <c r="O74" t="n">
        <v>5.74</v>
      </c>
      <c r="P74" t="n">
        <v>4.98</v>
      </c>
      <c r="Q74" t="n">
        <v>0.76</v>
      </c>
      <c r="R74" t="n">
        <v>18.68</v>
      </c>
      <c r="S74" t="n">
        <v>7.45</v>
      </c>
      <c r="T74" t="inlineStr">
        <is>
          <t>Mount_gun.003</t>
        </is>
      </c>
      <c r="U74" t="n">
        <v>10.7</v>
      </c>
      <c r="V74" t="n">
        <v>7.08</v>
      </c>
      <c r="W74" t="n">
        <v>11.325</v>
      </c>
      <c r="X74" t="n">
        <v>0</v>
      </c>
      <c r="Y74" t="n">
        <v>15</v>
      </c>
      <c r="Z74" t="n">
        <v>85</v>
      </c>
      <c r="AA74" t="inlineStr"/>
      <c r="AB74" t="n">
        <v>160</v>
      </c>
      <c r="AC74" t="inlineStr">
        <is>
          <t>lop:phao_nho_ciws</t>
        </is>
      </c>
      <c r="AD74" t="b">
        <v>1</v>
      </c>
      <c r="AE74" t="n">
        <v>0</v>
      </c>
      <c r="AF74" t="n">
        <v>0</v>
      </c>
      <c r="AG74" t="n">
        <v>0</v>
      </c>
      <c r="AH74" t="n">
        <v>28</v>
      </c>
      <c r="AI74" t="n">
        <v>210</v>
      </c>
      <c r="AJ74" t="n">
        <v>16.57</v>
      </c>
      <c r="AK74" t="inlineStr"/>
      <c r="AL74" t="n">
        <v>1.3</v>
      </c>
      <c r="AM74" t="inlineStr">
        <is>
          <t>ban_thang</t>
        </is>
      </c>
      <c r="AN74" t="n">
        <v>16.59</v>
      </c>
      <c r="AO74" t="n">
        <v>23.67</v>
      </c>
      <c r="AP74" t="n">
        <v>24.79</v>
      </c>
      <c r="AQ74" t="n">
        <v>22.55</v>
      </c>
      <c r="AR74" t="n">
        <v>0</v>
      </c>
      <c r="AS74" t="b">
        <v>0</v>
      </c>
      <c r="AT74" t="inlineStr">
        <is>
          <t>khong_ap:phong_thu_gan</t>
        </is>
      </c>
      <c r="AU74" t="b">
        <v>0</v>
      </c>
      <c r="AV74" t="inlineStr"/>
      <c r="AW74" t="n">
        <v>0</v>
      </c>
      <c r="AX74" t="n">
        <v>28</v>
      </c>
      <c r="AY74" t="inlineStr"/>
      <c r="AZ74" t="n">
        <v>14</v>
      </c>
      <c r="BA74" t="inlineStr">
        <is>
          <t>p26_bastion_close_boss_hmg;p26_bastion_tiny_autocannon_40;p26_bastion_tiny_kornet_twin;p26_bastion_tiny_zu23</t>
        </is>
      </c>
      <c r="BB74" t="n">
        <v>100</v>
      </c>
      <c r="BC74" t="b">
        <v>1</v>
      </c>
      <c r="BD74" t="inlineStr">
        <is>
          <t>Assets/MachineBrigade/Resources/Data/balance.json: vehicles[id=fortress_bastion] x Resources/Models/fortress_bastion.glb</t>
        </is>
      </c>
      <c r="BE74" t="inlineStr"/>
    </row>
    <row r="75">
      <c r="A75" t="inlineStr">
        <is>
          <t>fortress_bastion/5</t>
        </is>
      </c>
      <c r="B75" t="inlineStr">
        <is>
          <t>fortress_bastion</t>
        </is>
      </c>
      <c r="C75" t="inlineStr">
        <is>
          <t>p26_bastion_tiny_kornet_twin</t>
        </is>
      </c>
      <c r="D75" t="inlineStr">
        <is>
          <t>kornet</t>
        </is>
      </c>
      <c r="E75" t="n">
        <v>5</v>
      </c>
      <c r="F75" t="inlineStr">
        <is>
          <t>missile</t>
        </is>
      </c>
      <c r="G75" t="inlineStr">
        <is>
          <t>Free</t>
        </is>
      </c>
      <c r="H75" t="inlineStr">
        <is>
          <t>ten_lua</t>
        </is>
      </c>
      <c r="I75" t="inlineStr">
        <is>
          <t>dan_dan</t>
        </is>
      </c>
      <c r="J75" t="inlineStr">
        <is>
          <t>Muzzle_missile</t>
        </is>
      </c>
      <c r="K75" t="inlineStr">
        <is>
          <t>muzzle</t>
        </is>
      </c>
      <c r="L75" t="inlineStr">
        <is>
          <t>fortress_bastion</t>
        </is>
      </c>
      <c r="M75" t="n">
        <v>1.812</v>
      </c>
      <c r="N75" t="n">
        <v>1.51</v>
      </c>
      <c r="O75" t="n">
        <v>12.62</v>
      </c>
      <c r="P75" t="n">
        <v>9.66</v>
      </c>
      <c r="Q75" t="n">
        <v>2.96</v>
      </c>
      <c r="R75" t="n">
        <v>18.68</v>
      </c>
      <c r="S75" t="n">
        <v>4.61</v>
      </c>
      <c r="T75" t="inlineStr">
        <is>
          <t>Mount_missile</t>
        </is>
      </c>
      <c r="U75" t="n">
        <v>5.61</v>
      </c>
      <c r="V75" t="n">
        <v>1.16</v>
      </c>
      <c r="W75" t="n">
        <v>11.325</v>
      </c>
      <c r="X75" t="n">
        <v>0</v>
      </c>
      <c r="Y75" t="inlineStr"/>
      <c r="Z75" t="inlineStr"/>
      <c r="AA75" t="inlineStr"/>
      <c r="AB75" t="n">
        <v>360</v>
      </c>
      <c r="AC75" t="inlineStr">
        <is>
          <t>missileArmingM</t>
        </is>
      </c>
      <c r="AD75" t="b">
        <v>1</v>
      </c>
      <c r="AE75" t="n">
        <v>1</v>
      </c>
      <c r="AF75" t="n">
        <v>0</v>
      </c>
      <c r="AG75" t="n">
        <v>1</v>
      </c>
      <c r="AH75" t="n">
        <v>50</v>
      </c>
      <c r="AI75" t="n">
        <v>80</v>
      </c>
      <c r="AJ75" t="n">
        <v>22.15</v>
      </c>
      <c r="AK75" t="n">
        <v>1</v>
      </c>
      <c r="AL75" t="n">
        <v>1.3</v>
      </c>
      <c r="AM75" t="inlineStr">
        <is>
          <t>max(vu_trang, khoa)</t>
        </is>
      </c>
      <c r="AN75" t="n">
        <v>1</v>
      </c>
      <c r="AO75" t="n">
        <v>1</v>
      </c>
      <c r="AP75" t="n">
        <v>1</v>
      </c>
      <c r="AQ75" t="n">
        <v>1</v>
      </c>
      <c r="AR75" t="n">
        <v>1</v>
      </c>
      <c r="AS75" t="b">
        <v>1</v>
      </c>
      <c r="AT75" t="inlineStr">
        <is>
          <t>groundMinReach</t>
        </is>
      </c>
      <c r="AU75" t="b">
        <v>0</v>
      </c>
      <c r="AV75" t="inlineStr">
        <is>
          <t>fortress_bastion</t>
        </is>
      </c>
      <c r="AW75" t="n">
        <v>1</v>
      </c>
      <c r="AX75" t="n">
        <v>50</v>
      </c>
      <c r="AY75" t="n">
        <v>50</v>
      </c>
      <c r="AZ75" t="n">
        <v>14</v>
      </c>
      <c r="BA75" t="inlineStr">
        <is>
          <t>p26_bastion_close_boss_hmg;p26_bastion_tiny_autocannon_40;p26_bastion_tiny_kornet_twin;p26_bastion_tiny_zu23</t>
        </is>
      </c>
      <c r="BB75" t="n">
        <v>100</v>
      </c>
      <c r="BC75" t="b">
        <v>1</v>
      </c>
      <c r="BD75" t="inlineStr">
        <is>
          <t>Assets/MachineBrigade/Resources/Data/balance.json: vehicles[id=fortress_bastion] x Resources/Models/fortress_bastion.glb</t>
        </is>
      </c>
      <c r="BE75" t="inlineStr"/>
    </row>
    <row r="76">
      <c r="A76" t="inlineStr">
        <is>
          <t>fortress_bastion/6</t>
        </is>
      </c>
      <c r="B76" t="inlineStr">
        <is>
          <t>fortress_bastion</t>
        </is>
      </c>
      <c r="C76" t="inlineStr">
        <is>
          <t>p26_bastion_close_boss_hmg</t>
        </is>
      </c>
      <c r="D76" t="inlineStr">
        <is>
          <t>turret_rl</t>
        </is>
      </c>
      <c r="E76" t="n">
        <v>6</v>
      </c>
      <c r="F76" t="inlineStr">
        <is>
          <t>mg</t>
        </is>
      </c>
      <c r="G76" t="inlineStr">
        <is>
          <t>Free</t>
        </is>
      </c>
      <c r="H76" t="inlineStr">
        <is>
          <t>sung_may</t>
        </is>
      </c>
      <c r="I76" t="inlineStr">
        <is>
          <t>phong_thu_gan</t>
        </is>
      </c>
      <c r="J76" t="inlineStr">
        <is>
          <t>Muzzle_mg</t>
        </is>
      </c>
      <c r="K76" t="inlineStr">
        <is>
          <t>muzzle</t>
        </is>
      </c>
      <c r="L76" t="inlineStr">
        <is>
          <t>fortress_bastion</t>
        </is>
      </c>
      <c r="M76" t="n">
        <v>1.812</v>
      </c>
      <c r="N76" t="n">
        <v>1.51</v>
      </c>
      <c r="O76" t="n">
        <v>10.33</v>
      </c>
      <c r="P76" t="n">
        <v>4.98</v>
      </c>
      <c r="Q76" t="n">
        <v>5.35</v>
      </c>
      <c r="R76" t="n">
        <v>18.68</v>
      </c>
      <c r="S76" t="n">
        <v>6.68</v>
      </c>
      <c r="T76" t="inlineStr">
        <is>
          <t>Mount_mg</t>
        </is>
      </c>
      <c r="U76" t="n">
        <v>6.6</v>
      </c>
      <c r="V76" t="n">
        <v>4.77</v>
      </c>
      <c r="W76" t="n">
        <v>11.325</v>
      </c>
      <c r="X76" t="n">
        <v>0</v>
      </c>
      <c r="Y76" t="n">
        <v>20</v>
      </c>
      <c r="Z76" t="n">
        <v>70</v>
      </c>
      <c r="AA76" t="inlineStr"/>
      <c r="AB76" t="n">
        <v>360</v>
      </c>
      <c r="AC76" t="inlineStr">
        <is>
          <t>lop:sung_may</t>
        </is>
      </c>
      <c r="AD76" t="b">
        <v>1</v>
      </c>
      <c r="AE76" t="n">
        <v>0</v>
      </c>
      <c r="AF76" t="n">
        <v>0</v>
      </c>
      <c r="AG76" t="n">
        <v>0</v>
      </c>
      <c r="AH76" t="n">
        <v>30</v>
      </c>
      <c r="AI76" t="n">
        <v>240</v>
      </c>
      <c r="AJ76" t="n">
        <v>17.16</v>
      </c>
      <c r="AK76" t="inlineStr"/>
      <c r="AL76" t="n">
        <v>1.3</v>
      </c>
      <c r="AM76" t="inlineStr">
        <is>
          <t>ban_thang</t>
        </is>
      </c>
      <c r="AN76" t="n">
        <v>24.81</v>
      </c>
      <c r="AO76" t="n">
        <v>29.57</v>
      </c>
      <c r="AP76" t="n">
        <v>30.4</v>
      </c>
      <c r="AQ76" t="n">
        <v>28.75</v>
      </c>
      <c r="AR76" t="n">
        <v>0</v>
      </c>
      <c r="AS76" t="b">
        <v>0</v>
      </c>
      <c r="AT76" t="inlineStr">
        <is>
          <t>khong_ap:phong_thu_gan</t>
        </is>
      </c>
      <c r="AU76" t="b">
        <v>0</v>
      </c>
      <c r="AV76" t="inlineStr"/>
      <c r="AW76" t="n">
        <v>0</v>
      </c>
      <c r="AX76" t="n">
        <v>30</v>
      </c>
      <c r="AY76" t="inlineStr"/>
      <c r="AZ76" t="n">
        <v>14</v>
      </c>
      <c r="BA76" t="inlineStr">
        <is>
          <t>p26_bastion_close_boss_hmg;p26_bastion_tiny_autocannon_40;p26_bastion_tiny_kornet_twin;p26_bastion_tiny_zu23</t>
        </is>
      </c>
      <c r="BB76" t="n">
        <v>100</v>
      </c>
      <c r="BC76" t="b">
        <v>1</v>
      </c>
      <c r="BD76" t="inlineStr">
        <is>
          <t>Assets/MachineBrigade/Resources/Data/balance.json: vehicles[id=fortress_bastion] x Resources/Models/fortress_bastion.glb</t>
        </is>
      </c>
      <c r="BE76" t="inlineStr"/>
    </row>
    <row r="77">
      <c r="A77" t="inlineStr">
        <is>
          <t>fortress_bastion/7</t>
        </is>
      </c>
      <c r="B77" t="inlineStr">
        <is>
          <t>fortress_bastion</t>
        </is>
      </c>
      <c r="C77" t="inlineStr">
        <is>
          <t>p26_bastion_close_boss_hmg</t>
        </is>
      </c>
      <c r="D77" t="inlineStr">
        <is>
          <t>turret_rr</t>
        </is>
      </c>
      <c r="E77" t="n">
        <v>7</v>
      </c>
      <c r="F77" t="inlineStr">
        <is>
          <t>mg</t>
        </is>
      </c>
      <c r="G77" t="inlineStr">
        <is>
          <t>Free</t>
        </is>
      </c>
      <c r="H77" t="inlineStr">
        <is>
          <t>sung_may</t>
        </is>
      </c>
      <c r="I77" t="inlineStr">
        <is>
          <t>phong_thu_gan</t>
        </is>
      </c>
      <c r="J77" t="inlineStr">
        <is>
          <t>Muzzle_mg.001</t>
        </is>
      </c>
      <c r="K77" t="inlineStr">
        <is>
          <t>muzzle</t>
        </is>
      </c>
      <c r="L77" t="inlineStr">
        <is>
          <t>fortress_bastion</t>
        </is>
      </c>
      <c r="M77" t="n">
        <v>1.812</v>
      </c>
      <c r="N77" t="n">
        <v>1.51</v>
      </c>
      <c r="O77" t="n">
        <v>10.33</v>
      </c>
      <c r="P77" t="n">
        <v>4.98</v>
      </c>
      <c r="Q77" t="n">
        <v>5.35</v>
      </c>
      <c r="R77" t="n">
        <v>18.68</v>
      </c>
      <c r="S77" t="n">
        <v>6.68</v>
      </c>
      <c r="T77" t="inlineStr">
        <is>
          <t>Mount_mg.001</t>
        </is>
      </c>
      <c r="U77" t="n">
        <v>6.6</v>
      </c>
      <c r="V77" t="n">
        <v>4.77</v>
      </c>
      <c r="W77" t="n">
        <v>11.325</v>
      </c>
      <c r="X77" t="n">
        <v>0</v>
      </c>
      <c r="Y77" t="n">
        <v>20</v>
      </c>
      <c r="Z77" t="n">
        <v>70</v>
      </c>
      <c r="AA77" t="inlineStr"/>
      <c r="AB77" t="n">
        <v>360</v>
      </c>
      <c r="AC77" t="inlineStr">
        <is>
          <t>lop:sung_may</t>
        </is>
      </c>
      <c r="AD77" t="b">
        <v>1</v>
      </c>
      <c r="AE77" t="n">
        <v>0</v>
      </c>
      <c r="AF77" t="n">
        <v>0</v>
      </c>
      <c r="AG77" t="n">
        <v>0</v>
      </c>
      <c r="AH77" t="n">
        <v>30</v>
      </c>
      <c r="AI77" t="n">
        <v>240</v>
      </c>
      <c r="AJ77" t="n">
        <v>17.16</v>
      </c>
      <c r="AK77" t="inlineStr"/>
      <c r="AL77" t="n">
        <v>1.3</v>
      </c>
      <c r="AM77" t="inlineStr">
        <is>
          <t>ban_thang</t>
        </is>
      </c>
      <c r="AN77" t="n">
        <v>24.81</v>
      </c>
      <c r="AO77" t="n">
        <v>29.57</v>
      </c>
      <c r="AP77" t="n">
        <v>30.4</v>
      </c>
      <c r="AQ77" t="n">
        <v>28.75</v>
      </c>
      <c r="AR77" t="n">
        <v>0</v>
      </c>
      <c r="AS77" t="b">
        <v>0</v>
      </c>
      <c r="AT77" t="inlineStr">
        <is>
          <t>khong_ap:phong_thu_gan</t>
        </is>
      </c>
      <c r="AU77" t="b">
        <v>0</v>
      </c>
      <c r="AV77" t="inlineStr"/>
      <c r="AW77" t="n">
        <v>0</v>
      </c>
      <c r="AX77" t="n">
        <v>30</v>
      </c>
      <c r="AY77" t="inlineStr"/>
      <c r="AZ77" t="n">
        <v>14</v>
      </c>
      <c r="BA77" t="inlineStr">
        <is>
          <t>p26_bastion_close_boss_hmg;p26_bastion_tiny_autocannon_40;p26_bastion_tiny_kornet_twin;p26_bastion_tiny_zu23</t>
        </is>
      </c>
      <c r="BB77" t="n">
        <v>100</v>
      </c>
      <c r="BC77" t="b">
        <v>1</v>
      </c>
      <c r="BD77" t="inlineStr">
        <is>
          <t>Assets/MachineBrigade/Resources/Data/balance.json: vehicles[id=fortress_bastion] x Resources/Models/fortress_bastion.glb</t>
        </is>
      </c>
      <c r="BE77" t="inlineStr"/>
    </row>
    <row r="78">
      <c r="A78" t="inlineStr">
        <is>
          <t>fortress_bastion/8</t>
        </is>
      </c>
      <c r="B78" t="inlineStr">
        <is>
          <t>fortress_bastion</t>
        </is>
      </c>
      <c r="C78" t="inlineStr">
        <is>
          <t>p26_bastion_main_b155</t>
        </is>
      </c>
      <c r="D78" t="inlineStr">
        <is>
          <t>casemate</t>
        </is>
      </c>
      <c r="E78" t="n">
        <v>8</v>
      </c>
      <c r="F78" t="inlineStr">
        <is>
          <t>gun</t>
        </is>
      </c>
      <c r="G78" t="inlineStr">
        <is>
          <t>Free</t>
        </is>
      </c>
      <c r="H78" t="inlineStr">
        <is>
          <t>ban_cau</t>
        </is>
      </c>
      <c r="I78" t="inlineStr">
        <is>
          <t>chinh</t>
        </is>
      </c>
      <c r="J78" t="inlineStr">
        <is>
          <t>Muzzle_gun.004</t>
        </is>
      </c>
      <c r="K78" t="inlineStr">
        <is>
          <t>muzzle</t>
        </is>
      </c>
      <c r="L78" t="inlineStr">
        <is>
          <t>fortress_bastion</t>
        </is>
      </c>
      <c r="M78" t="n">
        <v>1.812</v>
      </c>
      <c r="N78" t="n">
        <v>1.51</v>
      </c>
      <c r="O78" t="n">
        <v>5.8</v>
      </c>
      <c r="P78" t="n">
        <v>4.83</v>
      </c>
      <c r="Q78" t="n">
        <v>0.97</v>
      </c>
      <c r="R78" t="n">
        <v>18.68</v>
      </c>
      <c r="S78" t="n">
        <v>26.11</v>
      </c>
      <c r="T78" t="inlineStr">
        <is>
          <t>Mount_gun.004</t>
        </is>
      </c>
      <c r="U78" t="n">
        <v>15.8</v>
      </c>
      <c r="V78" t="n">
        <v>10.31</v>
      </c>
      <c r="W78" t="n">
        <v>11.325</v>
      </c>
      <c r="X78" t="n">
        <v>0</v>
      </c>
      <c r="Y78" t="inlineStr"/>
      <c r="Z78" t="n">
        <v>70</v>
      </c>
      <c r="AA78" t="n">
        <v>5</v>
      </c>
      <c r="AB78" t="n">
        <v>120</v>
      </c>
      <c r="AC78" t="inlineStr">
        <is>
          <t>lop:ban_cau</t>
        </is>
      </c>
      <c r="AD78" t="b">
        <v>1</v>
      </c>
      <c r="AE78" t="n">
        <v>20</v>
      </c>
      <c r="AF78" t="n">
        <v>20</v>
      </c>
      <c r="AG78" t="n">
        <v>0</v>
      </c>
      <c r="AH78" t="n">
        <v>75</v>
      </c>
      <c r="AI78" t="n">
        <v>150</v>
      </c>
      <c r="AJ78" t="n">
        <v>27.12</v>
      </c>
      <c r="AK78" t="inlineStr"/>
      <c r="AL78" t="n">
        <v>1.3</v>
      </c>
      <c r="AM78" t="inlineStr">
        <is>
          <t>v2_sin2theta_g</t>
        </is>
      </c>
      <c r="AN78" t="n">
        <v>13.02</v>
      </c>
      <c r="AO78" t="n">
        <v>13.02</v>
      </c>
      <c r="AP78" t="n">
        <v>13.02</v>
      </c>
      <c r="AQ78" t="n">
        <v>13.02</v>
      </c>
      <c r="AR78" t="n">
        <v>20</v>
      </c>
      <c r="AS78" t="b">
        <v>1</v>
      </c>
      <c r="AT78" t="inlineStr">
        <is>
          <t>minRange</t>
        </is>
      </c>
      <c r="AU78" t="b">
        <v>0</v>
      </c>
      <c r="AV78" t="inlineStr"/>
      <c r="AW78" t="n">
        <v>20</v>
      </c>
      <c r="AX78" t="n">
        <v>75</v>
      </c>
      <c r="AY78" t="n">
        <v>3.75</v>
      </c>
      <c r="AZ78" t="n">
        <v>14</v>
      </c>
      <c r="BA78" t="inlineStr">
        <is>
          <t>p26_bastion_close_boss_hmg;p26_bastion_tiny_autocannon_40;p26_bastion_tiny_kornet_twin;p26_bastion_tiny_zu23</t>
        </is>
      </c>
      <c r="BB78" t="n">
        <v>100</v>
      </c>
      <c r="BC78" t="b">
        <v>1</v>
      </c>
      <c r="BD78" t="inlineStr">
        <is>
          <t>Assets/MachineBrigade/Resources/Data/balance.json: vehicles[id=fortress_bastion] x Resources/Models/fortress_bastion.glb</t>
        </is>
      </c>
      <c r="BE78" t="inlineStr"/>
    </row>
    <row r="79">
      <c r="A79" t="inlineStr">
        <is>
          <t>fortress_bastion/9</t>
        </is>
      </c>
      <c r="B79" t="inlineStr">
        <is>
          <t>fortress_bastion</t>
        </is>
      </c>
      <c r="C79" t="inlineStr">
        <is>
          <t>p26_bastion_tiny_zu23</t>
        </is>
      </c>
      <c r="D79" t="inlineStr">
        <is>
          <t>zu23_l</t>
        </is>
      </c>
      <c r="E79" t="n">
        <v>9</v>
      </c>
      <c r="F79" t="inlineStr">
        <is>
          <t>mg</t>
        </is>
      </c>
      <c r="G79" t="inlineStr">
        <is>
          <t>Free</t>
        </is>
      </c>
      <c r="H79" t="inlineStr">
        <is>
          <t>phao_nho_ciws</t>
        </is>
      </c>
      <c r="I79" t="inlineStr">
        <is>
          <t>phong_thu_gan</t>
        </is>
      </c>
      <c r="J79" t="inlineStr">
        <is>
          <t>Muzzle_mg</t>
        </is>
      </c>
      <c r="K79" t="inlineStr">
        <is>
          <t>muzzle</t>
        </is>
      </c>
      <c r="L79" t="inlineStr">
        <is>
          <t>fortress_bastion</t>
        </is>
      </c>
      <c r="M79" t="n">
        <v>1.812</v>
      </c>
      <c r="N79" t="n">
        <v>1.51</v>
      </c>
      <c r="O79" t="n">
        <v>10.33</v>
      </c>
      <c r="P79" t="n">
        <v>8.15</v>
      </c>
      <c r="Q79" t="n">
        <v>2.17</v>
      </c>
      <c r="R79" t="n">
        <v>18.68</v>
      </c>
      <c r="S79" t="n">
        <v>6.68</v>
      </c>
      <c r="T79" t="inlineStr">
        <is>
          <t>Mount_mg</t>
        </is>
      </c>
      <c r="U79" t="n">
        <v>6.6</v>
      </c>
      <c r="V79" t="n">
        <v>4.77</v>
      </c>
      <c r="W79" t="n">
        <v>11.325</v>
      </c>
      <c r="X79" t="n">
        <v>0</v>
      </c>
      <c r="Y79" t="n">
        <v>15</v>
      </c>
      <c r="Z79" t="n">
        <v>85</v>
      </c>
      <c r="AA79" t="inlineStr"/>
      <c r="AB79" t="n">
        <v>360</v>
      </c>
      <c r="AC79" t="inlineStr">
        <is>
          <t>lop:phao_nho_ciws</t>
        </is>
      </c>
      <c r="AD79" t="b">
        <v>1</v>
      </c>
      <c r="AE79" t="n">
        <v>0</v>
      </c>
      <c r="AF79" t="n">
        <v>0</v>
      </c>
      <c r="AG79" t="n">
        <v>0</v>
      </c>
      <c r="AH79" t="n">
        <v>38</v>
      </c>
      <c r="AI79" t="n">
        <v>240</v>
      </c>
      <c r="AJ79" t="n">
        <v>19.31</v>
      </c>
      <c r="AK79" t="inlineStr"/>
      <c r="AL79" t="n">
        <v>1.3</v>
      </c>
      <c r="AM79" t="inlineStr">
        <is>
          <t>ban_thang</t>
        </is>
      </c>
      <c r="AN79" t="n">
        <v>33.69</v>
      </c>
      <c r="AO79" t="n">
        <v>38.46</v>
      </c>
      <c r="AP79" t="n">
        <v>39.58</v>
      </c>
      <c r="AQ79" t="n">
        <v>37.34</v>
      </c>
      <c r="AR79" t="n">
        <v>0</v>
      </c>
      <c r="AS79" t="b">
        <v>0</v>
      </c>
      <c r="AT79" t="inlineStr">
        <is>
          <t>khong_ap:phong_thu_gan</t>
        </is>
      </c>
      <c r="AU79" t="b">
        <v>0</v>
      </c>
      <c r="AV79" t="inlineStr"/>
      <c r="AW79" t="n">
        <v>0</v>
      </c>
      <c r="AX79" t="n">
        <v>38</v>
      </c>
      <c r="AY79" t="inlineStr"/>
      <c r="AZ79" t="n">
        <v>14</v>
      </c>
      <c r="BA79" t="inlineStr">
        <is>
          <t>p26_bastion_close_boss_hmg;p26_bastion_tiny_autocannon_40;p26_bastion_tiny_kornet_twin;p26_bastion_tiny_zu23</t>
        </is>
      </c>
      <c r="BB79" t="n">
        <v>100</v>
      </c>
      <c r="BC79" t="b">
        <v>1</v>
      </c>
      <c r="BD79" t="inlineStr">
        <is>
          <t>Assets/MachineBrigade/Resources/Data/balance.json: vehicles[id=fortress_bastion] x Resources/Models/fortress_bastion.glb</t>
        </is>
      </c>
      <c r="BE79" t="inlineStr"/>
    </row>
    <row r="80">
      <c r="A80" t="inlineStr">
        <is>
          <t>fortress_bastion/10</t>
        </is>
      </c>
      <c r="B80" t="inlineStr">
        <is>
          <t>fortress_bastion</t>
        </is>
      </c>
      <c r="C80" t="inlineStr">
        <is>
          <t>p26_bastion_tiny_zu23</t>
        </is>
      </c>
      <c r="D80" t="inlineStr">
        <is>
          <t>zu23_r</t>
        </is>
      </c>
      <c r="E80" t="n">
        <v>10</v>
      </c>
      <c r="F80" t="inlineStr">
        <is>
          <t>mg</t>
        </is>
      </c>
      <c r="G80" t="inlineStr">
        <is>
          <t>Free</t>
        </is>
      </c>
      <c r="H80" t="inlineStr">
        <is>
          <t>phao_nho_ciws</t>
        </is>
      </c>
      <c r="I80" t="inlineStr">
        <is>
          <t>phong_thu_gan</t>
        </is>
      </c>
      <c r="J80" t="inlineStr">
        <is>
          <t>Muzzle_mg.001</t>
        </is>
      </c>
      <c r="K80" t="inlineStr">
        <is>
          <t>muzzle</t>
        </is>
      </c>
      <c r="L80" t="inlineStr">
        <is>
          <t>fortress_bastion</t>
        </is>
      </c>
      <c r="M80" t="n">
        <v>1.812</v>
      </c>
      <c r="N80" t="n">
        <v>1.51</v>
      </c>
      <c r="O80" t="n">
        <v>10.33</v>
      </c>
      <c r="P80" t="n">
        <v>8.15</v>
      </c>
      <c r="Q80" t="n">
        <v>2.17</v>
      </c>
      <c r="R80" t="n">
        <v>18.68</v>
      </c>
      <c r="S80" t="n">
        <v>6.68</v>
      </c>
      <c r="T80" t="inlineStr">
        <is>
          <t>Mount_mg.001</t>
        </is>
      </c>
      <c r="U80" t="n">
        <v>6.6</v>
      </c>
      <c r="V80" t="n">
        <v>4.77</v>
      </c>
      <c r="W80" t="n">
        <v>11.325</v>
      </c>
      <c r="X80" t="n">
        <v>0</v>
      </c>
      <c r="Y80" t="n">
        <v>15</v>
      </c>
      <c r="Z80" t="n">
        <v>85</v>
      </c>
      <c r="AA80" t="inlineStr"/>
      <c r="AB80" t="n">
        <v>360</v>
      </c>
      <c r="AC80" t="inlineStr">
        <is>
          <t>lop:phao_nho_ciws</t>
        </is>
      </c>
      <c r="AD80" t="b">
        <v>1</v>
      </c>
      <c r="AE80" t="n">
        <v>0</v>
      </c>
      <c r="AF80" t="n">
        <v>0</v>
      </c>
      <c r="AG80" t="n">
        <v>0</v>
      </c>
      <c r="AH80" t="n">
        <v>38</v>
      </c>
      <c r="AI80" t="n">
        <v>240</v>
      </c>
      <c r="AJ80" t="n">
        <v>19.31</v>
      </c>
      <c r="AK80" t="inlineStr"/>
      <c r="AL80" t="n">
        <v>1.3</v>
      </c>
      <c r="AM80" t="inlineStr">
        <is>
          <t>ban_thang</t>
        </is>
      </c>
      <c r="AN80" t="n">
        <v>33.69</v>
      </c>
      <c r="AO80" t="n">
        <v>38.46</v>
      </c>
      <c r="AP80" t="n">
        <v>39.58</v>
      </c>
      <c r="AQ80" t="n">
        <v>37.34</v>
      </c>
      <c r="AR80" t="n">
        <v>0</v>
      </c>
      <c r="AS80" t="b">
        <v>0</v>
      </c>
      <c r="AT80" t="inlineStr">
        <is>
          <t>khong_ap:phong_thu_gan</t>
        </is>
      </c>
      <c r="AU80" t="b">
        <v>0</v>
      </c>
      <c r="AV80" t="inlineStr"/>
      <c r="AW80" t="n">
        <v>0</v>
      </c>
      <c r="AX80" t="n">
        <v>38</v>
      </c>
      <c r="AY80" t="inlineStr"/>
      <c r="AZ80" t="n">
        <v>14</v>
      </c>
      <c r="BA80" t="inlineStr">
        <is>
          <t>p26_bastion_close_boss_hmg;p26_bastion_tiny_autocannon_40;p26_bastion_tiny_kornet_twin;p26_bastion_tiny_zu23</t>
        </is>
      </c>
      <c r="BB80" t="n">
        <v>100</v>
      </c>
      <c r="BC80" t="b">
        <v>1</v>
      </c>
      <c r="BD80" t="inlineStr">
        <is>
          <t>Assets/MachineBrigade/Resources/Data/balance.json: vehicles[id=fortress_bastion] x Resources/Models/fortress_bastion.glb</t>
        </is>
      </c>
      <c r="BE80" t="inlineStr"/>
    </row>
    <row r="81">
      <c r="A81" t="inlineStr">
        <is>
          <t>hydra/0</t>
        </is>
      </c>
      <c r="B81" t="inlineStr">
        <is>
          <t>hydra</t>
        </is>
      </c>
      <c r="C81" t="inlineStr">
        <is>
          <t>p26_typhon_sec_ty57</t>
        </is>
      </c>
      <c r="D81" t="inlineStr"/>
      <c r="E81" t="n">
        <v>0</v>
      </c>
      <c r="F81" t="inlineStr">
        <is>
          <t>missile</t>
        </is>
      </c>
      <c r="G81" t="inlineStr"/>
      <c r="H81" t="inlineStr">
        <is>
          <t>phao_ham</t>
        </is>
      </c>
      <c r="I81" t="inlineStr">
        <is>
          <t>chinh</t>
        </is>
      </c>
      <c r="J81" t="inlineStr"/>
      <c r="K81" t="inlineStr">
        <is>
          <t>hop_bao</t>
        </is>
      </c>
      <c r="L81" t="inlineStr">
        <is>
          <t>hydra_sub</t>
        </is>
      </c>
      <c r="M81" t="n">
        <v>1.0029</v>
      </c>
      <c r="N81" t="n">
        <v>0.6</v>
      </c>
      <c r="O81" t="n">
        <v>4.38</v>
      </c>
      <c r="P81" t="inlineStr"/>
      <c r="Q81" t="inlineStr"/>
      <c r="R81" t="n">
        <v>5.84</v>
      </c>
      <c r="S81" t="n">
        <v>0</v>
      </c>
      <c r="T81" t="inlineStr"/>
      <c r="U81" t="n">
        <v>0</v>
      </c>
      <c r="V81" t="n">
        <v>0</v>
      </c>
      <c r="W81" t="n">
        <v>6.59958728</v>
      </c>
      <c r="X81" t="n">
        <v>0</v>
      </c>
      <c r="Y81" t="n">
        <v>5</v>
      </c>
      <c r="Z81" t="n">
        <v>45</v>
      </c>
      <c r="AA81" t="inlineStr"/>
      <c r="AB81" t="n">
        <v>360</v>
      </c>
      <c r="AC81" t="inlineStr">
        <is>
          <t>lop:phao_ham</t>
        </is>
      </c>
      <c r="AD81" t="b">
        <v>1</v>
      </c>
      <c r="AE81" t="n">
        <v>8</v>
      </c>
      <c r="AF81" t="n">
        <v>0</v>
      </c>
      <c r="AG81" t="n">
        <v>8</v>
      </c>
      <c r="AH81" t="n">
        <v>40</v>
      </c>
      <c r="AI81" t="n">
        <v>150</v>
      </c>
      <c r="AJ81" t="n">
        <v>19.81</v>
      </c>
      <c r="AK81" t="inlineStr"/>
      <c r="AL81" t="n">
        <v>1.3</v>
      </c>
      <c r="AM81" t="inlineStr">
        <is>
          <t>ban_thang</t>
        </is>
      </c>
      <c r="AN81" t="n">
        <v>35.22</v>
      </c>
      <c r="AO81" t="n">
        <v>35.22</v>
      </c>
      <c r="AP81" t="n">
        <v>38.65</v>
      </c>
      <c r="AQ81" t="n">
        <v>31.79</v>
      </c>
      <c r="AR81" t="n">
        <v>35</v>
      </c>
      <c r="AS81" t="b">
        <v>1</v>
      </c>
      <c r="AT81" t="inlineStr">
        <is>
          <t>groundMinReach</t>
        </is>
      </c>
      <c r="AU81" t="b">
        <v>0</v>
      </c>
      <c r="AV81" t="inlineStr">
        <is>
          <t>hydra</t>
        </is>
      </c>
      <c r="AW81" t="n">
        <v>35</v>
      </c>
      <c r="AX81" t="n">
        <v>112</v>
      </c>
      <c r="AY81" t="n">
        <v>3.2</v>
      </c>
      <c r="AZ81" t="n">
        <v>8</v>
      </c>
      <c r="BA81" t="inlineStr"/>
      <c r="BB81" t="n">
        <v>100</v>
      </c>
      <c r="BC81" t="b">
        <v>1</v>
      </c>
      <c r="BD81" t="inlineStr">
        <is>
          <t>Assets/MachineBrigade/Resources/Data/balance.json: vehicles[id=hydra] x Resources/Models/hydra_sub.glb</t>
        </is>
      </c>
      <c r="BE81" t="inlineStr"/>
    </row>
    <row r="82">
      <c r="A82" t="inlineStr">
        <is>
          <t>hydra/1</t>
        </is>
      </c>
      <c r="B82" t="inlineStr">
        <is>
          <t>hydra</t>
        </is>
      </c>
      <c r="C82" t="inlineStr">
        <is>
          <t>p26_typhon_sec_ty57</t>
        </is>
      </c>
      <c r="D82" t="inlineStr"/>
      <c r="E82" t="n">
        <v>1</v>
      </c>
      <c r="F82" t="inlineStr">
        <is>
          <t>gun</t>
        </is>
      </c>
      <c r="G82" t="inlineStr">
        <is>
          <t>Free</t>
        </is>
      </c>
      <c r="H82" t="inlineStr">
        <is>
          <t>sung_phu</t>
        </is>
      </c>
      <c r="I82" t="inlineStr">
        <is>
          <t>chinh</t>
        </is>
      </c>
      <c r="J82" t="inlineStr">
        <is>
          <t>Muzzle_gun</t>
        </is>
      </c>
      <c r="K82" t="inlineStr">
        <is>
          <t>muzzle</t>
        </is>
      </c>
      <c r="L82" t="inlineStr">
        <is>
          <t>hydra_sub</t>
        </is>
      </c>
      <c r="M82" t="n">
        <v>1.0029</v>
      </c>
      <c r="N82" t="n">
        <v>0.6</v>
      </c>
      <c r="O82" t="n">
        <v>2.46</v>
      </c>
      <c r="P82" t="inlineStr"/>
      <c r="Q82" t="inlineStr"/>
      <c r="R82" t="n">
        <v>5.84</v>
      </c>
      <c r="S82" t="n">
        <v>14.88</v>
      </c>
      <c r="T82" t="inlineStr">
        <is>
          <t>Mount_gun</t>
        </is>
      </c>
      <c r="U82" t="n">
        <v>12.64</v>
      </c>
      <c r="V82" t="n">
        <v>2.25</v>
      </c>
      <c r="W82" t="n">
        <v>6.59958728</v>
      </c>
      <c r="X82" t="n">
        <v>0</v>
      </c>
      <c r="Y82" t="n">
        <v>15</v>
      </c>
      <c r="Z82" t="n">
        <v>70</v>
      </c>
      <c r="AA82" t="inlineStr"/>
      <c r="AB82" t="n">
        <v>300</v>
      </c>
      <c r="AC82" t="inlineStr">
        <is>
          <t>lop:sung_phu</t>
        </is>
      </c>
      <c r="AD82" t="b">
        <v>1</v>
      </c>
      <c r="AE82" t="n">
        <v>8</v>
      </c>
      <c r="AF82" t="n">
        <v>0</v>
      </c>
      <c r="AG82" t="n">
        <v>8</v>
      </c>
      <c r="AH82" t="n">
        <v>40</v>
      </c>
      <c r="AI82" t="n">
        <v>150</v>
      </c>
      <c r="AJ82" t="n">
        <v>19.81</v>
      </c>
      <c r="AK82" t="inlineStr"/>
      <c r="AL82" t="n">
        <v>1.3</v>
      </c>
      <c r="AM82" t="inlineStr">
        <is>
          <t>ban_thang</t>
        </is>
      </c>
      <c r="AN82" t="n">
        <v>4.32</v>
      </c>
      <c r="AO82" t="n">
        <v>6.56</v>
      </c>
      <c r="AP82" t="n">
        <v>7.68</v>
      </c>
      <c r="AQ82" t="n">
        <v>5.45</v>
      </c>
      <c r="AR82" t="n">
        <v>8</v>
      </c>
      <c r="AS82" t="b">
        <v>1</v>
      </c>
      <c r="AT82" t="inlineStr">
        <is>
          <t>groundMinReach</t>
        </is>
      </c>
      <c r="AU82" t="b">
        <v>0</v>
      </c>
      <c r="AV82" t="inlineStr">
        <is>
          <t>hydra</t>
        </is>
      </c>
      <c r="AW82" t="n">
        <v>35</v>
      </c>
      <c r="AX82" t="n">
        <v>112</v>
      </c>
      <c r="AY82" t="n">
        <v>3.2</v>
      </c>
      <c r="AZ82" t="n">
        <v>8</v>
      </c>
      <c r="BA82" t="inlineStr"/>
      <c r="BB82" t="n">
        <v>100</v>
      </c>
      <c r="BC82" t="b">
        <v>1</v>
      </c>
      <c r="BD82" t="inlineStr">
        <is>
          <t>Assets/MachineBrigade/Resources/Data/balance.json: vehicles[id=hydra] x Resources/Models/hydra_sub.glb</t>
        </is>
      </c>
      <c r="BE82" t="inlineStr"/>
    </row>
    <row r="83">
      <c r="A83" t="inlineStr">
        <is>
          <t>hydra/2</t>
        </is>
      </c>
      <c r="B83" t="inlineStr">
        <is>
          <t>hydra</t>
        </is>
      </c>
      <c r="C83" t="inlineStr">
        <is>
          <t>p26_typhon_direct_ty100</t>
        </is>
      </c>
      <c r="D83" t="inlineStr">
        <is>
          <t>deck_gun</t>
        </is>
      </c>
      <c r="E83" t="n">
        <v>2</v>
      </c>
      <c r="F83" t="inlineStr">
        <is>
          <t>gun</t>
        </is>
      </c>
      <c r="G83" t="inlineStr">
        <is>
          <t>Free</t>
        </is>
      </c>
      <c r="H83" t="inlineStr">
        <is>
          <t>sung_phu</t>
        </is>
      </c>
      <c r="I83" t="inlineStr">
        <is>
          <t>chinh</t>
        </is>
      </c>
      <c r="J83" t="inlineStr">
        <is>
          <t>Muzzle_gun.001</t>
        </is>
      </c>
      <c r="K83" t="inlineStr">
        <is>
          <t>muzzle</t>
        </is>
      </c>
      <c r="L83" t="inlineStr">
        <is>
          <t>hydra_sub</t>
        </is>
      </c>
      <c r="M83" t="n">
        <v>1.0029</v>
      </c>
      <c r="N83" t="n">
        <v>0.6</v>
      </c>
      <c r="O83" t="n">
        <v>2.38</v>
      </c>
      <c r="P83" t="n">
        <v>3.15</v>
      </c>
      <c r="Q83" t="n">
        <v>-0.77</v>
      </c>
      <c r="R83" t="n">
        <v>5.84</v>
      </c>
      <c r="S83" t="n">
        <v>7.48</v>
      </c>
      <c r="T83" t="inlineStr">
        <is>
          <t>Mount_gun.001</t>
        </is>
      </c>
      <c r="U83" t="n">
        <v>9.73</v>
      </c>
      <c r="V83" t="n">
        <v>2.25</v>
      </c>
      <c r="W83" t="n">
        <v>6.59958728</v>
      </c>
      <c r="X83" t="n">
        <v>0</v>
      </c>
      <c r="Y83" t="n">
        <v>15</v>
      </c>
      <c r="Z83" t="n">
        <v>70</v>
      </c>
      <c r="AA83" t="inlineStr"/>
      <c r="AB83" t="n">
        <v>300</v>
      </c>
      <c r="AC83" t="inlineStr">
        <is>
          <t>lop:sung_phu</t>
        </is>
      </c>
      <c r="AD83" t="b">
        <v>1</v>
      </c>
      <c r="AE83" t="n">
        <v>8</v>
      </c>
      <c r="AF83" t="n">
        <v>0</v>
      </c>
      <c r="AG83" t="n">
        <v>8</v>
      </c>
      <c r="AH83" t="n">
        <v>90</v>
      </c>
      <c r="AI83" t="n">
        <v>120</v>
      </c>
      <c r="AJ83" t="n">
        <v>29.71</v>
      </c>
      <c r="AK83" t="inlineStr"/>
      <c r="AL83" t="n">
        <v>1.3</v>
      </c>
      <c r="AM83" t="inlineStr">
        <is>
          <t>ban_thang</t>
        </is>
      </c>
      <c r="AN83" t="n">
        <v>4.02</v>
      </c>
      <c r="AO83" t="n">
        <v>6.27</v>
      </c>
      <c r="AP83" t="n">
        <v>7.38</v>
      </c>
      <c r="AQ83" t="n">
        <v>5.15</v>
      </c>
      <c r="AR83" t="n">
        <v>8</v>
      </c>
      <c r="AS83" t="b">
        <v>1</v>
      </c>
      <c r="AT83" t="inlineStr">
        <is>
          <t>groundMinReach</t>
        </is>
      </c>
      <c r="AU83" t="b">
        <v>0</v>
      </c>
      <c r="AV83" t="inlineStr">
        <is>
          <t>hydra</t>
        </is>
      </c>
      <c r="AW83" t="n">
        <v>8</v>
      </c>
      <c r="AX83" t="n">
        <v>90</v>
      </c>
      <c r="AY83" t="n">
        <v>11.25</v>
      </c>
      <c r="AZ83" t="n">
        <v>8</v>
      </c>
      <c r="BA83" t="inlineStr"/>
      <c r="BB83" t="n">
        <v>100</v>
      </c>
      <c r="BC83" t="b">
        <v>1</v>
      </c>
      <c r="BD83" t="inlineStr">
        <is>
          <t>Assets/MachineBrigade/Resources/Data/balance.json: vehicles[id=hydra] x Resources/Models/hydra_sub.glb</t>
        </is>
      </c>
      <c r="BE83" t="inlineStr"/>
    </row>
    <row r="84">
      <c r="A84" t="inlineStr">
        <is>
          <t>hyperion/0</t>
        </is>
      </c>
      <c r="B84" t="inlineStr">
        <is>
          <t>hyperion</t>
        </is>
      </c>
      <c r="C84" t="inlineStr">
        <is>
          <t>p26_icarus_sec_orbital_laser</t>
        </is>
      </c>
      <c r="D84" t="inlineStr">
        <is>
          <t>main_laser</t>
        </is>
      </c>
      <c r="E84" t="n">
        <v>0</v>
      </c>
      <c r="F84" t="inlineStr">
        <is>
          <t>main</t>
        </is>
      </c>
      <c r="G84" t="inlineStr">
        <is>
          <t>Free</t>
        </is>
      </c>
      <c r="H84" t="inlineStr">
        <is>
          <t>phao_boss</t>
        </is>
      </c>
      <c r="I84" t="inlineStr">
        <is>
          <t>chinh</t>
        </is>
      </c>
      <c r="J84" t="inlineStr">
        <is>
          <t>Muzzle_main</t>
        </is>
      </c>
      <c r="K84" t="inlineStr">
        <is>
          <t>muzzle</t>
        </is>
      </c>
      <c r="L84" t="inlineStr">
        <is>
          <t>hyperion</t>
        </is>
      </c>
      <c r="M84" t="n">
        <v>1.0015</v>
      </c>
      <c r="N84" t="n">
        <v>2.9732</v>
      </c>
      <c r="O84" t="n">
        <v>25.78</v>
      </c>
      <c r="P84" t="n">
        <v>26</v>
      </c>
      <c r="Q84" t="n">
        <v>-0.22</v>
      </c>
      <c r="R84" t="n">
        <v>45.08</v>
      </c>
      <c r="S84" t="n">
        <v>33.55</v>
      </c>
      <c r="T84" t="inlineStr">
        <is>
          <t>Turret</t>
        </is>
      </c>
      <c r="U84" t="n">
        <v>25.44</v>
      </c>
      <c r="V84" t="n">
        <v>8.109999999999999</v>
      </c>
      <c r="W84" t="n">
        <v>29.7324</v>
      </c>
      <c r="X84" t="n">
        <v>22</v>
      </c>
      <c r="Y84" t="n">
        <v>65</v>
      </c>
      <c r="Z84" t="n">
        <v>5</v>
      </c>
      <c r="AA84" t="inlineStr"/>
      <c r="AB84" t="n">
        <v>360</v>
      </c>
      <c r="AC84" t="inlineStr">
        <is>
          <t>lop:may_bay</t>
        </is>
      </c>
      <c r="AD84" t="b">
        <v>0</v>
      </c>
      <c r="AE84" t="n">
        <v>11</v>
      </c>
      <c r="AF84" t="n">
        <v>0</v>
      </c>
      <c r="AG84" t="n">
        <v>11</v>
      </c>
      <c r="AH84" t="n">
        <v>36</v>
      </c>
      <c r="AI84" t="n">
        <v>3000</v>
      </c>
      <c r="AJ84" t="n">
        <v>18.79</v>
      </c>
      <c r="AK84" t="inlineStr"/>
      <c r="AL84" t="n">
        <v>1.3</v>
      </c>
      <c r="AM84" t="inlineStr">
        <is>
          <t>ban_thang_may_bay</t>
        </is>
      </c>
      <c r="AN84" t="n">
        <v>11.41</v>
      </c>
      <c r="AO84" t="n">
        <v>19.53</v>
      </c>
      <c r="AP84" t="n">
        <v>19.67</v>
      </c>
      <c r="AQ84" t="n">
        <v>19.39</v>
      </c>
      <c r="AR84" t="n">
        <v>20</v>
      </c>
      <c r="AS84" t="b">
        <v>1</v>
      </c>
      <c r="AT84" t="inlineStr">
        <is>
          <t>groundMinReach</t>
        </is>
      </c>
      <c r="AU84" t="b">
        <v>0</v>
      </c>
      <c r="AV84" t="inlineStr">
        <is>
          <t>hyperion</t>
        </is>
      </c>
      <c r="AW84" t="n">
        <v>14</v>
      </c>
      <c r="AX84" t="n">
        <v>45</v>
      </c>
      <c r="AY84" t="n">
        <v>3.21</v>
      </c>
      <c r="AZ84" t="n">
        <v>0</v>
      </c>
      <c r="BA84" t="inlineStr"/>
      <c r="BB84" t="n">
        <v>100</v>
      </c>
      <c r="BC84" t="b">
        <v>1</v>
      </c>
      <c r="BD84" t="inlineStr">
        <is>
          <t>Assets/MachineBrigade/Resources/Data/balance.json: vehicles[id=hyperion] x Resources/Models/hyperion.glb</t>
        </is>
      </c>
      <c r="BE84" t="inlineStr"/>
    </row>
    <row r="85">
      <c r="A85" t="inlineStr">
        <is>
          <t>hyperion/1</t>
        </is>
      </c>
      <c r="B85" t="inlineStr">
        <is>
          <t>hyperion</t>
        </is>
      </c>
      <c r="C85" t="inlineStr">
        <is>
          <t>pt14_hp_155</t>
        </is>
      </c>
      <c r="D85" t="inlineStr"/>
      <c r="E85" t="n">
        <v>1</v>
      </c>
      <c r="F85" t="inlineStr">
        <is>
          <t>gun</t>
        </is>
      </c>
      <c r="G85" t="inlineStr">
        <is>
          <t>Free</t>
        </is>
      </c>
      <c r="H85" t="inlineStr">
        <is>
          <t>phao_boss</t>
        </is>
      </c>
      <c r="I85" t="inlineStr">
        <is>
          <t>chinh</t>
        </is>
      </c>
      <c r="J85" t="inlineStr">
        <is>
          <t>Muzzle_gun</t>
        </is>
      </c>
      <c r="K85" t="inlineStr">
        <is>
          <t>muzzle</t>
        </is>
      </c>
      <c r="L85" t="inlineStr">
        <is>
          <t>hyperion</t>
        </is>
      </c>
      <c r="M85" t="n">
        <v>1.0015</v>
      </c>
      <c r="N85" t="n">
        <v>2.9732</v>
      </c>
      <c r="O85" t="n">
        <v>38.21</v>
      </c>
      <c r="P85" t="inlineStr"/>
      <c r="Q85" t="inlineStr"/>
      <c r="R85" t="n">
        <v>45.08</v>
      </c>
      <c r="S85" t="n">
        <v>33.04</v>
      </c>
      <c r="T85" t="inlineStr">
        <is>
          <t>Mount_gun</t>
        </is>
      </c>
      <c r="U85" t="n">
        <v>23.79</v>
      </c>
      <c r="V85" t="n">
        <v>9.59</v>
      </c>
      <c r="W85" t="n">
        <v>29.7324</v>
      </c>
      <c r="X85" t="n">
        <v>22</v>
      </c>
      <c r="Y85" t="n">
        <v>65</v>
      </c>
      <c r="Z85" t="n">
        <v>5</v>
      </c>
      <c r="AA85" t="inlineStr"/>
      <c r="AB85" t="n">
        <v>360</v>
      </c>
      <c r="AC85" t="inlineStr">
        <is>
          <t>lop:may_bay</t>
        </is>
      </c>
      <c r="AD85" t="b">
        <v>0</v>
      </c>
      <c r="AE85" t="n">
        <v>19</v>
      </c>
      <c r="AF85" t="n">
        <v>0</v>
      </c>
      <c r="AG85" t="n">
        <v>19</v>
      </c>
      <c r="AH85" t="n">
        <v>95</v>
      </c>
      <c r="AI85" t="n">
        <v>110</v>
      </c>
      <c r="AJ85" t="n">
        <v>30.53</v>
      </c>
      <c r="AK85" t="inlineStr"/>
      <c r="AL85" t="n">
        <v>1.3</v>
      </c>
      <c r="AM85" t="inlineStr">
        <is>
          <t>ban_thang_may_bay</t>
        </is>
      </c>
      <c r="AN85" t="n">
        <v>17.21</v>
      </c>
      <c r="AO85" t="n">
        <v>26.8</v>
      </c>
      <c r="AP85" t="n">
        <v>26.94</v>
      </c>
      <c r="AQ85" t="n">
        <v>26.66</v>
      </c>
      <c r="AR85" t="n">
        <v>27</v>
      </c>
      <c r="AS85" t="b">
        <v>1</v>
      </c>
      <c r="AT85" t="inlineStr">
        <is>
          <t>groundMinReach</t>
        </is>
      </c>
      <c r="AU85" t="b">
        <v>0</v>
      </c>
      <c r="AV85" t="inlineStr">
        <is>
          <t>hyperion</t>
        </is>
      </c>
      <c r="AW85" t="n">
        <v>27</v>
      </c>
      <c r="AX85" t="n">
        <v>95</v>
      </c>
      <c r="AY85" t="n">
        <v>3.52</v>
      </c>
      <c r="AZ85" t="n">
        <v>0</v>
      </c>
      <c r="BA85" t="inlineStr"/>
      <c r="BB85" t="n">
        <v>100</v>
      </c>
      <c r="BC85" t="b">
        <v>1</v>
      </c>
      <c r="BD85" t="inlineStr">
        <is>
          <t>Assets/MachineBrigade/Resources/Data/balance.json: vehicles[id=hyperion] x Resources/Models/hyperion.glb</t>
        </is>
      </c>
      <c r="BE85" t="inlineStr"/>
    </row>
    <row r="86">
      <c r="A86" t="inlineStr">
        <is>
          <t>hyperion/2</t>
        </is>
      </c>
      <c r="B86" t="inlineStr">
        <is>
          <t>hyperion</t>
        </is>
      </c>
      <c r="C86" t="inlineStr">
        <is>
          <t>pt14_hp_155</t>
        </is>
      </c>
      <c r="D86" t="inlineStr"/>
      <c r="E86" t="n">
        <v>2</v>
      </c>
      <c r="F86" t="inlineStr">
        <is>
          <t>gun</t>
        </is>
      </c>
      <c r="G86" t="inlineStr">
        <is>
          <t>Free</t>
        </is>
      </c>
      <c r="H86" t="inlineStr">
        <is>
          <t>phao_boss</t>
        </is>
      </c>
      <c r="I86" t="inlineStr">
        <is>
          <t>chinh</t>
        </is>
      </c>
      <c r="J86" t="inlineStr">
        <is>
          <t>Muzzle_gun.001</t>
        </is>
      </c>
      <c r="K86" t="inlineStr">
        <is>
          <t>muzzle</t>
        </is>
      </c>
      <c r="L86" t="inlineStr">
        <is>
          <t>hyperion</t>
        </is>
      </c>
      <c r="M86" t="n">
        <v>1.0015</v>
      </c>
      <c r="N86" t="n">
        <v>2.9732</v>
      </c>
      <c r="O86" t="n">
        <v>38.21</v>
      </c>
      <c r="P86" t="inlineStr"/>
      <c r="Q86" t="inlineStr"/>
      <c r="R86" t="n">
        <v>45.08</v>
      </c>
      <c r="S86" t="n">
        <v>33.04</v>
      </c>
      <c r="T86" t="inlineStr">
        <is>
          <t>Mount_gun.001</t>
        </is>
      </c>
      <c r="U86" t="n">
        <v>23.79</v>
      </c>
      <c r="V86" t="n">
        <v>9.59</v>
      </c>
      <c r="W86" t="n">
        <v>29.7324</v>
      </c>
      <c r="X86" t="n">
        <v>22</v>
      </c>
      <c r="Y86" t="n">
        <v>65</v>
      </c>
      <c r="Z86" t="n">
        <v>5</v>
      </c>
      <c r="AA86" t="inlineStr"/>
      <c r="AB86" t="n">
        <v>360</v>
      </c>
      <c r="AC86" t="inlineStr">
        <is>
          <t>lop:may_bay</t>
        </is>
      </c>
      <c r="AD86" t="b">
        <v>0</v>
      </c>
      <c r="AE86" t="n">
        <v>19</v>
      </c>
      <c r="AF86" t="n">
        <v>0</v>
      </c>
      <c r="AG86" t="n">
        <v>19</v>
      </c>
      <c r="AH86" t="n">
        <v>95</v>
      </c>
      <c r="AI86" t="n">
        <v>110</v>
      </c>
      <c r="AJ86" t="n">
        <v>30.53</v>
      </c>
      <c r="AK86" t="inlineStr"/>
      <c r="AL86" t="n">
        <v>1.3</v>
      </c>
      <c r="AM86" t="inlineStr">
        <is>
          <t>ban_thang_may_bay</t>
        </is>
      </c>
      <c r="AN86" t="n">
        <v>17.21</v>
      </c>
      <c r="AO86" t="n">
        <v>26.8</v>
      </c>
      <c r="AP86" t="n">
        <v>26.94</v>
      </c>
      <c r="AQ86" t="n">
        <v>26.66</v>
      </c>
      <c r="AR86" t="n">
        <v>27</v>
      </c>
      <c r="AS86" t="b">
        <v>1</v>
      </c>
      <c r="AT86" t="inlineStr">
        <is>
          <t>groundMinReach</t>
        </is>
      </c>
      <c r="AU86" t="b">
        <v>0</v>
      </c>
      <c r="AV86" t="inlineStr">
        <is>
          <t>hyperion</t>
        </is>
      </c>
      <c r="AW86" t="n">
        <v>27</v>
      </c>
      <c r="AX86" t="n">
        <v>95</v>
      </c>
      <c r="AY86" t="n">
        <v>3.52</v>
      </c>
      <c r="AZ86" t="n">
        <v>0</v>
      </c>
      <c r="BA86" t="inlineStr"/>
      <c r="BB86" t="n">
        <v>100</v>
      </c>
      <c r="BC86" t="b">
        <v>1</v>
      </c>
      <c r="BD86" t="inlineStr">
        <is>
          <t>Assets/MachineBrigade/Resources/Data/balance.json: vehicles[id=hyperion] x Resources/Models/hyperion.glb</t>
        </is>
      </c>
      <c r="BE86" t="inlineStr"/>
    </row>
    <row r="87">
      <c r="A87" t="inlineStr">
        <is>
          <t>hyperion/3</t>
        </is>
      </c>
      <c r="B87" t="inlineStr">
        <is>
          <t>hyperion</t>
        </is>
      </c>
      <c r="C87" t="inlineStr">
        <is>
          <t>pt14_hp_vlaser</t>
        </is>
      </c>
      <c r="D87" t="inlineStr"/>
      <c r="E87" t="n">
        <v>3</v>
      </c>
      <c r="F87" t="inlineStr">
        <is>
          <t>gun</t>
        </is>
      </c>
      <c r="G87" t="inlineStr">
        <is>
          <t>Free</t>
        </is>
      </c>
      <c r="H87" t="inlineStr">
        <is>
          <t>phao_boss</t>
        </is>
      </c>
      <c r="I87" t="inlineStr">
        <is>
          <t>chinh</t>
        </is>
      </c>
      <c r="J87" t="inlineStr">
        <is>
          <t>Muzzle_gun.002</t>
        </is>
      </c>
      <c r="K87" t="inlineStr">
        <is>
          <t>muzzle</t>
        </is>
      </c>
      <c r="L87" t="inlineStr">
        <is>
          <t>hyperion</t>
        </is>
      </c>
      <c r="M87" t="n">
        <v>1.0015</v>
      </c>
      <c r="N87" t="n">
        <v>2.9732</v>
      </c>
      <c r="O87" t="n">
        <v>27.32</v>
      </c>
      <c r="P87" t="inlineStr"/>
      <c r="Q87" t="inlineStr"/>
      <c r="R87" t="n">
        <v>45.08</v>
      </c>
      <c r="S87" t="n">
        <v>9.69</v>
      </c>
      <c r="T87" t="inlineStr">
        <is>
          <t>Mount_gun.002</t>
        </is>
      </c>
      <c r="U87" t="n">
        <v>4.81</v>
      </c>
      <c r="V87" t="n">
        <v>5.92</v>
      </c>
      <c r="W87" t="n">
        <v>29.7324</v>
      </c>
      <c r="X87" t="n">
        <v>22</v>
      </c>
      <c r="Y87" t="n">
        <v>65</v>
      </c>
      <c r="Z87" t="n">
        <v>5</v>
      </c>
      <c r="AA87" t="inlineStr"/>
      <c r="AB87" t="n">
        <v>360</v>
      </c>
      <c r="AC87" t="inlineStr">
        <is>
          <t>lop:may_bay</t>
        </is>
      </c>
      <c r="AD87" t="b">
        <v>0</v>
      </c>
      <c r="AE87" t="n">
        <v>0</v>
      </c>
      <c r="AF87" t="n">
        <v>0</v>
      </c>
      <c r="AG87" t="n">
        <v>0</v>
      </c>
      <c r="AH87" t="n">
        <v>36</v>
      </c>
      <c r="AI87" t="n">
        <v>3000</v>
      </c>
      <c r="AJ87" t="n">
        <v>18.79</v>
      </c>
      <c r="AK87" t="inlineStr"/>
      <c r="AL87" t="n">
        <v>1.3</v>
      </c>
      <c r="AM87" t="inlineStr">
        <is>
          <t>ban_thang_may_bay</t>
        </is>
      </c>
      <c r="AN87" t="n">
        <v>12.13</v>
      </c>
      <c r="AO87" t="n">
        <v>18.06</v>
      </c>
      <c r="AP87" t="n">
        <v>18.2</v>
      </c>
      <c r="AQ87" t="n">
        <v>17.92</v>
      </c>
      <c r="AR87" t="n">
        <v>18</v>
      </c>
      <c r="AS87" t="b">
        <v>1</v>
      </c>
      <c r="AT87" t="inlineStr">
        <is>
          <t>groundMinReach</t>
        </is>
      </c>
      <c r="AU87" t="b">
        <v>0</v>
      </c>
      <c r="AV87" t="inlineStr"/>
      <c r="AW87" t="n">
        <v>0</v>
      </c>
      <c r="AX87" t="n">
        <v>36</v>
      </c>
      <c r="AY87" t="inlineStr"/>
      <c r="AZ87" t="n">
        <v>0</v>
      </c>
      <c r="BA87" t="inlineStr"/>
      <c r="BB87" t="n">
        <v>100</v>
      </c>
      <c r="BC87" t="b">
        <v>1</v>
      </c>
      <c r="BD87" t="inlineStr">
        <is>
          <t>Assets/MachineBrigade/Resources/Data/balance.json: vehicles[id=hyperion] x Resources/Models/hyperion.glb</t>
        </is>
      </c>
      <c r="BE87" t="inlineStr"/>
    </row>
    <row r="88">
      <c r="A88" t="inlineStr">
        <is>
          <t>hyperion/4</t>
        </is>
      </c>
      <c r="B88" t="inlineStr">
        <is>
          <t>hyperion</t>
        </is>
      </c>
      <c r="C88" t="inlineStr">
        <is>
          <t>pt14_hp_vlaser</t>
        </is>
      </c>
      <c r="D88" t="inlineStr"/>
      <c r="E88" t="n">
        <v>4</v>
      </c>
      <c r="F88" t="inlineStr">
        <is>
          <t>gun</t>
        </is>
      </c>
      <c r="G88" t="inlineStr">
        <is>
          <t>Free</t>
        </is>
      </c>
      <c r="H88" t="inlineStr">
        <is>
          <t>phao_boss</t>
        </is>
      </c>
      <c r="I88" t="inlineStr">
        <is>
          <t>chinh</t>
        </is>
      </c>
      <c r="J88" t="inlineStr">
        <is>
          <t>Muzzle_gun.003</t>
        </is>
      </c>
      <c r="K88" t="inlineStr">
        <is>
          <t>muzzle</t>
        </is>
      </c>
      <c r="L88" t="inlineStr">
        <is>
          <t>hyperion</t>
        </is>
      </c>
      <c r="M88" t="n">
        <v>1.0015</v>
      </c>
      <c r="N88" t="n">
        <v>2.9732</v>
      </c>
      <c r="O88" t="n">
        <v>27.32</v>
      </c>
      <c r="P88" t="inlineStr"/>
      <c r="Q88" t="inlineStr"/>
      <c r="R88" t="n">
        <v>45.08</v>
      </c>
      <c r="S88" t="n">
        <v>9.69</v>
      </c>
      <c r="T88" t="inlineStr">
        <is>
          <t>Mount_gun.003</t>
        </is>
      </c>
      <c r="U88" t="n">
        <v>4.81</v>
      </c>
      <c r="V88" t="n">
        <v>5.92</v>
      </c>
      <c r="W88" t="n">
        <v>29.7324</v>
      </c>
      <c r="X88" t="n">
        <v>22</v>
      </c>
      <c r="Y88" t="n">
        <v>65</v>
      </c>
      <c r="Z88" t="n">
        <v>5</v>
      </c>
      <c r="AA88" t="inlineStr"/>
      <c r="AB88" t="n">
        <v>360</v>
      </c>
      <c r="AC88" t="inlineStr">
        <is>
          <t>lop:may_bay</t>
        </is>
      </c>
      <c r="AD88" t="b">
        <v>0</v>
      </c>
      <c r="AE88" t="n">
        <v>0</v>
      </c>
      <c r="AF88" t="n">
        <v>0</v>
      </c>
      <c r="AG88" t="n">
        <v>0</v>
      </c>
      <c r="AH88" t="n">
        <v>36</v>
      </c>
      <c r="AI88" t="n">
        <v>3000</v>
      </c>
      <c r="AJ88" t="n">
        <v>18.79</v>
      </c>
      <c r="AK88" t="inlineStr"/>
      <c r="AL88" t="n">
        <v>1.3</v>
      </c>
      <c r="AM88" t="inlineStr">
        <is>
          <t>ban_thang_may_bay</t>
        </is>
      </c>
      <c r="AN88" t="n">
        <v>12.13</v>
      </c>
      <c r="AO88" t="n">
        <v>18.06</v>
      </c>
      <c r="AP88" t="n">
        <v>18.2</v>
      </c>
      <c r="AQ88" t="n">
        <v>17.92</v>
      </c>
      <c r="AR88" t="n">
        <v>18</v>
      </c>
      <c r="AS88" t="b">
        <v>1</v>
      </c>
      <c r="AT88" t="inlineStr">
        <is>
          <t>groundMinReach</t>
        </is>
      </c>
      <c r="AU88" t="b">
        <v>0</v>
      </c>
      <c r="AV88" t="inlineStr"/>
      <c r="AW88" t="n">
        <v>0</v>
      </c>
      <c r="AX88" t="n">
        <v>36</v>
      </c>
      <c r="AY88" t="inlineStr"/>
      <c r="AZ88" t="n">
        <v>0</v>
      </c>
      <c r="BA88" t="inlineStr"/>
      <c r="BB88" t="n">
        <v>100</v>
      </c>
      <c r="BC88" t="b">
        <v>1</v>
      </c>
      <c r="BD88" t="inlineStr">
        <is>
          <t>Assets/MachineBrigade/Resources/Data/balance.json: vehicles[id=hyperion] x Resources/Models/hyperion.glb</t>
        </is>
      </c>
      <c r="BE88" t="inlineStr"/>
    </row>
    <row r="89">
      <c r="A89" t="inlineStr">
        <is>
          <t>hyperion/5</t>
        </is>
      </c>
      <c r="B89" t="inlineStr">
        <is>
          <t>hyperion</t>
        </is>
      </c>
      <c r="C89" t="inlineStr">
        <is>
          <t>pt14_hp_v127</t>
        </is>
      </c>
      <c r="D89" t="inlineStr"/>
      <c r="E89" t="n">
        <v>5</v>
      </c>
      <c r="F89" t="inlineStr">
        <is>
          <t>gun</t>
        </is>
      </c>
      <c r="G89" t="inlineStr">
        <is>
          <t>Free</t>
        </is>
      </c>
      <c r="H89" t="inlineStr">
        <is>
          <t>phao_boss</t>
        </is>
      </c>
      <c r="I89" t="inlineStr">
        <is>
          <t>chinh</t>
        </is>
      </c>
      <c r="J89" t="inlineStr">
        <is>
          <t>Muzzle_gun.004</t>
        </is>
      </c>
      <c r="K89" t="inlineStr">
        <is>
          <t>muzzle</t>
        </is>
      </c>
      <c r="L89" t="inlineStr">
        <is>
          <t>hyperion</t>
        </is>
      </c>
      <c r="M89" t="n">
        <v>1.0015</v>
      </c>
      <c r="N89" t="n">
        <v>2.9732</v>
      </c>
      <c r="O89" t="n">
        <v>24.89</v>
      </c>
      <c r="P89" t="inlineStr"/>
      <c r="Q89" t="inlineStr"/>
      <c r="R89" t="n">
        <v>45.08</v>
      </c>
      <c r="S89" t="n">
        <v>5.06</v>
      </c>
      <c r="T89" t="inlineStr">
        <is>
          <t>Mount_gun.004</t>
        </is>
      </c>
      <c r="U89" t="n">
        <v>8.210000000000001</v>
      </c>
      <c r="V89" t="n">
        <v>5.76</v>
      </c>
      <c r="W89" t="n">
        <v>29.7324</v>
      </c>
      <c r="X89" t="n">
        <v>22</v>
      </c>
      <c r="Y89" t="n">
        <v>65</v>
      </c>
      <c r="Z89" t="n">
        <v>5</v>
      </c>
      <c r="AA89" t="inlineStr"/>
      <c r="AB89" t="n">
        <v>360</v>
      </c>
      <c r="AC89" t="inlineStr">
        <is>
          <t>lop:may_bay</t>
        </is>
      </c>
      <c r="AD89" t="b">
        <v>0</v>
      </c>
      <c r="AE89" t="n">
        <v>0</v>
      </c>
      <c r="AF89" t="n">
        <v>0</v>
      </c>
      <c r="AG89" t="n">
        <v>0</v>
      </c>
      <c r="AH89" t="n">
        <v>80</v>
      </c>
      <c r="AI89" t="n">
        <v>110</v>
      </c>
      <c r="AJ89" t="n">
        <v>28.01</v>
      </c>
      <c r="AK89" t="inlineStr"/>
      <c r="AL89" t="n">
        <v>1.3</v>
      </c>
      <c r="AM89" t="inlineStr">
        <is>
          <t>ban_thang_may_bay</t>
        </is>
      </c>
      <c r="AN89" t="n">
        <v>11</v>
      </c>
      <c r="AO89" t="n">
        <v>16.76</v>
      </c>
      <c r="AP89" t="n">
        <v>16.9</v>
      </c>
      <c r="AQ89" t="n">
        <v>16.62</v>
      </c>
      <c r="AR89" t="n">
        <v>17</v>
      </c>
      <c r="AS89" t="b">
        <v>1</v>
      </c>
      <c r="AT89" t="inlineStr">
        <is>
          <t>groundMinReach</t>
        </is>
      </c>
      <c r="AU89" t="b">
        <v>0</v>
      </c>
      <c r="AV89" t="inlineStr"/>
      <c r="AW89" t="n">
        <v>0</v>
      </c>
      <c r="AX89" t="n">
        <v>80</v>
      </c>
      <c r="AY89" t="inlineStr"/>
      <c r="AZ89" t="n">
        <v>0</v>
      </c>
      <c r="BA89" t="inlineStr"/>
      <c r="BB89" t="n">
        <v>100</v>
      </c>
      <c r="BC89" t="b">
        <v>1</v>
      </c>
      <c r="BD89" t="inlineStr">
        <is>
          <t>Assets/MachineBrigade/Resources/Data/balance.json: vehicles[id=hyperion] x Resources/Models/hyperion.glb</t>
        </is>
      </c>
      <c r="BE89" t="inlineStr"/>
    </row>
    <row r="90">
      <c r="A90" t="inlineStr">
        <is>
          <t>hyperion/6</t>
        </is>
      </c>
      <c r="B90" t="inlineStr">
        <is>
          <t>hyperion</t>
        </is>
      </c>
      <c r="C90" t="inlineStr">
        <is>
          <t>pt14_hp_v127</t>
        </is>
      </c>
      <c r="D90" t="inlineStr"/>
      <c r="E90" t="n">
        <v>6</v>
      </c>
      <c r="F90" t="inlineStr">
        <is>
          <t>gun</t>
        </is>
      </c>
      <c r="G90" t="inlineStr">
        <is>
          <t>Free</t>
        </is>
      </c>
      <c r="H90" t="inlineStr">
        <is>
          <t>phao_boss</t>
        </is>
      </c>
      <c r="I90" t="inlineStr">
        <is>
          <t>chinh</t>
        </is>
      </c>
      <c r="J90" t="inlineStr">
        <is>
          <t>Muzzle_gun.005</t>
        </is>
      </c>
      <c r="K90" t="inlineStr">
        <is>
          <t>muzzle</t>
        </is>
      </c>
      <c r="L90" t="inlineStr">
        <is>
          <t>hyperion</t>
        </is>
      </c>
      <c r="M90" t="n">
        <v>1.0015</v>
      </c>
      <c r="N90" t="n">
        <v>2.9732</v>
      </c>
      <c r="O90" t="n">
        <v>24.89</v>
      </c>
      <c r="P90" t="inlineStr"/>
      <c r="Q90" t="inlineStr"/>
      <c r="R90" t="n">
        <v>45.08</v>
      </c>
      <c r="S90" t="n">
        <v>5.06</v>
      </c>
      <c r="T90" t="inlineStr">
        <is>
          <t>Mount_gun.005</t>
        </is>
      </c>
      <c r="U90" t="n">
        <v>8.210000000000001</v>
      </c>
      <c r="V90" t="n">
        <v>5.76</v>
      </c>
      <c r="W90" t="n">
        <v>29.7324</v>
      </c>
      <c r="X90" t="n">
        <v>22</v>
      </c>
      <c r="Y90" t="n">
        <v>65</v>
      </c>
      <c r="Z90" t="n">
        <v>5</v>
      </c>
      <c r="AA90" t="inlineStr"/>
      <c r="AB90" t="n">
        <v>360</v>
      </c>
      <c r="AC90" t="inlineStr">
        <is>
          <t>lop:may_bay</t>
        </is>
      </c>
      <c r="AD90" t="b">
        <v>0</v>
      </c>
      <c r="AE90" t="n">
        <v>0</v>
      </c>
      <c r="AF90" t="n">
        <v>0</v>
      </c>
      <c r="AG90" t="n">
        <v>0</v>
      </c>
      <c r="AH90" t="n">
        <v>80</v>
      </c>
      <c r="AI90" t="n">
        <v>110</v>
      </c>
      <c r="AJ90" t="n">
        <v>28.01</v>
      </c>
      <c r="AK90" t="inlineStr"/>
      <c r="AL90" t="n">
        <v>1.3</v>
      </c>
      <c r="AM90" t="inlineStr">
        <is>
          <t>ban_thang_may_bay</t>
        </is>
      </c>
      <c r="AN90" t="n">
        <v>11</v>
      </c>
      <c r="AO90" t="n">
        <v>16.76</v>
      </c>
      <c r="AP90" t="n">
        <v>16.9</v>
      </c>
      <c r="AQ90" t="n">
        <v>16.62</v>
      </c>
      <c r="AR90" t="n">
        <v>17</v>
      </c>
      <c r="AS90" t="b">
        <v>1</v>
      </c>
      <c r="AT90" t="inlineStr">
        <is>
          <t>groundMinReach</t>
        </is>
      </c>
      <c r="AU90" t="b">
        <v>0</v>
      </c>
      <c r="AV90" t="inlineStr"/>
      <c r="AW90" t="n">
        <v>0</v>
      </c>
      <c r="AX90" t="n">
        <v>80</v>
      </c>
      <c r="AY90" t="inlineStr"/>
      <c r="AZ90" t="n">
        <v>0</v>
      </c>
      <c r="BA90" t="inlineStr"/>
      <c r="BB90" t="n">
        <v>100</v>
      </c>
      <c r="BC90" t="b">
        <v>1</v>
      </c>
      <c r="BD90" t="inlineStr">
        <is>
          <t>Assets/MachineBrigade/Resources/Data/balance.json: vehicles[id=hyperion] x Resources/Models/hyperion.glb</t>
        </is>
      </c>
      <c r="BE90" t="inlineStr"/>
    </row>
    <row r="91">
      <c r="A91" t="inlineStr">
        <is>
          <t>hyperion/7</t>
        </is>
      </c>
      <c r="B91" t="inlineStr">
        <is>
          <t>hyperion</t>
        </is>
      </c>
      <c r="C91" t="inlineStr">
        <is>
          <t>pt14_hp_nsm</t>
        </is>
      </c>
      <c r="D91" t="inlineStr"/>
      <c r="E91" t="n">
        <v>7</v>
      </c>
      <c r="F91" t="inlineStr">
        <is>
          <t>rocket</t>
        </is>
      </c>
      <c r="G91" t="inlineStr">
        <is>
          <t>Free</t>
        </is>
      </c>
      <c r="H91" t="inlineStr">
        <is>
          <t>ten_lua</t>
        </is>
      </c>
      <c r="I91" t="inlineStr">
        <is>
          <t>dan_dan</t>
        </is>
      </c>
      <c r="J91" t="inlineStr">
        <is>
          <t>Muzzle_rocket</t>
        </is>
      </c>
      <c r="K91" t="inlineStr">
        <is>
          <t>muzzle</t>
        </is>
      </c>
      <c r="L91" t="inlineStr">
        <is>
          <t>hyperion</t>
        </is>
      </c>
      <c r="M91" t="n">
        <v>1.0015</v>
      </c>
      <c r="N91" t="n">
        <v>2.9732</v>
      </c>
      <c r="O91" t="n">
        <v>34.8</v>
      </c>
      <c r="P91" t="inlineStr"/>
      <c r="Q91" t="inlineStr"/>
      <c r="R91" t="n">
        <v>45.08</v>
      </c>
      <c r="S91" t="n">
        <v>13.39</v>
      </c>
      <c r="T91" t="inlineStr"/>
      <c r="U91" t="n">
        <v>13.39</v>
      </c>
      <c r="V91" t="n">
        <v>0</v>
      </c>
      <c r="W91" t="n">
        <v>29.7324</v>
      </c>
      <c r="X91" t="n">
        <v>22</v>
      </c>
      <c r="Y91" t="inlineStr"/>
      <c r="Z91" t="inlineStr"/>
      <c r="AA91" t="inlineStr"/>
      <c r="AB91" t="n">
        <v>360</v>
      </c>
      <c r="AC91" t="inlineStr">
        <is>
          <t>missileArmingM</t>
        </is>
      </c>
      <c r="AD91" t="b">
        <v>1</v>
      </c>
      <c r="AE91" t="n">
        <v>0</v>
      </c>
      <c r="AF91" t="n">
        <v>0</v>
      </c>
      <c r="AG91" t="n">
        <v>0</v>
      </c>
      <c r="AH91" t="n">
        <v>95</v>
      </c>
      <c r="AI91" t="n">
        <v>90</v>
      </c>
      <c r="AJ91" t="n">
        <v>30.53</v>
      </c>
      <c r="AK91" t="n">
        <v>1</v>
      </c>
      <c r="AL91" t="n">
        <v>1.3</v>
      </c>
      <c r="AM91" t="inlineStr">
        <is>
          <t>max(vu_trang, khoa)</t>
        </is>
      </c>
      <c r="AN91" t="n">
        <v>1</v>
      </c>
      <c r="AO91" t="n">
        <v>1</v>
      </c>
      <c r="AP91" t="n">
        <v>1</v>
      </c>
      <c r="AQ91" t="n">
        <v>1</v>
      </c>
      <c r="AR91" t="n">
        <v>1</v>
      </c>
      <c r="AS91" t="b">
        <v>1</v>
      </c>
      <c r="AT91" t="inlineStr">
        <is>
          <t>groundMinReach</t>
        </is>
      </c>
      <c r="AU91" t="b">
        <v>0</v>
      </c>
      <c r="AV91" t="inlineStr">
        <is>
          <t>hyperion</t>
        </is>
      </c>
      <c r="AW91" t="n">
        <v>1</v>
      </c>
      <c r="AX91" t="n">
        <v>95</v>
      </c>
      <c r="AY91" t="n">
        <v>95</v>
      </c>
      <c r="AZ91" t="n">
        <v>0</v>
      </c>
      <c r="BA91" t="inlineStr"/>
      <c r="BB91" t="n">
        <v>100</v>
      </c>
      <c r="BC91" t="b">
        <v>1</v>
      </c>
      <c r="BD91" t="inlineStr">
        <is>
          <t>Assets/MachineBrigade/Resources/Data/balance.json: vehicles[id=hyperion] x Resources/Models/hyperion.glb</t>
        </is>
      </c>
      <c r="BE91" t="inlineStr"/>
    </row>
    <row r="92">
      <c r="A92" t="inlineStr">
        <is>
          <t>hyperion/8</t>
        </is>
      </c>
      <c r="B92" t="inlineStr">
        <is>
          <t>hyperion</t>
        </is>
      </c>
      <c r="C92" t="inlineStr">
        <is>
          <t>pt14_hp_nsm</t>
        </is>
      </c>
      <c r="D92" t="inlineStr"/>
      <c r="E92" t="n">
        <v>8</v>
      </c>
      <c r="F92" t="inlineStr">
        <is>
          <t>rocket</t>
        </is>
      </c>
      <c r="G92" t="inlineStr">
        <is>
          <t>Free</t>
        </is>
      </c>
      <c r="H92" t="inlineStr">
        <is>
          <t>ten_lua</t>
        </is>
      </c>
      <c r="I92" t="inlineStr">
        <is>
          <t>dan_dan</t>
        </is>
      </c>
      <c r="J92" t="inlineStr">
        <is>
          <t>Muzzle_rocket.001</t>
        </is>
      </c>
      <c r="K92" t="inlineStr">
        <is>
          <t>muzzle</t>
        </is>
      </c>
      <c r="L92" t="inlineStr">
        <is>
          <t>hyperion</t>
        </is>
      </c>
      <c r="M92" t="n">
        <v>1.0015</v>
      </c>
      <c r="N92" t="n">
        <v>2.9732</v>
      </c>
      <c r="O92" t="n">
        <v>34.8</v>
      </c>
      <c r="P92" t="inlineStr"/>
      <c r="Q92" t="inlineStr"/>
      <c r="R92" t="n">
        <v>45.08</v>
      </c>
      <c r="S92" t="n">
        <v>13.39</v>
      </c>
      <c r="T92" t="inlineStr"/>
      <c r="U92" t="n">
        <v>13.39</v>
      </c>
      <c r="V92" t="n">
        <v>0</v>
      </c>
      <c r="W92" t="n">
        <v>29.7324</v>
      </c>
      <c r="X92" t="n">
        <v>22</v>
      </c>
      <c r="Y92" t="inlineStr"/>
      <c r="Z92" t="inlineStr"/>
      <c r="AA92" t="inlineStr"/>
      <c r="AB92" t="n">
        <v>360</v>
      </c>
      <c r="AC92" t="inlineStr">
        <is>
          <t>missileArmingM</t>
        </is>
      </c>
      <c r="AD92" t="b">
        <v>1</v>
      </c>
      <c r="AE92" t="n">
        <v>0</v>
      </c>
      <c r="AF92" t="n">
        <v>0</v>
      </c>
      <c r="AG92" t="n">
        <v>0</v>
      </c>
      <c r="AH92" t="n">
        <v>95</v>
      </c>
      <c r="AI92" t="n">
        <v>90</v>
      </c>
      <c r="AJ92" t="n">
        <v>30.53</v>
      </c>
      <c r="AK92" t="n">
        <v>1</v>
      </c>
      <c r="AL92" t="n">
        <v>1.3</v>
      </c>
      <c r="AM92" t="inlineStr">
        <is>
          <t>max(vu_trang, khoa)</t>
        </is>
      </c>
      <c r="AN92" t="n">
        <v>1</v>
      </c>
      <c r="AO92" t="n">
        <v>1</v>
      </c>
      <c r="AP92" t="n">
        <v>1</v>
      </c>
      <c r="AQ92" t="n">
        <v>1</v>
      </c>
      <c r="AR92" t="n">
        <v>1</v>
      </c>
      <c r="AS92" t="b">
        <v>1</v>
      </c>
      <c r="AT92" t="inlineStr">
        <is>
          <t>groundMinReach</t>
        </is>
      </c>
      <c r="AU92" t="b">
        <v>0</v>
      </c>
      <c r="AV92" t="inlineStr">
        <is>
          <t>hyperion</t>
        </is>
      </c>
      <c r="AW92" t="n">
        <v>1</v>
      </c>
      <c r="AX92" t="n">
        <v>95</v>
      </c>
      <c r="AY92" t="n">
        <v>95</v>
      </c>
      <c r="AZ92" t="n">
        <v>0</v>
      </c>
      <c r="BA92" t="inlineStr"/>
      <c r="BB92" t="n">
        <v>100</v>
      </c>
      <c r="BC92" t="b">
        <v>1</v>
      </c>
      <c r="BD92" t="inlineStr">
        <is>
          <t>Assets/MachineBrigade/Resources/Data/balance.json: vehicles[id=hyperion] x Resources/Models/hyperion.glb</t>
        </is>
      </c>
      <c r="BE92" t="inlineStr"/>
    </row>
    <row r="93">
      <c r="A93" t="inlineStr">
        <is>
          <t>icarus_mk0/0</t>
        </is>
      </c>
      <c r="B93" t="inlineStr">
        <is>
          <t>icarus_mk0</t>
        </is>
      </c>
      <c r="C93" t="inlineStr">
        <is>
          <t>p26_icarus_sec_orbital_laser</t>
        </is>
      </c>
      <c r="D93" t="inlineStr">
        <is>
          <t>main_laser</t>
        </is>
      </c>
      <c r="E93" t="n">
        <v>0</v>
      </c>
      <c r="F93" t="inlineStr">
        <is>
          <t>main</t>
        </is>
      </c>
      <c r="G93" t="inlineStr">
        <is>
          <t>Free</t>
        </is>
      </c>
      <c r="H93" t="inlineStr">
        <is>
          <t>phao_boss</t>
        </is>
      </c>
      <c r="I93" t="inlineStr">
        <is>
          <t>chinh</t>
        </is>
      </c>
      <c r="J93" t="inlineStr">
        <is>
          <t>Muzzle_main</t>
        </is>
      </c>
      <c r="K93" t="inlineStr">
        <is>
          <t>muzzle</t>
        </is>
      </c>
      <c r="L93" t="inlineStr">
        <is>
          <t>icarus_mk0</t>
        </is>
      </c>
      <c r="M93" t="n">
        <v>0.9911</v>
      </c>
      <c r="N93" t="n">
        <v>0.9911</v>
      </c>
      <c r="O93" t="n">
        <v>19.11</v>
      </c>
      <c r="P93" t="n">
        <v>19.22</v>
      </c>
      <c r="Q93" t="n">
        <v>-0.12</v>
      </c>
      <c r="R93" t="n">
        <v>27.76</v>
      </c>
      <c r="S93" t="n">
        <v>10.82</v>
      </c>
      <c r="T93" t="inlineStr">
        <is>
          <t>Turret</t>
        </is>
      </c>
      <c r="U93" t="n">
        <v>6.94</v>
      </c>
      <c r="V93" t="n">
        <v>3.89</v>
      </c>
      <c r="W93" t="n">
        <v>9.9108</v>
      </c>
      <c r="X93" t="n">
        <v>22</v>
      </c>
      <c r="Y93" t="n">
        <v>65</v>
      </c>
      <c r="Z93" t="n">
        <v>5</v>
      </c>
      <c r="AA93" t="inlineStr"/>
      <c r="AB93" t="n">
        <v>360</v>
      </c>
      <c r="AC93" t="inlineStr">
        <is>
          <t>lop:may_bay</t>
        </is>
      </c>
      <c r="AD93" t="b">
        <v>0</v>
      </c>
      <c r="AE93" t="n">
        <v>11</v>
      </c>
      <c r="AF93" t="n">
        <v>0</v>
      </c>
      <c r="AG93" t="n">
        <v>11</v>
      </c>
      <c r="AH93" t="n">
        <v>36</v>
      </c>
      <c r="AI93" t="n">
        <v>3000</v>
      </c>
      <c r="AJ93" t="n">
        <v>18.79</v>
      </c>
      <c r="AK93" t="inlineStr"/>
      <c r="AL93" t="n">
        <v>1.3</v>
      </c>
      <c r="AM93" t="inlineStr">
        <is>
          <t>ban_thang_may_bay</t>
        </is>
      </c>
      <c r="AN93" t="n">
        <v>8.300000000000001</v>
      </c>
      <c r="AO93" t="n">
        <v>12.19</v>
      </c>
      <c r="AP93" t="n">
        <v>12.33</v>
      </c>
      <c r="AQ93" t="n">
        <v>12.05</v>
      </c>
      <c r="AR93" t="n">
        <v>12</v>
      </c>
      <c r="AS93" t="b">
        <v>1</v>
      </c>
      <c r="AT93" t="inlineStr">
        <is>
          <t>groundMinReach</t>
        </is>
      </c>
      <c r="AU93" t="b">
        <v>0</v>
      </c>
      <c r="AV93" t="inlineStr">
        <is>
          <t>icarus_mk0</t>
        </is>
      </c>
      <c r="AW93" t="n">
        <v>11</v>
      </c>
      <c r="AX93" t="n">
        <v>36</v>
      </c>
      <c r="AY93" t="n">
        <v>3.27</v>
      </c>
      <c r="AZ93" t="n">
        <v>11</v>
      </c>
      <c r="BA93" t="inlineStr">
        <is>
          <t>pt14_mk0_v40</t>
        </is>
      </c>
      <c r="BB93" t="n">
        <v>100</v>
      </c>
      <c r="BC93" t="b">
        <v>1</v>
      </c>
      <c r="BD93" t="inlineStr">
        <is>
          <t>Assets/MachineBrigade/Resources/Data/balance.json: vehicles[id=icarus_mk0] x Resources/Models/icarus_mk0.glb</t>
        </is>
      </c>
      <c r="BE93" t="inlineStr"/>
    </row>
    <row r="94">
      <c r="A94" t="inlineStr">
        <is>
          <t>icarus_mk0/1</t>
        </is>
      </c>
      <c r="B94" t="inlineStr">
        <is>
          <t>icarus_mk0</t>
        </is>
      </c>
      <c r="C94" t="inlineStr">
        <is>
          <t>pt14_mk0_v40</t>
        </is>
      </c>
      <c r="D94" t="inlineStr"/>
      <c r="E94" t="n">
        <v>1</v>
      </c>
      <c r="F94" t="inlineStr">
        <is>
          <t>gun</t>
        </is>
      </c>
      <c r="G94" t="inlineStr">
        <is>
          <t>Free</t>
        </is>
      </c>
      <c r="H94" t="inlineStr">
        <is>
          <t>phao_nho_ciws</t>
        </is>
      </c>
      <c r="I94" t="inlineStr">
        <is>
          <t>phong_thu_gan</t>
        </is>
      </c>
      <c r="J94" t="inlineStr">
        <is>
          <t>Muzzle_gun</t>
        </is>
      </c>
      <c r="K94" t="inlineStr">
        <is>
          <t>muzzle</t>
        </is>
      </c>
      <c r="L94" t="inlineStr">
        <is>
          <t>icarus_mk0</t>
        </is>
      </c>
      <c r="M94" t="n">
        <v>0.9911</v>
      </c>
      <c r="N94" t="n">
        <v>0.9911</v>
      </c>
      <c r="O94" t="n">
        <v>17.89</v>
      </c>
      <c r="P94" t="inlineStr"/>
      <c r="Q94" t="inlineStr"/>
      <c r="R94" t="n">
        <v>27.76</v>
      </c>
      <c r="S94" t="n">
        <v>5.82</v>
      </c>
      <c r="T94" t="inlineStr">
        <is>
          <t>Mount_gun</t>
        </is>
      </c>
      <c r="U94" t="n">
        <v>3.86</v>
      </c>
      <c r="V94" t="n">
        <v>2.49</v>
      </c>
      <c r="W94" t="n">
        <v>9.9108</v>
      </c>
      <c r="X94" t="n">
        <v>22</v>
      </c>
      <c r="Y94" t="n">
        <v>65</v>
      </c>
      <c r="Z94" t="n">
        <v>5</v>
      </c>
      <c r="AA94" t="inlineStr"/>
      <c r="AB94" t="n">
        <v>360</v>
      </c>
      <c r="AC94" t="inlineStr">
        <is>
          <t>lop:may_bay</t>
        </is>
      </c>
      <c r="AD94" t="b">
        <v>0</v>
      </c>
      <c r="AE94" t="n">
        <v>0</v>
      </c>
      <c r="AF94" t="n">
        <v>0</v>
      </c>
      <c r="AG94" t="n">
        <v>0</v>
      </c>
      <c r="AH94" t="n">
        <v>28</v>
      </c>
      <c r="AI94" t="n">
        <v>210</v>
      </c>
      <c r="AJ94" t="n">
        <v>16.57</v>
      </c>
      <c r="AK94" t="inlineStr"/>
      <c r="AL94" t="n">
        <v>1.3</v>
      </c>
      <c r="AM94" t="inlineStr">
        <is>
          <t>ban_thang_may_bay</t>
        </is>
      </c>
      <c r="AN94" t="n">
        <v>7.73</v>
      </c>
      <c r="AO94" t="n">
        <v>10.22</v>
      </c>
      <c r="AP94" t="n">
        <v>10.36</v>
      </c>
      <c r="AQ94" t="n">
        <v>10.08</v>
      </c>
      <c r="AR94" t="n">
        <v>0</v>
      </c>
      <c r="AS94" t="b">
        <v>0</v>
      </c>
      <c r="AT94" t="inlineStr">
        <is>
          <t>khong_ap:phong_thu_gan</t>
        </is>
      </c>
      <c r="AU94" t="b">
        <v>0</v>
      </c>
      <c r="AV94" t="inlineStr"/>
      <c r="AW94" t="n">
        <v>0</v>
      </c>
      <c r="AX94" t="n">
        <v>28</v>
      </c>
      <c r="AY94" t="inlineStr"/>
      <c r="AZ94" t="n">
        <v>11</v>
      </c>
      <c r="BA94" t="inlineStr">
        <is>
          <t>pt14_mk0_v40</t>
        </is>
      </c>
      <c r="BB94" t="n">
        <v>100</v>
      </c>
      <c r="BC94" t="b">
        <v>1</v>
      </c>
      <c r="BD94" t="inlineStr">
        <is>
          <t>Assets/MachineBrigade/Resources/Data/balance.json: vehicles[id=icarus_mk0] x Resources/Models/icarus_mk0.glb</t>
        </is>
      </c>
      <c r="BE94" t="inlineStr"/>
    </row>
    <row r="95">
      <c r="A95" t="inlineStr">
        <is>
          <t>icarus_mk0/2</t>
        </is>
      </c>
      <c r="B95" t="inlineStr">
        <is>
          <t>icarus_mk0</t>
        </is>
      </c>
      <c r="C95" t="inlineStr">
        <is>
          <t>pt14_mk0_v40</t>
        </is>
      </c>
      <c r="D95" t="inlineStr"/>
      <c r="E95" t="n">
        <v>2</v>
      </c>
      <c r="F95" t="inlineStr">
        <is>
          <t>gun</t>
        </is>
      </c>
      <c r="G95" t="inlineStr">
        <is>
          <t>Free</t>
        </is>
      </c>
      <c r="H95" t="inlineStr">
        <is>
          <t>phao_nho_ciws</t>
        </is>
      </c>
      <c r="I95" t="inlineStr">
        <is>
          <t>phong_thu_gan</t>
        </is>
      </c>
      <c r="J95" t="inlineStr">
        <is>
          <t>Muzzle_gun.001</t>
        </is>
      </c>
      <c r="K95" t="inlineStr">
        <is>
          <t>muzzle</t>
        </is>
      </c>
      <c r="L95" t="inlineStr">
        <is>
          <t>icarus_mk0</t>
        </is>
      </c>
      <c r="M95" t="n">
        <v>0.9911</v>
      </c>
      <c r="N95" t="n">
        <v>0.9911</v>
      </c>
      <c r="O95" t="n">
        <v>17.89</v>
      </c>
      <c r="P95" t="inlineStr"/>
      <c r="Q95" t="inlineStr"/>
      <c r="R95" t="n">
        <v>27.76</v>
      </c>
      <c r="S95" t="n">
        <v>5.82</v>
      </c>
      <c r="T95" t="inlineStr">
        <is>
          <t>Mount_gun.001</t>
        </is>
      </c>
      <c r="U95" t="n">
        <v>3.86</v>
      </c>
      <c r="V95" t="n">
        <v>2.49</v>
      </c>
      <c r="W95" t="n">
        <v>9.9108</v>
      </c>
      <c r="X95" t="n">
        <v>22</v>
      </c>
      <c r="Y95" t="n">
        <v>65</v>
      </c>
      <c r="Z95" t="n">
        <v>5</v>
      </c>
      <c r="AA95" t="inlineStr"/>
      <c r="AB95" t="n">
        <v>360</v>
      </c>
      <c r="AC95" t="inlineStr">
        <is>
          <t>lop:may_bay</t>
        </is>
      </c>
      <c r="AD95" t="b">
        <v>0</v>
      </c>
      <c r="AE95" t="n">
        <v>0</v>
      </c>
      <c r="AF95" t="n">
        <v>0</v>
      </c>
      <c r="AG95" t="n">
        <v>0</v>
      </c>
      <c r="AH95" t="n">
        <v>28</v>
      </c>
      <c r="AI95" t="n">
        <v>210</v>
      </c>
      <c r="AJ95" t="n">
        <v>16.57</v>
      </c>
      <c r="AK95" t="inlineStr"/>
      <c r="AL95" t="n">
        <v>1.3</v>
      </c>
      <c r="AM95" t="inlineStr">
        <is>
          <t>ban_thang_may_bay</t>
        </is>
      </c>
      <c r="AN95" t="n">
        <v>7.73</v>
      </c>
      <c r="AO95" t="n">
        <v>10.22</v>
      </c>
      <c r="AP95" t="n">
        <v>10.36</v>
      </c>
      <c r="AQ95" t="n">
        <v>10.08</v>
      </c>
      <c r="AR95" t="n">
        <v>0</v>
      </c>
      <c r="AS95" t="b">
        <v>0</v>
      </c>
      <c r="AT95" t="inlineStr">
        <is>
          <t>khong_ap:phong_thu_gan</t>
        </is>
      </c>
      <c r="AU95" t="b">
        <v>0</v>
      </c>
      <c r="AV95" t="inlineStr"/>
      <c r="AW95" t="n">
        <v>0</v>
      </c>
      <c r="AX95" t="n">
        <v>28</v>
      </c>
      <c r="AY95" t="inlineStr"/>
      <c r="AZ95" t="n">
        <v>11</v>
      </c>
      <c r="BA95" t="inlineStr">
        <is>
          <t>pt14_mk0_v40</t>
        </is>
      </c>
      <c r="BB95" t="n">
        <v>100</v>
      </c>
      <c r="BC95" t="b">
        <v>1</v>
      </c>
      <c r="BD95" t="inlineStr">
        <is>
          <t>Assets/MachineBrigade/Resources/Data/balance.json: vehicles[id=icarus_mk0] x Resources/Models/icarus_mk0.glb</t>
        </is>
      </c>
      <c r="BE95" t="inlineStr"/>
    </row>
    <row r="96">
      <c r="A96" t="inlineStr">
        <is>
          <t>ixion/0</t>
        </is>
      </c>
      <c r="B96" t="inlineStr">
        <is>
          <t>ixion</t>
        </is>
      </c>
      <c r="C96" t="inlineStr">
        <is>
          <t>p26_ixion_125</t>
        </is>
      </c>
      <c r="D96" t="inlineStr">
        <is>
          <t>gun</t>
        </is>
      </c>
      <c r="E96" t="n">
        <v>0</v>
      </c>
      <c r="F96" t="inlineStr">
        <is>
          <t>main</t>
        </is>
      </c>
      <c r="G96" t="inlineStr"/>
      <c r="H96" t="inlineStr">
        <is>
          <t>phao_boss</t>
        </is>
      </c>
      <c r="I96" t="inlineStr">
        <is>
          <t>chinh</t>
        </is>
      </c>
      <c r="J96" t="inlineStr">
        <is>
          <t>Muzzle_main</t>
        </is>
      </c>
      <c r="K96" t="inlineStr">
        <is>
          <t>muzzle</t>
        </is>
      </c>
      <c r="L96" t="inlineStr">
        <is>
          <t>ixion</t>
        </is>
      </c>
      <c r="M96" t="n">
        <v>0.9623</v>
      </c>
      <c r="N96" t="n">
        <v>1</v>
      </c>
      <c r="O96" t="n">
        <v>9</v>
      </c>
      <c r="P96" t="n">
        <v>6.5</v>
      </c>
      <c r="Q96" t="n">
        <v>2.5</v>
      </c>
      <c r="R96" t="n">
        <v>10.07</v>
      </c>
      <c r="S96" t="n">
        <v>10.26</v>
      </c>
      <c r="T96" t="inlineStr">
        <is>
          <t>Turret</t>
        </is>
      </c>
      <c r="U96" t="n">
        <v>1.44</v>
      </c>
      <c r="V96" t="n">
        <v>11.71</v>
      </c>
      <c r="W96" t="n">
        <v>11</v>
      </c>
      <c r="X96" t="n">
        <v>0</v>
      </c>
      <c r="Y96" t="n">
        <v>8</v>
      </c>
      <c r="Z96" t="n">
        <v>70</v>
      </c>
      <c r="AA96" t="inlineStr"/>
      <c r="AB96" t="n">
        <v>360</v>
      </c>
      <c r="AC96" t="inlineStr">
        <is>
          <t>lop:phao_boss</t>
        </is>
      </c>
      <c r="AD96" t="b">
        <v>1</v>
      </c>
      <c r="AE96" t="n">
        <v>30</v>
      </c>
      <c r="AF96" t="n">
        <v>0</v>
      </c>
      <c r="AG96" t="n">
        <v>30</v>
      </c>
      <c r="AH96" t="n">
        <v>38</v>
      </c>
      <c r="AI96" t="n">
        <v>170</v>
      </c>
      <c r="AJ96" t="n">
        <v>19.31</v>
      </c>
      <c r="AK96" t="inlineStr"/>
      <c r="AL96" t="n">
        <v>1.3</v>
      </c>
      <c r="AM96" t="inlineStr">
        <is>
          <t>ban_thang</t>
        </is>
      </c>
      <c r="AN96" t="n">
        <v>54.82</v>
      </c>
      <c r="AO96" t="n">
        <v>66.52</v>
      </c>
      <c r="AP96" t="n">
        <v>68.66</v>
      </c>
      <c r="AQ96" t="n">
        <v>64.39</v>
      </c>
      <c r="AR96" t="n">
        <v>30</v>
      </c>
      <c r="AS96" t="b">
        <v>1</v>
      </c>
      <c r="AT96" t="inlineStr">
        <is>
          <t>groundMinReach</t>
        </is>
      </c>
      <c r="AU96" t="b">
        <v>1</v>
      </c>
      <c r="AV96" t="inlineStr">
        <is>
          <t>ixion</t>
        </is>
      </c>
      <c r="AW96" t="n">
        <v>30</v>
      </c>
      <c r="AX96" t="n">
        <v>96</v>
      </c>
      <c r="AY96" t="n">
        <v>3.2</v>
      </c>
      <c r="AZ96" t="n">
        <v>18</v>
      </c>
      <c r="BA96" t="inlineStr">
        <is>
          <t>p26_ixion_mg;pt14_ixion_30;pt14_ixion_kornet</t>
        </is>
      </c>
      <c r="BB96" t="n">
        <v>100</v>
      </c>
      <c r="BC96" t="b">
        <v>1</v>
      </c>
      <c r="BD96" t="inlineStr">
        <is>
          <t>Assets/MachineBrigade/Resources/Data/balance.json: vehicles[id=ixion] x Resources/Models/ixion.glb</t>
        </is>
      </c>
      <c r="BE96" t="inlineStr"/>
    </row>
    <row r="97">
      <c r="A97" t="inlineStr">
        <is>
          <t>ixion/1</t>
        </is>
      </c>
      <c r="B97" t="inlineStr">
        <is>
          <t>ixion</t>
        </is>
      </c>
      <c r="C97" t="inlineStr">
        <is>
          <t>p26_ixion_mg</t>
        </is>
      </c>
      <c r="D97" t="inlineStr">
        <is>
          <t>cab</t>
        </is>
      </c>
      <c r="E97" t="n">
        <v>1</v>
      </c>
      <c r="F97" t="inlineStr">
        <is>
          <t>mg</t>
        </is>
      </c>
      <c r="G97" t="inlineStr">
        <is>
          <t>Free</t>
        </is>
      </c>
      <c r="H97" t="inlineStr">
        <is>
          <t>sung_may</t>
        </is>
      </c>
      <c r="I97" t="inlineStr">
        <is>
          <t>phong_thu_gan</t>
        </is>
      </c>
      <c r="J97" t="inlineStr">
        <is>
          <t>Muzzle_mg</t>
        </is>
      </c>
      <c r="K97" t="inlineStr">
        <is>
          <t>muzzle</t>
        </is>
      </c>
      <c r="L97" t="inlineStr">
        <is>
          <t>ixion</t>
        </is>
      </c>
      <c r="M97" t="n">
        <v>0.9623</v>
      </c>
      <c r="N97" t="n">
        <v>1</v>
      </c>
      <c r="O97" t="n">
        <v>9.609999999999999</v>
      </c>
      <c r="P97" t="n">
        <v>5</v>
      </c>
      <c r="Q97" t="n">
        <v>4.61</v>
      </c>
      <c r="R97" t="n">
        <v>10.07</v>
      </c>
      <c r="S97" t="n">
        <v>11.75</v>
      </c>
      <c r="T97" t="inlineStr">
        <is>
          <t>Mount_mg</t>
        </is>
      </c>
      <c r="U97" t="n">
        <v>10.14</v>
      </c>
      <c r="V97" t="n">
        <v>1.66</v>
      </c>
      <c r="W97" t="n">
        <v>11</v>
      </c>
      <c r="X97" t="n">
        <v>0</v>
      </c>
      <c r="Y97" t="n">
        <v>20</v>
      </c>
      <c r="Z97" t="n">
        <v>70</v>
      </c>
      <c r="AA97" t="inlineStr"/>
      <c r="AB97" t="n">
        <v>360</v>
      </c>
      <c r="AC97" t="inlineStr">
        <is>
          <t>lop:sung_may</t>
        </is>
      </c>
      <c r="AD97" t="b">
        <v>1</v>
      </c>
      <c r="AE97" t="n">
        <v>0</v>
      </c>
      <c r="AF97" t="n">
        <v>0</v>
      </c>
      <c r="AG97" t="n">
        <v>0</v>
      </c>
      <c r="AH97" t="n">
        <v>30</v>
      </c>
      <c r="AI97" t="n">
        <v>240</v>
      </c>
      <c r="AJ97" t="n">
        <v>17.16</v>
      </c>
      <c r="AK97" t="inlineStr"/>
      <c r="AL97" t="n">
        <v>1.3</v>
      </c>
      <c r="AM97" t="inlineStr">
        <is>
          <t>ban_thang</t>
        </is>
      </c>
      <c r="AN97" t="n">
        <v>22.84</v>
      </c>
      <c r="AO97" t="n">
        <v>24.49</v>
      </c>
      <c r="AP97" t="n">
        <v>25.32</v>
      </c>
      <c r="AQ97" t="n">
        <v>23.67</v>
      </c>
      <c r="AR97" t="n">
        <v>0</v>
      </c>
      <c r="AS97" t="b">
        <v>0</v>
      </c>
      <c r="AT97" t="inlineStr">
        <is>
          <t>khong_ap:phong_thu_gan</t>
        </is>
      </c>
      <c r="AU97" t="b">
        <v>0</v>
      </c>
      <c r="AV97" t="inlineStr"/>
      <c r="AW97" t="n">
        <v>0</v>
      </c>
      <c r="AX97" t="n">
        <v>30</v>
      </c>
      <c r="AY97" t="inlineStr"/>
      <c r="AZ97" t="n">
        <v>18</v>
      </c>
      <c r="BA97" t="inlineStr">
        <is>
          <t>p26_ixion_mg;pt14_ixion_30;pt14_ixion_kornet</t>
        </is>
      </c>
      <c r="BB97" t="n">
        <v>100</v>
      </c>
      <c r="BC97" t="b">
        <v>1</v>
      </c>
      <c r="BD97" t="inlineStr">
        <is>
          <t>Assets/MachineBrigade/Resources/Data/balance.json: vehicles[id=ixion] x Resources/Models/ixion.glb</t>
        </is>
      </c>
      <c r="BE97" t="inlineStr"/>
    </row>
    <row r="98">
      <c r="A98" t="inlineStr">
        <is>
          <t>ixion/2</t>
        </is>
      </c>
      <c r="B98" t="inlineStr">
        <is>
          <t>ixion</t>
        </is>
      </c>
      <c r="C98" t="inlineStr">
        <is>
          <t>p26_ixion_mg</t>
        </is>
      </c>
      <c r="D98" t="inlineStr">
        <is>
          <t>cab</t>
        </is>
      </c>
      <c r="E98" t="n">
        <v>2</v>
      </c>
      <c r="F98" t="inlineStr">
        <is>
          <t>mg</t>
        </is>
      </c>
      <c r="G98" t="inlineStr">
        <is>
          <t>Free</t>
        </is>
      </c>
      <c r="H98" t="inlineStr">
        <is>
          <t>sung_may</t>
        </is>
      </c>
      <c r="I98" t="inlineStr">
        <is>
          <t>phong_thu_gan</t>
        </is>
      </c>
      <c r="J98" t="inlineStr">
        <is>
          <t>Muzzle_mg.001</t>
        </is>
      </c>
      <c r="K98" t="inlineStr">
        <is>
          <t>muzzle</t>
        </is>
      </c>
      <c r="L98" t="inlineStr">
        <is>
          <t>ixion</t>
        </is>
      </c>
      <c r="M98" t="n">
        <v>0.9623</v>
      </c>
      <c r="N98" t="n">
        <v>1</v>
      </c>
      <c r="O98" t="n">
        <v>9.609999999999999</v>
      </c>
      <c r="P98" t="n">
        <v>5</v>
      </c>
      <c r="Q98" t="n">
        <v>4.61</v>
      </c>
      <c r="R98" t="n">
        <v>10.07</v>
      </c>
      <c r="S98" t="n">
        <v>12.34</v>
      </c>
      <c r="T98" t="inlineStr">
        <is>
          <t>Mount_mg.001</t>
        </is>
      </c>
      <c r="U98" t="n">
        <v>10.82</v>
      </c>
      <c r="V98" t="n">
        <v>1.66</v>
      </c>
      <c r="W98" t="n">
        <v>11</v>
      </c>
      <c r="X98" t="n">
        <v>0</v>
      </c>
      <c r="Y98" t="n">
        <v>20</v>
      </c>
      <c r="Z98" t="n">
        <v>70</v>
      </c>
      <c r="AA98" t="inlineStr"/>
      <c r="AB98" t="n">
        <v>360</v>
      </c>
      <c r="AC98" t="inlineStr">
        <is>
          <t>lop:sung_may</t>
        </is>
      </c>
      <c r="AD98" t="b">
        <v>1</v>
      </c>
      <c r="AE98" t="n">
        <v>0</v>
      </c>
      <c r="AF98" t="n">
        <v>0</v>
      </c>
      <c r="AG98" t="n">
        <v>0</v>
      </c>
      <c r="AH98" t="n">
        <v>30</v>
      </c>
      <c r="AI98" t="n">
        <v>240</v>
      </c>
      <c r="AJ98" t="n">
        <v>17.16</v>
      </c>
      <c r="AK98" t="inlineStr"/>
      <c r="AL98" t="n">
        <v>1.3</v>
      </c>
      <c r="AM98" t="inlineStr">
        <is>
          <t>ban_thang</t>
        </is>
      </c>
      <c r="AN98" t="n">
        <v>22.84</v>
      </c>
      <c r="AO98" t="n">
        <v>24.49</v>
      </c>
      <c r="AP98" t="n">
        <v>25.32</v>
      </c>
      <c r="AQ98" t="n">
        <v>23.67</v>
      </c>
      <c r="AR98" t="n">
        <v>0</v>
      </c>
      <c r="AS98" t="b">
        <v>0</v>
      </c>
      <c r="AT98" t="inlineStr">
        <is>
          <t>khong_ap:phong_thu_gan</t>
        </is>
      </c>
      <c r="AU98" t="b">
        <v>0</v>
      </c>
      <c r="AV98" t="inlineStr"/>
      <c r="AW98" t="n">
        <v>0</v>
      </c>
      <c r="AX98" t="n">
        <v>30</v>
      </c>
      <c r="AY98" t="inlineStr"/>
      <c r="AZ98" t="n">
        <v>18</v>
      </c>
      <c r="BA98" t="inlineStr">
        <is>
          <t>p26_ixion_mg;pt14_ixion_30;pt14_ixion_kornet</t>
        </is>
      </c>
      <c r="BB98" t="n">
        <v>100</v>
      </c>
      <c r="BC98" t="b">
        <v>1</v>
      </c>
      <c r="BD98" t="inlineStr">
        <is>
          <t>Assets/MachineBrigade/Resources/Data/balance.json: vehicles[id=ixion] x Resources/Models/ixion.glb</t>
        </is>
      </c>
      <c r="BE98" t="inlineStr"/>
    </row>
    <row r="99">
      <c r="A99" t="inlineStr">
        <is>
          <t>ixion/3</t>
        </is>
      </c>
      <c r="B99" t="inlineStr">
        <is>
          <t>ixion</t>
        </is>
      </c>
      <c r="C99" t="inlineStr">
        <is>
          <t>pt14_ixion_30</t>
        </is>
      </c>
      <c r="D99" t="inlineStr"/>
      <c r="E99" t="n">
        <v>3</v>
      </c>
      <c r="F99" t="inlineStr">
        <is>
          <t>gun</t>
        </is>
      </c>
      <c r="G99" t="inlineStr">
        <is>
          <t>Free</t>
        </is>
      </c>
      <c r="H99" t="inlineStr">
        <is>
          <t>phao_nho_ciws</t>
        </is>
      </c>
      <c r="I99" t="inlineStr">
        <is>
          <t>phong_thu_gan</t>
        </is>
      </c>
      <c r="J99" t="inlineStr">
        <is>
          <t>Muzzle_gun</t>
        </is>
      </c>
      <c r="K99" t="inlineStr">
        <is>
          <t>muzzle</t>
        </is>
      </c>
      <c r="L99" t="inlineStr">
        <is>
          <t>ixion</t>
        </is>
      </c>
      <c r="M99" t="n">
        <v>0.9623</v>
      </c>
      <c r="N99" t="n">
        <v>1</v>
      </c>
      <c r="O99" t="n">
        <v>8.550000000000001</v>
      </c>
      <c r="P99" t="inlineStr"/>
      <c r="Q99" t="inlineStr"/>
      <c r="R99" t="n">
        <v>10.07</v>
      </c>
      <c r="S99" t="n">
        <v>13.03</v>
      </c>
      <c r="T99" t="inlineStr">
        <is>
          <t>Mount_gun</t>
        </is>
      </c>
      <c r="U99" t="n">
        <v>8.48</v>
      </c>
      <c r="V99" t="n">
        <v>4.88</v>
      </c>
      <c r="W99" t="n">
        <v>11</v>
      </c>
      <c r="X99" t="n">
        <v>0</v>
      </c>
      <c r="Y99" t="n">
        <v>15</v>
      </c>
      <c r="Z99" t="n">
        <v>85</v>
      </c>
      <c r="AA99" t="inlineStr"/>
      <c r="AB99" t="n">
        <v>360</v>
      </c>
      <c r="AC99" t="inlineStr">
        <is>
          <t>lop:phao_nho_ciws</t>
        </is>
      </c>
      <c r="AD99" t="b">
        <v>1</v>
      </c>
      <c r="AE99" t="n">
        <v>0</v>
      </c>
      <c r="AF99" t="n">
        <v>0</v>
      </c>
      <c r="AG99" t="n">
        <v>0</v>
      </c>
      <c r="AH99" t="n">
        <v>30</v>
      </c>
      <c r="AI99" t="n">
        <v>200</v>
      </c>
      <c r="AJ99" t="n">
        <v>17.16</v>
      </c>
      <c r="AK99" t="inlineStr"/>
      <c r="AL99" t="n">
        <v>1.3</v>
      </c>
      <c r="AM99" t="inlineStr">
        <is>
          <t>ban_thang</t>
        </is>
      </c>
      <c r="AN99" t="n">
        <v>27.07</v>
      </c>
      <c r="AO99" t="n">
        <v>31.95</v>
      </c>
      <c r="AP99" t="n">
        <v>33.07</v>
      </c>
      <c r="AQ99" t="n">
        <v>30.83</v>
      </c>
      <c r="AR99" t="n">
        <v>0</v>
      </c>
      <c r="AS99" t="b">
        <v>0</v>
      </c>
      <c r="AT99" t="inlineStr">
        <is>
          <t>khong_ap:phong_thu_gan</t>
        </is>
      </c>
      <c r="AU99" t="b">
        <v>0</v>
      </c>
      <c r="AV99" t="inlineStr"/>
      <c r="AW99" t="n">
        <v>0</v>
      </c>
      <c r="AX99" t="n">
        <v>30</v>
      </c>
      <c r="AY99" t="inlineStr"/>
      <c r="AZ99" t="n">
        <v>18</v>
      </c>
      <c r="BA99" t="inlineStr">
        <is>
          <t>p26_ixion_mg;pt14_ixion_30;pt14_ixion_kornet</t>
        </is>
      </c>
      <c r="BB99" t="n">
        <v>100</v>
      </c>
      <c r="BC99" t="b">
        <v>1</v>
      </c>
      <c r="BD99" t="inlineStr">
        <is>
          <t>Assets/MachineBrigade/Resources/Data/balance.json: vehicles[id=ixion] x Resources/Models/ixion.glb</t>
        </is>
      </c>
      <c r="BE99" t="inlineStr"/>
    </row>
    <row r="100">
      <c r="A100" t="inlineStr">
        <is>
          <t>ixion/4</t>
        </is>
      </c>
      <c r="B100" t="inlineStr">
        <is>
          <t>ixion</t>
        </is>
      </c>
      <c r="C100" t="inlineStr">
        <is>
          <t>pt14_ixion_kornet</t>
        </is>
      </c>
      <c r="D100" t="inlineStr"/>
      <c r="E100" t="n">
        <v>4</v>
      </c>
      <c r="F100" t="inlineStr">
        <is>
          <t>missile</t>
        </is>
      </c>
      <c r="G100" t="inlineStr">
        <is>
          <t>Free</t>
        </is>
      </c>
      <c r="H100" t="inlineStr">
        <is>
          <t>ten_lua</t>
        </is>
      </c>
      <c r="I100" t="inlineStr">
        <is>
          <t>dan_dan</t>
        </is>
      </c>
      <c r="J100" t="inlineStr">
        <is>
          <t>Muzzle_missile</t>
        </is>
      </c>
      <c r="K100" t="inlineStr">
        <is>
          <t>muzzle</t>
        </is>
      </c>
      <c r="L100" t="inlineStr">
        <is>
          <t>ixion</t>
        </is>
      </c>
      <c r="M100" t="n">
        <v>0.9623</v>
      </c>
      <c r="N100" t="n">
        <v>1</v>
      </c>
      <c r="O100" t="n">
        <v>8.57</v>
      </c>
      <c r="P100" t="inlineStr"/>
      <c r="Q100" t="inlineStr"/>
      <c r="R100" t="n">
        <v>10.07</v>
      </c>
      <c r="S100" t="n">
        <v>4.7</v>
      </c>
      <c r="T100" t="inlineStr">
        <is>
          <t>Mount_missile</t>
        </is>
      </c>
      <c r="U100" t="n">
        <v>4.59</v>
      </c>
      <c r="V100" t="n">
        <v>1.34</v>
      </c>
      <c r="W100" t="n">
        <v>11</v>
      </c>
      <c r="X100" t="n">
        <v>0</v>
      </c>
      <c r="Y100" t="inlineStr"/>
      <c r="Z100" t="inlineStr"/>
      <c r="AA100" t="inlineStr"/>
      <c r="AB100" t="n">
        <v>360</v>
      </c>
      <c r="AC100" t="inlineStr">
        <is>
          <t>missileArmingM</t>
        </is>
      </c>
      <c r="AD100" t="b">
        <v>1</v>
      </c>
      <c r="AE100" t="n">
        <v>1</v>
      </c>
      <c r="AF100" t="n">
        <v>0</v>
      </c>
      <c r="AG100" t="n">
        <v>1</v>
      </c>
      <c r="AH100" t="n">
        <v>45</v>
      </c>
      <c r="AI100" t="n">
        <v>80</v>
      </c>
      <c r="AJ100" t="n">
        <v>21.01</v>
      </c>
      <c r="AK100" t="n">
        <v>1</v>
      </c>
      <c r="AL100" t="n">
        <v>1.3</v>
      </c>
      <c r="AM100" t="inlineStr">
        <is>
          <t>max(vu_trang, khoa)</t>
        </is>
      </c>
      <c r="AN100" t="n">
        <v>1</v>
      </c>
      <c r="AO100" t="n">
        <v>1</v>
      </c>
      <c r="AP100" t="n">
        <v>1</v>
      </c>
      <c r="AQ100" t="n">
        <v>1</v>
      </c>
      <c r="AR100" t="n">
        <v>1</v>
      </c>
      <c r="AS100" t="b">
        <v>1</v>
      </c>
      <c r="AT100" t="inlineStr">
        <is>
          <t>groundMinReach</t>
        </is>
      </c>
      <c r="AU100" t="b">
        <v>0</v>
      </c>
      <c r="AV100" t="inlineStr">
        <is>
          <t>ixion</t>
        </is>
      </c>
      <c r="AW100" t="n">
        <v>1</v>
      </c>
      <c r="AX100" t="n">
        <v>45</v>
      </c>
      <c r="AY100" t="n">
        <v>45</v>
      </c>
      <c r="AZ100" t="n">
        <v>18</v>
      </c>
      <c r="BA100" t="inlineStr">
        <is>
          <t>p26_ixion_mg;pt14_ixion_30;pt14_ixion_kornet</t>
        </is>
      </c>
      <c r="BB100" t="n">
        <v>100</v>
      </c>
      <c r="BC100" t="b">
        <v>1</v>
      </c>
      <c r="BD100" t="inlineStr">
        <is>
          <t>Assets/MachineBrigade/Resources/Data/balance.json: vehicles[id=ixion] x Resources/Models/ixion.glb</t>
        </is>
      </c>
      <c r="BE100" t="inlineStr"/>
    </row>
    <row r="101">
      <c r="A101" t="inlineStr">
        <is>
          <t>ixion/5</t>
        </is>
      </c>
      <c r="B101" t="inlineStr">
        <is>
          <t>ixion</t>
        </is>
      </c>
      <c r="C101" t="inlineStr">
        <is>
          <t>pt14_ixion_kornet</t>
        </is>
      </c>
      <c r="D101" t="inlineStr"/>
      <c r="E101" t="n">
        <v>5</v>
      </c>
      <c r="F101" t="inlineStr">
        <is>
          <t>missile</t>
        </is>
      </c>
      <c r="G101" t="inlineStr">
        <is>
          <t>Free</t>
        </is>
      </c>
      <c r="H101" t="inlineStr">
        <is>
          <t>ten_lua</t>
        </is>
      </c>
      <c r="I101" t="inlineStr">
        <is>
          <t>dan_dan</t>
        </is>
      </c>
      <c r="J101" t="inlineStr">
        <is>
          <t>Muzzle_missile.001</t>
        </is>
      </c>
      <c r="K101" t="inlineStr">
        <is>
          <t>muzzle</t>
        </is>
      </c>
      <c r="L101" t="inlineStr">
        <is>
          <t>ixion</t>
        </is>
      </c>
      <c r="M101" t="n">
        <v>0.9623</v>
      </c>
      <c r="N101" t="n">
        <v>1</v>
      </c>
      <c r="O101" t="n">
        <v>8.57</v>
      </c>
      <c r="P101" t="inlineStr"/>
      <c r="Q101" t="inlineStr"/>
      <c r="R101" t="n">
        <v>10.07</v>
      </c>
      <c r="S101" t="n">
        <v>4.7</v>
      </c>
      <c r="T101" t="inlineStr">
        <is>
          <t>Mount_missile.001</t>
        </is>
      </c>
      <c r="U101" t="n">
        <v>4.59</v>
      </c>
      <c r="V101" t="n">
        <v>1.34</v>
      </c>
      <c r="W101" t="n">
        <v>11</v>
      </c>
      <c r="X101" t="n">
        <v>0</v>
      </c>
      <c r="Y101" t="inlineStr"/>
      <c r="Z101" t="inlineStr"/>
      <c r="AA101" t="inlineStr"/>
      <c r="AB101" t="n">
        <v>360</v>
      </c>
      <c r="AC101" t="inlineStr">
        <is>
          <t>missileArmingM</t>
        </is>
      </c>
      <c r="AD101" t="b">
        <v>1</v>
      </c>
      <c r="AE101" t="n">
        <v>1</v>
      </c>
      <c r="AF101" t="n">
        <v>0</v>
      </c>
      <c r="AG101" t="n">
        <v>1</v>
      </c>
      <c r="AH101" t="n">
        <v>45</v>
      </c>
      <c r="AI101" t="n">
        <v>80</v>
      </c>
      <c r="AJ101" t="n">
        <v>21.01</v>
      </c>
      <c r="AK101" t="n">
        <v>1</v>
      </c>
      <c r="AL101" t="n">
        <v>1.3</v>
      </c>
      <c r="AM101" t="inlineStr">
        <is>
          <t>max(vu_trang, khoa)</t>
        </is>
      </c>
      <c r="AN101" t="n">
        <v>1</v>
      </c>
      <c r="AO101" t="n">
        <v>1</v>
      </c>
      <c r="AP101" t="n">
        <v>1</v>
      </c>
      <c r="AQ101" t="n">
        <v>1</v>
      </c>
      <c r="AR101" t="n">
        <v>1</v>
      </c>
      <c r="AS101" t="b">
        <v>1</v>
      </c>
      <c r="AT101" t="inlineStr">
        <is>
          <t>groundMinReach</t>
        </is>
      </c>
      <c r="AU101" t="b">
        <v>0</v>
      </c>
      <c r="AV101" t="inlineStr">
        <is>
          <t>ixion</t>
        </is>
      </c>
      <c r="AW101" t="n">
        <v>1</v>
      </c>
      <c r="AX101" t="n">
        <v>45</v>
      </c>
      <c r="AY101" t="n">
        <v>45</v>
      </c>
      <c r="AZ101" t="n">
        <v>18</v>
      </c>
      <c r="BA101" t="inlineStr">
        <is>
          <t>p26_ixion_mg;pt14_ixion_30;pt14_ixion_kornet</t>
        </is>
      </c>
      <c r="BB101" t="n">
        <v>100</v>
      </c>
      <c r="BC101" t="b">
        <v>1</v>
      </c>
      <c r="BD101" t="inlineStr">
        <is>
          <t>Assets/MachineBrigade/Resources/Data/balance.json: vehicles[id=ixion] x Resources/Models/ixion.glb</t>
        </is>
      </c>
      <c r="BE101" t="inlineStr"/>
    </row>
    <row r="102">
      <c r="A102" t="inlineStr">
        <is>
          <t>ixion/6</t>
        </is>
      </c>
      <c r="B102" t="inlineStr">
        <is>
          <t>ixion</t>
        </is>
      </c>
      <c r="C102" t="inlineStr">
        <is>
          <t>pt14_ixion_grad</t>
        </is>
      </c>
      <c r="D102" t="inlineStr"/>
      <c r="E102" t="n">
        <v>6</v>
      </c>
      <c r="F102" t="inlineStr">
        <is>
          <t>rocket</t>
        </is>
      </c>
      <c r="G102" t="inlineStr">
        <is>
          <t>Free</t>
        </is>
      </c>
      <c r="H102" t="inlineStr">
        <is>
          <t>ban_cau</t>
        </is>
      </c>
      <c r="I102" t="inlineStr">
        <is>
          <t>chinh</t>
        </is>
      </c>
      <c r="J102" t="inlineStr">
        <is>
          <t>Muzzle_rocket</t>
        </is>
      </c>
      <c r="K102" t="inlineStr">
        <is>
          <t>muzzle</t>
        </is>
      </c>
      <c r="L102" t="inlineStr">
        <is>
          <t>ixion</t>
        </is>
      </c>
      <c r="M102" t="n">
        <v>0.9623</v>
      </c>
      <c r="N102" t="n">
        <v>1</v>
      </c>
      <c r="O102" t="n">
        <v>9.27</v>
      </c>
      <c r="P102" t="inlineStr"/>
      <c r="Q102" t="inlineStr"/>
      <c r="R102" t="n">
        <v>10.07</v>
      </c>
      <c r="S102" t="n">
        <v>6.85</v>
      </c>
      <c r="T102" t="inlineStr">
        <is>
          <t>Mount_rocket</t>
        </is>
      </c>
      <c r="U102" t="n">
        <v>7.97</v>
      </c>
      <c r="V102" t="n">
        <v>1.38</v>
      </c>
      <c r="W102" t="n">
        <v>11</v>
      </c>
      <c r="X102" t="n">
        <v>0</v>
      </c>
      <c r="Y102" t="inlineStr"/>
      <c r="Z102" t="n">
        <v>70</v>
      </c>
      <c r="AA102" t="n">
        <v>5</v>
      </c>
      <c r="AB102" t="n">
        <v>360</v>
      </c>
      <c r="AC102" t="inlineStr">
        <is>
          <t>lop:ban_cau</t>
        </is>
      </c>
      <c r="AD102" t="b">
        <v>1</v>
      </c>
      <c r="AE102" t="n">
        <v>18</v>
      </c>
      <c r="AF102" t="n">
        <v>18</v>
      </c>
      <c r="AG102" t="n">
        <v>0</v>
      </c>
      <c r="AH102" t="n">
        <v>55</v>
      </c>
      <c r="AI102" t="n">
        <v>130</v>
      </c>
      <c r="AJ102" t="n">
        <v>23.23</v>
      </c>
      <c r="AK102" t="inlineStr"/>
      <c r="AL102" t="n">
        <v>1.3</v>
      </c>
      <c r="AM102" t="inlineStr">
        <is>
          <t>v2_sin2theta_g</t>
        </is>
      </c>
      <c r="AN102" t="n">
        <v>9.550000000000001</v>
      </c>
      <c r="AO102" t="n">
        <v>9.550000000000001</v>
      </c>
      <c r="AP102" t="n">
        <v>9.550000000000001</v>
      </c>
      <c r="AQ102" t="n">
        <v>9.550000000000001</v>
      </c>
      <c r="AR102" t="n">
        <v>18</v>
      </c>
      <c r="AS102" t="b">
        <v>1</v>
      </c>
      <c r="AT102" t="inlineStr">
        <is>
          <t>minRange</t>
        </is>
      </c>
      <c r="AU102" t="b">
        <v>0</v>
      </c>
      <c r="AV102" t="inlineStr">
        <is>
          <t>ixion</t>
        </is>
      </c>
      <c r="AW102" t="n">
        <v>18</v>
      </c>
      <c r="AX102" t="n">
        <v>58</v>
      </c>
      <c r="AY102" t="n">
        <v>3.22</v>
      </c>
      <c r="AZ102" t="n">
        <v>18</v>
      </c>
      <c r="BA102" t="inlineStr">
        <is>
          <t>p26_ixion_mg;pt14_ixion_30;pt14_ixion_kornet</t>
        </is>
      </c>
      <c r="BB102" t="n">
        <v>100</v>
      </c>
      <c r="BC102" t="b">
        <v>1</v>
      </c>
      <c r="BD102" t="inlineStr">
        <is>
          <t>Assets/MachineBrigade/Resources/Data/balance.json: vehicles[id=ixion] x Resources/Models/ixion.glb</t>
        </is>
      </c>
      <c r="BE102" t="inlineStr"/>
    </row>
    <row r="103">
      <c r="A103" t="inlineStr">
        <is>
          <t>kraken/0</t>
        </is>
      </c>
      <c r="B103" t="inlineStr">
        <is>
          <t>kraken</t>
        </is>
      </c>
      <c r="C103" t="inlineStr">
        <is>
          <t>p26_leviathan_lev406</t>
        </is>
      </c>
      <c r="D103" t="inlineStr">
        <is>
          <t>turret_fore</t>
        </is>
      </c>
      <c r="E103" t="n">
        <v>0</v>
      </c>
      <c r="F103" t="inlineStr">
        <is>
          <t>gun</t>
        </is>
      </c>
      <c r="G103" t="inlineStr">
        <is>
          <t>Free</t>
        </is>
      </c>
      <c r="H103" t="inlineStr">
        <is>
          <t>phao_ham</t>
        </is>
      </c>
      <c r="I103" t="inlineStr">
        <is>
          <t>chinh</t>
        </is>
      </c>
      <c r="J103" t="inlineStr">
        <is>
          <t>Muzzle_gun</t>
        </is>
      </c>
      <c r="K103" t="inlineStr">
        <is>
          <t>muzzle</t>
        </is>
      </c>
      <c r="L103" t="inlineStr">
        <is>
          <t>kraken</t>
        </is>
      </c>
      <c r="M103" t="n">
        <v>0.9852</v>
      </c>
      <c r="N103" t="n">
        <v>1.2768</v>
      </c>
      <c r="O103" t="n">
        <v>8.9</v>
      </c>
      <c r="P103" t="n">
        <v>9.039999999999999</v>
      </c>
      <c r="Q103" t="n">
        <v>-0.14</v>
      </c>
      <c r="R103" t="n">
        <v>20.56</v>
      </c>
      <c r="S103" t="n">
        <v>50.71</v>
      </c>
      <c r="T103" t="inlineStr">
        <is>
          <t>Mount_gun</t>
        </is>
      </c>
      <c r="U103" t="n">
        <v>37.83</v>
      </c>
      <c r="V103" t="n">
        <v>12.88</v>
      </c>
      <c r="W103" t="n">
        <v>14.30016</v>
      </c>
      <c r="X103" t="n">
        <v>0</v>
      </c>
      <c r="Y103" t="n">
        <v>5</v>
      </c>
      <c r="Z103" t="n">
        <v>45</v>
      </c>
      <c r="AA103" t="inlineStr"/>
      <c r="AB103" t="n">
        <v>360</v>
      </c>
      <c r="AC103" t="inlineStr">
        <is>
          <t>lop:phao_ham</t>
        </is>
      </c>
      <c r="AD103" t="b">
        <v>1</v>
      </c>
      <c r="AE103" t="n">
        <v>72</v>
      </c>
      <c r="AF103" t="n">
        <v>0</v>
      </c>
      <c r="AG103" t="n">
        <v>72</v>
      </c>
      <c r="AH103" t="n">
        <v>160</v>
      </c>
      <c r="AI103" t="n">
        <v>200</v>
      </c>
      <c r="AJ103" t="n">
        <v>39.62</v>
      </c>
      <c r="AK103" t="inlineStr"/>
      <c r="AL103" t="n">
        <v>1.3</v>
      </c>
      <c r="AM103" t="inlineStr">
        <is>
          <t>ban_thang</t>
        </is>
      </c>
      <c r="AN103" t="n">
        <v>86.84999999999999</v>
      </c>
      <c r="AO103" t="n">
        <v>99.72</v>
      </c>
      <c r="AP103" t="n">
        <v>103.15</v>
      </c>
      <c r="AQ103" t="n">
        <v>96.29000000000001</v>
      </c>
      <c r="AR103" t="n">
        <v>100</v>
      </c>
      <c r="AS103" t="b">
        <v>1</v>
      </c>
      <c r="AT103" t="inlineStr">
        <is>
          <t>groundMinReach</t>
        </is>
      </c>
      <c r="AU103" t="b">
        <v>0</v>
      </c>
      <c r="AV103" t="inlineStr">
        <is>
          <t>kraken</t>
        </is>
      </c>
      <c r="AW103" t="n">
        <v>120</v>
      </c>
      <c r="AX103" t="n">
        <v>300</v>
      </c>
      <c r="AY103" t="n">
        <v>2.5</v>
      </c>
      <c r="AZ103" t="n">
        <v>29</v>
      </c>
      <c r="BA103" t="inlineStr"/>
      <c r="BB103" t="n">
        <v>0</v>
      </c>
      <c r="BC103" t="b">
        <v>0</v>
      </c>
      <c r="BD103" t="inlineStr">
        <is>
          <t>Assets/MachineBrigade/Resources/Data/balance.json: vehicles[id=kraken] x Resources/Models/kraken.glb</t>
        </is>
      </c>
      <c r="BE103" t="inlineStr"/>
    </row>
    <row r="104">
      <c r="A104" t="inlineStr">
        <is>
          <t>kraken/1</t>
        </is>
      </c>
      <c r="B104" t="inlineStr">
        <is>
          <t>kraken</t>
        </is>
      </c>
      <c r="C104" t="inlineStr">
        <is>
          <t>p26_leviathan_lev406</t>
        </is>
      </c>
      <c r="D104" t="inlineStr">
        <is>
          <t>turret_super</t>
        </is>
      </c>
      <c r="E104" t="n">
        <v>1</v>
      </c>
      <c r="F104" t="inlineStr">
        <is>
          <t>gun</t>
        </is>
      </c>
      <c r="G104" t="inlineStr">
        <is>
          <t>Free</t>
        </is>
      </c>
      <c r="H104" t="inlineStr">
        <is>
          <t>phao_ham</t>
        </is>
      </c>
      <c r="I104" t="inlineStr">
        <is>
          <t>chinh</t>
        </is>
      </c>
      <c r="J104" t="inlineStr">
        <is>
          <t>Muzzle_gun.001</t>
        </is>
      </c>
      <c r="K104" t="inlineStr">
        <is>
          <t>muzzle</t>
        </is>
      </c>
      <c r="L104" t="inlineStr">
        <is>
          <t>kraken</t>
        </is>
      </c>
      <c r="M104" t="n">
        <v>0.9852</v>
      </c>
      <c r="N104" t="n">
        <v>1.2768</v>
      </c>
      <c r="O104" t="n">
        <v>10.97</v>
      </c>
      <c r="P104" t="n">
        <v>10.04</v>
      </c>
      <c r="Q104" t="n">
        <v>0.92</v>
      </c>
      <c r="R104" t="n">
        <v>20.56</v>
      </c>
      <c r="S104" t="n">
        <v>41.06</v>
      </c>
      <c r="T104" t="inlineStr">
        <is>
          <t>Mount_gun.001</t>
        </is>
      </c>
      <c r="U104" t="n">
        <v>28.18</v>
      </c>
      <c r="V104" t="n">
        <v>12.88</v>
      </c>
      <c r="W104" t="n">
        <v>14.30016</v>
      </c>
      <c r="X104" t="n">
        <v>0</v>
      </c>
      <c r="Y104" t="n">
        <v>5</v>
      </c>
      <c r="Z104" t="n">
        <v>45</v>
      </c>
      <c r="AA104" t="inlineStr"/>
      <c r="AB104" t="n">
        <v>360</v>
      </c>
      <c r="AC104" t="inlineStr">
        <is>
          <t>lop:phao_ham</t>
        </is>
      </c>
      <c r="AD104" t="b">
        <v>1</v>
      </c>
      <c r="AE104" t="n">
        <v>72</v>
      </c>
      <c r="AF104" t="n">
        <v>0</v>
      </c>
      <c r="AG104" t="n">
        <v>72</v>
      </c>
      <c r="AH104" t="n">
        <v>160</v>
      </c>
      <c r="AI104" t="n">
        <v>200</v>
      </c>
      <c r="AJ104" t="n">
        <v>39.62</v>
      </c>
      <c r="AK104" t="inlineStr"/>
      <c r="AL104" t="n">
        <v>1.3</v>
      </c>
      <c r="AM104" t="inlineStr">
        <is>
          <t>ban_thang</t>
        </is>
      </c>
      <c r="AN104" t="n">
        <v>110.48</v>
      </c>
      <c r="AO104" t="n">
        <v>123.36</v>
      </c>
      <c r="AP104" t="n">
        <v>126.78</v>
      </c>
      <c r="AQ104" t="n">
        <v>119.93</v>
      </c>
      <c r="AR104" t="n">
        <v>123</v>
      </c>
      <c r="AS104" t="b">
        <v>1</v>
      </c>
      <c r="AT104" t="inlineStr">
        <is>
          <t>groundMinReach</t>
        </is>
      </c>
      <c r="AU104" t="b">
        <v>0</v>
      </c>
      <c r="AV104" t="inlineStr">
        <is>
          <t>kraken</t>
        </is>
      </c>
      <c r="AW104" t="n">
        <v>120</v>
      </c>
      <c r="AX104" t="n">
        <v>300</v>
      </c>
      <c r="AY104" t="n">
        <v>2.5</v>
      </c>
      <c r="AZ104" t="n">
        <v>29</v>
      </c>
      <c r="BA104" t="inlineStr"/>
      <c r="BB104" t="n">
        <v>0</v>
      </c>
      <c r="BC104" t="b">
        <v>0</v>
      </c>
      <c r="BD104" t="inlineStr">
        <is>
          <t>Assets/MachineBrigade/Resources/Data/balance.json: vehicles[id=kraken] x Resources/Models/kraken.glb</t>
        </is>
      </c>
      <c r="BE104" t="inlineStr"/>
    </row>
    <row r="105">
      <c r="A105" t="inlineStr">
        <is>
          <t>kraken/2</t>
        </is>
      </c>
      <c r="B105" t="inlineStr">
        <is>
          <t>kraken</t>
        </is>
      </c>
      <c r="C105" t="inlineStr">
        <is>
          <t>p26_leviathan_lev406</t>
        </is>
      </c>
      <c r="D105" t="inlineStr">
        <is>
          <t>turret_aft</t>
        </is>
      </c>
      <c r="E105" t="n">
        <v>2</v>
      </c>
      <c r="F105" t="inlineStr">
        <is>
          <t>gun</t>
        </is>
      </c>
      <c r="G105" t="inlineStr">
        <is>
          <t>Free</t>
        </is>
      </c>
      <c r="H105" t="inlineStr">
        <is>
          <t>phao_ham</t>
        </is>
      </c>
      <c r="I105" t="inlineStr">
        <is>
          <t>chinh</t>
        </is>
      </c>
      <c r="J105" t="inlineStr">
        <is>
          <t>Muzzle_gun.002</t>
        </is>
      </c>
      <c r="K105" t="inlineStr">
        <is>
          <t>muzzle</t>
        </is>
      </c>
      <c r="L105" t="inlineStr">
        <is>
          <t>kraken</t>
        </is>
      </c>
      <c r="M105" t="n">
        <v>0.9852</v>
      </c>
      <c r="N105" t="n">
        <v>1.2768</v>
      </c>
      <c r="O105" t="n">
        <v>7.12</v>
      </c>
      <c r="P105" t="n">
        <v>7.24</v>
      </c>
      <c r="Q105" t="n">
        <v>-0.12</v>
      </c>
      <c r="R105" t="n">
        <v>20.56</v>
      </c>
      <c r="S105" t="n">
        <v>34.81</v>
      </c>
      <c r="T105" t="inlineStr">
        <is>
          <t>Mount_gun.002</t>
        </is>
      </c>
      <c r="U105" t="n">
        <v>47.68</v>
      </c>
      <c r="V105" t="n">
        <v>12.88</v>
      </c>
      <c r="W105" t="n">
        <v>14.30016</v>
      </c>
      <c r="X105" t="n">
        <v>0</v>
      </c>
      <c r="Y105" t="n">
        <v>5</v>
      </c>
      <c r="Z105" t="n">
        <v>45</v>
      </c>
      <c r="AA105" t="inlineStr"/>
      <c r="AB105" t="n">
        <v>300</v>
      </c>
      <c r="AC105" t="inlineStr">
        <is>
          <t>lop:phao_ham</t>
        </is>
      </c>
      <c r="AD105" t="b">
        <v>1</v>
      </c>
      <c r="AE105" t="n">
        <v>72</v>
      </c>
      <c r="AF105" t="n">
        <v>0</v>
      </c>
      <c r="AG105" t="n">
        <v>72</v>
      </c>
      <c r="AH105" t="n">
        <v>160</v>
      </c>
      <c r="AI105" t="n">
        <v>200</v>
      </c>
      <c r="AJ105" t="n">
        <v>39.62</v>
      </c>
      <c r="AK105" t="inlineStr"/>
      <c r="AL105" t="n">
        <v>1.3</v>
      </c>
      <c r="AM105" t="inlineStr">
        <is>
          <t>ban_thang</t>
        </is>
      </c>
      <c r="AN105" t="n">
        <v>66.56</v>
      </c>
      <c r="AO105" t="n">
        <v>79.44</v>
      </c>
      <c r="AP105" t="n">
        <v>82.87</v>
      </c>
      <c r="AQ105" t="n">
        <v>76.01000000000001</v>
      </c>
      <c r="AR105" t="n">
        <v>79</v>
      </c>
      <c r="AS105" t="b">
        <v>1</v>
      </c>
      <c r="AT105" t="inlineStr">
        <is>
          <t>groundMinReach</t>
        </is>
      </c>
      <c r="AU105" t="b">
        <v>0</v>
      </c>
      <c r="AV105" t="inlineStr">
        <is>
          <t>kraken</t>
        </is>
      </c>
      <c r="AW105" t="n">
        <v>120</v>
      </c>
      <c r="AX105" t="n">
        <v>300</v>
      </c>
      <c r="AY105" t="n">
        <v>2.5</v>
      </c>
      <c r="AZ105" t="n">
        <v>29</v>
      </c>
      <c r="BA105" t="inlineStr"/>
      <c r="BB105" t="n">
        <v>0</v>
      </c>
      <c r="BC105" t="b">
        <v>0</v>
      </c>
      <c r="BD105" t="inlineStr">
        <is>
          <t>Assets/MachineBrigade/Resources/Data/balance.json: vehicles[id=kraken] x Resources/Models/kraken.glb</t>
        </is>
      </c>
      <c r="BE105" t="inlineStr"/>
    </row>
    <row r="106">
      <c r="A106" t="inlineStr">
        <is>
          <t>kraken/3</t>
        </is>
      </c>
      <c r="B106" t="inlineStr">
        <is>
          <t>kraken</t>
        </is>
      </c>
      <c r="C106" t="inlineStr">
        <is>
          <t>p26_leviathan_sec_lev155</t>
        </is>
      </c>
      <c r="D106" t="inlineStr">
        <is>
          <t>sec_fore</t>
        </is>
      </c>
      <c r="E106" t="n">
        <v>3</v>
      </c>
      <c r="F106" t="inlineStr">
        <is>
          <t>gun</t>
        </is>
      </c>
      <c r="G106" t="inlineStr">
        <is>
          <t>Free</t>
        </is>
      </c>
      <c r="H106" t="inlineStr">
        <is>
          <t>phao_ham</t>
        </is>
      </c>
      <c r="I106" t="inlineStr">
        <is>
          <t>chinh</t>
        </is>
      </c>
      <c r="J106" t="inlineStr">
        <is>
          <t>Muzzle_gun.003</t>
        </is>
      </c>
      <c r="K106" t="inlineStr">
        <is>
          <t>muzzle</t>
        </is>
      </c>
      <c r="L106" t="inlineStr">
        <is>
          <t>kraken</t>
        </is>
      </c>
      <c r="M106" t="n">
        <v>0.9852</v>
      </c>
      <c r="N106" t="n">
        <v>1.2768</v>
      </c>
      <c r="O106" t="n">
        <v>8.15</v>
      </c>
      <c r="P106" t="n">
        <v>8.289999999999999</v>
      </c>
      <c r="Q106" t="n">
        <v>-0.14</v>
      </c>
      <c r="R106" t="n">
        <v>20.56</v>
      </c>
      <c r="S106" t="n">
        <v>25.77</v>
      </c>
      <c r="T106" t="inlineStr">
        <is>
          <t>Mount_gun.003</t>
        </is>
      </c>
      <c r="U106" t="n">
        <v>19.11</v>
      </c>
      <c r="V106" t="n">
        <v>7.09</v>
      </c>
      <c r="W106" t="n">
        <v>14.30016</v>
      </c>
      <c r="X106" t="n">
        <v>0</v>
      </c>
      <c r="Y106" t="n">
        <v>5</v>
      </c>
      <c r="Z106" t="n">
        <v>45</v>
      </c>
      <c r="AA106" t="inlineStr"/>
      <c r="AB106" t="n">
        <v>270</v>
      </c>
      <c r="AC106" t="inlineStr">
        <is>
          <t>lop:phao_ham</t>
        </is>
      </c>
      <c r="AD106" t="b">
        <v>1</v>
      </c>
      <c r="AE106" t="n">
        <v>87</v>
      </c>
      <c r="AF106" t="n">
        <v>0</v>
      </c>
      <c r="AG106" t="n">
        <v>87</v>
      </c>
      <c r="AH106" t="n">
        <v>110</v>
      </c>
      <c r="AI106" t="n">
        <v>150</v>
      </c>
      <c r="AJ106" t="n">
        <v>32.85</v>
      </c>
      <c r="AK106" t="inlineStr"/>
      <c r="AL106" t="n">
        <v>1.3</v>
      </c>
      <c r="AM106" t="inlineStr">
        <is>
          <t>ban_thang</t>
        </is>
      </c>
      <c r="AN106" t="n">
        <v>78.27</v>
      </c>
      <c r="AO106" t="n">
        <v>85.36</v>
      </c>
      <c r="AP106" t="n">
        <v>88.79000000000001</v>
      </c>
      <c r="AQ106" t="n">
        <v>81.94</v>
      </c>
      <c r="AR106" t="n">
        <v>87</v>
      </c>
      <c r="AS106" t="b">
        <v>1</v>
      </c>
      <c r="AT106" t="inlineStr">
        <is>
          <t>groundMinReach</t>
        </is>
      </c>
      <c r="AU106" t="b">
        <v>0</v>
      </c>
      <c r="AV106" t="inlineStr">
        <is>
          <t>kraken</t>
        </is>
      </c>
      <c r="AW106" t="n">
        <v>88</v>
      </c>
      <c r="AX106" t="n">
        <v>282</v>
      </c>
      <c r="AY106" t="n">
        <v>3.2</v>
      </c>
      <c r="AZ106" t="n">
        <v>29</v>
      </c>
      <c r="BA106" t="inlineStr"/>
      <c r="BB106" t="n">
        <v>0</v>
      </c>
      <c r="BC106" t="b">
        <v>0</v>
      </c>
      <c r="BD106" t="inlineStr">
        <is>
          <t>Assets/MachineBrigade/Resources/Data/balance.json: vehicles[id=kraken] x Resources/Models/kraken.glb</t>
        </is>
      </c>
      <c r="BE106" t="inlineStr"/>
    </row>
    <row r="107">
      <c r="A107" t="inlineStr">
        <is>
          <t>kraken/4</t>
        </is>
      </c>
      <c r="B107" t="inlineStr">
        <is>
          <t>kraken</t>
        </is>
      </c>
      <c r="C107" t="inlineStr">
        <is>
          <t>p26_leviathan_sec_lev155</t>
        </is>
      </c>
      <c r="D107" t="inlineStr">
        <is>
          <t>sec_aft</t>
        </is>
      </c>
      <c r="E107" t="n">
        <v>4</v>
      </c>
      <c r="F107" t="inlineStr">
        <is>
          <t>gun</t>
        </is>
      </c>
      <c r="G107" t="inlineStr">
        <is>
          <t>Free</t>
        </is>
      </c>
      <c r="H107" t="inlineStr">
        <is>
          <t>phao_ham</t>
        </is>
      </c>
      <c r="I107" t="inlineStr">
        <is>
          <t>chinh</t>
        </is>
      </c>
      <c r="J107" t="inlineStr">
        <is>
          <t>Muzzle_gun.004</t>
        </is>
      </c>
      <c r="K107" t="inlineStr">
        <is>
          <t>muzzle</t>
        </is>
      </c>
      <c r="L107" t="inlineStr">
        <is>
          <t>kraken</t>
        </is>
      </c>
      <c r="M107" t="n">
        <v>0.9852</v>
      </c>
      <c r="N107" t="n">
        <v>1.2768</v>
      </c>
      <c r="O107" t="n">
        <v>10.13</v>
      </c>
      <c r="P107" t="n">
        <v>10.35</v>
      </c>
      <c r="Q107" t="n">
        <v>-0.22</v>
      </c>
      <c r="R107" t="n">
        <v>20.56</v>
      </c>
      <c r="S107" t="n">
        <v>31.35</v>
      </c>
      <c r="T107" t="inlineStr">
        <is>
          <t>Mount_gun.004</t>
        </is>
      </c>
      <c r="U107" t="n">
        <v>38.3</v>
      </c>
      <c r="V107" t="n">
        <v>7.09</v>
      </c>
      <c r="W107" t="n">
        <v>14.30016</v>
      </c>
      <c r="X107" t="n">
        <v>0</v>
      </c>
      <c r="Y107" t="n">
        <v>5</v>
      </c>
      <c r="Z107" t="n">
        <v>45</v>
      </c>
      <c r="AA107" t="inlineStr"/>
      <c r="AB107" t="n">
        <v>270</v>
      </c>
      <c r="AC107" t="inlineStr">
        <is>
          <t>lop:phao_ham</t>
        </is>
      </c>
      <c r="AD107" t="b">
        <v>1</v>
      </c>
      <c r="AE107" t="n">
        <v>87</v>
      </c>
      <c r="AF107" t="n">
        <v>0</v>
      </c>
      <c r="AG107" t="n">
        <v>87</v>
      </c>
      <c r="AH107" t="n">
        <v>110</v>
      </c>
      <c r="AI107" t="n">
        <v>150</v>
      </c>
      <c r="AJ107" t="n">
        <v>32.85</v>
      </c>
      <c r="AK107" t="inlineStr"/>
      <c r="AL107" t="n">
        <v>1.3</v>
      </c>
      <c r="AM107" t="inlineStr">
        <is>
          <t>ban_thang</t>
        </is>
      </c>
      <c r="AN107" t="n">
        <v>100.91</v>
      </c>
      <c r="AO107" t="n">
        <v>108</v>
      </c>
      <c r="AP107" t="n">
        <v>111.43</v>
      </c>
      <c r="AQ107" t="n">
        <v>104.57</v>
      </c>
      <c r="AR107" t="n">
        <v>108</v>
      </c>
      <c r="AS107" t="b">
        <v>1</v>
      </c>
      <c r="AT107" t="inlineStr">
        <is>
          <t>groundMinReach</t>
        </is>
      </c>
      <c r="AU107" t="b">
        <v>0</v>
      </c>
      <c r="AV107" t="inlineStr">
        <is>
          <t>kraken</t>
        </is>
      </c>
      <c r="AW107" t="n">
        <v>88</v>
      </c>
      <c r="AX107" t="n">
        <v>282</v>
      </c>
      <c r="AY107" t="n">
        <v>3.2</v>
      </c>
      <c r="AZ107" t="n">
        <v>29</v>
      </c>
      <c r="BA107" t="inlineStr"/>
      <c r="BB107" t="n">
        <v>0</v>
      </c>
      <c r="BC107" t="b">
        <v>0</v>
      </c>
      <c r="BD107" t="inlineStr">
        <is>
          <t>Assets/MachineBrigade/Resources/Data/balance.json: vehicles[id=kraken] x Resources/Models/kraken.glb</t>
        </is>
      </c>
      <c r="BE107" t="inlineStr"/>
    </row>
    <row r="108">
      <c r="A108" t="inlineStr">
        <is>
          <t>kraken/5</t>
        </is>
      </c>
      <c r="B108" t="inlineStr">
        <is>
          <t>kraken</t>
        </is>
      </c>
      <c r="C108" t="inlineStr">
        <is>
          <t>p26_leviathan_direct_lev127</t>
        </is>
      </c>
      <c r="D108" t="inlineStr">
        <is>
          <t>ciws_fore</t>
        </is>
      </c>
      <c r="E108" t="n">
        <v>5</v>
      </c>
      <c r="F108" t="inlineStr">
        <is>
          <t>mg</t>
        </is>
      </c>
      <c r="G108" t="inlineStr">
        <is>
          <t>Free</t>
        </is>
      </c>
      <c r="H108" t="inlineStr">
        <is>
          <t>sung_phu</t>
        </is>
      </c>
      <c r="I108" t="inlineStr">
        <is>
          <t>chinh</t>
        </is>
      </c>
      <c r="J108" t="inlineStr">
        <is>
          <t>Muzzle_mg</t>
        </is>
      </c>
      <c r="K108" t="inlineStr">
        <is>
          <t>muzzle</t>
        </is>
      </c>
      <c r="L108" t="inlineStr">
        <is>
          <t>kraken</t>
        </is>
      </c>
      <c r="M108" t="n">
        <v>0.9852</v>
      </c>
      <c r="N108" t="n">
        <v>1.2768</v>
      </c>
      <c r="O108" t="n">
        <v>7.75</v>
      </c>
      <c r="P108" t="n">
        <v>7.84</v>
      </c>
      <c r="Q108" t="n">
        <v>-0.09</v>
      </c>
      <c r="R108" t="n">
        <v>20.56</v>
      </c>
      <c r="S108" t="n">
        <v>30.42</v>
      </c>
      <c r="T108" t="inlineStr">
        <is>
          <t>Mount_mg</t>
        </is>
      </c>
      <c r="U108" t="n">
        <v>24.62</v>
      </c>
      <c r="V108" t="n">
        <v>5.91</v>
      </c>
      <c r="W108" t="n">
        <v>14.30016</v>
      </c>
      <c r="X108" t="n">
        <v>0</v>
      </c>
      <c r="Y108" t="n">
        <v>15</v>
      </c>
      <c r="Z108" t="n">
        <v>70</v>
      </c>
      <c r="AA108" t="inlineStr"/>
      <c r="AB108" t="n">
        <v>360</v>
      </c>
      <c r="AC108" t="inlineStr">
        <is>
          <t>lop:sung_phu</t>
        </is>
      </c>
      <c r="AD108" t="b">
        <v>1</v>
      </c>
      <c r="AE108" t="n">
        <v>23</v>
      </c>
      <c r="AF108" t="n">
        <v>0</v>
      </c>
      <c r="AG108" t="n">
        <v>23</v>
      </c>
      <c r="AH108" t="n">
        <v>90</v>
      </c>
      <c r="AI108" t="n">
        <v>110</v>
      </c>
      <c r="AJ108" t="n">
        <v>29.71</v>
      </c>
      <c r="AK108" t="inlineStr"/>
      <c r="AL108" t="n">
        <v>1.3</v>
      </c>
      <c r="AM108" t="inlineStr">
        <is>
          <t>ban_thang</t>
        </is>
      </c>
      <c r="AN108" t="n">
        <v>24.09</v>
      </c>
      <c r="AO108" t="n">
        <v>30</v>
      </c>
      <c r="AP108" t="n">
        <v>31.12</v>
      </c>
      <c r="AQ108" t="n">
        <v>28.88</v>
      </c>
      <c r="AR108" t="n">
        <v>30</v>
      </c>
      <c r="AS108" t="b">
        <v>1</v>
      </c>
      <c r="AT108" t="inlineStr">
        <is>
          <t>groundMinReach</t>
        </is>
      </c>
      <c r="AU108" t="b">
        <v>0</v>
      </c>
      <c r="AV108" t="inlineStr">
        <is>
          <t>kraken</t>
        </is>
      </c>
      <c r="AW108" t="n">
        <v>29</v>
      </c>
      <c r="AX108" t="n">
        <v>93</v>
      </c>
      <c r="AY108" t="n">
        <v>3.21</v>
      </c>
      <c r="AZ108" t="n">
        <v>29</v>
      </c>
      <c r="BA108" t="inlineStr"/>
      <c r="BB108" t="n">
        <v>0</v>
      </c>
      <c r="BC108" t="b">
        <v>0</v>
      </c>
      <c r="BD108" t="inlineStr">
        <is>
          <t>Assets/MachineBrigade/Resources/Data/balance.json: vehicles[id=kraken] x Resources/Models/kraken.glb</t>
        </is>
      </c>
      <c r="BE108" t="inlineStr"/>
    </row>
    <row r="109">
      <c r="A109" t="inlineStr">
        <is>
          <t>kraken/6</t>
        </is>
      </c>
      <c r="B109" t="inlineStr">
        <is>
          <t>kraken</t>
        </is>
      </c>
      <c r="C109" t="inlineStr">
        <is>
          <t>p26_leviathan_direct_lev127</t>
        </is>
      </c>
      <c r="D109" t="inlineStr">
        <is>
          <t>ciws_aft</t>
        </is>
      </c>
      <c r="E109" t="n">
        <v>6</v>
      </c>
      <c r="F109" t="inlineStr">
        <is>
          <t>mg</t>
        </is>
      </c>
      <c r="G109" t="inlineStr">
        <is>
          <t>Free</t>
        </is>
      </c>
      <c r="H109" t="inlineStr">
        <is>
          <t>sung_phu</t>
        </is>
      </c>
      <c r="I109" t="inlineStr">
        <is>
          <t>chinh</t>
        </is>
      </c>
      <c r="J109" t="inlineStr">
        <is>
          <t>Muzzle_mg.001</t>
        </is>
      </c>
      <c r="K109" t="inlineStr">
        <is>
          <t>muzzle</t>
        </is>
      </c>
      <c r="L109" t="inlineStr">
        <is>
          <t>kraken</t>
        </is>
      </c>
      <c r="M109" t="n">
        <v>0.9852</v>
      </c>
      <c r="N109" t="n">
        <v>1.2768</v>
      </c>
      <c r="O109" t="n">
        <v>6.08</v>
      </c>
      <c r="P109" t="n">
        <v>6.09</v>
      </c>
      <c r="Q109" t="n">
        <v>-0.01</v>
      </c>
      <c r="R109" t="n">
        <v>20.56</v>
      </c>
      <c r="S109" t="n">
        <v>45.87</v>
      </c>
      <c r="T109" t="inlineStr">
        <is>
          <t>Mount_mg.001</t>
        </is>
      </c>
      <c r="U109" t="n">
        <v>51.75</v>
      </c>
      <c r="V109" t="n">
        <v>5.91</v>
      </c>
      <c r="W109" t="n">
        <v>14.30016</v>
      </c>
      <c r="X109" t="n">
        <v>0</v>
      </c>
      <c r="Y109" t="n">
        <v>15</v>
      </c>
      <c r="Z109" t="n">
        <v>70</v>
      </c>
      <c r="AA109" t="inlineStr"/>
      <c r="AB109" t="n">
        <v>360</v>
      </c>
      <c r="AC109" t="inlineStr">
        <is>
          <t>lop:sung_phu</t>
        </is>
      </c>
      <c r="AD109" t="b">
        <v>1</v>
      </c>
      <c r="AE109" t="n">
        <v>23</v>
      </c>
      <c r="AF109" t="n">
        <v>0</v>
      </c>
      <c r="AG109" t="n">
        <v>23</v>
      </c>
      <c r="AH109" t="n">
        <v>90</v>
      </c>
      <c r="AI109" t="n">
        <v>110</v>
      </c>
      <c r="AJ109" t="n">
        <v>29.71</v>
      </c>
      <c r="AK109" t="inlineStr"/>
      <c r="AL109" t="n">
        <v>1.3</v>
      </c>
      <c r="AM109" t="inlineStr">
        <is>
          <t>ban_thang</t>
        </is>
      </c>
      <c r="AN109" t="n">
        <v>17.83</v>
      </c>
      <c r="AO109" t="n">
        <v>23.75</v>
      </c>
      <c r="AP109" t="n">
        <v>24.87</v>
      </c>
      <c r="AQ109" t="n">
        <v>22.63</v>
      </c>
      <c r="AR109" t="n">
        <v>24</v>
      </c>
      <c r="AS109" t="b">
        <v>1</v>
      </c>
      <c r="AT109" t="inlineStr">
        <is>
          <t>groundMinReach</t>
        </is>
      </c>
      <c r="AU109" t="b">
        <v>0</v>
      </c>
      <c r="AV109" t="inlineStr">
        <is>
          <t>kraken</t>
        </is>
      </c>
      <c r="AW109" t="n">
        <v>29</v>
      </c>
      <c r="AX109" t="n">
        <v>93</v>
      </c>
      <c r="AY109" t="n">
        <v>3.21</v>
      </c>
      <c r="AZ109" t="n">
        <v>29</v>
      </c>
      <c r="BA109" t="inlineStr"/>
      <c r="BB109" t="n">
        <v>0</v>
      </c>
      <c r="BC109" t="b">
        <v>0</v>
      </c>
      <c r="BD109" t="inlineStr">
        <is>
          <t>Assets/MachineBrigade/Resources/Data/balance.json: vehicles[id=kraken] x Resources/Models/kraken.glb</t>
        </is>
      </c>
      <c r="BE109" t="inlineStr"/>
    </row>
    <row r="110">
      <c r="A110" t="inlineStr">
        <is>
          <t>kraken/7</t>
        </is>
      </c>
      <c r="B110" t="inlineStr">
        <is>
          <t>kraken</t>
        </is>
      </c>
      <c r="C110" t="inlineStr">
        <is>
          <t>aa_25_triple</t>
        </is>
      </c>
      <c r="D110" t="inlineStr">
        <is>
          <t>aa_port</t>
        </is>
      </c>
      <c r="E110" t="n">
        <v>7</v>
      </c>
      <c r="F110" t="inlineStr">
        <is>
          <t>mg</t>
        </is>
      </c>
      <c r="G110" t="inlineStr">
        <is>
          <t>Free</t>
        </is>
      </c>
      <c r="H110" t="inlineStr">
        <is>
          <t>phong_khong</t>
        </is>
      </c>
      <c r="I110" t="inlineStr">
        <is>
          <t>phong_khong</t>
        </is>
      </c>
      <c r="J110" t="inlineStr">
        <is>
          <t>Muzzle_mg.002</t>
        </is>
      </c>
      <c r="K110" t="inlineStr">
        <is>
          <t>muzzle</t>
        </is>
      </c>
      <c r="L110" t="inlineStr">
        <is>
          <t>kraken</t>
        </is>
      </c>
      <c r="M110" t="n">
        <v>0.9852</v>
      </c>
      <c r="N110" t="n">
        <v>1.2768</v>
      </c>
      <c r="O110" t="n">
        <v>10.08</v>
      </c>
      <c r="P110" t="n">
        <v>9.67</v>
      </c>
      <c r="Q110" t="n">
        <v>0.41</v>
      </c>
      <c r="R110" t="n">
        <v>20.56</v>
      </c>
      <c r="S110" t="n">
        <v>8.69</v>
      </c>
      <c r="T110" t="inlineStr">
        <is>
          <t>Mount_mg.002</t>
        </is>
      </c>
      <c r="U110" t="n">
        <v>9.390000000000001</v>
      </c>
      <c r="V110" t="n">
        <v>1.73</v>
      </c>
      <c r="W110" t="n">
        <v>14.30016</v>
      </c>
      <c r="X110" t="n">
        <v>0</v>
      </c>
      <c r="Y110" t="inlineStr"/>
      <c r="Z110" t="inlineStr"/>
      <c r="AA110" t="inlineStr"/>
      <c r="AB110" t="n">
        <v>360</v>
      </c>
      <c r="AC110" t="inlineStr">
        <is>
          <t>khong_ap</t>
        </is>
      </c>
      <c r="AD110" t="b">
        <v>0</v>
      </c>
      <c r="AE110" t="n">
        <v>0</v>
      </c>
      <c r="AF110" t="n">
        <v>0</v>
      </c>
      <c r="AG110" t="n">
        <v>0</v>
      </c>
      <c r="AH110" t="n">
        <v>42</v>
      </c>
      <c r="AI110" t="n">
        <v>240</v>
      </c>
      <c r="AJ110" t="n">
        <v>20.3</v>
      </c>
      <c r="AK110" t="inlineStr"/>
      <c r="AL110" t="n">
        <v>1.3</v>
      </c>
      <c r="AM110" t="inlineStr">
        <is>
          <t>khong_ap</t>
        </is>
      </c>
      <c r="AN110" t="n">
        <v>0</v>
      </c>
      <c r="AO110" t="n">
        <v>0</v>
      </c>
      <c r="AP110" t="n">
        <v>0</v>
      </c>
      <c r="AQ110" t="n">
        <v>0</v>
      </c>
      <c r="AR110" t="n">
        <v>0</v>
      </c>
      <c r="AS110" t="b">
        <v>0</v>
      </c>
      <c r="AT110" t="inlineStr">
        <is>
          <t>khong_ap</t>
        </is>
      </c>
      <c r="AU110" t="b">
        <v>0</v>
      </c>
      <c r="AV110" t="inlineStr"/>
      <c r="AW110" t="n">
        <v>0</v>
      </c>
      <c r="AX110" t="n">
        <v>42</v>
      </c>
      <c r="AY110" t="inlineStr"/>
      <c r="AZ110" t="n">
        <v>29</v>
      </c>
      <c r="BA110" t="inlineStr"/>
      <c r="BB110" t="n">
        <v>0</v>
      </c>
      <c r="BC110" t="b">
        <v>0</v>
      </c>
      <c r="BD110" t="inlineStr">
        <is>
          <t>Assets/MachineBrigade/Resources/Data/balance.json: vehicles[id=kraken] x Resources/Models/kraken.glb</t>
        </is>
      </c>
      <c r="BE110" t="inlineStr"/>
    </row>
    <row r="111">
      <c r="A111" t="inlineStr">
        <is>
          <t>kraken/8</t>
        </is>
      </c>
      <c r="B111" t="inlineStr">
        <is>
          <t>kraken</t>
        </is>
      </c>
      <c r="C111" t="inlineStr">
        <is>
          <t>aa_25_triple</t>
        </is>
      </c>
      <c r="D111" t="inlineStr">
        <is>
          <t>aa_port</t>
        </is>
      </c>
      <c r="E111" t="n">
        <v>8</v>
      </c>
      <c r="F111" t="inlineStr">
        <is>
          <t>mg</t>
        </is>
      </c>
      <c r="G111" t="inlineStr">
        <is>
          <t>Free</t>
        </is>
      </c>
      <c r="H111" t="inlineStr">
        <is>
          <t>phong_khong</t>
        </is>
      </c>
      <c r="I111" t="inlineStr">
        <is>
          <t>phong_khong</t>
        </is>
      </c>
      <c r="J111" t="inlineStr">
        <is>
          <t>Muzzle_mg.003</t>
        </is>
      </c>
      <c r="K111" t="inlineStr">
        <is>
          <t>muzzle</t>
        </is>
      </c>
      <c r="L111" t="inlineStr">
        <is>
          <t>kraken</t>
        </is>
      </c>
      <c r="M111" t="n">
        <v>0.9852</v>
      </c>
      <c r="N111" t="n">
        <v>1.2768</v>
      </c>
      <c r="O111" t="n">
        <v>10.08</v>
      </c>
      <c r="P111" t="n">
        <v>9.67</v>
      </c>
      <c r="Q111" t="n">
        <v>0.41</v>
      </c>
      <c r="R111" t="n">
        <v>20.56</v>
      </c>
      <c r="S111" t="n">
        <v>10.39</v>
      </c>
      <c r="T111" t="inlineStr">
        <is>
          <t>Mount_mg.003</t>
        </is>
      </c>
      <c r="U111" t="n">
        <v>11.53</v>
      </c>
      <c r="V111" t="n">
        <v>1.73</v>
      </c>
      <c r="W111" t="n">
        <v>14.30016</v>
      </c>
      <c r="X111" t="n">
        <v>0</v>
      </c>
      <c r="Y111" t="inlineStr"/>
      <c r="Z111" t="inlineStr"/>
      <c r="AA111" t="inlineStr"/>
      <c r="AB111" t="n">
        <v>360</v>
      </c>
      <c r="AC111" t="inlineStr">
        <is>
          <t>khong_ap</t>
        </is>
      </c>
      <c r="AD111" t="b">
        <v>0</v>
      </c>
      <c r="AE111" t="n">
        <v>0</v>
      </c>
      <c r="AF111" t="n">
        <v>0</v>
      </c>
      <c r="AG111" t="n">
        <v>0</v>
      </c>
      <c r="AH111" t="n">
        <v>42</v>
      </c>
      <c r="AI111" t="n">
        <v>240</v>
      </c>
      <c r="AJ111" t="n">
        <v>20.3</v>
      </c>
      <c r="AK111" t="inlineStr"/>
      <c r="AL111" t="n">
        <v>1.3</v>
      </c>
      <c r="AM111" t="inlineStr">
        <is>
          <t>khong_ap</t>
        </is>
      </c>
      <c r="AN111" t="n">
        <v>0</v>
      </c>
      <c r="AO111" t="n">
        <v>0</v>
      </c>
      <c r="AP111" t="n">
        <v>0</v>
      </c>
      <c r="AQ111" t="n">
        <v>0</v>
      </c>
      <c r="AR111" t="n">
        <v>0</v>
      </c>
      <c r="AS111" t="b">
        <v>0</v>
      </c>
      <c r="AT111" t="inlineStr">
        <is>
          <t>khong_ap</t>
        </is>
      </c>
      <c r="AU111" t="b">
        <v>0</v>
      </c>
      <c r="AV111" t="inlineStr"/>
      <c r="AW111" t="n">
        <v>0</v>
      </c>
      <c r="AX111" t="n">
        <v>42</v>
      </c>
      <c r="AY111" t="inlineStr"/>
      <c r="AZ111" t="n">
        <v>29</v>
      </c>
      <c r="BA111" t="inlineStr"/>
      <c r="BB111" t="n">
        <v>0</v>
      </c>
      <c r="BC111" t="b">
        <v>0</v>
      </c>
      <c r="BD111" t="inlineStr">
        <is>
          <t>Assets/MachineBrigade/Resources/Data/balance.json: vehicles[id=kraken] x Resources/Models/kraken.glb</t>
        </is>
      </c>
      <c r="BE111" t="inlineStr"/>
    </row>
    <row r="112">
      <c r="A112" t="inlineStr">
        <is>
          <t>kraken/9</t>
        </is>
      </c>
      <c r="B112" t="inlineStr">
        <is>
          <t>kraken</t>
        </is>
      </c>
      <c r="C112" t="inlineStr">
        <is>
          <t>aa_25_triple</t>
        </is>
      </c>
      <c r="D112" t="inlineStr">
        <is>
          <t>aa_port</t>
        </is>
      </c>
      <c r="E112" t="n">
        <v>9</v>
      </c>
      <c r="F112" t="inlineStr">
        <is>
          <t>mg</t>
        </is>
      </c>
      <c r="G112" t="inlineStr">
        <is>
          <t>Free</t>
        </is>
      </c>
      <c r="H112" t="inlineStr">
        <is>
          <t>phong_khong</t>
        </is>
      </c>
      <c r="I112" t="inlineStr">
        <is>
          <t>phong_khong</t>
        </is>
      </c>
      <c r="J112" t="inlineStr">
        <is>
          <t>Muzzle_mg.004</t>
        </is>
      </c>
      <c r="K112" t="inlineStr">
        <is>
          <t>muzzle</t>
        </is>
      </c>
      <c r="L112" t="inlineStr">
        <is>
          <t>kraken</t>
        </is>
      </c>
      <c r="M112" t="n">
        <v>0.9852</v>
      </c>
      <c r="N112" t="n">
        <v>1.2768</v>
      </c>
      <c r="O112" t="n">
        <v>10.08</v>
      </c>
      <c r="P112" t="n">
        <v>9.67</v>
      </c>
      <c r="Q112" t="n">
        <v>0.41</v>
      </c>
      <c r="R112" t="n">
        <v>20.56</v>
      </c>
      <c r="S112" t="n">
        <v>12.87</v>
      </c>
      <c r="T112" t="inlineStr">
        <is>
          <t>Mount_mg.004</t>
        </is>
      </c>
      <c r="U112" t="n">
        <v>14.24</v>
      </c>
      <c r="V112" t="n">
        <v>1.73</v>
      </c>
      <c r="W112" t="n">
        <v>14.30016</v>
      </c>
      <c r="X112" t="n">
        <v>0</v>
      </c>
      <c r="Y112" t="inlineStr"/>
      <c r="Z112" t="inlineStr"/>
      <c r="AA112" t="inlineStr"/>
      <c r="AB112" t="n">
        <v>360</v>
      </c>
      <c r="AC112" t="inlineStr">
        <is>
          <t>khong_ap</t>
        </is>
      </c>
      <c r="AD112" t="b">
        <v>0</v>
      </c>
      <c r="AE112" t="n">
        <v>0</v>
      </c>
      <c r="AF112" t="n">
        <v>0</v>
      </c>
      <c r="AG112" t="n">
        <v>0</v>
      </c>
      <c r="AH112" t="n">
        <v>42</v>
      </c>
      <c r="AI112" t="n">
        <v>240</v>
      </c>
      <c r="AJ112" t="n">
        <v>20.3</v>
      </c>
      <c r="AK112" t="inlineStr"/>
      <c r="AL112" t="n">
        <v>1.3</v>
      </c>
      <c r="AM112" t="inlineStr">
        <is>
          <t>khong_ap</t>
        </is>
      </c>
      <c r="AN112" t="n">
        <v>0</v>
      </c>
      <c r="AO112" t="n">
        <v>0</v>
      </c>
      <c r="AP112" t="n">
        <v>0</v>
      </c>
      <c r="AQ112" t="n">
        <v>0</v>
      </c>
      <c r="AR112" t="n">
        <v>0</v>
      </c>
      <c r="AS112" t="b">
        <v>0</v>
      </c>
      <c r="AT112" t="inlineStr">
        <is>
          <t>khong_ap</t>
        </is>
      </c>
      <c r="AU112" t="b">
        <v>0</v>
      </c>
      <c r="AV112" t="inlineStr"/>
      <c r="AW112" t="n">
        <v>0</v>
      </c>
      <c r="AX112" t="n">
        <v>42</v>
      </c>
      <c r="AY112" t="inlineStr"/>
      <c r="AZ112" t="n">
        <v>29</v>
      </c>
      <c r="BA112" t="inlineStr"/>
      <c r="BB112" t="n">
        <v>0</v>
      </c>
      <c r="BC112" t="b">
        <v>0</v>
      </c>
      <c r="BD112" t="inlineStr">
        <is>
          <t>Assets/MachineBrigade/Resources/Data/balance.json: vehicles[id=kraken] x Resources/Models/kraken.glb</t>
        </is>
      </c>
      <c r="BE112" t="inlineStr"/>
    </row>
    <row r="113">
      <c r="A113" t="inlineStr">
        <is>
          <t>kraken/10</t>
        </is>
      </c>
      <c r="B113" t="inlineStr">
        <is>
          <t>kraken</t>
        </is>
      </c>
      <c r="C113" t="inlineStr">
        <is>
          <t>aa_25_triple</t>
        </is>
      </c>
      <c r="D113" t="inlineStr">
        <is>
          <t>aa_port</t>
        </is>
      </c>
      <c r="E113" t="n">
        <v>10</v>
      </c>
      <c r="F113" t="inlineStr">
        <is>
          <t>mg</t>
        </is>
      </c>
      <c r="G113" t="inlineStr">
        <is>
          <t>Free</t>
        </is>
      </c>
      <c r="H113" t="inlineStr">
        <is>
          <t>phong_khong</t>
        </is>
      </c>
      <c r="I113" t="inlineStr">
        <is>
          <t>phong_khong</t>
        </is>
      </c>
      <c r="J113" t="inlineStr">
        <is>
          <t>Muzzle_mg.005</t>
        </is>
      </c>
      <c r="K113" t="inlineStr">
        <is>
          <t>muzzle</t>
        </is>
      </c>
      <c r="L113" t="inlineStr">
        <is>
          <t>kraken</t>
        </is>
      </c>
      <c r="M113" t="n">
        <v>0.9852</v>
      </c>
      <c r="N113" t="n">
        <v>1.2768</v>
      </c>
      <c r="O113" t="n">
        <v>10.08</v>
      </c>
      <c r="P113" t="n">
        <v>9.67</v>
      </c>
      <c r="Q113" t="n">
        <v>0.41</v>
      </c>
      <c r="R113" t="n">
        <v>20.56</v>
      </c>
      <c r="S113" t="n">
        <v>15.76</v>
      </c>
      <c r="T113" t="inlineStr">
        <is>
          <t>Mount_mg.005</t>
        </is>
      </c>
      <c r="U113" t="n">
        <v>17.26</v>
      </c>
      <c r="V113" t="n">
        <v>1.73</v>
      </c>
      <c r="W113" t="n">
        <v>14.30016</v>
      </c>
      <c r="X113" t="n">
        <v>0</v>
      </c>
      <c r="Y113" t="inlineStr"/>
      <c r="Z113" t="inlineStr"/>
      <c r="AA113" t="inlineStr"/>
      <c r="AB113" t="n">
        <v>360</v>
      </c>
      <c r="AC113" t="inlineStr">
        <is>
          <t>khong_ap</t>
        </is>
      </c>
      <c r="AD113" t="b">
        <v>0</v>
      </c>
      <c r="AE113" t="n">
        <v>0</v>
      </c>
      <c r="AF113" t="n">
        <v>0</v>
      </c>
      <c r="AG113" t="n">
        <v>0</v>
      </c>
      <c r="AH113" t="n">
        <v>42</v>
      </c>
      <c r="AI113" t="n">
        <v>240</v>
      </c>
      <c r="AJ113" t="n">
        <v>20.3</v>
      </c>
      <c r="AK113" t="inlineStr"/>
      <c r="AL113" t="n">
        <v>1.3</v>
      </c>
      <c r="AM113" t="inlineStr">
        <is>
          <t>khong_ap</t>
        </is>
      </c>
      <c r="AN113" t="n">
        <v>0</v>
      </c>
      <c r="AO113" t="n">
        <v>0</v>
      </c>
      <c r="AP113" t="n">
        <v>0</v>
      </c>
      <c r="AQ113" t="n">
        <v>0</v>
      </c>
      <c r="AR113" t="n">
        <v>0</v>
      </c>
      <c r="AS113" t="b">
        <v>0</v>
      </c>
      <c r="AT113" t="inlineStr">
        <is>
          <t>khong_ap</t>
        </is>
      </c>
      <c r="AU113" t="b">
        <v>0</v>
      </c>
      <c r="AV113" t="inlineStr"/>
      <c r="AW113" t="n">
        <v>0</v>
      </c>
      <c r="AX113" t="n">
        <v>42</v>
      </c>
      <c r="AY113" t="inlineStr"/>
      <c r="AZ113" t="n">
        <v>29</v>
      </c>
      <c r="BA113" t="inlineStr"/>
      <c r="BB113" t="n">
        <v>0</v>
      </c>
      <c r="BC113" t="b">
        <v>0</v>
      </c>
      <c r="BD113" t="inlineStr">
        <is>
          <t>Assets/MachineBrigade/Resources/Data/balance.json: vehicles[id=kraken] x Resources/Models/kraken.glb</t>
        </is>
      </c>
      <c r="BE113" t="inlineStr"/>
    </row>
    <row r="114">
      <c r="A114" t="inlineStr">
        <is>
          <t>kraken/11</t>
        </is>
      </c>
      <c r="B114" t="inlineStr">
        <is>
          <t>kraken</t>
        </is>
      </c>
      <c r="C114" t="inlineStr">
        <is>
          <t>aa_25_triple</t>
        </is>
      </c>
      <c r="D114" t="inlineStr">
        <is>
          <t>aa_starboard</t>
        </is>
      </c>
      <c r="E114" t="n">
        <v>11</v>
      </c>
      <c r="F114" t="inlineStr">
        <is>
          <t>mg</t>
        </is>
      </c>
      <c r="G114" t="inlineStr">
        <is>
          <t>Free</t>
        </is>
      </c>
      <c r="H114" t="inlineStr">
        <is>
          <t>phong_khong</t>
        </is>
      </c>
      <c r="I114" t="inlineStr">
        <is>
          <t>phong_khong</t>
        </is>
      </c>
      <c r="J114" t="inlineStr">
        <is>
          <t>Muzzle_mg.006</t>
        </is>
      </c>
      <c r="K114" t="inlineStr">
        <is>
          <t>muzzle</t>
        </is>
      </c>
      <c r="L114" t="inlineStr">
        <is>
          <t>kraken</t>
        </is>
      </c>
      <c r="M114" t="n">
        <v>0.9852</v>
      </c>
      <c r="N114" t="n">
        <v>1.2768</v>
      </c>
      <c r="O114" t="n">
        <v>10.08</v>
      </c>
      <c r="P114" t="n">
        <v>9.67</v>
      </c>
      <c r="Q114" t="n">
        <v>0.41</v>
      </c>
      <c r="R114" t="n">
        <v>20.56</v>
      </c>
      <c r="S114" t="n">
        <v>23.79</v>
      </c>
      <c r="T114" t="inlineStr">
        <is>
          <t>Mount_mg.006</t>
        </is>
      </c>
      <c r="U114" t="n">
        <v>25.44</v>
      </c>
      <c r="V114" t="n">
        <v>1.73</v>
      </c>
      <c r="W114" t="n">
        <v>14.30016</v>
      </c>
      <c r="X114" t="n">
        <v>0</v>
      </c>
      <c r="Y114" t="inlineStr"/>
      <c r="Z114" t="inlineStr"/>
      <c r="AA114" t="inlineStr"/>
      <c r="AB114" t="n">
        <v>360</v>
      </c>
      <c r="AC114" t="inlineStr">
        <is>
          <t>khong_ap</t>
        </is>
      </c>
      <c r="AD114" t="b">
        <v>0</v>
      </c>
      <c r="AE114" t="n">
        <v>0</v>
      </c>
      <c r="AF114" t="n">
        <v>0</v>
      </c>
      <c r="AG114" t="n">
        <v>0</v>
      </c>
      <c r="AH114" t="n">
        <v>42</v>
      </c>
      <c r="AI114" t="n">
        <v>240</v>
      </c>
      <c r="AJ114" t="n">
        <v>20.3</v>
      </c>
      <c r="AK114" t="inlineStr"/>
      <c r="AL114" t="n">
        <v>1.3</v>
      </c>
      <c r="AM114" t="inlineStr">
        <is>
          <t>khong_ap</t>
        </is>
      </c>
      <c r="AN114" t="n">
        <v>0</v>
      </c>
      <c r="AO114" t="n">
        <v>0</v>
      </c>
      <c r="AP114" t="n">
        <v>0</v>
      </c>
      <c r="AQ114" t="n">
        <v>0</v>
      </c>
      <c r="AR114" t="n">
        <v>0</v>
      </c>
      <c r="AS114" t="b">
        <v>0</v>
      </c>
      <c r="AT114" t="inlineStr">
        <is>
          <t>khong_ap</t>
        </is>
      </c>
      <c r="AU114" t="b">
        <v>0</v>
      </c>
      <c r="AV114" t="inlineStr"/>
      <c r="AW114" t="n">
        <v>0</v>
      </c>
      <c r="AX114" t="n">
        <v>42</v>
      </c>
      <c r="AY114" t="inlineStr"/>
      <c r="AZ114" t="n">
        <v>29</v>
      </c>
      <c r="BA114" t="inlineStr"/>
      <c r="BB114" t="n">
        <v>0</v>
      </c>
      <c r="BC114" t="b">
        <v>0</v>
      </c>
      <c r="BD114" t="inlineStr">
        <is>
          <t>Assets/MachineBrigade/Resources/Data/balance.json: vehicles[id=kraken] x Resources/Models/kraken.glb</t>
        </is>
      </c>
      <c r="BE114" t="inlineStr"/>
    </row>
    <row r="115">
      <c r="A115" t="inlineStr">
        <is>
          <t>kraken/12</t>
        </is>
      </c>
      <c r="B115" t="inlineStr">
        <is>
          <t>kraken</t>
        </is>
      </c>
      <c r="C115" t="inlineStr">
        <is>
          <t>aa_25_triple</t>
        </is>
      </c>
      <c r="D115" t="inlineStr">
        <is>
          <t>aa_starboard</t>
        </is>
      </c>
      <c r="E115" t="n">
        <v>12</v>
      </c>
      <c r="F115" t="inlineStr">
        <is>
          <t>mg</t>
        </is>
      </c>
      <c r="G115" t="inlineStr">
        <is>
          <t>Free</t>
        </is>
      </c>
      <c r="H115" t="inlineStr">
        <is>
          <t>phong_khong</t>
        </is>
      </c>
      <c r="I115" t="inlineStr">
        <is>
          <t>phong_khong</t>
        </is>
      </c>
      <c r="J115" t="inlineStr">
        <is>
          <t>Muzzle_mg.007</t>
        </is>
      </c>
      <c r="K115" t="inlineStr">
        <is>
          <t>muzzle</t>
        </is>
      </c>
      <c r="L115" t="inlineStr">
        <is>
          <t>kraken</t>
        </is>
      </c>
      <c r="M115" t="n">
        <v>0.9852</v>
      </c>
      <c r="N115" t="n">
        <v>1.2768</v>
      </c>
      <c r="O115" t="n">
        <v>10.08</v>
      </c>
      <c r="P115" t="n">
        <v>9.67</v>
      </c>
      <c r="Q115" t="n">
        <v>0.41</v>
      </c>
      <c r="R115" t="n">
        <v>20.56</v>
      </c>
      <c r="S115" t="n">
        <v>27.17</v>
      </c>
      <c r="T115" t="inlineStr">
        <is>
          <t>Mount_mg.007</t>
        </is>
      </c>
      <c r="U115" t="n">
        <v>28.84</v>
      </c>
      <c r="V115" t="n">
        <v>1.73</v>
      </c>
      <c r="W115" t="n">
        <v>14.30016</v>
      </c>
      <c r="X115" t="n">
        <v>0</v>
      </c>
      <c r="Y115" t="inlineStr"/>
      <c r="Z115" t="inlineStr"/>
      <c r="AA115" t="inlineStr"/>
      <c r="AB115" t="n">
        <v>360</v>
      </c>
      <c r="AC115" t="inlineStr">
        <is>
          <t>khong_ap</t>
        </is>
      </c>
      <c r="AD115" t="b">
        <v>0</v>
      </c>
      <c r="AE115" t="n">
        <v>0</v>
      </c>
      <c r="AF115" t="n">
        <v>0</v>
      </c>
      <c r="AG115" t="n">
        <v>0</v>
      </c>
      <c r="AH115" t="n">
        <v>42</v>
      </c>
      <c r="AI115" t="n">
        <v>240</v>
      </c>
      <c r="AJ115" t="n">
        <v>20.3</v>
      </c>
      <c r="AK115" t="inlineStr"/>
      <c r="AL115" t="n">
        <v>1.3</v>
      </c>
      <c r="AM115" t="inlineStr">
        <is>
          <t>khong_ap</t>
        </is>
      </c>
      <c r="AN115" t="n">
        <v>0</v>
      </c>
      <c r="AO115" t="n">
        <v>0</v>
      </c>
      <c r="AP115" t="n">
        <v>0</v>
      </c>
      <c r="AQ115" t="n">
        <v>0</v>
      </c>
      <c r="AR115" t="n">
        <v>0</v>
      </c>
      <c r="AS115" t="b">
        <v>0</v>
      </c>
      <c r="AT115" t="inlineStr">
        <is>
          <t>khong_ap</t>
        </is>
      </c>
      <c r="AU115" t="b">
        <v>0</v>
      </c>
      <c r="AV115" t="inlineStr"/>
      <c r="AW115" t="n">
        <v>0</v>
      </c>
      <c r="AX115" t="n">
        <v>42</v>
      </c>
      <c r="AY115" t="inlineStr"/>
      <c r="AZ115" t="n">
        <v>29</v>
      </c>
      <c r="BA115" t="inlineStr"/>
      <c r="BB115" t="n">
        <v>0</v>
      </c>
      <c r="BC115" t="b">
        <v>0</v>
      </c>
      <c r="BD115" t="inlineStr">
        <is>
          <t>Assets/MachineBrigade/Resources/Data/balance.json: vehicles[id=kraken] x Resources/Models/kraken.glb</t>
        </is>
      </c>
      <c r="BE115" t="inlineStr"/>
    </row>
    <row r="116">
      <c r="A116" t="inlineStr">
        <is>
          <t>kraken/13</t>
        </is>
      </c>
      <c r="B116" t="inlineStr">
        <is>
          <t>kraken</t>
        </is>
      </c>
      <c r="C116" t="inlineStr">
        <is>
          <t>aa_25_triple</t>
        </is>
      </c>
      <c r="D116" t="inlineStr">
        <is>
          <t>aa_starboard</t>
        </is>
      </c>
      <c r="E116" t="n">
        <v>13</v>
      </c>
      <c r="F116" t="inlineStr">
        <is>
          <t>mg</t>
        </is>
      </c>
      <c r="G116" t="inlineStr">
        <is>
          <t>Free</t>
        </is>
      </c>
      <c r="H116" t="inlineStr">
        <is>
          <t>phong_khong</t>
        </is>
      </c>
      <c r="I116" t="inlineStr">
        <is>
          <t>phong_khong</t>
        </is>
      </c>
      <c r="J116" t="inlineStr">
        <is>
          <t>Muzzle_mg.008</t>
        </is>
      </c>
      <c r="K116" t="inlineStr">
        <is>
          <t>muzzle</t>
        </is>
      </c>
      <c r="L116" t="inlineStr">
        <is>
          <t>kraken</t>
        </is>
      </c>
      <c r="M116" t="n">
        <v>0.9852</v>
      </c>
      <c r="N116" t="n">
        <v>1.2768</v>
      </c>
      <c r="O116" t="n">
        <v>10.08</v>
      </c>
      <c r="P116" t="n">
        <v>9.67</v>
      </c>
      <c r="Q116" t="n">
        <v>0.41</v>
      </c>
      <c r="R116" t="n">
        <v>20.56</v>
      </c>
      <c r="S116" t="n">
        <v>30.59</v>
      </c>
      <c r="T116" t="inlineStr">
        <is>
          <t>Mount_mg.008</t>
        </is>
      </c>
      <c r="U116" t="n">
        <v>32.27</v>
      </c>
      <c r="V116" t="n">
        <v>1.73</v>
      </c>
      <c r="W116" t="n">
        <v>14.30016</v>
      </c>
      <c r="X116" t="n">
        <v>0</v>
      </c>
      <c r="Y116" t="inlineStr"/>
      <c r="Z116" t="inlineStr"/>
      <c r="AA116" t="inlineStr"/>
      <c r="AB116" t="n">
        <v>360</v>
      </c>
      <c r="AC116" t="inlineStr">
        <is>
          <t>khong_ap</t>
        </is>
      </c>
      <c r="AD116" t="b">
        <v>0</v>
      </c>
      <c r="AE116" t="n">
        <v>0</v>
      </c>
      <c r="AF116" t="n">
        <v>0</v>
      </c>
      <c r="AG116" t="n">
        <v>0</v>
      </c>
      <c r="AH116" t="n">
        <v>42</v>
      </c>
      <c r="AI116" t="n">
        <v>240</v>
      </c>
      <c r="AJ116" t="n">
        <v>20.3</v>
      </c>
      <c r="AK116" t="inlineStr"/>
      <c r="AL116" t="n">
        <v>1.3</v>
      </c>
      <c r="AM116" t="inlineStr">
        <is>
          <t>khong_ap</t>
        </is>
      </c>
      <c r="AN116" t="n">
        <v>0</v>
      </c>
      <c r="AO116" t="n">
        <v>0</v>
      </c>
      <c r="AP116" t="n">
        <v>0</v>
      </c>
      <c r="AQ116" t="n">
        <v>0</v>
      </c>
      <c r="AR116" t="n">
        <v>0</v>
      </c>
      <c r="AS116" t="b">
        <v>0</v>
      </c>
      <c r="AT116" t="inlineStr">
        <is>
          <t>khong_ap</t>
        </is>
      </c>
      <c r="AU116" t="b">
        <v>0</v>
      </c>
      <c r="AV116" t="inlineStr"/>
      <c r="AW116" t="n">
        <v>0</v>
      </c>
      <c r="AX116" t="n">
        <v>42</v>
      </c>
      <c r="AY116" t="inlineStr"/>
      <c r="AZ116" t="n">
        <v>29</v>
      </c>
      <c r="BA116" t="inlineStr"/>
      <c r="BB116" t="n">
        <v>0</v>
      </c>
      <c r="BC116" t="b">
        <v>0</v>
      </c>
      <c r="BD116" t="inlineStr">
        <is>
          <t>Assets/MachineBrigade/Resources/Data/balance.json: vehicles[id=kraken] x Resources/Models/kraken.glb</t>
        </is>
      </c>
      <c r="BE116" t="inlineStr"/>
    </row>
    <row r="117">
      <c r="A117" t="inlineStr">
        <is>
          <t>kraken/14</t>
        </is>
      </c>
      <c r="B117" t="inlineStr">
        <is>
          <t>kraken</t>
        </is>
      </c>
      <c r="C117" t="inlineStr">
        <is>
          <t>aa_25_triple</t>
        </is>
      </c>
      <c r="D117" t="inlineStr">
        <is>
          <t>aa_starboard</t>
        </is>
      </c>
      <c r="E117" t="n">
        <v>14</v>
      </c>
      <c r="F117" t="inlineStr">
        <is>
          <t>mg</t>
        </is>
      </c>
      <c r="G117" t="inlineStr">
        <is>
          <t>Free</t>
        </is>
      </c>
      <c r="H117" t="inlineStr">
        <is>
          <t>phong_khong</t>
        </is>
      </c>
      <c r="I117" t="inlineStr">
        <is>
          <t>phong_khong</t>
        </is>
      </c>
      <c r="J117" t="inlineStr">
        <is>
          <t>Muzzle_mg.009</t>
        </is>
      </c>
      <c r="K117" t="inlineStr">
        <is>
          <t>muzzle</t>
        </is>
      </c>
      <c r="L117" t="inlineStr">
        <is>
          <t>kraken</t>
        </is>
      </c>
      <c r="M117" t="n">
        <v>0.9852</v>
      </c>
      <c r="N117" t="n">
        <v>1.2768</v>
      </c>
      <c r="O117" t="n">
        <v>10.08</v>
      </c>
      <c r="P117" t="n">
        <v>9.67</v>
      </c>
      <c r="Q117" t="n">
        <v>0.41</v>
      </c>
      <c r="R117" t="n">
        <v>20.56</v>
      </c>
      <c r="S117" t="n">
        <v>34.03</v>
      </c>
      <c r="T117" t="inlineStr">
        <is>
          <t>Mount_mg.009</t>
        </is>
      </c>
      <c r="U117" t="n">
        <v>35.72</v>
      </c>
      <c r="V117" t="n">
        <v>1.73</v>
      </c>
      <c r="W117" t="n">
        <v>14.30016</v>
      </c>
      <c r="X117" t="n">
        <v>0</v>
      </c>
      <c r="Y117" t="inlineStr"/>
      <c r="Z117" t="inlineStr"/>
      <c r="AA117" t="inlineStr"/>
      <c r="AB117" t="n">
        <v>360</v>
      </c>
      <c r="AC117" t="inlineStr">
        <is>
          <t>khong_ap</t>
        </is>
      </c>
      <c r="AD117" t="b">
        <v>0</v>
      </c>
      <c r="AE117" t="n">
        <v>0</v>
      </c>
      <c r="AF117" t="n">
        <v>0</v>
      </c>
      <c r="AG117" t="n">
        <v>0</v>
      </c>
      <c r="AH117" t="n">
        <v>42</v>
      </c>
      <c r="AI117" t="n">
        <v>240</v>
      </c>
      <c r="AJ117" t="n">
        <v>20.3</v>
      </c>
      <c r="AK117" t="inlineStr"/>
      <c r="AL117" t="n">
        <v>1.3</v>
      </c>
      <c r="AM117" t="inlineStr">
        <is>
          <t>khong_ap</t>
        </is>
      </c>
      <c r="AN117" t="n">
        <v>0</v>
      </c>
      <c r="AO117" t="n">
        <v>0</v>
      </c>
      <c r="AP117" t="n">
        <v>0</v>
      </c>
      <c r="AQ117" t="n">
        <v>0</v>
      </c>
      <c r="AR117" t="n">
        <v>0</v>
      </c>
      <c r="AS117" t="b">
        <v>0</v>
      </c>
      <c r="AT117" t="inlineStr">
        <is>
          <t>khong_ap</t>
        </is>
      </c>
      <c r="AU117" t="b">
        <v>0</v>
      </c>
      <c r="AV117" t="inlineStr"/>
      <c r="AW117" t="n">
        <v>0</v>
      </c>
      <c r="AX117" t="n">
        <v>42</v>
      </c>
      <c r="AY117" t="inlineStr"/>
      <c r="AZ117" t="n">
        <v>29</v>
      </c>
      <c r="BA117" t="inlineStr"/>
      <c r="BB117" t="n">
        <v>0</v>
      </c>
      <c r="BC117" t="b">
        <v>0</v>
      </c>
      <c r="BD117" t="inlineStr">
        <is>
          <t>Assets/MachineBrigade/Resources/Data/balance.json: vehicles[id=kraken] x Resources/Models/kraken.glb</t>
        </is>
      </c>
      <c r="BE117" t="inlineStr"/>
    </row>
    <row r="118">
      <c r="A118" t="inlineStr">
        <is>
          <t>kraken/15</t>
        </is>
      </c>
      <c r="B118" t="inlineStr">
        <is>
          <t>kraken</t>
        </is>
      </c>
      <c r="C118" t="inlineStr">
        <is>
          <t>sam_post</t>
        </is>
      </c>
      <c r="D118" t="inlineStr">
        <is>
          <t>radar</t>
        </is>
      </c>
      <c r="E118" t="n">
        <v>15</v>
      </c>
      <c r="F118" t="inlineStr">
        <is>
          <t>missile</t>
        </is>
      </c>
      <c r="G118" t="inlineStr">
        <is>
          <t>Free</t>
        </is>
      </c>
      <c r="H118" t="inlineStr">
        <is>
          <t>phong_khong</t>
        </is>
      </c>
      <c r="I118" t="inlineStr">
        <is>
          <t>phong_khong</t>
        </is>
      </c>
      <c r="J118" t="inlineStr">
        <is>
          <t>Muzzle_missile</t>
        </is>
      </c>
      <c r="K118" t="inlineStr">
        <is>
          <t>muzzle</t>
        </is>
      </c>
      <c r="L118" t="inlineStr">
        <is>
          <t>kraken</t>
        </is>
      </c>
      <c r="M118" t="n">
        <v>0.9852</v>
      </c>
      <c r="N118" t="n">
        <v>1.2768</v>
      </c>
      <c r="O118" t="n">
        <v>11.28</v>
      </c>
      <c r="P118" t="n">
        <v>18.96</v>
      </c>
      <c r="Q118" t="n">
        <v>-7.68</v>
      </c>
      <c r="R118" t="n">
        <v>20.56</v>
      </c>
      <c r="S118" t="n">
        <v>16.82</v>
      </c>
      <c r="T118" t="inlineStr">
        <is>
          <t>Mount_missile</t>
        </is>
      </c>
      <c r="U118" t="n">
        <v>19.8</v>
      </c>
      <c r="V118" t="n">
        <v>3</v>
      </c>
      <c r="W118" t="n">
        <v>14.30016</v>
      </c>
      <c r="X118" t="n">
        <v>0</v>
      </c>
      <c r="Y118" t="inlineStr"/>
      <c r="Z118" t="inlineStr"/>
      <c r="AA118" t="inlineStr"/>
      <c r="AB118" t="n">
        <v>360</v>
      </c>
      <c r="AC118" t="inlineStr">
        <is>
          <t>khong_ap</t>
        </is>
      </c>
      <c r="AD118" t="b">
        <v>0</v>
      </c>
      <c r="AE118" t="n">
        <v>0</v>
      </c>
      <c r="AF118" t="n">
        <v>0</v>
      </c>
      <c r="AG118" t="n">
        <v>0</v>
      </c>
      <c r="AH118" t="n">
        <v>60</v>
      </c>
      <c r="AI118" t="n">
        <v>80</v>
      </c>
      <c r="AJ118" t="n">
        <v>24.26</v>
      </c>
      <c r="AK118" t="inlineStr"/>
      <c r="AL118" t="n">
        <v>1.3</v>
      </c>
      <c r="AM118" t="inlineStr">
        <is>
          <t>khong_ap</t>
        </is>
      </c>
      <c r="AN118" t="n">
        <v>0</v>
      </c>
      <c r="AO118" t="n">
        <v>0</v>
      </c>
      <c r="AP118" t="n">
        <v>0</v>
      </c>
      <c r="AQ118" t="n">
        <v>0</v>
      </c>
      <c r="AR118" t="n">
        <v>0</v>
      </c>
      <c r="AS118" t="b">
        <v>0</v>
      </c>
      <c r="AT118" t="inlineStr">
        <is>
          <t>khong_ap</t>
        </is>
      </c>
      <c r="AU118" t="b">
        <v>0</v>
      </c>
      <c r="AV118" t="inlineStr"/>
      <c r="AW118" t="n">
        <v>0</v>
      </c>
      <c r="AX118" t="n">
        <v>60</v>
      </c>
      <c r="AY118" t="inlineStr"/>
      <c r="AZ118" t="n">
        <v>29</v>
      </c>
      <c r="BA118" t="inlineStr"/>
      <c r="BB118" t="n">
        <v>0</v>
      </c>
      <c r="BC118" t="b">
        <v>0</v>
      </c>
      <c r="BD118" t="inlineStr">
        <is>
          <t>Assets/MachineBrigade/Resources/Data/balance.json: vehicles[id=kraken] x Resources/Models/kraken.glb</t>
        </is>
      </c>
      <c r="BE118" t="inlineStr"/>
    </row>
    <row r="119">
      <c r="A119" t="inlineStr">
        <is>
          <t>landing_hovercraft/0</t>
        </is>
      </c>
      <c r="B119" t="inlineStr">
        <is>
          <t>landing_hovercraft</t>
        </is>
      </c>
      <c r="C119" t="inlineStr">
        <is>
          <t>hover_ciws</t>
        </is>
      </c>
      <c r="D119" t="inlineStr">
        <is>
          <t>gun_l</t>
        </is>
      </c>
      <c r="E119" t="n">
        <v>0</v>
      </c>
      <c r="F119" t="inlineStr">
        <is>
          <t>gun</t>
        </is>
      </c>
      <c r="G119" t="inlineStr">
        <is>
          <t>Free</t>
        </is>
      </c>
      <c r="H119" t="inlineStr">
        <is>
          <t>phao_nho_ciws</t>
        </is>
      </c>
      <c r="I119" t="inlineStr">
        <is>
          <t>phong_thu_gan</t>
        </is>
      </c>
      <c r="J119" t="inlineStr">
        <is>
          <t>Muzzle_gun</t>
        </is>
      </c>
      <c r="K119" t="inlineStr">
        <is>
          <t>muzzle</t>
        </is>
      </c>
      <c r="L119" t="inlineStr">
        <is>
          <t>landing_hovercraft</t>
        </is>
      </c>
      <c r="M119" t="n">
        <v>0.85</v>
      </c>
      <c r="N119" t="n">
        <v>0.85</v>
      </c>
      <c r="O119" t="n">
        <v>4.2</v>
      </c>
      <c r="P119" t="n">
        <v>3.65</v>
      </c>
      <c r="Q119" t="n">
        <v>0.54</v>
      </c>
      <c r="R119" t="n">
        <v>7.96</v>
      </c>
      <c r="S119" t="n">
        <v>8.93</v>
      </c>
      <c r="T119" t="inlineStr">
        <is>
          <t>Mount_gun</t>
        </is>
      </c>
      <c r="U119" t="n">
        <v>7.06</v>
      </c>
      <c r="V119" t="n">
        <v>2.27</v>
      </c>
      <c r="W119" t="n">
        <v>7.649999999999999</v>
      </c>
      <c r="X119" t="n">
        <v>0</v>
      </c>
      <c r="Y119" t="n">
        <v>15</v>
      </c>
      <c r="Z119" t="n">
        <v>85</v>
      </c>
      <c r="AA119" t="inlineStr"/>
      <c r="AB119" t="n">
        <v>360</v>
      </c>
      <c r="AC119" t="inlineStr">
        <is>
          <t>lop:phao_nho_ciws</t>
        </is>
      </c>
      <c r="AD119" t="b">
        <v>1</v>
      </c>
      <c r="AE119" t="n">
        <v>0</v>
      </c>
      <c r="AF119" t="n">
        <v>0</v>
      </c>
      <c r="AG119" t="n">
        <v>0</v>
      </c>
      <c r="AH119" t="n">
        <v>34</v>
      </c>
      <c r="AI119" t="n">
        <v>300</v>
      </c>
      <c r="AJ119" t="n">
        <v>18.26</v>
      </c>
      <c r="AK119" t="inlineStr"/>
      <c r="AL119" t="n">
        <v>1.3</v>
      </c>
      <c r="AM119" t="inlineStr">
        <is>
          <t>ban_thang</t>
        </is>
      </c>
      <c r="AN119" t="n">
        <v>10.82</v>
      </c>
      <c r="AO119" t="n">
        <v>13.09</v>
      </c>
      <c r="AP119" t="n">
        <v>14.21</v>
      </c>
      <c r="AQ119" t="n">
        <v>11.97</v>
      </c>
      <c r="AR119" t="n">
        <v>0</v>
      </c>
      <c r="AS119" t="b">
        <v>0</v>
      </c>
      <c r="AT119" t="inlineStr">
        <is>
          <t>khong_ap:phong_thu_gan</t>
        </is>
      </c>
      <c r="AU119" t="b">
        <v>0</v>
      </c>
      <c r="AV119" t="inlineStr"/>
      <c r="AW119" t="n">
        <v>0</v>
      </c>
      <c r="AX119" t="n">
        <v>34</v>
      </c>
      <c r="AY119" t="inlineStr"/>
      <c r="AZ119" t="n">
        <v>12</v>
      </c>
      <c r="BA119" t="inlineStr">
        <is>
          <t>hover_ciws</t>
        </is>
      </c>
      <c r="BB119" t="n">
        <v>100</v>
      </c>
      <c r="BC119" t="b">
        <v>1</v>
      </c>
      <c r="BD119" t="inlineStr">
        <is>
          <t>Assets/MachineBrigade/Resources/Data/balance.json: vehicles[id=landing_hovercraft] x Resources/Models/landing_hovercraft.glb</t>
        </is>
      </c>
      <c r="BE119" t="inlineStr"/>
    </row>
    <row r="120">
      <c r="A120" t="inlineStr">
        <is>
          <t>landing_hovercraft/1</t>
        </is>
      </c>
      <c r="B120" t="inlineStr">
        <is>
          <t>landing_hovercraft</t>
        </is>
      </c>
      <c r="C120" t="inlineStr">
        <is>
          <t>hover_ciws</t>
        </is>
      </c>
      <c r="D120" t="inlineStr">
        <is>
          <t>gun_r</t>
        </is>
      </c>
      <c r="E120" t="n">
        <v>1</v>
      </c>
      <c r="F120" t="inlineStr">
        <is>
          <t>gun</t>
        </is>
      </c>
      <c r="G120" t="inlineStr">
        <is>
          <t>Free</t>
        </is>
      </c>
      <c r="H120" t="inlineStr">
        <is>
          <t>phao_nho_ciws</t>
        </is>
      </c>
      <c r="I120" t="inlineStr">
        <is>
          <t>phong_thu_gan</t>
        </is>
      </c>
      <c r="J120" t="inlineStr">
        <is>
          <t>Muzzle_gun.001</t>
        </is>
      </c>
      <c r="K120" t="inlineStr">
        <is>
          <t>muzzle</t>
        </is>
      </c>
      <c r="L120" t="inlineStr">
        <is>
          <t>landing_hovercraft</t>
        </is>
      </c>
      <c r="M120" t="n">
        <v>0.85</v>
      </c>
      <c r="N120" t="n">
        <v>0.85</v>
      </c>
      <c r="O120" t="n">
        <v>4.2</v>
      </c>
      <c r="P120" t="n">
        <v>3.65</v>
      </c>
      <c r="Q120" t="n">
        <v>0.54</v>
      </c>
      <c r="R120" t="n">
        <v>7.96</v>
      </c>
      <c r="S120" t="n">
        <v>6.6</v>
      </c>
      <c r="T120" t="inlineStr">
        <is>
          <t>Mount_gun.001</t>
        </is>
      </c>
      <c r="U120" t="n">
        <v>5.18</v>
      </c>
      <c r="V120" t="n">
        <v>2.27</v>
      </c>
      <c r="W120" t="n">
        <v>7.649999999999999</v>
      </c>
      <c r="X120" t="n">
        <v>0</v>
      </c>
      <c r="Y120" t="n">
        <v>15</v>
      </c>
      <c r="Z120" t="n">
        <v>85</v>
      </c>
      <c r="AA120" t="inlineStr"/>
      <c r="AB120" t="n">
        <v>360</v>
      </c>
      <c r="AC120" t="inlineStr">
        <is>
          <t>lop:phao_nho_ciws</t>
        </is>
      </c>
      <c r="AD120" t="b">
        <v>1</v>
      </c>
      <c r="AE120" t="n">
        <v>0</v>
      </c>
      <c r="AF120" t="n">
        <v>0</v>
      </c>
      <c r="AG120" t="n">
        <v>0</v>
      </c>
      <c r="AH120" t="n">
        <v>34</v>
      </c>
      <c r="AI120" t="n">
        <v>300</v>
      </c>
      <c r="AJ120" t="n">
        <v>18.26</v>
      </c>
      <c r="AK120" t="inlineStr"/>
      <c r="AL120" t="n">
        <v>1.3</v>
      </c>
      <c r="AM120" t="inlineStr">
        <is>
          <t>ban_thang</t>
        </is>
      </c>
      <c r="AN120" t="n">
        <v>10.82</v>
      </c>
      <c r="AO120" t="n">
        <v>13.09</v>
      </c>
      <c r="AP120" t="n">
        <v>14.21</v>
      </c>
      <c r="AQ120" t="n">
        <v>11.97</v>
      </c>
      <c r="AR120" t="n">
        <v>0</v>
      </c>
      <c r="AS120" t="b">
        <v>0</v>
      </c>
      <c r="AT120" t="inlineStr">
        <is>
          <t>khong_ap:phong_thu_gan</t>
        </is>
      </c>
      <c r="AU120" t="b">
        <v>0</v>
      </c>
      <c r="AV120" t="inlineStr"/>
      <c r="AW120" t="n">
        <v>0</v>
      </c>
      <c r="AX120" t="n">
        <v>34</v>
      </c>
      <c r="AY120" t="inlineStr"/>
      <c r="AZ120" t="n">
        <v>12</v>
      </c>
      <c r="BA120" t="inlineStr">
        <is>
          <t>hover_ciws</t>
        </is>
      </c>
      <c r="BB120" t="n">
        <v>100</v>
      </c>
      <c r="BC120" t="b">
        <v>1</v>
      </c>
      <c r="BD120" t="inlineStr">
        <is>
          <t>Assets/MachineBrigade/Resources/Data/balance.json: vehicles[id=landing_hovercraft] x Resources/Models/landing_hovercraft.glb</t>
        </is>
      </c>
      <c r="BE120" t="inlineStr"/>
    </row>
    <row r="121">
      <c r="A121" t="inlineStr">
        <is>
          <t>landing_hovercraft/2</t>
        </is>
      </c>
      <c r="B121" t="inlineStr">
        <is>
          <t>landing_hovercraft</t>
        </is>
      </c>
      <c r="C121" t="inlineStr">
        <is>
          <t>ciws_aa</t>
        </is>
      </c>
      <c r="D121" t="inlineStr">
        <is>
          <t>ciws_r</t>
        </is>
      </c>
      <c r="E121" t="n">
        <v>2</v>
      </c>
      <c r="F121" t="inlineStr">
        <is>
          <t>mg</t>
        </is>
      </c>
      <c r="G121" t="inlineStr">
        <is>
          <t>Free</t>
        </is>
      </c>
      <c r="H121" t="inlineStr">
        <is>
          <t>phong_khong</t>
        </is>
      </c>
      <c r="I121" t="inlineStr">
        <is>
          <t>phong_khong</t>
        </is>
      </c>
      <c r="J121" t="inlineStr">
        <is>
          <t>Muzzle_mg</t>
        </is>
      </c>
      <c r="K121" t="inlineStr">
        <is>
          <t>muzzle</t>
        </is>
      </c>
      <c r="L121" t="inlineStr">
        <is>
          <t>landing_hovercraft</t>
        </is>
      </c>
      <c r="M121" t="n">
        <v>0.85</v>
      </c>
      <c r="N121" t="n">
        <v>0.85</v>
      </c>
      <c r="O121" t="n">
        <v>4.62</v>
      </c>
      <c r="P121" t="n">
        <v>4.08</v>
      </c>
      <c r="Q121" t="n">
        <v>0.54</v>
      </c>
      <c r="R121" t="n">
        <v>7.96</v>
      </c>
      <c r="S121" t="n">
        <v>4.59</v>
      </c>
      <c r="T121" t="inlineStr">
        <is>
          <t>Mount_mg</t>
        </is>
      </c>
      <c r="U121" t="n">
        <v>5.49</v>
      </c>
      <c r="V121" t="n">
        <v>2.27</v>
      </c>
      <c r="W121" t="n">
        <v>7.649999999999999</v>
      </c>
      <c r="X121" t="n">
        <v>0</v>
      </c>
      <c r="Y121" t="inlineStr"/>
      <c r="Z121" t="inlineStr"/>
      <c r="AA121" t="inlineStr"/>
      <c r="AB121" t="n">
        <v>360</v>
      </c>
      <c r="AC121" t="inlineStr">
        <is>
          <t>khong_ap</t>
        </is>
      </c>
      <c r="AD121" t="b">
        <v>0</v>
      </c>
      <c r="AE121" t="n">
        <v>0</v>
      </c>
      <c r="AF121" t="n">
        <v>0</v>
      </c>
      <c r="AG121" t="n">
        <v>0</v>
      </c>
      <c r="AH121" t="n">
        <v>34</v>
      </c>
      <c r="AI121" t="n">
        <v>300</v>
      </c>
      <c r="AJ121" t="n">
        <v>18.26</v>
      </c>
      <c r="AK121" t="inlineStr"/>
      <c r="AL121" t="n">
        <v>1.3</v>
      </c>
      <c r="AM121" t="inlineStr">
        <is>
          <t>khong_ap</t>
        </is>
      </c>
      <c r="AN121" t="n">
        <v>0</v>
      </c>
      <c r="AO121" t="n">
        <v>0</v>
      </c>
      <c r="AP121" t="n">
        <v>0</v>
      </c>
      <c r="AQ121" t="n">
        <v>0</v>
      </c>
      <c r="AR121" t="n">
        <v>0</v>
      </c>
      <c r="AS121" t="b">
        <v>0</v>
      </c>
      <c r="AT121" t="inlineStr">
        <is>
          <t>khong_ap</t>
        </is>
      </c>
      <c r="AU121" t="b">
        <v>0</v>
      </c>
      <c r="AV121" t="inlineStr"/>
      <c r="AW121" t="n">
        <v>0</v>
      </c>
      <c r="AX121" t="n">
        <v>34</v>
      </c>
      <c r="AY121" t="inlineStr"/>
      <c r="AZ121" t="n">
        <v>12</v>
      </c>
      <c r="BA121" t="inlineStr">
        <is>
          <t>hover_ciws</t>
        </is>
      </c>
      <c r="BB121" t="n">
        <v>100</v>
      </c>
      <c r="BC121" t="b">
        <v>1</v>
      </c>
      <c r="BD121" t="inlineStr">
        <is>
          <t>Assets/MachineBrigade/Resources/Data/balance.json: vehicles[id=landing_hovercraft] x Resources/Models/landing_hovercraft.glb</t>
        </is>
      </c>
      <c r="BE121" t="inlineStr"/>
    </row>
    <row r="122">
      <c r="A122" t="inlineStr">
        <is>
          <t>landing_hovercraft/3</t>
        </is>
      </c>
      <c r="B122" t="inlineStr">
        <is>
          <t>landing_hovercraft</t>
        </is>
      </c>
      <c r="C122" t="inlineStr">
        <is>
          <t>hover_rockets</t>
        </is>
      </c>
      <c r="D122" t="inlineStr">
        <is>
          <t>rockets_l</t>
        </is>
      </c>
      <c r="E122" t="n">
        <v>3</v>
      </c>
      <c r="F122" t="inlineStr">
        <is>
          <t>rocket</t>
        </is>
      </c>
      <c r="G122" t="inlineStr">
        <is>
          <t>Free</t>
        </is>
      </c>
      <c r="H122" t="inlineStr">
        <is>
          <t>ban_cau</t>
        </is>
      </c>
      <c r="I122" t="inlineStr">
        <is>
          <t>chinh</t>
        </is>
      </c>
      <c r="J122" t="inlineStr">
        <is>
          <t>Muzzle_rocket</t>
        </is>
      </c>
      <c r="K122" t="inlineStr">
        <is>
          <t>muzzle</t>
        </is>
      </c>
      <c r="L122" t="inlineStr">
        <is>
          <t>landing_hovercraft</t>
        </is>
      </c>
      <c r="M122" t="n">
        <v>0.85</v>
      </c>
      <c r="N122" t="n">
        <v>0.85</v>
      </c>
      <c r="O122" t="n">
        <v>4.49</v>
      </c>
      <c r="P122" t="n">
        <v>3.91</v>
      </c>
      <c r="Q122" t="n">
        <v>0.58</v>
      </c>
      <c r="R122" t="n">
        <v>7.96</v>
      </c>
      <c r="S122" t="n">
        <v>11.06</v>
      </c>
      <c r="T122" t="inlineStr">
        <is>
          <t>Mount_rocket</t>
        </is>
      </c>
      <c r="U122" t="n">
        <v>10.53</v>
      </c>
      <c r="V122" t="n">
        <v>0.58</v>
      </c>
      <c r="W122" t="n">
        <v>7.649999999999999</v>
      </c>
      <c r="X122" t="n">
        <v>0</v>
      </c>
      <c r="Y122" t="inlineStr"/>
      <c r="Z122" t="n">
        <v>70</v>
      </c>
      <c r="AA122" t="n">
        <v>5</v>
      </c>
      <c r="AB122" t="n">
        <v>360</v>
      </c>
      <c r="AC122" t="inlineStr">
        <is>
          <t>lop:ban_cau</t>
        </is>
      </c>
      <c r="AD122" t="b">
        <v>1</v>
      </c>
      <c r="AE122" t="n">
        <v>12</v>
      </c>
      <c r="AF122" t="n">
        <v>12</v>
      </c>
      <c r="AG122" t="n">
        <v>0</v>
      </c>
      <c r="AH122" t="n">
        <v>55</v>
      </c>
      <c r="AI122" t="n">
        <v>85</v>
      </c>
      <c r="AJ122" t="n">
        <v>23.23</v>
      </c>
      <c r="AK122" t="inlineStr"/>
      <c r="AL122" t="n">
        <v>1.3</v>
      </c>
      <c r="AM122" t="inlineStr">
        <is>
          <t>v2_sin2theta_g</t>
        </is>
      </c>
      <c r="AN122" t="n">
        <v>9.550000000000001</v>
      </c>
      <c r="AO122" t="n">
        <v>9.550000000000001</v>
      </c>
      <c r="AP122" t="n">
        <v>9.550000000000001</v>
      </c>
      <c r="AQ122" t="n">
        <v>9.550000000000001</v>
      </c>
      <c r="AR122" t="n">
        <v>12</v>
      </c>
      <c r="AS122" t="b">
        <v>1</v>
      </c>
      <c r="AT122" t="inlineStr">
        <is>
          <t>minRange</t>
        </is>
      </c>
      <c r="AU122" t="b">
        <v>0</v>
      </c>
      <c r="AV122" t="inlineStr"/>
      <c r="AW122" t="n">
        <v>12</v>
      </c>
      <c r="AX122" t="n">
        <v>55</v>
      </c>
      <c r="AY122" t="n">
        <v>4.58</v>
      </c>
      <c r="AZ122" t="n">
        <v>12</v>
      </c>
      <c r="BA122" t="inlineStr">
        <is>
          <t>hover_ciws</t>
        </is>
      </c>
      <c r="BB122" t="n">
        <v>100</v>
      </c>
      <c r="BC122" t="b">
        <v>1</v>
      </c>
      <c r="BD122" t="inlineStr">
        <is>
          <t>Assets/MachineBrigade/Resources/Data/balance.json: vehicles[id=landing_hovercraft] x Resources/Models/landing_hovercraft.glb</t>
        </is>
      </c>
      <c r="BE122" t="inlineStr"/>
    </row>
    <row r="123">
      <c r="A123" t="inlineStr">
        <is>
          <t>landing_hovercraft/4</t>
        </is>
      </c>
      <c r="B123" t="inlineStr">
        <is>
          <t>landing_hovercraft</t>
        </is>
      </c>
      <c r="C123" t="inlineStr">
        <is>
          <t>hover_rockets</t>
        </is>
      </c>
      <c r="D123" t="inlineStr">
        <is>
          <t>rockets_r</t>
        </is>
      </c>
      <c r="E123" t="n">
        <v>4</v>
      </c>
      <c r="F123" t="inlineStr">
        <is>
          <t>rocket</t>
        </is>
      </c>
      <c r="G123" t="inlineStr">
        <is>
          <t>Free</t>
        </is>
      </c>
      <c r="H123" t="inlineStr">
        <is>
          <t>ban_cau</t>
        </is>
      </c>
      <c r="I123" t="inlineStr">
        <is>
          <t>chinh</t>
        </is>
      </c>
      <c r="J123" t="inlineStr">
        <is>
          <t>Muzzle_rocket.001</t>
        </is>
      </c>
      <c r="K123" t="inlineStr">
        <is>
          <t>muzzle</t>
        </is>
      </c>
      <c r="L123" t="inlineStr">
        <is>
          <t>landing_hovercraft</t>
        </is>
      </c>
      <c r="M123" t="n">
        <v>0.85</v>
      </c>
      <c r="N123" t="n">
        <v>0.85</v>
      </c>
      <c r="O123" t="n">
        <v>4.49</v>
      </c>
      <c r="P123" t="n">
        <v>3.91</v>
      </c>
      <c r="Q123" t="n">
        <v>0.58</v>
      </c>
      <c r="R123" t="n">
        <v>7.96</v>
      </c>
      <c r="S123" t="n">
        <v>11.06</v>
      </c>
      <c r="T123" t="inlineStr">
        <is>
          <t>Mount_rocket.001</t>
        </is>
      </c>
      <c r="U123" t="n">
        <v>10.53</v>
      </c>
      <c r="V123" t="n">
        <v>0.58</v>
      </c>
      <c r="W123" t="n">
        <v>7.649999999999999</v>
      </c>
      <c r="X123" t="n">
        <v>0</v>
      </c>
      <c r="Y123" t="inlineStr"/>
      <c r="Z123" t="n">
        <v>70</v>
      </c>
      <c r="AA123" t="n">
        <v>5</v>
      </c>
      <c r="AB123" t="n">
        <v>360</v>
      </c>
      <c r="AC123" t="inlineStr">
        <is>
          <t>lop:ban_cau</t>
        </is>
      </c>
      <c r="AD123" t="b">
        <v>1</v>
      </c>
      <c r="AE123" t="n">
        <v>12</v>
      </c>
      <c r="AF123" t="n">
        <v>12</v>
      </c>
      <c r="AG123" t="n">
        <v>0</v>
      </c>
      <c r="AH123" t="n">
        <v>55</v>
      </c>
      <c r="AI123" t="n">
        <v>85</v>
      </c>
      <c r="AJ123" t="n">
        <v>23.23</v>
      </c>
      <c r="AK123" t="inlineStr"/>
      <c r="AL123" t="n">
        <v>1.3</v>
      </c>
      <c r="AM123" t="inlineStr">
        <is>
          <t>v2_sin2theta_g</t>
        </is>
      </c>
      <c r="AN123" t="n">
        <v>9.550000000000001</v>
      </c>
      <c r="AO123" t="n">
        <v>9.550000000000001</v>
      </c>
      <c r="AP123" t="n">
        <v>9.550000000000001</v>
      </c>
      <c r="AQ123" t="n">
        <v>9.550000000000001</v>
      </c>
      <c r="AR123" t="n">
        <v>12</v>
      </c>
      <c r="AS123" t="b">
        <v>1</v>
      </c>
      <c r="AT123" t="inlineStr">
        <is>
          <t>minRange</t>
        </is>
      </c>
      <c r="AU123" t="b">
        <v>0</v>
      </c>
      <c r="AV123" t="inlineStr"/>
      <c r="AW123" t="n">
        <v>12</v>
      </c>
      <c r="AX123" t="n">
        <v>55</v>
      </c>
      <c r="AY123" t="n">
        <v>4.58</v>
      </c>
      <c r="AZ123" t="n">
        <v>12</v>
      </c>
      <c r="BA123" t="inlineStr">
        <is>
          <t>hover_ciws</t>
        </is>
      </c>
      <c r="BB123" t="n">
        <v>100</v>
      </c>
      <c r="BC123" t="b">
        <v>1</v>
      </c>
      <c r="BD123" t="inlineStr">
        <is>
          <t>Assets/MachineBrigade/Resources/Data/balance.json: vehicles[id=landing_hovercraft] x Resources/Models/landing_hovercraft.glb</t>
        </is>
      </c>
      <c r="BE123" t="inlineStr"/>
    </row>
    <row r="124">
      <c r="A124" t="inlineStr">
        <is>
          <t>leviathan/0</t>
        </is>
      </c>
      <c r="B124" t="inlineStr">
        <is>
          <t>leviathan</t>
        </is>
      </c>
      <c r="C124" t="inlineStr">
        <is>
          <t>p26_leviathan_lev406</t>
        </is>
      </c>
      <c r="D124" t="inlineStr">
        <is>
          <t>turret_fore</t>
        </is>
      </c>
      <c r="E124" t="n">
        <v>0</v>
      </c>
      <c r="F124" t="inlineStr">
        <is>
          <t>gun</t>
        </is>
      </c>
      <c r="G124" t="inlineStr">
        <is>
          <t>Free</t>
        </is>
      </c>
      <c r="H124" t="inlineStr">
        <is>
          <t>phao_ham</t>
        </is>
      </c>
      <c r="I124" t="inlineStr">
        <is>
          <t>chinh</t>
        </is>
      </c>
      <c r="J124" t="inlineStr">
        <is>
          <t>Muzzle_gun</t>
        </is>
      </c>
      <c r="K124" t="inlineStr">
        <is>
          <t>muzzle</t>
        </is>
      </c>
      <c r="L124" t="inlineStr">
        <is>
          <t>leviathan</t>
        </is>
      </c>
      <c r="M124" t="n">
        <v>1.12</v>
      </c>
      <c r="N124" t="n">
        <v>1.12</v>
      </c>
      <c r="O124" t="n">
        <v>7.07</v>
      </c>
      <c r="P124" t="n">
        <v>7.17</v>
      </c>
      <c r="Q124" t="n">
        <v>-0.1</v>
      </c>
      <c r="R124" t="n">
        <v>26.5</v>
      </c>
      <c r="S124" t="n">
        <v>38.19</v>
      </c>
      <c r="T124" t="inlineStr">
        <is>
          <t>Mount_gun</t>
        </is>
      </c>
      <c r="U124" t="n">
        <v>23.97</v>
      </c>
      <c r="V124" t="n">
        <v>14.23</v>
      </c>
      <c r="W124" t="n">
        <v>12.544</v>
      </c>
      <c r="X124" t="n">
        <v>0</v>
      </c>
      <c r="Y124" t="n">
        <v>5</v>
      </c>
      <c r="Z124" t="n">
        <v>45</v>
      </c>
      <c r="AA124" t="inlineStr"/>
      <c r="AB124" t="n">
        <v>360</v>
      </c>
      <c r="AC124" t="inlineStr">
        <is>
          <t>lop:phao_ham</t>
        </is>
      </c>
      <c r="AD124" t="b">
        <v>1</v>
      </c>
      <c r="AE124" t="n">
        <v>72</v>
      </c>
      <c r="AF124" t="n">
        <v>0</v>
      </c>
      <c r="AG124" t="n">
        <v>72</v>
      </c>
      <c r="AH124" t="n">
        <v>160</v>
      </c>
      <c r="AI124" t="n">
        <v>200</v>
      </c>
      <c r="AJ124" t="n">
        <v>39.62</v>
      </c>
      <c r="AK124" t="inlineStr"/>
      <c r="AL124" t="n">
        <v>1.3</v>
      </c>
      <c r="AM124" t="inlineStr">
        <is>
          <t>ban_thang</t>
        </is>
      </c>
      <c r="AN124" t="n">
        <v>65.92</v>
      </c>
      <c r="AO124" t="n">
        <v>80.15000000000001</v>
      </c>
      <c r="AP124" t="n">
        <v>83.56999999999999</v>
      </c>
      <c r="AQ124" t="n">
        <v>76.72</v>
      </c>
      <c r="AR124" t="n">
        <v>80</v>
      </c>
      <c r="AS124" t="b">
        <v>1</v>
      </c>
      <c r="AT124" t="inlineStr">
        <is>
          <t>groundMinReach</t>
        </is>
      </c>
      <c r="AU124" t="b">
        <v>0</v>
      </c>
      <c r="AV124" t="inlineStr">
        <is>
          <t>leviathan</t>
        </is>
      </c>
      <c r="AW124" t="n">
        <v>103</v>
      </c>
      <c r="AX124" t="n">
        <v>300</v>
      </c>
      <c r="AY124" t="n">
        <v>2.91</v>
      </c>
      <c r="AZ124" t="n">
        <v>42</v>
      </c>
      <c r="BA124" t="inlineStr"/>
      <c r="BB124" t="n">
        <v>0</v>
      </c>
      <c r="BC124" t="b">
        <v>0</v>
      </c>
      <c r="BD124" t="inlineStr">
        <is>
          <t>Assets/MachineBrigade/Resources/Data/balance.json: vehicles[id=leviathan] x Resources/Models/leviathan.glb</t>
        </is>
      </c>
      <c r="BE124" t="inlineStr"/>
    </row>
    <row r="125">
      <c r="A125" t="inlineStr">
        <is>
          <t>leviathan/1</t>
        </is>
      </c>
      <c r="B125" t="inlineStr">
        <is>
          <t>leviathan</t>
        </is>
      </c>
      <c r="C125" t="inlineStr">
        <is>
          <t>p26_leviathan_lev406</t>
        </is>
      </c>
      <c r="D125" t="inlineStr">
        <is>
          <t>turret_super</t>
        </is>
      </c>
      <c r="E125" t="n">
        <v>1</v>
      </c>
      <c r="F125" t="inlineStr">
        <is>
          <t>gun</t>
        </is>
      </c>
      <c r="G125" t="inlineStr">
        <is>
          <t>Free</t>
        </is>
      </c>
      <c r="H125" t="inlineStr">
        <is>
          <t>phao_ham</t>
        </is>
      </c>
      <c r="I125" t="inlineStr">
        <is>
          <t>chinh</t>
        </is>
      </c>
      <c r="J125" t="inlineStr">
        <is>
          <t>Muzzle_gun.001</t>
        </is>
      </c>
      <c r="K125" t="inlineStr">
        <is>
          <t>muzzle</t>
        </is>
      </c>
      <c r="L125" t="inlineStr">
        <is>
          <t>leviathan</t>
        </is>
      </c>
      <c r="M125" t="n">
        <v>1.12</v>
      </c>
      <c r="N125" t="n">
        <v>1.12</v>
      </c>
      <c r="O125" t="n">
        <v>8.970000000000001</v>
      </c>
      <c r="P125" t="n">
        <v>9.18</v>
      </c>
      <c r="Q125" t="n">
        <v>-0.21</v>
      </c>
      <c r="R125" t="n">
        <v>26.5</v>
      </c>
      <c r="S125" t="n">
        <v>28.79</v>
      </c>
      <c r="T125" t="inlineStr">
        <is>
          <t>Mount_gun.001</t>
        </is>
      </c>
      <c r="U125" t="n">
        <v>14.56</v>
      </c>
      <c r="V125" t="n">
        <v>14.23</v>
      </c>
      <c r="W125" t="n">
        <v>12.544</v>
      </c>
      <c r="X125" t="n">
        <v>0</v>
      </c>
      <c r="Y125" t="n">
        <v>5</v>
      </c>
      <c r="Z125" t="n">
        <v>45</v>
      </c>
      <c r="AA125" t="inlineStr"/>
      <c r="AB125" t="n">
        <v>360</v>
      </c>
      <c r="AC125" t="inlineStr">
        <is>
          <t>lop:phao_ham</t>
        </is>
      </c>
      <c r="AD125" t="b">
        <v>1</v>
      </c>
      <c r="AE125" t="n">
        <v>72</v>
      </c>
      <c r="AF125" t="n">
        <v>0</v>
      </c>
      <c r="AG125" t="n">
        <v>72</v>
      </c>
      <c r="AH125" t="n">
        <v>160</v>
      </c>
      <c r="AI125" t="n">
        <v>200</v>
      </c>
      <c r="AJ125" t="n">
        <v>39.62</v>
      </c>
      <c r="AK125" t="inlineStr"/>
      <c r="AL125" t="n">
        <v>1.3</v>
      </c>
      <c r="AM125" t="inlineStr">
        <is>
          <t>ban_thang</t>
        </is>
      </c>
      <c r="AN125" t="n">
        <v>87.68000000000001</v>
      </c>
      <c r="AO125" t="n">
        <v>101.91</v>
      </c>
      <c r="AP125" t="n">
        <v>105.34</v>
      </c>
      <c r="AQ125" t="n">
        <v>98.48</v>
      </c>
      <c r="AR125" t="n">
        <v>102</v>
      </c>
      <c r="AS125" t="b">
        <v>1</v>
      </c>
      <c r="AT125" t="inlineStr">
        <is>
          <t>groundMinReach</t>
        </is>
      </c>
      <c r="AU125" t="b">
        <v>0</v>
      </c>
      <c r="AV125" t="inlineStr">
        <is>
          <t>leviathan</t>
        </is>
      </c>
      <c r="AW125" t="n">
        <v>103</v>
      </c>
      <c r="AX125" t="n">
        <v>300</v>
      </c>
      <c r="AY125" t="n">
        <v>2.91</v>
      </c>
      <c r="AZ125" t="n">
        <v>42</v>
      </c>
      <c r="BA125" t="inlineStr"/>
      <c r="BB125" t="n">
        <v>0</v>
      </c>
      <c r="BC125" t="b">
        <v>0</v>
      </c>
      <c r="BD125" t="inlineStr">
        <is>
          <t>Assets/MachineBrigade/Resources/Data/balance.json: vehicles[id=leviathan] x Resources/Models/leviathan.glb</t>
        </is>
      </c>
      <c r="BE125" t="inlineStr"/>
    </row>
    <row r="126">
      <c r="A126" t="inlineStr">
        <is>
          <t>leviathan/2</t>
        </is>
      </c>
      <c r="B126" t="inlineStr">
        <is>
          <t>leviathan</t>
        </is>
      </c>
      <c r="C126" t="inlineStr">
        <is>
          <t>p26_leviathan_lev406</t>
        </is>
      </c>
      <c r="D126" t="inlineStr">
        <is>
          <t>turret_aft</t>
        </is>
      </c>
      <c r="E126" t="n">
        <v>2</v>
      </c>
      <c r="F126" t="inlineStr">
        <is>
          <t>gun</t>
        </is>
      </c>
      <c r="G126" t="inlineStr">
        <is>
          <t>Free</t>
        </is>
      </c>
      <c r="H126" t="inlineStr">
        <is>
          <t>phao_ham</t>
        </is>
      </c>
      <c r="I126" t="inlineStr">
        <is>
          <t>chinh</t>
        </is>
      </c>
      <c r="J126" t="inlineStr">
        <is>
          <t>Muzzle_gun.002</t>
        </is>
      </c>
      <c r="K126" t="inlineStr">
        <is>
          <t>muzzle</t>
        </is>
      </c>
      <c r="L126" t="inlineStr">
        <is>
          <t>leviathan</t>
        </is>
      </c>
      <c r="M126" t="n">
        <v>1.12</v>
      </c>
      <c r="N126" t="n">
        <v>1.12</v>
      </c>
      <c r="O126" t="n">
        <v>6.33</v>
      </c>
      <c r="P126" t="n">
        <v>6.5</v>
      </c>
      <c r="Q126" t="n">
        <v>-0.17</v>
      </c>
      <c r="R126" t="n">
        <v>26.5</v>
      </c>
      <c r="S126" t="n">
        <v>14.45</v>
      </c>
      <c r="T126" t="inlineStr">
        <is>
          <t>Mount_gun.002</t>
        </is>
      </c>
      <c r="U126" t="n">
        <v>28.67</v>
      </c>
      <c r="V126" t="n">
        <v>14.23</v>
      </c>
      <c r="W126" t="n">
        <v>12.544</v>
      </c>
      <c r="X126" t="n">
        <v>0</v>
      </c>
      <c r="Y126" t="n">
        <v>5</v>
      </c>
      <c r="Z126" t="n">
        <v>45</v>
      </c>
      <c r="AA126" t="inlineStr"/>
      <c r="AB126" t="n">
        <v>300</v>
      </c>
      <c r="AC126" t="inlineStr">
        <is>
          <t>lop:phao_ham</t>
        </is>
      </c>
      <c r="AD126" t="b">
        <v>1</v>
      </c>
      <c r="AE126" t="n">
        <v>72</v>
      </c>
      <c r="AF126" t="n">
        <v>0</v>
      </c>
      <c r="AG126" t="n">
        <v>72</v>
      </c>
      <c r="AH126" t="n">
        <v>160</v>
      </c>
      <c r="AI126" t="n">
        <v>200</v>
      </c>
      <c r="AJ126" t="n">
        <v>39.62</v>
      </c>
      <c r="AK126" t="inlineStr"/>
      <c r="AL126" t="n">
        <v>1.3</v>
      </c>
      <c r="AM126" t="inlineStr">
        <is>
          <t>ban_thang</t>
        </is>
      </c>
      <c r="AN126" t="n">
        <v>57.47</v>
      </c>
      <c r="AO126" t="n">
        <v>71.7</v>
      </c>
      <c r="AP126" t="n">
        <v>75.13</v>
      </c>
      <c r="AQ126" t="n">
        <v>68.27</v>
      </c>
      <c r="AR126" t="n">
        <v>72</v>
      </c>
      <c r="AS126" t="b">
        <v>1</v>
      </c>
      <c r="AT126" t="inlineStr">
        <is>
          <t>groundMinReach</t>
        </is>
      </c>
      <c r="AU126" t="b">
        <v>0</v>
      </c>
      <c r="AV126" t="inlineStr">
        <is>
          <t>leviathan</t>
        </is>
      </c>
      <c r="AW126" t="n">
        <v>103</v>
      </c>
      <c r="AX126" t="n">
        <v>300</v>
      </c>
      <c r="AY126" t="n">
        <v>2.91</v>
      </c>
      <c r="AZ126" t="n">
        <v>42</v>
      </c>
      <c r="BA126" t="inlineStr"/>
      <c r="BB126" t="n">
        <v>0</v>
      </c>
      <c r="BC126" t="b">
        <v>0</v>
      </c>
      <c r="BD126" t="inlineStr">
        <is>
          <t>Assets/MachineBrigade/Resources/Data/balance.json: vehicles[id=leviathan] x Resources/Models/leviathan.glb</t>
        </is>
      </c>
      <c r="BE126" t="inlineStr"/>
    </row>
    <row r="127">
      <c r="A127" t="inlineStr">
        <is>
          <t>leviathan/3</t>
        </is>
      </c>
      <c r="B127" t="inlineStr">
        <is>
          <t>leviathan</t>
        </is>
      </c>
      <c r="C127" t="inlineStr">
        <is>
          <t>p26_leviathan_sec_lev155</t>
        </is>
      </c>
      <c r="D127" t="inlineStr">
        <is>
          <t>sec_fore</t>
        </is>
      </c>
      <c r="E127" t="n">
        <v>3</v>
      </c>
      <c r="F127" t="inlineStr">
        <is>
          <t>gun</t>
        </is>
      </c>
      <c r="G127" t="inlineStr">
        <is>
          <t>Free</t>
        </is>
      </c>
      <c r="H127" t="inlineStr">
        <is>
          <t>phao_ham</t>
        </is>
      </c>
      <c r="I127" t="inlineStr">
        <is>
          <t>chinh</t>
        </is>
      </c>
      <c r="J127" t="inlineStr">
        <is>
          <t>Muzzle_gun.003</t>
        </is>
      </c>
      <c r="K127" t="inlineStr">
        <is>
          <t>muzzle</t>
        </is>
      </c>
      <c r="L127" t="inlineStr">
        <is>
          <t>leviathan</t>
        </is>
      </c>
      <c r="M127" t="n">
        <v>1.12</v>
      </c>
      <c r="N127" t="n">
        <v>1.12</v>
      </c>
      <c r="O127" t="n">
        <v>11.48</v>
      </c>
      <c r="P127" t="n">
        <v>11.76</v>
      </c>
      <c r="Q127" t="n">
        <v>-0.28</v>
      </c>
      <c r="R127" t="n">
        <v>26.5</v>
      </c>
      <c r="S127" t="n">
        <v>15.43</v>
      </c>
      <c r="T127" t="inlineStr">
        <is>
          <t>Mount_gun.003</t>
        </is>
      </c>
      <c r="U127" t="n">
        <v>6.72</v>
      </c>
      <c r="V127" t="n">
        <v>8.710000000000001</v>
      </c>
      <c r="W127" t="n">
        <v>12.544</v>
      </c>
      <c r="X127" t="n">
        <v>0</v>
      </c>
      <c r="Y127" t="n">
        <v>5</v>
      </c>
      <c r="Z127" t="n">
        <v>45</v>
      </c>
      <c r="AA127" t="inlineStr"/>
      <c r="AB127" t="n">
        <v>270</v>
      </c>
      <c r="AC127" t="inlineStr">
        <is>
          <t>lop:phao_ham</t>
        </is>
      </c>
      <c r="AD127" t="b">
        <v>1</v>
      </c>
      <c r="AE127" t="n">
        <v>87</v>
      </c>
      <c r="AF127" t="n">
        <v>0</v>
      </c>
      <c r="AG127" t="n">
        <v>87</v>
      </c>
      <c r="AH127" t="n">
        <v>110</v>
      </c>
      <c r="AI127" t="n">
        <v>150</v>
      </c>
      <c r="AJ127" t="n">
        <v>32.85</v>
      </c>
      <c r="AK127" t="inlineStr"/>
      <c r="AL127" t="n">
        <v>1.3</v>
      </c>
      <c r="AM127" t="inlineStr">
        <is>
          <t>ban_thang</t>
        </is>
      </c>
      <c r="AN127" t="n">
        <v>116.36</v>
      </c>
      <c r="AO127" t="n">
        <v>125.07</v>
      </c>
      <c r="AP127" t="n">
        <v>128.5</v>
      </c>
      <c r="AQ127" t="n">
        <v>121.64</v>
      </c>
      <c r="AR127" t="n">
        <v>88</v>
      </c>
      <c r="AS127" t="b">
        <v>1</v>
      </c>
      <c r="AT127" t="inlineStr">
        <is>
          <t>groundMinReach</t>
        </is>
      </c>
      <c r="AU127" t="b">
        <v>1</v>
      </c>
      <c r="AV127" t="inlineStr">
        <is>
          <t>leviathan</t>
        </is>
      </c>
      <c r="AW127" t="n">
        <v>90</v>
      </c>
      <c r="AX127" t="n">
        <v>288</v>
      </c>
      <c r="AY127" t="n">
        <v>3.2</v>
      </c>
      <c r="AZ127" t="n">
        <v>42</v>
      </c>
      <c r="BA127" t="inlineStr"/>
      <c r="BB127" t="n">
        <v>0</v>
      </c>
      <c r="BC127" t="b">
        <v>0</v>
      </c>
      <c r="BD127" t="inlineStr">
        <is>
          <t>Assets/MachineBrigade/Resources/Data/balance.json: vehicles[id=leviathan] x Resources/Models/leviathan.glb</t>
        </is>
      </c>
      <c r="BE127" t="inlineStr"/>
    </row>
    <row r="128">
      <c r="A128" t="inlineStr">
        <is>
          <t>leviathan/4</t>
        </is>
      </c>
      <c r="B128" t="inlineStr">
        <is>
          <t>leviathan</t>
        </is>
      </c>
      <c r="C128" t="inlineStr">
        <is>
          <t>p26_leviathan_sec_lev155</t>
        </is>
      </c>
      <c r="D128" t="inlineStr">
        <is>
          <t>sec_aft</t>
        </is>
      </c>
      <c r="E128" t="n">
        <v>4</v>
      </c>
      <c r="F128" t="inlineStr">
        <is>
          <t>gun</t>
        </is>
      </c>
      <c r="G128" t="inlineStr">
        <is>
          <t>Free</t>
        </is>
      </c>
      <c r="H128" t="inlineStr">
        <is>
          <t>phao_ham</t>
        </is>
      </c>
      <c r="I128" t="inlineStr">
        <is>
          <t>chinh</t>
        </is>
      </c>
      <c r="J128" t="inlineStr">
        <is>
          <t>Muzzle_gun.004</t>
        </is>
      </c>
      <c r="K128" t="inlineStr">
        <is>
          <t>muzzle</t>
        </is>
      </c>
      <c r="L128" t="inlineStr">
        <is>
          <t>leviathan</t>
        </is>
      </c>
      <c r="M128" t="n">
        <v>1.12</v>
      </c>
      <c r="N128" t="n">
        <v>1.12</v>
      </c>
      <c r="O128" t="n">
        <v>8.359999999999999</v>
      </c>
      <c r="P128" t="n">
        <v>8.619999999999999</v>
      </c>
      <c r="Q128" t="n">
        <v>-0.27</v>
      </c>
      <c r="R128" t="n">
        <v>26.5</v>
      </c>
      <c r="S128" t="n">
        <v>13.46</v>
      </c>
      <c r="T128" t="inlineStr">
        <is>
          <t>Mount_gun.004</t>
        </is>
      </c>
      <c r="U128" t="n">
        <v>22.18</v>
      </c>
      <c r="V128" t="n">
        <v>8.710000000000001</v>
      </c>
      <c r="W128" t="n">
        <v>12.544</v>
      </c>
      <c r="X128" t="n">
        <v>0</v>
      </c>
      <c r="Y128" t="n">
        <v>5</v>
      </c>
      <c r="Z128" t="n">
        <v>45</v>
      </c>
      <c r="AA128" t="inlineStr"/>
      <c r="AB128" t="n">
        <v>270</v>
      </c>
      <c r="AC128" t="inlineStr">
        <is>
          <t>lop:phao_ham</t>
        </is>
      </c>
      <c r="AD128" t="b">
        <v>1</v>
      </c>
      <c r="AE128" t="n">
        <v>87</v>
      </c>
      <c r="AF128" t="n">
        <v>0</v>
      </c>
      <c r="AG128" t="n">
        <v>87</v>
      </c>
      <c r="AH128" t="n">
        <v>110</v>
      </c>
      <c r="AI128" t="n">
        <v>150</v>
      </c>
      <c r="AJ128" t="n">
        <v>32.85</v>
      </c>
      <c r="AK128" t="inlineStr"/>
      <c r="AL128" t="n">
        <v>1.3</v>
      </c>
      <c r="AM128" t="inlineStr">
        <is>
          <t>ban_thang</t>
        </is>
      </c>
      <c r="AN128" t="n">
        <v>80.64</v>
      </c>
      <c r="AO128" t="n">
        <v>89.34999999999999</v>
      </c>
      <c r="AP128" t="n">
        <v>92.78</v>
      </c>
      <c r="AQ128" t="n">
        <v>85.93000000000001</v>
      </c>
      <c r="AR128" t="n">
        <v>89</v>
      </c>
      <c r="AS128" t="b">
        <v>1</v>
      </c>
      <c r="AT128" t="inlineStr">
        <is>
          <t>groundMinReach</t>
        </is>
      </c>
      <c r="AU128" t="b">
        <v>0</v>
      </c>
      <c r="AV128" t="inlineStr">
        <is>
          <t>leviathan</t>
        </is>
      </c>
      <c r="AW128" t="n">
        <v>90</v>
      </c>
      <c r="AX128" t="n">
        <v>288</v>
      </c>
      <c r="AY128" t="n">
        <v>3.2</v>
      </c>
      <c r="AZ128" t="n">
        <v>42</v>
      </c>
      <c r="BA128" t="inlineStr"/>
      <c r="BB128" t="n">
        <v>0</v>
      </c>
      <c r="BC128" t="b">
        <v>0</v>
      </c>
      <c r="BD128" t="inlineStr">
        <is>
          <t>Assets/MachineBrigade/Resources/Data/balance.json: vehicles[id=leviathan] x Resources/Models/leviathan.glb</t>
        </is>
      </c>
      <c r="BE128" t="inlineStr"/>
    </row>
    <row r="129">
      <c r="A129" t="inlineStr">
        <is>
          <t>leviathan/5</t>
        </is>
      </c>
      <c r="B129" t="inlineStr">
        <is>
          <t>leviathan</t>
        </is>
      </c>
      <c r="C129" t="inlineStr">
        <is>
          <t>p26_leviathan_direct_lev127</t>
        </is>
      </c>
      <c r="D129" t="inlineStr">
        <is>
          <t>ciws_fore</t>
        </is>
      </c>
      <c r="E129" t="n">
        <v>5</v>
      </c>
      <c r="F129" t="inlineStr">
        <is>
          <t>mg</t>
        </is>
      </c>
      <c r="G129" t="inlineStr">
        <is>
          <t>Free</t>
        </is>
      </c>
      <c r="H129" t="inlineStr">
        <is>
          <t>sung_phu</t>
        </is>
      </c>
      <c r="I129" t="inlineStr">
        <is>
          <t>chinh</t>
        </is>
      </c>
      <c r="J129" t="inlineStr">
        <is>
          <t>Muzzle_mg</t>
        </is>
      </c>
      <c r="K129" t="inlineStr">
        <is>
          <t>muzzle</t>
        </is>
      </c>
      <c r="L129" t="inlineStr">
        <is>
          <t>leviathan</t>
        </is>
      </c>
      <c r="M129" t="n">
        <v>1.12</v>
      </c>
      <c r="N129" t="n">
        <v>1.12</v>
      </c>
      <c r="O129" t="n">
        <v>11.18</v>
      </c>
      <c r="P129" t="n">
        <v>11.09</v>
      </c>
      <c r="Q129" t="n">
        <v>0.09</v>
      </c>
      <c r="R129" t="n">
        <v>26.5</v>
      </c>
      <c r="S129" t="n">
        <v>10.67</v>
      </c>
      <c r="T129" t="inlineStr">
        <is>
          <t>Mount_mg</t>
        </is>
      </c>
      <c r="U129" t="n">
        <v>5.39</v>
      </c>
      <c r="V129" t="n">
        <v>6.15</v>
      </c>
      <c r="W129" t="n">
        <v>12.544</v>
      </c>
      <c r="X129" t="n">
        <v>0</v>
      </c>
      <c r="Y129" t="n">
        <v>15</v>
      </c>
      <c r="Z129" t="n">
        <v>70</v>
      </c>
      <c r="AA129" t="inlineStr"/>
      <c r="AB129" t="n">
        <v>360</v>
      </c>
      <c r="AC129" t="inlineStr">
        <is>
          <t>lop:sung_phu</t>
        </is>
      </c>
      <c r="AD129" t="b">
        <v>1</v>
      </c>
      <c r="AE129" t="n">
        <v>23</v>
      </c>
      <c r="AF129" t="n">
        <v>0</v>
      </c>
      <c r="AG129" t="n">
        <v>23</v>
      </c>
      <c r="AH129" t="n">
        <v>90</v>
      </c>
      <c r="AI129" t="n">
        <v>110</v>
      </c>
      <c r="AJ129" t="n">
        <v>29.71</v>
      </c>
      <c r="AK129" t="inlineStr"/>
      <c r="AL129" t="n">
        <v>1.3</v>
      </c>
      <c r="AM129" t="inlineStr">
        <is>
          <t>ban_thang</t>
        </is>
      </c>
      <c r="AN129" t="n">
        <v>36.86</v>
      </c>
      <c r="AO129" t="n">
        <v>43.02</v>
      </c>
      <c r="AP129" t="n">
        <v>44.14</v>
      </c>
      <c r="AQ129" t="n">
        <v>41.9</v>
      </c>
      <c r="AR129" t="n">
        <v>43</v>
      </c>
      <c r="AS129" t="b">
        <v>1</v>
      </c>
      <c r="AT129" t="inlineStr">
        <is>
          <t>groundMinReach</t>
        </is>
      </c>
      <c r="AU129" t="b">
        <v>0</v>
      </c>
      <c r="AV129" t="inlineStr">
        <is>
          <t>leviathan</t>
        </is>
      </c>
      <c r="AW129" t="n">
        <v>42</v>
      </c>
      <c r="AX129" t="n">
        <v>135</v>
      </c>
      <c r="AY129" t="n">
        <v>3.21</v>
      </c>
      <c r="AZ129" t="n">
        <v>42</v>
      </c>
      <c r="BA129" t="inlineStr"/>
      <c r="BB129" t="n">
        <v>0</v>
      </c>
      <c r="BC129" t="b">
        <v>0</v>
      </c>
      <c r="BD129" t="inlineStr">
        <is>
          <t>Assets/MachineBrigade/Resources/Data/balance.json: vehicles[id=leviathan] x Resources/Models/leviathan.glb</t>
        </is>
      </c>
      <c r="BE129" t="inlineStr"/>
    </row>
    <row r="130">
      <c r="A130" t="inlineStr">
        <is>
          <t>leviathan/6</t>
        </is>
      </c>
      <c r="B130" t="inlineStr">
        <is>
          <t>leviathan</t>
        </is>
      </c>
      <c r="C130" t="inlineStr">
        <is>
          <t>p26_leviathan_direct_lev127</t>
        </is>
      </c>
      <c r="D130" t="inlineStr">
        <is>
          <t>ciws_aft</t>
        </is>
      </c>
      <c r="E130" t="n">
        <v>6</v>
      </c>
      <c r="F130" t="inlineStr">
        <is>
          <t>mg</t>
        </is>
      </c>
      <c r="G130" t="inlineStr">
        <is>
          <t>Free</t>
        </is>
      </c>
      <c r="H130" t="inlineStr">
        <is>
          <t>sung_phu</t>
        </is>
      </c>
      <c r="I130" t="inlineStr">
        <is>
          <t>chinh</t>
        </is>
      </c>
      <c r="J130" t="inlineStr">
        <is>
          <t>Muzzle_mg.001</t>
        </is>
      </c>
      <c r="K130" t="inlineStr">
        <is>
          <t>muzzle</t>
        </is>
      </c>
      <c r="L130" t="inlineStr">
        <is>
          <t>leviathan</t>
        </is>
      </c>
      <c r="M130" t="n">
        <v>1.12</v>
      </c>
      <c r="N130" t="n">
        <v>1.12</v>
      </c>
      <c r="O130" t="n">
        <v>7.77</v>
      </c>
      <c r="P130" t="n">
        <v>7.84</v>
      </c>
      <c r="Q130" t="n">
        <v>-0.07000000000000001</v>
      </c>
      <c r="R130" t="n">
        <v>26.5</v>
      </c>
      <c r="S130" t="n">
        <v>10.82</v>
      </c>
      <c r="T130" t="inlineStr">
        <is>
          <t>Mount_mg.001</t>
        </is>
      </c>
      <c r="U130" t="n">
        <v>16.83</v>
      </c>
      <c r="V130" t="n">
        <v>6.15</v>
      </c>
      <c r="W130" t="n">
        <v>12.544</v>
      </c>
      <c r="X130" t="n">
        <v>0</v>
      </c>
      <c r="Y130" t="n">
        <v>15</v>
      </c>
      <c r="Z130" t="n">
        <v>70</v>
      </c>
      <c r="AA130" t="inlineStr"/>
      <c r="AB130" t="n">
        <v>360</v>
      </c>
      <c r="AC130" t="inlineStr">
        <is>
          <t>lop:sung_phu</t>
        </is>
      </c>
      <c r="AD130" t="b">
        <v>1</v>
      </c>
      <c r="AE130" t="n">
        <v>23</v>
      </c>
      <c r="AF130" t="n">
        <v>0</v>
      </c>
      <c r="AG130" t="n">
        <v>23</v>
      </c>
      <c r="AH130" t="n">
        <v>90</v>
      </c>
      <c r="AI130" t="n">
        <v>110</v>
      </c>
      <c r="AJ130" t="n">
        <v>29.71</v>
      </c>
      <c r="AK130" t="inlineStr"/>
      <c r="AL130" t="n">
        <v>1.3</v>
      </c>
      <c r="AM130" t="inlineStr">
        <is>
          <t>ban_thang</t>
        </is>
      </c>
      <c r="AN130" t="n">
        <v>24.16</v>
      </c>
      <c r="AO130" t="n">
        <v>30.31</v>
      </c>
      <c r="AP130" t="n">
        <v>31.43</v>
      </c>
      <c r="AQ130" t="n">
        <v>29.19</v>
      </c>
      <c r="AR130" t="n">
        <v>30</v>
      </c>
      <c r="AS130" t="b">
        <v>1</v>
      </c>
      <c r="AT130" t="inlineStr">
        <is>
          <t>groundMinReach</t>
        </is>
      </c>
      <c r="AU130" t="b">
        <v>0</v>
      </c>
      <c r="AV130" t="inlineStr">
        <is>
          <t>leviathan</t>
        </is>
      </c>
      <c r="AW130" t="n">
        <v>42</v>
      </c>
      <c r="AX130" t="n">
        <v>135</v>
      </c>
      <c r="AY130" t="n">
        <v>3.21</v>
      </c>
      <c r="AZ130" t="n">
        <v>42</v>
      </c>
      <c r="BA130" t="inlineStr"/>
      <c r="BB130" t="n">
        <v>0</v>
      </c>
      <c r="BC130" t="b">
        <v>0</v>
      </c>
      <c r="BD130" t="inlineStr">
        <is>
          <t>Assets/MachineBrigade/Resources/Data/balance.json: vehicles[id=leviathan] x Resources/Models/leviathan.glb</t>
        </is>
      </c>
      <c r="BE130" t="inlineStr"/>
    </row>
    <row r="131">
      <c r="A131" t="inlineStr">
        <is>
          <t>leviathan/7</t>
        </is>
      </c>
      <c r="B131" t="inlineStr">
        <is>
          <t>leviathan</t>
        </is>
      </c>
      <c r="C131" t="inlineStr">
        <is>
          <t>aa_25_triple</t>
        </is>
      </c>
      <c r="D131" t="inlineStr">
        <is>
          <t>aa_port</t>
        </is>
      </c>
      <c r="E131" t="n">
        <v>7</v>
      </c>
      <c r="F131" t="inlineStr">
        <is>
          <t>mg</t>
        </is>
      </c>
      <c r="G131" t="inlineStr">
        <is>
          <t>Free</t>
        </is>
      </c>
      <c r="H131" t="inlineStr">
        <is>
          <t>phong_khong</t>
        </is>
      </c>
      <c r="I131" t="inlineStr">
        <is>
          <t>phong_khong</t>
        </is>
      </c>
      <c r="J131" t="inlineStr">
        <is>
          <t>Muzzle_mg.002</t>
        </is>
      </c>
      <c r="K131" t="inlineStr">
        <is>
          <t>muzzle</t>
        </is>
      </c>
      <c r="L131" t="inlineStr">
        <is>
          <t>leviathan</t>
        </is>
      </c>
      <c r="M131" t="n">
        <v>1.12</v>
      </c>
      <c r="N131" t="n">
        <v>1.12</v>
      </c>
      <c r="O131" t="n">
        <v>5.53</v>
      </c>
      <c r="P131" t="n">
        <v>5.15</v>
      </c>
      <c r="Q131" t="n">
        <v>0.38</v>
      </c>
      <c r="R131" t="n">
        <v>26.5</v>
      </c>
      <c r="S131" t="n">
        <v>10.56</v>
      </c>
      <c r="T131" t="inlineStr">
        <is>
          <t>Mount_mg.002</t>
        </is>
      </c>
      <c r="U131" t="n">
        <v>9.01</v>
      </c>
      <c r="V131" t="n">
        <v>2.26</v>
      </c>
      <c r="W131" t="n">
        <v>12.544</v>
      </c>
      <c r="X131" t="n">
        <v>0</v>
      </c>
      <c r="Y131" t="inlineStr"/>
      <c r="Z131" t="inlineStr"/>
      <c r="AA131" t="inlineStr"/>
      <c r="AB131" t="n">
        <v>360</v>
      </c>
      <c r="AC131" t="inlineStr">
        <is>
          <t>khong_ap</t>
        </is>
      </c>
      <c r="AD131" t="b">
        <v>0</v>
      </c>
      <c r="AE131" t="n">
        <v>0</v>
      </c>
      <c r="AF131" t="n">
        <v>0</v>
      </c>
      <c r="AG131" t="n">
        <v>0</v>
      </c>
      <c r="AH131" t="n">
        <v>42</v>
      </c>
      <c r="AI131" t="n">
        <v>240</v>
      </c>
      <c r="AJ131" t="n">
        <v>20.3</v>
      </c>
      <c r="AK131" t="inlineStr"/>
      <c r="AL131" t="n">
        <v>1.3</v>
      </c>
      <c r="AM131" t="inlineStr">
        <is>
          <t>khong_ap</t>
        </is>
      </c>
      <c r="AN131" t="n">
        <v>0</v>
      </c>
      <c r="AO131" t="n">
        <v>0</v>
      </c>
      <c r="AP131" t="n">
        <v>0</v>
      </c>
      <c r="AQ131" t="n">
        <v>0</v>
      </c>
      <c r="AR131" t="n">
        <v>0</v>
      </c>
      <c r="AS131" t="b">
        <v>0</v>
      </c>
      <c r="AT131" t="inlineStr">
        <is>
          <t>khong_ap</t>
        </is>
      </c>
      <c r="AU131" t="b">
        <v>0</v>
      </c>
      <c r="AV131" t="inlineStr"/>
      <c r="AW131" t="n">
        <v>0</v>
      </c>
      <c r="AX131" t="n">
        <v>42</v>
      </c>
      <c r="AY131" t="inlineStr"/>
      <c r="AZ131" t="n">
        <v>42</v>
      </c>
      <c r="BA131" t="inlineStr"/>
      <c r="BB131" t="n">
        <v>0</v>
      </c>
      <c r="BC131" t="b">
        <v>0</v>
      </c>
      <c r="BD131" t="inlineStr">
        <is>
          <t>Assets/MachineBrigade/Resources/Data/balance.json: vehicles[id=leviathan] x Resources/Models/leviathan.glb</t>
        </is>
      </c>
      <c r="BE131" t="inlineStr"/>
    </row>
    <row r="132">
      <c r="A132" t="inlineStr">
        <is>
          <t>leviathan/8</t>
        </is>
      </c>
      <c r="B132" t="inlineStr">
        <is>
          <t>leviathan</t>
        </is>
      </c>
      <c r="C132" t="inlineStr">
        <is>
          <t>aa_25_triple</t>
        </is>
      </c>
      <c r="D132" t="inlineStr">
        <is>
          <t>aa_port</t>
        </is>
      </c>
      <c r="E132" t="n">
        <v>8</v>
      </c>
      <c r="F132" t="inlineStr">
        <is>
          <t>mg</t>
        </is>
      </c>
      <c r="G132" t="inlineStr">
        <is>
          <t>Free</t>
        </is>
      </c>
      <c r="H132" t="inlineStr">
        <is>
          <t>phong_khong</t>
        </is>
      </c>
      <c r="I132" t="inlineStr">
        <is>
          <t>phong_khong</t>
        </is>
      </c>
      <c r="J132" t="inlineStr">
        <is>
          <t>Muzzle_mg.003</t>
        </is>
      </c>
      <c r="K132" t="inlineStr">
        <is>
          <t>muzzle</t>
        </is>
      </c>
      <c r="L132" t="inlineStr">
        <is>
          <t>leviathan</t>
        </is>
      </c>
      <c r="M132" t="n">
        <v>1.12</v>
      </c>
      <c r="N132" t="n">
        <v>1.12</v>
      </c>
      <c r="O132" t="n">
        <v>5.53</v>
      </c>
      <c r="P132" t="n">
        <v>5.15</v>
      </c>
      <c r="Q132" t="n">
        <v>0.38</v>
      </c>
      <c r="R132" t="n">
        <v>26.5</v>
      </c>
      <c r="S132" t="n">
        <v>7.41</v>
      </c>
      <c r="T132" t="inlineStr">
        <is>
          <t>Mount_mg.003</t>
        </is>
      </c>
      <c r="U132" t="n">
        <v>7.06</v>
      </c>
      <c r="V132" t="n">
        <v>2.26</v>
      </c>
      <c r="W132" t="n">
        <v>12.544</v>
      </c>
      <c r="X132" t="n">
        <v>0</v>
      </c>
      <c r="Y132" t="inlineStr"/>
      <c r="Z132" t="inlineStr"/>
      <c r="AA132" t="inlineStr"/>
      <c r="AB132" t="n">
        <v>360</v>
      </c>
      <c r="AC132" t="inlineStr">
        <is>
          <t>khong_ap</t>
        </is>
      </c>
      <c r="AD132" t="b">
        <v>0</v>
      </c>
      <c r="AE132" t="n">
        <v>0</v>
      </c>
      <c r="AF132" t="n">
        <v>0</v>
      </c>
      <c r="AG132" t="n">
        <v>0</v>
      </c>
      <c r="AH132" t="n">
        <v>42</v>
      </c>
      <c r="AI132" t="n">
        <v>240</v>
      </c>
      <c r="AJ132" t="n">
        <v>20.3</v>
      </c>
      <c r="AK132" t="inlineStr"/>
      <c r="AL132" t="n">
        <v>1.3</v>
      </c>
      <c r="AM132" t="inlineStr">
        <is>
          <t>khong_ap</t>
        </is>
      </c>
      <c r="AN132" t="n">
        <v>0</v>
      </c>
      <c r="AO132" t="n">
        <v>0</v>
      </c>
      <c r="AP132" t="n">
        <v>0</v>
      </c>
      <c r="AQ132" t="n">
        <v>0</v>
      </c>
      <c r="AR132" t="n">
        <v>0</v>
      </c>
      <c r="AS132" t="b">
        <v>0</v>
      </c>
      <c r="AT132" t="inlineStr">
        <is>
          <t>khong_ap</t>
        </is>
      </c>
      <c r="AU132" t="b">
        <v>0</v>
      </c>
      <c r="AV132" t="inlineStr"/>
      <c r="AW132" t="n">
        <v>0</v>
      </c>
      <c r="AX132" t="n">
        <v>42</v>
      </c>
      <c r="AY132" t="inlineStr"/>
      <c r="AZ132" t="n">
        <v>42</v>
      </c>
      <c r="BA132" t="inlineStr"/>
      <c r="BB132" t="n">
        <v>0</v>
      </c>
      <c r="BC132" t="b">
        <v>0</v>
      </c>
      <c r="BD132" t="inlineStr">
        <is>
          <t>Assets/MachineBrigade/Resources/Data/balance.json: vehicles[id=leviathan] x Resources/Models/leviathan.glb</t>
        </is>
      </c>
      <c r="BE132" t="inlineStr"/>
    </row>
    <row r="133">
      <c r="A133" t="inlineStr">
        <is>
          <t>leviathan/9</t>
        </is>
      </c>
      <c r="B133" t="inlineStr">
        <is>
          <t>leviathan</t>
        </is>
      </c>
      <c r="C133" t="inlineStr">
        <is>
          <t>aa_25_triple</t>
        </is>
      </c>
      <c r="D133" t="inlineStr">
        <is>
          <t>aa_port</t>
        </is>
      </c>
      <c r="E133" t="n">
        <v>9</v>
      </c>
      <c r="F133" t="inlineStr">
        <is>
          <t>mg</t>
        </is>
      </c>
      <c r="G133" t="inlineStr">
        <is>
          <t>Free</t>
        </is>
      </c>
      <c r="H133" t="inlineStr">
        <is>
          <t>phong_khong</t>
        </is>
      </c>
      <c r="I133" t="inlineStr">
        <is>
          <t>phong_khong</t>
        </is>
      </c>
      <c r="J133" t="inlineStr">
        <is>
          <t>Muzzle_mg.004</t>
        </is>
      </c>
      <c r="K133" t="inlineStr">
        <is>
          <t>muzzle</t>
        </is>
      </c>
      <c r="L133" t="inlineStr">
        <is>
          <t>leviathan</t>
        </is>
      </c>
      <c r="M133" t="n">
        <v>1.12</v>
      </c>
      <c r="N133" t="n">
        <v>1.12</v>
      </c>
      <c r="O133" t="n">
        <v>5.53</v>
      </c>
      <c r="P133" t="n">
        <v>5.15</v>
      </c>
      <c r="Q133" t="n">
        <v>0.38</v>
      </c>
      <c r="R133" t="n">
        <v>26.5</v>
      </c>
      <c r="S133" t="n">
        <v>9.73</v>
      </c>
      <c r="T133" t="inlineStr">
        <is>
          <t>Mount_mg.004</t>
        </is>
      </c>
      <c r="U133" t="n">
        <v>11.4</v>
      </c>
      <c r="V133" t="n">
        <v>2.26</v>
      </c>
      <c r="W133" t="n">
        <v>12.544</v>
      </c>
      <c r="X133" t="n">
        <v>0</v>
      </c>
      <c r="Y133" t="inlineStr"/>
      <c r="Z133" t="inlineStr"/>
      <c r="AA133" t="inlineStr"/>
      <c r="AB133" t="n">
        <v>360</v>
      </c>
      <c r="AC133" t="inlineStr">
        <is>
          <t>khong_ap</t>
        </is>
      </c>
      <c r="AD133" t="b">
        <v>0</v>
      </c>
      <c r="AE133" t="n">
        <v>0</v>
      </c>
      <c r="AF133" t="n">
        <v>0</v>
      </c>
      <c r="AG133" t="n">
        <v>0</v>
      </c>
      <c r="AH133" t="n">
        <v>42</v>
      </c>
      <c r="AI133" t="n">
        <v>240</v>
      </c>
      <c r="AJ133" t="n">
        <v>20.3</v>
      </c>
      <c r="AK133" t="inlineStr"/>
      <c r="AL133" t="n">
        <v>1.3</v>
      </c>
      <c r="AM133" t="inlineStr">
        <is>
          <t>khong_ap</t>
        </is>
      </c>
      <c r="AN133" t="n">
        <v>0</v>
      </c>
      <c r="AO133" t="n">
        <v>0</v>
      </c>
      <c r="AP133" t="n">
        <v>0</v>
      </c>
      <c r="AQ133" t="n">
        <v>0</v>
      </c>
      <c r="AR133" t="n">
        <v>0</v>
      </c>
      <c r="AS133" t="b">
        <v>0</v>
      </c>
      <c r="AT133" t="inlineStr">
        <is>
          <t>khong_ap</t>
        </is>
      </c>
      <c r="AU133" t="b">
        <v>0</v>
      </c>
      <c r="AV133" t="inlineStr"/>
      <c r="AW133" t="n">
        <v>0</v>
      </c>
      <c r="AX133" t="n">
        <v>42</v>
      </c>
      <c r="AY133" t="inlineStr"/>
      <c r="AZ133" t="n">
        <v>42</v>
      </c>
      <c r="BA133" t="inlineStr"/>
      <c r="BB133" t="n">
        <v>0</v>
      </c>
      <c r="BC133" t="b">
        <v>0</v>
      </c>
      <c r="BD133" t="inlineStr">
        <is>
          <t>Assets/MachineBrigade/Resources/Data/balance.json: vehicles[id=leviathan] x Resources/Models/leviathan.glb</t>
        </is>
      </c>
      <c r="BE133" t="inlineStr"/>
    </row>
    <row r="134">
      <c r="A134" t="inlineStr">
        <is>
          <t>leviathan/10</t>
        </is>
      </c>
      <c r="B134" t="inlineStr">
        <is>
          <t>leviathan</t>
        </is>
      </c>
      <c r="C134" t="inlineStr">
        <is>
          <t>aa_25_triple</t>
        </is>
      </c>
      <c r="D134" t="inlineStr">
        <is>
          <t>aa_port</t>
        </is>
      </c>
      <c r="E134" t="n">
        <v>10</v>
      </c>
      <c r="F134" t="inlineStr">
        <is>
          <t>mg</t>
        </is>
      </c>
      <c r="G134" t="inlineStr">
        <is>
          <t>Free</t>
        </is>
      </c>
      <c r="H134" t="inlineStr">
        <is>
          <t>phong_khong</t>
        </is>
      </c>
      <c r="I134" t="inlineStr">
        <is>
          <t>phong_khong</t>
        </is>
      </c>
      <c r="J134" t="inlineStr">
        <is>
          <t>Muzzle_mg.005</t>
        </is>
      </c>
      <c r="K134" t="inlineStr">
        <is>
          <t>muzzle</t>
        </is>
      </c>
      <c r="L134" t="inlineStr">
        <is>
          <t>leviathan</t>
        </is>
      </c>
      <c r="M134" t="n">
        <v>1.12</v>
      </c>
      <c r="N134" t="n">
        <v>1.12</v>
      </c>
      <c r="O134" t="n">
        <v>5.53</v>
      </c>
      <c r="P134" t="n">
        <v>5.15</v>
      </c>
      <c r="Q134" t="n">
        <v>0.38</v>
      </c>
      <c r="R134" t="n">
        <v>26.5</v>
      </c>
      <c r="S134" t="n">
        <v>14.18</v>
      </c>
      <c r="T134" t="inlineStr">
        <is>
          <t>Mount_mg.005</t>
        </is>
      </c>
      <c r="U134" t="n">
        <v>16.18</v>
      </c>
      <c r="V134" t="n">
        <v>2.26</v>
      </c>
      <c r="W134" t="n">
        <v>12.544</v>
      </c>
      <c r="X134" t="n">
        <v>0</v>
      </c>
      <c r="Y134" t="inlineStr"/>
      <c r="Z134" t="inlineStr"/>
      <c r="AA134" t="inlineStr"/>
      <c r="AB134" t="n">
        <v>360</v>
      </c>
      <c r="AC134" t="inlineStr">
        <is>
          <t>khong_ap</t>
        </is>
      </c>
      <c r="AD134" t="b">
        <v>0</v>
      </c>
      <c r="AE134" t="n">
        <v>0</v>
      </c>
      <c r="AF134" t="n">
        <v>0</v>
      </c>
      <c r="AG134" t="n">
        <v>0</v>
      </c>
      <c r="AH134" t="n">
        <v>42</v>
      </c>
      <c r="AI134" t="n">
        <v>240</v>
      </c>
      <c r="AJ134" t="n">
        <v>20.3</v>
      </c>
      <c r="AK134" t="inlineStr"/>
      <c r="AL134" t="n">
        <v>1.3</v>
      </c>
      <c r="AM134" t="inlineStr">
        <is>
          <t>khong_ap</t>
        </is>
      </c>
      <c r="AN134" t="n">
        <v>0</v>
      </c>
      <c r="AO134" t="n">
        <v>0</v>
      </c>
      <c r="AP134" t="n">
        <v>0</v>
      </c>
      <c r="AQ134" t="n">
        <v>0</v>
      </c>
      <c r="AR134" t="n">
        <v>0</v>
      </c>
      <c r="AS134" t="b">
        <v>0</v>
      </c>
      <c r="AT134" t="inlineStr">
        <is>
          <t>khong_ap</t>
        </is>
      </c>
      <c r="AU134" t="b">
        <v>0</v>
      </c>
      <c r="AV134" t="inlineStr"/>
      <c r="AW134" t="n">
        <v>0</v>
      </c>
      <c r="AX134" t="n">
        <v>42</v>
      </c>
      <c r="AY134" t="inlineStr"/>
      <c r="AZ134" t="n">
        <v>42</v>
      </c>
      <c r="BA134" t="inlineStr"/>
      <c r="BB134" t="n">
        <v>0</v>
      </c>
      <c r="BC134" t="b">
        <v>0</v>
      </c>
      <c r="BD134" t="inlineStr">
        <is>
          <t>Assets/MachineBrigade/Resources/Data/balance.json: vehicles[id=leviathan] x Resources/Models/leviathan.glb</t>
        </is>
      </c>
      <c r="BE134" t="inlineStr"/>
    </row>
    <row r="135">
      <c r="A135" t="inlineStr">
        <is>
          <t>leviathan/11</t>
        </is>
      </c>
      <c r="B135" t="inlineStr">
        <is>
          <t>leviathan</t>
        </is>
      </c>
      <c r="C135" t="inlineStr">
        <is>
          <t>aa_25_triple</t>
        </is>
      </c>
      <c r="D135" t="inlineStr">
        <is>
          <t>aa_starboard</t>
        </is>
      </c>
      <c r="E135" t="n">
        <v>11</v>
      </c>
      <c r="F135" t="inlineStr">
        <is>
          <t>mg</t>
        </is>
      </c>
      <c r="G135" t="inlineStr">
        <is>
          <t>Free</t>
        </is>
      </c>
      <c r="H135" t="inlineStr">
        <is>
          <t>phong_khong</t>
        </is>
      </c>
      <c r="I135" t="inlineStr">
        <is>
          <t>phong_khong</t>
        </is>
      </c>
      <c r="J135" t="inlineStr">
        <is>
          <t>Muzzle_mg.006</t>
        </is>
      </c>
      <c r="K135" t="inlineStr">
        <is>
          <t>muzzle</t>
        </is>
      </c>
      <c r="L135" t="inlineStr">
        <is>
          <t>leviathan</t>
        </is>
      </c>
      <c r="M135" t="n">
        <v>1.12</v>
      </c>
      <c r="N135" t="n">
        <v>1.12</v>
      </c>
      <c r="O135" t="n">
        <v>5.53</v>
      </c>
      <c r="P135" t="n">
        <v>5.15</v>
      </c>
      <c r="Q135" t="n">
        <v>0.38</v>
      </c>
      <c r="R135" t="n">
        <v>26.5</v>
      </c>
      <c r="S135" t="n">
        <v>10.56</v>
      </c>
      <c r="T135" t="inlineStr">
        <is>
          <t>Mount_mg.006</t>
        </is>
      </c>
      <c r="U135" t="n">
        <v>9.01</v>
      </c>
      <c r="V135" t="n">
        <v>2.26</v>
      </c>
      <c r="W135" t="n">
        <v>12.544</v>
      </c>
      <c r="X135" t="n">
        <v>0</v>
      </c>
      <c r="Y135" t="inlineStr"/>
      <c r="Z135" t="inlineStr"/>
      <c r="AA135" t="inlineStr"/>
      <c r="AB135" t="n">
        <v>360</v>
      </c>
      <c r="AC135" t="inlineStr">
        <is>
          <t>khong_ap</t>
        </is>
      </c>
      <c r="AD135" t="b">
        <v>0</v>
      </c>
      <c r="AE135" t="n">
        <v>0</v>
      </c>
      <c r="AF135" t="n">
        <v>0</v>
      </c>
      <c r="AG135" t="n">
        <v>0</v>
      </c>
      <c r="AH135" t="n">
        <v>42</v>
      </c>
      <c r="AI135" t="n">
        <v>240</v>
      </c>
      <c r="AJ135" t="n">
        <v>20.3</v>
      </c>
      <c r="AK135" t="inlineStr"/>
      <c r="AL135" t="n">
        <v>1.3</v>
      </c>
      <c r="AM135" t="inlineStr">
        <is>
          <t>khong_ap</t>
        </is>
      </c>
      <c r="AN135" t="n">
        <v>0</v>
      </c>
      <c r="AO135" t="n">
        <v>0</v>
      </c>
      <c r="AP135" t="n">
        <v>0</v>
      </c>
      <c r="AQ135" t="n">
        <v>0</v>
      </c>
      <c r="AR135" t="n">
        <v>0</v>
      </c>
      <c r="AS135" t="b">
        <v>0</v>
      </c>
      <c r="AT135" t="inlineStr">
        <is>
          <t>khong_ap</t>
        </is>
      </c>
      <c r="AU135" t="b">
        <v>0</v>
      </c>
      <c r="AV135" t="inlineStr"/>
      <c r="AW135" t="n">
        <v>0</v>
      </c>
      <c r="AX135" t="n">
        <v>42</v>
      </c>
      <c r="AY135" t="inlineStr"/>
      <c r="AZ135" t="n">
        <v>42</v>
      </c>
      <c r="BA135" t="inlineStr"/>
      <c r="BB135" t="n">
        <v>0</v>
      </c>
      <c r="BC135" t="b">
        <v>0</v>
      </c>
      <c r="BD135" t="inlineStr">
        <is>
          <t>Assets/MachineBrigade/Resources/Data/balance.json: vehicles[id=leviathan] x Resources/Models/leviathan.glb</t>
        </is>
      </c>
      <c r="BE135" t="inlineStr"/>
    </row>
    <row r="136">
      <c r="A136" t="inlineStr">
        <is>
          <t>leviathan/12</t>
        </is>
      </c>
      <c r="B136" t="inlineStr">
        <is>
          <t>leviathan</t>
        </is>
      </c>
      <c r="C136" t="inlineStr">
        <is>
          <t>aa_25_triple</t>
        </is>
      </c>
      <c r="D136" t="inlineStr">
        <is>
          <t>aa_starboard</t>
        </is>
      </c>
      <c r="E136" t="n">
        <v>12</v>
      </c>
      <c r="F136" t="inlineStr">
        <is>
          <t>mg</t>
        </is>
      </c>
      <c r="G136" t="inlineStr">
        <is>
          <t>Free</t>
        </is>
      </c>
      <c r="H136" t="inlineStr">
        <is>
          <t>phong_khong</t>
        </is>
      </c>
      <c r="I136" t="inlineStr">
        <is>
          <t>phong_khong</t>
        </is>
      </c>
      <c r="J136" t="inlineStr">
        <is>
          <t>Muzzle_mg.007</t>
        </is>
      </c>
      <c r="K136" t="inlineStr">
        <is>
          <t>muzzle</t>
        </is>
      </c>
      <c r="L136" t="inlineStr">
        <is>
          <t>leviathan</t>
        </is>
      </c>
      <c r="M136" t="n">
        <v>1.12</v>
      </c>
      <c r="N136" t="n">
        <v>1.12</v>
      </c>
      <c r="O136" t="n">
        <v>5.53</v>
      </c>
      <c r="P136" t="n">
        <v>5.15</v>
      </c>
      <c r="Q136" t="n">
        <v>0.38</v>
      </c>
      <c r="R136" t="n">
        <v>26.5</v>
      </c>
      <c r="S136" t="n">
        <v>7.41</v>
      </c>
      <c r="T136" t="inlineStr">
        <is>
          <t>Mount_mg.007</t>
        </is>
      </c>
      <c r="U136" t="n">
        <v>7.06</v>
      </c>
      <c r="V136" t="n">
        <v>2.26</v>
      </c>
      <c r="W136" t="n">
        <v>12.544</v>
      </c>
      <c r="X136" t="n">
        <v>0</v>
      </c>
      <c r="Y136" t="inlineStr"/>
      <c r="Z136" t="inlineStr"/>
      <c r="AA136" t="inlineStr"/>
      <c r="AB136" t="n">
        <v>360</v>
      </c>
      <c r="AC136" t="inlineStr">
        <is>
          <t>khong_ap</t>
        </is>
      </c>
      <c r="AD136" t="b">
        <v>0</v>
      </c>
      <c r="AE136" t="n">
        <v>0</v>
      </c>
      <c r="AF136" t="n">
        <v>0</v>
      </c>
      <c r="AG136" t="n">
        <v>0</v>
      </c>
      <c r="AH136" t="n">
        <v>42</v>
      </c>
      <c r="AI136" t="n">
        <v>240</v>
      </c>
      <c r="AJ136" t="n">
        <v>20.3</v>
      </c>
      <c r="AK136" t="inlineStr"/>
      <c r="AL136" t="n">
        <v>1.3</v>
      </c>
      <c r="AM136" t="inlineStr">
        <is>
          <t>khong_ap</t>
        </is>
      </c>
      <c r="AN136" t="n">
        <v>0</v>
      </c>
      <c r="AO136" t="n">
        <v>0</v>
      </c>
      <c r="AP136" t="n">
        <v>0</v>
      </c>
      <c r="AQ136" t="n">
        <v>0</v>
      </c>
      <c r="AR136" t="n">
        <v>0</v>
      </c>
      <c r="AS136" t="b">
        <v>0</v>
      </c>
      <c r="AT136" t="inlineStr">
        <is>
          <t>khong_ap</t>
        </is>
      </c>
      <c r="AU136" t="b">
        <v>0</v>
      </c>
      <c r="AV136" t="inlineStr"/>
      <c r="AW136" t="n">
        <v>0</v>
      </c>
      <c r="AX136" t="n">
        <v>42</v>
      </c>
      <c r="AY136" t="inlineStr"/>
      <c r="AZ136" t="n">
        <v>42</v>
      </c>
      <c r="BA136" t="inlineStr"/>
      <c r="BB136" t="n">
        <v>0</v>
      </c>
      <c r="BC136" t="b">
        <v>0</v>
      </c>
      <c r="BD136" t="inlineStr">
        <is>
          <t>Assets/MachineBrigade/Resources/Data/balance.json: vehicles[id=leviathan] x Resources/Models/leviathan.glb</t>
        </is>
      </c>
      <c r="BE136" t="inlineStr"/>
    </row>
    <row r="137">
      <c r="A137" t="inlineStr">
        <is>
          <t>leviathan/13</t>
        </is>
      </c>
      <c r="B137" t="inlineStr">
        <is>
          <t>leviathan</t>
        </is>
      </c>
      <c r="C137" t="inlineStr">
        <is>
          <t>aa_25_triple</t>
        </is>
      </c>
      <c r="D137" t="inlineStr">
        <is>
          <t>aa_starboard</t>
        </is>
      </c>
      <c r="E137" t="n">
        <v>13</v>
      </c>
      <c r="F137" t="inlineStr">
        <is>
          <t>mg</t>
        </is>
      </c>
      <c r="G137" t="inlineStr">
        <is>
          <t>Free</t>
        </is>
      </c>
      <c r="H137" t="inlineStr">
        <is>
          <t>phong_khong</t>
        </is>
      </c>
      <c r="I137" t="inlineStr">
        <is>
          <t>phong_khong</t>
        </is>
      </c>
      <c r="J137" t="inlineStr">
        <is>
          <t>Muzzle_mg.008</t>
        </is>
      </c>
      <c r="K137" t="inlineStr">
        <is>
          <t>muzzle</t>
        </is>
      </c>
      <c r="L137" t="inlineStr">
        <is>
          <t>leviathan</t>
        </is>
      </c>
      <c r="M137" t="n">
        <v>1.12</v>
      </c>
      <c r="N137" t="n">
        <v>1.12</v>
      </c>
      <c r="O137" t="n">
        <v>5.53</v>
      </c>
      <c r="P137" t="n">
        <v>5.15</v>
      </c>
      <c r="Q137" t="n">
        <v>0.38</v>
      </c>
      <c r="R137" t="n">
        <v>26.5</v>
      </c>
      <c r="S137" t="n">
        <v>9.73</v>
      </c>
      <c r="T137" t="inlineStr">
        <is>
          <t>Mount_mg.008</t>
        </is>
      </c>
      <c r="U137" t="n">
        <v>11.4</v>
      </c>
      <c r="V137" t="n">
        <v>2.26</v>
      </c>
      <c r="W137" t="n">
        <v>12.544</v>
      </c>
      <c r="X137" t="n">
        <v>0</v>
      </c>
      <c r="Y137" t="inlineStr"/>
      <c r="Z137" t="inlineStr"/>
      <c r="AA137" t="inlineStr"/>
      <c r="AB137" t="n">
        <v>360</v>
      </c>
      <c r="AC137" t="inlineStr">
        <is>
          <t>khong_ap</t>
        </is>
      </c>
      <c r="AD137" t="b">
        <v>0</v>
      </c>
      <c r="AE137" t="n">
        <v>0</v>
      </c>
      <c r="AF137" t="n">
        <v>0</v>
      </c>
      <c r="AG137" t="n">
        <v>0</v>
      </c>
      <c r="AH137" t="n">
        <v>42</v>
      </c>
      <c r="AI137" t="n">
        <v>240</v>
      </c>
      <c r="AJ137" t="n">
        <v>20.3</v>
      </c>
      <c r="AK137" t="inlineStr"/>
      <c r="AL137" t="n">
        <v>1.3</v>
      </c>
      <c r="AM137" t="inlineStr">
        <is>
          <t>khong_ap</t>
        </is>
      </c>
      <c r="AN137" t="n">
        <v>0</v>
      </c>
      <c r="AO137" t="n">
        <v>0</v>
      </c>
      <c r="AP137" t="n">
        <v>0</v>
      </c>
      <c r="AQ137" t="n">
        <v>0</v>
      </c>
      <c r="AR137" t="n">
        <v>0</v>
      </c>
      <c r="AS137" t="b">
        <v>0</v>
      </c>
      <c r="AT137" t="inlineStr">
        <is>
          <t>khong_ap</t>
        </is>
      </c>
      <c r="AU137" t="b">
        <v>0</v>
      </c>
      <c r="AV137" t="inlineStr"/>
      <c r="AW137" t="n">
        <v>0</v>
      </c>
      <c r="AX137" t="n">
        <v>42</v>
      </c>
      <c r="AY137" t="inlineStr"/>
      <c r="AZ137" t="n">
        <v>42</v>
      </c>
      <c r="BA137" t="inlineStr"/>
      <c r="BB137" t="n">
        <v>0</v>
      </c>
      <c r="BC137" t="b">
        <v>0</v>
      </c>
      <c r="BD137" t="inlineStr">
        <is>
          <t>Assets/MachineBrigade/Resources/Data/balance.json: vehicles[id=leviathan] x Resources/Models/leviathan.glb</t>
        </is>
      </c>
      <c r="BE137" t="inlineStr"/>
    </row>
    <row r="138">
      <c r="A138" t="inlineStr">
        <is>
          <t>leviathan/14</t>
        </is>
      </c>
      <c r="B138" t="inlineStr">
        <is>
          <t>leviathan</t>
        </is>
      </c>
      <c r="C138" t="inlineStr">
        <is>
          <t>aa_25_triple</t>
        </is>
      </c>
      <c r="D138" t="inlineStr">
        <is>
          <t>aa_starboard</t>
        </is>
      </c>
      <c r="E138" t="n">
        <v>14</v>
      </c>
      <c r="F138" t="inlineStr">
        <is>
          <t>mg</t>
        </is>
      </c>
      <c r="G138" t="inlineStr">
        <is>
          <t>Free</t>
        </is>
      </c>
      <c r="H138" t="inlineStr">
        <is>
          <t>phong_khong</t>
        </is>
      </c>
      <c r="I138" t="inlineStr">
        <is>
          <t>phong_khong</t>
        </is>
      </c>
      <c r="J138" t="inlineStr">
        <is>
          <t>Muzzle_mg.009</t>
        </is>
      </c>
      <c r="K138" t="inlineStr">
        <is>
          <t>muzzle</t>
        </is>
      </c>
      <c r="L138" t="inlineStr">
        <is>
          <t>leviathan</t>
        </is>
      </c>
      <c r="M138" t="n">
        <v>1.12</v>
      </c>
      <c r="N138" t="n">
        <v>1.12</v>
      </c>
      <c r="O138" t="n">
        <v>5.53</v>
      </c>
      <c r="P138" t="n">
        <v>5.15</v>
      </c>
      <c r="Q138" t="n">
        <v>0.38</v>
      </c>
      <c r="R138" t="n">
        <v>26.5</v>
      </c>
      <c r="S138" t="n">
        <v>14.18</v>
      </c>
      <c r="T138" t="inlineStr">
        <is>
          <t>Mount_mg.009</t>
        </is>
      </c>
      <c r="U138" t="n">
        <v>16.18</v>
      </c>
      <c r="V138" t="n">
        <v>2.26</v>
      </c>
      <c r="W138" t="n">
        <v>12.544</v>
      </c>
      <c r="X138" t="n">
        <v>0</v>
      </c>
      <c r="Y138" t="inlineStr"/>
      <c r="Z138" t="inlineStr"/>
      <c r="AA138" t="inlineStr"/>
      <c r="AB138" t="n">
        <v>360</v>
      </c>
      <c r="AC138" t="inlineStr">
        <is>
          <t>khong_ap</t>
        </is>
      </c>
      <c r="AD138" t="b">
        <v>0</v>
      </c>
      <c r="AE138" t="n">
        <v>0</v>
      </c>
      <c r="AF138" t="n">
        <v>0</v>
      </c>
      <c r="AG138" t="n">
        <v>0</v>
      </c>
      <c r="AH138" t="n">
        <v>42</v>
      </c>
      <c r="AI138" t="n">
        <v>240</v>
      </c>
      <c r="AJ138" t="n">
        <v>20.3</v>
      </c>
      <c r="AK138" t="inlineStr"/>
      <c r="AL138" t="n">
        <v>1.3</v>
      </c>
      <c r="AM138" t="inlineStr">
        <is>
          <t>khong_ap</t>
        </is>
      </c>
      <c r="AN138" t="n">
        <v>0</v>
      </c>
      <c r="AO138" t="n">
        <v>0</v>
      </c>
      <c r="AP138" t="n">
        <v>0</v>
      </c>
      <c r="AQ138" t="n">
        <v>0</v>
      </c>
      <c r="AR138" t="n">
        <v>0</v>
      </c>
      <c r="AS138" t="b">
        <v>0</v>
      </c>
      <c r="AT138" t="inlineStr">
        <is>
          <t>khong_ap</t>
        </is>
      </c>
      <c r="AU138" t="b">
        <v>0</v>
      </c>
      <c r="AV138" t="inlineStr"/>
      <c r="AW138" t="n">
        <v>0</v>
      </c>
      <c r="AX138" t="n">
        <v>42</v>
      </c>
      <c r="AY138" t="inlineStr"/>
      <c r="AZ138" t="n">
        <v>42</v>
      </c>
      <c r="BA138" t="inlineStr"/>
      <c r="BB138" t="n">
        <v>0</v>
      </c>
      <c r="BC138" t="b">
        <v>0</v>
      </c>
      <c r="BD138" t="inlineStr">
        <is>
          <t>Assets/MachineBrigade/Resources/Data/balance.json: vehicles[id=leviathan] x Resources/Models/leviathan.glb</t>
        </is>
      </c>
      <c r="BE138" t="inlineStr"/>
    </row>
    <row r="139">
      <c r="A139" t="inlineStr">
        <is>
          <t>leviathan/15</t>
        </is>
      </c>
      <c r="B139" t="inlineStr">
        <is>
          <t>leviathan</t>
        </is>
      </c>
      <c r="C139" t="inlineStr">
        <is>
          <t>sam_post</t>
        </is>
      </c>
      <c r="D139" t="inlineStr">
        <is>
          <t>radar</t>
        </is>
      </c>
      <c r="E139" t="n">
        <v>15</v>
      </c>
      <c r="F139" t="inlineStr">
        <is>
          <t>missile</t>
        </is>
      </c>
      <c r="G139" t="inlineStr">
        <is>
          <t>Free</t>
        </is>
      </c>
      <c r="H139" t="inlineStr">
        <is>
          <t>phong_khong</t>
        </is>
      </c>
      <c r="I139" t="inlineStr">
        <is>
          <t>phong_khong</t>
        </is>
      </c>
      <c r="J139" t="inlineStr">
        <is>
          <t>Muzzle_missile</t>
        </is>
      </c>
      <c r="K139" t="inlineStr">
        <is>
          <t>muzzle</t>
        </is>
      </c>
      <c r="L139" t="inlineStr">
        <is>
          <t>leviathan</t>
        </is>
      </c>
      <c r="M139" t="n">
        <v>1.12</v>
      </c>
      <c r="N139" t="n">
        <v>1.12</v>
      </c>
      <c r="O139" t="n">
        <v>9.99</v>
      </c>
      <c r="P139" t="n">
        <v>21.84</v>
      </c>
      <c r="Q139" t="n">
        <v>-11.85</v>
      </c>
      <c r="R139" t="n">
        <v>26.5</v>
      </c>
      <c r="S139" t="n">
        <v>13.54</v>
      </c>
      <c r="T139" t="inlineStr">
        <is>
          <t>Mount_missile</t>
        </is>
      </c>
      <c r="U139" t="n">
        <v>16.79</v>
      </c>
      <c r="V139" t="n">
        <v>3.3</v>
      </c>
      <c r="W139" t="n">
        <v>12.544</v>
      </c>
      <c r="X139" t="n">
        <v>0</v>
      </c>
      <c r="Y139" t="inlineStr"/>
      <c r="Z139" t="inlineStr"/>
      <c r="AA139" t="inlineStr"/>
      <c r="AB139" t="n">
        <v>360</v>
      </c>
      <c r="AC139" t="inlineStr">
        <is>
          <t>khong_ap</t>
        </is>
      </c>
      <c r="AD139" t="b">
        <v>0</v>
      </c>
      <c r="AE139" t="n">
        <v>0</v>
      </c>
      <c r="AF139" t="n">
        <v>0</v>
      </c>
      <c r="AG139" t="n">
        <v>0</v>
      </c>
      <c r="AH139" t="n">
        <v>60</v>
      </c>
      <c r="AI139" t="n">
        <v>80</v>
      </c>
      <c r="AJ139" t="n">
        <v>24.26</v>
      </c>
      <c r="AK139" t="inlineStr"/>
      <c r="AL139" t="n">
        <v>1.3</v>
      </c>
      <c r="AM139" t="inlineStr">
        <is>
          <t>khong_ap</t>
        </is>
      </c>
      <c r="AN139" t="n">
        <v>0</v>
      </c>
      <c r="AO139" t="n">
        <v>0</v>
      </c>
      <c r="AP139" t="n">
        <v>0</v>
      </c>
      <c r="AQ139" t="n">
        <v>0</v>
      </c>
      <c r="AR139" t="n">
        <v>0</v>
      </c>
      <c r="AS139" t="b">
        <v>0</v>
      </c>
      <c r="AT139" t="inlineStr">
        <is>
          <t>khong_ap</t>
        </is>
      </c>
      <c r="AU139" t="b">
        <v>0</v>
      </c>
      <c r="AV139" t="inlineStr"/>
      <c r="AW139" t="n">
        <v>0</v>
      </c>
      <c r="AX139" t="n">
        <v>60</v>
      </c>
      <c r="AY139" t="inlineStr"/>
      <c r="AZ139" t="n">
        <v>42</v>
      </c>
      <c r="BA139" t="inlineStr"/>
      <c r="BB139" t="n">
        <v>0</v>
      </c>
      <c r="BC139" t="b">
        <v>0</v>
      </c>
      <c r="BD139" t="inlineStr">
        <is>
          <t>Assets/MachineBrigade/Resources/Data/balance.json: vehicles[id=leviathan] x Resources/Models/leviathan.glb</t>
        </is>
      </c>
      <c r="BE139" t="inlineStr"/>
    </row>
    <row r="140">
      <c r="A140" t="inlineStr">
        <is>
          <t>locust/0</t>
        </is>
      </c>
      <c r="B140" t="inlineStr">
        <is>
          <t>locust</t>
        </is>
      </c>
      <c r="C140" t="inlineStr">
        <is>
          <t>locust_drones</t>
        </is>
      </c>
      <c r="D140" t="inlineStr">
        <is>
          <t>drone_bay</t>
        </is>
      </c>
      <c r="E140" t="n">
        <v>0</v>
      </c>
      <c r="F140" t="inlineStr">
        <is>
          <t>main</t>
        </is>
      </c>
      <c r="G140" t="inlineStr"/>
      <c r="H140" t="inlineStr">
        <is>
          <t>drone</t>
        </is>
      </c>
      <c r="I140" t="inlineStr">
        <is>
          <t>dan_dan</t>
        </is>
      </c>
      <c r="J140" t="inlineStr">
        <is>
          <t>Muzzle_main</t>
        </is>
      </c>
      <c r="K140" t="inlineStr">
        <is>
          <t>muzzle</t>
        </is>
      </c>
      <c r="L140" t="inlineStr">
        <is>
          <t>drone_mothership</t>
        </is>
      </c>
      <c r="M140" t="n">
        <v>0.8971</v>
      </c>
      <c r="N140" t="n">
        <v>0.7801</v>
      </c>
      <c r="O140" t="n">
        <v>22.47</v>
      </c>
      <c r="P140" t="n">
        <v>22.41</v>
      </c>
      <c r="Q140" t="n">
        <v>0.06</v>
      </c>
      <c r="R140" t="n">
        <v>30.56</v>
      </c>
      <c r="S140" t="n">
        <v>12.16</v>
      </c>
      <c r="T140" t="inlineStr">
        <is>
          <t>Turret</t>
        </is>
      </c>
      <c r="U140" t="n">
        <v>9.69</v>
      </c>
      <c r="V140" t="n">
        <v>2.48</v>
      </c>
      <c r="W140" t="n">
        <v>7.020661049999999</v>
      </c>
      <c r="X140" t="n">
        <v>26</v>
      </c>
      <c r="Y140" t="inlineStr"/>
      <c r="Z140" t="inlineStr"/>
      <c r="AA140" t="inlineStr"/>
      <c r="AB140" t="n">
        <v>360</v>
      </c>
      <c r="AC140" t="inlineStr">
        <is>
          <t>missileArmingM</t>
        </is>
      </c>
      <c r="AD140" t="b">
        <v>1</v>
      </c>
      <c r="AE140" t="n">
        <v>1</v>
      </c>
      <c r="AF140" t="n">
        <v>0</v>
      </c>
      <c r="AG140" t="n">
        <v>1</v>
      </c>
      <c r="AH140" t="n">
        <v>70</v>
      </c>
      <c r="AI140" t="n">
        <v>28</v>
      </c>
      <c r="AJ140" t="n">
        <v>26.2</v>
      </c>
      <c r="AK140" t="n">
        <v>1</v>
      </c>
      <c r="AL140" t="n">
        <v>1.3</v>
      </c>
      <c r="AM140" t="inlineStr">
        <is>
          <t>max(vu_trang, khoa)</t>
        </is>
      </c>
      <c r="AN140" t="n">
        <v>1</v>
      </c>
      <c r="AO140" t="n">
        <v>1</v>
      </c>
      <c r="AP140" t="n">
        <v>1</v>
      </c>
      <c r="AQ140" t="n">
        <v>1</v>
      </c>
      <c r="AR140" t="n">
        <v>1</v>
      </c>
      <c r="AS140" t="b">
        <v>1</v>
      </c>
      <c r="AT140" t="inlineStr">
        <is>
          <t>groundMinReach</t>
        </is>
      </c>
      <c r="AU140" t="b">
        <v>0</v>
      </c>
      <c r="AV140" t="inlineStr">
        <is>
          <t>locust</t>
        </is>
      </c>
      <c r="AW140" t="n">
        <v>1</v>
      </c>
      <c r="AX140" t="n">
        <v>70</v>
      </c>
      <c r="AY140" t="n">
        <v>70</v>
      </c>
      <c r="AZ140" t="n">
        <v>0</v>
      </c>
      <c r="BA140" t="inlineStr"/>
      <c r="BB140" t="n">
        <v>100</v>
      </c>
      <c r="BC140" t="b">
        <v>1</v>
      </c>
      <c r="BD140" t="inlineStr">
        <is>
          <t>Assets/MachineBrigade/Resources/Data/balance.json: vehicles[id=locust] x Resources/Models/drone_mothership.glb</t>
        </is>
      </c>
      <c r="BE140" t="inlineStr"/>
    </row>
    <row r="141">
      <c r="A141" t="inlineStr">
        <is>
          <t>locust/1</t>
        </is>
      </c>
      <c r="B141" t="inlineStr">
        <is>
          <t>locust</t>
        </is>
      </c>
      <c r="C141" t="inlineStr">
        <is>
          <t>p26_matriarch_close_boss_flak</t>
        </is>
      </c>
      <c r="D141" t="inlineStr">
        <is>
          <t>flak_top</t>
        </is>
      </c>
      <c r="E141" t="n">
        <v>1</v>
      </c>
      <c r="F141" t="inlineStr">
        <is>
          <t>mg</t>
        </is>
      </c>
      <c r="G141" t="inlineStr">
        <is>
          <t>Free</t>
        </is>
      </c>
      <c r="H141" t="inlineStr">
        <is>
          <t>phao_nho_ciws</t>
        </is>
      </c>
      <c r="I141" t="inlineStr">
        <is>
          <t>phong_thu_gan</t>
        </is>
      </c>
      <c r="J141" t="inlineStr">
        <is>
          <t>Muzzle_mg</t>
        </is>
      </c>
      <c r="K141" t="inlineStr">
        <is>
          <t>muzzle</t>
        </is>
      </c>
      <c r="L141" t="inlineStr">
        <is>
          <t>drone_mothership</t>
        </is>
      </c>
      <c r="M141" t="n">
        <v>0.8971</v>
      </c>
      <c r="N141" t="n">
        <v>0.7801</v>
      </c>
      <c r="O141" t="n">
        <v>30.06</v>
      </c>
      <c r="P141" t="n">
        <v>29.2</v>
      </c>
      <c r="Q141" t="n">
        <v>0.87</v>
      </c>
      <c r="R141" t="n">
        <v>30.56</v>
      </c>
      <c r="S141" t="n">
        <v>6.59</v>
      </c>
      <c r="T141" t="inlineStr">
        <is>
          <t>Mount_mg</t>
        </is>
      </c>
      <c r="U141" t="n">
        <v>4.31</v>
      </c>
      <c r="V141" t="n">
        <v>2.29</v>
      </c>
      <c r="W141" t="n">
        <v>7.020661049999999</v>
      </c>
      <c r="X141" t="n">
        <v>26</v>
      </c>
      <c r="Y141" t="n">
        <v>65</v>
      </c>
      <c r="Z141" t="n">
        <v>5</v>
      </c>
      <c r="AA141" t="inlineStr"/>
      <c r="AB141" t="n">
        <v>360</v>
      </c>
      <c r="AC141" t="inlineStr">
        <is>
          <t>lop:may_bay</t>
        </is>
      </c>
      <c r="AD141" t="b">
        <v>0</v>
      </c>
      <c r="AE141" t="n">
        <v>0</v>
      </c>
      <c r="AF141" t="n">
        <v>0</v>
      </c>
      <c r="AG141" t="n">
        <v>0</v>
      </c>
      <c r="AH141" t="n">
        <v>40</v>
      </c>
      <c r="AI141" t="n">
        <v>260</v>
      </c>
      <c r="AJ141" t="n">
        <v>19.81</v>
      </c>
      <c r="AK141" t="inlineStr"/>
      <c r="AL141" t="n">
        <v>1.3</v>
      </c>
      <c r="AM141" t="inlineStr">
        <is>
          <t>ban_thang_may_bay</t>
        </is>
      </c>
      <c r="AN141" t="n">
        <v>13.41</v>
      </c>
      <c r="AO141" t="n">
        <v>15.7</v>
      </c>
      <c r="AP141" t="n">
        <v>15.84</v>
      </c>
      <c r="AQ141" t="n">
        <v>15.56</v>
      </c>
      <c r="AR141" t="n">
        <v>0</v>
      </c>
      <c r="AS141" t="b">
        <v>0</v>
      </c>
      <c r="AT141" t="inlineStr">
        <is>
          <t>khong_ap:phong_thu_gan</t>
        </is>
      </c>
      <c r="AU141" t="b">
        <v>0</v>
      </c>
      <c r="AV141" t="inlineStr"/>
      <c r="AW141" t="n">
        <v>0</v>
      </c>
      <c r="AX141" t="n">
        <v>40</v>
      </c>
      <c r="AY141" t="inlineStr"/>
      <c r="AZ141" t="n">
        <v>0</v>
      </c>
      <c r="BA141" t="inlineStr"/>
      <c r="BB141" t="n">
        <v>100</v>
      </c>
      <c r="BC141" t="b">
        <v>1</v>
      </c>
      <c r="BD141" t="inlineStr">
        <is>
          <t>Assets/MachineBrigade/Resources/Data/balance.json: vehicles[id=locust] x Resources/Models/drone_mothership.glb</t>
        </is>
      </c>
      <c r="BE141" t="inlineStr"/>
    </row>
    <row r="142">
      <c r="A142" t="inlineStr">
        <is>
          <t>mega_gunship/0</t>
        </is>
      </c>
      <c r="B142" t="inlineStr">
        <is>
          <t>mega_gunship</t>
        </is>
      </c>
      <c r="C142" t="inlineStr">
        <is>
          <t>gunship_rockets</t>
        </is>
      </c>
      <c r="D142" t="inlineStr">
        <is>
          <t>pod_l</t>
        </is>
      </c>
      <c r="E142" t="n">
        <v>0</v>
      </c>
      <c r="F142" t="inlineStr">
        <is>
          <t>rocket</t>
        </is>
      </c>
      <c r="G142" t="inlineStr"/>
      <c r="H142" t="inlineStr">
        <is>
          <t>be_rocket</t>
        </is>
      </c>
      <c r="I142" t="inlineStr">
        <is>
          <t>chinh</t>
        </is>
      </c>
      <c r="J142" t="inlineStr">
        <is>
          <t>Muzzle_rocket</t>
        </is>
      </c>
      <c r="K142" t="inlineStr">
        <is>
          <t>muzzle</t>
        </is>
      </c>
      <c r="L142" t="inlineStr">
        <is>
          <t>mega_gunship</t>
        </is>
      </c>
      <c r="M142" t="n">
        <v>1.1475</v>
      </c>
      <c r="N142" t="n">
        <v>0.85</v>
      </c>
      <c r="O142" t="n">
        <v>21.31</v>
      </c>
      <c r="P142" t="n">
        <v>20.97</v>
      </c>
      <c r="Q142" t="n">
        <v>0.34</v>
      </c>
      <c r="R142" t="n">
        <v>26.88</v>
      </c>
      <c r="S142" t="n">
        <v>3.82</v>
      </c>
      <c r="T142" t="inlineStr"/>
      <c r="U142" t="n">
        <v>3.82</v>
      </c>
      <c r="V142" t="n">
        <v>0</v>
      </c>
      <c r="W142" t="n">
        <v>5.95</v>
      </c>
      <c r="X142" t="n">
        <v>20</v>
      </c>
      <c r="Y142" t="n">
        <v>65</v>
      </c>
      <c r="Z142" t="n">
        <v>5</v>
      </c>
      <c r="AA142" t="inlineStr"/>
      <c r="AB142" t="n">
        <v>360</v>
      </c>
      <c r="AC142" t="inlineStr">
        <is>
          <t>lop:may_bay</t>
        </is>
      </c>
      <c r="AD142" t="b">
        <v>0</v>
      </c>
      <c r="AE142" t="n">
        <v>9</v>
      </c>
      <c r="AF142" t="n">
        <v>0</v>
      </c>
      <c r="AG142" t="n">
        <v>9</v>
      </c>
      <c r="AH142" t="n">
        <v>34</v>
      </c>
      <c r="AI142" t="n">
        <v>180</v>
      </c>
      <c r="AJ142" t="n">
        <v>18.26</v>
      </c>
      <c r="AK142" t="inlineStr"/>
      <c r="AL142" t="n">
        <v>1.3</v>
      </c>
      <c r="AM142" t="inlineStr">
        <is>
          <t>ban_thang_may_bay</t>
        </is>
      </c>
      <c r="AN142" t="n">
        <v>9.33</v>
      </c>
      <c r="AO142" t="n">
        <v>9.33</v>
      </c>
      <c r="AP142" t="n">
        <v>9.470000000000001</v>
      </c>
      <c r="AQ142" t="n">
        <v>9.19</v>
      </c>
      <c r="AR142" t="n">
        <v>9</v>
      </c>
      <c r="AS142" t="b">
        <v>1</v>
      </c>
      <c r="AT142" t="inlineStr">
        <is>
          <t>groundMinReach</t>
        </is>
      </c>
      <c r="AU142" t="b">
        <v>0</v>
      </c>
      <c r="AV142" t="inlineStr">
        <is>
          <t>mega_gunship</t>
        </is>
      </c>
      <c r="AW142" t="n">
        <v>10</v>
      </c>
      <c r="AX142" t="n">
        <v>34</v>
      </c>
      <c r="AY142" t="n">
        <v>3.4</v>
      </c>
      <c r="AZ142" t="n">
        <v>10</v>
      </c>
      <c r="BA142" t="inlineStr">
        <is>
          <t>boss_heli_gun;boss_hmg;boss_minigun</t>
        </is>
      </c>
      <c r="BB142" t="n">
        <v>100</v>
      </c>
      <c r="BC142" t="b">
        <v>1</v>
      </c>
      <c r="BD142" t="inlineStr">
        <is>
          <t>Assets/MachineBrigade/Resources/Data/balance.json: vehicles[id=mega_gunship] x Resources/Models/mega_gunship.glb</t>
        </is>
      </c>
      <c r="BE142" t="inlineStr"/>
    </row>
    <row r="143">
      <c r="A143" t="inlineStr">
        <is>
          <t>mega_gunship/1</t>
        </is>
      </c>
      <c r="B143" t="inlineStr">
        <is>
          <t>mega_gunship</t>
        </is>
      </c>
      <c r="C143" t="inlineStr">
        <is>
          <t>boss_heli_gun</t>
        </is>
      </c>
      <c r="D143" t="inlineStr">
        <is>
          <t>gun_l</t>
        </is>
      </c>
      <c r="E143" t="n">
        <v>1</v>
      </c>
      <c r="F143" t="inlineStr">
        <is>
          <t>gun</t>
        </is>
      </c>
      <c r="G143" t="inlineStr">
        <is>
          <t>Free</t>
        </is>
      </c>
      <c r="H143" t="inlineStr">
        <is>
          <t>phao_nho_ciws</t>
        </is>
      </c>
      <c r="I143" t="inlineStr">
        <is>
          <t>phong_thu_gan</t>
        </is>
      </c>
      <c r="J143" t="inlineStr">
        <is>
          <t>Muzzle_gun</t>
        </is>
      </c>
      <c r="K143" t="inlineStr">
        <is>
          <t>muzzle</t>
        </is>
      </c>
      <c r="L143" t="inlineStr">
        <is>
          <t>mega_gunship</t>
        </is>
      </c>
      <c r="M143" t="n">
        <v>1.1475</v>
      </c>
      <c r="N143" t="n">
        <v>0.85</v>
      </c>
      <c r="O143" t="n">
        <v>20.93</v>
      </c>
      <c r="P143" t="n">
        <v>20.81</v>
      </c>
      <c r="Q143" t="n">
        <v>0.12</v>
      </c>
      <c r="R143" t="n">
        <v>26.88</v>
      </c>
      <c r="S143" t="n">
        <v>4.63</v>
      </c>
      <c r="T143" t="inlineStr">
        <is>
          <t>Mount_gun</t>
        </is>
      </c>
      <c r="U143" t="n">
        <v>2.9</v>
      </c>
      <c r="V143" t="n">
        <v>2.6</v>
      </c>
      <c r="W143" t="n">
        <v>5.95</v>
      </c>
      <c r="X143" t="n">
        <v>20</v>
      </c>
      <c r="Y143" t="n">
        <v>65</v>
      </c>
      <c r="Z143" t="n">
        <v>5</v>
      </c>
      <c r="AA143" t="inlineStr"/>
      <c r="AB143" t="n">
        <v>140</v>
      </c>
      <c r="AC143" t="inlineStr">
        <is>
          <t>lop:may_bay</t>
        </is>
      </c>
      <c r="AD143" t="b">
        <v>0</v>
      </c>
      <c r="AE143" t="n">
        <v>0</v>
      </c>
      <c r="AF143" t="n">
        <v>0</v>
      </c>
      <c r="AG143" t="n">
        <v>0</v>
      </c>
      <c r="AH143" t="n">
        <v>26</v>
      </c>
      <c r="AI143" t="n">
        <v>200</v>
      </c>
      <c r="AJ143" t="n">
        <v>15.97</v>
      </c>
      <c r="AK143" t="inlineStr"/>
      <c r="AL143" t="n">
        <v>1.3</v>
      </c>
      <c r="AM143" t="inlineStr">
        <is>
          <t>ban_thang_may_bay</t>
        </is>
      </c>
      <c r="AN143" t="n">
        <v>9.15</v>
      </c>
      <c r="AO143" t="n">
        <v>11.76</v>
      </c>
      <c r="AP143" t="n">
        <v>11.9</v>
      </c>
      <c r="AQ143" t="n">
        <v>11.62</v>
      </c>
      <c r="AR143" t="n">
        <v>0</v>
      </c>
      <c r="AS143" t="b">
        <v>0</v>
      </c>
      <c r="AT143" t="inlineStr">
        <is>
          <t>khong_ap:phong_thu_gan</t>
        </is>
      </c>
      <c r="AU143" t="b">
        <v>0</v>
      </c>
      <c r="AV143" t="inlineStr"/>
      <c r="AW143" t="n">
        <v>0</v>
      </c>
      <c r="AX143" t="n">
        <v>26</v>
      </c>
      <c r="AY143" t="inlineStr"/>
      <c r="AZ143" t="n">
        <v>10</v>
      </c>
      <c r="BA143" t="inlineStr">
        <is>
          <t>boss_heli_gun;boss_hmg;boss_minigun</t>
        </is>
      </c>
      <c r="BB143" t="n">
        <v>100</v>
      </c>
      <c r="BC143" t="b">
        <v>1</v>
      </c>
      <c r="BD143" t="inlineStr">
        <is>
          <t>Assets/MachineBrigade/Resources/Data/balance.json: vehicles[id=mega_gunship] x Resources/Models/mega_gunship.glb</t>
        </is>
      </c>
      <c r="BE143" t="inlineStr"/>
    </row>
    <row r="144">
      <c r="A144" t="inlineStr">
        <is>
          <t>mega_gunship/2</t>
        </is>
      </c>
      <c r="B144" t="inlineStr">
        <is>
          <t>mega_gunship</t>
        </is>
      </c>
      <c r="C144" t="inlineStr">
        <is>
          <t>boss_heli_gun</t>
        </is>
      </c>
      <c r="D144" t="inlineStr">
        <is>
          <t>gun_r</t>
        </is>
      </c>
      <c r="E144" t="n">
        <v>2</v>
      </c>
      <c r="F144" t="inlineStr">
        <is>
          <t>gun</t>
        </is>
      </c>
      <c r="G144" t="inlineStr">
        <is>
          <t>Free</t>
        </is>
      </c>
      <c r="H144" t="inlineStr">
        <is>
          <t>phao_nho_ciws</t>
        </is>
      </c>
      <c r="I144" t="inlineStr">
        <is>
          <t>phong_thu_gan</t>
        </is>
      </c>
      <c r="J144" t="inlineStr">
        <is>
          <t>Muzzle_gun.001</t>
        </is>
      </c>
      <c r="K144" t="inlineStr">
        <is>
          <t>muzzle</t>
        </is>
      </c>
      <c r="L144" t="inlineStr">
        <is>
          <t>mega_gunship</t>
        </is>
      </c>
      <c r="M144" t="n">
        <v>1.1475</v>
      </c>
      <c r="N144" t="n">
        <v>0.85</v>
      </c>
      <c r="O144" t="n">
        <v>20.93</v>
      </c>
      <c r="P144" t="n">
        <v>20.81</v>
      </c>
      <c r="Q144" t="n">
        <v>0.12</v>
      </c>
      <c r="R144" t="n">
        <v>26.88</v>
      </c>
      <c r="S144" t="n">
        <v>4.63</v>
      </c>
      <c r="T144" t="inlineStr">
        <is>
          <t>Mount_gun.001</t>
        </is>
      </c>
      <c r="U144" t="n">
        <v>2.9</v>
      </c>
      <c r="V144" t="n">
        <v>2.6</v>
      </c>
      <c r="W144" t="n">
        <v>5.95</v>
      </c>
      <c r="X144" t="n">
        <v>20</v>
      </c>
      <c r="Y144" t="n">
        <v>65</v>
      </c>
      <c r="Z144" t="n">
        <v>5</v>
      </c>
      <c r="AA144" t="inlineStr"/>
      <c r="AB144" t="n">
        <v>140</v>
      </c>
      <c r="AC144" t="inlineStr">
        <is>
          <t>lop:may_bay</t>
        </is>
      </c>
      <c r="AD144" t="b">
        <v>0</v>
      </c>
      <c r="AE144" t="n">
        <v>0</v>
      </c>
      <c r="AF144" t="n">
        <v>0</v>
      </c>
      <c r="AG144" t="n">
        <v>0</v>
      </c>
      <c r="AH144" t="n">
        <v>26</v>
      </c>
      <c r="AI144" t="n">
        <v>200</v>
      </c>
      <c r="AJ144" t="n">
        <v>15.97</v>
      </c>
      <c r="AK144" t="inlineStr"/>
      <c r="AL144" t="n">
        <v>1.3</v>
      </c>
      <c r="AM144" t="inlineStr">
        <is>
          <t>ban_thang_may_bay</t>
        </is>
      </c>
      <c r="AN144" t="n">
        <v>9.15</v>
      </c>
      <c r="AO144" t="n">
        <v>11.76</v>
      </c>
      <c r="AP144" t="n">
        <v>11.9</v>
      </c>
      <c r="AQ144" t="n">
        <v>11.62</v>
      </c>
      <c r="AR144" t="n">
        <v>0</v>
      </c>
      <c r="AS144" t="b">
        <v>0</v>
      </c>
      <c r="AT144" t="inlineStr">
        <is>
          <t>khong_ap:phong_thu_gan</t>
        </is>
      </c>
      <c r="AU144" t="b">
        <v>0</v>
      </c>
      <c r="AV144" t="inlineStr"/>
      <c r="AW144" t="n">
        <v>0</v>
      </c>
      <c r="AX144" t="n">
        <v>26</v>
      </c>
      <c r="AY144" t="inlineStr"/>
      <c r="AZ144" t="n">
        <v>10</v>
      </c>
      <c r="BA144" t="inlineStr">
        <is>
          <t>boss_heli_gun;boss_hmg;boss_minigun</t>
        </is>
      </c>
      <c r="BB144" t="n">
        <v>100</v>
      </c>
      <c r="BC144" t="b">
        <v>1</v>
      </c>
      <c r="BD144" t="inlineStr">
        <is>
          <t>Assets/MachineBrigade/Resources/Data/balance.json: vehicles[id=mega_gunship] x Resources/Models/mega_gunship.glb</t>
        </is>
      </c>
      <c r="BE144" t="inlineStr"/>
    </row>
    <row r="145">
      <c r="A145" t="inlineStr">
        <is>
          <t>mega_gunship/3</t>
        </is>
      </c>
      <c r="B145" t="inlineStr">
        <is>
          <t>mega_gunship</t>
        </is>
      </c>
      <c r="C145" t="inlineStr">
        <is>
          <t>boss_minigun</t>
        </is>
      </c>
      <c r="D145" t="inlineStr">
        <is>
          <t>minigun_r</t>
        </is>
      </c>
      <c r="E145" t="n">
        <v>3</v>
      </c>
      <c r="F145" t="inlineStr">
        <is>
          <t>mg</t>
        </is>
      </c>
      <c r="G145" t="inlineStr">
        <is>
          <t>Free</t>
        </is>
      </c>
      <c r="H145" t="inlineStr">
        <is>
          <t>sung_may</t>
        </is>
      </c>
      <c r="I145" t="inlineStr">
        <is>
          <t>phong_thu_gan</t>
        </is>
      </c>
      <c r="J145" t="inlineStr">
        <is>
          <t>Muzzle_mg</t>
        </is>
      </c>
      <c r="K145" t="inlineStr">
        <is>
          <t>muzzle</t>
        </is>
      </c>
      <c r="L145" t="inlineStr">
        <is>
          <t>mega_gunship</t>
        </is>
      </c>
      <c r="M145" t="n">
        <v>1.1475</v>
      </c>
      <c r="N145" t="n">
        <v>0.85</v>
      </c>
      <c r="O145" t="n">
        <v>22.43</v>
      </c>
      <c r="P145" t="n">
        <v>21.61</v>
      </c>
      <c r="Q145" t="n">
        <v>0.82</v>
      </c>
      <c r="R145" t="n">
        <v>26.88</v>
      </c>
      <c r="S145" t="n">
        <v>6.71</v>
      </c>
      <c r="T145" t="inlineStr">
        <is>
          <t>Mount_mg</t>
        </is>
      </c>
      <c r="U145" t="n">
        <v>5.6</v>
      </c>
      <c r="V145" t="n">
        <v>1.17</v>
      </c>
      <c r="W145" t="n">
        <v>5.95</v>
      </c>
      <c r="X145" t="n">
        <v>20</v>
      </c>
      <c r="Y145" t="n">
        <v>65</v>
      </c>
      <c r="Z145" t="n">
        <v>5</v>
      </c>
      <c r="AA145" t="inlineStr"/>
      <c r="AB145" t="n">
        <v>360</v>
      </c>
      <c r="AC145" t="inlineStr">
        <is>
          <t>lop:may_bay</t>
        </is>
      </c>
      <c r="AD145" t="b">
        <v>0</v>
      </c>
      <c r="AE145" t="n">
        <v>0</v>
      </c>
      <c r="AF145" t="n">
        <v>0</v>
      </c>
      <c r="AG145" t="n">
        <v>0</v>
      </c>
      <c r="AH145" t="n">
        <v>24</v>
      </c>
      <c r="AI145" t="n">
        <v>240</v>
      </c>
      <c r="AJ145" t="n">
        <v>15.34</v>
      </c>
      <c r="AK145" t="inlineStr"/>
      <c r="AL145" t="n">
        <v>1.3</v>
      </c>
      <c r="AM145" t="inlineStr">
        <is>
          <t>ban_thang_may_bay</t>
        </is>
      </c>
      <c r="AN145" t="n">
        <v>9.85</v>
      </c>
      <c r="AO145" t="n">
        <v>11.02</v>
      </c>
      <c r="AP145" t="n">
        <v>11.16</v>
      </c>
      <c r="AQ145" t="n">
        <v>10.88</v>
      </c>
      <c r="AR145" t="n">
        <v>0</v>
      </c>
      <c r="AS145" t="b">
        <v>0</v>
      </c>
      <c r="AT145" t="inlineStr">
        <is>
          <t>khong_ap:phong_thu_gan</t>
        </is>
      </c>
      <c r="AU145" t="b">
        <v>0</v>
      </c>
      <c r="AV145" t="inlineStr"/>
      <c r="AW145" t="n">
        <v>0</v>
      </c>
      <c r="AX145" t="n">
        <v>24</v>
      </c>
      <c r="AY145" t="inlineStr"/>
      <c r="AZ145" t="n">
        <v>10</v>
      </c>
      <c r="BA145" t="inlineStr">
        <is>
          <t>boss_heli_gun;boss_hmg;boss_minigun</t>
        </is>
      </c>
      <c r="BB145" t="n">
        <v>100</v>
      </c>
      <c r="BC145" t="b">
        <v>1</v>
      </c>
      <c r="BD145" t="inlineStr">
        <is>
          <t>Assets/MachineBrigade/Resources/Data/balance.json: vehicles[id=mega_gunship] x Resources/Models/mega_gunship.glb</t>
        </is>
      </c>
      <c r="BE145" t="inlineStr"/>
    </row>
    <row r="146">
      <c r="A146" t="inlineStr">
        <is>
          <t>mega_gunship/4</t>
        </is>
      </c>
      <c r="B146" t="inlineStr">
        <is>
          <t>mega_gunship</t>
        </is>
      </c>
      <c r="C146" t="inlineStr">
        <is>
          <t>gunship_rockets</t>
        </is>
      </c>
      <c r="D146" t="inlineStr">
        <is>
          <t>pod_r</t>
        </is>
      </c>
      <c r="E146" t="n">
        <v>4</v>
      </c>
      <c r="F146" t="inlineStr">
        <is>
          <t>rocket</t>
        </is>
      </c>
      <c r="G146" t="inlineStr">
        <is>
          <t>Hull</t>
        </is>
      </c>
      <c r="H146" t="inlineStr">
        <is>
          <t>be_rocket</t>
        </is>
      </c>
      <c r="I146" t="inlineStr">
        <is>
          <t>chinh</t>
        </is>
      </c>
      <c r="J146" t="inlineStr">
        <is>
          <t>Muzzle_rocket.001</t>
        </is>
      </c>
      <c r="K146" t="inlineStr">
        <is>
          <t>muzzle</t>
        </is>
      </c>
      <c r="L146" t="inlineStr">
        <is>
          <t>mega_gunship</t>
        </is>
      </c>
      <c r="M146" t="n">
        <v>1.1475</v>
      </c>
      <c r="N146" t="n">
        <v>0.85</v>
      </c>
      <c r="O146" t="n">
        <v>21.31</v>
      </c>
      <c r="P146" t="n">
        <v>20.97</v>
      </c>
      <c r="Q146" t="n">
        <v>0.34</v>
      </c>
      <c r="R146" t="n">
        <v>26.88</v>
      </c>
      <c r="S146" t="n">
        <v>3.82</v>
      </c>
      <c r="T146" t="inlineStr"/>
      <c r="U146" t="n">
        <v>0</v>
      </c>
      <c r="V146" t="n">
        <v>1.07</v>
      </c>
      <c r="W146" t="n">
        <v>5.95</v>
      </c>
      <c r="X146" t="n">
        <v>20</v>
      </c>
      <c r="Y146" t="n">
        <v>65</v>
      </c>
      <c r="Z146" t="n">
        <v>5</v>
      </c>
      <c r="AA146" t="inlineStr"/>
      <c r="AB146" t="inlineStr"/>
      <c r="AC146" t="inlineStr">
        <is>
          <t>lop:may_bay</t>
        </is>
      </c>
      <c r="AD146" t="b">
        <v>0</v>
      </c>
      <c r="AE146" t="n">
        <v>9</v>
      </c>
      <c r="AF146" t="n">
        <v>0</v>
      </c>
      <c r="AG146" t="n">
        <v>9</v>
      </c>
      <c r="AH146" t="n">
        <v>34</v>
      </c>
      <c r="AI146" t="n">
        <v>180</v>
      </c>
      <c r="AJ146" t="n">
        <v>18.26</v>
      </c>
      <c r="AK146" t="inlineStr"/>
      <c r="AL146" t="n">
        <v>1.3</v>
      </c>
      <c r="AM146" t="inlineStr">
        <is>
          <t>ban_thang_may_bay</t>
        </is>
      </c>
      <c r="AN146" t="n">
        <v>9.33</v>
      </c>
      <c r="AO146" t="n">
        <v>10.4</v>
      </c>
      <c r="AP146" t="n">
        <v>10.54</v>
      </c>
      <c r="AQ146" t="n">
        <v>10.26</v>
      </c>
      <c r="AR146" t="n">
        <v>10</v>
      </c>
      <c r="AS146" t="b">
        <v>1</v>
      </c>
      <c r="AT146" t="inlineStr">
        <is>
          <t>groundMinReach</t>
        </is>
      </c>
      <c r="AU146" t="b">
        <v>0</v>
      </c>
      <c r="AV146" t="inlineStr">
        <is>
          <t>mega_gunship</t>
        </is>
      </c>
      <c r="AW146" t="n">
        <v>10</v>
      </c>
      <c r="AX146" t="n">
        <v>34</v>
      </c>
      <c r="AY146" t="n">
        <v>3.4</v>
      </c>
      <c r="AZ146" t="n">
        <v>10</v>
      </c>
      <c r="BA146" t="inlineStr">
        <is>
          <t>boss_heli_gun;boss_hmg;boss_minigun</t>
        </is>
      </c>
      <c r="BB146" t="n">
        <v>100</v>
      </c>
      <c r="BC146" t="b">
        <v>1</v>
      </c>
      <c r="BD146" t="inlineStr">
        <is>
          <t>Assets/MachineBrigade/Resources/Data/balance.json: vehicles[id=mega_gunship] x Resources/Models/mega_gunship.glb</t>
        </is>
      </c>
      <c r="BE146" t="inlineStr"/>
    </row>
    <row r="147">
      <c r="A147" t="inlineStr">
        <is>
          <t>mega_gunship/5</t>
        </is>
      </c>
      <c r="B147" t="inlineStr">
        <is>
          <t>mega_gunship</t>
        </is>
      </c>
      <c r="C147" t="inlineStr">
        <is>
          <t>boss_hmg</t>
        </is>
      </c>
      <c r="D147" t="inlineStr"/>
      <c r="E147" t="n">
        <v>5</v>
      </c>
      <c r="F147" t="inlineStr">
        <is>
          <t>mg</t>
        </is>
      </c>
      <c r="G147" t="inlineStr">
        <is>
          <t>Free</t>
        </is>
      </c>
      <c r="H147" t="inlineStr">
        <is>
          <t>sung_may</t>
        </is>
      </c>
      <c r="I147" t="inlineStr">
        <is>
          <t>phong_thu_gan</t>
        </is>
      </c>
      <c r="J147" t="inlineStr">
        <is>
          <t>Muzzle_mg.001</t>
        </is>
      </c>
      <c r="K147" t="inlineStr">
        <is>
          <t>muzzle</t>
        </is>
      </c>
      <c r="L147" t="inlineStr">
        <is>
          <t>mega_gunship</t>
        </is>
      </c>
      <c r="M147" t="n">
        <v>1.1475</v>
      </c>
      <c r="N147" t="n">
        <v>0.85</v>
      </c>
      <c r="O147" t="n">
        <v>22.43</v>
      </c>
      <c r="P147" t="inlineStr"/>
      <c r="Q147" t="inlineStr"/>
      <c r="R147" t="n">
        <v>26.88</v>
      </c>
      <c r="S147" t="n">
        <v>6.71</v>
      </c>
      <c r="T147" t="inlineStr">
        <is>
          <t>Mount_mg.001</t>
        </is>
      </c>
      <c r="U147" t="n">
        <v>5.6</v>
      </c>
      <c r="V147" t="n">
        <v>1.17</v>
      </c>
      <c r="W147" t="n">
        <v>5.95</v>
      </c>
      <c r="X147" t="n">
        <v>20</v>
      </c>
      <c r="Y147" t="n">
        <v>65</v>
      </c>
      <c r="Z147" t="n">
        <v>5</v>
      </c>
      <c r="AA147" t="inlineStr"/>
      <c r="AB147" t="n">
        <v>360</v>
      </c>
      <c r="AC147" t="inlineStr">
        <is>
          <t>lop:may_bay</t>
        </is>
      </c>
      <c r="AD147" t="b">
        <v>0</v>
      </c>
      <c r="AE147" t="n">
        <v>0</v>
      </c>
      <c r="AF147" t="n">
        <v>0</v>
      </c>
      <c r="AG147" t="n">
        <v>0</v>
      </c>
      <c r="AH147" t="n">
        <v>30</v>
      </c>
      <c r="AI147" t="n">
        <v>240</v>
      </c>
      <c r="AJ147" t="n">
        <v>17.16</v>
      </c>
      <c r="AK147" t="inlineStr"/>
      <c r="AL147" t="n">
        <v>1.3</v>
      </c>
      <c r="AM147" t="inlineStr">
        <is>
          <t>ban_thang_may_bay</t>
        </is>
      </c>
      <c r="AN147" t="n">
        <v>9.85</v>
      </c>
      <c r="AO147" t="n">
        <v>11.02</v>
      </c>
      <c r="AP147" t="n">
        <v>11.16</v>
      </c>
      <c r="AQ147" t="n">
        <v>10.88</v>
      </c>
      <c r="AR147" t="n">
        <v>0</v>
      </c>
      <c r="AS147" t="b">
        <v>0</v>
      </c>
      <c r="AT147" t="inlineStr">
        <is>
          <t>khong_ap:phong_thu_gan</t>
        </is>
      </c>
      <c r="AU147" t="b">
        <v>0</v>
      </c>
      <c r="AV147" t="inlineStr"/>
      <c r="AW147" t="n">
        <v>0</v>
      </c>
      <c r="AX147" t="n">
        <v>30</v>
      </c>
      <c r="AY147" t="inlineStr"/>
      <c r="AZ147" t="n">
        <v>10</v>
      </c>
      <c r="BA147" t="inlineStr">
        <is>
          <t>boss_heli_gun;boss_hmg;boss_minigun</t>
        </is>
      </c>
      <c r="BB147" t="n">
        <v>100</v>
      </c>
      <c r="BC147" t="b">
        <v>1</v>
      </c>
      <c r="BD147" t="inlineStr">
        <is>
          <t>Assets/MachineBrigade/Resources/Data/balance.json: vehicles[id=mega_gunship] x Resources/Models/mega_gunship.glb</t>
        </is>
      </c>
      <c r="BE147" t="inlineStr"/>
    </row>
    <row r="148">
      <c r="A148" t="inlineStr">
        <is>
          <t>mega_gunship/6</t>
        </is>
      </c>
      <c r="B148" t="inlineStr">
        <is>
          <t>mega_gunship</t>
        </is>
      </c>
      <c r="C148" t="inlineStr">
        <is>
          <t>boss_hmg</t>
        </is>
      </c>
      <c r="D148" t="inlineStr"/>
      <c r="E148" t="n">
        <v>6</v>
      </c>
      <c r="F148" t="inlineStr">
        <is>
          <t>mg</t>
        </is>
      </c>
      <c r="G148" t="inlineStr">
        <is>
          <t>Free</t>
        </is>
      </c>
      <c r="H148" t="inlineStr">
        <is>
          <t>sung_may</t>
        </is>
      </c>
      <c r="I148" t="inlineStr">
        <is>
          <t>phong_thu_gan</t>
        </is>
      </c>
      <c r="J148" t="inlineStr">
        <is>
          <t>Muzzle_mg.002</t>
        </is>
      </c>
      <c r="K148" t="inlineStr">
        <is>
          <t>muzzle</t>
        </is>
      </c>
      <c r="L148" t="inlineStr">
        <is>
          <t>mega_gunship</t>
        </is>
      </c>
      <c r="M148" t="n">
        <v>1.1475</v>
      </c>
      <c r="N148" t="n">
        <v>0.85</v>
      </c>
      <c r="O148" t="n">
        <v>22.51</v>
      </c>
      <c r="P148" t="inlineStr"/>
      <c r="Q148" t="inlineStr"/>
      <c r="R148" t="n">
        <v>26.88</v>
      </c>
      <c r="S148" t="n">
        <v>2.91</v>
      </c>
      <c r="T148" t="inlineStr">
        <is>
          <t>Mount_mg.002</t>
        </is>
      </c>
      <c r="U148" t="n">
        <v>4.15</v>
      </c>
      <c r="V148" t="n">
        <v>1.49</v>
      </c>
      <c r="W148" t="n">
        <v>5.95</v>
      </c>
      <c r="X148" t="n">
        <v>20</v>
      </c>
      <c r="Y148" t="n">
        <v>65</v>
      </c>
      <c r="Z148" t="n">
        <v>5</v>
      </c>
      <c r="AA148" t="inlineStr"/>
      <c r="AB148" t="n">
        <v>360</v>
      </c>
      <c r="AC148" t="inlineStr">
        <is>
          <t>lop:may_bay</t>
        </is>
      </c>
      <c r="AD148" t="b">
        <v>0</v>
      </c>
      <c r="AE148" t="n">
        <v>0</v>
      </c>
      <c r="AF148" t="n">
        <v>0</v>
      </c>
      <c r="AG148" t="n">
        <v>0</v>
      </c>
      <c r="AH148" t="n">
        <v>30</v>
      </c>
      <c r="AI148" t="n">
        <v>240</v>
      </c>
      <c r="AJ148" t="n">
        <v>17.16</v>
      </c>
      <c r="AK148" t="inlineStr"/>
      <c r="AL148" t="n">
        <v>1.3</v>
      </c>
      <c r="AM148" t="inlineStr">
        <is>
          <t>ban_thang_may_bay</t>
        </is>
      </c>
      <c r="AN148" t="n">
        <v>9.890000000000001</v>
      </c>
      <c r="AO148" t="n">
        <v>11.38</v>
      </c>
      <c r="AP148" t="n">
        <v>11.52</v>
      </c>
      <c r="AQ148" t="n">
        <v>11.24</v>
      </c>
      <c r="AR148" t="n">
        <v>0</v>
      </c>
      <c r="AS148" t="b">
        <v>0</v>
      </c>
      <c r="AT148" t="inlineStr">
        <is>
          <t>khong_ap:phong_thu_gan</t>
        </is>
      </c>
      <c r="AU148" t="b">
        <v>0</v>
      </c>
      <c r="AV148" t="inlineStr"/>
      <c r="AW148" t="n">
        <v>0</v>
      </c>
      <c r="AX148" t="n">
        <v>30</v>
      </c>
      <c r="AY148" t="inlineStr"/>
      <c r="AZ148" t="n">
        <v>10</v>
      </c>
      <c r="BA148" t="inlineStr">
        <is>
          <t>boss_heli_gun;boss_hmg;boss_minigun</t>
        </is>
      </c>
      <c r="BB148" t="n">
        <v>100</v>
      </c>
      <c r="BC148" t="b">
        <v>1</v>
      </c>
      <c r="BD148" t="inlineStr">
        <is>
          <t>Assets/MachineBrigade/Resources/Data/balance.json: vehicles[id=mega_gunship] x Resources/Models/mega_gunship.glb</t>
        </is>
      </c>
      <c r="BE148" t="inlineStr"/>
    </row>
    <row r="149">
      <c r="A149" t="inlineStr">
        <is>
          <t>mobile_fortress/0</t>
        </is>
      </c>
      <c r="B149" t="inlineStr">
        <is>
          <t>mobile_fortress</t>
        </is>
      </c>
      <c r="C149" t="inlineStr">
        <is>
          <t>p26_jotunn_jo203</t>
        </is>
      </c>
      <c r="D149" t="inlineStr">
        <is>
          <t>howitzer</t>
        </is>
      </c>
      <c r="E149" t="n">
        <v>0</v>
      </c>
      <c r="F149" t="inlineStr">
        <is>
          <t>main</t>
        </is>
      </c>
      <c r="G149" t="inlineStr"/>
      <c r="H149" t="inlineStr">
        <is>
          <t>phao_boss</t>
        </is>
      </c>
      <c r="I149" t="inlineStr">
        <is>
          <t>chinh</t>
        </is>
      </c>
      <c r="J149" t="inlineStr">
        <is>
          <t>Muzzle_main</t>
        </is>
      </c>
      <c r="K149" t="inlineStr">
        <is>
          <t>muzzle</t>
        </is>
      </c>
      <c r="L149" t="inlineStr">
        <is>
          <t>mobile_fortress</t>
        </is>
      </c>
      <c r="M149" t="n">
        <v>1.9884</v>
      </c>
      <c r="N149" t="n">
        <v>1.657</v>
      </c>
      <c r="O149" t="n">
        <v>13.98</v>
      </c>
      <c r="P149" t="n">
        <v>11.6</v>
      </c>
      <c r="Q149" t="n">
        <v>2.38</v>
      </c>
      <c r="R149" t="n">
        <v>17.7</v>
      </c>
      <c r="S149" t="n">
        <v>13.46</v>
      </c>
      <c r="T149" t="inlineStr">
        <is>
          <t>Turret</t>
        </is>
      </c>
      <c r="U149" t="n">
        <v>1.99</v>
      </c>
      <c r="V149" t="n">
        <v>15.45</v>
      </c>
      <c r="W149" t="n">
        <v>12.4275</v>
      </c>
      <c r="X149" t="n">
        <v>0</v>
      </c>
      <c r="Y149" t="n">
        <v>8</v>
      </c>
      <c r="Z149" t="n">
        <v>70</v>
      </c>
      <c r="AA149" t="inlineStr"/>
      <c r="AB149" t="n">
        <v>360</v>
      </c>
      <c r="AC149" t="inlineStr">
        <is>
          <t>lop:phao_boss</t>
        </is>
      </c>
      <c r="AD149" t="b">
        <v>1</v>
      </c>
      <c r="AE149" t="n">
        <v>48</v>
      </c>
      <c r="AF149" t="n">
        <v>0</v>
      </c>
      <c r="AG149" t="n">
        <v>48</v>
      </c>
      <c r="AH149" t="n">
        <v>60</v>
      </c>
      <c r="AI149" t="n">
        <v>100</v>
      </c>
      <c r="AJ149" t="n">
        <v>24.26</v>
      </c>
      <c r="AK149" t="inlineStr"/>
      <c r="AL149" t="n">
        <v>1.3</v>
      </c>
      <c r="AM149" t="inlineStr">
        <is>
          <t>ban_thang</t>
        </is>
      </c>
      <c r="AN149" t="n">
        <v>90.20999999999999</v>
      </c>
      <c r="AO149" t="n">
        <v>105.66</v>
      </c>
      <c r="AP149" t="n">
        <v>107.8</v>
      </c>
      <c r="AQ149" t="n">
        <v>103.53</v>
      </c>
      <c r="AR149" t="n">
        <v>48</v>
      </c>
      <c r="AS149" t="b">
        <v>1</v>
      </c>
      <c r="AT149" t="inlineStr">
        <is>
          <t>groundMinReach</t>
        </is>
      </c>
      <c r="AU149" t="b">
        <v>1</v>
      </c>
      <c r="AV149" t="inlineStr">
        <is>
          <t>mobile_fortress</t>
        </is>
      </c>
      <c r="AW149" t="n">
        <v>48</v>
      </c>
      <c r="AX149" t="n">
        <v>154</v>
      </c>
      <c r="AY149" t="n">
        <v>3.21</v>
      </c>
      <c r="AZ149" t="n">
        <v>30</v>
      </c>
      <c r="BA149" t="inlineStr">
        <is>
          <t>p26_jotunn_close_boss_flak;p26_jotunn_tiny_twin_30_flak</t>
        </is>
      </c>
      <c r="BB149" t="n">
        <v>100</v>
      </c>
      <c r="BC149" t="b">
        <v>1</v>
      </c>
      <c r="BD149" t="inlineStr">
        <is>
          <t>Assets/MachineBrigade/Resources/Data/balance.json: vehicles[id=mobile_fortress] x Resources/Models/mobile_fortress.glb</t>
        </is>
      </c>
      <c r="BE149" t="inlineStr"/>
    </row>
    <row r="150">
      <c r="A150" t="inlineStr">
        <is>
          <t>mobile_fortress/1</t>
        </is>
      </c>
      <c r="B150" t="inlineStr">
        <is>
          <t>mobile_fortress</t>
        </is>
      </c>
      <c r="C150" t="inlineStr">
        <is>
          <t>p26_jotunn_sec_jo_rockets</t>
        </is>
      </c>
      <c r="D150" t="inlineStr">
        <is>
          <t>rockets_l</t>
        </is>
      </c>
      <c r="E150" t="n">
        <v>1</v>
      </c>
      <c r="F150" t="inlineStr">
        <is>
          <t>rocket</t>
        </is>
      </c>
      <c r="G150" t="inlineStr">
        <is>
          <t>Free</t>
        </is>
      </c>
      <c r="H150" t="inlineStr">
        <is>
          <t>be_rocket</t>
        </is>
      </c>
      <c r="I150" t="inlineStr">
        <is>
          <t>chinh</t>
        </is>
      </c>
      <c r="J150" t="inlineStr">
        <is>
          <t>Muzzle_rocket</t>
        </is>
      </c>
      <c r="K150" t="inlineStr">
        <is>
          <t>muzzle</t>
        </is>
      </c>
      <c r="L150" t="inlineStr">
        <is>
          <t>mobile_fortress</t>
        </is>
      </c>
      <c r="M150" t="n">
        <v>1.9884</v>
      </c>
      <c r="N150" t="n">
        <v>1.657</v>
      </c>
      <c r="O150" t="n">
        <v>12.31</v>
      </c>
      <c r="P150" t="n">
        <v>8.289999999999999</v>
      </c>
      <c r="Q150" t="n">
        <v>4.03</v>
      </c>
      <c r="R150" t="n">
        <v>17.7</v>
      </c>
      <c r="S150" t="n">
        <v>10.59</v>
      </c>
      <c r="T150" t="inlineStr">
        <is>
          <t>Mount_rocket</t>
        </is>
      </c>
      <c r="U150" t="n">
        <v>12.67</v>
      </c>
      <c r="V150" t="n">
        <v>2.24</v>
      </c>
      <c r="W150" t="n">
        <v>12.4275</v>
      </c>
      <c r="X150" t="n">
        <v>0</v>
      </c>
      <c r="Y150" t="n">
        <v>0</v>
      </c>
      <c r="Z150" t="n">
        <v>50</v>
      </c>
      <c r="AA150" t="n">
        <v>0</v>
      </c>
      <c r="AB150" t="n">
        <v>360</v>
      </c>
      <c r="AC150" t="inlineStr">
        <is>
          <t>lop:be_rocket</t>
        </is>
      </c>
      <c r="AD150" t="b">
        <v>1</v>
      </c>
      <c r="AE150" t="n">
        <v>12</v>
      </c>
      <c r="AF150" t="n">
        <v>0</v>
      </c>
      <c r="AG150" t="n">
        <v>12</v>
      </c>
      <c r="AH150" t="n">
        <v>45</v>
      </c>
      <c r="AI150" t="n">
        <v>120</v>
      </c>
      <c r="AJ150" t="n">
        <v>21.01</v>
      </c>
      <c r="AK150" t="inlineStr"/>
      <c r="AL150" t="n">
        <v>1.3</v>
      </c>
      <c r="AM150" t="inlineStr">
        <is>
          <t>roi_tu_do_be_co_dinh</t>
        </is>
      </c>
      <c r="AN150" t="n">
        <v>31.49</v>
      </c>
      <c r="AO150" t="n">
        <v>33.73</v>
      </c>
      <c r="AP150" t="n">
        <v>34.16</v>
      </c>
      <c r="AQ150" t="n">
        <v>33.3</v>
      </c>
      <c r="AR150" t="n">
        <v>34</v>
      </c>
      <c r="AS150" t="b">
        <v>1</v>
      </c>
      <c r="AT150" t="inlineStr">
        <is>
          <t>groundMinReach</t>
        </is>
      </c>
      <c r="AU150" t="b">
        <v>0</v>
      </c>
      <c r="AV150" t="inlineStr">
        <is>
          <t>mobile_fortress</t>
        </is>
      </c>
      <c r="AW150" t="n">
        <v>32</v>
      </c>
      <c r="AX150" t="n">
        <v>103</v>
      </c>
      <c r="AY150" t="n">
        <v>3.22</v>
      </c>
      <c r="AZ150" t="n">
        <v>30</v>
      </c>
      <c r="BA150" t="inlineStr">
        <is>
          <t>p26_jotunn_close_boss_flak;p26_jotunn_tiny_twin_30_flak</t>
        </is>
      </c>
      <c r="BB150" t="n">
        <v>100</v>
      </c>
      <c r="BC150" t="b">
        <v>1</v>
      </c>
      <c r="BD150" t="inlineStr">
        <is>
          <t>Assets/MachineBrigade/Resources/Data/balance.json: vehicles[id=mobile_fortress] x Resources/Models/mobile_fortress.glb</t>
        </is>
      </c>
      <c r="BE150" t="inlineStr"/>
    </row>
    <row r="151">
      <c r="A151" t="inlineStr">
        <is>
          <t>mobile_fortress/2</t>
        </is>
      </c>
      <c r="B151" t="inlineStr">
        <is>
          <t>mobile_fortress</t>
        </is>
      </c>
      <c r="C151" t="inlineStr">
        <is>
          <t>p26_jotunn_sec_jo_rockets</t>
        </is>
      </c>
      <c r="D151" t="inlineStr">
        <is>
          <t>rockets_r</t>
        </is>
      </c>
      <c r="E151" t="n">
        <v>2</v>
      </c>
      <c r="F151" t="inlineStr">
        <is>
          <t>rocket</t>
        </is>
      </c>
      <c r="G151" t="inlineStr">
        <is>
          <t>Free</t>
        </is>
      </c>
      <c r="H151" t="inlineStr">
        <is>
          <t>be_rocket</t>
        </is>
      </c>
      <c r="I151" t="inlineStr">
        <is>
          <t>chinh</t>
        </is>
      </c>
      <c r="J151" t="inlineStr">
        <is>
          <t>Muzzle_rocket.001</t>
        </is>
      </c>
      <c r="K151" t="inlineStr">
        <is>
          <t>muzzle</t>
        </is>
      </c>
      <c r="L151" t="inlineStr">
        <is>
          <t>mobile_fortress</t>
        </is>
      </c>
      <c r="M151" t="n">
        <v>1.9884</v>
      </c>
      <c r="N151" t="n">
        <v>1.657</v>
      </c>
      <c r="O151" t="n">
        <v>12.31</v>
      </c>
      <c r="P151" t="n">
        <v>8.289999999999999</v>
      </c>
      <c r="Q151" t="n">
        <v>4.03</v>
      </c>
      <c r="R151" t="n">
        <v>17.7</v>
      </c>
      <c r="S151" t="n">
        <v>10.59</v>
      </c>
      <c r="T151" t="inlineStr">
        <is>
          <t>Mount_rocket.001</t>
        </is>
      </c>
      <c r="U151" t="n">
        <v>12.67</v>
      </c>
      <c r="V151" t="n">
        <v>2.24</v>
      </c>
      <c r="W151" t="n">
        <v>12.4275</v>
      </c>
      <c r="X151" t="n">
        <v>0</v>
      </c>
      <c r="Y151" t="n">
        <v>0</v>
      </c>
      <c r="Z151" t="n">
        <v>50</v>
      </c>
      <c r="AA151" t="n">
        <v>0</v>
      </c>
      <c r="AB151" t="n">
        <v>360</v>
      </c>
      <c r="AC151" t="inlineStr">
        <is>
          <t>lop:be_rocket</t>
        </is>
      </c>
      <c r="AD151" t="b">
        <v>1</v>
      </c>
      <c r="AE151" t="n">
        <v>12</v>
      </c>
      <c r="AF151" t="n">
        <v>0</v>
      </c>
      <c r="AG151" t="n">
        <v>12</v>
      </c>
      <c r="AH151" t="n">
        <v>45</v>
      </c>
      <c r="AI151" t="n">
        <v>120</v>
      </c>
      <c r="AJ151" t="n">
        <v>21.01</v>
      </c>
      <c r="AK151" t="inlineStr"/>
      <c r="AL151" t="n">
        <v>1.3</v>
      </c>
      <c r="AM151" t="inlineStr">
        <is>
          <t>roi_tu_do_be_co_dinh</t>
        </is>
      </c>
      <c r="AN151" t="n">
        <v>31.49</v>
      </c>
      <c r="AO151" t="n">
        <v>33.73</v>
      </c>
      <c r="AP151" t="n">
        <v>34.16</v>
      </c>
      <c r="AQ151" t="n">
        <v>33.3</v>
      </c>
      <c r="AR151" t="n">
        <v>34</v>
      </c>
      <c r="AS151" t="b">
        <v>1</v>
      </c>
      <c r="AT151" t="inlineStr">
        <is>
          <t>groundMinReach</t>
        </is>
      </c>
      <c r="AU151" t="b">
        <v>0</v>
      </c>
      <c r="AV151" t="inlineStr">
        <is>
          <t>mobile_fortress</t>
        </is>
      </c>
      <c r="AW151" t="n">
        <v>32</v>
      </c>
      <c r="AX151" t="n">
        <v>103</v>
      </c>
      <c r="AY151" t="n">
        <v>3.22</v>
      </c>
      <c r="AZ151" t="n">
        <v>30</v>
      </c>
      <c r="BA151" t="inlineStr">
        <is>
          <t>p26_jotunn_close_boss_flak;p26_jotunn_tiny_twin_30_flak</t>
        </is>
      </c>
      <c r="BB151" t="n">
        <v>100</v>
      </c>
      <c r="BC151" t="b">
        <v>1</v>
      </c>
      <c r="BD151" t="inlineStr">
        <is>
          <t>Assets/MachineBrigade/Resources/Data/balance.json: vehicles[id=mobile_fortress] x Resources/Models/mobile_fortress.glb</t>
        </is>
      </c>
      <c r="BE151" t="inlineStr"/>
    </row>
    <row r="152">
      <c r="A152" t="inlineStr">
        <is>
          <t>mobile_fortress/3</t>
        </is>
      </c>
      <c r="B152" t="inlineStr">
        <is>
          <t>mobile_fortress</t>
        </is>
      </c>
      <c r="C152" t="inlineStr">
        <is>
          <t>p26_jotunn_close_boss_flak</t>
        </is>
      </c>
      <c r="D152" t="inlineStr">
        <is>
          <t>flak_l</t>
        </is>
      </c>
      <c r="E152" t="n">
        <v>3</v>
      </c>
      <c r="F152" t="inlineStr">
        <is>
          <t>mg</t>
        </is>
      </c>
      <c r="G152" t="inlineStr">
        <is>
          <t>Free</t>
        </is>
      </c>
      <c r="H152" t="inlineStr">
        <is>
          <t>phao_nho_ciws</t>
        </is>
      </c>
      <c r="I152" t="inlineStr">
        <is>
          <t>phong_thu_gan</t>
        </is>
      </c>
      <c r="J152" t="inlineStr">
        <is>
          <t>Muzzle_mg</t>
        </is>
      </c>
      <c r="K152" t="inlineStr">
        <is>
          <t>muzzle</t>
        </is>
      </c>
      <c r="L152" t="inlineStr">
        <is>
          <t>mobile_fortress</t>
        </is>
      </c>
      <c r="M152" t="n">
        <v>1.9884</v>
      </c>
      <c r="N152" t="n">
        <v>1.657</v>
      </c>
      <c r="O152" t="n">
        <v>9.19</v>
      </c>
      <c r="P152" t="n">
        <v>7.62</v>
      </c>
      <c r="Q152" t="n">
        <v>1.56</v>
      </c>
      <c r="R152" t="n">
        <v>17.7</v>
      </c>
      <c r="S152" t="n">
        <v>19.34</v>
      </c>
      <c r="T152" t="inlineStr">
        <is>
          <t>Mount_mg</t>
        </is>
      </c>
      <c r="U152" t="n">
        <v>13.88</v>
      </c>
      <c r="V152" t="n">
        <v>5.97</v>
      </c>
      <c r="W152" t="n">
        <v>12.4275</v>
      </c>
      <c r="X152" t="n">
        <v>0</v>
      </c>
      <c r="Y152" t="n">
        <v>15</v>
      </c>
      <c r="Z152" t="n">
        <v>85</v>
      </c>
      <c r="AA152" t="inlineStr"/>
      <c r="AB152" t="n">
        <v>360</v>
      </c>
      <c r="AC152" t="inlineStr">
        <is>
          <t>lop:phao_nho_ciws</t>
        </is>
      </c>
      <c r="AD152" t="b">
        <v>1</v>
      </c>
      <c r="AE152" t="n">
        <v>0</v>
      </c>
      <c r="AF152" t="n">
        <v>0</v>
      </c>
      <c r="AG152" t="n">
        <v>0</v>
      </c>
      <c r="AH152" t="n">
        <v>40</v>
      </c>
      <c r="AI152" t="n">
        <v>260</v>
      </c>
      <c r="AJ152" t="n">
        <v>19.81</v>
      </c>
      <c r="AK152" t="inlineStr"/>
      <c r="AL152" t="n">
        <v>1.3</v>
      </c>
      <c r="AM152" t="inlineStr">
        <is>
          <t>ban_thang</t>
        </is>
      </c>
      <c r="AN152" t="n">
        <v>29.43</v>
      </c>
      <c r="AO152" t="n">
        <v>35.4</v>
      </c>
      <c r="AP152" t="n">
        <v>36.52</v>
      </c>
      <c r="AQ152" t="n">
        <v>34.28</v>
      </c>
      <c r="AR152" t="n">
        <v>0</v>
      </c>
      <c r="AS152" t="b">
        <v>0</v>
      </c>
      <c r="AT152" t="inlineStr">
        <is>
          <t>khong_ap:phong_thu_gan</t>
        </is>
      </c>
      <c r="AU152" t="b">
        <v>0</v>
      </c>
      <c r="AV152" t="inlineStr"/>
      <c r="AW152" t="n">
        <v>0</v>
      </c>
      <c r="AX152" t="n">
        <v>40</v>
      </c>
      <c r="AY152" t="inlineStr"/>
      <c r="AZ152" t="n">
        <v>30</v>
      </c>
      <c r="BA152" t="inlineStr">
        <is>
          <t>p26_jotunn_close_boss_flak;p26_jotunn_tiny_twin_30_flak</t>
        </is>
      </c>
      <c r="BB152" t="n">
        <v>100</v>
      </c>
      <c r="BC152" t="b">
        <v>1</v>
      </c>
      <c r="BD152" t="inlineStr">
        <is>
          <t>Assets/MachineBrigade/Resources/Data/balance.json: vehicles[id=mobile_fortress] x Resources/Models/mobile_fortress.glb</t>
        </is>
      </c>
      <c r="BE152" t="inlineStr"/>
    </row>
    <row r="153">
      <c r="A153" t="inlineStr">
        <is>
          <t>mobile_fortress/4</t>
        </is>
      </c>
      <c r="B153" t="inlineStr">
        <is>
          <t>mobile_fortress</t>
        </is>
      </c>
      <c r="C153" t="inlineStr">
        <is>
          <t>p26_jotunn_close_boss_flak</t>
        </is>
      </c>
      <c r="D153" t="inlineStr">
        <is>
          <t>flak_r</t>
        </is>
      </c>
      <c r="E153" t="n">
        <v>4</v>
      </c>
      <c r="F153" t="inlineStr">
        <is>
          <t>mg</t>
        </is>
      </c>
      <c r="G153" t="inlineStr">
        <is>
          <t>Free</t>
        </is>
      </c>
      <c r="H153" t="inlineStr">
        <is>
          <t>phao_nho_ciws</t>
        </is>
      </c>
      <c r="I153" t="inlineStr">
        <is>
          <t>phong_thu_gan</t>
        </is>
      </c>
      <c r="J153" t="inlineStr">
        <is>
          <t>Muzzle_mg.001</t>
        </is>
      </c>
      <c r="K153" t="inlineStr">
        <is>
          <t>muzzle</t>
        </is>
      </c>
      <c r="L153" t="inlineStr">
        <is>
          <t>mobile_fortress</t>
        </is>
      </c>
      <c r="M153" t="n">
        <v>1.9884</v>
      </c>
      <c r="N153" t="n">
        <v>1.657</v>
      </c>
      <c r="O153" t="n">
        <v>9.19</v>
      </c>
      <c r="P153" t="n">
        <v>7.62</v>
      </c>
      <c r="Q153" t="n">
        <v>1.56</v>
      </c>
      <c r="R153" t="n">
        <v>17.7</v>
      </c>
      <c r="S153" t="n">
        <v>19.34</v>
      </c>
      <c r="T153" t="inlineStr">
        <is>
          <t>Mount_mg.001</t>
        </is>
      </c>
      <c r="U153" t="n">
        <v>13.88</v>
      </c>
      <c r="V153" t="n">
        <v>5.97</v>
      </c>
      <c r="W153" t="n">
        <v>12.4275</v>
      </c>
      <c r="X153" t="n">
        <v>0</v>
      </c>
      <c r="Y153" t="n">
        <v>15</v>
      </c>
      <c r="Z153" t="n">
        <v>85</v>
      </c>
      <c r="AA153" t="inlineStr"/>
      <c r="AB153" t="n">
        <v>360</v>
      </c>
      <c r="AC153" t="inlineStr">
        <is>
          <t>lop:phao_nho_ciws</t>
        </is>
      </c>
      <c r="AD153" t="b">
        <v>1</v>
      </c>
      <c r="AE153" t="n">
        <v>0</v>
      </c>
      <c r="AF153" t="n">
        <v>0</v>
      </c>
      <c r="AG153" t="n">
        <v>0</v>
      </c>
      <c r="AH153" t="n">
        <v>40</v>
      </c>
      <c r="AI153" t="n">
        <v>260</v>
      </c>
      <c r="AJ153" t="n">
        <v>19.81</v>
      </c>
      <c r="AK153" t="inlineStr"/>
      <c r="AL153" t="n">
        <v>1.3</v>
      </c>
      <c r="AM153" t="inlineStr">
        <is>
          <t>ban_thang</t>
        </is>
      </c>
      <c r="AN153" t="n">
        <v>29.43</v>
      </c>
      <c r="AO153" t="n">
        <v>35.4</v>
      </c>
      <c r="AP153" t="n">
        <v>36.52</v>
      </c>
      <c r="AQ153" t="n">
        <v>34.28</v>
      </c>
      <c r="AR153" t="n">
        <v>0</v>
      </c>
      <c r="AS153" t="b">
        <v>0</v>
      </c>
      <c r="AT153" t="inlineStr">
        <is>
          <t>khong_ap:phong_thu_gan</t>
        </is>
      </c>
      <c r="AU153" t="b">
        <v>0</v>
      </c>
      <c r="AV153" t="inlineStr"/>
      <c r="AW153" t="n">
        <v>0</v>
      </c>
      <c r="AX153" t="n">
        <v>40</v>
      </c>
      <c r="AY153" t="inlineStr"/>
      <c r="AZ153" t="n">
        <v>30</v>
      </c>
      <c r="BA153" t="inlineStr">
        <is>
          <t>p26_jotunn_close_boss_flak;p26_jotunn_tiny_twin_30_flak</t>
        </is>
      </c>
      <c r="BB153" t="n">
        <v>100</v>
      </c>
      <c r="BC153" t="b">
        <v>1</v>
      </c>
      <c r="BD153" t="inlineStr">
        <is>
          <t>Assets/MachineBrigade/Resources/Data/balance.json: vehicles[id=mobile_fortress] x Resources/Models/mobile_fortress.glb</t>
        </is>
      </c>
      <c r="BE153" t="inlineStr"/>
    </row>
    <row r="154">
      <c r="A154" t="inlineStr">
        <is>
          <t>mobile_fortress/5</t>
        </is>
      </c>
      <c r="B154" t="inlineStr">
        <is>
          <t>mobile_fortress</t>
        </is>
      </c>
      <c r="C154" t="inlineStr">
        <is>
          <t>p26_jotunn_direct_jo125</t>
        </is>
      </c>
      <c r="D154" t="inlineStr">
        <is>
          <t>missiles</t>
        </is>
      </c>
      <c r="E154" t="n">
        <v>5</v>
      </c>
      <c r="F154" t="inlineStr">
        <is>
          <t>missile</t>
        </is>
      </c>
      <c r="G154" t="inlineStr">
        <is>
          <t>Hull</t>
        </is>
      </c>
      <c r="H154" t="inlineStr">
        <is>
          <t>phao_boss</t>
        </is>
      </c>
      <c r="I154" t="inlineStr">
        <is>
          <t>chinh</t>
        </is>
      </c>
      <c r="J154" t="inlineStr">
        <is>
          <t>Muzzle_missile</t>
        </is>
      </c>
      <c r="K154" t="inlineStr">
        <is>
          <t>muzzle</t>
        </is>
      </c>
      <c r="L154" t="inlineStr">
        <is>
          <t>mobile_fortress</t>
        </is>
      </c>
      <c r="M154" t="n">
        <v>1.9884</v>
      </c>
      <c r="N154" t="n">
        <v>1.657</v>
      </c>
      <c r="O154" t="n">
        <v>6.56</v>
      </c>
      <c r="P154" t="n">
        <v>5.47</v>
      </c>
      <c r="Q154" t="n">
        <v>1.09</v>
      </c>
      <c r="R154" t="n">
        <v>17.7</v>
      </c>
      <c r="S154" t="n">
        <v>23.18</v>
      </c>
      <c r="T154" t="inlineStr">
        <is>
          <t>Mount_missile</t>
        </is>
      </c>
      <c r="U154" t="n">
        <v>16.8</v>
      </c>
      <c r="V154" t="n">
        <v>6.38</v>
      </c>
      <c r="W154" t="n">
        <v>12.4275</v>
      </c>
      <c r="X154" t="n">
        <v>0</v>
      </c>
      <c r="Y154" t="n">
        <v>8</v>
      </c>
      <c r="Z154" t="n">
        <v>70</v>
      </c>
      <c r="AA154" t="inlineStr"/>
      <c r="AB154" t="inlineStr"/>
      <c r="AC154" t="inlineStr">
        <is>
          <t>lop:phao_boss</t>
        </is>
      </c>
      <c r="AD154" t="b">
        <v>1</v>
      </c>
      <c r="AE154" t="n">
        <v>30</v>
      </c>
      <c r="AF154" t="n">
        <v>0</v>
      </c>
      <c r="AG154" t="n">
        <v>30</v>
      </c>
      <c r="AH154" t="n">
        <v>38</v>
      </c>
      <c r="AI154" t="n">
        <v>170</v>
      </c>
      <c r="AJ154" t="n">
        <v>19.31</v>
      </c>
      <c r="AK154" t="inlineStr"/>
      <c r="AL154" t="n">
        <v>1.3</v>
      </c>
      <c r="AM154" t="inlineStr">
        <is>
          <t>ban_thang</t>
        </is>
      </c>
      <c r="AN154" t="n">
        <v>37.44</v>
      </c>
      <c r="AO154" t="n">
        <v>43.82</v>
      </c>
      <c r="AP154" t="n">
        <v>45.96</v>
      </c>
      <c r="AQ154" t="n">
        <v>41.69</v>
      </c>
      <c r="AR154" t="n">
        <v>30</v>
      </c>
      <c r="AS154" t="b">
        <v>1</v>
      </c>
      <c r="AT154" t="inlineStr">
        <is>
          <t>groundMinReach</t>
        </is>
      </c>
      <c r="AU154" t="b">
        <v>1</v>
      </c>
      <c r="AV154" t="inlineStr">
        <is>
          <t>mobile_fortress</t>
        </is>
      </c>
      <c r="AW154" t="n">
        <v>30</v>
      </c>
      <c r="AX154" t="n">
        <v>96</v>
      </c>
      <c r="AY154" t="n">
        <v>3.2</v>
      </c>
      <c r="AZ154" t="n">
        <v>30</v>
      </c>
      <c r="BA154" t="inlineStr">
        <is>
          <t>p26_jotunn_close_boss_flak;p26_jotunn_tiny_twin_30_flak</t>
        </is>
      </c>
      <c r="BB154" t="n">
        <v>100</v>
      </c>
      <c r="BC154" t="b">
        <v>1</v>
      </c>
      <c r="BD154" t="inlineStr">
        <is>
          <t>Assets/MachineBrigade/Resources/Data/balance.json: vehicles[id=mobile_fortress] x Resources/Models/mobile_fortress.glb</t>
        </is>
      </c>
      <c r="BE154" t="inlineStr"/>
    </row>
    <row r="155">
      <c r="A155" t="inlineStr">
        <is>
          <t>mobile_fortress/6</t>
        </is>
      </c>
      <c r="B155" t="inlineStr">
        <is>
          <t>mobile_fortress</t>
        </is>
      </c>
      <c r="C155" t="inlineStr">
        <is>
          <t>p26_jotunn_tiny_twin_30_flak</t>
        </is>
      </c>
      <c r="D155" t="inlineStr">
        <is>
          <t>flak_r</t>
        </is>
      </c>
      <c r="E155" t="n">
        <v>6</v>
      </c>
      <c r="F155" t="inlineStr">
        <is>
          <t>mg</t>
        </is>
      </c>
      <c r="G155" t="inlineStr">
        <is>
          <t>Free</t>
        </is>
      </c>
      <c r="H155" t="inlineStr">
        <is>
          <t>phao_nho_ciws</t>
        </is>
      </c>
      <c r="I155" t="inlineStr">
        <is>
          <t>phong_thu_gan</t>
        </is>
      </c>
      <c r="J155" t="inlineStr">
        <is>
          <t>Muzzle_mg</t>
        </is>
      </c>
      <c r="K155" t="inlineStr">
        <is>
          <t>muzzle</t>
        </is>
      </c>
      <c r="L155" t="inlineStr">
        <is>
          <t>mobile_fortress</t>
        </is>
      </c>
      <c r="M155" t="n">
        <v>1.9884</v>
      </c>
      <c r="N155" t="n">
        <v>1.657</v>
      </c>
      <c r="O155" t="n">
        <v>9.19</v>
      </c>
      <c r="P155" t="n">
        <v>7.62</v>
      </c>
      <c r="Q155" t="n">
        <v>1.56</v>
      </c>
      <c r="R155" t="n">
        <v>17.7</v>
      </c>
      <c r="S155" t="n">
        <v>19.34</v>
      </c>
      <c r="T155" t="inlineStr">
        <is>
          <t>Mount_mg</t>
        </is>
      </c>
      <c r="U155" t="n">
        <v>13.88</v>
      </c>
      <c r="V155" t="n">
        <v>5.97</v>
      </c>
      <c r="W155" t="n">
        <v>12.4275</v>
      </c>
      <c r="X155" t="n">
        <v>0</v>
      </c>
      <c r="Y155" t="n">
        <v>15</v>
      </c>
      <c r="Z155" t="n">
        <v>85</v>
      </c>
      <c r="AA155" t="inlineStr"/>
      <c r="AB155" t="n">
        <v>360</v>
      </c>
      <c r="AC155" t="inlineStr">
        <is>
          <t>lop:phao_nho_ciws</t>
        </is>
      </c>
      <c r="AD155" t="b">
        <v>1</v>
      </c>
      <c r="AE155" t="n">
        <v>0</v>
      </c>
      <c r="AF155" t="n">
        <v>0</v>
      </c>
      <c r="AG155" t="n">
        <v>0</v>
      </c>
      <c r="AH155" t="n">
        <v>42</v>
      </c>
      <c r="AI155" t="n">
        <v>280</v>
      </c>
      <c r="AJ155" t="n">
        <v>20.3</v>
      </c>
      <c r="AK155" t="inlineStr"/>
      <c r="AL155" t="n">
        <v>1.3</v>
      </c>
      <c r="AM155" t="inlineStr">
        <is>
          <t>ban_thang</t>
        </is>
      </c>
      <c r="AN155" t="n">
        <v>29.43</v>
      </c>
      <c r="AO155" t="n">
        <v>35.4</v>
      </c>
      <c r="AP155" t="n">
        <v>36.52</v>
      </c>
      <c r="AQ155" t="n">
        <v>34.28</v>
      </c>
      <c r="AR155" t="n">
        <v>0</v>
      </c>
      <c r="AS155" t="b">
        <v>0</v>
      </c>
      <c r="AT155" t="inlineStr">
        <is>
          <t>khong_ap:phong_thu_gan</t>
        </is>
      </c>
      <c r="AU155" t="b">
        <v>0</v>
      </c>
      <c r="AV155" t="inlineStr"/>
      <c r="AW155" t="n">
        <v>0</v>
      </c>
      <c r="AX155" t="n">
        <v>42</v>
      </c>
      <c r="AY155" t="inlineStr"/>
      <c r="AZ155" t="n">
        <v>30</v>
      </c>
      <c r="BA155" t="inlineStr">
        <is>
          <t>p26_jotunn_close_boss_flak;p26_jotunn_tiny_twin_30_flak</t>
        </is>
      </c>
      <c r="BB155" t="n">
        <v>100</v>
      </c>
      <c r="BC155" t="b">
        <v>1</v>
      </c>
      <c r="BD155" t="inlineStr">
        <is>
          <t>Assets/MachineBrigade/Resources/Data/balance.json: vehicles[id=mobile_fortress] x Resources/Models/mobile_fortress.glb</t>
        </is>
      </c>
      <c r="BE155" t="inlineStr"/>
    </row>
    <row r="156">
      <c r="A156" t="inlineStr">
        <is>
          <t>mobile_fortress/7</t>
        </is>
      </c>
      <c r="B156" t="inlineStr">
        <is>
          <t>mobile_fortress</t>
        </is>
      </c>
      <c r="C156" t="inlineStr">
        <is>
          <t>p26_jotunn_jo203</t>
        </is>
      </c>
      <c r="D156" t="inlineStr">
        <is>
          <t>howitzer_2</t>
        </is>
      </c>
      <c r="E156" t="n">
        <v>7</v>
      </c>
      <c r="F156" t="inlineStr">
        <is>
          <t>gun</t>
        </is>
      </c>
      <c r="G156" t="inlineStr">
        <is>
          <t>Free</t>
        </is>
      </c>
      <c r="H156" t="inlineStr">
        <is>
          <t>phao_boss</t>
        </is>
      </c>
      <c r="I156" t="inlineStr">
        <is>
          <t>chinh</t>
        </is>
      </c>
      <c r="J156" t="inlineStr">
        <is>
          <t>Muzzle_gun</t>
        </is>
      </c>
      <c r="K156" t="inlineStr">
        <is>
          <t>muzzle</t>
        </is>
      </c>
      <c r="L156" t="inlineStr">
        <is>
          <t>mobile_fortress</t>
        </is>
      </c>
      <c r="M156" t="n">
        <v>1.9884</v>
      </c>
      <c r="N156" t="n">
        <v>1.657</v>
      </c>
      <c r="O156" t="n">
        <v>15.63</v>
      </c>
      <c r="P156" t="n">
        <v>12.76</v>
      </c>
      <c r="Q156" t="n">
        <v>2.87</v>
      </c>
      <c r="R156" t="n">
        <v>17.7</v>
      </c>
      <c r="S156" t="n">
        <v>1.97</v>
      </c>
      <c r="T156" t="inlineStr">
        <is>
          <t>Mount_gun</t>
        </is>
      </c>
      <c r="U156" t="n">
        <v>4.18</v>
      </c>
      <c r="V156" t="n">
        <v>6.14</v>
      </c>
      <c r="W156" t="n">
        <v>12.4275</v>
      </c>
      <c r="X156" t="n">
        <v>0</v>
      </c>
      <c r="Y156" t="n">
        <v>8</v>
      </c>
      <c r="Z156" t="n">
        <v>70</v>
      </c>
      <c r="AA156" t="inlineStr"/>
      <c r="AB156" t="n">
        <v>360</v>
      </c>
      <c r="AC156" t="inlineStr">
        <is>
          <t>lop:phao_boss</t>
        </is>
      </c>
      <c r="AD156" t="b">
        <v>1</v>
      </c>
      <c r="AE156" t="n">
        <v>48</v>
      </c>
      <c r="AF156" t="n">
        <v>0</v>
      </c>
      <c r="AG156" t="n">
        <v>48</v>
      </c>
      <c r="AH156" t="n">
        <v>60</v>
      </c>
      <c r="AI156" t="n">
        <v>100</v>
      </c>
      <c r="AJ156" t="n">
        <v>24.26</v>
      </c>
      <c r="AK156" t="inlineStr"/>
      <c r="AL156" t="n">
        <v>1.3</v>
      </c>
      <c r="AM156" t="inlineStr">
        <is>
          <t>ban_thang</t>
        </is>
      </c>
      <c r="AN156" t="n">
        <v>101.95</v>
      </c>
      <c r="AO156" t="n">
        <v>108.1</v>
      </c>
      <c r="AP156" t="n">
        <v>110.23</v>
      </c>
      <c r="AQ156" t="n">
        <v>105.96</v>
      </c>
      <c r="AR156" t="n">
        <v>48</v>
      </c>
      <c r="AS156" t="b">
        <v>1</v>
      </c>
      <c r="AT156" t="inlineStr">
        <is>
          <t>groundMinReach</t>
        </is>
      </c>
      <c r="AU156" t="b">
        <v>1</v>
      </c>
      <c r="AV156" t="inlineStr">
        <is>
          <t>mobile_fortress</t>
        </is>
      </c>
      <c r="AW156" t="n">
        <v>48</v>
      </c>
      <c r="AX156" t="n">
        <v>154</v>
      </c>
      <c r="AY156" t="n">
        <v>3.21</v>
      </c>
      <c r="AZ156" t="n">
        <v>30</v>
      </c>
      <c r="BA156" t="inlineStr">
        <is>
          <t>p26_jotunn_close_boss_flak;p26_jotunn_tiny_twin_30_flak</t>
        </is>
      </c>
      <c r="BB156" t="n">
        <v>100</v>
      </c>
      <c r="BC156" t="b">
        <v>1</v>
      </c>
      <c r="BD156" t="inlineStr">
        <is>
          <t>Assets/MachineBrigade/Resources/Data/balance.json: vehicles[id=mobile_fortress] x Resources/Models/mobile_fortress.glb</t>
        </is>
      </c>
      <c r="BE156" t="inlineStr"/>
    </row>
    <row r="157">
      <c r="A157" t="inlineStr">
        <is>
          <t>mobile_fortress/8</t>
        </is>
      </c>
      <c r="B157" t="inlineStr">
        <is>
          <t>mobile_fortress</t>
        </is>
      </c>
      <c r="C157" t="inlineStr">
        <is>
          <t>sam_post</t>
        </is>
      </c>
      <c r="D157" t="inlineStr">
        <is>
          <t>sam</t>
        </is>
      </c>
      <c r="E157" t="n">
        <v>8</v>
      </c>
      <c r="F157" t="inlineStr">
        <is>
          <t>missile</t>
        </is>
      </c>
      <c r="G157" t="inlineStr">
        <is>
          <t>Free</t>
        </is>
      </c>
      <c r="H157" t="inlineStr">
        <is>
          <t>phong_khong</t>
        </is>
      </c>
      <c r="I157" t="inlineStr">
        <is>
          <t>phong_khong</t>
        </is>
      </c>
      <c r="J157" t="inlineStr">
        <is>
          <t>Muzzle_missile.001</t>
        </is>
      </c>
      <c r="K157" t="inlineStr">
        <is>
          <t>muzzle</t>
        </is>
      </c>
      <c r="L157" t="inlineStr">
        <is>
          <t>mobile_fortress</t>
        </is>
      </c>
      <c r="M157" t="n">
        <v>1.9884</v>
      </c>
      <c r="N157" t="n">
        <v>1.657</v>
      </c>
      <c r="O157" t="n">
        <v>13.63</v>
      </c>
      <c r="P157" t="n">
        <v>10.44</v>
      </c>
      <c r="Q157" t="n">
        <v>3.19</v>
      </c>
      <c r="R157" t="n">
        <v>17.7</v>
      </c>
      <c r="S157" t="n">
        <v>12.72</v>
      </c>
      <c r="T157" t="inlineStr">
        <is>
          <t>Mount_missile.001</t>
        </is>
      </c>
      <c r="U157" t="n">
        <v>11.22</v>
      </c>
      <c r="V157" t="n">
        <v>1.54</v>
      </c>
      <c r="W157" t="n">
        <v>12.4275</v>
      </c>
      <c r="X157" t="n">
        <v>0</v>
      </c>
      <c r="Y157" t="inlineStr"/>
      <c r="Z157" t="inlineStr"/>
      <c r="AA157" t="inlineStr"/>
      <c r="AB157" t="n">
        <v>360</v>
      </c>
      <c r="AC157" t="inlineStr">
        <is>
          <t>khong_ap</t>
        </is>
      </c>
      <c r="AD157" t="b">
        <v>0</v>
      </c>
      <c r="AE157" t="n">
        <v>0</v>
      </c>
      <c r="AF157" t="n">
        <v>0</v>
      </c>
      <c r="AG157" t="n">
        <v>0</v>
      </c>
      <c r="AH157" t="n">
        <v>60</v>
      </c>
      <c r="AI157" t="n">
        <v>80</v>
      </c>
      <c r="AJ157" t="n">
        <v>24.26</v>
      </c>
      <c r="AK157" t="inlineStr"/>
      <c r="AL157" t="n">
        <v>1.3</v>
      </c>
      <c r="AM157" t="inlineStr">
        <is>
          <t>khong_ap</t>
        </is>
      </c>
      <c r="AN157" t="n">
        <v>0</v>
      </c>
      <c r="AO157" t="n">
        <v>0</v>
      </c>
      <c r="AP157" t="n">
        <v>0</v>
      </c>
      <c r="AQ157" t="n">
        <v>0</v>
      </c>
      <c r="AR157" t="n">
        <v>0</v>
      </c>
      <c r="AS157" t="b">
        <v>0</v>
      </c>
      <c r="AT157" t="inlineStr">
        <is>
          <t>khong_ap</t>
        </is>
      </c>
      <c r="AU157" t="b">
        <v>0</v>
      </c>
      <c r="AV157" t="inlineStr"/>
      <c r="AW157" t="n">
        <v>0</v>
      </c>
      <c r="AX157" t="n">
        <v>60</v>
      </c>
      <c r="AY157" t="inlineStr"/>
      <c r="AZ157" t="n">
        <v>30</v>
      </c>
      <c r="BA157" t="inlineStr">
        <is>
          <t>p26_jotunn_close_boss_flak;p26_jotunn_tiny_twin_30_flak</t>
        </is>
      </c>
      <c r="BB157" t="n">
        <v>100</v>
      </c>
      <c r="BC157" t="b">
        <v>1</v>
      </c>
      <c r="BD157" t="inlineStr">
        <is>
          <t>Assets/MachineBrigade/Resources/Data/balance.json: vehicles[id=mobile_fortress] x Resources/Models/mobile_fortress.glb</t>
        </is>
      </c>
      <c r="BE157" t="inlineStr"/>
    </row>
    <row r="158">
      <c r="A158" t="inlineStr">
        <is>
          <t>moloch/0</t>
        </is>
      </c>
      <c r="B158" t="inlineStr">
        <is>
          <t>moloch</t>
        </is>
      </c>
      <c r="C158" t="inlineStr">
        <is>
          <t>p26_moloch_main_mo120</t>
        </is>
      </c>
      <c r="D158" t="inlineStr">
        <is>
          <t>turret_fl</t>
        </is>
      </c>
      <c r="E158" t="n">
        <v>0</v>
      </c>
      <c r="F158" t="inlineStr">
        <is>
          <t>main</t>
        </is>
      </c>
      <c r="G158" t="inlineStr"/>
      <c r="H158" t="inlineStr">
        <is>
          <t>phao_boss</t>
        </is>
      </c>
      <c r="I158" t="inlineStr">
        <is>
          <t>chinh</t>
        </is>
      </c>
      <c r="J158" t="inlineStr">
        <is>
          <t>Muzzle_main</t>
        </is>
      </c>
      <c r="K158" t="inlineStr">
        <is>
          <t>muzzle</t>
        </is>
      </c>
      <c r="L158" t="inlineStr">
        <is>
          <t>moloch</t>
        </is>
      </c>
      <c r="M158" t="n">
        <v>1.5103</v>
      </c>
      <c r="N158" t="n">
        <v>1.5103</v>
      </c>
      <c r="O158" t="n">
        <v>8.550000000000001</v>
      </c>
      <c r="P158" t="n">
        <v>11.18</v>
      </c>
      <c r="Q158" t="n">
        <v>-2.63</v>
      </c>
      <c r="R158" t="n">
        <v>17.82</v>
      </c>
      <c r="S158" t="n">
        <v>23.75</v>
      </c>
      <c r="T158" t="inlineStr">
        <is>
          <t>Turret</t>
        </is>
      </c>
      <c r="U158" t="n">
        <v>13.26</v>
      </c>
      <c r="V158" t="n">
        <v>11.33</v>
      </c>
      <c r="W158" t="n">
        <v>16.6133</v>
      </c>
      <c r="X158" t="n">
        <v>0</v>
      </c>
      <c r="Y158" t="n">
        <v>8</v>
      </c>
      <c r="Z158" t="n">
        <v>70</v>
      </c>
      <c r="AA158" t="inlineStr"/>
      <c r="AB158" t="n">
        <v>360</v>
      </c>
      <c r="AC158" t="inlineStr">
        <is>
          <t>lop:phao_boss</t>
        </is>
      </c>
      <c r="AD158" t="b">
        <v>1</v>
      </c>
      <c r="AE158" t="n">
        <v>25</v>
      </c>
      <c r="AF158" t="n">
        <v>0</v>
      </c>
      <c r="AG158" t="n">
        <v>25</v>
      </c>
      <c r="AH158" t="n">
        <v>32</v>
      </c>
      <c r="AI158" t="n">
        <v>170</v>
      </c>
      <c r="AJ158" t="n">
        <v>17.72</v>
      </c>
      <c r="AK158" t="inlineStr"/>
      <c r="AL158" t="n">
        <v>1.3</v>
      </c>
      <c r="AM158" t="inlineStr">
        <is>
          <t>ban_thang</t>
        </is>
      </c>
      <c r="AN158" t="n">
        <v>51.57</v>
      </c>
      <c r="AO158" t="n">
        <v>62.9</v>
      </c>
      <c r="AP158" t="n">
        <v>65.04000000000001</v>
      </c>
      <c r="AQ158" t="n">
        <v>60.77</v>
      </c>
      <c r="AR158" t="n">
        <v>25</v>
      </c>
      <c r="AS158" t="b">
        <v>1</v>
      </c>
      <c r="AT158" t="inlineStr">
        <is>
          <t>groundMinReach</t>
        </is>
      </c>
      <c r="AU158" t="b">
        <v>1</v>
      </c>
      <c r="AV158" t="inlineStr">
        <is>
          <t>moloch</t>
        </is>
      </c>
      <c r="AW158" t="n">
        <v>25</v>
      </c>
      <c r="AX158" t="n">
        <v>80</v>
      </c>
      <c r="AY158" t="n">
        <v>3.2</v>
      </c>
      <c r="AZ158" t="n">
        <v>25</v>
      </c>
      <c r="BA158" t="inlineStr">
        <is>
          <t>p26_moloch_close_boss_flak;p26_moloch_tiny_zu23</t>
        </is>
      </c>
      <c r="BB158" t="n">
        <v>100</v>
      </c>
      <c r="BC158" t="b">
        <v>1</v>
      </c>
      <c r="BD158" t="inlineStr">
        <is>
          <t>Assets/MachineBrigade/Resources/Data/balance.json: vehicles[id=moloch] x Resources/Models/moloch.glb</t>
        </is>
      </c>
      <c r="BE158" t="inlineStr"/>
    </row>
    <row r="159">
      <c r="A159" t="inlineStr">
        <is>
          <t>moloch/1</t>
        </is>
      </c>
      <c r="B159" t="inlineStr">
        <is>
          <t>moloch</t>
        </is>
      </c>
      <c r="C159" t="inlineStr">
        <is>
          <t>p26_moloch_tiny_zu23</t>
        </is>
      </c>
      <c r="D159" t="inlineStr"/>
      <c r="E159" t="n">
        <v>1</v>
      </c>
      <c r="F159" t="inlineStr">
        <is>
          <t>mg</t>
        </is>
      </c>
      <c r="G159" t="inlineStr">
        <is>
          <t>Free</t>
        </is>
      </c>
      <c r="H159" t="inlineStr">
        <is>
          <t>phao_nho_ciws</t>
        </is>
      </c>
      <c r="I159" t="inlineStr">
        <is>
          <t>phong_thu_gan</t>
        </is>
      </c>
      <c r="J159" t="inlineStr">
        <is>
          <t>Muzzle_mg</t>
        </is>
      </c>
      <c r="K159" t="inlineStr">
        <is>
          <t>muzzle</t>
        </is>
      </c>
      <c r="L159" t="inlineStr">
        <is>
          <t>moloch</t>
        </is>
      </c>
      <c r="M159" t="n">
        <v>1.5103</v>
      </c>
      <c r="N159" t="n">
        <v>1.5103</v>
      </c>
      <c r="O159" t="n">
        <v>14.35</v>
      </c>
      <c r="P159" t="inlineStr"/>
      <c r="Q159" t="inlineStr"/>
      <c r="R159" t="n">
        <v>17.82</v>
      </c>
      <c r="S159" t="n">
        <v>7.48</v>
      </c>
      <c r="T159" t="inlineStr">
        <is>
          <t>Mount_mg</t>
        </is>
      </c>
      <c r="U159" t="n">
        <v>2.11</v>
      </c>
      <c r="V159" t="n">
        <v>5.36</v>
      </c>
      <c r="W159" t="n">
        <v>16.6133</v>
      </c>
      <c r="X159" t="n">
        <v>0</v>
      </c>
      <c r="Y159" t="n">
        <v>15</v>
      </c>
      <c r="Z159" t="n">
        <v>85</v>
      </c>
      <c r="AA159" t="inlineStr"/>
      <c r="AB159" t="n">
        <v>360</v>
      </c>
      <c r="AC159" t="inlineStr">
        <is>
          <t>lop:phao_nho_ciws</t>
        </is>
      </c>
      <c r="AD159" t="b">
        <v>1</v>
      </c>
      <c r="AE159" t="n">
        <v>0</v>
      </c>
      <c r="AF159" t="n">
        <v>0</v>
      </c>
      <c r="AG159" t="n">
        <v>0</v>
      </c>
      <c r="AH159" t="n">
        <v>38</v>
      </c>
      <c r="AI159" t="n">
        <v>240</v>
      </c>
      <c r="AJ159" t="n">
        <v>19.31</v>
      </c>
      <c r="AK159" t="inlineStr"/>
      <c r="AL159" t="n">
        <v>1.3</v>
      </c>
      <c r="AM159" t="inlineStr">
        <is>
          <t>ban_thang</t>
        </is>
      </c>
      <c r="AN159" t="n">
        <v>48.7</v>
      </c>
      <c r="AO159" t="n">
        <v>54.06</v>
      </c>
      <c r="AP159" t="n">
        <v>55.18</v>
      </c>
      <c r="AQ159" t="n">
        <v>52.94</v>
      </c>
      <c r="AR159" t="n">
        <v>0</v>
      </c>
      <c r="AS159" t="b">
        <v>0</v>
      </c>
      <c r="AT159" t="inlineStr">
        <is>
          <t>khong_ap:phong_thu_gan</t>
        </is>
      </c>
      <c r="AU159" t="b">
        <v>0</v>
      </c>
      <c r="AV159" t="inlineStr"/>
      <c r="AW159" t="n">
        <v>0</v>
      </c>
      <c r="AX159" t="n">
        <v>38</v>
      </c>
      <c r="AY159" t="inlineStr"/>
      <c r="AZ159" t="n">
        <v>25</v>
      </c>
      <c r="BA159" t="inlineStr">
        <is>
          <t>p26_moloch_close_boss_flak;p26_moloch_tiny_zu23</t>
        </is>
      </c>
      <c r="BB159" t="n">
        <v>100</v>
      </c>
      <c r="BC159" t="b">
        <v>1</v>
      </c>
      <c r="BD159" t="inlineStr">
        <is>
          <t>Assets/MachineBrigade/Resources/Data/balance.json: vehicles[id=moloch] x Resources/Models/moloch.glb</t>
        </is>
      </c>
      <c r="BE159" t="inlineStr"/>
    </row>
    <row r="160">
      <c r="A160" t="inlineStr">
        <is>
          <t>moloch/2</t>
        </is>
      </c>
      <c r="B160" t="inlineStr">
        <is>
          <t>moloch</t>
        </is>
      </c>
      <c r="C160" t="inlineStr">
        <is>
          <t>p26_moloch_tiny_zu23</t>
        </is>
      </c>
      <c r="D160" t="inlineStr"/>
      <c r="E160" t="n">
        <v>2</v>
      </c>
      <c r="F160" t="inlineStr">
        <is>
          <t>mg</t>
        </is>
      </c>
      <c r="G160" t="inlineStr">
        <is>
          <t>Free</t>
        </is>
      </c>
      <c r="H160" t="inlineStr">
        <is>
          <t>phao_nho_ciws</t>
        </is>
      </c>
      <c r="I160" t="inlineStr">
        <is>
          <t>phong_thu_gan</t>
        </is>
      </c>
      <c r="J160" t="inlineStr">
        <is>
          <t>Muzzle_mg</t>
        </is>
      </c>
      <c r="K160" t="inlineStr">
        <is>
          <t>muzzle</t>
        </is>
      </c>
      <c r="L160" t="inlineStr">
        <is>
          <t>moloch</t>
        </is>
      </c>
      <c r="M160" t="n">
        <v>1.5103</v>
      </c>
      <c r="N160" t="n">
        <v>1.5103</v>
      </c>
      <c r="O160" t="n">
        <v>14.35</v>
      </c>
      <c r="P160" t="inlineStr"/>
      <c r="Q160" t="inlineStr"/>
      <c r="R160" t="n">
        <v>17.82</v>
      </c>
      <c r="S160" t="n">
        <v>7.48</v>
      </c>
      <c r="T160" t="inlineStr">
        <is>
          <t>Mount_mg</t>
        </is>
      </c>
      <c r="U160" t="n">
        <v>2.11</v>
      </c>
      <c r="V160" t="n">
        <v>5.36</v>
      </c>
      <c r="W160" t="n">
        <v>16.6133</v>
      </c>
      <c r="X160" t="n">
        <v>0</v>
      </c>
      <c r="Y160" t="n">
        <v>15</v>
      </c>
      <c r="Z160" t="n">
        <v>85</v>
      </c>
      <c r="AA160" t="inlineStr"/>
      <c r="AB160" t="n">
        <v>360</v>
      </c>
      <c r="AC160" t="inlineStr">
        <is>
          <t>lop:phao_nho_ciws</t>
        </is>
      </c>
      <c r="AD160" t="b">
        <v>1</v>
      </c>
      <c r="AE160" t="n">
        <v>0</v>
      </c>
      <c r="AF160" t="n">
        <v>0</v>
      </c>
      <c r="AG160" t="n">
        <v>0</v>
      </c>
      <c r="AH160" t="n">
        <v>38</v>
      </c>
      <c r="AI160" t="n">
        <v>240</v>
      </c>
      <c r="AJ160" t="n">
        <v>19.31</v>
      </c>
      <c r="AK160" t="inlineStr"/>
      <c r="AL160" t="n">
        <v>1.3</v>
      </c>
      <c r="AM160" t="inlineStr">
        <is>
          <t>ban_thang</t>
        </is>
      </c>
      <c r="AN160" t="n">
        <v>48.7</v>
      </c>
      <c r="AO160" t="n">
        <v>54.06</v>
      </c>
      <c r="AP160" t="n">
        <v>55.18</v>
      </c>
      <c r="AQ160" t="n">
        <v>52.94</v>
      </c>
      <c r="AR160" t="n">
        <v>0</v>
      </c>
      <c r="AS160" t="b">
        <v>0</v>
      </c>
      <c r="AT160" t="inlineStr">
        <is>
          <t>khong_ap:phong_thu_gan</t>
        </is>
      </c>
      <c r="AU160" t="b">
        <v>0</v>
      </c>
      <c r="AV160" t="inlineStr"/>
      <c r="AW160" t="n">
        <v>0</v>
      </c>
      <c r="AX160" t="n">
        <v>38</v>
      </c>
      <c r="AY160" t="inlineStr"/>
      <c r="AZ160" t="n">
        <v>25</v>
      </c>
      <c r="BA160" t="inlineStr">
        <is>
          <t>p26_moloch_close_boss_flak;p26_moloch_tiny_zu23</t>
        </is>
      </c>
      <c r="BB160" t="n">
        <v>100</v>
      </c>
      <c r="BC160" t="b">
        <v>1</v>
      </c>
      <c r="BD160" t="inlineStr">
        <is>
          <t>Assets/MachineBrigade/Resources/Data/balance.json: vehicles[id=moloch] x Resources/Models/moloch.glb</t>
        </is>
      </c>
      <c r="BE160" t="inlineStr"/>
    </row>
    <row r="161">
      <c r="A161" t="inlineStr">
        <is>
          <t>moloch/3</t>
        </is>
      </c>
      <c r="B161" t="inlineStr">
        <is>
          <t>moloch</t>
        </is>
      </c>
      <c r="C161" t="inlineStr">
        <is>
          <t>p26_moloch_main_mo120</t>
        </is>
      </c>
      <c r="D161" t="inlineStr">
        <is>
          <t>turret_fr</t>
        </is>
      </c>
      <c r="E161" t="n">
        <v>3</v>
      </c>
      <c r="F161" t="inlineStr">
        <is>
          <t>gun</t>
        </is>
      </c>
      <c r="G161" t="inlineStr">
        <is>
          <t>Free</t>
        </is>
      </c>
      <c r="H161" t="inlineStr">
        <is>
          <t>phao_boss</t>
        </is>
      </c>
      <c r="I161" t="inlineStr">
        <is>
          <t>chinh</t>
        </is>
      </c>
      <c r="J161" t="inlineStr">
        <is>
          <t>Muzzle_gun</t>
        </is>
      </c>
      <c r="K161" t="inlineStr">
        <is>
          <t>muzzle</t>
        </is>
      </c>
      <c r="L161" t="inlineStr">
        <is>
          <t>moloch</t>
        </is>
      </c>
      <c r="M161" t="n">
        <v>1.5103</v>
      </c>
      <c r="N161" t="n">
        <v>1.5103</v>
      </c>
      <c r="O161" t="n">
        <v>8.550000000000001</v>
      </c>
      <c r="P161" t="n">
        <v>11.18</v>
      </c>
      <c r="Q161" t="n">
        <v>-2.63</v>
      </c>
      <c r="R161" t="n">
        <v>17.82</v>
      </c>
      <c r="S161" t="n">
        <v>23.75</v>
      </c>
      <c r="T161" t="inlineStr">
        <is>
          <t>Mount_gun</t>
        </is>
      </c>
      <c r="U161" t="n">
        <v>13.26</v>
      </c>
      <c r="V161" t="n">
        <v>11.33</v>
      </c>
      <c r="W161" t="n">
        <v>16.6133</v>
      </c>
      <c r="X161" t="n">
        <v>0</v>
      </c>
      <c r="Y161" t="n">
        <v>8</v>
      </c>
      <c r="Z161" t="n">
        <v>70</v>
      </c>
      <c r="AA161" t="inlineStr"/>
      <c r="AB161" t="n">
        <v>360</v>
      </c>
      <c r="AC161" t="inlineStr">
        <is>
          <t>lop:phao_boss</t>
        </is>
      </c>
      <c r="AD161" t="b">
        <v>1</v>
      </c>
      <c r="AE161" t="n">
        <v>25</v>
      </c>
      <c r="AF161" t="n">
        <v>0</v>
      </c>
      <c r="AG161" t="n">
        <v>25</v>
      </c>
      <c r="AH161" t="n">
        <v>32</v>
      </c>
      <c r="AI161" t="n">
        <v>170</v>
      </c>
      <c r="AJ161" t="n">
        <v>17.72</v>
      </c>
      <c r="AK161" t="inlineStr"/>
      <c r="AL161" t="n">
        <v>1.3</v>
      </c>
      <c r="AM161" t="inlineStr">
        <is>
          <t>ban_thang</t>
        </is>
      </c>
      <c r="AN161" t="n">
        <v>51.57</v>
      </c>
      <c r="AO161" t="n">
        <v>62.9</v>
      </c>
      <c r="AP161" t="n">
        <v>65.04000000000001</v>
      </c>
      <c r="AQ161" t="n">
        <v>60.77</v>
      </c>
      <c r="AR161" t="n">
        <v>25</v>
      </c>
      <c r="AS161" t="b">
        <v>1</v>
      </c>
      <c r="AT161" t="inlineStr">
        <is>
          <t>groundMinReach</t>
        </is>
      </c>
      <c r="AU161" t="b">
        <v>1</v>
      </c>
      <c r="AV161" t="inlineStr">
        <is>
          <t>moloch</t>
        </is>
      </c>
      <c r="AW161" t="n">
        <v>25</v>
      </c>
      <c r="AX161" t="n">
        <v>80</v>
      </c>
      <c r="AY161" t="n">
        <v>3.2</v>
      </c>
      <c r="AZ161" t="n">
        <v>25</v>
      </c>
      <c r="BA161" t="inlineStr">
        <is>
          <t>p26_moloch_close_boss_flak;p26_moloch_tiny_zu23</t>
        </is>
      </c>
      <c r="BB161" t="n">
        <v>100</v>
      </c>
      <c r="BC161" t="b">
        <v>1</v>
      </c>
      <c r="BD161" t="inlineStr">
        <is>
          <t>Assets/MachineBrigade/Resources/Data/balance.json: vehicles[id=moloch] x Resources/Models/moloch.glb</t>
        </is>
      </c>
      <c r="BE161" t="inlineStr"/>
    </row>
    <row r="162">
      <c r="A162" t="inlineStr">
        <is>
          <t>moloch/4</t>
        </is>
      </c>
      <c r="B162" t="inlineStr">
        <is>
          <t>moloch</t>
        </is>
      </c>
      <c r="C162" t="inlineStr">
        <is>
          <t>p26_moloch_direct_mo120ap</t>
        </is>
      </c>
      <c r="D162" t="inlineStr">
        <is>
          <t>turret_rl</t>
        </is>
      </c>
      <c r="E162" t="n">
        <v>4</v>
      </c>
      <c r="F162" t="inlineStr">
        <is>
          <t>gun</t>
        </is>
      </c>
      <c r="G162" t="inlineStr">
        <is>
          <t>Free</t>
        </is>
      </c>
      <c r="H162" t="inlineStr">
        <is>
          <t>phao_boss</t>
        </is>
      </c>
      <c r="I162" t="inlineStr">
        <is>
          <t>chinh</t>
        </is>
      </c>
      <c r="J162" t="inlineStr">
        <is>
          <t>Muzzle_gun.001</t>
        </is>
      </c>
      <c r="K162" t="inlineStr">
        <is>
          <t>muzzle</t>
        </is>
      </c>
      <c r="L162" t="inlineStr">
        <is>
          <t>moloch</t>
        </is>
      </c>
      <c r="M162" t="n">
        <v>1.5103</v>
      </c>
      <c r="N162" t="n">
        <v>1.5103</v>
      </c>
      <c r="O162" t="n">
        <v>13.99</v>
      </c>
      <c r="P162" t="n">
        <v>11.18</v>
      </c>
      <c r="Q162" t="n">
        <v>2.81</v>
      </c>
      <c r="R162" t="n">
        <v>17.82</v>
      </c>
      <c r="S162" t="n">
        <v>7.96</v>
      </c>
      <c r="T162" t="inlineStr">
        <is>
          <t>Mount_gun.001</t>
        </is>
      </c>
      <c r="U162" t="n">
        <v>9.609999999999999</v>
      </c>
      <c r="V162" t="n">
        <v>11.33</v>
      </c>
      <c r="W162" t="n">
        <v>16.6133</v>
      </c>
      <c r="X162" t="n">
        <v>0</v>
      </c>
      <c r="Y162" t="n">
        <v>8</v>
      </c>
      <c r="Z162" t="n">
        <v>70</v>
      </c>
      <c r="AA162" t="inlineStr"/>
      <c r="AB162" t="n">
        <v>360</v>
      </c>
      <c r="AC162" t="inlineStr">
        <is>
          <t>lop:phao_boss</t>
        </is>
      </c>
      <c r="AD162" t="b">
        <v>1</v>
      </c>
      <c r="AE162" t="n">
        <v>25</v>
      </c>
      <c r="AF162" t="n">
        <v>0</v>
      </c>
      <c r="AG162" t="n">
        <v>25</v>
      </c>
      <c r="AH162" t="n">
        <v>32</v>
      </c>
      <c r="AI162" t="n">
        <v>170</v>
      </c>
      <c r="AJ162" t="n">
        <v>17.72</v>
      </c>
      <c r="AK162" t="inlineStr"/>
      <c r="AL162" t="n">
        <v>1.3</v>
      </c>
      <c r="AM162" t="inlineStr">
        <is>
          <t>ban_thang</t>
        </is>
      </c>
      <c r="AN162" t="n">
        <v>90.26000000000001</v>
      </c>
      <c r="AO162" t="n">
        <v>101.59</v>
      </c>
      <c r="AP162" t="n">
        <v>103.72</v>
      </c>
      <c r="AQ162" t="n">
        <v>99.45</v>
      </c>
      <c r="AR162" t="n">
        <v>25</v>
      </c>
      <c r="AS162" t="b">
        <v>1</v>
      </c>
      <c r="AT162" t="inlineStr">
        <is>
          <t>groundMinReach</t>
        </is>
      </c>
      <c r="AU162" t="b">
        <v>1</v>
      </c>
      <c r="AV162" t="inlineStr">
        <is>
          <t>moloch</t>
        </is>
      </c>
      <c r="AW162" t="n">
        <v>25</v>
      </c>
      <c r="AX162" t="n">
        <v>80</v>
      </c>
      <c r="AY162" t="n">
        <v>3.2</v>
      </c>
      <c r="AZ162" t="n">
        <v>25</v>
      </c>
      <c r="BA162" t="inlineStr">
        <is>
          <t>p26_moloch_close_boss_flak;p26_moloch_tiny_zu23</t>
        </is>
      </c>
      <c r="BB162" t="n">
        <v>100</v>
      </c>
      <c r="BC162" t="b">
        <v>1</v>
      </c>
      <c r="BD162" t="inlineStr">
        <is>
          <t>Assets/MachineBrigade/Resources/Data/balance.json: vehicles[id=moloch] x Resources/Models/moloch.glb</t>
        </is>
      </c>
      <c r="BE162" t="inlineStr"/>
    </row>
    <row r="163">
      <c r="A163" t="inlineStr">
        <is>
          <t>moloch/5</t>
        </is>
      </c>
      <c r="B163" t="inlineStr">
        <is>
          <t>moloch</t>
        </is>
      </c>
      <c r="C163" t="inlineStr">
        <is>
          <t>p26_moloch_direct_mo120ap</t>
        </is>
      </c>
      <c r="D163" t="inlineStr">
        <is>
          <t>turret_rr</t>
        </is>
      </c>
      <c r="E163" t="n">
        <v>5</v>
      </c>
      <c r="F163" t="inlineStr">
        <is>
          <t>gun</t>
        </is>
      </c>
      <c r="G163" t="inlineStr">
        <is>
          <t>Free</t>
        </is>
      </c>
      <c r="H163" t="inlineStr">
        <is>
          <t>phao_boss</t>
        </is>
      </c>
      <c r="I163" t="inlineStr">
        <is>
          <t>chinh</t>
        </is>
      </c>
      <c r="J163" t="inlineStr">
        <is>
          <t>Muzzle_gun.002</t>
        </is>
      </c>
      <c r="K163" t="inlineStr">
        <is>
          <t>muzzle</t>
        </is>
      </c>
      <c r="L163" t="inlineStr">
        <is>
          <t>moloch</t>
        </is>
      </c>
      <c r="M163" t="n">
        <v>1.5103</v>
      </c>
      <c r="N163" t="n">
        <v>1.5103</v>
      </c>
      <c r="O163" t="n">
        <v>13.99</v>
      </c>
      <c r="P163" t="n">
        <v>11.18</v>
      </c>
      <c r="Q163" t="n">
        <v>2.81</v>
      </c>
      <c r="R163" t="n">
        <v>17.82</v>
      </c>
      <c r="S163" t="n">
        <v>7.96</v>
      </c>
      <c r="T163" t="inlineStr">
        <is>
          <t>Mount_gun.002</t>
        </is>
      </c>
      <c r="U163" t="n">
        <v>9.609999999999999</v>
      </c>
      <c r="V163" t="n">
        <v>11.33</v>
      </c>
      <c r="W163" t="n">
        <v>16.6133</v>
      </c>
      <c r="X163" t="n">
        <v>0</v>
      </c>
      <c r="Y163" t="n">
        <v>8</v>
      </c>
      <c r="Z163" t="n">
        <v>70</v>
      </c>
      <c r="AA163" t="inlineStr"/>
      <c r="AB163" t="n">
        <v>360</v>
      </c>
      <c r="AC163" t="inlineStr">
        <is>
          <t>lop:phao_boss</t>
        </is>
      </c>
      <c r="AD163" t="b">
        <v>1</v>
      </c>
      <c r="AE163" t="n">
        <v>25</v>
      </c>
      <c r="AF163" t="n">
        <v>0</v>
      </c>
      <c r="AG163" t="n">
        <v>25</v>
      </c>
      <c r="AH163" t="n">
        <v>32</v>
      </c>
      <c r="AI163" t="n">
        <v>170</v>
      </c>
      <c r="AJ163" t="n">
        <v>17.72</v>
      </c>
      <c r="AK163" t="inlineStr"/>
      <c r="AL163" t="n">
        <v>1.3</v>
      </c>
      <c r="AM163" t="inlineStr">
        <is>
          <t>ban_thang</t>
        </is>
      </c>
      <c r="AN163" t="n">
        <v>90.26000000000001</v>
      </c>
      <c r="AO163" t="n">
        <v>101.59</v>
      </c>
      <c r="AP163" t="n">
        <v>103.72</v>
      </c>
      <c r="AQ163" t="n">
        <v>99.45</v>
      </c>
      <c r="AR163" t="n">
        <v>25</v>
      </c>
      <c r="AS163" t="b">
        <v>1</v>
      </c>
      <c r="AT163" t="inlineStr">
        <is>
          <t>groundMinReach</t>
        </is>
      </c>
      <c r="AU163" t="b">
        <v>1</v>
      </c>
      <c r="AV163" t="inlineStr">
        <is>
          <t>moloch</t>
        </is>
      </c>
      <c r="AW163" t="n">
        <v>25</v>
      </c>
      <c r="AX163" t="n">
        <v>80</v>
      </c>
      <c r="AY163" t="n">
        <v>3.2</v>
      </c>
      <c r="AZ163" t="n">
        <v>25</v>
      </c>
      <c r="BA163" t="inlineStr">
        <is>
          <t>p26_moloch_close_boss_flak;p26_moloch_tiny_zu23</t>
        </is>
      </c>
      <c r="BB163" t="n">
        <v>100</v>
      </c>
      <c r="BC163" t="b">
        <v>1</v>
      </c>
      <c r="BD163" t="inlineStr">
        <is>
          <t>Assets/MachineBrigade/Resources/Data/balance.json: vehicles[id=moloch] x Resources/Models/moloch.glb</t>
        </is>
      </c>
      <c r="BE163" t="inlineStr"/>
    </row>
    <row r="164">
      <c r="A164" t="inlineStr">
        <is>
          <t>moloch/6</t>
        </is>
      </c>
      <c r="B164" t="inlineStr">
        <is>
          <t>moloch</t>
        </is>
      </c>
      <c r="C164" t="inlineStr">
        <is>
          <t>p26_moloch_close_boss_flak</t>
        </is>
      </c>
      <c r="D164" t="inlineStr">
        <is>
          <t>flak</t>
        </is>
      </c>
      <c r="E164" t="n">
        <v>6</v>
      </c>
      <c r="F164" t="inlineStr">
        <is>
          <t>mg</t>
        </is>
      </c>
      <c r="G164" t="inlineStr">
        <is>
          <t>Free</t>
        </is>
      </c>
      <c r="H164" t="inlineStr">
        <is>
          <t>phao_nho_ciws</t>
        </is>
      </c>
      <c r="I164" t="inlineStr">
        <is>
          <t>phong_thu_gan</t>
        </is>
      </c>
      <c r="J164" t="inlineStr">
        <is>
          <t>Muzzle_mg</t>
        </is>
      </c>
      <c r="K164" t="inlineStr">
        <is>
          <t>muzzle</t>
        </is>
      </c>
      <c r="L164" t="inlineStr">
        <is>
          <t>moloch</t>
        </is>
      </c>
      <c r="M164" t="n">
        <v>1.5103</v>
      </c>
      <c r="N164" t="n">
        <v>1.5103</v>
      </c>
      <c r="O164" t="n">
        <v>14.35</v>
      </c>
      <c r="P164" t="n">
        <v>14.2</v>
      </c>
      <c r="Q164" t="n">
        <v>0.15</v>
      </c>
      <c r="R164" t="n">
        <v>17.82</v>
      </c>
      <c r="S164" t="n">
        <v>7.48</v>
      </c>
      <c r="T164" t="inlineStr">
        <is>
          <t>Mount_mg</t>
        </is>
      </c>
      <c r="U164" t="n">
        <v>2.11</v>
      </c>
      <c r="V164" t="n">
        <v>5.36</v>
      </c>
      <c r="W164" t="n">
        <v>16.6133</v>
      </c>
      <c r="X164" t="n">
        <v>0</v>
      </c>
      <c r="Y164" t="n">
        <v>15</v>
      </c>
      <c r="Z164" t="n">
        <v>85</v>
      </c>
      <c r="AA164" t="inlineStr"/>
      <c r="AB164" t="n">
        <v>360</v>
      </c>
      <c r="AC164" t="inlineStr">
        <is>
          <t>lop:phao_nho_ciws</t>
        </is>
      </c>
      <c r="AD164" t="b">
        <v>1</v>
      </c>
      <c r="AE164" t="n">
        <v>0</v>
      </c>
      <c r="AF164" t="n">
        <v>0</v>
      </c>
      <c r="AG164" t="n">
        <v>0</v>
      </c>
      <c r="AH164" t="n">
        <v>40</v>
      </c>
      <c r="AI164" t="n">
        <v>260</v>
      </c>
      <c r="AJ164" t="n">
        <v>19.81</v>
      </c>
      <c r="AK164" t="inlineStr"/>
      <c r="AL164" t="n">
        <v>1.3</v>
      </c>
      <c r="AM164" t="inlineStr">
        <is>
          <t>ban_thang</t>
        </is>
      </c>
      <c r="AN164" t="n">
        <v>48.7</v>
      </c>
      <c r="AO164" t="n">
        <v>54.06</v>
      </c>
      <c r="AP164" t="n">
        <v>55.18</v>
      </c>
      <c r="AQ164" t="n">
        <v>52.94</v>
      </c>
      <c r="AR164" t="n">
        <v>0</v>
      </c>
      <c r="AS164" t="b">
        <v>0</v>
      </c>
      <c r="AT164" t="inlineStr">
        <is>
          <t>khong_ap:phong_thu_gan</t>
        </is>
      </c>
      <c r="AU164" t="b">
        <v>0</v>
      </c>
      <c r="AV164" t="inlineStr"/>
      <c r="AW164" t="n">
        <v>0</v>
      </c>
      <c r="AX164" t="n">
        <v>40</v>
      </c>
      <c r="AY164" t="inlineStr"/>
      <c r="AZ164" t="n">
        <v>25</v>
      </c>
      <c r="BA164" t="inlineStr">
        <is>
          <t>p26_moloch_close_boss_flak;p26_moloch_tiny_zu23</t>
        </is>
      </c>
      <c r="BB164" t="n">
        <v>100</v>
      </c>
      <c r="BC164" t="b">
        <v>1</v>
      </c>
      <c r="BD164" t="inlineStr">
        <is>
          <t>Assets/MachineBrigade/Resources/Data/balance.json: vehicles[id=moloch] x Resources/Models/moloch.glb</t>
        </is>
      </c>
      <c r="BE164" t="inlineStr"/>
    </row>
    <row r="165">
      <c r="A165" t="inlineStr">
        <is>
          <t>monster/0</t>
        </is>
      </c>
      <c r="B165" t="inlineStr">
        <is>
          <t>monster</t>
        </is>
      </c>
      <c r="C165" t="inlineStr">
        <is>
          <t>p26_bastion_sec_b240</t>
        </is>
      </c>
      <c r="D165" t="inlineStr">
        <is>
          <t>mortar</t>
        </is>
      </c>
      <c r="E165" t="n">
        <v>0</v>
      </c>
      <c r="F165" t="inlineStr">
        <is>
          <t>main</t>
        </is>
      </c>
      <c r="G165" t="inlineStr"/>
      <c r="H165" t="inlineStr">
        <is>
          <t>ban_cau</t>
        </is>
      </c>
      <c r="I165" t="inlineStr">
        <is>
          <t>chinh</t>
        </is>
      </c>
      <c r="J165" t="inlineStr">
        <is>
          <t>Muzzle_main</t>
        </is>
      </c>
      <c r="K165" t="inlineStr">
        <is>
          <t>muzzle</t>
        </is>
      </c>
      <c r="L165" t="inlineStr">
        <is>
          <t>monster</t>
        </is>
      </c>
      <c r="M165" t="n">
        <v>1.0165</v>
      </c>
      <c r="N165" t="n">
        <v>1.5855</v>
      </c>
      <c r="O165" t="n">
        <v>12.09</v>
      </c>
      <c r="P165" t="n">
        <v>11.89</v>
      </c>
      <c r="Q165" t="n">
        <v>0.2</v>
      </c>
      <c r="R165" t="n">
        <v>13.12</v>
      </c>
      <c r="S165" t="n">
        <v>19.98</v>
      </c>
      <c r="T165" t="inlineStr">
        <is>
          <t>Turret</t>
        </is>
      </c>
      <c r="U165" t="n">
        <v>3.05</v>
      </c>
      <c r="V165" t="n">
        <v>23.03</v>
      </c>
      <c r="W165" t="n">
        <v>11.89125</v>
      </c>
      <c r="X165" t="n">
        <v>0</v>
      </c>
      <c r="Y165" t="inlineStr"/>
      <c r="Z165" t="n">
        <v>85</v>
      </c>
      <c r="AA165" t="n">
        <v>45</v>
      </c>
      <c r="AB165" t="n">
        <v>360</v>
      </c>
      <c r="AC165" t="inlineStr">
        <is>
          <t>ho:mortar</t>
        </is>
      </c>
      <c r="AD165" t="b">
        <v>1</v>
      </c>
      <c r="AE165" t="n">
        <v>14</v>
      </c>
      <c r="AF165" t="n">
        <v>14</v>
      </c>
      <c r="AG165" t="n">
        <v>0</v>
      </c>
      <c r="AH165" t="n">
        <v>80</v>
      </c>
      <c r="AI165" t="n">
        <v>60</v>
      </c>
      <c r="AJ165" t="n">
        <v>28.01</v>
      </c>
      <c r="AK165" t="inlineStr"/>
      <c r="AL165" t="n">
        <v>1.3</v>
      </c>
      <c r="AM165" t="inlineStr">
        <is>
          <t>v2_sin2theta_g</t>
        </is>
      </c>
      <c r="AN165" t="n">
        <v>13.89</v>
      </c>
      <c r="AO165" t="n">
        <v>13.89</v>
      </c>
      <c r="AP165" t="n">
        <v>13.89</v>
      </c>
      <c r="AQ165" t="n">
        <v>13.89</v>
      </c>
      <c r="AR165" t="n">
        <v>14</v>
      </c>
      <c r="AS165" t="b">
        <v>1</v>
      </c>
      <c r="AT165" t="inlineStr">
        <is>
          <t>minRange</t>
        </is>
      </c>
      <c r="AU165" t="b">
        <v>0</v>
      </c>
      <c r="AV165" t="inlineStr"/>
      <c r="AW165" t="n">
        <v>14</v>
      </c>
      <c r="AX165" t="n">
        <v>80</v>
      </c>
      <c r="AY165" t="n">
        <v>5.71</v>
      </c>
      <c r="AZ165" t="n">
        <v>14</v>
      </c>
      <c r="BA165" t="inlineStr">
        <is>
          <t>p26_bastion_close_boss_hmg;p26_bastion_tiny_autocannon_40;p26_bastion_tiny_kornet_twin;p26_bastion_tiny_zu23</t>
        </is>
      </c>
      <c r="BB165" t="n">
        <v>100</v>
      </c>
      <c r="BC165" t="b">
        <v>1</v>
      </c>
      <c r="BD165" t="inlineStr">
        <is>
          <t>Assets/MachineBrigade/Resources/Data/balance.json: vehicles[id=monster] x Resources/Models/monster.glb</t>
        </is>
      </c>
      <c r="BE165" t="inlineStr"/>
    </row>
    <row r="166">
      <c r="A166" t="inlineStr">
        <is>
          <t>monster/1</t>
        </is>
      </c>
      <c r="B166" t="inlineStr">
        <is>
          <t>monster</t>
        </is>
      </c>
      <c r="C166" t="inlineStr">
        <is>
          <t>p26_bastion_direct_b100</t>
        </is>
      </c>
      <c r="D166" t="inlineStr">
        <is>
          <t>turret_fl</t>
        </is>
      </c>
      <c r="E166" t="n">
        <v>1</v>
      </c>
      <c r="F166" t="inlineStr">
        <is>
          <t>gun</t>
        </is>
      </c>
      <c r="G166" t="inlineStr">
        <is>
          <t>Free</t>
        </is>
      </c>
      <c r="H166" t="inlineStr">
        <is>
          <t>phao_boss</t>
        </is>
      </c>
      <c r="I166" t="inlineStr">
        <is>
          <t>chinh</t>
        </is>
      </c>
      <c r="J166" t="inlineStr">
        <is>
          <t>Muzzle_gun</t>
        </is>
      </c>
      <c r="K166" t="inlineStr">
        <is>
          <t>muzzle</t>
        </is>
      </c>
      <c r="L166" t="inlineStr">
        <is>
          <t>monster</t>
        </is>
      </c>
      <c r="M166" t="n">
        <v>1.0165</v>
      </c>
      <c r="N166" t="n">
        <v>1.5855</v>
      </c>
      <c r="O166" t="n">
        <v>7.95</v>
      </c>
      <c r="P166" t="n">
        <v>5.23</v>
      </c>
      <c r="Q166" t="n">
        <v>2.72</v>
      </c>
      <c r="R166" t="n">
        <v>13.12</v>
      </c>
      <c r="S166" t="n">
        <v>14.91</v>
      </c>
      <c r="T166" t="inlineStr">
        <is>
          <t>Mount_gun</t>
        </is>
      </c>
      <c r="U166" t="n">
        <v>10.96</v>
      </c>
      <c r="V166" t="n">
        <v>4.32</v>
      </c>
      <c r="W166" t="n">
        <v>11.89125</v>
      </c>
      <c r="X166" t="n">
        <v>0</v>
      </c>
      <c r="Y166" t="n">
        <v>8</v>
      </c>
      <c r="Z166" t="n">
        <v>70</v>
      </c>
      <c r="AA166" t="inlineStr"/>
      <c r="AB166" t="n">
        <v>160</v>
      </c>
      <c r="AC166" t="inlineStr">
        <is>
          <t>lop:phao_boss</t>
        </is>
      </c>
      <c r="AD166" t="b">
        <v>1</v>
      </c>
      <c r="AE166" t="n">
        <v>19</v>
      </c>
      <c r="AF166" t="n">
        <v>0</v>
      </c>
      <c r="AG166" t="n">
        <v>19</v>
      </c>
      <c r="AH166" t="n">
        <v>36</v>
      </c>
      <c r="AI166" t="n">
        <v>170</v>
      </c>
      <c r="AJ166" t="n">
        <v>18.79</v>
      </c>
      <c r="AK166" t="inlineStr"/>
      <c r="AL166" t="n">
        <v>1.3</v>
      </c>
      <c r="AM166" t="inlineStr">
        <is>
          <t>ban_thang</t>
        </is>
      </c>
      <c r="AN166" t="n">
        <v>47.31</v>
      </c>
      <c r="AO166" t="n">
        <v>51.63</v>
      </c>
      <c r="AP166" t="n">
        <v>53.77</v>
      </c>
      <c r="AQ166" t="n">
        <v>49.5</v>
      </c>
      <c r="AR166" t="n">
        <v>28</v>
      </c>
      <c r="AS166" t="b">
        <v>1</v>
      </c>
      <c r="AT166" t="inlineStr">
        <is>
          <t>groundMinReach</t>
        </is>
      </c>
      <c r="AU166" t="b">
        <v>1</v>
      </c>
      <c r="AV166" t="inlineStr">
        <is>
          <t>monster</t>
        </is>
      </c>
      <c r="AW166" t="n">
        <v>28</v>
      </c>
      <c r="AX166" t="n">
        <v>90</v>
      </c>
      <c r="AY166" t="n">
        <v>3.21</v>
      </c>
      <c r="AZ166" t="n">
        <v>14</v>
      </c>
      <c r="BA166" t="inlineStr">
        <is>
          <t>p26_bastion_close_boss_hmg;p26_bastion_tiny_autocannon_40;p26_bastion_tiny_kornet_twin;p26_bastion_tiny_zu23</t>
        </is>
      </c>
      <c r="BB166" t="n">
        <v>100</v>
      </c>
      <c r="BC166" t="b">
        <v>1</v>
      </c>
      <c r="BD166" t="inlineStr">
        <is>
          <t>Assets/MachineBrigade/Resources/Data/balance.json: vehicles[id=monster] x Resources/Models/monster.glb</t>
        </is>
      </c>
      <c r="BE166" t="inlineStr"/>
    </row>
    <row r="167">
      <c r="A167" t="inlineStr">
        <is>
          <t>monster/2</t>
        </is>
      </c>
      <c r="B167" t="inlineStr">
        <is>
          <t>monster</t>
        </is>
      </c>
      <c r="C167" t="inlineStr">
        <is>
          <t>p26_bastion_direct_b100</t>
        </is>
      </c>
      <c r="D167" t="inlineStr">
        <is>
          <t>turret_fr</t>
        </is>
      </c>
      <c r="E167" t="n">
        <v>2</v>
      </c>
      <c r="F167" t="inlineStr">
        <is>
          <t>gun</t>
        </is>
      </c>
      <c r="G167" t="inlineStr">
        <is>
          <t>Free</t>
        </is>
      </c>
      <c r="H167" t="inlineStr">
        <is>
          <t>phao_boss</t>
        </is>
      </c>
      <c r="I167" t="inlineStr">
        <is>
          <t>chinh</t>
        </is>
      </c>
      <c r="J167" t="inlineStr">
        <is>
          <t>Muzzle_gun.001</t>
        </is>
      </c>
      <c r="K167" t="inlineStr">
        <is>
          <t>muzzle</t>
        </is>
      </c>
      <c r="L167" t="inlineStr">
        <is>
          <t>monster</t>
        </is>
      </c>
      <c r="M167" t="n">
        <v>1.0165</v>
      </c>
      <c r="N167" t="n">
        <v>1.5855</v>
      </c>
      <c r="O167" t="n">
        <v>7.95</v>
      </c>
      <c r="P167" t="n">
        <v>5.23</v>
      </c>
      <c r="Q167" t="n">
        <v>2.72</v>
      </c>
      <c r="R167" t="n">
        <v>13.12</v>
      </c>
      <c r="S167" t="n">
        <v>14.91</v>
      </c>
      <c r="T167" t="inlineStr">
        <is>
          <t>Mount_gun.001</t>
        </is>
      </c>
      <c r="U167" t="n">
        <v>10.96</v>
      </c>
      <c r="V167" t="n">
        <v>4.32</v>
      </c>
      <c r="W167" t="n">
        <v>11.89125</v>
      </c>
      <c r="X167" t="n">
        <v>0</v>
      </c>
      <c r="Y167" t="n">
        <v>8</v>
      </c>
      <c r="Z167" t="n">
        <v>70</v>
      </c>
      <c r="AA167" t="inlineStr"/>
      <c r="AB167" t="n">
        <v>160</v>
      </c>
      <c r="AC167" t="inlineStr">
        <is>
          <t>lop:phao_boss</t>
        </is>
      </c>
      <c r="AD167" t="b">
        <v>1</v>
      </c>
      <c r="AE167" t="n">
        <v>19</v>
      </c>
      <c r="AF167" t="n">
        <v>0</v>
      </c>
      <c r="AG167" t="n">
        <v>19</v>
      </c>
      <c r="AH167" t="n">
        <v>36</v>
      </c>
      <c r="AI167" t="n">
        <v>170</v>
      </c>
      <c r="AJ167" t="n">
        <v>18.79</v>
      </c>
      <c r="AK167" t="inlineStr"/>
      <c r="AL167" t="n">
        <v>1.3</v>
      </c>
      <c r="AM167" t="inlineStr">
        <is>
          <t>ban_thang</t>
        </is>
      </c>
      <c r="AN167" t="n">
        <v>47.31</v>
      </c>
      <c r="AO167" t="n">
        <v>51.63</v>
      </c>
      <c r="AP167" t="n">
        <v>53.77</v>
      </c>
      <c r="AQ167" t="n">
        <v>49.5</v>
      </c>
      <c r="AR167" t="n">
        <v>28</v>
      </c>
      <c r="AS167" t="b">
        <v>1</v>
      </c>
      <c r="AT167" t="inlineStr">
        <is>
          <t>groundMinReach</t>
        </is>
      </c>
      <c r="AU167" t="b">
        <v>1</v>
      </c>
      <c r="AV167" t="inlineStr">
        <is>
          <t>monster</t>
        </is>
      </c>
      <c r="AW167" t="n">
        <v>28</v>
      </c>
      <c r="AX167" t="n">
        <v>90</v>
      </c>
      <c r="AY167" t="n">
        <v>3.21</v>
      </c>
      <c r="AZ167" t="n">
        <v>14</v>
      </c>
      <c r="BA167" t="inlineStr">
        <is>
          <t>p26_bastion_close_boss_hmg;p26_bastion_tiny_autocannon_40;p26_bastion_tiny_kornet_twin;p26_bastion_tiny_zu23</t>
        </is>
      </c>
      <c r="BB167" t="n">
        <v>100</v>
      </c>
      <c r="BC167" t="b">
        <v>1</v>
      </c>
      <c r="BD167" t="inlineStr">
        <is>
          <t>Assets/MachineBrigade/Resources/Data/balance.json: vehicles[id=monster] x Resources/Models/monster.glb</t>
        </is>
      </c>
      <c r="BE167" t="inlineStr"/>
    </row>
    <row r="168">
      <c r="A168" t="inlineStr">
        <is>
          <t>monster/3</t>
        </is>
      </c>
      <c r="B168" t="inlineStr">
        <is>
          <t>monster</t>
        </is>
      </c>
      <c r="C168" t="inlineStr">
        <is>
          <t>p26_bastion_tiny_autocannon_40</t>
        </is>
      </c>
      <c r="D168" t="inlineStr">
        <is>
          <t>turret_rl</t>
        </is>
      </c>
      <c r="E168" t="n">
        <v>3</v>
      </c>
      <c r="F168" t="inlineStr">
        <is>
          <t>gun</t>
        </is>
      </c>
      <c r="G168" t="inlineStr">
        <is>
          <t>Free</t>
        </is>
      </c>
      <c r="H168" t="inlineStr">
        <is>
          <t>phao_nho_ciws</t>
        </is>
      </c>
      <c r="I168" t="inlineStr">
        <is>
          <t>phong_thu_gan</t>
        </is>
      </c>
      <c r="J168" t="inlineStr">
        <is>
          <t>Muzzle_gun.002</t>
        </is>
      </c>
      <c r="K168" t="inlineStr">
        <is>
          <t>muzzle</t>
        </is>
      </c>
      <c r="L168" t="inlineStr">
        <is>
          <t>monster</t>
        </is>
      </c>
      <c r="M168" t="n">
        <v>1.0165</v>
      </c>
      <c r="N168" t="n">
        <v>1.5855</v>
      </c>
      <c r="O168" t="n">
        <v>7.95</v>
      </c>
      <c r="P168" t="n">
        <v>5.23</v>
      </c>
      <c r="Q168" t="n">
        <v>2.72</v>
      </c>
      <c r="R168" t="n">
        <v>13.12</v>
      </c>
      <c r="S168" t="n">
        <v>7.6</v>
      </c>
      <c r="T168" t="inlineStr">
        <is>
          <t>Mount_gun.002</t>
        </is>
      </c>
      <c r="U168" t="n">
        <v>11.23</v>
      </c>
      <c r="V168" t="n">
        <v>4.32</v>
      </c>
      <c r="W168" t="n">
        <v>11.89125</v>
      </c>
      <c r="X168" t="n">
        <v>0</v>
      </c>
      <c r="Y168" t="n">
        <v>15</v>
      </c>
      <c r="Z168" t="n">
        <v>85</v>
      </c>
      <c r="AA168" t="inlineStr"/>
      <c r="AB168" t="n">
        <v>160</v>
      </c>
      <c r="AC168" t="inlineStr">
        <is>
          <t>lop:phao_nho_ciws</t>
        </is>
      </c>
      <c r="AD168" t="b">
        <v>1</v>
      </c>
      <c r="AE168" t="n">
        <v>0</v>
      </c>
      <c r="AF168" t="n">
        <v>0</v>
      </c>
      <c r="AG168" t="n">
        <v>0</v>
      </c>
      <c r="AH168" t="n">
        <v>28</v>
      </c>
      <c r="AI168" t="n">
        <v>210</v>
      </c>
      <c r="AJ168" t="n">
        <v>16.57</v>
      </c>
      <c r="AK168" t="inlineStr"/>
      <c r="AL168" t="n">
        <v>1.3</v>
      </c>
      <c r="AM168" t="inlineStr">
        <is>
          <t>ban_thang</t>
        </is>
      </c>
      <c r="AN168" t="n">
        <v>24.82</v>
      </c>
      <c r="AO168" t="n">
        <v>29.14</v>
      </c>
      <c r="AP168" t="n">
        <v>30.25</v>
      </c>
      <c r="AQ168" t="n">
        <v>28.02</v>
      </c>
      <c r="AR168" t="n">
        <v>0</v>
      </c>
      <c r="AS168" t="b">
        <v>0</v>
      </c>
      <c r="AT168" t="inlineStr">
        <is>
          <t>khong_ap:phong_thu_gan</t>
        </is>
      </c>
      <c r="AU168" t="b">
        <v>0</v>
      </c>
      <c r="AV168" t="inlineStr"/>
      <c r="AW168" t="n">
        <v>0</v>
      </c>
      <c r="AX168" t="n">
        <v>28</v>
      </c>
      <c r="AY168" t="inlineStr"/>
      <c r="AZ168" t="n">
        <v>14</v>
      </c>
      <c r="BA168" t="inlineStr">
        <is>
          <t>p26_bastion_close_boss_hmg;p26_bastion_tiny_autocannon_40;p26_bastion_tiny_kornet_twin;p26_bastion_tiny_zu23</t>
        </is>
      </c>
      <c r="BB168" t="n">
        <v>100</v>
      </c>
      <c r="BC168" t="b">
        <v>1</v>
      </c>
      <c r="BD168" t="inlineStr">
        <is>
          <t>Assets/MachineBrigade/Resources/Data/balance.json: vehicles[id=monster] x Resources/Models/monster.glb</t>
        </is>
      </c>
      <c r="BE168" t="inlineStr"/>
    </row>
    <row r="169">
      <c r="A169" t="inlineStr">
        <is>
          <t>monster/4</t>
        </is>
      </c>
      <c r="B169" t="inlineStr">
        <is>
          <t>monster</t>
        </is>
      </c>
      <c r="C169" t="inlineStr">
        <is>
          <t>p26_bastion_tiny_autocannon_40</t>
        </is>
      </c>
      <c r="D169" t="inlineStr">
        <is>
          <t>turret_rr</t>
        </is>
      </c>
      <c r="E169" t="n">
        <v>4</v>
      </c>
      <c r="F169" t="inlineStr">
        <is>
          <t>gun</t>
        </is>
      </c>
      <c r="G169" t="inlineStr">
        <is>
          <t>Free</t>
        </is>
      </c>
      <c r="H169" t="inlineStr">
        <is>
          <t>phao_nho_ciws</t>
        </is>
      </c>
      <c r="I169" t="inlineStr">
        <is>
          <t>phong_thu_gan</t>
        </is>
      </c>
      <c r="J169" t="inlineStr">
        <is>
          <t>Muzzle_gun.003</t>
        </is>
      </c>
      <c r="K169" t="inlineStr">
        <is>
          <t>muzzle</t>
        </is>
      </c>
      <c r="L169" t="inlineStr">
        <is>
          <t>monster</t>
        </is>
      </c>
      <c r="M169" t="n">
        <v>1.0165</v>
      </c>
      <c r="N169" t="n">
        <v>1.5855</v>
      </c>
      <c r="O169" t="n">
        <v>7.95</v>
      </c>
      <c r="P169" t="n">
        <v>5.23</v>
      </c>
      <c r="Q169" t="n">
        <v>2.72</v>
      </c>
      <c r="R169" t="n">
        <v>13.12</v>
      </c>
      <c r="S169" t="n">
        <v>7.6</v>
      </c>
      <c r="T169" t="inlineStr">
        <is>
          <t>Mount_gun.003</t>
        </is>
      </c>
      <c r="U169" t="n">
        <v>11.23</v>
      </c>
      <c r="V169" t="n">
        <v>4.32</v>
      </c>
      <c r="W169" t="n">
        <v>11.89125</v>
      </c>
      <c r="X169" t="n">
        <v>0</v>
      </c>
      <c r="Y169" t="n">
        <v>15</v>
      </c>
      <c r="Z169" t="n">
        <v>85</v>
      </c>
      <c r="AA169" t="inlineStr"/>
      <c r="AB169" t="n">
        <v>160</v>
      </c>
      <c r="AC169" t="inlineStr">
        <is>
          <t>lop:phao_nho_ciws</t>
        </is>
      </c>
      <c r="AD169" t="b">
        <v>1</v>
      </c>
      <c r="AE169" t="n">
        <v>0</v>
      </c>
      <c r="AF169" t="n">
        <v>0</v>
      </c>
      <c r="AG169" t="n">
        <v>0</v>
      </c>
      <c r="AH169" t="n">
        <v>28</v>
      </c>
      <c r="AI169" t="n">
        <v>210</v>
      </c>
      <c r="AJ169" t="n">
        <v>16.57</v>
      </c>
      <c r="AK169" t="inlineStr"/>
      <c r="AL169" t="n">
        <v>1.3</v>
      </c>
      <c r="AM169" t="inlineStr">
        <is>
          <t>ban_thang</t>
        </is>
      </c>
      <c r="AN169" t="n">
        <v>24.82</v>
      </c>
      <c r="AO169" t="n">
        <v>29.14</v>
      </c>
      <c r="AP169" t="n">
        <v>30.25</v>
      </c>
      <c r="AQ169" t="n">
        <v>28.02</v>
      </c>
      <c r="AR169" t="n">
        <v>0</v>
      </c>
      <c r="AS169" t="b">
        <v>0</v>
      </c>
      <c r="AT169" t="inlineStr">
        <is>
          <t>khong_ap:phong_thu_gan</t>
        </is>
      </c>
      <c r="AU169" t="b">
        <v>0</v>
      </c>
      <c r="AV169" t="inlineStr"/>
      <c r="AW169" t="n">
        <v>0</v>
      </c>
      <c r="AX169" t="n">
        <v>28</v>
      </c>
      <c r="AY169" t="inlineStr"/>
      <c r="AZ169" t="n">
        <v>14</v>
      </c>
      <c r="BA169" t="inlineStr">
        <is>
          <t>p26_bastion_close_boss_hmg;p26_bastion_tiny_autocannon_40;p26_bastion_tiny_kornet_twin;p26_bastion_tiny_zu23</t>
        </is>
      </c>
      <c r="BB169" t="n">
        <v>100</v>
      </c>
      <c r="BC169" t="b">
        <v>1</v>
      </c>
      <c r="BD169" t="inlineStr">
        <is>
          <t>Assets/MachineBrigade/Resources/Data/balance.json: vehicles[id=monster] x Resources/Models/monster.glb</t>
        </is>
      </c>
      <c r="BE169" t="inlineStr"/>
    </row>
    <row r="170">
      <c r="A170" t="inlineStr">
        <is>
          <t>monster/5</t>
        </is>
      </c>
      <c r="B170" t="inlineStr">
        <is>
          <t>monster</t>
        </is>
      </c>
      <c r="C170" t="inlineStr">
        <is>
          <t>p26_bastion_tiny_kornet_twin</t>
        </is>
      </c>
      <c r="D170" t="inlineStr">
        <is>
          <t>kornet</t>
        </is>
      </c>
      <c r="E170" t="n">
        <v>5</v>
      </c>
      <c r="F170" t="inlineStr">
        <is>
          <t>missile</t>
        </is>
      </c>
      <c r="G170" t="inlineStr">
        <is>
          <t>Free</t>
        </is>
      </c>
      <c r="H170" t="inlineStr">
        <is>
          <t>ten_lua</t>
        </is>
      </c>
      <c r="I170" t="inlineStr">
        <is>
          <t>dan_dan</t>
        </is>
      </c>
      <c r="J170" t="inlineStr">
        <is>
          <t>Muzzle_missile</t>
        </is>
      </c>
      <c r="K170" t="inlineStr">
        <is>
          <t>muzzle</t>
        </is>
      </c>
      <c r="L170" t="inlineStr">
        <is>
          <t>monster</t>
        </is>
      </c>
      <c r="M170" t="n">
        <v>1.0165</v>
      </c>
      <c r="N170" t="n">
        <v>1.5855</v>
      </c>
      <c r="O170" t="n">
        <v>10.51</v>
      </c>
      <c r="P170" t="n">
        <v>10.15</v>
      </c>
      <c r="Q170" t="n">
        <v>0.36</v>
      </c>
      <c r="R170" t="n">
        <v>13.12</v>
      </c>
      <c r="S170" t="n">
        <v>11.86</v>
      </c>
      <c r="T170" t="inlineStr">
        <is>
          <t>Mount_missile</t>
        </is>
      </c>
      <c r="U170" t="n">
        <v>13.08</v>
      </c>
      <c r="V170" t="n">
        <v>1.46</v>
      </c>
      <c r="W170" t="n">
        <v>11.89125</v>
      </c>
      <c r="X170" t="n">
        <v>0</v>
      </c>
      <c r="Y170" t="inlineStr"/>
      <c r="Z170" t="inlineStr"/>
      <c r="AA170" t="inlineStr"/>
      <c r="AB170" t="n">
        <v>360</v>
      </c>
      <c r="AC170" t="inlineStr">
        <is>
          <t>missileArmingM</t>
        </is>
      </c>
      <c r="AD170" t="b">
        <v>1</v>
      </c>
      <c r="AE170" t="n">
        <v>1</v>
      </c>
      <c r="AF170" t="n">
        <v>0</v>
      </c>
      <c r="AG170" t="n">
        <v>1</v>
      </c>
      <c r="AH170" t="n">
        <v>50</v>
      </c>
      <c r="AI170" t="n">
        <v>80</v>
      </c>
      <c r="AJ170" t="n">
        <v>22.15</v>
      </c>
      <c r="AK170" t="n">
        <v>1</v>
      </c>
      <c r="AL170" t="n">
        <v>1.3</v>
      </c>
      <c r="AM170" t="inlineStr">
        <is>
          <t>max(vu_trang, khoa)</t>
        </is>
      </c>
      <c r="AN170" t="n">
        <v>1</v>
      </c>
      <c r="AO170" t="n">
        <v>1</v>
      </c>
      <c r="AP170" t="n">
        <v>1</v>
      </c>
      <c r="AQ170" t="n">
        <v>1</v>
      </c>
      <c r="AR170" t="n">
        <v>1</v>
      </c>
      <c r="AS170" t="b">
        <v>1</v>
      </c>
      <c r="AT170" t="inlineStr">
        <is>
          <t>groundMinReach</t>
        </is>
      </c>
      <c r="AU170" t="b">
        <v>0</v>
      </c>
      <c r="AV170" t="inlineStr">
        <is>
          <t>monster</t>
        </is>
      </c>
      <c r="AW170" t="n">
        <v>1</v>
      </c>
      <c r="AX170" t="n">
        <v>50</v>
      </c>
      <c r="AY170" t="n">
        <v>50</v>
      </c>
      <c r="AZ170" t="n">
        <v>14</v>
      </c>
      <c r="BA170" t="inlineStr">
        <is>
          <t>p26_bastion_close_boss_hmg;p26_bastion_tiny_autocannon_40;p26_bastion_tiny_kornet_twin;p26_bastion_tiny_zu23</t>
        </is>
      </c>
      <c r="BB170" t="n">
        <v>100</v>
      </c>
      <c r="BC170" t="b">
        <v>1</v>
      </c>
      <c r="BD170" t="inlineStr">
        <is>
          <t>Assets/MachineBrigade/Resources/Data/balance.json: vehicles[id=monster] x Resources/Models/monster.glb</t>
        </is>
      </c>
      <c r="BE170" t="inlineStr"/>
    </row>
    <row r="171">
      <c r="A171" t="inlineStr">
        <is>
          <t>monster/6</t>
        </is>
      </c>
      <c r="B171" t="inlineStr">
        <is>
          <t>monster</t>
        </is>
      </c>
      <c r="C171" t="inlineStr">
        <is>
          <t>p26_bastion_close_boss_hmg</t>
        </is>
      </c>
      <c r="D171" t="inlineStr">
        <is>
          <t>turret_rl</t>
        </is>
      </c>
      <c r="E171" t="n">
        <v>6</v>
      </c>
      <c r="F171" t="inlineStr">
        <is>
          <t>mg</t>
        </is>
      </c>
      <c r="G171" t="inlineStr">
        <is>
          <t>Free</t>
        </is>
      </c>
      <c r="H171" t="inlineStr">
        <is>
          <t>sung_may</t>
        </is>
      </c>
      <c r="I171" t="inlineStr">
        <is>
          <t>phong_thu_gan</t>
        </is>
      </c>
      <c r="J171" t="inlineStr">
        <is>
          <t>Muzzle_mg</t>
        </is>
      </c>
      <c r="K171" t="inlineStr">
        <is>
          <t>muzzle</t>
        </is>
      </c>
      <c r="L171" t="inlineStr">
        <is>
          <t>monster</t>
        </is>
      </c>
      <c r="M171" t="n">
        <v>1.0165</v>
      </c>
      <c r="N171" t="n">
        <v>1.5855</v>
      </c>
      <c r="O171" t="n">
        <v>7.18</v>
      </c>
      <c r="P171" t="n">
        <v>5.23</v>
      </c>
      <c r="Q171" t="n">
        <v>1.94</v>
      </c>
      <c r="R171" t="n">
        <v>13.12</v>
      </c>
      <c r="S171" t="n">
        <v>7.47</v>
      </c>
      <c r="T171" t="inlineStr">
        <is>
          <t>Mount_mg</t>
        </is>
      </c>
      <c r="U171" t="n">
        <v>7.81</v>
      </c>
      <c r="V171" t="n">
        <v>3.3</v>
      </c>
      <c r="W171" t="n">
        <v>11.89125</v>
      </c>
      <c r="X171" t="n">
        <v>0</v>
      </c>
      <c r="Y171" t="n">
        <v>20</v>
      </c>
      <c r="Z171" t="n">
        <v>70</v>
      </c>
      <c r="AA171" t="inlineStr"/>
      <c r="AB171" t="n">
        <v>360</v>
      </c>
      <c r="AC171" t="inlineStr">
        <is>
          <t>lop:sung_may</t>
        </is>
      </c>
      <c r="AD171" t="b">
        <v>1</v>
      </c>
      <c r="AE171" t="n">
        <v>0</v>
      </c>
      <c r="AF171" t="n">
        <v>0</v>
      </c>
      <c r="AG171" t="n">
        <v>0</v>
      </c>
      <c r="AH171" t="n">
        <v>30</v>
      </c>
      <c r="AI171" t="n">
        <v>240</v>
      </c>
      <c r="AJ171" t="n">
        <v>17.16</v>
      </c>
      <c r="AK171" t="inlineStr"/>
      <c r="AL171" t="n">
        <v>1.3</v>
      </c>
      <c r="AM171" t="inlineStr">
        <is>
          <t>ban_thang</t>
        </is>
      </c>
      <c r="AN171" t="n">
        <v>16.15</v>
      </c>
      <c r="AO171" t="n">
        <v>19.45</v>
      </c>
      <c r="AP171" t="n">
        <v>20.27</v>
      </c>
      <c r="AQ171" t="n">
        <v>18.63</v>
      </c>
      <c r="AR171" t="n">
        <v>0</v>
      </c>
      <c r="AS171" t="b">
        <v>0</v>
      </c>
      <c r="AT171" t="inlineStr">
        <is>
          <t>khong_ap:phong_thu_gan</t>
        </is>
      </c>
      <c r="AU171" t="b">
        <v>0</v>
      </c>
      <c r="AV171" t="inlineStr"/>
      <c r="AW171" t="n">
        <v>0</v>
      </c>
      <c r="AX171" t="n">
        <v>30</v>
      </c>
      <c r="AY171" t="inlineStr"/>
      <c r="AZ171" t="n">
        <v>14</v>
      </c>
      <c r="BA171" t="inlineStr">
        <is>
          <t>p26_bastion_close_boss_hmg;p26_bastion_tiny_autocannon_40;p26_bastion_tiny_kornet_twin;p26_bastion_tiny_zu23</t>
        </is>
      </c>
      <c r="BB171" t="n">
        <v>100</v>
      </c>
      <c r="BC171" t="b">
        <v>1</v>
      </c>
      <c r="BD171" t="inlineStr">
        <is>
          <t>Assets/MachineBrigade/Resources/Data/balance.json: vehicles[id=monster] x Resources/Models/monster.glb</t>
        </is>
      </c>
      <c r="BE171" t="inlineStr"/>
    </row>
    <row r="172">
      <c r="A172" t="inlineStr">
        <is>
          <t>monster/7</t>
        </is>
      </c>
      <c r="B172" t="inlineStr">
        <is>
          <t>monster</t>
        </is>
      </c>
      <c r="C172" t="inlineStr">
        <is>
          <t>p26_bastion_close_boss_hmg</t>
        </is>
      </c>
      <c r="D172" t="inlineStr">
        <is>
          <t>turret_rr</t>
        </is>
      </c>
      <c r="E172" t="n">
        <v>7</v>
      </c>
      <c r="F172" t="inlineStr">
        <is>
          <t>mg</t>
        </is>
      </c>
      <c r="G172" t="inlineStr">
        <is>
          <t>Free</t>
        </is>
      </c>
      <c r="H172" t="inlineStr">
        <is>
          <t>sung_may</t>
        </is>
      </c>
      <c r="I172" t="inlineStr">
        <is>
          <t>phong_thu_gan</t>
        </is>
      </c>
      <c r="J172" t="inlineStr">
        <is>
          <t>Muzzle_mg.001</t>
        </is>
      </c>
      <c r="K172" t="inlineStr">
        <is>
          <t>muzzle</t>
        </is>
      </c>
      <c r="L172" t="inlineStr">
        <is>
          <t>monster</t>
        </is>
      </c>
      <c r="M172" t="n">
        <v>1.0165</v>
      </c>
      <c r="N172" t="n">
        <v>1.5855</v>
      </c>
      <c r="O172" t="n">
        <v>7.18</v>
      </c>
      <c r="P172" t="n">
        <v>5.23</v>
      </c>
      <c r="Q172" t="n">
        <v>1.94</v>
      </c>
      <c r="R172" t="n">
        <v>13.12</v>
      </c>
      <c r="S172" t="n">
        <v>7.47</v>
      </c>
      <c r="T172" t="inlineStr">
        <is>
          <t>Mount_mg.001</t>
        </is>
      </c>
      <c r="U172" t="n">
        <v>7.81</v>
      </c>
      <c r="V172" t="n">
        <v>3.3</v>
      </c>
      <c r="W172" t="n">
        <v>11.89125</v>
      </c>
      <c r="X172" t="n">
        <v>0</v>
      </c>
      <c r="Y172" t="n">
        <v>20</v>
      </c>
      <c r="Z172" t="n">
        <v>70</v>
      </c>
      <c r="AA172" t="inlineStr"/>
      <c r="AB172" t="n">
        <v>360</v>
      </c>
      <c r="AC172" t="inlineStr">
        <is>
          <t>lop:sung_may</t>
        </is>
      </c>
      <c r="AD172" t="b">
        <v>1</v>
      </c>
      <c r="AE172" t="n">
        <v>0</v>
      </c>
      <c r="AF172" t="n">
        <v>0</v>
      </c>
      <c r="AG172" t="n">
        <v>0</v>
      </c>
      <c r="AH172" t="n">
        <v>30</v>
      </c>
      <c r="AI172" t="n">
        <v>240</v>
      </c>
      <c r="AJ172" t="n">
        <v>17.16</v>
      </c>
      <c r="AK172" t="inlineStr"/>
      <c r="AL172" t="n">
        <v>1.3</v>
      </c>
      <c r="AM172" t="inlineStr">
        <is>
          <t>ban_thang</t>
        </is>
      </c>
      <c r="AN172" t="n">
        <v>16.15</v>
      </c>
      <c r="AO172" t="n">
        <v>19.45</v>
      </c>
      <c r="AP172" t="n">
        <v>20.27</v>
      </c>
      <c r="AQ172" t="n">
        <v>18.63</v>
      </c>
      <c r="AR172" t="n">
        <v>0</v>
      </c>
      <c r="AS172" t="b">
        <v>0</v>
      </c>
      <c r="AT172" t="inlineStr">
        <is>
          <t>khong_ap:phong_thu_gan</t>
        </is>
      </c>
      <c r="AU172" t="b">
        <v>0</v>
      </c>
      <c r="AV172" t="inlineStr"/>
      <c r="AW172" t="n">
        <v>0</v>
      </c>
      <c r="AX172" t="n">
        <v>30</v>
      </c>
      <c r="AY172" t="inlineStr"/>
      <c r="AZ172" t="n">
        <v>14</v>
      </c>
      <c r="BA172" t="inlineStr">
        <is>
          <t>p26_bastion_close_boss_hmg;p26_bastion_tiny_autocannon_40;p26_bastion_tiny_kornet_twin;p26_bastion_tiny_zu23</t>
        </is>
      </c>
      <c r="BB172" t="n">
        <v>100</v>
      </c>
      <c r="BC172" t="b">
        <v>1</v>
      </c>
      <c r="BD172" t="inlineStr">
        <is>
          <t>Assets/MachineBrigade/Resources/Data/balance.json: vehicles[id=monster] x Resources/Models/monster.glb</t>
        </is>
      </c>
      <c r="BE172" t="inlineStr"/>
    </row>
    <row r="173">
      <c r="A173" t="inlineStr">
        <is>
          <t>monster/8</t>
        </is>
      </c>
      <c r="B173" t="inlineStr">
        <is>
          <t>monster</t>
        </is>
      </c>
      <c r="C173" t="inlineStr">
        <is>
          <t>p26_bastion_main_b155</t>
        </is>
      </c>
      <c r="D173" t="inlineStr">
        <is>
          <t>casemate</t>
        </is>
      </c>
      <c r="E173" t="n">
        <v>8</v>
      </c>
      <c r="F173" t="inlineStr">
        <is>
          <t>gun</t>
        </is>
      </c>
      <c r="G173" t="inlineStr">
        <is>
          <t>Free</t>
        </is>
      </c>
      <c r="H173" t="inlineStr">
        <is>
          <t>ban_cau</t>
        </is>
      </c>
      <c r="I173" t="inlineStr">
        <is>
          <t>chinh</t>
        </is>
      </c>
      <c r="J173" t="inlineStr">
        <is>
          <t>Muzzle_gun.004</t>
        </is>
      </c>
      <c r="K173" t="inlineStr">
        <is>
          <t>muzzle</t>
        </is>
      </c>
      <c r="L173" t="inlineStr">
        <is>
          <t>monster</t>
        </is>
      </c>
      <c r="M173" t="n">
        <v>1.0165</v>
      </c>
      <c r="N173" t="n">
        <v>1.5855</v>
      </c>
      <c r="O173" t="n">
        <v>7.24</v>
      </c>
      <c r="P173" t="n">
        <v>5.07</v>
      </c>
      <c r="Q173" t="n">
        <v>2.16</v>
      </c>
      <c r="R173" t="n">
        <v>13.12</v>
      </c>
      <c r="S173" t="n">
        <v>19.97</v>
      </c>
      <c r="T173" t="inlineStr">
        <is>
          <t>Mount_gun.004</t>
        </is>
      </c>
      <c r="U173" t="n">
        <v>12.25</v>
      </c>
      <c r="V173" t="n">
        <v>7.73</v>
      </c>
      <c r="W173" t="n">
        <v>11.89125</v>
      </c>
      <c r="X173" t="n">
        <v>0</v>
      </c>
      <c r="Y173" t="inlineStr"/>
      <c r="Z173" t="n">
        <v>70</v>
      </c>
      <c r="AA173" t="n">
        <v>5</v>
      </c>
      <c r="AB173" t="n">
        <v>120</v>
      </c>
      <c r="AC173" t="inlineStr">
        <is>
          <t>lop:ban_cau</t>
        </is>
      </c>
      <c r="AD173" t="b">
        <v>1</v>
      </c>
      <c r="AE173" t="n">
        <v>20</v>
      </c>
      <c r="AF173" t="n">
        <v>20</v>
      </c>
      <c r="AG173" t="n">
        <v>0</v>
      </c>
      <c r="AH173" t="n">
        <v>75</v>
      </c>
      <c r="AI173" t="n">
        <v>150</v>
      </c>
      <c r="AJ173" t="n">
        <v>27.12</v>
      </c>
      <c r="AK173" t="inlineStr"/>
      <c r="AL173" t="n">
        <v>1.3</v>
      </c>
      <c r="AM173" t="inlineStr">
        <is>
          <t>v2_sin2theta_g</t>
        </is>
      </c>
      <c r="AN173" t="n">
        <v>13.02</v>
      </c>
      <c r="AO173" t="n">
        <v>13.02</v>
      </c>
      <c r="AP173" t="n">
        <v>13.02</v>
      </c>
      <c r="AQ173" t="n">
        <v>13.02</v>
      </c>
      <c r="AR173" t="n">
        <v>20</v>
      </c>
      <c r="AS173" t="b">
        <v>1</v>
      </c>
      <c r="AT173" t="inlineStr">
        <is>
          <t>minRange</t>
        </is>
      </c>
      <c r="AU173" t="b">
        <v>0</v>
      </c>
      <c r="AV173" t="inlineStr"/>
      <c r="AW173" t="n">
        <v>20</v>
      </c>
      <c r="AX173" t="n">
        <v>75</v>
      </c>
      <c r="AY173" t="n">
        <v>3.75</v>
      </c>
      <c r="AZ173" t="n">
        <v>14</v>
      </c>
      <c r="BA173" t="inlineStr">
        <is>
          <t>p26_bastion_close_boss_hmg;p26_bastion_tiny_autocannon_40;p26_bastion_tiny_kornet_twin;p26_bastion_tiny_zu23</t>
        </is>
      </c>
      <c r="BB173" t="n">
        <v>100</v>
      </c>
      <c r="BC173" t="b">
        <v>1</v>
      </c>
      <c r="BD173" t="inlineStr">
        <is>
          <t>Assets/MachineBrigade/Resources/Data/balance.json: vehicles[id=monster] x Resources/Models/monster.glb</t>
        </is>
      </c>
      <c r="BE173" t="inlineStr"/>
    </row>
    <row r="174">
      <c r="A174" t="inlineStr">
        <is>
          <t>monster/9</t>
        </is>
      </c>
      <c r="B174" t="inlineStr">
        <is>
          <t>monster</t>
        </is>
      </c>
      <c r="C174" t="inlineStr">
        <is>
          <t>p26_bastion_tiny_zu23</t>
        </is>
      </c>
      <c r="D174" t="inlineStr">
        <is>
          <t>zu23_l</t>
        </is>
      </c>
      <c r="E174" t="n">
        <v>9</v>
      </c>
      <c r="F174" t="inlineStr">
        <is>
          <t>mg</t>
        </is>
      </c>
      <c r="G174" t="inlineStr">
        <is>
          <t>Free</t>
        </is>
      </c>
      <c r="H174" t="inlineStr">
        <is>
          <t>phao_nho_ciws</t>
        </is>
      </c>
      <c r="I174" t="inlineStr">
        <is>
          <t>phong_thu_gan</t>
        </is>
      </c>
      <c r="J174" t="inlineStr">
        <is>
          <t>Muzzle_mg</t>
        </is>
      </c>
      <c r="K174" t="inlineStr">
        <is>
          <t>muzzle</t>
        </is>
      </c>
      <c r="L174" t="inlineStr">
        <is>
          <t>monster</t>
        </is>
      </c>
      <c r="M174" t="n">
        <v>1.0165</v>
      </c>
      <c r="N174" t="n">
        <v>1.5855</v>
      </c>
      <c r="O174" t="n">
        <v>7.18</v>
      </c>
      <c r="P174" t="n">
        <v>8.56</v>
      </c>
      <c r="Q174" t="n">
        <v>-1.39</v>
      </c>
      <c r="R174" t="n">
        <v>13.12</v>
      </c>
      <c r="S174" t="n">
        <v>7.47</v>
      </c>
      <c r="T174" t="inlineStr">
        <is>
          <t>Mount_mg</t>
        </is>
      </c>
      <c r="U174" t="n">
        <v>7.81</v>
      </c>
      <c r="V174" t="n">
        <v>3.3</v>
      </c>
      <c r="W174" t="n">
        <v>11.89125</v>
      </c>
      <c r="X174" t="n">
        <v>0</v>
      </c>
      <c r="Y174" t="n">
        <v>15</v>
      </c>
      <c r="Z174" t="n">
        <v>85</v>
      </c>
      <c r="AA174" t="inlineStr"/>
      <c r="AB174" t="n">
        <v>360</v>
      </c>
      <c r="AC174" t="inlineStr">
        <is>
          <t>lop:phao_nho_ciws</t>
        </is>
      </c>
      <c r="AD174" t="b">
        <v>1</v>
      </c>
      <c r="AE174" t="n">
        <v>0</v>
      </c>
      <c r="AF174" t="n">
        <v>0</v>
      </c>
      <c r="AG174" t="n">
        <v>0</v>
      </c>
      <c r="AH174" t="n">
        <v>38</v>
      </c>
      <c r="AI174" t="n">
        <v>240</v>
      </c>
      <c r="AJ174" t="n">
        <v>19.31</v>
      </c>
      <c r="AK174" t="inlineStr"/>
      <c r="AL174" t="n">
        <v>1.3</v>
      </c>
      <c r="AM174" t="inlineStr">
        <is>
          <t>ban_thang</t>
        </is>
      </c>
      <c r="AN174" t="n">
        <v>21.93</v>
      </c>
      <c r="AO174" t="n">
        <v>25.24</v>
      </c>
      <c r="AP174" t="n">
        <v>26.36</v>
      </c>
      <c r="AQ174" t="n">
        <v>24.12</v>
      </c>
      <c r="AR174" t="n">
        <v>0</v>
      </c>
      <c r="AS174" t="b">
        <v>0</v>
      </c>
      <c r="AT174" t="inlineStr">
        <is>
          <t>khong_ap:phong_thu_gan</t>
        </is>
      </c>
      <c r="AU174" t="b">
        <v>0</v>
      </c>
      <c r="AV174" t="inlineStr"/>
      <c r="AW174" t="n">
        <v>0</v>
      </c>
      <c r="AX174" t="n">
        <v>38</v>
      </c>
      <c r="AY174" t="inlineStr"/>
      <c r="AZ174" t="n">
        <v>14</v>
      </c>
      <c r="BA174" t="inlineStr">
        <is>
          <t>p26_bastion_close_boss_hmg;p26_bastion_tiny_autocannon_40;p26_bastion_tiny_kornet_twin;p26_bastion_tiny_zu23</t>
        </is>
      </c>
      <c r="BB174" t="n">
        <v>100</v>
      </c>
      <c r="BC174" t="b">
        <v>1</v>
      </c>
      <c r="BD174" t="inlineStr">
        <is>
          <t>Assets/MachineBrigade/Resources/Data/balance.json: vehicles[id=monster] x Resources/Models/monster.glb</t>
        </is>
      </c>
      <c r="BE174" t="inlineStr"/>
    </row>
    <row r="175">
      <c r="A175" t="inlineStr">
        <is>
          <t>monster/10</t>
        </is>
      </c>
      <c r="B175" t="inlineStr">
        <is>
          <t>monster</t>
        </is>
      </c>
      <c r="C175" t="inlineStr">
        <is>
          <t>p26_bastion_tiny_zu23</t>
        </is>
      </c>
      <c r="D175" t="inlineStr">
        <is>
          <t>zu23_r</t>
        </is>
      </c>
      <c r="E175" t="n">
        <v>10</v>
      </c>
      <c r="F175" t="inlineStr">
        <is>
          <t>mg</t>
        </is>
      </c>
      <c r="G175" t="inlineStr">
        <is>
          <t>Free</t>
        </is>
      </c>
      <c r="H175" t="inlineStr">
        <is>
          <t>phao_nho_ciws</t>
        </is>
      </c>
      <c r="I175" t="inlineStr">
        <is>
          <t>phong_thu_gan</t>
        </is>
      </c>
      <c r="J175" t="inlineStr">
        <is>
          <t>Muzzle_mg.001</t>
        </is>
      </c>
      <c r="K175" t="inlineStr">
        <is>
          <t>muzzle</t>
        </is>
      </c>
      <c r="L175" t="inlineStr">
        <is>
          <t>monster</t>
        </is>
      </c>
      <c r="M175" t="n">
        <v>1.0165</v>
      </c>
      <c r="N175" t="n">
        <v>1.5855</v>
      </c>
      <c r="O175" t="n">
        <v>7.18</v>
      </c>
      <c r="P175" t="n">
        <v>8.56</v>
      </c>
      <c r="Q175" t="n">
        <v>-1.39</v>
      </c>
      <c r="R175" t="n">
        <v>13.12</v>
      </c>
      <c r="S175" t="n">
        <v>7.47</v>
      </c>
      <c r="T175" t="inlineStr">
        <is>
          <t>Mount_mg.001</t>
        </is>
      </c>
      <c r="U175" t="n">
        <v>7.81</v>
      </c>
      <c r="V175" t="n">
        <v>3.3</v>
      </c>
      <c r="W175" t="n">
        <v>11.89125</v>
      </c>
      <c r="X175" t="n">
        <v>0</v>
      </c>
      <c r="Y175" t="n">
        <v>15</v>
      </c>
      <c r="Z175" t="n">
        <v>85</v>
      </c>
      <c r="AA175" t="inlineStr"/>
      <c r="AB175" t="n">
        <v>360</v>
      </c>
      <c r="AC175" t="inlineStr">
        <is>
          <t>lop:phao_nho_ciws</t>
        </is>
      </c>
      <c r="AD175" t="b">
        <v>1</v>
      </c>
      <c r="AE175" t="n">
        <v>0</v>
      </c>
      <c r="AF175" t="n">
        <v>0</v>
      </c>
      <c r="AG175" t="n">
        <v>0</v>
      </c>
      <c r="AH175" t="n">
        <v>38</v>
      </c>
      <c r="AI175" t="n">
        <v>240</v>
      </c>
      <c r="AJ175" t="n">
        <v>19.31</v>
      </c>
      <c r="AK175" t="inlineStr"/>
      <c r="AL175" t="n">
        <v>1.3</v>
      </c>
      <c r="AM175" t="inlineStr">
        <is>
          <t>ban_thang</t>
        </is>
      </c>
      <c r="AN175" t="n">
        <v>21.93</v>
      </c>
      <c r="AO175" t="n">
        <v>25.24</v>
      </c>
      <c r="AP175" t="n">
        <v>26.36</v>
      </c>
      <c r="AQ175" t="n">
        <v>24.12</v>
      </c>
      <c r="AR175" t="n">
        <v>0</v>
      </c>
      <c r="AS175" t="b">
        <v>0</v>
      </c>
      <c r="AT175" t="inlineStr">
        <is>
          <t>khong_ap:phong_thu_gan</t>
        </is>
      </c>
      <c r="AU175" t="b">
        <v>0</v>
      </c>
      <c r="AV175" t="inlineStr"/>
      <c r="AW175" t="n">
        <v>0</v>
      </c>
      <c r="AX175" t="n">
        <v>38</v>
      </c>
      <c r="AY175" t="inlineStr"/>
      <c r="AZ175" t="n">
        <v>14</v>
      </c>
      <c r="BA175" t="inlineStr">
        <is>
          <t>p26_bastion_close_boss_hmg;p26_bastion_tiny_autocannon_40;p26_bastion_tiny_kornet_twin;p26_bastion_tiny_zu23</t>
        </is>
      </c>
      <c r="BB175" t="n">
        <v>100</v>
      </c>
      <c r="BC175" t="b">
        <v>1</v>
      </c>
      <c r="BD175" t="inlineStr">
        <is>
          <t>Assets/MachineBrigade/Resources/Data/balance.json: vehicles[id=monster] x Resources/Models/monster.glb</t>
        </is>
      </c>
      <c r="BE175" t="inlineStr"/>
    </row>
    <row r="176">
      <c r="A176" t="inlineStr">
        <is>
          <t>nuke_train/0</t>
        </is>
      </c>
      <c r="B176" t="inlineStr">
        <is>
          <t>nuke_train</t>
        </is>
      </c>
      <c r="C176" t="inlineStr">
        <is>
          <t>p26_nemesis_main_ne152</t>
        </is>
      </c>
      <c r="D176" t="inlineStr">
        <is>
          <t>twin_gun</t>
        </is>
      </c>
      <c r="E176" t="n">
        <v>0</v>
      </c>
      <c r="F176" t="inlineStr">
        <is>
          <t>main</t>
        </is>
      </c>
      <c r="G176" t="inlineStr"/>
      <c r="H176" t="inlineStr">
        <is>
          <t>phao_boss</t>
        </is>
      </c>
      <c r="I176" t="inlineStr">
        <is>
          <t>chinh</t>
        </is>
      </c>
      <c r="J176" t="inlineStr">
        <is>
          <t>Muzzle_main</t>
        </is>
      </c>
      <c r="K176" t="inlineStr">
        <is>
          <t>muzzle</t>
        </is>
      </c>
      <c r="L176" t="inlineStr">
        <is>
          <t>nuke_train</t>
        </is>
      </c>
      <c r="M176" t="n">
        <v>1.6977</v>
      </c>
      <c r="N176" t="n">
        <v>1.4763</v>
      </c>
      <c r="O176" t="n">
        <v>7.39</v>
      </c>
      <c r="P176" t="n">
        <v>5.76</v>
      </c>
      <c r="Q176" t="n">
        <v>1.63</v>
      </c>
      <c r="R176" t="n">
        <v>9.25</v>
      </c>
      <c r="S176" t="n">
        <v>48.1</v>
      </c>
      <c r="T176" t="inlineStr">
        <is>
          <t>Turret</t>
        </is>
      </c>
      <c r="U176" t="n">
        <v>40.69</v>
      </c>
      <c r="V176" t="n">
        <v>7.4</v>
      </c>
      <c r="W176" t="n">
        <v>5.60994</v>
      </c>
      <c r="X176" t="n">
        <v>0</v>
      </c>
      <c r="Y176" t="n">
        <v>8</v>
      </c>
      <c r="Z176" t="n">
        <v>70</v>
      </c>
      <c r="AA176" t="inlineStr"/>
      <c r="AB176" t="n">
        <v>360</v>
      </c>
      <c r="AC176" t="inlineStr">
        <is>
          <t>lop:phao_boss</t>
        </is>
      </c>
      <c r="AD176" t="b">
        <v>1</v>
      </c>
      <c r="AE176" t="n">
        <v>32</v>
      </c>
      <c r="AF176" t="n">
        <v>0</v>
      </c>
      <c r="AG176" t="n">
        <v>32</v>
      </c>
      <c r="AH176" t="n">
        <v>40</v>
      </c>
      <c r="AI176" t="n">
        <v>150</v>
      </c>
      <c r="AJ176" t="n">
        <v>19.81</v>
      </c>
      <c r="AK176" t="inlineStr"/>
      <c r="AL176" t="n">
        <v>1.3</v>
      </c>
      <c r="AM176" t="inlineStr">
        <is>
          <t>ban_thang</t>
        </is>
      </c>
      <c r="AN176" t="n">
        <v>43.3</v>
      </c>
      <c r="AO176" t="n">
        <v>50.7</v>
      </c>
      <c r="AP176" t="n">
        <v>52.84</v>
      </c>
      <c r="AQ176" t="n">
        <v>48.57</v>
      </c>
      <c r="AR176" t="n">
        <v>32</v>
      </c>
      <c r="AS176" t="b">
        <v>1</v>
      </c>
      <c r="AT176" t="inlineStr">
        <is>
          <t>groundMinReach</t>
        </is>
      </c>
      <c r="AU176" t="b">
        <v>1</v>
      </c>
      <c r="AV176" t="inlineStr">
        <is>
          <t>nuke_train</t>
        </is>
      </c>
      <c r="AW176" t="n">
        <v>32</v>
      </c>
      <c r="AX176" t="n">
        <v>103</v>
      </c>
      <c r="AY176" t="n">
        <v>3.22</v>
      </c>
      <c r="AZ176" t="n">
        <v>20</v>
      </c>
      <c r="BA176" t="inlineStr">
        <is>
          <t>p26_nemesis_close_boss_flak</t>
        </is>
      </c>
      <c r="BB176" t="n">
        <v>100</v>
      </c>
      <c r="BC176" t="b">
        <v>1</v>
      </c>
      <c r="BD176" t="inlineStr">
        <is>
          <t>Assets/MachineBrigade/Resources/Data/balance.json: vehicles[id=nuke_train] x Resources/Models/nuke_train.glb</t>
        </is>
      </c>
      <c r="BE176" t="inlineStr"/>
    </row>
    <row r="177">
      <c r="A177" t="inlineStr">
        <is>
          <t>nuke_train/1</t>
        </is>
      </c>
      <c r="B177" t="inlineStr">
        <is>
          <t>nuke_train</t>
        </is>
      </c>
      <c r="C177" t="inlineStr">
        <is>
          <t>p26_nemesis_close_boss_flak</t>
        </is>
      </c>
      <c r="D177" t="inlineStr">
        <is>
          <t>flak_front</t>
        </is>
      </c>
      <c r="E177" t="n">
        <v>1</v>
      </c>
      <c r="F177" t="inlineStr">
        <is>
          <t>mg</t>
        </is>
      </c>
      <c r="G177" t="inlineStr">
        <is>
          <t>Free</t>
        </is>
      </c>
      <c r="H177" t="inlineStr">
        <is>
          <t>phao_nho_ciws</t>
        </is>
      </c>
      <c r="I177" t="inlineStr">
        <is>
          <t>phong_thu_gan</t>
        </is>
      </c>
      <c r="J177" t="inlineStr">
        <is>
          <t>Muzzle_mg</t>
        </is>
      </c>
      <c r="K177" t="inlineStr">
        <is>
          <t>muzzle</t>
        </is>
      </c>
      <c r="L177" t="inlineStr">
        <is>
          <t>nuke_train</t>
        </is>
      </c>
      <c r="M177" t="n">
        <v>1.6977</v>
      </c>
      <c r="N177" t="n">
        <v>1.4763</v>
      </c>
      <c r="O177" t="n">
        <v>6.33</v>
      </c>
      <c r="P177" t="n">
        <v>5.17</v>
      </c>
      <c r="Q177" t="n">
        <v>1.17</v>
      </c>
      <c r="R177" t="n">
        <v>9.25</v>
      </c>
      <c r="S177" t="n">
        <v>48.63</v>
      </c>
      <c r="T177" t="inlineStr">
        <is>
          <t>Mount_mg</t>
        </is>
      </c>
      <c r="U177" t="n">
        <v>46.47</v>
      </c>
      <c r="V177" t="n">
        <v>2.16</v>
      </c>
      <c r="W177" t="n">
        <v>5.60994</v>
      </c>
      <c r="X177" t="n">
        <v>0</v>
      </c>
      <c r="Y177" t="n">
        <v>15</v>
      </c>
      <c r="Z177" t="n">
        <v>85</v>
      </c>
      <c r="AA177" t="inlineStr"/>
      <c r="AB177" t="n">
        <v>360</v>
      </c>
      <c r="AC177" t="inlineStr">
        <is>
          <t>lop:phao_nho_ciws</t>
        </is>
      </c>
      <c r="AD177" t="b">
        <v>1</v>
      </c>
      <c r="AE177" t="n">
        <v>0</v>
      </c>
      <c r="AF177" t="n">
        <v>0</v>
      </c>
      <c r="AG177" t="n">
        <v>0</v>
      </c>
      <c r="AH177" t="n">
        <v>40</v>
      </c>
      <c r="AI177" t="n">
        <v>260</v>
      </c>
      <c r="AJ177" t="n">
        <v>19.81</v>
      </c>
      <c r="AK177" t="inlineStr"/>
      <c r="AL177" t="n">
        <v>1.3</v>
      </c>
      <c r="AM177" t="inlineStr">
        <is>
          <t>ban_thang</t>
        </is>
      </c>
      <c r="AN177" t="n">
        <v>18.78</v>
      </c>
      <c r="AO177" t="n">
        <v>20.94</v>
      </c>
      <c r="AP177" t="n">
        <v>22.06</v>
      </c>
      <c r="AQ177" t="n">
        <v>19.82</v>
      </c>
      <c r="AR177" t="n">
        <v>0</v>
      </c>
      <c r="AS177" t="b">
        <v>0</v>
      </c>
      <c r="AT177" t="inlineStr">
        <is>
          <t>khong_ap:phong_thu_gan</t>
        </is>
      </c>
      <c r="AU177" t="b">
        <v>0</v>
      </c>
      <c r="AV177" t="inlineStr"/>
      <c r="AW177" t="n">
        <v>0</v>
      </c>
      <c r="AX177" t="n">
        <v>40</v>
      </c>
      <c r="AY177" t="inlineStr"/>
      <c r="AZ177" t="n">
        <v>20</v>
      </c>
      <c r="BA177" t="inlineStr">
        <is>
          <t>p26_nemesis_close_boss_flak</t>
        </is>
      </c>
      <c r="BB177" t="n">
        <v>100</v>
      </c>
      <c r="BC177" t="b">
        <v>1</v>
      </c>
      <c r="BD177" t="inlineStr">
        <is>
          <t>Assets/MachineBrigade/Resources/Data/balance.json: vehicles[id=nuke_train] x Resources/Models/nuke_train.glb</t>
        </is>
      </c>
      <c r="BE177" t="inlineStr"/>
    </row>
    <row r="178">
      <c r="A178" t="inlineStr">
        <is>
          <t>nuke_train/2</t>
        </is>
      </c>
      <c r="B178" t="inlineStr">
        <is>
          <t>nuke_train</t>
        </is>
      </c>
      <c r="C178" t="inlineStr">
        <is>
          <t>p26_nemesis_close_boss_flak</t>
        </is>
      </c>
      <c r="D178" t="inlineStr">
        <is>
          <t>flak_rear</t>
        </is>
      </c>
      <c r="E178" t="n">
        <v>2</v>
      </c>
      <c r="F178" t="inlineStr">
        <is>
          <t>mg</t>
        </is>
      </c>
      <c r="G178" t="inlineStr">
        <is>
          <t>Free</t>
        </is>
      </c>
      <c r="H178" t="inlineStr">
        <is>
          <t>phao_nho_ciws</t>
        </is>
      </c>
      <c r="I178" t="inlineStr">
        <is>
          <t>phong_thu_gan</t>
        </is>
      </c>
      <c r="J178" t="inlineStr">
        <is>
          <t>Muzzle_mg.001</t>
        </is>
      </c>
      <c r="K178" t="inlineStr">
        <is>
          <t>muzzle</t>
        </is>
      </c>
      <c r="L178" t="inlineStr">
        <is>
          <t>nuke_train</t>
        </is>
      </c>
      <c r="M178" t="n">
        <v>1.6977</v>
      </c>
      <c r="N178" t="n">
        <v>1.4763</v>
      </c>
      <c r="O178" t="n">
        <v>6.28</v>
      </c>
      <c r="P178" t="n">
        <v>5.17</v>
      </c>
      <c r="Q178" t="n">
        <v>1.11</v>
      </c>
      <c r="R178" t="n">
        <v>9.25</v>
      </c>
      <c r="S178" t="n">
        <v>35.02</v>
      </c>
      <c r="T178" t="inlineStr">
        <is>
          <t>Mount_mg.001</t>
        </is>
      </c>
      <c r="U178" t="n">
        <v>32.86</v>
      </c>
      <c r="V178" t="n">
        <v>2.16</v>
      </c>
      <c r="W178" t="n">
        <v>5.60994</v>
      </c>
      <c r="X178" t="n">
        <v>0</v>
      </c>
      <c r="Y178" t="n">
        <v>15</v>
      </c>
      <c r="Z178" t="n">
        <v>85</v>
      </c>
      <c r="AA178" t="inlineStr"/>
      <c r="AB178" t="n">
        <v>360</v>
      </c>
      <c r="AC178" t="inlineStr">
        <is>
          <t>lop:phao_nho_ciws</t>
        </is>
      </c>
      <c r="AD178" t="b">
        <v>1</v>
      </c>
      <c r="AE178" t="n">
        <v>0</v>
      </c>
      <c r="AF178" t="n">
        <v>0</v>
      </c>
      <c r="AG178" t="n">
        <v>0</v>
      </c>
      <c r="AH178" t="n">
        <v>40</v>
      </c>
      <c r="AI178" t="n">
        <v>260</v>
      </c>
      <c r="AJ178" t="n">
        <v>19.81</v>
      </c>
      <c r="AK178" t="inlineStr"/>
      <c r="AL178" t="n">
        <v>1.3</v>
      </c>
      <c r="AM178" t="inlineStr">
        <is>
          <t>ban_thang</t>
        </is>
      </c>
      <c r="AN178" t="n">
        <v>18.59</v>
      </c>
      <c r="AO178" t="n">
        <v>20.75</v>
      </c>
      <c r="AP178" t="n">
        <v>21.87</v>
      </c>
      <c r="AQ178" t="n">
        <v>19.63</v>
      </c>
      <c r="AR178" t="n">
        <v>0</v>
      </c>
      <c r="AS178" t="b">
        <v>0</v>
      </c>
      <c r="AT178" t="inlineStr">
        <is>
          <t>khong_ap:phong_thu_gan</t>
        </is>
      </c>
      <c r="AU178" t="b">
        <v>0</v>
      </c>
      <c r="AV178" t="inlineStr"/>
      <c r="AW178" t="n">
        <v>0</v>
      </c>
      <c r="AX178" t="n">
        <v>40</v>
      </c>
      <c r="AY178" t="inlineStr"/>
      <c r="AZ178" t="n">
        <v>20</v>
      </c>
      <c r="BA178" t="inlineStr">
        <is>
          <t>p26_nemesis_close_boss_flak</t>
        </is>
      </c>
      <c r="BB178" t="n">
        <v>100</v>
      </c>
      <c r="BC178" t="b">
        <v>1</v>
      </c>
      <c r="BD178" t="inlineStr">
        <is>
          <t>Assets/MachineBrigade/Resources/Data/balance.json: vehicles[id=nuke_train] x Resources/Models/nuke_train.glb</t>
        </is>
      </c>
      <c r="BE178" t="inlineStr"/>
    </row>
    <row r="179">
      <c r="A179" t="inlineStr">
        <is>
          <t>nuke_train/3</t>
        </is>
      </c>
      <c r="B179" t="inlineStr">
        <is>
          <t>nuke_train</t>
        </is>
      </c>
      <c r="C179" t="inlineStr">
        <is>
          <t>p26_nemesis_sec_boss_rockets</t>
        </is>
      </c>
      <c r="D179" t="inlineStr">
        <is>
          <t>rocket_car</t>
        </is>
      </c>
      <c r="E179" t="n">
        <v>3</v>
      </c>
      <c r="F179" t="inlineStr">
        <is>
          <t>rocket</t>
        </is>
      </c>
      <c r="G179" t="inlineStr">
        <is>
          <t>Free</t>
        </is>
      </c>
      <c r="H179" t="inlineStr">
        <is>
          <t>be_rocket</t>
        </is>
      </c>
      <c r="I179" t="inlineStr">
        <is>
          <t>chinh</t>
        </is>
      </c>
      <c r="J179" t="inlineStr">
        <is>
          <t>Muzzle_rocket</t>
        </is>
      </c>
      <c r="K179" t="inlineStr">
        <is>
          <t>muzzle</t>
        </is>
      </c>
      <c r="L179" t="inlineStr">
        <is>
          <t>nuke_train</t>
        </is>
      </c>
      <c r="M179" t="n">
        <v>1.6977</v>
      </c>
      <c r="N179" t="n">
        <v>1.4763</v>
      </c>
      <c r="O179" t="n">
        <v>5.99</v>
      </c>
      <c r="P179" t="n">
        <v>3.84</v>
      </c>
      <c r="Q179" t="n">
        <v>2.16</v>
      </c>
      <c r="R179" t="n">
        <v>9.25</v>
      </c>
      <c r="S179" t="n">
        <v>11.07</v>
      </c>
      <c r="T179" t="inlineStr">
        <is>
          <t>Mount_rocket</t>
        </is>
      </c>
      <c r="U179" t="n">
        <v>9.630000000000001</v>
      </c>
      <c r="V179" t="n">
        <v>1.45</v>
      </c>
      <c r="W179" t="n">
        <v>5.60994</v>
      </c>
      <c r="X179" t="n">
        <v>0</v>
      </c>
      <c r="Y179" t="n">
        <v>0</v>
      </c>
      <c r="Z179" t="n">
        <v>50</v>
      </c>
      <c r="AA179" t="n">
        <v>0</v>
      </c>
      <c r="AB179" t="n">
        <v>360</v>
      </c>
      <c r="AC179" t="inlineStr">
        <is>
          <t>lop:be_rocket</t>
        </is>
      </c>
      <c r="AD179" t="b">
        <v>1</v>
      </c>
      <c r="AE179" t="n">
        <v>20</v>
      </c>
      <c r="AF179" t="n">
        <v>0</v>
      </c>
      <c r="AG179" t="n">
        <v>20</v>
      </c>
      <c r="AH179" t="n">
        <v>45</v>
      </c>
      <c r="AI179" t="n">
        <v>65</v>
      </c>
      <c r="AJ179" t="n">
        <v>21.01</v>
      </c>
      <c r="AK179" t="inlineStr"/>
      <c r="AL179" t="n">
        <v>1.3</v>
      </c>
      <c r="AM179" t="inlineStr">
        <is>
          <t>roi_tu_do_be_co_dinh</t>
        </is>
      </c>
      <c r="AN179" t="n">
        <v>20.56</v>
      </c>
      <c r="AO179" t="n">
        <v>22</v>
      </c>
      <c r="AP179" t="n">
        <v>22.65</v>
      </c>
      <c r="AQ179" t="n">
        <v>21.33</v>
      </c>
      <c r="AR179" t="n">
        <v>22</v>
      </c>
      <c r="AS179" t="b">
        <v>1</v>
      </c>
      <c r="AT179" t="inlineStr">
        <is>
          <t>groundMinReach</t>
        </is>
      </c>
      <c r="AU179" t="b">
        <v>0</v>
      </c>
      <c r="AV179" t="inlineStr">
        <is>
          <t>nuke_train</t>
        </is>
      </c>
      <c r="AW179" t="n">
        <v>20</v>
      </c>
      <c r="AX179" t="n">
        <v>64</v>
      </c>
      <c r="AY179" t="n">
        <v>3.2</v>
      </c>
      <c r="AZ179" t="n">
        <v>20</v>
      </c>
      <c r="BA179" t="inlineStr">
        <is>
          <t>p26_nemesis_close_boss_flak</t>
        </is>
      </c>
      <c r="BB179" t="n">
        <v>100</v>
      </c>
      <c r="BC179" t="b">
        <v>1</v>
      </c>
      <c r="BD179" t="inlineStr">
        <is>
          <t>Assets/MachineBrigade/Resources/Data/balance.json: vehicles[id=nuke_train] x Resources/Models/nuke_train.glb</t>
        </is>
      </c>
      <c r="BE179" t="inlineStr"/>
    </row>
    <row r="180">
      <c r="A180" t="inlineStr">
        <is>
          <t>nuke_train/4</t>
        </is>
      </c>
      <c r="B180" t="inlineStr">
        <is>
          <t>nuke_train</t>
        </is>
      </c>
      <c r="C180" t="inlineStr">
        <is>
          <t>sam_battery</t>
        </is>
      </c>
      <c r="D180" t="inlineStr">
        <is>
          <t>sam_car</t>
        </is>
      </c>
      <c r="E180" t="n">
        <v>4</v>
      </c>
      <c r="F180" t="inlineStr">
        <is>
          <t>missile</t>
        </is>
      </c>
      <c r="G180" t="inlineStr">
        <is>
          <t>Free</t>
        </is>
      </c>
      <c r="H180" t="inlineStr">
        <is>
          <t>phong_khong</t>
        </is>
      </c>
      <c r="I180" t="inlineStr">
        <is>
          <t>phong_khong</t>
        </is>
      </c>
      <c r="J180" t="inlineStr">
        <is>
          <t>Muzzle_missile</t>
        </is>
      </c>
      <c r="K180" t="inlineStr">
        <is>
          <t>muzzle</t>
        </is>
      </c>
      <c r="L180" t="inlineStr">
        <is>
          <t>nuke_train</t>
        </is>
      </c>
      <c r="M180" t="n">
        <v>1.6977</v>
      </c>
      <c r="N180" t="n">
        <v>1.4763</v>
      </c>
      <c r="O180" t="n">
        <v>5.5</v>
      </c>
      <c r="P180" t="n">
        <v>4.13</v>
      </c>
      <c r="Q180" t="n">
        <v>1.37</v>
      </c>
      <c r="R180" t="n">
        <v>9.25</v>
      </c>
      <c r="S180" t="n">
        <v>1.35</v>
      </c>
      <c r="T180" t="inlineStr">
        <is>
          <t>Mount_missile</t>
        </is>
      </c>
      <c r="U180" t="n">
        <v>1.44</v>
      </c>
      <c r="V180" t="n">
        <v>0.72</v>
      </c>
      <c r="W180" t="n">
        <v>5.60994</v>
      </c>
      <c r="X180" t="n">
        <v>0</v>
      </c>
      <c r="Y180" t="inlineStr"/>
      <c r="Z180" t="inlineStr"/>
      <c r="AA180" t="inlineStr"/>
      <c r="AB180" t="n">
        <v>360</v>
      </c>
      <c r="AC180" t="inlineStr">
        <is>
          <t>khong_ap</t>
        </is>
      </c>
      <c r="AD180" t="b">
        <v>0</v>
      </c>
      <c r="AE180" t="n">
        <v>20</v>
      </c>
      <c r="AF180" t="n">
        <v>20</v>
      </c>
      <c r="AG180" t="n">
        <v>0</v>
      </c>
      <c r="AH180" t="n">
        <v>90</v>
      </c>
      <c r="AI180" t="n">
        <v>95</v>
      </c>
      <c r="AJ180" t="n">
        <v>29.71</v>
      </c>
      <c r="AK180" t="inlineStr"/>
      <c r="AL180" t="n">
        <v>1.3</v>
      </c>
      <c r="AM180" t="inlineStr">
        <is>
          <t>khong_ap</t>
        </is>
      </c>
      <c r="AN180" t="n">
        <v>0</v>
      </c>
      <c r="AO180" t="n">
        <v>0</v>
      </c>
      <c r="AP180" t="n">
        <v>0</v>
      </c>
      <c r="AQ180" t="n">
        <v>0</v>
      </c>
      <c r="AR180" t="n">
        <v>20</v>
      </c>
      <c r="AS180" t="b">
        <v>0</v>
      </c>
      <c r="AT180" t="inlineStr">
        <is>
          <t>khong_ap</t>
        </is>
      </c>
      <c r="AU180" t="b">
        <v>0</v>
      </c>
      <c r="AV180" t="inlineStr"/>
      <c r="AW180" t="n">
        <v>20</v>
      </c>
      <c r="AX180" t="n">
        <v>90</v>
      </c>
      <c r="AY180" t="n">
        <v>4.5</v>
      </c>
      <c r="AZ180" t="n">
        <v>20</v>
      </c>
      <c r="BA180" t="inlineStr">
        <is>
          <t>p26_nemesis_close_boss_flak</t>
        </is>
      </c>
      <c r="BB180" t="n">
        <v>100</v>
      </c>
      <c r="BC180" t="b">
        <v>1</v>
      </c>
      <c r="BD180" t="inlineStr">
        <is>
          <t>Assets/MachineBrigade/Resources/Data/balance.json: vehicles[id=nuke_train] x Resources/Models/nuke_train.glb</t>
        </is>
      </c>
      <c r="BE180" t="inlineStr"/>
    </row>
    <row r="181">
      <c r="A181" t="inlineStr">
        <is>
          <t>nuke_train/5</t>
        </is>
      </c>
      <c r="B181" t="inlineStr">
        <is>
          <t>nuke_train</t>
        </is>
      </c>
      <c r="C181" t="inlineStr">
        <is>
          <t>p26_nemesis_direct_ne125</t>
        </is>
      </c>
      <c r="D181" t="inlineStr">
        <is>
          <t>gun_car_152</t>
        </is>
      </c>
      <c r="E181" t="n">
        <v>5</v>
      </c>
      <c r="F181" t="inlineStr">
        <is>
          <t>gun</t>
        </is>
      </c>
      <c r="G181" t="inlineStr">
        <is>
          <t>Free</t>
        </is>
      </c>
      <c r="H181" t="inlineStr">
        <is>
          <t>phao_boss</t>
        </is>
      </c>
      <c r="I181" t="inlineStr">
        <is>
          <t>chinh</t>
        </is>
      </c>
      <c r="J181" t="inlineStr">
        <is>
          <t>Muzzle_gun</t>
        </is>
      </c>
      <c r="K181" t="inlineStr">
        <is>
          <t>muzzle</t>
        </is>
      </c>
      <c r="L181" t="inlineStr">
        <is>
          <t>nuke_train</t>
        </is>
      </c>
      <c r="M181" t="n">
        <v>1.6977</v>
      </c>
      <c r="N181" t="n">
        <v>1.4763</v>
      </c>
      <c r="O181" t="n">
        <v>7.01</v>
      </c>
      <c r="P181" t="n">
        <v>5.02</v>
      </c>
      <c r="Q181" t="n">
        <v>1.99</v>
      </c>
      <c r="R181" t="n">
        <v>9.25</v>
      </c>
      <c r="S181" t="n">
        <v>3.36</v>
      </c>
      <c r="T181" t="inlineStr">
        <is>
          <t>Mount_gun</t>
        </is>
      </c>
      <c r="U181" t="n">
        <v>6.67</v>
      </c>
      <c r="V181" t="n">
        <v>10.03</v>
      </c>
      <c r="W181" t="n">
        <v>5.60994</v>
      </c>
      <c r="X181" t="n">
        <v>0</v>
      </c>
      <c r="Y181" t="n">
        <v>8</v>
      </c>
      <c r="Z181" t="n">
        <v>70</v>
      </c>
      <c r="AA181" t="inlineStr"/>
      <c r="AB181" t="n">
        <v>360</v>
      </c>
      <c r="AC181" t="inlineStr">
        <is>
          <t>lop:phao_boss</t>
        </is>
      </c>
      <c r="AD181" t="b">
        <v>1</v>
      </c>
      <c r="AE181" t="n">
        <v>30</v>
      </c>
      <c r="AF181" t="n">
        <v>0</v>
      </c>
      <c r="AG181" t="n">
        <v>30</v>
      </c>
      <c r="AH181" t="n">
        <v>38</v>
      </c>
      <c r="AI181" t="n">
        <v>170</v>
      </c>
      <c r="AJ181" t="n">
        <v>19.31</v>
      </c>
      <c r="AK181" t="inlineStr"/>
      <c r="AL181" t="n">
        <v>1.3</v>
      </c>
      <c r="AM181" t="inlineStr">
        <is>
          <t>ban_thang</t>
        </is>
      </c>
      <c r="AN181" t="n">
        <v>40.63</v>
      </c>
      <c r="AO181" t="n">
        <v>50.66</v>
      </c>
      <c r="AP181" t="n">
        <v>52.79</v>
      </c>
      <c r="AQ181" t="n">
        <v>48.52</v>
      </c>
      <c r="AR181" t="n">
        <v>30</v>
      </c>
      <c r="AS181" t="b">
        <v>1</v>
      </c>
      <c r="AT181" t="inlineStr">
        <is>
          <t>groundMinReach</t>
        </is>
      </c>
      <c r="AU181" t="b">
        <v>1</v>
      </c>
      <c r="AV181" t="inlineStr">
        <is>
          <t>nuke_train</t>
        </is>
      </c>
      <c r="AW181" t="n">
        <v>30</v>
      </c>
      <c r="AX181" t="n">
        <v>96</v>
      </c>
      <c r="AY181" t="n">
        <v>3.2</v>
      </c>
      <c r="AZ181" t="n">
        <v>20</v>
      </c>
      <c r="BA181" t="inlineStr">
        <is>
          <t>p26_nemesis_close_boss_flak</t>
        </is>
      </c>
      <c r="BB181" t="n">
        <v>100</v>
      </c>
      <c r="BC181" t="b">
        <v>1</v>
      </c>
      <c r="BD181" t="inlineStr">
        <is>
          <t>Assets/MachineBrigade/Resources/Data/balance.json: vehicles[id=nuke_train] x Resources/Models/nuke_train.glb</t>
        </is>
      </c>
      <c r="BE181" t="inlineStr"/>
    </row>
    <row r="182">
      <c r="A182" t="inlineStr">
        <is>
          <t>nuke_train/6</t>
        </is>
      </c>
      <c r="B182" t="inlineStr">
        <is>
          <t>nuke_train</t>
        </is>
      </c>
      <c r="C182" t="inlineStr">
        <is>
          <t>p26_nemesis_close_boss_flak</t>
        </is>
      </c>
      <c r="D182" t="inlineStr">
        <is>
          <t>aa_car</t>
        </is>
      </c>
      <c r="E182" t="n">
        <v>6</v>
      </c>
      <c r="F182" t="inlineStr">
        <is>
          <t>mg</t>
        </is>
      </c>
      <c r="G182" t="inlineStr">
        <is>
          <t>Free</t>
        </is>
      </c>
      <c r="H182" t="inlineStr">
        <is>
          <t>phao_nho_ciws</t>
        </is>
      </c>
      <c r="I182" t="inlineStr">
        <is>
          <t>phong_thu_gan</t>
        </is>
      </c>
      <c r="J182" t="inlineStr">
        <is>
          <t>Muzzle_mg.002</t>
        </is>
      </c>
      <c r="K182" t="inlineStr">
        <is>
          <t>muzzle</t>
        </is>
      </c>
      <c r="L182" t="inlineStr">
        <is>
          <t>nuke_train</t>
        </is>
      </c>
      <c r="M182" t="n">
        <v>1.6977</v>
      </c>
      <c r="N182" t="n">
        <v>1.4763</v>
      </c>
      <c r="O182" t="n">
        <v>3.77</v>
      </c>
      <c r="P182" t="n">
        <v>4.72</v>
      </c>
      <c r="Q182" t="n">
        <v>-0.96</v>
      </c>
      <c r="R182" t="n">
        <v>9.25</v>
      </c>
      <c r="S182" t="n">
        <v>9.44</v>
      </c>
      <c r="T182" t="inlineStr">
        <is>
          <t>Mount_mg.002</t>
        </is>
      </c>
      <c r="U182" t="n">
        <v>14.82</v>
      </c>
      <c r="V182" t="n">
        <v>5.38</v>
      </c>
      <c r="W182" t="n">
        <v>5.60994</v>
      </c>
      <c r="X182" t="n">
        <v>0</v>
      </c>
      <c r="Y182" t="n">
        <v>15</v>
      </c>
      <c r="Z182" t="n">
        <v>85</v>
      </c>
      <c r="AA182" t="inlineStr"/>
      <c r="AB182" t="n">
        <v>360</v>
      </c>
      <c r="AC182" t="inlineStr">
        <is>
          <t>lop:phao_nho_ciws</t>
        </is>
      </c>
      <c r="AD182" t="b">
        <v>1</v>
      </c>
      <c r="AE182" t="n">
        <v>0</v>
      </c>
      <c r="AF182" t="n">
        <v>0</v>
      </c>
      <c r="AG182" t="n">
        <v>0</v>
      </c>
      <c r="AH182" t="n">
        <v>40</v>
      </c>
      <c r="AI182" t="n">
        <v>260</v>
      </c>
      <c r="AJ182" t="n">
        <v>19.81</v>
      </c>
      <c r="AK182" t="inlineStr"/>
      <c r="AL182" t="n">
        <v>1.3</v>
      </c>
      <c r="AM182" t="inlineStr">
        <is>
          <t>ban_thang</t>
        </is>
      </c>
      <c r="AN182" t="n">
        <v>9.210000000000001</v>
      </c>
      <c r="AO182" t="n">
        <v>14.6</v>
      </c>
      <c r="AP182" t="n">
        <v>15.72</v>
      </c>
      <c r="AQ182" t="n">
        <v>13.48</v>
      </c>
      <c r="AR182" t="n">
        <v>0</v>
      </c>
      <c r="AS182" t="b">
        <v>0</v>
      </c>
      <c r="AT182" t="inlineStr">
        <is>
          <t>khong_ap:phong_thu_gan</t>
        </is>
      </c>
      <c r="AU182" t="b">
        <v>0</v>
      </c>
      <c r="AV182" t="inlineStr"/>
      <c r="AW182" t="n">
        <v>0</v>
      </c>
      <c r="AX182" t="n">
        <v>40</v>
      </c>
      <c r="AY182" t="inlineStr"/>
      <c r="AZ182" t="n">
        <v>20</v>
      </c>
      <c r="BA182" t="inlineStr">
        <is>
          <t>p26_nemesis_close_boss_flak</t>
        </is>
      </c>
      <c r="BB182" t="n">
        <v>100</v>
      </c>
      <c r="BC182" t="b">
        <v>1</v>
      </c>
      <c r="BD182" t="inlineStr">
        <is>
          <t>Assets/MachineBrigade/Resources/Data/balance.json: vehicles[id=nuke_train] x Resources/Models/nuke_train.glb</t>
        </is>
      </c>
      <c r="BE182" t="inlineStr"/>
    </row>
    <row r="183">
      <c r="A183" t="inlineStr">
        <is>
          <t>nyx/0</t>
        </is>
      </c>
      <c r="B183" t="inlineStr">
        <is>
          <t>nyx</t>
        </is>
      </c>
      <c r="C183" t="inlineStr">
        <is>
          <t>nyx_ags_155</t>
        </is>
      </c>
      <c r="D183" t="inlineStr">
        <is>
          <t>turret_fore</t>
        </is>
      </c>
      <c r="E183" t="n">
        <v>0</v>
      </c>
      <c r="F183" t="inlineStr">
        <is>
          <t>gun</t>
        </is>
      </c>
      <c r="G183" t="inlineStr">
        <is>
          <t>Free</t>
        </is>
      </c>
      <c r="H183" t="inlineStr">
        <is>
          <t>phao_ham</t>
        </is>
      </c>
      <c r="I183" t="inlineStr">
        <is>
          <t>chinh</t>
        </is>
      </c>
      <c r="J183" t="inlineStr">
        <is>
          <t>Muzzle_gun</t>
        </is>
      </c>
      <c r="K183" t="inlineStr">
        <is>
          <t>muzzle</t>
        </is>
      </c>
      <c r="L183" t="inlineStr">
        <is>
          <t>nyx</t>
        </is>
      </c>
      <c r="M183" t="n">
        <v>1.001</v>
      </c>
      <c r="N183" t="n">
        <v>0.616</v>
      </c>
      <c r="O183" t="n">
        <v>4.1</v>
      </c>
      <c r="P183" t="n">
        <v>3.83</v>
      </c>
      <c r="Q183" t="n">
        <v>0.28</v>
      </c>
      <c r="R183" t="n">
        <v>10.12</v>
      </c>
      <c r="S183" t="n">
        <v>22.77</v>
      </c>
      <c r="T183" t="inlineStr">
        <is>
          <t>Mount_gun</t>
        </is>
      </c>
      <c r="U183" t="n">
        <v>13.21</v>
      </c>
      <c r="V183" t="n">
        <v>9.56</v>
      </c>
      <c r="W183" t="n">
        <v>6.8992</v>
      </c>
      <c r="X183" t="n">
        <v>0</v>
      </c>
      <c r="Y183" t="n">
        <v>5</v>
      </c>
      <c r="Z183" t="n">
        <v>45</v>
      </c>
      <c r="AA183" t="inlineStr"/>
      <c r="AB183" t="n">
        <v>360</v>
      </c>
      <c r="AC183" t="inlineStr">
        <is>
          <t>lop:phao_ham</t>
        </is>
      </c>
      <c r="AD183" t="b">
        <v>1</v>
      </c>
      <c r="AE183" t="n">
        <v>33</v>
      </c>
      <c r="AF183" t="n">
        <v>0</v>
      </c>
      <c r="AG183" t="n">
        <v>33</v>
      </c>
      <c r="AH183" t="n">
        <v>80</v>
      </c>
      <c r="AI183" t="n">
        <v>150</v>
      </c>
      <c r="AJ183" t="n">
        <v>28.01</v>
      </c>
      <c r="AK183" t="inlineStr"/>
      <c r="AL183" t="n">
        <v>1.3</v>
      </c>
      <c r="AM183" t="inlineStr">
        <is>
          <t>ban_thang</t>
        </is>
      </c>
      <c r="AN183" t="n">
        <v>32.05</v>
      </c>
      <c r="AO183" t="n">
        <v>41.61</v>
      </c>
      <c r="AP183" t="n">
        <v>45.04</v>
      </c>
      <c r="AQ183" t="n">
        <v>38.18</v>
      </c>
      <c r="AR183" t="n">
        <v>42</v>
      </c>
      <c r="AS183" t="b">
        <v>1</v>
      </c>
      <c r="AT183" t="inlineStr">
        <is>
          <t>groundMinReach</t>
        </is>
      </c>
      <c r="AU183" t="b">
        <v>0</v>
      </c>
      <c r="AV183" t="inlineStr">
        <is>
          <t>nyx</t>
        </is>
      </c>
      <c r="AW183" t="n">
        <v>42</v>
      </c>
      <c r="AX183" t="n">
        <v>135</v>
      </c>
      <c r="AY183" t="n">
        <v>3.21</v>
      </c>
      <c r="AZ183" t="n">
        <v>25</v>
      </c>
      <c r="BA183" t="inlineStr">
        <is>
          <t>nyx_tomahawk</t>
        </is>
      </c>
      <c r="BB183" t="n">
        <v>100</v>
      </c>
      <c r="BC183" t="b">
        <v>1</v>
      </c>
      <c r="BD183" t="inlineStr">
        <is>
          <t>Assets/MachineBrigade/Resources/Data/balance.json: vehicles[id=nyx] x Resources/Models/nyx.glb</t>
        </is>
      </c>
      <c r="BE183" t="inlineStr"/>
    </row>
    <row r="184">
      <c r="A184" t="inlineStr">
        <is>
          <t>nyx/1</t>
        </is>
      </c>
      <c r="B184" t="inlineStr">
        <is>
          <t>nyx</t>
        </is>
      </c>
      <c r="C184" t="inlineStr">
        <is>
          <t>p26_leviathan_direct_lev127</t>
        </is>
      </c>
      <c r="D184" t="inlineStr">
        <is>
          <t>ciws_fore</t>
        </is>
      </c>
      <c r="E184" t="n">
        <v>1</v>
      </c>
      <c r="F184" t="inlineStr">
        <is>
          <t>mg</t>
        </is>
      </c>
      <c r="G184" t="inlineStr">
        <is>
          <t>Free</t>
        </is>
      </c>
      <c r="H184" t="inlineStr">
        <is>
          <t>sung_phu</t>
        </is>
      </c>
      <c r="I184" t="inlineStr">
        <is>
          <t>chinh</t>
        </is>
      </c>
      <c r="J184" t="inlineStr">
        <is>
          <t>Muzzle_mg</t>
        </is>
      </c>
      <c r="K184" t="inlineStr">
        <is>
          <t>muzzle</t>
        </is>
      </c>
      <c r="L184" t="inlineStr">
        <is>
          <t>nyx</t>
        </is>
      </c>
      <c r="M184" t="n">
        <v>1.001</v>
      </c>
      <c r="N184" t="n">
        <v>0.616</v>
      </c>
      <c r="O184" t="n">
        <v>6.88</v>
      </c>
      <c r="P184" t="n">
        <v>6.91</v>
      </c>
      <c r="Q184" t="n">
        <v>-0.03</v>
      </c>
      <c r="R184" t="n">
        <v>10.12</v>
      </c>
      <c r="S184" t="n">
        <v>9.460000000000001</v>
      </c>
      <c r="T184" t="inlineStr">
        <is>
          <t>Mount_mg</t>
        </is>
      </c>
      <c r="U184" t="n">
        <v>5.36</v>
      </c>
      <c r="V184" t="n">
        <v>4.1</v>
      </c>
      <c r="W184" t="n">
        <v>6.8992</v>
      </c>
      <c r="X184" t="n">
        <v>0</v>
      </c>
      <c r="Y184" t="n">
        <v>15</v>
      </c>
      <c r="Z184" t="n">
        <v>70</v>
      </c>
      <c r="AA184" t="inlineStr"/>
      <c r="AB184" t="n">
        <v>360</v>
      </c>
      <c r="AC184" t="inlineStr">
        <is>
          <t>lop:sung_phu</t>
        </is>
      </c>
      <c r="AD184" t="b">
        <v>1</v>
      </c>
      <c r="AE184" t="n">
        <v>23</v>
      </c>
      <c r="AF184" t="n">
        <v>0</v>
      </c>
      <c r="AG184" t="n">
        <v>23</v>
      </c>
      <c r="AH184" t="n">
        <v>90</v>
      </c>
      <c r="AI184" t="n">
        <v>110</v>
      </c>
      <c r="AJ184" t="n">
        <v>29.71</v>
      </c>
      <c r="AK184" t="inlineStr"/>
      <c r="AL184" t="n">
        <v>1.3</v>
      </c>
      <c r="AM184" t="inlineStr">
        <is>
          <t>ban_thang</t>
        </is>
      </c>
      <c r="AN184" t="n">
        <v>20.81</v>
      </c>
      <c r="AO184" t="n">
        <v>24.92</v>
      </c>
      <c r="AP184" t="n">
        <v>26.04</v>
      </c>
      <c r="AQ184" t="n">
        <v>23.8</v>
      </c>
      <c r="AR184" t="n">
        <v>25</v>
      </c>
      <c r="AS184" t="b">
        <v>1</v>
      </c>
      <c r="AT184" t="inlineStr">
        <is>
          <t>groundMinReach</t>
        </is>
      </c>
      <c r="AU184" t="b">
        <v>0</v>
      </c>
      <c r="AV184" t="inlineStr">
        <is>
          <t>nyx</t>
        </is>
      </c>
      <c r="AW184" t="n">
        <v>25</v>
      </c>
      <c r="AX184" t="n">
        <v>90</v>
      </c>
      <c r="AY184" t="n">
        <v>3.6</v>
      </c>
      <c r="AZ184" t="n">
        <v>25</v>
      </c>
      <c r="BA184" t="inlineStr">
        <is>
          <t>nyx_tomahawk</t>
        </is>
      </c>
      <c r="BB184" t="n">
        <v>100</v>
      </c>
      <c r="BC184" t="b">
        <v>1</v>
      </c>
      <c r="BD184" t="inlineStr">
        <is>
          <t>Assets/MachineBrigade/Resources/Data/balance.json: vehicles[id=nyx] x Resources/Models/nyx.glb</t>
        </is>
      </c>
      <c r="BE184" t="inlineStr"/>
    </row>
    <row r="185">
      <c r="A185" t="inlineStr">
        <is>
          <t>nyx/2</t>
        </is>
      </c>
      <c r="B185" t="inlineStr">
        <is>
          <t>nyx</t>
        </is>
      </c>
      <c r="C185" t="inlineStr">
        <is>
          <t>p26_leviathan_direct_lev127</t>
        </is>
      </c>
      <c r="D185" t="inlineStr">
        <is>
          <t>ciws_aft</t>
        </is>
      </c>
      <c r="E185" t="n">
        <v>2</v>
      </c>
      <c r="F185" t="inlineStr">
        <is>
          <t>mg</t>
        </is>
      </c>
      <c r="G185" t="inlineStr">
        <is>
          <t>Free</t>
        </is>
      </c>
      <c r="H185" t="inlineStr">
        <is>
          <t>sung_phu</t>
        </is>
      </c>
      <c r="I185" t="inlineStr">
        <is>
          <t>chinh</t>
        </is>
      </c>
      <c r="J185" t="inlineStr">
        <is>
          <t>Muzzle_mg.001</t>
        </is>
      </c>
      <c r="K185" t="inlineStr">
        <is>
          <t>muzzle</t>
        </is>
      </c>
      <c r="L185" t="inlineStr">
        <is>
          <t>nyx</t>
        </is>
      </c>
      <c r="M185" t="n">
        <v>1.001</v>
      </c>
      <c r="N185" t="n">
        <v>0.616</v>
      </c>
      <c r="O185" t="n">
        <v>6.88</v>
      </c>
      <c r="P185" t="n">
        <v>6.91</v>
      </c>
      <c r="Q185" t="n">
        <v>-0.03</v>
      </c>
      <c r="R185" t="n">
        <v>10.12</v>
      </c>
      <c r="S185" t="n">
        <v>5.71</v>
      </c>
      <c r="T185" t="inlineStr">
        <is>
          <t>Mount_mg.001</t>
        </is>
      </c>
      <c r="U185" t="n">
        <v>9.81</v>
      </c>
      <c r="V185" t="n">
        <v>4.1</v>
      </c>
      <c r="W185" t="n">
        <v>6.8992</v>
      </c>
      <c r="X185" t="n">
        <v>0</v>
      </c>
      <c r="Y185" t="n">
        <v>15</v>
      </c>
      <c r="Z185" t="n">
        <v>70</v>
      </c>
      <c r="AA185" t="inlineStr"/>
      <c r="AB185" t="n">
        <v>360</v>
      </c>
      <c r="AC185" t="inlineStr">
        <is>
          <t>lop:sung_phu</t>
        </is>
      </c>
      <c r="AD185" t="b">
        <v>1</v>
      </c>
      <c r="AE185" t="n">
        <v>23</v>
      </c>
      <c r="AF185" t="n">
        <v>0</v>
      </c>
      <c r="AG185" t="n">
        <v>23</v>
      </c>
      <c r="AH185" t="n">
        <v>90</v>
      </c>
      <c r="AI185" t="n">
        <v>110</v>
      </c>
      <c r="AJ185" t="n">
        <v>29.71</v>
      </c>
      <c r="AK185" t="inlineStr"/>
      <c r="AL185" t="n">
        <v>1.3</v>
      </c>
      <c r="AM185" t="inlineStr">
        <is>
          <t>ban_thang</t>
        </is>
      </c>
      <c r="AN185" t="n">
        <v>20.81</v>
      </c>
      <c r="AO185" t="n">
        <v>24.92</v>
      </c>
      <c r="AP185" t="n">
        <v>26.04</v>
      </c>
      <c r="AQ185" t="n">
        <v>23.8</v>
      </c>
      <c r="AR185" t="n">
        <v>25</v>
      </c>
      <c r="AS185" t="b">
        <v>1</v>
      </c>
      <c r="AT185" t="inlineStr">
        <is>
          <t>groundMinReach</t>
        </is>
      </c>
      <c r="AU185" t="b">
        <v>0</v>
      </c>
      <c r="AV185" t="inlineStr">
        <is>
          <t>nyx</t>
        </is>
      </c>
      <c r="AW185" t="n">
        <v>25</v>
      </c>
      <c r="AX185" t="n">
        <v>90</v>
      </c>
      <c r="AY185" t="n">
        <v>3.6</v>
      </c>
      <c r="AZ185" t="n">
        <v>25</v>
      </c>
      <c r="BA185" t="inlineStr">
        <is>
          <t>nyx_tomahawk</t>
        </is>
      </c>
      <c r="BB185" t="n">
        <v>100</v>
      </c>
      <c r="BC185" t="b">
        <v>1</v>
      </c>
      <c r="BD185" t="inlineStr">
        <is>
          <t>Assets/MachineBrigade/Resources/Data/balance.json: vehicles[id=nyx] x Resources/Models/nyx.glb</t>
        </is>
      </c>
      <c r="BE185" t="inlineStr"/>
    </row>
    <row r="186">
      <c r="A186" t="inlineStr">
        <is>
          <t>nyx/3</t>
        </is>
      </c>
      <c r="B186" t="inlineStr">
        <is>
          <t>nyx</t>
        </is>
      </c>
      <c r="C186" t="inlineStr">
        <is>
          <t>nyx_millennium</t>
        </is>
      </c>
      <c r="D186" t="inlineStr"/>
      <c r="E186" t="n">
        <v>3</v>
      </c>
      <c r="F186" t="inlineStr">
        <is>
          <t>mg</t>
        </is>
      </c>
      <c r="G186" t="inlineStr">
        <is>
          <t>Free</t>
        </is>
      </c>
      <c r="H186" t="inlineStr">
        <is>
          <t>phong_khong</t>
        </is>
      </c>
      <c r="I186" t="inlineStr">
        <is>
          <t>phong_khong</t>
        </is>
      </c>
      <c r="J186" t="inlineStr">
        <is>
          <t>Muzzle_mg.002</t>
        </is>
      </c>
      <c r="K186" t="inlineStr">
        <is>
          <t>muzzle</t>
        </is>
      </c>
      <c r="L186" t="inlineStr">
        <is>
          <t>nyx</t>
        </is>
      </c>
      <c r="M186" t="n">
        <v>1.001</v>
      </c>
      <c r="N186" t="n">
        <v>0.616</v>
      </c>
      <c r="O186" t="n">
        <v>6.92</v>
      </c>
      <c r="P186" t="inlineStr"/>
      <c r="Q186" t="inlineStr"/>
      <c r="R186" t="n">
        <v>10.12</v>
      </c>
      <c r="S186" t="n">
        <v>9.869999999999999</v>
      </c>
      <c r="T186" t="inlineStr">
        <is>
          <t>Mount_mg.002</t>
        </is>
      </c>
      <c r="U186" t="n">
        <v>12.07</v>
      </c>
      <c r="V186" t="n">
        <v>2.24</v>
      </c>
      <c r="W186" t="n">
        <v>6.8992</v>
      </c>
      <c r="X186" t="n">
        <v>0</v>
      </c>
      <c r="Y186" t="inlineStr"/>
      <c r="Z186" t="inlineStr"/>
      <c r="AA186" t="inlineStr"/>
      <c r="AB186" t="n">
        <v>360</v>
      </c>
      <c r="AC186" t="inlineStr">
        <is>
          <t>khong_ap</t>
        </is>
      </c>
      <c r="AD186" t="b">
        <v>0</v>
      </c>
      <c r="AE186" t="n">
        <v>0</v>
      </c>
      <c r="AF186" t="n">
        <v>0</v>
      </c>
      <c r="AG186" t="n">
        <v>0</v>
      </c>
      <c r="AH186" t="n">
        <v>46</v>
      </c>
      <c r="AI186" t="n">
        <v>260</v>
      </c>
      <c r="AJ186" t="n">
        <v>21.24</v>
      </c>
      <c r="AK186" t="inlineStr"/>
      <c r="AL186" t="n">
        <v>1.3</v>
      </c>
      <c r="AM186" t="inlineStr">
        <is>
          <t>khong_ap</t>
        </is>
      </c>
      <c r="AN186" t="n">
        <v>0</v>
      </c>
      <c r="AO186" t="n">
        <v>0</v>
      </c>
      <c r="AP186" t="n">
        <v>0</v>
      </c>
      <c r="AQ186" t="n">
        <v>0</v>
      </c>
      <c r="AR186" t="n">
        <v>0</v>
      </c>
      <c r="AS186" t="b">
        <v>0</v>
      </c>
      <c r="AT186" t="inlineStr">
        <is>
          <t>khong_ap</t>
        </is>
      </c>
      <c r="AU186" t="b">
        <v>0</v>
      </c>
      <c r="AV186" t="inlineStr"/>
      <c r="AW186" t="n">
        <v>0</v>
      </c>
      <c r="AX186" t="n">
        <v>46</v>
      </c>
      <c r="AY186" t="inlineStr"/>
      <c r="AZ186" t="n">
        <v>25</v>
      </c>
      <c r="BA186" t="inlineStr">
        <is>
          <t>nyx_tomahawk</t>
        </is>
      </c>
      <c r="BB186" t="n">
        <v>100</v>
      </c>
      <c r="BC186" t="b">
        <v>1</v>
      </c>
      <c r="BD186" t="inlineStr">
        <is>
          <t>Assets/MachineBrigade/Resources/Data/balance.json: vehicles[id=nyx] x Resources/Models/nyx.glb</t>
        </is>
      </c>
      <c r="BE186" t="inlineStr"/>
    </row>
    <row r="187">
      <c r="A187" t="inlineStr">
        <is>
          <t>nyx/4</t>
        </is>
      </c>
      <c r="B187" t="inlineStr">
        <is>
          <t>nyx</t>
        </is>
      </c>
      <c r="C187" t="inlineStr">
        <is>
          <t>nyx_millennium</t>
        </is>
      </c>
      <c r="D187" t="inlineStr"/>
      <c r="E187" t="n">
        <v>4</v>
      </c>
      <c r="F187" t="inlineStr">
        <is>
          <t>mg</t>
        </is>
      </c>
      <c r="G187" t="inlineStr">
        <is>
          <t>Free</t>
        </is>
      </c>
      <c r="H187" t="inlineStr">
        <is>
          <t>phong_khong</t>
        </is>
      </c>
      <c r="I187" t="inlineStr">
        <is>
          <t>phong_khong</t>
        </is>
      </c>
      <c r="J187" t="inlineStr">
        <is>
          <t>Muzzle_mg.003</t>
        </is>
      </c>
      <c r="K187" t="inlineStr">
        <is>
          <t>muzzle</t>
        </is>
      </c>
      <c r="L187" t="inlineStr">
        <is>
          <t>nyx</t>
        </is>
      </c>
      <c r="M187" t="n">
        <v>1.001</v>
      </c>
      <c r="N187" t="n">
        <v>0.616</v>
      </c>
      <c r="O187" t="n">
        <v>6.92</v>
      </c>
      <c r="P187" t="inlineStr"/>
      <c r="Q187" t="inlineStr"/>
      <c r="R187" t="n">
        <v>10.12</v>
      </c>
      <c r="S187" t="n">
        <v>9.869999999999999</v>
      </c>
      <c r="T187" t="inlineStr">
        <is>
          <t>Mount_mg.003</t>
        </is>
      </c>
      <c r="U187" t="n">
        <v>12.07</v>
      </c>
      <c r="V187" t="n">
        <v>2.24</v>
      </c>
      <c r="W187" t="n">
        <v>6.8992</v>
      </c>
      <c r="X187" t="n">
        <v>0</v>
      </c>
      <c r="Y187" t="inlineStr"/>
      <c r="Z187" t="inlineStr"/>
      <c r="AA187" t="inlineStr"/>
      <c r="AB187" t="n">
        <v>360</v>
      </c>
      <c r="AC187" t="inlineStr">
        <is>
          <t>khong_ap</t>
        </is>
      </c>
      <c r="AD187" t="b">
        <v>0</v>
      </c>
      <c r="AE187" t="n">
        <v>0</v>
      </c>
      <c r="AF187" t="n">
        <v>0</v>
      </c>
      <c r="AG187" t="n">
        <v>0</v>
      </c>
      <c r="AH187" t="n">
        <v>46</v>
      </c>
      <c r="AI187" t="n">
        <v>260</v>
      </c>
      <c r="AJ187" t="n">
        <v>21.24</v>
      </c>
      <c r="AK187" t="inlineStr"/>
      <c r="AL187" t="n">
        <v>1.3</v>
      </c>
      <c r="AM187" t="inlineStr">
        <is>
          <t>khong_ap</t>
        </is>
      </c>
      <c r="AN187" t="n">
        <v>0</v>
      </c>
      <c r="AO187" t="n">
        <v>0</v>
      </c>
      <c r="AP187" t="n">
        <v>0</v>
      </c>
      <c r="AQ187" t="n">
        <v>0</v>
      </c>
      <c r="AR187" t="n">
        <v>0</v>
      </c>
      <c r="AS187" t="b">
        <v>0</v>
      </c>
      <c r="AT187" t="inlineStr">
        <is>
          <t>khong_ap</t>
        </is>
      </c>
      <c r="AU187" t="b">
        <v>0</v>
      </c>
      <c r="AV187" t="inlineStr"/>
      <c r="AW187" t="n">
        <v>0</v>
      </c>
      <c r="AX187" t="n">
        <v>46</v>
      </c>
      <c r="AY187" t="inlineStr"/>
      <c r="AZ187" t="n">
        <v>25</v>
      </c>
      <c r="BA187" t="inlineStr">
        <is>
          <t>nyx_tomahawk</t>
        </is>
      </c>
      <c r="BB187" t="n">
        <v>100</v>
      </c>
      <c r="BC187" t="b">
        <v>1</v>
      </c>
      <c r="BD187" t="inlineStr">
        <is>
          <t>Assets/MachineBrigade/Resources/Data/balance.json: vehicles[id=nyx] x Resources/Models/nyx.glb</t>
        </is>
      </c>
      <c r="BE187" t="inlineStr"/>
    </row>
    <row r="188">
      <c r="A188" t="inlineStr">
        <is>
          <t>nyx/5</t>
        </is>
      </c>
      <c r="B188" t="inlineStr">
        <is>
          <t>nyx</t>
        </is>
      </c>
      <c r="C188" t="inlineStr">
        <is>
          <t>nyx_tomahawk</t>
        </is>
      </c>
      <c r="D188" t="inlineStr"/>
      <c r="E188" t="n">
        <v>5</v>
      </c>
      <c r="F188" t="inlineStr">
        <is>
          <t>missile</t>
        </is>
      </c>
      <c r="G188" t="inlineStr">
        <is>
          <t>Free</t>
        </is>
      </c>
      <c r="H188" t="inlineStr">
        <is>
          <t>ten_lua</t>
        </is>
      </c>
      <c r="I188" t="inlineStr">
        <is>
          <t>dan_dan</t>
        </is>
      </c>
      <c r="J188" t="inlineStr">
        <is>
          <t>Muzzle_missile</t>
        </is>
      </c>
      <c r="K188" t="inlineStr">
        <is>
          <t>muzzle</t>
        </is>
      </c>
      <c r="L188" t="inlineStr">
        <is>
          <t>nyx</t>
        </is>
      </c>
      <c r="M188" t="n">
        <v>1.001</v>
      </c>
      <c r="N188" t="n">
        <v>0.616</v>
      </c>
      <c r="O188" t="n">
        <v>3.66</v>
      </c>
      <c r="P188" t="inlineStr"/>
      <c r="Q188" t="inlineStr"/>
      <c r="R188" t="n">
        <v>10.12</v>
      </c>
      <c r="S188" t="n">
        <v>8.49</v>
      </c>
      <c r="T188" t="inlineStr">
        <is>
          <t>Mount_missile</t>
        </is>
      </c>
      <c r="U188" t="n">
        <v>8.49</v>
      </c>
      <c r="V188" t="n">
        <v>0</v>
      </c>
      <c r="W188" t="n">
        <v>6.8992</v>
      </c>
      <c r="X188" t="n">
        <v>0</v>
      </c>
      <c r="Y188" t="inlineStr"/>
      <c r="Z188" t="inlineStr"/>
      <c r="AA188" t="inlineStr"/>
      <c r="AB188" t="n">
        <v>360</v>
      </c>
      <c r="AC188" t="inlineStr">
        <is>
          <t>missileArmingM</t>
        </is>
      </c>
      <c r="AD188" t="b">
        <v>1</v>
      </c>
      <c r="AE188" t="n">
        <v>0</v>
      </c>
      <c r="AF188" t="n">
        <v>0</v>
      </c>
      <c r="AG188" t="n">
        <v>0</v>
      </c>
      <c r="AH188" t="n">
        <v>120</v>
      </c>
      <c r="AI188" t="n">
        <v>70</v>
      </c>
      <c r="AJ188" t="n">
        <v>34.31</v>
      </c>
      <c r="AK188" t="n">
        <v>1</v>
      </c>
      <c r="AL188" t="n">
        <v>1.3</v>
      </c>
      <c r="AM188" t="inlineStr">
        <is>
          <t>max(vu_trang, khoa)</t>
        </is>
      </c>
      <c r="AN188" t="n">
        <v>1</v>
      </c>
      <c r="AO188" t="n">
        <v>1</v>
      </c>
      <c r="AP188" t="n">
        <v>1</v>
      </c>
      <c r="AQ188" t="n">
        <v>1</v>
      </c>
      <c r="AR188" t="n">
        <v>1</v>
      </c>
      <c r="AS188" t="b">
        <v>1</v>
      </c>
      <c r="AT188" t="inlineStr">
        <is>
          <t>groundMinReach</t>
        </is>
      </c>
      <c r="AU188" t="b">
        <v>0</v>
      </c>
      <c r="AV188" t="inlineStr">
        <is>
          <t>nyx</t>
        </is>
      </c>
      <c r="AW188" t="n">
        <v>1</v>
      </c>
      <c r="AX188" t="n">
        <v>120</v>
      </c>
      <c r="AY188" t="n">
        <v>120</v>
      </c>
      <c r="AZ188" t="n">
        <v>25</v>
      </c>
      <c r="BA188" t="inlineStr">
        <is>
          <t>nyx_tomahawk</t>
        </is>
      </c>
      <c r="BB188" t="n">
        <v>100</v>
      </c>
      <c r="BC188" t="b">
        <v>1</v>
      </c>
      <c r="BD188" t="inlineStr">
        <is>
          <t>Assets/MachineBrigade/Resources/Data/balance.json: vehicles[id=nyx] x Resources/Models/nyx.glb</t>
        </is>
      </c>
      <c r="BE188" t="inlineStr"/>
    </row>
    <row r="189">
      <c r="A189" t="inlineStr">
        <is>
          <t>scylla/0</t>
        </is>
      </c>
      <c r="B189" t="inlineStr">
        <is>
          <t>scylla</t>
        </is>
      </c>
      <c r="C189" t="inlineStr">
        <is>
          <t>naval_130_twin</t>
        </is>
      </c>
      <c r="D189" t="inlineStr">
        <is>
          <t>turret_fore</t>
        </is>
      </c>
      <c r="E189" t="n">
        <v>0</v>
      </c>
      <c r="F189" t="inlineStr">
        <is>
          <t>gun</t>
        </is>
      </c>
      <c r="G189" t="inlineStr">
        <is>
          <t>Free</t>
        </is>
      </c>
      <c r="H189" t="inlineStr">
        <is>
          <t>phao_ham</t>
        </is>
      </c>
      <c r="I189" t="inlineStr">
        <is>
          <t>chinh</t>
        </is>
      </c>
      <c r="J189" t="inlineStr">
        <is>
          <t>Muzzle_gun</t>
        </is>
      </c>
      <c r="K189" t="inlineStr">
        <is>
          <t>muzzle</t>
        </is>
      </c>
      <c r="L189" t="inlineStr">
        <is>
          <t>scylla</t>
        </is>
      </c>
      <c r="M189" t="n">
        <v>1.001</v>
      </c>
      <c r="N189" t="n">
        <v>0.5600000000000001</v>
      </c>
      <c r="O189" t="n">
        <v>4.32</v>
      </c>
      <c r="P189" t="n">
        <v>4.44</v>
      </c>
      <c r="Q189" t="n">
        <v>-0.12</v>
      </c>
      <c r="R189" t="n">
        <v>11.73</v>
      </c>
      <c r="S189" t="n">
        <v>22.2</v>
      </c>
      <c r="T189" t="inlineStr">
        <is>
          <t>Mount_gun</t>
        </is>
      </c>
      <c r="U189" t="n">
        <v>15.22</v>
      </c>
      <c r="V189" t="n">
        <v>6.99</v>
      </c>
      <c r="W189" t="n">
        <v>6.272</v>
      </c>
      <c r="X189" t="n">
        <v>0</v>
      </c>
      <c r="Y189" t="n">
        <v>5</v>
      </c>
      <c r="Z189" t="n">
        <v>45</v>
      </c>
      <c r="AA189" t="inlineStr"/>
      <c r="AB189" t="n">
        <v>360</v>
      </c>
      <c r="AC189" t="inlineStr">
        <is>
          <t>lop:phao_ham</t>
        </is>
      </c>
      <c r="AD189" t="b">
        <v>1</v>
      </c>
      <c r="AE189" t="n">
        <v>41</v>
      </c>
      <c r="AF189" t="n">
        <v>0</v>
      </c>
      <c r="AG189" t="n">
        <v>41</v>
      </c>
      <c r="AH189" t="n">
        <v>90</v>
      </c>
      <c r="AI189" t="n">
        <v>110</v>
      </c>
      <c r="AJ189" t="n">
        <v>29.71</v>
      </c>
      <c r="AK189" t="inlineStr"/>
      <c r="AL189" t="n">
        <v>1.3</v>
      </c>
      <c r="AM189" t="inlineStr">
        <is>
          <t>ban_thang</t>
        </is>
      </c>
      <c r="AN189" t="n">
        <v>34.54</v>
      </c>
      <c r="AO189" t="n">
        <v>41.53</v>
      </c>
      <c r="AP189" t="n">
        <v>44.96</v>
      </c>
      <c r="AQ189" t="n">
        <v>38.1</v>
      </c>
      <c r="AR189" t="n">
        <v>42</v>
      </c>
      <c r="AS189" t="b">
        <v>1</v>
      </c>
      <c r="AT189" t="inlineStr">
        <is>
          <t>groundMinReach</t>
        </is>
      </c>
      <c r="AU189" t="b">
        <v>0</v>
      </c>
      <c r="AV189" t="inlineStr">
        <is>
          <t>scylla</t>
        </is>
      </c>
      <c r="AW189" t="n">
        <v>41</v>
      </c>
      <c r="AX189" t="n">
        <v>132</v>
      </c>
      <c r="AY189" t="n">
        <v>3.22</v>
      </c>
      <c r="AZ189" t="n">
        <v>28</v>
      </c>
      <c r="BA189" t="inlineStr">
        <is>
          <t>scylla_kh35</t>
        </is>
      </c>
      <c r="BB189" t="n">
        <v>100</v>
      </c>
      <c r="BC189" t="b">
        <v>1</v>
      </c>
      <c r="BD189" t="inlineStr">
        <is>
          <t>Assets/MachineBrigade/Resources/Data/balance.json: vehicles[id=scylla] x Resources/Models/scylla.glb</t>
        </is>
      </c>
      <c r="BE189" t="inlineStr"/>
    </row>
    <row r="190">
      <c r="A190" t="inlineStr">
        <is>
          <t>scylla/1</t>
        </is>
      </c>
      <c r="B190" t="inlineStr">
        <is>
          <t>scylla</t>
        </is>
      </c>
      <c r="C190" t="inlineStr">
        <is>
          <t>p26_leviathan_direct_lev127</t>
        </is>
      </c>
      <c r="D190" t="inlineStr">
        <is>
          <t>ciws_fore</t>
        </is>
      </c>
      <c r="E190" t="n">
        <v>1</v>
      </c>
      <c r="F190" t="inlineStr">
        <is>
          <t>mg</t>
        </is>
      </c>
      <c r="G190" t="inlineStr">
        <is>
          <t>Free</t>
        </is>
      </c>
      <c r="H190" t="inlineStr">
        <is>
          <t>sung_phu</t>
        </is>
      </c>
      <c r="I190" t="inlineStr">
        <is>
          <t>chinh</t>
        </is>
      </c>
      <c r="J190" t="inlineStr">
        <is>
          <t>Muzzle_mg</t>
        </is>
      </c>
      <c r="K190" t="inlineStr">
        <is>
          <t>muzzle</t>
        </is>
      </c>
      <c r="L190" t="inlineStr">
        <is>
          <t>scylla</t>
        </is>
      </c>
      <c r="M190" t="n">
        <v>1.001</v>
      </c>
      <c r="N190" t="n">
        <v>0.5600000000000001</v>
      </c>
      <c r="O190" t="n">
        <v>7.84</v>
      </c>
      <c r="P190" t="n">
        <v>7.89</v>
      </c>
      <c r="Q190" t="n">
        <v>-0.05</v>
      </c>
      <c r="R190" t="n">
        <v>11.73</v>
      </c>
      <c r="S190" t="n">
        <v>11.48</v>
      </c>
      <c r="T190" t="inlineStr">
        <is>
          <t>Mount_mg</t>
        </is>
      </c>
      <c r="U190" t="n">
        <v>7.31</v>
      </c>
      <c r="V190" t="n">
        <v>4.17</v>
      </c>
      <c r="W190" t="n">
        <v>6.272</v>
      </c>
      <c r="X190" t="n">
        <v>0</v>
      </c>
      <c r="Y190" t="n">
        <v>15</v>
      </c>
      <c r="Z190" t="n">
        <v>70</v>
      </c>
      <c r="AA190" t="inlineStr"/>
      <c r="AB190" t="n">
        <v>360</v>
      </c>
      <c r="AC190" t="inlineStr">
        <is>
          <t>lop:sung_phu</t>
        </is>
      </c>
      <c r="AD190" t="b">
        <v>1</v>
      </c>
      <c r="AE190" t="n">
        <v>23</v>
      </c>
      <c r="AF190" t="n">
        <v>0</v>
      </c>
      <c r="AG190" t="n">
        <v>23</v>
      </c>
      <c r="AH190" t="n">
        <v>90</v>
      </c>
      <c r="AI190" t="n">
        <v>110</v>
      </c>
      <c r="AJ190" t="n">
        <v>29.71</v>
      </c>
      <c r="AK190" t="inlineStr"/>
      <c r="AL190" t="n">
        <v>1.3</v>
      </c>
      <c r="AM190" t="inlineStr">
        <is>
          <t>ban_thang</t>
        </is>
      </c>
      <c r="AN190" t="n">
        <v>24.4</v>
      </c>
      <c r="AO190" t="n">
        <v>28.57</v>
      </c>
      <c r="AP190" t="n">
        <v>29.69</v>
      </c>
      <c r="AQ190" t="n">
        <v>27.45</v>
      </c>
      <c r="AR190" t="n">
        <v>29</v>
      </c>
      <c r="AS190" t="b">
        <v>1</v>
      </c>
      <c r="AT190" t="inlineStr">
        <is>
          <t>groundMinReach</t>
        </is>
      </c>
      <c r="AU190" t="b">
        <v>0</v>
      </c>
      <c r="AV190" t="inlineStr">
        <is>
          <t>scylla</t>
        </is>
      </c>
      <c r="AW190" t="n">
        <v>28</v>
      </c>
      <c r="AX190" t="n">
        <v>90</v>
      </c>
      <c r="AY190" t="n">
        <v>3.21</v>
      </c>
      <c r="AZ190" t="n">
        <v>28</v>
      </c>
      <c r="BA190" t="inlineStr">
        <is>
          <t>scylla_kh35</t>
        </is>
      </c>
      <c r="BB190" t="n">
        <v>100</v>
      </c>
      <c r="BC190" t="b">
        <v>1</v>
      </c>
      <c r="BD190" t="inlineStr">
        <is>
          <t>Assets/MachineBrigade/Resources/Data/balance.json: vehicles[id=scylla] x Resources/Models/scylla.glb</t>
        </is>
      </c>
      <c r="BE190" t="inlineStr"/>
    </row>
    <row r="191">
      <c r="A191" t="inlineStr">
        <is>
          <t>scylla/2</t>
        </is>
      </c>
      <c r="B191" t="inlineStr">
        <is>
          <t>scylla</t>
        </is>
      </c>
      <c r="C191" t="inlineStr">
        <is>
          <t>scylla_ak230</t>
        </is>
      </c>
      <c r="D191" t="inlineStr"/>
      <c r="E191" t="n">
        <v>2</v>
      </c>
      <c r="F191" t="inlineStr">
        <is>
          <t>mg</t>
        </is>
      </c>
      <c r="G191" t="inlineStr">
        <is>
          <t>Free</t>
        </is>
      </c>
      <c r="H191" t="inlineStr">
        <is>
          <t>phong_khong</t>
        </is>
      </c>
      <c r="I191" t="inlineStr">
        <is>
          <t>phong_khong</t>
        </is>
      </c>
      <c r="J191" t="inlineStr">
        <is>
          <t>Muzzle_mg.001</t>
        </is>
      </c>
      <c r="K191" t="inlineStr">
        <is>
          <t>muzzle</t>
        </is>
      </c>
      <c r="L191" t="inlineStr">
        <is>
          <t>scylla</t>
        </is>
      </c>
      <c r="M191" t="n">
        <v>1.001</v>
      </c>
      <c r="N191" t="n">
        <v>0.5600000000000001</v>
      </c>
      <c r="O191" t="n">
        <v>5.55</v>
      </c>
      <c r="P191" t="inlineStr"/>
      <c r="Q191" t="inlineStr"/>
      <c r="R191" t="n">
        <v>11.73</v>
      </c>
      <c r="S191" t="n">
        <v>10.52</v>
      </c>
      <c r="T191" t="inlineStr">
        <is>
          <t>Mount_mg.001</t>
        </is>
      </c>
      <c r="U191" t="n">
        <v>12.67</v>
      </c>
      <c r="V191" t="n">
        <v>2.16</v>
      </c>
      <c r="W191" t="n">
        <v>6.272</v>
      </c>
      <c r="X191" t="n">
        <v>0</v>
      </c>
      <c r="Y191" t="inlineStr"/>
      <c r="Z191" t="inlineStr"/>
      <c r="AA191" t="inlineStr"/>
      <c r="AB191" t="n">
        <v>360</v>
      </c>
      <c r="AC191" t="inlineStr">
        <is>
          <t>khong_ap</t>
        </is>
      </c>
      <c r="AD191" t="b">
        <v>0</v>
      </c>
      <c r="AE191" t="n">
        <v>0</v>
      </c>
      <c r="AF191" t="n">
        <v>0</v>
      </c>
      <c r="AG191" t="n">
        <v>0</v>
      </c>
      <c r="AH191" t="n">
        <v>45</v>
      </c>
      <c r="AI191" t="n">
        <v>240</v>
      </c>
      <c r="AJ191" t="n">
        <v>21.01</v>
      </c>
      <c r="AK191" t="inlineStr"/>
      <c r="AL191" t="n">
        <v>1.3</v>
      </c>
      <c r="AM191" t="inlineStr">
        <is>
          <t>khong_ap</t>
        </is>
      </c>
      <c r="AN191" t="n">
        <v>0</v>
      </c>
      <c r="AO191" t="n">
        <v>0</v>
      </c>
      <c r="AP191" t="n">
        <v>0</v>
      </c>
      <c r="AQ191" t="n">
        <v>0</v>
      </c>
      <c r="AR191" t="n">
        <v>0</v>
      </c>
      <c r="AS191" t="b">
        <v>0</v>
      </c>
      <c r="AT191" t="inlineStr">
        <is>
          <t>khong_ap</t>
        </is>
      </c>
      <c r="AU191" t="b">
        <v>0</v>
      </c>
      <c r="AV191" t="inlineStr"/>
      <c r="AW191" t="n">
        <v>0</v>
      </c>
      <c r="AX191" t="n">
        <v>45</v>
      </c>
      <c r="AY191" t="inlineStr"/>
      <c r="AZ191" t="n">
        <v>28</v>
      </c>
      <c r="BA191" t="inlineStr">
        <is>
          <t>scylla_kh35</t>
        </is>
      </c>
      <c r="BB191" t="n">
        <v>100</v>
      </c>
      <c r="BC191" t="b">
        <v>1</v>
      </c>
      <c r="BD191" t="inlineStr">
        <is>
          <t>Assets/MachineBrigade/Resources/Data/balance.json: vehicles[id=scylla] x Resources/Models/scylla.glb</t>
        </is>
      </c>
      <c r="BE191" t="inlineStr"/>
    </row>
    <row r="192">
      <c r="A192" t="inlineStr">
        <is>
          <t>scylla/3</t>
        </is>
      </c>
      <c r="B192" t="inlineStr">
        <is>
          <t>scylla</t>
        </is>
      </c>
      <c r="C192" t="inlineStr">
        <is>
          <t>scylla_ak230</t>
        </is>
      </c>
      <c r="D192" t="inlineStr"/>
      <c r="E192" t="n">
        <v>3</v>
      </c>
      <c r="F192" t="inlineStr">
        <is>
          <t>mg</t>
        </is>
      </c>
      <c r="G192" t="inlineStr">
        <is>
          <t>Free</t>
        </is>
      </c>
      <c r="H192" t="inlineStr">
        <is>
          <t>phong_khong</t>
        </is>
      </c>
      <c r="I192" t="inlineStr">
        <is>
          <t>phong_khong</t>
        </is>
      </c>
      <c r="J192" t="inlineStr">
        <is>
          <t>Muzzle_mg.002</t>
        </is>
      </c>
      <c r="K192" t="inlineStr">
        <is>
          <t>muzzle</t>
        </is>
      </c>
      <c r="L192" t="inlineStr">
        <is>
          <t>scylla</t>
        </is>
      </c>
      <c r="M192" t="n">
        <v>1.001</v>
      </c>
      <c r="N192" t="n">
        <v>0.5600000000000001</v>
      </c>
      <c r="O192" t="n">
        <v>5.55</v>
      </c>
      <c r="P192" t="inlineStr"/>
      <c r="Q192" t="inlineStr"/>
      <c r="R192" t="n">
        <v>11.73</v>
      </c>
      <c r="S192" t="n">
        <v>10.52</v>
      </c>
      <c r="T192" t="inlineStr">
        <is>
          <t>Mount_mg.002</t>
        </is>
      </c>
      <c r="U192" t="n">
        <v>12.67</v>
      </c>
      <c r="V192" t="n">
        <v>2.16</v>
      </c>
      <c r="W192" t="n">
        <v>6.272</v>
      </c>
      <c r="X192" t="n">
        <v>0</v>
      </c>
      <c r="Y192" t="inlineStr"/>
      <c r="Z192" t="inlineStr"/>
      <c r="AA192" t="inlineStr"/>
      <c r="AB192" t="n">
        <v>360</v>
      </c>
      <c r="AC192" t="inlineStr">
        <is>
          <t>khong_ap</t>
        </is>
      </c>
      <c r="AD192" t="b">
        <v>0</v>
      </c>
      <c r="AE192" t="n">
        <v>0</v>
      </c>
      <c r="AF192" t="n">
        <v>0</v>
      </c>
      <c r="AG192" t="n">
        <v>0</v>
      </c>
      <c r="AH192" t="n">
        <v>45</v>
      </c>
      <c r="AI192" t="n">
        <v>240</v>
      </c>
      <c r="AJ192" t="n">
        <v>21.01</v>
      </c>
      <c r="AK192" t="inlineStr"/>
      <c r="AL192" t="n">
        <v>1.3</v>
      </c>
      <c r="AM192" t="inlineStr">
        <is>
          <t>khong_ap</t>
        </is>
      </c>
      <c r="AN192" t="n">
        <v>0</v>
      </c>
      <c r="AO192" t="n">
        <v>0</v>
      </c>
      <c r="AP192" t="n">
        <v>0</v>
      </c>
      <c r="AQ192" t="n">
        <v>0</v>
      </c>
      <c r="AR192" t="n">
        <v>0</v>
      </c>
      <c r="AS192" t="b">
        <v>0</v>
      </c>
      <c r="AT192" t="inlineStr">
        <is>
          <t>khong_ap</t>
        </is>
      </c>
      <c r="AU192" t="b">
        <v>0</v>
      </c>
      <c r="AV192" t="inlineStr"/>
      <c r="AW192" t="n">
        <v>0</v>
      </c>
      <c r="AX192" t="n">
        <v>45</v>
      </c>
      <c r="AY192" t="inlineStr"/>
      <c r="AZ192" t="n">
        <v>28</v>
      </c>
      <c r="BA192" t="inlineStr">
        <is>
          <t>scylla_kh35</t>
        </is>
      </c>
      <c r="BB192" t="n">
        <v>100</v>
      </c>
      <c r="BC192" t="b">
        <v>1</v>
      </c>
      <c r="BD192" t="inlineStr">
        <is>
          <t>Assets/MachineBrigade/Resources/Data/balance.json: vehicles[id=scylla] x Resources/Models/scylla.glb</t>
        </is>
      </c>
      <c r="BE192" t="inlineStr"/>
    </row>
    <row r="193">
      <c r="A193" t="inlineStr">
        <is>
          <t>scylla/4</t>
        </is>
      </c>
      <c r="B193" t="inlineStr">
        <is>
          <t>scylla</t>
        </is>
      </c>
      <c r="C193" t="inlineStr">
        <is>
          <t>scylla_2m7</t>
        </is>
      </c>
      <c r="D193" t="inlineStr"/>
      <c r="E193" t="n">
        <v>4</v>
      </c>
      <c r="F193" t="inlineStr">
        <is>
          <t>mg</t>
        </is>
      </c>
      <c r="G193" t="inlineStr">
        <is>
          <t>Free</t>
        </is>
      </c>
      <c r="H193" t="inlineStr">
        <is>
          <t>phong_khong</t>
        </is>
      </c>
      <c r="I193" t="inlineStr">
        <is>
          <t>phong_khong</t>
        </is>
      </c>
      <c r="J193" t="inlineStr">
        <is>
          <t>Muzzle_mg.003</t>
        </is>
      </c>
      <c r="K193" t="inlineStr">
        <is>
          <t>muzzle</t>
        </is>
      </c>
      <c r="L193" t="inlineStr">
        <is>
          <t>scylla</t>
        </is>
      </c>
      <c r="M193" t="n">
        <v>1.001</v>
      </c>
      <c r="N193" t="n">
        <v>0.5600000000000001</v>
      </c>
      <c r="O193" t="n">
        <v>7.43</v>
      </c>
      <c r="P193" t="inlineStr"/>
      <c r="Q193" t="inlineStr"/>
      <c r="R193" t="n">
        <v>11.73</v>
      </c>
      <c r="S193" t="n">
        <v>10.08</v>
      </c>
      <c r="T193" t="inlineStr">
        <is>
          <t>Mount_mg.003</t>
        </is>
      </c>
      <c r="U193" t="n">
        <v>8.44</v>
      </c>
      <c r="V193" t="n">
        <v>1.7</v>
      </c>
      <c r="W193" t="n">
        <v>6.272</v>
      </c>
      <c r="X193" t="n">
        <v>0</v>
      </c>
      <c r="Y193" t="inlineStr"/>
      <c r="Z193" t="inlineStr"/>
      <c r="AA193" t="inlineStr"/>
      <c r="AB193" t="n">
        <v>360</v>
      </c>
      <c r="AC193" t="inlineStr">
        <is>
          <t>khong_ap</t>
        </is>
      </c>
      <c r="AD193" t="b">
        <v>0</v>
      </c>
      <c r="AE193" t="n">
        <v>0</v>
      </c>
      <c r="AF193" t="n">
        <v>0</v>
      </c>
      <c r="AG193" t="n">
        <v>0</v>
      </c>
      <c r="AH193" t="n">
        <v>36</v>
      </c>
      <c r="AI193" t="n">
        <v>230</v>
      </c>
      <c r="AJ193" t="n">
        <v>18.79</v>
      </c>
      <c r="AK193" t="inlineStr"/>
      <c r="AL193" t="n">
        <v>1.3</v>
      </c>
      <c r="AM193" t="inlineStr">
        <is>
          <t>khong_ap</t>
        </is>
      </c>
      <c r="AN193" t="n">
        <v>0</v>
      </c>
      <c r="AO193" t="n">
        <v>0</v>
      </c>
      <c r="AP193" t="n">
        <v>0</v>
      </c>
      <c r="AQ193" t="n">
        <v>0</v>
      </c>
      <c r="AR193" t="n">
        <v>0</v>
      </c>
      <c r="AS193" t="b">
        <v>0</v>
      </c>
      <c r="AT193" t="inlineStr">
        <is>
          <t>khong_ap</t>
        </is>
      </c>
      <c r="AU193" t="b">
        <v>0</v>
      </c>
      <c r="AV193" t="inlineStr"/>
      <c r="AW193" t="n">
        <v>0</v>
      </c>
      <c r="AX193" t="n">
        <v>36</v>
      </c>
      <c r="AY193" t="inlineStr"/>
      <c r="AZ193" t="n">
        <v>28</v>
      </c>
      <c r="BA193" t="inlineStr">
        <is>
          <t>scylla_kh35</t>
        </is>
      </c>
      <c r="BB193" t="n">
        <v>100</v>
      </c>
      <c r="BC193" t="b">
        <v>1</v>
      </c>
      <c r="BD193" t="inlineStr">
        <is>
          <t>Assets/MachineBrigade/Resources/Data/balance.json: vehicles[id=scylla] x Resources/Models/scylla.glb</t>
        </is>
      </c>
      <c r="BE193" t="inlineStr"/>
    </row>
    <row r="194">
      <c r="A194" t="inlineStr">
        <is>
          <t>scylla/5</t>
        </is>
      </c>
      <c r="B194" t="inlineStr">
        <is>
          <t>scylla</t>
        </is>
      </c>
      <c r="C194" t="inlineStr">
        <is>
          <t>scylla_2m7</t>
        </is>
      </c>
      <c r="D194" t="inlineStr"/>
      <c r="E194" t="n">
        <v>5</v>
      </c>
      <c r="F194" t="inlineStr">
        <is>
          <t>mg</t>
        </is>
      </c>
      <c r="G194" t="inlineStr">
        <is>
          <t>Free</t>
        </is>
      </c>
      <c r="H194" t="inlineStr">
        <is>
          <t>phong_khong</t>
        </is>
      </c>
      <c r="I194" t="inlineStr">
        <is>
          <t>phong_khong</t>
        </is>
      </c>
      <c r="J194" t="inlineStr">
        <is>
          <t>Muzzle_mg.004</t>
        </is>
      </c>
      <c r="K194" t="inlineStr">
        <is>
          <t>muzzle</t>
        </is>
      </c>
      <c r="L194" t="inlineStr">
        <is>
          <t>scylla</t>
        </is>
      </c>
      <c r="M194" t="n">
        <v>1.001</v>
      </c>
      <c r="N194" t="n">
        <v>0.5600000000000001</v>
      </c>
      <c r="O194" t="n">
        <v>7.43</v>
      </c>
      <c r="P194" t="inlineStr"/>
      <c r="Q194" t="inlineStr"/>
      <c r="R194" t="n">
        <v>11.73</v>
      </c>
      <c r="S194" t="n">
        <v>10.08</v>
      </c>
      <c r="T194" t="inlineStr">
        <is>
          <t>Mount_mg.004</t>
        </is>
      </c>
      <c r="U194" t="n">
        <v>8.44</v>
      </c>
      <c r="V194" t="n">
        <v>1.7</v>
      </c>
      <c r="W194" t="n">
        <v>6.272</v>
      </c>
      <c r="X194" t="n">
        <v>0</v>
      </c>
      <c r="Y194" t="inlineStr"/>
      <c r="Z194" t="inlineStr"/>
      <c r="AA194" t="inlineStr"/>
      <c r="AB194" t="n">
        <v>360</v>
      </c>
      <c r="AC194" t="inlineStr">
        <is>
          <t>khong_ap</t>
        </is>
      </c>
      <c r="AD194" t="b">
        <v>0</v>
      </c>
      <c r="AE194" t="n">
        <v>0</v>
      </c>
      <c r="AF194" t="n">
        <v>0</v>
      </c>
      <c r="AG194" t="n">
        <v>0</v>
      </c>
      <c r="AH194" t="n">
        <v>36</v>
      </c>
      <c r="AI194" t="n">
        <v>230</v>
      </c>
      <c r="AJ194" t="n">
        <v>18.79</v>
      </c>
      <c r="AK194" t="inlineStr"/>
      <c r="AL194" t="n">
        <v>1.3</v>
      </c>
      <c r="AM194" t="inlineStr">
        <is>
          <t>khong_ap</t>
        </is>
      </c>
      <c r="AN194" t="n">
        <v>0</v>
      </c>
      <c r="AO194" t="n">
        <v>0</v>
      </c>
      <c r="AP194" t="n">
        <v>0</v>
      </c>
      <c r="AQ194" t="n">
        <v>0</v>
      </c>
      <c r="AR194" t="n">
        <v>0</v>
      </c>
      <c r="AS194" t="b">
        <v>0</v>
      </c>
      <c r="AT194" t="inlineStr">
        <is>
          <t>khong_ap</t>
        </is>
      </c>
      <c r="AU194" t="b">
        <v>0</v>
      </c>
      <c r="AV194" t="inlineStr"/>
      <c r="AW194" t="n">
        <v>0</v>
      </c>
      <c r="AX194" t="n">
        <v>36</v>
      </c>
      <c r="AY194" t="inlineStr"/>
      <c r="AZ194" t="n">
        <v>28</v>
      </c>
      <c r="BA194" t="inlineStr">
        <is>
          <t>scylla_kh35</t>
        </is>
      </c>
      <c r="BB194" t="n">
        <v>100</v>
      </c>
      <c r="BC194" t="b">
        <v>1</v>
      </c>
      <c r="BD194" t="inlineStr">
        <is>
          <t>Assets/MachineBrigade/Resources/Data/balance.json: vehicles[id=scylla] x Resources/Models/scylla.glb</t>
        </is>
      </c>
      <c r="BE194" t="inlineStr"/>
    </row>
    <row r="195">
      <c r="A195" t="inlineStr">
        <is>
          <t>scylla/6</t>
        </is>
      </c>
      <c r="B195" t="inlineStr">
        <is>
          <t>scylla</t>
        </is>
      </c>
      <c r="C195" t="inlineStr">
        <is>
          <t>scylla_kh35</t>
        </is>
      </c>
      <c r="D195" t="inlineStr"/>
      <c r="E195" t="n">
        <v>6</v>
      </c>
      <c r="F195" t="inlineStr">
        <is>
          <t>missile</t>
        </is>
      </c>
      <c r="G195" t="inlineStr">
        <is>
          <t>Free</t>
        </is>
      </c>
      <c r="H195" t="inlineStr">
        <is>
          <t>ten_lua</t>
        </is>
      </c>
      <c r="I195" t="inlineStr">
        <is>
          <t>dan_dan</t>
        </is>
      </c>
      <c r="J195" t="inlineStr">
        <is>
          <t>Muzzle_missile</t>
        </is>
      </c>
      <c r="K195" t="inlineStr">
        <is>
          <t>muzzle</t>
        </is>
      </c>
      <c r="L195" t="inlineStr">
        <is>
          <t>scylla</t>
        </is>
      </c>
      <c r="M195" t="n">
        <v>1.001</v>
      </c>
      <c r="N195" t="n">
        <v>0.5600000000000001</v>
      </c>
      <c r="O195" t="n">
        <v>4</v>
      </c>
      <c r="P195" t="inlineStr"/>
      <c r="Q195" t="inlineStr"/>
      <c r="R195" t="n">
        <v>11.73</v>
      </c>
      <c r="S195" t="n">
        <v>10.3</v>
      </c>
      <c r="T195" t="inlineStr">
        <is>
          <t>Mount_missile</t>
        </is>
      </c>
      <c r="U195" t="n">
        <v>10.3</v>
      </c>
      <c r="V195" t="n">
        <v>0</v>
      </c>
      <c r="W195" t="n">
        <v>6.272</v>
      </c>
      <c r="X195" t="n">
        <v>0</v>
      </c>
      <c r="Y195" t="inlineStr"/>
      <c r="Z195" t="inlineStr"/>
      <c r="AA195" t="inlineStr"/>
      <c r="AB195" t="n">
        <v>360</v>
      </c>
      <c r="AC195" t="inlineStr">
        <is>
          <t>missileArmingM</t>
        </is>
      </c>
      <c r="AD195" t="b">
        <v>1</v>
      </c>
      <c r="AE195" t="n">
        <v>0</v>
      </c>
      <c r="AF195" t="n">
        <v>0</v>
      </c>
      <c r="AG195" t="n">
        <v>0</v>
      </c>
      <c r="AH195" t="n">
        <v>110</v>
      </c>
      <c r="AI195" t="n">
        <v>70</v>
      </c>
      <c r="AJ195" t="n">
        <v>32.85</v>
      </c>
      <c r="AK195" t="n">
        <v>1</v>
      </c>
      <c r="AL195" t="n">
        <v>1.3</v>
      </c>
      <c r="AM195" t="inlineStr">
        <is>
          <t>max(vu_trang, khoa)</t>
        </is>
      </c>
      <c r="AN195" t="n">
        <v>1</v>
      </c>
      <c r="AO195" t="n">
        <v>1</v>
      </c>
      <c r="AP195" t="n">
        <v>1</v>
      </c>
      <c r="AQ195" t="n">
        <v>1</v>
      </c>
      <c r="AR195" t="n">
        <v>1</v>
      </c>
      <c r="AS195" t="b">
        <v>1</v>
      </c>
      <c r="AT195" t="inlineStr">
        <is>
          <t>groundMinReach</t>
        </is>
      </c>
      <c r="AU195" t="b">
        <v>0</v>
      </c>
      <c r="AV195" t="inlineStr">
        <is>
          <t>scylla</t>
        </is>
      </c>
      <c r="AW195" t="n">
        <v>1</v>
      </c>
      <c r="AX195" t="n">
        <v>110</v>
      </c>
      <c r="AY195" t="n">
        <v>110</v>
      </c>
      <c r="AZ195" t="n">
        <v>28</v>
      </c>
      <c r="BA195" t="inlineStr">
        <is>
          <t>scylla_kh35</t>
        </is>
      </c>
      <c r="BB195" t="n">
        <v>100</v>
      </c>
      <c r="BC195" t="b">
        <v>1</v>
      </c>
      <c r="BD195" t="inlineStr">
        <is>
          <t>Assets/MachineBrigade/Resources/Data/balance.json: vehicles[id=scylla] x Resources/Models/scylla.glb</t>
        </is>
      </c>
      <c r="BE195" t="inlineStr"/>
    </row>
    <row r="196">
      <c r="A196" t="inlineStr">
        <is>
          <t>scylla/7</t>
        </is>
      </c>
      <c r="B196" t="inlineStr">
        <is>
          <t>scylla</t>
        </is>
      </c>
      <c r="C196" t="inlineStr">
        <is>
          <t>scylla_kh35</t>
        </is>
      </c>
      <c r="D196" t="inlineStr"/>
      <c r="E196" t="n">
        <v>7</v>
      </c>
      <c r="F196" t="inlineStr">
        <is>
          <t>missile</t>
        </is>
      </c>
      <c r="G196" t="inlineStr">
        <is>
          <t>Free</t>
        </is>
      </c>
      <c r="H196" t="inlineStr">
        <is>
          <t>ten_lua</t>
        </is>
      </c>
      <c r="I196" t="inlineStr">
        <is>
          <t>dan_dan</t>
        </is>
      </c>
      <c r="J196" t="inlineStr">
        <is>
          <t>Muzzle_missile.001</t>
        </is>
      </c>
      <c r="K196" t="inlineStr">
        <is>
          <t>muzzle</t>
        </is>
      </c>
      <c r="L196" t="inlineStr">
        <is>
          <t>scylla</t>
        </is>
      </c>
      <c r="M196" t="n">
        <v>1.001</v>
      </c>
      <c r="N196" t="n">
        <v>0.5600000000000001</v>
      </c>
      <c r="O196" t="n">
        <v>4</v>
      </c>
      <c r="P196" t="inlineStr"/>
      <c r="Q196" t="inlineStr"/>
      <c r="R196" t="n">
        <v>11.73</v>
      </c>
      <c r="S196" t="n">
        <v>10.3</v>
      </c>
      <c r="T196" t="inlineStr">
        <is>
          <t>Mount_missile.001</t>
        </is>
      </c>
      <c r="U196" t="n">
        <v>10.3</v>
      </c>
      <c r="V196" t="n">
        <v>0</v>
      </c>
      <c r="W196" t="n">
        <v>6.272</v>
      </c>
      <c r="X196" t="n">
        <v>0</v>
      </c>
      <c r="Y196" t="inlineStr"/>
      <c r="Z196" t="inlineStr"/>
      <c r="AA196" t="inlineStr"/>
      <c r="AB196" t="n">
        <v>360</v>
      </c>
      <c r="AC196" t="inlineStr">
        <is>
          <t>missileArmingM</t>
        </is>
      </c>
      <c r="AD196" t="b">
        <v>1</v>
      </c>
      <c r="AE196" t="n">
        <v>0</v>
      </c>
      <c r="AF196" t="n">
        <v>0</v>
      </c>
      <c r="AG196" t="n">
        <v>0</v>
      </c>
      <c r="AH196" t="n">
        <v>110</v>
      </c>
      <c r="AI196" t="n">
        <v>70</v>
      </c>
      <c r="AJ196" t="n">
        <v>32.85</v>
      </c>
      <c r="AK196" t="n">
        <v>1</v>
      </c>
      <c r="AL196" t="n">
        <v>1.3</v>
      </c>
      <c r="AM196" t="inlineStr">
        <is>
          <t>max(vu_trang, khoa)</t>
        </is>
      </c>
      <c r="AN196" t="n">
        <v>1</v>
      </c>
      <c r="AO196" t="n">
        <v>1</v>
      </c>
      <c r="AP196" t="n">
        <v>1</v>
      </c>
      <c r="AQ196" t="n">
        <v>1</v>
      </c>
      <c r="AR196" t="n">
        <v>1</v>
      </c>
      <c r="AS196" t="b">
        <v>1</v>
      </c>
      <c r="AT196" t="inlineStr">
        <is>
          <t>groundMinReach</t>
        </is>
      </c>
      <c r="AU196" t="b">
        <v>0</v>
      </c>
      <c r="AV196" t="inlineStr">
        <is>
          <t>scylla</t>
        </is>
      </c>
      <c r="AW196" t="n">
        <v>1</v>
      </c>
      <c r="AX196" t="n">
        <v>110</v>
      </c>
      <c r="AY196" t="n">
        <v>110</v>
      </c>
      <c r="AZ196" t="n">
        <v>28</v>
      </c>
      <c r="BA196" t="inlineStr">
        <is>
          <t>scylla_kh35</t>
        </is>
      </c>
      <c r="BB196" t="n">
        <v>100</v>
      </c>
      <c r="BC196" t="b">
        <v>1</v>
      </c>
      <c r="BD196" t="inlineStr">
        <is>
          <t>Assets/MachineBrigade/Resources/Data/balance.json: vehicles[id=scylla] x Resources/Models/scylla.glb</t>
        </is>
      </c>
      <c r="BE196" t="inlineStr"/>
    </row>
    <row r="197">
      <c r="A197" t="inlineStr">
        <is>
          <t>silver_bug/0</t>
        </is>
      </c>
      <c r="B197" t="inlineStr">
        <is>
          <t>silver_bug</t>
        </is>
      </c>
      <c r="C197" t="inlineStr">
        <is>
          <t>p26_icarus_sec_orbital_laser</t>
        </is>
      </c>
      <c r="D197" t="inlineStr">
        <is>
          <t>main_laser</t>
        </is>
      </c>
      <c r="E197" t="n">
        <v>0</v>
      </c>
      <c r="F197" t="inlineStr">
        <is>
          <t>main</t>
        </is>
      </c>
      <c r="G197" t="inlineStr">
        <is>
          <t>Free</t>
        </is>
      </c>
      <c r="H197" t="inlineStr">
        <is>
          <t>phao_boss</t>
        </is>
      </c>
      <c r="I197" t="inlineStr">
        <is>
          <t>chinh</t>
        </is>
      </c>
      <c r="J197" t="inlineStr">
        <is>
          <t>Muzzle_main</t>
        </is>
      </c>
      <c r="K197" t="inlineStr">
        <is>
          <t>muzzle</t>
        </is>
      </c>
      <c r="L197" t="inlineStr">
        <is>
          <t>silver_bug</t>
        </is>
      </c>
      <c r="M197" t="n">
        <v>2.4777</v>
      </c>
      <c r="N197" t="n">
        <v>2.4777</v>
      </c>
      <c r="O197" t="n">
        <v>14.77</v>
      </c>
      <c r="P197" t="n">
        <v>15.06</v>
      </c>
      <c r="Q197" t="n">
        <v>-0.3</v>
      </c>
      <c r="R197" t="n">
        <v>47.84</v>
      </c>
      <c r="S197" t="n">
        <v>26.56</v>
      </c>
      <c r="T197" t="inlineStr">
        <is>
          <t>Turret</t>
        </is>
      </c>
      <c r="U197" t="n">
        <v>17.34</v>
      </c>
      <c r="V197" t="n">
        <v>9.220000000000001</v>
      </c>
      <c r="W197" t="n">
        <v>24.777</v>
      </c>
      <c r="X197" t="n">
        <v>22</v>
      </c>
      <c r="Y197" t="n">
        <v>65</v>
      </c>
      <c r="Z197" t="n">
        <v>5</v>
      </c>
      <c r="AA197" t="inlineStr"/>
      <c r="AB197" t="n">
        <v>360</v>
      </c>
      <c r="AC197" t="inlineStr">
        <is>
          <t>lop:may_bay</t>
        </is>
      </c>
      <c r="AD197" t="b">
        <v>0</v>
      </c>
      <c r="AE197" t="n">
        <v>11</v>
      </c>
      <c r="AF197" t="n">
        <v>0</v>
      </c>
      <c r="AG197" t="n">
        <v>11</v>
      </c>
      <c r="AH197" t="n">
        <v>36</v>
      </c>
      <c r="AI197" t="n">
        <v>3000</v>
      </c>
      <c r="AJ197" t="n">
        <v>18.79</v>
      </c>
      <c r="AK197" t="inlineStr"/>
      <c r="AL197" t="n">
        <v>1.3</v>
      </c>
      <c r="AM197" t="inlineStr">
        <is>
          <t>ban_thang_may_bay</t>
        </is>
      </c>
      <c r="AN197" t="n">
        <v>6.28</v>
      </c>
      <c r="AO197" t="n">
        <v>15.5</v>
      </c>
      <c r="AP197" t="n">
        <v>15.64</v>
      </c>
      <c r="AQ197" t="n">
        <v>15.36</v>
      </c>
      <c r="AR197" t="n">
        <v>15</v>
      </c>
      <c r="AS197" t="b">
        <v>1</v>
      </c>
      <c r="AT197" t="inlineStr">
        <is>
          <t>groundMinReach</t>
        </is>
      </c>
      <c r="AU197" t="b">
        <v>0</v>
      </c>
      <c r="AV197" t="inlineStr">
        <is>
          <t>silver_bug</t>
        </is>
      </c>
      <c r="AW197" t="n">
        <v>12</v>
      </c>
      <c r="AX197" t="n">
        <v>39</v>
      </c>
      <c r="AY197" t="n">
        <v>3.25</v>
      </c>
      <c r="AZ197" t="n">
        <v>0</v>
      </c>
      <c r="BA197" t="inlineStr"/>
      <c r="BB197" t="n">
        <v>100</v>
      </c>
      <c r="BC197" t="b">
        <v>1</v>
      </c>
      <c r="BD197" t="inlineStr">
        <is>
          <t>Assets/MachineBrigade/Resources/Data/balance.json: vehicles[id=silver_bug] x Resources/Models/silver_bug.glb</t>
        </is>
      </c>
      <c r="BE197" t="inlineStr"/>
    </row>
    <row r="198">
      <c r="A198" t="inlineStr">
        <is>
          <t>silver_bug/1</t>
        </is>
      </c>
      <c r="B198" t="inlineStr">
        <is>
          <t>silver_bug</t>
        </is>
      </c>
      <c r="C198" t="inlineStr">
        <is>
          <t>p26_icarus_main_ic_coil</t>
        </is>
      </c>
      <c r="D198" t="inlineStr"/>
      <c r="E198" t="n">
        <v>1</v>
      </c>
      <c r="F198" t="inlineStr">
        <is>
          <t>gun</t>
        </is>
      </c>
      <c r="G198" t="inlineStr">
        <is>
          <t>Free</t>
        </is>
      </c>
      <c r="H198" t="inlineStr">
        <is>
          <t>phao_boss</t>
        </is>
      </c>
      <c r="I198" t="inlineStr">
        <is>
          <t>chinh</t>
        </is>
      </c>
      <c r="J198" t="inlineStr">
        <is>
          <t>Muzzle_gun</t>
        </is>
      </c>
      <c r="K198" t="inlineStr">
        <is>
          <t>muzzle</t>
        </is>
      </c>
      <c r="L198" t="inlineStr">
        <is>
          <t>silver_bug</t>
        </is>
      </c>
      <c r="M198" t="n">
        <v>2.4777</v>
      </c>
      <c r="N198" t="n">
        <v>2.4777</v>
      </c>
      <c r="O198" t="n">
        <v>26.33</v>
      </c>
      <c r="P198" t="inlineStr"/>
      <c r="Q198" t="inlineStr"/>
      <c r="R198" t="n">
        <v>47.84</v>
      </c>
      <c r="S198" t="n">
        <v>28.73</v>
      </c>
      <c r="T198" t="inlineStr">
        <is>
          <t>Mount_gun</t>
        </is>
      </c>
      <c r="U198" t="n">
        <v>11.32</v>
      </c>
      <c r="V198" t="n">
        <v>23.17</v>
      </c>
      <c r="W198" t="n">
        <v>24.777</v>
      </c>
      <c r="X198" t="n">
        <v>22</v>
      </c>
      <c r="Y198" t="n">
        <v>65</v>
      </c>
      <c r="Z198" t="n">
        <v>5</v>
      </c>
      <c r="AA198" t="inlineStr"/>
      <c r="AB198" t="n">
        <v>360</v>
      </c>
      <c r="AC198" t="inlineStr">
        <is>
          <t>lop:may_bay</t>
        </is>
      </c>
      <c r="AD198" t="b">
        <v>0</v>
      </c>
      <c r="AE198" t="n">
        <v>19</v>
      </c>
      <c r="AF198" t="n">
        <v>0</v>
      </c>
      <c r="AG198" t="n">
        <v>19</v>
      </c>
      <c r="AH198" t="n">
        <v>55</v>
      </c>
      <c r="AI198" t="n">
        <v>420</v>
      </c>
      <c r="AJ198" t="n">
        <v>23.23</v>
      </c>
      <c r="AK198" t="inlineStr"/>
      <c r="AL198" t="n">
        <v>1.3</v>
      </c>
      <c r="AM198" t="inlineStr">
        <is>
          <t>ban_thang_may_bay</t>
        </is>
      </c>
      <c r="AN198" t="n">
        <v>11.67</v>
      </c>
      <c r="AO198" t="n">
        <v>34.84</v>
      </c>
      <c r="AP198" t="n">
        <v>34.98</v>
      </c>
      <c r="AQ198" t="n">
        <v>34.7</v>
      </c>
      <c r="AR198" t="n">
        <v>35</v>
      </c>
      <c r="AS198" t="b">
        <v>1</v>
      </c>
      <c r="AT198" t="inlineStr">
        <is>
          <t>groundMinReach</t>
        </is>
      </c>
      <c r="AU198" t="b">
        <v>0</v>
      </c>
      <c r="AV198" t="inlineStr">
        <is>
          <t>silver_bug</t>
        </is>
      </c>
      <c r="AW198" t="n">
        <v>19</v>
      </c>
      <c r="AX198" t="n">
        <v>61</v>
      </c>
      <c r="AY198" t="n">
        <v>3.21</v>
      </c>
      <c r="AZ198" t="n">
        <v>0</v>
      </c>
      <c r="BA198" t="inlineStr"/>
      <c r="BB198" t="n">
        <v>100</v>
      </c>
      <c r="BC198" t="b">
        <v>1</v>
      </c>
      <c r="BD198" t="inlineStr">
        <is>
          <t>Assets/MachineBrigade/Resources/Data/balance.json: vehicles[id=silver_bug] x Resources/Models/silver_bug.glb</t>
        </is>
      </c>
      <c r="BE198" t="inlineStr"/>
    </row>
    <row r="199">
      <c r="A199" t="inlineStr">
        <is>
          <t>silver_bug/2</t>
        </is>
      </c>
      <c r="B199" t="inlineStr">
        <is>
          <t>silver_bug</t>
        </is>
      </c>
      <c r="C199" t="inlineStr">
        <is>
          <t>p26_icarus_main_ic_coil</t>
        </is>
      </c>
      <c r="D199" t="inlineStr"/>
      <c r="E199" t="n">
        <v>2</v>
      </c>
      <c r="F199" t="inlineStr">
        <is>
          <t>gun</t>
        </is>
      </c>
      <c r="G199" t="inlineStr">
        <is>
          <t>Free</t>
        </is>
      </c>
      <c r="H199" t="inlineStr">
        <is>
          <t>phao_boss</t>
        </is>
      </c>
      <c r="I199" t="inlineStr">
        <is>
          <t>chinh</t>
        </is>
      </c>
      <c r="J199" t="inlineStr">
        <is>
          <t>Muzzle_gun.001</t>
        </is>
      </c>
      <c r="K199" t="inlineStr">
        <is>
          <t>muzzle</t>
        </is>
      </c>
      <c r="L199" t="inlineStr">
        <is>
          <t>silver_bug</t>
        </is>
      </c>
      <c r="M199" t="n">
        <v>2.4777</v>
      </c>
      <c r="N199" t="n">
        <v>2.4777</v>
      </c>
      <c r="O199" t="n">
        <v>26.33</v>
      </c>
      <c r="P199" t="inlineStr"/>
      <c r="Q199" t="inlineStr"/>
      <c r="R199" t="n">
        <v>47.84</v>
      </c>
      <c r="S199" t="n">
        <v>28.73</v>
      </c>
      <c r="T199" t="inlineStr">
        <is>
          <t>Mount_gun.001</t>
        </is>
      </c>
      <c r="U199" t="n">
        <v>11.32</v>
      </c>
      <c r="V199" t="n">
        <v>23.17</v>
      </c>
      <c r="W199" t="n">
        <v>24.777</v>
      </c>
      <c r="X199" t="n">
        <v>22</v>
      </c>
      <c r="Y199" t="n">
        <v>65</v>
      </c>
      <c r="Z199" t="n">
        <v>5</v>
      </c>
      <c r="AA199" t="inlineStr"/>
      <c r="AB199" t="n">
        <v>360</v>
      </c>
      <c r="AC199" t="inlineStr">
        <is>
          <t>lop:may_bay</t>
        </is>
      </c>
      <c r="AD199" t="b">
        <v>0</v>
      </c>
      <c r="AE199" t="n">
        <v>19</v>
      </c>
      <c r="AF199" t="n">
        <v>0</v>
      </c>
      <c r="AG199" t="n">
        <v>19</v>
      </c>
      <c r="AH199" t="n">
        <v>55</v>
      </c>
      <c r="AI199" t="n">
        <v>420</v>
      </c>
      <c r="AJ199" t="n">
        <v>23.23</v>
      </c>
      <c r="AK199" t="inlineStr"/>
      <c r="AL199" t="n">
        <v>1.3</v>
      </c>
      <c r="AM199" t="inlineStr">
        <is>
          <t>ban_thang_may_bay</t>
        </is>
      </c>
      <c r="AN199" t="n">
        <v>11.67</v>
      </c>
      <c r="AO199" t="n">
        <v>34.84</v>
      </c>
      <c r="AP199" t="n">
        <v>34.98</v>
      </c>
      <c r="AQ199" t="n">
        <v>34.7</v>
      </c>
      <c r="AR199" t="n">
        <v>35</v>
      </c>
      <c r="AS199" t="b">
        <v>1</v>
      </c>
      <c r="AT199" t="inlineStr">
        <is>
          <t>groundMinReach</t>
        </is>
      </c>
      <c r="AU199" t="b">
        <v>0</v>
      </c>
      <c r="AV199" t="inlineStr">
        <is>
          <t>silver_bug</t>
        </is>
      </c>
      <c r="AW199" t="n">
        <v>19</v>
      </c>
      <c r="AX199" t="n">
        <v>61</v>
      </c>
      <c r="AY199" t="n">
        <v>3.21</v>
      </c>
      <c r="AZ199" t="n">
        <v>0</v>
      </c>
      <c r="BA199" t="inlineStr"/>
      <c r="BB199" t="n">
        <v>100</v>
      </c>
      <c r="BC199" t="b">
        <v>1</v>
      </c>
      <c r="BD199" t="inlineStr">
        <is>
          <t>Assets/MachineBrigade/Resources/Data/balance.json: vehicles[id=silver_bug] x Resources/Models/silver_bug.glb</t>
        </is>
      </c>
      <c r="BE199" t="inlineStr"/>
    </row>
    <row r="200">
      <c r="A200" t="inlineStr">
        <is>
          <t>silver_bug/3</t>
        </is>
      </c>
      <c r="B200" t="inlineStr">
        <is>
          <t>silver_bug</t>
        </is>
      </c>
      <c r="C200" t="inlineStr">
        <is>
          <t>p26_icarus_direct_ic_laser</t>
        </is>
      </c>
      <c r="D200" t="inlineStr"/>
      <c r="E200" t="n">
        <v>3</v>
      </c>
      <c r="F200" t="inlineStr">
        <is>
          <t>gun</t>
        </is>
      </c>
      <c r="G200" t="inlineStr">
        <is>
          <t>Free</t>
        </is>
      </c>
      <c r="H200" t="inlineStr">
        <is>
          <t>phao_boss</t>
        </is>
      </c>
      <c r="I200" t="inlineStr">
        <is>
          <t>chinh</t>
        </is>
      </c>
      <c r="J200" t="inlineStr">
        <is>
          <t>Muzzle_gun.002</t>
        </is>
      </c>
      <c r="K200" t="inlineStr">
        <is>
          <t>muzzle</t>
        </is>
      </c>
      <c r="L200" t="inlineStr">
        <is>
          <t>silver_bug</t>
        </is>
      </c>
      <c r="M200" t="n">
        <v>2.4777</v>
      </c>
      <c r="N200" t="n">
        <v>2.4777</v>
      </c>
      <c r="O200" t="n">
        <v>31.66</v>
      </c>
      <c r="P200" t="inlineStr"/>
      <c r="Q200" t="inlineStr"/>
      <c r="R200" t="n">
        <v>47.84</v>
      </c>
      <c r="S200" t="n">
        <v>7.22</v>
      </c>
      <c r="T200" t="inlineStr">
        <is>
          <t>Mount_gun.002</t>
        </is>
      </c>
      <c r="U200" t="n">
        <v>7.82</v>
      </c>
      <c r="V200" t="n">
        <v>3.79</v>
      </c>
      <c r="W200" t="n">
        <v>24.777</v>
      </c>
      <c r="X200" t="n">
        <v>22</v>
      </c>
      <c r="Y200" t="n">
        <v>65</v>
      </c>
      <c r="Z200" t="n">
        <v>5</v>
      </c>
      <c r="AA200" t="inlineStr"/>
      <c r="AB200" t="n">
        <v>360</v>
      </c>
      <c r="AC200" t="inlineStr">
        <is>
          <t>lop:may_bay</t>
        </is>
      </c>
      <c r="AD200" t="b">
        <v>0</v>
      </c>
      <c r="AE200" t="n">
        <v>18</v>
      </c>
      <c r="AF200" t="n">
        <v>0</v>
      </c>
      <c r="AG200" t="n">
        <v>18</v>
      </c>
      <c r="AH200" t="n">
        <v>36</v>
      </c>
      <c r="AI200" t="n">
        <v>3000</v>
      </c>
      <c r="AJ200" t="n">
        <v>18.79</v>
      </c>
      <c r="AK200" t="inlineStr"/>
      <c r="AL200" t="n">
        <v>1.3</v>
      </c>
      <c r="AM200" t="inlineStr">
        <is>
          <t>ban_thang_may_bay</t>
        </is>
      </c>
      <c r="AN200" t="n">
        <v>14.16</v>
      </c>
      <c r="AO200" t="n">
        <v>17.95</v>
      </c>
      <c r="AP200" t="n">
        <v>18.09</v>
      </c>
      <c r="AQ200" t="n">
        <v>17.81</v>
      </c>
      <c r="AR200" t="n">
        <v>18</v>
      </c>
      <c r="AS200" t="b">
        <v>1</v>
      </c>
      <c r="AT200" t="inlineStr">
        <is>
          <t>groundMinReach</t>
        </is>
      </c>
      <c r="AU200" t="b">
        <v>0</v>
      </c>
      <c r="AV200" t="inlineStr">
        <is>
          <t>silver_bug</t>
        </is>
      </c>
      <c r="AW200" t="n">
        <v>21</v>
      </c>
      <c r="AX200" t="n">
        <v>68</v>
      </c>
      <c r="AY200" t="n">
        <v>3.24</v>
      </c>
      <c r="AZ200" t="n">
        <v>0</v>
      </c>
      <c r="BA200" t="inlineStr"/>
      <c r="BB200" t="n">
        <v>100</v>
      </c>
      <c r="BC200" t="b">
        <v>1</v>
      </c>
      <c r="BD200" t="inlineStr">
        <is>
          <t>Assets/MachineBrigade/Resources/Data/balance.json: vehicles[id=silver_bug] x Resources/Models/silver_bug.glb</t>
        </is>
      </c>
      <c r="BE200" t="inlineStr"/>
    </row>
    <row r="201">
      <c r="A201" t="inlineStr">
        <is>
          <t>silver_bug/4</t>
        </is>
      </c>
      <c r="B201" t="inlineStr">
        <is>
          <t>silver_bug</t>
        </is>
      </c>
      <c r="C201" t="inlineStr">
        <is>
          <t>p26_icarus_direct_ic_laser</t>
        </is>
      </c>
      <c r="D201" t="inlineStr"/>
      <c r="E201" t="n">
        <v>4</v>
      </c>
      <c r="F201" t="inlineStr">
        <is>
          <t>gun</t>
        </is>
      </c>
      <c r="G201" t="inlineStr">
        <is>
          <t>Free</t>
        </is>
      </c>
      <c r="H201" t="inlineStr">
        <is>
          <t>phao_boss</t>
        </is>
      </c>
      <c r="I201" t="inlineStr">
        <is>
          <t>chinh</t>
        </is>
      </c>
      <c r="J201" t="inlineStr">
        <is>
          <t>Muzzle_gun.003</t>
        </is>
      </c>
      <c r="K201" t="inlineStr">
        <is>
          <t>muzzle</t>
        </is>
      </c>
      <c r="L201" t="inlineStr">
        <is>
          <t>silver_bug</t>
        </is>
      </c>
      <c r="M201" t="n">
        <v>2.4777</v>
      </c>
      <c r="N201" t="n">
        <v>2.4777</v>
      </c>
      <c r="O201" t="n">
        <v>31.66</v>
      </c>
      <c r="P201" t="inlineStr"/>
      <c r="Q201" t="inlineStr"/>
      <c r="R201" t="n">
        <v>47.84</v>
      </c>
      <c r="S201" t="n">
        <v>7.22</v>
      </c>
      <c r="T201" t="inlineStr">
        <is>
          <t>Mount_gun.003</t>
        </is>
      </c>
      <c r="U201" t="n">
        <v>7.82</v>
      </c>
      <c r="V201" t="n">
        <v>3.79</v>
      </c>
      <c r="W201" t="n">
        <v>24.777</v>
      </c>
      <c r="X201" t="n">
        <v>22</v>
      </c>
      <c r="Y201" t="n">
        <v>65</v>
      </c>
      <c r="Z201" t="n">
        <v>5</v>
      </c>
      <c r="AA201" t="inlineStr"/>
      <c r="AB201" t="n">
        <v>360</v>
      </c>
      <c r="AC201" t="inlineStr">
        <is>
          <t>lop:may_bay</t>
        </is>
      </c>
      <c r="AD201" t="b">
        <v>0</v>
      </c>
      <c r="AE201" t="n">
        <v>18</v>
      </c>
      <c r="AF201" t="n">
        <v>0</v>
      </c>
      <c r="AG201" t="n">
        <v>18</v>
      </c>
      <c r="AH201" t="n">
        <v>36</v>
      </c>
      <c r="AI201" t="n">
        <v>3000</v>
      </c>
      <c r="AJ201" t="n">
        <v>18.79</v>
      </c>
      <c r="AK201" t="inlineStr"/>
      <c r="AL201" t="n">
        <v>1.3</v>
      </c>
      <c r="AM201" t="inlineStr">
        <is>
          <t>ban_thang_may_bay</t>
        </is>
      </c>
      <c r="AN201" t="n">
        <v>14.16</v>
      </c>
      <c r="AO201" t="n">
        <v>17.95</v>
      </c>
      <c r="AP201" t="n">
        <v>18.09</v>
      </c>
      <c r="AQ201" t="n">
        <v>17.81</v>
      </c>
      <c r="AR201" t="n">
        <v>18</v>
      </c>
      <c r="AS201" t="b">
        <v>1</v>
      </c>
      <c r="AT201" t="inlineStr">
        <is>
          <t>groundMinReach</t>
        </is>
      </c>
      <c r="AU201" t="b">
        <v>0</v>
      </c>
      <c r="AV201" t="inlineStr">
        <is>
          <t>silver_bug</t>
        </is>
      </c>
      <c r="AW201" t="n">
        <v>21</v>
      </c>
      <c r="AX201" t="n">
        <v>68</v>
      </c>
      <c r="AY201" t="n">
        <v>3.24</v>
      </c>
      <c r="AZ201" t="n">
        <v>0</v>
      </c>
      <c r="BA201" t="inlineStr"/>
      <c r="BB201" t="n">
        <v>100</v>
      </c>
      <c r="BC201" t="b">
        <v>1</v>
      </c>
      <c r="BD201" t="inlineStr">
        <is>
          <t>Assets/MachineBrigade/Resources/Data/balance.json: vehicles[id=silver_bug] x Resources/Models/silver_bug.glb</t>
        </is>
      </c>
      <c r="BE201" t="inlineStr"/>
    </row>
    <row r="202">
      <c r="A202" t="inlineStr">
        <is>
          <t>silver_bug/5</t>
        </is>
      </c>
      <c r="B202" t="inlineStr">
        <is>
          <t>silver_bug</t>
        </is>
      </c>
      <c r="C202" t="inlineStr">
        <is>
          <t>pt14_sb_v30</t>
        </is>
      </c>
      <c r="D202" t="inlineStr"/>
      <c r="E202" t="n">
        <v>5</v>
      </c>
      <c r="F202" t="inlineStr">
        <is>
          <t>gun</t>
        </is>
      </c>
      <c r="G202" t="inlineStr">
        <is>
          <t>Free</t>
        </is>
      </c>
      <c r="H202" t="inlineStr">
        <is>
          <t>phao_nho_ciws</t>
        </is>
      </c>
      <c r="I202" t="inlineStr">
        <is>
          <t>phong_thu_gan</t>
        </is>
      </c>
      <c r="J202" t="inlineStr">
        <is>
          <t>Muzzle_gun.004</t>
        </is>
      </c>
      <c r="K202" t="inlineStr">
        <is>
          <t>muzzle</t>
        </is>
      </c>
      <c r="L202" t="inlineStr">
        <is>
          <t>silver_bug</t>
        </is>
      </c>
      <c r="M202" t="n">
        <v>2.4777</v>
      </c>
      <c r="N202" t="n">
        <v>2.4777</v>
      </c>
      <c r="O202" t="n">
        <v>14.39</v>
      </c>
      <c r="P202" t="inlineStr"/>
      <c r="Q202" t="inlineStr"/>
      <c r="R202" t="n">
        <v>47.84</v>
      </c>
      <c r="S202" t="n">
        <v>31.33</v>
      </c>
      <c r="T202" t="inlineStr">
        <is>
          <t>Mount_gun.004</t>
        </is>
      </c>
      <c r="U202" t="n">
        <v>24.61</v>
      </c>
      <c r="V202" t="n">
        <v>6.94</v>
      </c>
      <c r="W202" t="n">
        <v>24.777</v>
      </c>
      <c r="X202" t="n">
        <v>22</v>
      </c>
      <c r="Y202" t="n">
        <v>65</v>
      </c>
      <c r="Z202" t="n">
        <v>5</v>
      </c>
      <c r="AA202" t="inlineStr"/>
      <c r="AB202" t="n">
        <v>360</v>
      </c>
      <c r="AC202" t="inlineStr">
        <is>
          <t>lop:may_bay</t>
        </is>
      </c>
      <c r="AD202" t="b">
        <v>0</v>
      </c>
      <c r="AE202" t="n">
        <v>0</v>
      </c>
      <c r="AF202" t="n">
        <v>0</v>
      </c>
      <c r="AG202" t="n">
        <v>0</v>
      </c>
      <c r="AH202" t="n">
        <v>32</v>
      </c>
      <c r="AI202" t="n">
        <v>200</v>
      </c>
      <c r="AJ202" t="n">
        <v>17.72</v>
      </c>
      <c r="AK202" t="inlineStr"/>
      <c r="AL202" t="n">
        <v>1.3</v>
      </c>
      <c r="AM202" t="inlineStr">
        <is>
          <t>ban_thang_may_bay</t>
        </is>
      </c>
      <c r="AN202" t="n">
        <v>6.1</v>
      </c>
      <c r="AO202" t="n">
        <v>13.04</v>
      </c>
      <c r="AP202" t="n">
        <v>13.18</v>
      </c>
      <c r="AQ202" t="n">
        <v>12.9</v>
      </c>
      <c r="AR202" t="n">
        <v>0</v>
      </c>
      <c r="AS202" t="b">
        <v>0</v>
      </c>
      <c r="AT202" t="inlineStr">
        <is>
          <t>khong_ap:phong_thu_gan</t>
        </is>
      </c>
      <c r="AU202" t="b">
        <v>0</v>
      </c>
      <c r="AV202" t="inlineStr"/>
      <c r="AW202" t="n">
        <v>0</v>
      </c>
      <c r="AX202" t="n">
        <v>32</v>
      </c>
      <c r="AY202" t="inlineStr"/>
      <c r="AZ202" t="n">
        <v>0</v>
      </c>
      <c r="BA202" t="inlineStr"/>
      <c r="BB202" t="n">
        <v>100</v>
      </c>
      <c r="BC202" t="b">
        <v>1</v>
      </c>
      <c r="BD202" t="inlineStr">
        <is>
          <t>Assets/MachineBrigade/Resources/Data/balance.json: vehicles[id=silver_bug] x Resources/Models/silver_bug.glb</t>
        </is>
      </c>
      <c r="BE202" t="inlineStr"/>
    </row>
    <row r="203">
      <c r="A203" t="inlineStr">
        <is>
          <t>silver_bug/6</t>
        </is>
      </c>
      <c r="B203" t="inlineStr">
        <is>
          <t>silver_bug</t>
        </is>
      </c>
      <c r="C203" t="inlineStr">
        <is>
          <t>pt14_sb_v30</t>
        </is>
      </c>
      <c r="D203" t="inlineStr"/>
      <c r="E203" t="n">
        <v>6</v>
      </c>
      <c r="F203" t="inlineStr">
        <is>
          <t>gun</t>
        </is>
      </c>
      <c r="G203" t="inlineStr">
        <is>
          <t>Free</t>
        </is>
      </c>
      <c r="H203" t="inlineStr">
        <is>
          <t>phao_nho_ciws</t>
        </is>
      </c>
      <c r="I203" t="inlineStr">
        <is>
          <t>phong_thu_gan</t>
        </is>
      </c>
      <c r="J203" t="inlineStr">
        <is>
          <t>Muzzle_gun.005</t>
        </is>
      </c>
      <c r="K203" t="inlineStr">
        <is>
          <t>muzzle</t>
        </is>
      </c>
      <c r="L203" t="inlineStr">
        <is>
          <t>silver_bug</t>
        </is>
      </c>
      <c r="M203" t="n">
        <v>2.4777</v>
      </c>
      <c r="N203" t="n">
        <v>2.4777</v>
      </c>
      <c r="O203" t="n">
        <v>14.39</v>
      </c>
      <c r="P203" t="inlineStr"/>
      <c r="Q203" t="inlineStr"/>
      <c r="R203" t="n">
        <v>47.84</v>
      </c>
      <c r="S203" t="n">
        <v>31.33</v>
      </c>
      <c r="T203" t="inlineStr">
        <is>
          <t>Mount_gun.005</t>
        </is>
      </c>
      <c r="U203" t="n">
        <v>24.61</v>
      </c>
      <c r="V203" t="n">
        <v>6.94</v>
      </c>
      <c r="W203" t="n">
        <v>24.777</v>
      </c>
      <c r="X203" t="n">
        <v>22</v>
      </c>
      <c r="Y203" t="n">
        <v>65</v>
      </c>
      <c r="Z203" t="n">
        <v>5</v>
      </c>
      <c r="AA203" t="inlineStr"/>
      <c r="AB203" t="n">
        <v>360</v>
      </c>
      <c r="AC203" t="inlineStr">
        <is>
          <t>lop:may_bay</t>
        </is>
      </c>
      <c r="AD203" t="b">
        <v>0</v>
      </c>
      <c r="AE203" t="n">
        <v>0</v>
      </c>
      <c r="AF203" t="n">
        <v>0</v>
      </c>
      <c r="AG203" t="n">
        <v>0</v>
      </c>
      <c r="AH203" t="n">
        <v>32</v>
      </c>
      <c r="AI203" t="n">
        <v>200</v>
      </c>
      <c r="AJ203" t="n">
        <v>17.72</v>
      </c>
      <c r="AK203" t="inlineStr"/>
      <c r="AL203" t="n">
        <v>1.3</v>
      </c>
      <c r="AM203" t="inlineStr">
        <is>
          <t>ban_thang_may_bay</t>
        </is>
      </c>
      <c r="AN203" t="n">
        <v>6.1</v>
      </c>
      <c r="AO203" t="n">
        <v>13.04</v>
      </c>
      <c r="AP203" t="n">
        <v>13.18</v>
      </c>
      <c r="AQ203" t="n">
        <v>12.9</v>
      </c>
      <c r="AR203" t="n">
        <v>0</v>
      </c>
      <c r="AS203" t="b">
        <v>0</v>
      </c>
      <c r="AT203" t="inlineStr">
        <is>
          <t>khong_ap:phong_thu_gan</t>
        </is>
      </c>
      <c r="AU203" t="b">
        <v>0</v>
      </c>
      <c r="AV203" t="inlineStr"/>
      <c r="AW203" t="n">
        <v>0</v>
      </c>
      <c r="AX203" t="n">
        <v>32</v>
      </c>
      <c r="AY203" t="inlineStr"/>
      <c r="AZ203" t="n">
        <v>0</v>
      </c>
      <c r="BA203" t="inlineStr"/>
      <c r="BB203" t="n">
        <v>100</v>
      </c>
      <c r="BC203" t="b">
        <v>1</v>
      </c>
      <c r="BD203" t="inlineStr">
        <is>
          <t>Assets/MachineBrigade/Resources/Data/balance.json: vehicles[id=silver_bug] x Resources/Models/silver_bug.glb</t>
        </is>
      </c>
      <c r="BE203" t="inlineStr"/>
    </row>
    <row r="204">
      <c r="A204" t="inlineStr">
        <is>
          <t>silver_bug/7</t>
        </is>
      </c>
      <c r="B204" t="inlineStr">
        <is>
          <t>silver_bug</t>
        </is>
      </c>
      <c r="C204" t="inlineStr">
        <is>
          <t>pt14_sb_v105</t>
        </is>
      </c>
      <c r="D204" t="inlineStr"/>
      <c r="E204" t="n">
        <v>7</v>
      </c>
      <c r="F204" t="inlineStr">
        <is>
          <t>gun</t>
        </is>
      </c>
      <c r="G204" t="inlineStr">
        <is>
          <t>Free</t>
        </is>
      </c>
      <c r="H204" t="inlineStr">
        <is>
          <t>phao_boss</t>
        </is>
      </c>
      <c r="I204" t="inlineStr">
        <is>
          <t>chinh</t>
        </is>
      </c>
      <c r="J204" t="inlineStr">
        <is>
          <t>Muzzle_gun.006</t>
        </is>
      </c>
      <c r="K204" t="inlineStr">
        <is>
          <t>muzzle</t>
        </is>
      </c>
      <c r="L204" t="inlineStr">
        <is>
          <t>silver_bug</t>
        </is>
      </c>
      <c r="M204" t="n">
        <v>2.4777</v>
      </c>
      <c r="N204" t="n">
        <v>2.4777</v>
      </c>
      <c r="O204" t="n">
        <v>10.98</v>
      </c>
      <c r="P204" t="inlineStr"/>
      <c r="Q204" t="inlineStr"/>
      <c r="R204" t="n">
        <v>47.84</v>
      </c>
      <c r="S204" t="n">
        <v>12.6</v>
      </c>
      <c r="T204" t="inlineStr">
        <is>
          <t>Mount_gun.006</t>
        </is>
      </c>
      <c r="U204" t="n">
        <v>10.91</v>
      </c>
      <c r="V204" t="n">
        <v>9.19</v>
      </c>
      <c r="W204" t="n">
        <v>24.777</v>
      </c>
      <c r="X204" t="n">
        <v>22</v>
      </c>
      <c r="Y204" t="n">
        <v>65</v>
      </c>
      <c r="Z204" t="n">
        <v>5</v>
      </c>
      <c r="AA204" t="inlineStr"/>
      <c r="AB204" t="n">
        <v>360</v>
      </c>
      <c r="AC204" t="inlineStr">
        <is>
          <t>lop:may_bay</t>
        </is>
      </c>
      <c r="AD204" t="b">
        <v>0</v>
      </c>
      <c r="AE204" t="n">
        <v>0</v>
      </c>
      <c r="AF204" t="n">
        <v>0</v>
      </c>
      <c r="AG204" t="n">
        <v>0</v>
      </c>
      <c r="AH204" t="n">
        <v>50</v>
      </c>
      <c r="AI204" t="n">
        <v>120</v>
      </c>
      <c r="AJ204" t="n">
        <v>22.15</v>
      </c>
      <c r="AK204" t="inlineStr"/>
      <c r="AL204" t="n">
        <v>1.3</v>
      </c>
      <c r="AM204" t="inlineStr">
        <is>
          <t>ban_thang_may_bay</t>
        </is>
      </c>
      <c r="AN204" t="n">
        <v>4.51</v>
      </c>
      <c r="AO204" t="n">
        <v>13.7</v>
      </c>
      <c r="AP204" t="n">
        <v>13.84</v>
      </c>
      <c r="AQ204" t="n">
        <v>13.56</v>
      </c>
      <c r="AR204" t="n">
        <v>14</v>
      </c>
      <c r="AS204" t="b">
        <v>1</v>
      </c>
      <c r="AT204" t="inlineStr">
        <is>
          <t>groundMinReach</t>
        </is>
      </c>
      <c r="AU204" t="b">
        <v>0</v>
      </c>
      <c r="AV204" t="inlineStr"/>
      <c r="AW204" t="n">
        <v>0</v>
      </c>
      <c r="AX204" t="n">
        <v>50</v>
      </c>
      <c r="AY204" t="inlineStr"/>
      <c r="AZ204" t="n">
        <v>0</v>
      </c>
      <c r="BA204" t="inlineStr"/>
      <c r="BB204" t="n">
        <v>100</v>
      </c>
      <c r="BC204" t="b">
        <v>1</v>
      </c>
      <c r="BD204" t="inlineStr">
        <is>
          <t>Assets/MachineBrigade/Resources/Data/balance.json: vehicles[id=silver_bug] x Resources/Models/silver_bug.glb</t>
        </is>
      </c>
      <c r="BE204" t="inlineStr"/>
    </row>
    <row r="205">
      <c r="A205" t="inlineStr">
        <is>
          <t>silver_bug/8</t>
        </is>
      </c>
      <c r="B205" t="inlineStr">
        <is>
          <t>silver_bug</t>
        </is>
      </c>
      <c r="C205" t="inlineStr">
        <is>
          <t>pt14_sb_v105</t>
        </is>
      </c>
      <c r="D205" t="inlineStr"/>
      <c r="E205" t="n">
        <v>8</v>
      </c>
      <c r="F205" t="inlineStr">
        <is>
          <t>gun</t>
        </is>
      </c>
      <c r="G205" t="inlineStr">
        <is>
          <t>Free</t>
        </is>
      </c>
      <c r="H205" t="inlineStr">
        <is>
          <t>phao_boss</t>
        </is>
      </c>
      <c r="I205" t="inlineStr">
        <is>
          <t>chinh</t>
        </is>
      </c>
      <c r="J205" t="inlineStr">
        <is>
          <t>Muzzle_gun.007</t>
        </is>
      </c>
      <c r="K205" t="inlineStr">
        <is>
          <t>muzzle</t>
        </is>
      </c>
      <c r="L205" t="inlineStr">
        <is>
          <t>silver_bug</t>
        </is>
      </c>
      <c r="M205" t="n">
        <v>2.4777</v>
      </c>
      <c r="N205" t="n">
        <v>2.4777</v>
      </c>
      <c r="O205" t="n">
        <v>10.98</v>
      </c>
      <c r="P205" t="inlineStr"/>
      <c r="Q205" t="inlineStr"/>
      <c r="R205" t="n">
        <v>47.84</v>
      </c>
      <c r="S205" t="n">
        <v>12.6</v>
      </c>
      <c r="T205" t="inlineStr">
        <is>
          <t>Mount_gun.007</t>
        </is>
      </c>
      <c r="U205" t="n">
        <v>10.91</v>
      </c>
      <c r="V205" t="n">
        <v>9.19</v>
      </c>
      <c r="W205" t="n">
        <v>24.777</v>
      </c>
      <c r="X205" t="n">
        <v>22</v>
      </c>
      <c r="Y205" t="n">
        <v>65</v>
      </c>
      <c r="Z205" t="n">
        <v>5</v>
      </c>
      <c r="AA205" t="inlineStr"/>
      <c r="AB205" t="n">
        <v>360</v>
      </c>
      <c r="AC205" t="inlineStr">
        <is>
          <t>lop:may_bay</t>
        </is>
      </c>
      <c r="AD205" t="b">
        <v>0</v>
      </c>
      <c r="AE205" t="n">
        <v>0</v>
      </c>
      <c r="AF205" t="n">
        <v>0</v>
      </c>
      <c r="AG205" t="n">
        <v>0</v>
      </c>
      <c r="AH205" t="n">
        <v>50</v>
      </c>
      <c r="AI205" t="n">
        <v>120</v>
      </c>
      <c r="AJ205" t="n">
        <v>22.15</v>
      </c>
      <c r="AK205" t="inlineStr"/>
      <c r="AL205" t="n">
        <v>1.3</v>
      </c>
      <c r="AM205" t="inlineStr">
        <is>
          <t>ban_thang_may_bay</t>
        </is>
      </c>
      <c r="AN205" t="n">
        <v>4.51</v>
      </c>
      <c r="AO205" t="n">
        <v>13.7</v>
      </c>
      <c r="AP205" t="n">
        <v>13.84</v>
      </c>
      <c r="AQ205" t="n">
        <v>13.56</v>
      </c>
      <c r="AR205" t="n">
        <v>14</v>
      </c>
      <c r="AS205" t="b">
        <v>1</v>
      </c>
      <c r="AT205" t="inlineStr">
        <is>
          <t>groundMinReach</t>
        </is>
      </c>
      <c r="AU205" t="b">
        <v>0</v>
      </c>
      <c r="AV205" t="inlineStr"/>
      <c r="AW205" t="n">
        <v>0</v>
      </c>
      <c r="AX205" t="n">
        <v>50</v>
      </c>
      <c r="AY205" t="inlineStr"/>
      <c r="AZ205" t="n">
        <v>0</v>
      </c>
      <c r="BA205" t="inlineStr"/>
      <c r="BB205" t="n">
        <v>100</v>
      </c>
      <c r="BC205" t="b">
        <v>1</v>
      </c>
      <c r="BD205" t="inlineStr">
        <is>
          <t>Assets/MachineBrigade/Resources/Data/balance.json: vehicles[id=silver_bug] x Resources/Models/silver_bug.glb</t>
        </is>
      </c>
      <c r="BE205" t="inlineStr"/>
    </row>
    <row r="206">
      <c r="A206" t="inlineStr">
        <is>
          <t>silver_bug/9</t>
        </is>
      </c>
      <c r="B206" t="inlineStr">
        <is>
          <t>silver_bug</t>
        </is>
      </c>
      <c r="C206" t="inlineStr">
        <is>
          <t>p26_icarus_close_autocannon_40</t>
        </is>
      </c>
      <c r="D206" t="inlineStr">
        <is>
          <t>crash_turret_l</t>
        </is>
      </c>
      <c r="E206" t="n">
        <v>9</v>
      </c>
      <c r="F206" t="inlineStr">
        <is>
          <t>gun</t>
        </is>
      </c>
      <c r="G206" t="inlineStr">
        <is>
          <t>Free</t>
        </is>
      </c>
      <c r="H206" t="inlineStr">
        <is>
          <t>phao_nho_ciws</t>
        </is>
      </c>
      <c r="I206" t="inlineStr">
        <is>
          <t>phong_thu_gan</t>
        </is>
      </c>
      <c r="J206" t="inlineStr">
        <is>
          <t>Muzzle_gun.008</t>
        </is>
      </c>
      <c r="K206" t="inlineStr">
        <is>
          <t>muzzle</t>
        </is>
      </c>
      <c r="L206" t="inlineStr">
        <is>
          <t>silver_bug</t>
        </is>
      </c>
      <c r="M206" t="n">
        <v>2.4777</v>
      </c>
      <c r="N206" t="n">
        <v>2.4777</v>
      </c>
      <c r="O206" t="n">
        <v>24.53</v>
      </c>
      <c r="P206" t="n">
        <v>23.54</v>
      </c>
      <c r="Q206" t="n">
        <v>0.99</v>
      </c>
      <c r="R206" t="n">
        <v>47.84</v>
      </c>
      <c r="S206" t="n">
        <v>17.73</v>
      </c>
      <c r="T206" t="inlineStr">
        <is>
          <t>Mount_gun.008</t>
        </is>
      </c>
      <c r="U206" t="n">
        <v>23.1</v>
      </c>
      <c r="V206" t="n">
        <v>8.300000000000001</v>
      </c>
      <c r="W206" t="n">
        <v>24.777</v>
      </c>
      <c r="X206" t="n">
        <v>22</v>
      </c>
      <c r="Y206" t="n">
        <v>65</v>
      </c>
      <c r="Z206" t="n">
        <v>5</v>
      </c>
      <c r="AA206" t="inlineStr"/>
      <c r="AB206" t="n">
        <v>360</v>
      </c>
      <c r="AC206" t="inlineStr">
        <is>
          <t>lop:may_bay</t>
        </is>
      </c>
      <c r="AD206" t="b">
        <v>0</v>
      </c>
      <c r="AE206" t="n">
        <v>0</v>
      </c>
      <c r="AF206" t="n">
        <v>0</v>
      </c>
      <c r="AG206" t="n">
        <v>0</v>
      </c>
      <c r="AH206" t="n">
        <v>28</v>
      </c>
      <c r="AI206" t="n">
        <v>210</v>
      </c>
      <c r="AJ206" t="n">
        <v>16.57</v>
      </c>
      <c r="AK206" t="inlineStr"/>
      <c r="AL206" t="n">
        <v>1.3</v>
      </c>
      <c r="AM206" t="inlineStr">
        <is>
          <t>ban_thang_may_bay</t>
        </is>
      </c>
      <c r="AN206" t="n">
        <v>10.83</v>
      </c>
      <c r="AO206" t="n">
        <v>19.13</v>
      </c>
      <c r="AP206" t="n">
        <v>19.27</v>
      </c>
      <c r="AQ206" t="n">
        <v>18.99</v>
      </c>
      <c r="AR206" t="n">
        <v>0</v>
      </c>
      <c r="AS206" t="b">
        <v>0</v>
      </c>
      <c r="AT206" t="inlineStr">
        <is>
          <t>khong_ap:phong_thu_gan</t>
        </is>
      </c>
      <c r="AU206" t="b">
        <v>0</v>
      </c>
      <c r="AV206" t="inlineStr"/>
      <c r="AW206" t="n">
        <v>0</v>
      </c>
      <c r="AX206" t="n">
        <v>28</v>
      </c>
      <c r="AY206" t="inlineStr"/>
      <c r="AZ206" t="n">
        <v>0</v>
      </c>
      <c r="BA206" t="inlineStr"/>
      <c r="BB206" t="n">
        <v>100</v>
      </c>
      <c r="BC206" t="b">
        <v>1</v>
      </c>
      <c r="BD206" t="inlineStr">
        <is>
          <t>Assets/MachineBrigade/Resources/Data/balance.json: vehicles[id=silver_bug] x Resources/Models/silver_bug.glb</t>
        </is>
      </c>
      <c r="BE206" t="inlineStr"/>
    </row>
    <row r="207">
      <c r="A207" t="inlineStr">
        <is>
          <t>silver_bug/10</t>
        </is>
      </c>
      <c r="B207" t="inlineStr">
        <is>
          <t>silver_bug</t>
        </is>
      </c>
      <c r="C207" t="inlineStr">
        <is>
          <t>p26_icarus_close_autocannon_40</t>
        </is>
      </c>
      <c r="D207" t="inlineStr">
        <is>
          <t>crash_turret_r</t>
        </is>
      </c>
      <c r="E207" t="n">
        <v>10</v>
      </c>
      <c r="F207" t="inlineStr">
        <is>
          <t>gun</t>
        </is>
      </c>
      <c r="G207" t="inlineStr">
        <is>
          <t>Free</t>
        </is>
      </c>
      <c r="H207" t="inlineStr">
        <is>
          <t>phao_nho_ciws</t>
        </is>
      </c>
      <c r="I207" t="inlineStr">
        <is>
          <t>phong_thu_gan</t>
        </is>
      </c>
      <c r="J207" t="inlineStr">
        <is>
          <t>Muzzle_gun.009</t>
        </is>
      </c>
      <c r="K207" t="inlineStr">
        <is>
          <t>muzzle</t>
        </is>
      </c>
      <c r="L207" t="inlineStr">
        <is>
          <t>silver_bug</t>
        </is>
      </c>
      <c r="M207" t="n">
        <v>2.4777</v>
      </c>
      <c r="N207" t="n">
        <v>2.4777</v>
      </c>
      <c r="O207" t="n">
        <v>24.53</v>
      </c>
      <c r="P207" t="n">
        <v>23.54</v>
      </c>
      <c r="Q207" t="n">
        <v>0.99</v>
      </c>
      <c r="R207" t="n">
        <v>47.84</v>
      </c>
      <c r="S207" t="n">
        <v>17.73</v>
      </c>
      <c r="T207" t="inlineStr">
        <is>
          <t>Mount_gun.009</t>
        </is>
      </c>
      <c r="U207" t="n">
        <v>23.1</v>
      </c>
      <c r="V207" t="n">
        <v>8.300000000000001</v>
      </c>
      <c r="W207" t="n">
        <v>24.777</v>
      </c>
      <c r="X207" t="n">
        <v>22</v>
      </c>
      <c r="Y207" t="n">
        <v>65</v>
      </c>
      <c r="Z207" t="n">
        <v>5</v>
      </c>
      <c r="AA207" t="inlineStr"/>
      <c r="AB207" t="n">
        <v>360</v>
      </c>
      <c r="AC207" t="inlineStr">
        <is>
          <t>lop:may_bay</t>
        </is>
      </c>
      <c r="AD207" t="b">
        <v>0</v>
      </c>
      <c r="AE207" t="n">
        <v>0</v>
      </c>
      <c r="AF207" t="n">
        <v>0</v>
      </c>
      <c r="AG207" t="n">
        <v>0</v>
      </c>
      <c r="AH207" t="n">
        <v>28</v>
      </c>
      <c r="AI207" t="n">
        <v>210</v>
      </c>
      <c r="AJ207" t="n">
        <v>16.57</v>
      </c>
      <c r="AK207" t="inlineStr"/>
      <c r="AL207" t="n">
        <v>1.3</v>
      </c>
      <c r="AM207" t="inlineStr">
        <is>
          <t>ban_thang_may_bay</t>
        </is>
      </c>
      <c r="AN207" t="n">
        <v>10.83</v>
      </c>
      <c r="AO207" t="n">
        <v>19.13</v>
      </c>
      <c r="AP207" t="n">
        <v>19.27</v>
      </c>
      <c r="AQ207" t="n">
        <v>18.99</v>
      </c>
      <c r="AR207" t="n">
        <v>0</v>
      </c>
      <c r="AS207" t="b">
        <v>0</v>
      </c>
      <c r="AT207" t="inlineStr">
        <is>
          <t>khong_ap:phong_thu_gan</t>
        </is>
      </c>
      <c r="AU207" t="b">
        <v>0</v>
      </c>
      <c r="AV207" t="inlineStr"/>
      <c r="AW207" t="n">
        <v>0</v>
      </c>
      <c r="AX207" t="n">
        <v>28</v>
      </c>
      <c r="AY207" t="inlineStr"/>
      <c r="AZ207" t="n">
        <v>0</v>
      </c>
      <c r="BA207" t="inlineStr"/>
      <c r="BB207" t="n">
        <v>100</v>
      </c>
      <c r="BC207" t="b">
        <v>1</v>
      </c>
      <c r="BD207" t="inlineStr">
        <is>
          <t>Assets/MachineBrigade/Resources/Data/balance.json: vehicles[id=silver_bug] x Resources/Models/silver_bug.glb</t>
        </is>
      </c>
      <c r="BE207" t="inlineStr"/>
    </row>
    <row r="208">
      <c r="A208" t="inlineStr">
        <is>
          <t>theia/0</t>
        </is>
      </c>
      <c r="B208" t="inlineStr">
        <is>
          <t>theia</t>
        </is>
      </c>
      <c r="C208" t="inlineStr">
        <is>
          <t>p26_icarus_sec_orbital_laser</t>
        </is>
      </c>
      <c r="D208" t="inlineStr">
        <is>
          <t>main_laser</t>
        </is>
      </c>
      <c r="E208" t="n">
        <v>0</v>
      </c>
      <c r="F208" t="inlineStr">
        <is>
          <t>main</t>
        </is>
      </c>
      <c r="G208" t="inlineStr">
        <is>
          <t>Free</t>
        </is>
      </c>
      <c r="H208" t="inlineStr">
        <is>
          <t>phao_boss</t>
        </is>
      </c>
      <c r="I208" t="inlineStr">
        <is>
          <t>chinh</t>
        </is>
      </c>
      <c r="J208" t="inlineStr">
        <is>
          <t>Muzzle_main</t>
        </is>
      </c>
      <c r="K208" t="inlineStr">
        <is>
          <t>muzzle</t>
        </is>
      </c>
      <c r="L208" t="inlineStr">
        <is>
          <t>theia</t>
        </is>
      </c>
      <c r="M208" t="n">
        <v>1</v>
      </c>
      <c r="N208" t="n">
        <v>0.6</v>
      </c>
      <c r="O208" t="n">
        <v>32.12</v>
      </c>
      <c r="P208" t="n">
        <v>32.2</v>
      </c>
      <c r="Q208" t="n">
        <v>-0.08</v>
      </c>
      <c r="R208" t="n">
        <v>36.24</v>
      </c>
      <c r="S208" t="n">
        <v>14.85</v>
      </c>
      <c r="T208" t="inlineStr">
        <is>
          <t>Turret</t>
        </is>
      </c>
      <c r="U208" t="n">
        <v>9.800000000000001</v>
      </c>
      <c r="V208" t="n">
        <v>5.05</v>
      </c>
      <c r="W208" t="n">
        <v>6</v>
      </c>
      <c r="X208" t="n">
        <v>22</v>
      </c>
      <c r="Y208" t="n">
        <v>65</v>
      </c>
      <c r="Z208" t="n">
        <v>5</v>
      </c>
      <c r="AA208" t="inlineStr"/>
      <c r="AB208" t="n">
        <v>360</v>
      </c>
      <c r="AC208" t="inlineStr">
        <is>
          <t>lop:may_bay</t>
        </is>
      </c>
      <c r="AD208" t="b">
        <v>0</v>
      </c>
      <c r="AE208" t="n">
        <v>11</v>
      </c>
      <c r="AF208" t="n">
        <v>0</v>
      </c>
      <c r="AG208" t="n">
        <v>11</v>
      </c>
      <c r="AH208" t="n">
        <v>36</v>
      </c>
      <c r="AI208" t="n">
        <v>3000</v>
      </c>
      <c r="AJ208" t="n">
        <v>18.79</v>
      </c>
      <c r="AK208" t="inlineStr"/>
      <c r="AL208" t="n">
        <v>1.3</v>
      </c>
      <c r="AM208" t="inlineStr">
        <is>
          <t>ban_thang_may_bay</t>
        </is>
      </c>
      <c r="AN208" t="n">
        <v>14.37</v>
      </c>
      <c r="AO208" t="n">
        <v>19.42</v>
      </c>
      <c r="AP208" t="n">
        <v>19.56</v>
      </c>
      <c r="AQ208" t="n">
        <v>19.28</v>
      </c>
      <c r="AR208" t="n">
        <v>19</v>
      </c>
      <c r="AS208" t="b">
        <v>1</v>
      </c>
      <c r="AT208" t="inlineStr">
        <is>
          <t>groundMinReach</t>
        </is>
      </c>
      <c r="AU208" t="b">
        <v>0</v>
      </c>
      <c r="AV208" t="inlineStr">
        <is>
          <t>theia</t>
        </is>
      </c>
      <c r="AW208" t="n">
        <v>19</v>
      </c>
      <c r="AX208" t="n">
        <v>61</v>
      </c>
      <c r="AY208" t="n">
        <v>3.21</v>
      </c>
      <c r="AZ208" t="n">
        <v>19</v>
      </c>
      <c r="BA208" t="inlineStr">
        <is>
          <t>p26_matriarch_ma_drones;pt14_th_jagm;pt14_th_v35</t>
        </is>
      </c>
      <c r="BB208" t="n">
        <v>100</v>
      </c>
      <c r="BC208" t="b">
        <v>1</v>
      </c>
      <c r="BD208" t="inlineStr">
        <is>
          <t>Assets/MachineBrigade/Resources/Data/balance.json: vehicles[id=theia] x Resources/Models/theia.glb</t>
        </is>
      </c>
      <c r="BE208" t="inlineStr"/>
    </row>
    <row r="209">
      <c r="A209" t="inlineStr">
        <is>
          <t>theia/1</t>
        </is>
      </c>
      <c r="B209" t="inlineStr">
        <is>
          <t>theia</t>
        </is>
      </c>
      <c r="C209" t="inlineStr">
        <is>
          <t>p26_matriarch_ma_drones</t>
        </is>
      </c>
      <c r="D209" t="inlineStr"/>
      <c r="E209" t="n">
        <v>1</v>
      </c>
      <c r="F209" t="inlineStr">
        <is>
          <t>missile</t>
        </is>
      </c>
      <c r="G209" t="inlineStr">
        <is>
          <t>Free</t>
        </is>
      </c>
      <c r="H209" t="inlineStr">
        <is>
          <t>drone</t>
        </is>
      </c>
      <c r="I209" t="inlineStr">
        <is>
          <t>dan_dan</t>
        </is>
      </c>
      <c r="J209" t="inlineStr">
        <is>
          <t>Muzzle_missile</t>
        </is>
      </c>
      <c r="K209" t="inlineStr">
        <is>
          <t>muzzle</t>
        </is>
      </c>
      <c r="L209" t="inlineStr">
        <is>
          <t>theia</t>
        </is>
      </c>
      <c r="M209" t="n">
        <v>1</v>
      </c>
      <c r="N209" t="n">
        <v>0.6</v>
      </c>
      <c r="O209" t="n">
        <v>24.6</v>
      </c>
      <c r="P209" t="inlineStr"/>
      <c r="Q209" t="inlineStr"/>
      <c r="R209" t="n">
        <v>36.24</v>
      </c>
      <c r="S209" t="n">
        <v>1</v>
      </c>
      <c r="T209" t="inlineStr"/>
      <c r="U209" t="n">
        <v>1</v>
      </c>
      <c r="V209" t="n">
        <v>0</v>
      </c>
      <c r="W209" t="n">
        <v>6</v>
      </c>
      <c r="X209" t="n">
        <v>22</v>
      </c>
      <c r="Y209" t="inlineStr"/>
      <c r="Z209" t="inlineStr"/>
      <c r="AA209" t="inlineStr"/>
      <c r="AB209" t="n">
        <v>360</v>
      </c>
      <c r="AC209" t="inlineStr">
        <is>
          <t>missileArmingM</t>
        </is>
      </c>
      <c r="AD209" t="b">
        <v>1</v>
      </c>
      <c r="AE209" t="n">
        <v>1</v>
      </c>
      <c r="AF209" t="n">
        <v>0</v>
      </c>
      <c r="AG209" t="n">
        <v>1</v>
      </c>
      <c r="AH209" t="n">
        <v>70</v>
      </c>
      <c r="AI209" t="n">
        <v>28</v>
      </c>
      <c r="AJ209" t="n">
        <v>26.2</v>
      </c>
      <c r="AK209" t="n">
        <v>1</v>
      </c>
      <c r="AL209" t="n">
        <v>1.3</v>
      </c>
      <c r="AM209" t="inlineStr">
        <is>
          <t>max(vu_trang, khoa)</t>
        </is>
      </c>
      <c r="AN209" t="n">
        <v>1</v>
      </c>
      <c r="AO209" t="n">
        <v>1</v>
      </c>
      <c r="AP209" t="n">
        <v>1</v>
      </c>
      <c r="AQ209" t="n">
        <v>1</v>
      </c>
      <c r="AR209" t="n">
        <v>1</v>
      </c>
      <c r="AS209" t="b">
        <v>1</v>
      </c>
      <c r="AT209" t="inlineStr">
        <is>
          <t>groundMinReach</t>
        </is>
      </c>
      <c r="AU209" t="b">
        <v>0</v>
      </c>
      <c r="AV209" t="inlineStr"/>
      <c r="AW209" t="n">
        <v>1</v>
      </c>
      <c r="AX209" t="n">
        <v>70</v>
      </c>
      <c r="AY209" t="n">
        <v>70</v>
      </c>
      <c r="AZ209" t="n">
        <v>19</v>
      </c>
      <c r="BA209" t="inlineStr">
        <is>
          <t>p26_matriarch_ma_drones;pt14_th_jagm;pt14_th_v35</t>
        </is>
      </c>
      <c r="BB209" t="n">
        <v>100</v>
      </c>
      <c r="BC209" t="b">
        <v>1</v>
      </c>
      <c r="BD209" t="inlineStr">
        <is>
          <t>Assets/MachineBrigade/Resources/Data/balance.json: vehicles[id=theia] x Resources/Models/theia.glb</t>
        </is>
      </c>
      <c r="BE209" t="inlineStr"/>
    </row>
    <row r="210">
      <c r="A210" t="inlineStr">
        <is>
          <t>theia/2</t>
        </is>
      </c>
      <c r="B210" t="inlineStr">
        <is>
          <t>theia</t>
        </is>
      </c>
      <c r="C210" t="inlineStr">
        <is>
          <t>pt14_th_jagm</t>
        </is>
      </c>
      <c r="D210" t="inlineStr"/>
      <c r="E210" t="n">
        <v>2</v>
      </c>
      <c r="F210" t="inlineStr">
        <is>
          <t>rocket</t>
        </is>
      </c>
      <c r="G210" t="inlineStr">
        <is>
          <t>Free</t>
        </is>
      </c>
      <c r="H210" t="inlineStr">
        <is>
          <t>ten_lua</t>
        </is>
      </c>
      <c r="I210" t="inlineStr">
        <is>
          <t>dan_dan</t>
        </is>
      </c>
      <c r="J210" t="inlineStr">
        <is>
          <t>Muzzle_rocket</t>
        </is>
      </c>
      <c r="K210" t="inlineStr">
        <is>
          <t>muzzle</t>
        </is>
      </c>
      <c r="L210" t="inlineStr">
        <is>
          <t>theia</t>
        </is>
      </c>
      <c r="M210" t="n">
        <v>1</v>
      </c>
      <c r="N210" t="n">
        <v>0.6</v>
      </c>
      <c r="O210" t="n">
        <v>31.53</v>
      </c>
      <c r="P210" t="inlineStr"/>
      <c r="Q210" t="inlineStr"/>
      <c r="R210" t="n">
        <v>36.24</v>
      </c>
      <c r="S210" t="n">
        <v>13.15</v>
      </c>
      <c r="T210" t="inlineStr"/>
      <c r="U210" t="n">
        <v>13.15</v>
      </c>
      <c r="V210" t="n">
        <v>0</v>
      </c>
      <c r="W210" t="n">
        <v>6</v>
      </c>
      <c r="X210" t="n">
        <v>22</v>
      </c>
      <c r="Y210" t="inlineStr"/>
      <c r="Z210" t="inlineStr"/>
      <c r="AA210" t="inlineStr"/>
      <c r="AB210" t="n">
        <v>360</v>
      </c>
      <c r="AC210" t="inlineStr">
        <is>
          <t>missileArmingM</t>
        </is>
      </c>
      <c r="AD210" t="b">
        <v>1</v>
      </c>
      <c r="AE210" t="n">
        <v>0</v>
      </c>
      <c r="AF210" t="n">
        <v>0</v>
      </c>
      <c r="AG210" t="n">
        <v>0</v>
      </c>
      <c r="AH210" t="n">
        <v>55</v>
      </c>
      <c r="AI210" t="n">
        <v>95</v>
      </c>
      <c r="AJ210" t="n">
        <v>23.23</v>
      </c>
      <c r="AK210" t="n">
        <v>1</v>
      </c>
      <c r="AL210" t="n">
        <v>1.3</v>
      </c>
      <c r="AM210" t="inlineStr">
        <is>
          <t>max(vu_trang, khoa)</t>
        </is>
      </c>
      <c r="AN210" t="n">
        <v>1</v>
      </c>
      <c r="AO210" t="n">
        <v>1</v>
      </c>
      <c r="AP210" t="n">
        <v>1</v>
      </c>
      <c r="AQ210" t="n">
        <v>1</v>
      </c>
      <c r="AR210" t="n">
        <v>1</v>
      </c>
      <c r="AS210" t="b">
        <v>1</v>
      </c>
      <c r="AT210" t="inlineStr">
        <is>
          <t>groundMinReach</t>
        </is>
      </c>
      <c r="AU210" t="b">
        <v>0</v>
      </c>
      <c r="AV210" t="inlineStr">
        <is>
          <t>theia</t>
        </is>
      </c>
      <c r="AW210" t="n">
        <v>1</v>
      </c>
      <c r="AX210" t="n">
        <v>55</v>
      </c>
      <c r="AY210" t="n">
        <v>55</v>
      </c>
      <c r="AZ210" t="n">
        <v>19</v>
      </c>
      <c r="BA210" t="inlineStr">
        <is>
          <t>p26_matriarch_ma_drones;pt14_th_jagm;pt14_th_v35</t>
        </is>
      </c>
      <c r="BB210" t="n">
        <v>100</v>
      </c>
      <c r="BC210" t="b">
        <v>1</v>
      </c>
      <c r="BD210" t="inlineStr">
        <is>
          <t>Assets/MachineBrigade/Resources/Data/balance.json: vehicles[id=theia] x Resources/Models/theia.glb</t>
        </is>
      </c>
      <c r="BE210" t="inlineStr"/>
    </row>
    <row r="211">
      <c r="A211" t="inlineStr">
        <is>
          <t>theia/3</t>
        </is>
      </c>
      <c r="B211" t="inlineStr">
        <is>
          <t>theia</t>
        </is>
      </c>
      <c r="C211" t="inlineStr">
        <is>
          <t>pt14_th_jagm</t>
        </is>
      </c>
      <c r="D211" t="inlineStr"/>
      <c r="E211" t="n">
        <v>3</v>
      </c>
      <c r="F211" t="inlineStr">
        <is>
          <t>rocket</t>
        </is>
      </c>
      <c r="G211" t="inlineStr">
        <is>
          <t>Free</t>
        </is>
      </c>
      <c r="H211" t="inlineStr">
        <is>
          <t>ten_lua</t>
        </is>
      </c>
      <c r="I211" t="inlineStr">
        <is>
          <t>dan_dan</t>
        </is>
      </c>
      <c r="J211" t="inlineStr">
        <is>
          <t>Muzzle_rocket.001</t>
        </is>
      </c>
      <c r="K211" t="inlineStr">
        <is>
          <t>muzzle</t>
        </is>
      </c>
      <c r="L211" t="inlineStr">
        <is>
          <t>theia</t>
        </is>
      </c>
      <c r="M211" t="n">
        <v>1</v>
      </c>
      <c r="N211" t="n">
        <v>0.6</v>
      </c>
      <c r="O211" t="n">
        <v>31.53</v>
      </c>
      <c r="P211" t="inlineStr"/>
      <c r="Q211" t="inlineStr"/>
      <c r="R211" t="n">
        <v>36.24</v>
      </c>
      <c r="S211" t="n">
        <v>13.15</v>
      </c>
      <c r="T211" t="inlineStr"/>
      <c r="U211" t="n">
        <v>13.15</v>
      </c>
      <c r="V211" t="n">
        <v>0</v>
      </c>
      <c r="W211" t="n">
        <v>6</v>
      </c>
      <c r="X211" t="n">
        <v>22</v>
      </c>
      <c r="Y211" t="inlineStr"/>
      <c r="Z211" t="inlineStr"/>
      <c r="AA211" t="inlineStr"/>
      <c r="AB211" t="n">
        <v>360</v>
      </c>
      <c r="AC211" t="inlineStr">
        <is>
          <t>missileArmingM</t>
        </is>
      </c>
      <c r="AD211" t="b">
        <v>1</v>
      </c>
      <c r="AE211" t="n">
        <v>0</v>
      </c>
      <c r="AF211" t="n">
        <v>0</v>
      </c>
      <c r="AG211" t="n">
        <v>0</v>
      </c>
      <c r="AH211" t="n">
        <v>55</v>
      </c>
      <c r="AI211" t="n">
        <v>95</v>
      </c>
      <c r="AJ211" t="n">
        <v>23.23</v>
      </c>
      <c r="AK211" t="n">
        <v>1</v>
      </c>
      <c r="AL211" t="n">
        <v>1.3</v>
      </c>
      <c r="AM211" t="inlineStr">
        <is>
          <t>max(vu_trang, khoa)</t>
        </is>
      </c>
      <c r="AN211" t="n">
        <v>1</v>
      </c>
      <c r="AO211" t="n">
        <v>1</v>
      </c>
      <c r="AP211" t="n">
        <v>1</v>
      </c>
      <c r="AQ211" t="n">
        <v>1</v>
      </c>
      <c r="AR211" t="n">
        <v>1</v>
      </c>
      <c r="AS211" t="b">
        <v>1</v>
      </c>
      <c r="AT211" t="inlineStr">
        <is>
          <t>groundMinReach</t>
        </is>
      </c>
      <c r="AU211" t="b">
        <v>0</v>
      </c>
      <c r="AV211" t="inlineStr">
        <is>
          <t>theia</t>
        </is>
      </c>
      <c r="AW211" t="n">
        <v>1</v>
      </c>
      <c r="AX211" t="n">
        <v>55</v>
      </c>
      <c r="AY211" t="n">
        <v>55</v>
      </c>
      <c r="AZ211" t="n">
        <v>19</v>
      </c>
      <c r="BA211" t="inlineStr">
        <is>
          <t>p26_matriarch_ma_drones;pt14_th_jagm;pt14_th_v35</t>
        </is>
      </c>
      <c r="BB211" t="n">
        <v>100</v>
      </c>
      <c r="BC211" t="b">
        <v>1</v>
      </c>
      <c r="BD211" t="inlineStr">
        <is>
          <t>Assets/MachineBrigade/Resources/Data/balance.json: vehicles[id=theia] x Resources/Models/theia.glb</t>
        </is>
      </c>
      <c r="BE211" t="inlineStr"/>
    </row>
    <row r="212">
      <c r="A212" t="inlineStr">
        <is>
          <t>theia/4</t>
        </is>
      </c>
      <c r="B212" t="inlineStr">
        <is>
          <t>theia</t>
        </is>
      </c>
      <c r="C212" t="inlineStr">
        <is>
          <t>pt14_th_v35</t>
        </is>
      </c>
      <c r="D212" t="inlineStr"/>
      <c r="E212" t="n">
        <v>4</v>
      </c>
      <c r="F212" t="inlineStr">
        <is>
          <t>gun</t>
        </is>
      </c>
      <c r="G212" t="inlineStr">
        <is>
          <t>Free</t>
        </is>
      </c>
      <c r="H212" t="inlineStr">
        <is>
          <t>phao_nho_ciws</t>
        </is>
      </c>
      <c r="I212" t="inlineStr">
        <is>
          <t>phong_thu_gan</t>
        </is>
      </c>
      <c r="J212" t="inlineStr">
        <is>
          <t>Muzzle_gun</t>
        </is>
      </c>
      <c r="K212" t="inlineStr">
        <is>
          <t>muzzle</t>
        </is>
      </c>
      <c r="L212" t="inlineStr">
        <is>
          <t>theia</t>
        </is>
      </c>
      <c r="M212" t="n">
        <v>1</v>
      </c>
      <c r="N212" t="n">
        <v>0.6</v>
      </c>
      <c r="O212" t="n">
        <v>24.32</v>
      </c>
      <c r="P212" t="inlineStr"/>
      <c r="Q212" t="inlineStr"/>
      <c r="R212" t="n">
        <v>36.24</v>
      </c>
      <c r="S212" t="n">
        <v>10.77</v>
      </c>
      <c r="T212" t="inlineStr">
        <is>
          <t>Mount_gun</t>
        </is>
      </c>
      <c r="U212" t="n">
        <v>8.23</v>
      </c>
      <c r="V212" t="n">
        <v>2.72</v>
      </c>
      <c r="W212" t="n">
        <v>6</v>
      </c>
      <c r="X212" t="n">
        <v>22</v>
      </c>
      <c r="Y212" t="n">
        <v>65</v>
      </c>
      <c r="Z212" t="n">
        <v>5</v>
      </c>
      <c r="AA212" t="inlineStr"/>
      <c r="AB212" t="n">
        <v>360</v>
      </c>
      <c r="AC212" t="inlineStr">
        <is>
          <t>lop:may_bay</t>
        </is>
      </c>
      <c r="AD212" t="b">
        <v>0</v>
      </c>
      <c r="AE212" t="n">
        <v>0</v>
      </c>
      <c r="AF212" t="n">
        <v>0</v>
      </c>
      <c r="AG212" t="n">
        <v>0</v>
      </c>
      <c r="AH212" t="n">
        <v>36</v>
      </c>
      <c r="AI212" t="n">
        <v>260</v>
      </c>
      <c r="AJ212" t="n">
        <v>18.79</v>
      </c>
      <c r="AK212" t="inlineStr"/>
      <c r="AL212" t="n">
        <v>1.3</v>
      </c>
      <c r="AM212" t="inlineStr">
        <is>
          <t>ban_thang_may_bay</t>
        </is>
      </c>
      <c r="AN212" t="n">
        <v>10.73</v>
      </c>
      <c r="AO212" t="n">
        <v>13.45</v>
      </c>
      <c r="AP212" t="n">
        <v>13.59</v>
      </c>
      <c r="AQ212" t="n">
        <v>13.31</v>
      </c>
      <c r="AR212" t="n">
        <v>0</v>
      </c>
      <c r="AS212" t="b">
        <v>0</v>
      </c>
      <c r="AT212" t="inlineStr">
        <is>
          <t>khong_ap:phong_thu_gan</t>
        </is>
      </c>
      <c r="AU212" t="b">
        <v>0</v>
      </c>
      <c r="AV212" t="inlineStr"/>
      <c r="AW212" t="n">
        <v>0</v>
      </c>
      <c r="AX212" t="n">
        <v>36</v>
      </c>
      <c r="AY212" t="inlineStr"/>
      <c r="AZ212" t="n">
        <v>19</v>
      </c>
      <c r="BA212" t="inlineStr">
        <is>
          <t>p26_matriarch_ma_drones;pt14_th_jagm;pt14_th_v35</t>
        </is>
      </c>
      <c r="BB212" t="n">
        <v>100</v>
      </c>
      <c r="BC212" t="b">
        <v>1</v>
      </c>
      <c r="BD212" t="inlineStr">
        <is>
          <t>Assets/MachineBrigade/Resources/Data/balance.json: vehicles[id=theia] x Resources/Models/theia.glb</t>
        </is>
      </c>
      <c r="BE212" t="inlineStr"/>
    </row>
    <row r="213">
      <c r="A213" t="inlineStr">
        <is>
          <t>theia/5</t>
        </is>
      </c>
      <c r="B213" t="inlineStr">
        <is>
          <t>theia</t>
        </is>
      </c>
      <c r="C213" t="inlineStr">
        <is>
          <t>pt14_th_v35</t>
        </is>
      </c>
      <c r="D213" t="inlineStr"/>
      <c r="E213" t="n">
        <v>5</v>
      </c>
      <c r="F213" t="inlineStr">
        <is>
          <t>gun</t>
        </is>
      </c>
      <c r="G213" t="inlineStr">
        <is>
          <t>Free</t>
        </is>
      </c>
      <c r="H213" t="inlineStr">
        <is>
          <t>phao_nho_ciws</t>
        </is>
      </c>
      <c r="I213" t="inlineStr">
        <is>
          <t>phong_thu_gan</t>
        </is>
      </c>
      <c r="J213" t="inlineStr">
        <is>
          <t>Muzzle_gun.001</t>
        </is>
      </c>
      <c r="K213" t="inlineStr">
        <is>
          <t>muzzle</t>
        </is>
      </c>
      <c r="L213" t="inlineStr">
        <is>
          <t>theia</t>
        </is>
      </c>
      <c r="M213" t="n">
        <v>1</v>
      </c>
      <c r="N213" t="n">
        <v>0.6</v>
      </c>
      <c r="O213" t="n">
        <v>24.32</v>
      </c>
      <c r="P213" t="inlineStr"/>
      <c r="Q213" t="inlineStr"/>
      <c r="R213" t="n">
        <v>36.24</v>
      </c>
      <c r="S213" t="n">
        <v>10.77</v>
      </c>
      <c r="T213" t="inlineStr">
        <is>
          <t>Mount_gun.001</t>
        </is>
      </c>
      <c r="U213" t="n">
        <v>8.23</v>
      </c>
      <c r="V213" t="n">
        <v>2.72</v>
      </c>
      <c r="W213" t="n">
        <v>6</v>
      </c>
      <c r="X213" t="n">
        <v>22</v>
      </c>
      <c r="Y213" t="n">
        <v>65</v>
      </c>
      <c r="Z213" t="n">
        <v>5</v>
      </c>
      <c r="AA213" t="inlineStr"/>
      <c r="AB213" t="n">
        <v>360</v>
      </c>
      <c r="AC213" t="inlineStr">
        <is>
          <t>lop:may_bay</t>
        </is>
      </c>
      <c r="AD213" t="b">
        <v>0</v>
      </c>
      <c r="AE213" t="n">
        <v>0</v>
      </c>
      <c r="AF213" t="n">
        <v>0</v>
      </c>
      <c r="AG213" t="n">
        <v>0</v>
      </c>
      <c r="AH213" t="n">
        <v>36</v>
      </c>
      <c r="AI213" t="n">
        <v>260</v>
      </c>
      <c r="AJ213" t="n">
        <v>18.79</v>
      </c>
      <c r="AK213" t="inlineStr"/>
      <c r="AL213" t="n">
        <v>1.3</v>
      </c>
      <c r="AM213" t="inlineStr">
        <is>
          <t>ban_thang_may_bay</t>
        </is>
      </c>
      <c r="AN213" t="n">
        <v>10.73</v>
      </c>
      <c r="AO213" t="n">
        <v>13.45</v>
      </c>
      <c r="AP213" t="n">
        <v>13.59</v>
      </c>
      <c r="AQ213" t="n">
        <v>13.31</v>
      </c>
      <c r="AR213" t="n">
        <v>0</v>
      </c>
      <c r="AS213" t="b">
        <v>0</v>
      </c>
      <c r="AT213" t="inlineStr">
        <is>
          <t>khong_ap:phong_thu_gan</t>
        </is>
      </c>
      <c r="AU213" t="b">
        <v>0</v>
      </c>
      <c r="AV213" t="inlineStr"/>
      <c r="AW213" t="n">
        <v>0</v>
      </c>
      <c r="AX213" t="n">
        <v>36</v>
      </c>
      <c r="AY213" t="inlineStr"/>
      <c r="AZ213" t="n">
        <v>19</v>
      </c>
      <c r="BA213" t="inlineStr">
        <is>
          <t>p26_matriarch_ma_drones;pt14_th_jagm;pt14_th_v35</t>
        </is>
      </c>
      <c r="BB213" t="n">
        <v>100</v>
      </c>
      <c r="BC213" t="b">
        <v>1</v>
      </c>
      <c r="BD213" t="inlineStr">
        <is>
          <t>Assets/MachineBrigade/Resources/Data/balance.json: vehicles[id=theia] x Resources/Models/theia.glb</t>
        </is>
      </c>
      <c r="BE213" t="inlineStr"/>
    </row>
    <row r="214">
      <c r="A214" t="inlineStr">
        <is>
          <t>theia/6</t>
        </is>
      </c>
      <c r="B214" t="inlineStr">
        <is>
          <t>theia</t>
        </is>
      </c>
      <c r="C214" t="inlineStr">
        <is>
          <t>pt14_th_pd</t>
        </is>
      </c>
      <c r="D214" t="inlineStr"/>
      <c r="E214" t="n">
        <v>6</v>
      </c>
      <c r="F214" t="inlineStr">
        <is>
          <t>mg</t>
        </is>
      </c>
      <c r="G214" t="inlineStr">
        <is>
          <t>Free</t>
        </is>
      </c>
      <c r="H214" t="inlineStr">
        <is>
          <t>phong_khong</t>
        </is>
      </c>
      <c r="I214" t="inlineStr">
        <is>
          <t>phong_khong</t>
        </is>
      </c>
      <c r="J214" t="inlineStr">
        <is>
          <t>Muzzle_mg</t>
        </is>
      </c>
      <c r="K214" t="inlineStr">
        <is>
          <t>muzzle</t>
        </is>
      </c>
      <c r="L214" t="inlineStr">
        <is>
          <t>theia</t>
        </is>
      </c>
      <c r="M214" t="n">
        <v>1</v>
      </c>
      <c r="N214" t="n">
        <v>0.6</v>
      </c>
      <c r="O214" t="n">
        <v>31.23</v>
      </c>
      <c r="P214" t="inlineStr"/>
      <c r="Q214" t="inlineStr"/>
      <c r="R214" t="n">
        <v>36.24</v>
      </c>
      <c r="S214" t="n">
        <v>9.51</v>
      </c>
      <c r="T214" t="inlineStr">
        <is>
          <t>Mount_mg</t>
        </is>
      </c>
      <c r="U214" t="n">
        <v>8.83</v>
      </c>
      <c r="V214" t="n">
        <v>1.65</v>
      </c>
      <c r="W214" t="n">
        <v>6</v>
      </c>
      <c r="X214" t="n">
        <v>22</v>
      </c>
      <c r="Y214" t="inlineStr"/>
      <c r="Z214" t="inlineStr"/>
      <c r="AA214" t="inlineStr"/>
      <c r="AB214" t="n">
        <v>360</v>
      </c>
      <c r="AC214" t="inlineStr">
        <is>
          <t>khong_ap</t>
        </is>
      </c>
      <c r="AD214" t="b">
        <v>0</v>
      </c>
      <c r="AE214" t="n">
        <v>0</v>
      </c>
      <c r="AF214" t="n">
        <v>0</v>
      </c>
      <c r="AG214" t="n">
        <v>0</v>
      </c>
      <c r="AH214" t="n">
        <v>34</v>
      </c>
      <c r="AI214" t="n">
        <v>3000</v>
      </c>
      <c r="AJ214" t="n">
        <v>18.26</v>
      </c>
      <c r="AK214" t="inlineStr"/>
      <c r="AL214" t="n">
        <v>1.3</v>
      </c>
      <c r="AM214" t="inlineStr">
        <is>
          <t>khong_ap</t>
        </is>
      </c>
      <c r="AN214" t="n">
        <v>0</v>
      </c>
      <c r="AO214" t="n">
        <v>0</v>
      </c>
      <c r="AP214" t="n">
        <v>0</v>
      </c>
      <c r="AQ214" t="n">
        <v>0</v>
      </c>
      <c r="AR214" t="n">
        <v>0</v>
      </c>
      <c r="AS214" t="b">
        <v>0</v>
      </c>
      <c r="AT214" t="inlineStr">
        <is>
          <t>khong_ap</t>
        </is>
      </c>
      <c r="AU214" t="b">
        <v>0</v>
      </c>
      <c r="AV214" t="inlineStr"/>
      <c r="AW214" t="n">
        <v>0</v>
      </c>
      <c r="AX214" t="n">
        <v>34</v>
      </c>
      <c r="AY214" t="inlineStr"/>
      <c r="AZ214" t="n">
        <v>19</v>
      </c>
      <c r="BA214" t="inlineStr">
        <is>
          <t>p26_matriarch_ma_drones;pt14_th_jagm;pt14_th_v35</t>
        </is>
      </c>
      <c r="BB214" t="n">
        <v>100</v>
      </c>
      <c r="BC214" t="b">
        <v>1</v>
      </c>
      <c r="BD214" t="inlineStr">
        <is>
          <t>Assets/MachineBrigade/Resources/Data/balance.json: vehicles[id=theia] x Resources/Models/theia.glb</t>
        </is>
      </c>
      <c r="BE214" t="inlineStr"/>
    </row>
    <row r="215">
      <c r="A215" t="inlineStr">
        <is>
          <t>theia/7</t>
        </is>
      </c>
      <c r="B215" t="inlineStr">
        <is>
          <t>theia</t>
        </is>
      </c>
      <c r="C215" t="inlineStr">
        <is>
          <t>pt14_th_pd</t>
        </is>
      </c>
      <c r="D215" t="inlineStr"/>
      <c r="E215" t="n">
        <v>7</v>
      </c>
      <c r="F215" t="inlineStr">
        <is>
          <t>mg</t>
        </is>
      </c>
      <c r="G215" t="inlineStr">
        <is>
          <t>Free</t>
        </is>
      </c>
      <c r="H215" t="inlineStr">
        <is>
          <t>phong_khong</t>
        </is>
      </c>
      <c r="I215" t="inlineStr">
        <is>
          <t>phong_khong</t>
        </is>
      </c>
      <c r="J215" t="inlineStr">
        <is>
          <t>Muzzle_mg.001</t>
        </is>
      </c>
      <c r="K215" t="inlineStr">
        <is>
          <t>muzzle</t>
        </is>
      </c>
      <c r="L215" t="inlineStr">
        <is>
          <t>theia</t>
        </is>
      </c>
      <c r="M215" t="n">
        <v>1</v>
      </c>
      <c r="N215" t="n">
        <v>0.6</v>
      </c>
      <c r="O215" t="n">
        <v>31.23</v>
      </c>
      <c r="P215" t="inlineStr"/>
      <c r="Q215" t="inlineStr"/>
      <c r="R215" t="n">
        <v>36.24</v>
      </c>
      <c r="S215" t="n">
        <v>9.51</v>
      </c>
      <c r="T215" t="inlineStr">
        <is>
          <t>Mount_mg.001</t>
        </is>
      </c>
      <c r="U215" t="n">
        <v>8.83</v>
      </c>
      <c r="V215" t="n">
        <v>1.65</v>
      </c>
      <c r="W215" t="n">
        <v>6</v>
      </c>
      <c r="X215" t="n">
        <v>22</v>
      </c>
      <c r="Y215" t="inlineStr"/>
      <c r="Z215" t="inlineStr"/>
      <c r="AA215" t="inlineStr"/>
      <c r="AB215" t="n">
        <v>360</v>
      </c>
      <c r="AC215" t="inlineStr">
        <is>
          <t>khong_ap</t>
        </is>
      </c>
      <c r="AD215" t="b">
        <v>0</v>
      </c>
      <c r="AE215" t="n">
        <v>0</v>
      </c>
      <c r="AF215" t="n">
        <v>0</v>
      </c>
      <c r="AG215" t="n">
        <v>0</v>
      </c>
      <c r="AH215" t="n">
        <v>34</v>
      </c>
      <c r="AI215" t="n">
        <v>3000</v>
      </c>
      <c r="AJ215" t="n">
        <v>18.26</v>
      </c>
      <c r="AK215" t="inlineStr"/>
      <c r="AL215" t="n">
        <v>1.3</v>
      </c>
      <c r="AM215" t="inlineStr">
        <is>
          <t>khong_ap</t>
        </is>
      </c>
      <c r="AN215" t="n">
        <v>0</v>
      </c>
      <c r="AO215" t="n">
        <v>0</v>
      </c>
      <c r="AP215" t="n">
        <v>0</v>
      </c>
      <c r="AQ215" t="n">
        <v>0</v>
      </c>
      <c r="AR215" t="n">
        <v>0</v>
      </c>
      <c r="AS215" t="b">
        <v>0</v>
      </c>
      <c r="AT215" t="inlineStr">
        <is>
          <t>khong_ap</t>
        </is>
      </c>
      <c r="AU215" t="b">
        <v>0</v>
      </c>
      <c r="AV215" t="inlineStr"/>
      <c r="AW215" t="n">
        <v>0</v>
      </c>
      <c r="AX215" t="n">
        <v>34</v>
      </c>
      <c r="AY215" t="inlineStr"/>
      <c r="AZ215" t="n">
        <v>19</v>
      </c>
      <c r="BA215" t="inlineStr">
        <is>
          <t>p26_matriarch_ma_drones;pt14_th_jagm;pt14_th_v35</t>
        </is>
      </c>
      <c r="BB215" t="n">
        <v>100</v>
      </c>
      <c r="BC215" t="b">
        <v>1</v>
      </c>
      <c r="BD215" t="inlineStr">
        <is>
          <t>Assets/MachineBrigade/Resources/Data/balance.json: vehicles[id=theia] x Resources/Models/theia.glb</t>
        </is>
      </c>
      <c r="BE215" t="inlineStr"/>
    </row>
    <row r="216">
      <c r="A216" t="inlineStr">
        <is>
          <t>typhon/0</t>
        </is>
      </c>
      <c r="B216" t="inlineStr">
        <is>
          <t>typhon</t>
        </is>
      </c>
      <c r="C216" t="inlineStr">
        <is>
          <t>sam_post</t>
        </is>
      </c>
      <c r="D216" t="inlineStr">
        <is>
          <t>sam</t>
        </is>
      </c>
      <c r="E216" t="n">
        <v>0</v>
      </c>
      <c r="F216" t="inlineStr">
        <is>
          <t>missile</t>
        </is>
      </c>
      <c r="G216" t="inlineStr"/>
      <c r="H216" t="inlineStr">
        <is>
          <t>phong_khong</t>
        </is>
      </c>
      <c r="I216" t="inlineStr">
        <is>
          <t>phong_khong</t>
        </is>
      </c>
      <c r="J216" t="inlineStr">
        <is>
          <t>Muzzle_missile</t>
        </is>
      </c>
      <c r="K216" t="inlineStr">
        <is>
          <t>muzzle</t>
        </is>
      </c>
      <c r="L216" t="inlineStr">
        <is>
          <t>typhon</t>
        </is>
      </c>
      <c r="M216" t="n">
        <v>1.1864</v>
      </c>
      <c r="N216" t="n">
        <v>1.1864</v>
      </c>
      <c r="O216" t="n">
        <v>12.52</v>
      </c>
      <c r="P216" t="n">
        <v>12.1</v>
      </c>
      <c r="Q216" t="n">
        <v>0.42</v>
      </c>
      <c r="R216" t="n">
        <v>13.57</v>
      </c>
      <c r="S216" t="n">
        <v>5.15</v>
      </c>
      <c r="T216" t="inlineStr">
        <is>
          <t>Mount_missile</t>
        </is>
      </c>
      <c r="U216" t="n">
        <v>5.93</v>
      </c>
      <c r="V216" t="n">
        <v>0.95</v>
      </c>
      <c r="W216" t="n">
        <v>13.0504</v>
      </c>
      <c r="X216" t="n">
        <v>0</v>
      </c>
      <c r="Y216" t="inlineStr"/>
      <c r="Z216" t="inlineStr"/>
      <c r="AA216" t="inlineStr"/>
      <c r="AB216" t="n">
        <v>360</v>
      </c>
      <c r="AC216" t="inlineStr">
        <is>
          <t>khong_ap</t>
        </is>
      </c>
      <c r="AD216" t="b">
        <v>0</v>
      </c>
      <c r="AE216" t="n">
        <v>0</v>
      </c>
      <c r="AF216" t="n">
        <v>0</v>
      </c>
      <c r="AG216" t="n">
        <v>0</v>
      </c>
      <c r="AH216" t="n">
        <v>60</v>
      </c>
      <c r="AI216" t="n">
        <v>80</v>
      </c>
      <c r="AJ216" t="n">
        <v>24.26</v>
      </c>
      <c r="AK216" t="inlineStr"/>
      <c r="AL216" t="n">
        <v>1.3</v>
      </c>
      <c r="AM216" t="inlineStr">
        <is>
          <t>khong_ap</t>
        </is>
      </c>
      <c r="AN216" t="n">
        <v>0</v>
      </c>
      <c r="AO216" t="n">
        <v>0</v>
      </c>
      <c r="AP216" t="n">
        <v>0</v>
      </c>
      <c r="AQ216" t="n">
        <v>0</v>
      </c>
      <c r="AR216" t="n">
        <v>0</v>
      </c>
      <c r="AS216" t="b">
        <v>0</v>
      </c>
      <c r="AT216" t="inlineStr">
        <is>
          <t>khong_ap</t>
        </is>
      </c>
      <c r="AU216" t="b">
        <v>0</v>
      </c>
      <c r="AV216" t="inlineStr"/>
      <c r="AW216" t="n">
        <v>0</v>
      </c>
      <c r="AX216" t="n">
        <v>60</v>
      </c>
      <c r="AY216" t="inlineStr"/>
      <c r="AZ216" t="n">
        <v>21</v>
      </c>
      <c r="BA216" t="inlineStr"/>
      <c r="BB216" t="n">
        <v>0</v>
      </c>
      <c r="BC216" t="b">
        <v>0</v>
      </c>
      <c r="BD216" t="inlineStr">
        <is>
          <t>Assets/MachineBrigade/Resources/Data/balance.json: vehicles[id=typhon] x Resources/Models/typhon.glb</t>
        </is>
      </c>
      <c r="BE216" t="inlineStr"/>
    </row>
    <row r="217">
      <c r="A217" t="inlineStr">
        <is>
          <t>typhon/1</t>
        </is>
      </c>
      <c r="B217" t="inlineStr">
        <is>
          <t>typhon</t>
        </is>
      </c>
      <c r="C217" t="inlineStr">
        <is>
          <t>p26_typhon_sec_ty57</t>
        </is>
      </c>
      <c r="D217" t="inlineStr"/>
      <c r="E217" t="n">
        <v>1</v>
      </c>
      <c r="F217" t="inlineStr">
        <is>
          <t>gun</t>
        </is>
      </c>
      <c r="G217" t="inlineStr">
        <is>
          <t>Free</t>
        </is>
      </c>
      <c r="H217" t="inlineStr">
        <is>
          <t>sung_phu</t>
        </is>
      </c>
      <c r="I217" t="inlineStr">
        <is>
          <t>chinh</t>
        </is>
      </c>
      <c r="J217" t="inlineStr">
        <is>
          <t>Muzzle_gun</t>
        </is>
      </c>
      <c r="K217" t="inlineStr">
        <is>
          <t>muzzle</t>
        </is>
      </c>
      <c r="L217" t="inlineStr">
        <is>
          <t>typhon</t>
        </is>
      </c>
      <c r="M217" t="n">
        <v>1.1864</v>
      </c>
      <c r="N217" t="n">
        <v>1.1864</v>
      </c>
      <c r="O217" t="n">
        <v>6.1</v>
      </c>
      <c r="P217" t="inlineStr"/>
      <c r="Q217" t="inlineStr"/>
      <c r="R217" t="n">
        <v>13.57</v>
      </c>
      <c r="S217" t="n">
        <v>8.359999999999999</v>
      </c>
      <c r="T217" t="inlineStr">
        <is>
          <t>Mount_gun</t>
        </is>
      </c>
      <c r="U217" t="n">
        <v>4.09</v>
      </c>
      <c r="V217" t="n">
        <v>4.27</v>
      </c>
      <c r="W217" t="n">
        <v>13.0504</v>
      </c>
      <c r="X217" t="n">
        <v>0</v>
      </c>
      <c r="Y217" t="n">
        <v>15</v>
      </c>
      <c r="Z217" t="n">
        <v>70</v>
      </c>
      <c r="AA217" t="inlineStr"/>
      <c r="AB217" t="n">
        <v>300</v>
      </c>
      <c r="AC217" t="inlineStr">
        <is>
          <t>lop:sung_phu</t>
        </is>
      </c>
      <c r="AD217" t="b">
        <v>1</v>
      </c>
      <c r="AE217" t="n">
        <v>8</v>
      </c>
      <c r="AF217" t="n">
        <v>0</v>
      </c>
      <c r="AG217" t="n">
        <v>8</v>
      </c>
      <c r="AH217" t="n">
        <v>40</v>
      </c>
      <c r="AI217" t="n">
        <v>150</v>
      </c>
      <c r="AJ217" t="n">
        <v>19.81</v>
      </c>
      <c r="AK217" t="inlineStr"/>
      <c r="AL217" t="n">
        <v>1.3</v>
      </c>
      <c r="AM217" t="inlineStr">
        <is>
          <t>ban_thang</t>
        </is>
      </c>
      <c r="AN217" t="n">
        <v>17.91</v>
      </c>
      <c r="AO217" t="n">
        <v>22.18</v>
      </c>
      <c r="AP217" t="n">
        <v>23.3</v>
      </c>
      <c r="AQ217" t="n">
        <v>21.06</v>
      </c>
      <c r="AR217" t="n">
        <v>22</v>
      </c>
      <c r="AS217" t="b">
        <v>1</v>
      </c>
      <c r="AT217" t="inlineStr">
        <is>
          <t>groundMinReach</t>
        </is>
      </c>
      <c r="AU217" t="b">
        <v>0</v>
      </c>
      <c r="AV217" t="inlineStr">
        <is>
          <t>typhon</t>
        </is>
      </c>
      <c r="AW217" t="n">
        <v>21</v>
      </c>
      <c r="AX217" t="n">
        <v>68</v>
      </c>
      <c r="AY217" t="n">
        <v>3.24</v>
      </c>
      <c r="AZ217" t="n">
        <v>21</v>
      </c>
      <c r="BA217" t="inlineStr"/>
      <c r="BB217" t="n">
        <v>0</v>
      </c>
      <c r="BC217" t="b">
        <v>0</v>
      </c>
      <c r="BD217" t="inlineStr">
        <is>
          <t>Assets/MachineBrigade/Resources/Data/balance.json: vehicles[id=typhon] x Resources/Models/typhon.glb</t>
        </is>
      </c>
      <c r="BE217" t="inlineStr"/>
    </row>
    <row r="218">
      <c r="A218" t="inlineStr">
        <is>
          <t>typhon/2</t>
        </is>
      </c>
      <c r="B218" t="inlineStr">
        <is>
          <t>typhon</t>
        </is>
      </c>
      <c r="C218" t="inlineStr">
        <is>
          <t>p26_typhon_sec_ty57</t>
        </is>
      </c>
      <c r="D218" t="inlineStr"/>
      <c r="E218" t="n">
        <v>2</v>
      </c>
      <c r="F218" t="inlineStr">
        <is>
          <t>gun</t>
        </is>
      </c>
      <c r="G218" t="inlineStr">
        <is>
          <t>Free</t>
        </is>
      </c>
      <c r="H218" t="inlineStr">
        <is>
          <t>sung_phu</t>
        </is>
      </c>
      <c r="I218" t="inlineStr">
        <is>
          <t>chinh</t>
        </is>
      </c>
      <c r="J218" t="inlineStr">
        <is>
          <t>Muzzle_gun.001</t>
        </is>
      </c>
      <c r="K218" t="inlineStr">
        <is>
          <t>muzzle</t>
        </is>
      </c>
      <c r="L218" t="inlineStr">
        <is>
          <t>typhon</t>
        </is>
      </c>
      <c r="M218" t="n">
        <v>1.1864</v>
      </c>
      <c r="N218" t="n">
        <v>1.1864</v>
      </c>
      <c r="O218" t="n">
        <v>5.01</v>
      </c>
      <c r="P218" t="inlineStr"/>
      <c r="Q218" t="inlineStr"/>
      <c r="R218" t="n">
        <v>13.57</v>
      </c>
      <c r="S218" t="n">
        <v>13.76</v>
      </c>
      <c r="T218" t="inlineStr">
        <is>
          <t>Mount_gun.001</t>
        </is>
      </c>
      <c r="U218" t="n">
        <v>18.03</v>
      </c>
      <c r="V218" t="n">
        <v>4.27</v>
      </c>
      <c r="W218" t="n">
        <v>13.0504</v>
      </c>
      <c r="X218" t="n">
        <v>0</v>
      </c>
      <c r="Y218" t="n">
        <v>15</v>
      </c>
      <c r="Z218" t="n">
        <v>70</v>
      </c>
      <c r="AA218" t="inlineStr"/>
      <c r="AB218" t="n">
        <v>300</v>
      </c>
      <c r="AC218" t="inlineStr">
        <is>
          <t>lop:sung_phu</t>
        </is>
      </c>
      <c r="AD218" t="b">
        <v>1</v>
      </c>
      <c r="AE218" t="n">
        <v>8</v>
      </c>
      <c r="AF218" t="n">
        <v>0</v>
      </c>
      <c r="AG218" t="n">
        <v>8</v>
      </c>
      <c r="AH218" t="n">
        <v>40</v>
      </c>
      <c r="AI218" t="n">
        <v>150</v>
      </c>
      <c r="AJ218" t="n">
        <v>19.81</v>
      </c>
      <c r="AK218" t="inlineStr"/>
      <c r="AL218" t="n">
        <v>1.3</v>
      </c>
      <c r="AM218" t="inlineStr">
        <is>
          <t>ban_thang</t>
        </is>
      </c>
      <c r="AN218" t="n">
        <v>13.83</v>
      </c>
      <c r="AO218" t="n">
        <v>18.1</v>
      </c>
      <c r="AP218" t="n">
        <v>19.22</v>
      </c>
      <c r="AQ218" t="n">
        <v>16.98</v>
      </c>
      <c r="AR218" t="n">
        <v>18</v>
      </c>
      <c r="AS218" t="b">
        <v>1</v>
      </c>
      <c r="AT218" t="inlineStr">
        <is>
          <t>groundMinReach</t>
        </is>
      </c>
      <c r="AU218" t="b">
        <v>0</v>
      </c>
      <c r="AV218" t="inlineStr">
        <is>
          <t>typhon</t>
        </is>
      </c>
      <c r="AW218" t="n">
        <v>21</v>
      </c>
      <c r="AX218" t="n">
        <v>68</v>
      </c>
      <c r="AY218" t="n">
        <v>3.24</v>
      </c>
      <c r="AZ218" t="n">
        <v>21</v>
      </c>
      <c r="BA218" t="inlineStr"/>
      <c r="BB218" t="n">
        <v>0</v>
      </c>
      <c r="BC218" t="b">
        <v>0</v>
      </c>
      <c r="BD218" t="inlineStr">
        <is>
          <t>Assets/MachineBrigade/Resources/Data/balance.json: vehicles[id=typhon] x Resources/Models/typhon.glb</t>
        </is>
      </c>
      <c r="BE218" t="inlineStr"/>
    </row>
    <row r="219">
      <c r="A219" t="inlineStr">
        <is>
          <t>typhon/3</t>
        </is>
      </c>
      <c r="B219" t="inlineStr">
        <is>
          <t>typhon</t>
        </is>
      </c>
      <c r="C219" t="inlineStr">
        <is>
          <t>p26_typhon_direct_ty100</t>
        </is>
      </c>
      <c r="D219" t="inlineStr">
        <is>
          <t>deck_gun</t>
        </is>
      </c>
      <c r="E219" t="n">
        <v>3</v>
      </c>
      <c r="F219" t="inlineStr">
        <is>
          <t>gun</t>
        </is>
      </c>
      <c r="G219" t="inlineStr">
        <is>
          <t>Free</t>
        </is>
      </c>
      <c r="H219" t="inlineStr">
        <is>
          <t>sung_phu</t>
        </is>
      </c>
      <c r="I219" t="inlineStr">
        <is>
          <t>chinh</t>
        </is>
      </c>
      <c r="J219" t="inlineStr">
        <is>
          <t>Muzzle_gun.002</t>
        </is>
      </c>
      <c r="K219" t="inlineStr">
        <is>
          <t>muzzle</t>
        </is>
      </c>
      <c r="L219" t="inlineStr">
        <is>
          <t>typhon</t>
        </is>
      </c>
      <c r="M219" t="n">
        <v>1.1864</v>
      </c>
      <c r="N219" t="n">
        <v>1.1864</v>
      </c>
      <c r="O219" t="n">
        <v>4.99</v>
      </c>
      <c r="P219" t="n">
        <v>4.98</v>
      </c>
      <c r="Q219" t="n">
        <v>0.01</v>
      </c>
      <c r="R219" t="n">
        <v>13.57</v>
      </c>
      <c r="S219" t="n">
        <v>32.53</v>
      </c>
      <c r="T219" t="inlineStr">
        <is>
          <t>Mount_gun.002</t>
        </is>
      </c>
      <c r="U219" t="n">
        <v>26.58</v>
      </c>
      <c r="V219" t="n">
        <v>5.96</v>
      </c>
      <c r="W219" t="n">
        <v>13.0504</v>
      </c>
      <c r="X219" t="n">
        <v>0</v>
      </c>
      <c r="Y219" t="n">
        <v>15</v>
      </c>
      <c r="Z219" t="n">
        <v>70</v>
      </c>
      <c r="AA219" t="inlineStr"/>
      <c r="AB219" t="n">
        <v>300</v>
      </c>
      <c r="AC219" t="inlineStr">
        <is>
          <t>lop:sung_phu</t>
        </is>
      </c>
      <c r="AD219" t="b">
        <v>1</v>
      </c>
      <c r="AE219" t="n">
        <v>8</v>
      </c>
      <c r="AF219" t="n">
        <v>0</v>
      </c>
      <c r="AG219" t="n">
        <v>8</v>
      </c>
      <c r="AH219" t="n">
        <v>90</v>
      </c>
      <c r="AI219" t="n">
        <v>120</v>
      </c>
      <c r="AJ219" t="n">
        <v>29.71</v>
      </c>
      <c r="AK219" t="inlineStr"/>
      <c r="AL219" t="n">
        <v>1.3</v>
      </c>
      <c r="AM219" t="inlineStr">
        <is>
          <t>ban_thang</t>
        </is>
      </c>
      <c r="AN219" t="n">
        <v>13.79</v>
      </c>
      <c r="AO219" t="n">
        <v>19.74</v>
      </c>
      <c r="AP219" t="n">
        <v>20.86</v>
      </c>
      <c r="AQ219" t="n">
        <v>18.63</v>
      </c>
      <c r="AR219" t="n">
        <v>20</v>
      </c>
      <c r="AS219" t="b">
        <v>1</v>
      </c>
      <c r="AT219" t="inlineStr">
        <is>
          <t>groundMinReach</t>
        </is>
      </c>
      <c r="AU219" t="b">
        <v>0</v>
      </c>
      <c r="AV219" t="inlineStr">
        <is>
          <t>typhon</t>
        </is>
      </c>
      <c r="AW219" t="n">
        <v>21</v>
      </c>
      <c r="AX219" t="n">
        <v>90</v>
      </c>
      <c r="AY219" t="n">
        <v>4.29</v>
      </c>
      <c r="AZ219" t="n">
        <v>21</v>
      </c>
      <c r="BA219" t="inlineStr"/>
      <c r="BB219" t="n">
        <v>0</v>
      </c>
      <c r="BC219" t="b">
        <v>0</v>
      </c>
      <c r="BD219" t="inlineStr">
        <is>
          <t>Assets/MachineBrigade/Resources/Data/balance.json: vehicles[id=typhon] x Resources/Models/typhon.glb</t>
        </is>
      </c>
      <c r="BE219" t="inlineStr"/>
    </row>
    <row r="220">
      <c r="A220" t="inlineStr">
        <is>
          <t>typhon/4</t>
        </is>
      </c>
      <c r="B220" t="inlineStr">
        <is>
          <t>typhon</t>
        </is>
      </c>
      <c r="C220" t="inlineStr">
        <is>
          <t>p26_typhon_sec_ty57</t>
        </is>
      </c>
      <c r="D220" t="inlineStr"/>
      <c r="E220" t="n">
        <v>4</v>
      </c>
      <c r="F220" t="inlineStr">
        <is>
          <t>gun</t>
        </is>
      </c>
      <c r="G220" t="inlineStr">
        <is>
          <t>Free</t>
        </is>
      </c>
      <c r="H220" t="inlineStr">
        <is>
          <t>sung_phu</t>
        </is>
      </c>
      <c r="I220" t="inlineStr">
        <is>
          <t>chinh</t>
        </is>
      </c>
      <c r="J220" t="inlineStr">
        <is>
          <t>Muzzle_gun.003</t>
        </is>
      </c>
      <c r="K220" t="inlineStr">
        <is>
          <t>muzzle</t>
        </is>
      </c>
      <c r="L220" t="inlineStr">
        <is>
          <t>typhon</t>
        </is>
      </c>
      <c r="M220" t="n">
        <v>1.1864</v>
      </c>
      <c r="N220" t="n">
        <v>1.1864</v>
      </c>
      <c r="O220" t="n">
        <v>4.59</v>
      </c>
      <c r="P220" t="inlineStr"/>
      <c r="Q220" t="inlineStr"/>
      <c r="R220" t="n">
        <v>13.57</v>
      </c>
      <c r="S220" t="n">
        <v>20.03</v>
      </c>
      <c r="T220" t="inlineStr">
        <is>
          <t>Mount_gun.003</t>
        </is>
      </c>
      <c r="U220" t="n">
        <v>24.32</v>
      </c>
      <c r="V220" t="n">
        <v>4.29</v>
      </c>
      <c r="W220" t="n">
        <v>13.0504</v>
      </c>
      <c r="X220" t="n">
        <v>0</v>
      </c>
      <c r="Y220" t="n">
        <v>15</v>
      </c>
      <c r="Z220" t="n">
        <v>70</v>
      </c>
      <c r="AA220" t="inlineStr"/>
      <c r="AB220" t="n">
        <v>300</v>
      </c>
      <c r="AC220" t="inlineStr">
        <is>
          <t>lop:sung_phu</t>
        </is>
      </c>
      <c r="AD220" t="b">
        <v>1</v>
      </c>
      <c r="AE220" t="n">
        <v>8</v>
      </c>
      <c r="AF220" t="n">
        <v>0</v>
      </c>
      <c r="AG220" t="n">
        <v>8</v>
      </c>
      <c r="AH220" t="n">
        <v>40</v>
      </c>
      <c r="AI220" t="n">
        <v>150</v>
      </c>
      <c r="AJ220" t="n">
        <v>19.81</v>
      </c>
      <c r="AK220" t="inlineStr"/>
      <c r="AL220" t="n">
        <v>1.3</v>
      </c>
      <c r="AM220" t="inlineStr">
        <is>
          <t>ban_thang</t>
        </is>
      </c>
      <c r="AN220" t="n">
        <v>12.28</v>
      </c>
      <c r="AO220" t="n">
        <v>16.58</v>
      </c>
      <c r="AP220" t="n">
        <v>17.7</v>
      </c>
      <c r="AQ220" t="n">
        <v>15.46</v>
      </c>
      <c r="AR220" t="n">
        <v>17</v>
      </c>
      <c r="AS220" t="b">
        <v>1</v>
      </c>
      <c r="AT220" t="inlineStr">
        <is>
          <t>groundMinReach</t>
        </is>
      </c>
      <c r="AU220" t="b">
        <v>0</v>
      </c>
      <c r="AV220" t="inlineStr">
        <is>
          <t>typhon</t>
        </is>
      </c>
      <c r="AW220" t="n">
        <v>21</v>
      </c>
      <c r="AX220" t="n">
        <v>68</v>
      </c>
      <c r="AY220" t="n">
        <v>3.24</v>
      </c>
      <c r="AZ220" t="n">
        <v>21</v>
      </c>
      <c r="BA220" t="inlineStr"/>
      <c r="BB220" t="n">
        <v>0</v>
      </c>
      <c r="BC220" t="b">
        <v>0</v>
      </c>
      <c r="BD220" t="inlineStr">
        <is>
          <t>Assets/MachineBrigade/Resources/Data/balance.json: vehicles[id=typhon] x Resources/Models/typhon.glb</t>
        </is>
      </c>
      <c r="BE220" t="inlineStr"/>
    </row>
  </sheetData>
  <autoFilter ref="A1:BE220"/>
  <pageMargins left="0.75" right="0.75" top="1" bottom="1" header="0.5" footer="0.5"/>
</worksheet>
</file>

<file path=xl/worksheets/sheet1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3" customWidth="1" min="2" max="2"/>
    <col width="25" customWidth="1" min="3" max="3"/>
    <col width="12" customWidth="1" min="4" max="4"/>
    <col width="13" customWidth="1" min="5" max="5"/>
    <col width="8" customWidth="1" min="6" max="6"/>
    <col width="60" customWidth="1" min="7" max="7"/>
    <col width="1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capShare</t>
        </is>
      </c>
      <c r="B2" t="inlineStr">
        <is>
          <t>barrelLimits</t>
        </is>
      </c>
      <c r="C2" t="inlineStr">
        <is>
          <t>capShare</t>
        </is>
      </c>
      <c r="D2" t="n">
        <v>0.8</v>
      </c>
      <c r="F2" t="inlineStr"/>
      <c r="G2" t="inlineStr">
        <is>
          <t>Assets/MachineBrigade/Resources/Data/balance.json: barrelLimits.capShare</t>
        </is>
      </c>
      <c r="H2" t="inlineStr">
        <is>
          <t>0.8</t>
        </is>
      </c>
    </row>
    <row r="3">
      <c r="A3" t="inlineStr">
        <is>
          <t>classRules.navalSecondaryGunBelowMm</t>
        </is>
      </c>
      <c r="B3" t="inlineStr">
        <is>
          <t>barrelLimits</t>
        </is>
      </c>
      <c r="C3" t="inlineStr">
        <is>
          <t>navalSecondaryGunBelowMm</t>
        </is>
      </c>
      <c r="D3" t="n">
        <v>130</v>
      </c>
      <c r="F3" t="inlineStr">
        <is>
          <t>mm</t>
        </is>
      </c>
      <c r="G3" t="inlineStr">
        <is>
          <t>Assets/MachineBrigade/Resources/Data/balance.json: barrelLimits.classRules.navalSecondaryGunBelowMm</t>
        </is>
      </c>
      <c r="H3" t="inlineStr">
        <is>
          <t>130</t>
        </is>
      </c>
    </row>
    <row r="4">
      <c r="A4" t="inlineStr">
        <is>
          <t>classRules.secondaryGunBelowMm</t>
        </is>
      </c>
      <c r="B4" t="inlineStr">
        <is>
          <t>barrelLimits</t>
        </is>
      </c>
      <c r="C4" t="inlineStr">
        <is>
          <t>secondaryGunBelowMm</t>
        </is>
      </c>
      <c r="D4" t="n">
        <v>100</v>
      </c>
      <c r="F4" t="inlineStr">
        <is>
          <t>mm</t>
        </is>
      </c>
      <c r="G4" t="inlineStr">
        <is>
          <t>Assets/MachineBrigade/Resources/Data/balance.json: barrelLimits.classRules.secondaryGunBelowMm</t>
        </is>
      </c>
      <c r="H4" t="inlineStr">
        <is>
          <t>100</t>
        </is>
      </c>
    </row>
    <row r="5">
      <c r="A5" t="inlineStr">
        <is>
          <t>classRules.smallAutocannonMaxMm</t>
        </is>
      </c>
      <c r="B5" t="inlineStr">
        <is>
          <t>barrelLimits</t>
        </is>
      </c>
      <c r="C5" t="inlineStr">
        <is>
          <t>smallAutocannonMaxMm</t>
        </is>
      </c>
      <c r="D5" t="n">
        <v>40</v>
      </c>
      <c r="F5" t="inlineStr">
        <is>
          <t>mm</t>
        </is>
      </c>
      <c r="G5" t="inlineStr">
        <is>
          <t>Assets/MachineBrigade/Resources/Data/balance.json: barrelLimits.classRules.smallAutocannonMaxMm</t>
        </is>
      </c>
      <c r="H5" t="inlineStr">
        <is>
          <t>40</t>
        </is>
      </c>
    </row>
    <row r="6">
      <c r="A6" t="inlineStr">
        <is>
          <t>classes.ban_cau.elevationMaxDeg</t>
        </is>
      </c>
      <c r="B6" t="inlineStr">
        <is>
          <t>barrelLimits</t>
        </is>
      </c>
      <c r="C6" t="inlineStr">
        <is>
          <t>elevationMaxDeg</t>
        </is>
      </c>
      <c r="D6" t="n">
        <v>70</v>
      </c>
      <c r="F6" t="inlineStr">
        <is>
          <t>deg</t>
        </is>
      </c>
      <c r="G6" t="inlineStr">
        <is>
          <t>Assets/MachineBrigade/Resources/Data/balance.json: barrelLimits.classes.ban_cau.elevationMaxDeg</t>
        </is>
      </c>
      <c r="H6" t="inlineStr">
        <is>
          <t>70</t>
        </is>
      </c>
    </row>
    <row r="7">
      <c r="A7" t="inlineStr">
        <is>
          <t>classes.ban_cau.elevationMinDeg</t>
        </is>
      </c>
      <c r="B7" t="inlineStr">
        <is>
          <t>barrelLimits</t>
        </is>
      </c>
      <c r="C7" t="inlineStr">
        <is>
          <t>elevationMinDeg</t>
        </is>
      </c>
      <c r="D7" t="n">
        <v>5</v>
      </c>
      <c r="F7" t="inlineStr">
        <is>
          <t>deg</t>
        </is>
      </c>
      <c r="G7" t="inlineStr">
        <is>
          <t>Assets/MachineBrigade/Resources/Data/balance.json: barrelLimits.classes.ban_cau.elevationMinDeg</t>
        </is>
      </c>
      <c r="H7" t="inlineStr">
        <is>
          <t>5</t>
        </is>
      </c>
    </row>
    <row r="8">
      <c r="A8" t="inlineStr">
        <is>
          <t>classes.ban_cau.estimated</t>
        </is>
      </c>
      <c r="B8" t="inlineStr">
        <is>
          <t>barrelLimits</t>
        </is>
      </c>
      <c r="C8" t="inlineStr">
        <is>
          <t>estimated</t>
        </is>
      </c>
      <c r="D8" t="b">
        <v>1</v>
      </c>
      <c r="F8" t="inlineStr"/>
      <c r="G8" t="inlineStr">
        <is>
          <t>Assets/MachineBrigade/Resources/Data/balance.json: barrelLimits.classes.ban_cau.estimated</t>
        </is>
      </c>
      <c r="H8" t="inlineStr">
        <is>
          <t>true</t>
        </is>
      </c>
    </row>
    <row r="9">
      <c r="A9" t="inlineStr">
        <is>
          <t>classes.be_rocket.depressionDeg</t>
        </is>
      </c>
      <c r="B9" t="inlineStr">
        <is>
          <t>barrelLimits</t>
        </is>
      </c>
      <c r="C9" t="inlineStr">
        <is>
          <t>depressionDeg</t>
        </is>
      </c>
      <c r="D9" t="n">
        <v>0</v>
      </c>
      <c r="F9" t="inlineStr">
        <is>
          <t>deg</t>
        </is>
      </c>
      <c r="G9" t="inlineStr">
        <is>
          <t>Assets/MachineBrigade/Resources/Data/balance.json: barrelLimits.classes.be_rocket.depressionDeg</t>
        </is>
      </c>
      <c r="H9" t="inlineStr">
        <is>
          <t>0</t>
        </is>
      </c>
    </row>
    <row r="10">
      <c r="A10" t="inlineStr">
        <is>
          <t>classes.be_rocket.elevationMaxDeg</t>
        </is>
      </c>
      <c r="B10" t="inlineStr">
        <is>
          <t>barrelLimits</t>
        </is>
      </c>
      <c r="C10" t="inlineStr">
        <is>
          <t>elevationMaxDeg</t>
        </is>
      </c>
      <c r="D10" t="n">
        <v>50</v>
      </c>
      <c r="F10" t="inlineStr">
        <is>
          <t>deg</t>
        </is>
      </c>
      <c r="G10" t="inlineStr">
        <is>
          <t>Assets/MachineBrigade/Resources/Data/balance.json: barrelLimits.classes.be_rocket.elevationMaxDeg</t>
        </is>
      </c>
      <c r="H10" t="inlineStr">
        <is>
          <t>50</t>
        </is>
      </c>
    </row>
    <row r="11">
      <c r="A11" t="inlineStr">
        <is>
          <t>classes.be_rocket.estimated</t>
        </is>
      </c>
      <c r="B11" t="inlineStr">
        <is>
          <t>barrelLimits</t>
        </is>
      </c>
      <c r="C11" t="inlineStr">
        <is>
          <t>estimated</t>
        </is>
      </c>
      <c r="D11" t="b">
        <v>1</v>
      </c>
      <c r="F11" t="inlineStr"/>
      <c r="G11" t="inlineStr">
        <is>
          <t>Assets/MachineBrigade/Resources/Data/balance.json: barrelLimits.classes.be_rocket.estimated</t>
        </is>
      </c>
      <c r="H11" t="inlineStr">
        <is>
          <t>true</t>
        </is>
      </c>
    </row>
    <row r="12">
      <c r="A12" t="inlineStr">
        <is>
          <t>classes.may_bay.depressionDeg</t>
        </is>
      </c>
      <c r="B12" t="inlineStr">
        <is>
          <t>barrelLimits</t>
        </is>
      </c>
      <c r="C12" t="inlineStr">
        <is>
          <t>depressionDeg</t>
        </is>
      </c>
      <c r="D12" t="n">
        <v>65</v>
      </c>
      <c r="F12" t="inlineStr">
        <is>
          <t>deg</t>
        </is>
      </c>
      <c r="G12" t="inlineStr">
        <is>
          <t>Assets/MachineBrigade/Resources/Data/balance.json: barrelLimits.classes.may_bay.depressionDeg</t>
        </is>
      </c>
      <c r="H12" t="inlineStr">
        <is>
          <t>65</t>
        </is>
      </c>
    </row>
    <row r="13">
      <c r="A13" t="inlineStr">
        <is>
          <t>classes.may_bay.elevationMaxDeg</t>
        </is>
      </c>
      <c r="B13" t="inlineStr">
        <is>
          <t>barrelLimits</t>
        </is>
      </c>
      <c r="C13" t="inlineStr">
        <is>
          <t>elevationMaxDeg</t>
        </is>
      </c>
      <c r="D13" t="n">
        <v>5</v>
      </c>
      <c r="F13" t="inlineStr">
        <is>
          <t>deg</t>
        </is>
      </c>
      <c r="G13" t="inlineStr">
        <is>
          <t>Assets/MachineBrigade/Resources/Data/balance.json: barrelLimits.classes.may_bay.elevationMaxDeg</t>
        </is>
      </c>
      <c r="H13" t="inlineStr">
        <is>
          <t>5</t>
        </is>
      </c>
    </row>
    <row r="14">
      <c r="A14" t="inlineStr">
        <is>
          <t>classes.may_bay.estimated</t>
        </is>
      </c>
      <c r="B14" t="inlineStr">
        <is>
          <t>barrelLimits</t>
        </is>
      </c>
      <c r="C14" t="inlineStr">
        <is>
          <t>estimated</t>
        </is>
      </c>
      <c r="D14" t="b">
        <v>0</v>
      </c>
      <c r="F14" t="inlineStr"/>
      <c r="G14" t="inlineStr">
        <is>
          <t>Assets/MachineBrigade/Resources/Data/balance.json: barrelLimits.classes.may_bay.estimated</t>
        </is>
      </c>
      <c r="H14" t="inlineStr">
        <is>
          <t>false</t>
        </is>
      </c>
    </row>
    <row r="15">
      <c r="A15" t="inlineStr">
        <is>
          <t>classes.phao_boss.depressionDeg</t>
        </is>
      </c>
      <c r="B15" t="inlineStr">
        <is>
          <t>barrelLimits</t>
        </is>
      </c>
      <c r="C15" t="inlineStr">
        <is>
          <t>depressionDeg</t>
        </is>
      </c>
      <c r="D15" t="n">
        <v>8</v>
      </c>
      <c r="F15" t="inlineStr">
        <is>
          <t>deg</t>
        </is>
      </c>
      <c r="G15" t="inlineStr">
        <is>
          <t>Assets/MachineBrigade/Resources/Data/balance.json: barrelLimits.classes.phao_boss.depressionDeg</t>
        </is>
      </c>
      <c r="H15" t="inlineStr">
        <is>
          <t>8</t>
        </is>
      </c>
    </row>
    <row r="16">
      <c r="A16" t="inlineStr">
        <is>
          <t>classes.phao_boss.elevationMaxDeg</t>
        </is>
      </c>
      <c r="B16" t="inlineStr">
        <is>
          <t>barrelLimits</t>
        </is>
      </c>
      <c r="C16" t="inlineStr">
        <is>
          <t>elevationMaxDeg</t>
        </is>
      </c>
      <c r="D16" t="n">
        <v>70</v>
      </c>
      <c r="F16" t="inlineStr">
        <is>
          <t>deg</t>
        </is>
      </c>
      <c r="G16" t="inlineStr">
        <is>
          <t>Assets/MachineBrigade/Resources/Data/balance.json: barrelLimits.classes.phao_boss.elevationMaxDeg</t>
        </is>
      </c>
      <c r="H16" t="inlineStr">
        <is>
          <t>70</t>
        </is>
      </c>
    </row>
    <row r="17">
      <c r="A17" t="inlineStr">
        <is>
          <t>classes.phao_boss.estimated</t>
        </is>
      </c>
      <c r="B17" t="inlineStr">
        <is>
          <t>barrelLimits</t>
        </is>
      </c>
      <c r="C17" t="inlineStr">
        <is>
          <t>estimated</t>
        </is>
      </c>
      <c r="D17" t="b">
        <v>1</v>
      </c>
      <c r="F17" t="inlineStr"/>
      <c r="G17" t="inlineStr">
        <is>
          <t>Assets/MachineBrigade/Resources/Data/balance.json: barrelLimits.classes.phao_boss.estimated</t>
        </is>
      </c>
      <c r="H17" t="inlineStr">
        <is>
          <t>true</t>
        </is>
      </c>
    </row>
    <row r="18">
      <c r="A18" t="inlineStr">
        <is>
          <t>classes.phao_ham.depressionDeg</t>
        </is>
      </c>
      <c r="B18" t="inlineStr">
        <is>
          <t>barrelLimits</t>
        </is>
      </c>
      <c r="C18" t="inlineStr">
        <is>
          <t>depressionDeg</t>
        </is>
      </c>
      <c r="D18" t="n">
        <v>5</v>
      </c>
      <c r="F18" t="inlineStr">
        <is>
          <t>deg</t>
        </is>
      </c>
      <c r="G18" t="inlineStr">
        <is>
          <t>Assets/MachineBrigade/Resources/Data/balance.json: barrelLimits.classes.phao_ham.depressionDeg</t>
        </is>
      </c>
      <c r="H18" t="inlineStr">
        <is>
          <t>5</t>
        </is>
      </c>
    </row>
    <row r="19">
      <c r="A19" t="inlineStr">
        <is>
          <t>classes.phao_ham.elevationMaxDeg</t>
        </is>
      </c>
      <c r="B19" t="inlineStr">
        <is>
          <t>barrelLimits</t>
        </is>
      </c>
      <c r="C19" t="inlineStr">
        <is>
          <t>elevationMaxDeg</t>
        </is>
      </c>
      <c r="D19" t="n">
        <v>45</v>
      </c>
      <c r="F19" t="inlineStr">
        <is>
          <t>deg</t>
        </is>
      </c>
      <c r="G19" t="inlineStr">
        <is>
          <t>Assets/MachineBrigade/Resources/Data/balance.json: barrelLimits.classes.phao_ham.elevationMaxDeg</t>
        </is>
      </c>
      <c r="H19" t="inlineStr">
        <is>
          <t>45</t>
        </is>
      </c>
    </row>
    <row r="20">
      <c r="A20" t="inlineStr">
        <is>
          <t>classes.phao_ham.estimated</t>
        </is>
      </c>
      <c r="B20" t="inlineStr">
        <is>
          <t>barrelLimits</t>
        </is>
      </c>
      <c r="C20" t="inlineStr">
        <is>
          <t>estimated</t>
        </is>
      </c>
      <c r="D20" t="b">
        <v>1</v>
      </c>
      <c r="F20" t="inlineStr"/>
      <c r="G20" t="inlineStr">
        <is>
          <t>Assets/MachineBrigade/Resources/Data/balance.json: barrelLimits.classes.phao_ham.estimated</t>
        </is>
      </c>
      <c r="H20" t="inlineStr">
        <is>
          <t>true</t>
        </is>
      </c>
    </row>
    <row r="21">
      <c r="A21" t="inlineStr">
        <is>
          <t>classes.phao_nho_ciws.depressionDeg</t>
        </is>
      </c>
      <c r="B21" t="inlineStr">
        <is>
          <t>barrelLimits</t>
        </is>
      </c>
      <c r="C21" t="inlineStr">
        <is>
          <t>depressionDeg</t>
        </is>
      </c>
      <c r="D21" t="n">
        <v>15</v>
      </c>
      <c r="F21" t="inlineStr">
        <is>
          <t>deg</t>
        </is>
      </c>
      <c r="G21" t="inlineStr">
        <is>
          <t>Assets/MachineBrigade/Resources/Data/balance.json: barrelLimits.classes.phao_nho_ciws.depressionDeg</t>
        </is>
      </c>
      <c r="H21" t="inlineStr">
        <is>
          <t>15</t>
        </is>
      </c>
    </row>
    <row r="22">
      <c r="A22" t="inlineStr">
        <is>
          <t>classes.phao_nho_ciws.elevationMaxDeg</t>
        </is>
      </c>
      <c r="B22" t="inlineStr">
        <is>
          <t>barrelLimits</t>
        </is>
      </c>
      <c r="C22" t="inlineStr">
        <is>
          <t>elevationMaxDeg</t>
        </is>
      </c>
      <c r="D22" t="n">
        <v>85</v>
      </c>
      <c r="F22" t="inlineStr">
        <is>
          <t>deg</t>
        </is>
      </c>
      <c r="G22" t="inlineStr">
        <is>
          <t>Assets/MachineBrigade/Resources/Data/balance.json: barrelLimits.classes.phao_nho_ciws.elevationMaxDeg</t>
        </is>
      </c>
      <c r="H22" t="inlineStr">
        <is>
          <t>85</t>
        </is>
      </c>
    </row>
    <row r="23">
      <c r="A23" t="inlineStr">
        <is>
          <t>classes.phao_nho_ciws.estimated</t>
        </is>
      </c>
      <c r="B23" t="inlineStr">
        <is>
          <t>barrelLimits</t>
        </is>
      </c>
      <c r="C23" t="inlineStr">
        <is>
          <t>estimated</t>
        </is>
      </c>
      <c r="D23" t="b">
        <v>1</v>
      </c>
      <c r="F23" t="inlineStr"/>
      <c r="G23" t="inlineStr">
        <is>
          <t>Assets/MachineBrigade/Resources/Data/balance.json: barrelLimits.classes.phao_nho_ciws.estimated</t>
        </is>
      </c>
      <c r="H23" t="inlineStr">
        <is>
          <t>true</t>
        </is>
      </c>
    </row>
    <row r="24">
      <c r="A24" t="inlineStr">
        <is>
          <t>classes.phun_lua.depressionDeg</t>
        </is>
      </c>
      <c r="B24" t="inlineStr">
        <is>
          <t>barrelLimits</t>
        </is>
      </c>
      <c r="C24" t="inlineStr">
        <is>
          <t>depressionDeg</t>
        </is>
      </c>
      <c r="D24" t="n">
        <v>20</v>
      </c>
      <c r="F24" t="inlineStr">
        <is>
          <t>deg</t>
        </is>
      </c>
      <c r="G24" t="inlineStr">
        <is>
          <t>Assets/MachineBrigade/Resources/Data/balance.json: barrelLimits.classes.phun_lua.depressionDeg</t>
        </is>
      </c>
      <c r="H24" t="inlineStr">
        <is>
          <t>20</t>
        </is>
      </c>
    </row>
    <row r="25">
      <c r="A25" t="inlineStr">
        <is>
          <t>classes.phun_lua.elevationMaxDeg</t>
        </is>
      </c>
      <c r="B25" t="inlineStr">
        <is>
          <t>barrelLimits</t>
        </is>
      </c>
      <c r="C25" t="inlineStr">
        <is>
          <t>elevationMaxDeg</t>
        </is>
      </c>
      <c r="D25" t="n">
        <v>45</v>
      </c>
      <c r="F25" t="inlineStr">
        <is>
          <t>deg</t>
        </is>
      </c>
      <c r="G25" t="inlineStr">
        <is>
          <t>Assets/MachineBrigade/Resources/Data/balance.json: barrelLimits.classes.phun_lua.elevationMaxDeg</t>
        </is>
      </c>
      <c r="H25" t="inlineStr">
        <is>
          <t>45</t>
        </is>
      </c>
    </row>
    <row r="26">
      <c r="A26" t="inlineStr">
        <is>
          <t>classes.phun_lua.estimated</t>
        </is>
      </c>
      <c r="B26" t="inlineStr">
        <is>
          <t>barrelLimits</t>
        </is>
      </c>
      <c r="C26" t="inlineStr">
        <is>
          <t>estimated</t>
        </is>
      </c>
      <c r="D26" t="b">
        <v>1</v>
      </c>
      <c r="F26" t="inlineStr"/>
      <c r="G26" t="inlineStr">
        <is>
          <t>Assets/MachineBrigade/Resources/Data/balance.json: barrelLimits.classes.phun_lua.estimated</t>
        </is>
      </c>
      <c r="H26" t="inlineStr">
        <is>
          <t>true</t>
        </is>
      </c>
    </row>
    <row r="27">
      <c r="A27" t="inlineStr">
        <is>
          <t>classes.sung_may.depressionDeg</t>
        </is>
      </c>
      <c r="B27" t="inlineStr">
        <is>
          <t>barrelLimits</t>
        </is>
      </c>
      <c r="C27" t="inlineStr">
        <is>
          <t>depressionDeg</t>
        </is>
      </c>
      <c r="D27" t="n">
        <v>20</v>
      </c>
      <c r="F27" t="inlineStr">
        <is>
          <t>deg</t>
        </is>
      </c>
      <c r="G27" t="inlineStr">
        <is>
          <t>Assets/MachineBrigade/Resources/Data/balance.json: barrelLimits.classes.sung_may.depressionDeg</t>
        </is>
      </c>
      <c r="H27" t="inlineStr">
        <is>
          <t>20</t>
        </is>
      </c>
    </row>
    <row r="28">
      <c r="A28" t="inlineStr">
        <is>
          <t>classes.sung_may.elevationMaxDeg</t>
        </is>
      </c>
      <c r="B28" t="inlineStr">
        <is>
          <t>barrelLimits</t>
        </is>
      </c>
      <c r="C28" t="inlineStr">
        <is>
          <t>elevationMaxDeg</t>
        </is>
      </c>
      <c r="D28" t="n">
        <v>70</v>
      </c>
      <c r="F28" t="inlineStr">
        <is>
          <t>deg</t>
        </is>
      </c>
      <c r="G28" t="inlineStr">
        <is>
          <t>Assets/MachineBrigade/Resources/Data/balance.json: barrelLimits.classes.sung_may.elevationMaxDeg</t>
        </is>
      </c>
      <c r="H28" t="inlineStr">
        <is>
          <t>70</t>
        </is>
      </c>
    </row>
    <row r="29">
      <c r="A29" t="inlineStr">
        <is>
          <t>classes.sung_may.estimated</t>
        </is>
      </c>
      <c r="B29" t="inlineStr">
        <is>
          <t>barrelLimits</t>
        </is>
      </c>
      <c r="C29" t="inlineStr">
        <is>
          <t>estimated</t>
        </is>
      </c>
      <c r="D29" t="b">
        <v>1</v>
      </c>
      <c r="F29" t="inlineStr"/>
      <c r="G29" t="inlineStr">
        <is>
          <t>Assets/MachineBrigade/Resources/Data/balance.json: barrelLimits.classes.sung_may.estimated</t>
        </is>
      </c>
      <c r="H29" t="inlineStr">
        <is>
          <t>true</t>
        </is>
      </c>
    </row>
    <row r="30">
      <c r="A30" t="inlineStr">
        <is>
          <t>classes.sung_phu.depressionDeg</t>
        </is>
      </c>
      <c r="B30" t="inlineStr">
        <is>
          <t>barrelLimits</t>
        </is>
      </c>
      <c r="C30" t="inlineStr">
        <is>
          <t>depressionDeg</t>
        </is>
      </c>
      <c r="D30" t="n">
        <v>15</v>
      </c>
      <c r="F30" t="inlineStr">
        <is>
          <t>deg</t>
        </is>
      </c>
      <c r="G30" t="inlineStr">
        <is>
          <t>Assets/MachineBrigade/Resources/Data/balance.json: barrelLimits.classes.sung_phu.depressionDeg</t>
        </is>
      </c>
      <c r="H30" t="inlineStr">
        <is>
          <t>15</t>
        </is>
      </c>
    </row>
    <row r="31">
      <c r="A31" t="inlineStr">
        <is>
          <t>classes.sung_phu.elevationMaxDeg</t>
        </is>
      </c>
      <c r="B31" t="inlineStr">
        <is>
          <t>barrelLimits</t>
        </is>
      </c>
      <c r="C31" t="inlineStr">
        <is>
          <t>elevationMaxDeg</t>
        </is>
      </c>
      <c r="D31" t="n">
        <v>70</v>
      </c>
      <c r="F31" t="inlineStr">
        <is>
          <t>deg</t>
        </is>
      </c>
      <c r="G31" t="inlineStr">
        <is>
          <t>Assets/MachineBrigade/Resources/Data/balance.json: barrelLimits.classes.sung_phu.elevationMaxDeg</t>
        </is>
      </c>
      <c r="H31" t="inlineStr">
        <is>
          <t>70</t>
        </is>
      </c>
    </row>
    <row r="32">
      <c r="A32" t="inlineStr">
        <is>
          <t>classes.sung_phu.estimated</t>
        </is>
      </c>
      <c r="B32" t="inlineStr">
        <is>
          <t>barrelLimits</t>
        </is>
      </c>
      <c r="C32" t="inlineStr">
        <is>
          <t>estimated</t>
        </is>
      </c>
      <c r="D32" t="b">
        <v>1</v>
      </c>
      <c r="F32" t="inlineStr"/>
      <c r="G32" t="inlineStr">
        <is>
          <t>Assets/MachineBrigade/Resources/Data/balance.json: barrelLimits.classes.sung_phu.estimated</t>
        </is>
      </c>
      <c r="H32" t="inlineStr">
        <is>
          <t>true</t>
        </is>
      </c>
    </row>
    <row r="33">
      <c r="A33" t="inlineStr">
        <is>
          <t>coverShare</t>
        </is>
      </c>
      <c r="B33" t="inlineStr">
        <is>
          <t>barrelLimits</t>
        </is>
      </c>
      <c r="C33" t="inlineStr">
        <is>
          <t>coverShare</t>
        </is>
      </c>
      <c r="D33" t="n">
        <v>0.9</v>
      </c>
      <c r="F33" t="inlineStr"/>
      <c r="G33" t="inlineStr">
        <is>
          <t>Assets/MachineBrigade/Resources/Data/balance.json: barrelLimits.coverShare</t>
        </is>
      </c>
      <c r="H33" t="inlineStr">
        <is>
          <t>0.9</t>
        </is>
      </c>
    </row>
    <row r="34">
      <c r="A34" t="inlineStr">
        <is>
          <t>families.mortar.elevationMaxDeg</t>
        </is>
      </c>
      <c r="B34" t="inlineStr">
        <is>
          <t>barrelLimits</t>
        </is>
      </c>
      <c r="C34" t="inlineStr">
        <is>
          <t>elevationMaxDeg</t>
        </is>
      </c>
      <c r="D34" t="n">
        <v>85</v>
      </c>
      <c r="F34" t="inlineStr">
        <is>
          <t>deg</t>
        </is>
      </c>
      <c r="G34" t="inlineStr">
        <is>
          <t>Assets/MachineBrigade/Resources/Data/balance.json: barrelLimits.families.mortar.elevationMaxDeg</t>
        </is>
      </c>
      <c r="H34" t="inlineStr">
        <is>
          <t>85</t>
        </is>
      </c>
    </row>
    <row r="35">
      <c r="A35" t="inlineStr">
        <is>
          <t>families.mortar.elevationMinDeg</t>
        </is>
      </c>
      <c r="B35" t="inlineStr">
        <is>
          <t>barrelLimits</t>
        </is>
      </c>
      <c r="C35" t="inlineStr">
        <is>
          <t>elevationMinDeg</t>
        </is>
      </c>
      <c r="D35" t="n">
        <v>45</v>
      </c>
      <c r="F35" t="inlineStr">
        <is>
          <t>deg</t>
        </is>
      </c>
      <c r="G35" t="inlineStr">
        <is>
          <t>Assets/MachineBrigade/Resources/Data/balance.json: barrelLimits.families.mortar.elevationMinDeg</t>
        </is>
      </c>
      <c r="H35" t="inlineStr">
        <is>
          <t>45</t>
        </is>
      </c>
    </row>
    <row r="36">
      <c r="A36" t="inlineStr">
        <is>
          <t>families.mortar.estimated</t>
        </is>
      </c>
      <c r="B36" t="inlineStr">
        <is>
          <t>barrelLimits</t>
        </is>
      </c>
      <c r="C36" t="inlineStr">
        <is>
          <t>estimated</t>
        </is>
      </c>
      <c r="D36" t="b">
        <v>1</v>
      </c>
      <c r="F36" t="inlineStr"/>
      <c r="G36" t="inlineStr">
        <is>
          <t>Assets/MachineBrigade/Resources/Data/balance.json: barrelLimits.families.mortar.estimated</t>
        </is>
      </c>
      <c r="H36" t="inlineStr">
        <is>
          <t>true</t>
        </is>
      </c>
    </row>
    <row r="37">
      <c r="A37" t="inlineStr">
        <is>
          <t>largeBandM</t>
        </is>
      </c>
      <c r="B37" t="inlineStr">
        <is>
          <t>barrelLimits</t>
        </is>
      </c>
      <c r="C37" t="inlineStr">
        <is>
          <t>largeBandM</t>
        </is>
      </c>
      <c r="D37" t="n">
        <v>8</v>
      </c>
      <c r="F37" t="inlineStr">
        <is>
          <t>m</t>
        </is>
      </c>
      <c r="G37" t="inlineStr">
        <is>
          <t>Assets/MachineBrigade/Resources/Data/balance.json: barrelLimits.largeBandM</t>
        </is>
      </c>
      <c r="H37" t="inlineStr">
        <is>
          <t>8</t>
        </is>
      </c>
    </row>
    <row r="38">
      <c r="A38" t="inlineStr">
        <is>
          <t>missileArmingM</t>
        </is>
      </c>
      <c r="B38" t="inlineStr">
        <is>
          <t>barrelLimits</t>
        </is>
      </c>
      <c r="C38" t="inlineStr">
        <is>
          <t>missileArmingM</t>
        </is>
      </c>
      <c r="D38" t="n">
        <v>1</v>
      </c>
      <c r="F38" t="inlineStr">
        <is>
          <t>m</t>
        </is>
      </c>
      <c r="G38" t="inlineStr">
        <is>
          <t>Assets/MachineBrigade/Resources/Data/balance.json: barrelLimits.missileArmingM</t>
        </is>
      </c>
      <c r="H38" t="inlineStr">
        <is>
          <t>1</t>
        </is>
      </c>
    </row>
    <row r="39">
      <c r="A39" t="inlineStr">
        <is>
          <t>negligibleBandM</t>
        </is>
      </c>
      <c r="B39" t="inlineStr">
        <is>
          <t>barrelLimits</t>
        </is>
      </c>
      <c r="C39" t="inlineStr">
        <is>
          <t>negligibleBandM</t>
        </is>
      </c>
      <c r="D39" t="n">
        <v>2</v>
      </c>
      <c r="F39" t="inlineStr">
        <is>
          <t>m</t>
        </is>
      </c>
      <c r="G39" t="inlineStr">
        <is>
          <t>Assets/MachineBrigade/Resources/Data/balance.json: barrelLimits.negligibleBandM</t>
        </is>
      </c>
      <c r="H39" t="inlineStr">
        <is>
          <t>2</t>
        </is>
      </c>
    </row>
    <row r="40">
      <c r="A40" t="inlineStr">
        <is>
          <t>targetCentreHeightM.hang_nang</t>
        </is>
      </c>
      <c r="B40" t="inlineStr">
        <is>
          <t>barrelLimits</t>
        </is>
      </c>
      <c r="C40" t="inlineStr">
        <is>
          <t>hang_nang</t>
        </is>
      </c>
      <c r="D40" t="n">
        <v>1.6</v>
      </c>
      <c r="F40" t="inlineStr">
        <is>
          <t>m</t>
        </is>
      </c>
      <c r="G40" t="inlineStr">
        <is>
          <t>Assets/MachineBrigade/Resources/Data/balance.json: barrelLimits.targetCentreHeightM.hang_nang</t>
        </is>
      </c>
      <c r="H40" t="inlineStr">
        <is>
          <t>1.6</t>
        </is>
      </c>
    </row>
    <row r="41">
      <c r="A41" t="inlineStr">
        <is>
          <t>targetCentreHeightM.xe_nhe</t>
        </is>
      </c>
      <c r="B41" t="inlineStr">
        <is>
          <t>barrelLimits</t>
        </is>
      </c>
      <c r="C41" t="inlineStr">
        <is>
          <t>xe_nhe</t>
        </is>
      </c>
      <c r="D41" t="n">
        <v>1</v>
      </c>
      <c r="F41" t="inlineStr">
        <is>
          <t>m</t>
        </is>
      </c>
      <c r="G41" t="inlineStr">
        <is>
          <t>Assets/MachineBrigade/Resources/Data/balance.json: barrelLimits.targetCentreHeightM.xe_nhe</t>
        </is>
      </c>
      <c r="H41" t="inlineStr">
        <is>
          <t>1.0</t>
        </is>
      </c>
    </row>
    <row r="42">
      <c r="A42" t="inlineStr">
        <is>
          <t>targetCentreHeightM.xe_tang</t>
        </is>
      </c>
      <c r="B42" t="inlineStr">
        <is>
          <t>barrelLimits</t>
        </is>
      </c>
      <c r="C42" t="inlineStr">
        <is>
          <t>xe_tang</t>
        </is>
      </c>
      <c r="D42" t="n">
        <v>1.3</v>
      </c>
      <c r="F42" t="inlineStr">
        <is>
          <t>m</t>
        </is>
      </c>
      <c r="G42" t="inlineStr">
        <is>
          <t>Assets/MachineBrigade/Resources/Data/balance.json: barrelLimits.targetCentreHeightM.xe_tang</t>
        </is>
      </c>
      <c r="H42" t="inlineStr">
        <is>
          <t>1.3</t>
        </is>
      </c>
    </row>
  </sheetData>
  <autoFilter ref="A1:H42"/>
  <pageMargins left="0.75" right="0.75" top="1" bottom="1" header="0.5" footer="0.5"/>
</worksheet>
</file>

<file path=xl/worksheets/sheet1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4" customWidth="1" min="1" max="1"/>
    <col width="17" customWidth="1" min="2" max="2"/>
    <col width="37" customWidth="1" min="3" max="3"/>
    <col width="21" customWidth="1" min="4" max="4"/>
    <col width="17" customWidth="1" min="5" max="5"/>
    <col width="14" customWidth="1" min="6" max="6"/>
    <col width="60" customWidth="1" min="7" max="7"/>
    <col width="10" customWidth="1" min="8" max="8"/>
  </cols>
  <sheetData>
    <row r="1">
      <c r="A1" s="1" t="inlineStr">
        <is>
          <t>id</t>
        </is>
      </c>
      <c r="B1" s="1" t="inlineStr">
        <is>
          <t>boss_id</t>
        </is>
      </c>
      <c r="C1" s="1" t="inlineStr">
        <is>
          <t>vu_khi_id</t>
        </is>
      </c>
      <c r="D1" s="1" t="inlineStr">
        <is>
          <t>tam_toi_thieu_mep_m</t>
        </is>
      </c>
      <c r="E1" s="1" t="inlineStr">
        <is>
          <t>tam_toi_thieu_m</t>
        </is>
      </c>
      <c r="F1" s="1" t="inlineStr">
        <is>
          <t>tam_toi_da_m</t>
        </is>
      </c>
      <c r="G1" s="1" t="inlineStr">
        <is>
          <t>nguon</t>
        </is>
      </c>
      <c r="H1" s="1" t="inlineStr">
        <is>
          <t>raw_json</t>
        </is>
      </c>
    </row>
    <row r="2">
      <c r="A2" t="inlineStr">
        <is>
          <t>armored_train/pt14_train_grad</t>
        </is>
      </c>
      <c r="B2" t="inlineStr">
        <is>
          <t>armored_train</t>
        </is>
      </c>
      <c r="C2" t="inlineStr">
        <is>
          <t>pt14_train_grad</t>
        </is>
      </c>
      <c r="D2" t="n">
        <v>16</v>
      </c>
      <c r="F2" t="n">
        <v>52</v>
      </c>
      <c r="G2" t="inlineStr">
        <is>
          <t>Assets/MachineBrigade/Resources/Data/balance.json: bossWeaponOverrides.armored_train.pt14_train_grad</t>
        </is>
      </c>
      <c r="H2" t="inlineStr"/>
    </row>
    <row r="3">
      <c r="A3" t="inlineStr">
        <is>
          <t>armored_train/train_gun</t>
        </is>
      </c>
      <c r="B3" t="inlineStr">
        <is>
          <t>armored_train</t>
        </is>
      </c>
      <c r="C3" t="inlineStr">
        <is>
          <t>train_gun</t>
        </is>
      </c>
      <c r="D3" t="n">
        <v>25</v>
      </c>
      <c r="F3" t="n">
        <v>80</v>
      </c>
      <c r="G3" t="inlineStr">
        <is>
          <t>Assets/MachineBrigade/Resources/Data/balance.json: bossWeaponOverrides.armored_train.train_gun</t>
        </is>
      </c>
      <c r="H3" t="inlineStr"/>
    </row>
    <row r="4">
      <c r="A4" t="inlineStr">
        <is>
          <t>bastion_mk0/p26_bastion_direct_b100</t>
        </is>
      </c>
      <c r="B4" t="inlineStr">
        <is>
          <t>bastion_mk0</t>
        </is>
      </c>
      <c r="C4" t="inlineStr">
        <is>
          <t>p26_bastion_direct_b100</t>
        </is>
      </c>
      <c r="D4" t="n">
        <v>19</v>
      </c>
      <c r="F4" t="n">
        <v>61</v>
      </c>
      <c r="G4" t="inlineStr">
        <is>
          <t>Assets/MachineBrigade/Resources/Data/balance.json: bossWeaponOverrides.bastion_mk0.p26_bastion_direct_b100</t>
        </is>
      </c>
      <c r="H4" t="inlineStr"/>
    </row>
    <row r="5">
      <c r="A5" t="inlineStr">
        <is>
          <t>behemoth/p26_behemoth_direct_be120</t>
        </is>
      </c>
      <c r="B5" t="inlineStr">
        <is>
          <t>behemoth</t>
        </is>
      </c>
      <c r="C5" t="inlineStr">
        <is>
          <t>p26_behemoth_direct_be120</t>
        </is>
      </c>
      <c r="D5" t="n">
        <v>25</v>
      </c>
      <c r="F5" t="n">
        <v>80</v>
      </c>
      <c r="G5" t="inlineStr">
        <is>
          <t>Assets/MachineBrigade/Resources/Data/balance.json: bossWeaponOverrides.behemoth.p26_behemoth_direct_be120</t>
        </is>
      </c>
      <c r="H5" t="inlineStr"/>
    </row>
    <row r="6">
      <c r="A6" t="inlineStr">
        <is>
          <t>behemoth/p26_behemoth_main_be152</t>
        </is>
      </c>
      <c r="B6" t="inlineStr">
        <is>
          <t>behemoth</t>
        </is>
      </c>
      <c r="C6" t="inlineStr">
        <is>
          <t>p26_behemoth_main_be152</t>
        </is>
      </c>
      <c r="D6" t="n">
        <v>32</v>
      </c>
      <c r="F6" t="n">
        <v>103</v>
      </c>
      <c r="G6" t="inlineStr">
        <is>
          <t>Assets/MachineBrigade/Resources/Data/balance.json: bossWeaponOverrides.behemoth.p26_behemoth_main_be152</t>
        </is>
      </c>
      <c r="H6" t="inlineStr"/>
    </row>
    <row r="7">
      <c r="A7" t="inlineStr">
        <is>
          <t>behemoth/p26_behemoth_sec_be_rockets</t>
        </is>
      </c>
      <c r="B7" t="inlineStr">
        <is>
          <t>behemoth</t>
        </is>
      </c>
      <c r="C7" t="inlineStr">
        <is>
          <t>p26_behemoth_sec_be_rockets</t>
        </is>
      </c>
      <c r="D7" t="n">
        <v>30</v>
      </c>
      <c r="F7" t="n">
        <v>96</v>
      </c>
      <c r="G7" t="inlineStr">
        <is>
          <t>Assets/MachineBrigade/Resources/Data/balance.json: bossWeaponOverrides.behemoth.p26_behemoth_sec_be_rockets</t>
        </is>
      </c>
      <c r="H7" t="inlineStr"/>
    </row>
    <row r="8">
      <c r="A8" t="inlineStr">
        <is>
          <t>behemoth/p26_behemoth_tiny_be120</t>
        </is>
      </c>
      <c r="B8" t="inlineStr">
        <is>
          <t>behemoth</t>
        </is>
      </c>
      <c r="C8" t="inlineStr">
        <is>
          <t>p26_behemoth_tiny_be120</t>
        </is>
      </c>
      <c r="D8" t="n">
        <v>25</v>
      </c>
      <c r="F8" t="n">
        <v>80</v>
      </c>
      <c r="G8" t="inlineStr">
        <is>
          <t>Assets/MachineBrigade/Resources/Data/balance.json: bossWeaponOverrides.behemoth.p26_behemoth_tiny_be120</t>
        </is>
      </c>
      <c r="H8" t="inlineStr"/>
    </row>
    <row r="9">
      <c r="A9" t="inlineStr">
        <is>
          <t>behemoth/p26_behemoth_tiny_boss_missiles</t>
        </is>
      </c>
      <c r="B9" t="inlineStr">
        <is>
          <t>behemoth</t>
        </is>
      </c>
      <c r="C9" t="inlineStr">
        <is>
          <t>p26_behemoth_tiny_boss_missiles</t>
        </is>
      </c>
      <c r="D9" t="n">
        <v>1</v>
      </c>
      <c r="G9" t="inlineStr">
        <is>
          <t>Assets/MachineBrigade/Resources/Data/balance.json: bossWeaponOverrides.behemoth.p26_behemoth_tiny_boss_missiles</t>
        </is>
      </c>
      <c r="H9" t="inlineStr"/>
    </row>
    <row r="10">
      <c r="A10" t="inlineStr">
        <is>
          <t>behemoth/p26_behemoth_tiny_kornet_twin</t>
        </is>
      </c>
      <c r="B10" t="inlineStr">
        <is>
          <t>behemoth</t>
        </is>
      </c>
      <c r="C10" t="inlineStr">
        <is>
          <t>p26_behemoth_tiny_kornet_twin</t>
        </is>
      </c>
      <c r="D10" t="n">
        <v>25</v>
      </c>
      <c r="F10" t="n">
        <v>80</v>
      </c>
      <c r="G10" t="inlineStr">
        <is>
          <t>Assets/MachineBrigade/Resources/Data/balance.json: bossWeaponOverrides.behemoth.p26_behemoth_tiny_kornet_twin</t>
        </is>
      </c>
      <c r="H10" t="inlineStr"/>
    </row>
    <row r="11">
      <c r="A11" t="inlineStr">
        <is>
          <t>behemoth_inferno/boss_thermo</t>
        </is>
      </c>
      <c r="B11" t="inlineStr">
        <is>
          <t>behemoth_inferno</t>
        </is>
      </c>
      <c r="C11" t="inlineStr">
        <is>
          <t>boss_thermo</t>
        </is>
      </c>
      <c r="D11" t="n">
        <v>21</v>
      </c>
      <c r="F11" t="n">
        <v>68</v>
      </c>
      <c r="G11" t="inlineStr">
        <is>
          <t>Assets/MachineBrigade/Resources/Data/balance.json: bossWeaponOverrides.behemoth_inferno.boss_thermo</t>
        </is>
      </c>
      <c r="H11" t="inlineStr"/>
    </row>
    <row r="12">
      <c r="A12" t="inlineStr">
        <is>
          <t>behemoth_mk0/p26_behemoth_direct_be120</t>
        </is>
      </c>
      <c r="B12" t="inlineStr">
        <is>
          <t>behemoth_mk0</t>
        </is>
      </c>
      <c r="C12" t="inlineStr">
        <is>
          <t>p26_behemoth_direct_be120</t>
        </is>
      </c>
      <c r="D12" t="n">
        <v>24</v>
      </c>
      <c r="F12" t="n">
        <v>77</v>
      </c>
      <c r="G12" t="inlineStr">
        <is>
          <t>Assets/MachineBrigade/Resources/Data/balance.json: bossWeaponOverrides.behemoth_mk0.p26_behemoth_direct_be120</t>
        </is>
      </c>
      <c r="H12" t="inlineStr"/>
    </row>
    <row r="13">
      <c r="A13" t="inlineStr">
        <is>
          <t>behemoth_mk0/p26_behemoth_main_be152</t>
        </is>
      </c>
      <c r="B13" t="inlineStr">
        <is>
          <t>behemoth_mk0</t>
        </is>
      </c>
      <c r="C13" t="inlineStr">
        <is>
          <t>p26_behemoth_main_be152</t>
        </is>
      </c>
      <c r="D13" t="n">
        <v>36</v>
      </c>
      <c r="F13" t="n">
        <v>116</v>
      </c>
      <c r="G13" t="inlineStr">
        <is>
          <t>Assets/MachineBrigade/Resources/Data/balance.json: bossWeaponOverrides.behemoth_mk0.p26_behemoth_main_be152</t>
        </is>
      </c>
      <c r="H13" t="inlineStr"/>
    </row>
    <row r="14">
      <c r="A14" t="inlineStr">
        <is>
          <t>behemoth_mk0/p26_behemoth_sec_be_rockets</t>
        </is>
      </c>
      <c r="B14" t="inlineStr">
        <is>
          <t>behemoth_mk0</t>
        </is>
      </c>
      <c r="C14" t="inlineStr">
        <is>
          <t>p26_behemoth_sec_be_rockets</t>
        </is>
      </c>
      <c r="D14" t="n">
        <v>23</v>
      </c>
      <c r="F14" t="n">
        <v>74</v>
      </c>
      <c r="G14" t="inlineStr">
        <is>
          <t>Assets/MachineBrigade/Resources/Data/balance.json: bossWeaponOverrides.behemoth_mk0.p26_behemoth_sec_be_rockets</t>
        </is>
      </c>
      <c r="H14" t="inlineStr"/>
    </row>
    <row r="15">
      <c r="A15" t="inlineStr">
        <is>
          <t>behemoth_mk2/p26_behemoth_main_be152</t>
        </is>
      </c>
      <c r="B15" t="inlineStr">
        <is>
          <t>behemoth_mk2</t>
        </is>
      </c>
      <c r="C15" t="inlineStr">
        <is>
          <t>p26_behemoth_main_be152</t>
        </is>
      </c>
      <c r="D15" t="n">
        <v>32</v>
      </c>
      <c r="F15" t="n">
        <v>103</v>
      </c>
      <c r="G15" t="inlineStr">
        <is>
          <t>Assets/MachineBrigade/Resources/Data/balance.json: bossWeaponOverrides.behemoth_mk2.p26_behemoth_main_be152</t>
        </is>
      </c>
      <c r="H15" t="inlineStr"/>
    </row>
    <row r="16">
      <c r="A16" t="inlineStr">
        <is>
          <t>behemoth_tempest/boss_railgun</t>
        </is>
      </c>
      <c r="B16" t="inlineStr">
        <is>
          <t>behemoth_tempest</t>
        </is>
      </c>
      <c r="C16" t="inlineStr">
        <is>
          <t>boss_railgun</t>
        </is>
      </c>
      <c r="D16" t="n">
        <v>33</v>
      </c>
      <c r="F16" t="n">
        <v>106</v>
      </c>
      <c r="G16" t="inlineStr">
        <is>
          <t>Assets/MachineBrigade/Resources/Data/balance.json: bossWeaponOverrides.behemoth_tempest.boss_railgun</t>
        </is>
      </c>
      <c r="H16" t="inlineStr"/>
    </row>
    <row r="17">
      <c r="A17" t="inlineStr">
        <is>
          <t>behemoth_tempest/coilgun</t>
        </is>
      </c>
      <c r="B17" t="inlineStr">
        <is>
          <t>behemoth_tempest</t>
        </is>
      </c>
      <c r="C17" t="inlineStr">
        <is>
          <t>coilgun</t>
        </is>
      </c>
      <c r="D17" t="n">
        <v>17</v>
      </c>
      <c r="G17" t="inlineStr">
        <is>
          <t>Assets/MachineBrigade/Resources/Data/balance.json: bossWeaponOverrides.behemoth_tempest.coilgun</t>
        </is>
      </c>
      <c r="H17" t="inlineStr"/>
    </row>
    <row r="18">
      <c r="A18" t="inlineStr">
        <is>
          <t>coeus/pt14_co_203</t>
        </is>
      </c>
      <c r="B18" t="inlineStr">
        <is>
          <t>coeus</t>
        </is>
      </c>
      <c r="C18" t="inlineStr">
        <is>
          <t>pt14_co_203</t>
        </is>
      </c>
      <c r="D18" t="n">
        <v>28</v>
      </c>
      <c r="G18" t="inlineStr">
        <is>
          <t>Assets/MachineBrigade/Resources/Data/balance.json: bossWeaponOverrides.coeus.pt14_co_203</t>
        </is>
      </c>
      <c r="H18" t="inlineStr"/>
    </row>
    <row r="19">
      <c r="A19" t="inlineStr">
        <is>
          <t>coeus/pt14_co_spike</t>
        </is>
      </c>
      <c r="B19" t="inlineStr">
        <is>
          <t>coeus</t>
        </is>
      </c>
      <c r="C19" t="inlineStr">
        <is>
          <t>pt14_co_spike</t>
        </is>
      </c>
      <c r="D19" t="n">
        <v>1</v>
      </c>
      <c r="G19" t="inlineStr">
        <is>
          <t>Assets/MachineBrigade/Resources/Data/balance.json: bossWeaponOverrides.coeus.pt14_co_spike</t>
        </is>
      </c>
      <c r="H19" t="inlineStr"/>
    </row>
    <row r="20">
      <c r="A20" t="inlineStr">
        <is>
          <t>command_airship/p26_roc_direct_roc_atgm</t>
        </is>
      </c>
      <c r="B20" t="inlineStr">
        <is>
          <t>command_airship</t>
        </is>
      </c>
      <c r="C20" t="inlineStr">
        <is>
          <t>p26_roc_direct_roc_atgm</t>
        </is>
      </c>
      <c r="D20" t="n">
        <v>1</v>
      </c>
      <c r="G20" t="inlineStr">
        <is>
          <t>Assets/MachineBrigade/Resources/Data/balance.json: bossWeaponOverrides.command_airship.p26_roc_direct_roc_atgm</t>
        </is>
      </c>
      <c r="H20" t="inlineStr"/>
    </row>
    <row r="21">
      <c r="A21" t="inlineStr">
        <is>
          <t>command_airship/p26_roc_roc105</t>
        </is>
      </c>
      <c r="B21" t="inlineStr">
        <is>
          <t>command_airship</t>
        </is>
      </c>
      <c r="C21" t="inlineStr">
        <is>
          <t>p26_roc_roc105</t>
        </is>
      </c>
      <c r="D21" t="n">
        <v>22</v>
      </c>
      <c r="F21" t="n">
        <v>71</v>
      </c>
      <c r="G21" t="inlineStr">
        <is>
          <t>Assets/MachineBrigade/Resources/Data/balance.json: bossWeaponOverrides.command_airship.p26_roc_roc105</t>
        </is>
      </c>
      <c r="H21" t="inlineStr"/>
    </row>
    <row r="22">
      <c r="A22" t="inlineStr">
        <is>
          <t>daedalus/p26_daedalus_direct_dae_laser</t>
        </is>
      </c>
      <c r="B22" t="inlineStr">
        <is>
          <t>daedalus</t>
        </is>
      </c>
      <c r="C22" t="inlineStr">
        <is>
          <t>p26_daedalus_direct_dae_laser</t>
        </is>
      </c>
      <c r="D22" t="n">
        <v>13</v>
      </c>
      <c r="F22" t="n">
        <v>42</v>
      </c>
      <c r="G22" t="inlineStr">
        <is>
          <t>Assets/MachineBrigade/Resources/Data/balance.json: bossWeaponOverrides.daedalus.p26_daedalus_direct_dae_laser</t>
        </is>
      </c>
      <c r="H22" t="inlineStr"/>
    </row>
    <row r="23">
      <c r="A23" t="inlineStr">
        <is>
          <t>drone_mothership/p26_matriarch_direct_ma_atgm</t>
        </is>
      </c>
      <c r="B23" t="inlineStr">
        <is>
          <t>drone_mothership</t>
        </is>
      </c>
      <c r="C23" t="inlineStr">
        <is>
          <t>p26_matriarch_direct_ma_atgm</t>
        </is>
      </c>
      <c r="D23" t="n">
        <v>1</v>
      </c>
      <c r="G23" t="inlineStr">
        <is>
          <t>Assets/MachineBrigade/Resources/Data/balance.json: bossWeaponOverrides.drone_mothership.p26_matriarch_direct_ma_atgm</t>
        </is>
      </c>
      <c r="H23" t="inlineStr"/>
    </row>
    <row r="24">
      <c r="A24" t="inlineStr">
        <is>
          <t>drone_mothership/p26_matriarch_ma_drones</t>
        </is>
      </c>
      <c r="B24" t="inlineStr">
        <is>
          <t>drone_mothership</t>
        </is>
      </c>
      <c r="C24" t="inlineStr">
        <is>
          <t>p26_matriarch_ma_drones</t>
        </is>
      </c>
      <c r="D24" t="n">
        <v>1</v>
      </c>
      <c r="G24" t="inlineStr">
        <is>
          <t>Assets/MachineBrigade/Resources/Data/balance.json: bossWeaponOverrides.drone_mothership.p26_matriarch_ma_drones</t>
        </is>
      </c>
      <c r="H24" t="inlineStr"/>
    </row>
    <row r="25">
      <c r="A25" t="inlineStr">
        <is>
          <t>drone_mothership/p26_matriarch_tiny_mothership_cannon</t>
        </is>
      </c>
      <c r="B25" t="inlineStr">
        <is>
          <t>drone_mothership</t>
        </is>
      </c>
      <c r="C25" t="inlineStr">
        <is>
          <t>p26_matriarch_tiny_mothership_cannon</t>
        </is>
      </c>
      <c r="D25" t="n">
        <v>13</v>
      </c>
      <c r="G25" t="inlineStr">
        <is>
          <t>Assets/MachineBrigade/Resources/Data/balance.json: bossWeaponOverrides.drone_mothership.p26_matriarch_tiny_mothership_cannon</t>
        </is>
      </c>
      <c r="H25" t="inlineStr"/>
    </row>
    <row r="26">
      <c r="A26" t="inlineStr">
        <is>
          <t>earth_borer/borer_cannon</t>
        </is>
      </c>
      <c r="B26" t="inlineStr">
        <is>
          <t>earth_borer</t>
        </is>
      </c>
      <c r="C26" t="inlineStr">
        <is>
          <t>borer_cannon</t>
        </is>
      </c>
      <c r="D26" t="n">
        <v>16</v>
      </c>
      <c r="F26" t="n">
        <v>52</v>
      </c>
      <c r="G26" t="inlineStr">
        <is>
          <t>Assets/MachineBrigade/Resources/Data/balance.json: bossWeaponOverrides.earth_borer.borer_cannon</t>
        </is>
      </c>
      <c r="H26" t="inlineStr"/>
    </row>
    <row r="27">
      <c r="A27" t="inlineStr">
        <is>
          <t>fenrir/p26_jotunn_sec_jo_rockets</t>
        </is>
      </c>
      <c r="B27" t="inlineStr">
        <is>
          <t>fenrir</t>
        </is>
      </c>
      <c r="C27" t="inlineStr">
        <is>
          <t>p26_jotunn_sec_jo_rockets</t>
        </is>
      </c>
      <c r="D27" t="n">
        <v>16</v>
      </c>
      <c r="F27" t="n">
        <v>52</v>
      </c>
      <c r="G27" t="inlineStr">
        <is>
          <t>Assets/MachineBrigade/Resources/Data/balance.json: bossWeaponOverrides.fenrir.p26_jotunn_sec_jo_rockets</t>
        </is>
      </c>
      <c r="H27" t="inlineStr"/>
    </row>
    <row r="28">
      <c r="A28" t="inlineStr">
        <is>
          <t>fortress_bastion/p26_bastion_direct_b100</t>
        </is>
      </c>
      <c r="B28" t="inlineStr">
        <is>
          <t>fortress_bastion</t>
        </is>
      </c>
      <c r="C28" t="inlineStr">
        <is>
          <t>p26_bastion_direct_b100</t>
        </is>
      </c>
      <c r="D28" t="n">
        <v>28</v>
      </c>
      <c r="F28" t="n">
        <v>90</v>
      </c>
      <c r="G28" t="inlineStr">
        <is>
          <t>Assets/MachineBrigade/Resources/Data/balance.json: bossWeaponOverrides.fortress_bastion.p26_bastion_direct_b100</t>
        </is>
      </c>
      <c r="H28" t="inlineStr"/>
    </row>
    <row r="29">
      <c r="A29" t="inlineStr">
        <is>
          <t>fortress_bastion/p26_bastion_tiny_kornet_twin</t>
        </is>
      </c>
      <c r="B29" t="inlineStr">
        <is>
          <t>fortress_bastion</t>
        </is>
      </c>
      <c r="C29" t="inlineStr">
        <is>
          <t>p26_bastion_tiny_kornet_twin</t>
        </is>
      </c>
      <c r="D29" t="n">
        <v>1</v>
      </c>
      <c r="G29" t="inlineStr">
        <is>
          <t>Assets/MachineBrigade/Resources/Data/balance.json: bossWeaponOverrides.fortress_bastion.p26_bastion_tiny_kornet_twin</t>
        </is>
      </c>
      <c r="H29" t="inlineStr"/>
    </row>
    <row r="30">
      <c r="A30" t="inlineStr">
        <is>
          <t>hydra/p26_typhon_direct_ty100</t>
        </is>
      </c>
      <c r="B30" t="inlineStr">
        <is>
          <t>hydra</t>
        </is>
      </c>
      <c r="C30" t="inlineStr">
        <is>
          <t>p26_typhon_direct_ty100</t>
        </is>
      </c>
      <c r="D30" t="n">
        <v>8</v>
      </c>
      <c r="G30" t="inlineStr">
        <is>
          <t>Assets/MachineBrigade/Resources/Data/balance.json: bossWeaponOverrides.hydra.p26_typhon_direct_ty100</t>
        </is>
      </c>
      <c r="H30" t="inlineStr"/>
    </row>
    <row r="31">
      <c r="A31" t="inlineStr">
        <is>
          <t>hydra/p26_typhon_sec_ty57</t>
        </is>
      </c>
      <c r="B31" t="inlineStr">
        <is>
          <t>hydra</t>
        </is>
      </c>
      <c r="C31" t="inlineStr">
        <is>
          <t>p26_typhon_sec_ty57</t>
        </is>
      </c>
      <c r="D31" t="n">
        <v>35</v>
      </c>
      <c r="F31" t="n">
        <v>112</v>
      </c>
      <c r="G31" t="inlineStr">
        <is>
          <t>Assets/MachineBrigade/Resources/Data/balance.json: bossWeaponOverrides.hydra.p26_typhon_sec_ty57</t>
        </is>
      </c>
      <c r="H31" t="inlineStr"/>
    </row>
    <row r="32">
      <c r="A32" t="inlineStr">
        <is>
          <t>hyperion/p26_icarus_sec_orbital_laser</t>
        </is>
      </c>
      <c r="B32" t="inlineStr">
        <is>
          <t>hyperion</t>
        </is>
      </c>
      <c r="C32" t="inlineStr">
        <is>
          <t>p26_icarus_sec_orbital_laser</t>
        </is>
      </c>
      <c r="D32" t="n">
        <v>14</v>
      </c>
      <c r="F32" t="n">
        <v>45</v>
      </c>
      <c r="G32" t="inlineStr">
        <is>
          <t>Assets/MachineBrigade/Resources/Data/balance.json: bossWeaponOverrides.hyperion.p26_icarus_sec_orbital_laser</t>
        </is>
      </c>
      <c r="H32" t="inlineStr"/>
    </row>
    <row r="33">
      <c r="A33" t="inlineStr">
        <is>
          <t>hyperion/pt14_hp_155</t>
        </is>
      </c>
      <c r="B33" t="inlineStr">
        <is>
          <t>hyperion</t>
        </is>
      </c>
      <c r="C33" t="inlineStr">
        <is>
          <t>pt14_hp_155</t>
        </is>
      </c>
      <c r="D33" t="n">
        <v>27</v>
      </c>
      <c r="G33" t="inlineStr">
        <is>
          <t>Assets/MachineBrigade/Resources/Data/balance.json: bossWeaponOverrides.hyperion.pt14_hp_155</t>
        </is>
      </c>
      <c r="H33" t="inlineStr"/>
    </row>
    <row r="34">
      <c r="A34" t="inlineStr">
        <is>
          <t>hyperion/pt14_hp_nsm</t>
        </is>
      </c>
      <c r="B34" t="inlineStr">
        <is>
          <t>hyperion</t>
        </is>
      </c>
      <c r="C34" t="inlineStr">
        <is>
          <t>pt14_hp_nsm</t>
        </is>
      </c>
      <c r="D34" t="n">
        <v>1</v>
      </c>
      <c r="G34" t="inlineStr">
        <is>
          <t>Assets/MachineBrigade/Resources/Data/balance.json: bossWeaponOverrides.hyperion.pt14_hp_nsm</t>
        </is>
      </c>
      <c r="H34" t="inlineStr"/>
    </row>
    <row r="35">
      <c r="A35" t="inlineStr">
        <is>
          <t>icarus_mk0/p26_icarus_sec_orbital_laser</t>
        </is>
      </c>
      <c r="B35" t="inlineStr">
        <is>
          <t>icarus_mk0</t>
        </is>
      </c>
      <c r="C35" t="inlineStr">
        <is>
          <t>p26_icarus_sec_orbital_laser</t>
        </is>
      </c>
      <c r="D35" t="n">
        <v>11</v>
      </c>
      <c r="G35" t="inlineStr">
        <is>
          <t>Assets/MachineBrigade/Resources/Data/balance.json: bossWeaponOverrides.icarus_mk0.p26_icarus_sec_orbital_laser</t>
        </is>
      </c>
      <c r="H35" t="inlineStr"/>
    </row>
    <row r="36">
      <c r="A36" t="inlineStr">
        <is>
          <t>ixion/p26_ixion_125</t>
        </is>
      </c>
      <c r="B36" t="inlineStr">
        <is>
          <t>ixion</t>
        </is>
      </c>
      <c r="C36" t="inlineStr">
        <is>
          <t>p26_ixion_125</t>
        </is>
      </c>
      <c r="D36" t="n">
        <v>30</v>
      </c>
      <c r="F36" t="n">
        <v>96</v>
      </c>
      <c r="G36" t="inlineStr">
        <is>
          <t>Assets/MachineBrigade/Resources/Data/balance.json: bossWeaponOverrides.ixion.p26_ixion_125</t>
        </is>
      </c>
      <c r="H36" t="inlineStr"/>
    </row>
    <row r="37">
      <c r="A37" t="inlineStr">
        <is>
          <t>ixion/pt14_ixion_grad</t>
        </is>
      </c>
      <c r="B37" t="inlineStr">
        <is>
          <t>ixion</t>
        </is>
      </c>
      <c r="C37" t="inlineStr">
        <is>
          <t>pt14_ixion_grad</t>
        </is>
      </c>
      <c r="F37" t="n">
        <v>58</v>
      </c>
      <c r="G37" t="inlineStr">
        <is>
          <t>Assets/MachineBrigade/Resources/Data/balance.json: bossWeaponOverrides.ixion.pt14_ixion_grad</t>
        </is>
      </c>
      <c r="H37" t="inlineStr"/>
    </row>
    <row r="38">
      <c r="A38" t="inlineStr">
        <is>
          <t>ixion/pt14_ixion_kornet</t>
        </is>
      </c>
      <c r="B38" t="inlineStr">
        <is>
          <t>ixion</t>
        </is>
      </c>
      <c r="C38" t="inlineStr">
        <is>
          <t>pt14_ixion_kornet</t>
        </is>
      </c>
      <c r="D38" t="n">
        <v>1</v>
      </c>
      <c r="G38" t="inlineStr">
        <is>
          <t>Assets/MachineBrigade/Resources/Data/balance.json: bossWeaponOverrides.ixion.pt14_ixion_kornet</t>
        </is>
      </c>
      <c r="H38" t="inlineStr"/>
    </row>
    <row r="39">
      <c r="A39" t="inlineStr">
        <is>
          <t>kraken/p26_leviathan_direct_lev127</t>
        </is>
      </c>
      <c r="B39" t="inlineStr">
        <is>
          <t>kraken</t>
        </is>
      </c>
      <c r="C39" t="inlineStr">
        <is>
          <t>p26_leviathan_direct_lev127</t>
        </is>
      </c>
      <c r="D39" t="n">
        <v>29</v>
      </c>
      <c r="F39" t="n">
        <v>93</v>
      </c>
      <c r="G39" t="inlineStr">
        <is>
          <t>Assets/MachineBrigade/Resources/Data/balance.json: bossWeaponOverrides.kraken.p26_leviathan_direct_lev127</t>
        </is>
      </c>
      <c r="H39" t="inlineStr"/>
    </row>
    <row r="40">
      <c r="A40" t="inlineStr">
        <is>
          <t>kraken/p26_leviathan_lev406</t>
        </is>
      </c>
      <c r="B40" t="inlineStr">
        <is>
          <t>kraken</t>
        </is>
      </c>
      <c r="C40" t="inlineStr">
        <is>
          <t>p26_leviathan_lev406</t>
        </is>
      </c>
      <c r="D40" t="n">
        <v>120</v>
      </c>
      <c r="F40" t="n">
        <v>300</v>
      </c>
      <c r="G40" t="inlineStr">
        <is>
          <t>Assets/MachineBrigade/Resources/Data/balance.json: bossWeaponOverrides.kraken.p26_leviathan_lev406</t>
        </is>
      </c>
      <c r="H40" t="inlineStr"/>
    </row>
    <row r="41">
      <c r="A41" t="inlineStr">
        <is>
          <t>kraken/p26_leviathan_sec_lev155</t>
        </is>
      </c>
      <c r="B41" t="inlineStr">
        <is>
          <t>kraken</t>
        </is>
      </c>
      <c r="C41" t="inlineStr">
        <is>
          <t>p26_leviathan_sec_lev155</t>
        </is>
      </c>
      <c r="D41" t="n">
        <v>88</v>
      </c>
      <c r="F41" t="n">
        <v>282</v>
      </c>
      <c r="G41" t="inlineStr">
        <is>
          <t>Assets/MachineBrigade/Resources/Data/balance.json: bossWeaponOverrides.kraken.p26_leviathan_sec_lev155</t>
        </is>
      </c>
      <c r="H41" t="inlineStr"/>
    </row>
    <row r="42">
      <c r="A42" t="inlineStr">
        <is>
          <t>leviathan/p26_leviathan_direct_lev127</t>
        </is>
      </c>
      <c r="B42" t="inlineStr">
        <is>
          <t>leviathan</t>
        </is>
      </c>
      <c r="C42" t="inlineStr">
        <is>
          <t>p26_leviathan_direct_lev127</t>
        </is>
      </c>
      <c r="D42" t="n">
        <v>42</v>
      </c>
      <c r="F42" t="n">
        <v>135</v>
      </c>
      <c r="G42" t="inlineStr">
        <is>
          <t>Assets/MachineBrigade/Resources/Data/balance.json: bossWeaponOverrides.leviathan.p26_leviathan_direct_lev127</t>
        </is>
      </c>
      <c r="H42" t="inlineStr"/>
    </row>
    <row r="43">
      <c r="A43" t="inlineStr">
        <is>
          <t>leviathan/p26_leviathan_lev406</t>
        </is>
      </c>
      <c r="B43" t="inlineStr">
        <is>
          <t>leviathan</t>
        </is>
      </c>
      <c r="C43" t="inlineStr">
        <is>
          <t>p26_leviathan_lev406</t>
        </is>
      </c>
      <c r="D43" t="n">
        <v>103</v>
      </c>
      <c r="F43" t="n">
        <v>300</v>
      </c>
      <c r="G43" t="inlineStr">
        <is>
          <t>Assets/MachineBrigade/Resources/Data/balance.json: bossWeaponOverrides.leviathan.p26_leviathan_lev406</t>
        </is>
      </c>
      <c r="H43" t="inlineStr"/>
    </row>
    <row r="44">
      <c r="A44" t="inlineStr">
        <is>
          <t>leviathan/p26_leviathan_sec_lev155</t>
        </is>
      </c>
      <c r="B44" t="inlineStr">
        <is>
          <t>leviathan</t>
        </is>
      </c>
      <c r="C44" t="inlineStr">
        <is>
          <t>p26_leviathan_sec_lev155</t>
        </is>
      </c>
      <c r="D44" t="n">
        <v>90</v>
      </c>
      <c r="F44" t="n">
        <v>288</v>
      </c>
      <c r="G44" t="inlineStr">
        <is>
          <t>Assets/MachineBrigade/Resources/Data/balance.json: bossWeaponOverrides.leviathan.p26_leviathan_sec_lev155</t>
        </is>
      </c>
      <c r="H44" t="inlineStr"/>
    </row>
    <row r="45">
      <c r="A45" t="inlineStr">
        <is>
          <t>locust/locust_drones</t>
        </is>
      </c>
      <c r="B45" t="inlineStr">
        <is>
          <t>locust</t>
        </is>
      </c>
      <c r="C45" t="inlineStr">
        <is>
          <t>locust_drones</t>
        </is>
      </c>
      <c r="D45" t="n">
        <v>1</v>
      </c>
      <c r="G45" t="inlineStr">
        <is>
          <t>Assets/MachineBrigade/Resources/Data/balance.json: bossWeaponOverrides.locust.locust_drones</t>
        </is>
      </c>
      <c r="H45" t="inlineStr"/>
    </row>
    <row r="46">
      <c r="A46" t="inlineStr">
        <is>
          <t>mega_gunship/gunship_rockets</t>
        </is>
      </c>
      <c r="B46" t="inlineStr">
        <is>
          <t>mega_gunship</t>
        </is>
      </c>
      <c r="C46" t="inlineStr">
        <is>
          <t>gunship_rockets</t>
        </is>
      </c>
      <c r="D46" t="n">
        <v>10</v>
      </c>
      <c r="G46" t="inlineStr">
        <is>
          <t>Assets/MachineBrigade/Resources/Data/balance.json: bossWeaponOverrides.mega_gunship.gunship_rockets</t>
        </is>
      </c>
      <c r="H46" t="inlineStr"/>
    </row>
    <row r="47">
      <c r="A47" t="inlineStr">
        <is>
          <t>mobile_fortress/p26_jotunn_direct_jo125</t>
        </is>
      </c>
      <c r="B47" t="inlineStr">
        <is>
          <t>mobile_fortress</t>
        </is>
      </c>
      <c r="C47" t="inlineStr">
        <is>
          <t>p26_jotunn_direct_jo125</t>
        </is>
      </c>
      <c r="D47" t="n">
        <v>30</v>
      </c>
      <c r="F47" t="n">
        <v>96</v>
      </c>
      <c r="G47" t="inlineStr">
        <is>
          <t>Assets/MachineBrigade/Resources/Data/balance.json: bossWeaponOverrides.mobile_fortress.p26_jotunn_direct_jo125</t>
        </is>
      </c>
      <c r="H47" t="inlineStr"/>
    </row>
    <row r="48">
      <c r="A48" t="inlineStr">
        <is>
          <t>mobile_fortress/p26_jotunn_jo203</t>
        </is>
      </c>
      <c r="B48" t="inlineStr">
        <is>
          <t>mobile_fortress</t>
        </is>
      </c>
      <c r="C48" t="inlineStr">
        <is>
          <t>p26_jotunn_jo203</t>
        </is>
      </c>
      <c r="D48" t="n">
        <v>48</v>
      </c>
      <c r="F48" t="n">
        <v>154</v>
      </c>
      <c r="G48" t="inlineStr">
        <is>
          <t>Assets/MachineBrigade/Resources/Data/balance.json: bossWeaponOverrides.mobile_fortress.p26_jotunn_jo203</t>
        </is>
      </c>
      <c r="H48" t="inlineStr"/>
    </row>
    <row r="49">
      <c r="A49" t="inlineStr">
        <is>
          <t>mobile_fortress/p26_jotunn_sec_jo_rockets</t>
        </is>
      </c>
      <c r="B49" t="inlineStr">
        <is>
          <t>mobile_fortress</t>
        </is>
      </c>
      <c r="C49" t="inlineStr">
        <is>
          <t>p26_jotunn_sec_jo_rockets</t>
        </is>
      </c>
      <c r="D49" t="n">
        <v>32</v>
      </c>
      <c r="F49" t="n">
        <v>103</v>
      </c>
      <c r="G49" t="inlineStr">
        <is>
          <t>Assets/MachineBrigade/Resources/Data/balance.json: bossWeaponOverrides.mobile_fortress.p26_jotunn_sec_jo_rockets</t>
        </is>
      </c>
      <c r="H49" t="inlineStr"/>
    </row>
    <row r="50">
      <c r="A50" t="inlineStr">
        <is>
          <t>moloch/p26_moloch_direct_mo120ap</t>
        </is>
      </c>
      <c r="B50" t="inlineStr">
        <is>
          <t>moloch</t>
        </is>
      </c>
      <c r="C50" t="inlineStr">
        <is>
          <t>p26_moloch_direct_mo120ap</t>
        </is>
      </c>
      <c r="D50" t="n">
        <v>25</v>
      </c>
      <c r="F50" t="n">
        <v>80</v>
      </c>
      <c r="G50" t="inlineStr">
        <is>
          <t>Assets/MachineBrigade/Resources/Data/balance.json: bossWeaponOverrides.moloch.p26_moloch_direct_mo120ap</t>
        </is>
      </c>
      <c r="H50" t="inlineStr"/>
    </row>
    <row r="51">
      <c r="A51" t="inlineStr">
        <is>
          <t>moloch/p26_moloch_main_mo120</t>
        </is>
      </c>
      <c r="B51" t="inlineStr">
        <is>
          <t>moloch</t>
        </is>
      </c>
      <c r="C51" t="inlineStr">
        <is>
          <t>p26_moloch_main_mo120</t>
        </is>
      </c>
      <c r="D51" t="n">
        <v>25</v>
      </c>
      <c r="F51" t="n">
        <v>80</v>
      </c>
      <c r="G51" t="inlineStr">
        <is>
          <t>Assets/MachineBrigade/Resources/Data/balance.json: bossWeaponOverrides.moloch.p26_moloch_main_mo120</t>
        </is>
      </c>
      <c r="H51" t="inlineStr"/>
    </row>
    <row r="52">
      <c r="A52" t="inlineStr">
        <is>
          <t>monster/p26_bastion_direct_b100</t>
        </is>
      </c>
      <c r="B52" t="inlineStr">
        <is>
          <t>monster</t>
        </is>
      </c>
      <c r="C52" t="inlineStr">
        <is>
          <t>p26_bastion_direct_b100</t>
        </is>
      </c>
      <c r="D52" t="n">
        <v>28</v>
      </c>
      <c r="F52" t="n">
        <v>90</v>
      </c>
      <c r="G52" t="inlineStr">
        <is>
          <t>Assets/MachineBrigade/Resources/Data/balance.json: bossWeaponOverrides.monster.p26_bastion_direct_b100</t>
        </is>
      </c>
      <c r="H52" t="inlineStr"/>
    </row>
    <row r="53">
      <c r="A53" t="inlineStr">
        <is>
          <t>monster/p26_bastion_tiny_kornet_twin</t>
        </is>
      </c>
      <c r="B53" t="inlineStr">
        <is>
          <t>monster</t>
        </is>
      </c>
      <c r="C53" t="inlineStr">
        <is>
          <t>p26_bastion_tiny_kornet_twin</t>
        </is>
      </c>
      <c r="D53" t="n">
        <v>1</v>
      </c>
      <c r="G53" t="inlineStr">
        <is>
          <t>Assets/MachineBrigade/Resources/Data/balance.json: bossWeaponOverrides.monster.p26_bastion_tiny_kornet_twin</t>
        </is>
      </c>
      <c r="H53" t="inlineStr"/>
    </row>
    <row r="54">
      <c r="A54" t="inlineStr">
        <is>
          <t>nuke_train/p26_nemesis_direct_ne125</t>
        </is>
      </c>
      <c r="B54" t="inlineStr">
        <is>
          <t>nuke_train</t>
        </is>
      </c>
      <c r="C54" t="inlineStr">
        <is>
          <t>p26_nemesis_direct_ne125</t>
        </is>
      </c>
      <c r="D54" t="n">
        <v>30</v>
      </c>
      <c r="F54" t="n">
        <v>96</v>
      </c>
      <c r="G54" t="inlineStr">
        <is>
          <t>Assets/MachineBrigade/Resources/Data/balance.json: bossWeaponOverrides.nuke_train.p26_nemesis_direct_ne125</t>
        </is>
      </c>
      <c r="H54" t="inlineStr"/>
    </row>
    <row r="55">
      <c r="A55" t="inlineStr">
        <is>
          <t>nuke_train/p26_nemesis_main_ne152</t>
        </is>
      </c>
      <c r="B55" t="inlineStr">
        <is>
          <t>nuke_train</t>
        </is>
      </c>
      <c r="C55" t="inlineStr">
        <is>
          <t>p26_nemesis_main_ne152</t>
        </is>
      </c>
      <c r="D55" t="n">
        <v>32</v>
      </c>
      <c r="F55" t="n">
        <v>103</v>
      </c>
      <c r="G55" t="inlineStr">
        <is>
          <t>Assets/MachineBrigade/Resources/Data/balance.json: bossWeaponOverrides.nuke_train.p26_nemesis_main_ne152</t>
        </is>
      </c>
      <c r="H55" t="inlineStr"/>
    </row>
    <row r="56">
      <c r="A56" t="inlineStr">
        <is>
          <t>nuke_train/p26_nemesis_sec_boss_rockets</t>
        </is>
      </c>
      <c r="B56" t="inlineStr">
        <is>
          <t>nuke_train</t>
        </is>
      </c>
      <c r="C56" t="inlineStr">
        <is>
          <t>p26_nemesis_sec_boss_rockets</t>
        </is>
      </c>
      <c r="D56" t="n">
        <v>20</v>
      </c>
      <c r="F56" t="n">
        <v>64</v>
      </c>
      <c r="G56" t="inlineStr">
        <is>
          <t>Assets/MachineBrigade/Resources/Data/balance.json: bossWeaponOverrides.nuke_train.p26_nemesis_sec_boss_rockets</t>
        </is>
      </c>
      <c r="H56" t="inlineStr"/>
    </row>
    <row r="57">
      <c r="A57" t="inlineStr">
        <is>
          <t>nyx/nyx_ags_155</t>
        </is>
      </c>
      <c r="B57" t="inlineStr">
        <is>
          <t>nyx</t>
        </is>
      </c>
      <c r="C57" t="inlineStr">
        <is>
          <t>nyx_ags_155</t>
        </is>
      </c>
      <c r="D57" t="n">
        <v>42</v>
      </c>
      <c r="F57" t="n">
        <v>135</v>
      </c>
      <c r="G57" t="inlineStr">
        <is>
          <t>Assets/MachineBrigade/Resources/Data/balance.json: bossWeaponOverrides.nyx.nyx_ags_155</t>
        </is>
      </c>
      <c r="H57" t="inlineStr"/>
    </row>
    <row r="58">
      <c r="A58" t="inlineStr">
        <is>
          <t>nyx/nyx_tomahawk</t>
        </is>
      </c>
      <c r="B58" t="inlineStr">
        <is>
          <t>nyx</t>
        </is>
      </c>
      <c r="C58" t="inlineStr">
        <is>
          <t>nyx_tomahawk</t>
        </is>
      </c>
      <c r="D58" t="n">
        <v>1</v>
      </c>
      <c r="G58" t="inlineStr">
        <is>
          <t>Assets/MachineBrigade/Resources/Data/balance.json: bossWeaponOverrides.nyx.nyx_tomahawk</t>
        </is>
      </c>
      <c r="H58" t="inlineStr"/>
    </row>
    <row r="59">
      <c r="A59" t="inlineStr">
        <is>
          <t>nyx/p26_leviathan_direct_lev127</t>
        </is>
      </c>
      <c r="B59" t="inlineStr">
        <is>
          <t>nyx</t>
        </is>
      </c>
      <c r="C59" t="inlineStr">
        <is>
          <t>p26_leviathan_direct_lev127</t>
        </is>
      </c>
      <c r="D59" t="n">
        <v>25</v>
      </c>
      <c r="G59" t="inlineStr">
        <is>
          <t>Assets/MachineBrigade/Resources/Data/balance.json: bossWeaponOverrides.nyx.p26_leviathan_direct_lev127</t>
        </is>
      </c>
      <c r="H59" t="inlineStr"/>
    </row>
    <row r="60">
      <c r="A60" t="inlineStr">
        <is>
          <t>scylla/naval_130_twin</t>
        </is>
      </c>
      <c r="B60" t="inlineStr">
        <is>
          <t>scylla</t>
        </is>
      </c>
      <c r="C60" t="inlineStr">
        <is>
          <t>naval_130_twin</t>
        </is>
      </c>
      <c r="D60" t="n">
        <v>41</v>
      </c>
      <c r="F60" t="n">
        <v>132</v>
      </c>
      <c r="G60" t="inlineStr">
        <is>
          <t>Assets/MachineBrigade/Resources/Data/balance.json: bossWeaponOverrides.scylla.naval_130_twin</t>
        </is>
      </c>
      <c r="H60" t="inlineStr"/>
    </row>
    <row r="61">
      <c r="A61" t="inlineStr">
        <is>
          <t>scylla/p26_leviathan_direct_lev127</t>
        </is>
      </c>
      <c r="B61" t="inlineStr">
        <is>
          <t>scylla</t>
        </is>
      </c>
      <c r="C61" t="inlineStr">
        <is>
          <t>p26_leviathan_direct_lev127</t>
        </is>
      </c>
      <c r="D61" t="n">
        <v>28</v>
      </c>
      <c r="G61" t="inlineStr">
        <is>
          <t>Assets/MachineBrigade/Resources/Data/balance.json: bossWeaponOverrides.scylla.p26_leviathan_direct_lev127</t>
        </is>
      </c>
      <c r="H61" t="inlineStr"/>
    </row>
    <row r="62">
      <c r="A62" t="inlineStr">
        <is>
          <t>scylla/scylla_kh35</t>
        </is>
      </c>
      <c r="B62" t="inlineStr">
        <is>
          <t>scylla</t>
        </is>
      </c>
      <c r="C62" t="inlineStr">
        <is>
          <t>scylla_kh35</t>
        </is>
      </c>
      <c r="D62" t="n">
        <v>1</v>
      </c>
      <c r="G62" t="inlineStr">
        <is>
          <t>Assets/MachineBrigade/Resources/Data/balance.json: bossWeaponOverrides.scylla.scylla_kh35</t>
        </is>
      </c>
      <c r="H62" t="inlineStr"/>
    </row>
    <row r="63">
      <c r="A63" t="inlineStr">
        <is>
          <t>silver_bug/p26_icarus_direct_ic_laser</t>
        </is>
      </c>
      <c r="B63" t="inlineStr">
        <is>
          <t>silver_bug</t>
        </is>
      </c>
      <c r="C63" t="inlineStr">
        <is>
          <t>p26_icarus_direct_ic_laser</t>
        </is>
      </c>
      <c r="D63" t="n">
        <v>21</v>
      </c>
      <c r="F63" t="n">
        <v>68</v>
      </c>
      <c r="G63" t="inlineStr">
        <is>
          <t>Assets/MachineBrigade/Resources/Data/balance.json: bossWeaponOverrides.silver_bug.p26_icarus_direct_ic_laser</t>
        </is>
      </c>
      <c r="H63" t="inlineStr"/>
    </row>
    <row r="64">
      <c r="A64" t="inlineStr">
        <is>
          <t>silver_bug/p26_icarus_main_ic_coil</t>
        </is>
      </c>
      <c r="B64" t="inlineStr">
        <is>
          <t>silver_bug</t>
        </is>
      </c>
      <c r="C64" t="inlineStr">
        <is>
          <t>p26_icarus_main_ic_coil</t>
        </is>
      </c>
      <c r="D64" t="n">
        <v>19</v>
      </c>
      <c r="F64" t="n">
        <v>61</v>
      </c>
      <c r="G64" t="inlineStr">
        <is>
          <t>Assets/MachineBrigade/Resources/Data/balance.json: bossWeaponOverrides.silver_bug.p26_icarus_main_ic_coil</t>
        </is>
      </c>
      <c r="H64" t="inlineStr"/>
    </row>
    <row r="65">
      <c r="A65" t="inlineStr">
        <is>
          <t>silver_bug/p26_icarus_sec_orbital_laser</t>
        </is>
      </c>
      <c r="B65" t="inlineStr">
        <is>
          <t>silver_bug</t>
        </is>
      </c>
      <c r="C65" t="inlineStr">
        <is>
          <t>p26_icarus_sec_orbital_laser</t>
        </is>
      </c>
      <c r="D65" t="n">
        <v>12</v>
      </c>
      <c r="F65" t="n">
        <v>39</v>
      </c>
      <c r="G65" t="inlineStr">
        <is>
          <t>Assets/MachineBrigade/Resources/Data/balance.json: bossWeaponOverrides.silver_bug.p26_icarus_sec_orbital_laser</t>
        </is>
      </c>
      <c r="H65" t="inlineStr"/>
    </row>
    <row r="66">
      <c r="A66" t="inlineStr">
        <is>
          <t>theia/p26_icarus_sec_orbital_laser</t>
        </is>
      </c>
      <c r="B66" t="inlineStr">
        <is>
          <t>theia</t>
        </is>
      </c>
      <c r="C66" t="inlineStr">
        <is>
          <t>p26_icarus_sec_orbital_laser</t>
        </is>
      </c>
      <c r="D66" t="n">
        <v>19</v>
      </c>
      <c r="F66" t="n">
        <v>61</v>
      </c>
      <c r="G66" t="inlineStr">
        <is>
          <t>Assets/MachineBrigade/Resources/Data/balance.json: bossWeaponOverrides.theia.p26_icarus_sec_orbital_laser</t>
        </is>
      </c>
      <c r="H66" t="inlineStr"/>
    </row>
    <row r="67">
      <c r="A67" t="inlineStr">
        <is>
          <t>theia/pt14_th_jagm</t>
        </is>
      </c>
      <c r="B67" t="inlineStr">
        <is>
          <t>theia</t>
        </is>
      </c>
      <c r="C67" t="inlineStr">
        <is>
          <t>pt14_th_jagm</t>
        </is>
      </c>
      <c r="D67" t="n">
        <v>1</v>
      </c>
      <c r="G67" t="inlineStr">
        <is>
          <t>Assets/MachineBrigade/Resources/Data/balance.json: bossWeaponOverrides.theia.pt14_th_jagm</t>
        </is>
      </c>
      <c r="H67" t="inlineStr"/>
    </row>
    <row r="68">
      <c r="A68" t="inlineStr">
        <is>
          <t>typhon/p26_typhon_direct_ty100</t>
        </is>
      </c>
      <c r="B68" t="inlineStr">
        <is>
          <t>typhon</t>
        </is>
      </c>
      <c r="C68" t="inlineStr">
        <is>
          <t>p26_typhon_direct_ty100</t>
        </is>
      </c>
      <c r="D68" t="n">
        <v>21</v>
      </c>
      <c r="G68" t="inlineStr">
        <is>
          <t>Assets/MachineBrigade/Resources/Data/balance.json: bossWeaponOverrides.typhon.p26_typhon_direct_ty100</t>
        </is>
      </c>
      <c r="H68" t="inlineStr"/>
    </row>
    <row r="69">
      <c r="A69" t="inlineStr">
        <is>
          <t>typhon/p26_typhon_sec_ty57</t>
        </is>
      </c>
      <c r="B69" t="inlineStr">
        <is>
          <t>typhon</t>
        </is>
      </c>
      <c r="C69" t="inlineStr">
        <is>
          <t>p26_typhon_sec_ty57</t>
        </is>
      </c>
      <c r="D69" t="n">
        <v>21</v>
      </c>
      <c r="F69" t="n">
        <v>68</v>
      </c>
      <c r="G69" t="inlineStr">
        <is>
          <t>Assets/MachineBrigade/Resources/Data/balance.json: bossWeaponOverrides.typhon.p26_typhon_sec_ty57</t>
        </is>
      </c>
      <c r="H69" t="inlineStr"/>
    </row>
  </sheetData>
  <autoFilter ref="A1:H69"/>
  <pageMargins left="0.75" right="0.75" top="1" bottom="1" header="0.5" footer="0.5"/>
</worksheet>
</file>

<file path=xl/worksheets/sheet1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8" customWidth="1" min="3" max="3"/>
    <col width="20" customWidth="1" min="4" max="4"/>
    <col width="18" customWidth="1" min="5" max="5"/>
    <col width="8" customWidth="1" min="6" max="6"/>
    <col width="8" customWidth="1" min="7" max="7"/>
    <col width="8" customWidth="1" min="8" max="8"/>
    <col width="9" customWidth="1" min="9" max="9"/>
    <col width="18" customWidth="1" min="10" max="10"/>
    <col width="10" customWidth="1" min="11" max="11"/>
    <col width="8" customWidth="1" min="12" max="12"/>
    <col width="11" customWidth="1" min="13" max="13"/>
    <col width="8" customWidth="1" min="14" max="14"/>
    <col width="15" customWidth="1" min="15" max="15"/>
    <col width="60" customWidth="1" min="16" max="16"/>
    <col width="60" customWidth="1" min="17" max="17"/>
  </cols>
  <sheetData>
    <row r="1">
      <c r="A1" s="1" t="inlineStr">
        <is>
          <t>id</t>
        </is>
      </c>
      <c r="B1" s="1" t="inlineStr">
        <is>
          <t>weapon</t>
        </is>
      </c>
      <c r="C1" s="1" t="inlineStr">
        <is>
          <t>aim</t>
        </is>
      </c>
      <c r="D1" s="1" t="inlineStr">
        <is>
          <t>arc_deg_center_deg</t>
        </is>
      </c>
      <c r="E1" s="1" t="inlineStr">
        <is>
          <t>arc_deg_half_deg</t>
        </is>
      </c>
      <c r="F1" s="1" t="inlineStr">
        <is>
          <t>armour</t>
        </is>
      </c>
      <c r="G1" s="1" t="inlineStr">
        <is>
          <t>fx</t>
        </is>
      </c>
      <c r="H1" s="1" t="inlineStr">
        <is>
          <t>hp</t>
        </is>
      </c>
      <c r="I1" s="1" t="inlineStr">
        <is>
          <t>kind</t>
        </is>
      </c>
      <c r="J1" s="1" t="inlineStr">
        <is>
          <t>radio</t>
        </is>
      </c>
      <c r="K1" s="1" t="inlineStr">
        <is>
          <t>radius_m</t>
        </is>
      </c>
      <c r="L1" s="1" t="inlineStr">
        <is>
          <t>slot</t>
        </is>
      </c>
      <c r="M1" s="1" t="inlineStr">
        <is>
          <t>speed_m_s</t>
        </is>
      </c>
      <c r="N1" s="1" t="inlineStr">
        <is>
          <t>stops</t>
        </is>
      </c>
      <c r="O1" s="1" t="inlineStr">
        <is>
          <t>wreck</t>
        </is>
      </c>
      <c r="P1" s="1" t="inlineStr">
        <is>
          <t>nguon</t>
        </is>
      </c>
      <c r="Q1" s="1" t="inlineStr">
        <is>
          <t>raw_json</t>
        </is>
      </c>
    </row>
    <row r="2">
      <c r="A2" t="inlineStr">
        <is>
          <t>casemate_155</t>
        </is>
      </c>
      <c r="B2" t="inlineStr">
        <is>
          <t>casemate_155</t>
        </is>
      </c>
      <c r="C2" t="inlineStr">
        <is>
          <t>Free</t>
        </is>
      </c>
      <c r="D2" t="n">
        <v>0</v>
      </c>
      <c r="E2" t="n">
        <v>60</v>
      </c>
      <c r="F2" t="n">
        <v>4</v>
      </c>
      <c r="H2" t="n">
        <v>0.09</v>
      </c>
      <c r="I2" t="inlineStr">
        <is>
          <t>casemate</t>
        </is>
      </c>
      <c r="K2" t="n">
        <v>2.6</v>
      </c>
      <c r="L2" t="inlineStr">
        <is>
          <t>gun</t>
        </is>
      </c>
      <c r="O2" t="inlineStr">
        <is>
          <t>wreck_barrel</t>
        </is>
      </c>
      <c r="P2" t="inlineStr">
        <is>
          <t>Assets/MachineBrigade/Resources/Data/balance.json: bossParts.casemate_155</t>
        </is>
      </c>
      <c r="Q2" t="inlineStr">
        <is>
          <t>{"kind":"casemate","hp":0.09,"armour":4,"wreck":"wreck_barrel","radius":2.6,"weapon":"casemate_155","slot":"gun","aim":"Free","arc":[0,60]}</t>
        </is>
      </c>
    </row>
    <row r="3">
      <c r="A3" t="inlineStr">
        <is>
          <t>deck_gun_100</t>
        </is>
      </c>
      <c r="B3" t="inlineStr">
        <is>
          <t>naval_100</t>
        </is>
      </c>
      <c r="C3" t="inlineStr">
        <is>
          <t>Free</t>
        </is>
      </c>
      <c r="F3" t="n">
        <v>2</v>
      </c>
      <c r="H3" t="n">
        <v>0.08</v>
      </c>
      <c r="I3" t="inlineStr">
        <is>
          <t>gun</t>
        </is>
      </c>
      <c r="K3" t="n">
        <v>2</v>
      </c>
      <c r="L3" t="inlineStr">
        <is>
          <t>gun</t>
        </is>
      </c>
      <c r="O3" t="inlineStr">
        <is>
          <t>wreck_turret</t>
        </is>
      </c>
      <c r="P3" t="inlineStr">
        <is>
          <t>Assets/MachineBrigade/Resources/Data/balance.json: bossParts.deck_gun_100</t>
        </is>
      </c>
      <c r="Q3" t="inlineStr">
        <is>
          <t>{"kind":"gun","hp":0.08,"armour":2,"wreck":"wreck_turret","radius":2.0,"weapon":"naval_100","slot":"gun","aim":"Free"}</t>
        </is>
      </c>
    </row>
    <row r="4">
      <c r="A4" t="inlineStr">
        <is>
          <t>drone_bay</t>
        </is>
      </c>
      <c r="B4" t="inlineStr">
        <is>
          <t>mothership_drones</t>
        </is>
      </c>
      <c r="C4" t="inlineStr">
        <is>
          <t>Free</t>
        </is>
      </c>
      <c r="F4" t="n">
        <v>2</v>
      </c>
      <c r="H4" t="n">
        <v>0.06</v>
      </c>
      <c r="I4" t="inlineStr">
        <is>
          <t>bay</t>
        </is>
      </c>
      <c r="J4" t="inlineStr">
        <is>
          <t>radio.part.bay</t>
        </is>
      </c>
      <c r="K4" t="n">
        <v>2.8</v>
      </c>
      <c r="L4" t="inlineStr">
        <is>
          <t>missile</t>
        </is>
      </c>
      <c r="O4" t="inlineStr">
        <is>
          <t>wreck_stump</t>
        </is>
      </c>
      <c r="P4" t="inlineStr">
        <is>
          <t>Assets/MachineBrigade/Resources/Data/balance.json: bossParts.drone_bay</t>
        </is>
      </c>
      <c r="Q4" t="inlineStr">
        <is>
          <t>{"kind":"bay","hp":0.06,"armour":2,"wreck":"wreck_stump","radius":2.8,"weapon":"mothership_drones","slot":"missile","aim":"Free","radio":"radio.part.bay"}</t>
        </is>
      </c>
    </row>
    <row r="5">
      <c r="A5" t="inlineStr">
        <is>
          <t>flak_35</t>
        </is>
      </c>
      <c r="B5" t="inlineStr">
        <is>
          <t>boss_flak</t>
        </is>
      </c>
      <c r="C5" t="inlineStr">
        <is>
          <t>Free</t>
        </is>
      </c>
      <c r="F5" t="n">
        <v>2</v>
      </c>
      <c r="H5" t="n">
        <v>0.07000000000000001</v>
      </c>
      <c r="I5" t="inlineStr">
        <is>
          <t>flak</t>
        </is>
      </c>
      <c r="K5" t="n">
        <v>1.8</v>
      </c>
      <c r="L5" t="inlineStr">
        <is>
          <t>mg</t>
        </is>
      </c>
      <c r="O5" t="inlineStr">
        <is>
          <t>wreck_turret</t>
        </is>
      </c>
      <c r="P5" t="inlineStr">
        <is>
          <t>Assets/MachineBrigade/Resources/Data/balance.json: bossParts.flak_35</t>
        </is>
      </c>
      <c r="Q5" t="inlineStr">
        <is>
          <t>{"kind":"flak","hp":0.07,"armour":2,"wreck":"wreck_turret","radius":1.8,"weapon":"boss_flak","slot":"mg","aim":"Free"}</t>
        </is>
      </c>
    </row>
    <row r="6">
      <c r="A6" t="inlineStr">
        <is>
          <t>gun_30</t>
        </is>
      </c>
      <c r="B6" t="inlineStr">
        <is>
          <t>autocannon_30</t>
        </is>
      </c>
      <c r="C6" t="inlineStr">
        <is>
          <t>Free</t>
        </is>
      </c>
      <c r="F6" t="n">
        <v>2</v>
      </c>
      <c r="H6" t="n">
        <v>0.06</v>
      </c>
      <c r="I6" t="inlineStr">
        <is>
          <t>gun</t>
        </is>
      </c>
      <c r="K6" t="n">
        <v>1.6</v>
      </c>
      <c r="L6" t="inlineStr">
        <is>
          <t>gun</t>
        </is>
      </c>
      <c r="O6" t="inlineStr">
        <is>
          <t>wreck_turret</t>
        </is>
      </c>
      <c r="P6" t="inlineStr">
        <is>
          <t>Assets/MachineBrigade/Resources/Data/balance.json: bossParts.gun_30</t>
        </is>
      </c>
      <c r="Q6" t="inlineStr">
        <is>
          <t>{"kind":"gun","hp":0.06,"armour":2,"wreck":"wreck_turret","radius":1.6,"weapon":"autocannon_30","slot":"gun","aim":"Free"}</t>
        </is>
      </c>
    </row>
    <row r="7">
      <c r="A7" t="inlineStr">
        <is>
          <t>gun_40</t>
        </is>
      </c>
      <c r="B7" t="inlineStr">
        <is>
          <t>autocannon_40</t>
        </is>
      </c>
      <c r="C7" t="inlineStr">
        <is>
          <t>Free</t>
        </is>
      </c>
      <c r="F7" t="n">
        <v>3</v>
      </c>
      <c r="H7" t="n">
        <v>0.05</v>
      </c>
      <c r="I7" t="inlineStr">
        <is>
          <t>turret</t>
        </is>
      </c>
      <c r="K7" t="n">
        <v>1.8</v>
      </c>
      <c r="L7" t="inlineStr">
        <is>
          <t>gun</t>
        </is>
      </c>
      <c r="O7" t="inlineStr">
        <is>
          <t>wreck_turret</t>
        </is>
      </c>
      <c r="P7" t="inlineStr">
        <is>
          <t>Assets/MachineBrigade/Resources/Data/balance.json: bossParts.gun_40</t>
        </is>
      </c>
      <c r="Q7" t="inlineStr">
        <is>
          <t>{"kind":"turret","hp":0.05,"armour":3,"wreck":"wreck_turret","radius":1.8,"weapon":"autocannon_40","slot":"gun","aim":"Free"}</t>
        </is>
      </c>
    </row>
    <row r="8">
      <c r="A8" t="inlineStr">
        <is>
          <t>gun_152_car</t>
        </is>
      </c>
      <c r="B8" t="inlineStr">
        <is>
          <t>gun_152_he</t>
        </is>
      </c>
      <c r="C8" t="inlineStr">
        <is>
          <t>Free</t>
        </is>
      </c>
      <c r="F8" t="n">
        <v>3</v>
      </c>
      <c r="H8" t="n">
        <v>0.07000000000000001</v>
      </c>
      <c r="I8" t="inlineStr">
        <is>
          <t>maingun</t>
        </is>
      </c>
      <c r="K8" t="n">
        <v>2.6</v>
      </c>
      <c r="L8" t="inlineStr">
        <is>
          <t>gun</t>
        </is>
      </c>
      <c r="O8" t="inlineStr">
        <is>
          <t>wreck_barrel</t>
        </is>
      </c>
      <c r="P8" t="inlineStr">
        <is>
          <t>Assets/MachineBrigade/Resources/Data/balance.json: bossParts.gun_152_car</t>
        </is>
      </c>
      <c r="Q8" t="inlineStr">
        <is>
          <t>{"kind":"maingun","hp":0.07,"armour":3,"wreck":"wreck_barrel","radius":2.6,"weapon":"gun_152_he","slot":"gun","aim":"Free"}</t>
        </is>
      </c>
    </row>
    <row r="9">
      <c r="A9" t="inlineStr">
        <is>
          <t>howitzer_203</t>
        </is>
      </c>
      <c r="B9" t="inlineStr">
        <is>
          <t>boss_howitzer</t>
        </is>
      </c>
      <c r="C9" t="inlineStr">
        <is>
          <t>Free</t>
        </is>
      </c>
      <c r="F9" t="n">
        <v>3</v>
      </c>
      <c r="H9" t="n">
        <v>0.08</v>
      </c>
      <c r="I9" t="inlineStr">
        <is>
          <t>howitzer</t>
        </is>
      </c>
      <c r="K9" t="n">
        <v>2.6</v>
      </c>
      <c r="L9" t="inlineStr">
        <is>
          <t>gun</t>
        </is>
      </c>
      <c r="O9" t="inlineStr">
        <is>
          <t>wreck_barrel</t>
        </is>
      </c>
      <c r="P9" t="inlineStr">
        <is>
          <t>Assets/MachineBrigade/Resources/Data/balance.json: bossParts.howitzer_203</t>
        </is>
      </c>
      <c r="Q9" t="inlineStr">
        <is>
          <t>{"kind":"howitzer","hp":0.08,"armour":3,"wreck":"wreck_barrel","radius":2.6,"weapon":"boss_howitzer","slot":"gun","aim":"Free"}</t>
        </is>
      </c>
    </row>
    <row r="10">
      <c r="A10" t="inlineStr">
        <is>
          <t>naval_127</t>
        </is>
      </c>
      <c r="B10" t="inlineStr">
        <is>
          <t>naval_127</t>
        </is>
      </c>
      <c r="C10" t="inlineStr">
        <is>
          <t>Free</t>
        </is>
      </c>
      <c r="F10" t="n">
        <v>3</v>
      </c>
      <c r="H10" t="n">
        <v>0.06</v>
      </c>
      <c r="I10" t="inlineStr">
        <is>
          <t>gun</t>
        </is>
      </c>
      <c r="K10" t="n">
        <v>2.4</v>
      </c>
      <c r="L10" t="inlineStr">
        <is>
          <t>gun</t>
        </is>
      </c>
      <c r="O10" t="inlineStr">
        <is>
          <t>wreck_turret</t>
        </is>
      </c>
      <c r="P10" t="inlineStr">
        <is>
          <t>Assets/MachineBrigade/Resources/Data/balance.json: bossParts.naval_127</t>
        </is>
      </c>
      <c r="Q10" t="inlineStr">
        <is>
          <t>{"kind":"gun","hp":0.06,"armour":3,"wreck":"wreck_turret","radius":2.4,"weapon":"naval_127","slot":"gun","aim":"Free"}</t>
        </is>
      </c>
    </row>
    <row r="11">
      <c r="A11" t="inlineStr">
        <is>
          <t>pd_laser</t>
        </is>
      </c>
      <c r="F11" t="n">
        <v>2</v>
      </c>
      <c r="G11" t="inlineStr">
        <is>
          <t>energy</t>
        </is>
      </c>
      <c r="H11" t="n">
        <v>0.08</v>
      </c>
      <c r="I11" t="inlineStr">
        <is>
          <t>pdlaser</t>
        </is>
      </c>
      <c r="K11" t="n">
        <v>1.6</v>
      </c>
      <c r="N11" t="inlineStr">
        <is>
          <t>aps</t>
        </is>
      </c>
      <c r="O11" t="inlineStr">
        <is>
          <t>wreck_turret</t>
        </is>
      </c>
      <c r="P11" t="inlineStr">
        <is>
          <t>Assets/MachineBrigade/Resources/Data/balance.json: bossParts.pd_laser</t>
        </is>
      </c>
      <c r="Q11" t="inlineStr">
        <is>
          <t>{"kind":"pdlaser","hp":0.08,"armour":2,"wreck":"wreck_turret","radius":1.6,"stops":["aps"],"fx":"energy"}</t>
        </is>
      </c>
    </row>
    <row r="12">
      <c r="A12" t="inlineStr">
        <is>
          <t>pod_105</t>
        </is>
      </c>
      <c r="B12" t="inlineStr">
        <is>
          <t>gunship_105</t>
        </is>
      </c>
      <c r="C12" t="inlineStr">
        <is>
          <t>Free</t>
        </is>
      </c>
      <c r="F12" t="n">
        <v>2</v>
      </c>
      <c r="H12" t="n">
        <v>0.07000000000000001</v>
      </c>
      <c r="I12" t="inlineStr">
        <is>
          <t>gun</t>
        </is>
      </c>
      <c r="K12" t="n">
        <v>2.4</v>
      </c>
      <c r="L12" t="inlineStr">
        <is>
          <t>gun</t>
        </is>
      </c>
      <c r="O12" t="inlineStr">
        <is>
          <t>wreck_turret</t>
        </is>
      </c>
      <c r="P12" t="inlineStr">
        <is>
          <t>Assets/MachineBrigade/Resources/Data/balance.json: bossParts.pod_105</t>
        </is>
      </c>
      <c r="Q12" t="inlineStr">
        <is>
          <t>{"kind":"gun","hp":0.07,"armour":2,"wreck":"wreck_turret","radius":2.4,"weapon":"gunship_105","slot":"gun","aim":"Free"}</t>
        </is>
      </c>
    </row>
    <row r="13">
      <c r="A13" t="inlineStr">
        <is>
          <t>pod_bay</t>
        </is>
      </c>
      <c r="F13" t="n">
        <v>2</v>
      </c>
      <c r="H13" t="n">
        <v>0.08</v>
      </c>
      <c r="I13" t="inlineStr">
        <is>
          <t>podbay</t>
        </is>
      </c>
      <c r="J13" t="inlineStr">
        <is>
          <t>radio.part.podbay</t>
        </is>
      </c>
      <c r="K13" t="n">
        <v>2.6</v>
      </c>
      <c r="N13" t="inlineStr">
        <is>
          <t>pods</t>
        </is>
      </c>
      <c r="O13" t="inlineStr">
        <is>
          <t>wreck_stump</t>
        </is>
      </c>
      <c r="P13" t="inlineStr">
        <is>
          <t>Assets/MachineBrigade/Resources/Data/balance.json: bossParts.pod_bay</t>
        </is>
      </c>
      <c r="Q13" t="inlineStr">
        <is>
          <t>{"kind":"podbay","hp":0.08,"armour":2,"wreck":"wreck_stump","radius":2.6,"stops":["pods"],"radio":"radio.part.podbay"}</t>
        </is>
      </c>
    </row>
    <row r="14">
      <c r="A14" t="inlineStr">
        <is>
          <t>rocket_pod</t>
        </is>
      </c>
      <c r="B14" t="inlineStr">
        <is>
          <t>boss_rockets</t>
        </is>
      </c>
      <c r="C14" t="inlineStr">
        <is>
          <t>Free</t>
        </is>
      </c>
      <c r="F14" t="n">
        <v>2</v>
      </c>
      <c r="H14" t="n">
        <v>0.07000000000000001</v>
      </c>
      <c r="I14" t="inlineStr">
        <is>
          <t>rockets</t>
        </is>
      </c>
      <c r="K14" t="n">
        <v>1.8</v>
      </c>
      <c r="L14" t="inlineStr">
        <is>
          <t>rocket</t>
        </is>
      </c>
      <c r="O14" t="inlineStr">
        <is>
          <t>wreck_launcher</t>
        </is>
      </c>
      <c r="P14" t="inlineStr">
        <is>
          <t>Assets/MachineBrigade/Resources/Data/balance.json: bossParts.rocket_pod</t>
        </is>
      </c>
      <c r="Q14" t="inlineStr">
        <is>
          <t>{"kind":"rockets","hp":0.07,"armour":2,"wreck":"wreck_launcher","radius":1.8,"weapon":"boss_rockets","slot":"rocket","aim":"Free"}</t>
        </is>
      </c>
    </row>
    <row r="15">
      <c r="A15" t="inlineStr">
        <is>
          <t>sam_medium</t>
        </is>
      </c>
      <c r="B15" t="inlineStr">
        <is>
          <t>sam_post</t>
        </is>
      </c>
      <c r="C15" t="inlineStr">
        <is>
          <t>Free</t>
        </is>
      </c>
      <c r="F15" t="n">
        <v>2</v>
      </c>
      <c r="H15" t="n">
        <v>0.07000000000000001</v>
      </c>
      <c r="I15" t="inlineStr">
        <is>
          <t>sam</t>
        </is>
      </c>
      <c r="K15" t="n">
        <v>2</v>
      </c>
      <c r="L15" t="inlineStr">
        <is>
          <t>missile</t>
        </is>
      </c>
      <c r="O15" t="inlineStr">
        <is>
          <t>wreck_launcher</t>
        </is>
      </c>
      <c r="P15" t="inlineStr">
        <is>
          <t>Assets/MachineBrigade/Resources/Data/balance.json: bossParts.sam_medium</t>
        </is>
      </c>
      <c r="Q15" t="inlineStr">
        <is>
          <t>{"kind":"sam","hp":0.07,"armour":2,"wreck":"wreck_launcher","radius":2.0,"weapon":"sam_post","slot":"missile","aim":"Free"}</t>
        </is>
      </c>
    </row>
    <row r="16">
      <c r="A16" t="inlineStr">
        <is>
          <t>side_gun_120</t>
        </is>
      </c>
      <c r="B16" t="inlineStr">
        <is>
          <t>gun_120mm</t>
        </is>
      </c>
      <c r="C16" t="inlineStr">
        <is>
          <t>Free</t>
        </is>
      </c>
      <c r="F16" t="n">
        <v>3</v>
      </c>
      <c r="H16" t="n">
        <v>0.07000000000000001</v>
      </c>
      <c r="I16" t="inlineStr">
        <is>
          <t>gun</t>
        </is>
      </c>
      <c r="K16" t="n">
        <v>2</v>
      </c>
      <c r="L16" t="inlineStr">
        <is>
          <t>gun</t>
        </is>
      </c>
      <c r="O16" t="inlineStr">
        <is>
          <t>wreck_turret</t>
        </is>
      </c>
      <c r="P16" t="inlineStr">
        <is>
          <t>Assets/MachineBrigade/Resources/Data/balance.json: bossParts.side_gun_120</t>
        </is>
      </c>
      <c r="Q16" t="inlineStr">
        <is>
          <t>{"kind":"gun","hp":0.07,"armour":3,"wreck":"wreck_turret","radius":2.0,"weapon":"gun_120mm","slot":"gun","aim":"Free"}</t>
        </is>
      </c>
    </row>
    <row r="17">
      <c r="A17" t="inlineStr">
        <is>
          <t>tracks</t>
        </is>
      </c>
      <c r="F17" t="n">
        <v>2</v>
      </c>
      <c r="H17" t="n">
        <v>0.07000000000000001</v>
      </c>
      <c r="I17" t="inlineStr">
        <is>
          <t>tracks</t>
        </is>
      </c>
      <c r="K17" t="n">
        <v>2.6</v>
      </c>
      <c r="M17" t="n">
        <v>0.85</v>
      </c>
      <c r="O17" t="inlineStr">
        <is>
          <t>wreck_engine</t>
        </is>
      </c>
      <c r="P17" t="inlineStr">
        <is>
          <t>Assets/MachineBrigade/Resources/Data/balance.json: bossParts.tracks</t>
        </is>
      </c>
      <c r="Q17" t="inlineStr">
        <is>
          <t>{"kind":"tracks","hp":0.07,"armour":2,"wreck":"wreck_engine","radius":2.6,"speed":0.85}</t>
        </is>
      </c>
    </row>
    <row r="18">
      <c r="A18" t="inlineStr">
        <is>
          <t>turret_120</t>
        </is>
      </c>
      <c r="B18" t="inlineStr">
        <is>
          <t>gun_120mm</t>
        </is>
      </c>
      <c r="C18" t="inlineStr">
        <is>
          <t>Free</t>
        </is>
      </c>
      <c r="F18" t="n">
        <v>3</v>
      </c>
      <c r="H18" t="n">
        <v>0.07000000000000001</v>
      </c>
      <c r="I18" t="inlineStr">
        <is>
          <t>gun</t>
        </is>
      </c>
      <c r="K18" t="n">
        <v>2.2</v>
      </c>
      <c r="L18" t="inlineStr">
        <is>
          <t>gun</t>
        </is>
      </c>
      <c r="O18" t="inlineStr">
        <is>
          <t>wreck_turret</t>
        </is>
      </c>
      <c r="P18" t="inlineStr">
        <is>
          <t>Assets/MachineBrigade/Resources/Data/balance.json: bossParts.turret_120</t>
        </is>
      </c>
      <c r="Q18" t="inlineStr">
        <is>
          <t>{"kind":"gun","hp":0.07,"armour":3,"wreck":"wreck_turret","radius":2.2,"weapon":"gun_120mm","slot":"gun","aim":"Free"}</t>
        </is>
      </c>
    </row>
    <row r="19">
      <c r="A19" t="inlineStr">
        <is>
          <t>workshop_door</t>
        </is>
      </c>
      <c r="F19" t="n">
        <v>2</v>
      </c>
      <c r="H19" t="n">
        <v>0.07000000000000001</v>
      </c>
      <c r="I19" t="inlineStr">
        <is>
          <t>door</t>
        </is>
      </c>
      <c r="J19" t="inlineStr">
        <is>
          <t>radio.part.door</t>
        </is>
      </c>
      <c r="K19" t="n">
        <v>2.6</v>
      </c>
      <c r="N19" t="inlineStr">
        <is>
          <t>factory</t>
        </is>
      </c>
      <c r="O19" t="inlineStr">
        <is>
          <t>wreck_stump</t>
        </is>
      </c>
      <c r="P19" t="inlineStr">
        <is>
          <t>Assets/MachineBrigade/Resources/Data/balance.json: bossParts.workshop_door</t>
        </is>
      </c>
      <c r="Q19" t="inlineStr">
        <is>
          <t>{"kind":"door","hp":0.07,"armour":2,"wreck":"wreck_stump","radius":2.6,"stops":["factory"],"radio":"radio.part.door"}</t>
        </is>
      </c>
    </row>
    <row r="20">
      <c r="A20" t="inlineStr">
        <is>
          <t>zu23</t>
        </is>
      </c>
      <c r="B20" t="inlineStr">
        <is>
          <t>zu23</t>
        </is>
      </c>
      <c r="C20" t="inlineStr">
        <is>
          <t>Free</t>
        </is>
      </c>
      <c r="F20" t="n">
        <v>1</v>
      </c>
      <c r="H20" t="n">
        <v>0.07000000000000001</v>
      </c>
      <c r="I20" t="inlineStr">
        <is>
          <t>flak</t>
        </is>
      </c>
      <c r="K20" t="n">
        <v>1.5</v>
      </c>
      <c r="L20" t="inlineStr">
        <is>
          <t>mg</t>
        </is>
      </c>
      <c r="O20" t="inlineStr">
        <is>
          <t>wreck_turret</t>
        </is>
      </c>
      <c r="P20" t="inlineStr">
        <is>
          <t>Assets/MachineBrigade/Resources/Data/balance.json: bossParts.zu23</t>
        </is>
      </c>
      <c r="Q20" t="inlineStr">
        <is>
          <t>{"kind":"flak","hp":0.07,"armour":1,"wreck":"wreck_turret","radius":1.5,"weapon":"zu23","slot":"mg","aim":"Free"}</t>
        </is>
      </c>
    </row>
  </sheetData>
  <autoFilter ref="A1:Q20"/>
  <pageMargins left="0.75" right="0.75" top="1" bottom="1" header="0.5" footer="0.5"/>
</worksheet>
</file>

<file path=xl/worksheets/sheet1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1" customWidth="1" min="2" max="2"/>
    <col width="24" customWidth="1" min="3" max="3"/>
    <col width="24" customWidth="1" min="4" max="4"/>
    <col width="27" customWidth="1" min="5" max="5"/>
    <col width="31" customWidth="1" min="6" max="6"/>
    <col width="26" customWidth="1" min="7" max="7"/>
    <col width="21" customWidth="1" min="8" max="8"/>
    <col width="27" customWidth="1" min="9" max="9"/>
    <col width="24" customWidth="1" min="10" max="10"/>
    <col width="24" customWidth="1" min="11" max="11"/>
    <col width="23" customWidth="1" min="12" max="12"/>
    <col width="13" customWidth="1" min="13" max="13"/>
    <col width="29" customWidth="1" min="14" max="14"/>
    <col width="17" customWidth="1" min="15" max="15"/>
    <col width="21" customWidth="1" min="16" max="16"/>
    <col width="28" customWidth="1" min="17" max="17"/>
    <col width="29" customWidth="1" min="18" max="18"/>
    <col width="28" customWidth="1" min="19" max="19"/>
    <col width="30" customWidth="1" min="20" max="20"/>
    <col width="22" customWidth="1" min="21" max="21"/>
    <col width="22" customWidth="1" min="22" max="22"/>
    <col width="11" customWidth="1" min="23" max="23"/>
    <col width="60" customWidth="1" min="24" max="24"/>
    <col width="60" customWidth="1" min="25" max="25"/>
  </cols>
  <sheetData>
    <row r="1">
      <c r="A1" s="1" t="inlineStr">
        <is>
          <t>id</t>
        </is>
      </c>
      <c r="B1" s="1" t="inlineStr">
        <is>
          <t>defaults_altitude_m</t>
        </is>
      </c>
      <c r="C1" s="1" t="inlineStr">
        <is>
          <t>defaults_burrow_damage</t>
        </is>
      </c>
      <c r="D1" s="1" t="inlineStr">
        <is>
          <t>defaults_burrow_dive_s</t>
        </is>
      </c>
      <c r="E1" s="1" t="inlineStr">
        <is>
          <t>defaults_burrow_exposed_s</t>
        </is>
      </c>
      <c r="F1" s="1" t="inlineStr">
        <is>
          <t>defaults_burrow_exposed_taken</t>
        </is>
      </c>
      <c r="G1" s="1" t="inlineStr">
        <is>
          <t>defaults_burrow_radius_m</t>
        </is>
      </c>
      <c r="H1" s="1" t="inlineStr">
        <is>
          <t>defaults_burrow_sea</t>
        </is>
      </c>
      <c r="I1" s="1" t="inlineStr">
        <is>
          <t>defaults_burrow_speed_m_s</t>
        </is>
      </c>
      <c r="J1" s="1" t="inlineStr">
        <is>
          <t>defaults_burrow_stun_s</t>
        </is>
      </c>
      <c r="K1" s="1" t="inlineStr">
        <is>
          <t>defaults_burrow_warn_s</t>
        </is>
      </c>
      <c r="L1" s="1" t="inlineStr">
        <is>
          <t>defaults_capture_rate</t>
        </is>
      </c>
      <c r="M1" s="1" t="inlineStr">
        <is>
          <t>defaults_cp</t>
        </is>
      </c>
      <c r="N1" s="1" t="inlineStr">
        <is>
          <t>defaults_fires_while_moving</t>
        </is>
      </c>
      <c r="O1" s="1" t="inlineStr">
        <is>
          <t>defaults_flying</t>
        </is>
      </c>
      <c r="P1" s="1" t="inlineStr">
        <is>
          <t>defaults_naval_role</t>
        </is>
      </c>
      <c r="Q1" s="1" t="inlineStr">
        <is>
          <t>defaults_tiers_descend_m_s</t>
        </is>
      </c>
      <c r="R1" s="1" t="inlineStr">
        <is>
          <t>defaults_tiers_heights_high</t>
        </is>
      </c>
      <c r="S1" s="1" t="inlineStr">
        <is>
          <t>defaults_tiers_heights_low</t>
        </is>
      </c>
      <c r="T1" s="1" t="inlineStr">
        <is>
          <t>defaults_tiers_heights_orbit</t>
        </is>
      </c>
      <c r="U1" s="1" t="inlineStr">
        <is>
          <t>defaults_tiers_marks</t>
        </is>
      </c>
      <c r="V1" s="1" t="inlineStr">
        <is>
          <t>defaults_tiers_shift</t>
        </is>
      </c>
      <c r="W1" s="1" t="inlineStr">
        <is>
          <t>move</t>
        </is>
      </c>
      <c r="X1" s="1" t="inlineStr">
        <is>
          <t>nguon</t>
        </is>
      </c>
      <c r="Y1" s="1" t="inlineStr">
        <is>
          <t>raw_json</t>
        </is>
      </c>
    </row>
    <row r="2">
      <c r="A2" t="inlineStr">
        <is>
          <t>aircraft</t>
        </is>
      </c>
      <c r="L2" t="n">
        <v>0</v>
      </c>
      <c r="M2" t="n">
        <v>0</v>
      </c>
      <c r="N2" t="b">
        <v>1</v>
      </c>
      <c r="O2" t="b">
        <v>1</v>
      </c>
      <c r="W2" t="inlineStr">
        <is>
          <t>aircraft</t>
        </is>
      </c>
      <c r="X2" t="inlineStr">
        <is>
          <t>Assets/MachineBrigade/Resources/Data/balance.json: bossFrames.aircraft</t>
        </is>
      </c>
      <c r="Y2" t="inlineStr">
        <is>
          <t>{"move":"aircraft","defaults":{"firesWhileMoving":true,"captureRate":0,"cp":0,"flying":true}}</t>
        </is>
      </c>
    </row>
    <row r="3">
      <c r="A3" t="inlineStr">
        <is>
          <t>hovercraft</t>
        </is>
      </c>
      <c r="L3" t="n">
        <v>0</v>
      </c>
      <c r="M3" t="n">
        <v>0</v>
      </c>
      <c r="N3" t="b">
        <v>1</v>
      </c>
      <c r="W3" t="inlineStr">
        <is>
          <t>wheeled</t>
        </is>
      </c>
      <c r="X3" t="inlineStr">
        <is>
          <t>Assets/MachineBrigade/Resources/Data/balance.json: bossFrames.hovercraft</t>
        </is>
      </c>
      <c r="Y3" t="inlineStr">
        <is>
          <t>{"move":"wheeled","defaults":{"firesWhileMoving":true,"captureRate":0,"cp":0}}</t>
        </is>
      </c>
    </row>
    <row r="4">
      <c r="A4" t="inlineStr">
        <is>
          <t>ship</t>
        </is>
      </c>
      <c r="L4" t="n">
        <v>0</v>
      </c>
      <c r="M4" t="n">
        <v>0</v>
      </c>
      <c r="N4" t="b">
        <v>1</v>
      </c>
      <c r="P4" t="inlineStr">
        <is>
          <t>Flagship</t>
        </is>
      </c>
      <c r="W4" t="inlineStr">
        <is>
          <t>ship</t>
        </is>
      </c>
      <c r="X4" t="inlineStr">
        <is>
          <t>Assets/MachineBrigade/Resources/Data/balance.json: bossFrames.ship</t>
        </is>
      </c>
      <c r="Y4" t="inlineStr">
        <is>
          <t>{"move":"ship","defaults":{"firesWhileMoving":true,"captureRate":0,"cp":0,"naval":{"role":"Flagship"}}}</t>
        </is>
      </c>
    </row>
    <row r="5">
      <c r="A5" t="inlineStr">
        <is>
          <t>spacecraft</t>
        </is>
      </c>
      <c r="B5" t="n">
        <v>22</v>
      </c>
      <c r="L5" t="n">
        <v>0</v>
      </c>
      <c r="M5" t="n">
        <v>0</v>
      </c>
      <c r="N5" t="b">
        <v>1</v>
      </c>
      <c r="O5" t="b">
        <v>1</v>
      </c>
      <c r="Q5" t="n">
        <v>4</v>
      </c>
      <c r="R5" t="n">
        <v>60</v>
      </c>
      <c r="S5" t="n">
        <v>22</v>
      </c>
      <c r="T5" t="n">
        <v>150</v>
      </c>
      <c r="U5" t="inlineStr">
        <is>
          <t>0.6;0.25</t>
        </is>
      </c>
      <c r="V5" t="n">
        <v>3.5</v>
      </c>
      <c r="W5" t="inlineStr">
        <is>
          <t>spacecraft</t>
        </is>
      </c>
      <c r="X5" t="inlineStr">
        <is>
          <t>Assets/MachineBrigade/Resources/Data/balance.json: bossFrames.spacecraft</t>
        </is>
      </c>
      <c r="Y5" t="inlineStr">
        <is>
          <t>{"move":"spacecraft","defaults":{"firesWhileMoving":true,"captureRate":0,"cp":0,"flying":true,"altitude":22,"tiers":{"descend":4,"shift":3.5,"heights":{"orbit":150,"high":60,"low":22},"marks":[0.6,0.25]}}}</t>
        </is>
      </c>
    </row>
    <row r="6">
      <c r="A6" t="inlineStr">
        <is>
          <t>submarine</t>
        </is>
      </c>
      <c r="C6" t="n">
        <v>0</v>
      </c>
      <c r="D6" t="n">
        <v>2</v>
      </c>
      <c r="E6" t="n">
        <v>0</v>
      </c>
      <c r="F6" t="n">
        <v>1</v>
      </c>
      <c r="G6" t="n">
        <v>0</v>
      </c>
      <c r="H6" t="b">
        <v>1</v>
      </c>
      <c r="I6" t="n">
        <v>9</v>
      </c>
      <c r="J6" t="n">
        <v>0</v>
      </c>
      <c r="K6" t="n">
        <v>4</v>
      </c>
      <c r="L6" t="n">
        <v>0</v>
      </c>
      <c r="M6" t="n">
        <v>0</v>
      </c>
      <c r="N6" t="b">
        <v>1</v>
      </c>
      <c r="P6" t="inlineStr">
        <is>
          <t>Flagship</t>
        </is>
      </c>
      <c r="W6" t="inlineStr">
        <is>
          <t>submarine</t>
        </is>
      </c>
      <c r="X6" t="inlineStr">
        <is>
          <t>Assets/MachineBrigade/Resources/Data/balance.json: bossFrames.submarine</t>
        </is>
      </c>
      <c r="Y6" t="inlineStr">
        <is>
          <t>{"move":"submarine","defaults":{"firesWhileMoving":true,"captureRate":0,"cp":0,"naval":{"role":"Flagship"},"burrow":{"sea":true,"dive":2,"warn":4,"speed":9,"damage":0,"radius":0,"stun":0,"exposed":0,"exposedTaken":1}}}</t>
        </is>
      </c>
    </row>
    <row r="7">
      <c r="A7" t="inlineStr">
        <is>
          <t>tracked</t>
        </is>
      </c>
      <c r="L7" t="n">
        <v>0</v>
      </c>
      <c r="M7" t="n">
        <v>0</v>
      </c>
      <c r="N7" t="b">
        <v>1</v>
      </c>
      <c r="W7" t="inlineStr">
        <is>
          <t>tracked</t>
        </is>
      </c>
      <c r="X7" t="inlineStr">
        <is>
          <t>Assets/MachineBrigade/Resources/Data/balance.json: bossFrames.tracked</t>
        </is>
      </c>
      <c r="Y7" t="inlineStr">
        <is>
          <t>{"move":"tracked","defaults":{"firesWhileMoving":true,"captureRate":0,"cp":0}}</t>
        </is>
      </c>
    </row>
    <row r="8">
      <c r="A8" t="inlineStr">
        <is>
          <t>train</t>
        </is>
      </c>
      <c r="L8" t="n">
        <v>0</v>
      </c>
      <c r="M8" t="n">
        <v>0</v>
      </c>
      <c r="N8" t="b">
        <v>1</v>
      </c>
      <c r="W8" t="inlineStr">
        <is>
          <t>rail</t>
        </is>
      </c>
      <c r="X8" t="inlineStr">
        <is>
          <t>Assets/MachineBrigade/Resources/Data/balance.json: bossFrames.train</t>
        </is>
      </c>
      <c r="Y8" t="inlineStr">
        <is>
          <t>{"move":"rail","defaults":{"firesWhileMoving":true,"captureRate":0,"cp":0}}</t>
        </is>
      </c>
    </row>
    <row r="9">
      <c r="A9" t="inlineStr">
        <is>
          <t>wheeled</t>
        </is>
      </c>
      <c r="L9" t="n">
        <v>0</v>
      </c>
      <c r="M9" t="n">
        <v>0</v>
      </c>
      <c r="N9" t="b">
        <v>1</v>
      </c>
      <c r="W9" t="inlineStr">
        <is>
          <t>wheeled</t>
        </is>
      </c>
      <c r="X9" t="inlineStr">
        <is>
          <t>Assets/MachineBrigade/Resources/Data/balance.json: bossFrames.wheeled</t>
        </is>
      </c>
      <c r="Y9" t="inlineStr">
        <is>
          <t>{"move":"wheeled","defaults":{"firesWhileMoving":true,"captureRate":0,"cp":0}}</t>
        </is>
      </c>
    </row>
  </sheetData>
  <autoFilter ref="A1:Y9"/>
  <pageMargins left="0.75" right="0.75" top="1" bottom="1" header="0.5" footer="0.5"/>
</worksheet>
</file>

<file path=xl/worksheets/sheet1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10" customWidth="1" min="2" max="2"/>
    <col width="13" customWidth="1" min="3" max="3"/>
    <col width="12" customWidth="1" min="4" max="4"/>
    <col width="13" customWidth="1" min="5" max="5"/>
    <col width="8" customWidth="1" min="6" max="6"/>
    <col width="60" customWidth="1" min="7" max="7"/>
    <col width="12"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main.airDamage</t>
        </is>
      </c>
      <c r="B2" t="inlineStr">
        <is>
          <t>bossRanks</t>
        </is>
      </c>
      <c r="C2" t="inlineStr">
        <is>
          <t>airDamage</t>
        </is>
      </c>
      <c r="D2" t="n">
        <v>1.6</v>
      </c>
      <c r="F2" t="inlineStr"/>
      <c r="G2" t="inlineStr">
        <is>
          <t>Assets/MachineBrigade/Resources/Data/balance.json: bossRanks.main.airDamage</t>
        </is>
      </c>
      <c r="H2" t="inlineStr">
        <is>
          <t>1.6</t>
        </is>
      </c>
    </row>
    <row r="3">
      <c r="A3" t="inlineStr">
        <is>
          <t>main.bigAttackScale.cooldown</t>
        </is>
      </c>
      <c r="B3" t="inlineStr">
        <is>
          <t>bossRanks</t>
        </is>
      </c>
      <c r="C3" t="inlineStr">
        <is>
          <t>cooldown</t>
        </is>
      </c>
      <c r="D3" t="n">
        <v>0.85</v>
      </c>
      <c r="F3" t="inlineStr">
        <is>
          <t>s</t>
        </is>
      </c>
      <c r="G3" t="inlineStr">
        <is>
          <t>Assets/MachineBrigade/Resources/Data/balance.json: bossRanks.main.bigAttackScale.cooldown</t>
        </is>
      </c>
      <c r="H3" t="inlineStr">
        <is>
          <t>0.85</t>
        </is>
      </c>
    </row>
    <row r="4">
      <c r="A4" t="inlineStr">
        <is>
          <t>main.bigAttackScale.damage</t>
        </is>
      </c>
      <c r="B4" t="inlineStr">
        <is>
          <t>bossRanks</t>
        </is>
      </c>
      <c r="C4" t="inlineStr">
        <is>
          <t>damage</t>
        </is>
      </c>
      <c r="D4" t="n">
        <v>0.857</v>
      </c>
      <c r="F4" t="inlineStr"/>
      <c r="G4" t="inlineStr">
        <is>
          <t>Assets/MachineBrigade/Resources/Data/balance.json: bossRanks.main.bigAttackScale.damage</t>
        </is>
      </c>
      <c r="H4" t="inlineStr">
        <is>
          <t>0.857</t>
        </is>
      </c>
    </row>
    <row r="5">
      <c r="A5" t="inlineStr">
        <is>
          <t>main.bigAttackScale.warn</t>
        </is>
      </c>
      <c r="B5" t="inlineStr">
        <is>
          <t>bossRanks</t>
        </is>
      </c>
      <c r="C5" t="inlineStr">
        <is>
          <t>warn</t>
        </is>
      </c>
      <c r="D5" t="n">
        <v>0</v>
      </c>
      <c r="F5" t="inlineStr">
        <is>
          <t>s</t>
        </is>
      </c>
      <c r="G5" t="inlineStr">
        <is>
          <t>Assets/MachineBrigade/Resources/Data/balance.json: bossRanks.main.bigAttackScale.warn</t>
        </is>
      </c>
      <c r="H5" t="inlineStr">
        <is>
          <t>0</t>
        </is>
      </c>
    </row>
    <row r="6">
      <c r="A6" t="inlineStr">
        <is>
          <t>main.damageScale</t>
        </is>
      </c>
      <c r="B6" t="inlineStr">
        <is>
          <t>bossRanks</t>
        </is>
      </c>
      <c r="C6" t="inlineStr">
        <is>
          <t>damageScale</t>
        </is>
      </c>
      <c r="D6" t="n">
        <v>1.4</v>
      </c>
      <c r="F6" t="inlineStr"/>
      <c r="G6" t="inlineStr">
        <is>
          <t>Assets/MachineBrigade/Resources/Data/balance.json: bossRanks.main.damageScale</t>
        </is>
      </c>
      <c r="H6" t="inlineStr">
        <is>
          <t>1.4</t>
        </is>
      </c>
    </row>
    <row r="7">
      <c r="A7" t="inlineStr">
        <is>
          <t>main.fireRate</t>
        </is>
      </c>
      <c r="B7" t="inlineStr">
        <is>
          <t>bossRanks</t>
        </is>
      </c>
      <c r="C7" t="inlineStr">
        <is>
          <t>fireRate</t>
        </is>
      </c>
      <c r="D7" t="n">
        <v>1.25</v>
      </c>
      <c r="F7" t="inlineStr"/>
      <c r="G7" t="inlineStr">
        <is>
          <t>Assets/MachineBrigade/Resources/Data/balance.json: bossRanks.main.fireRate</t>
        </is>
      </c>
      <c r="H7" t="inlineStr">
        <is>
          <t>1.25</t>
        </is>
      </c>
    </row>
    <row r="8">
      <c r="A8" t="inlineStr">
        <is>
          <t>main.intro</t>
        </is>
      </c>
      <c r="B8" t="inlineStr">
        <is>
          <t>bossRanks</t>
        </is>
      </c>
      <c r="C8" t="inlineStr">
        <is>
          <t>intro</t>
        </is>
      </c>
      <c r="D8" t="n">
        <v>6</v>
      </c>
      <c r="F8" t="inlineStr">
        <is>
          <t>s</t>
        </is>
      </c>
      <c r="G8" t="inlineStr">
        <is>
          <t>Assets/MachineBrigade/Resources/Data/balance.json: bossRanks.main.intro</t>
        </is>
      </c>
      <c r="H8" t="inlineStr">
        <is>
          <t>6</t>
        </is>
      </c>
    </row>
    <row r="9">
      <c r="A9" t="inlineStr">
        <is>
          <t>main.music</t>
        </is>
      </c>
      <c r="B9" t="inlineStr">
        <is>
          <t>bossRanks</t>
        </is>
      </c>
      <c r="C9" t="inlineStr">
        <is>
          <t>music</t>
        </is>
      </c>
      <c r="E9" t="inlineStr">
        <is>
          <t>boss</t>
        </is>
      </c>
      <c r="F9" t="inlineStr"/>
      <c r="G9" t="inlineStr">
        <is>
          <t>Assets/MachineBrigade/Resources/Data/balance.json: bossRanks.main.music</t>
        </is>
      </c>
      <c r="H9" t="inlineStr">
        <is>
          <t>"boss"</t>
        </is>
      </c>
    </row>
    <row r="10">
      <c r="A10" t="inlineStr">
        <is>
          <t>main.partsShare</t>
        </is>
      </c>
      <c r="B10" t="inlineStr">
        <is>
          <t>bossRanks</t>
        </is>
      </c>
      <c r="C10" t="inlineStr">
        <is>
          <t>partsShare</t>
        </is>
      </c>
      <c r="D10" t="n">
        <v>0.35</v>
      </c>
      <c r="F10" t="inlineStr"/>
      <c r="G10" t="inlineStr">
        <is>
          <t>Assets/MachineBrigade/Resources/Data/balance.json: bossRanks.main.partsShare</t>
        </is>
      </c>
      <c r="H10" t="inlineStr">
        <is>
          <t>0.35</t>
        </is>
      </c>
    </row>
    <row r="11">
      <c r="A11" t="inlineStr">
        <is>
          <t>main.phases[0].at</t>
        </is>
      </c>
      <c r="B11" t="inlineStr">
        <is>
          <t>bossRanks</t>
        </is>
      </c>
      <c r="C11" t="inlineStr">
        <is>
          <t>at</t>
        </is>
      </c>
      <c r="D11" t="n">
        <v>0.6</v>
      </c>
      <c r="F11" t="inlineStr"/>
      <c r="G11" t="inlineStr">
        <is>
          <t>Assets/MachineBrigade/Resources/Data/balance.json: bossRanks.main.phases[0].at</t>
        </is>
      </c>
      <c r="H11" t="inlineStr">
        <is>
          <t>0.6</t>
        </is>
      </c>
    </row>
    <row r="12">
      <c r="A12" t="inlineStr">
        <is>
          <t>main.phases[0].damage</t>
        </is>
      </c>
      <c r="B12" t="inlineStr">
        <is>
          <t>bossRanks</t>
        </is>
      </c>
      <c r="C12" t="inlineStr">
        <is>
          <t>damage</t>
        </is>
      </c>
      <c r="D12" t="n">
        <v>1.1</v>
      </c>
      <c r="F12" t="inlineStr"/>
      <c r="G12" t="inlineStr">
        <is>
          <t>Assets/MachineBrigade/Resources/Data/balance.json: bossRanks.main.phases[0].damage</t>
        </is>
      </c>
      <c r="H12" t="inlineStr">
        <is>
          <t>1.1</t>
        </is>
      </c>
    </row>
    <row r="13">
      <c r="A13" t="inlineStr">
        <is>
          <t>main.phases[0].transform</t>
        </is>
      </c>
      <c r="B13" t="inlineStr">
        <is>
          <t>bossRanks</t>
        </is>
      </c>
      <c r="C13" t="inlineStr">
        <is>
          <t>transform</t>
        </is>
      </c>
      <c r="D13" t="n">
        <v>2.5</v>
      </c>
      <c r="F13" t="inlineStr"/>
      <c r="G13" t="inlineStr">
        <is>
          <t>Assets/MachineBrigade/Resources/Data/balance.json: bossRanks.main.phases[0].transform</t>
        </is>
      </c>
      <c r="H13" t="inlineStr">
        <is>
          <t>2.5</t>
        </is>
      </c>
    </row>
    <row r="14">
      <c r="A14" t="inlineStr">
        <is>
          <t>main.phases[1].at</t>
        </is>
      </c>
      <c r="B14" t="inlineStr">
        <is>
          <t>bossRanks</t>
        </is>
      </c>
      <c r="C14" t="inlineStr">
        <is>
          <t>at</t>
        </is>
      </c>
      <c r="D14" t="n">
        <v>0.25</v>
      </c>
      <c r="F14" t="inlineStr"/>
      <c r="G14" t="inlineStr">
        <is>
          <t>Assets/MachineBrigade/Resources/Data/balance.json: bossRanks.main.phases[1].at</t>
        </is>
      </c>
      <c r="H14" t="inlineStr">
        <is>
          <t>0.25</t>
        </is>
      </c>
    </row>
    <row r="15">
      <c r="A15" t="inlineStr">
        <is>
          <t>main.phases[1].damage</t>
        </is>
      </c>
      <c r="B15" t="inlineStr">
        <is>
          <t>bossRanks</t>
        </is>
      </c>
      <c r="C15" t="inlineStr">
        <is>
          <t>damage</t>
        </is>
      </c>
      <c r="D15" t="n">
        <v>1.2</v>
      </c>
      <c r="F15" t="inlineStr"/>
      <c r="G15" t="inlineStr">
        <is>
          <t>Assets/MachineBrigade/Resources/Data/balance.json: bossRanks.main.phases[1].damage</t>
        </is>
      </c>
      <c r="H15" t="inlineStr">
        <is>
          <t>1.2</t>
        </is>
      </c>
    </row>
    <row r="16">
      <c r="A16" t="inlineStr">
        <is>
          <t>main.phases[1].fireRate</t>
        </is>
      </c>
      <c r="B16" t="inlineStr">
        <is>
          <t>bossRanks</t>
        </is>
      </c>
      <c r="C16" t="inlineStr">
        <is>
          <t>fireRate</t>
        </is>
      </c>
      <c r="D16" t="n">
        <v>1.25</v>
      </c>
      <c r="F16" t="inlineStr"/>
      <c r="G16" t="inlineStr">
        <is>
          <t>Assets/MachineBrigade/Resources/Data/balance.json: bossRanks.main.phases[1].fireRate</t>
        </is>
      </c>
      <c r="H16" t="inlineStr">
        <is>
          <t>1.25</t>
        </is>
      </c>
    </row>
    <row r="17">
      <c r="A17" t="inlineStr">
        <is>
          <t>main.phases[1].speed</t>
        </is>
      </c>
      <c r="B17" t="inlineStr">
        <is>
          <t>bossRanks</t>
        </is>
      </c>
      <c r="C17" t="inlineStr">
        <is>
          <t>speed</t>
        </is>
      </c>
      <c r="D17" t="n">
        <v>1.1</v>
      </c>
      <c r="F17" t="inlineStr">
        <is>
          <t>m/s</t>
        </is>
      </c>
      <c r="G17" t="inlineStr">
        <is>
          <t>Assets/MachineBrigade/Resources/Data/balance.json: bossRanks.main.phases[1].speed</t>
        </is>
      </c>
      <c r="H17" t="inlineStr">
        <is>
          <t>1.1</t>
        </is>
      </c>
    </row>
    <row r="18">
      <c r="A18" t="inlineStr">
        <is>
          <t>main.phases[1].transform</t>
        </is>
      </c>
      <c r="B18" t="inlineStr">
        <is>
          <t>bossRanks</t>
        </is>
      </c>
      <c r="C18" t="inlineStr">
        <is>
          <t>transform</t>
        </is>
      </c>
      <c r="D18" t="n">
        <v>3</v>
      </c>
      <c r="F18" t="inlineStr"/>
      <c r="G18" t="inlineStr">
        <is>
          <t>Assets/MachineBrigade/Resources/Data/balance.json: bossRanks.main.phases[1].transform</t>
        </is>
      </c>
      <c r="H18" t="inlineStr">
        <is>
          <t>3</t>
        </is>
      </c>
    </row>
    <row r="19">
      <c r="A19" t="inlineStr">
        <is>
          <t>main.reward</t>
        </is>
      </c>
      <c r="B19" t="inlineStr">
        <is>
          <t>bossRanks</t>
        </is>
      </c>
      <c r="C19" t="inlineStr">
        <is>
          <t>reward</t>
        </is>
      </c>
      <c r="D19" t="n">
        <v>1</v>
      </c>
      <c r="F19" t="inlineStr"/>
      <c r="G19" t="inlineStr">
        <is>
          <t>Assets/MachineBrigade/Resources/Data/balance.json: bossRanks.main.reward</t>
        </is>
      </c>
      <c r="H19" t="inlineStr">
        <is>
          <t>1</t>
        </is>
      </c>
    </row>
    <row r="20">
      <c r="A20" t="inlineStr">
        <is>
          <t>main.strikeCap</t>
        </is>
      </c>
      <c r="B20" t="inlineStr">
        <is>
          <t>bossRanks</t>
        </is>
      </c>
      <c r="C20" t="inlineStr">
        <is>
          <t>strikeCap</t>
        </is>
      </c>
      <c r="D20" t="n">
        <v>0.1</v>
      </c>
      <c r="F20" t="inlineStr"/>
      <c r="G20" t="inlineStr">
        <is>
          <t>Assets/MachineBrigade/Resources/Data/balance.json: bossRanks.main.strikeCap</t>
        </is>
      </c>
      <c r="H20" t="inlineStr">
        <is>
          <t>0.1</t>
        </is>
      </c>
    </row>
    <row r="21">
      <c r="A21" t="inlineStr">
        <is>
          <t>main.strikeOver</t>
        </is>
      </c>
      <c r="B21" t="inlineStr">
        <is>
          <t>bossRanks</t>
        </is>
      </c>
      <c r="C21" t="inlineStr">
        <is>
          <t>strikeOver</t>
        </is>
      </c>
      <c r="D21" t="n">
        <v>0.2</v>
      </c>
      <c r="F21" t="inlineStr"/>
      <c r="G21" t="inlineStr">
        <is>
          <t>Assets/MachineBrigade/Resources/Data/balance.json: bossRanks.main.strikeOver</t>
        </is>
      </c>
      <c r="H21" t="inlineStr">
        <is>
          <t>0.2</t>
        </is>
      </c>
    </row>
    <row r="22">
      <c r="A22" t="inlineStr">
        <is>
          <t>main.strikeTaken</t>
        </is>
      </c>
      <c r="B22" t="inlineStr">
        <is>
          <t>bossRanks</t>
        </is>
      </c>
      <c r="C22" t="inlineStr">
        <is>
          <t>strikeTaken</t>
        </is>
      </c>
      <c r="D22" t="n">
        <v>0.5</v>
      </c>
      <c r="F22" t="inlineStr"/>
      <c r="G22" t="inlineStr">
        <is>
          <t>Assets/MachineBrigade/Resources/Data/balance.json: bossRanks.main.strikeTaken</t>
        </is>
      </c>
      <c r="H22" t="inlineStr">
        <is>
          <t>0.5</t>
        </is>
      </c>
    </row>
    <row r="23">
      <c r="A23" t="inlineStr">
        <is>
          <t>main.strikeWindow</t>
        </is>
      </c>
      <c r="B23" t="inlineStr">
        <is>
          <t>bossRanks</t>
        </is>
      </c>
      <c r="C23" t="inlineStr">
        <is>
          <t>strikeWindow</t>
        </is>
      </c>
      <c r="D23" t="n">
        <v>10</v>
      </c>
      <c r="F23" t="inlineStr">
        <is>
          <t>s</t>
        </is>
      </c>
      <c r="G23" t="inlineStr">
        <is>
          <t>Assets/MachineBrigade/Resources/Data/balance.json: bossRanks.main.strikeWindow</t>
        </is>
      </c>
      <c r="H23" t="inlineStr">
        <is>
          <t>10</t>
        </is>
      </c>
    </row>
    <row r="24">
      <c r="A24" t="inlineStr">
        <is>
          <t>mini.airDamage</t>
        </is>
      </c>
      <c r="B24" t="inlineStr">
        <is>
          <t>bossRanks</t>
        </is>
      </c>
      <c r="C24" t="inlineStr">
        <is>
          <t>airDamage</t>
        </is>
      </c>
      <c r="D24" t="n">
        <v>1.6</v>
      </c>
      <c r="F24" t="inlineStr"/>
      <c r="G24" t="inlineStr">
        <is>
          <t>Assets/MachineBrigade/Resources/Data/balance.json: bossRanks.mini.airDamage</t>
        </is>
      </c>
      <c r="H24" t="inlineStr">
        <is>
          <t>1.6</t>
        </is>
      </c>
    </row>
    <row r="25">
      <c r="A25" t="inlineStr">
        <is>
          <t>mini.bigAttackScale.cooldown</t>
        </is>
      </c>
      <c r="B25" t="inlineStr">
        <is>
          <t>bossRanks</t>
        </is>
      </c>
      <c r="C25" t="inlineStr">
        <is>
          <t>cooldown</t>
        </is>
      </c>
      <c r="D25" t="n">
        <v>1.1</v>
      </c>
      <c r="F25" t="inlineStr">
        <is>
          <t>s</t>
        </is>
      </c>
      <c r="G25" t="inlineStr">
        <is>
          <t>Assets/MachineBrigade/Resources/Data/balance.json: bossRanks.mini.bigAttackScale.cooldown</t>
        </is>
      </c>
      <c r="H25" t="inlineStr">
        <is>
          <t>1.1</t>
        </is>
      </c>
    </row>
    <row r="26">
      <c r="A26" t="inlineStr">
        <is>
          <t>mini.bigAttackScale.damage</t>
        </is>
      </c>
      <c r="B26" t="inlineStr">
        <is>
          <t>bossRanks</t>
        </is>
      </c>
      <c r="C26" t="inlineStr">
        <is>
          <t>damage</t>
        </is>
      </c>
      <c r="D26" t="n">
        <v>0.5600000000000001</v>
      </c>
      <c r="F26" t="inlineStr"/>
      <c r="G26" t="inlineStr">
        <is>
          <t>Assets/MachineBrigade/Resources/Data/balance.json: bossRanks.mini.bigAttackScale.damage</t>
        </is>
      </c>
      <c r="H26" t="inlineStr">
        <is>
          <t>0.56</t>
        </is>
      </c>
    </row>
    <row r="27">
      <c r="A27" t="inlineStr">
        <is>
          <t>mini.bigAttackScale.warn</t>
        </is>
      </c>
      <c r="B27" t="inlineStr">
        <is>
          <t>bossRanks</t>
        </is>
      </c>
      <c r="C27" t="inlineStr">
        <is>
          <t>warn</t>
        </is>
      </c>
      <c r="D27" t="n">
        <v>0</v>
      </c>
      <c r="F27" t="inlineStr">
        <is>
          <t>s</t>
        </is>
      </c>
      <c r="G27" t="inlineStr">
        <is>
          <t>Assets/MachineBrigade/Resources/Data/balance.json: bossRanks.mini.bigAttackScale.warn</t>
        </is>
      </c>
      <c r="H27" t="inlineStr">
        <is>
          <t>0</t>
        </is>
      </c>
    </row>
    <row r="28">
      <c r="A28" t="inlineStr">
        <is>
          <t>mini.compact</t>
        </is>
      </c>
      <c r="B28" t="inlineStr">
        <is>
          <t>bossRanks</t>
        </is>
      </c>
      <c r="C28" t="inlineStr">
        <is>
          <t>compact</t>
        </is>
      </c>
      <c r="D28" t="b">
        <v>1</v>
      </c>
      <c r="F28" t="inlineStr"/>
      <c r="G28" t="inlineStr">
        <is>
          <t>Assets/MachineBrigade/Resources/Data/balance.json: bossRanks.mini.compact</t>
        </is>
      </c>
      <c r="H28" t="inlineStr">
        <is>
          <t>true</t>
        </is>
      </c>
    </row>
    <row r="29">
      <c r="A29" t="inlineStr">
        <is>
          <t>mini.damageScale</t>
        </is>
      </c>
      <c r="B29" t="inlineStr">
        <is>
          <t>bossRanks</t>
        </is>
      </c>
      <c r="C29" t="inlineStr">
        <is>
          <t>damageScale</t>
        </is>
      </c>
      <c r="D29" t="n">
        <v>1.2</v>
      </c>
      <c r="F29" t="inlineStr"/>
      <c r="G29" t="inlineStr">
        <is>
          <t>Assets/MachineBrigade/Resources/Data/balance.json: bossRanks.mini.damageScale</t>
        </is>
      </c>
      <c r="H29" t="inlineStr">
        <is>
          <t>1.2</t>
        </is>
      </c>
    </row>
    <row r="30">
      <c r="A30" t="inlineStr">
        <is>
          <t>mini.escortCap</t>
        </is>
      </c>
      <c r="B30" t="inlineStr">
        <is>
          <t>bossRanks</t>
        </is>
      </c>
      <c r="C30" t="inlineStr">
        <is>
          <t>escortCap</t>
        </is>
      </c>
      <c r="D30" t="n">
        <v>4</v>
      </c>
      <c r="F30" t="inlineStr"/>
      <c r="G30" t="inlineStr">
        <is>
          <t>Assets/MachineBrigade/Resources/Data/balance.json: bossRanks.mini.escortCap</t>
        </is>
      </c>
      <c r="H30" t="inlineStr">
        <is>
          <t>4</t>
        </is>
      </c>
    </row>
    <row r="31">
      <c r="A31" t="inlineStr">
        <is>
          <t>mini.fireRate</t>
        </is>
      </c>
      <c r="B31" t="inlineStr">
        <is>
          <t>bossRanks</t>
        </is>
      </c>
      <c r="C31" t="inlineStr">
        <is>
          <t>fireRate</t>
        </is>
      </c>
      <c r="D31" t="n">
        <v>1.25</v>
      </c>
      <c r="F31" t="inlineStr"/>
      <c r="G31" t="inlineStr">
        <is>
          <t>Assets/MachineBrigade/Resources/Data/balance.json: bossRanks.mini.fireRate</t>
        </is>
      </c>
      <c r="H31" t="inlineStr">
        <is>
          <t>1.25</t>
        </is>
      </c>
    </row>
    <row r="32">
      <c r="A32" t="inlineStr">
        <is>
          <t>mini.hp</t>
        </is>
      </c>
      <c r="B32" t="inlineStr">
        <is>
          <t>bossRanks</t>
        </is>
      </c>
      <c r="C32" t="inlineStr">
        <is>
          <t>hp</t>
        </is>
      </c>
      <c r="D32" t="n">
        <v>0.55</v>
      </c>
      <c r="F32" t="inlineStr">
        <is>
          <t>hp</t>
        </is>
      </c>
      <c r="G32" t="inlineStr">
        <is>
          <t>Assets/MachineBrigade/Resources/Data/balance.json: bossRanks.mini.hp</t>
        </is>
      </c>
      <c r="H32" t="inlineStr">
        <is>
          <t>0.55</t>
        </is>
      </c>
    </row>
    <row r="33">
      <c r="A33" t="inlineStr">
        <is>
          <t>mini.intro</t>
        </is>
      </c>
      <c r="B33" t="inlineStr">
        <is>
          <t>bossRanks</t>
        </is>
      </c>
      <c r="C33" t="inlineStr">
        <is>
          <t>intro</t>
        </is>
      </c>
      <c r="D33" t="n">
        <v>2.5</v>
      </c>
      <c r="F33" t="inlineStr">
        <is>
          <t>s</t>
        </is>
      </c>
      <c r="G33" t="inlineStr">
        <is>
          <t>Assets/MachineBrigade/Resources/Data/balance.json: bossRanks.mini.intro</t>
        </is>
      </c>
      <c r="H33" t="inlineStr">
        <is>
          <t>2.5</t>
        </is>
      </c>
    </row>
    <row r="34">
      <c r="A34" t="inlineStr">
        <is>
          <t>mini.music</t>
        </is>
      </c>
      <c r="B34" t="inlineStr">
        <is>
          <t>bossRanks</t>
        </is>
      </c>
      <c r="C34" t="inlineStr">
        <is>
          <t>music</t>
        </is>
      </c>
      <c r="E34" t="inlineStr">
        <is>
          <t>boss_mini</t>
        </is>
      </c>
      <c r="F34" t="inlineStr"/>
      <c r="G34" t="inlineStr">
        <is>
          <t>Assets/MachineBrigade/Resources/Data/balance.json: bossRanks.mini.music</t>
        </is>
      </c>
      <c r="H34" t="inlineStr">
        <is>
          <t>"boss_mini"</t>
        </is>
      </c>
    </row>
    <row r="35">
      <c r="A35" t="inlineStr">
        <is>
          <t>mini.partsShare</t>
        </is>
      </c>
      <c r="B35" t="inlineStr">
        <is>
          <t>bossRanks</t>
        </is>
      </c>
      <c r="C35" t="inlineStr">
        <is>
          <t>partsShare</t>
        </is>
      </c>
      <c r="D35" t="n">
        <v>0.35</v>
      </c>
      <c r="F35" t="inlineStr"/>
      <c r="G35" t="inlineStr">
        <is>
          <t>Assets/MachineBrigade/Resources/Data/balance.json: bossRanks.mini.partsShare</t>
        </is>
      </c>
      <c r="H35" t="inlineStr">
        <is>
          <t>0.35</t>
        </is>
      </c>
    </row>
    <row r="36">
      <c r="A36" t="inlineStr">
        <is>
          <t>mini.phases[0].at</t>
        </is>
      </c>
      <c r="B36" t="inlineStr">
        <is>
          <t>bossRanks</t>
        </is>
      </c>
      <c r="C36" t="inlineStr">
        <is>
          <t>at</t>
        </is>
      </c>
      <c r="D36" t="n">
        <v>0.45</v>
      </c>
      <c r="F36" t="inlineStr"/>
      <c r="G36" t="inlineStr">
        <is>
          <t>Assets/MachineBrigade/Resources/Data/balance.json: bossRanks.mini.phases[0].at</t>
        </is>
      </c>
      <c r="H36" t="inlineStr">
        <is>
          <t>0.45</t>
        </is>
      </c>
    </row>
    <row r="37">
      <c r="A37" t="inlineStr">
        <is>
          <t>mini.phases[0].damage</t>
        </is>
      </c>
      <c r="B37" t="inlineStr">
        <is>
          <t>bossRanks</t>
        </is>
      </c>
      <c r="C37" t="inlineStr">
        <is>
          <t>damage</t>
        </is>
      </c>
      <c r="D37" t="n">
        <v>1.15</v>
      </c>
      <c r="F37" t="inlineStr"/>
      <c r="G37" t="inlineStr">
        <is>
          <t>Assets/MachineBrigade/Resources/Data/balance.json: bossRanks.mini.phases[0].damage</t>
        </is>
      </c>
      <c r="H37" t="inlineStr">
        <is>
          <t>1.15</t>
        </is>
      </c>
    </row>
    <row r="38">
      <c r="A38" t="inlineStr">
        <is>
          <t>mini.phases[0].transform</t>
        </is>
      </c>
      <c r="B38" t="inlineStr">
        <is>
          <t>bossRanks</t>
        </is>
      </c>
      <c r="C38" t="inlineStr">
        <is>
          <t>transform</t>
        </is>
      </c>
      <c r="D38" t="n">
        <v>2</v>
      </c>
      <c r="F38" t="inlineStr"/>
      <c r="G38" t="inlineStr">
        <is>
          <t>Assets/MachineBrigade/Resources/Data/balance.json: bossRanks.mini.phases[0].transform</t>
        </is>
      </c>
      <c r="H38" t="inlineStr">
        <is>
          <t>2</t>
        </is>
      </c>
    </row>
    <row r="39">
      <c r="A39" t="inlineStr">
        <is>
          <t>mini.reward</t>
        </is>
      </c>
      <c r="B39" t="inlineStr">
        <is>
          <t>bossRanks</t>
        </is>
      </c>
      <c r="C39" t="inlineStr">
        <is>
          <t>reward</t>
        </is>
      </c>
      <c r="D39" t="n">
        <v>0.45</v>
      </c>
      <c r="F39" t="inlineStr"/>
      <c r="G39" t="inlineStr">
        <is>
          <t>Assets/MachineBrigade/Resources/Data/balance.json: bossRanks.mini.reward</t>
        </is>
      </c>
      <c r="H39" t="inlineStr">
        <is>
          <t>0.45</t>
        </is>
      </c>
    </row>
    <row r="40">
      <c r="A40" t="inlineStr">
        <is>
          <t>mini.strikeCap</t>
        </is>
      </c>
      <c r="B40" t="inlineStr">
        <is>
          <t>bossRanks</t>
        </is>
      </c>
      <c r="C40" t="inlineStr">
        <is>
          <t>strikeCap</t>
        </is>
      </c>
      <c r="D40" t="n">
        <v>0.15</v>
      </c>
      <c r="F40" t="inlineStr"/>
      <c r="G40" t="inlineStr">
        <is>
          <t>Assets/MachineBrigade/Resources/Data/balance.json: bossRanks.mini.strikeCap</t>
        </is>
      </c>
      <c r="H40" t="inlineStr">
        <is>
          <t>0.15</t>
        </is>
      </c>
    </row>
    <row r="41">
      <c r="A41" t="inlineStr">
        <is>
          <t>mini.strikeOver</t>
        </is>
      </c>
      <c r="B41" t="inlineStr">
        <is>
          <t>bossRanks</t>
        </is>
      </c>
      <c r="C41" t="inlineStr">
        <is>
          <t>strikeOver</t>
        </is>
      </c>
      <c r="D41" t="n">
        <v>0.2</v>
      </c>
      <c r="F41" t="inlineStr"/>
      <c r="G41" t="inlineStr">
        <is>
          <t>Assets/MachineBrigade/Resources/Data/balance.json: bossRanks.mini.strikeOver</t>
        </is>
      </c>
      <c r="H41" t="inlineStr">
        <is>
          <t>0.2</t>
        </is>
      </c>
    </row>
    <row r="42">
      <c r="A42" t="inlineStr">
        <is>
          <t>mini.strikeTaken</t>
        </is>
      </c>
      <c r="B42" t="inlineStr">
        <is>
          <t>bossRanks</t>
        </is>
      </c>
      <c r="C42" t="inlineStr">
        <is>
          <t>strikeTaken</t>
        </is>
      </c>
      <c r="D42" t="n">
        <v>0.5</v>
      </c>
      <c r="F42" t="inlineStr"/>
      <c r="G42" t="inlineStr">
        <is>
          <t>Assets/MachineBrigade/Resources/Data/balance.json: bossRanks.mini.strikeTaken</t>
        </is>
      </c>
      <c r="H42" t="inlineStr">
        <is>
          <t>0.5</t>
        </is>
      </c>
    </row>
    <row r="43">
      <c r="A43" t="inlineStr">
        <is>
          <t>mini.strikeWindow</t>
        </is>
      </c>
      <c r="B43" t="inlineStr">
        <is>
          <t>bossRanks</t>
        </is>
      </c>
      <c r="C43" t="inlineStr">
        <is>
          <t>strikeWindow</t>
        </is>
      </c>
      <c r="D43" t="n">
        <v>10</v>
      </c>
      <c r="F43" t="inlineStr">
        <is>
          <t>s</t>
        </is>
      </c>
      <c r="G43" t="inlineStr">
        <is>
          <t>Assets/MachineBrigade/Resources/Data/balance.json: bossRanks.mini.strikeWindow</t>
        </is>
      </c>
      <c r="H43" t="inlineStr">
        <is>
          <t>10</t>
        </is>
      </c>
    </row>
  </sheetData>
  <autoFilter ref="A1:H43"/>
  <pageMargins left="0.75" right="0.75" top="1" bottom="1" header="0.5" footer="0.5"/>
</worksheet>
</file>

<file path=xl/worksheets/sheet1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7" customWidth="1" min="2" max="2"/>
    <col width="8" customWidth="1" min="3" max="3"/>
    <col width="12" customWidth="1" min="4" max="4"/>
    <col width="11" customWidth="1" min="5" max="5"/>
    <col width="8" customWidth="1" min="6" max="6"/>
    <col width="8" customWidth="1" min="7" max="7"/>
    <col width="8" customWidth="1" min="8" max="8"/>
    <col width="10" customWidth="1" min="9" max="9"/>
    <col width="17" customWidth="1" min="10" max="10"/>
    <col width="12" customWidth="1" min="11" max="11"/>
    <col width="12" customWidth="1" min="12" max="12"/>
    <col width="9" customWidth="1" min="13" max="13"/>
    <col width="9" customWidth="1" min="14" max="14"/>
    <col width="9" customWidth="1" min="15" max="15"/>
    <col width="8" customWidth="1" min="16" max="16"/>
    <col width="60" customWidth="1" min="17" max="17"/>
    <col width="60" customWidth="1" min="18" max="18"/>
  </cols>
  <sheetData>
    <row r="1">
      <c r="A1" s="1" t="inlineStr">
        <is>
          <t>id</t>
        </is>
      </c>
      <c r="B1" s="1" t="inlineStr">
        <is>
          <t>dung_boi</t>
        </is>
      </c>
      <c r="C1" s="1" t="inlineStr">
        <is>
          <t>aim</t>
        </is>
      </c>
      <c r="D1" s="1" t="inlineStr">
        <is>
          <t>cooldown_s</t>
        </is>
      </c>
      <c r="E1" s="1" t="inlineStr">
        <is>
          <t>exposed_s</t>
        </is>
      </c>
      <c r="F1" s="1" t="inlineStr">
        <is>
          <t>first</t>
        </is>
      </c>
      <c r="G1" s="1" t="inlineStr">
        <is>
          <t>halt_s</t>
        </is>
      </c>
      <c r="H1" s="1" t="inlineStr">
        <is>
          <t>hold</t>
        </is>
      </c>
      <c r="I1" s="1" t="inlineStr">
        <is>
          <t>icon</t>
        </is>
      </c>
      <c r="J1" s="1" t="inlineStr">
        <is>
          <t>late_cooldown_s</t>
        </is>
      </c>
      <c r="K1" s="1" t="inlineStr">
        <is>
          <t>late_count</t>
        </is>
      </c>
      <c r="L1" s="1" t="inlineStr">
        <is>
          <t>late_phase</t>
        </is>
      </c>
      <c r="M1" s="1" t="inlineStr">
        <is>
          <t>reach_m</t>
        </is>
      </c>
      <c r="N1" s="1" t="inlineStr">
        <is>
          <t>surface</t>
        </is>
      </c>
      <c r="O1" s="1" t="inlineStr">
        <is>
          <t>target</t>
        </is>
      </c>
      <c r="P1" s="1" t="inlineStr">
        <is>
          <t>warn_s</t>
        </is>
      </c>
      <c r="Q1" s="1" t="inlineStr">
        <is>
          <t>nguon</t>
        </is>
      </c>
      <c r="R1" s="1" t="inlineStr">
        <is>
          <t>raw_json</t>
        </is>
      </c>
    </row>
    <row r="2">
      <c r="A2" t="inlineStr">
        <is>
          <t>airship_carpet</t>
        </is>
      </c>
      <c r="B2" t="inlineStr">
        <is>
          <t>command_airship</t>
        </is>
      </c>
      <c r="C2" t="inlineStr">
        <is>
          <t>group</t>
        </is>
      </c>
      <c r="D2" t="n">
        <v>50</v>
      </c>
      <c r="I2" t="inlineStr">
        <is>
          <t>bomb</t>
        </is>
      </c>
      <c r="M2" t="n">
        <v>60</v>
      </c>
      <c r="O2" t="inlineStr">
        <is>
          <t>light</t>
        </is>
      </c>
      <c r="P2" t="n">
        <v>4</v>
      </c>
      <c r="Q2" t="inlineStr">
        <is>
          <t>Assets/MachineBrigade/Resources/Data/balance.json: bigAttacks[7]</t>
        </is>
      </c>
      <c r="R2" t="inlineStr">
        <is>
          <t>{"id":"airship_carpet","icon":"bomb","warn":4,"cooldown":50,"aim":"group","reach":60,"target":"light","strikes":[{"shape":"strip","parts":["bomb_bay"],"count":16,"damage":400,"type":"HighExplosive","pen":1,"radius":7,"length":80,"width":12,"axis":"heading","duration":3}]}</t>
        </is>
      </c>
    </row>
    <row r="3">
      <c r="A3" t="inlineStr">
        <is>
          <t>bastion_420_shell</t>
        </is>
      </c>
      <c r="B3" t="inlineStr">
        <is>
          <t>fortress_bastion</t>
        </is>
      </c>
      <c r="C3" t="inlineStr">
        <is>
          <t>group</t>
        </is>
      </c>
      <c r="D3" t="n">
        <v>45</v>
      </c>
      <c r="I3" t="inlineStr">
        <is>
          <t>mortar</t>
        </is>
      </c>
      <c r="M3" t="n">
        <v>85</v>
      </c>
      <c r="O3" t="inlineStr">
        <is>
          <t>defences</t>
        </is>
      </c>
      <c r="P3" t="n">
        <v>4</v>
      </c>
      <c r="Q3" t="inlineStr">
        <is>
          <t>Assets/MachineBrigade/Resources/Data/balance.json: bigAttacks[5]</t>
        </is>
      </c>
      <c r="R3" t="inlineStr">
        <is>
          <t>{"id":"bastion_420_shell","icon":"mortar","warn":4,"cooldown":45,"aim":"group","reach":85,"target":"defences","strikes":[{"shape":"circle","parts":["mortar"],"count":1,"damage":2000,"type":"HighExplosive","pen":4,"structure":2,"radius":10,"weapon":"boss_mortar"}]}</t>
        </is>
      </c>
    </row>
    <row r="4">
      <c r="A4" t="inlineStr">
        <is>
          <t>behemoth_barrage</t>
        </is>
      </c>
      <c r="B4" t="inlineStr">
        <is>
          <t>behemoth</t>
        </is>
      </c>
      <c r="C4" t="inlineStr">
        <is>
          <t>group</t>
        </is>
      </c>
      <c r="D4" t="n">
        <v>45</v>
      </c>
      <c r="I4" t="inlineStr">
        <is>
          <t>artillery</t>
        </is>
      </c>
      <c r="M4" t="n">
        <v>70</v>
      </c>
      <c r="O4" t="inlineStr">
        <is>
          <t>mixed</t>
        </is>
      </c>
      <c r="P4" t="n">
        <v>3.5</v>
      </c>
      <c r="Q4" t="inlineStr">
        <is>
          <t>Assets/MachineBrigade/Resources/Data/balance.json: bigAttacks[0]</t>
        </is>
      </c>
      <c r="R4" t="inlineStr">
        <is>
          <t>{"id":"behemoth_barrage","icon":"artillery","warn":3.5,"cooldown":45,"aim":"group","reach":70,"target":"mixed","strikes":[{"shape":"circle","parts":["main_gun"],"count":6,"salvo":2,"damage":600,"type":"HighExplosive","pen":2,"radius":8.5,"area":14,"duration":2.4,"rings":true}]}</t>
        </is>
      </c>
    </row>
    <row r="5">
      <c r="A5" t="inlineStr">
        <is>
          <t>bug_rod_rain</t>
        </is>
      </c>
      <c r="B5" t="inlineStr">
        <is>
          <t>silver_bug</t>
        </is>
      </c>
      <c r="C5" t="inlineStr">
        <is>
          <t>group</t>
        </is>
      </c>
      <c r="D5" t="n">
        <v>45</v>
      </c>
      <c r="F5" t="n">
        <v>5</v>
      </c>
      <c r="I5" t="inlineStr">
        <is>
          <t>ballistic</t>
        </is>
      </c>
      <c r="J5" t="n">
        <v>45</v>
      </c>
      <c r="K5" t="n">
        <v>9</v>
      </c>
      <c r="L5" t="n">
        <v>2</v>
      </c>
      <c r="O5" t="inlineStr">
        <is>
          <t>tanks</t>
        </is>
      </c>
      <c r="P5" t="n">
        <v>4</v>
      </c>
      <c r="Q5" t="inlineStr">
        <is>
          <t>Assets/MachineBrigade/Resources/Data/balance.json: bigAttacks[3]</t>
        </is>
      </c>
      <c r="R5" t="inlineStr">
        <is>
          <t>{"id":"bug_rod_rain","icon":"ballistic","warn":4,"cooldown":45,"first":5,"aim":"group","target":"tanks","strikes":[{"shape":"rods","parts":["uplink"],"count":7,"damage":1800,"type":"Kinetic","pen":4,"top":true,"radius":7,"falloff":0.3}],"late":{"phase":2,"cooldown":45,"count":9}}</t>
        </is>
      </c>
    </row>
    <row r="6">
      <c r="A6" t="inlineStr">
        <is>
          <t>carrier_heavy_bomb</t>
        </is>
      </c>
      <c r="B6" t="inlineStr">
        <is>
          <t>drone_mothership</t>
        </is>
      </c>
      <c r="C6" t="inlineStr">
        <is>
          <t>group</t>
        </is>
      </c>
      <c r="D6" t="n">
        <v>45</v>
      </c>
      <c r="E6" t="n">
        <v>1.3</v>
      </c>
      <c r="G6" t="b">
        <v>1</v>
      </c>
      <c r="I6" t="inlineStr">
        <is>
          <t>bomb</t>
        </is>
      </c>
      <c r="M6" t="n">
        <v>40</v>
      </c>
      <c r="O6" t="inlineStr">
        <is>
          <t>defences</t>
        </is>
      </c>
      <c r="P6" t="n">
        <v>3.5</v>
      </c>
      <c r="Q6" t="inlineStr">
        <is>
          <t>Assets/MachineBrigade/Resources/Data/balance.json: bigAttacks[6]</t>
        </is>
      </c>
      <c r="R6" t="inlineStr">
        <is>
          <t>{"id":"carrier_heavy_bomb","icon":"bomb","warn":3.5,"cooldown":45,"aim":"group","reach":40,"target":"defences","exposed":1.3,"halt":true,"strikes":[{"shape":"missile","parts":["bomb_bay"],"count":1,"damage":1600,"type":"HighExplosive","pen":3,"structure":2,"radius":16,"weapon":"bomber_payload","hp":250,"flight":3,"targets":1}]}</t>
        </is>
      </c>
    </row>
    <row r="7">
      <c r="A7" t="inlineStr">
        <is>
          <t>daedalus_mass_drop</t>
        </is>
      </c>
      <c r="B7" t="inlineStr">
        <is>
          <t>daedalus</t>
        </is>
      </c>
      <c r="C7" t="inlineStr">
        <is>
          <t>group</t>
        </is>
      </c>
      <c r="D7" t="n">
        <v>50</v>
      </c>
      <c r="I7" t="inlineStr">
        <is>
          <t>reinforce</t>
        </is>
      </c>
      <c r="O7" t="inlineStr">
        <is>
          <t>packed</t>
        </is>
      </c>
      <c r="P7" t="n">
        <v>4</v>
      </c>
      <c r="Q7" t="inlineStr">
        <is>
          <t>Assets/MachineBrigade/Resources/Data/balance.json: bigAttacks[10]</t>
        </is>
      </c>
      <c r="R7" t="inlineStr">
        <is>
          <t>{"id":"daedalus_mass_drop","icon":"reinforce","warn":4,"cooldown":50,"aim":"group","target":"packed","strikes":[{"shape":"circle","parts":["pod_bay_1","pod_bay_2","pod_bay_3"],"count":8,"cut":0.5,"damage":600,"type":"Kinetic","pen":4,"top":true,"radius":6,"falloff":0.3,"area":12,"duration":1.5,"seats":1,"max":8,"units":["main_battle_tank","ifv","heavy_tank","armored_car","main_battle_tank","ifv","tank_destroyer"]}]}</t>
        </is>
      </c>
    </row>
    <row r="8">
      <c r="A8" t="inlineStr">
        <is>
          <t>doomsday_missile</t>
        </is>
      </c>
      <c r="B8" t="inlineStr">
        <is>
          <t>nuke_train</t>
        </is>
      </c>
      <c r="C8" t="inlineStr">
        <is>
          <t>hq</t>
        </is>
      </c>
      <c r="D8" t="n">
        <v>50</v>
      </c>
      <c r="I8" t="inlineStr">
        <is>
          <t>ballistic</t>
        </is>
      </c>
      <c r="O8" t="inlineStr">
        <is>
          <t>base</t>
        </is>
      </c>
      <c r="P8" t="n">
        <v>4</v>
      </c>
      <c r="Q8" t="inlineStr">
        <is>
          <t>Assets/MachineBrigade/Resources/Data/balance.json: bigAttacks[1]</t>
        </is>
      </c>
      <c r="R8" t="inlineStr">
        <is>
          <t>{"id":"doomsday_missile","icon":"ballistic","warn":4,"cooldown":50,"aim":"hq","target":"base","strikes":[{"shape":"missile","parts":["erector"],"count":1,"damage":3500,"type":"HighExplosive","pen":2,"thermo":true,"radius":18,"falloff":0.3,"hp":600,"flight":6,"weapon":"ballistic_missile"}]}</t>
        </is>
      </c>
    </row>
    <row r="9">
      <c r="A9" t="inlineStr">
        <is>
          <t>fortress_203_barrage</t>
        </is>
      </c>
      <c r="B9" t="inlineStr">
        <is>
          <t>mobile_fortress</t>
        </is>
      </c>
      <c r="C9" t="inlineStr">
        <is>
          <t>group</t>
        </is>
      </c>
      <c r="D9" t="n">
        <v>50</v>
      </c>
      <c r="I9" t="inlineStr">
        <is>
          <t>artillery</t>
        </is>
      </c>
      <c r="M9" t="n">
        <v>70</v>
      </c>
      <c r="O9" t="inlineStr">
        <is>
          <t>mixed</t>
        </is>
      </c>
      <c r="P9" t="n">
        <v>4</v>
      </c>
      <c r="Q9" t="inlineStr">
        <is>
          <t>Assets/MachineBrigade/Resources/Data/balance.json: bigAttacks[2]</t>
        </is>
      </c>
      <c r="R9" t="inlineStr">
        <is>
          <t>{"id":"fortress_203_barrage","icon":"artillery","warn":4,"cooldown":50,"aim":"group","reach":70,"target":"mixed","strikes":[{"shape":"circle","parts":["howitzer","howitzer_2"],"perPart":2,"damage":900,"type":"HighExplosive","pen":4,"radius":10,"area":14,"duration":2.4,"weapon":"boss_howitzer"}]}</t>
        </is>
      </c>
    </row>
    <row r="10">
      <c r="A10" t="inlineStr">
        <is>
          <t>hyperion_sun_beam</t>
        </is>
      </c>
      <c r="B10" t="inlineStr">
        <is>
          <t>hyperion</t>
        </is>
      </c>
      <c r="C10" t="inlineStr">
        <is>
          <t>group</t>
        </is>
      </c>
      <c r="D10" t="n">
        <v>50</v>
      </c>
      <c r="I10" t="inlineStr">
        <is>
          <t>ballistic</t>
        </is>
      </c>
      <c r="O10" t="inlineStr">
        <is>
          <t>packed</t>
        </is>
      </c>
      <c r="P10" t="n">
        <v>4</v>
      </c>
      <c r="Q10" t="inlineStr">
        <is>
          <t>Assets/MachineBrigade/Resources/Data/balance.json: bigAttacks[14]</t>
        </is>
      </c>
      <c r="R10" t="inlineStr">
        <is>
          <t>{"id":"hyperion_sun_beam","icon":"ballistic","warn":4,"cooldown":50,"aim":"group","target":"packed","strikes":[{"shape":"strip","parts":["main_laser"],"count":4,"damage":500,"type":"Energy","pen":4,"top":true,"radius":3,"length":70,"width":6,"axis":"toward","duration":4}]}</t>
        </is>
      </c>
    </row>
    <row r="11">
      <c r="A11" t="inlineStr">
        <is>
          <t>ixion_crush_charge</t>
        </is>
      </c>
      <c r="B11" t="inlineStr">
        <is>
          <t>ixion</t>
        </is>
      </c>
      <c r="C11" t="inlineStr">
        <is>
          <t>group</t>
        </is>
      </c>
      <c r="D11" t="n">
        <v>45</v>
      </c>
      <c r="F11" t="n">
        <v>6</v>
      </c>
      <c r="I11" t="inlineStr">
        <is>
          <t>barrage</t>
        </is>
      </c>
      <c r="M11" t="n">
        <v>90</v>
      </c>
      <c r="O11" t="inlineStr">
        <is>
          <t>packed</t>
        </is>
      </c>
      <c r="P11" t="n">
        <v>2</v>
      </c>
      <c r="Q11" t="inlineStr">
        <is>
          <t>Assets/MachineBrigade/Resources/Data/balance.json: bigAttacks[4]</t>
        </is>
      </c>
      <c r="R11" t="inlineStr">
        <is>
          <t>{"id":"ixion_crush_charge","icon":"barrage","warn":2,"cooldown":45,"first":6,"aim":"group","reach":90,"target":"packed","strikes":[{"shape":"charge","parts":["wheel_l","wheel_r"],"cut":0,"length":60,"width":10,"duration":4,"damage":900,"type":"Kinetic","pen":4,"stun":1}]}</t>
        </is>
      </c>
    </row>
    <row r="12">
      <c r="A12" t="inlineStr">
        <is>
          <t>kraken_air_raid</t>
        </is>
      </c>
      <c r="B12" t="inlineStr">
        <is>
          <t>kraken</t>
        </is>
      </c>
      <c r="C12" t="inlineStr">
        <is>
          <t>group</t>
        </is>
      </c>
      <c r="D12" t="n">
        <v>50</v>
      </c>
      <c r="I12" t="inlineStr">
        <is>
          <t>bomb</t>
        </is>
      </c>
      <c r="M12" t="n">
        <v>70</v>
      </c>
      <c r="O12" t="inlineStr">
        <is>
          <t>mixed</t>
        </is>
      </c>
      <c r="P12" t="n">
        <v>4</v>
      </c>
      <c r="Q12" t="inlineStr">
        <is>
          <t>Assets/MachineBrigade/Resources/Data/balance.json: bigAttacks[12]</t>
        </is>
      </c>
      <c r="R12" t="inlineStr">
        <is>
          <t>{"id":"kraken_air_raid","icon":"bomb","warn":4,"cooldown":50,"aim":"group","reach":70,"target":"mixed","strikes":[{"shape":"strip","parts":["flight_deck"],"count":12,"damage":400,"type":"HighExplosive","pen":2,"radius":9,"length":90,"width":14,"axis":"heading","duration":3}]}</t>
        </is>
      </c>
    </row>
    <row r="13">
      <c r="A13" t="inlineStr">
        <is>
          <t>leviathan_volley</t>
        </is>
      </c>
      <c r="B13" t="inlineStr">
        <is>
          <t>leviathan</t>
        </is>
      </c>
      <c r="C13" t="inlineStr">
        <is>
          <t>base</t>
        </is>
      </c>
      <c r="D13" t="n">
        <v>50</v>
      </c>
      <c r="H13" t="inlineStr">
        <is>
          <t>cruise</t>
        </is>
      </c>
      <c r="I13" t="inlineStr">
        <is>
          <t>artillery</t>
        </is>
      </c>
      <c r="O13" t="inlineStr">
        <is>
          <t>base</t>
        </is>
      </c>
      <c r="P13" t="n">
        <v>4</v>
      </c>
      <c r="Q13" t="inlineStr">
        <is>
          <t>Assets/MachineBrigade/Resources/Data/balance.json: bigAttacks[8]</t>
        </is>
      </c>
      <c r="R13" t="inlineStr">
        <is>
          <t>{"id":"leviathan_volley","icon":"artillery","warn":4,"cooldown":50,"aim":"base","target":"base","hold":["cruise"],"strikes":[{"shape":"strip","parts":["turret_fore","turret_super","turret_aft"],"perPart":3,"damage":950,"type":"HighExplosive","pen":4,"structure":1.5,"radius":12,"falloff":0.35,"duration":2.4,"length":60,"width":12,"axis":"toward"}]}</t>
        </is>
      </c>
    </row>
    <row r="14">
      <c r="A14" t="inlineStr">
        <is>
          <t>moloch_factory_dump</t>
        </is>
      </c>
      <c r="B14" t="inlineStr">
        <is>
          <t>moloch</t>
        </is>
      </c>
      <c r="C14" t="inlineStr">
        <is>
          <t>group</t>
        </is>
      </c>
      <c r="D14" t="n">
        <v>50</v>
      </c>
      <c r="I14" t="inlineStr">
        <is>
          <t>reinforce</t>
        </is>
      </c>
      <c r="M14" t="n">
        <v>90</v>
      </c>
      <c r="O14" t="inlineStr">
        <is>
          <t>army</t>
        </is>
      </c>
      <c r="P14" t="n">
        <v>4</v>
      </c>
      <c r="Q14" t="inlineStr">
        <is>
          <t>Assets/MachineBrigade/Resources/Data/balance.json: bigAttacks[9]</t>
        </is>
      </c>
      <c r="R14" t="inlineStr">
        <is>
          <t>{"id":"moloch_factory_dump","icon":"reinforce","warn":4,"cooldown":50,"aim":"group","reach":90,"target":"army","strikes":[{"shape":"drop","parts":["door_l","door_r"],"perPart":3,"max":6,"units":["main_battle_tank","ifv","light_tank","main_battle_tank","ifv","armored_car"],"at":[0,-16]},{"shape":"circle","count":8,"damage":350,"type":"HighExplosive","pen":2,"radius":6,"area":12,"duration":3,"weapon":"gun_152_he"}]}</t>
        </is>
      </c>
    </row>
    <row r="15">
      <c r="A15" t="inlineStr">
        <is>
          <t>monster_800_shell</t>
        </is>
      </c>
      <c r="B15" t="inlineStr">
        <is>
          <t>monster</t>
        </is>
      </c>
      <c r="C15" t="inlineStr">
        <is>
          <t>group</t>
        </is>
      </c>
      <c r="D15" t="n">
        <v>50</v>
      </c>
      <c r="I15" t="inlineStr">
        <is>
          <t>mortar</t>
        </is>
      </c>
      <c r="M15" t="n">
        <v>90</v>
      </c>
      <c r="O15" t="inlineStr">
        <is>
          <t>defences</t>
        </is>
      </c>
      <c r="P15" t="n">
        <v>4</v>
      </c>
      <c r="Q15" t="inlineStr">
        <is>
          <t>Assets/MachineBrigade/Resources/Data/balance.json: bigAttacks[13]</t>
        </is>
      </c>
      <c r="R15" t="inlineStr">
        <is>
          <t>{"id":"monster_800_shell","icon":"mortar","warn":4,"cooldown":50,"aim":"group","reach":90,"target":"defences","strikes":[{"shape":"circle","parts":["mortar"],"count":1,"damage":4000,"type":"HighExplosive","pen":4,"structure":2,"radius":20,"weapon":"boss_mortar"}]}</t>
        </is>
      </c>
    </row>
    <row r="16">
      <c r="A16" t="inlineStr">
        <is>
          <t>typhon_underwater_launch</t>
        </is>
      </c>
      <c r="B16" t="inlineStr">
        <is>
          <t>typhon</t>
        </is>
      </c>
      <c r="C16" t="inlineStr">
        <is>
          <t>base</t>
        </is>
      </c>
      <c r="D16" t="n">
        <v>50</v>
      </c>
      <c r="H16" t="inlineStr">
        <is>
          <t>cruise</t>
        </is>
      </c>
      <c r="I16" t="inlineStr">
        <is>
          <t>missile</t>
        </is>
      </c>
      <c r="N16" t="b">
        <v>1</v>
      </c>
      <c r="O16" t="inlineStr">
        <is>
          <t>base</t>
        </is>
      </c>
      <c r="P16" t="n">
        <v>4</v>
      </c>
      <c r="Q16" t="inlineStr">
        <is>
          <t>Assets/MachineBrigade/Resources/Data/balance.json: bigAttacks[11]</t>
        </is>
      </c>
      <c r="R16" t="inlineStr">
        <is>
          <t>{"id":"typhon_underwater_launch","icon":"missile","warn":4,"cooldown":50,"aim":"base","target":"base","surface":true,"hold":["cruise"],"strikes":[{"shape":"missile","parts":["doors_l","doors_r"],"count":6,"damage":700,"type":"HighExplosive","pen":3,"radius":9,"structure":2,"hp":250,"flight":9,"targets":3,"weapon":"leviathan_cruise"}]}</t>
        </is>
      </c>
    </row>
  </sheetData>
  <autoFilter ref="A1:R16"/>
  <pageMargins left="0.75" right="0.75" top="1" bottom="1" header="0.5" footer="0.5"/>
</worksheet>
</file>

<file path=xl/worksheets/sheet1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25" customWidth="1" min="2" max="2"/>
    <col width="8" customWidth="1" min="3" max="3"/>
    <col width="18" customWidth="1" min="4" max="4"/>
    <col width="8" customWidth="1" min="5" max="5"/>
    <col width="8" customWidth="1" min="6" max="6"/>
    <col width="8" customWidth="1" min="7" max="7"/>
    <col width="8" customWidth="1" min="8" max="8"/>
    <col width="8" customWidth="1" min="9" max="9"/>
    <col width="8" customWidth="1" min="10" max="10"/>
    <col width="12" customWidth="1" min="11" max="11"/>
    <col width="9" customWidth="1" min="12" max="12"/>
    <col width="8" customWidth="1" min="13" max="13"/>
    <col width="8" customWidth="1" min="14" max="14"/>
    <col width="10" customWidth="1" min="15" max="15"/>
    <col width="8" customWidth="1" min="16" max="16"/>
    <col width="36" customWidth="1" min="17" max="17"/>
    <col width="8" customWidth="1" min="18" max="18"/>
    <col width="10" customWidth="1" min="19" max="19"/>
    <col width="10" customWidth="1" min="20" max="20"/>
    <col width="8" customWidth="1" min="21" max="21"/>
    <col width="8" customWidth="1" min="22" max="22"/>
    <col width="8" customWidth="1" min="23" max="23"/>
    <col width="8" customWidth="1" min="24" max="24"/>
    <col width="11" customWidth="1" min="25" max="25"/>
    <col width="8" customWidth="1" min="26" max="26"/>
    <col width="9" customWidth="1" min="27" max="27"/>
    <col width="8" customWidth="1" min="28" max="28"/>
    <col width="8" customWidth="1" min="29" max="29"/>
    <col width="14" customWidth="1" min="30" max="30"/>
    <col width="60" customWidth="1" min="31" max="31"/>
    <col width="9" customWidth="1" min="32" max="32"/>
    <col width="60" customWidth="1" min="33" max="33"/>
    <col width="60" customWidth="1" min="34" max="34"/>
  </cols>
  <sheetData>
    <row r="1">
      <c r="A1" s="1" t="inlineStr">
        <is>
          <t>id</t>
        </is>
      </c>
      <c r="B1" s="1" t="inlineStr">
        <is>
          <t>boss_sieu_vu_khi_id</t>
        </is>
      </c>
      <c r="C1" s="1" t="inlineStr">
        <is>
          <t>thu_tu</t>
        </is>
      </c>
      <c r="D1" s="1" t="inlineStr">
        <is>
          <t>weapon</t>
        </is>
      </c>
      <c r="E1" s="1" t="inlineStr">
        <is>
          <t>area_m</t>
        </is>
      </c>
      <c r="F1" s="1" t="inlineStr">
        <is>
          <t>at</t>
        </is>
      </c>
      <c r="G1" s="1" t="inlineStr">
        <is>
          <t>axis</t>
        </is>
      </c>
      <c r="H1" s="1" t="inlineStr">
        <is>
          <t>count</t>
        </is>
      </c>
      <c r="I1" s="1" t="inlineStr">
        <is>
          <t>cut</t>
        </is>
      </c>
      <c r="J1" s="1" t="inlineStr">
        <is>
          <t>damage</t>
        </is>
      </c>
      <c r="K1" s="1" t="inlineStr">
        <is>
          <t>duration_s</t>
        </is>
      </c>
      <c r="L1" s="1" t="inlineStr">
        <is>
          <t>falloff</t>
        </is>
      </c>
      <c r="M1" s="1" t="inlineStr">
        <is>
          <t>flight</t>
        </is>
      </c>
      <c r="N1" s="1" t="inlineStr">
        <is>
          <t>hp</t>
        </is>
      </c>
      <c r="O1" s="1" t="inlineStr">
        <is>
          <t>length_m</t>
        </is>
      </c>
      <c r="P1" s="1" t="inlineStr">
        <is>
          <t>max</t>
        </is>
      </c>
      <c r="Q1" s="1" t="inlineStr">
        <is>
          <t>parts</t>
        </is>
      </c>
      <c r="R1" s="1" t="inlineStr">
        <is>
          <t>pen</t>
        </is>
      </c>
      <c r="S1" s="1" t="inlineStr">
        <is>
          <t>per_part</t>
        </is>
      </c>
      <c r="T1" s="1" t="inlineStr">
        <is>
          <t>radius_m</t>
        </is>
      </c>
      <c r="U1" s="1" t="inlineStr">
        <is>
          <t>rings</t>
        </is>
      </c>
      <c r="V1" s="1" t="inlineStr">
        <is>
          <t>salvo</t>
        </is>
      </c>
      <c r="W1" s="1" t="inlineStr">
        <is>
          <t>seats</t>
        </is>
      </c>
      <c r="X1" s="1" t="inlineStr">
        <is>
          <t>shape</t>
        </is>
      </c>
      <c r="Y1" s="1" t="inlineStr">
        <is>
          <t>structure</t>
        </is>
      </c>
      <c r="Z1" s="1" t="inlineStr">
        <is>
          <t>stun_s</t>
        </is>
      </c>
      <c r="AA1" s="1" t="inlineStr">
        <is>
          <t>targets</t>
        </is>
      </c>
      <c r="AB1" s="1" t="inlineStr">
        <is>
          <t>thermo</t>
        </is>
      </c>
      <c r="AC1" s="1" t="inlineStr">
        <is>
          <t>top</t>
        </is>
      </c>
      <c r="AD1" s="1" t="inlineStr">
        <is>
          <t>type</t>
        </is>
      </c>
      <c r="AE1" s="1" t="inlineStr">
        <is>
          <t>units</t>
        </is>
      </c>
      <c r="AF1" s="1" t="inlineStr">
        <is>
          <t>width_m</t>
        </is>
      </c>
      <c r="AG1" s="1" t="inlineStr">
        <is>
          <t>nguon</t>
        </is>
      </c>
      <c r="AH1" s="1" t="inlineStr">
        <is>
          <t>raw_json</t>
        </is>
      </c>
    </row>
    <row r="2">
      <c r="A2" t="inlineStr">
        <is>
          <t>airship_carpet/0</t>
        </is>
      </c>
      <c r="B2" t="inlineStr">
        <is>
          <t>airship_carpet</t>
        </is>
      </c>
      <c r="C2" t="n">
        <v>0</v>
      </c>
      <c r="G2" t="inlineStr">
        <is>
          <t>heading</t>
        </is>
      </c>
      <c r="H2" t="n">
        <v>16</v>
      </c>
      <c r="J2" t="n">
        <v>400</v>
      </c>
      <c r="K2" t="n">
        <v>3</v>
      </c>
      <c r="O2" t="n">
        <v>80</v>
      </c>
      <c r="Q2" t="inlineStr">
        <is>
          <t>bomb_bay</t>
        </is>
      </c>
      <c r="R2" t="n">
        <v>1</v>
      </c>
      <c r="T2" t="n">
        <v>7</v>
      </c>
      <c r="X2" t="inlineStr">
        <is>
          <t>strip</t>
        </is>
      </c>
      <c r="AD2" t="inlineStr">
        <is>
          <t>HighExplosive</t>
        </is>
      </c>
      <c r="AF2" t="n">
        <v>12</v>
      </c>
      <c r="AG2" t="inlineStr">
        <is>
          <t>Assets/MachineBrigade/Resources/Data/balance.json: bigAttacks[7].strikes[0]</t>
        </is>
      </c>
      <c r="AH2" t="inlineStr">
        <is>
          <t>{"shape":"strip","parts":["bomb_bay"],"count":16,"damage":400,"type":"HighExplosive","pen":1,"radius":7,"length":80,"width":12,"axis":"heading","duration":3}</t>
        </is>
      </c>
    </row>
    <row r="3">
      <c r="A3" t="inlineStr">
        <is>
          <t>bastion_420_shell/0</t>
        </is>
      </c>
      <c r="B3" t="inlineStr">
        <is>
          <t>bastion_420_shell</t>
        </is>
      </c>
      <c r="C3" t="n">
        <v>0</v>
      </c>
      <c r="D3" t="inlineStr">
        <is>
          <t>boss_mortar</t>
        </is>
      </c>
      <c r="H3" t="n">
        <v>1</v>
      </c>
      <c r="J3" t="n">
        <v>2000</v>
      </c>
      <c r="Q3" t="inlineStr">
        <is>
          <t>mortar</t>
        </is>
      </c>
      <c r="R3" t="n">
        <v>4</v>
      </c>
      <c r="T3" t="n">
        <v>10</v>
      </c>
      <c r="X3" t="inlineStr">
        <is>
          <t>circle</t>
        </is>
      </c>
      <c r="Y3" t="n">
        <v>2</v>
      </c>
      <c r="AD3" t="inlineStr">
        <is>
          <t>HighExplosive</t>
        </is>
      </c>
      <c r="AG3" t="inlineStr">
        <is>
          <t>Assets/MachineBrigade/Resources/Data/balance.json: bigAttacks[5].strikes[0]</t>
        </is>
      </c>
      <c r="AH3" t="inlineStr">
        <is>
          <t>{"shape":"circle","parts":["mortar"],"count":1,"damage":2000,"type":"HighExplosive","pen":4,"structure":2,"radius":10,"weapon":"boss_mortar"}</t>
        </is>
      </c>
    </row>
    <row r="4">
      <c r="A4" t="inlineStr">
        <is>
          <t>behemoth_barrage/0</t>
        </is>
      </c>
      <c r="B4" t="inlineStr">
        <is>
          <t>behemoth_barrage</t>
        </is>
      </c>
      <c r="C4" t="n">
        <v>0</v>
      </c>
      <c r="E4" t="n">
        <v>14</v>
      </c>
      <c r="H4" t="n">
        <v>6</v>
      </c>
      <c r="J4" t="n">
        <v>600</v>
      </c>
      <c r="K4" t="n">
        <v>2.4</v>
      </c>
      <c r="Q4" t="inlineStr">
        <is>
          <t>main_gun</t>
        </is>
      </c>
      <c r="R4" t="n">
        <v>2</v>
      </c>
      <c r="T4" t="n">
        <v>8.5</v>
      </c>
      <c r="U4" t="b">
        <v>1</v>
      </c>
      <c r="V4" t="n">
        <v>2</v>
      </c>
      <c r="X4" t="inlineStr">
        <is>
          <t>circle</t>
        </is>
      </c>
      <c r="AD4" t="inlineStr">
        <is>
          <t>HighExplosive</t>
        </is>
      </c>
      <c r="AG4" t="inlineStr">
        <is>
          <t>Assets/MachineBrigade/Resources/Data/balance.json: bigAttacks[0].strikes[0]</t>
        </is>
      </c>
      <c r="AH4" t="inlineStr">
        <is>
          <t>{"shape":"circle","parts":["main_gun"],"count":6,"salvo":2,"damage":600,"type":"HighExplosive","pen":2,"radius":8.5,"area":14,"duration":2.4,"rings":true}</t>
        </is>
      </c>
    </row>
    <row r="5">
      <c r="A5" t="inlineStr">
        <is>
          <t>bug_rod_rain/0</t>
        </is>
      </c>
      <c r="B5" t="inlineStr">
        <is>
          <t>bug_rod_rain</t>
        </is>
      </c>
      <c r="C5" t="n">
        <v>0</v>
      </c>
      <c r="H5" t="n">
        <v>7</v>
      </c>
      <c r="J5" t="n">
        <v>1800</v>
      </c>
      <c r="L5" t="n">
        <v>0.3</v>
      </c>
      <c r="Q5" t="inlineStr">
        <is>
          <t>uplink</t>
        </is>
      </c>
      <c r="R5" t="n">
        <v>4</v>
      </c>
      <c r="T5" t="n">
        <v>7</v>
      </c>
      <c r="X5" t="inlineStr">
        <is>
          <t>rods</t>
        </is>
      </c>
      <c r="AC5" t="b">
        <v>1</v>
      </c>
      <c r="AD5" t="inlineStr">
        <is>
          <t>Kinetic</t>
        </is>
      </c>
      <c r="AG5" t="inlineStr">
        <is>
          <t>Assets/MachineBrigade/Resources/Data/balance.json: bigAttacks[3].strikes[0]</t>
        </is>
      </c>
      <c r="AH5" t="inlineStr">
        <is>
          <t>{"shape":"rods","parts":["uplink"],"count":7,"damage":1800,"type":"Kinetic","pen":4,"top":true,"radius":7,"falloff":0.3}</t>
        </is>
      </c>
    </row>
    <row r="6">
      <c r="A6" t="inlineStr">
        <is>
          <t>carrier_heavy_bomb/0</t>
        </is>
      </c>
      <c r="B6" t="inlineStr">
        <is>
          <t>carrier_heavy_bomb</t>
        </is>
      </c>
      <c r="C6" t="n">
        <v>0</v>
      </c>
      <c r="D6" t="inlineStr">
        <is>
          <t>bomber_payload</t>
        </is>
      </c>
      <c r="H6" t="n">
        <v>1</v>
      </c>
      <c r="J6" t="n">
        <v>1600</v>
      </c>
      <c r="M6" t="n">
        <v>3</v>
      </c>
      <c r="N6" t="n">
        <v>250</v>
      </c>
      <c r="Q6" t="inlineStr">
        <is>
          <t>bomb_bay</t>
        </is>
      </c>
      <c r="R6" t="n">
        <v>3</v>
      </c>
      <c r="T6" t="n">
        <v>16</v>
      </c>
      <c r="X6" t="inlineStr">
        <is>
          <t>missile</t>
        </is>
      </c>
      <c r="Y6" t="n">
        <v>2</v>
      </c>
      <c r="AA6" t="n">
        <v>1</v>
      </c>
      <c r="AD6" t="inlineStr">
        <is>
          <t>HighExplosive</t>
        </is>
      </c>
      <c r="AG6" t="inlineStr">
        <is>
          <t>Assets/MachineBrigade/Resources/Data/balance.json: bigAttacks[6].strikes[0]</t>
        </is>
      </c>
      <c r="AH6" t="inlineStr">
        <is>
          <t>{"shape":"missile","parts":["bomb_bay"],"count":1,"damage":1600,"type":"HighExplosive","pen":3,"structure":2,"radius":16,"weapon":"bomber_payload","hp":250,"flight":3,"targets":1}</t>
        </is>
      </c>
    </row>
    <row r="7">
      <c r="A7" t="inlineStr">
        <is>
          <t>daedalus_mass_drop/0</t>
        </is>
      </c>
      <c r="B7" t="inlineStr">
        <is>
          <t>daedalus_mass_drop</t>
        </is>
      </c>
      <c r="C7" t="n">
        <v>0</v>
      </c>
      <c r="E7" t="n">
        <v>12</v>
      </c>
      <c r="H7" t="n">
        <v>8</v>
      </c>
      <c r="I7" t="n">
        <v>0.5</v>
      </c>
      <c r="J7" t="n">
        <v>600</v>
      </c>
      <c r="K7" t="n">
        <v>1.5</v>
      </c>
      <c r="L7" t="n">
        <v>0.3</v>
      </c>
      <c r="P7" t="n">
        <v>8</v>
      </c>
      <c r="Q7" t="inlineStr">
        <is>
          <t>pod_bay_1;pod_bay_2;pod_bay_3</t>
        </is>
      </c>
      <c r="R7" t="n">
        <v>4</v>
      </c>
      <c r="T7" t="n">
        <v>6</v>
      </c>
      <c r="W7" t="n">
        <v>1</v>
      </c>
      <c r="X7" t="inlineStr">
        <is>
          <t>circle</t>
        </is>
      </c>
      <c r="AC7" t="b">
        <v>1</v>
      </c>
      <c r="AD7" t="inlineStr">
        <is>
          <t>Kinetic</t>
        </is>
      </c>
      <c r="AE7" t="inlineStr">
        <is>
          <t>main_battle_tank;ifv;heavy_tank;armored_car;main_battle_tank;ifv;tank_destroyer</t>
        </is>
      </c>
      <c r="AG7" t="inlineStr">
        <is>
          <t>Assets/MachineBrigade/Resources/Data/balance.json: bigAttacks[10].strikes[0]</t>
        </is>
      </c>
      <c r="AH7" t="inlineStr">
        <is>
          <t>{"shape":"circle","parts":["pod_bay_1","pod_bay_2","pod_bay_3"],"count":8,"cut":0.5,"damage":600,"type":"Kinetic","pen":4,"top":true,"radius":6,"falloff":0.3,"area":12,"duration":1.5,"seats":1,"max":8,"units":["main_battle_tank","ifv","heavy_tank","armored_car","main_battle_tank","ifv","tank_destroyer"]}</t>
        </is>
      </c>
    </row>
    <row r="8">
      <c r="A8" t="inlineStr">
        <is>
          <t>doomsday_missile/0</t>
        </is>
      </c>
      <c r="B8" t="inlineStr">
        <is>
          <t>doomsday_missile</t>
        </is>
      </c>
      <c r="C8" t="n">
        <v>0</v>
      </c>
      <c r="D8" t="inlineStr">
        <is>
          <t>ballistic_missile</t>
        </is>
      </c>
      <c r="H8" t="n">
        <v>1</v>
      </c>
      <c r="J8" t="n">
        <v>3500</v>
      </c>
      <c r="L8" t="n">
        <v>0.3</v>
      </c>
      <c r="M8" t="n">
        <v>6</v>
      </c>
      <c r="N8" t="n">
        <v>600</v>
      </c>
      <c r="Q8" t="inlineStr">
        <is>
          <t>erector</t>
        </is>
      </c>
      <c r="R8" t="n">
        <v>2</v>
      </c>
      <c r="T8" t="n">
        <v>18</v>
      </c>
      <c r="X8" t="inlineStr">
        <is>
          <t>missile</t>
        </is>
      </c>
      <c r="AB8" t="b">
        <v>1</v>
      </c>
      <c r="AD8" t="inlineStr">
        <is>
          <t>HighExplosive</t>
        </is>
      </c>
      <c r="AG8" t="inlineStr">
        <is>
          <t>Assets/MachineBrigade/Resources/Data/balance.json: bigAttacks[1].strikes[0]</t>
        </is>
      </c>
      <c r="AH8" t="inlineStr">
        <is>
          <t>{"shape":"missile","parts":["erector"],"count":1,"damage":3500,"type":"HighExplosive","pen":2,"thermo":true,"radius":18,"falloff":0.3,"hp":600,"flight":6,"weapon":"ballistic_missile"}</t>
        </is>
      </c>
    </row>
    <row r="9">
      <c r="A9" t="inlineStr">
        <is>
          <t>fortress_203_barrage/0</t>
        </is>
      </c>
      <c r="B9" t="inlineStr">
        <is>
          <t>fortress_203_barrage</t>
        </is>
      </c>
      <c r="C9" t="n">
        <v>0</v>
      </c>
      <c r="D9" t="inlineStr">
        <is>
          <t>boss_howitzer</t>
        </is>
      </c>
      <c r="E9" t="n">
        <v>14</v>
      </c>
      <c r="J9" t="n">
        <v>900</v>
      </c>
      <c r="K9" t="n">
        <v>2.4</v>
      </c>
      <c r="Q9" t="inlineStr">
        <is>
          <t>howitzer;howitzer_2</t>
        </is>
      </c>
      <c r="R9" t="n">
        <v>4</v>
      </c>
      <c r="S9" t="n">
        <v>2</v>
      </c>
      <c r="T9" t="n">
        <v>10</v>
      </c>
      <c r="X9" t="inlineStr">
        <is>
          <t>circle</t>
        </is>
      </c>
      <c r="AD9" t="inlineStr">
        <is>
          <t>HighExplosive</t>
        </is>
      </c>
      <c r="AG9" t="inlineStr">
        <is>
          <t>Assets/MachineBrigade/Resources/Data/balance.json: bigAttacks[2].strikes[0]</t>
        </is>
      </c>
      <c r="AH9" t="inlineStr">
        <is>
          <t>{"shape":"circle","parts":["howitzer","howitzer_2"],"perPart":2,"damage":900,"type":"HighExplosive","pen":4,"radius":10,"area":14,"duration":2.4,"weapon":"boss_howitzer"}</t>
        </is>
      </c>
    </row>
    <row r="10">
      <c r="A10" t="inlineStr">
        <is>
          <t>hyperion_sun_beam/0</t>
        </is>
      </c>
      <c r="B10" t="inlineStr">
        <is>
          <t>hyperion_sun_beam</t>
        </is>
      </c>
      <c r="C10" t="n">
        <v>0</v>
      </c>
      <c r="G10" t="inlineStr">
        <is>
          <t>toward</t>
        </is>
      </c>
      <c r="H10" t="n">
        <v>4</v>
      </c>
      <c r="J10" t="n">
        <v>500</v>
      </c>
      <c r="K10" t="n">
        <v>4</v>
      </c>
      <c r="O10" t="n">
        <v>70</v>
      </c>
      <c r="Q10" t="inlineStr">
        <is>
          <t>main_laser</t>
        </is>
      </c>
      <c r="R10" t="n">
        <v>4</v>
      </c>
      <c r="T10" t="n">
        <v>3</v>
      </c>
      <c r="X10" t="inlineStr">
        <is>
          <t>strip</t>
        </is>
      </c>
      <c r="AC10" t="b">
        <v>1</v>
      </c>
      <c r="AD10" t="inlineStr">
        <is>
          <t>Energy</t>
        </is>
      </c>
      <c r="AF10" t="n">
        <v>6</v>
      </c>
      <c r="AG10" t="inlineStr">
        <is>
          <t>Assets/MachineBrigade/Resources/Data/balance.json: bigAttacks[14].strikes[0]</t>
        </is>
      </c>
      <c r="AH10" t="inlineStr">
        <is>
          <t>{"shape":"strip","parts":["main_laser"],"count":4,"damage":500,"type":"Energy","pen":4,"top":true,"radius":3,"length":70,"width":6,"axis":"toward","duration":4}</t>
        </is>
      </c>
    </row>
    <row r="11">
      <c r="A11" t="inlineStr">
        <is>
          <t>ixion_crush_charge/0</t>
        </is>
      </c>
      <c r="B11" t="inlineStr">
        <is>
          <t>ixion_crush_charge</t>
        </is>
      </c>
      <c r="C11" t="n">
        <v>0</v>
      </c>
      <c r="I11" t="n">
        <v>0</v>
      </c>
      <c r="J11" t="n">
        <v>900</v>
      </c>
      <c r="K11" t="n">
        <v>4</v>
      </c>
      <c r="O11" t="n">
        <v>60</v>
      </c>
      <c r="Q11" t="inlineStr">
        <is>
          <t>wheel_l;wheel_r</t>
        </is>
      </c>
      <c r="R11" t="n">
        <v>4</v>
      </c>
      <c r="X11" t="inlineStr">
        <is>
          <t>charge</t>
        </is>
      </c>
      <c r="Z11" t="n">
        <v>1</v>
      </c>
      <c r="AD11" t="inlineStr">
        <is>
          <t>Kinetic</t>
        </is>
      </c>
      <c r="AF11" t="n">
        <v>10</v>
      </c>
      <c r="AG11" t="inlineStr">
        <is>
          <t>Assets/MachineBrigade/Resources/Data/balance.json: bigAttacks[4].strikes[0]</t>
        </is>
      </c>
      <c r="AH11" t="inlineStr">
        <is>
          <t>{"shape":"charge","parts":["wheel_l","wheel_r"],"cut":0,"length":60,"width":10,"duration":4,"damage":900,"type":"Kinetic","pen":4,"stun":1}</t>
        </is>
      </c>
    </row>
    <row r="12">
      <c r="A12" t="inlineStr">
        <is>
          <t>kraken_air_raid/0</t>
        </is>
      </c>
      <c r="B12" t="inlineStr">
        <is>
          <t>kraken_air_raid</t>
        </is>
      </c>
      <c r="C12" t="n">
        <v>0</v>
      </c>
      <c r="G12" t="inlineStr">
        <is>
          <t>heading</t>
        </is>
      </c>
      <c r="H12" t="n">
        <v>12</v>
      </c>
      <c r="J12" t="n">
        <v>400</v>
      </c>
      <c r="K12" t="n">
        <v>3</v>
      </c>
      <c r="O12" t="n">
        <v>90</v>
      </c>
      <c r="Q12" t="inlineStr">
        <is>
          <t>flight_deck</t>
        </is>
      </c>
      <c r="R12" t="n">
        <v>2</v>
      </c>
      <c r="T12" t="n">
        <v>9</v>
      </c>
      <c r="X12" t="inlineStr">
        <is>
          <t>strip</t>
        </is>
      </c>
      <c r="AD12" t="inlineStr">
        <is>
          <t>HighExplosive</t>
        </is>
      </c>
      <c r="AF12" t="n">
        <v>14</v>
      </c>
      <c r="AG12" t="inlineStr">
        <is>
          <t>Assets/MachineBrigade/Resources/Data/balance.json: bigAttacks[12].strikes[0]</t>
        </is>
      </c>
      <c r="AH12" t="inlineStr">
        <is>
          <t>{"shape":"strip","parts":["flight_deck"],"count":12,"damage":400,"type":"HighExplosive","pen":2,"radius":9,"length":90,"width":14,"axis":"heading","duration":3}</t>
        </is>
      </c>
    </row>
    <row r="13">
      <c r="A13" t="inlineStr">
        <is>
          <t>leviathan_volley/0</t>
        </is>
      </c>
      <c r="B13" t="inlineStr">
        <is>
          <t>leviathan_volley</t>
        </is>
      </c>
      <c r="C13" t="n">
        <v>0</v>
      </c>
      <c r="G13" t="inlineStr">
        <is>
          <t>toward</t>
        </is>
      </c>
      <c r="J13" t="n">
        <v>950</v>
      </c>
      <c r="K13" t="n">
        <v>2.4</v>
      </c>
      <c r="L13" t="n">
        <v>0.35</v>
      </c>
      <c r="O13" t="n">
        <v>60</v>
      </c>
      <c r="Q13" t="inlineStr">
        <is>
          <t>turret_fore;turret_super;turret_aft</t>
        </is>
      </c>
      <c r="R13" t="n">
        <v>4</v>
      </c>
      <c r="S13" t="n">
        <v>3</v>
      </c>
      <c r="T13" t="n">
        <v>12</v>
      </c>
      <c r="X13" t="inlineStr">
        <is>
          <t>strip</t>
        </is>
      </c>
      <c r="Y13" t="n">
        <v>1.5</v>
      </c>
      <c r="AD13" t="inlineStr">
        <is>
          <t>HighExplosive</t>
        </is>
      </c>
      <c r="AF13" t="n">
        <v>12</v>
      </c>
      <c r="AG13" t="inlineStr">
        <is>
          <t>Assets/MachineBrigade/Resources/Data/balance.json: bigAttacks[8].strikes[0]</t>
        </is>
      </c>
      <c r="AH13" t="inlineStr">
        <is>
          <t>{"shape":"strip","parts":["turret_fore","turret_super","turret_aft"],"perPart":3,"damage":950,"type":"HighExplosive","pen":4,"structure":1.5,"radius":12,"falloff":0.35,"duration":2.4,"length":60,"width":12,"axis":"toward"}</t>
        </is>
      </c>
    </row>
    <row r="14">
      <c r="A14" t="inlineStr">
        <is>
          <t>moloch_factory_dump/0</t>
        </is>
      </c>
      <c r="B14" t="inlineStr">
        <is>
          <t>moloch_factory_dump</t>
        </is>
      </c>
      <c r="C14" t="n">
        <v>0</v>
      </c>
      <c r="F14" t="inlineStr">
        <is>
          <t>0;-16</t>
        </is>
      </c>
      <c r="P14" t="n">
        <v>6</v>
      </c>
      <c r="Q14" t="inlineStr">
        <is>
          <t>door_l;door_r</t>
        </is>
      </c>
      <c r="S14" t="n">
        <v>3</v>
      </c>
      <c r="X14" t="inlineStr">
        <is>
          <t>drop</t>
        </is>
      </c>
      <c r="AE14" t="inlineStr">
        <is>
          <t>main_battle_tank;ifv;light_tank;main_battle_tank;ifv;armored_car</t>
        </is>
      </c>
      <c r="AG14" t="inlineStr">
        <is>
          <t>Assets/MachineBrigade/Resources/Data/balance.json: bigAttacks[9].strikes[0]</t>
        </is>
      </c>
      <c r="AH14" t="inlineStr">
        <is>
          <t>{"shape":"drop","parts":["door_l","door_r"],"perPart":3,"max":6,"units":["main_battle_tank","ifv","light_tank","main_battle_tank","ifv","armored_car"],"at":[0,-16]}</t>
        </is>
      </c>
    </row>
    <row r="15">
      <c r="A15" t="inlineStr">
        <is>
          <t>moloch_factory_dump/1</t>
        </is>
      </c>
      <c r="B15" t="inlineStr">
        <is>
          <t>moloch_factory_dump</t>
        </is>
      </c>
      <c r="C15" t="n">
        <v>1</v>
      </c>
      <c r="D15" t="inlineStr">
        <is>
          <t>gun_152_he</t>
        </is>
      </c>
      <c r="E15" t="n">
        <v>12</v>
      </c>
      <c r="H15" t="n">
        <v>8</v>
      </c>
      <c r="J15" t="n">
        <v>350</v>
      </c>
      <c r="K15" t="n">
        <v>3</v>
      </c>
      <c r="R15" t="n">
        <v>2</v>
      </c>
      <c r="T15" t="n">
        <v>6</v>
      </c>
      <c r="X15" t="inlineStr">
        <is>
          <t>circle</t>
        </is>
      </c>
      <c r="AD15" t="inlineStr">
        <is>
          <t>HighExplosive</t>
        </is>
      </c>
      <c r="AG15" t="inlineStr">
        <is>
          <t>Assets/MachineBrigade/Resources/Data/balance.json: bigAttacks[9].strikes[1]</t>
        </is>
      </c>
      <c r="AH15" t="inlineStr">
        <is>
          <t>{"shape":"circle","count":8,"damage":350,"type":"HighExplosive","pen":2,"radius":6,"area":12,"duration":3,"weapon":"gun_152_he"}</t>
        </is>
      </c>
    </row>
    <row r="16">
      <c r="A16" t="inlineStr">
        <is>
          <t>monster_800_shell/0</t>
        </is>
      </c>
      <c r="B16" t="inlineStr">
        <is>
          <t>monster_800_shell</t>
        </is>
      </c>
      <c r="C16" t="n">
        <v>0</v>
      </c>
      <c r="D16" t="inlineStr">
        <is>
          <t>boss_mortar</t>
        </is>
      </c>
      <c r="H16" t="n">
        <v>1</v>
      </c>
      <c r="J16" t="n">
        <v>4000</v>
      </c>
      <c r="Q16" t="inlineStr">
        <is>
          <t>mortar</t>
        </is>
      </c>
      <c r="R16" t="n">
        <v>4</v>
      </c>
      <c r="T16" t="n">
        <v>20</v>
      </c>
      <c r="X16" t="inlineStr">
        <is>
          <t>circle</t>
        </is>
      </c>
      <c r="Y16" t="n">
        <v>2</v>
      </c>
      <c r="AD16" t="inlineStr">
        <is>
          <t>HighExplosive</t>
        </is>
      </c>
      <c r="AG16" t="inlineStr">
        <is>
          <t>Assets/MachineBrigade/Resources/Data/balance.json: bigAttacks[13].strikes[0]</t>
        </is>
      </c>
      <c r="AH16" t="inlineStr">
        <is>
          <t>{"shape":"circle","parts":["mortar"],"count":1,"damage":4000,"type":"HighExplosive","pen":4,"structure":2,"radius":20,"weapon":"boss_mortar"}</t>
        </is>
      </c>
    </row>
    <row r="17">
      <c r="A17" t="inlineStr">
        <is>
          <t>typhon_underwater_launch/0</t>
        </is>
      </c>
      <c r="B17" t="inlineStr">
        <is>
          <t>typhon_underwater_launch</t>
        </is>
      </c>
      <c r="C17" t="n">
        <v>0</v>
      </c>
      <c r="D17" t="inlineStr">
        <is>
          <t>leviathan_cruise</t>
        </is>
      </c>
      <c r="H17" t="n">
        <v>6</v>
      </c>
      <c r="J17" t="n">
        <v>700</v>
      </c>
      <c r="M17" t="n">
        <v>9</v>
      </c>
      <c r="N17" t="n">
        <v>250</v>
      </c>
      <c r="Q17" t="inlineStr">
        <is>
          <t>doors_l;doors_r</t>
        </is>
      </c>
      <c r="R17" t="n">
        <v>3</v>
      </c>
      <c r="T17" t="n">
        <v>9</v>
      </c>
      <c r="X17" t="inlineStr">
        <is>
          <t>missile</t>
        </is>
      </c>
      <c r="Y17" t="n">
        <v>2</v>
      </c>
      <c r="AA17" t="n">
        <v>3</v>
      </c>
      <c r="AD17" t="inlineStr">
        <is>
          <t>HighExplosive</t>
        </is>
      </c>
      <c r="AG17" t="inlineStr">
        <is>
          <t>Assets/MachineBrigade/Resources/Data/balance.json: bigAttacks[11].strikes[0]</t>
        </is>
      </c>
      <c r="AH17" t="inlineStr">
        <is>
          <t>{"shape":"missile","parts":["doors_l","doors_r"],"count":6,"damage":700,"type":"HighExplosive","pen":3,"radius":9,"structure":2,"hp":250,"flight":9,"targets":3,"weapon":"leviathan_cruise"}</t>
        </is>
      </c>
    </row>
  </sheetData>
  <autoFilter ref="A1:AH17"/>
  <pageMargins left="0.75" right="0.75" top="1" bottom="1" header="0.5" footer="0.5"/>
</worksheet>
</file>

<file path=xl/worksheets/sheet1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15" customWidth="1" min="2" max="2"/>
    <col width="11" customWidth="1" min="3" max="3"/>
    <col width="12" customWidth="1" min="4" max="4"/>
    <col width="13" customWidth="1" min="5" max="5"/>
    <col width="8" customWidth="1" min="6" max="6"/>
    <col width="60" customWidth="1" min="7" max="7"/>
    <col width="10"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aaHit</t>
        </is>
      </c>
      <c r="B2" t="inlineStr">
        <is>
          <t>bigAttackRules</t>
        </is>
      </c>
      <c r="C2" t="inlineStr">
        <is>
          <t>aaHit</t>
        </is>
      </c>
      <c r="D2" t="n">
        <v>0.5</v>
      </c>
      <c r="F2" t="inlineStr"/>
      <c r="G2" t="inlineStr">
        <is>
          <t>Assets/MachineBrigade/Resources/Data/balance.json: bigAttackRules.aaHit</t>
        </is>
      </c>
      <c r="H2" t="inlineStr">
        <is>
          <t>0.5</t>
        </is>
      </c>
    </row>
    <row r="3">
      <c r="A3" t="inlineStr">
        <is>
          <t>difficulty.Easy.bossDamage</t>
        </is>
      </c>
      <c r="B3" t="inlineStr">
        <is>
          <t>bigAttackRules</t>
        </is>
      </c>
      <c r="C3" t="inlineStr">
        <is>
          <t>bossDamage</t>
        </is>
      </c>
      <c r="D3" t="n">
        <v>0.8</v>
      </c>
      <c r="F3" t="inlineStr"/>
      <c r="G3" t="inlineStr">
        <is>
          <t>Assets/MachineBrigade/Resources/Data/balance.json: bigAttackRules.difficulty.Easy.bossDamage</t>
        </is>
      </c>
      <c r="H3" t="inlineStr">
        <is>
          <t>0.8</t>
        </is>
      </c>
    </row>
    <row r="4">
      <c r="A4" t="inlineStr">
        <is>
          <t>difficulty.Easy.bossHp</t>
        </is>
      </c>
      <c r="B4" t="inlineStr">
        <is>
          <t>bigAttackRules</t>
        </is>
      </c>
      <c r="C4" t="inlineStr">
        <is>
          <t>bossHp</t>
        </is>
      </c>
      <c r="D4" t="n">
        <v>0.75</v>
      </c>
      <c r="F4" t="inlineStr"/>
      <c r="G4" t="inlineStr">
        <is>
          <t>Assets/MachineBrigade/Resources/Data/balance.json: bigAttackRules.difficulty.Easy.bossHp</t>
        </is>
      </c>
      <c r="H4" t="inlineStr">
        <is>
          <t>0.75</t>
        </is>
      </c>
    </row>
    <row r="5">
      <c r="A5" t="inlineStr">
        <is>
          <t>difficulty.Easy.cooldown</t>
        </is>
      </c>
      <c r="B5" t="inlineStr">
        <is>
          <t>bigAttackRules</t>
        </is>
      </c>
      <c r="C5" t="inlineStr">
        <is>
          <t>cooldown</t>
        </is>
      </c>
      <c r="D5" t="n">
        <v>1.2</v>
      </c>
      <c r="F5" t="inlineStr">
        <is>
          <t>s</t>
        </is>
      </c>
      <c r="G5" t="inlineStr">
        <is>
          <t>Assets/MachineBrigade/Resources/Data/balance.json: bigAttackRules.difficulty.Easy.cooldown</t>
        </is>
      </c>
      <c r="H5" t="inlineStr">
        <is>
          <t>1.2</t>
        </is>
      </c>
    </row>
    <row r="6">
      <c r="A6" t="inlineStr">
        <is>
          <t>difficulty.Easy.damage</t>
        </is>
      </c>
      <c r="B6" t="inlineStr">
        <is>
          <t>bigAttackRules</t>
        </is>
      </c>
      <c r="C6" t="inlineStr">
        <is>
          <t>damage</t>
        </is>
      </c>
      <c r="D6" t="n">
        <v>1</v>
      </c>
      <c r="F6" t="inlineStr"/>
      <c r="G6" t="inlineStr">
        <is>
          <t>Assets/MachineBrigade/Resources/Data/balance.json: bigAttackRules.difficulty.Easy.damage</t>
        </is>
      </c>
      <c r="H6" t="inlineStr">
        <is>
          <t>1</t>
        </is>
      </c>
    </row>
    <row r="7">
      <c r="A7" t="inlineStr">
        <is>
          <t>difficulty.Easy.warn</t>
        </is>
      </c>
      <c r="B7" t="inlineStr">
        <is>
          <t>bigAttackRules</t>
        </is>
      </c>
      <c r="C7" t="inlineStr">
        <is>
          <t>warn</t>
        </is>
      </c>
      <c r="D7" t="n">
        <v>1</v>
      </c>
      <c r="F7" t="inlineStr">
        <is>
          <t>s</t>
        </is>
      </c>
      <c r="G7" t="inlineStr">
        <is>
          <t>Assets/MachineBrigade/Resources/Data/balance.json: bigAttackRules.difficulty.Easy.warn</t>
        </is>
      </c>
      <c r="H7" t="inlineStr">
        <is>
          <t>1</t>
        </is>
      </c>
    </row>
    <row r="8">
      <c r="A8" t="inlineStr">
        <is>
          <t>difficulty.Hard.bossDamage</t>
        </is>
      </c>
      <c r="B8" t="inlineStr">
        <is>
          <t>bigAttackRules</t>
        </is>
      </c>
      <c r="C8" t="inlineStr">
        <is>
          <t>bossDamage</t>
        </is>
      </c>
      <c r="D8" t="n">
        <v>1.15</v>
      </c>
      <c r="F8" t="inlineStr"/>
      <c r="G8" t="inlineStr">
        <is>
          <t>Assets/MachineBrigade/Resources/Data/balance.json: bigAttackRules.difficulty.Hard.bossDamage</t>
        </is>
      </c>
      <c r="H8" t="inlineStr">
        <is>
          <t>1.15</t>
        </is>
      </c>
    </row>
    <row r="9">
      <c r="A9" t="inlineStr">
        <is>
          <t>difficulty.Hard.bossHp</t>
        </is>
      </c>
      <c r="B9" t="inlineStr">
        <is>
          <t>bigAttackRules</t>
        </is>
      </c>
      <c r="C9" t="inlineStr">
        <is>
          <t>bossHp</t>
        </is>
      </c>
      <c r="D9" t="n">
        <v>1.25</v>
      </c>
      <c r="F9" t="inlineStr"/>
      <c r="G9" t="inlineStr">
        <is>
          <t>Assets/MachineBrigade/Resources/Data/balance.json: bigAttackRules.difficulty.Hard.bossHp</t>
        </is>
      </c>
      <c r="H9" t="inlineStr">
        <is>
          <t>1.25</t>
        </is>
      </c>
    </row>
    <row r="10">
      <c r="A10" t="inlineStr">
        <is>
          <t>difficulty.Hard.cooldown</t>
        </is>
      </c>
      <c r="B10" t="inlineStr">
        <is>
          <t>bigAttackRules</t>
        </is>
      </c>
      <c r="C10" t="inlineStr">
        <is>
          <t>cooldown</t>
        </is>
      </c>
      <c r="D10" t="n">
        <v>0.9</v>
      </c>
      <c r="F10" t="inlineStr">
        <is>
          <t>s</t>
        </is>
      </c>
      <c r="G10" t="inlineStr">
        <is>
          <t>Assets/MachineBrigade/Resources/Data/balance.json: bigAttackRules.difficulty.Hard.cooldown</t>
        </is>
      </c>
      <c r="H10" t="inlineStr">
        <is>
          <t>0.9</t>
        </is>
      </c>
    </row>
    <row r="11">
      <c r="A11" t="inlineStr">
        <is>
          <t>difficulty.Hard.damage</t>
        </is>
      </c>
      <c r="B11" t="inlineStr">
        <is>
          <t>bigAttackRules</t>
        </is>
      </c>
      <c r="C11" t="inlineStr">
        <is>
          <t>damage</t>
        </is>
      </c>
      <c r="D11" t="n">
        <v>1</v>
      </c>
      <c r="F11" t="inlineStr"/>
      <c r="G11" t="inlineStr">
        <is>
          <t>Assets/MachineBrigade/Resources/Data/balance.json: bigAttackRules.difficulty.Hard.damage</t>
        </is>
      </c>
      <c r="H11" t="inlineStr">
        <is>
          <t>1</t>
        </is>
      </c>
    </row>
    <row r="12">
      <c r="A12" t="inlineStr">
        <is>
          <t>difficulty.Hard.warn</t>
        </is>
      </c>
      <c r="B12" t="inlineStr">
        <is>
          <t>bigAttackRules</t>
        </is>
      </c>
      <c r="C12" t="inlineStr">
        <is>
          <t>warn</t>
        </is>
      </c>
      <c r="D12" t="n">
        <v>0</v>
      </c>
      <c r="F12" t="inlineStr">
        <is>
          <t>s</t>
        </is>
      </c>
      <c r="G12" t="inlineStr">
        <is>
          <t>Assets/MachineBrigade/Resources/Data/balance.json: bigAttackRules.difficulty.Hard.warn</t>
        </is>
      </c>
      <c r="H12" t="inlineStr">
        <is>
          <t>0</t>
        </is>
      </c>
    </row>
    <row r="13">
      <c r="A13" t="inlineStr">
        <is>
          <t>difficulty.Heroic.bossDamage</t>
        </is>
      </c>
      <c r="B13" t="inlineStr">
        <is>
          <t>bigAttackRules</t>
        </is>
      </c>
      <c r="C13" t="inlineStr">
        <is>
          <t>bossDamage</t>
        </is>
      </c>
      <c r="D13" t="n">
        <v>1.3</v>
      </c>
      <c r="F13" t="inlineStr"/>
      <c r="G13" t="inlineStr">
        <is>
          <t>Assets/MachineBrigade/Resources/Data/balance.json: bigAttackRules.difficulty.Heroic.bossDamage</t>
        </is>
      </c>
      <c r="H13" t="inlineStr">
        <is>
          <t>1.3</t>
        </is>
      </c>
    </row>
    <row r="14">
      <c r="A14" t="inlineStr">
        <is>
          <t>difficulty.Heroic.bossHp</t>
        </is>
      </c>
      <c r="B14" t="inlineStr">
        <is>
          <t>bigAttackRules</t>
        </is>
      </c>
      <c r="C14" t="inlineStr">
        <is>
          <t>bossHp</t>
        </is>
      </c>
      <c r="D14" t="n">
        <v>1.5</v>
      </c>
      <c r="F14" t="inlineStr"/>
      <c r="G14" t="inlineStr">
        <is>
          <t>Assets/MachineBrigade/Resources/Data/balance.json: bigAttackRules.difficulty.Heroic.bossHp</t>
        </is>
      </c>
      <c r="H14" t="inlineStr">
        <is>
          <t>1.5</t>
        </is>
      </c>
    </row>
    <row r="15">
      <c r="A15" t="inlineStr">
        <is>
          <t>difficulty.Heroic.cooldown</t>
        </is>
      </c>
      <c r="B15" t="inlineStr">
        <is>
          <t>bigAttackRules</t>
        </is>
      </c>
      <c r="C15" t="inlineStr">
        <is>
          <t>cooldown</t>
        </is>
      </c>
      <c r="D15" t="n">
        <v>0.8</v>
      </c>
      <c r="F15" t="inlineStr">
        <is>
          <t>s</t>
        </is>
      </c>
      <c r="G15" t="inlineStr">
        <is>
          <t>Assets/MachineBrigade/Resources/Data/balance.json: bigAttackRules.difficulty.Heroic.cooldown</t>
        </is>
      </c>
      <c r="H15" t="inlineStr">
        <is>
          <t>0.8</t>
        </is>
      </c>
    </row>
    <row r="16">
      <c r="A16" t="inlineStr">
        <is>
          <t>difficulty.Heroic.damage</t>
        </is>
      </c>
      <c r="B16" t="inlineStr">
        <is>
          <t>bigAttackRules</t>
        </is>
      </c>
      <c r="C16" t="inlineStr">
        <is>
          <t>damage</t>
        </is>
      </c>
      <c r="D16" t="n">
        <v>1</v>
      </c>
      <c r="F16" t="inlineStr"/>
      <c r="G16" t="inlineStr">
        <is>
          <t>Assets/MachineBrigade/Resources/Data/balance.json: bigAttackRules.difficulty.Heroic.damage</t>
        </is>
      </c>
      <c r="H16" t="inlineStr">
        <is>
          <t>1</t>
        </is>
      </c>
    </row>
    <row r="17">
      <c r="A17" t="inlineStr">
        <is>
          <t>difficulty.Heroic.warn</t>
        </is>
      </c>
      <c r="B17" t="inlineStr">
        <is>
          <t>bigAttackRules</t>
        </is>
      </c>
      <c r="C17" t="inlineStr">
        <is>
          <t>warn</t>
        </is>
      </c>
      <c r="D17" t="n">
        <v>0</v>
      </c>
      <c r="F17" t="inlineStr">
        <is>
          <t>s</t>
        </is>
      </c>
      <c r="G17" t="inlineStr">
        <is>
          <t>Assets/MachineBrigade/Resources/Data/balance.json: bigAttackRules.difficulty.Heroic.warn</t>
        </is>
      </c>
      <c r="H17" t="inlineStr">
        <is>
          <t>0</t>
        </is>
      </c>
    </row>
    <row r="18">
      <c r="A18" t="inlineStr">
        <is>
          <t>difficulty.Iron.bossDamage</t>
        </is>
      </c>
      <c r="B18" t="inlineStr">
        <is>
          <t>bigAttackRules</t>
        </is>
      </c>
      <c r="C18" t="inlineStr">
        <is>
          <t>bossDamage</t>
        </is>
      </c>
      <c r="D18" t="n">
        <v>1.3</v>
      </c>
      <c r="F18" t="inlineStr"/>
      <c r="G18" t="inlineStr">
        <is>
          <t>Assets/MachineBrigade/Resources/Data/balance.json: bigAttackRules.difficulty.Iron.bossDamage</t>
        </is>
      </c>
      <c r="H18" t="inlineStr">
        <is>
          <t>1.3</t>
        </is>
      </c>
    </row>
    <row r="19">
      <c r="A19" t="inlineStr">
        <is>
          <t>difficulty.Iron.bossHp</t>
        </is>
      </c>
      <c r="B19" t="inlineStr">
        <is>
          <t>bigAttackRules</t>
        </is>
      </c>
      <c r="C19" t="inlineStr">
        <is>
          <t>bossHp</t>
        </is>
      </c>
      <c r="D19" t="n">
        <v>1.5</v>
      </c>
      <c r="F19" t="inlineStr"/>
      <c r="G19" t="inlineStr">
        <is>
          <t>Assets/MachineBrigade/Resources/Data/balance.json: bigAttackRules.difficulty.Iron.bossHp</t>
        </is>
      </c>
      <c r="H19" t="inlineStr">
        <is>
          <t>1.5</t>
        </is>
      </c>
    </row>
    <row r="20">
      <c r="A20" t="inlineStr">
        <is>
          <t>difficulty.Iron.cooldown</t>
        </is>
      </c>
      <c r="B20" t="inlineStr">
        <is>
          <t>bigAttackRules</t>
        </is>
      </c>
      <c r="C20" t="inlineStr">
        <is>
          <t>cooldown</t>
        </is>
      </c>
      <c r="D20" t="n">
        <v>0.8</v>
      </c>
      <c r="F20" t="inlineStr">
        <is>
          <t>s</t>
        </is>
      </c>
      <c r="G20" t="inlineStr">
        <is>
          <t>Assets/MachineBrigade/Resources/Data/balance.json: bigAttackRules.difficulty.Iron.cooldown</t>
        </is>
      </c>
      <c r="H20" t="inlineStr">
        <is>
          <t>0.8</t>
        </is>
      </c>
    </row>
    <row r="21">
      <c r="A21" t="inlineStr">
        <is>
          <t>difficulty.Iron.damage</t>
        </is>
      </c>
      <c r="B21" t="inlineStr">
        <is>
          <t>bigAttackRules</t>
        </is>
      </c>
      <c r="C21" t="inlineStr">
        <is>
          <t>damage</t>
        </is>
      </c>
      <c r="D21" t="n">
        <v>1</v>
      </c>
      <c r="F21" t="inlineStr"/>
      <c r="G21" t="inlineStr">
        <is>
          <t>Assets/MachineBrigade/Resources/Data/balance.json: bigAttackRules.difficulty.Iron.damage</t>
        </is>
      </c>
      <c r="H21" t="inlineStr">
        <is>
          <t>1</t>
        </is>
      </c>
    </row>
    <row r="22">
      <c r="A22" t="inlineStr">
        <is>
          <t>difficulty.Iron.warn</t>
        </is>
      </c>
      <c r="B22" t="inlineStr">
        <is>
          <t>bigAttackRules</t>
        </is>
      </c>
      <c r="C22" t="inlineStr">
        <is>
          <t>warn</t>
        </is>
      </c>
      <c r="D22" t="n">
        <v>0</v>
      </c>
      <c r="F22" t="inlineStr">
        <is>
          <t>s</t>
        </is>
      </c>
      <c r="G22" t="inlineStr">
        <is>
          <t>Assets/MachineBrigade/Resources/Data/balance.json: bigAttackRules.difficulty.Iron.warn</t>
        </is>
      </c>
      <c r="H22" t="inlineStr">
        <is>
          <t>0</t>
        </is>
      </c>
    </row>
    <row r="23">
      <c r="A23" t="inlineStr">
        <is>
          <t>difficulty.Normal.bossDamage</t>
        </is>
      </c>
      <c r="B23" t="inlineStr">
        <is>
          <t>bigAttackRules</t>
        </is>
      </c>
      <c r="C23" t="inlineStr">
        <is>
          <t>bossDamage</t>
        </is>
      </c>
      <c r="D23" t="n">
        <v>1</v>
      </c>
      <c r="F23" t="inlineStr"/>
      <c r="G23" t="inlineStr">
        <is>
          <t>Assets/MachineBrigade/Resources/Data/balance.json: bigAttackRules.difficulty.Normal.bossDamage</t>
        </is>
      </c>
      <c r="H23" t="inlineStr">
        <is>
          <t>1</t>
        </is>
      </c>
    </row>
    <row r="24">
      <c r="A24" t="inlineStr">
        <is>
          <t>difficulty.Normal.bossHp</t>
        </is>
      </c>
      <c r="B24" t="inlineStr">
        <is>
          <t>bigAttackRules</t>
        </is>
      </c>
      <c r="C24" t="inlineStr">
        <is>
          <t>bossHp</t>
        </is>
      </c>
      <c r="D24" t="n">
        <v>1</v>
      </c>
      <c r="F24" t="inlineStr"/>
      <c r="G24" t="inlineStr">
        <is>
          <t>Assets/MachineBrigade/Resources/Data/balance.json: bigAttackRules.difficulty.Normal.bossHp</t>
        </is>
      </c>
      <c r="H24" t="inlineStr">
        <is>
          <t>1</t>
        </is>
      </c>
    </row>
    <row r="25">
      <c r="A25" t="inlineStr">
        <is>
          <t>difficulty.Normal.cooldown</t>
        </is>
      </c>
      <c r="B25" t="inlineStr">
        <is>
          <t>bigAttackRules</t>
        </is>
      </c>
      <c r="C25" t="inlineStr">
        <is>
          <t>cooldown</t>
        </is>
      </c>
      <c r="D25" t="n">
        <v>1</v>
      </c>
      <c r="F25" t="inlineStr">
        <is>
          <t>s</t>
        </is>
      </c>
      <c r="G25" t="inlineStr">
        <is>
          <t>Assets/MachineBrigade/Resources/Data/balance.json: bigAttackRules.difficulty.Normal.cooldown</t>
        </is>
      </c>
      <c r="H25" t="inlineStr">
        <is>
          <t>1</t>
        </is>
      </c>
    </row>
    <row r="26">
      <c r="A26" t="inlineStr">
        <is>
          <t>difficulty.Normal.damage</t>
        </is>
      </c>
      <c r="B26" t="inlineStr">
        <is>
          <t>bigAttackRules</t>
        </is>
      </c>
      <c r="C26" t="inlineStr">
        <is>
          <t>damage</t>
        </is>
      </c>
      <c r="D26" t="n">
        <v>1</v>
      </c>
      <c r="F26" t="inlineStr"/>
      <c r="G26" t="inlineStr">
        <is>
          <t>Assets/MachineBrigade/Resources/Data/balance.json: bigAttackRules.difficulty.Normal.damage</t>
        </is>
      </c>
      <c r="H26" t="inlineStr">
        <is>
          <t>1</t>
        </is>
      </c>
    </row>
    <row r="27">
      <c r="A27" t="inlineStr">
        <is>
          <t>difficulty.Normal.warn</t>
        </is>
      </c>
      <c r="B27" t="inlineStr">
        <is>
          <t>bigAttackRules</t>
        </is>
      </c>
      <c r="C27" t="inlineStr">
        <is>
          <t>warn</t>
        </is>
      </c>
      <c r="D27" t="n">
        <v>0</v>
      </c>
      <c r="F27" t="inlineStr">
        <is>
          <t>s</t>
        </is>
      </c>
      <c r="G27" t="inlineStr">
        <is>
          <t>Assets/MachineBrigade/Resources/Data/balance.json: bigAttackRules.difficulty.Normal.warn</t>
        </is>
      </c>
      <c r="H27" t="inlineStr">
        <is>
          <t>0</t>
        </is>
      </c>
    </row>
    <row r="28">
      <c r="A28" t="inlineStr">
        <is>
          <t>difficulty.VeryHard.bossDamage</t>
        </is>
      </c>
      <c r="B28" t="inlineStr">
        <is>
          <t>bigAttackRules</t>
        </is>
      </c>
      <c r="C28" t="inlineStr">
        <is>
          <t>bossDamage</t>
        </is>
      </c>
      <c r="D28" t="n">
        <v>1.3</v>
      </c>
      <c r="F28" t="inlineStr"/>
      <c r="G28" t="inlineStr">
        <is>
          <t>Assets/MachineBrigade/Resources/Data/balance.json: bigAttackRules.difficulty.VeryHard.bossDamage</t>
        </is>
      </c>
      <c r="H28" t="inlineStr">
        <is>
          <t>1.3</t>
        </is>
      </c>
    </row>
    <row r="29">
      <c r="A29" t="inlineStr">
        <is>
          <t>difficulty.VeryHard.bossHp</t>
        </is>
      </c>
      <c r="B29" t="inlineStr">
        <is>
          <t>bigAttackRules</t>
        </is>
      </c>
      <c r="C29" t="inlineStr">
        <is>
          <t>bossHp</t>
        </is>
      </c>
      <c r="D29" t="n">
        <v>1.5</v>
      </c>
      <c r="F29" t="inlineStr"/>
      <c r="G29" t="inlineStr">
        <is>
          <t>Assets/MachineBrigade/Resources/Data/balance.json: bigAttackRules.difficulty.VeryHard.bossHp</t>
        </is>
      </c>
      <c r="H29" t="inlineStr">
        <is>
          <t>1.5</t>
        </is>
      </c>
    </row>
    <row r="30">
      <c r="A30" t="inlineStr">
        <is>
          <t>difficulty.VeryHard.cooldown</t>
        </is>
      </c>
      <c r="B30" t="inlineStr">
        <is>
          <t>bigAttackRules</t>
        </is>
      </c>
      <c r="C30" t="inlineStr">
        <is>
          <t>cooldown</t>
        </is>
      </c>
      <c r="D30" t="n">
        <v>0.8</v>
      </c>
      <c r="F30" t="inlineStr">
        <is>
          <t>s</t>
        </is>
      </c>
      <c r="G30" t="inlineStr">
        <is>
          <t>Assets/MachineBrigade/Resources/Data/balance.json: bigAttackRules.difficulty.VeryHard.cooldown</t>
        </is>
      </c>
      <c r="H30" t="inlineStr">
        <is>
          <t>0.8</t>
        </is>
      </c>
    </row>
    <row r="31">
      <c r="A31" t="inlineStr">
        <is>
          <t>difficulty.VeryHard.damage</t>
        </is>
      </c>
      <c r="B31" t="inlineStr">
        <is>
          <t>bigAttackRules</t>
        </is>
      </c>
      <c r="C31" t="inlineStr">
        <is>
          <t>damage</t>
        </is>
      </c>
      <c r="D31" t="n">
        <v>1</v>
      </c>
      <c r="F31" t="inlineStr"/>
      <c r="G31" t="inlineStr">
        <is>
          <t>Assets/MachineBrigade/Resources/Data/balance.json: bigAttackRules.difficulty.VeryHard.damage</t>
        </is>
      </c>
      <c r="H31" t="inlineStr">
        <is>
          <t>1</t>
        </is>
      </c>
    </row>
    <row r="32">
      <c r="A32" t="inlineStr">
        <is>
          <t>difficulty.VeryHard.warn</t>
        </is>
      </c>
      <c r="B32" t="inlineStr">
        <is>
          <t>bigAttackRules</t>
        </is>
      </c>
      <c r="C32" t="inlineStr">
        <is>
          <t>warn</t>
        </is>
      </c>
      <c r="D32" t="n">
        <v>0</v>
      </c>
      <c r="F32" t="inlineStr">
        <is>
          <t>s</t>
        </is>
      </c>
      <c r="G32" t="inlineStr">
        <is>
          <t>Assets/MachineBrigade/Resources/Data/balance.json: bigAttackRules.difficulty.VeryHard.warn</t>
        </is>
      </c>
      <c r="H32" t="inlineStr">
        <is>
          <t>0</t>
        </is>
      </c>
    </row>
    <row r="33">
      <c r="A33" t="inlineStr">
        <is>
          <t>dodge</t>
        </is>
      </c>
      <c r="B33" t="inlineStr">
        <is>
          <t>bigAttackRules</t>
        </is>
      </c>
      <c r="C33" t="inlineStr">
        <is>
          <t>dodge</t>
        </is>
      </c>
      <c r="D33" t="n">
        <v>3</v>
      </c>
      <c r="F33" t="inlineStr"/>
      <c r="G33" t="inlineStr">
        <is>
          <t>Assets/MachineBrigade/Resources/Data/balance.json: bigAttackRules.dodge</t>
        </is>
      </c>
      <c r="H33" t="inlineStr">
        <is>
          <t>3</t>
        </is>
      </c>
    </row>
    <row r="34">
      <c r="A34" t="inlineStr">
        <is>
          <t>first</t>
        </is>
      </c>
      <c r="B34" t="inlineStr">
        <is>
          <t>bigAttackRules</t>
        </is>
      </c>
      <c r="C34" t="inlineStr">
        <is>
          <t>first</t>
        </is>
      </c>
      <c r="D34" t="n">
        <v>30</v>
      </c>
      <c r="F34" t="inlineStr"/>
      <c r="G34" t="inlineStr">
        <is>
          <t>Assets/MachineBrigade/Resources/Data/balance.json: bigAttackRules.first</t>
        </is>
      </c>
      <c r="H34" t="inlineStr">
        <is>
          <t>30</t>
        </is>
      </c>
    </row>
    <row r="35">
      <c r="A35" t="inlineStr">
        <is>
          <t>intercept</t>
        </is>
      </c>
      <c r="B35" t="inlineStr">
        <is>
          <t>bigAttackRules</t>
        </is>
      </c>
      <c r="C35" t="inlineStr">
        <is>
          <t>intercept</t>
        </is>
      </c>
      <c r="D35" t="n">
        <v>150</v>
      </c>
      <c r="F35" t="inlineStr"/>
      <c r="G35" t="inlineStr">
        <is>
          <t>Assets/MachineBrigade/Resources/Data/balance.json: bigAttackRules.intercept</t>
        </is>
      </c>
      <c r="H35" t="inlineStr">
        <is>
          <t>150</t>
        </is>
      </c>
    </row>
  </sheetData>
  <autoFilter ref="A1:H35"/>
  <pageMargins left="0.75" right="0.75" top="1" bottom="1" header="0.5" footer="0.5"/>
</worksheet>
</file>

<file path=xl/worksheets/sheet2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9" customWidth="1" min="2" max="2"/>
    <col width="9" customWidth="1" min="3" max="3"/>
    <col width="8" customWidth="1" min="4" max="4"/>
    <col width="12" customWidth="1" min="5" max="5"/>
    <col width="14" customWidth="1" min="6" max="6"/>
    <col width="14" customWidth="1" min="7" max="7"/>
    <col width="60" customWidth="1" min="8" max="8"/>
    <col width="60" customWidth="1" min="9" max="9"/>
  </cols>
  <sheetData>
    <row r="1">
      <c r="A1" s="1" t="inlineStr">
        <is>
          <t>id</t>
        </is>
      </c>
      <c r="B1" s="1" t="inlineStr">
        <is>
          <t>boss</t>
        </is>
      </c>
      <c r="C1" s="1" t="inlineStr">
        <is>
          <t>marks</t>
        </is>
      </c>
      <c r="D1" s="1" t="inlineStr">
        <is>
          <t>on</t>
        </is>
      </c>
      <c r="E1" s="1" t="inlineStr">
        <is>
          <t>phase_drop</t>
        </is>
      </c>
      <c r="F1" s="1" t="inlineStr">
        <is>
          <t>phase_halt_s</t>
        </is>
      </c>
      <c r="G1" s="1" t="inlineStr">
        <is>
          <t>phase_refill</t>
        </is>
      </c>
      <c r="H1" s="1" t="inlineStr">
        <is>
          <t>nguon</t>
        </is>
      </c>
      <c r="I1" s="1" t="inlineStr">
        <is>
          <t>raw_json</t>
        </is>
      </c>
    </row>
    <row r="2">
      <c r="A2" t="inlineStr">
        <is>
          <t>armored_train</t>
        </is>
      </c>
      <c r="B2" t="inlineStr">
        <is>
          <t>armored_train</t>
        </is>
      </c>
      <c r="F2" t="n">
        <v>6</v>
      </c>
      <c r="H2" t="inlineStr">
        <is>
          <t>Assets/MachineBrigade/Resources/Data/balance.json: escorts[0]</t>
        </is>
      </c>
      <c r="I2" t="inlineStr">
        <is>
          <t>{"boss":"armored_train","arrive":[{"unit":"armored_car"},{"unit":"armored_car"},{"unit":"aa_vehicle","role":"cover"},{"unit":"armored_car","role":"spot"}],"phase":{"halt":6,"units":[{"unit":"light_tank"},{"unit":"light_tank"},{"unit":"engineer_vehicle","role":"repair"}]}}</t>
        </is>
      </c>
    </row>
    <row r="3">
      <c r="A3" t="inlineStr">
        <is>
          <t>behemoth</t>
        </is>
      </c>
      <c r="B3" t="inlineStr">
        <is>
          <t>behemoth</t>
        </is>
      </c>
      <c r="H3" t="inlineStr">
        <is>
          <t>Assets/MachineBrigade/Resources/Data/balance.json: escorts[2]</t>
        </is>
      </c>
      <c r="I3" t="inlineStr">
        <is>
          <t>{"boss":"behemoth","arrive":[{"unit":"main_battle_tank"},{"unit":"main_battle_tank"},{"unit":"heavy_tank"},{"unit":"aa_vehicle","role":"cover"}],"phase":[{"unit":"heavy_tank","elite":true},{"unit":"engineer_vehicle","role":"repair"}]}</t>
        </is>
      </c>
    </row>
    <row r="4">
      <c r="A4" t="inlineStr">
        <is>
          <t>behemoth_inferno</t>
        </is>
      </c>
      <c r="B4" t="inlineStr">
        <is>
          <t>behemoth_inferno</t>
        </is>
      </c>
      <c r="H4" t="inlineStr">
        <is>
          <t>Assets/MachineBrigade/Resources/Data/balance.json: escorts[3]</t>
        </is>
      </c>
      <c r="I4" t="inlineStr">
        <is>
          <t>{"boss":"behemoth_inferno","arrive":[{"unit":"flame_tank"},{"unit":"flame_tank"},{"unit":"aa_vehicle","role":"cover"},{"unit":"ew_jammer","role":"smoke"}],"phase":[{"unit":"flame_tank"},{"unit":"flame_tank"},{"unit":"engineer_vehicle","role":"repair"}]}</t>
        </is>
      </c>
    </row>
    <row r="5">
      <c r="A5" t="inlineStr">
        <is>
          <t>behemoth_tempest</t>
        </is>
      </c>
      <c r="B5" t="inlineStr">
        <is>
          <t>behemoth_tempest</t>
        </is>
      </c>
      <c r="G5" t="b">
        <v>1</v>
      </c>
      <c r="H5" t="inlineStr">
        <is>
          <t>Assets/MachineBrigade/Resources/Data/balance.json: escorts[1]</t>
        </is>
      </c>
      <c r="I5" t="inlineStr">
        <is>
          <t>{"boss":"behemoth_tempest","arrive":[{"unit":"main_battle_tank"},{"unit":"ew_jammer","role":"jam"},{"unit":"ew_jammer","role":"jam"},{"unit":"sam_launcher","role":"cover"}],"phase":{"refill":true,"units":[{"unit":"ew_jammer","role":"jam"},{"unit":"ew_jammer","role":"jam"}]}}</t>
        </is>
      </c>
    </row>
    <row r="6">
      <c r="A6" t="inlineStr">
        <is>
          <t>command_airship</t>
        </is>
      </c>
      <c r="B6" t="inlineStr">
        <is>
          <t>command_airship</t>
        </is>
      </c>
      <c r="H6" t="inlineStr">
        <is>
          <t>Assets/MachineBrigade/Resources/Data/balance.json: escorts[11]</t>
        </is>
      </c>
      <c r="I6" t="inlineStr">
        <is>
          <t>{"boss":"command_airship","arrive":[{"unit":"fighter_jet","role":"cover"},{"unit":"fighter_jet","role":"cover"},{"unit":"fighter_jet","role":"cover"}],"phase":[{"unit":"attack_helicopter"},{"unit":"scout_heli","role":"spot"}]}</t>
        </is>
      </c>
    </row>
    <row r="7">
      <c r="A7" t="inlineStr">
        <is>
          <t>drone_mothership</t>
        </is>
      </c>
      <c r="B7" t="inlineStr">
        <is>
          <t>drone_mothership</t>
        </is>
      </c>
      <c r="H7" t="inlineStr">
        <is>
          <t>Assets/MachineBrigade/Resources/Data/balance.json: escorts[7]</t>
        </is>
      </c>
      <c r="I7" t="inlineStr">
        <is>
          <t>{"boss":"drone_mothership","arrive":[{"unit":"strike_drone"},{"unit":"strike_drone"},{"unit":"fighter_jet","role":"cover"},{"unit":"recon_drone","role":"spot"}],"phase":[{"unit":"scout_heli","role":"spot"}]}</t>
        </is>
      </c>
    </row>
    <row r="8">
      <c r="A8" t="inlineStr">
        <is>
          <t>earth_borer</t>
        </is>
      </c>
      <c r="B8" t="inlineStr">
        <is>
          <t>earth_borer</t>
        </is>
      </c>
      <c r="D8" t="inlineStr">
        <is>
          <t>surface</t>
        </is>
      </c>
      <c r="E8" t="inlineStr">
        <is>
          <t>para</t>
        </is>
      </c>
      <c r="H8" t="inlineStr">
        <is>
          <t>Assets/MachineBrigade/Resources/Data/balance.json: escorts[10]</t>
        </is>
      </c>
      <c r="I8" t="inlineStr">
        <is>
          <t>{"boss":"earth_borer","on":"surface","phase":{"drop":"para","units":[{"unit":"ifv"},{"unit":"aa_vehicle","role":"cover"},{"unit":"engineer_vehicle","role":"repair"}]}}</t>
        </is>
      </c>
    </row>
    <row r="9">
      <c r="A9" t="inlineStr">
        <is>
          <t>fortress_bastion</t>
        </is>
      </c>
      <c r="B9" t="inlineStr">
        <is>
          <t>fortress_bastion</t>
        </is>
      </c>
      <c r="H9" t="inlineStr">
        <is>
          <t>Assets/MachineBrigade/Resources/Data/balance.json: escorts[6]</t>
        </is>
      </c>
      <c r="I9" t="inlineStr">
        <is>
          <t>{"boss":"fortress_bastion","arrive":[{"unit":"tank_destroyer"},{"unit":"tank_destroyer"},{"unit":"main_battle_tank"},{"unit":"heavy_aa","role":"cover"}],"phase":[{"unit":"heavy_tank"},{"unit":"sam_launcher","role":"cover"},{"unit":"engineer_vehicle","role":"repair"}]}</t>
        </is>
      </c>
    </row>
    <row r="10">
      <c r="A10" t="inlineStr">
        <is>
          <t>landing_hovercraft</t>
        </is>
      </c>
      <c r="B10" t="inlineStr">
        <is>
          <t>landing_hovercraft</t>
        </is>
      </c>
      <c r="H10" t="inlineStr">
        <is>
          <t>Assets/MachineBrigade/Resources/Data/balance.json: escorts[12]</t>
        </is>
      </c>
      <c r="I10" t="inlineStr">
        <is>
          <t>{"boss":"landing_hovercraft","arrive":[{"unit":"hover_gunboat"},{"unit":"hover_gunboat"},{"unit":"aa_vehicle","role":"cover"},{"unit":"hover_gunboat","role":"spot"}],"phase":[{"unit":"hover_gunboat","role":"spot"}]}</t>
        </is>
      </c>
    </row>
    <row r="11">
      <c r="A11" t="inlineStr">
        <is>
          <t>mega_gunship</t>
        </is>
      </c>
      <c r="B11" t="inlineStr">
        <is>
          <t>mega_gunship</t>
        </is>
      </c>
      <c r="H11" t="inlineStr">
        <is>
          <t>Assets/MachineBrigade/Resources/Data/balance.json: escorts[4]</t>
        </is>
      </c>
      <c r="I11" t="inlineStr">
        <is>
          <t>{"boss":"mega_gunship","arrive":[{"unit":"attack_helicopter"},{"unit":"attack_helicopter"},{"unit":"fighter_jet","role":"cover"},{"unit":"scout_heli","role":"spot"}],"phase":[{"unit":"scout_heli","role":"spot"}]}</t>
        </is>
      </c>
    </row>
    <row r="12">
      <c r="A12" t="inlineStr">
        <is>
          <t>mobile_fortress</t>
        </is>
      </c>
      <c r="B12" t="inlineStr">
        <is>
          <t>mobile_fortress</t>
        </is>
      </c>
      <c r="H12" t="inlineStr">
        <is>
          <t>Assets/MachineBrigade/Resources/Data/balance.json: escorts[5]</t>
        </is>
      </c>
      <c r="I12" t="inlineStr">
        <is>
          <t>{"boss":"mobile_fortress","arrive":[{"unit":"heavy_tank"},{"unit":"heavy_tank"},{"unit":"sam_launcher","role":"cover"},{"unit":"engineer_vehicle","role":"repair"}],"phase":[{"unit":"engineer_vehicle","role":"repair"}]}</t>
        </is>
      </c>
    </row>
    <row r="13">
      <c r="A13" t="inlineStr">
        <is>
          <t>nuke_train</t>
        </is>
      </c>
      <c r="B13" t="inlineStr">
        <is>
          <t>nuke_train</t>
        </is>
      </c>
      <c r="H13" t="inlineStr">
        <is>
          <t>Assets/MachineBrigade/Resources/Data/balance.json: escorts[9]</t>
        </is>
      </c>
      <c r="I13" t="inlineStr">
        <is>
          <t>{"boss":"nuke_train","arrive":[{"unit":"ifv"},{"unit":"ifv"},{"unit":"sam_launcher","role":"cover"},{"unit":"scout_heli","role":"spot"}],"phase":[{"unit":"ifv"},{"unit":"ifv"},{"unit":"ew_jammer","role":"smoke"}]}</t>
        </is>
      </c>
    </row>
    <row r="14">
      <c r="A14" t="inlineStr">
        <is>
          <t>silver_bug</t>
        </is>
      </c>
      <c r="B14" t="inlineStr">
        <is>
          <t>silver_bug</t>
        </is>
      </c>
      <c r="C14" t="inlineStr">
        <is>
          <t>0.6;0.25</t>
        </is>
      </c>
      <c r="H14" t="inlineStr">
        <is>
          <t>Assets/MachineBrigade/Resources/Data/balance.json: escorts[8]</t>
        </is>
      </c>
      <c r="I14" t="inlineStr">
        <is>
          <t>{"boss":"silver_bug","marks":[0.6,0.25],"arrive":[{"unit":"elite_heavy_tank"},{"unit":"elite_grad"},{"unit":"recon_drone","role":"spot"},{"unit":"fighter_jet","role":"cover"},{"unit":"fighter_jet","role":"cover"}],"phases":[{"units":[{"unit":"elite_fpv_carrier"},{"unit":"ew_jammer","role":"jam"}]},{"units":[{"unit":"elite_attack_helicopter"},{"unit":"engineer_vehicle","role":"repair"}]}]}</t>
        </is>
      </c>
    </row>
  </sheetData>
  <autoFilter ref="A1:I14"/>
  <pageMargins left="0.75" right="0.75" top="1" bottom="1" header="0.5" footer="0.5"/>
</worksheet>
</file>

<file path=xl/worksheets/sheet2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8" customWidth="1" min="3" max="3"/>
    <col width="18" customWidth="1" min="4" max="4"/>
    <col width="8" customWidth="1" min="5" max="5"/>
    <col width="60" customWidth="1" min="6" max="6"/>
    <col width="44" customWidth="1" min="7" max="7"/>
  </cols>
  <sheetData>
    <row r="1">
      <c r="A1" s="1" t="inlineStr">
        <is>
          <t>id</t>
        </is>
      </c>
      <c r="B1" s="1" t="inlineStr">
        <is>
          <t>boss_ho_tong_id</t>
        </is>
      </c>
      <c r="C1" s="1" t="inlineStr">
        <is>
          <t>thu_tu</t>
        </is>
      </c>
      <c r="D1" s="1" t="inlineStr">
        <is>
          <t>unit</t>
        </is>
      </c>
      <c r="E1" s="1" t="inlineStr">
        <is>
          <t>role</t>
        </is>
      </c>
      <c r="F1" s="1" t="inlineStr">
        <is>
          <t>nguon</t>
        </is>
      </c>
      <c r="G1" s="1" t="inlineStr">
        <is>
          <t>raw_json</t>
        </is>
      </c>
    </row>
    <row r="2">
      <c r="A2" t="inlineStr">
        <is>
          <t>armored_train/0</t>
        </is>
      </c>
      <c r="B2" t="inlineStr">
        <is>
          <t>armored_train</t>
        </is>
      </c>
      <c r="C2" t="n">
        <v>0</v>
      </c>
      <c r="D2" t="inlineStr">
        <is>
          <t>armored_car</t>
        </is>
      </c>
      <c r="F2" t="inlineStr">
        <is>
          <t>Assets/MachineBrigade/Resources/Data/balance.json: escorts[0].arrive[0]</t>
        </is>
      </c>
      <c r="G2" t="inlineStr">
        <is>
          <t>{"unit":"armored_car"}</t>
        </is>
      </c>
    </row>
    <row r="3">
      <c r="A3" t="inlineStr">
        <is>
          <t>armored_train/1</t>
        </is>
      </c>
      <c r="B3" t="inlineStr">
        <is>
          <t>armored_train</t>
        </is>
      </c>
      <c r="C3" t="n">
        <v>1</v>
      </c>
      <c r="D3" t="inlineStr">
        <is>
          <t>armored_car</t>
        </is>
      </c>
      <c r="F3" t="inlineStr">
        <is>
          <t>Assets/MachineBrigade/Resources/Data/balance.json: escorts[0].arrive[1]</t>
        </is>
      </c>
      <c r="G3" t="inlineStr">
        <is>
          <t>{"unit":"armored_car"}</t>
        </is>
      </c>
    </row>
    <row r="4">
      <c r="A4" t="inlineStr">
        <is>
          <t>armored_train/2</t>
        </is>
      </c>
      <c r="B4" t="inlineStr">
        <is>
          <t>armored_train</t>
        </is>
      </c>
      <c r="C4" t="n">
        <v>2</v>
      </c>
      <c r="D4" t="inlineStr">
        <is>
          <t>aa_vehicle</t>
        </is>
      </c>
      <c r="E4" t="inlineStr">
        <is>
          <t>cover</t>
        </is>
      </c>
      <c r="F4" t="inlineStr">
        <is>
          <t>Assets/MachineBrigade/Resources/Data/balance.json: escorts[0].arrive[2]</t>
        </is>
      </c>
      <c r="G4" t="inlineStr">
        <is>
          <t>{"unit":"aa_vehicle","role":"cover"}</t>
        </is>
      </c>
    </row>
    <row r="5">
      <c r="A5" t="inlineStr">
        <is>
          <t>armored_train/3</t>
        </is>
      </c>
      <c r="B5" t="inlineStr">
        <is>
          <t>armored_train</t>
        </is>
      </c>
      <c r="C5" t="n">
        <v>3</v>
      </c>
      <c r="D5" t="inlineStr">
        <is>
          <t>armored_car</t>
        </is>
      </c>
      <c r="E5" t="inlineStr">
        <is>
          <t>spot</t>
        </is>
      </c>
      <c r="F5" t="inlineStr">
        <is>
          <t>Assets/MachineBrigade/Resources/Data/balance.json: escorts[0].arrive[3]</t>
        </is>
      </c>
      <c r="G5" t="inlineStr">
        <is>
          <t>{"unit":"armored_car","role":"spot"}</t>
        </is>
      </c>
    </row>
    <row r="6">
      <c r="A6" t="inlineStr">
        <is>
          <t>behemoth/0</t>
        </is>
      </c>
      <c r="B6" t="inlineStr">
        <is>
          <t>behemoth</t>
        </is>
      </c>
      <c r="C6" t="n">
        <v>0</v>
      </c>
      <c r="D6" t="inlineStr">
        <is>
          <t>main_battle_tank</t>
        </is>
      </c>
      <c r="F6" t="inlineStr">
        <is>
          <t>Assets/MachineBrigade/Resources/Data/balance.json: escorts[2].arrive[0]</t>
        </is>
      </c>
      <c r="G6" t="inlineStr">
        <is>
          <t>{"unit":"main_battle_tank"}</t>
        </is>
      </c>
    </row>
    <row r="7">
      <c r="A7" t="inlineStr">
        <is>
          <t>behemoth/1</t>
        </is>
      </c>
      <c r="B7" t="inlineStr">
        <is>
          <t>behemoth</t>
        </is>
      </c>
      <c r="C7" t="n">
        <v>1</v>
      </c>
      <c r="D7" t="inlineStr">
        <is>
          <t>main_battle_tank</t>
        </is>
      </c>
      <c r="F7" t="inlineStr">
        <is>
          <t>Assets/MachineBrigade/Resources/Data/balance.json: escorts[2].arrive[1]</t>
        </is>
      </c>
      <c r="G7" t="inlineStr">
        <is>
          <t>{"unit":"main_battle_tank"}</t>
        </is>
      </c>
    </row>
    <row r="8">
      <c r="A8" t="inlineStr">
        <is>
          <t>behemoth/2</t>
        </is>
      </c>
      <c r="B8" t="inlineStr">
        <is>
          <t>behemoth</t>
        </is>
      </c>
      <c r="C8" t="n">
        <v>2</v>
      </c>
      <c r="D8" t="inlineStr">
        <is>
          <t>heavy_tank</t>
        </is>
      </c>
      <c r="F8" t="inlineStr">
        <is>
          <t>Assets/MachineBrigade/Resources/Data/balance.json: escorts[2].arrive[2]</t>
        </is>
      </c>
      <c r="G8" t="inlineStr">
        <is>
          <t>{"unit":"heavy_tank"}</t>
        </is>
      </c>
    </row>
    <row r="9">
      <c r="A9" t="inlineStr">
        <is>
          <t>behemoth/3</t>
        </is>
      </c>
      <c r="B9" t="inlineStr">
        <is>
          <t>behemoth</t>
        </is>
      </c>
      <c r="C9" t="n">
        <v>3</v>
      </c>
      <c r="D9" t="inlineStr">
        <is>
          <t>aa_vehicle</t>
        </is>
      </c>
      <c r="E9" t="inlineStr">
        <is>
          <t>cover</t>
        </is>
      </c>
      <c r="F9" t="inlineStr">
        <is>
          <t>Assets/MachineBrigade/Resources/Data/balance.json: escorts[2].arrive[3]</t>
        </is>
      </c>
      <c r="G9" t="inlineStr">
        <is>
          <t>{"unit":"aa_vehicle","role":"cover"}</t>
        </is>
      </c>
    </row>
    <row r="10">
      <c r="A10" t="inlineStr">
        <is>
          <t>behemoth_inferno/0</t>
        </is>
      </c>
      <c r="B10" t="inlineStr">
        <is>
          <t>behemoth_inferno</t>
        </is>
      </c>
      <c r="C10" t="n">
        <v>0</v>
      </c>
      <c r="D10" t="inlineStr">
        <is>
          <t>flame_tank</t>
        </is>
      </c>
      <c r="F10" t="inlineStr">
        <is>
          <t>Assets/MachineBrigade/Resources/Data/balance.json: escorts[3].arrive[0]</t>
        </is>
      </c>
      <c r="G10" t="inlineStr">
        <is>
          <t>{"unit":"flame_tank"}</t>
        </is>
      </c>
    </row>
    <row r="11">
      <c r="A11" t="inlineStr">
        <is>
          <t>behemoth_inferno/1</t>
        </is>
      </c>
      <c r="B11" t="inlineStr">
        <is>
          <t>behemoth_inferno</t>
        </is>
      </c>
      <c r="C11" t="n">
        <v>1</v>
      </c>
      <c r="D11" t="inlineStr">
        <is>
          <t>flame_tank</t>
        </is>
      </c>
      <c r="F11" t="inlineStr">
        <is>
          <t>Assets/MachineBrigade/Resources/Data/balance.json: escorts[3].arrive[1]</t>
        </is>
      </c>
      <c r="G11" t="inlineStr">
        <is>
          <t>{"unit":"flame_tank"}</t>
        </is>
      </c>
    </row>
    <row r="12">
      <c r="A12" t="inlineStr">
        <is>
          <t>behemoth_inferno/2</t>
        </is>
      </c>
      <c r="B12" t="inlineStr">
        <is>
          <t>behemoth_inferno</t>
        </is>
      </c>
      <c r="C12" t="n">
        <v>2</v>
      </c>
      <c r="D12" t="inlineStr">
        <is>
          <t>aa_vehicle</t>
        </is>
      </c>
      <c r="E12" t="inlineStr">
        <is>
          <t>cover</t>
        </is>
      </c>
      <c r="F12" t="inlineStr">
        <is>
          <t>Assets/MachineBrigade/Resources/Data/balance.json: escorts[3].arrive[2]</t>
        </is>
      </c>
      <c r="G12" t="inlineStr">
        <is>
          <t>{"unit":"aa_vehicle","role":"cover"}</t>
        </is>
      </c>
    </row>
    <row r="13">
      <c r="A13" t="inlineStr">
        <is>
          <t>behemoth_inferno/3</t>
        </is>
      </c>
      <c r="B13" t="inlineStr">
        <is>
          <t>behemoth_inferno</t>
        </is>
      </c>
      <c r="C13" t="n">
        <v>3</v>
      </c>
      <c r="D13" t="inlineStr">
        <is>
          <t>ew_jammer</t>
        </is>
      </c>
      <c r="E13" t="inlineStr">
        <is>
          <t>smoke</t>
        </is>
      </c>
      <c r="F13" t="inlineStr">
        <is>
          <t>Assets/MachineBrigade/Resources/Data/balance.json: escorts[3].arrive[3]</t>
        </is>
      </c>
      <c r="G13" t="inlineStr">
        <is>
          <t>{"unit":"ew_jammer","role":"smoke"}</t>
        </is>
      </c>
    </row>
    <row r="14">
      <c r="A14" t="inlineStr">
        <is>
          <t>behemoth_tempest/0</t>
        </is>
      </c>
      <c r="B14" t="inlineStr">
        <is>
          <t>behemoth_tempest</t>
        </is>
      </c>
      <c r="C14" t="n">
        <v>0</v>
      </c>
      <c r="D14" t="inlineStr">
        <is>
          <t>main_battle_tank</t>
        </is>
      </c>
      <c r="F14" t="inlineStr">
        <is>
          <t>Assets/MachineBrigade/Resources/Data/balance.json: escorts[1].arrive[0]</t>
        </is>
      </c>
      <c r="G14" t="inlineStr">
        <is>
          <t>{"unit":"main_battle_tank"}</t>
        </is>
      </c>
    </row>
    <row r="15">
      <c r="A15" t="inlineStr">
        <is>
          <t>behemoth_tempest/1</t>
        </is>
      </c>
      <c r="B15" t="inlineStr">
        <is>
          <t>behemoth_tempest</t>
        </is>
      </c>
      <c r="C15" t="n">
        <v>1</v>
      </c>
      <c r="D15" t="inlineStr">
        <is>
          <t>ew_jammer</t>
        </is>
      </c>
      <c r="E15" t="inlineStr">
        <is>
          <t>jam</t>
        </is>
      </c>
      <c r="F15" t="inlineStr">
        <is>
          <t>Assets/MachineBrigade/Resources/Data/balance.json: escorts[1].arrive[1]</t>
        </is>
      </c>
      <c r="G15" t="inlineStr">
        <is>
          <t>{"unit":"ew_jammer","role":"jam"}</t>
        </is>
      </c>
    </row>
    <row r="16">
      <c r="A16" t="inlineStr">
        <is>
          <t>behemoth_tempest/2</t>
        </is>
      </c>
      <c r="B16" t="inlineStr">
        <is>
          <t>behemoth_tempest</t>
        </is>
      </c>
      <c r="C16" t="n">
        <v>2</v>
      </c>
      <c r="D16" t="inlineStr">
        <is>
          <t>ew_jammer</t>
        </is>
      </c>
      <c r="E16" t="inlineStr">
        <is>
          <t>jam</t>
        </is>
      </c>
      <c r="F16" t="inlineStr">
        <is>
          <t>Assets/MachineBrigade/Resources/Data/balance.json: escorts[1].arrive[2]</t>
        </is>
      </c>
      <c r="G16" t="inlineStr">
        <is>
          <t>{"unit":"ew_jammer","role":"jam"}</t>
        </is>
      </c>
    </row>
    <row r="17">
      <c r="A17" t="inlineStr">
        <is>
          <t>behemoth_tempest/3</t>
        </is>
      </c>
      <c r="B17" t="inlineStr">
        <is>
          <t>behemoth_tempest</t>
        </is>
      </c>
      <c r="C17" t="n">
        <v>3</v>
      </c>
      <c r="D17" t="inlineStr">
        <is>
          <t>sam_launcher</t>
        </is>
      </c>
      <c r="E17" t="inlineStr">
        <is>
          <t>cover</t>
        </is>
      </c>
      <c r="F17" t="inlineStr">
        <is>
          <t>Assets/MachineBrigade/Resources/Data/balance.json: escorts[1].arrive[3]</t>
        </is>
      </c>
      <c r="G17" t="inlineStr">
        <is>
          <t>{"unit":"sam_launcher","role":"cover"}</t>
        </is>
      </c>
    </row>
    <row r="18">
      <c r="A18" t="inlineStr">
        <is>
          <t>command_airship/0</t>
        </is>
      </c>
      <c r="B18" t="inlineStr">
        <is>
          <t>command_airship</t>
        </is>
      </c>
      <c r="C18" t="n">
        <v>0</v>
      </c>
      <c r="D18" t="inlineStr">
        <is>
          <t>fighter_jet</t>
        </is>
      </c>
      <c r="E18" t="inlineStr">
        <is>
          <t>cover</t>
        </is>
      </c>
      <c r="F18" t="inlineStr">
        <is>
          <t>Assets/MachineBrigade/Resources/Data/balance.json: escorts[11].arrive[0]</t>
        </is>
      </c>
      <c r="G18" t="inlineStr">
        <is>
          <t>{"unit":"fighter_jet","role":"cover"}</t>
        </is>
      </c>
    </row>
    <row r="19">
      <c r="A19" t="inlineStr">
        <is>
          <t>command_airship/1</t>
        </is>
      </c>
      <c r="B19" t="inlineStr">
        <is>
          <t>command_airship</t>
        </is>
      </c>
      <c r="C19" t="n">
        <v>1</v>
      </c>
      <c r="D19" t="inlineStr">
        <is>
          <t>fighter_jet</t>
        </is>
      </c>
      <c r="E19" t="inlineStr">
        <is>
          <t>cover</t>
        </is>
      </c>
      <c r="F19" t="inlineStr">
        <is>
          <t>Assets/MachineBrigade/Resources/Data/balance.json: escorts[11].arrive[1]</t>
        </is>
      </c>
      <c r="G19" t="inlineStr">
        <is>
          <t>{"unit":"fighter_jet","role":"cover"}</t>
        </is>
      </c>
    </row>
    <row r="20">
      <c r="A20" t="inlineStr">
        <is>
          <t>command_airship/2</t>
        </is>
      </c>
      <c r="B20" t="inlineStr">
        <is>
          <t>command_airship</t>
        </is>
      </c>
      <c r="C20" t="n">
        <v>2</v>
      </c>
      <c r="D20" t="inlineStr">
        <is>
          <t>fighter_jet</t>
        </is>
      </c>
      <c r="E20" t="inlineStr">
        <is>
          <t>cover</t>
        </is>
      </c>
      <c r="F20" t="inlineStr">
        <is>
          <t>Assets/MachineBrigade/Resources/Data/balance.json: escorts[11].arrive[2]</t>
        </is>
      </c>
      <c r="G20" t="inlineStr">
        <is>
          <t>{"unit":"fighter_jet","role":"cover"}</t>
        </is>
      </c>
    </row>
    <row r="21">
      <c r="A21" t="inlineStr">
        <is>
          <t>drone_mothership/0</t>
        </is>
      </c>
      <c r="B21" t="inlineStr">
        <is>
          <t>drone_mothership</t>
        </is>
      </c>
      <c r="C21" t="n">
        <v>0</v>
      </c>
      <c r="D21" t="inlineStr">
        <is>
          <t>strike_drone</t>
        </is>
      </c>
      <c r="F21" t="inlineStr">
        <is>
          <t>Assets/MachineBrigade/Resources/Data/balance.json: escorts[7].arrive[0]</t>
        </is>
      </c>
      <c r="G21" t="inlineStr">
        <is>
          <t>{"unit":"strike_drone"}</t>
        </is>
      </c>
    </row>
    <row r="22">
      <c r="A22" t="inlineStr">
        <is>
          <t>drone_mothership/1</t>
        </is>
      </c>
      <c r="B22" t="inlineStr">
        <is>
          <t>drone_mothership</t>
        </is>
      </c>
      <c r="C22" t="n">
        <v>1</v>
      </c>
      <c r="D22" t="inlineStr">
        <is>
          <t>strike_drone</t>
        </is>
      </c>
      <c r="F22" t="inlineStr">
        <is>
          <t>Assets/MachineBrigade/Resources/Data/balance.json: escorts[7].arrive[1]</t>
        </is>
      </c>
      <c r="G22" t="inlineStr">
        <is>
          <t>{"unit":"strike_drone"}</t>
        </is>
      </c>
    </row>
    <row r="23">
      <c r="A23" t="inlineStr">
        <is>
          <t>drone_mothership/2</t>
        </is>
      </c>
      <c r="B23" t="inlineStr">
        <is>
          <t>drone_mothership</t>
        </is>
      </c>
      <c r="C23" t="n">
        <v>2</v>
      </c>
      <c r="D23" t="inlineStr">
        <is>
          <t>fighter_jet</t>
        </is>
      </c>
      <c r="E23" t="inlineStr">
        <is>
          <t>cover</t>
        </is>
      </c>
      <c r="F23" t="inlineStr">
        <is>
          <t>Assets/MachineBrigade/Resources/Data/balance.json: escorts[7].arrive[2]</t>
        </is>
      </c>
      <c r="G23" t="inlineStr">
        <is>
          <t>{"unit":"fighter_jet","role":"cover"}</t>
        </is>
      </c>
    </row>
    <row r="24">
      <c r="A24" t="inlineStr">
        <is>
          <t>drone_mothership/3</t>
        </is>
      </c>
      <c r="B24" t="inlineStr">
        <is>
          <t>drone_mothership</t>
        </is>
      </c>
      <c r="C24" t="n">
        <v>3</v>
      </c>
      <c r="D24" t="inlineStr">
        <is>
          <t>recon_drone</t>
        </is>
      </c>
      <c r="E24" t="inlineStr">
        <is>
          <t>spot</t>
        </is>
      </c>
      <c r="F24" t="inlineStr">
        <is>
          <t>Assets/MachineBrigade/Resources/Data/balance.json: escorts[7].arrive[3]</t>
        </is>
      </c>
      <c r="G24" t="inlineStr">
        <is>
          <t>{"unit":"recon_drone","role":"spot"}</t>
        </is>
      </c>
    </row>
    <row r="25">
      <c r="A25" t="inlineStr">
        <is>
          <t>fortress_bastion/0</t>
        </is>
      </c>
      <c r="B25" t="inlineStr">
        <is>
          <t>fortress_bastion</t>
        </is>
      </c>
      <c r="C25" t="n">
        <v>0</v>
      </c>
      <c r="D25" t="inlineStr">
        <is>
          <t>tank_destroyer</t>
        </is>
      </c>
      <c r="F25" t="inlineStr">
        <is>
          <t>Assets/MachineBrigade/Resources/Data/balance.json: escorts[6].arrive[0]</t>
        </is>
      </c>
      <c r="G25" t="inlineStr">
        <is>
          <t>{"unit":"tank_destroyer"}</t>
        </is>
      </c>
    </row>
    <row r="26">
      <c r="A26" t="inlineStr">
        <is>
          <t>fortress_bastion/1</t>
        </is>
      </c>
      <c r="B26" t="inlineStr">
        <is>
          <t>fortress_bastion</t>
        </is>
      </c>
      <c r="C26" t="n">
        <v>1</v>
      </c>
      <c r="D26" t="inlineStr">
        <is>
          <t>tank_destroyer</t>
        </is>
      </c>
      <c r="F26" t="inlineStr">
        <is>
          <t>Assets/MachineBrigade/Resources/Data/balance.json: escorts[6].arrive[1]</t>
        </is>
      </c>
      <c r="G26" t="inlineStr">
        <is>
          <t>{"unit":"tank_destroyer"}</t>
        </is>
      </c>
    </row>
    <row r="27">
      <c r="A27" t="inlineStr">
        <is>
          <t>fortress_bastion/2</t>
        </is>
      </c>
      <c r="B27" t="inlineStr">
        <is>
          <t>fortress_bastion</t>
        </is>
      </c>
      <c r="C27" t="n">
        <v>2</v>
      </c>
      <c r="D27" t="inlineStr">
        <is>
          <t>main_battle_tank</t>
        </is>
      </c>
      <c r="F27" t="inlineStr">
        <is>
          <t>Assets/MachineBrigade/Resources/Data/balance.json: escorts[6].arrive[2]</t>
        </is>
      </c>
      <c r="G27" t="inlineStr">
        <is>
          <t>{"unit":"main_battle_tank"}</t>
        </is>
      </c>
    </row>
    <row r="28">
      <c r="A28" t="inlineStr">
        <is>
          <t>fortress_bastion/3</t>
        </is>
      </c>
      <c r="B28" t="inlineStr">
        <is>
          <t>fortress_bastion</t>
        </is>
      </c>
      <c r="C28" t="n">
        <v>3</v>
      </c>
      <c r="D28" t="inlineStr">
        <is>
          <t>heavy_aa</t>
        </is>
      </c>
      <c r="E28" t="inlineStr">
        <is>
          <t>cover</t>
        </is>
      </c>
      <c r="F28" t="inlineStr">
        <is>
          <t>Assets/MachineBrigade/Resources/Data/balance.json: escorts[6].arrive[3]</t>
        </is>
      </c>
      <c r="G28" t="inlineStr">
        <is>
          <t>{"unit":"heavy_aa","role":"cover"}</t>
        </is>
      </c>
    </row>
    <row r="29">
      <c r="A29" t="inlineStr">
        <is>
          <t>landing_hovercraft/0</t>
        </is>
      </c>
      <c r="B29" t="inlineStr">
        <is>
          <t>landing_hovercraft</t>
        </is>
      </c>
      <c r="C29" t="n">
        <v>0</v>
      </c>
      <c r="D29" t="inlineStr">
        <is>
          <t>hover_gunboat</t>
        </is>
      </c>
      <c r="F29" t="inlineStr">
        <is>
          <t>Assets/MachineBrigade/Resources/Data/balance.json: escorts[12].arrive[0]</t>
        </is>
      </c>
      <c r="G29" t="inlineStr">
        <is>
          <t>{"unit":"hover_gunboat"}</t>
        </is>
      </c>
    </row>
    <row r="30">
      <c r="A30" t="inlineStr">
        <is>
          <t>landing_hovercraft/1</t>
        </is>
      </c>
      <c r="B30" t="inlineStr">
        <is>
          <t>landing_hovercraft</t>
        </is>
      </c>
      <c r="C30" t="n">
        <v>1</v>
      </c>
      <c r="D30" t="inlineStr">
        <is>
          <t>hover_gunboat</t>
        </is>
      </c>
      <c r="F30" t="inlineStr">
        <is>
          <t>Assets/MachineBrigade/Resources/Data/balance.json: escorts[12].arrive[1]</t>
        </is>
      </c>
      <c r="G30" t="inlineStr">
        <is>
          <t>{"unit":"hover_gunboat"}</t>
        </is>
      </c>
    </row>
    <row r="31">
      <c r="A31" t="inlineStr">
        <is>
          <t>landing_hovercraft/2</t>
        </is>
      </c>
      <c r="B31" t="inlineStr">
        <is>
          <t>landing_hovercraft</t>
        </is>
      </c>
      <c r="C31" t="n">
        <v>2</v>
      </c>
      <c r="D31" t="inlineStr">
        <is>
          <t>aa_vehicle</t>
        </is>
      </c>
      <c r="E31" t="inlineStr">
        <is>
          <t>cover</t>
        </is>
      </c>
      <c r="F31" t="inlineStr">
        <is>
          <t>Assets/MachineBrigade/Resources/Data/balance.json: escorts[12].arrive[2]</t>
        </is>
      </c>
      <c r="G31" t="inlineStr">
        <is>
          <t>{"unit":"aa_vehicle","role":"cover"}</t>
        </is>
      </c>
    </row>
    <row r="32">
      <c r="A32" t="inlineStr">
        <is>
          <t>landing_hovercraft/3</t>
        </is>
      </c>
      <c r="B32" t="inlineStr">
        <is>
          <t>landing_hovercraft</t>
        </is>
      </c>
      <c r="C32" t="n">
        <v>3</v>
      </c>
      <c r="D32" t="inlineStr">
        <is>
          <t>hover_gunboat</t>
        </is>
      </c>
      <c r="E32" t="inlineStr">
        <is>
          <t>spot</t>
        </is>
      </c>
      <c r="F32" t="inlineStr">
        <is>
          <t>Assets/MachineBrigade/Resources/Data/balance.json: escorts[12].arrive[3]</t>
        </is>
      </c>
      <c r="G32" t="inlineStr">
        <is>
          <t>{"unit":"hover_gunboat","role":"spot"}</t>
        </is>
      </c>
    </row>
    <row r="33">
      <c r="A33" t="inlineStr">
        <is>
          <t>mega_gunship/0</t>
        </is>
      </c>
      <c r="B33" t="inlineStr">
        <is>
          <t>mega_gunship</t>
        </is>
      </c>
      <c r="C33" t="n">
        <v>0</v>
      </c>
      <c r="D33" t="inlineStr">
        <is>
          <t>attack_helicopter</t>
        </is>
      </c>
      <c r="F33" t="inlineStr">
        <is>
          <t>Assets/MachineBrigade/Resources/Data/balance.json: escorts[4].arrive[0]</t>
        </is>
      </c>
      <c r="G33" t="inlineStr">
        <is>
          <t>{"unit":"attack_helicopter"}</t>
        </is>
      </c>
    </row>
    <row r="34">
      <c r="A34" t="inlineStr">
        <is>
          <t>mega_gunship/1</t>
        </is>
      </c>
      <c r="B34" t="inlineStr">
        <is>
          <t>mega_gunship</t>
        </is>
      </c>
      <c r="C34" t="n">
        <v>1</v>
      </c>
      <c r="D34" t="inlineStr">
        <is>
          <t>attack_helicopter</t>
        </is>
      </c>
      <c r="F34" t="inlineStr">
        <is>
          <t>Assets/MachineBrigade/Resources/Data/balance.json: escorts[4].arrive[1]</t>
        </is>
      </c>
      <c r="G34" t="inlineStr">
        <is>
          <t>{"unit":"attack_helicopter"}</t>
        </is>
      </c>
    </row>
    <row r="35">
      <c r="A35" t="inlineStr">
        <is>
          <t>mega_gunship/2</t>
        </is>
      </c>
      <c r="B35" t="inlineStr">
        <is>
          <t>mega_gunship</t>
        </is>
      </c>
      <c r="C35" t="n">
        <v>2</v>
      </c>
      <c r="D35" t="inlineStr">
        <is>
          <t>fighter_jet</t>
        </is>
      </c>
      <c r="E35" t="inlineStr">
        <is>
          <t>cover</t>
        </is>
      </c>
      <c r="F35" t="inlineStr">
        <is>
          <t>Assets/MachineBrigade/Resources/Data/balance.json: escorts[4].arrive[2]</t>
        </is>
      </c>
      <c r="G35" t="inlineStr">
        <is>
          <t>{"unit":"fighter_jet","role":"cover"}</t>
        </is>
      </c>
    </row>
    <row r="36">
      <c r="A36" t="inlineStr">
        <is>
          <t>mega_gunship/3</t>
        </is>
      </c>
      <c r="B36" t="inlineStr">
        <is>
          <t>mega_gunship</t>
        </is>
      </c>
      <c r="C36" t="n">
        <v>3</v>
      </c>
      <c r="D36" t="inlineStr">
        <is>
          <t>scout_heli</t>
        </is>
      </c>
      <c r="E36" t="inlineStr">
        <is>
          <t>spot</t>
        </is>
      </c>
      <c r="F36" t="inlineStr">
        <is>
          <t>Assets/MachineBrigade/Resources/Data/balance.json: escorts[4].arrive[3]</t>
        </is>
      </c>
      <c r="G36" t="inlineStr">
        <is>
          <t>{"unit":"scout_heli","role":"spot"}</t>
        </is>
      </c>
    </row>
    <row r="37">
      <c r="A37" t="inlineStr">
        <is>
          <t>mobile_fortress/0</t>
        </is>
      </c>
      <c r="B37" t="inlineStr">
        <is>
          <t>mobile_fortress</t>
        </is>
      </c>
      <c r="C37" t="n">
        <v>0</v>
      </c>
      <c r="D37" t="inlineStr">
        <is>
          <t>heavy_tank</t>
        </is>
      </c>
      <c r="F37" t="inlineStr">
        <is>
          <t>Assets/MachineBrigade/Resources/Data/balance.json: escorts[5].arrive[0]</t>
        </is>
      </c>
      <c r="G37" t="inlineStr">
        <is>
          <t>{"unit":"heavy_tank"}</t>
        </is>
      </c>
    </row>
    <row r="38">
      <c r="A38" t="inlineStr">
        <is>
          <t>mobile_fortress/1</t>
        </is>
      </c>
      <c r="B38" t="inlineStr">
        <is>
          <t>mobile_fortress</t>
        </is>
      </c>
      <c r="C38" t="n">
        <v>1</v>
      </c>
      <c r="D38" t="inlineStr">
        <is>
          <t>heavy_tank</t>
        </is>
      </c>
      <c r="F38" t="inlineStr">
        <is>
          <t>Assets/MachineBrigade/Resources/Data/balance.json: escorts[5].arrive[1]</t>
        </is>
      </c>
      <c r="G38" t="inlineStr">
        <is>
          <t>{"unit":"heavy_tank"}</t>
        </is>
      </c>
    </row>
    <row r="39">
      <c r="A39" t="inlineStr">
        <is>
          <t>mobile_fortress/2</t>
        </is>
      </c>
      <c r="B39" t="inlineStr">
        <is>
          <t>mobile_fortress</t>
        </is>
      </c>
      <c r="C39" t="n">
        <v>2</v>
      </c>
      <c r="D39" t="inlineStr">
        <is>
          <t>sam_launcher</t>
        </is>
      </c>
      <c r="E39" t="inlineStr">
        <is>
          <t>cover</t>
        </is>
      </c>
      <c r="F39" t="inlineStr">
        <is>
          <t>Assets/MachineBrigade/Resources/Data/balance.json: escorts[5].arrive[2]</t>
        </is>
      </c>
      <c r="G39" t="inlineStr">
        <is>
          <t>{"unit":"sam_launcher","role":"cover"}</t>
        </is>
      </c>
    </row>
    <row r="40">
      <c r="A40" t="inlineStr">
        <is>
          <t>mobile_fortress/3</t>
        </is>
      </c>
      <c r="B40" t="inlineStr">
        <is>
          <t>mobile_fortress</t>
        </is>
      </c>
      <c r="C40" t="n">
        <v>3</v>
      </c>
      <c r="D40" t="inlineStr">
        <is>
          <t>engineer_vehicle</t>
        </is>
      </c>
      <c r="E40" t="inlineStr">
        <is>
          <t>repair</t>
        </is>
      </c>
      <c r="F40" t="inlineStr">
        <is>
          <t>Assets/MachineBrigade/Resources/Data/balance.json: escorts[5].arrive[3]</t>
        </is>
      </c>
      <c r="G40" t="inlineStr">
        <is>
          <t>{"unit":"engineer_vehicle","role":"repair"}</t>
        </is>
      </c>
    </row>
    <row r="41">
      <c r="A41" t="inlineStr">
        <is>
          <t>nuke_train/0</t>
        </is>
      </c>
      <c r="B41" t="inlineStr">
        <is>
          <t>nuke_train</t>
        </is>
      </c>
      <c r="C41" t="n">
        <v>0</v>
      </c>
      <c r="D41" t="inlineStr">
        <is>
          <t>ifv</t>
        </is>
      </c>
      <c r="F41" t="inlineStr">
        <is>
          <t>Assets/MachineBrigade/Resources/Data/balance.json: escorts[9].arrive[0]</t>
        </is>
      </c>
      <c r="G41" t="inlineStr">
        <is>
          <t>{"unit":"ifv"}</t>
        </is>
      </c>
    </row>
    <row r="42">
      <c r="A42" t="inlineStr">
        <is>
          <t>nuke_train/1</t>
        </is>
      </c>
      <c r="B42" t="inlineStr">
        <is>
          <t>nuke_train</t>
        </is>
      </c>
      <c r="C42" t="n">
        <v>1</v>
      </c>
      <c r="D42" t="inlineStr">
        <is>
          <t>ifv</t>
        </is>
      </c>
      <c r="F42" t="inlineStr">
        <is>
          <t>Assets/MachineBrigade/Resources/Data/balance.json: escorts[9].arrive[1]</t>
        </is>
      </c>
      <c r="G42" t="inlineStr">
        <is>
          <t>{"unit":"ifv"}</t>
        </is>
      </c>
    </row>
    <row r="43">
      <c r="A43" t="inlineStr">
        <is>
          <t>nuke_train/2</t>
        </is>
      </c>
      <c r="B43" t="inlineStr">
        <is>
          <t>nuke_train</t>
        </is>
      </c>
      <c r="C43" t="n">
        <v>2</v>
      </c>
      <c r="D43" t="inlineStr">
        <is>
          <t>sam_launcher</t>
        </is>
      </c>
      <c r="E43" t="inlineStr">
        <is>
          <t>cover</t>
        </is>
      </c>
      <c r="F43" t="inlineStr">
        <is>
          <t>Assets/MachineBrigade/Resources/Data/balance.json: escorts[9].arrive[2]</t>
        </is>
      </c>
      <c r="G43" t="inlineStr">
        <is>
          <t>{"unit":"sam_launcher","role":"cover"}</t>
        </is>
      </c>
    </row>
    <row r="44">
      <c r="A44" t="inlineStr">
        <is>
          <t>nuke_train/3</t>
        </is>
      </c>
      <c r="B44" t="inlineStr">
        <is>
          <t>nuke_train</t>
        </is>
      </c>
      <c r="C44" t="n">
        <v>3</v>
      </c>
      <c r="D44" t="inlineStr">
        <is>
          <t>scout_heli</t>
        </is>
      </c>
      <c r="E44" t="inlineStr">
        <is>
          <t>spot</t>
        </is>
      </c>
      <c r="F44" t="inlineStr">
        <is>
          <t>Assets/MachineBrigade/Resources/Data/balance.json: escorts[9].arrive[3]</t>
        </is>
      </c>
      <c r="G44" t="inlineStr">
        <is>
          <t>{"unit":"scout_heli","role":"spot"}</t>
        </is>
      </c>
    </row>
    <row r="45">
      <c r="A45" t="inlineStr">
        <is>
          <t>silver_bug/0</t>
        </is>
      </c>
      <c r="B45" t="inlineStr">
        <is>
          <t>silver_bug</t>
        </is>
      </c>
      <c r="C45" t="n">
        <v>0</v>
      </c>
      <c r="D45" t="inlineStr">
        <is>
          <t>elite_heavy_tank</t>
        </is>
      </c>
      <c r="F45" t="inlineStr">
        <is>
          <t>Assets/MachineBrigade/Resources/Data/balance.json: escorts[8].arrive[0]</t>
        </is>
      </c>
      <c r="G45" t="inlineStr">
        <is>
          <t>{"unit":"elite_heavy_tank"}</t>
        </is>
      </c>
    </row>
    <row r="46">
      <c r="A46" t="inlineStr">
        <is>
          <t>silver_bug/1</t>
        </is>
      </c>
      <c r="B46" t="inlineStr">
        <is>
          <t>silver_bug</t>
        </is>
      </c>
      <c r="C46" t="n">
        <v>1</v>
      </c>
      <c r="D46" t="inlineStr">
        <is>
          <t>elite_grad</t>
        </is>
      </c>
      <c r="F46" t="inlineStr">
        <is>
          <t>Assets/MachineBrigade/Resources/Data/balance.json: escorts[8].arrive[1]</t>
        </is>
      </c>
      <c r="G46" t="inlineStr">
        <is>
          <t>{"unit":"elite_grad"}</t>
        </is>
      </c>
    </row>
    <row r="47">
      <c r="A47" t="inlineStr">
        <is>
          <t>silver_bug/2</t>
        </is>
      </c>
      <c r="B47" t="inlineStr">
        <is>
          <t>silver_bug</t>
        </is>
      </c>
      <c r="C47" t="n">
        <v>2</v>
      </c>
      <c r="D47" t="inlineStr">
        <is>
          <t>recon_drone</t>
        </is>
      </c>
      <c r="E47" t="inlineStr">
        <is>
          <t>spot</t>
        </is>
      </c>
      <c r="F47" t="inlineStr">
        <is>
          <t>Assets/MachineBrigade/Resources/Data/balance.json: escorts[8].arrive[2]</t>
        </is>
      </c>
      <c r="G47" t="inlineStr">
        <is>
          <t>{"unit":"recon_drone","role":"spot"}</t>
        </is>
      </c>
    </row>
    <row r="48">
      <c r="A48" t="inlineStr">
        <is>
          <t>silver_bug/3</t>
        </is>
      </c>
      <c r="B48" t="inlineStr">
        <is>
          <t>silver_bug</t>
        </is>
      </c>
      <c r="C48" t="n">
        <v>3</v>
      </c>
      <c r="D48" t="inlineStr">
        <is>
          <t>fighter_jet</t>
        </is>
      </c>
      <c r="E48" t="inlineStr">
        <is>
          <t>cover</t>
        </is>
      </c>
      <c r="F48" t="inlineStr">
        <is>
          <t>Assets/MachineBrigade/Resources/Data/balance.json: escorts[8].arrive[3]</t>
        </is>
      </c>
      <c r="G48" t="inlineStr">
        <is>
          <t>{"unit":"fighter_jet","role":"cover"}</t>
        </is>
      </c>
    </row>
    <row r="49">
      <c r="A49" t="inlineStr">
        <is>
          <t>silver_bug/4</t>
        </is>
      </c>
      <c r="B49" t="inlineStr">
        <is>
          <t>silver_bug</t>
        </is>
      </c>
      <c r="C49" t="n">
        <v>4</v>
      </c>
      <c r="D49" t="inlineStr">
        <is>
          <t>fighter_jet</t>
        </is>
      </c>
      <c r="E49" t="inlineStr">
        <is>
          <t>cover</t>
        </is>
      </c>
      <c r="F49" t="inlineStr">
        <is>
          <t>Assets/MachineBrigade/Resources/Data/balance.json: escorts[8].arrive[4]</t>
        </is>
      </c>
      <c r="G49" t="inlineStr">
        <is>
          <t>{"unit":"fighter_jet","role":"cover"}</t>
        </is>
      </c>
    </row>
  </sheetData>
  <autoFilter ref="A1:G49"/>
  <pageMargins left="0.75" right="0.75" top="1" bottom="1" header="0.5" footer="0.5"/>
</worksheet>
</file>

<file path=xl/worksheets/sheet2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7" customWidth="1" min="2" max="2"/>
    <col width="8" customWidth="1" min="3" max="3"/>
    <col width="17" customWidth="1" min="4" max="4"/>
    <col width="8" customWidth="1" min="5" max="5"/>
    <col width="60" customWidth="1" min="6" max="6"/>
    <col width="44" customWidth="1" min="7" max="7"/>
  </cols>
  <sheetData>
    <row r="1">
      <c r="A1" s="1" t="inlineStr">
        <is>
          <t>id</t>
        </is>
      </c>
      <c r="B1" s="1" t="inlineStr">
        <is>
          <t>boss_ho_tong_id</t>
        </is>
      </c>
      <c r="C1" s="1" t="inlineStr">
        <is>
          <t>thu_tu</t>
        </is>
      </c>
      <c r="D1" s="1" t="inlineStr">
        <is>
          <t>unit</t>
        </is>
      </c>
      <c r="E1" s="1" t="inlineStr">
        <is>
          <t>role</t>
        </is>
      </c>
      <c r="F1" s="1" t="inlineStr">
        <is>
          <t>nguon</t>
        </is>
      </c>
      <c r="G1" s="1" t="inlineStr">
        <is>
          <t>raw_json</t>
        </is>
      </c>
    </row>
    <row r="2">
      <c r="A2" t="inlineStr">
        <is>
          <t>armored_train/0</t>
        </is>
      </c>
      <c r="B2" t="inlineStr">
        <is>
          <t>armored_train</t>
        </is>
      </c>
      <c r="C2" t="n">
        <v>0</v>
      </c>
      <c r="D2" t="inlineStr">
        <is>
          <t>light_tank</t>
        </is>
      </c>
      <c r="F2" t="inlineStr">
        <is>
          <t>Assets/MachineBrigade/Resources/Data/balance.json: escorts[0].phase.units[0]</t>
        </is>
      </c>
      <c r="G2" t="inlineStr">
        <is>
          <t>{"unit":"light_tank"}</t>
        </is>
      </c>
    </row>
    <row r="3">
      <c r="A3" t="inlineStr">
        <is>
          <t>armored_train/1</t>
        </is>
      </c>
      <c r="B3" t="inlineStr">
        <is>
          <t>armored_train</t>
        </is>
      </c>
      <c r="C3" t="n">
        <v>1</v>
      </c>
      <c r="D3" t="inlineStr">
        <is>
          <t>light_tank</t>
        </is>
      </c>
      <c r="F3" t="inlineStr">
        <is>
          <t>Assets/MachineBrigade/Resources/Data/balance.json: escorts[0].phase.units[1]</t>
        </is>
      </c>
      <c r="G3" t="inlineStr">
        <is>
          <t>{"unit":"light_tank"}</t>
        </is>
      </c>
    </row>
    <row r="4">
      <c r="A4" t="inlineStr">
        <is>
          <t>armored_train/2</t>
        </is>
      </c>
      <c r="B4" t="inlineStr">
        <is>
          <t>armored_train</t>
        </is>
      </c>
      <c r="C4" t="n">
        <v>2</v>
      </c>
      <c r="D4" t="inlineStr">
        <is>
          <t>engineer_vehicle</t>
        </is>
      </c>
      <c r="E4" t="inlineStr">
        <is>
          <t>repair</t>
        </is>
      </c>
      <c r="F4" t="inlineStr">
        <is>
          <t>Assets/MachineBrigade/Resources/Data/balance.json: escorts[0].phase.units[2]</t>
        </is>
      </c>
      <c r="G4" t="inlineStr">
        <is>
          <t>{"unit":"engineer_vehicle","role":"repair"}</t>
        </is>
      </c>
    </row>
    <row r="5">
      <c r="A5" t="inlineStr">
        <is>
          <t>behemoth_tempest/0</t>
        </is>
      </c>
      <c r="B5" t="inlineStr">
        <is>
          <t>behemoth_tempest</t>
        </is>
      </c>
      <c r="C5" t="n">
        <v>0</v>
      </c>
      <c r="D5" t="inlineStr">
        <is>
          <t>ew_jammer</t>
        </is>
      </c>
      <c r="E5" t="inlineStr">
        <is>
          <t>jam</t>
        </is>
      </c>
      <c r="F5" t="inlineStr">
        <is>
          <t>Assets/MachineBrigade/Resources/Data/balance.json: escorts[1].phase.units[0]</t>
        </is>
      </c>
      <c r="G5" t="inlineStr">
        <is>
          <t>{"unit":"ew_jammer","role":"jam"}</t>
        </is>
      </c>
    </row>
    <row r="6">
      <c r="A6" t="inlineStr">
        <is>
          <t>behemoth_tempest/1</t>
        </is>
      </c>
      <c r="B6" t="inlineStr">
        <is>
          <t>behemoth_tempest</t>
        </is>
      </c>
      <c r="C6" t="n">
        <v>1</v>
      </c>
      <c r="D6" t="inlineStr">
        <is>
          <t>ew_jammer</t>
        </is>
      </c>
      <c r="E6" t="inlineStr">
        <is>
          <t>jam</t>
        </is>
      </c>
      <c r="F6" t="inlineStr">
        <is>
          <t>Assets/MachineBrigade/Resources/Data/balance.json: escorts[1].phase.units[1]</t>
        </is>
      </c>
      <c r="G6" t="inlineStr">
        <is>
          <t>{"unit":"ew_jammer","role":"jam"}</t>
        </is>
      </c>
    </row>
    <row r="7">
      <c r="A7" t="inlineStr">
        <is>
          <t>earth_borer/0</t>
        </is>
      </c>
      <c r="B7" t="inlineStr">
        <is>
          <t>earth_borer</t>
        </is>
      </c>
      <c r="C7" t="n">
        <v>0</v>
      </c>
      <c r="D7" t="inlineStr">
        <is>
          <t>ifv</t>
        </is>
      </c>
      <c r="F7" t="inlineStr">
        <is>
          <t>Assets/MachineBrigade/Resources/Data/balance.json: escorts[10].phase.units[0]</t>
        </is>
      </c>
      <c r="G7" t="inlineStr">
        <is>
          <t>{"unit":"ifv"}</t>
        </is>
      </c>
    </row>
    <row r="8">
      <c r="A8" t="inlineStr">
        <is>
          <t>earth_borer/1</t>
        </is>
      </c>
      <c r="B8" t="inlineStr">
        <is>
          <t>earth_borer</t>
        </is>
      </c>
      <c r="C8" t="n">
        <v>1</v>
      </c>
      <c r="D8" t="inlineStr">
        <is>
          <t>aa_vehicle</t>
        </is>
      </c>
      <c r="E8" t="inlineStr">
        <is>
          <t>cover</t>
        </is>
      </c>
      <c r="F8" t="inlineStr">
        <is>
          <t>Assets/MachineBrigade/Resources/Data/balance.json: escorts[10].phase.units[1]</t>
        </is>
      </c>
      <c r="G8" t="inlineStr">
        <is>
          <t>{"unit":"aa_vehicle","role":"cover"}</t>
        </is>
      </c>
    </row>
    <row r="9">
      <c r="A9" t="inlineStr">
        <is>
          <t>earth_borer/2</t>
        </is>
      </c>
      <c r="B9" t="inlineStr">
        <is>
          <t>earth_borer</t>
        </is>
      </c>
      <c r="C9" t="n">
        <v>2</v>
      </c>
      <c r="D9" t="inlineStr">
        <is>
          <t>engineer_vehicle</t>
        </is>
      </c>
      <c r="E9" t="inlineStr">
        <is>
          <t>repair</t>
        </is>
      </c>
      <c r="F9" t="inlineStr">
        <is>
          <t>Assets/MachineBrigade/Resources/Data/balance.json: escorts[10].phase.units[2]</t>
        </is>
      </c>
      <c r="G9" t="inlineStr">
        <is>
          <t>{"unit":"engineer_vehicle","role":"repair"}</t>
        </is>
      </c>
    </row>
  </sheetData>
  <autoFilter ref="A1:G9"/>
  <pageMargins left="0.75" right="0.75" top="1" bottom="1" header="0.5" footer="0.5"/>
</worksheet>
</file>

<file path=xl/worksheets/sheet2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1" customWidth="1" min="1" max="1"/>
    <col width="19" customWidth="1" min="2" max="2"/>
    <col width="8" customWidth="1" min="3" max="3"/>
    <col width="8" customWidth="1" min="4" max="4"/>
    <col width="8" customWidth="1" min="5" max="5"/>
    <col width="18" customWidth="1" min="6" max="6"/>
    <col width="60" customWidth="1" min="7" max="7"/>
    <col width="44" customWidth="1" min="8" max="8"/>
  </cols>
  <sheetData>
    <row r="1">
      <c r="A1" s="1" t="inlineStr">
        <is>
          <t>id</t>
        </is>
      </c>
      <c r="B1" s="1" t="inlineStr">
        <is>
          <t>boss_ho_tong_id</t>
        </is>
      </c>
      <c r="C1" s="1" t="inlineStr">
        <is>
          <t>thu_tu</t>
        </is>
      </c>
      <c r="D1" s="1" t="inlineStr">
        <is>
          <t>elite</t>
        </is>
      </c>
      <c r="E1" s="1" t="inlineStr">
        <is>
          <t>role</t>
        </is>
      </c>
      <c r="F1" s="1" t="inlineStr">
        <is>
          <t>unit</t>
        </is>
      </c>
      <c r="G1" s="1" t="inlineStr">
        <is>
          <t>nguon</t>
        </is>
      </c>
      <c r="H1" s="1" t="inlineStr">
        <is>
          <t>raw_json</t>
        </is>
      </c>
    </row>
    <row r="2">
      <c r="A2" t="inlineStr">
        <is>
          <t>behemoth/0</t>
        </is>
      </c>
      <c r="B2" t="inlineStr">
        <is>
          <t>behemoth</t>
        </is>
      </c>
      <c r="C2" t="n">
        <v>0</v>
      </c>
      <c r="D2" t="b">
        <v>1</v>
      </c>
      <c r="F2" t="inlineStr">
        <is>
          <t>heavy_tank</t>
        </is>
      </c>
      <c r="G2" t="inlineStr">
        <is>
          <t>Assets/MachineBrigade/Resources/Data/balance.json: escorts[2].phase[0]</t>
        </is>
      </c>
      <c r="H2" t="inlineStr">
        <is>
          <t>{"unit":"heavy_tank","elite":true}</t>
        </is>
      </c>
    </row>
    <row r="3">
      <c r="A3" t="inlineStr">
        <is>
          <t>behemoth/1</t>
        </is>
      </c>
      <c r="B3" t="inlineStr">
        <is>
          <t>behemoth</t>
        </is>
      </c>
      <c r="C3" t="n">
        <v>1</v>
      </c>
      <c r="E3" t="inlineStr">
        <is>
          <t>repair</t>
        </is>
      </c>
      <c r="F3" t="inlineStr">
        <is>
          <t>engineer_vehicle</t>
        </is>
      </c>
      <c r="G3" t="inlineStr">
        <is>
          <t>Assets/MachineBrigade/Resources/Data/balance.json: escorts[2].phase[1]</t>
        </is>
      </c>
      <c r="H3" t="inlineStr">
        <is>
          <t>{"unit":"engineer_vehicle","role":"repair"}</t>
        </is>
      </c>
    </row>
    <row r="4">
      <c r="A4" t="inlineStr">
        <is>
          <t>behemoth_inferno/0</t>
        </is>
      </c>
      <c r="B4" t="inlineStr">
        <is>
          <t>behemoth_inferno</t>
        </is>
      </c>
      <c r="C4" t="n">
        <v>0</v>
      </c>
      <c r="F4" t="inlineStr">
        <is>
          <t>flame_tank</t>
        </is>
      </c>
      <c r="G4" t="inlineStr">
        <is>
          <t>Assets/MachineBrigade/Resources/Data/balance.json: escorts[3].phase[0]</t>
        </is>
      </c>
      <c r="H4" t="inlineStr">
        <is>
          <t>{"unit":"flame_tank"}</t>
        </is>
      </c>
    </row>
    <row r="5">
      <c r="A5" t="inlineStr">
        <is>
          <t>behemoth_inferno/1</t>
        </is>
      </c>
      <c r="B5" t="inlineStr">
        <is>
          <t>behemoth_inferno</t>
        </is>
      </c>
      <c r="C5" t="n">
        <v>1</v>
      </c>
      <c r="F5" t="inlineStr">
        <is>
          <t>flame_tank</t>
        </is>
      </c>
      <c r="G5" t="inlineStr">
        <is>
          <t>Assets/MachineBrigade/Resources/Data/balance.json: escorts[3].phase[1]</t>
        </is>
      </c>
      <c r="H5" t="inlineStr">
        <is>
          <t>{"unit":"flame_tank"}</t>
        </is>
      </c>
    </row>
    <row r="6">
      <c r="A6" t="inlineStr">
        <is>
          <t>behemoth_inferno/2</t>
        </is>
      </c>
      <c r="B6" t="inlineStr">
        <is>
          <t>behemoth_inferno</t>
        </is>
      </c>
      <c r="C6" t="n">
        <v>2</v>
      </c>
      <c r="E6" t="inlineStr">
        <is>
          <t>repair</t>
        </is>
      </c>
      <c r="F6" t="inlineStr">
        <is>
          <t>engineer_vehicle</t>
        </is>
      </c>
      <c r="G6" t="inlineStr">
        <is>
          <t>Assets/MachineBrigade/Resources/Data/balance.json: escorts[3].phase[2]</t>
        </is>
      </c>
      <c r="H6" t="inlineStr">
        <is>
          <t>{"unit":"engineer_vehicle","role":"repair"}</t>
        </is>
      </c>
    </row>
    <row r="7">
      <c r="A7" t="inlineStr">
        <is>
          <t>command_airship/0</t>
        </is>
      </c>
      <c r="B7" t="inlineStr">
        <is>
          <t>command_airship</t>
        </is>
      </c>
      <c r="C7" t="n">
        <v>0</v>
      </c>
      <c r="F7" t="inlineStr">
        <is>
          <t>attack_helicopter</t>
        </is>
      </c>
      <c r="G7" t="inlineStr">
        <is>
          <t>Assets/MachineBrigade/Resources/Data/balance.json: escorts[11].phase[0]</t>
        </is>
      </c>
      <c r="H7" t="inlineStr">
        <is>
          <t>{"unit":"attack_helicopter"}</t>
        </is>
      </c>
    </row>
    <row r="8">
      <c r="A8" t="inlineStr">
        <is>
          <t>command_airship/1</t>
        </is>
      </c>
      <c r="B8" t="inlineStr">
        <is>
          <t>command_airship</t>
        </is>
      </c>
      <c r="C8" t="n">
        <v>1</v>
      </c>
      <c r="E8" t="inlineStr">
        <is>
          <t>spot</t>
        </is>
      </c>
      <c r="F8" t="inlineStr">
        <is>
          <t>scout_heli</t>
        </is>
      </c>
      <c r="G8" t="inlineStr">
        <is>
          <t>Assets/MachineBrigade/Resources/Data/balance.json: escorts[11].phase[1]</t>
        </is>
      </c>
      <c r="H8" t="inlineStr">
        <is>
          <t>{"unit":"scout_heli","role":"spot"}</t>
        </is>
      </c>
    </row>
    <row r="9">
      <c r="A9" t="inlineStr">
        <is>
          <t>drone_mothership/0</t>
        </is>
      </c>
      <c r="B9" t="inlineStr">
        <is>
          <t>drone_mothership</t>
        </is>
      </c>
      <c r="C9" t="n">
        <v>0</v>
      </c>
      <c r="E9" t="inlineStr">
        <is>
          <t>spot</t>
        </is>
      </c>
      <c r="F9" t="inlineStr">
        <is>
          <t>scout_heli</t>
        </is>
      </c>
      <c r="G9" t="inlineStr">
        <is>
          <t>Assets/MachineBrigade/Resources/Data/balance.json: escorts[7].phase[0]</t>
        </is>
      </c>
      <c r="H9" t="inlineStr">
        <is>
          <t>{"unit":"scout_heli","role":"spot"}</t>
        </is>
      </c>
    </row>
    <row r="10">
      <c r="A10" t="inlineStr">
        <is>
          <t>fortress_bastion/0</t>
        </is>
      </c>
      <c r="B10" t="inlineStr">
        <is>
          <t>fortress_bastion</t>
        </is>
      </c>
      <c r="C10" t="n">
        <v>0</v>
      </c>
      <c r="F10" t="inlineStr">
        <is>
          <t>heavy_tank</t>
        </is>
      </c>
      <c r="G10" t="inlineStr">
        <is>
          <t>Assets/MachineBrigade/Resources/Data/balance.json: escorts[6].phase[0]</t>
        </is>
      </c>
      <c r="H10" t="inlineStr">
        <is>
          <t>{"unit":"heavy_tank"}</t>
        </is>
      </c>
    </row>
    <row r="11">
      <c r="A11" t="inlineStr">
        <is>
          <t>fortress_bastion/1</t>
        </is>
      </c>
      <c r="B11" t="inlineStr">
        <is>
          <t>fortress_bastion</t>
        </is>
      </c>
      <c r="C11" t="n">
        <v>1</v>
      </c>
      <c r="E11" t="inlineStr">
        <is>
          <t>cover</t>
        </is>
      </c>
      <c r="F11" t="inlineStr">
        <is>
          <t>sam_launcher</t>
        </is>
      </c>
      <c r="G11" t="inlineStr">
        <is>
          <t>Assets/MachineBrigade/Resources/Data/balance.json: escorts[6].phase[1]</t>
        </is>
      </c>
      <c r="H11" t="inlineStr">
        <is>
          <t>{"unit":"sam_launcher","role":"cover"}</t>
        </is>
      </c>
    </row>
    <row r="12">
      <c r="A12" t="inlineStr">
        <is>
          <t>fortress_bastion/2</t>
        </is>
      </c>
      <c r="B12" t="inlineStr">
        <is>
          <t>fortress_bastion</t>
        </is>
      </c>
      <c r="C12" t="n">
        <v>2</v>
      </c>
      <c r="E12" t="inlineStr">
        <is>
          <t>repair</t>
        </is>
      </c>
      <c r="F12" t="inlineStr">
        <is>
          <t>engineer_vehicle</t>
        </is>
      </c>
      <c r="G12" t="inlineStr">
        <is>
          <t>Assets/MachineBrigade/Resources/Data/balance.json: escorts[6].phase[2]</t>
        </is>
      </c>
      <c r="H12" t="inlineStr">
        <is>
          <t>{"unit":"engineer_vehicle","role":"repair"}</t>
        </is>
      </c>
    </row>
    <row r="13">
      <c r="A13" t="inlineStr">
        <is>
          <t>landing_hovercraft/0</t>
        </is>
      </c>
      <c r="B13" t="inlineStr">
        <is>
          <t>landing_hovercraft</t>
        </is>
      </c>
      <c r="C13" t="n">
        <v>0</v>
      </c>
      <c r="E13" t="inlineStr">
        <is>
          <t>spot</t>
        </is>
      </c>
      <c r="F13" t="inlineStr">
        <is>
          <t>hover_gunboat</t>
        </is>
      </c>
      <c r="G13" t="inlineStr">
        <is>
          <t>Assets/MachineBrigade/Resources/Data/balance.json: escorts[12].phase[0]</t>
        </is>
      </c>
      <c r="H13" t="inlineStr">
        <is>
          <t>{"unit":"hover_gunboat","role":"spot"}</t>
        </is>
      </c>
    </row>
    <row r="14">
      <c r="A14" t="inlineStr">
        <is>
          <t>mega_gunship/0</t>
        </is>
      </c>
      <c r="B14" t="inlineStr">
        <is>
          <t>mega_gunship</t>
        </is>
      </c>
      <c r="C14" t="n">
        <v>0</v>
      </c>
      <c r="E14" t="inlineStr">
        <is>
          <t>spot</t>
        </is>
      </c>
      <c r="F14" t="inlineStr">
        <is>
          <t>scout_heli</t>
        </is>
      </c>
      <c r="G14" t="inlineStr">
        <is>
          <t>Assets/MachineBrigade/Resources/Data/balance.json: escorts[4].phase[0]</t>
        </is>
      </c>
      <c r="H14" t="inlineStr">
        <is>
          <t>{"unit":"scout_heli","role":"spot"}</t>
        </is>
      </c>
    </row>
    <row r="15">
      <c r="A15" t="inlineStr">
        <is>
          <t>mobile_fortress/0</t>
        </is>
      </c>
      <c r="B15" t="inlineStr">
        <is>
          <t>mobile_fortress</t>
        </is>
      </c>
      <c r="C15" t="n">
        <v>0</v>
      </c>
      <c r="E15" t="inlineStr">
        <is>
          <t>repair</t>
        </is>
      </c>
      <c r="F15" t="inlineStr">
        <is>
          <t>engineer_vehicle</t>
        </is>
      </c>
      <c r="G15" t="inlineStr">
        <is>
          <t>Assets/MachineBrigade/Resources/Data/balance.json: escorts[5].phase[0]</t>
        </is>
      </c>
      <c r="H15" t="inlineStr">
        <is>
          <t>{"unit":"engineer_vehicle","role":"repair"}</t>
        </is>
      </c>
    </row>
    <row r="16">
      <c r="A16" t="inlineStr">
        <is>
          <t>nuke_train/0</t>
        </is>
      </c>
      <c r="B16" t="inlineStr">
        <is>
          <t>nuke_train</t>
        </is>
      </c>
      <c r="C16" t="n">
        <v>0</v>
      </c>
      <c r="F16" t="inlineStr">
        <is>
          <t>ifv</t>
        </is>
      </c>
      <c r="G16" t="inlineStr">
        <is>
          <t>Assets/MachineBrigade/Resources/Data/balance.json: escorts[9].phase[0]</t>
        </is>
      </c>
      <c r="H16" t="inlineStr">
        <is>
          <t>{"unit":"ifv"}</t>
        </is>
      </c>
    </row>
    <row r="17">
      <c r="A17" t="inlineStr">
        <is>
          <t>nuke_train/1</t>
        </is>
      </c>
      <c r="B17" t="inlineStr">
        <is>
          <t>nuke_train</t>
        </is>
      </c>
      <c r="C17" t="n">
        <v>1</v>
      </c>
      <c r="F17" t="inlineStr">
        <is>
          <t>ifv</t>
        </is>
      </c>
      <c r="G17" t="inlineStr">
        <is>
          <t>Assets/MachineBrigade/Resources/Data/balance.json: escorts[9].phase[1]</t>
        </is>
      </c>
      <c r="H17" t="inlineStr">
        <is>
          <t>{"unit":"ifv"}</t>
        </is>
      </c>
    </row>
    <row r="18">
      <c r="A18" t="inlineStr">
        <is>
          <t>nuke_train/2</t>
        </is>
      </c>
      <c r="B18" t="inlineStr">
        <is>
          <t>nuke_train</t>
        </is>
      </c>
      <c r="C18" t="n">
        <v>2</v>
      </c>
      <c r="E18" t="inlineStr">
        <is>
          <t>smoke</t>
        </is>
      </c>
      <c r="F18" t="inlineStr">
        <is>
          <t>ew_jammer</t>
        </is>
      </c>
      <c r="G18" t="inlineStr">
        <is>
          <t>Assets/MachineBrigade/Resources/Data/balance.json: escorts[9].phase[2]</t>
        </is>
      </c>
      <c r="H18" t="inlineStr">
        <is>
          <t>{"unit":"ew_jammer","role":"smoke"}</t>
        </is>
      </c>
    </row>
  </sheetData>
  <autoFilter ref="A1:H18"/>
  <pageMargins left="0.75" right="0.75" top="1" bottom="1" header="0.5" footer="0.5"/>
</worksheet>
</file>

<file path=xl/worksheets/sheet2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7" customWidth="1" min="2" max="2"/>
    <col width="8" customWidth="1" min="3" max="3"/>
    <col width="60" customWidth="1" min="4" max="4"/>
    <col width="60" customWidth="1" min="5" max="5"/>
  </cols>
  <sheetData>
    <row r="1">
      <c r="A1" s="1" t="inlineStr">
        <is>
          <t>id</t>
        </is>
      </c>
      <c r="B1" s="1" t="inlineStr">
        <is>
          <t>boss_ho_tong_id</t>
        </is>
      </c>
      <c r="C1" s="1" t="inlineStr">
        <is>
          <t>thu_tu</t>
        </is>
      </c>
      <c r="D1" s="1" t="inlineStr">
        <is>
          <t>nguon</t>
        </is>
      </c>
      <c r="E1" s="1" t="inlineStr">
        <is>
          <t>raw_json</t>
        </is>
      </c>
    </row>
    <row r="2">
      <c r="A2" t="inlineStr">
        <is>
          <t>silver_bug/0</t>
        </is>
      </c>
      <c r="B2" t="inlineStr">
        <is>
          <t>silver_bug</t>
        </is>
      </c>
      <c r="C2" t="n">
        <v>0</v>
      </c>
      <c r="D2" t="inlineStr">
        <is>
          <t>Assets/MachineBrigade/Resources/Data/balance.json: escorts[8].phases[0]</t>
        </is>
      </c>
      <c r="E2" t="inlineStr">
        <is>
          <t>{"units":[{"unit":"elite_fpv_carrier"},{"unit":"ew_jammer","role":"jam"}]}</t>
        </is>
      </c>
    </row>
    <row r="3">
      <c r="A3" t="inlineStr">
        <is>
          <t>silver_bug/1</t>
        </is>
      </c>
      <c r="B3" t="inlineStr">
        <is>
          <t>silver_bug</t>
        </is>
      </c>
      <c r="C3" t="n">
        <v>1</v>
      </c>
      <c r="D3" t="inlineStr">
        <is>
          <t>Assets/MachineBrigade/Resources/Data/balance.json: escorts[8].phases[1]</t>
        </is>
      </c>
      <c r="E3" t="inlineStr">
        <is>
          <t>{"units":[{"unit":"elite_attack_helicopter"},{"unit":"engineer_vehicle","role":"repair"}]}</t>
        </is>
      </c>
    </row>
  </sheetData>
  <autoFilter ref="A1:E3"/>
  <pageMargins left="0.75" right="0.75" top="1" bottom="1" header="0.5" footer="0.5"/>
</worksheet>
</file>

<file path=xl/worksheets/sheet2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8" customWidth="1" min="3" max="3"/>
    <col width="8" customWidth="1" min="4" max="4"/>
    <col width="24" customWidth="1" min="5" max="5"/>
    <col width="60" customWidth="1" min="6" max="6"/>
    <col width="44" customWidth="1" min="7" max="7"/>
  </cols>
  <sheetData>
    <row r="1">
      <c r="A1" s="1" t="inlineStr">
        <is>
          <t>id</t>
        </is>
      </c>
      <c r="B1" s="1" t="inlineStr">
        <is>
          <t>boss_ho_tong_phases_id</t>
        </is>
      </c>
      <c r="C1" s="1" t="inlineStr">
        <is>
          <t>thu_tu</t>
        </is>
      </c>
      <c r="D1" s="1" t="inlineStr">
        <is>
          <t>role</t>
        </is>
      </c>
      <c r="E1" s="1" t="inlineStr">
        <is>
          <t>unit</t>
        </is>
      </c>
      <c r="F1" s="1" t="inlineStr">
        <is>
          <t>nguon</t>
        </is>
      </c>
      <c r="G1" s="1" t="inlineStr">
        <is>
          <t>raw_json</t>
        </is>
      </c>
    </row>
    <row r="2">
      <c r="A2" t="inlineStr">
        <is>
          <t>silver_bug/0/0</t>
        </is>
      </c>
      <c r="B2" t="inlineStr">
        <is>
          <t>silver_bug/0</t>
        </is>
      </c>
      <c r="C2" t="n">
        <v>0</v>
      </c>
      <c r="E2" t="inlineStr">
        <is>
          <t>elite_fpv_carrier</t>
        </is>
      </c>
      <c r="F2" t="inlineStr">
        <is>
          <t>Assets/MachineBrigade/Resources/Data/balance.json: escorts[8].phases[0].units[0]</t>
        </is>
      </c>
      <c r="G2" t="inlineStr">
        <is>
          <t>{"unit":"elite_fpv_carrier"}</t>
        </is>
      </c>
    </row>
    <row r="3">
      <c r="A3" t="inlineStr">
        <is>
          <t>silver_bug/0/1</t>
        </is>
      </c>
      <c r="B3" t="inlineStr">
        <is>
          <t>silver_bug/0</t>
        </is>
      </c>
      <c r="C3" t="n">
        <v>1</v>
      </c>
      <c r="D3" t="inlineStr">
        <is>
          <t>jam</t>
        </is>
      </c>
      <c r="E3" t="inlineStr">
        <is>
          <t>ew_jammer</t>
        </is>
      </c>
      <c r="F3" t="inlineStr">
        <is>
          <t>Assets/MachineBrigade/Resources/Data/balance.json: escorts[8].phases[0].units[1]</t>
        </is>
      </c>
      <c r="G3" t="inlineStr">
        <is>
          <t>{"unit":"ew_jammer","role":"jam"}</t>
        </is>
      </c>
    </row>
    <row r="4">
      <c r="A4" t="inlineStr">
        <is>
          <t>silver_bug/1/0</t>
        </is>
      </c>
      <c r="B4" t="inlineStr">
        <is>
          <t>silver_bug/1</t>
        </is>
      </c>
      <c r="C4" t="n">
        <v>0</v>
      </c>
      <c r="E4" t="inlineStr">
        <is>
          <t>elite_attack_helicopter</t>
        </is>
      </c>
      <c r="F4" t="inlineStr">
        <is>
          <t>Assets/MachineBrigade/Resources/Data/balance.json: escorts[8].phases[1].units[0]</t>
        </is>
      </c>
      <c r="G4" t="inlineStr">
        <is>
          <t>{"unit":"elite_attack_helicopter"}</t>
        </is>
      </c>
    </row>
    <row r="5">
      <c r="A5" t="inlineStr">
        <is>
          <t>silver_bug/1/1</t>
        </is>
      </c>
      <c r="B5" t="inlineStr">
        <is>
          <t>silver_bug/1</t>
        </is>
      </c>
      <c r="C5" t="n">
        <v>1</v>
      </c>
      <c r="D5" t="inlineStr">
        <is>
          <t>repair</t>
        </is>
      </c>
      <c r="E5" t="inlineStr">
        <is>
          <t>engineer_vehicle</t>
        </is>
      </c>
      <c r="F5" t="inlineStr">
        <is>
          <t>Assets/MachineBrigade/Resources/Data/balance.json: escorts[8].phases[1].units[1]</t>
        </is>
      </c>
      <c r="G5" t="inlineStr">
        <is>
          <t>{"unit":"engineer_vehicle","role":"repair"}</t>
        </is>
      </c>
    </row>
  </sheetData>
  <autoFilter ref="A1:G5"/>
  <pageMargins left="0.75" right="0.75" top="1" bottom="1" header="0.5" footer="0.5"/>
</worksheet>
</file>

<file path=xl/worksheets/sheet2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60" customWidth="1" min="3" max="3"/>
  </cols>
  <sheetData>
    <row r="1">
      <c r="A1" s="1" t="inlineStr">
        <is>
          <t>id</t>
        </is>
      </c>
      <c r="B1" s="1" t="inlineStr">
        <is>
          <t>nguon</t>
        </is>
      </c>
      <c r="C1" s="1" t="inlineStr">
        <is>
          <t>raw_json</t>
        </is>
      </c>
    </row>
    <row r="2">
      <c r="A2" t="inlineStr">
        <is>
          <t>aurel</t>
        </is>
      </c>
      <c r="B2" t="inlineStr">
        <is>
          <t>Assets/MachineBrigade/Resources/Data/balance.json: escortTemplates.aurel</t>
        </is>
      </c>
      <c r="C2" t="inlineStr">
        <is>
          <t>{"arrive":[{"unit":"elite_heavy_tank"},{"unit":"railgun_truck"},{"unit":"sam_launcher","role":"cover"},{"unit":"fighter_jet","role":"cover"}],"phases":[{"units":[{"unit":"ifv"},{"unit":"ew_jammer","role":"jam"}]},{"units":[{"unit":"elite_attack_helicopter"},{"unit":"engineer_vehicle","role":"repair"}]}]}</t>
        </is>
      </c>
    </row>
    <row r="3">
      <c r="A3" t="inlineStr">
        <is>
          <t>brandt</t>
        </is>
      </c>
      <c r="B3" t="inlineStr">
        <is>
          <t>Assets/MachineBrigade/Resources/Data/balance.json: escortTemplates.brandt</t>
        </is>
      </c>
      <c r="C3" t="inlineStr">
        <is>
          <t>{"arrive":[{"unit":"tank_destroyer"},{"unit":"main_battle_tank"},{"unit":"heavy_aa","role":"cover"},{"unit":"engineer_vehicle","role":"repair"}],"phase":[{"unit":"heavy_tank"},{"unit":"sam_launcher","role":"cover"}]}</t>
        </is>
      </c>
    </row>
    <row r="4">
      <c r="A4" t="inlineStr">
        <is>
          <t>hung</t>
        </is>
      </c>
      <c r="B4" t="inlineStr">
        <is>
          <t>Assets/MachineBrigade/Resources/Data/balance.json: escortTemplates.hung</t>
        </is>
      </c>
      <c r="C4" t="inlineStr">
        <is>
          <t>{"arrive":[{"unit":"heavy_tank"},{"unit":"ifv"},{"unit":"sam_launcher","role":"cover"},{"unit":"engineer_vehicle","role":"repair"}],"phase":[{"unit":"heavy_tank","elite":true},{"unit":"aa_vehicle","role":"cover"}]}</t>
        </is>
      </c>
    </row>
    <row r="5">
      <c r="A5" t="inlineStr">
        <is>
          <t>kessler</t>
        </is>
      </c>
      <c r="B5" t="inlineStr">
        <is>
          <t>Assets/MachineBrigade/Resources/Data/balance.json: escortTemplates.kessler</t>
        </is>
      </c>
      <c r="C5" t="inlineStr">
        <is>
          <t>{"arrive":[{"unit":"wheeled_gun"},{"unit":"ifv"},{"unit":"main_battle_tank"},{"unit":"sam_launcher","role":"cover"}],"phase":[{"unit":"main_battle_tank"},{"unit":"ew_jammer","role":"smoke"}]}</t>
        </is>
      </c>
    </row>
    <row r="6">
      <c r="A6" t="inlineStr">
        <is>
          <t>orlov</t>
        </is>
      </c>
      <c r="B6" t="inlineStr">
        <is>
          <t>Assets/MachineBrigade/Resources/Data/balance.json: escortTemplates.orlov</t>
        </is>
      </c>
      <c r="C6" t="inlineStr">
        <is>
          <t>{"arrive":[{"unit":"mortar_carrier"},{"unit":"main_battle_tank"},{"unit":"sam_launcher","role":"cover"},{"unit":"command_vehicle","role":"spot"}],"phase":[{"unit":"mlrs"},{"unit":"engineer_vehicle","role":"repair"}]}</t>
        </is>
      </c>
    </row>
    <row r="7">
      <c r="A7" t="inlineStr">
        <is>
          <t>quaden</t>
        </is>
      </c>
      <c r="B7" t="inlineStr">
        <is>
          <t>Assets/MachineBrigade/Resources/Data/balance.json: escortTemplates.quaden</t>
        </is>
      </c>
      <c r="C7" t="inlineStr">
        <is>
          <t>{"arrive":[{"unit":"attack_helicopter"},{"unit":"fighter_jet","role":"cover"},{"unit":"fighter_jet","role":"cover"},{"unit":"scout_heli","role":"spot"}],"phase":[{"unit":"attack_helicopter"},{"unit":"scout_heli","role":"spot"}]}</t>
        </is>
      </c>
    </row>
    <row r="8">
      <c r="A8" t="inlineStr">
        <is>
          <t>sen</t>
        </is>
      </c>
      <c r="B8" t="inlineStr">
        <is>
          <t>Assets/MachineBrigade/Resources/Data/balance.json: escortTemplates.sen</t>
        </is>
      </c>
      <c r="C8" t="inlineStr">
        <is>
          <t>{"arrive":[{"unit":"fpv_carrier"},{"unit":"strike_drone"},{"unit":"heavy_aa","role":"cover"},{"unit":"ew_jammer","role":"jam"}],"phase":[{"unit":"fpv_carrier"},{"unit":"recon_drone","role":"spot"}]}</t>
        </is>
      </c>
    </row>
    <row r="9">
      <c r="A9" t="inlineStr">
        <is>
          <t>varga</t>
        </is>
      </c>
      <c r="B9" t="inlineStr">
        <is>
          <t>Assets/MachineBrigade/Resources/Data/balance.json: escortTemplates.varga</t>
        </is>
      </c>
      <c r="C9" t="inlineStr">
        <is>
          <t>{"arrive":[{"unit":"main_battle_tank"},{"unit":"main_battle_tank"},{"unit":"heavy_tank"},{"unit":"aa_vehicle","role":"cover"}],"phase":[{"unit":"heavy_tank","elite":true},{"unit":"engineer_vehicle","role":"repair"}]}</t>
        </is>
      </c>
    </row>
  </sheetData>
  <autoFilter ref="A1:C9"/>
  <pageMargins left="0.75" right="0.75" top="1" bottom="1" header="0.5" footer="0.5"/>
</worksheet>
</file>

<file path=xl/worksheets/sheet2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8" customWidth="1" min="3" max="3"/>
    <col width="18" customWidth="1" min="4" max="4"/>
    <col width="8" customWidth="1" min="5" max="5"/>
    <col width="60" customWidth="1" min="6" max="6"/>
    <col width="44" customWidth="1" min="7" max="7"/>
  </cols>
  <sheetData>
    <row r="1">
      <c r="A1" s="1" t="inlineStr">
        <is>
          <t>id</t>
        </is>
      </c>
      <c r="B1" s="1" t="inlineStr">
        <is>
          <t>boss_ho_tong_mau_id</t>
        </is>
      </c>
      <c r="C1" s="1" t="inlineStr">
        <is>
          <t>thu_tu</t>
        </is>
      </c>
      <c r="D1" s="1" t="inlineStr">
        <is>
          <t>unit</t>
        </is>
      </c>
      <c r="E1" s="1" t="inlineStr">
        <is>
          <t>role</t>
        </is>
      </c>
      <c r="F1" s="1" t="inlineStr">
        <is>
          <t>nguon</t>
        </is>
      </c>
      <c r="G1" s="1" t="inlineStr">
        <is>
          <t>raw_json</t>
        </is>
      </c>
    </row>
    <row r="2">
      <c r="A2" t="inlineStr">
        <is>
          <t>aurel/0</t>
        </is>
      </c>
      <c r="B2" t="inlineStr">
        <is>
          <t>aurel</t>
        </is>
      </c>
      <c r="C2" t="n">
        <v>0</v>
      </c>
      <c r="D2" t="inlineStr">
        <is>
          <t>elite_heavy_tank</t>
        </is>
      </c>
      <c r="F2" t="inlineStr">
        <is>
          <t>Assets/MachineBrigade/Resources/Data/balance.json: escortTemplates.aurel.arrive[0]</t>
        </is>
      </c>
      <c r="G2" t="inlineStr">
        <is>
          <t>{"unit":"elite_heavy_tank"}</t>
        </is>
      </c>
    </row>
    <row r="3">
      <c r="A3" t="inlineStr">
        <is>
          <t>aurel/1</t>
        </is>
      </c>
      <c r="B3" t="inlineStr">
        <is>
          <t>aurel</t>
        </is>
      </c>
      <c r="C3" t="n">
        <v>1</v>
      </c>
      <c r="D3" t="inlineStr">
        <is>
          <t>railgun_truck</t>
        </is>
      </c>
      <c r="F3" t="inlineStr">
        <is>
          <t>Assets/MachineBrigade/Resources/Data/balance.json: escortTemplates.aurel.arrive[1]</t>
        </is>
      </c>
      <c r="G3" t="inlineStr">
        <is>
          <t>{"unit":"railgun_truck"}</t>
        </is>
      </c>
    </row>
    <row r="4">
      <c r="A4" t="inlineStr">
        <is>
          <t>aurel/2</t>
        </is>
      </c>
      <c r="B4" t="inlineStr">
        <is>
          <t>aurel</t>
        </is>
      </c>
      <c r="C4" t="n">
        <v>2</v>
      </c>
      <c r="D4" t="inlineStr">
        <is>
          <t>sam_launcher</t>
        </is>
      </c>
      <c r="E4" t="inlineStr">
        <is>
          <t>cover</t>
        </is>
      </c>
      <c r="F4" t="inlineStr">
        <is>
          <t>Assets/MachineBrigade/Resources/Data/balance.json: escortTemplates.aurel.arrive[2]</t>
        </is>
      </c>
      <c r="G4" t="inlineStr">
        <is>
          <t>{"unit":"sam_launcher","role":"cover"}</t>
        </is>
      </c>
    </row>
    <row r="5">
      <c r="A5" t="inlineStr">
        <is>
          <t>aurel/3</t>
        </is>
      </c>
      <c r="B5" t="inlineStr">
        <is>
          <t>aurel</t>
        </is>
      </c>
      <c r="C5" t="n">
        <v>3</v>
      </c>
      <c r="D5" t="inlineStr">
        <is>
          <t>fighter_jet</t>
        </is>
      </c>
      <c r="E5" t="inlineStr">
        <is>
          <t>cover</t>
        </is>
      </c>
      <c r="F5" t="inlineStr">
        <is>
          <t>Assets/MachineBrigade/Resources/Data/balance.json: escortTemplates.aurel.arrive[3]</t>
        </is>
      </c>
      <c r="G5" t="inlineStr">
        <is>
          <t>{"unit":"fighter_jet","role":"cover"}</t>
        </is>
      </c>
    </row>
    <row r="6">
      <c r="A6" t="inlineStr">
        <is>
          <t>brandt/0</t>
        </is>
      </c>
      <c r="B6" t="inlineStr">
        <is>
          <t>brandt</t>
        </is>
      </c>
      <c r="C6" t="n">
        <v>0</v>
      </c>
      <c r="D6" t="inlineStr">
        <is>
          <t>tank_destroyer</t>
        </is>
      </c>
      <c r="F6" t="inlineStr">
        <is>
          <t>Assets/MachineBrigade/Resources/Data/balance.json: escortTemplates.brandt.arrive[0]</t>
        </is>
      </c>
      <c r="G6" t="inlineStr">
        <is>
          <t>{"unit":"tank_destroyer"}</t>
        </is>
      </c>
    </row>
    <row r="7">
      <c r="A7" t="inlineStr">
        <is>
          <t>brandt/1</t>
        </is>
      </c>
      <c r="B7" t="inlineStr">
        <is>
          <t>brandt</t>
        </is>
      </c>
      <c r="C7" t="n">
        <v>1</v>
      </c>
      <c r="D7" t="inlineStr">
        <is>
          <t>main_battle_tank</t>
        </is>
      </c>
      <c r="F7" t="inlineStr">
        <is>
          <t>Assets/MachineBrigade/Resources/Data/balance.json: escortTemplates.brandt.arrive[1]</t>
        </is>
      </c>
      <c r="G7" t="inlineStr">
        <is>
          <t>{"unit":"main_battle_tank"}</t>
        </is>
      </c>
    </row>
    <row r="8">
      <c r="A8" t="inlineStr">
        <is>
          <t>brandt/2</t>
        </is>
      </c>
      <c r="B8" t="inlineStr">
        <is>
          <t>brandt</t>
        </is>
      </c>
      <c r="C8" t="n">
        <v>2</v>
      </c>
      <c r="D8" t="inlineStr">
        <is>
          <t>heavy_aa</t>
        </is>
      </c>
      <c r="E8" t="inlineStr">
        <is>
          <t>cover</t>
        </is>
      </c>
      <c r="F8" t="inlineStr">
        <is>
          <t>Assets/MachineBrigade/Resources/Data/balance.json: escortTemplates.brandt.arrive[2]</t>
        </is>
      </c>
      <c r="G8" t="inlineStr">
        <is>
          <t>{"unit":"heavy_aa","role":"cover"}</t>
        </is>
      </c>
    </row>
    <row r="9">
      <c r="A9" t="inlineStr">
        <is>
          <t>brandt/3</t>
        </is>
      </c>
      <c r="B9" t="inlineStr">
        <is>
          <t>brandt</t>
        </is>
      </c>
      <c r="C9" t="n">
        <v>3</v>
      </c>
      <c r="D9" t="inlineStr">
        <is>
          <t>engineer_vehicle</t>
        </is>
      </c>
      <c r="E9" t="inlineStr">
        <is>
          <t>repair</t>
        </is>
      </c>
      <c r="F9" t="inlineStr">
        <is>
          <t>Assets/MachineBrigade/Resources/Data/balance.json: escortTemplates.brandt.arrive[3]</t>
        </is>
      </c>
      <c r="G9" t="inlineStr">
        <is>
          <t>{"unit":"engineer_vehicle","role":"repair"}</t>
        </is>
      </c>
    </row>
    <row r="10">
      <c r="A10" t="inlineStr">
        <is>
          <t>hung/0</t>
        </is>
      </c>
      <c r="B10" t="inlineStr">
        <is>
          <t>hung</t>
        </is>
      </c>
      <c r="C10" t="n">
        <v>0</v>
      </c>
      <c r="D10" t="inlineStr">
        <is>
          <t>heavy_tank</t>
        </is>
      </c>
      <c r="F10" t="inlineStr">
        <is>
          <t>Assets/MachineBrigade/Resources/Data/balance.json: escortTemplates.hung.arrive[0]</t>
        </is>
      </c>
      <c r="G10" t="inlineStr">
        <is>
          <t>{"unit":"heavy_tank"}</t>
        </is>
      </c>
    </row>
    <row r="11">
      <c r="A11" t="inlineStr">
        <is>
          <t>hung/1</t>
        </is>
      </c>
      <c r="B11" t="inlineStr">
        <is>
          <t>hung</t>
        </is>
      </c>
      <c r="C11" t="n">
        <v>1</v>
      </c>
      <c r="D11" t="inlineStr">
        <is>
          <t>ifv</t>
        </is>
      </c>
      <c r="F11" t="inlineStr">
        <is>
          <t>Assets/MachineBrigade/Resources/Data/balance.json: escortTemplates.hung.arrive[1]</t>
        </is>
      </c>
      <c r="G11" t="inlineStr">
        <is>
          <t>{"unit":"ifv"}</t>
        </is>
      </c>
    </row>
    <row r="12">
      <c r="A12" t="inlineStr">
        <is>
          <t>hung/2</t>
        </is>
      </c>
      <c r="B12" t="inlineStr">
        <is>
          <t>hung</t>
        </is>
      </c>
      <c r="C12" t="n">
        <v>2</v>
      </c>
      <c r="D12" t="inlineStr">
        <is>
          <t>sam_launcher</t>
        </is>
      </c>
      <c r="E12" t="inlineStr">
        <is>
          <t>cover</t>
        </is>
      </c>
      <c r="F12" t="inlineStr">
        <is>
          <t>Assets/MachineBrigade/Resources/Data/balance.json: escortTemplates.hung.arrive[2]</t>
        </is>
      </c>
      <c r="G12" t="inlineStr">
        <is>
          <t>{"unit":"sam_launcher","role":"cover"}</t>
        </is>
      </c>
    </row>
    <row r="13">
      <c r="A13" t="inlineStr">
        <is>
          <t>hung/3</t>
        </is>
      </c>
      <c r="B13" t="inlineStr">
        <is>
          <t>hung</t>
        </is>
      </c>
      <c r="C13" t="n">
        <v>3</v>
      </c>
      <c r="D13" t="inlineStr">
        <is>
          <t>engineer_vehicle</t>
        </is>
      </c>
      <c r="E13" t="inlineStr">
        <is>
          <t>repair</t>
        </is>
      </c>
      <c r="F13" t="inlineStr">
        <is>
          <t>Assets/MachineBrigade/Resources/Data/balance.json: escortTemplates.hung.arrive[3]</t>
        </is>
      </c>
      <c r="G13" t="inlineStr">
        <is>
          <t>{"unit":"engineer_vehicle","role":"repair"}</t>
        </is>
      </c>
    </row>
    <row r="14">
      <c r="A14" t="inlineStr">
        <is>
          <t>kessler/0</t>
        </is>
      </c>
      <c r="B14" t="inlineStr">
        <is>
          <t>kessler</t>
        </is>
      </c>
      <c r="C14" t="n">
        <v>0</v>
      </c>
      <c r="D14" t="inlineStr">
        <is>
          <t>wheeled_gun</t>
        </is>
      </c>
      <c r="F14" t="inlineStr">
        <is>
          <t>Assets/MachineBrigade/Resources/Data/balance.json: escortTemplates.kessler.arrive[0]</t>
        </is>
      </c>
      <c r="G14" t="inlineStr">
        <is>
          <t>{"unit":"wheeled_gun"}</t>
        </is>
      </c>
    </row>
    <row r="15">
      <c r="A15" t="inlineStr">
        <is>
          <t>kessler/1</t>
        </is>
      </c>
      <c r="B15" t="inlineStr">
        <is>
          <t>kessler</t>
        </is>
      </c>
      <c r="C15" t="n">
        <v>1</v>
      </c>
      <c r="D15" t="inlineStr">
        <is>
          <t>ifv</t>
        </is>
      </c>
      <c r="F15" t="inlineStr">
        <is>
          <t>Assets/MachineBrigade/Resources/Data/balance.json: escortTemplates.kessler.arrive[1]</t>
        </is>
      </c>
      <c r="G15" t="inlineStr">
        <is>
          <t>{"unit":"ifv"}</t>
        </is>
      </c>
    </row>
    <row r="16">
      <c r="A16" t="inlineStr">
        <is>
          <t>kessler/2</t>
        </is>
      </c>
      <c r="B16" t="inlineStr">
        <is>
          <t>kessler</t>
        </is>
      </c>
      <c r="C16" t="n">
        <v>2</v>
      </c>
      <c r="D16" t="inlineStr">
        <is>
          <t>main_battle_tank</t>
        </is>
      </c>
      <c r="F16" t="inlineStr">
        <is>
          <t>Assets/MachineBrigade/Resources/Data/balance.json: escortTemplates.kessler.arrive[2]</t>
        </is>
      </c>
      <c r="G16" t="inlineStr">
        <is>
          <t>{"unit":"main_battle_tank"}</t>
        </is>
      </c>
    </row>
    <row r="17">
      <c r="A17" t="inlineStr">
        <is>
          <t>kessler/3</t>
        </is>
      </c>
      <c r="B17" t="inlineStr">
        <is>
          <t>kessler</t>
        </is>
      </c>
      <c r="C17" t="n">
        <v>3</v>
      </c>
      <c r="D17" t="inlineStr">
        <is>
          <t>sam_launcher</t>
        </is>
      </c>
      <c r="E17" t="inlineStr">
        <is>
          <t>cover</t>
        </is>
      </c>
      <c r="F17" t="inlineStr">
        <is>
          <t>Assets/MachineBrigade/Resources/Data/balance.json: escortTemplates.kessler.arrive[3]</t>
        </is>
      </c>
      <c r="G17" t="inlineStr">
        <is>
          <t>{"unit":"sam_launcher","role":"cover"}</t>
        </is>
      </c>
    </row>
    <row r="18">
      <c r="A18" t="inlineStr">
        <is>
          <t>orlov/0</t>
        </is>
      </c>
      <c r="B18" t="inlineStr">
        <is>
          <t>orlov</t>
        </is>
      </c>
      <c r="C18" t="n">
        <v>0</v>
      </c>
      <c r="D18" t="inlineStr">
        <is>
          <t>mortar_carrier</t>
        </is>
      </c>
      <c r="F18" t="inlineStr">
        <is>
          <t>Assets/MachineBrigade/Resources/Data/balance.json: escortTemplates.orlov.arrive[0]</t>
        </is>
      </c>
      <c r="G18" t="inlineStr">
        <is>
          <t>{"unit":"mortar_carrier"}</t>
        </is>
      </c>
    </row>
    <row r="19">
      <c r="A19" t="inlineStr">
        <is>
          <t>orlov/1</t>
        </is>
      </c>
      <c r="B19" t="inlineStr">
        <is>
          <t>orlov</t>
        </is>
      </c>
      <c r="C19" t="n">
        <v>1</v>
      </c>
      <c r="D19" t="inlineStr">
        <is>
          <t>main_battle_tank</t>
        </is>
      </c>
      <c r="F19" t="inlineStr">
        <is>
          <t>Assets/MachineBrigade/Resources/Data/balance.json: escortTemplates.orlov.arrive[1]</t>
        </is>
      </c>
      <c r="G19" t="inlineStr">
        <is>
          <t>{"unit":"main_battle_tank"}</t>
        </is>
      </c>
    </row>
    <row r="20">
      <c r="A20" t="inlineStr">
        <is>
          <t>orlov/2</t>
        </is>
      </c>
      <c r="B20" t="inlineStr">
        <is>
          <t>orlov</t>
        </is>
      </c>
      <c r="C20" t="n">
        <v>2</v>
      </c>
      <c r="D20" t="inlineStr">
        <is>
          <t>sam_launcher</t>
        </is>
      </c>
      <c r="E20" t="inlineStr">
        <is>
          <t>cover</t>
        </is>
      </c>
      <c r="F20" t="inlineStr">
        <is>
          <t>Assets/MachineBrigade/Resources/Data/balance.json: escortTemplates.orlov.arrive[2]</t>
        </is>
      </c>
      <c r="G20" t="inlineStr">
        <is>
          <t>{"unit":"sam_launcher","role":"cover"}</t>
        </is>
      </c>
    </row>
    <row r="21">
      <c r="A21" t="inlineStr">
        <is>
          <t>orlov/3</t>
        </is>
      </c>
      <c r="B21" t="inlineStr">
        <is>
          <t>orlov</t>
        </is>
      </c>
      <c r="C21" t="n">
        <v>3</v>
      </c>
      <c r="D21" t="inlineStr">
        <is>
          <t>command_vehicle</t>
        </is>
      </c>
      <c r="E21" t="inlineStr">
        <is>
          <t>spot</t>
        </is>
      </c>
      <c r="F21" t="inlineStr">
        <is>
          <t>Assets/MachineBrigade/Resources/Data/balance.json: escortTemplates.orlov.arrive[3]</t>
        </is>
      </c>
      <c r="G21" t="inlineStr">
        <is>
          <t>{"unit":"command_vehicle","role":"spot"}</t>
        </is>
      </c>
    </row>
    <row r="22">
      <c r="A22" t="inlineStr">
        <is>
          <t>quaden/0</t>
        </is>
      </c>
      <c r="B22" t="inlineStr">
        <is>
          <t>quaden</t>
        </is>
      </c>
      <c r="C22" t="n">
        <v>0</v>
      </c>
      <c r="D22" t="inlineStr">
        <is>
          <t>attack_helicopter</t>
        </is>
      </c>
      <c r="F22" t="inlineStr">
        <is>
          <t>Assets/MachineBrigade/Resources/Data/balance.json: escortTemplates.quaden.arrive[0]</t>
        </is>
      </c>
      <c r="G22" t="inlineStr">
        <is>
          <t>{"unit":"attack_helicopter"}</t>
        </is>
      </c>
    </row>
    <row r="23">
      <c r="A23" t="inlineStr">
        <is>
          <t>quaden/1</t>
        </is>
      </c>
      <c r="B23" t="inlineStr">
        <is>
          <t>quaden</t>
        </is>
      </c>
      <c r="C23" t="n">
        <v>1</v>
      </c>
      <c r="D23" t="inlineStr">
        <is>
          <t>fighter_jet</t>
        </is>
      </c>
      <c r="E23" t="inlineStr">
        <is>
          <t>cover</t>
        </is>
      </c>
      <c r="F23" t="inlineStr">
        <is>
          <t>Assets/MachineBrigade/Resources/Data/balance.json: escortTemplates.quaden.arrive[1]</t>
        </is>
      </c>
      <c r="G23" t="inlineStr">
        <is>
          <t>{"unit":"fighter_jet","role":"cover"}</t>
        </is>
      </c>
    </row>
    <row r="24">
      <c r="A24" t="inlineStr">
        <is>
          <t>quaden/2</t>
        </is>
      </c>
      <c r="B24" t="inlineStr">
        <is>
          <t>quaden</t>
        </is>
      </c>
      <c r="C24" t="n">
        <v>2</v>
      </c>
      <c r="D24" t="inlineStr">
        <is>
          <t>fighter_jet</t>
        </is>
      </c>
      <c r="E24" t="inlineStr">
        <is>
          <t>cover</t>
        </is>
      </c>
      <c r="F24" t="inlineStr">
        <is>
          <t>Assets/MachineBrigade/Resources/Data/balance.json: escortTemplates.quaden.arrive[2]</t>
        </is>
      </c>
      <c r="G24" t="inlineStr">
        <is>
          <t>{"unit":"fighter_jet","role":"cover"}</t>
        </is>
      </c>
    </row>
    <row r="25">
      <c r="A25" t="inlineStr">
        <is>
          <t>quaden/3</t>
        </is>
      </c>
      <c r="B25" t="inlineStr">
        <is>
          <t>quaden</t>
        </is>
      </c>
      <c r="C25" t="n">
        <v>3</v>
      </c>
      <c r="D25" t="inlineStr">
        <is>
          <t>scout_heli</t>
        </is>
      </c>
      <c r="E25" t="inlineStr">
        <is>
          <t>spot</t>
        </is>
      </c>
      <c r="F25" t="inlineStr">
        <is>
          <t>Assets/MachineBrigade/Resources/Data/balance.json: escortTemplates.quaden.arrive[3]</t>
        </is>
      </c>
      <c r="G25" t="inlineStr">
        <is>
          <t>{"unit":"scout_heli","role":"spot"}</t>
        </is>
      </c>
    </row>
    <row r="26">
      <c r="A26" t="inlineStr">
        <is>
          <t>sen/0</t>
        </is>
      </c>
      <c r="B26" t="inlineStr">
        <is>
          <t>sen</t>
        </is>
      </c>
      <c r="C26" t="n">
        <v>0</v>
      </c>
      <c r="D26" t="inlineStr">
        <is>
          <t>fpv_carrier</t>
        </is>
      </c>
      <c r="F26" t="inlineStr">
        <is>
          <t>Assets/MachineBrigade/Resources/Data/balance.json: escortTemplates.sen.arrive[0]</t>
        </is>
      </c>
      <c r="G26" t="inlineStr">
        <is>
          <t>{"unit":"fpv_carrier"}</t>
        </is>
      </c>
    </row>
    <row r="27">
      <c r="A27" t="inlineStr">
        <is>
          <t>sen/1</t>
        </is>
      </c>
      <c r="B27" t="inlineStr">
        <is>
          <t>sen</t>
        </is>
      </c>
      <c r="C27" t="n">
        <v>1</v>
      </c>
      <c r="D27" t="inlineStr">
        <is>
          <t>strike_drone</t>
        </is>
      </c>
      <c r="F27" t="inlineStr">
        <is>
          <t>Assets/MachineBrigade/Resources/Data/balance.json: escortTemplates.sen.arrive[1]</t>
        </is>
      </c>
      <c r="G27" t="inlineStr">
        <is>
          <t>{"unit":"strike_drone"}</t>
        </is>
      </c>
    </row>
    <row r="28">
      <c r="A28" t="inlineStr">
        <is>
          <t>sen/2</t>
        </is>
      </c>
      <c r="B28" t="inlineStr">
        <is>
          <t>sen</t>
        </is>
      </c>
      <c r="C28" t="n">
        <v>2</v>
      </c>
      <c r="D28" t="inlineStr">
        <is>
          <t>heavy_aa</t>
        </is>
      </c>
      <c r="E28" t="inlineStr">
        <is>
          <t>cover</t>
        </is>
      </c>
      <c r="F28" t="inlineStr">
        <is>
          <t>Assets/MachineBrigade/Resources/Data/balance.json: escortTemplates.sen.arrive[2]</t>
        </is>
      </c>
      <c r="G28" t="inlineStr">
        <is>
          <t>{"unit":"heavy_aa","role":"cover"}</t>
        </is>
      </c>
    </row>
    <row r="29">
      <c r="A29" t="inlineStr">
        <is>
          <t>sen/3</t>
        </is>
      </c>
      <c r="B29" t="inlineStr">
        <is>
          <t>sen</t>
        </is>
      </c>
      <c r="C29" t="n">
        <v>3</v>
      </c>
      <c r="D29" t="inlineStr">
        <is>
          <t>ew_jammer</t>
        </is>
      </c>
      <c r="E29" t="inlineStr">
        <is>
          <t>jam</t>
        </is>
      </c>
      <c r="F29" t="inlineStr">
        <is>
          <t>Assets/MachineBrigade/Resources/Data/balance.json: escortTemplates.sen.arrive[3]</t>
        </is>
      </c>
      <c r="G29" t="inlineStr">
        <is>
          <t>{"unit":"ew_jammer","role":"jam"}</t>
        </is>
      </c>
    </row>
    <row r="30">
      <c r="A30" t="inlineStr">
        <is>
          <t>varga/0</t>
        </is>
      </c>
      <c r="B30" t="inlineStr">
        <is>
          <t>varga</t>
        </is>
      </c>
      <c r="C30" t="n">
        <v>0</v>
      </c>
      <c r="D30" t="inlineStr">
        <is>
          <t>main_battle_tank</t>
        </is>
      </c>
      <c r="F30" t="inlineStr">
        <is>
          <t>Assets/MachineBrigade/Resources/Data/balance.json: escortTemplates.varga.arrive[0]</t>
        </is>
      </c>
      <c r="G30" t="inlineStr">
        <is>
          <t>{"unit":"main_battle_tank"}</t>
        </is>
      </c>
    </row>
    <row r="31">
      <c r="A31" t="inlineStr">
        <is>
          <t>varga/1</t>
        </is>
      </c>
      <c r="B31" t="inlineStr">
        <is>
          <t>varga</t>
        </is>
      </c>
      <c r="C31" t="n">
        <v>1</v>
      </c>
      <c r="D31" t="inlineStr">
        <is>
          <t>main_battle_tank</t>
        </is>
      </c>
      <c r="F31" t="inlineStr">
        <is>
          <t>Assets/MachineBrigade/Resources/Data/balance.json: escortTemplates.varga.arrive[1]</t>
        </is>
      </c>
      <c r="G31" t="inlineStr">
        <is>
          <t>{"unit":"main_battle_tank"}</t>
        </is>
      </c>
    </row>
    <row r="32">
      <c r="A32" t="inlineStr">
        <is>
          <t>varga/2</t>
        </is>
      </c>
      <c r="B32" t="inlineStr">
        <is>
          <t>varga</t>
        </is>
      </c>
      <c r="C32" t="n">
        <v>2</v>
      </c>
      <c r="D32" t="inlineStr">
        <is>
          <t>heavy_tank</t>
        </is>
      </c>
      <c r="F32" t="inlineStr">
        <is>
          <t>Assets/MachineBrigade/Resources/Data/balance.json: escortTemplates.varga.arrive[2]</t>
        </is>
      </c>
      <c r="G32" t="inlineStr">
        <is>
          <t>{"unit":"heavy_tank"}</t>
        </is>
      </c>
    </row>
    <row r="33">
      <c r="A33" t="inlineStr">
        <is>
          <t>varga/3</t>
        </is>
      </c>
      <c r="B33" t="inlineStr">
        <is>
          <t>varga</t>
        </is>
      </c>
      <c r="C33" t="n">
        <v>3</v>
      </c>
      <c r="D33" t="inlineStr">
        <is>
          <t>aa_vehicle</t>
        </is>
      </c>
      <c r="E33" t="inlineStr">
        <is>
          <t>cover</t>
        </is>
      </c>
      <c r="F33" t="inlineStr">
        <is>
          <t>Assets/MachineBrigade/Resources/Data/balance.json: escortTemplates.varga.arrive[3]</t>
        </is>
      </c>
      <c r="G33" t="inlineStr">
        <is>
          <t>{"unit":"aa_vehicle","role":"cover"}</t>
        </is>
      </c>
    </row>
  </sheetData>
  <autoFilter ref="A1:G33"/>
  <pageMargins left="0.75" right="0.75" top="1" bottom="1" header="0.5" footer="0.5"/>
</worksheet>
</file>

<file path=xl/worksheets/sheet2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1" customWidth="1" min="2" max="2"/>
    <col width="8" customWidth="1" min="3" max="3"/>
    <col width="18" customWidth="1" min="4" max="4"/>
    <col width="8" customWidth="1" min="5" max="5"/>
    <col width="8" customWidth="1" min="6" max="6"/>
    <col width="60" customWidth="1" min="7" max="7"/>
    <col width="44" customWidth="1" min="8" max="8"/>
  </cols>
  <sheetData>
    <row r="1">
      <c r="A1" s="1" t="inlineStr">
        <is>
          <t>id</t>
        </is>
      </c>
      <c r="B1" s="1" t="inlineStr">
        <is>
          <t>boss_ho_tong_mau_id</t>
        </is>
      </c>
      <c r="C1" s="1" t="inlineStr">
        <is>
          <t>thu_tu</t>
        </is>
      </c>
      <c r="D1" s="1" t="inlineStr">
        <is>
          <t>unit</t>
        </is>
      </c>
      <c r="E1" s="1" t="inlineStr">
        <is>
          <t>elite</t>
        </is>
      </c>
      <c r="F1" s="1" t="inlineStr">
        <is>
          <t>role</t>
        </is>
      </c>
      <c r="G1" s="1" t="inlineStr">
        <is>
          <t>nguon</t>
        </is>
      </c>
      <c r="H1" s="1" t="inlineStr">
        <is>
          <t>raw_json</t>
        </is>
      </c>
    </row>
    <row r="2">
      <c r="A2" t="inlineStr">
        <is>
          <t>brandt/0</t>
        </is>
      </c>
      <c r="B2" t="inlineStr">
        <is>
          <t>brandt</t>
        </is>
      </c>
      <c r="C2" t="n">
        <v>0</v>
      </c>
      <c r="D2" t="inlineStr">
        <is>
          <t>heavy_tank</t>
        </is>
      </c>
      <c r="G2" t="inlineStr">
        <is>
          <t>Assets/MachineBrigade/Resources/Data/balance.json: escortTemplates.brandt.phase[0]</t>
        </is>
      </c>
      <c r="H2" t="inlineStr">
        <is>
          <t>{"unit":"heavy_tank"}</t>
        </is>
      </c>
    </row>
    <row r="3">
      <c r="A3" t="inlineStr">
        <is>
          <t>brandt/1</t>
        </is>
      </c>
      <c r="B3" t="inlineStr">
        <is>
          <t>brandt</t>
        </is>
      </c>
      <c r="C3" t="n">
        <v>1</v>
      </c>
      <c r="D3" t="inlineStr">
        <is>
          <t>sam_launcher</t>
        </is>
      </c>
      <c r="F3" t="inlineStr">
        <is>
          <t>cover</t>
        </is>
      </c>
      <c r="G3" t="inlineStr">
        <is>
          <t>Assets/MachineBrigade/Resources/Data/balance.json: escortTemplates.brandt.phase[1]</t>
        </is>
      </c>
      <c r="H3" t="inlineStr">
        <is>
          <t>{"unit":"sam_launcher","role":"cover"}</t>
        </is>
      </c>
    </row>
    <row r="4">
      <c r="A4" t="inlineStr">
        <is>
          <t>hung/0</t>
        </is>
      </c>
      <c r="B4" t="inlineStr">
        <is>
          <t>hung</t>
        </is>
      </c>
      <c r="C4" t="n">
        <v>0</v>
      </c>
      <c r="D4" t="inlineStr">
        <is>
          <t>heavy_tank</t>
        </is>
      </c>
      <c r="E4" t="b">
        <v>1</v>
      </c>
      <c r="G4" t="inlineStr">
        <is>
          <t>Assets/MachineBrigade/Resources/Data/balance.json: escortTemplates.hung.phase[0]</t>
        </is>
      </c>
      <c r="H4" t="inlineStr">
        <is>
          <t>{"unit":"heavy_tank","elite":true}</t>
        </is>
      </c>
    </row>
    <row r="5">
      <c r="A5" t="inlineStr">
        <is>
          <t>hung/1</t>
        </is>
      </c>
      <c r="B5" t="inlineStr">
        <is>
          <t>hung</t>
        </is>
      </c>
      <c r="C5" t="n">
        <v>1</v>
      </c>
      <c r="D5" t="inlineStr">
        <is>
          <t>aa_vehicle</t>
        </is>
      </c>
      <c r="F5" t="inlineStr">
        <is>
          <t>cover</t>
        </is>
      </c>
      <c r="G5" t="inlineStr">
        <is>
          <t>Assets/MachineBrigade/Resources/Data/balance.json: escortTemplates.hung.phase[1]</t>
        </is>
      </c>
      <c r="H5" t="inlineStr">
        <is>
          <t>{"unit":"aa_vehicle","role":"cover"}</t>
        </is>
      </c>
    </row>
    <row r="6">
      <c r="A6" t="inlineStr">
        <is>
          <t>kessler/0</t>
        </is>
      </c>
      <c r="B6" t="inlineStr">
        <is>
          <t>kessler</t>
        </is>
      </c>
      <c r="C6" t="n">
        <v>0</v>
      </c>
      <c r="D6" t="inlineStr">
        <is>
          <t>main_battle_tank</t>
        </is>
      </c>
      <c r="G6" t="inlineStr">
        <is>
          <t>Assets/MachineBrigade/Resources/Data/balance.json: escortTemplates.kessler.phase[0]</t>
        </is>
      </c>
      <c r="H6" t="inlineStr">
        <is>
          <t>{"unit":"main_battle_tank"}</t>
        </is>
      </c>
    </row>
    <row r="7">
      <c r="A7" t="inlineStr">
        <is>
          <t>kessler/1</t>
        </is>
      </c>
      <c r="B7" t="inlineStr">
        <is>
          <t>kessler</t>
        </is>
      </c>
      <c r="C7" t="n">
        <v>1</v>
      </c>
      <c r="D7" t="inlineStr">
        <is>
          <t>ew_jammer</t>
        </is>
      </c>
      <c r="F7" t="inlineStr">
        <is>
          <t>smoke</t>
        </is>
      </c>
      <c r="G7" t="inlineStr">
        <is>
          <t>Assets/MachineBrigade/Resources/Data/balance.json: escortTemplates.kessler.phase[1]</t>
        </is>
      </c>
      <c r="H7" t="inlineStr">
        <is>
          <t>{"unit":"ew_jammer","role":"smoke"}</t>
        </is>
      </c>
    </row>
    <row r="8">
      <c r="A8" t="inlineStr">
        <is>
          <t>orlov/0</t>
        </is>
      </c>
      <c r="B8" t="inlineStr">
        <is>
          <t>orlov</t>
        </is>
      </c>
      <c r="C8" t="n">
        <v>0</v>
      </c>
      <c r="D8" t="inlineStr">
        <is>
          <t>mlrs</t>
        </is>
      </c>
      <c r="G8" t="inlineStr">
        <is>
          <t>Assets/MachineBrigade/Resources/Data/balance.json: escortTemplates.orlov.phase[0]</t>
        </is>
      </c>
      <c r="H8" t="inlineStr">
        <is>
          <t>{"unit":"mlrs"}</t>
        </is>
      </c>
    </row>
    <row r="9">
      <c r="A9" t="inlineStr">
        <is>
          <t>orlov/1</t>
        </is>
      </c>
      <c r="B9" t="inlineStr">
        <is>
          <t>orlov</t>
        </is>
      </c>
      <c r="C9" t="n">
        <v>1</v>
      </c>
      <c r="D9" t="inlineStr">
        <is>
          <t>engineer_vehicle</t>
        </is>
      </c>
      <c r="F9" t="inlineStr">
        <is>
          <t>repair</t>
        </is>
      </c>
      <c r="G9" t="inlineStr">
        <is>
          <t>Assets/MachineBrigade/Resources/Data/balance.json: escortTemplates.orlov.phase[1]</t>
        </is>
      </c>
      <c r="H9" t="inlineStr">
        <is>
          <t>{"unit":"engineer_vehicle","role":"repair"}</t>
        </is>
      </c>
    </row>
    <row r="10">
      <c r="A10" t="inlineStr">
        <is>
          <t>quaden/0</t>
        </is>
      </c>
      <c r="B10" t="inlineStr">
        <is>
          <t>quaden</t>
        </is>
      </c>
      <c r="C10" t="n">
        <v>0</v>
      </c>
      <c r="D10" t="inlineStr">
        <is>
          <t>attack_helicopter</t>
        </is>
      </c>
      <c r="G10" t="inlineStr">
        <is>
          <t>Assets/MachineBrigade/Resources/Data/balance.json: escortTemplates.quaden.phase[0]</t>
        </is>
      </c>
      <c r="H10" t="inlineStr">
        <is>
          <t>{"unit":"attack_helicopter"}</t>
        </is>
      </c>
    </row>
    <row r="11">
      <c r="A11" t="inlineStr">
        <is>
          <t>quaden/1</t>
        </is>
      </c>
      <c r="B11" t="inlineStr">
        <is>
          <t>quaden</t>
        </is>
      </c>
      <c r="C11" t="n">
        <v>1</v>
      </c>
      <c r="D11" t="inlineStr">
        <is>
          <t>scout_heli</t>
        </is>
      </c>
      <c r="F11" t="inlineStr">
        <is>
          <t>spot</t>
        </is>
      </c>
      <c r="G11" t="inlineStr">
        <is>
          <t>Assets/MachineBrigade/Resources/Data/balance.json: escortTemplates.quaden.phase[1]</t>
        </is>
      </c>
      <c r="H11" t="inlineStr">
        <is>
          <t>{"unit":"scout_heli","role":"spot"}</t>
        </is>
      </c>
    </row>
    <row r="12">
      <c r="A12" t="inlineStr">
        <is>
          <t>sen/0</t>
        </is>
      </c>
      <c r="B12" t="inlineStr">
        <is>
          <t>sen</t>
        </is>
      </c>
      <c r="C12" t="n">
        <v>0</v>
      </c>
      <c r="D12" t="inlineStr">
        <is>
          <t>fpv_carrier</t>
        </is>
      </c>
      <c r="G12" t="inlineStr">
        <is>
          <t>Assets/MachineBrigade/Resources/Data/balance.json: escortTemplates.sen.phase[0]</t>
        </is>
      </c>
      <c r="H12" t="inlineStr">
        <is>
          <t>{"unit":"fpv_carrier"}</t>
        </is>
      </c>
    </row>
    <row r="13">
      <c r="A13" t="inlineStr">
        <is>
          <t>sen/1</t>
        </is>
      </c>
      <c r="B13" t="inlineStr">
        <is>
          <t>sen</t>
        </is>
      </c>
      <c r="C13" t="n">
        <v>1</v>
      </c>
      <c r="D13" t="inlineStr">
        <is>
          <t>recon_drone</t>
        </is>
      </c>
      <c r="F13" t="inlineStr">
        <is>
          <t>spot</t>
        </is>
      </c>
      <c r="G13" t="inlineStr">
        <is>
          <t>Assets/MachineBrigade/Resources/Data/balance.json: escortTemplates.sen.phase[1]</t>
        </is>
      </c>
      <c r="H13" t="inlineStr">
        <is>
          <t>{"unit":"recon_drone","role":"spot"}</t>
        </is>
      </c>
    </row>
    <row r="14">
      <c r="A14" t="inlineStr">
        <is>
          <t>varga/0</t>
        </is>
      </c>
      <c r="B14" t="inlineStr">
        <is>
          <t>varga</t>
        </is>
      </c>
      <c r="C14" t="n">
        <v>0</v>
      </c>
      <c r="D14" t="inlineStr">
        <is>
          <t>heavy_tank</t>
        </is>
      </c>
      <c r="E14" t="b">
        <v>1</v>
      </c>
      <c r="G14" t="inlineStr">
        <is>
          <t>Assets/MachineBrigade/Resources/Data/balance.json: escortTemplates.varga.phase[0]</t>
        </is>
      </c>
      <c r="H14" t="inlineStr">
        <is>
          <t>{"unit":"heavy_tank","elite":true}</t>
        </is>
      </c>
    </row>
    <row r="15">
      <c r="A15" t="inlineStr">
        <is>
          <t>varga/1</t>
        </is>
      </c>
      <c r="B15" t="inlineStr">
        <is>
          <t>varga</t>
        </is>
      </c>
      <c r="C15" t="n">
        <v>1</v>
      </c>
      <c r="D15" t="inlineStr">
        <is>
          <t>engineer_vehicle</t>
        </is>
      </c>
      <c r="F15" t="inlineStr">
        <is>
          <t>repair</t>
        </is>
      </c>
      <c r="G15" t="inlineStr">
        <is>
          <t>Assets/MachineBrigade/Resources/Data/balance.json: escortTemplates.varga.phase[1]</t>
        </is>
      </c>
      <c r="H15" t="inlineStr">
        <is>
          <t>{"unit":"engineer_vehicle","role":"repair"}</t>
        </is>
      </c>
    </row>
  </sheetData>
  <autoFilter ref="A1:H15"/>
  <pageMargins left="0.75" right="0.75" top="1" bottom="1" header="0.5" footer="0.5"/>
</worksheet>
</file>

<file path=xl/worksheets/sheet2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1" customWidth="1" min="2" max="2"/>
    <col width="8" customWidth="1" min="3" max="3"/>
    <col width="60" customWidth="1" min="4" max="4"/>
    <col width="60" customWidth="1" min="5" max="5"/>
  </cols>
  <sheetData>
    <row r="1">
      <c r="A1" s="1" t="inlineStr">
        <is>
          <t>id</t>
        </is>
      </c>
      <c r="B1" s="1" t="inlineStr">
        <is>
          <t>boss_ho_tong_mau_id</t>
        </is>
      </c>
      <c r="C1" s="1" t="inlineStr">
        <is>
          <t>thu_tu</t>
        </is>
      </c>
      <c r="D1" s="1" t="inlineStr">
        <is>
          <t>nguon</t>
        </is>
      </c>
      <c r="E1" s="1" t="inlineStr">
        <is>
          <t>raw_json</t>
        </is>
      </c>
    </row>
    <row r="2">
      <c r="A2" t="inlineStr">
        <is>
          <t>aurel/0</t>
        </is>
      </c>
      <c r="B2" t="inlineStr">
        <is>
          <t>aurel</t>
        </is>
      </c>
      <c r="C2" t="n">
        <v>0</v>
      </c>
      <c r="D2" t="inlineStr">
        <is>
          <t>Assets/MachineBrigade/Resources/Data/balance.json: escortTemplates.aurel.phases[0]</t>
        </is>
      </c>
      <c r="E2" t="inlineStr">
        <is>
          <t>{"units":[{"unit":"ifv"},{"unit":"ew_jammer","role":"jam"}]}</t>
        </is>
      </c>
    </row>
    <row r="3">
      <c r="A3" t="inlineStr">
        <is>
          <t>aurel/1</t>
        </is>
      </c>
      <c r="B3" t="inlineStr">
        <is>
          <t>aurel</t>
        </is>
      </c>
      <c r="C3" t="n">
        <v>1</v>
      </c>
      <c r="D3" t="inlineStr">
        <is>
          <t>Assets/MachineBrigade/Resources/Data/balance.json: escortTemplates.aurel.phases[1]</t>
        </is>
      </c>
      <c r="E3" t="inlineStr">
        <is>
          <t>{"units":[{"unit":"elite_attack_helicopter"},{"unit":"engineer_vehicle","role":"repair"}]}</t>
        </is>
      </c>
    </row>
  </sheetData>
  <autoFilter ref="A1:E3"/>
  <pageMargins left="0.75" right="0.75" top="1" bottom="1" header="0.5" footer="0.5"/>
</worksheet>
</file>

<file path=xl/worksheets/sheet3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8" customWidth="1" min="3" max="3"/>
    <col width="8" customWidth="1" min="4" max="4"/>
    <col width="24" customWidth="1" min="5" max="5"/>
    <col width="60" customWidth="1" min="6" max="6"/>
    <col width="44" customWidth="1" min="7" max="7"/>
  </cols>
  <sheetData>
    <row r="1">
      <c r="A1" s="1" t="inlineStr">
        <is>
          <t>id</t>
        </is>
      </c>
      <c r="B1" s="1" t="inlineStr">
        <is>
          <t>boss_ho_tong_mau_phases_id</t>
        </is>
      </c>
      <c r="C1" s="1" t="inlineStr">
        <is>
          <t>thu_tu</t>
        </is>
      </c>
      <c r="D1" s="1" t="inlineStr">
        <is>
          <t>role</t>
        </is>
      </c>
      <c r="E1" s="1" t="inlineStr">
        <is>
          <t>unit</t>
        </is>
      </c>
      <c r="F1" s="1" t="inlineStr">
        <is>
          <t>nguon</t>
        </is>
      </c>
      <c r="G1" s="1" t="inlineStr">
        <is>
          <t>raw_json</t>
        </is>
      </c>
    </row>
    <row r="2">
      <c r="A2" t="inlineStr">
        <is>
          <t>aurel/0/0</t>
        </is>
      </c>
      <c r="B2" t="inlineStr">
        <is>
          <t>aurel/0</t>
        </is>
      </c>
      <c r="C2" t="n">
        <v>0</v>
      </c>
      <c r="E2" t="inlineStr">
        <is>
          <t>ifv</t>
        </is>
      </c>
      <c r="F2" t="inlineStr">
        <is>
          <t>Assets/MachineBrigade/Resources/Data/balance.json: escortTemplates.aurel.phases[0].units[0]</t>
        </is>
      </c>
      <c r="G2" t="inlineStr">
        <is>
          <t>{"unit":"ifv"}</t>
        </is>
      </c>
    </row>
    <row r="3">
      <c r="A3" t="inlineStr">
        <is>
          <t>aurel/0/1</t>
        </is>
      </c>
      <c r="B3" t="inlineStr">
        <is>
          <t>aurel/0</t>
        </is>
      </c>
      <c r="C3" t="n">
        <v>1</v>
      </c>
      <c r="D3" t="inlineStr">
        <is>
          <t>jam</t>
        </is>
      </c>
      <c r="E3" t="inlineStr">
        <is>
          <t>ew_jammer</t>
        </is>
      </c>
      <c r="F3" t="inlineStr">
        <is>
          <t>Assets/MachineBrigade/Resources/Data/balance.json: escortTemplates.aurel.phases[0].units[1]</t>
        </is>
      </c>
      <c r="G3" t="inlineStr">
        <is>
          <t>{"unit":"ew_jammer","role":"jam"}</t>
        </is>
      </c>
    </row>
    <row r="4">
      <c r="A4" t="inlineStr">
        <is>
          <t>aurel/1/0</t>
        </is>
      </c>
      <c r="B4" t="inlineStr">
        <is>
          <t>aurel/1</t>
        </is>
      </c>
      <c r="C4" t="n">
        <v>0</v>
      </c>
      <c r="E4" t="inlineStr">
        <is>
          <t>elite_attack_helicopter</t>
        </is>
      </c>
      <c r="F4" t="inlineStr">
        <is>
          <t>Assets/MachineBrigade/Resources/Data/balance.json: escortTemplates.aurel.phases[1].units[0]</t>
        </is>
      </c>
      <c r="G4" t="inlineStr">
        <is>
          <t>{"unit":"elite_attack_helicopter"}</t>
        </is>
      </c>
    </row>
    <row r="5">
      <c r="A5" t="inlineStr">
        <is>
          <t>aurel/1/1</t>
        </is>
      </c>
      <c r="B5" t="inlineStr">
        <is>
          <t>aurel/1</t>
        </is>
      </c>
      <c r="C5" t="n">
        <v>1</v>
      </c>
      <c r="D5" t="inlineStr">
        <is>
          <t>repair</t>
        </is>
      </c>
      <c r="E5" t="inlineStr">
        <is>
          <t>engineer_vehicle</t>
        </is>
      </c>
      <c r="F5" t="inlineStr">
        <is>
          <t>Assets/MachineBrigade/Resources/Data/balance.json: escortTemplates.aurel.phases[1].units[1]</t>
        </is>
      </c>
      <c r="G5" t="inlineStr">
        <is>
          <t>{"unit":"engineer_vehicle","role":"repair"}</t>
        </is>
      </c>
    </row>
  </sheetData>
  <autoFilter ref="A1:G5"/>
  <pageMargins left="0.75" right="0.75" top="1" bottom="1" header="0.5" footer="0.5"/>
</worksheet>
</file>

<file path=xl/worksheets/sheet3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3" customWidth="1" min="1" max="1"/>
    <col width="12" customWidth="1" min="2" max="2"/>
    <col width="15" customWidth="1" min="3" max="3"/>
    <col width="12" customWidth="1" min="4" max="4"/>
    <col width="19" customWidth="1" min="5" max="5"/>
    <col width="8" customWidth="1" min="6" max="6"/>
    <col width="60" customWidth="1" min="7" max="7"/>
    <col width="21" customWidth="1" min="8" max="8"/>
  </cols>
  <sheetData>
    <row r="1">
      <c r="A1" s="1" t="inlineStr">
        <is>
          <t>id</t>
        </is>
      </c>
      <c r="B1" s="1" t="inlineStr">
        <is>
          <t>nhom</t>
        </is>
      </c>
      <c r="C1" s="1" t="inlineStr">
        <is>
          <t>khoa</t>
        </is>
      </c>
      <c r="D1" s="1" t="inlineStr">
        <is>
          <t>gia_tri_so</t>
        </is>
      </c>
      <c r="E1" s="1" t="inlineStr">
        <is>
          <t>gia_tri_chu</t>
        </is>
      </c>
      <c r="F1" s="1" t="inlineStr">
        <is>
          <t>don_vi</t>
        </is>
      </c>
      <c r="G1" s="1" t="inlineStr">
        <is>
          <t>nguon</t>
        </is>
      </c>
      <c r="H1" s="1" t="inlineStr">
        <is>
          <t>raw_json</t>
        </is>
      </c>
    </row>
    <row r="2">
      <c r="A2" t="inlineStr">
        <is>
          <t>bossRushCut</t>
        </is>
      </c>
      <c r="B2" t="inlineStr">
        <is>
          <t>escortRules</t>
        </is>
      </c>
      <c r="C2" t="inlineStr">
        <is>
          <t>bossRushCut</t>
        </is>
      </c>
      <c r="D2" t="n">
        <v>2</v>
      </c>
      <c r="F2" t="inlineStr"/>
      <c r="G2" t="inlineStr">
        <is>
          <t>Assets/MachineBrigade/Resources/Data/balance.json: escortRules.bossRushCut</t>
        </is>
      </c>
      <c r="H2" t="inlineStr">
        <is>
          <t>2</t>
        </is>
      </c>
    </row>
    <row r="3">
      <c r="A3" t="inlineStr">
        <is>
          <t>bossRushGuards</t>
        </is>
      </c>
      <c r="B3" t="inlineStr">
        <is>
          <t>escortRules</t>
        </is>
      </c>
      <c r="C3" t="inlineStr">
        <is>
          <t>bossRushGuards</t>
        </is>
      </c>
      <c r="D3" t="n">
        <v>0.7</v>
      </c>
      <c r="F3" t="inlineStr"/>
      <c r="G3" t="inlineStr">
        <is>
          <t>Assets/MachineBrigade/Resources/Data/balance.json: escortRules.bossRushGuards</t>
        </is>
      </c>
      <c r="H3" t="inlineStr">
        <is>
          <t>0.7</t>
        </is>
      </c>
    </row>
    <row r="4">
      <c r="A4" t="inlineStr">
        <is>
          <t>bossRushMin</t>
        </is>
      </c>
      <c r="B4" t="inlineStr">
        <is>
          <t>escortRules</t>
        </is>
      </c>
      <c r="C4" t="inlineStr">
        <is>
          <t>bossRushMin</t>
        </is>
      </c>
      <c r="D4" t="n">
        <v>4</v>
      </c>
      <c r="F4" t="inlineStr"/>
      <c r="G4" t="inlineStr">
        <is>
          <t>Assets/MachineBrigade/Resources/Data/balance.json: escortRules.bossRushMin</t>
        </is>
      </c>
      <c r="H4" t="inlineStr">
        <is>
          <t>4</t>
        </is>
      </c>
    </row>
    <row r="5">
      <c r="A5" t="inlineStr">
        <is>
          <t>bounty</t>
        </is>
      </c>
      <c r="B5" t="inlineStr">
        <is>
          <t>escortRules</t>
        </is>
      </c>
      <c r="C5" t="inlineStr">
        <is>
          <t>bounty</t>
        </is>
      </c>
      <c r="D5" t="n">
        <v>3</v>
      </c>
      <c r="F5" t="inlineStr"/>
      <c r="G5" t="inlineStr">
        <is>
          <t>Assets/MachineBrigade/Resources/Data/balance.json: escortRules.bounty</t>
        </is>
      </c>
      <c r="H5" t="inlineStr">
        <is>
          <t>3</t>
        </is>
      </c>
    </row>
    <row r="6">
      <c r="A6" t="inlineStr">
        <is>
          <t>cap.Easy</t>
        </is>
      </c>
      <c r="B6" t="inlineStr">
        <is>
          <t>escortRules</t>
        </is>
      </c>
      <c r="C6" t="inlineStr">
        <is>
          <t>Easy</t>
        </is>
      </c>
      <c r="D6" t="n">
        <v>5</v>
      </c>
      <c r="F6" t="inlineStr"/>
      <c r="G6" t="inlineStr">
        <is>
          <t>Assets/MachineBrigade/Resources/Data/balance.json: escortRules.cap.Easy</t>
        </is>
      </c>
      <c r="H6" t="inlineStr">
        <is>
          <t>5</t>
        </is>
      </c>
    </row>
    <row r="7">
      <c r="A7" t="inlineStr">
        <is>
          <t>cap.Hard</t>
        </is>
      </c>
      <c r="B7" t="inlineStr">
        <is>
          <t>escortRules</t>
        </is>
      </c>
      <c r="C7" t="inlineStr">
        <is>
          <t>Hard</t>
        </is>
      </c>
      <c r="D7" t="n">
        <v>8</v>
      </c>
      <c r="F7" t="inlineStr"/>
      <c r="G7" t="inlineStr">
        <is>
          <t>Assets/MachineBrigade/Resources/Data/balance.json: escortRules.cap.Hard</t>
        </is>
      </c>
      <c r="H7" t="inlineStr">
        <is>
          <t>8</t>
        </is>
      </c>
    </row>
    <row r="8">
      <c r="A8" t="inlineStr">
        <is>
          <t>cap.Heroic</t>
        </is>
      </c>
      <c r="B8" t="inlineStr">
        <is>
          <t>escortRules</t>
        </is>
      </c>
      <c r="C8" t="inlineStr">
        <is>
          <t>Heroic</t>
        </is>
      </c>
      <c r="D8" t="n">
        <v>9</v>
      </c>
      <c r="F8" t="inlineStr"/>
      <c r="G8" t="inlineStr">
        <is>
          <t>Assets/MachineBrigade/Resources/Data/balance.json: escortRules.cap.Heroic</t>
        </is>
      </c>
      <c r="H8" t="inlineStr">
        <is>
          <t>9</t>
        </is>
      </c>
    </row>
    <row r="9">
      <c r="A9" t="inlineStr">
        <is>
          <t>cap.Iron</t>
        </is>
      </c>
      <c r="B9" t="inlineStr">
        <is>
          <t>escortRules</t>
        </is>
      </c>
      <c r="C9" t="inlineStr">
        <is>
          <t>Iron</t>
        </is>
      </c>
      <c r="D9" t="n">
        <v>9</v>
      </c>
      <c r="F9" t="inlineStr"/>
      <c r="G9" t="inlineStr">
        <is>
          <t>Assets/MachineBrigade/Resources/Data/balance.json: escortRules.cap.Iron</t>
        </is>
      </c>
      <c r="H9" t="inlineStr">
        <is>
          <t>9</t>
        </is>
      </c>
    </row>
    <row r="10">
      <c r="A10" t="inlineStr">
        <is>
          <t>cap.Normal</t>
        </is>
      </c>
      <c r="B10" t="inlineStr">
        <is>
          <t>escortRules</t>
        </is>
      </c>
      <c r="C10" t="inlineStr">
        <is>
          <t>Normal</t>
        </is>
      </c>
      <c r="D10" t="n">
        <v>7</v>
      </c>
      <c r="F10" t="inlineStr"/>
      <c r="G10" t="inlineStr">
        <is>
          <t>Assets/MachineBrigade/Resources/Data/balance.json: escortRules.cap.Normal</t>
        </is>
      </c>
      <c r="H10" t="inlineStr">
        <is>
          <t>7</t>
        </is>
      </c>
    </row>
    <row r="11">
      <c r="A11" t="inlineStr">
        <is>
          <t>cap.VeryHard</t>
        </is>
      </c>
      <c r="B11" t="inlineStr">
        <is>
          <t>escortRules</t>
        </is>
      </c>
      <c r="C11" t="inlineStr">
        <is>
          <t>VeryHard</t>
        </is>
      </c>
      <c r="D11" t="n">
        <v>9</v>
      </c>
      <c r="F11" t="inlineStr"/>
      <c r="G11" t="inlineStr">
        <is>
          <t>Assets/MachineBrigade/Resources/Data/balance.json: escortRules.cap.VeryHard</t>
        </is>
      </c>
      <c r="H11" t="inlineStr">
        <is>
          <t>9</t>
        </is>
      </c>
    </row>
    <row r="12">
      <c r="A12" t="inlineStr">
        <is>
          <t>domains.air.cover</t>
        </is>
      </c>
      <c r="B12" t="inlineStr">
        <is>
          <t>escortRules</t>
        </is>
      </c>
      <c r="C12" t="inlineStr">
        <is>
          <t>cover</t>
        </is>
      </c>
      <c r="E12" t="inlineStr">
        <is>
          <t>fighter_jet</t>
        </is>
      </c>
      <c r="F12" t="inlineStr"/>
      <c r="G12" t="inlineStr">
        <is>
          <t>Assets/MachineBrigade/Resources/Data/balance.json: escortRules.domains.air.cover</t>
        </is>
      </c>
      <c r="H12" t="inlineStr">
        <is>
          <t>"fighter_jet"</t>
        </is>
      </c>
    </row>
    <row r="13">
      <c r="A13" t="inlineStr">
        <is>
          <t>domains.air.default</t>
        </is>
      </c>
      <c r="B13" t="inlineStr">
        <is>
          <t>escortRules</t>
        </is>
      </c>
      <c r="C13" t="inlineStr">
        <is>
          <t>default</t>
        </is>
      </c>
      <c r="E13" t="inlineStr">
        <is>
          <t>attack_helicopter</t>
        </is>
      </c>
      <c r="F13" t="inlineStr"/>
      <c r="G13" t="inlineStr">
        <is>
          <t>Assets/MachineBrigade/Resources/Data/balance.json: escortRules.domains.air.default</t>
        </is>
      </c>
      <c r="H13" t="inlineStr">
        <is>
          <t>"attack_helicopter"</t>
        </is>
      </c>
    </row>
    <row r="14">
      <c r="A14" t="inlineStr">
        <is>
          <t>domains.air.guard</t>
        </is>
      </c>
      <c r="B14" t="inlineStr">
        <is>
          <t>escortRules</t>
        </is>
      </c>
      <c r="C14" t="inlineStr">
        <is>
          <t>guard</t>
        </is>
      </c>
      <c r="E14" t="inlineStr">
        <is>
          <t>attack_helicopter</t>
        </is>
      </c>
      <c r="F14" t="inlineStr"/>
      <c r="G14" t="inlineStr">
        <is>
          <t>Assets/MachineBrigade/Resources/Data/balance.json: escortRules.domains.air.guard</t>
        </is>
      </c>
      <c r="H14" t="inlineStr">
        <is>
          <t>"attack_helicopter"</t>
        </is>
      </c>
    </row>
    <row r="15">
      <c r="A15" t="inlineStr">
        <is>
          <t>domains.air.jam</t>
        </is>
      </c>
      <c r="B15" t="inlineStr">
        <is>
          <t>escortRules</t>
        </is>
      </c>
      <c r="C15" t="inlineStr">
        <is>
          <t>jam</t>
        </is>
      </c>
      <c r="E15" t="inlineStr">
        <is>
          <t>fighter_jet:cover</t>
        </is>
      </c>
      <c r="F15" t="inlineStr"/>
      <c r="G15" t="inlineStr">
        <is>
          <t>Assets/MachineBrigade/Resources/Data/balance.json: escortRules.domains.air.jam</t>
        </is>
      </c>
      <c r="H15" t="inlineStr">
        <is>
          <t>"fighter_jet:cover"</t>
        </is>
      </c>
    </row>
    <row r="16">
      <c r="A16" t="inlineStr">
        <is>
          <t>domains.air.raid</t>
        </is>
      </c>
      <c r="B16" t="inlineStr">
        <is>
          <t>escortRules</t>
        </is>
      </c>
      <c r="C16" t="inlineStr">
        <is>
          <t>raid</t>
        </is>
      </c>
      <c r="E16" t="inlineStr">
        <is>
          <t>attack_helicopter</t>
        </is>
      </c>
      <c r="F16" t="inlineStr"/>
      <c r="G16" t="inlineStr">
        <is>
          <t>Assets/MachineBrigade/Resources/Data/balance.json: escortRules.domains.air.raid</t>
        </is>
      </c>
      <c r="H16" t="inlineStr">
        <is>
          <t>"attack_helicopter"</t>
        </is>
      </c>
    </row>
    <row r="17">
      <c r="A17" t="inlineStr">
        <is>
          <t>domains.air.repair</t>
        </is>
      </c>
      <c r="B17" t="inlineStr">
        <is>
          <t>escortRules</t>
        </is>
      </c>
      <c r="C17" t="inlineStr">
        <is>
          <t>repair</t>
        </is>
      </c>
      <c r="E17" t="inlineStr">
        <is>
          <t>attack_helicopter</t>
        </is>
      </c>
      <c r="F17" t="inlineStr"/>
      <c r="G17" t="inlineStr">
        <is>
          <t>Assets/MachineBrigade/Resources/Data/balance.json: escortRules.domains.air.repair</t>
        </is>
      </c>
      <c r="H17" t="inlineStr">
        <is>
          <t>"attack_helicopter"</t>
        </is>
      </c>
    </row>
    <row r="18">
      <c r="A18" t="inlineStr">
        <is>
          <t>domains.air.smoke</t>
        </is>
      </c>
      <c r="B18" t="inlineStr">
        <is>
          <t>escortRules</t>
        </is>
      </c>
      <c r="C18" t="inlineStr">
        <is>
          <t>smoke</t>
        </is>
      </c>
      <c r="E18" t="inlineStr">
        <is>
          <t>scout_heli</t>
        </is>
      </c>
      <c r="F18" t="inlineStr"/>
      <c r="G18" t="inlineStr">
        <is>
          <t>Assets/MachineBrigade/Resources/Data/balance.json: escortRules.domains.air.smoke</t>
        </is>
      </c>
      <c r="H18" t="inlineStr">
        <is>
          <t>"scout_heli"</t>
        </is>
      </c>
    </row>
    <row r="19">
      <c r="A19" t="inlineStr">
        <is>
          <t>domains.air.spot</t>
        </is>
      </c>
      <c r="B19" t="inlineStr">
        <is>
          <t>escortRules</t>
        </is>
      </c>
      <c r="C19" t="inlineStr">
        <is>
          <t>spot</t>
        </is>
      </c>
      <c r="E19" t="inlineStr">
        <is>
          <t>scout_heli</t>
        </is>
      </c>
      <c r="F19" t="inlineStr"/>
      <c r="G19" t="inlineStr">
        <is>
          <t>Assets/MachineBrigade/Resources/Data/balance.json: escortRules.domains.air.spot</t>
        </is>
      </c>
      <c r="H19" t="inlineStr">
        <is>
          <t>"scout_heli"</t>
        </is>
      </c>
    </row>
    <row r="20">
      <c r="A20" t="inlineStr">
        <is>
          <t>domains.ground.cover</t>
        </is>
      </c>
      <c r="B20" t="inlineStr">
        <is>
          <t>escortRules</t>
        </is>
      </c>
      <c r="C20" t="inlineStr">
        <is>
          <t>cover</t>
        </is>
      </c>
      <c r="E20" t="inlineStr">
        <is>
          <t>aa_vehicle</t>
        </is>
      </c>
      <c r="F20" t="inlineStr"/>
      <c r="G20" t="inlineStr">
        <is>
          <t>Assets/MachineBrigade/Resources/Data/balance.json: escortRules.domains.ground.cover</t>
        </is>
      </c>
      <c r="H20" t="inlineStr">
        <is>
          <t>"aa_vehicle"</t>
        </is>
      </c>
    </row>
    <row r="21">
      <c r="A21" t="inlineStr">
        <is>
          <t>domains.ground.default</t>
        </is>
      </c>
      <c r="B21" t="inlineStr">
        <is>
          <t>escortRules</t>
        </is>
      </c>
      <c r="C21" t="inlineStr">
        <is>
          <t>default</t>
        </is>
      </c>
      <c r="E21" t="inlineStr">
        <is>
          <t>main_battle_tank</t>
        </is>
      </c>
      <c r="F21" t="inlineStr"/>
      <c r="G21" t="inlineStr">
        <is>
          <t>Assets/MachineBrigade/Resources/Data/balance.json: escortRules.domains.ground.default</t>
        </is>
      </c>
      <c r="H21" t="inlineStr">
        <is>
          <t>"main_battle_tank"</t>
        </is>
      </c>
    </row>
    <row r="22">
      <c r="A22" t="inlineStr">
        <is>
          <t>domains.ground.guard</t>
        </is>
      </c>
      <c r="B22" t="inlineStr">
        <is>
          <t>escortRules</t>
        </is>
      </c>
      <c r="C22" t="inlineStr">
        <is>
          <t>guard</t>
        </is>
      </c>
      <c r="E22" t="inlineStr">
        <is>
          <t>main_battle_tank</t>
        </is>
      </c>
      <c r="F22" t="inlineStr"/>
      <c r="G22" t="inlineStr">
        <is>
          <t>Assets/MachineBrigade/Resources/Data/balance.json: escortRules.domains.ground.guard</t>
        </is>
      </c>
      <c r="H22" t="inlineStr">
        <is>
          <t>"main_battle_tank"</t>
        </is>
      </c>
    </row>
    <row r="23">
      <c r="A23" t="inlineStr">
        <is>
          <t>domains.ground.jam</t>
        </is>
      </c>
      <c r="B23" t="inlineStr">
        <is>
          <t>escortRules</t>
        </is>
      </c>
      <c r="C23" t="inlineStr">
        <is>
          <t>jam</t>
        </is>
      </c>
      <c r="E23" t="inlineStr">
        <is>
          <t>ew_jammer</t>
        </is>
      </c>
      <c r="F23" t="inlineStr"/>
      <c r="G23" t="inlineStr">
        <is>
          <t>Assets/MachineBrigade/Resources/Data/balance.json: escortRules.domains.ground.jam</t>
        </is>
      </c>
      <c r="H23" t="inlineStr">
        <is>
          <t>"ew_jammer"</t>
        </is>
      </c>
    </row>
    <row r="24">
      <c r="A24" t="inlineStr">
        <is>
          <t>domains.ground.raid</t>
        </is>
      </c>
      <c r="B24" t="inlineStr">
        <is>
          <t>escortRules</t>
        </is>
      </c>
      <c r="C24" t="inlineStr">
        <is>
          <t>raid</t>
        </is>
      </c>
      <c r="E24" t="inlineStr">
        <is>
          <t>light_tank</t>
        </is>
      </c>
      <c r="F24" t="inlineStr"/>
      <c r="G24" t="inlineStr">
        <is>
          <t>Assets/MachineBrigade/Resources/Data/balance.json: escortRules.domains.ground.raid</t>
        </is>
      </c>
      <c r="H24" t="inlineStr">
        <is>
          <t>"light_tank"</t>
        </is>
      </c>
    </row>
    <row r="25">
      <c r="A25" t="inlineStr">
        <is>
          <t>domains.ground.repair</t>
        </is>
      </c>
      <c r="B25" t="inlineStr">
        <is>
          <t>escortRules</t>
        </is>
      </c>
      <c r="C25" t="inlineStr">
        <is>
          <t>repair</t>
        </is>
      </c>
      <c r="E25" t="inlineStr">
        <is>
          <t>engineer_vehicle</t>
        </is>
      </c>
      <c r="F25" t="inlineStr"/>
      <c r="G25" t="inlineStr">
        <is>
          <t>Assets/MachineBrigade/Resources/Data/balance.json: escortRules.domains.ground.repair</t>
        </is>
      </c>
      <c r="H25" t="inlineStr">
        <is>
          <t>"engineer_vehicle"</t>
        </is>
      </c>
    </row>
    <row r="26">
      <c r="A26" t="inlineStr">
        <is>
          <t>domains.ground.smoke</t>
        </is>
      </c>
      <c r="B26" t="inlineStr">
        <is>
          <t>escortRules</t>
        </is>
      </c>
      <c r="C26" t="inlineStr">
        <is>
          <t>smoke</t>
        </is>
      </c>
      <c r="E26" t="inlineStr">
        <is>
          <t>ew_jammer</t>
        </is>
      </c>
      <c r="F26" t="inlineStr"/>
      <c r="G26" t="inlineStr">
        <is>
          <t>Assets/MachineBrigade/Resources/Data/balance.json: escortRules.domains.ground.smoke</t>
        </is>
      </c>
      <c r="H26" t="inlineStr">
        <is>
          <t>"ew_jammer"</t>
        </is>
      </c>
    </row>
    <row r="27">
      <c r="A27" t="inlineStr">
        <is>
          <t>domains.ground.spot</t>
        </is>
      </c>
      <c r="B27" t="inlineStr">
        <is>
          <t>escortRules</t>
        </is>
      </c>
      <c r="C27" t="inlineStr">
        <is>
          <t>spot</t>
        </is>
      </c>
      <c r="E27" t="inlineStr">
        <is>
          <t>armored_car</t>
        </is>
      </c>
      <c r="F27" t="inlineStr"/>
      <c r="G27" t="inlineStr">
        <is>
          <t>Assets/MachineBrigade/Resources/Data/balance.json: escortRules.domains.ground.spot</t>
        </is>
      </c>
      <c r="H27" t="inlineStr">
        <is>
          <t>"armored_car"</t>
        </is>
      </c>
    </row>
    <row r="28">
      <c r="A28" t="inlineStr">
        <is>
          <t>domains.sea.cover</t>
        </is>
      </c>
      <c r="B28" t="inlineStr">
        <is>
          <t>escortRules</t>
        </is>
      </c>
      <c r="C28" t="inlineStr">
        <is>
          <t>cover</t>
        </is>
      </c>
      <c r="E28" t="inlineStr">
        <is>
          <t>sea_corvette</t>
        </is>
      </c>
      <c r="F28" t="inlineStr"/>
      <c r="G28" t="inlineStr">
        <is>
          <t>Assets/MachineBrigade/Resources/Data/balance.json: escortRules.domains.sea.cover</t>
        </is>
      </c>
      <c r="H28" t="inlineStr">
        <is>
          <t>"sea_corvette"</t>
        </is>
      </c>
    </row>
    <row r="29">
      <c r="A29" t="inlineStr">
        <is>
          <t>domains.sea.default</t>
        </is>
      </c>
      <c r="B29" t="inlineStr">
        <is>
          <t>escortRules</t>
        </is>
      </c>
      <c r="C29" t="inlineStr">
        <is>
          <t>default</t>
        </is>
      </c>
      <c r="E29" t="inlineStr">
        <is>
          <t>missile_boat</t>
        </is>
      </c>
      <c r="F29" t="inlineStr"/>
      <c r="G29" t="inlineStr">
        <is>
          <t>Assets/MachineBrigade/Resources/Data/balance.json: escortRules.domains.sea.default</t>
        </is>
      </c>
      <c r="H29" t="inlineStr">
        <is>
          <t>"missile_boat"</t>
        </is>
      </c>
    </row>
    <row r="30">
      <c r="A30" t="inlineStr">
        <is>
          <t>domains.sea.guard</t>
        </is>
      </c>
      <c r="B30" t="inlineStr">
        <is>
          <t>escortRules</t>
        </is>
      </c>
      <c r="C30" t="inlineStr">
        <is>
          <t>guard</t>
        </is>
      </c>
      <c r="E30" t="inlineStr">
        <is>
          <t>missile_boat</t>
        </is>
      </c>
      <c r="F30" t="inlineStr"/>
      <c r="G30" t="inlineStr">
        <is>
          <t>Assets/MachineBrigade/Resources/Data/balance.json: escortRules.domains.sea.guard</t>
        </is>
      </c>
      <c r="H30" t="inlineStr">
        <is>
          <t>"missile_boat"</t>
        </is>
      </c>
    </row>
    <row r="31">
      <c r="A31" t="inlineStr">
        <is>
          <t>domains.sea.jam</t>
        </is>
      </c>
      <c r="B31" t="inlineStr">
        <is>
          <t>escortRules</t>
        </is>
      </c>
      <c r="C31" t="inlineStr">
        <is>
          <t>jam</t>
        </is>
      </c>
      <c r="E31" t="inlineStr">
        <is>
          <t>sea_corvette:cover</t>
        </is>
      </c>
      <c r="F31" t="inlineStr"/>
      <c r="G31" t="inlineStr">
        <is>
          <t>Assets/MachineBrigade/Resources/Data/balance.json: escortRules.domains.sea.jam</t>
        </is>
      </c>
      <c r="H31" t="inlineStr">
        <is>
          <t>"sea_corvette:cover"</t>
        </is>
      </c>
    </row>
    <row r="32">
      <c r="A32" t="inlineStr">
        <is>
          <t>domains.sea.raid</t>
        </is>
      </c>
      <c r="B32" t="inlineStr">
        <is>
          <t>escortRules</t>
        </is>
      </c>
      <c r="C32" t="inlineStr">
        <is>
          <t>raid</t>
        </is>
      </c>
      <c r="E32" t="inlineStr">
        <is>
          <t>hover_gunboat</t>
        </is>
      </c>
      <c r="F32" t="inlineStr"/>
      <c r="G32" t="inlineStr">
        <is>
          <t>Assets/MachineBrigade/Resources/Data/balance.json: escortRules.domains.sea.raid</t>
        </is>
      </c>
      <c r="H32" t="inlineStr">
        <is>
          <t>"hover_gunboat"</t>
        </is>
      </c>
    </row>
    <row r="33">
      <c r="A33" t="inlineStr">
        <is>
          <t>domains.sea.repair</t>
        </is>
      </c>
      <c r="B33" t="inlineStr">
        <is>
          <t>escortRules</t>
        </is>
      </c>
      <c r="C33" t="inlineStr">
        <is>
          <t>repair</t>
        </is>
      </c>
      <c r="E33" t="inlineStr">
        <is>
          <t>river_gunboat</t>
        </is>
      </c>
      <c r="F33" t="inlineStr"/>
      <c r="G33" t="inlineStr">
        <is>
          <t>Assets/MachineBrigade/Resources/Data/balance.json: escortRules.domains.sea.repair</t>
        </is>
      </c>
      <c r="H33" t="inlineStr">
        <is>
          <t>"river_gunboat"</t>
        </is>
      </c>
    </row>
    <row r="34">
      <c r="A34" t="inlineStr">
        <is>
          <t>domains.sea.smoke</t>
        </is>
      </c>
      <c r="B34" t="inlineStr">
        <is>
          <t>escortRules</t>
        </is>
      </c>
      <c r="C34" t="inlineStr">
        <is>
          <t>smoke</t>
        </is>
      </c>
      <c r="E34" t="inlineStr">
        <is>
          <t>river_patrol_boat</t>
        </is>
      </c>
      <c r="F34" t="inlineStr"/>
      <c r="G34" t="inlineStr">
        <is>
          <t>Assets/MachineBrigade/Resources/Data/balance.json: escortRules.domains.sea.smoke</t>
        </is>
      </c>
      <c r="H34" t="inlineStr">
        <is>
          <t>"river_patrol_boat"</t>
        </is>
      </c>
    </row>
    <row r="35">
      <c r="A35" t="inlineStr">
        <is>
          <t>domains.sea.spot</t>
        </is>
      </c>
      <c r="B35" t="inlineStr">
        <is>
          <t>escortRules</t>
        </is>
      </c>
      <c r="C35" t="inlineStr">
        <is>
          <t>spot</t>
        </is>
      </c>
      <c r="E35" t="inlineStr">
        <is>
          <t>river_patrol_boat</t>
        </is>
      </c>
      <c r="F35" t="inlineStr"/>
      <c r="G35" t="inlineStr">
        <is>
          <t>Assets/MachineBrigade/Resources/Data/balance.json: escortRules.domains.sea.spot</t>
        </is>
      </c>
      <c r="H35" t="inlineStr">
        <is>
          <t>"river_patrol_boat"</t>
        </is>
      </c>
    </row>
    <row r="36">
      <c r="A36" t="inlineStr">
        <is>
          <t>dropWarn</t>
        </is>
      </c>
      <c r="B36" t="inlineStr">
        <is>
          <t>escortRules</t>
        </is>
      </c>
      <c r="C36" t="inlineStr">
        <is>
          <t>dropWarn</t>
        </is>
      </c>
      <c r="D36" t="n">
        <v>3</v>
      </c>
      <c r="F36" t="inlineStr">
        <is>
          <t>s</t>
        </is>
      </c>
      <c r="G36" t="inlineStr">
        <is>
          <t>Assets/MachineBrigade/Resources/Data/balance.json: escortRules.dropWarn</t>
        </is>
      </c>
      <c r="H36" t="inlineStr">
        <is>
          <t>3</t>
        </is>
      </c>
    </row>
    <row r="37">
      <c r="A37" t="inlineStr">
        <is>
          <t>helperBounty</t>
        </is>
      </c>
      <c r="B37" t="inlineStr">
        <is>
          <t>escortRules</t>
        </is>
      </c>
      <c r="C37" t="inlineStr">
        <is>
          <t>helperBounty</t>
        </is>
      </c>
      <c r="D37" t="n">
        <v>4</v>
      </c>
      <c r="F37" t="inlineStr"/>
      <c r="G37" t="inlineStr">
        <is>
          <t>Assets/MachineBrigade/Resources/Data/balance.json: escortRules.helperBounty</t>
        </is>
      </c>
      <c r="H37" t="inlineStr">
        <is>
          <t>4</t>
        </is>
      </c>
    </row>
    <row r="38">
      <c r="A38" t="inlineStr">
        <is>
          <t>leash</t>
        </is>
      </c>
      <c r="B38" t="inlineStr">
        <is>
          <t>escortRules</t>
        </is>
      </c>
      <c r="C38" t="inlineStr">
        <is>
          <t>leash</t>
        </is>
      </c>
      <c r="D38" t="n">
        <v>28</v>
      </c>
      <c r="F38" t="inlineStr">
        <is>
          <t>m</t>
        </is>
      </c>
      <c r="G38" t="inlineStr">
        <is>
          <t>Assets/MachineBrigade/Resources/Data/balance.json: escortRules.leash</t>
        </is>
      </c>
      <c r="H38" t="inlineStr">
        <is>
          <t>28</t>
        </is>
      </c>
    </row>
    <row r="39">
      <c r="A39" t="inlineStr">
        <is>
          <t>marks</t>
        </is>
      </c>
      <c r="B39" t="inlineStr">
        <is>
          <t>escortRules</t>
        </is>
      </c>
      <c r="C39" t="inlineStr">
        <is>
          <t>marks</t>
        </is>
      </c>
      <c r="E39" t="inlineStr">
        <is>
          <t>0.5</t>
        </is>
      </c>
      <c r="F39" t="inlineStr"/>
      <c r="G39" t="inlineStr">
        <is>
          <t>Assets/MachineBrigade/Resources/Data/balance.json: escortRules.marks</t>
        </is>
      </c>
      <c r="H39" t="inlineStr">
        <is>
          <t>[0.5]</t>
        </is>
      </c>
    </row>
    <row r="40">
      <c r="A40" t="inlineStr">
        <is>
          <t>repair</t>
        </is>
      </c>
      <c r="B40" t="inlineStr">
        <is>
          <t>escortRules</t>
        </is>
      </c>
      <c r="C40" t="inlineStr">
        <is>
          <t>repair</t>
        </is>
      </c>
      <c r="D40" t="n">
        <v>0.003</v>
      </c>
      <c r="F40" t="inlineStr"/>
      <c r="G40" t="inlineStr">
        <is>
          <t>Assets/MachineBrigade/Resources/Data/balance.json: escortRules.repair</t>
        </is>
      </c>
      <c r="H40" t="inlineStr">
        <is>
          <t>0.003</t>
        </is>
      </c>
    </row>
    <row r="41">
      <c r="A41" t="inlineStr">
        <is>
          <t>repairReach</t>
        </is>
      </c>
      <c r="B41" t="inlineStr">
        <is>
          <t>escortRules</t>
        </is>
      </c>
      <c r="C41" t="inlineStr">
        <is>
          <t>repairReach</t>
        </is>
      </c>
      <c r="D41" t="n">
        <v>12</v>
      </c>
      <c r="F41" t="inlineStr">
        <is>
          <t>m</t>
        </is>
      </c>
      <c r="G41" t="inlineStr">
        <is>
          <t>Assets/MachineBrigade/Resources/Data/balance.json: escortRules.repairReach</t>
        </is>
      </c>
      <c r="H41" t="inlineStr">
        <is>
          <t>12</t>
        </is>
      </c>
    </row>
    <row r="42">
      <c r="A42" t="inlineStr">
        <is>
          <t>spotBonus</t>
        </is>
      </c>
      <c r="B42" t="inlineStr">
        <is>
          <t>escortRules</t>
        </is>
      </c>
      <c r="C42" t="inlineStr">
        <is>
          <t>spotBonus</t>
        </is>
      </c>
      <c r="D42" t="n">
        <v>0.15</v>
      </c>
      <c r="F42" t="inlineStr"/>
      <c r="G42" t="inlineStr">
        <is>
          <t>Assets/MachineBrigade/Resources/Data/balance.json: escortRules.spotBonus</t>
        </is>
      </c>
      <c r="H42" t="inlineStr">
        <is>
          <t>0.15</t>
        </is>
      </c>
    </row>
    <row r="43">
      <c r="A43" t="inlineStr">
        <is>
          <t>spotSpread</t>
        </is>
      </c>
      <c r="B43" t="inlineStr">
        <is>
          <t>escortRules</t>
        </is>
      </c>
      <c r="C43" t="inlineStr">
        <is>
          <t>spotSpread</t>
        </is>
      </c>
      <c r="D43" t="n">
        <v>0.6</v>
      </c>
      <c r="F43" t="inlineStr"/>
      <c r="G43" t="inlineStr">
        <is>
          <t>Assets/MachineBrigade/Resources/Data/balance.json: escortRules.spotSpread</t>
        </is>
      </c>
      <c r="H43" t="inlineStr">
        <is>
          <t>0.6</t>
        </is>
      </c>
    </row>
  </sheetData>
  <autoFilter ref="A1:H43"/>
  <pageMargins left="0.75" right="0.75" top="1" bottom="1" header="0.5" footer="0.5"/>
</worksheet>
</file>

<file path=xl/worksheets/sheet3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8" customWidth="1" min="2" max="2"/>
    <col width="9" customWidth="1" min="3" max="3"/>
    <col width="8" customWidth="1" min="4" max="4"/>
    <col width="10" customWidth="1" min="5" max="5"/>
    <col width="13" customWidth="1" min="6" max="6"/>
    <col width="60" customWidth="1" min="7" max="7"/>
    <col width="60" customWidth="1" min="8" max="8"/>
    <col width="10" customWidth="1" min="9" max="9"/>
  </cols>
  <sheetData>
    <row r="1">
      <c r="A1" s="1" t="inlineStr">
        <is>
          <t>id</t>
        </is>
      </c>
      <c r="B1" s="1" t="inlineStr">
        <is>
          <t>thu_tu</t>
        </is>
      </c>
      <c r="C1" s="1" t="inlineStr">
        <is>
          <t>chu_luc</t>
        </is>
      </c>
      <c r="D1" s="1" t="inlineStr">
        <is>
          <t>chuong</t>
        </is>
      </c>
      <c r="E1" s="1" t="inlineStr">
        <is>
          <t>cach_xep</t>
        </is>
      </c>
      <c r="F1" s="1" t="inlineStr">
        <is>
          <t>phong_khong</t>
        </is>
      </c>
      <c r="G1" s="1" t="inlineStr">
        <is>
          <t>tuan</t>
        </is>
      </c>
      <c r="H1" s="1" t="inlineStr">
        <is>
          <t>nguon</t>
        </is>
      </c>
      <c r="I1" s="1" t="inlineStr">
        <is>
          <t>raw_json</t>
        </is>
      </c>
    </row>
    <row r="2">
      <c r="A2" t="inlineStr">
        <is>
          <t>argus</t>
        </is>
      </c>
      <c r="B2" t="n">
        <v>27</v>
      </c>
      <c r="C2" t="b">
        <v>0</v>
      </c>
      <c r="D2" t="n">
        <v>10</v>
      </c>
      <c r="E2" t="inlineStr">
        <is>
          <t>slot</t>
        </is>
      </c>
      <c r="F2" t="b">
        <v>0</v>
      </c>
      <c r="G2" t="inlineStr">
        <is>
          <t>6/53 tuần: W02#9,W08#8,W10#9,W15#9,W21#9,W49#9</t>
        </is>
      </c>
      <c r="H2" t="inlineStr">
        <is>
          <t>Assets/MachineBrigade/Resources/Data/campaign.json: chapters / missions (port Assets/MachineBrigade/Scripts/Game/Match/BossHunts.cs Story)</t>
        </is>
      </c>
      <c r="I2" t="inlineStr"/>
    </row>
    <row r="3">
      <c r="A3" t="inlineStr">
        <is>
          <t>armored_train</t>
        </is>
      </c>
      <c r="B3" t="n">
        <v>9</v>
      </c>
      <c r="C3" t="b">
        <v>0</v>
      </c>
      <c r="D3" t="n">
        <v>4</v>
      </c>
      <c r="E3" t="inlineStr">
        <is>
          <t>slot</t>
        </is>
      </c>
      <c r="F3" t="b">
        <v>1</v>
      </c>
      <c r="G3" t="inlineStr">
        <is>
          <t>53/53 tuần: W01#3,W02#2,W03#3,W04#2,W05#3,W06#3,W07#3,W08#2,W09#3,W10#5,W11#3,W12#1,W13#5,W14#5,W15#3,W16#3,W17#2,W18#5,W19#5,W20#3,W21#2,W22#3,W23#5,W24#5,W25#5,W26#3,W27#5,W28#3,W29#3,W30#1,W31#6,W32#3,W33#1,W34#2,W35#6,W36#2,W37#5,W38#3,W39#2,W40#5,W41#3,W42#5,W43#3,W44#3,W45#3,W46#2,W47#3,W48#5,W49#2,W50#5,W51#2,W52#3,W53#5</t>
        </is>
      </c>
      <c r="H3" t="inlineStr">
        <is>
          <t>Assets/MachineBrigade/Resources/Data/campaign.json: chapters / missions (port Assets/MachineBrigade/Scripts/Game/Match/BossHunts.cs Story)</t>
        </is>
      </c>
      <c r="I3" t="inlineStr"/>
    </row>
    <row r="4">
      <c r="A4" t="inlineStr">
        <is>
          <t>bastion_mk0</t>
        </is>
      </c>
      <c r="B4" t="n">
        <v>1</v>
      </c>
      <c r="C4" t="b">
        <v>0</v>
      </c>
      <c r="D4" t="n">
        <v>1</v>
      </c>
      <c r="E4" t="inlineStr">
        <is>
          <t>slot</t>
        </is>
      </c>
      <c r="F4" t="b">
        <v>0</v>
      </c>
      <c r="G4" t="inlineStr">
        <is>
          <t>22/53 tuần: W03#1,W05#1,W08#1,W09#1,W10#1,W11#1,W14#1,W15#1,W17#1,W18#1,W20#1,W24#1,W28#1,W31#1,W32#1,W34#1,W35#1,W40#1,W43#1,W48#1,W50#1,W52#1</t>
        </is>
      </c>
      <c r="H4" t="inlineStr">
        <is>
          <t>Assets/MachineBrigade/Resources/Data/campaign.json: chapters / missions (port Assets/MachineBrigade/Scripts/Game/Match/BossHunts.cs Story)</t>
        </is>
      </c>
      <c r="I4" t="inlineStr"/>
    </row>
    <row r="5">
      <c r="A5" t="inlineStr">
        <is>
          <t>behemoth</t>
        </is>
      </c>
      <c r="B5" t="n">
        <v>4</v>
      </c>
      <c r="C5" t="b">
        <v>1</v>
      </c>
      <c r="D5" t="n">
        <v>2</v>
      </c>
      <c r="E5" t="inlineStr">
        <is>
          <t>slot</t>
        </is>
      </c>
      <c r="F5" t="b">
        <v>1</v>
      </c>
      <c r="G5" t="inlineStr">
        <is>
          <t>10/53 tuần: W10#4,W11#4,W14#4,W16#4,W22#4,W29#7,W33#4,W43#7,W46#4,W47#4</t>
        </is>
      </c>
      <c r="H5" t="inlineStr">
        <is>
          <t>Assets/MachineBrigade/Resources/Data/campaign.json: chapters / missions (port Assets/MachineBrigade/Scripts/Game/Match/BossHunts.cs Story)</t>
        </is>
      </c>
      <c r="I5" t="inlineStr"/>
    </row>
    <row r="6">
      <c r="A6" t="inlineStr">
        <is>
          <t>behemoth_inferno</t>
        </is>
      </c>
      <c r="B6" t="n">
        <v>3</v>
      </c>
      <c r="C6" t="b">
        <v>0</v>
      </c>
      <c r="D6" t="n">
        <v>2</v>
      </c>
      <c r="E6" t="inlineStr">
        <is>
          <t>slot</t>
        </is>
      </c>
      <c r="F6" t="b">
        <v>0</v>
      </c>
      <c r="G6" t="inlineStr">
        <is>
          <t>22/53 tuần: W01#1,W03#2,W05#2,W06#1,W07#1,W09#2,W19#1,W23#1,W24#2,W25#1,W27#1,W31#2,W37#1,W38#1,W41#1,W42#1,W43#2,W44#1,W45#1,W47#1,W51#1,W53#1</t>
        </is>
      </c>
      <c r="H6" t="inlineStr">
        <is>
          <t>Assets/MachineBrigade/Resources/Data/campaign.json: chapters / missions (port Assets/MachineBrigade/Scripts/Game/Match/BossHunts.cs Story)</t>
        </is>
      </c>
      <c r="I6" t="inlineStr"/>
    </row>
    <row r="7">
      <c r="A7" t="inlineStr">
        <is>
          <t>behemoth_mk0</t>
        </is>
      </c>
      <c r="B7" t="n">
        <v>8</v>
      </c>
      <c r="C7" t="b">
        <v>0</v>
      </c>
      <c r="D7" t="n">
        <v>13</v>
      </c>
      <c r="E7" t="inlineStr">
        <is>
          <t>slot</t>
        </is>
      </c>
      <c r="F7" t="b">
        <v>0</v>
      </c>
      <c r="G7" t="inlineStr">
        <is>
          <t>20/53 tuần: W06#2,W07#2,W10#3,W13#3,W15#2,W18#3,W22#2,W23#3,W25#3,W26#2,W27#3,W31#5,W35#5,W37#3,W40#3,W41#2,W42#3,W48#3,W49#1,W50#3</t>
        </is>
      </c>
      <c r="H7" t="inlineStr">
        <is>
          <t>Assets/MachineBrigade/Resources/Data/campaign.json: chapters / missions (port Assets/MachineBrigade/Scripts/Game/Match/BossHunts.cs Story)</t>
        </is>
      </c>
      <c r="I7" t="inlineStr"/>
    </row>
    <row r="8">
      <c r="A8" t="inlineStr">
        <is>
          <t>behemoth_mk2</t>
        </is>
      </c>
      <c r="B8" t="n">
        <v>16</v>
      </c>
      <c r="C8" t="b">
        <v>0</v>
      </c>
      <c r="D8" t="n">
        <v>6</v>
      </c>
      <c r="E8" t="inlineStr">
        <is>
          <t>slot</t>
        </is>
      </c>
      <c r="F8" t="b">
        <v>1</v>
      </c>
      <c r="G8" t="inlineStr">
        <is>
          <t>53/53 tuần: W01#9,W02#5,W03#8,W04#6,W05#9,W06#8,W07#9,W08#5,W09#9,W10#8,W11#8,W12#6,W13#9,W14#8,W15#8,W16#9,W17#9,W18#8,W19#8,W20#8,W21#6,W22#9,W23#8,W24#9,W25#9,W26#9,W27#8,W28#9,W29#8,W30#5,W31#9,W32#8,W33#6,W34#8,W35#9,W36#6,W37#9,W38#8,W39#8,W40#9,W41#8,W42#9,W43#9,W44#6,W45#6,W46#9,W47#8,W48#9,W49#5,W50#9,W51#5,W52#9,W53#9</t>
        </is>
      </c>
      <c r="H8" t="inlineStr">
        <is>
          <t>Assets/MachineBrigade/Resources/Data/campaign.json: chapters / missions (port Assets/MachineBrigade/Scripts/Game/Match/BossHunts.cs Story)</t>
        </is>
      </c>
      <c r="I8" t="inlineStr"/>
    </row>
    <row r="9">
      <c r="A9" t="inlineStr">
        <is>
          <t>behemoth_tempest</t>
        </is>
      </c>
      <c r="B9" t="n">
        <v>10</v>
      </c>
      <c r="C9" t="b">
        <v>0</v>
      </c>
      <c r="D9" t="n">
        <v>4</v>
      </c>
      <c r="E9" t="inlineStr">
        <is>
          <t>slot</t>
        </is>
      </c>
      <c r="F9" t="b">
        <v>0</v>
      </c>
      <c r="G9" t="inlineStr">
        <is>
          <t>16/53 tuần: W07#5,W13#6,W17#3,W20#5,W22#5,W24#6,W26#5,W28#5,W29#5,W33#2,W34#3,W38#5,W39#3,W40#6,W46#3,W48#6</t>
        </is>
      </c>
      <c r="H9" t="inlineStr">
        <is>
          <t>Assets/MachineBrigade/Resources/Data/campaign.json: chapters / missions (port Assets/MachineBrigade/Scripts/Game/Match/BossHunts.cs Story)</t>
        </is>
      </c>
      <c r="I9" t="inlineStr"/>
    </row>
    <row r="10">
      <c r="A10" t="inlineStr">
        <is>
          <t>coeus</t>
        </is>
      </c>
      <c r="B10" t="n">
        <v>33</v>
      </c>
      <c r="C10" t="b">
        <v>0</v>
      </c>
      <c r="D10" t="n">
        <v>12</v>
      </c>
      <c r="E10" t="inlineStr">
        <is>
          <t>unslotted</t>
        </is>
      </c>
      <c r="F10" t="b">
        <v>0</v>
      </c>
      <c r="G10" t="inlineStr">
        <is>
          <t>0/53 tuần</t>
        </is>
      </c>
      <c r="H10" t="inlineStr">
        <is>
          <t>Assets/MachineBrigade/Resources/Data/campaign.json: chapters / missions (port Assets/MachineBrigade/Scripts/Game/Match/BossHunts.cs Story)</t>
        </is>
      </c>
      <c r="I10" t="inlineStr"/>
    </row>
    <row r="11">
      <c r="A11" t="inlineStr">
        <is>
          <t>command_airship</t>
        </is>
      </c>
      <c r="B11" t="n">
        <v>26</v>
      </c>
      <c r="C11" t="b">
        <v>1</v>
      </c>
      <c r="D11" t="n">
        <v>10</v>
      </c>
      <c r="E11" t="inlineStr">
        <is>
          <t>slot</t>
        </is>
      </c>
      <c r="F11" t="b">
        <v>0</v>
      </c>
      <c r="G11" t="inlineStr">
        <is>
          <t>13/53 tuần: W07#10,W08#7,W13#10,W16#10,W18#7,W23#7,W24#10,W25#10,W35#10,W37#7,W38#7,W44#10,W47#7</t>
        </is>
      </c>
      <c r="H11" t="inlineStr">
        <is>
          <t>Assets/MachineBrigade/Resources/Data/campaign.json: chapters / missions (port Assets/MachineBrigade/Scripts/Game/Match/BossHunts.cs Story)</t>
        </is>
      </c>
      <c r="I11" t="inlineStr"/>
    </row>
    <row r="12">
      <c r="A12" t="inlineStr">
        <is>
          <t>daedalus</t>
        </is>
      </c>
      <c r="B12" t="n">
        <v>29</v>
      </c>
      <c r="C12" t="b">
        <v>1</v>
      </c>
      <c r="D12" t="n">
        <v>11</v>
      </c>
      <c r="E12" t="inlineStr">
        <is>
          <t>slot</t>
        </is>
      </c>
      <c r="F12" t="b">
        <v>0</v>
      </c>
      <c r="G12" t="inlineStr">
        <is>
          <t>8/53 tuần: W02#10,W12#10,W15#7,W30#10,W34#10,W40#10,W48#10,W51#10</t>
        </is>
      </c>
      <c r="H12" t="inlineStr">
        <is>
          <t>Assets/MachineBrigade/Resources/Data/campaign.json: chapters / missions (port Assets/MachineBrigade/Scripts/Game/Match/BossHunts.cs Story)</t>
        </is>
      </c>
      <c r="I12" t="inlineStr"/>
    </row>
    <row r="13">
      <c r="A13" t="inlineStr">
        <is>
          <t>drone_mothership</t>
        </is>
      </c>
      <c r="B13" t="n">
        <v>15</v>
      </c>
      <c r="C13" t="b">
        <v>1</v>
      </c>
      <c r="D13" t="n">
        <v>5</v>
      </c>
      <c r="E13" t="inlineStr">
        <is>
          <t>slot</t>
        </is>
      </c>
      <c r="F13" t="b">
        <v>1</v>
      </c>
      <c r="G13" t="inlineStr">
        <is>
          <t>14/53 tuần: W02#4,W04#4,W06#4,W11#10,W13#7,W18#4,W19#4,W21#4,W22#7,W24#4,W28#7,W31#4,W48#4,W52#4</t>
        </is>
      </c>
      <c r="H13" t="inlineStr">
        <is>
          <t>Assets/MachineBrigade/Resources/Data/campaign.json: chapters / missions (port Assets/MachineBrigade/Scripts/Game/Match/BossHunts.cs Story)</t>
        </is>
      </c>
      <c r="I13" t="inlineStr"/>
    </row>
    <row r="14">
      <c r="A14" t="inlineStr">
        <is>
          <t>earth_borer</t>
        </is>
      </c>
      <c r="B14" t="n">
        <v>20</v>
      </c>
      <c r="C14" t="b">
        <v>0</v>
      </c>
      <c r="D14" t="n">
        <v>8</v>
      </c>
      <c r="E14" t="inlineStr">
        <is>
          <t>slot</t>
        </is>
      </c>
      <c r="F14" t="b">
        <v>0</v>
      </c>
      <c r="G14" t="inlineStr">
        <is>
          <t>7/53 tuần: W02#8,W08#6,W30#8,W33#9,W36#8,W39#9,W45#8</t>
        </is>
      </c>
      <c r="H14" t="inlineStr">
        <is>
          <t>Assets/MachineBrigade/Resources/Data/campaign.json: chapters / missions (port Assets/MachineBrigade/Scripts/Game/Match/BossHunts.cs Story)</t>
        </is>
      </c>
      <c r="I14" t="inlineStr"/>
    </row>
    <row r="15">
      <c r="A15" t="inlineStr">
        <is>
          <t>fenrir</t>
        </is>
      </c>
      <c r="B15" t="n">
        <v>7</v>
      </c>
      <c r="C15" t="b">
        <v>0</v>
      </c>
      <c r="D15" t="n">
        <v>3</v>
      </c>
      <c r="E15" t="inlineStr">
        <is>
          <t>slot</t>
        </is>
      </c>
      <c r="F15" t="b">
        <v>0</v>
      </c>
      <c r="G15" t="inlineStr">
        <is>
          <t>20/53 tuần: W02#1,W04#1,W10#2,W13#2,W14#3,W16#2,W19#3,W21#1,W25#2,W26#1,W27#2,W29#2,W32#2,W35#3,W38#2,W39#1,W40#2,W46#1,W47#2,W53#3</t>
        </is>
      </c>
      <c r="H15" t="inlineStr">
        <is>
          <t>Assets/MachineBrigade/Resources/Data/campaign.json: chapters / missions (port Assets/MachineBrigade/Scripts/Game/Match/BossHunts.cs Story)</t>
        </is>
      </c>
      <c r="I15" t="inlineStr"/>
    </row>
    <row r="16">
      <c r="A16" t="inlineStr">
        <is>
          <t>fortress_bastion</t>
        </is>
      </c>
      <c r="B16" t="n">
        <v>2</v>
      </c>
      <c r="C16" t="b">
        <v>1</v>
      </c>
      <c r="D16" t="n">
        <v>1</v>
      </c>
      <c r="E16" t="inlineStr">
        <is>
          <t>slot</t>
        </is>
      </c>
      <c r="F16" t="b">
        <v>1</v>
      </c>
      <c r="G16" t="inlineStr">
        <is>
          <t>11/53 tuần: W05#4,W12#4,W17#4,W28#4,W29#4,W36#4,W40#4,W43#4,W44#4,W50#4,W53#4</t>
        </is>
      </c>
      <c r="H16" t="inlineStr">
        <is>
          <t>Assets/MachineBrigade/Resources/Data/campaign.json: chapters / missions (port Assets/MachineBrigade/Scripts/Game/Match/BossHunts.cs Story)</t>
        </is>
      </c>
      <c r="I16" t="inlineStr"/>
    </row>
    <row r="17">
      <c r="A17" t="inlineStr">
        <is>
          <t>hydra</t>
        </is>
      </c>
      <c r="B17" t="n">
        <v>24</v>
      </c>
      <c r="C17" t="b">
        <v>0</v>
      </c>
      <c r="D17" t="n">
        <v>9</v>
      </c>
      <c r="E17" t="inlineStr">
        <is>
          <t>unslotted</t>
        </is>
      </c>
      <c r="F17" t="b">
        <v>0</v>
      </c>
      <c r="G17" t="inlineStr">
        <is>
          <t>12/53 tuần: W04#8,W06#9,W12#9,W14#9,W19#9,W21#8,W30#9,W36#9,W38#9,W44#9,W49#6,W51#8</t>
        </is>
      </c>
      <c r="H17" t="inlineStr">
        <is>
          <t>Assets/MachineBrigade/Resources/Data/campaign.json: chapters / missions (port Assets/MachineBrigade/Scripts/Game/Match/BossHunts.cs Story)</t>
        </is>
      </c>
      <c r="I17" t="inlineStr"/>
    </row>
    <row r="18">
      <c r="A18" t="inlineStr">
        <is>
          <t>hyperion</t>
        </is>
      </c>
      <c r="B18" t="n">
        <v>31</v>
      </c>
      <c r="C18" t="b">
        <v>1</v>
      </c>
      <c r="D18" t="n">
        <v>12</v>
      </c>
      <c r="E18" t="inlineStr">
        <is>
          <t>unslotted</t>
        </is>
      </c>
      <c r="F18" t="b">
        <v>0</v>
      </c>
      <c r="G18" t="inlineStr">
        <is>
          <t>5/53 tuần: W06#10,W10#10,W15#10,W27#10,W31#10</t>
        </is>
      </c>
      <c r="H18" t="inlineStr">
        <is>
          <t>Assets/MachineBrigade/Resources/Data/campaign.json: chapters / missions (port Assets/MachineBrigade/Scripts/Game/Match/BossHunts.cs Story)</t>
        </is>
      </c>
      <c r="I18" t="inlineStr"/>
    </row>
    <row r="19">
      <c r="A19" t="inlineStr">
        <is>
          <t>icarus_mk0</t>
        </is>
      </c>
      <c r="B19" t="n">
        <v>25</v>
      </c>
      <c r="C19" t="b">
        <v>0</v>
      </c>
      <c r="D19" t="n">
        <v>10</v>
      </c>
      <c r="E19" t="inlineStr">
        <is>
          <t>slot</t>
        </is>
      </c>
      <c r="F19" t="b">
        <v>0</v>
      </c>
      <c r="G19" t="inlineStr">
        <is>
          <t>7/53 tuần: W03#9,W04#9,W18#9,W32#9,W45#9,W49#8,W51#9</t>
        </is>
      </c>
      <c r="H19" t="inlineStr">
        <is>
          <t>Assets/MachineBrigade/Resources/Data/campaign.json: chapters / missions (port Assets/MachineBrigade/Scripts/Game/Match/BossHunts.cs Story)</t>
        </is>
      </c>
      <c r="I19" t="inlineStr"/>
    </row>
    <row r="20">
      <c r="A20" t="inlineStr">
        <is>
          <t>ixion</t>
        </is>
      </c>
      <c r="B20" t="n">
        <v>21</v>
      </c>
      <c r="C20" t="b">
        <v>1</v>
      </c>
      <c r="D20" t="n">
        <v>8</v>
      </c>
      <c r="E20" t="inlineStr">
        <is>
          <t>slot</t>
        </is>
      </c>
      <c r="F20" t="b">
        <v>0</v>
      </c>
      <c r="G20" t="inlineStr">
        <is>
          <t>13/53 tuần: W05#10,W08#4,W12#7,W17#10,W20#10,W25#7,W26#10,W29#10,W32#4,W33#10,W43#10,W45#7,W51#7</t>
        </is>
      </c>
      <c r="H20" t="inlineStr">
        <is>
          <t>Assets/MachineBrigade/Resources/Data/campaign.json: chapters / missions (port Assets/MachineBrigade/Scripts/Game/Match/BossHunts.cs Story)</t>
        </is>
      </c>
      <c r="I20" t="inlineStr"/>
    </row>
    <row r="21">
      <c r="A21" t="inlineStr">
        <is>
          <t>kraken</t>
        </is>
      </c>
      <c r="B21" t="n">
        <v>23</v>
      </c>
      <c r="C21" t="b">
        <v>1</v>
      </c>
      <c r="D21" t="n">
        <v>9</v>
      </c>
      <c r="E21" t="inlineStr">
        <is>
          <t>unslotted</t>
        </is>
      </c>
      <c r="F21" t="b">
        <v>0</v>
      </c>
      <c r="G21" t="inlineStr">
        <is>
          <t>14/53 tuần: W01#10,W03#10,W04#7,W07#7,W14#10,W16#7,W19#10,W24#7,W41#10,W44#7,W48#7,W49#10,W52#7,W53#10</t>
        </is>
      </c>
      <c r="H21" t="inlineStr">
        <is>
          <t>Assets/MachineBrigade/Resources/Data/campaign.json: chapters / missions (port Assets/MachineBrigade/Scripts/Game/Match/BossHunts.cs Story)</t>
        </is>
      </c>
      <c r="I21" t="inlineStr"/>
    </row>
    <row r="22">
      <c r="A22" t="inlineStr">
        <is>
          <t>landing_hovercraft</t>
        </is>
      </c>
      <c r="B22" t="n">
        <v>17</v>
      </c>
      <c r="C22" t="b">
        <v>0</v>
      </c>
      <c r="D22" t="n">
        <v>6</v>
      </c>
      <c r="E22" t="inlineStr">
        <is>
          <t>slot</t>
        </is>
      </c>
      <c r="F22" t="b">
        <v>0</v>
      </c>
      <c r="G22" t="inlineStr">
        <is>
          <t>14/53 tuần: W02#6,W11#9,W12#8,W20#9,W23#9,W27#9,W29#9,W30#6,W33#8,W34#9,W41#9,W44#8,W47#9,W51#6</t>
        </is>
      </c>
      <c r="H22" t="inlineStr">
        <is>
          <t>Assets/MachineBrigade/Resources/Data/campaign.json: chapters / missions (port Assets/MachineBrigade/Scripts/Game/Match/BossHunts.cs Story)</t>
        </is>
      </c>
      <c r="I22" t="inlineStr"/>
    </row>
    <row r="23">
      <c r="A23" t="inlineStr">
        <is>
          <t>leviathan</t>
        </is>
      </c>
      <c r="B23" t="n">
        <v>12</v>
      </c>
      <c r="C23" t="b">
        <v>1</v>
      </c>
      <c r="D23" t="n">
        <v>4</v>
      </c>
      <c r="E23" t="inlineStr">
        <is>
          <t>slot</t>
        </is>
      </c>
      <c r="F23" t="b">
        <v>1</v>
      </c>
      <c r="G23" t="inlineStr">
        <is>
          <t>8/53 tuần: W01#4,W03#4,W07#4,W11#7,W37#4,W38#4,W40#7,W49#4</t>
        </is>
      </c>
      <c r="H23" t="inlineStr">
        <is>
          <t>Assets/MachineBrigade/Resources/Data/campaign.json: chapters / missions (port Assets/MachineBrigade/Scripts/Game/Match/BossHunts.cs Story)</t>
        </is>
      </c>
      <c r="I23" t="inlineStr"/>
    </row>
    <row r="24">
      <c r="A24" t="inlineStr">
        <is>
          <t>locust</t>
        </is>
      </c>
      <c r="B24" t="n">
        <v>14</v>
      </c>
      <c r="C24" t="b">
        <v>0</v>
      </c>
      <c r="D24" t="n">
        <v>5</v>
      </c>
      <c r="E24" t="inlineStr">
        <is>
          <t>slot</t>
        </is>
      </c>
      <c r="F24" t="b">
        <v>0</v>
      </c>
      <c r="G24" t="inlineStr">
        <is>
          <t>19/53 tuần: W01#8,W03#6,W04#5,W05#8,W09#8,W12#5,W15#6,W16#8,W17#8,W21#5,W22#8,W30#3,W36#5,W41#6,W43#8,W46#8,W47#6,W52#8,W53#8</t>
        </is>
      </c>
      <c r="H24" t="inlineStr">
        <is>
          <t>Assets/MachineBrigade/Resources/Data/campaign.json: chapters / missions (port Assets/MachineBrigade/Scripts/Game/Match/BossHunts.cs Story)</t>
        </is>
      </c>
      <c r="I24" t="inlineStr"/>
    </row>
    <row r="25">
      <c r="A25" t="inlineStr">
        <is>
          <t>mega_gunship</t>
        </is>
      </c>
      <c r="B25" t="n">
        <v>5</v>
      </c>
      <c r="C25" t="b">
        <v>0</v>
      </c>
      <c r="D25" t="n">
        <v>3</v>
      </c>
      <c r="E25" t="inlineStr">
        <is>
          <t>slot</t>
        </is>
      </c>
      <c r="F25" t="b">
        <v>0</v>
      </c>
      <c r="G25" t="inlineStr">
        <is>
          <t>24/53 tuần: W01#2,W11#2,W13#1,W14#2,W16#1,W18#2,W19#2,W20#2,W22#1,W23#2,W24#3,W28#2,W29#1,W31#3,W35#2,W36#1,W37#2,W42#2,W44#2,W45#2,W48#2,W50#2,W52#2,W53#2</t>
        </is>
      </c>
      <c r="H25" t="inlineStr">
        <is>
          <t>Assets/MachineBrigade/Resources/Data/campaign.json: chapters / missions (port Assets/MachineBrigade/Scripts/Game/Match/BossHunts.cs Story)</t>
        </is>
      </c>
      <c r="I25" t="inlineStr"/>
    </row>
    <row r="26">
      <c r="A26" t="inlineStr">
        <is>
          <t>mobile_fortress</t>
        </is>
      </c>
      <c r="B26" t="n">
        <v>6</v>
      </c>
      <c r="C26" t="b">
        <v>1</v>
      </c>
      <c r="D26" t="n">
        <v>3</v>
      </c>
      <c r="E26" t="inlineStr">
        <is>
          <t>slot</t>
        </is>
      </c>
      <c r="F26" t="b">
        <v>1</v>
      </c>
      <c r="G26" t="inlineStr">
        <is>
          <t>9/53 tuần: W13#4,W17#7,W26#4,W27#4,W35#4,W39#4,W41#4,W42#4,W46#7</t>
        </is>
      </c>
      <c r="H26" t="inlineStr">
        <is>
          <t>Assets/MachineBrigade/Resources/Data/campaign.json: chapters / missions (port Assets/MachineBrigade/Scripts/Game/Match/BossHunts.cs Story)</t>
        </is>
      </c>
      <c r="I26" t="inlineStr"/>
    </row>
    <row r="27">
      <c r="A27" t="inlineStr">
        <is>
          <t>moloch</t>
        </is>
      </c>
      <c r="B27" t="n">
        <v>18</v>
      </c>
      <c r="C27" t="b">
        <v>1</v>
      </c>
      <c r="D27" t="n">
        <v>6</v>
      </c>
      <c r="E27" t="inlineStr">
        <is>
          <t>slot</t>
        </is>
      </c>
      <c r="F27" t="b">
        <v>1</v>
      </c>
      <c r="G27" t="inlineStr">
        <is>
          <t>15/53 tuần: W14#7,W19#7,W20#4,W23#4,W26#7,W31#7,W33#7,W34#4,W35#7,W39#7,W41#7,W45#4,W46#10,W49#7,W53#7</t>
        </is>
      </c>
      <c r="H27" t="inlineStr">
        <is>
          <t>Assets/MachineBrigade/Resources/Data/campaign.json: chapters / missions (port Assets/MachineBrigade/Scripts/Game/Match/BossHunts.cs Story)</t>
        </is>
      </c>
      <c r="I27" t="inlineStr"/>
    </row>
    <row r="28">
      <c r="A28" t="inlineStr">
        <is>
          <t>monster</t>
        </is>
      </c>
      <c r="B28" t="n">
        <v>28</v>
      </c>
      <c r="C28" t="b">
        <v>1</v>
      </c>
      <c r="D28" t="n">
        <v>11</v>
      </c>
      <c r="E28" t="inlineStr">
        <is>
          <t>slot</t>
        </is>
      </c>
      <c r="F28" t="b">
        <v>1</v>
      </c>
      <c r="G28" t="inlineStr">
        <is>
          <t>9/53 tuần: W04#10,W08#10,W15#4,W21#10,W22#10,W30#7,W32#10,W38#10,W52#10</t>
        </is>
      </c>
      <c r="H28" t="inlineStr">
        <is>
          <t>Assets/MachineBrigade/Resources/Data/campaign.json: chapters / missions (port Assets/MachineBrigade/Scripts/Game/Match/BossHunts.cs Story)</t>
        </is>
      </c>
      <c r="I28" t="inlineStr"/>
    </row>
    <row r="29">
      <c r="A29" t="inlineStr">
        <is>
          <t>nuke_train</t>
        </is>
      </c>
      <c r="B29" t="n">
        <v>19</v>
      </c>
      <c r="C29" t="b">
        <v>1</v>
      </c>
      <c r="D29" t="n">
        <v>7</v>
      </c>
      <c r="E29" t="inlineStr">
        <is>
          <t>slot</t>
        </is>
      </c>
      <c r="F29" t="b">
        <v>1</v>
      </c>
      <c r="G29" t="inlineStr">
        <is>
          <t>10/53 tuần: W05#7,W09#4,W10#7,W20#7,W21#7,W25#4,W27#7,W36#7,W50#7,W51#4</t>
        </is>
      </c>
      <c r="H29" t="inlineStr">
        <is>
          <t>Assets/MachineBrigade/Resources/Data/campaign.json: chapters / missions (port Assets/MachineBrigade/Scripts/Game/Match/BossHunts.cs Story)</t>
        </is>
      </c>
      <c r="I29" t="inlineStr"/>
    </row>
    <row r="30">
      <c r="A30" t="inlineStr">
        <is>
          <t>nyx</t>
        </is>
      </c>
      <c r="B30" t="n">
        <v>13</v>
      </c>
      <c r="C30" t="b">
        <v>0</v>
      </c>
      <c r="D30" t="n">
        <v>4</v>
      </c>
      <c r="E30" t="inlineStr">
        <is>
          <t>unslotted</t>
        </is>
      </c>
      <c r="F30" t="b">
        <v>0</v>
      </c>
      <c r="G30" t="inlineStr">
        <is>
          <t>22/53 tuần: W01#6,W05#6,W06#6,W07#8,W09#6,W11#6,W12#3,W16#6,W17#6,W25#8,W26#8,W28#8,W32#6,W33#5,W34#6,W37#8,W39#6,W42#8,W43#6,W46#6,W50#8,W52#6</t>
        </is>
      </c>
      <c r="H30" t="inlineStr">
        <is>
          <t>Assets/MachineBrigade/Resources/Data/campaign.json: chapters / missions (port Assets/MachineBrigade/Scripts/Game/Match/BossHunts.cs Story)</t>
        </is>
      </c>
      <c r="I30" t="inlineStr"/>
    </row>
    <row r="31">
      <c r="A31" t="inlineStr">
        <is>
          <t>scylla</t>
        </is>
      </c>
      <c r="B31" t="n">
        <v>11</v>
      </c>
      <c r="C31" t="b">
        <v>0</v>
      </c>
      <c r="D31" t="n">
        <v>4</v>
      </c>
      <c r="E31" t="inlineStr">
        <is>
          <t>slot</t>
        </is>
      </c>
      <c r="F31" t="b">
        <v>1</v>
      </c>
      <c r="G31" t="inlineStr">
        <is>
          <t>53/53 tuần: W01#5,W02#3,W03#5,W04#3,W05#5,W06#5,W07#6,W08#3,W09#5,W10#6,W11#5,W12#2,W13#8,W14#6,W15#5,W16#5,W17#5,W18#6,W19#6,W20#6,W21#3,W22#6,W23#6,W24#8,W25#6,W26#6,W27#6,W28#6,W29#6,W30#2,W31#8,W32#5,W33#3,W34#5,W35#8,W36#3,W37#6,W38#6,W39#5,W40#8,W41#5,W42#6,W43#5,W44#5,W45#5,W46#5,W47#5,W48#8,W49#3,W50#6,W51#3,W52#5,W53#6</t>
        </is>
      </c>
      <c r="H31" t="inlineStr">
        <is>
          <t>Assets/MachineBrigade/Resources/Data/campaign.json: chapters / missions (port Assets/MachineBrigade/Scripts/Game/Match/BossHunts.cs Story)</t>
        </is>
      </c>
      <c r="I31" t="inlineStr"/>
    </row>
    <row r="32">
      <c r="A32" t="inlineStr">
        <is>
          <t>silver_bug</t>
        </is>
      </c>
      <c r="B32" t="n">
        <v>30</v>
      </c>
      <c r="C32" t="b">
        <v>1</v>
      </c>
      <c r="D32" t="n">
        <v>12</v>
      </c>
      <c r="E32" t="inlineStr">
        <is>
          <t>slot</t>
        </is>
      </c>
      <c r="F32" t="b">
        <v>0</v>
      </c>
      <c r="G32" t="inlineStr">
        <is>
          <t>7/53 tuần: W09#10,W18#10,W23#10,W37#10,W42#10,W47#10,W50#10</t>
        </is>
      </c>
      <c r="H32" t="inlineStr">
        <is>
          <t>Assets/MachineBrigade/Resources/Data/campaign.json: chapters / missions (port Assets/MachineBrigade/Scripts/Game/Match/BossHunts.cs Story)</t>
        </is>
      </c>
      <c r="I32" t="inlineStr"/>
    </row>
    <row r="33">
      <c r="A33" t="inlineStr">
        <is>
          <t>theia</t>
        </is>
      </c>
      <c r="B33" t="n">
        <v>32</v>
      </c>
      <c r="C33" t="b">
        <v>0</v>
      </c>
      <c r="D33" t="n">
        <v>12</v>
      </c>
      <c r="E33" t="inlineStr">
        <is>
          <t>unslotted</t>
        </is>
      </c>
      <c r="F33" t="b">
        <v>0</v>
      </c>
      <c r="G33" t="inlineStr">
        <is>
          <t>1/53 tuần: W08#9</t>
        </is>
      </c>
      <c r="H33" t="inlineStr">
        <is>
          <t>Assets/MachineBrigade/Resources/Data/campaign.json: chapters / missions (port Assets/MachineBrigade/Scripts/Game/Match/BossHunts.cs Story)</t>
        </is>
      </c>
      <c r="I33" t="inlineStr"/>
    </row>
    <row r="34">
      <c r="A34" t="inlineStr">
        <is>
          <t>typhon</t>
        </is>
      </c>
      <c r="B34" t="n">
        <v>22</v>
      </c>
      <c r="C34" t="b">
        <v>1</v>
      </c>
      <c r="D34" t="n">
        <v>9</v>
      </c>
      <c r="E34" t="inlineStr">
        <is>
          <t>slot</t>
        </is>
      </c>
      <c r="F34" t="b">
        <v>0</v>
      </c>
      <c r="G34" t="inlineStr">
        <is>
          <t>13/53 tuần: W01#7,W02#7,W03#7,W06#7,W09#7,W28#10,W30#4,W32#7,W34#7,W36#10,W39#10,W42#7,W45#10</t>
        </is>
      </c>
      <c r="H34" t="inlineStr">
        <is>
          <t>Assets/MachineBrigade/Resources/Data/campaign.json: chapters / missions (port Assets/MachineBrigade/Scripts/Game/Match/BossHunts.cs Story)</t>
        </is>
      </c>
      <c r="I34" t="inlineStr"/>
    </row>
  </sheetData>
  <autoFilter ref="A1:I34"/>
  <pageMargins left="0.75" right="0.75" top="1" bottom="1" header="0.5" footer="0.5"/>
</worksheet>
</file>

<file path=xl/worksheets/sheet3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 width="8" customWidth="1" min="3" max="3"/>
    <col width="14" customWidth="1" min="4" max="4"/>
    <col width="8" customWidth="1" min="5" max="5"/>
    <col width="60" customWidth="1" min="6" max="6"/>
    <col width="10" customWidth="1" min="7" max="7"/>
  </cols>
  <sheetData>
    <row r="1">
      <c r="A1" s="1" t="inlineStr">
        <is>
          <t>id</t>
        </is>
      </c>
      <c r="B1" s="1" t="inlineStr">
        <is>
          <t>sat_thuong_moi_phat</t>
        </is>
      </c>
      <c r="C1" s="1" t="inlineStr">
        <is>
          <t>xuyen</t>
        </is>
      </c>
      <c r="D1" s="1" t="inlineStr">
        <is>
          <t>dat_boi_boss</t>
        </is>
      </c>
      <c r="E1" s="1" t="inlineStr">
        <is>
          <t>loi_m</t>
        </is>
      </c>
      <c r="F1" s="1" t="inlineStr">
        <is>
          <t>nguon</t>
        </is>
      </c>
      <c r="G1" s="1" t="inlineStr">
        <is>
          <t>raw_json</t>
        </is>
      </c>
    </row>
    <row r="2">
      <c r="A2" t="inlineStr">
        <is>
          <t>aa_25_triple</t>
        </is>
      </c>
      <c r="B2" t="n">
        <v>17</v>
      </c>
      <c r="C2" t="n">
        <v>1</v>
      </c>
      <c r="D2" t="b">
        <v>0</v>
      </c>
      <c r="E2" t="n">
        <v>0</v>
      </c>
      <c r="F2" t="inlineStr">
        <is>
          <t>01_chien_dau/Vu_khi (id aa_25_triple)</t>
        </is>
      </c>
      <c r="G2" t="inlineStr"/>
    </row>
    <row r="3">
      <c r="A3" t="inlineStr">
        <is>
          <t>borer_cannon</t>
        </is>
      </c>
      <c r="B3" t="n">
        <v>120</v>
      </c>
      <c r="C3" t="n">
        <v>3</v>
      </c>
      <c r="D3" t="b">
        <v>0</v>
      </c>
      <c r="E3" t="n">
        <v>1.5</v>
      </c>
      <c r="F3" t="inlineStr">
        <is>
          <t>01_chien_dau/Vu_khi (id borer_cannon)</t>
        </is>
      </c>
      <c r="G3" t="inlineStr"/>
    </row>
    <row r="4">
      <c r="A4" t="inlineStr">
        <is>
          <t>borer_drill</t>
        </is>
      </c>
      <c r="B4" t="n">
        <v>260</v>
      </c>
      <c r="C4" t="n">
        <v>4</v>
      </c>
      <c r="D4" t="b">
        <v>0</v>
      </c>
      <c r="E4" t="n">
        <v>0</v>
      </c>
      <c r="F4" t="inlineStr">
        <is>
          <t>01_chien_dau/Vu_khi (id borer_drill)</t>
        </is>
      </c>
      <c r="G4" t="inlineStr"/>
    </row>
    <row r="5">
      <c r="A5" t="inlineStr">
        <is>
          <t>boss_flak</t>
        </is>
      </c>
      <c r="B5" t="n">
        <v>25</v>
      </c>
      <c r="C5" t="n">
        <v>2</v>
      </c>
      <c r="D5" t="b">
        <v>0</v>
      </c>
      <c r="E5" t="n">
        <v>2.5</v>
      </c>
      <c r="F5" t="inlineStr">
        <is>
          <t>01_chien_dau/Vu_khi (id boss_flak)</t>
        </is>
      </c>
      <c r="G5" t="inlineStr"/>
    </row>
    <row r="6">
      <c r="A6" t="inlineStr">
        <is>
          <t>boss_flamer</t>
        </is>
      </c>
      <c r="B6" t="n">
        <v>30</v>
      </c>
      <c r="C6" t="n">
        <v>2</v>
      </c>
      <c r="D6" t="b">
        <v>0</v>
      </c>
      <c r="E6" t="n">
        <v>3.5</v>
      </c>
      <c r="F6" t="inlineStr">
        <is>
          <t>01_chien_dau/Vu_khi (id boss_flamer)</t>
        </is>
      </c>
      <c r="G6" t="inlineStr"/>
    </row>
    <row r="7">
      <c r="A7" t="inlineStr">
        <is>
          <t>boss_heli_gun</t>
        </is>
      </c>
      <c r="B7" t="n">
        <v>22</v>
      </c>
      <c r="C7" t="n">
        <v>2</v>
      </c>
      <c r="D7" t="b">
        <v>0</v>
      </c>
      <c r="E7" t="n">
        <v>0</v>
      </c>
      <c r="F7" t="inlineStr">
        <is>
          <t>01_chien_dau/Vu_khi (id boss_heli_gun)</t>
        </is>
      </c>
      <c r="G7" t="inlineStr"/>
    </row>
    <row r="8">
      <c r="A8" t="inlineStr">
        <is>
          <t>boss_hmg</t>
        </is>
      </c>
      <c r="B8" t="n">
        <v>15</v>
      </c>
      <c r="C8" t="n">
        <v>1</v>
      </c>
      <c r="D8" t="b">
        <v>0</v>
      </c>
      <c r="E8" t="n">
        <v>0</v>
      </c>
      <c r="F8" t="inlineStr">
        <is>
          <t>01_chien_dau/Vu_khi (id boss_hmg)</t>
        </is>
      </c>
      <c r="G8" t="inlineStr"/>
    </row>
    <row r="9">
      <c r="A9" t="inlineStr">
        <is>
          <t>boss_minigun</t>
        </is>
      </c>
      <c r="B9" t="n">
        <v>5.5</v>
      </c>
      <c r="C9" t="n">
        <v>0</v>
      </c>
      <c r="D9" t="b">
        <v>0</v>
      </c>
      <c r="E9" t="n">
        <v>0</v>
      </c>
      <c r="F9" t="inlineStr">
        <is>
          <t>01_chien_dau/Vu_khi (id boss_minigun)</t>
        </is>
      </c>
      <c r="G9" t="inlineStr"/>
    </row>
    <row r="10">
      <c r="A10" t="inlineStr">
        <is>
          <t>boss_railgun</t>
        </is>
      </c>
      <c r="B10" t="n">
        <v>720</v>
      </c>
      <c r="C10" t="n">
        <v>4</v>
      </c>
      <c r="D10" t="b">
        <v>0</v>
      </c>
      <c r="E10" t="n">
        <v>0</v>
      </c>
      <c r="F10" t="inlineStr">
        <is>
          <t>01_chien_dau/Vu_khi (id boss_railgun)</t>
        </is>
      </c>
      <c r="G10" t="inlineStr"/>
    </row>
    <row r="11">
      <c r="A11" t="inlineStr">
        <is>
          <t>boss_thermo</t>
        </is>
      </c>
      <c r="B11" t="n">
        <v>291</v>
      </c>
      <c r="C11" t="n">
        <v>3</v>
      </c>
      <c r="D11" t="b">
        <v>0</v>
      </c>
      <c r="E11" t="n">
        <v>7</v>
      </c>
      <c r="F11" t="inlineStr">
        <is>
          <t>01_chien_dau/Vu_khi (id boss_thermo)</t>
        </is>
      </c>
      <c r="G11" t="inlineStr"/>
    </row>
    <row r="12">
      <c r="A12" t="inlineStr">
        <is>
          <t>ciws_aa</t>
        </is>
      </c>
      <c r="B12" t="n">
        <v>12</v>
      </c>
      <c r="C12" t="n">
        <v>2</v>
      </c>
      <c r="D12" t="b">
        <v>0</v>
      </c>
      <c r="E12" t="n">
        <v>0</v>
      </c>
      <c r="F12" t="inlineStr">
        <is>
          <t>01_chien_dau/Vu_khi (id ciws_aa)</t>
        </is>
      </c>
      <c r="G12" t="inlineStr"/>
    </row>
    <row r="13">
      <c r="A13" t="inlineStr">
        <is>
          <t>coilgun</t>
        </is>
      </c>
      <c r="B13" t="n">
        <v>250</v>
      </c>
      <c r="C13" t="n">
        <v>4</v>
      </c>
      <c r="D13" t="b">
        <v>0</v>
      </c>
      <c r="E13" t="n">
        <v>0</v>
      </c>
      <c r="F13" t="inlineStr">
        <is>
          <t>01_chien_dau/Vu_khi (id coilgun)</t>
        </is>
      </c>
      <c r="G13" t="inlineStr"/>
    </row>
    <row r="14">
      <c r="A14" t="inlineStr">
        <is>
          <t>gunship_rockets</t>
        </is>
      </c>
      <c r="B14" t="n">
        <v>32</v>
      </c>
      <c r="C14" t="n">
        <v>2</v>
      </c>
      <c r="D14" t="b">
        <v>0</v>
      </c>
      <c r="E14" t="n">
        <v>3</v>
      </c>
      <c r="F14" t="inlineStr">
        <is>
          <t>01_chien_dau/Vu_khi (id gunship_rockets)</t>
        </is>
      </c>
      <c r="G14" t="inlineStr"/>
    </row>
    <row r="15">
      <c r="A15" t="inlineStr">
        <is>
          <t>hover_ciws</t>
        </is>
      </c>
      <c r="B15" t="n">
        <v>12</v>
      </c>
      <c r="C15" t="n">
        <v>2</v>
      </c>
      <c r="D15" t="b">
        <v>0</v>
      </c>
      <c r="E15" t="n">
        <v>0</v>
      </c>
      <c r="F15" t="inlineStr">
        <is>
          <t>01_chien_dau/Vu_khi (id hover_ciws)</t>
        </is>
      </c>
      <c r="G15" t="inlineStr"/>
    </row>
    <row r="16">
      <c r="A16" t="inlineStr">
        <is>
          <t>hover_rockets</t>
        </is>
      </c>
      <c r="B16" t="n">
        <v>65</v>
      </c>
      <c r="C16" t="n">
        <v>2</v>
      </c>
      <c r="D16" t="b">
        <v>0</v>
      </c>
      <c r="E16" t="n">
        <v>4</v>
      </c>
      <c r="F16" t="inlineStr">
        <is>
          <t>01_chien_dau/Vu_khi (id hover_rockets)</t>
        </is>
      </c>
      <c r="G16" t="inlineStr"/>
    </row>
    <row r="17">
      <c r="A17" t="inlineStr">
        <is>
          <t>locust_drones</t>
        </is>
      </c>
      <c r="B17" t="n">
        <v>320</v>
      </c>
      <c r="C17" t="n">
        <v>4</v>
      </c>
      <c r="D17" t="b">
        <v>0</v>
      </c>
      <c r="E17" t="n">
        <v>3</v>
      </c>
      <c r="F17" t="inlineStr">
        <is>
          <t>01_chien_dau/Vu_khi (id locust_drones)</t>
        </is>
      </c>
      <c r="G17" t="inlineStr"/>
    </row>
    <row r="18">
      <c r="A18" t="inlineStr">
        <is>
          <t>naval_130_twin</t>
        </is>
      </c>
      <c r="B18" t="n">
        <v>543</v>
      </c>
      <c r="C18" t="n">
        <v>3</v>
      </c>
      <c r="D18" t="b">
        <v>0</v>
      </c>
      <c r="E18" t="n">
        <v>5</v>
      </c>
      <c r="F18" t="inlineStr">
        <is>
          <t>01_chien_dau/Vu_khi (id naval_130_twin)</t>
        </is>
      </c>
      <c r="G18" t="inlineStr"/>
    </row>
    <row r="19">
      <c r="A19" t="inlineStr">
        <is>
          <t>nyx_ags_155</t>
        </is>
      </c>
      <c r="B19" t="n">
        <v>360</v>
      </c>
      <c r="C19" t="n">
        <v>3</v>
      </c>
      <c r="D19" t="b">
        <v>0</v>
      </c>
      <c r="E19" t="n">
        <v>7</v>
      </c>
      <c r="F19" t="inlineStr">
        <is>
          <t>01_chien_dau/Vu_khi (id nyx_ags_155)</t>
        </is>
      </c>
      <c r="G19" t="inlineStr"/>
    </row>
    <row r="20">
      <c r="A20" t="inlineStr">
        <is>
          <t>nyx_millennium</t>
        </is>
      </c>
      <c r="B20" t="n">
        <v>24</v>
      </c>
      <c r="C20" t="n">
        <v>2</v>
      </c>
      <c r="D20" t="b">
        <v>0</v>
      </c>
      <c r="E20" t="n">
        <v>2.5</v>
      </c>
      <c r="F20" t="inlineStr">
        <is>
          <t>01_chien_dau/Vu_khi (id nyx_millennium)</t>
        </is>
      </c>
      <c r="G20" t="inlineStr"/>
    </row>
    <row r="21">
      <c r="A21" t="inlineStr">
        <is>
          <t>nyx_tomahawk</t>
        </is>
      </c>
      <c r="B21" t="n">
        <v>340</v>
      </c>
      <c r="C21" t="n">
        <v>3</v>
      </c>
      <c r="D21" t="b">
        <v>0</v>
      </c>
      <c r="E21" t="n">
        <v>8</v>
      </c>
      <c r="F21" t="inlineStr">
        <is>
          <t>01_chien_dau/Vu_khi (id nyx_tomahawk)</t>
        </is>
      </c>
      <c r="G21" t="inlineStr"/>
    </row>
    <row r="22">
      <c r="A22" t="inlineStr">
        <is>
          <t>p26_bastion_close_boss_hmg</t>
        </is>
      </c>
      <c r="B22" t="n">
        <v>15</v>
      </c>
      <c r="C22" t="n">
        <v>1</v>
      </c>
      <c r="D22" t="b">
        <v>0</v>
      </c>
      <c r="E22" t="n">
        <v>0</v>
      </c>
      <c r="F22" t="inlineStr">
        <is>
          <t>01_chien_dau/Vu_khi (id p26_bastion_close_boss_hmg)</t>
        </is>
      </c>
      <c r="G22" t="inlineStr"/>
    </row>
    <row r="23">
      <c r="A23" t="inlineStr">
        <is>
          <t>p26_bastion_direct_b100</t>
        </is>
      </c>
      <c r="B23" t="n">
        <v>240</v>
      </c>
      <c r="C23" t="n">
        <v>5</v>
      </c>
      <c r="D23" t="b">
        <v>0</v>
      </c>
      <c r="E23" t="n">
        <v>0</v>
      </c>
      <c r="F23" t="inlineStr">
        <is>
          <t>01_chien_dau/Vu_khi (id p26_bastion_direct_b100)</t>
        </is>
      </c>
      <c r="G23" t="inlineStr"/>
    </row>
    <row r="24">
      <c r="A24" t="inlineStr">
        <is>
          <t>p26_bastion_main_b155</t>
        </is>
      </c>
      <c r="B24" t="n">
        <v>600</v>
      </c>
      <c r="C24" t="n">
        <v>4</v>
      </c>
      <c r="D24" t="b">
        <v>0</v>
      </c>
      <c r="E24" t="n">
        <v>7</v>
      </c>
      <c r="F24" t="inlineStr">
        <is>
          <t>01_chien_dau/Vu_khi (id p26_bastion_main_b155)</t>
        </is>
      </c>
      <c r="G24" t="inlineStr"/>
    </row>
    <row r="25">
      <c r="A25" t="inlineStr">
        <is>
          <t>p26_bastion_sec_b240</t>
        </is>
      </c>
      <c r="B25" t="n">
        <v>1100</v>
      </c>
      <c r="C25" t="n">
        <v>4</v>
      </c>
      <c r="D25" t="b">
        <v>0</v>
      </c>
      <c r="E25" t="n">
        <v>10</v>
      </c>
      <c r="F25" t="inlineStr">
        <is>
          <t>01_chien_dau/Vu_khi (id p26_bastion_sec_b240)</t>
        </is>
      </c>
      <c r="G25" t="inlineStr"/>
    </row>
    <row r="26">
      <c r="A26" t="inlineStr">
        <is>
          <t>p26_bastion_tiny_autocannon_40</t>
        </is>
      </c>
      <c r="B26" t="n">
        <v>30</v>
      </c>
      <c r="C26" t="n">
        <v>2</v>
      </c>
      <c r="D26" t="b">
        <v>0</v>
      </c>
      <c r="E26" t="n">
        <v>0</v>
      </c>
      <c r="F26" t="inlineStr">
        <is>
          <t>01_chien_dau/Vu_khi (id p26_bastion_tiny_autocannon_40)</t>
        </is>
      </c>
      <c r="G26" t="inlineStr"/>
    </row>
    <row r="27">
      <c r="A27" t="inlineStr">
        <is>
          <t>p26_bastion_tiny_kornet_twin</t>
        </is>
      </c>
      <c r="B27" t="n">
        <v>230</v>
      </c>
      <c r="C27" t="n">
        <v>4</v>
      </c>
      <c r="D27" t="b">
        <v>0</v>
      </c>
      <c r="E27" t="n">
        <v>0</v>
      </c>
      <c r="F27" t="inlineStr">
        <is>
          <t>01_chien_dau/Vu_khi (id p26_bastion_tiny_kornet_twin)</t>
        </is>
      </c>
      <c r="G27" t="inlineStr"/>
    </row>
    <row r="28">
      <c r="A28" t="inlineStr">
        <is>
          <t>p26_bastion_tiny_zu23</t>
        </is>
      </c>
      <c r="B28" t="n">
        <v>3.5</v>
      </c>
      <c r="C28" t="n">
        <v>1</v>
      </c>
      <c r="D28" t="b">
        <v>0</v>
      </c>
      <c r="E28" t="n">
        <v>0</v>
      </c>
      <c r="F28" t="inlineStr">
        <is>
          <t>01_chien_dau/Vu_khi (id p26_bastion_tiny_zu23)</t>
        </is>
      </c>
      <c r="G28" t="inlineStr"/>
    </row>
    <row r="29">
      <c r="A29" t="inlineStr">
        <is>
          <t>p26_behemoth_close_boss_flak</t>
        </is>
      </c>
      <c r="B29" t="n">
        <v>25</v>
      </c>
      <c r="C29" t="n">
        <v>2</v>
      </c>
      <c r="D29" t="b">
        <v>0</v>
      </c>
      <c r="E29" t="n">
        <v>2.5</v>
      </c>
      <c r="F29" t="inlineStr">
        <is>
          <t>01_chien_dau/Vu_khi (id p26_behemoth_close_boss_flak)</t>
        </is>
      </c>
      <c r="G29" t="inlineStr"/>
    </row>
    <row r="30">
      <c r="A30" t="inlineStr">
        <is>
          <t>p26_behemoth_direct_be120</t>
        </is>
      </c>
      <c r="B30" t="n">
        <v>260</v>
      </c>
      <c r="C30" t="n">
        <v>5</v>
      </c>
      <c r="D30" t="b">
        <v>0</v>
      </c>
      <c r="E30" t="n">
        <v>0</v>
      </c>
      <c r="F30" t="inlineStr">
        <is>
          <t>01_chien_dau/Vu_khi (id p26_behemoth_direct_be120)</t>
        </is>
      </c>
      <c r="G30" t="inlineStr"/>
    </row>
    <row r="31">
      <c r="A31" t="inlineStr">
        <is>
          <t>p26_behemoth_main_be152</t>
        </is>
      </c>
      <c r="B31" t="n">
        <v>600</v>
      </c>
      <c r="C31" t="n">
        <v>3</v>
      </c>
      <c r="D31" t="b">
        <v>0</v>
      </c>
      <c r="E31" t="n">
        <v>7</v>
      </c>
      <c r="F31" t="inlineStr">
        <is>
          <t>01_chien_dau/Vu_khi (id p26_behemoth_main_be152)</t>
        </is>
      </c>
      <c r="G31" t="inlineStr"/>
    </row>
    <row r="32">
      <c r="A32" t="inlineStr">
        <is>
          <t>p26_behemoth_sec_be_rockets</t>
        </is>
      </c>
      <c r="B32" t="n">
        <v>200</v>
      </c>
      <c r="C32" t="n">
        <v>2</v>
      </c>
      <c r="D32" t="b">
        <v>0</v>
      </c>
      <c r="E32" t="n">
        <v>4.5</v>
      </c>
      <c r="F32" t="inlineStr">
        <is>
          <t>01_chien_dau/Vu_khi (id p26_behemoth_sec_be_rockets)</t>
        </is>
      </c>
      <c r="G32" t="inlineStr"/>
    </row>
    <row r="33">
      <c r="A33" t="inlineStr">
        <is>
          <t>p26_behemoth_tiny_be120</t>
        </is>
      </c>
      <c r="B33" t="n">
        <v>260</v>
      </c>
      <c r="C33" t="n">
        <v>5</v>
      </c>
      <c r="D33" t="b">
        <v>0</v>
      </c>
      <c r="E33" t="n">
        <v>0</v>
      </c>
      <c r="F33" t="inlineStr">
        <is>
          <t>01_chien_dau/Vu_khi (id p26_behemoth_tiny_be120)</t>
        </is>
      </c>
      <c r="G33" t="inlineStr"/>
    </row>
    <row r="34">
      <c r="A34" t="inlineStr">
        <is>
          <t>p26_behemoth_tiny_boss_missiles</t>
        </is>
      </c>
      <c r="B34" t="n">
        <v>230</v>
      </c>
      <c r="C34" t="n">
        <v>4</v>
      </c>
      <c r="D34" t="b">
        <v>0</v>
      </c>
      <c r="E34" t="n">
        <v>0</v>
      </c>
      <c r="F34" t="inlineStr">
        <is>
          <t>01_chien_dau/Vu_khi (id p26_behemoth_tiny_boss_missiles)</t>
        </is>
      </c>
      <c r="G34" t="inlineStr"/>
    </row>
    <row r="35">
      <c r="A35" t="inlineStr">
        <is>
          <t>p26_behemoth_tiny_kornet_twin</t>
        </is>
      </c>
      <c r="B35" t="n">
        <v>230</v>
      </c>
      <c r="C35" t="n">
        <v>5</v>
      </c>
      <c r="D35" t="b">
        <v>0</v>
      </c>
      <c r="E35" t="n">
        <v>0</v>
      </c>
      <c r="F35" t="inlineStr">
        <is>
          <t>01_chien_dau/Vu_khi (id p26_behemoth_tiny_kornet_twin)</t>
        </is>
      </c>
      <c r="G35" t="inlineStr"/>
    </row>
    <row r="36">
      <c r="A36" t="inlineStr">
        <is>
          <t>p26_daedalus_direct_dae_laser</t>
        </is>
      </c>
      <c r="B36" t="n">
        <v>16.5</v>
      </c>
      <c r="C36" t="n">
        <v>4</v>
      </c>
      <c r="D36" t="b">
        <v>0</v>
      </c>
      <c r="E36" t="n">
        <v>1.5</v>
      </c>
      <c r="F36" t="inlineStr">
        <is>
          <t>01_chien_dau/Vu_khi (id p26_daedalus_direct_dae_laser)</t>
        </is>
      </c>
      <c r="G36" t="inlineStr"/>
    </row>
    <row r="37">
      <c r="A37" t="inlineStr">
        <is>
          <t>p26_icarus_close_autocannon_40</t>
        </is>
      </c>
      <c r="B37" t="n">
        <v>30</v>
      </c>
      <c r="C37" t="n">
        <v>2</v>
      </c>
      <c r="D37" t="b">
        <v>0</v>
      </c>
      <c r="E37" t="n">
        <v>0</v>
      </c>
      <c r="F37" t="inlineStr">
        <is>
          <t>01_chien_dau/Vu_khi (id p26_icarus_close_autocannon_40)</t>
        </is>
      </c>
      <c r="G37" t="inlineStr"/>
    </row>
    <row r="38">
      <c r="A38" t="inlineStr">
        <is>
          <t>p26_icarus_direct_ic_laser</t>
        </is>
      </c>
      <c r="B38" t="n">
        <v>16</v>
      </c>
      <c r="C38" t="n">
        <v>4</v>
      </c>
      <c r="D38" t="b">
        <v>0</v>
      </c>
      <c r="E38" t="n">
        <v>1.5</v>
      </c>
      <c r="F38" t="inlineStr">
        <is>
          <t>01_chien_dau/Vu_khi (id p26_icarus_direct_ic_laser)</t>
        </is>
      </c>
      <c r="G38" t="inlineStr"/>
    </row>
    <row r="39">
      <c r="A39" t="inlineStr">
        <is>
          <t>p26_icarus_main_ic_coil</t>
        </is>
      </c>
      <c r="B39" t="n">
        <v>1500</v>
      </c>
      <c r="C39" t="n">
        <v>5</v>
      </c>
      <c r="D39" t="b">
        <v>0</v>
      </c>
      <c r="E39" t="n">
        <v>0</v>
      </c>
      <c r="F39" t="inlineStr">
        <is>
          <t>01_chien_dau/Vu_khi (id p26_icarus_main_ic_coil)</t>
        </is>
      </c>
      <c r="G39" t="inlineStr"/>
    </row>
    <row r="40">
      <c r="A40" t="inlineStr">
        <is>
          <t>p26_icarus_sec_orbital_laser</t>
        </is>
      </c>
      <c r="B40" t="n">
        <v>40</v>
      </c>
      <c r="C40" t="n">
        <v>4</v>
      </c>
      <c r="D40" t="b">
        <v>0</v>
      </c>
      <c r="E40" t="n">
        <v>1.5</v>
      </c>
      <c r="F40" t="inlineStr">
        <is>
          <t>01_chien_dau/Vu_khi (id p26_icarus_sec_orbital_laser)</t>
        </is>
      </c>
      <c r="G40" t="inlineStr"/>
    </row>
    <row r="41">
      <c r="A41" t="inlineStr">
        <is>
          <t>p26_ixion_125</t>
        </is>
      </c>
      <c r="B41" t="n">
        <v>400</v>
      </c>
      <c r="C41" t="n">
        <v>4</v>
      </c>
      <c r="D41" t="b">
        <v>0</v>
      </c>
      <c r="E41" t="n">
        <v>0</v>
      </c>
      <c r="F41" t="inlineStr">
        <is>
          <t>01_chien_dau/Vu_khi (id p26_ixion_125)</t>
        </is>
      </c>
      <c r="G41" t="inlineStr"/>
    </row>
    <row r="42">
      <c r="A42" t="inlineStr">
        <is>
          <t>p26_ixion_mg</t>
        </is>
      </c>
      <c r="B42" t="n">
        <v>15</v>
      </c>
      <c r="C42" t="n">
        <v>1</v>
      </c>
      <c r="D42" t="b">
        <v>0</v>
      </c>
      <c r="E42" t="n">
        <v>0</v>
      </c>
      <c r="F42" t="inlineStr">
        <is>
          <t>01_chien_dau/Vu_khi (id p26_ixion_mg)</t>
        </is>
      </c>
      <c r="G42" t="inlineStr"/>
    </row>
    <row r="43">
      <c r="A43" t="inlineStr">
        <is>
          <t>p26_jotunn_close_boss_flak</t>
        </is>
      </c>
      <c r="B43" t="n">
        <v>25</v>
      </c>
      <c r="C43" t="n">
        <v>2</v>
      </c>
      <c r="D43" t="b">
        <v>0</v>
      </c>
      <c r="E43" t="n">
        <v>2.5</v>
      </c>
      <c r="F43" t="inlineStr">
        <is>
          <t>01_chien_dau/Vu_khi (id p26_jotunn_close_boss_flak)</t>
        </is>
      </c>
      <c r="G43" t="inlineStr"/>
    </row>
    <row r="44">
      <c r="A44" t="inlineStr">
        <is>
          <t>p26_jotunn_direct_jo125</t>
        </is>
      </c>
      <c r="B44" t="n">
        <v>400</v>
      </c>
      <c r="C44" t="n">
        <v>5</v>
      </c>
      <c r="D44" t="b">
        <v>0</v>
      </c>
      <c r="E44" t="n">
        <v>0</v>
      </c>
      <c r="F44" t="inlineStr">
        <is>
          <t>01_chien_dau/Vu_khi (id p26_jotunn_direct_jo125)</t>
        </is>
      </c>
      <c r="G44" t="inlineStr"/>
    </row>
    <row r="45">
      <c r="A45" t="inlineStr">
        <is>
          <t>p26_jotunn_jo203</t>
        </is>
      </c>
      <c r="B45" t="n">
        <v>900</v>
      </c>
      <c r="C45" t="n">
        <v>4</v>
      </c>
      <c r="D45" t="b">
        <v>0</v>
      </c>
      <c r="E45" t="n">
        <v>8.5</v>
      </c>
      <c r="F45" t="inlineStr">
        <is>
          <t>01_chien_dau/Vu_khi (id p26_jotunn_jo203)</t>
        </is>
      </c>
      <c r="G45" t="inlineStr"/>
    </row>
    <row r="46">
      <c r="A46" t="inlineStr">
        <is>
          <t>p26_jotunn_sec_jo_rockets</t>
        </is>
      </c>
      <c r="B46" t="n">
        <v>450</v>
      </c>
      <c r="C46" t="n">
        <v>2</v>
      </c>
      <c r="D46" t="b">
        <v>0</v>
      </c>
      <c r="E46" t="n">
        <v>8</v>
      </c>
      <c r="F46" t="inlineStr">
        <is>
          <t>01_chien_dau/Vu_khi (id p26_jotunn_sec_jo_rockets)</t>
        </is>
      </c>
      <c r="G46" t="inlineStr"/>
    </row>
    <row r="47">
      <c r="A47" t="inlineStr">
        <is>
          <t>p26_jotunn_tiny_twin_30_flak</t>
        </is>
      </c>
      <c r="B47" t="n">
        <v>22</v>
      </c>
      <c r="C47" t="n">
        <v>2</v>
      </c>
      <c r="D47" t="b">
        <v>0</v>
      </c>
      <c r="E47" t="n">
        <v>2.5</v>
      </c>
      <c r="F47" t="inlineStr">
        <is>
          <t>01_chien_dau/Vu_khi (id p26_jotunn_tiny_twin_30_flak)</t>
        </is>
      </c>
      <c r="G47" t="inlineStr"/>
    </row>
    <row r="48">
      <c r="A48" t="inlineStr">
        <is>
          <t>p26_leviathan_direct_lev127</t>
        </is>
      </c>
      <c r="B48" t="n">
        <v>380</v>
      </c>
      <c r="C48" t="n">
        <v>5</v>
      </c>
      <c r="D48" t="b">
        <v>0</v>
      </c>
      <c r="E48" t="n">
        <v>0</v>
      </c>
      <c r="F48" t="inlineStr">
        <is>
          <t>01_chien_dau/Vu_khi (id p26_leviathan_direct_lev127)</t>
        </is>
      </c>
      <c r="G48" t="inlineStr"/>
    </row>
    <row r="49">
      <c r="A49" t="inlineStr">
        <is>
          <t>p26_leviathan_lev406</t>
        </is>
      </c>
      <c r="B49" t="n">
        <v>2400</v>
      </c>
      <c r="C49" t="n">
        <v>4</v>
      </c>
      <c r="D49" t="b">
        <v>1</v>
      </c>
      <c r="E49" t="n">
        <v>14</v>
      </c>
      <c r="F49" t="inlineStr">
        <is>
          <t>01_chien_dau/Vu_khi (id p26_leviathan_lev406)</t>
        </is>
      </c>
      <c r="G49" t="inlineStr"/>
    </row>
    <row r="50">
      <c r="A50" t="inlineStr">
        <is>
          <t>p26_leviathan_sec_lev155</t>
        </is>
      </c>
      <c r="B50" t="n">
        <v>600</v>
      </c>
      <c r="C50" t="n">
        <v>3</v>
      </c>
      <c r="D50" t="b">
        <v>0</v>
      </c>
      <c r="E50" t="n">
        <v>7</v>
      </c>
      <c r="F50" t="inlineStr">
        <is>
          <t>01_chien_dau/Vu_khi (id p26_leviathan_sec_lev155)</t>
        </is>
      </c>
      <c r="G50" t="inlineStr"/>
    </row>
    <row r="51">
      <c r="A51" t="inlineStr">
        <is>
          <t>p26_matriarch_close_boss_flak</t>
        </is>
      </c>
      <c r="B51" t="n">
        <v>25</v>
      </c>
      <c r="C51" t="n">
        <v>2</v>
      </c>
      <c r="D51" t="b">
        <v>0</v>
      </c>
      <c r="E51" t="n">
        <v>2.5</v>
      </c>
      <c r="F51" t="inlineStr">
        <is>
          <t>01_chien_dau/Vu_khi (id p26_matriarch_close_boss_flak)</t>
        </is>
      </c>
      <c r="G51" t="inlineStr"/>
    </row>
    <row r="52">
      <c r="A52" t="inlineStr">
        <is>
          <t>p26_matriarch_direct_ma_atgm</t>
        </is>
      </c>
      <c r="B52" t="n">
        <v>230</v>
      </c>
      <c r="C52" t="n">
        <v>5</v>
      </c>
      <c r="D52" t="b">
        <v>0</v>
      </c>
      <c r="E52" t="n">
        <v>0</v>
      </c>
      <c r="F52" t="inlineStr">
        <is>
          <t>01_chien_dau/Vu_khi (id p26_matriarch_direct_ma_atgm)</t>
        </is>
      </c>
      <c r="G52" t="inlineStr"/>
    </row>
    <row r="53">
      <c r="A53" t="inlineStr">
        <is>
          <t>p26_matriarch_ma_drones</t>
        </is>
      </c>
      <c r="B53" t="n">
        <v>320</v>
      </c>
      <c r="C53" t="n">
        <v>4</v>
      </c>
      <c r="D53" t="b">
        <v>0</v>
      </c>
      <c r="E53" t="n">
        <v>3</v>
      </c>
      <c r="F53" t="inlineStr">
        <is>
          <t>01_chien_dau/Vu_khi (id p26_matriarch_ma_drones)</t>
        </is>
      </c>
      <c r="G53" t="inlineStr"/>
    </row>
    <row r="54">
      <c r="A54" t="inlineStr">
        <is>
          <t>p26_matriarch_sec_autocannon_30</t>
        </is>
      </c>
      <c r="B54" t="n">
        <v>22</v>
      </c>
      <c r="C54" t="n">
        <v>2</v>
      </c>
      <c r="D54" t="b">
        <v>0</v>
      </c>
      <c r="E54" t="n">
        <v>0</v>
      </c>
      <c r="F54" t="inlineStr">
        <is>
          <t>01_chien_dau/Vu_khi (id p26_matriarch_sec_autocannon_30)</t>
        </is>
      </c>
      <c r="G54" t="inlineStr"/>
    </row>
    <row r="55">
      <c r="A55" t="inlineStr">
        <is>
          <t>p26_matriarch_tiny_mothership_cannon</t>
        </is>
      </c>
      <c r="B55" t="n">
        <v>120</v>
      </c>
      <c r="C55" t="n">
        <v>2</v>
      </c>
      <c r="D55" t="b">
        <v>0</v>
      </c>
      <c r="E55" t="n">
        <v>3</v>
      </c>
      <c r="F55" t="inlineStr">
        <is>
          <t>01_chien_dau/Vu_khi (id p26_matriarch_tiny_mothership_cannon)</t>
        </is>
      </c>
      <c r="G55" t="inlineStr"/>
    </row>
    <row r="56">
      <c r="A56" t="inlineStr">
        <is>
          <t>p26_moloch_close_boss_flak</t>
        </is>
      </c>
      <c r="B56" t="n">
        <v>25</v>
      </c>
      <c r="C56" t="n">
        <v>2</v>
      </c>
      <c r="D56" t="b">
        <v>0</v>
      </c>
      <c r="E56" t="n">
        <v>2.5</v>
      </c>
      <c r="F56" t="inlineStr">
        <is>
          <t>01_chien_dau/Vu_khi (id p26_moloch_close_boss_flak)</t>
        </is>
      </c>
      <c r="G56" t="inlineStr"/>
    </row>
    <row r="57">
      <c r="A57" t="inlineStr">
        <is>
          <t>p26_moloch_direct_mo120ap</t>
        </is>
      </c>
      <c r="B57" t="n">
        <v>260</v>
      </c>
      <c r="C57" t="n">
        <v>5</v>
      </c>
      <c r="D57" t="b">
        <v>0</v>
      </c>
      <c r="E57" t="n">
        <v>0</v>
      </c>
      <c r="F57" t="inlineStr">
        <is>
          <t>01_chien_dau/Vu_khi (id p26_moloch_direct_mo120ap)</t>
        </is>
      </c>
      <c r="G57" t="inlineStr"/>
    </row>
    <row r="58">
      <c r="A58" t="inlineStr">
        <is>
          <t>p26_moloch_main_mo120</t>
        </is>
      </c>
      <c r="B58" t="n">
        <v>340</v>
      </c>
      <c r="C58" t="n">
        <v>4</v>
      </c>
      <c r="D58" t="b">
        <v>0</v>
      </c>
      <c r="E58" t="n">
        <v>5</v>
      </c>
      <c r="F58" t="inlineStr">
        <is>
          <t>01_chien_dau/Vu_khi (id p26_moloch_main_mo120)</t>
        </is>
      </c>
      <c r="G58" t="inlineStr"/>
    </row>
    <row r="59">
      <c r="A59" t="inlineStr">
        <is>
          <t>p26_moloch_tiny_zu23</t>
        </is>
      </c>
      <c r="B59" t="n">
        <v>3.5</v>
      </c>
      <c r="C59" t="n">
        <v>1</v>
      </c>
      <c r="D59" t="b">
        <v>0</v>
      </c>
      <c r="E59" t="n">
        <v>0</v>
      </c>
      <c r="F59" t="inlineStr">
        <is>
          <t>01_chien_dau/Vu_khi (id p26_moloch_tiny_zu23)</t>
        </is>
      </c>
      <c r="G59" t="inlineStr"/>
    </row>
    <row r="60">
      <c r="A60" t="inlineStr">
        <is>
          <t>p26_nemesis_close_boss_flak</t>
        </is>
      </c>
      <c r="B60" t="n">
        <v>25</v>
      </c>
      <c r="C60" t="n">
        <v>2</v>
      </c>
      <c r="D60" t="b">
        <v>0</v>
      </c>
      <c r="E60" t="n">
        <v>2.5</v>
      </c>
      <c r="F60" t="inlineStr">
        <is>
          <t>01_chien_dau/Vu_khi (id p26_nemesis_close_boss_flak)</t>
        </is>
      </c>
      <c r="G60" t="inlineStr"/>
    </row>
    <row r="61">
      <c r="A61" t="inlineStr">
        <is>
          <t>p26_nemesis_direct_ne125</t>
        </is>
      </c>
      <c r="B61" t="n">
        <v>400</v>
      </c>
      <c r="C61" t="n">
        <v>5</v>
      </c>
      <c r="D61" t="b">
        <v>0</v>
      </c>
      <c r="E61" t="n">
        <v>0</v>
      </c>
      <c r="F61" t="inlineStr">
        <is>
          <t>01_chien_dau/Vu_khi (id p26_nemesis_direct_ne125)</t>
        </is>
      </c>
      <c r="G61" t="inlineStr"/>
    </row>
    <row r="62">
      <c r="A62" t="inlineStr">
        <is>
          <t>p26_nemesis_main_ne152</t>
        </is>
      </c>
      <c r="B62" t="n">
        <v>600</v>
      </c>
      <c r="C62" t="n">
        <v>3</v>
      </c>
      <c r="D62" t="b">
        <v>0</v>
      </c>
      <c r="E62" t="n">
        <v>7</v>
      </c>
      <c r="F62" t="inlineStr">
        <is>
          <t>01_chien_dau/Vu_khi (id p26_nemesis_main_ne152)</t>
        </is>
      </c>
      <c r="G62" t="inlineStr"/>
    </row>
    <row r="63">
      <c r="A63" t="inlineStr">
        <is>
          <t>p26_nemesis_sec_boss_rockets</t>
        </is>
      </c>
      <c r="B63" t="n">
        <v>200</v>
      </c>
      <c r="C63" t="n">
        <v>2</v>
      </c>
      <c r="D63" t="b">
        <v>0</v>
      </c>
      <c r="E63" t="n">
        <v>4.5</v>
      </c>
      <c r="F63" t="inlineStr">
        <is>
          <t>01_chien_dau/Vu_khi (id p26_nemesis_sec_boss_rockets)</t>
        </is>
      </c>
      <c r="G63" t="inlineStr"/>
    </row>
    <row r="64">
      <c r="A64" t="inlineStr">
        <is>
          <t>p26_roc_close_twin_30_bmpt</t>
        </is>
      </c>
      <c r="B64" t="n">
        <v>22</v>
      </c>
      <c r="C64" t="n">
        <v>2</v>
      </c>
      <c r="D64" t="b">
        <v>0</v>
      </c>
      <c r="E64" t="n">
        <v>0</v>
      </c>
      <c r="F64" t="inlineStr">
        <is>
          <t>01_chien_dau/Vu_khi (id p26_roc_close_twin_30_bmpt)</t>
        </is>
      </c>
      <c r="G64" t="inlineStr"/>
    </row>
    <row r="65">
      <c r="A65" t="inlineStr">
        <is>
          <t>p26_roc_direct_roc_atgm</t>
        </is>
      </c>
      <c r="B65" t="n">
        <v>230</v>
      </c>
      <c r="C65" t="n">
        <v>5</v>
      </c>
      <c r="D65" t="b">
        <v>0</v>
      </c>
      <c r="E65" t="n">
        <v>0</v>
      </c>
      <c r="F65" t="inlineStr">
        <is>
          <t>01_chien_dau/Vu_khi (id p26_roc_direct_roc_atgm)</t>
        </is>
      </c>
      <c r="G65" t="inlineStr"/>
    </row>
    <row r="66">
      <c r="A66" t="inlineStr">
        <is>
          <t>p26_roc_main_roc_bombs</t>
        </is>
      </c>
      <c r="B66" t="n">
        <v>700</v>
      </c>
      <c r="C66" t="n">
        <v>4</v>
      </c>
      <c r="D66" t="b">
        <v>0</v>
      </c>
      <c r="E66" t="n">
        <v>10</v>
      </c>
      <c r="F66" t="inlineStr">
        <is>
          <t>01_chien_dau/Vu_khi (id p26_roc_main_roc_bombs)</t>
        </is>
      </c>
      <c r="G66" t="inlineStr"/>
    </row>
    <row r="67">
      <c r="A67" t="inlineStr">
        <is>
          <t>p26_roc_roc105</t>
        </is>
      </c>
      <c r="B67" t="n">
        <v>300</v>
      </c>
      <c r="C67" t="n">
        <v>2</v>
      </c>
      <c r="D67" t="b">
        <v>0</v>
      </c>
      <c r="E67" t="n">
        <v>5.5</v>
      </c>
      <c r="F67" t="inlineStr">
        <is>
          <t>01_chien_dau/Vu_khi (id p26_roc_roc105)</t>
        </is>
      </c>
      <c r="G67" t="inlineStr"/>
    </row>
    <row r="68">
      <c r="A68" t="inlineStr">
        <is>
          <t>p26_typhon_direct_ty100</t>
        </is>
      </c>
      <c r="B68" t="n">
        <v>300</v>
      </c>
      <c r="C68" t="n">
        <v>4</v>
      </c>
      <c r="D68" t="b">
        <v>0</v>
      </c>
      <c r="E68" t="n">
        <v>5</v>
      </c>
      <c r="F68" t="inlineStr">
        <is>
          <t>01_chien_dau/Vu_khi (id p26_typhon_direct_ty100)</t>
        </is>
      </c>
      <c r="G68" t="inlineStr"/>
    </row>
    <row r="69">
      <c r="A69" t="inlineStr">
        <is>
          <t>p26_typhon_sec_ty57</t>
        </is>
      </c>
      <c r="B69" t="n">
        <v>120</v>
      </c>
      <c r="C69" t="n">
        <v>3</v>
      </c>
      <c r="D69" t="b">
        <v>0</v>
      </c>
      <c r="E69" t="n">
        <v>3</v>
      </c>
      <c r="F69" t="inlineStr">
        <is>
          <t>01_chien_dau/Vu_khi (id p26_typhon_sec_ty57)</t>
        </is>
      </c>
      <c r="G69" t="inlineStr"/>
    </row>
    <row r="70">
      <c r="A70" t="inlineStr">
        <is>
          <t>pt14_co_203</t>
        </is>
      </c>
      <c r="B70" t="n">
        <v>900</v>
      </c>
      <c r="C70" t="n">
        <v>4</v>
      </c>
      <c r="D70" t="b">
        <v>0</v>
      </c>
      <c r="E70" t="n">
        <v>8.5</v>
      </c>
      <c r="F70" t="inlineStr">
        <is>
          <t>01_chien_dau/Vu_khi (id pt14_co_203)</t>
        </is>
      </c>
      <c r="G70" t="inlineStr"/>
    </row>
    <row r="71">
      <c r="A71" t="inlineStr">
        <is>
          <t>pt14_co_spike</t>
        </is>
      </c>
      <c r="B71" t="n">
        <v>300</v>
      </c>
      <c r="C71" t="n">
        <v>4</v>
      </c>
      <c r="D71" t="b">
        <v>0</v>
      </c>
      <c r="E71" t="n">
        <v>0</v>
      </c>
      <c r="F71" t="inlineStr">
        <is>
          <t>01_chien_dau/Vu_khi (id pt14_co_spike)</t>
        </is>
      </c>
      <c r="G71" t="inlineStr"/>
    </row>
    <row r="72">
      <c r="A72" t="inlineStr">
        <is>
          <t>pt14_co_v76</t>
        </is>
      </c>
      <c r="B72" t="n">
        <v>120</v>
      </c>
      <c r="C72" t="n">
        <v>3</v>
      </c>
      <c r="D72" t="b">
        <v>0</v>
      </c>
      <c r="E72" t="n">
        <v>3</v>
      </c>
      <c r="F72" t="inlineStr">
        <is>
          <t>01_chien_dau/Vu_khi (id pt14_co_v76)</t>
        </is>
      </c>
      <c r="G72" t="inlineStr"/>
    </row>
    <row r="73">
      <c r="A73" t="inlineStr">
        <is>
          <t>pt14_dd_v25</t>
        </is>
      </c>
      <c r="B73" t="n">
        <v>15</v>
      </c>
      <c r="C73" t="n">
        <v>2</v>
      </c>
      <c r="D73" t="b">
        <v>0</v>
      </c>
      <c r="E73" t="n">
        <v>0</v>
      </c>
      <c r="F73" t="inlineStr">
        <is>
          <t>01_chien_dau/Vu_khi (id pt14_dd_v25)</t>
        </is>
      </c>
      <c r="G73" t="inlineStr"/>
    </row>
    <row r="74">
      <c r="A74" t="inlineStr">
        <is>
          <t>pt14_dd_v57</t>
        </is>
      </c>
      <c r="B74" t="n">
        <v>120</v>
      </c>
      <c r="C74" t="n">
        <v>4</v>
      </c>
      <c r="D74" t="b">
        <v>0</v>
      </c>
      <c r="E74" t="n">
        <v>3</v>
      </c>
      <c r="F74" t="inlineStr">
        <is>
          <t>01_chien_dau/Vu_khi (id pt14_dd_v57)</t>
        </is>
      </c>
      <c r="G74" t="inlineStr"/>
    </row>
    <row r="75">
      <c r="A75" t="inlineStr">
        <is>
          <t>pt14_hp_155</t>
        </is>
      </c>
      <c r="B75" t="n">
        <v>600</v>
      </c>
      <c r="C75" t="n">
        <v>3</v>
      </c>
      <c r="D75" t="b">
        <v>0</v>
      </c>
      <c r="E75" t="n">
        <v>7</v>
      </c>
      <c r="F75" t="inlineStr">
        <is>
          <t>01_chien_dau/Vu_khi (id pt14_hp_155)</t>
        </is>
      </c>
      <c r="G75" t="inlineStr"/>
    </row>
    <row r="76">
      <c r="A76" t="inlineStr">
        <is>
          <t>pt14_hp_nsm</t>
        </is>
      </c>
      <c r="B76" t="n">
        <v>380</v>
      </c>
      <c r="C76" t="n">
        <v>4</v>
      </c>
      <c r="D76" t="b">
        <v>0</v>
      </c>
      <c r="E76" t="n">
        <v>5</v>
      </c>
      <c r="F76" t="inlineStr">
        <is>
          <t>01_chien_dau/Vu_khi (id pt14_hp_nsm)</t>
        </is>
      </c>
      <c r="G76" t="inlineStr"/>
    </row>
    <row r="77">
      <c r="A77" t="inlineStr">
        <is>
          <t>pt14_hp_v127</t>
        </is>
      </c>
      <c r="B77" t="n">
        <v>380</v>
      </c>
      <c r="C77" t="n">
        <v>3</v>
      </c>
      <c r="D77" t="b">
        <v>0</v>
      </c>
      <c r="E77" t="n">
        <v>6</v>
      </c>
      <c r="F77" t="inlineStr">
        <is>
          <t>01_chien_dau/Vu_khi (id pt14_hp_v127)</t>
        </is>
      </c>
      <c r="G77" t="inlineStr"/>
    </row>
    <row r="78">
      <c r="A78" t="inlineStr">
        <is>
          <t>pt14_hp_vlaser</t>
        </is>
      </c>
      <c r="B78" t="n">
        <v>16</v>
      </c>
      <c r="C78" t="n">
        <v>4</v>
      </c>
      <c r="D78" t="b">
        <v>0</v>
      </c>
      <c r="E78" t="n">
        <v>1.5</v>
      </c>
      <c r="F78" t="inlineStr">
        <is>
          <t>01_chien_dau/Vu_khi (id pt14_hp_vlaser)</t>
        </is>
      </c>
      <c r="G78" t="inlineStr"/>
    </row>
    <row r="79">
      <c r="A79" t="inlineStr">
        <is>
          <t>pt14_ixion_30</t>
        </is>
      </c>
      <c r="B79" t="n">
        <v>22</v>
      </c>
      <c r="C79" t="n">
        <v>2</v>
      </c>
      <c r="D79" t="b">
        <v>0</v>
      </c>
      <c r="E79" t="n">
        <v>0</v>
      </c>
      <c r="F79" t="inlineStr">
        <is>
          <t>01_chien_dau/Vu_khi (id pt14_ixion_30)</t>
        </is>
      </c>
      <c r="G79" t="inlineStr"/>
    </row>
    <row r="80">
      <c r="A80" t="inlineStr">
        <is>
          <t>pt14_ixion_grad</t>
        </is>
      </c>
      <c r="B80" t="n">
        <v>57</v>
      </c>
      <c r="C80" t="n">
        <v>2</v>
      </c>
      <c r="D80" t="b">
        <v>0</v>
      </c>
      <c r="E80" t="n">
        <v>4.5</v>
      </c>
      <c r="F80" t="inlineStr">
        <is>
          <t>01_chien_dau/Vu_khi (id pt14_ixion_grad)</t>
        </is>
      </c>
      <c r="G80" t="inlineStr"/>
    </row>
    <row r="81">
      <c r="A81" t="inlineStr">
        <is>
          <t>pt14_ixion_kornet</t>
        </is>
      </c>
      <c r="B81" t="n">
        <v>230</v>
      </c>
      <c r="C81" t="n">
        <v>4</v>
      </c>
      <c r="D81" t="b">
        <v>0</v>
      </c>
      <c r="E81" t="n">
        <v>0</v>
      </c>
      <c r="F81" t="inlineStr">
        <is>
          <t>01_chien_dau/Vu_khi (id pt14_ixion_kornet)</t>
        </is>
      </c>
      <c r="G81" t="inlineStr"/>
    </row>
    <row r="82">
      <c r="A82" t="inlineStr">
        <is>
          <t>pt14_mk0_v40</t>
        </is>
      </c>
      <c r="B82" t="n">
        <v>30</v>
      </c>
      <c r="C82" t="n">
        <v>2</v>
      </c>
      <c r="D82" t="b">
        <v>0</v>
      </c>
      <c r="E82" t="n">
        <v>1</v>
      </c>
      <c r="F82" t="inlineStr">
        <is>
          <t>01_chien_dau/Vu_khi (id pt14_mk0_v40)</t>
        </is>
      </c>
      <c r="G82" t="inlineStr"/>
    </row>
    <row r="83">
      <c r="A83" t="inlineStr">
        <is>
          <t>pt14_sb_v30</t>
        </is>
      </c>
      <c r="B83" t="n">
        <v>22</v>
      </c>
      <c r="C83" t="n">
        <v>2</v>
      </c>
      <c r="D83" t="b">
        <v>0</v>
      </c>
      <c r="E83" t="n">
        <v>0</v>
      </c>
      <c r="F83" t="inlineStr">
        <is>
          <t>01_chien_dau/Vu_khi (id pt14_sb_v30)</t>
        </is>
      </c>
      <c r="G83" t="inlineStr"/>
    </row>
    <row r="84">
      <c r="A84" t="inlineStr">
        <is>
          <t>pt14_sb_v105</t>
        </is>
      </c>
      <c r="B84" t="n">
        <v>300</v>
      </c>
      <c r="C84" t="n">
        <v>2</v>
      </c>
      <c r="D84" t="b">
        <v>0</v>
      </c>
      <c r="E84" t="n">
        <v>5.5</v>
      </c>
      <c r="F84" t="inlineStr">
        <is>
          <t>01_chien_dau/Vu_khi (id pt14_sb_v105)</t>
        </is>
      </c>
      <c r="G84" t="inlineStr"/>
    </row>
    <row r="85">
      <c r="A85" t="inlineStr">
        <is>
          <t>pt14_th_jagm</t>
        </is>
      </c>
      <c r="B85" t="n">
        <v>270</v>
      </c>
      <c r="C85" t="n">
        <v>4</v>
      </c>
      <c r="D85" t="b">
        <v>0</v>
      </c>
      <c r="E85" t="n">
        <v>0</v>
      </c>
      <c r="F85" t="inlineStr">
        <is>
          <t>01_chien_dau/Vu_khi (id pt14_th_jagm)</t>
        </is>
      </c>
      <c r="G85" t="inlineStr"/>
    </row>
    <row r="86">
      <c r="A86" t="inlineStr">
        <is>
          <t>pt14_th_pd</t>
        </is>
      </c>
      <c r="B86" t="n">
        <v>6</v>
      </c>
      <c r="C86" t="n">
        <v>2</v>
      </c>
      <c r="D86" t="b">
        <v>0</v>
      </c>
      <c r="E86" t="n">
        <v>0</v>
      </c>
      <c r="F86" t="inlineStr">
        <is>
          <t>01_chien_dau/Vu_khi (id pt14_th_pd)</t>
        </is>
      </c>
      <c r="G86" t="inlineStr"/>
    </row>
    <row r="87">
      <c r="A87" t="inlineStr">
        <is>
          <t>pt14_th_v35</t>
        </is>
      </c>
      <c r="B87" t="n">
        <v>25</v>
      </c>
      <c r="C87" t="n">
        <v>2</v>
      </c>
      <c r="D87" t="b">
        <v>0</v>
      </c>
      <c r="E87" t="n">
        <v>2.5</v>
      </c>
      <c r="F87" t="inlineStr">
        <is>
          <t>01_chien_dau/Vu_khi (id pt14_th_v35)</t>
        </is>
      </c>
      <c r="G87" t="inlineStr"/>
    </row>
    <row r="88">
      <c r="A88" t="inlineStr">
        <is>
          <t>pt14_train_grad</t>
        </is>
      </c>
      <c r="B88" t="n">
        <v>200</v>
      </c>
      <c r="C88" t="n">
        <v>2</v>
      </c>
      <c r="D88" t="b">
        <v>0</v>
      </c>
      <c r="E88" t="n">
        <v>4.5</v>
      </c>
      <c r="F88" t="inlineStr">
        <is>
          <t>01_chien_dau/Vu_khi (id pt14_train_grad)</t>
        </is>
      </c>
      <c r="G88" t="inlineStr"/>
    </row>
    <row r="89">
      <c r="A89" t="inlineStr">
        <is>
          <t>sam_battery</t>
        </is>
      </c>
      <c r="B89" t="n">
        <v>340</v>
      </c>
      <c r="C89" t="n">
        <v>3</v>
      </c>
      <c r="D89" t="b">
        <v>0</v>
      </c>
      <c r="E89" t="n">
        <v>2.5</v>
      </c>
      <c r="F89" t="inlineStr">
        <is>
          <t>01_chien_dau/Vu_khi (id sam_battery)</t>
        </is>
      </c>
      <c r="G89" t="inlineStr"/>
    </row>
    <row r="90">
      <c r="A90" t="inlineStr">
        <is>
          <t>sam_post</t>
        </is>
      </c>
      <c r="B90" t="n">
        <v>320</v>
      </c>
      <c r="C90" t="n">
        <v>3</v>
      </c>
      <c r="D90" t="b">
        <v>0</v>
      </c>
      <c r="E90" t="n">
        <v>2</v>
      </c>
      <c r="F90" t="inlineStr">
        <is>
          <t>01_chien_dau/Vu_khi (id sam_post)</t>
        </is>
      </c>
      <c r="G90" t="inlineStr"/>
    </row>
    <row r="91">
      <c r="A91" t="inlineStr">
        <is>
          <t>scylla_2m7</t>
        </is>
      </c>
      <c r="B91" t="n">
        <v>11</v>
      </c>
      <c r="C91" t="n">
        <v>1</v>
      </c>
      <c r="D91" t="b">
        <v>0</v>
      </c>
      <c r="E91" t="n">
        <v>0</v>
      </c>
      <c r="F91" t="inlineStr">
        <is>
          <t>01_chien_dau/Vu_khi (id scylla_2m7)</t>
        </is>
      </c>
      <c r="G91" t="inlineStr"/>
    </row>
    <row r="92">
      <c r="A92" t="inlineStr">
        <is>
          <t>scylla_ak230</t>
        </is>
      </c>
      <c r="B92" t="n">
        <v>20</v>
      </c>
      <c r="C92" t="n">
        <v>1</v>
      </c>
      <c r="D92" t="b">
        <v>0</v>
      </c>
      <c r="E92" t="n">
        <v>0</v>
      </c>
      <c r="F92" t="inlineStr">
        <is>
          <t>01_chien_dau/Vu_khi (id scylla_ak230)</t>
        </is>
      </c>
      <c r="G92" t="inlineStr"/>
    </row>
    <row r="93">
      <c r="A93" t="inlineStr">
        <is>
          <t>scylla_kh35</t>
        </is>
      </c>
      <c r="B93" t="n">
        <v>230</v>
      </c>
      <c r="C93" t="n">
        <v>4</v>
      </c>
      <c r="D93" t="b">
        <v>0</v>
      </c>
      <c r="E93" t="n">
        <v>6</v>
      </c>
      <c r="F93" t="inlineStr">
        <is>
          <t>01_chien_dau/Vu_khi (id scylla_kh35)</t>
        </is>
      </c>
      <c r="G93" t="inlineStr"/>
    </row>
    <row r="94">
      <c r="A94" t="inlineStr">
        <is>
          <t>train_gun</t>
        </is>
      </c>
      <c r="B94" t="n">
        <v>600</v>
      </c>
      <c r="C94" t="n">
        <v>4</v>
      </c>
      <c r="D94" t="b">
        <v>0</v>
      </c>
      <c r="E94" t="n">
        <v>2.5</v>
      </c>
      <c r="F94" t="inlineStr">
        <is>
          <t>01_chien_dau/Vu_khi (id train_gun)</t>
        </is>
      </c>
      <c r="G94" t="inlineStr"/>
    </row>
  </sheetData>
  <autoFilter ref="A1:G94"/>
  <pageMargins left="0.75" right="0.75" top="1" bottom="1" header="0.5" footer="0.5"/>
</worksheet>
</file>

<file path=xl/worksheets/sheet3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6" customWidth="1" min="2" max="2"/>
    <col width="19" customWidth="1" min="3" max="3"/>
    <col width="14" customWidth="1" min="4" max="4"/>
    <col width="13" customWidth="1" min="5" max="5"/>
    <col width="15" customWidth="1" min="6" max="6"/>
    <col width="18" customWidth="1" min="7" max="7"/>
    <col width="22" customWidth="1" min="8" max="8"/>
    <col width="60" customWidth="1" min="9" max="9"/>
    <col width="10" customWidth="1" min="10" max="10"/>
  </cols>
  <sheetData>
    <row r="1">
      <c r="A1" s="1" t="inlineStr">
        <is>
          <t>id</t>
        </is>
      </c>
      <c r="B1" s="1" t="inlineStr">
        <is>
          <t>dps_duy_tri_mot_muc_tieu</t>
        </is>
      </c>
      <c r="C1" s="1" t="inlineStr">
        <is>
          <t>chu_ky_day_du_s</t>
        </is>
      </c>
      <c r="D1" s="1" t="inlineStr">
        <is>
          <t>danh_tu_tren</t>
        </is>
      </c>
      <c r="E1" s="1" t="inlineStr">
        <is>
          <t>ban_mat_dat</t>
        </is>
      </c>
      <c r="F1" s="1" t="inlineStr">
        <is>
          <t>he_so_mat_dat</t>
        </is>
      </c>
      <c r="G1" s="1" t="inlineStr">
        <is>
          <t>he_so_cong_trinh</t>
        </is>
      </c>
      <c r="H1" s="1" t="inlineStr">
        <is>
          <t>thoi_gian_canh_bao_s</t>
        </is>
      </c>
      <c r="I1" s="1" t="inlineStr">
        <is>
          <t>nguon</t>
        </is>
      </c>
      <c r="J1" s="1" t="inlineStr">
        <is>
          <t>raw_json</t>
        </is>
      </c>
    </row>
    <row r="2">
      <c r="A2" t="inlineStr">
        <is>
          <t>aa_25_triple</t>
        </is>
      </c>
      <c r="B2" t="n">
        <v>82.25806451612902</v>
      </c>
      <c r="C2" t="n">
        <v>3.1</v>
      </c>
      <c r="D2" t="b">
        <v>0</v>
      </c>
      <c r="E2" t="b">
        <v>0</v>
      </c>
      <c r="F2" t="n">
        <v>0.5</v>
      </c>
      <c r="G2" t="n">
        <v>0.1</v>
      </c>
      <c r="H2" t="n">
        <v>0</v>
      </c>
      <c r="I2" t="inlineStr">
        <is>
          <t>01_chien_dau/Vu_khi_suy_ra (id aa_25_triple)</t>
        </is>
      </c>
      <c r="J2" t="inlineStr"/>
    </row>
    <row r="3">
      <c r="A3" t="inlineStr">
        <is>
          <t>borer_cannon</t>
        </is>
      </c>
      <c r="B3" t="n">
        <v>20</v>
      </c>
      <c r="C3" t="n">
        <v>6</v>
      </c>
      <c r="D3" t="b">
        <v>0</v>
      </c>
      <c r="E3" t="b">
        <v>1</v>
      </c>
      <c r="F3" t="n">
        <v>1</v>
      </c>
      <c r="G3" t="n">
        <v>0.6</v>
      </c>
      <c r="H3" t="n">
        <v>0</v>
      </c>
      <c r="I3" t="inlineStr">
        <is>
          <t>01_chien_dau/Vu_khi_suy_ra (id borer_cannon)</t>
        </is>
      </c>
      <c r="J3" t="inlineStr"/>
    </row>
    <row r="4">
      <c r="A4" t="inlineStr">
        <is>
          <t>borer_drill</t>
        </is>
      </c>
      <c r="B4" t="n">
        <v>173.3333333333333</v>
      </c>
      <c r="C4" t="n">
        <v>1.5</v>
      </c>
      <c r="D4" t="b">
        <v>0</v>
      </c>
      <c r="E4" t="b">
        <v>1</v>
      </c>
      <c r="F4" t="n">
        <v>1</v>
      </c>
      <c r="G4" t="n">
        <v>0.6</v>
      </c>
      <c r="H4" t="n">
        <v>0</v>
      </c>
      <c r="I4" t="inlineStr">
        <is>
          <t>01_chien_dau/Vu_khi_suy_ra (id borer_drill)</t>
        </is>
      </c>
      <c r="J4" t="inlineStr"/>
    </row>
    <row r="5">
      <c r="A5" t="inlineStr">
        <is>
          <t>boss_flak</t>
        </is>
      </c>
      <c r="B5" t="n">
        <v>190.5204460966543</v>
      </c>
      <c r="C5" t="n">
        <v>5.38</v>
      </c>
      <c r="D5" t="b">
        <v>0</v>
      </c>
      <c r="E5" t="b">
        <v>1</v>
      </c>
      <c r="F5" t="n">
        <v>0.5</v>
      </c>
      <c r="G5" t="n">
        <v>0.1</v>
      </c>
      <c r="H5" t="n">
        <v>0</v>
      </c>
      <c r="I5" t="inlineStr">
        <is>
          <t>01_chien_dau/Vu_khi_suy_ra (id boss_flak)</t>
        </is>
      </c>
      <c r="J5" t="inlineStr"/>
    </row>
    <row r="6">
      <c r="A6" t="inlineStr">
        <is>
          <t>boss_flamer</t>
        </is>
      </c>
      <c r="B6" t="n">
        <v>120</v>
      </c>
      <c r="C6" t="n">
        <v>0.25</v>
      </c>
      <c r="D6" t="b">
        <v>0</v>
      </c>
      <c r="E6" t="b">
        <v>1</v>
      </c>
      <c r="F6" t="n">
        <v>1.5</v>
      </c>
      <c r="G6" t="n">
        <v>1</v>
      </c>
      <c r="H6" t="n">
        <v>0</v>
      </c>
      <c r="I6" t="inlineStr">
        <is>
          <t>01_chien_dau/Vu_khi_suy_ra (id boss_flamer)</t>
        </is>
      </c>
      <c r="J6" t="inlineStr"/>
    </row>
    <row r="7">
      <c r="A7" t="inlineStr">
        <is>
          <t>boss_heli_gun</t>
        </is>
      </c>
      <c r="B7" t="n">
        <v>91.01910366869048</v>
      </c>
      <c r="C7" t="n">
        <v>9.668299999999999</v>
      </c>
      <c r="D7" t="b">
        <v>0</v>
      </c>
      <c r="E7" t="b">
        <v>1</v>
      </c>
      <c r="F7" t="n">
        <v>1</v>
      </c>
      <c r="G7" t="n">
        <v>0.6</v>
      </c>
      <c r="H7" t="n">
        <v>0</v>
      </c>
      <c r="I7" t="inlineStr">
        <is>
          <t>01_chien_dau/Vu_khi_suy_ra (id boss_heli_gun)</t>
        </is>
      </c>
      <c r="J7" t="inlineStr"/>
    </row>
    <row r="8">
      <c r="A8" t="inlineStr">
        <is>
          <t>boss_hmg</t>
        </is>
      </c>
      <c r="B8" t="n">
        <v>113.235749280953</v>
      </c>
      <c r="C8" t="n">
        <v>13.2467</v>
      </c>
      <c r="D8" t="b">
        <v>0</v>
      </c>
      <c r="E8" t="b">
        <v>1</v>
      </c>
      <c r="F8" t="n">
        <v>1</v>
      </c>
      <c r="G8" t="n">
        <v>0.6</v>
      </c>
      <c r="H8" t="n">
        <v>0</v>
      </c>
      <c r="I8" t="inlineStr">
        <is>
          <t>01_chien_dau/Vu_khi_suy_ra (id boss_hmg)</t>
        </is>
      </c>
      <c r="J8" t="inlineStr"/>
    </row>
    <row r="9">
      <c r="A9" t="inlineStr">
        <is>
          <t>boss_minigun</t>
        </is>
      </c>
      <c r="B9" t="n">
        <v>32.54052774819548</v>
      </c>
      <c r="C9" t="n">
        <v>6.7608</v>
      </c>
      <c r="D9" t="b">
        <v>0</v>
      </c>
      <c r="E9" t="b">
        <v>1</v>
      </c>
      <c r="F9" t="n">
        <v>1</v>
      </c>
      <c r="G9" t="n">
        <v>0.6</v>
      </c>
      <c r="H9" t="n">
        <v>0</v>
      </c>
      <c r="I9" t="inlineStr">
        <is>
          <t>01_chien_dau/Vu_khi_suy_ra (id boss_minigun)</t>
        </is>
      </c>
      <c r="J9" t="inlineStr"/>
    </row>
    <row r="10">
      <c r="A10" t="inlineStr">
        <is>
          <t>boss_railgun</t>
        </is>
      </c>
      <c r="B10" t="n">
        <v>90</v>
      </c>
      <c r="C10" t="n">
        <v>8</v>
      </c>
      <c r="D10" t="b">
        <v>0</v>
      </c>
      <c r="E10" t="b">
        <v>1</v>
      </c>
      <c r="F10" t="n">
        <v>1</v>
      </c>
      <c r="G10" t="n">
        <v>0.6</v>
      </c>
      <c r="H10" t="n">
        <v>0</v>
      </c>
      <c r="I10" t="inlineStr">
        <is>
          <t>01_chien_dau/Vu_khi_suy_ra (id boss_railgun)</t>
        </is>
      </c>
      <c r="J10" t="inlineStr"/>
    </row>
    <row r="11">
      <c r="A11" t="inlineStr">
        <is>
          <t>boss_thermo</t>
        </is>
      </c>
      <c r="B11" t="n">
        <v>46.52278177458034</v>
      </c>
      <c r="C11" t="n">
        <v>6.255</v>
      </c>
      <c r="D11" t="b">
        <v>0</v>
      </c>
      <c r="E11" t="b">
        <v>1</v>
      </c>
      <c r="F11" t="n">
        <v>1</v>
      </c>
      <c r="G11" t="n">
        <v>2</v>
      </c>
      <c r="H11" t="n">
        <v>0</v>
      </c>
      <c r="I11" t="inlineStr">
        <is>
          <t>01_chien_dau/Vu_khi_suy_ra (id boss_thermo)</t>
        </is>
      </c>
      <c r="J11" t="inlineStr"/>
    </row>
    <row r="12">
      <c r="A12" t="inlineStr">
        <is>
          <t>ciws_aa</t>
        </is>
      </c>
      <c r="B12" t="n">
        <v>119.9600133288904</v>
      </c>
      <c r="C12" t="n">
        <v>6.002</v>
      </c>
      <c r="D12" t="b">
        <v>0</v>
      </c>
      <c r="E12" t="b">
        <v>0</v>
      </c>
      <c r="F12" t="n">
        <v>1</v>
      </c>
      <c r="G12" t="n">
        <v>0.6</v>
      </c>
      <c r="H12" t="n">
        <v>0</v>
      </c>
      <c r="I12" t="inlineStr">
        <is>
          <t>01_chien_dau/Vu_khi_suy_ra (id ciws_aa)</t>
        </is>
      </c>
      <c r="J12" t="inlineStr"/>
    </row>
    <row r="13">
      <c r="A13" t="inlineStr">
        <is>
          <t>coilgun</t>
        </is>
      </c>
      <c r="B13" t="n">
        <v>104.384133611691</v>
      </c>
      <c r="C13" t="n">
        <v>4.79</v>
      </c>
      <c r="D13" t="b">
        <v>0</v>
      </c>
      <c r="E13" t="b">
        <v>1</v>
      </c>
      <c r="F13" t="n">
        <v>1</v>
      </c>
      <c r="G13" t="n">
        <v>0.6</v>
      </c>
      <c r="H13" t="n">
        <v>0</v>
      </c>
      <c r="I13" t="inlineStr">
        <is>
          <t>01_chien_dau/Vu_khi_suy_ra (id coilgun)</t>
        </is>
      </c>
      <c r="J13" t="inlineStr"/>
    </row>
    <row r="14">
      <c r="A14" t="inlineStr">
        <is>
          <t>gunship_rockets</t>
        </is>
      </c>
      <c r="B14" t="n">
        <v>52.39995906253198</v>
      </c>
      <c r="C14" t="n">
        <v>9.771000000000001</v>
      </c>
      <c r="D14" t="b">
        <v>0</v>
      </c>
      <c r="E14" t="b">
        <v>1</v>
      </c>
      <c r="F14" t="n">
        <v>1</v>
      </c>
      <c r="G14" t="n">
        <v>1.5</v>
      </c>
      <c r="H14" t="n">
        <v>0</v>
      </c>
      <c r="I14" t="inlineStr">
        <is>
          <t>01_chien_dau/Vu_khi_suy_ra (id gunship_rockets)</t>
        </is>
      </c>
      <c r="J14" t="inlineStr"/>
    </row>
    <row r="15">
      <c r="A15" t="inlineStr">
        <is>
          <t>hover_ciws</t>
        </is>
      </c>
      <c r="B15" t="n">
        <v>119.9600133288904</v>
      </c>
      <c r="C15" t="n">
        <v>6.002</v>
      </c>
      <c r="D15" t="b">
        <v>0</v>
      </c>
      <c r="E15" t="b">
        <v>1</v>
      </c>
      <c r="F15" t="n">
        <v>1</v>
      </c>
      <c r="G15" t="n">
        <v>0.6</v>
      </c>
      <c r="H15" t="n">
        <v>0</v>
      </c>
      <c r="I15" t="inlineStr">
        <is>
          <t>01_chien_dau/Vu_khi_suy_ra (id hover_ciws)</t>
        </is>
      </c>
      <c r="J15" t="inlineStr"/>
    </row>
    <row r="16">
      <c r="A16" t="inlineStr">
        <is>
          <t>hover_rockets</t>
        </is>
      </c>
      <c r="B16" t="n">
        <v>26.48148148148148</v>
      </c>
      <c r="C16" t="n">
        <v>27</v>
      </c>
      <c r="D16" t="b">
        <v>1</v>
      </c>
      <c r="E16" t="b">
        <v>1</v>
      </c>
      <c r="F16" t="n">
        <v>1</v>
      </c>
      <c r="G16" t="n">
        <v>1.5</v>
      </c>
      <c r="H16" t="n">
        <v>0</v>
      </c>
      <c r="I16" t="inlineStr">
        <is>
          <t>01_chien_dau/Vu_khi_suy_ra (id hover_rockets)</t>
        </is>
      </c>
      <c r="J16" t="inlineStr"/>
    </row>
    <row r="17">
      <c r="A17" t="inlineStr">
        <is>
          <t>locust_drones</t>
        </is>
      </c>
      <c r="B17" t="n">
        <v>160</v>
      </c>
      <c r="C17" t="n">
        <v>2</v>
      </c>
      <c r="D17" t="b">
        <v>1</v>
      </c>
      <c r="E17" t="b">
        <v>1</v>
      </c>
      <c r="F17" t="n">
        <v>1</v>
      </c>
      <c r="G17" t="n">
        <v>0.6</v>
      </c>
      <c r="H17" t="n">
        <v>0</v>
      </c>
      <c r="I17" t="inlineStr">
        <is>
          <t>01_chien_dau/Vu_khi_suy_ra (id locust_drones)</t>
        </is>
      </c>
      <c r="J17" t="inlineStr"/>
    </row>
    <row r="18">
      <c r="A18" t="inlineStr">
        <is>
          <t>naval_130_twin</t>
        </is>
      </c>
      <c r="B18" t="n">
        <v>253.3831077928138</v>
      </c>
      <c r="C18" t="n">
        <v>4.286</v>
      </c>
      <c r="D18" t="b">
        <v>0</v>
      </c>
      <c r="E18" t="b">
        <v>1</v>
      </c>
      <c r="F18" t="n">
        <v>1</v>
      </c>
      <c r="G18" t="n">
        <v>1.5</v>
      </c>
      <c r="H18" t="n">
        <v>0</v>
      </c>
      <c r="I18" t="inlineStr">
        <is>
          <t>01_chien_dau/Vu_khi_suy_ra (id naval_130_twin)</t>
        </is>
      </c>
      <c r="J18" t="inlineStr"/>
    </row>
    <row r="19">
      <c r="A19" t="inlineStr">
        <is>
          <t>nyx_ags_155</t>
        </is>
      </c>
      <c r="B19" t="n">
        <v>83.72093023255815</v>
      </c>
      <c r="C19" t="n">
        <v>8.6</v>
      </c>
      <c r="D19" t="b">
        <v>0</v>
      </c>
      <c r="E19" t="b">
        <v>1</v>
      </c>
      <c r="F19" t="n">
        <v>1</v>
      </c>
      <c r="G19" t="n">
        <v>1.5</v>
      </c>
      <c r="H19" t="n">
        <v>0</v>
      </c>
      <c r="I19" t="inlineStr">
        <is>
          <t>01_chien_dau/Vu_khi_suy_ra (id nyx_ags_155)</t>
        </is>
      </c>
      <c r="J19" t="inlineStr"/>
    </row>
    <row r="20">
      <c r="A20" t="inlineStr">
        <is>
          <t>nyx_millennium</t>
        </is>
      </c>
      <c r="B20" t="n">
        <v>137.799043062201</v>
      </c>
      <c r="C20" t="n">
        <v>4.18</v>
      </c>
      <c r="D20" t="b">
        <v>0</v>
      </c>
      <c r="E20" t="b">
        <v>0</v>
      </c>
      <c r="F20" t="n">
        <v>0.5</v>
      </c>
      <c r="G20" t="n">
        <v>0.1</v>
      </c>
      <c r="H20" t="n">
        <v>0</v>
      </c>
      <c r="I20" t="inlineStr">
        <is>
          <t>01_chien_dau/Vu_khi_suy_ra (id nyx_millennium)</t>
        </is>
      </c>
      <c r="J20" t="inlineStr"/>
    </row>
    <row r="21">
      <c r="A21" t="inlineStr">
        <is>
          <t>nyx_tomahawk</t>
        </is>
      </c>
      <c r="B21" t="n">
        <v>12.59259259259259</v>
      </c>
      <c r="C21" t="n">
        <v>54</v>
      </c>
      <c r="D21" t="b">
        <v>0</v>
      </c>
      <c r="E21" t="b">
        <v>1</v>
      </c>
      <c r="F21" t="n">
        <v>1</v>
      </c>
      <c r="G21" t="n">
        <v>1.5</v>
      </c>
      <c r="H21" t="n">
        <v>2.5</v>
      </c>
      <c r="I21" t="inlineStr">
        <is>
          <t>01_chien_dau/Vu_khi_suy_ra (id nyx_tomahawk)</t>
        </is>
      </c>
      <c r="J21" t="inlineStr"/>
    </row>
    <row r="22">
      <c r="A22" t="inlineStr">
        <is>
          <t>p26_bastion_close_boss_hmg</t>
        </is>
      </c>
      <c r="B22" t="n">
        <v>113.235749280953</v>
      </c>
      <c r="C22" t="n">
        <v>13.2467</v>
      </c>
      <c r="D22" t="b">
        <v>0</v>
      </c>
      <c r="E22" t="b">
        <v>1</v>
      </c>
      <c r="F22" t="n">
        <v>1</v>
      </c>
      <c r="G22" t="n">
        <v>0.6</v>
      </c>
      <c r="H22" t="n">
        <v>0</v>
      </c>
      <c r="I22" t="inlineStr">
        <is>
          <t>01_chien_dau/Vu_khi_suy_ra (id p26_bastion_close_boss_hmg)</t>
        </is>
      </c>
      <c r="J22" t="inlineStr"/>
    </row>
    <row r="23">
      <c r="A23" t="inlineStr">
        <is>
          <t>p26_bastion_direct_b100</t>
        </is>
      </c>
      <c r="B23" t="n">
        <v>55.81395348837209</v>
      </c>
      <c r="C23" t="n">
        <v>8.6</v>
      </c>
      <c r="D23" t="b">
        <v>0</v>
      </c>
      <c r="E23" t="b">
        <v>1</v>
      </c>
      <c r="F23" t="n">
        <v>1</v>
      </c>
      <c r="G23" t="n">
        <v>0.6</v>
      </c>
      <c r="H23" t="n">
        <v>0</v>
      </c>
      <c r="I23" t="inlineStr">
        <is>
          <t>01_chien_dau/Vu_khi_suy_ra (id p26_bastion_direct_b100)</t>
        </is>
      </c>
      <c r="J23" t="inlineStr"/>
    </row>
    <row r="24">
      <c r="A24" t="inlineStr">
        <is>
          <t>p26_bastion_main_b155</t>
        </is>
      </c>
      <c r="B24" t="n">
        <v>40</v>
      </c>
      <c r="C24" t="n">
        <v>15</v>
      </c>
      <c r="D24" t="b">
        <v>1</v>
      </c>
      <c r="E24" t="b">
        <v>1</v>
      </c>
      <c r="F24" t="n">
        <v>1</v>
      </c>
      <c r="G24" t="n">
        <v>1.5</v>
      </c>
      <c r="H24" t="n">
        <v>0</v>
      </c>
      <c r="I24" t="inlineStr">
        <is>
          <t>01_chien_dau/Vu_khi_suy_ra (id p26_bastion_main_b155)</t>
        </is>
      </c>
      <c r="J24" t="inlineStr"/>
    </row>
    <row r="25">
      <c r="A25" t="inlineStr">
        <is>
          <t>p26_bastion_sec_b240</t>
        </is>
      </c>
      <c r="B25" t="n">
        <v>18.33333333333333</v>
      </c>
      <c r="C25" t="n">
        <v>60</v>
      </c>
      <c r="D25" t="b">
        <v>1</v>
      </c>
      <c r="E25" t="b">
        <v>1</v>
      </c>
      <c r="F25" t="n">
        <v>1</v>
      </c>
      <c r="G25" t="n">
        <v>1.5</v>
      </c>
      <c r="H25" t="n">
        <v>2.722222222222222</v>
      </c>
      <c r="I25" t="inlineStr">
        <is>
          <t>01_chien_dau/Vu_khi_suy_ra (id p26_bastion_sec_b240)</t>
        </is>
      </c>
      <c r="J25" t="inlineStr"/>
    </row>
    <row r="26">
      <c r="A26" t="inlineStr">
        <is>
          <t>p26_bastion_tiny_autocannon_40</t>
        </is>
      </c>
      <c r="B26" t="n">
        <v>90.36144578313252</v>
      </c>
      <c r="C26" t="n">
        <v>3.32</v>
      </c>
      <c r="D26" t="b">
        <v>0</v>
      </c>
      <c r="E26" t="b">
        <v>1</v>
      </c>
      <c r="F26" t="n">
        <v>1</v>
      </c>
      <c r="G26" t="n">
        <v>0.6</v>
      </c>
      <c r="H26" t="n">
        <v>0</v>
      </c>
      <c r="I26" t="inlineStr">
        <is>
          <t>01_chien_dau/Vu_khi_suy_ra (id p26_bastion_tiny_autocannon_40)</t>
        </is>
      </c>
      <c r="J26" t="inlineStr"/>
    </row>
    <row r="27">
      <c r="A27" t="inlineStr">
        <is>
          <t>p26_bastion_tiny_kornet_twin</t>
        </is>
      </c>
      <c r="B27" t="n">
        <v>23</v>
      </c>
      <c r="C27" t="n">
        <v>20</v>
      </c>
      <c r="D27" t="b">
        <v>0</v>
      </c>
      <c r="E27" t="b">
        <v>1</v>
      </c>
      <c r="F27" t="n">
        <v>1</v>
      </c>
      <c r="G27" t="n">
        <v>0.6</v>
      </c>
      <c r="H27" t="n">
        <v>0</v>
      </c>
      <c r="I27" t="inlineStr">
        <is>
          <t>01_chien_dau/Vu_khi_suy_ra (id p26_bastion_tiny_kornet_twin)</t>
        </is>
      </c>
      <c r="J27" t="inlineStr"/>
    </row>
    <row r="28">
      <c r="A28" t="inlineStr">
        <is>
          <t>p26_bastion_tiny_zu23</t>
        </is>
      </c>
      <c r="B28" t="n">
        <v>70.56451612903226</v>
      </c>
      <c r="C28" t="n">
        <v>4.96</v>
      </c>
      <c r="D28" t="b">
        <v>0</v>
      </c>
      <c r="E28" t="b">
        <v>1</v>
      </c>
      <c r="F28" t="n">
        <v>0.5</v>
      </c>
      <c r="G28" t="n">
        <v>0.1</v>
      </c>
      <c r="H28" t="n">
        <v>0</v>
      </c>
      <c r="I28" t="inlineStr">
        <is>
          <t>01_chien_dau/Vu_khi_suy_ra (id p26_bastion_tiny_zu23)</t>
        </is>
      </c>
      <c r="J28" t="inlineStr"/>
    </row>
    <row r="29">
      <c r="A29" t="inlineStr">
        <is>
          <t>p26_behemoth_close_boss_flak</t>
        </is>
      </c>
      <c r="B29" t="n">
        <v>190.5204460966543</v>
      </c>
      <c r="C29" t="n">
        <v>5.38</v>
      </c>
      <c r="D29" t="b">
        <v>0</v>
      </c>
      <c r="E29" t="b">
        <v>1</v>
      </c>
      <c r="F29" t="n">
        <v>0.5</v>
      </c>
      <c r="G29" t="n">
        <v>0.1</v>
      </c>
      <c r="H29" t="n">
        <v>0</v>
      </c>
      <c r="I29" t="inlineStr">
        <is>
          <t>01_chien_dau/Vu_khi_suy_ra (id p26_behemoth_close_boss_flak)</t>
        </is>
      </c>
      <c r="J29" t="inlineStr"/>
    </row>
    <row r="30">
      <c r="A30" t="inlineStr">
        <is>
          <t>p26_behemoth_direct_be120</t>
        </is>
      </c>
      <c r="B30" t="n">
        <v>69.33333333333333</v>
      </c>
      <c r="C30" t="n">
        <v>7.5</v>
      </c>
      <c r="D30" t="b">
        <v>0</v>
      </c>
      <c r="E30" t="b">
        <v>1</v>
      </c>
      <c r="F30" t="n">
        <v>1</v>
      </c>
      <c r="G30" t="n">
        <v>0.6</v>
      </c>
      <c r="H30" t="n">
        <v>0</v>
      </c>
      <c r="I30" t="inlineStr">
        <is>
          <t>01_chien_dau/Vu_khi_suy_ra (id p26_behemoth_direct_be120)</t>
        </is>
      </c>
      <c r="J30" t="inlineStr"/>
    </row>
    <row r="31">
      <c r="A31" t="inlineStr">
        <is>
          <t>p26_behemoth_main_be152</t>
        </is>
      </c>
      <c r="B31" t="n">
        <v>133.630289532294</v>
      </c>
      <c r="C31" t="n">
        <v>8.98</v>
      </c>
      <c r="D31" t="b">
        <v>0</v>
      </c>
      <c r="E31" t="b">
        <v>1</v>
      </c>
      <c r="F31" t="n">
        <v>1</v>
      </c>
      <c r="G31" t="n">
        <v>1.5</v>
      </c>
      <c r="H31" t="n">
        <v>0</v>
      </c>
      <c r="I31" t="inlineStr">
        <is>
          <t>01_chien_dau/Vu_khi_suy_ra (id p26_behemoth_main_be152)</t>
        </is>
      </c>
      <c r="J31" t="inlineStr"/>
    </row>
    <row r="32">
      <c r="A32" t="inlineStr">
        <is>
          <t>p26_behemoth_sec_be_rockets</t>
        </is>
      </c>
      <c r="B32" t="n">
        <v>364.6308113035551</v>
      </c>
      <c r="C32" t="n">
        <v>21.94</v>
      </c>
      <c r="D32" t="b">
        <v>0</v>
      </c>
      <c r="E32" t="b">
        <v>1</v>
      </c>
      <c r="F32" t="n">
        <v>1</v>
      </c>
      <c r="G32" t="n">
        <v>1.5</v>
      </c>
      <c r="H32" t="n">
        <v>0</v>
      </c>
      <c r="I32" t="inlineStr">
        <is>
          <t>01_chien_dau/Vu_khi_suy_ra (id p26_behemoth_sec_be_rockets)</t>
        </is>
      </c>
      <c r="J32" t="inlineStr"/>
    </row>
    <row r="33">
      <c r="A33" t="inlineStr">
        <is>
          <t>p26_behemoth_tiny_be120</t>
        </is>
      </c>
      <c r="B33" t="n">
        <v>34.66666666666666</v>
      </c>
      <c r="C33" t="n">
        <v>7.5</v>
      </c>
      <c r="D33" t="b">
        <v>0</v>
      </c>
      <c r="E33" t="b">
        <v>1</v>
      </c>
      <c r="F33" t="n">
        <v>1</v>
      </c>
      <c r="G33" t="n">
        <v>0.6</v>
      </c>
      <c r="H33" t="n">
        <v>0</v>
      </c>
      <c r="I33" t="inlineStr">
        <is>
          <t>01_chien_dau/Vu_khi_suy_ra (id p26_behemoth_tiny_be120)</t>
        </is>
      </c>
      <c r="J33" t="inlineStr"/>
    </row>
    <row r="34">
      <c r="A34" t="inlineStr">
        <is>
          <t>p26_behemoth_tiny_boss_missiles</t>
        </is>
      </c>
      <c r="B34" t="n">
        <v>11.5</v>
      </c>
      <c r="C34" t="n">
        <v>20</v>
      </c>
      <c r="D34" t="b">
        <v>0</v>
      </c>
      <c r="E34" t="b">
        <v>1</v>
      </c>
      <c r="F34" t="n">
        <v>1</v>
      </c>
      <c r="G34" t="n">
        <v>0.6</v>
      </c>
      <c r="H34" t="n">
        <v>0</v>
      </c>
      <c r="I34" t="inlineStr">
        <is>
          <t>01_chien_dau/Vu_khi_suy_ra (id p26_behemoth_tiny_boss_missiles)</t>
        </is>
      </c>
      <c r="J34" t="inlineStr"/>
    </row>
    <row r="35">
      <c r="A35" t="inlineStr">
        <is>
          <t>p26_behemoth_tiny_kornet_twin</t>
        </is>
      </c>
      <c r="B35" t="n">
        <v>23.71134020618557</v>
      </c>
      <c r="C35" t="n">
        <v>9.699999999999999</v>
      </c>
      <c r="D35" t="b">
        <v>0</v>
      </c>
      <c r="E35" t="b">
        <v>1</v>
      </c>
      <c r="F35" t="n">
        <v>1</v>
      </c>
      <c r="G35" t="n">
        <v>0.6</v>
      </c>
      <c r="H35" t="n">
        <v>0</v>
      </c>
      <c r="I35" t="inlineStr">
        <is>
          <t>01_chien_dau/Vu_khi_suy_ra (id p26_behemoth_tiny_kornet_twin)</t>
        </is>
      </c>
      <c r="J35" t="inlineStr"/>
    </row>
    <row r="36">
      <c r="A36" t="inlineStr">
        <is>
          <t>p26_daedalus_direct_dae_laser</t>
        </is>
      </c>
      <c r="B36" t="n">
        <v>165</v>
      </c>
      <c r="C36" t="n">
        <v>0.1</v>
      </c>
      <c r="D36" t="b">
        <v>0</v>
      </c>
      <c r="E36" t="b">
        <v>1</v>
      </c>
      <c r="F36" t="n">
        <v>1</v>
      </c>
      <c r="G36" t="n">
        <v>0.5</v>
      </c>
      <c r="H36" t="n">
        <v>0</v>
      </c>
      <c r="I36" t="inlineStr">
        <is>
          <t>01_chien_dau/Vu_khi_suy_ra (id p26_daedalus_direct_dae_laser)</t>
        </is>
      </c>
      <c r="J36" t="inlineStr"/>
    </row>
    <row r="37">
      <c r="A37" t="inlineStr">
        <is>
          <t>p26_icarus_close_autocannon_40</t>
        </is>
      </c>
      <c r="B37" t="n">
        <v>90.36144578313252</v>
      </c>
      <c r="C37" t="n">
        <v>3.32</v>
      </c>
      <c r="D37" t="b">
        <v>0</v>
      </c>
      <c r="E37" t="b">
        <v>1</v>
      </c>
      <c r="F37" t="n">
        <v>1</v>
      </c>
      <c r="G37" t="n">
        <v>0.6</v>
      </c>
      <c r="H37" t="n">
        <v>0</v>
      </c>
      <c r="I37" t="inlineStr">
        <is>
          <t>01_chien_dau/Vu_khi_suy_ra (id p26_icarus_close_autocannon_40)</t>
        </is>
      </c>
      <c r="J37" t="inlineStr"/>
    </row>
    <row r="38">
      <c r="A38" t="inlineStr">
        <is>
          <t>p26_icarus_direct_ic_laser</t>
        </is>
      </c>
      <c r="B38" t="n">
        <v>160</v>
      </c>
      <c r="C38" t="n">
        <v>0.1</v>
      </c>
      <c r="D38" t="b">
        <v>0</v>
      </c>
      <c r="E38" t="b">
        <v>1</v>
      </c>
      <c r="F38" t="n">
        <v>1</v>
      </c>
      <c r="G38" t="n">
        <v>0.5</v>
      </c>
      <c r="H38" t="n">
        <v>0</v>
      </c>
      <c r="I38" t="inlineStr">
        <is>
          <t>01_chien_dau/Vu_khi_suy_ra (id p26_icarus_direct_ic_laser)</t>
        </is>
      </c>
      <c r="J38" t="inlineStr"/>
    </row>
    <row r="39">
      <c r="A39" t="inlineStr">
        <is>
          <t>p26_icarus_main_ic_coil</t>
        </is>
      </c>
      <c r="B39" t="n">
        <v>300</v>
      </c>
      <c r="C39" t="n">
        <v>5</v>
      </c>
      <c r="D39" t="b">
        <v>0</v>
      </c>
      <c r="E39" t="b">
        <v>1</v>
      </c>
      <c r="F39" t="n">
        <v>1</v>
      </c>
      <c r="G39" t="n">
        <v>0.6</v>
      </c>
      <c r="H39" t="n">
        <v>0</v>
      </c>
      <c r="I39" t="inlineStr">
        <is>
          <t>01_chien_dau/Vu_khi_suy_ra (id p26_icarus_main_ic_coil)</t>
        </is>
      </c>
      <c r="J39" t="inlineStr"/>
    </row>
    <row r="40">
      <c r="A40" t="inlineStr">
        <is>
          <t>p26_icarus_sec_orbital_laser</t>
        </is>
      </c>
      <c r="B40" t="n">
        <v>400</v>
      </c>
      <c r="C40" t="n">
        <v>0.1</v>
      </c>
      <c r="D40" t="b">
        <v>0</v>
      </c>
      <c r="E40" t="b">
        <v>1</v>
      </c>
      <c r="F40" t="n">
        <v>1</v>
      </c>
      <c r="G40" t="n">
        <v>0.5</v>
      </c>
      <c r="H40" t="n">
        <v>0</v>
      </c>
      <c r="I40" t="inlineStr">
        <is>
          <t>01_chien_dau/Vu_khi_suy_ra (id p26_icarus_sec_orbital_laser)</t>
        </is>
      </c>
      <c r="J40" t="inlineStr"/>
    </row>
    <row r="41">
      <c r="A41" t="inlineStr">
        <is>
          <t>p26_ixion_125</t>
        </is>
      </c>
      <c r="B41" t="n">
        <v>53.33333333333334</v>
      </c>
      <c r="C41" t="n">
        <v>7.5</v>
      </c>
      <c r="D41" t="b">
        <v>0</v>
      </c>
      <c r="E41" t="b">
        <v>1</v>
      </c>
      <c r="F41" t="n">
        <v>1</v>
      </c>
      <c r="G41" t="n">
        <v>0.6</v>
      </c>
      <c r="H41" t="n">
        <v>0</v>
      </c>
      <c r="I41" t="inlineStr">
        <is>
          <t>01_chien_dau/Vu_khi_suy_ra (id p26_ixion_125)</t>
        </is>
      </c>
      <c r="J41" t="inlineStr"/>
    </row>
    <row r="42">
      <c r="A42" t="inlineStr">
        <is>
          <t>p26_ixion_mg</t>
        </is>
      </c>
      <c r="B42" t="n">
        <v>113.235749280953</v>
      </c>
      <c r="C42" t="n">
        <v>13.2467</v>
      </c>
      <c r="D42" t="b">
        <v>0</v>
      </c>
      <c r="E42" t="b">
        <v>1</v>
      </c>
      <c r="F42" t="n">
        <v>1</v>
      </c>
      <c r="G42" t="n">
        <v>0.6</v>
      </c>
      <c r="H42" t="n">
        <v>0</v>
      </c>
      <c r="I42" t="inlineStr">
        <is>
          <t>01_chien_dau/Vu_khi_suy_ra (id p26_ixion_mg)</t>
        </is>
      </c>
      <c r="J42" t="inlineStr"/>
    </row>
    <row r="43">
      <c r="A43" t="inlineStr">
        <is>
          <t>p26_jotunn_close_boss_flak</t>
        </is>
      </c>
      <c r="B43" t="n">
        <v>190.5204460966543</v>
      </c>
      <c r="C43" t="n">
        <v>5.38</v>
      </c>
      <c r="D43" t="b">
        <v>0</v>
      </c>
      <c r="E43" t="b">
        <v>1</v>
      </c>
      <c r="F43" t="n">
        <v>0.5</v>
      </c>
      <c r="G43" t="n">
        <v>0.1</v>
      </c>
      <c r="H43" t="n">
        <v>0</v>
      </c>
      <c r="I43" t="inlineStr">
        <is>
          <t>01_chien_dau/Vu_khi_suy_ra (id p26_jotunn_close_boss_flak)</t>
        </is>
      </c>
      <c r="J43" t="inlineStr"/>
    </row>
    <row r="44">
      <c r="A44" t="inlineStr">
        <is>
          <t>p26_jotunn_direct_jo125</t>
        </is>
      </c>
      <c r="B44" t="n">
        <v>53.33333333333334</v>
      </c>
      <c r="C44" t="n">
        <v>7.5</v>
      </c>
      <c r="D44" t="b">
        <v>0</v>
      </c>
      <c r="E44" t="b">
        <v>1</v>
      </c>
      <c r="F44" t="n">
        <v>1</v>
      </c>
      <c r="G44" t="n">
        <v>0.6</v>
      </c>
      <c r="H44" t="n">
        <v>0</v>
      </c>
      <c r="I44" t="inlineStr">
        <is>
          <t>01_chien_dau/Vu_khi_suy_ra (id p26_jotunn_direct_jo125)</t>
        </is>
      </c>
      <c r="J44" t="inlineStr"/>
    </row>
    <row r="45">
      <c r="A45" t="inlineStr">
        <is>
          <t>p26_jotunn_jo203</t>
        </is>
      </c>
      <c r="B45" t="n">
        <v>37.5</v>
      </c>
      <c r="C45" t="n">
        <v>24</v>
      </c>
      <c r="D45" t="b">
        <v>0</v>
      </c>
      <c r="E45" t="b">
        <v>1</v>
      </c>
      <c r="F45" t="n">
        <v>1</v>
      </c>
      <c r="G45" t="n">
        <v>1.5</v>
      </c>
      <c r="H45" t="n">
        <v>2.5</v>
      </c>
      <c r="I45" t="inlineStr">
        <is>
          <t>01_chien_dau/Vu_khi_suy_ra (id p26_jotunn_jo203)</t>
        </is>
      </c>
      <c r="J45" t="inlineStr"/>
    </row>
    <row r="46">
      <c r="A46" t="inlineStr">
        <is>
          <t>p26_jotunn_sec_jo_rockets</t>
        </is>
      </c>
      <c r="B46" t="n">
        <v>94.86166007905139</v>
      </c>
      <c r="C46" t="n">
        <v>37.95</v>
      </c>
      <c r="D46" t="b">
        <v>0</v>
      </c>
      <c r="E46" t="b">
        <v>1</v>
      </c>
      <c r="F46" t="n">
        <v>1</v>
      </c>
      <c r="G46" t="n">
        <v>1.5</v>
      </c>
      <c r="H46" t="n">
        <v>2.5</v>
      </c>
      <c r="I46" t="inlineStr">
        <is>
          <t>01_chien_dau/Vu_khi_suy_ra (id p26_jotunn_sec_jo_rockets)</t>
        </is>
      </c>
      <c r="J46" t="inlineStr"/>
    </row>
    <row r="47">
      <c r="A47" t="inlineStr">
        <is>
          <t>p26_jotunn_tiny_twin_30_flak</t>
        </is>
      </c>
      <c r="B47" t="n">
        <v>504.6594982078853</v>
      </c>
      <c r="C47" t="n">
        <v>6.975</v>
      </c>
      <c r="D47" t="b">
        <v>0</v>
      </c>
      <c r="E47" t="b">
        <v>1</v>
      </c>
      <c r="F47" t="n">
        <v>0.5</v>
      </c>
      <c r="G47" t="n">
        <v>0.1</v>
      </c>
      <c r="H47" t="n">
        <v>0</v>
      </c>
      <c r="I47" t="inlineStr">
        <is>
          <t>01_chien_dau/Vu_khi_suy_ra (id p26_jotunn_tiny_twin_30_flak)</t>
        </is>
      </c>
      <c r="J47" t="inlineStr"/>
    </row>
    <row r="48">
      <c r="A48" t="inlineStr">
        <is>
          <t>p26_leviathan_direct_lev127</t>
        </is>
      </c>
      <c r="B48" t="n">
        <v>126.6666666666667</v>
      </c>
      <c r="C48" t="n">
        <v>3</v>
      </c>
      <c r="D48" t="b">
        <v>0</v>
      </c>
      <c r="E48" t="b">
        <v>1</v>
      </c>
      <c r="F48" t="n">
        <v>1</v>
      </c>
      <c r="G48" t="n">
        <v>0.6</v>
      </c>
      <c r="H48" t="n">
        <v>0</v>
      </c>
      <c r="I48" t="inlineStr">
        <is>
          <t>01_chien_dau/Vu_khi_suy_ra (id p26_leviathan_direct_lev127)</t>
        </is>
      </c>
      <c r="J48" t="inlineStr"/>
    </row>
    <row r="49">
      <c r="A49" t="inlineStr">
        <is>
          <t>p26_leviathan_lev406</t>
        </is>
      </c>
      <c r="B49" t="n">
        <v>120</v>
      </c>
      <c r="C49" t="n">
        <v>60</v>
      </c>
      <c r="D49" t="b">
        <v>0</v>
      </c>
      <c r="E49" t="b">
        <v>1</v>
      </c>
      <c r="F49" t="n">
        <v>1</v>
      </c>
      <c r="G49" t="n">
        <v>1.5</v>
      </c>
      <c r="H49" t="n">
        <v>3.611111111111111</v>
      </c>
      <c r="I49" t="inlineStr">
        <is>
          <t>01_chien_dau/Vu_khi_suy_ra (id p26_leviathan_lev406)</t>
        </is>
      </c>
      <c r="J49" t="inlineStr"/>
    </row>
    <row r="50">
      <c r="A50" t="inlineStr">
        <is>
          <t>p26_leviathan_sec_lev155</t>
        </is>
      </c>
      <c r="B50" t="n">
        <v>171.4285714285714</v>
      </c>
      <c r="C50" t="n">
        <v>10.5</v>
      </c>
      <c r="D50" t="b">
        <v>0</v>
      </c>
      <c r="E50" t="b">
        <v>1</v>
      </c>
      <c r="F50" t="n">
        <v>1</v>
      </c>
      <c r="G50" t="n">
        <v>1.5</v>
      </c>
      <c r="H50" t="n">
        <v>0</v>
      </c>
      <c r="I50" t="inlineStr">
        <is>
          <t>01_chien_dau/Vu_khi_suy_ra (id p26_leviathan_sec_lev155)</t>
        </is>
      </c>
      <c r="J50" t="inlineStr"/>
    </row>
    <row r="51">
      <c r="A51" t="inlineStr">
        <is>
          <t>p26_matriarch_close_boss_flak</t>
        </is>
      </c>
      <c r="B51" t="n">
        <v>190.5204460966543</v>
      </c>
      <c r="C51" t="n">
        <v>5.38</v>
      </c>
      <c r="D51" t="b">
        <v>0</v>
      </c>
      <c r="E51" t="b">
        <v>1</v>
      </c>
      <c r="F51" t="n">
        <v>0.5</v>
      </c>
      <c r="G51" t="n">
        <v>0.1</v>
      </c>
      <c r="H51" t="n">
        <v>0</v>
      </c>
      <c r="I51" t="inlineStr">
        <is>
          <t>01_chien_dau/Vu_khi_suy_ra (id p26_matriarch_close_boss_flak)</t>
        </is>
      </c>
      <c r="J51" t="inlineStr"/>
    </row>
    <row r="52">
      <c r="A52" t="inlineStr">
        <is>
          <t>p26_matriarch_direct_ma_atgm</t>
        </is>
      </c>
      <c r="B52" t="n">
        <v>11.5</v>
      </c>
      <c r="C52" t="n">
        <v>20</v>
      </c>
      <c r="D52" t="b">
        <v>0</v>
      </c>
      <c r="E52" t="b">
        <v>1</v>
      </c>
      <c r="F52" t="n">
        <v>1</v>
      </c>
      <c r="G52" t="n">
        <v>0.6</v>
      </c>
      <c r="H52" t="n">
        <v>0</v>
      </c>
      <c r="I52" t="inlineStr">
        <is>
          <t>01_chien_dau/Vu_khi_suy_ra (id p26_matriarch_direct_ma_atgm)</t>
        </is>
      </c>
      <c r="J52" t="inlineStr"/>
    </row>
    <row r="53">
      <c r="A53" t="inlineStr">
        <is>
          <t>p26_matriarch_ma_drones</t>
        </is>
      </c>
      <c r="B53" t="n">
        <v>384</v>
      </c>
      <c r="C53" t="n">
        <v>5</v>
      </c>
      <c r="D53" t="b">
        <v>1</v>
      </c>
      <c r="E53" t="b">
        <v>1</v>
      </c>
      <c r="F53" t="n">
        <v>1</v>
      </c>
      <c r="G53" t="n">
        <v>0.6</v>
      </c>
      <c r="H53" t="n">
        <v>0</v>
      </c>
      <c r="I53" t="inlineStr">
        <is>
          <t>01_chien_dau/Vu_khi_suy_ra (id p26_matriarch_ma_drones)</t>
        </is>
      </c>
      <c r="J53" t="inlineStr"/>
    </row>
    <row r="54">
      <c r="A54" t="inlineStr">
        <is>
          <t>p26_matriarch_sec_autocannon_30</t>
        </is>
      </c>
      <c r="B54" t="n">
        <v>88.00352014080562</v>
      </c>
      <c r="C54" t="n">
        <v>2.4999</v>
      </c>
      <c r="D54" t="b">
        <v>0</v>
      </c>
      <c r="E54" t="b">
        <v>1</v>
      </c>
      <c r="F54" t="n">
        <v>1</v>
      </c>
      <c r="G54" t="n">
        <v>0.6</v>
      </c>
      <c r="H54" t="n">
        <v>0</v>
      </c>
      <c r="I54" t="inlineStr">
        <is>
          <t>01_chien_dau/Vu_khi_suy_ra (id p26_matriarch_sec_autocannon_30)</t>
        </is>
      </c>
      <c r="J54" t="inlineStr"/>
    </row>
    <row r="55">
      <c r="A55" t="inlineStr">
        <is>
          <t>p26_matriarch_tiny_mothership_cannon</t>
        </is>
      </c>
      <c r="B55" t="n">
        <v>111.8881118881119</v>
      </c>
      <c r="C55" t="n">
        <v>4.29</v>
      </c>
      <c r="D55" t="b">
        <v>0</v>
      </c>
      <c r="E55" t="b">
        <v>1</v>
      </c>
      <c r="F55" t="n">
        <v>1</v>
      </c>
      <c r="G55" t="n">
        <v>1.5</v>
      </c>
      <c r="H55" t="n">
        <v>0</v>
      </c>
      <c r="I55" t="inlineStr">
        <is>
          <t>01_chien_dau/Vu_khi_suy_ra (id p26_matriarch_tiny_mothership_cannon)</t>
        </is>
      </c>
      <c r="J55" t="inlineStr"/>
    </row>
    <row r="56">
      <c r="A56" t="inlineStr">
        <is>
          <t>p26_moloch_close_boss_flak</t>
        </is>
      </c>
      <c r="B56" t="n">
        <v>190.5204460966543</v>
      </c>
      <c r="C56" t="n">
        <v>5.38</v>
      </c>
      <c r="D56" t="b">
        <v>0</v>
      </c>
      <c r="E56" t="b">
        <v>1</v>
      </c>
      <c r="F56" t="n">
        <v>0.5</v>
      </c>
      <c r="G56" t="n">
        <v>0.1</v>
      </c>
      <c r="H56" t="n">
        <v>0</v>
      </c>
      <c r="I56" t="inlineStr">
        <is>
          <t>01_chien_dau/Vu_khi_suy_ra (id p26_moloch_close_boss_flak)</t>
        </is>
      </c>
      <c r="J56" t="inlineStr"/>
    </row>
    <row r="57">
      <c r="A57" t="inlineStr">
        <is>
          <t>p26_moloch_direct_mo120ap</t>
        </is>
      </c>
      <c r="B57" t="n">
        <v>69.33333333333333</v>
      </c>
      <c r="C57" t="n">
        <v>7.5</v>
      </c>
      <c r="D57" t="b">
        <v>0</v>
      </c>
      <c r="E57" t="b">
        <v>1</v>
      </c>
      <c r="F57" t="n">
        <v>1</v>
      </c>
      <c r="G57" t="n">
        <v>0.6</v>
      </c>
      <c r="H57" t="n">
        <v>0</v>
      </c>
      <c r="I57" t="inlineStr">
        <is>
          <t>01_chien_dau/Vu_khi_suy_ra (id p26_moloch_direct_mo120ap)</t>
        </is>
      </c>
      <c r="J57" t="inlineStr"/>
    </row>
    <row r="58">
      <c r="A58" t="inlineStr">
        <is>
          <t>p26_moloch_main_mo120</t>
        </is>
      </c>
      <c r="B58" t="n">
        <v>90.66666666666667</v>
      </c>
      <c r="C58" t="n">
        <v>7.5</v>
      </c>
      <c r="D58" t="b">
        <v>0</v>
      </c>
      <c r="E58" t="b">
        <v>1</v>
      </c>
      <c r="F58" t="n">
        <v>1</v>
      </c>
      <c r="G58" t="n">
        <v>1.5</v>
      </c>
      <c r="H58" t="n">
        <v>0</v>
      </c>
      <c r="I58" t="inlineStr">
        <is>
          <t>01_chien_dau/Vu_khi_suy_ra (id p26_moloch_main_mo120)</t>
        </is>
      </c>
      <c r="J58" t="inlineStr"/>
    </row>
    <row r="59">
      <c r="A59" t="inlineStr">
        <is>
          <t>p26_moloch_tiny_zu23</t>
        </is>
      </c>
      <c r="B59" t="n">
        <v>70.56451612903226</v>
      </c>
      <c r="C59" t="n">
        <v>4.96</v>
      </c>
      <c r="D59" t="b">
        <v>0</v>
      </c>
      <c r="E59" t="b">
        <v>1</v>
      </c>
      <c r="F59" t="n">
        <v>0.5</v>
      </c>
      <c r="G59" t="n">
        <v>0.1</v>
      </c>
      <c r="H59" t="n">
        <v>0</v>
      </c>
      <c r="I59" t="inlineStr">
        <is>
          <t>01_chien_dau/Vu_khi_suy_ra (id p26_moloch_tiny_zu23)</t>
        </is>
      </c>
      <c r="J59" t="inlineStr"/>
    </row>
    <row r="60">
      <c r="A60" t="inlineStr">
        <is>
          <t>p26_nemesis_close_boss_flak</t>
        </is>
      </c>
      <c r="B60" t="n">
        <v>190.5204460966543</v>
      </c>
      <c r="C60" t="n">
        <v>5.38</v>
      </c>
      <c r="D60" t="b">
        <v>0</v>
      </c>
      <c r="E60" t="b">
        <v>1</v>
      </c>
      <c r="F60" t="n">
        <v>0.5</v>
      </c>
      <c r="G60" t="n">
        <v>0.1</v>
      </c>
      <c r="H60" t="n">
        <v>0</v>
      </c>
      <c r="I60" t="inlineStr">
        <is>
          <t>01_chien_dau/Vu_khi_suy_ra (id p26_nemesis_close_boss_flak)</t>
        </is>
      </c>
      <c r="J60" t="inlineStr"/>
    </row>
    <row r="61">
      <c r="A61" t="inlineStr">
        <is>
          <t>p26_nemesis_direct_ne125</t>
        </is>
      </c>
      <c r="B61" t="n">
        <v>53.33333333333334</v>
      </c>
      <c r="C61" t="n">
        <v>7.5</v>
      </c>
      <c r="D61" t="b">
        <v>0</v>
      </c>
      <c r="E61" t="b">
        <v>1</v>
      </c>
      <c r="F61" t="n">
        <v>1</v>
      </c>
      <c r="G61" t="n">
        <v>0.6</v>
      </c>
      <c r="H61" t="n">
        <v>0</v>
      </c>
      <c r="I61" t="inlineStr">
        <is>
          <t>01_chien_dau/Vu_khi_suy_ra (id p26_nemesis_direct_ne125)</t>
        </is>
      </c>
      <c r="J61" t="inlineStr"/>
    </row>
    <row r="62">
      <c r="A62" t="inlineStr">
        <is>
          <t>p26_nemesis_main_ne152</t>
        </is>
      </c>
      <c r="B62" t="n">
        <v>80</v>
      </c>
      <c r="C62" t="n">
        <v>7.5</v>
      </c>
      <c r="D62" t="b">
        <v>0</v>
      </c>
      <c r="E62" t="b">
        <v>1</v>
      </c>
      <c r="F62" t="n">
        <v>1</v>
      </c>
      <c r="G62" t="n">
        <v>1.5</v>
      </c>
      <c r="H62" t="n">
        <v>0</v>
      </c>
      <c r="I62" t="inlineStr">
        <is>
          <t>01_chien_dau/Vu_khi_suy_ra (id p26_nemesis_main_ne152)</t>
        </is>
      </c>
      <c r="J62" t="inlineStr"/>
    </row>
    <row r="63">
      <c r="A63" t="inlineStr">
        <is>
          <t>p26_nemesis_sec_boss_rockets</t>
        </is>
      </c>
      <c r="B63" t="n">
        <v>364.6308113035551</v>
      </c>
      <c r="C63" t="n">
        <v>21.94</v>
      </c>
      <c r="D63" t="b">
        <v>0</v>
      </c>
      <c r="E63" t="b">
        <v>1</v>
      </c>
      <c r="F63" t="n">
        <v>1</v>
      </c>
      <c r="G63" t="n">
        <v>1.5</v>
      </c>
      <c r="H63" t="n">
        <v>0</v>
      </c>
      <c r="I63" t="inlineStr">
        <is>
          <t>01_chien_dau/Vu_khi_suy_ra (id p26_nemesis_sec_boss_rockets)</t>
        </is>
      </c>
      <c r="J63" t="inlineStr"/>
    </row>
    <row r="64">
      <c r="A64" t="inlineStr">
        <is>
          <t>p26_roc_close_twin_30_bmpt</t>
        </is>
      </c>
      <c r="B64" t="n">
        <v>111.5665807378608</v>
      </c>
      <c r="C64" t="n">
        <v>2.3663</v>
      </c>
      <c r="D64" t="b">
        <v>0</v>
      </c>
      <c r="E64" t="b">
        <v>1</v>
      </c>
      <c r="F64" t="n">
        <v>1</v>
      </c>
      <c r="G64" t="n">
        <v>0.6</v>
      </c>
      <c r="H64" t="n">
        <v>0</v>
      </c>
      <c r="I64" t="inlineStr">
        <is>
          <t>01_chien_dau/Vu_khi_suy_ra (id p26_roc_close_twin_30_bmpt)</t>
        </is>
      </c>
      <c r="J64" t="inlineStr"/>
    </row>
    <row r="65">
      <c r="A65" t="inlineStr">
        <is>
          <t>p26_roc_direct_roc_atgm</t>
        </is>
      </c>
      <c r="B65" t="n">
        <v>23</v>
      </c>
      <c r="C65" t="n">
        <v>20</v>
      </c>
      <c r="D65" t="b">
        <v>0</v>
      </c>
      <c r="E65" t="b">
        <v>1</v>
      </c>
      <c r="F65" t="n">
        <v>1</v>
      </c>
      <c r="G65" t="n">
        <v>0.6</v>
      </c>
      <c r="H65" t="n">
        <v>0</v>
      </c>
      <c r="I65" t="inlineStr">
        <is>
          <t>01_chien_dau/Vu_khi_suy_ra (id p26_roc_direct_roc_atgm)</t>
        </is>
      </c>
      <c r="J65" t="inlineStr"/>
    </row>
    <row r="66">
      <c r="A66" t="inlineStr">
        <is>
          <t>p26_roc_main_roc_bombs</t>
        </is>
      </c>
      <c r="B66" t="n">
        <v>158.0135440180587</v>
      </c>
      <c r="C66" t="n">
        <v>35.44</v>
      </c>
      <c r="D66" t="b">
        <v>1</v>
      </c>
      <c r="E66" t="b">
        <v>1</v>
      </c>
      <c r="F66" t="n">
        <v>1</v>
      </c>
      <c r="G66" t="n">
        <v>1.5</v>
      </c>
      <c r="H66" t="n">
        <v>2.722222222222222</v>
      </c>
      <c r="I66" t="inlineStr">
        <is>
          <t>01_chien_dau/Vu_khi_suy_ra (id p26_roc_main_roc_bombs)</t>
        </is>
      </c>
      <c r="J66" t="inlineStr"/>
    </row>
    <row r="67">
      <c r="A67" t="inlineStr">
        <is>
          <t>p26_roc_roc105</t>
        </is>
      </c>
      <c r="B67" t="n">
        <v>50</v>
      </c>
      <c r="C67" t="n">
        <v>6</v>
      </c>
      <c r="D67" t="b">
        <v>0</v>
      </c>
      <c r="E67" t="b">
        <v>1</v>
      </c>
      <c r="F67" t="n">
        <v>1</v>
      </c>
      <c r="G67" t="n">
        <v>1.5</v>
      </c>
      <c r="H67" t="n">
        <v>0</v>
      </c>
      <c r="I67" t="inlineStr">
        <is>
          <t>01_chien_dau/Vu_khi_suy_ra (id p26_roc_roc105)</t>
        </is>
      </c>
      <c r="J67" t="inlineStr"/>
    </row>
    <row r="68">
      <c r="A68" t="inlineStr">
        <is>
          <t>p26_typhon_direct_ty100</t>
        </is>
      </c>
      <c r="B68" t="n">
        <v>171.4285714285714</v>
      </c>
      <c r="C68" t="n">
        <v>3.5</v>
      </c>
      <c r="D68" t="b">
        <v>0</v>
      </c>
      <c r="E68" t="b">
        <v>1</v>
      </c>
      <c r="F68" t="n">
        <v>1</v>
      </c>
      <c r="G68" t="n">
        <v>1.5</v>
      </c>
      <c r="H68" t="n">
        <v>0</v>
      </c>
      <c r="I68" t="inlineStr">
        <is>
          <t>01_chien_dau/Vu_khi_suy_ra (id p26_typhon_direct_ty100)</t>
        </is>
      </c>
      <c r="J68" t="inlineStr"/>
    </row>
    <row r="69">
      <c r="A69" t="inlineStr">
        <is>
          <t>p26_typhon_sec_ty57</t>
        </is>
      </c>
      <c r="B69" t="n">
        <v>223.7762237762238</v>
      </c>
      <c r="C69" t="n">
        <v>4.29</v>
      </c>
      <c r="D69" t="b">
        <v>0</v>
      </c>
      <c r="E69" t="b">
        <v>1</v>
      </c>
      <c r="F69" t="n">
        <v>1</v>
      </c>
      <c r="G69" t="n">
        <v>1.5</v>
      </c>
      <c r="H69" t="n">
        <v>0</v>
      </c>
      <c r="I69" t="inlineStr">
        <is>
          <t>01_chien_dau/Vu_khi_suy_ra (id p26_typhon_sec_ty57)</t>
        </is>
      </c>
      <c r="J69" t="inlineStr"/>
    </row>
    <row r="70">
      <c r="A70" t="inlineStr">
        <is>
          <t>pt14_co_203</t>
        </is>
      </c>
      <c r="B70" t="n">
        <v>85.71428571428571</v>
      </c>
      <c r="C70" t="n">
        <v>21</v>
      </c>
      <c r="D70" t="b">
        <v>0</v>
      </c>
      <c r="E70" t="b">
        <v>1</v>
      </c>
      <c r="F70" t="n">
        <v>1</v>
      </c>
      <c r="G70" t="n">
        <v>1.5</v>
      </c>
      <c r="H70" t="n">
        <v>2.5</v>
      </c>
      <c r="I70" t="inlineStr">
        <is>
          <t>01_chien_dau/Vu_khi_suy_ra (id pt14_co_203)</t>
        </is>
      </c>
      <c r="J70" t="inlineStr"/>
    </row>
    <row r="71">
      <c r="A71" t="inlineStr">
        <is>
          <t>pt14_co_spike</t>
        </is>
      </c>
      <c r="B71" t="n">
        <v>46.875</v>
      </c>
      <c r="C71" t="n">
        <v>12.8</v>
      </c>
      <c r="D71" t="b">
        <v>0</v>
      </c>
      <c r="E71" t="b">
        <v>1</v>
      </c>
      <c r="F71" t="n">
        <v>1</v>
      </c>
      <c r="G71" t="n">
        <v>0.6</v>
      </c>
      <c r="H71" t="n">
        <v>0</v>
      </c>
      <c r="I71" t="inlineStr">
        <is>
          <t>01_chien_dau/Vu_khi_suy_ra (id pt14_co_spike)</t>
        </is>
      </c>
      <c r="J71" t="inlineStr"/>
    </row>
    <row r="72">
      <c r="A72" t="inlineStr">
        <is>
          <t>pt14_co_v76</t>
        </is>
      </c>
      <c r="B72" t="n">
        <v>117.0731707317073</v>
      </c>
      <c r="C72" t="n">
        <v>4.1</v>
      </c>
      <c r="D72" t="b">
        <v>0</v>
      </c>
      <c r="E72" t="b">
        <v>1</v>
      </c>
      <c r="F72" t="n">
        <v>1</v>
      </c>
      <c r="G72" t="n">
        <v>1.5</v>
      </c>
      <c r="H72" t="n">
        <v>0</v>
      </c>
      <c r="I72" t="inlineStr">
        <is>
          <t>01_chien_dau/Vu_khi_suy_ra (id pt14_co_v76)</t>
        </is>
      </c>
      <c r="J72" t="inlineStr"/>
    </row>
    <row r="73">
      <c r="A73" t="inlineStr">
        <is>
          <t>pt14_dd_v25</t>
        </is>
      </c>
      <c r="B73" t="n">
        <v>73.68421052631578</v>
      </c>
      <c r="C73" t="n">
        <v>2.85</v>
      </c>
      <c r="D73" t="b">
        <v>0</v>
      </c>
      <c r="E73" t="b">
        <v>1</v>
      </c>
      <c r="F73" t="n">
        <v>1</v>
      </c>
      <c r="G73" t="n">
        <v>0.6</v>
      </c>
      <c r="H73" t="n">
        <v>0</v>
      </c>
      <c r="I73" t="inlineStr">
        <is>
          <t>01_chien_dau/Vu_khi_suy_ra (id pt14_dd_v25)</t>
        </is>
      </c>
      <c r="J73" t="inlineStr"/>
    </row>
    <row r="74">
      <c r="A74" t="inlineStr">
        <is>
          <t>pt14_dd_v57</t>
        </is>
      </c>
      <c r="B74" t="n">
        <v>223.7762237762238</v>
      </c>
      <c r="C74" t="n">
        <v>4.29</v>
      </c>
      <c r="D74" t="b">
        <v>0</v>
      </c>
      <c r="E74" t="b">
        <v>1</v>
      </c>
      <c r="F74" t="n">
        <v>1</v>
      </c>
      <c r="G74" t="n">
        <v>1.5</v>
      </c>
      <c r="H74" t="n">
        <v>0</v>
      </c>
      <c r="I74" t="inlineStr">
        <is>
          <t>01_chien_dau/Vu_khi_suy_ra (id pt14_dd_v57)</t>
        </is>
      </c>
      <c r="J74" t="inlineStr"/>
    </row>
    <row r="75">
      <c r="A75" t="inlineStr">
        <is>
          <t>pt14_hp_155</t>
        </is>
      </c>
      <c r="B75" t="n">
        <v>86.33093525179856</v>
      </c>
      <c r="C75" t="n">
        <v>13.9</v>
      </c>
      <c r="D75" t="b">
        <v>0</v>
      </c>
      <c r="E75" t="b">
        <v>1</v>
      </c>
      <c r="F75" t="n">
        <v>1</v>
      </c>
      <c r="G75" t="n">
        <v>1.5</v>
      </c>
      <c r="H75" t="n">
        <v>0</v>
      </c>
      <c r="I75" t="inlineStr">
        <is>
          <t>01_chien_dau/Vu_khi_suy_ra (id pt14_hp_155)</t>
        </is>
      </c>
      <c r="J75" t="inlineStr"/>
    </row>
    <row r="76">
      <c r="A76" t="inlineStr">
        <is>
          <t>pt14_hp_nsm</t>
        </is>
      </c>
      <c r="B76" t="n">
        <v>52.05479452054794</v>
      </c>
      <c r="C76" t="n">
        <v>14.6</v>
      </c>
      <c r="D76" t="b">
        <v>0</v>
      </c>
      <c r="E76" t="b">
        <v>1</v>
      </c>
      <c r="F76" t="n">
        <v>1</v>
      </c>
      <c r="G76" t="n">
        <v>1.5</v>
      </c>
      <c r="H76" t="n">
        <v>2.5</v>
      </c>
      <c r="I76" t="inlineStr">
        <is>
          <t>01_chien_dau/Vu_khi_suy_ra (id pt14_hp_nsm)</t>
        </is>
      </c>
      <c r="J76" t="inlineStr"/>
    </row>
    <row r="77">
      <c r="A77" t="inlineStr">
        <is>
          <t>pt14_hp_v127</t>
        </is>
      </c>
      <c r="B77" t="n">
        <v>152</v>
      </c>
      <c r="C77" t="n">
        <v>5</v>
      </c>
      <c r="D77" t="b">
        <v>0</v>
      </c>
      <c r="E77" t="b">
        <v>1</v>
      </c>
      <c r="F77" t="n">
        <v>1</v>
      </c>
      <c r="G77" t="n">
        <v>1.5</v>
      </c>
      <c r="H77" t="n">
        <v>0</v>
      </c>
      <c r="I77" t="inlineStr">
        <is>
          <t>01_chien_dau/Vu_khi_suy_ra (id pt14_hp_v127)</t>
        </is>
      </c>
      <c r="J77" t="inlineStr"/>
    </row>
    <row r="78">
      <c r="A78" t="inlineStr">
        <is>
          <t>pt14_hp_vlaser</t>
        </is>
      </c>
      <c r="B78" t="n">
        <v>160</v>
      </c>
      <c r="C78" t="n">
        <v>0.1</v>
      </c>
      <c r="D78" t="b">
        <v>0</v>
      </c>
      <c r="E78" t="b">
        <v>1</v>
      </c>
      <c r="F78" t="n">
        <v>1</v>
      </c>
      <c r="G78" t="n">
        <v>0.5</v>
      </c>
      <c r="H78" t="n">
        <v>0</v>
      </c>
      <c r="I78" t="inlineStr">
        <is>
          <t>01_chien_dau/Vu_khi_suy_ra (id pt14_hp_vlaser)</t>
        </is>
      </c>
      <c r="J78" t="inlineStr"/>
    </row>
    <row r="79">
      <c r="A79" t="inlineStr">
        <is>
          <t>pt14_ixion_30</t>
        </is>
      </c>
      <c r="B79" t="n">
        <v>41.14360520840638</v>
      </c>
      <c r="C79" t="n">
        <v>4.2777</v>
      </c>
      <c r="D79" t="b">
        <v>0</v>
      </c>
      <c r="E79" t="b">
        <v>1</v>
      </c>
      <c r="F79" t="n">
        <v>1</v>
      </c>
      <c r="G79" t="n">
        <v>0.6</v>
      </c>
      <c r="H79" t="n">
        <v>0</v>
      </c>
      <c r="I79" t="inlineStr">
        <is>
          <t>01_chien_dau/Vu_khi_suy_ra (id pt14_ixion_30)</t>
        </is>
      </c>
      <c r="J79" t="inlineStr"/>
    </row>
    <row r="80">
      <c r="A80" t="inlineStr">
        <is>
          <t>pt14_ixion_grad</t>
        </is>
      </c>
      <c r="B80" t="n">
        <v>17.37020316027088</v>
      </c>
      <c r="C80" t="n">
        <v>24</v>
      </c>
      <c r="D80" t="b">
        <v>1</v>
      </c>
      <c r="E80" t="b">
        <v>1</v>
      </c>
      <c r="F80" t="n">
        <v>1</v>
      </c>
      <c r="G80" t="n">
        <v>1.5</v>
      </c>
      <c r="H80" t="n">
        <v>0</v>
      </c>
      <c r="I80" t="inlineStr">
        <is>
          <t>01_chien_dau/Vu_khi_suy_ra (id pt14_ixion_grad)</t>
        </is>
      </c>
      <c r="J80" t="inlineStr"/>
    </row>
    <row r="81">
      <c r="A81" t="inlineStr">
        <is>
          <t>pt14_ixion_kornet</t>
        </is>
      </c>
      <c r="B81" t="n">
        <v>19.16666666666667</v>
      </c>
      <c r="C81" t="n">
        <v>12</v>
      </c>
      <c r="D81" t="b">
        <v>0</v>
      </c>
      <c r="E81" t="b">
        <v>1</v>
      </c>
      <c r="F81" t="n">
        <v>1</v>
      </c>
      <c r="G81" t="n">
        <v>0.6</v>
      </c>
      <c r="H81" t="n">
        <v>0</v>
      </c>
      <c r="I81" t="inlineStr">
        <is>
          <t>01_chien_dau/Vu_khi_suy_ra (id pt14_ixion_kornet)</t>
        </is>
      </c>
      <c r="J81" t="inlineStr"/>
    </row>
    <row r="82">
      <c r="A82" t="inlineStr">
        <is>
          <t>pt14_mk0_v40</t>
        </is>
      </c>
      <c r="B82" t="n">
        <v>55.81395348837209</v>
      </c>
      <c r="C82" t="n">
        <v>4.300000000000001</v>
      </c>
      <c r="D82" t="b">
        <v>0</v>
      </c>
      <c r="E82" t="b">
        <v>1</v>
      </c>
      <c r="F82" t="n">
        <v>1</v>
      </c>
      <c r="G82" t="n">
        <v>0.6</v>
      </c>
      <c r="H82" t="n">
        <v>0</v>
      </c>
      <c r="I82" t="inlineStr">
        <is>
          <t>01_chien_dau/Vu_khi_suy_ra (id pt14_mk0_v40)</t>
        </is>
      </c>
      <c r="J82" t="inlineStr"/>
    </row>
    <row r="83">
      <c r="A83" t="inlineStr">
        <is>
          <t>pt14_sb_v30</t>
        </is>
      </c>
      <c r="B83" t="n">
        <v>67.69230769230769</v>
      </c>
      <c r="C83" t="n">
        <v>2.6</v>
      </c>
      <c r="D83" t="b">
        <v>0</v>
      </c>
      <c r="E83" t="b">
        <v>1</v>
      </c>
      <c r="F83" t="n">
        <v>1</v>
      </c>
      <c r="G83" t="n">
        <v>0.6</v>
      </c>
      <c r="H83" t="n">
        <v>0</v>
      </c>
      <c r="I83" t="inlineStr">
        <is>
          <t>01_chien_dau/Vu_khi_suy_ra (id pt14_sb_v30)</t>
        </is>
      </c>
      <c r="J83" t="inlineStr"/>
    </row>
    <row r="84">
      <c r="A84" t="inlineStr">
        <is>
          <t>pt14_sb_v105</t>
        </is>
      </c>
      <c r="B84" t="n">
        <v>50</v>
      </c>
      <c r="C84" t="n">
        <v>6</v>
      </c>
      <c r="D84" t="b">
        <v>0</v>
      </c>
      <c r="E84" t="b">
        <v>1</v>
      </c>
      <c r="F84" t="n">
        <v>1</v>
      </c>
      <c r="G84" t="n">
        <v>1.5</v>
      </c>
      <c r="H84" t="n">
        <v>0</v>
      </c>
      <c r="I84" t="inlineStr">
        <is>
          <t>01_chien_dau/Vu_khi_suy_ra (id pt14_sb_v105)</t>
        </is>
      </c>
      <c r="J84" t="inlineStr"/>
    </row>
    <row r="85">
      <c r="A85" t="inlineStr">
        <is>
          <t>pt14_th_jagm</t>
        </is>
      </c>
      <c r="B85" t="n">
        <v>56.8421052631579</v>
      </c>
      <c r="C85" t="n">
        <v>9.5</v>
      </c>
      <c r="D85" t="b">
        <v>0</v>
      </c>
      <c r="E85" t="b">
        <v>1</v>
      </c>
      <c r="F85" t="n">
        <v>1</v>
      </c>
      <c r="G85" t="n">
        <v>0.6</v>
      </c>
      <c r="H85" t="n">
        <v>0</v>
      </c>
      <c r="I85" t="inlineStr">
        <is>
          <t>01_chien_dau/Vu_khi_suy_ra (id pt14_th_jagm)</t>
        </is>
      </c>
      <c r="J85" t="inlineStr"/>
    </row>
    <row r="86">
      <c r="A86" t="inlineStr">
        <is>
          <t>pt14_th_pd</t>
        </is>
      </c>
      <c r="B86" t="n">
        <v>89.95502248875563</v>
      </c>
      <c r="C86" t="n">
        <v>0.0667</v>
      </c>
      <c r="D86" t="b">
        <v>0</v>
      </c>
      <c r="E86" t="b">
        <v>0</v>
      </c>
      <c r="F86" t="n">
        <v>1</v>
      </c>
      <c r="G86" t="n">
        <v>0.5</v>
      </c>
      <c r="H86" t="n">
        <v>0</v>
      </c>
      <c r="I86" t="inlineStr">
        <is>
          <t>01_chien_dau/Vu_khi_suy_ra (id pt14_th_pd)</t>
        </is>
      </c>
      <c r="J86" t="inlineStr"/>
    </row>
    <row r="87">
      <c r="A87" t="inlineStr">
        <is>
          <t>pt14_th_v35</t>
        </is>
      </c>
      <c r="B87" t="n">
        <v>72.07207207207207</v>
      </c>
      <c r="C87" t="n">
        <v>5.55</v>
      </c>
      <c r="D87" t="b">
        <v>0</v>
      </c>
      <c r="E87" t="b">
        <v>1</v>
      </c>
      <c r="F87" t="n">
        <v>0.5</v>
      </c>
      <c r="G87" t="n">
        <v>0.1</v>
      </c>
      <c r="H87" t="n">
        <v>0</v>
      </c>
      <c r="I87" t="inlineStr">
        <is>
          <t>01_chien_dau/Vu_khi_suy_ra (id pt14_th_v35)</t>
        </is>
      </c>
      <c r="J87" t="inlineStr"/>
    </row>
    <row r="88">
      <c r="A88" t="inlineStr">
        <is>
          <t>pt14_train_grad</t>
        </is>
      </c>
      <c r="B88" t="n">
        <v>308.0568720379147</v>
      </c>
      <c r="C88" t="n">
        <v>8.44</v>
      </c>
      <c r="D88" t="b">
        <v>0</v>
      </c>
      <c r="E88" t="b">
        <v>1</v>
      </c>
      <c r="F88" t="n">
        <v>1</v>
      </c>
      <c r="G88" t="n">
        <v>1.5</v>
      </c>
      <c r="H88" t="n">
        <v>0</v>
      </c>
      <c r="I88" t="inlineStr">
        <is>
          <t>01_chien_dau/Vu_khi_suy_ra (id pt14_train_grad)</t>
        </is>
      </c>
      <c r="J88" t="inlineStr"/>
    </row>
    <row r="89">
      <c r="A89" t="inlineStr">
        <is>
          <t>sam_battery</t>
        </is>
      </c>
      <c r="B89" t="n">
        <v>61.81818181818182</v>
      </c>
      <c r="C89" t="n">
        <v>11</v>
      </c>
      <c r="D89" t="b">
        <v>1</v>
      </c>
      <c r="E89" t="b">
        <v>0</v>
      </c>
      <c r="F89" t="n">
        <v>0.5</v>
      </c>
      <c r="G89" t="n">
        <v>0.1</v>
      </c>
      <c r="H89" t="n">
        <v>0</v>
      </c>
      <c r="I89" t="inlineStr">
        <is>
          <t>01_chien_dau/Vu_khi_suy_ra (id sam_battery)</t>
        </is>
      </c>
      <c r="J89" t="inlineStr"/>
    </row>
    <row r="90">
      <c r="A90" t="inlineStr">
        <is>
          <t>sam_post</t>
        </is>
      </c>
      <c r="B90" t="n">
        <v>145.4545454545454</v>
      </c>
      <c r="C90" t="n">
        <v>4.4</v>
      </c>
      <c r="D90" t="b">
        <v>0</v>
      </c>
      <c r="E90" t="b">
        <v>0</v>
      </c>
      <c r="F90" t="n">
        <v>0.5</v>
      </c>
      <c r="G90" t="n">
        <v>0.1</v>
      </c>
      <c r="H90" t="n">
        <v>0</v>
      </c>
      <c r="I90" t="inlineStr">
        <is>
          <t>01_chien_dau/Vu_khi_suy_ra (id sam_post)</t>
        </is>
      </c>
      <c r="J90" t="inlineStr"/>
    </row>
    <row r="91">
      <c r="A91" t="inlineStr">
        <is>
          <t>scylla_2m7</t>
        </is>
      </c>
      <c r="B91" t="n">
        <v>88.88888888888889</v>
      </c>
      <c r="C91" t="n">
        <v>4.95</v>
      </c>
      <c r="D91" t="b">
        <v>0</v>
      </c>
      <c r="E91" t="b">
        <v>0</v>
      </c>
      <c r="F91" t="n">
        <v>1</v>
      </c>
      <c r="G91" t="n">
        <v>0.6</v>
      </c>
      <c r="H91" t="n">
        <v>0</v>
      </c>
      <c r="I91" t="inlineStr">
        <is>
          <t>01_chien_dau/Vu_khi_suy_ra (id scylla_2m7)</t>
        </is>
      </c>
      <c r="J91" t="inlineStr"/>
    </row>
    <row r="92">
      <c r="A92" t="inlineStr">
        <is>
          <t>scylla_ak230</t>
        </is>
      </c>
      <c r="B92" t="n">
        <v>120.6030150753769</v>
      </c>
      <c r="C92" t="n">
        <v>3.98</v>
      </c>
      <c r="D92" t="b">
        <v>0</v>
      </c>
      <c r="E92" t="b">
        <v>0</v>
      </c>
      <c r="F92" t="n">
        <v>0.5</v>
      </c>
      <c r="G92" t="n">
        <v>0.1</v>
      </c>
      <c r="H92" t="n">
        <v>0</v>
      </c>
      <c r="I92" t="inlineStr">
        <is>
          <t>01_chien_dau/Vu_khi_suy_ra (id scylla_ak230)</t>
        </is>
      </c>
      <c r="J92" t="inlineStr"/>
    </row>
    <row r="93">
      <c r="A93" t="inlineStr">
        <is>
          <t>scylla_kh35</t>
        </is>
      </c>
      <c r="B93" t="n">
        <v>20.26431718061674</v>
      </c>
      <c r="C93" t="n">
        <v>22.7</v>
      </c>
      <c r="D93" t="b">
        <v>0</v>
      </c>
      <c r="E93" t="b">
        <v>1</v>
      </c>
      <c r="F93" t="n">
        <v>1</v>
      </c>
      <c r="G93" t="n">
        <v>1.5</v>
      </c>
      <c r="H93" t="n">
        <v>2.5</v>
      </c>
      <c r="I93" t="inlineStr">
        <is>
          <t>01_chien_dau/Vu_khi_suy_ra (id scylla_kh35)</t>
        </is>
      </c>
      <c r="J93" t="inlineStr"/>
    </row>
    <row r="94">
      <c r="A94" t="inlineStr">
        <is>
          <t>train_gun</t>
        </is>
      </c>
      <c r="B94" t="n">
        <v>75</v>
      </c>
      <c r="C94" t="n">
        <v>8</v>
      </c>
      <c r="D94" t="b">
        <v>0</v>
      </c>
      <c r="E94" t="b">
        <v>1</v>
      </c>
      <c r="F94" t="n">
        <v>1</v>
      </c>
      <c r="G94" t="n">
        <v>0.6</v>
      </c>
      <c r="H94" t="n">
        <v>0</v>
      </c>
      <c r="I94" t="inlineStr">
        <is>
          <t>01_chien_dau/Vu_khi_suy_ra (id train_gun)</t>
        </is>
      </c>
      <c r="J94" t="inlineStr"/>
    </row>
  </sheetData>
  <autoFilter ref="A1:J94"/>
  <pageMargins left="0.75" right="0.75" top="1" bottom="1" header="0.5" footer="0.5"/>
</worksheet>
</file>

<file path=xl/worksheets/sheet3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1" customWidth="1" min="3" max="3"/>
    <col width="10" customWidth="1" min="4" max="4"/>
  </cols>
  <sheetData>
    <row r="1">
      <c r="A1" s="1" t="inlineStr">
        <is>
          <t>id</t>
        </is>
      </c>
      <c r="B1" s="1" t="inlineStr">
        <is>
          <t>he_so</t>
        </is>
      </c>
      <c r="C1" s="1" t="inlineStr">
        <is>
          <t>nguon</t>
        </is>
      </c>
      <c r="D1" s="1" t="inlineStr">
        <is>
          <t>raw_json</t>
        </is>
      </c>
    </row>
    <row r="2">
      <c r="A2" t="inlineStr">
        <is>
          <t>buoc_0</t>
        </is>
      </c>
      <c r="B2" t="n">
        <v>1.2</v>
      </c>
      <c r="C2" t="inlineStr">
        <is>
          <t>01_chien_dau/Bang_xuyen_giap (id buoc_0)</t>
        </is>
      </c>
      <c r="D2" t="inlineStr"/>
    </row>
    <row r="3">
      <c r="A3" t="inlineStr">
        <is>
          <t>buoc_1</t>
        </is>
      </c>
      <c r="B3" t="n">
        <v>1</v>
      </c>
      <c r="C3" t="inlineStr">
        <is>
          <t>01_chien_dau/Bang_xuyen_giap (id buoc_1)</t>
        </is>
      </c>
      <c r="D3" t="inlineStr"/>
    </row>
    <row r="4">
      <c r="A4" t="inlineStr">
        <is>
          <t>buoc_2</t>
        </is>
      </c>
      <c r="B4" t="n">
        <v>0.85</v>
      </c>
      <c r="C4" t="inlineStr">
        <is>
          <t>01_chien_dau/Bang_xuyen_giap (id buoc_2)</t>
        </is>
      </c>
      <c r="D4" t="inlineStr"/>
    </row>
    <row r="5">
      <c r="A5" t="inlineStr">
        <is>
          <t>buoc_3</t>
        </is>
      </c>
      <c r="B5" t="n">
        <v>0.5</v>
      </c>
      <c r="C5" t="inlineStr">
        <is>
          <t>01_chien_dau/Bang_xuyen_giap (id buoc_3)</t>
        </is>
      </c>
      <c r="D5" t="inlineStr"/>
    </row>
    <row r="6">
      <c r="A6" t="inlineStr">
        <is>
          <t>buoc_4</t>
        </is>
      </c>
      <c r="B6" t="n">
        <v>0.25</v>
      </c>
      <c r="C6" t="inlineStr">
        <is>
          <t>01_chien_dau/Bang_xuyen_giap (id buoc_4)</t>
        </is>
      </c>
      <c r="D6" t="inlineStr"/>
    </row>
    <row r="7">
      <c r="A7" t="inlineStr">
        <is>
          <t>buoc_5</t>
        </is>
      </c>
      <c r="B7" t="n">
        <v>0.1</v>
      </c>
      <c r="C7" t="inlineStr">
        <is>
          <t>01_chien_dau/Bang_xuyen_giap (id buoc_5)</t>
        </is>
      </c>
      <c r="D7" t="inlineStr"/>
    </row>
  </sheetData>
  <autoFilter ref="A1:D7"/>
  <pageMargins left="0.75" right="0.75" top="1" bottom="1" header="0.5" footer="0.5"/>
</worksheet>
</file>

<file path=xl/worksheets/sheet3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21" customWidth="1" min="2" max="2"/>
    <col width="19" customWidth="1" min="3" max="3"/>
    <col width="12" customWidth="1" min="4" max="4"/>
    <col width="10" customWidth="1" min="5" max="5"/>
    <col width="12" customWidth="1" min="6" max="6"/>
    <col width="12" customWidth="1" min="7" max="7"/>
    <col width="49" customWidth="1" min="8" max="8"/>
    <col width="10" customWidth="1" min="9" max="9"/>
  </cols>
  <sheetData>
    <row r="1">
      <c r="A1" s="1" t="inlineStr">
        <is>
          <t>id</t>
        </is>
      </c>
      <c r="B1" s="1" t="inlineStr">
        <is>
          <t>ten_vi_spec</t>
        </is>
      </c>
      <c r="C1" s="1" t="inlineStr">
        <is>
          <t>mau_trong_tran_hp</t>
        </is>
      </c>
      <c r="D1" s="1" t="inlineStr">
        <is>
          <t>giap_truoc</t>
        </is>
      </c>
      <c r="E1" s="1" t="inlineStr">
        <is>
          <t>giap_noc</t>
        </is>
      </c>
      <c r="F1" s="1" t="inlineStr">
        <is>
          <t>cong_trinh</t>
        </is>
      </c>
      <c r="G1" s="1" t="inlineStr">
        <is>
          <t>toc_do_m_s</t>
        </is>
      </c>
      <c r="H1" s="1" t="inlineStr">
        <is>
          <t>nguon</t>
        </is>
      </c>
      <c r="I1" s="1" t="inlineStr">
        <is>
          <t>raw_json</t>
        </is>
      </c>
    </row>
    <row r="2">
      <c r="A2" t="inlineStr">
        <is>
          <t>armored_car</t>
        </is>
      </c>
      <c r="B2" t="inlineStr">
        <is>
          <t>Xe bọc thép bánh lốp</t>
        </is>
      </c>
      <c r="C2" t="n">
        <v>660</v>
      </c>
      <c r="D2" t="n">
        <v>1</v>
      </c>
      <c r="E2" t="n">
        <v>0</v>
      </c>
      <c r="F2" t="b">
        <v>0</v>
      </c>
      <c r="G2" t="n">
        <v>11.5</v>
      </c>
      <c r="H2" t="inlineStr">
        <is>
          <t>01_chien_dau/Xe_tham_chieu (id armored_car)</t>
        </is>
      </c>
      <c r="I2" t="inlineStr"/>
    </row>
    <row r="3">
      <c r="A3" t="inlineStr">
        <is>
          <t>gun_turret</t>
        </is>
      </c>
      <c r="B3" t="inlineStr">
        <is>
          <t>Tháp vừa (pháo)</t>
        </is>
      </c>
      <c r="C3" t="n">
        <v>3960</v>
      </c>
      <c r="D3" t="n">
        <v>3</v>
      </c>
      <c r="E3" t="n">
        <v>3</v>
      </c>
      <c r="F3" t="b">
        <v>1</v>
      </c>
      <c r="G3" t="n">
        <v>0</v>
      </c>
      <c r="H3" t="inlineStr">
        <is>
          <t>01_chien_dau/Xe_tham_chieu (id gun_turret)</t>
        </is>
      </c>
      <c r="I3" t="inlineStr"/>
    </row>
    <row r="4">
      <c r="A4" t="inlineStr">
        <is>
          <t>heavy_tank</t>
        </is>
      </c>
      <c r="B4" t="inlineStr">
        <is>
          <t>Tăng hạng nặng</t>
        </is>
      </c>
      <c r="C4" t="n">
        <v>4470.4</v>
      </c>
      <c r="D4" t="n">
        <v>4</v>
      </c>
      <c r="E4" t="n">
        <v>2</v>
      </c>
      <c r="F4" t="b">
        <v>0</v>
      </c>
      <c r="G4" t="n">
        <v>4.2</v>
      </c>
      <c r="H4" t="inlineStr">
        <is>
          <t>01_chien_dau/Xe_tham_chieu (id heavy_tank)</t>
        </is>
      </c>
      <c r="I4" t="inlineStr"/>
    </row>
    <row r="5">
      <c r="A5" t="inlineStr">
        <is>
          <t>ifv</t>
        </is>
      </c>
      <c r="B5" t="inlineStr">
        <is>
          <t>Xe chiến đấu bộ binh</t>
        </is>
      </c>
      <c r="C5" t="n">
        <v>1370.6</v>
      </c>
      <c r="D5" t="n">
        <v>2</v>
      </c>
      <c r="E5" t="n">
        <v>0</v>
      </c>
      <c r="F5" t="b">
        <v>0</v>
      </c>
      <c r="G5" t="n">
        <v>8</v>
      </c>
      <c r="H5" t="inlineStr">
        <is>
          <t>01_chien_dau/Xe_tham_chieu (id ifv)</t>
        </is>
      </c>
      <c r="I5" t="inlineStr"/>
    </row>
    <row r="6">
      <c r="A6" t="inlineStr">
        <is>
          <t>main_battle_tank</t>
        </is>
      </c>
      <c r="B6" t="inlineStr">
        <is>
          <t>Tăng chủ lực</t>
        </is>
      </c>
      <c r="C6" t="n">
        <v>2310</v>
      </c>
      <c r="D6" t="n">
        <v>4</v>
      </c>
      <c r="E6" t="n">
        <v>1</v>
      </c>
      <c r="F6" t="b">
        <v>0</v>
      </c>
      <c r="G6" t="n">
        <v>6.5</v>
      </c>
      <c r="H6" t="inlineStr">
        <is>
          <t>01_chien_dau/Xe_tham_chieu (id main_battle_tank)</t>
        </is>
      </c>
      <c r="I6" t="inlineStr"/>
    </row>
  </sheetData>
  <autoFilter ref="A1:I6"/>
  <pageMargins left="0.75" right="0.75" top="1" bottom="1" header="0.5" footer="0.5"/>
</worksheet>
</file>

<file path=xl/worksheets/sheet37.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4" customWidth="1" min="2" max="2"/>
    <col width="21" customWidth="1" min="3" max="3"/>
    <col width="12" customWidth="1" min="4" max="4"/>
    <col width="8" customWidth="1" min="5" max="5"/>
    <col width="24" customWidth="1" min="6" max="6"/>
    <col width="60" customWidth="1" min="7" max="7"/>
    <col width="23" customWidth="1" min="8" max="8"/>
    <col width="51" customWidth="1" min="9" max="9"/>
    <col width="14" customWidth="1" min="10" max="10"/>
    <col width="60" customWidth="1" min="11" max="11"/>
    <col width="10" customWidth="1" min="12" max="12"/>
  </cols>
  <sheetData>
    <row r="1">
      <c r="A1" s="1" t="inlineStr">
        <is>
          <t>id</t>
        </is>
      </c>
      <c r="B1" s="1" t="inlineStr">
        <is>
          <t>he_so_vu_khi</t>
        </is>
      </c>
      <c r="C1" s="1" t="inlineStr">
        <is>
          <t>he_so_sat_thuong_ra</t>
        </is>
      </c>
      <c r="D1" s="1" t="inlineStr">
        <is>
          <t>he_so_hang</t>
        </is>
      </c>
      <c r="E1" s="1" t="inlineStr">
        <is>
          <t>so_be</t>
        </is>
      </c>
      <c r="F1" s="1" t="inlineStr">
        <is>
          <t>tong_dps_duy_tri_truoc</t>
        </is>
      </c>
      <c r="G1" s="1" t="inlineStr">
        <is>
          <t>tong_dps_duy_tri</t>
        </is>
      </c>
      <c r="H1" s="1" t="inlineStr">
        <is>
          <t>tong_dps_duy_tri_game</t>
        </is>
      </c>
      <c r="I1" s="1" t="inlineStr">
        <is>
          <t>ty_le_sau_truoc</t>
        </is>
      </c>
      <c r="J1" s="1" t="inlineStr">
        <is>
          <t>cach_bu</t>
        </is>
      </c>
      <c r="K1" s="1" t="inlineStr">
        <is>
          <t>nguon</t>
        </is>
      </c>
      <c r="L1" s="1" t="inlineStr">
        <is>
          <t>raw_json</t>
        </is>
      </c>
    </row>
    <row r="2">
      <c r="A2" t="inlineStr">
        <is>
          <t>argus</t>
        </is>
      </c>
      <c r="B2" t="n">
        <v>1.44</v>
      </c>
      <c r="C2" t="n">
        <v>1.7892</v>
      </c>
      <c r="D2" t="n">
        <v>1.2</v>
      </c>
      <c r="E2" t="n">
        <v>2</v>
      </c>
      <c r="F2" t="n">
        <v>910.2222222222223</v>
      </c>
      <c r="G2">
        <f>SUM(Boss_vu_khi!$S$2,Boss_vu_khi!$S$3)</f>
        <v/>
      </c>
      <c r="H2" t="n">
        <v>814.2273589164784</v>
      </c>
      <c r="I2">
        <f>IF(ISNUMBER($F$2),IF($F$2&gt;0,$G$2/$F$2,""),"")</f>
        <v/>
      </c>
      <c r="J2" t="inlineStr">
        <is>
          <t>KHONG_AP_DUNG</t>
        </is>
      </c>
      <c r="K2" t="inlineStr">
        <is>
          <t>Assets/MachineBrigade/Resources/Data/balance.json: vehicles[id=argus] dựng bởi Tools/balance/p26_ab.expand</t>
        </is>
      </c>
      <c r="L2" t="inlineStr"/>
    </row>
    <row r="3">
      <c r="A3" t="inlineStr">
        <is>
          <t>armored_train</t>
        </is>
      </c>
      <c r="B3" t="n">
        <v>1.859</v>
      </c>
      <c r="C3" t="n">
        <v>0.8319</v>
      </c>
      <c r="D3" t="n">
        <v>1.2</v>
      </c>
      <c r="E3" t="n">
        <v>6</v>
      </c>
      <c r="F3" t="n">
        <v>1227.756535231018</v>
      </c>
      <c r="G3">
        <f>SUM(Boss_vu_khi!$S$4,Boss_vu_khi!$S$5,Boss_vu_khi!$S$6,Boss_vu_khi!$S$7,Boss_vu_khi!$S$8,Boss_vu_khi!$S$9)</f>
        <v/>
      </c>
      <c r="H3" t="n">
        <v>1472.785778546959</v>
      </c>
      <c r="I3">
        <f>IF(ISNUMBER($F$3),IF($F$3&gt;0,$G$3/$F$3,""),"")</f>
        <v/>
      </c>
      <c r="J3" t="inlineStr">
        <is>
          <t>KHONG_AP_DUNG</t>
        </is>
      </c>
      <c r="K3" t="inlineStr">
        <is>
          <t>Assets/MachineBrigade/Resources/Data/balance.json: vehicles[id=armored_train] dựng bởi Tools/balance/p26_ab.expand</t>
        </is>
      </c>
      <c r="L3" t="inlineStr"/>
    </row>
    <row r="4">
      <c r="A4" t="inlineStr">
        <is>
          <t>bastion_mk0</t>
        </is>
      </c>
      <c r="B4" t="n">
        <v>1.51</v>
      </c>
      <c r="C4" t="n">
        <v>1.4708</v>
      </c>
      <c r="D4" t="n">
        <v>1.2</v>
      </c>
      <c r="E4" t="n">
        <v>3</v>
      </c>
      <c r="F4" t="n">
        <v>360.89</v>
      </c>
      <c r="G4">
        <f>SUM(Boss_vu_khi!$S$10,Boss_vu_khi!$S$11,Boss_vu_khi!$S$12)</f>
        <v/>
      </c>
      <c r="H4" t="n">
        <v>288.6319582945737</v>
      </c>
      <c r="I4">
        <f>IF(ISNUMBER($F$4),IF($F$4&gt;0,$G$4/$F$4,""),"")</f>
        <v/>
      </c>
      <c r="J4" t="inlineStr">
        <is>
          <t>KHONG_AP_DUNG</t>
        </is>
      </c>
      <c r="K4" t="inlineStr">
        <is>
          <t>Assets/MachineBrigade/Resources/Data/balance.json: vehicles[id=bastion_mk0] dựng bởi Tools/balance/p26_ab.expand</t>
        </is>
      </c>
      <c r="L4" t="inlineStr"/>
    </row>
    <row r="5">
      <c r="A5" t="inlineStr">
        <is>
          <t>behemoth</t>
        </is>
      </c>
      <c r="B5" t="n">
        <v>1</v>
      </c>
      <c r="C5" t="n">
        <v>1</v>
      </c>
      <c r="D5" t="n">
        <v>1.4</v>
      </c>
      <c r="E5" t="n">
        <v>10</v>
      </c>
      <c r="F5" t="n">
        <v>1012.426848115339</v>
      </c>
      <c r="G5">
        <f>SUM(Boss_vu_khi!$S$13,Boss_vu_khi!$S$14,Boss_vu_khi!$S$15,Boss_vu_khi!$S$16,Boss_vu_khi!$S$17,Boss_vu_khi!$S$18,Boss_vu_khi!$S$19,Boss_vu_khi!$S$20,Boss_vu_khi!$S$21,Boss_vu_khi!$S$22)</f>
        <v/>
      </c>
      <c r="H5" t="n">
        <v>1099.346666568676</v>
      </c>
      <c r="I5">
        <f>IF(ISNUMBER($F$5),IF($F$5&gt;0,$G$5/$F$5,""),"")</f>
        <v/>
      </c>
      <c r="J5" t="inlineStr">
        <is>
          <t>KHONG_AP_DUNG</t>
        </is>
      </c>
      <c r="K5" t="inlineStr">
        <is>
          <t>Assets/MachineBrigade/Resources/Data/balance.json: vehicles[id=behemoth] dựng bởi Tools/balance/p26_ab.expand</t>
        </is>
      </c>
      <c r="L5" t="inlineStr"/>
    </row>
    <row r="6">
      <c r="A6" t="inlineStr">
        <is>
          <t>behemoth_inferno</t>
        </is>
      </c>
      <c r="B6" t="n">
        <v>1.962</v>
      </c>
      <c r="C6" t="n">
        <v>1</v>
      </c>
      <c r="D6" t="n">
        <v>1.2</v>
      </c>
      <c r="E6" t="n">
        <v>3</v>
      </c>
      <c r="F6" t="n">
        <v>552.3849250535332</v>
      </c>
      <c r="G6">
        <f>SUM(Boss_vu_khi!$S$23,Boss_vu_khi!$S$24,Boss_vu_khi!$S$25)</f>
        <v/>
      </c>
      <c r="H6" t="n">
        <v>562.1576978417265</v>
      </c>
      <c r="I6">
        <f>IF(ISNUMBER($F$6),IF($F$6&gt;0,$G$6/$F$6,""),"")</f>
        <v/>
      </c>
      <c r="J6" t="inlineStr">
        <is>
          <t>KHONG_AP_DUNG</t>
        </is>
      </c>
      <c r="K6" t="inlineStr">
        <is>
          <t>Assets/MachineBrigade/Resources/Data/balance.json: vehicles[id=behemoth_inferno] dựng bởi Tools/balance/p26_ab.expand</t>
        </is>
      </c>
      <c r="L6" t="inlineStr"/>
    </row>
    <row r="7">
      <c r="A7" t="inlineStr">
        <is>
          <t>behemoth_mk0</t>
        </is>
      </c>
      <c r="B7" t="n">
        <v>0.884</v>
      </c>
      <c r="C7" t="n">
        <v>1</v>
      </c>
      <c r="D7" t="n">
        <v>1.2</v>
      </c>
      <c r="E7" t="n">
        <v>4</v>
      </c>
      <c r="F7" t="n">
        <v>647.8679999999999</v>
      </c>
      <c r="G7">
        <f>SUM(Boss_vu_khi!$S$26,Boss_vu_khi!$S$27,Boss_vu_khi!$S$28,Boss_vu_khi!$S$29)</f>
        <v/>
      </c>
      <c r="H7" t="n">
        <v>563.0441464722239</v>
      </c>
      <c r="I7">
        <f>IF(ISNUMBER($F$7),IF($F$7&gt;0,$G$7/$F$7,""),"")</f>
        <v/>
      </c>
      <c r="J7" t="inlineStr">
        <is>
          <t>KHONG_AP_DUNG</t>
        </is>
      </c>
      <c r="K7" t="inlineStr">
        <is>
          <t>Assets/MachineBrigade/Resources/Data/balance.json: vehicles[id=behemoth_mk0] dựng bởi Tools/balance/p26_ab.expand</t>
        </is>
      </c>
      <c r="L7" t="inlineStr"/>
    </row>
    <row r="8">
      <c r="A8" t="inlineStr">
        <is>
          <t>behemoth_mk2</t>
        </is>
      </c>
      <c r="B8" t="n">
        <v>1.928</v>
      </c>
      <c r="C8" t="n">
        <v>1</v>
      </c>
      <c r="D8" t="n">
        <v>1.2</v>
      </c>
      <c r="E8" t="n">
        <v>3</v>
      </c>
      <c r="F8" t="n">
        <v>1096.773977695167</v>
      </c>
      <c r="G8">
        <f>SUM(Boss_vu_khi!$S$30,Boss_vu_khi!$S$31,Boss_vu_khi!$S$32)</f>
        <v/>
      </c>
      <c r="H8" t="n">
        <v>992.2860383669616</v>
      </c>
      <c r="I8">
        <f>IF(ISNUMBER($F$8),IF($F$8&gt;0,$G$8/$F$8,""),"")</f>
        <v/>
      </c>
      <c r="J8" t="inlineStr">
        <is>
          <t>KHONG_AP_DUNG</t>
        </is>
      </c>
      <c r="K8" t="inlineStr">
        <is>
          <t>Assets/MachineBrigade/Resources/Data/balance.json: vehicles[id=behemoth_mk2] dựng bởi Tools/balance/p26_ab.expand</t>
        </is>
      </c>
      <c r="L8" t="inlineStr"/>
    </row>
    <row r="9">
      <c r="A9" t="inlineStr">
        <is>
          <t>behemoth_tempest</t>
        </is>
      </c>
      <c r="B9" t="n">
        <v>1.74</v>
      </c>
      <c r="C9" t="n">
        <v>1</v>
      </c>
      <c r="D9" t="n">
        <v>1.2</v>
      </c>
      <c r="E9" t="n">
        <v>3</v>
      </c>
      <c r="F9" t="n">
        <v>519.8567849686848</v>
      </c>
      <c r="G9">
        <f>SUM(Boss_vu_khi!$S$33,Boss_vu_khi!$S$34,Boss_vu_khi!$S$35)</f>
        <v/>
      </c>
      <c r="H9" t="n">
        <v>519.8567849686848</v>
      </c>
      <c r="I9">
        <f>IF(ISNUMBER($F$9),IF($F$9&gt;0,$G$9/$F$9,""),"")</f>
        <v/>
      </c>
      <c r="J9" t="inlineStr">
        <is>
          <t>KHONG_AP_DUNG</t>
        </is>
      </c>
      <c r="K9" t="inlineStr">
        <is>
          <t>Assets/MachineBrigade/Resources/Data/balance.json: vehicles[id=behemoth_tempest] dựng bởi Tools/balance/p26_ab.expand</t>
        </is>
      </c>
      <c r="L9" t="inlineStr"/>
    </row>
    <row r="10">
      <c r="A10" t="inlineStr">
        <is>
          <t>coeus</t>
        </is>
      </c>
      <c r="B10" t="n">
        <v>1</v>
      </c>
      <c r="C10" t="n">
        <v>1</v>
      </c>
      <c r="D10" t="n">
        <v>1.2</v>
      </c>
      <c r="E10" t="n">
        <v>5</v>
      </c>
      <c r="F10" t="inlineStr"/>
      <c r="G10">
        <f>SUM(Boss_vu_khi!$S$36,Boss_vu_khi!$S$37,Boss_vu_khi!$S$38,Boss_vu_khi!$S$39,Boss_vu_khi!$S$40)</f>
        <v/>
      </c>
      <c r="H10" t="n">
        <v>413.6106271777003</v>
      </c>
      <c r="I10">
        <f>IF(ISNUMBER($F$10),IF($F$10&gt;0,$G$10/$F$10,""),"")</f>
        <v/>
      </c>
      <c r="J10" t="inlineStr">
        <is>
          <t>KHONG_AP_DUNG</t>
        </is>
      </c>
      <c r="K10" t="inlineStr">
        <is>
          <t>Assets/MachineBrigade/Resources/Data/balance.json: vehicles[id=coeus] dựng bởi Tools/balance/p26_ab.expand</t>
        </is>
      </c>
      <c r="L10" t="inlineStr"/>
    </row>
    <row r="11">
      <c r="A11" t="inlineStr">
        <is>
          <t>command_airship</t>
        </is>
      </c>
      <c r="B11" t="n">
        <v>1</v>
      </c>
      <c r="C11" t="n">
        <v>1.7892</v>
      </c>
      <c r="D11" t="n">
        <v>1.4</v>
      </c>
      <c r="E11" t="n">
        <v>8</v>
      </c>
      <c r="F11" t="n">
        <v>1847.612444967137</v>
      </c>
      <c r="G11">
        <f>SUM(Boss_vu_khi!$S$41,Boss_vu_khi!$S$42,Boss_vu_khi!$S$43,Boss_vu_khi!$S$44,Boss_vu_khi!$S$45,Boss_vu_khi!$S$46,Boss_vu_khi!$S$47,Boss_vu_khi!$S$48)</f>
        <v/>
      </c>
      <c r="H11" t="n">
        <v>1225.888718426582</v>
      </c>
      <c r="I11">
        <f>IF(ISNUMBER($F$11),IF($F$11&gt;0,$G$11/$F$11,""),"")</f>
        <v/>
      </c>
      <c r="J11" t="inlineStr">
        <is>
          <t>KHONG_AP_DUNG</t>
        </is>
      </c>
      <c r="K11" t="inlineStr">
        <is>
          <t>Assets/MachineBrigade/Resources/Data/balance.json: vehicles[id=command_airship] dựng bởi Tools/balance/p26_ab.expand</t>
        </is>
      </c>
      <c r="L11" t="inlineStr"/>
    </row>
    <row r="12">
      <c r="A12" t="inlineStr">
        <is>
          <t>daedalus</t>
        </is>
      </c>
      <c r="B12" t="n">
        <v>1</v>
      </c>
      <c r="C12" t="n">
        <v>1</v>
      </c>
      <c r="D12" t="n">
        <v>1.4</v>
      </c>
      <c r="E12" t="n">
        <v>6</v>
      </c>
      <c r="F12" t="n">
        <v>745.3846153846154</v>
      </c>
      <c r="G12">
        <f>SUM(Boss_vu_khi!$S$49,Boss_vu_khi!$S$50,Boss_vu_khi!$S$51,Boss_vu_khi!$S$52,Boss_vu_khi!$S$53,Boss_vu_khi!$S$54)</f>
        <v/>
      </c>
      <c r="H12" t="n">
        <v>924.9208686050792</v>
      </c>
      <c r="I12">
        <f>IF(ISNUMBER($F$12),IF($F$12&gt;0,$G$12/$F$12,""),"")</f>
        <v/>
      </c>
      <c r="J12" t="inlineStr">
        <is>
          <t>KHONG_AP_DUNG</t>
        </is>
      </c>
      <c r="K12" t="inlineStr">
        <is>
          <t>Assets/MachineBrigade/Resources/Data/balance.json: vehicles[id=daedalus] dựng bởi Tools/balance/p26_ab.expand</t>
        </is>
      </c>
      <c r="L12" t="inlineStr"/>
    </row>
    <row r="13">
      <c r="A13" t="inlineStr">
        <is>
          <t>drone_mothership</t>
        </is>
      </c>
      <c r="B13" t="n">
        <v>1</v>
      </c>
      <c r="C13" t="n">
        <v>1</v>
      </c>
      <c r="D13" t="n">
        <v>1.4</v>
      </c>
      <c r="E13" t="n">
        <v>9</v>
      </c>
      <c r="F13" t="n">
        <v>1302.719032109183</v>
      </c>
      <c r="G13">
        <f>SUM(Boss_vu_khi!$S$55,Boss_vu_khi!$S$56,Boss_vu_khi!$S$57,Boss_vu_khi!$S$58,Boss_vu_khi!$S$59,Boss_vu_khi!$S$60,Boss_vu_khi!$S$61,Boss_vu_khi!$S$62,Boss_vu_khi!$S$63)</f>
        <v/>
      </c>
      <c r="H13" t="n">
        <v>1187.824156251144</v>
      </c>
      <c r="I13">
        <f>IF(ISNUMBER($F$13),IF($F$13&gt;0,$G$13/$F$13,""),"")</f>
        <v/>
      </c>
      <c r="J13" t="inlineStr">
        <is>
          <t>KHONG_AP_DUNG</t>
        </is>
      </c>
      <c r="K13" t="inlineStr">
        <is>
          <t>Assets/MachineBrigade/Resources/Data/balance.json: vehicles[id=drone_mothership] dựng bởi Tools/balance/p26_ab.expand</t>
        </is>
      </c>
      <c r="L13" t="inlineStr"/>
    </row>
    <row r="14">
      <c r="A14" t="inlineStr">
        <is>
          <t>earth_borer</t>
        </is>
      </c>
      <c r="B14" t="n">
        <v>2.874</v>
      </c>
      <c r="C14" t="n">
        <v>1.0854</v>
      </c>
      <c r="D14" t="n">
        <v>1.2</v>
      </c>
      <c r="E14" t="n">
        <v>3</v>
      </c>
      <c r="F14" t="n">
        <v>829.7753846153846</v>
      </c>
      <c r="G14">
        <f>SUM(Boss_vu_khi!$S$64,Boss_vu_khi!$S$65,Boss_vu_khi!$S$66)</f>
        <v/>
      </c>
      <c r="H14" t="n">
        <v>665.4804479999999</v>
      </c>
      <c r="I14">
        <f>IF(ISNUMBER($F$14),IF($F$14&gt;0,$G$14/$F$14,""),"")</f>
        <v/>
      </c>
      <c r="J14" t="inlineStr">
        <is>
          <t>KHONG_AP_DUNG</t>
        </is>
      </c>
      <c r="K14" t="inlineStr">
        <is>
          <t>Assets/MachineBrigade/Resources/Data/balance.json: vehicles[id=earth_borer] dựng bởi Tools/balance/p26_ab.expand</t>
        </is>
      </c>
      <c r="L14" t="inlineStr"/>
    </row>
    <row r="15">
      <c r="A15" t="inlineStr">
        <is>
          <t>fenrir</t>
        </is>
      </c>
      <c r="B15" t="n">
        <v>2.222</v>
      </c>
      <c r="C15" t="n">
        <v>0.9508</v>
      </c>
      <c r="D15" t="n">
        <v>1.2</v>
      </c>
      <c r="E15" t="n">
        <v>3</v>
      </c>
      <c r="F15" t="n">
        <v>1062.467804253763</v>
      </c>
      <c r="G15">
        <f>SUM(Boss_vu_khi!$S$67,Boss_vu_khi!$S$68,Boss_vu_khi!$S$69)</f>
        <v/>
      </c>
      <c r="H15" t="n">
        <v>803.3324875060612</v>
      </c>
      <c r="I15">
        <f>IF(ISNUMBER($F$15),IF($F$15&gt;0,$G$15/$F$15,""),"")</f>
        <v/>
      </c>
      <c r="J15" t="inlineStr">
        <is>
          <t>KHONG_AP_DUNG</t>
        </is>
      </c>
      <c r="K15" t="inlineStr">
        <is>
          <t>Assets/MachineBrigade/Resources/Data/balance.json: vehicles[id=fenrir] dựng bởi Tools/balance/p26_ab.expand</t>
        </is>
      </c>
      <c r="L15" t="inlineStr"/>
    </row>
    <row r="16">
      <c r="A16" t="inlineStr">
        <is>
          <t>fortress_bastion</t>
        </is>
      </c>
      <c r="B16" t="n">
        <v>1</v>
      </c>
      <c r="C16" t="n">
        <v>1</v>
      </c>
      <c r="D16" t="n">
        <v>1.4</v>
      </c>
      <c r="E16" t="n">
        <v>11</v>
      </c>
      <c r="F16" t="n">
        <v>791.9280012397338</v>
      </c>
      <c r="G16">
        <f>SUM(Boss_vu_khi!$S$70,Boss_vu_khi!$S$71,Boss_vu_khi!$S$72,Boss_vu_khi!$S$73,Boss_vu_khi!$S$74,Boss_vu_khi!$S$75,Boss_vu_khi!$S$76,Boss_vu_khi!$S$77,Boss_vu_khi!$S$78,Boss_vu_khi!$S$79,Boss_vu_khi!$S$80)</f>
        <v/>
      </c>
      <c r="H16" t="n">
        <v>741.284662696313</v>
      </c>
      <c r="I16">
        <f>IF(ISNUMBER($F$16),IF($F$16&gt;0,$G$16/$F$16,""),"")</f>
        <v/>
      </c>
      <c r="J16" t="inlineStr">
        <is>
          <t>KHONG_AP_DUNG</t>
        </is>
      </c>
      <c r="K16" t="inlineStr">
        <is>
          <t>Assets/MachineBrigade/Resources/Data/balance.json: vehicles[id=fortress_bastion] dựng bởi Tools/balance/p26_ab.expand</t>
        </is>
      </c>
      <c r="L16" t="inlineStr"/>
    </row>
    <row r="17">
      <c r="A17" t="inlineStr">
        <is>
          <t>hydra</t>
        </is>
      </c>
      <c r="B17" t="n">
        <v>1.292</v>
      </c>
      <c r="C17" t="n">
        <v>1</v>
      </c>
      <c r="D17" t="n">
        <v>1.2</v>
      </c>
      <c r="E17" t="n">
        <v>3</v>
      </c>
      <c r="F17" t="n">
        <v>913.0133333333333</v>
      </c>
      <c r="G17">
        <f>SUM(Boss_vu_khi!$S$81,Boss_vu_khi!$S$82,Boss_vu_khi!$S$83)</f>
        <v/>
      </c>
      <c r="H17" t="n">
        <v>799.7234765234765</v>
      </c>
      <c r="I17">
        <f>IF(ISNUMBER($F$17),IF($F$17&gt;0,$G$17/$F$17,""),"")</f>
        <v/>
      </c>
      <c r="J17" t="inlineStr">
        <is>
          <t>KHONG_AP_DUNG</t>
        </is>
      </c>
      <c r="K17" t="inlineStr">
        <is>
          <t>Assets/MachineBrigade/Resources/Data/balance.json: vehicles[id=hydra] dựng bởi Tools/balance/p26_ab.expand</t>
        </is>
      </c>
      <c r="L17" t="inlineStr"/>
    </row>
    <row r="18">
      <c r="A18" t="inlineStr">
        <is>
          <t>hyperion</t>
        </is>
      </c>
      <c r="B18" t="n">
        <v>1.111</v>
      </c>
      <c r="C18" t="n">
        <v>1</v>
      </c>
      <c r="D18" t="n">
        <v>1.4</v>
      </c>
      <c r="E18" t="n">
        <v>9</v>
      </c>
      <c r="F18" t="n">
        <v>1466.52</v>
      </c>
      <c r="G18">
        <f>SUM(Boss_vu_khi!$S$84,Boss_vu_khi!$S$85,Boss_vu_khi!$S$86,Boss_vu_khi!$S$87,Boss_vu_khi!$S$88,Boss_vu_khi!$S$89,Boss_vu_khi!$S$90,Boss_vu_khi!$S$91,Boss_vu_khi!$S$92)</f>
        <v/>
      </c>
      <c r="H18" t="n">
        <v>1445.157091554154</v>
      </c>
      <c r="I18">
        <f>IF(ISNUMBER($F$18),IF($F$18&gt;0,$G$18/$F$18,""),"")</f>
        <v/>
      </c>
      <c r="J18" t="inlineStr">
        <is>
          <t>KHONG_AP_DUNG</t>
        </is>
      </c>
      <c r="K18" t="inlineStr">
        <is>
          <t>Assets/MachineBrigade/Resources/Data/balance.json: vehicles[id=hyperion] dựng bởi Tools/balance/p26_ab.expand</t>
        </is>
      </c>
      <c r="L18" t="inlineStr"/>
    </row>
    <row r="19">
      <c r="A19" t="inlineStr">
        <is>
          <t>icarus_mk0</t>
        </is>
      </c>
      <c r="B19" t="n">
        <v>2.275</v>
      </c>
      <c r="C19" t="n">
        <v>1</v>
      </c>
      <c r="D19" t="n">
        <v>1.2</v>
      </c>
      <c r="E19" t="n">
        <v>3</v>
      </c>
      <c r="F19" t="n">
        <v>910</v>
      </c>
      <c r="G19">
        <f>SUM(Boss_vu_khi!$S$93,Boss_vu_khi!$S$94,Boss_vu_khi!$S$95)</f>
        <v/>
      </c>
      <c r="H19" t="n">
        <v>1163.953488372093</v>
      </c>
      <c r="I19">
        <f>IF(ISNUMBER($F$19),IF($F$19&gt;0,$G$19/$F$19,""),"")</f>
        <v/>
      </c>
      <c r="J19" t="inlineStr">
        <is>
          <t>KHONG_AP_DUNG</t>
        </is>
      </c>
      <c r="K19" t="inlineStr">
        <is>
          <t>Assets/MachineBrigade/Resources/Data/balance.json: vehicles[id=icarus_mk0] dựng bởi Tools/balance/p26_ab.expand</t>
        </is>
      </c>
      <c r="L19" t="inlineStr"/>
    </row>
    <row r="20">
      <c r="A20" t="inlineStr">
        <is>
          <t>ixion</t>
        </is>
      </c>
      <c r="B20" t="n">
        <v>1</v>
      </c>
      <c r="C20" t="n">
        <v>1.7571</v>
      </c>
      <c r="D20" t="n">
        <v>1.4</v>
      </c>
      <c r="E20" t="n">
        <v>7</v>
      </c>
      <c r="F20" t="n">
        <v>615.0562640660164</v>
      </c>
      <c r="G20">
        <f>SUM(Boss_vu_khi!$S$96,Boss_vu_khi!$S$97,Boss_vu_khi!$S$98,Boss_vu_khi!$S$99,Boss_vu_khi!$S$100,Boss_vu_khi!$S$101,Boss_vu_khi!$S$102)</f>
        <v/>
      </c>
      <c r="H20" t="n">
        <v>661.815182807728</v>
      </c>
      <c r="I20">
        <f>IF(ISNUMBER($F$20),IF($F$20&gt;0,$G$20/$F$20,""),"")</f>
        <v/>
      </c>
      <c r="J20" t="inlineStr">
        <is>
          <t>KHONG_AP_DUNG</t>
        </is>
      </c>
      <c r="K20" t="inlineStr">
        <is>
          <t>Assets/MachineBrigade/Resources/Data/balance.json: vehicles[id=ixion] dựng bởi Tools/balance/p26_ab.expand</t>
        </is>
      </c>
      <c r="L20" t="inlineStr"/>
    </row>
    <row r="21">
      <c r="A21" t="inlineStr">
        <is>
          <t>kraken</t>
        </is>
      </c>
      <c r="B21" t="n">
        <v>2.318</v>
      </c>
      <c r="C21" t="n">
        <v>0.9678</v>
      </c>
      <c r="D21" t="n">
        <v>1.4</v>
      </c>
      <c r="E21" t="n">
        <v>16</v>
      </c>
      <c r="F21" t="n">
        <v>3176.156629195177</v>
      </c>
      <c r="G21">
        <f>SUM(Boss_vu_khi!$S$103,Boss_vu_khi!$S$104,Boss_vu_khi!$S$105,Boss_vu_khi!$S$106,Boss_vu_khi!$S$107,Boss_vu_khi!$S$108,Boss_vu_khi!$S$109,Boss_vu_khi!$S$110,Boss_vu_khi!$S$111,Boss_vu_khi!$S$112,Boss_vu_khi!$S$113,Boss_vu_khi!$S$114,Boss_vu_khi!$S$115,Boss_vu_khi!$S$116,Boss_vu_khi!$S$117,Boss_vu_khi!$S$118)</f>
        <v/>
      </c>
      <c r="H21" t="n">
        <v>3488.460948544616</v>
      </c>
      <c r="I21">
        <f>IF(ISNUMBER($F$21),IF($F$21&gt;0,$G$21/$F$21,""),"")</f>
        <v/>
      </c>
      <c r="J21" t="inlineStr">
        <is>
          <t>KHONG_AP_DUNG</t>
        </is>
      </c>
      <c r="K21" t="inlineStr">
        <is>
          <t>Assets/MachineBrigade/Resources/Data/balance.json: vehicles[id=kraken] dựng bởi Tools/balance/p26_ab.expand</t>
        </is>
      </c>
      <c r="L21" t="inlineStr"/>
    </row>
    <row r="22">
      <c r="A22" t="inlineStr">
        <is>
          <t>landing_hovercraft</t>
        </is>
      </c>
      <c r="B22" t="n">
        <v>4.303</v>
      </c>
      <c r="C22" t="n">
        <v>1</v>
      </c>
      <c r="D22" t="n">
        <v>1.2</v>
      </c>
      <c r="E22" t="n">
        <v>5</v>
      </c>
      <c r="F22" t="n">
        <v>1816.098159888733</v>
      </c>
      <c r="G22">
        <f>SUM(Boss_vu_khi!$S$119,Boss_vu_khi!$S$120,Boss_vu_khi!$S$121,Boss_vu_khi!$S$122,Boss_vu_khi!$S$123)</f>
        <v/>
      </c>
      <c r="H22" t="n">
        <v>1776.463441692275</v>
      </c>
      <c r="I22">
        <f>IF(ISNUMBER($F$22),IF($F$22&gt;0,$G$22/$F$22,""),"")</f>
        <v/>
      </c>
      <c r="J22" t="inlineStr">
        <is>
          <t>KHONG_AP_DUNG</t>
        </is>
      </c>
      <c r="K22" t="inlineStr">
        <is>
          <t>Assets/MachineBrigade/Resources/Data/balance.json: vehicles[id=landing_hovercraft] dựng bởi Tools/balance/p26_ab.expand</t>
        </is>
      </c>
      <c r="L22" t="inlineStr"/>
    </row>
    <row r="23">
      <c r="A23" t="inlineStr">
        <is>
          <t>leviathan</t>
        </is>
      </c>
      <c r="B23" t="n">
        <v>1</v>
      </c>
      <c r="C23" t="n">
        <v>0.9678</v>
      </c>
      <c r="D23" t="n">
        <v>1.4</v>
      </c>
      <c r="E23" t="n">
        <v>16</v>
      </c>
      <c r="F23" t="n">
        <v>1574.907950472467</v>
      </c>
      <c r="G23">
        <f>SUM(Boss_vu_khi!$S$124,Boss_vu_khi!$S$125,Boss_vu_khi!$S$126,Boss_vu_khi!$S$127,Boss_vu_khi!$S$128,Boss_vu_khi!$S$129,Boss_vu_khi!$S$130,Boss_vu_khi!$S$131,Boss_vu_khi!$S$132,Boss_vu_khi!$S$133,Boss_vu_khi!$S$134,Boss_vu_khi!$S$135,Boss_vu_khi!$S$136,Boss_vu_khi!$S$137,Boss_vu_khi!$S$138,Boss_vu_khi!$S$139)</f>
        <v/>
      </c>
      <c r="H23" t="n">
        <v>1703.046890657729</v>
      </c>
      <c r="I23">
        <f>IF(ISNUMBER($F$23),IF($F$23&gt;0,$G$23/$F$23,""),"")</f>
        <v/>
      </c>
      <c r="J23" t="inlineStr">
        <is>
          <t>KHONG_AP_DUNG</t>
        </is>
      </c>
      <c r="K23" t="inlineStr">
        <is>
          <t>Assets/MachineBrigade/Resources/Data/balance.json: vehicles[id=leviathan] dựng bởi Tools/balance/p26_ab.expand</t>
        </is>
      </c>
      <c r="L23" t="inlineStr"/>
    </row>
    <row r="24">
      <c r="A24" t="inlineStr">
        <is>
          <t>locust</t>
        </is>
      </c>
      <c r="B24" t="n">
        <v>1.297</v>
      </c>
      <c r="C24" t="n">
        <v>1</v>
      </c>
      <c r="D24" t="n">
        <v>1.2</v>
      </c>
      <c r="E24" t="n">
        <v>2</v>
      </c>
      <c r="F24" t="n">
        <v>715.5004163568773</v>
      </c>
      <c r="G24">
        <f>SUM(Boss_vu_khi!$S$140,Boss_vu_khi!$S$141)</f>
        <v/>
      </c>
      <c r="H24" t="n">
        <v>454.6250185873606</v>
      </c>
      <c r="I24">
        <f>IF(ISNUMBER($F$24),IF($F$24&gt;0,$G$24/$F$24,""),"")</f>
        <v/>
      </c>
      <c r="J24" t="inlineStr">
        <is>
          <t>KHONG_AP_DUNG</t>
        </is>
      </c>
      <c r="K24" t="inlineStr">
        <is>
          <t>Assets/MachineBrigade/Resources/Data/balance.json: vehicles[id=locust] dựng bởi Tools/balance/p26_ab.expand</t>
        </is>
      </c>
      <c r="L24" t="inlineStr"/>
    </row>
    <row r="25">
      <c r="A25" t="inlineStr">
        <is>
          <t>mega_gunship</t>
        </is>
      </c>
      <c r="B25" t="n">
        <v>2.496</v>
      </c>
      <c r="C25" t="n">
        <v>1</v>
      </c>
      <c r="D25" t="n">
        <v>1.2</v>
      </c>
      <c r="E25" t="n">
        <v>7</v>
      </c>
      <c r="F25" t="n">
        <v>1152.952159760783</v>
      </c>
      <c r="G25">
        <f>SUM(Boss_vu_khi!$S$142,Boss_vu_khi!$S$143,Boss_vu_khi!$S$144,Boss_vu_khi!$S$145,Boss_vu_khi!$S$146,Boss_vu_khi!$S$147,Boss_vu_khi!$S$148)</f>
        <v/>
      </c>
      <c r="H25" t="n">
        <v>1362.441978824276</v>
      </c>
      <c r="I25">
        <f>IF(ISNUMBER($F$25),IF($F$25&gt;0,$G$25/$F$25,""),"")</f>
        <v/>
      </c>
      <c r="J25" t="inlineStr">
        <is>
          <t>KHONG_AP_DUNG</t>
        </is>
      </c>
      <c r="K25" t="inlineStr">
        <is>
          <t>Assets/MachineBrigade/Resources/Data/balance.json: vehicles[id=mega_gunship] dựng bởi Tools/balance/p26_ab.expand</t>
        </is>
      </c>
      <c r="L25" t="inlineStr"/>
    </row>
    <row r="26">
      <c r="A26" t="inlineStr">
        <is>
          <t>mobile_fortress</t>
        </is>
      </c>
      <c r="B26" t="n">
        <v>1</v>
      </c>
      <c r="C26" t="n">
        <v>0.9508</v>
      </c>
      <c r="D26" t="n">
        <v>1.4</v>
      </c>
      <c r="E26" t="n">
        <v>9</v>
      </c>
      <c r="F26" t="n">
        <v>1227.073308676819</v>
      </c>
      <c r="G26">
        <f>SUM(Boss_vu_khi!$S$149,Boss_vu_khi!$S$150,Boss_vu_khi!$S$151,Boss_vu_khi!$S$152,Boss_vu_khi!$S$153,Boss_vu_khi!$S$154,Boss_vu_khi!$S$155,Boss_vu_khi!$S$156,Boss_vu_khi!$S$157)</f>
        <v/>
      </c>
      <c r="H26" t="n">
        <v>1282.830379151294</v>
      </c>
      <c r="I26">
        <f>IF(ISNUMBER($F$26),IF($F$26&gt;0,$G$26/$F$26,""),"")</f>
        <v/>
      </c>
      <c r="J26" t="inlineStr">
        <is>
          <t>KHONG_AP_DUNG</t>
        </is>
      </c>
      <c r="K26" t="inlineStr">
        <is>
          <t>Assets/MachineBrigade/Resources/Data/balance.json: vehicles[id=mobile_fortress] dựng bởi Tools/balance/p26_ab.expand</t>
        </is>
      </c>
      <c r="L26" t="inlineStr"/>
    </row>
    <row r="27">
      <c r="A27" t="inlineStr">
        <is>
          <t>moloch</t>
        </is>
      </c>
      <c r="B27" t="n">
        <v>1</v>
      </c>
      <c r="C27" t="n">
        <v>1.6957</v>
      </c>
      <c r="D27" t="n">
        <v>1.4</v>
      </c>
      <c r="E27" t="n">
        <v>7</v>
      </c>
      <c r="F27" t="n">
        <v>1381.457249070632</v>
      </c>
      <c r="G27">
        <f>SUM(Boss_vu_khi!$S$158,Boss_vu_khi!$S$159,Boss_vu_khi!$S$160,Boss_vu_khi!$S$161,Boss_vu_khi!$S$162,Boss_vu_khi!$S$163,Boss_vu_khi!$S$164)</f>
        <v/>
      </c>
      <c r="H27" t="n">
        <v>1105.002020446097</v>
      </c>
      <c r="I27">
        <f>IF(ISNUMBER($F$27),IF($F$27&gt;0,$G$27/$F$27,""),"")</f>
        <v/>
      </c>
      <c r="J27" t="inlineStr">
        <is>
          <t>KHONG_AP_DUNG</t>
        </is>
      </c>
      <c r="K27" t="inlineStr">
        <is>
          <t>Assets/MachineBrigade/Resources/Data/balance.json: vehicles[id=moloch] dựng bởi Tools/balance/p26_ab.expand</t>
        </is>
      </c>
      <c r="L27" t="inlineStr"/>
    </row>
    <row r="28">
      <c r="A28" t="inlineStr">
        <is>
          <t>monster</t>
        </is>
      </c>
      <c r="B28" t="n">
        <v>1.997</v>
      </c>
      <c r="C28" t="n">
        <v>1</v>
      </c>
      <c r="D28" t="n">
        <v>1.4</v>
      </c>
      <c r="E28" t="n">
        <v>11</v>
      </c>
      <c r="F28" t="n">
        <v>1581.480218475749</v>
      </c>
      <c r="G28">
        <f>SUM(Boss_vu_khi!$S$165,Boss_vu_khi!$S$166,Boss_vu_khi!$S$167,Boss_vu_khi!$S$168,Boss_vu_khi!$S$169,Boss_vu_khi!$S$170,Boss_vu_khi!$S$171,Boss_vu_khi!$S$172,Boss_vu_khi!$S$173,Boss_vu_khi!$S$174,Boss_vu_khi!$S$175)</f>
        <v/>
      </c>
      <c r="H28" t="n">
        <v>1480.345471404537</v>
      </c>
      <c r="I28">
        <f>IF(ISNUMBER($F$28),IF($F$28&gt;0,$G$28/$F$28,""),"")</f>
        <v/>
      </c>
      <c r="J28" t="inlineStr">
        <is>
          <t>KHONG_AP_DUNG</t>
        </is>
      </c>
      <c r="K28" t="inlineStr">
        <is>
          <t>Assets/MachineBrigade/Resources/Data/balance.json: vehicles[id=monster] dựng bởi Tools/balance/p26_ab.expand</t>
        </is>
      </c>
      <c r="L28" t="inlineStr"/>
    </row>
    <row r="29">
      <c r="A29" t="inlineStr">
        <is>
          <t>nuke_train</t>
        </is>
      </c>
      <c r="B29" t="n">
        <v>1</v>
      </c>
      <c r="C29" t="n">
        <v>1.3092</v>
      </c>
      <c r="D29" t="n">
        <v>1.4</v>
      </c>
      <c r="E29" t="n">
        <v>7</v>
      </c>
      <c r="F29" t="n">
        <v>1812.454798918553</v>
      </c>
      <c r="G29">
        <f>SUM(Boss_vu_khi!$S$176,Boss_vu_khi!$S$177,Boss_vu_khi!$S$178,Boss_vu_khi!$S$179,Boss_vu_khi!$S$180,Boss_vu_khi!$S$181,Boss_vu_khi!$S$182)</f>
        <v/>
      </c>
      <c r="H29" t="n">
        <v>1481.155125884197</v>
      </c>
      <c r="I29">
        <f>IF(ISNUMBER($F$29),IF($F$29&gt;0,$G$29/$F$29,""),"")</f>
        <v/>
      </c>
      <c r="J29" t="inlineStr">
        <is>
          <t>KHONG_AP_DUNG</t>
        </is>
      </c>
      <c r="K29" t="inlineStr">
        <is>
          <t>Assets/MachineBrigade/Resources/Data/balance.json: vehicles[id=nuke_train] dựng bởi Tools/balance/p26_ab.expand</t>
        </is>
      </c>
      <c r="L29" t="inlineStr"/>
    </row>
    <row r="30">
      <c r="A30" t="inlineStr">
        <is>
          <t>nyx</t>
        </is>
      </c>
      <c r="B30" t="n">
        <v>1.865</v>
      </c>
      <c r="C30" t="n">
        <v>0.8362000000000001</v>
      </c>
      <c r="D30" t="n">
        <v>1.2</v>
      </c>
      <c r="E30" t="n">
        <v>6</v>
      </c>
      <c r="F30" t="n">
        <v>445.5277777777777</v>
      </c>
      <c r="G30">
        <f>SUM(Boss_vu_khi!$S$183,Boss_vu_khi!$S$184,Boss_vu_khi!$S$185,Boss_vu_khi!$S$186,Boss_vu_khi!$S$187,Boss_vu_khi!$S$188)</f>
        <v/>
      </c>
      <c r="H30" t="n">
        <v>975.0776156744105</v>
      </c>
      <c r="I30">
        <f>IF(ISNUMBER($F$30),IF($F$30&gt;0,$G$30/$F$30,""),"")</f>
        <v/>
      </c>
      <c r="J30" t="inlineStr">
        <is>
          <t>KHONG_AP_DUNG</t>
        </is>
      </c>
      <c r="K30" t="inlineStr">
        <is>
          <t>Assets/MachineBrigade/Resources/Data/balance.json: vehicles[id=nyx] dựng bởi Tools/balance/p26_ab.expand</t>
        </is>
      </c>
      <c r="L30" t="inlineStr"/>
    </row>
    <row r="31">
      <c r="A31" t="inlineStr">
        <is>
          <t>scylla</t>
        </is>
      </c>
      <c r="B31" t="n">
        <v>2.195</v>
      </c>
      <c r="C31" t="n">
        <v>0.7389</v>
      </c>
      <c r="D31" t="n">
        <v>1.2</v>
      </c>
      <c r="E31" t="n">
        <v>8</v>
      </c>
      <c r="F31" t="n">
        <v>514.6055555555555</v>
      </c>
      <c r="G31">
        <f>SUM(Boss_vu_khi!$S$189,Boss_vu_khi!$S$190,Boss_vu_khi!$S$191,Boss_vu_khi!$S$192,Boss_vu_khi!$S$193,Boss_vu_khi!$S$194,Boss_vu_khi!$S$195,Boss_vu_khi!$S$196)</f>
        <v/>
      </c>
      <c r="H31" t="n">
        <v>1361.673785693459</v>
      </c>
      <c r="I31">
        <f>IF(ISNUMBER($F$31),IF($F$31&gt;0,$G$31/$F$31,""),"")</f>
        <v/>
      </c>
      <c r="J31" t="inlineStr">
        <is>
          <t>KHONG_AP_DUNG</t>
        </is>
      </c>
      <c r="K31" t="inlineStr">
        <is>
          <t>Assets/MachineBrigade/Resources/Data/balance.json: vehicles[id=scylla] dựng bởi Tools/balance/p26_ab.expand</t>
        </is>
      </c>
      <c r="L31" t="inlineStr"/>
    </row>
    <row r="32">
      <c r="A32" t="inlineStr">
        <is>
          <t>silver_bug</t>
        </is>
      </c>
      <c r="B32" t="n">
        <v>1</v>
      </c>
      <c r="C32" t="n">
        <v>1</v>
      </c>
      <c r="D32" t="n">
        <v>1.4</v>
      </c>
      <c r="E32" t="n">
        <v>11</v>
      </c>
      <c r="F32" t="n">
        <v>1638.181818181818</v>
      </c>
      <c r="G32">
        <f>SUM(Boss_vu_khi!$S$197,Boss_vu_khi!$S$198,Boss_vu_khi!$S$199,Boss_vu_khi!$S$200,Boss_vu_khi!$S$201,Boss_vu_khi!$S$202,Boss_vu_khi!$S$203,Boss_vu_khi!$S$204,Boss_vu_khi!$S$205,Boss_vu_khi!$S$206,Boss_vu_khi!$S$207)</f>
        <v/>
      </c>
      <c r="H32" t="n">
        <v>1736.10750695088</v>
      </c>
      <c r="I32">
        <f>IF(ISNUMBER($F$32),IF($F$32&gt;0,$G$32/$F$32,""),"")</f>
        <v/>
      </c>
      <c r="J32" t="inlineStr">
        <is>
          <t>KHONG_AP_DUNG</t>
        </is>
      </c>
      <c r="K32" t="inlineStr">
        <is>
          <t>Assets/MachineBrigade/Resources/Data/balance.json: vehicles[id=silver_bug] dựng bởi Tools/balance/p26_ab.expand</t>
        </is>
      </c>
      <c r="L32" t="inlineStr"/>
    </row>
    <row r="33">
      <c r="A33" t="inlineStr">
        <is>
          <t>theia</t>
        </is>
      </c>
      <c r="B33" t="n">
        <v>1</v>
      </c>
      <c r="C33" t="n">
        <v>1</v>
      </c>
      <c r="D33" t="n">
        <v>1.2</v>
      </c>
      <c r="E33" t="n">
        <v>8</v>
      </c>
      <c r="F33" t="inlineStr"/>
      <c r="G33">
        <f>SUM(Boss_vu_khi!$S$208,Boss_vu_khi!$S$209,Boss_vu_khi!$S$210,Boss_vu_khi!$S$211,Boss_vu_khi!$S$212,Boss_vu_khi!$S$213,Boss_vu_khi!$S$214,Boss_vu_khi!$S$215)</f>
        <v/>
      </c>
      <c r="H33" t="n">
        <v>1221.738399647971</v>
      </c>
      <c r="I33">
        <f>IF(ISNUMBER($F$33),IF($F$33&gt;0,$G$33/$F$33,""),"")</f>
        <v/>
      </c>
      <c r="J33" t="inlineStr">
        <is>
          <t>KHONG_AP_DUNG</t>
        </is>
      </c>
      <c r="K33" t="inlineStr">
        <is>
          <t>Assets/MachineBrigade/Resources/Data/balance.json: vehicles[id=theia] dựng bởi Tools/balance/p26_ab.expand</t>
        </is>
      </c>
      <c r="L33" t="inlineStr"/>
    </row>
    <row r="34">
      <c r="A34" t="inlineStr">
        <is>
          <t>typhon</t>
        </is>
      </c>
      <c r="B34" t="n">
        <v>1</v>
      </c>
      <c r="C34" t="n">
        <v>1</v>
      </c>
      <c r="D34" t="n">
        <v>1.4</v>
      </c>
      <c r="E34" t="n">
        <v>5</v>
      </c>
      <c r="F34" t="n">
        <v>852.121212121212</v>
      </c>
      <c r="G34">
        <f>SUM(Boss_vu_khi!$S$216,Boss_vu_khi!$S$217,Boss_vu_khi!$S$218,Boss_vu_khi!$S$219,Boss_vu_khi!$S$220)</f>
        <v/>
      </c>
      <c r="H34" t="n">
        <v>988.2117882117883</v>
      </c>
      <c r="I34">
        <f>IF(ISNUMBER($F$34),IF($F$34&gt;0,$G$34/$F$34,""),"")</f>
        <v/>
      </c>
      <c r="J34" t="inlineStr">
        <is>
          <t>KHONG_AP_DUNG</t>
        </is>
      </c>
      <c r="K34" t="inlineStr">
        <is>
          <t>Assets/MachineBrigade/Resources/Data/balance.json: vehicles[id=typhon] dựng bởi Tools/balance/p26_ab.expand</t>
        </is>
      </c>
      <c r="L34" t="inlineStr"/>
    </row>
  </sheetData>
  <autoFilter ref="A1:L34"/>
  <pageMargins left="0.75" right="0.75" top="1" bottom="1" header="0.5" footer="0.5"/>
</worksheet>
</file>

<file path=xl/worksheets/sheet38.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9" customWidth="1" min="2" max="2"/>
    <col width="37" customWidth="1" min="3" max="3"/>
    <col width="17" customWidth="1" min="4" max="4"/>
    <col width="60" customWidth="1" min="5" max="5"/>
    <col width="60" customWidth="1" min="6" max="6"/>
    <col width="18" customWidth="1" min="7" max="7"/>
    <col width="60" customWidth="1" min="8" max="8"/>
    <col width="25"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57" customWidth="1" min="18" max="18"/>
    <col width="60" customWidth="1" min="19" max="19"/>
    <col width="10" customWidth="1" min="20" max="20"/>
  </cols>
  <sheetData>
    <row r="1">
      <c r="A1" s="1" t="inlineStr">
        <is>
          <t>id</t>
        </is>
      </c>
      <c r="B1" s="1" t="inlineStr">
        <is>
          <t>boss_id</t>
        </is>
      </c>
      <c r="C1" s="1" t="inlineStr">
        <is>
          <t>vu_khi</t>
        </is>
      </c>
      <c r="D1" s="1" t="inlineStr">
        <is>
          <t>xe_tham_chieu</t>
        </is>
      </c>
      <c r="E1" s="1" t="inlineStr">
        <is>
          <t>giap_mat_trung</t>
        </is>
      </c>
      <c r="F1" s="1" t="inlineStr">
        <is>
          <t>he_so_trung</t>
        </is>
      </c>
      <c r="G1" s="1" t="inlineStr">
        <is>
          <t>he_so_trung_game</t>
        </is>
      </c>
      <c r="H1" s="1" t="inlineStr">
        <is>
          <t>sat_thuong_moi_don</t>
        </is>
      </c>
      <c r="I1" s="1" t="inlineStr">
        <is>
          <t>sat_thuong_moi_don_game</t>
        </is>
      </c>
      <c r="J1" s="1" t="inlineStr">
        <is>
          <t>so_don_de_ha</t>
        </is>
      </c>
      <c r="K1" s="1" t="inlineStr">
        <is>
          <t>thoi_gian_ha_s</t>
        </is>
      </c>
      <c r="L1" s="1" t="inlineStr">
        <is>
          <t>so_xe_trung_loi_hang</t>
        </is>
      </c>
      <c r="M1" s="1" t="inlineStr">
        <is>
          <t>so_xe_trung_ria_hang</t>
        </is>
      </c>
      <c r="N1" s="1" t="inlineStr">
        <is>
          <t>so_xe_trung_loi_cum</t>
        </is>
      </c>
      <c r="O1" s="1" t="inlineStr">
        <is>
          <t>so_xe_trung_ria_cum</t>
        </is>
      </c>
      <c r="P1" s="1" t="inlineStr">
        <is>
          <t>thoi_gian_canh_bao_s</t>
        </is>
      </c>
      <c r="Q1" s="1" t="inlineStr">
        <is>
          <t>thoi_gian_thoat_loi_s</t>
        </is>
      </c>
      <c r="R1" s="1" t="inlineStr">
        <is>
          <t>ket_luan</t>
        </is>
      </c>
      <c r="S1" s="1" t="inlineStr">
        <is>
          <t>nguon</t>
        </is>
      </c>
      <c r="T1" s="1" t="inlineStr">
        <is>
          <t>raw_json</t>
        </is>
      </c>
    </row>
    <row r="2">
      <c r="A2" t="inlineStr">
        <is>
          <t>argus/armored_car</t>
        </is>
      </c>
      <c r="B2" t="inlineStr">
        <is>
          <t>argus</t>
        </is>
      </c>
      <c r="C2" t="inlineStr">
        <is>
          <t>p26_roc_main_roc_bombs</t>
        </is>
      </c>
      <c r="D2" t="inlineStr">
        <is>
          <t>armored_car</t>
        </is>
      </c>
      <c r="E2">
        <f>IF(INDEX(boss_input_vu_khi_suy_ra!$D$2:$D$94,MATCH($C$2,boss_input_vu_khi_suy_ra!$A$2:$A$94,0)),INDEX(input_xe_tham_chieu!$E$2:$E$6,MATCH($D$2,input_xe_tham_chieu!$A$2:$A$6,0)),INDEX(input_xe_tham_chieu!$D$2:$D$6,MATCH($D$2,input_xe_tham_chieu!$A$2:$A$6,0)))</f>
        <v/>
      </c>
      <c r="F2">
        <f>IF(INDEX(boss_input_vu_khi_suy_ra!$E$2:$E$94,MATCH($C$2,boss_input_vu_khi_suy_ra!$A$2:$A$94,0)),INDEX(boss_input_bang_xuyen_giap!$B$2:$B$7,MIN(6,MAX(1,IF(INDEX(boss_input_vu_khi_suy_ra!$D$2:$D$94,MATCH($C$2,boss_input_vu_khi_suy_ra!$A$2:$A$94,0)),MAX(1,2-(INDEX(boss_input_vu_khi!$C$2:$C$94,MATCH($C$2,boss_input_vu_khi!$A$2:$A$94,0))-$E$2)),2-(INDEX(boss_input_vu_khi!$C$2:$C$94,MATCH($C$2,boss_input_vu_khi!$A$2:$A$94,0))-$E$2))+1)))*IF(INDEX(input_xe_tham_chieu!$F$2:$F$6,MATCH($D$2,input_xe_tham_chieu!$A$2:$A$6,0)),INDEX(boss_input_vu_khi_suy_ra!$G$2:$G$94,MATCH($C$2,boss_input_vu_khi_suy_ra!$A$2:$A$94,0)),INDEX(boss_input_vu_khi_suy_ra!$F$2:$F$94,MATCH($C$2,boss_input_vu_khi_suy_ra!$A$2:$A$94,0))),0)</f>
        <v/>
      </c>
      <c r="G2" t="n">
        <v>1</v>
      </c>
      <c r="H2">
        <f>INDEX(boss_input_vu_khi!$B$2:$B$94,MATCH($C$2,boss_input_vu_khi!$A$2:$A$94,0))*INDEX(Boss_dps!$D$2:$D$34,MATCH($B$2,Boss_dps!$A$2:$A$34,0))*IF(INDEX(boss_input_vu_khi!$D$2:$D$94,MATCH($C$2,boss_input_vu_khi!$A$2:$A$94,0)),1,INDEX(Boss_dps!$B$2:$B$34,MATCH($B$2,Boss_dps!$A$2:$A$34,0)))*INDEX(Boss_dps!$C$2:$C$34,MATCH($B$2,Boss_dps!$A$2:$A$34,0))*$F$2</f>
        <v/>
      </c>
      <c r="I2" t="n">
        <v>2164.21632</v>
      </c>
      <c r="J2">
        <f>IF($H$2&gt;0,CEILING(INDEX(input_xe_tham_chieu!$C$2:$C$6,MATCH($D$2,input_xe_tham_chieu!$A$2:$A$6,0))/$H$2,1),"")</f>
        <v/>
      </c>
      <c r="K2">
        <f>IF(Boss_vu_khi!$S$2*$F$2&gt;0,INDEX(input_xe_tham_chieu!$C$2:$C$6,MATCH($D$2,input_xe_tham_chieu!$A$2:$A$6,0))/(Boss_vu_khi!$S$2*INDEX(Boss_dps!$D$2:$D$34,MATCH($B$2,Boss_dps!$A$2:$A$34,0))*$F$2),"")</f>
        <v/>
      </c>
      <c r="L2">
        <f>1+2*MIN(2,FLOOR(INDEX(boss_input_vu_khi!$E$2:$E$94,MATCH($C$2,boss_input_vu_khi!$A$2:$A$94,0))/8,1))</f>
        <v/>
      </c>
      <c r="M2">
        <f>1+2*MIN(2,FLOOR(MAX(INDEX(boss_input_vu_khi!$E$2:$E$94,MATCH($C$2,boss_input_vu_khi!$A$2:$A$94,0)),Boss_vu_khi!$L$2)/8,1))</f>
        <v/>
      </c>
      <c r="N2">
        <f>IF(INDEX(boss_input_vu_khi!$E$2:$E$94,MATCH($C$2,boss_input_vu_khi!$A$2:$A$94,0))&gt;=8,5,1)</f>
        <v/>
      </c>
      <c r="O2">
        <f>IF(MAX(INDEX(boss_input_vu_khi!$E$2:$E$94,MATCH($C$2,boss_input_vu_khi!$A$2:$A$94,0)),Boss_vu_khi!$L$2)&gt;=8,5,1)</f>
        <v/>
      </c>
      <c r="P2">
        <f>INDEX(boss_input_vu_khi_suy_ra!$H$2:$H$94,MATCH($C$2,boss_input_vu_khi_suy_ra!$A$2:$A$94,0))</f>
        <v/>
      </c>
      <c r="Q2">
        <f>IF(AND(INDEX(input_xe_tham_chieu!$G$2:$G$6,MATCH($D$2,input_xe_tham_chieu!$A$2:$A$6,0))&gt;0,INDEX(boss_input_vu_khi!$E$2:$E$94,MATCH($C$2,boss_input_vu_khi!$A$2:$A$94,0))&gt;0),INDEX(boss_input_vu_khi!$E$2:$E$94,MATCH($C$2,boss_input_vu_khi!$A$2:$A$94,0))/INDEX(input_xe_tham_chieu!$G$2:$G$6,MATCH($D$2,input_xe_tham_chieu!$A$2:$A$6,0)),"")</f>
        <v/>
      </c>
      <c r="R2">
        <f>IF(ISNUMBER($Q$2),IF($P$2&gt;=$Q$2,"DU","THIEU"),"")</f>
        <v/>
      </c>
      <c r="S2" t="inlineStr">
        <is>
          <t>Assets/MachineBrigade/Resources/Data/balance.json: vehicles[id=argus].weapon x 01_chien_dau/Xe_tham_chieu[armored_car]</t>
        </is>
      </c>
      <c r="T2" t="inlineStr"/>
    </row>
    <row r="3">
      <c r="A3" t="inlineStr">
        <is>
          <t>argus/gun_turret</t>
        </is>
      </c>
      <c r="B3" t="inlineStr">
        <is>
          <t>argus</t>
        </is>
      </c>
      <c r="C3" t="inlineStr">
        <is>
          <t>p26_roc_main_roc_bombs</t>
        </is>
      </c>
      <c r="D3" t="inlineStr">
        <is>
          <t>gun_turret</t>
        </is>
      </c>
      <c r="E3">
        <f>IF(INDEX(boss_input_vu_khi_suy_ra!$D$2:$D$94,MATCH($C$3,boss_input_vu_khi_suy_ra!$A$2:$A$94,0)),INDEX(input_xe_tham_chieu!$E$2:$E$6,MATCH($D$3,input_xe_tham_chieu!$A$2:$A$6,0)),INDEX(input_xe_tham_chieu!$D$2:$D$6,MATCH($D$3,input_xe_tham_chieu!$A$2:$A$6,0)))</f>
        <v/>
      </c>
      <c r="F3">
        <f>IF(INDEX(boss_input_vu_khi_suy_ra!$E$2:$E$94,MATCH($C$3,boss_input_vu_khi_suy_ra!$A$2:$A$94,0)),INDEX(boss_input_bang_xuyen_giap!$B$2:$B$7,MIN(6,MAX(1,IF(INDEX(boss_input_vu_khi_suy_ra!$D$2:$D$94,MATCH($C$3,boss_input_vu_khi_suy_ra!$A$2:$A$94,0)),MAX(1,2-(INDEX(boss_input_vu_khi!$C$2:$C$94,MATCH($C$3,boss_input_vu_khi!$A$2:$A$94,0))-$E$3)),2-(INDEX(boss_input_vu_khi!$C$2:$C$94,MATCH($C$3,boss_input_vu_khi!$A$2:$A$94,0))-$E$3))+1)))*IF(INDEX(input_xe_tham_chieu!$F$2:$F$6,MATCH($D$3,input_xe_tham_chieu!$A$2:$A$6,0)),INDEX(boss_input_vu_khi_suy_ra!$G$2:$G$94,MATCH($C$3,boss_input_vu_khi_suy_ra!$A$2:$A$94,0)),INDEX(boss_input_vu_khi_suy_ra!$F$2:$F$94,MATCH($C$3,boss_input_vu_khi_suy_ra!$A$2:$A$94,0))),0)</f>
        <v/>
      </c>
      <c r="G3" t="n">
        <v>1.5</v>
      </c>
      <c r="H3">
        <f>INDEX(boss_input_vu_khi!$B$2:$B$94,MATCH($C$3,boss_input_vu_khi!$A$2:$A$94,0))*INDEX(Boss_dps!$D$2:$D$34,MATCH($B$3,Boss_dps!$A$2:$A$34,0))*IF(INDEX(boss_input_vu_khi!$D$2:$D$94,MATCH($C$3,boss_input_vu_khi!$A$2:$A$94,0)),1,INDEX(Boss_dps!$B$2:$B$34,MATCH($B$3,Boss_dps!$A$2:$A$34,0)))*INDEX(Boss_dps!$C$2:$C$34,MATCH($B$3,Boss_dps!$A$2:$A$34,0))*$F$3</f>
        <v/>
      </c>
      <c r="I3" t="n">
        <v>3246.324479999999</v>
      </c>
      <c r="J3">
        <f>IF($H$3&gt;0,CEILING(INDEX(input_xe_tham_chieu!$C$2:$C$6,MATCH($D$3,input_xe_tham_chieu!$A$2:$A$6,0))/$H$3,1),"")</f>
        <v/>
      </c>
      <c r="K3">
        <f>IF(Boss_vu_khi!$S$2*$F$3&gt;0,INDEX(input_xe_tham_chieu!$C$2:$C$6,MATCH($D$3,input_xe_tham_chieu!$A$2:$A$6,0))/(Boss_vu_khi!$S$2*INDEX(Boss_dps!$D$2:$D$34,MATCH($B$3,Boss_dps!$A$2:$A$34,0))*$F$3),"")</f>
        <v/>
      </c>
      <c r="L3">
        <f>1+2*MIN(2,FLOOR(INDEX(boss_input_vu_khi!$E$2:$E$94,MATCH($C$3,boss_input_vu_khi!$A$2:$A$94,0))/8,1))</f>
        <v/>
      </c>
      <c r="M3">
        <f>1+2*MIN(2,FLOOR(MAX(INDEX(boss_input_vu_khi!$E$2:$E$94,MATCH($C$3,boss_input_vu_khi!$A$2:$A$94,0)),Boss_vu_khi!$L$2)/8,1))</f>
        <v/>
      </c>
      <c r="N3">
        <f>IF(INDEX(boss_input_vu_khi!$E$2:$E$94,MATCH($C$3,boss_input_vu_khi!$A$2:$A$94,0))&gt;=8,5,1)</f>
        <v/>
      </c>
      <c r="O3">
        <f>IF(MAX(INDEX(boss_input_vu_khi!$E$2:$E$94,MATCH($C$3,boss_input_vu_khi!$A$2:$A$94,0)),Boss_vu_khi!$L$2)&gt;=8,5,1)</f>
        <v/>
      </c>
      <c r="P3">
        <f>INDEX(boss_input_vu_khi_suy_ra!$H$2:$H$94,MATCH($C$3,boss_input_vu_khi_suy_ra!$A$2:$A$94,0))</f>
        <v/>
      </c>
      <c r="Q3">
        <f>IF(AND(INDEX(input_xe_tham_chieu!$G$2:$G$6,MATCH($D$3,input_xe_tham_chieu!$A$2:$A$6,0))&gt;0,INDEX(boss_input_vu_khi!$E$2:$E$94,MATCH($C$3,boss_input_vu_khi!$A$2:$A$94,0))&gt;0),INDEX(boss_input_vu_khi!$E$2:$E$94,MATCH($C$3,boss_input_vu_khi!$A$2:$A$94,0))/INDEX(input_xe_tham_chieu!$G$2:$G$6,MATCH($D$3,input_xe_tham_chieu!$A$2:$A$6,0)),"")</f>
        <v/>
      </c>
      <c r="R3">
        <f>IF(ISNUMBER($Q$3),IF($P$3&gt;=$Q$3,"DU","THIEU"),"")</f>
        <v/>
      </c>
      <c r="S3" t="inlineStr">
        <is>
          <t>Assets/MachineBrigade/Resources/Data/balance.json: vehicles[id=argus].weapon x 01_chien_dau/Xe_tham_chieu[gun_turret]</t>
        </is>
      </c>
      <c r="T3" t="inlineStr"/>
    </row>
    <row r="4">
      <c r="A4" t="inlineStr">
        <is>
          <t>argus/heavy_tank</t>
        </is>
      </c>
      <c r="B4" t="inlineStr">
        <is>
          <t>argus</t>
        </is>
      </c>
      <c r="C4" t="inlineStr">
        <is>
          <t>p26_roc_main_roc_bombs</t>
        </is>
      </c>
      <c r="D4" t="inlineStr">
        <is>
          <t>heavy_tank</t>
        </is>
      </c>
      <c r="E4">
        <f>IF(INDEX(boss_input_vu_khi_suy_ra!$D$2:$D$94,MATCH($C$4,boss_input_vu_khi_suy_ra!$A$2:$A$94,0)),INDEX(input_xe_tham_chieu!$E$2:$E$6,MATCH($D$4,input_xe_tham_chieu!$A$2:$A$6,0)),INDEX(input_xe_tham_chieu!$D$2:$D$6,MATCH($D$4,input_xe_tham_chieu!$A$2:$A$6,0)))</f>
        <v/>
      </c>
      <c r="F4">
        <f>IF(INDEX(boss_input_vu_khi_suy_ra!$E$2:$E$94,MATCH($C$4,boss_input_vu_khi_suy_ra!$A$2:$A$94,0)),INDEX(boss_input_bang_xuyen_giap!$B$2:$B$7,MIN(6,MAX(1,IF(INDEX(boss_input_vu_khi_suy_ra!$D$2:$D$94,MATCH($C$4,boss_input_vu_khi_suy_ra!$A$2:$A$94,0)),MAX(1,2-(INDEX(boss_input_vu_khi!$C$2:$C$94,MATCH($C$4,boss_input_vu_khi!$A$2:$A$94,0))-$E$4)),2-(INDEX(boss_input_vu_khi!$C$2:$C$94,MATCH($C$4,boss_input_vu_khi!$A$2:$A$94,0))-$E$4))+1)))*IF(INDEX(input_xe_tham_chieu!$F$2:$F$6,MATCH($D$4,input_xe_tham_chieu!$A$2:$A$6,0)),INDEX(boss_input_vu_khi_suy_ra!$G$2:$G$94,MATCH($C$4,boss_input_vu_khi_suy_ra!$A$2:$A$94,0)),INDEX(boss_input_vu_khi_suy_ra!$F$2:$F$94,MATCH($C$4,boss_input_vu_khi_suy_ra!$A$2:$A$94,0))),0)</f>
        <v/>
      </c>
      <c r="G4" t="n">
        <v>1</v>
      </c>
      <c r="H4">
        <f>INDEX(boss_input_vu_khi!$B$2:$B$94,MATCH($C$4,boss_input_vu_khi!$A$2:$A$94,0))*INDEX(Boss_dps!$D$2:$D$34,MATCH($B$4,Boss_dps!$A$2:$A$34,0))*IF(INDEX(boss_input_vu_khi!$D$2:$D$94,MATCH($C$4,boss_input_vu_khi!$A$2:$A$94,0)),1,INDEX(Boss_dps!$B$2:$B$34,MATCH($B$4,Boss_dps!$A$2:$A$34,0)))*INDEX(Boss_dps!$C$2:$C$34,MATCH($B$4,Boss_dps!$A$2:$A$34,0))*$F$4</f>
        <v/>
      </c>
      <c r="I4" t="n">
        <v>2164.21632</v>
      </c>
      <c r="J4">
        <f>IF($H$4&gt;0,CEILING(INDEX(input_xe_tham_chieu!$C$2:$C$6,MATCH($D$4,input_xe_tham_chieu!$A$2:$A$6,0))/$H$4,1),"")</f>
        <v/>
      </c>
      <c r="K4">
        <f>IF(Boss_vu_khi!$S$2*$F$4&gt;0,INDEX(input_xe_tham_chieu!$C$2:$C$6,MATCH($D$4,input_xe_tham_chieu!$A$2:$A$6,0))/(Boss_vu_khi!$S$2*INDEX(Boss_dps!$D$2:$D$34,MATCH($B$4,Boss_dps!$A$2:$A$34,0))*$F$4),"")</f>
        <v/>
      </c>
      <c r="L4">
        <f>1+2*MIN(2,FLOOR(INDEX(boss_input_vu_khi!$E$2:$E$94,MATCH($C$4,boss_input_vu_khi!$A$2:$A$94,0))/8,1))</f>
        <v/>
      </c>
      <c r="M4">
        <f>1+2*MIN(2,FLOOR(MAX(INDEX(boss_input_vu_khi!$E$2:$E$94,MATCH($C$4,boss_input_vu_khi!$A$2:$A$94,0)),Boss_vu_khi!$L$2)/8,1))</f>
        <v/>
      </c>
      <c r="N4">
        <f>IF(INDEX(boss_input_vu_khi!$E$2:$E$94,MATCH($C$4,boss_input_vu_khi!$A$2:$A$94,0))&gt;=8,5,1)</f>
        <v/>
      </c>
      <c r="O4">
        <f>IF(MAX(INDEX(boss_input_vu_khi!$E$2:$E$94,MATCH($C$4,boss_input_vu_khi!$A$2:$A$94,0)),Boss_vu_khi!$L$2)&gt;=8,5,1)</f>
        <v/>
      </c>
      <c r="P4">
        <f>INDEX(boss_input_vu_khi_suy_ra!$H$2:$H$94,MATCH($C$4,boss_input_vu_khi_suy_ra!$A$2:$A$94,0))</f>
        <v/>
      </c>
      <c r="Q4">
        <f>IF(AND(INDEX(input_xe_tham_chieu!$G$2:$G$6,MATCH($D$4,input_xe_tham_chieu!$A$2:$A$6,0))&gt;0,INDEX(boss_input_vu_khi!$E$2:$E$94,MATCH($C$4,boss_input_vu_khi!$A$2:$A$94,0))&gt;0),INDEX(boss_input_vu_khi!$E$2:$E$94,MATCH($C$4,boss_input_vu_khi!$A$2:$A$94,0))/INDEX(input_xe_tham_chieu!$G$2:$G$6,MATCH($D$4,input_xe_tham_chieu!$A$2:$A$6,0)),"")</f>
        <v/>
      </c>
      <c r="R4">
        <f>IF(ISNUMBER($Q$4),IF($P$4&gt;=$Q$4,"DU","THIEU"),"")</f>
        <v/>
      </c>
      <c r="S4" t="inlineStr">
        <is>
          <t>Assets/MachineBrigade/Resources/Data/balance.json: vehicles[id=argus].weapon x 01_chien_dau/Xe_tham_chieu[heavy_tank]</t>
        </is>
      </c>
      <c r="T4" t="inlineStr"/>
    </row>
    <row r="5">
      <c r="A5" t="inlineStr">
        <is>
          <t>argus/ifv</t>
        </is>
      </c>
      <c r="B5" t="inlineStr">
        <is>
          <t>argus</t>
        </is>
      </c>
      <c r="C5" t="inlineStr">
        <is>
          <t>p26_roc_main_roc_bombs</t>
        </is>
      </c>
      <c r="D5" t="inlineStr">
        <is>
          <t>ifv</t>
        </is>
      </c>
      <c r="E5">
        <f>IF(INDEX(boss_input_vu_khi_suy_ra!$D$2:$D$94,MATCH($C$5,boss_input_vu_khi_suy_ra!$A$2:$A$94,0)),INDEX(input_xe_tham_chieu!$E$2:$E$6,MATCH($D$5,input_xe_tham_chieu!$A$2:$A$6,0)),INDEX(input_xe_tham_chieu!$D$2:$D$6,MATCH($D$5,input_xe_tham_chieu!$A$2:$A$6,0)))</f>
        <v/>
      </c>
      <c r="F5">
        <f>IF(INDEX(boss_input_vu_khi_suy_ra!$E$2:$E$94,MATCH($C$5,boss_input_vu_khi_suy_ra!$A$2:$A$94,0)),INDEX(boss_input_bang_xuyen_giap!$B$2:$B$7,MIN(6,MAX(1,IF(INDEX(boss_input_vu_khi_suy_ra!$D$2:$D$94,MATCH($C$5,boss_input_vu_khi_suy_ra!$A$2:$A$94,0)),MAX(1,2-(INDEX(boss_input_vu_khi!$C$2:$C$94,MATCH($C$5,boss_input_vu_khi!$A$2:$A$94,0))-$E$5)),2-(INDEX(boss_input_vu_khi!$C$2:$C$94,MATCH($C$5,boss_input_vu_khi!$A$2:$A$94,0))-$E$5))+1)))*IF(INDEX(input_xe_tham_chieu!$F$2:$F$6,MATCH($D$5,input_xe_tham_chieu!$A$2:$A$6,0)),INDEX(boss_input_vu_khi_suy_ra!$G$2:$G$94,MATCH($C$5,boss_input_vu_khi_suy_ra!$A$2:$A$94,0)),INDEX(boss_input_vu_khi_suy_ra!$F$2:$F$94,MATCH($C$5,boss_input_vu_khi_suy_ra!$A$2:$A$94,0))),0)</f>
        <v/>
      </c>
      <c r="G5" t="n">
        <v>1</v>
      </c>
      <c r="H5">
        <f>INDEX(boss_input_vu_khi!$B$2:$B$94,MATCH($C$5,boss_input_vu_khi!$A$2:$A$94,0))*INDEX(Boss_dps!$D$2:$D$34,MATCH($B$5,Boss_dps!$A$2:$A$34,0))*IF(INDEX(boss_input_vu_khi!$D$2:$D$94,MATCH($C$5,boss_input_vu_khi!$A$2:$A$94,0)),1,INDEX(Boss_dps!$B$2:$B$34,MATCH($B$5,Boss_dps!$A$2:$A$34,0)))*INDEX(Boss_dps!$C$2:$C$34,MATCH($B$5,Boss_dps!$A$2:$A$34,0))*$F$5</f>
        <v/>
      </c>
      <c r="I5" t="n">
        <v>2164.21632</v>
      </c>
      <c r="J5">
        <f>IF($H$5&gt;0,CEILING(INDEX(input_xe_tham_chieu!$C$2:$C$6,MATCH($D$5,input_xe_tham_chieu!$A$2:$A$6,0))/$H$5,1),"")</f>
        <v/>
      </c>
      <c r="K5">
        <f>IF(Boss_vu_khi!$S$2*$F$5&gt;0,INDEX(input_xe_tham_chieu!$C$2:$C$6,MATCH($D$5,input_xe_tham_chieu!$A$2:$A$6,0))/(Boss_vu_khi!$S$2*INDEX(Boss_dps!$D$2:$D$34,MATCH($B$5,Boss_dps!$A$2:$A$34,0))*$F$5),"")</f>
        <v/>
      </c>
      <c r="L5">
        <f>1+2*MIN(2,FLOOR(INDEX(boss_input_vu_khi!$E$2:$E$94,MATCH($C$5,boss_input_vu_khi!$A$2:$A$94,0))/8,1))</f>
        <v/>
      </c>
      <c r="M5">
        <f>1+2*MIN(2,FLOOR(MAX(INDEX(boss_input_vu_khi!$E$2:$E$94,MATCH($C$5,boss_input_vu_khi!$A$2:$A$94,0)),Boss_vu_khi!$L$2)/8,1))</f>
        <v/>
      </c>
      <c r="N5">
        <f>IF(INDEX(boss_input_vu_khi!$E$2:$E$94,MATCH($C$5,boss_input_vu_khi!$A$2:$A$94,0))&gt;=8,5,1)</f>
        <v/>
      </c>
      <c r="O5">
        <f>IF(MAX(INDEX(boss_input_vu_khi!$E$2:$E$94,MATCH($C$5,boss_input_vu_khi!$A$2:$A$94,0)),Boss_vu_khi!$L$2)&gt;=8,5,1)</f>
        <v/>
      </c>
      <c r="P5">
        <f>INDEX(boss_input_vu_khi_suy_ra!$H$2:$H$94,MATCH($C$5,boss_input_vu_khi_suy_ra!$A$2:$A$94,0))</f>
        <v/>
      </c>
      <c r="Q5">
        <f>IF(AND(INDEX(input_xe_tham_chieu!$G$2:$G$6,MATCH($D$5,input_xe_tham_chieu!$A$2:$A$6,0))&gt;0,INDEX(boss_input_vu_khi!$E$2:$E$94,MATCH($C$5,boss_input_vu_khi!$A$2:$A$94,0))&gt;0),INDEX(boss_input_vu_khi!$E$2:$E$94,MATCH($C$5,boss_input_vu_khi!$A$2:$A$94,0))/INDEX(input_xe_tham_chieu!$G$2:$G$6,MATCH($D$5,input_xe_tham_chieu!$A$2:$A$6,0)),"")</f>
        <v/>
      </c>
      <c r="R5">
        <f>IF(ISNUMBER($Q$5),IF($P$5&gt;=$Q$5,"DU","THIEU"),"")</f>
        <v/>
      </c>
      <c r="S5" t="inlineStr">
        <is>
          <t>Assets/MachineBrigade/Resources/Data/balance.json: vehicles[id=argus].weapon x 01_chien_dau/Xe_tham_chieu[ifv]</t>
        </is>
      </c>
      <c r="T5" t="inlineStr"/>
    </row>
    <row r="6">
      <c r="A6" t="inlineStr">
        <is>
          <t>argus/main_battle_tank</t>
        </is>
      </c>
      <c r="B6" t="inlineStr">
        <is>
          <t>argus</t>
        </is>
      </c>
      <c r="C6" t="inlineStr">
        <is>
          <t>p26_roc_main_roc_bombs</t>
        </is>
      </c>
      <c r="D6" t="inlineStr">
        <is>
          <t>main_battle_tank</t>
        </is>
      </c>
      <c r="E6">
        <f>IF(INDEX(boss_input_vu_khi_suy_ra!$D$2:$D$94,MATCH($C$6,boss_input_vu_khi_suy_ra!$A$2:$A$94,0)),INDEX(input_xe_tham_chieu!$E$2:$E$6,MATCH($D$6,input_xe_tham_chieu!$A$2:$A$6,0)),INDEX(input_xe_tham_chieu!$D$2:$D$6,MATCH($D$6,input_xe_tham_chieu!$A$2:$A$6,0)))</f>
        <v/>
      </c>
      <c r="F6">
        <f>IF(INDEX(boss_input_vu_khi_suy_ra!$E$2:$E$94,MATCH($C$6,boss_input_vu_khi_suy_ra!$A$2:$A$94,0)),INDEX(boss_input_bang_xuyen_giap!$B$2:$B$7,MIN(6,MAX(1,IF(INDEX(boss_input_vu_khi_suy_ra!$D$2:$D$94,MATCH($C$6,boss_input_vu_khi_suy_ra!$A$2:$A$94,0)),MAX(1,2-(INDEX(boss_input_vu_khi!$C$2:$C$94,MATCH($C$6,boss_input_vu_khi!$A$2:$A$94,0))-$E$6)),2-(INDEX(boss_input_vu_khi!$C$2:$C$94,MATCH($C$6,boss_input_vu_khi!$A$2:$A$94,0))-$E$6))+1)))*IF(INDEX(input_xe_tham_chieu!$F$2:$F$6,MATCH($D$6,input_xe_tham_chieu!$A$2:$A$6,0)),INDEX(boss_input_vu_khi_suy_ra!$G$2:$G$94,MATCH($C$6,boss_input_vu_khi_suy_ra!$A$2:$A$94,0)),INDEX(boss_input_vu_khi_suy_ra!$F$2:$F$94,MATCH($C$6,boss_input_vu_khi_suy_ra!$A$2:$A$94,0))),0)</f>
        <v/>
      </c>
      <c r="G6" t="n">
        <v>1</v>
      </c>
      <c r="H6">
        <f>INDEX(boss_input_vu_khi!$B$2:$B$94,MATCH($C$6,boss_input_vu_khi!$A$2:$A$94,0))*INDEX(Boss_dps!$D$2:$D$34,MATCH($B$6,Boss_dps!$A$2:$A$34,0))*IF(INDEX(boss_input_vu_khi!$D$2:$D$94,MATCH($C$6,boss_input_vu_khi!$A$2:$A$94,0)),1,INDEX(Boss_dps!$B$2:$B$34,MATCH($B$6,Boss_dps!$A$2:$A$34,0)))*INDEX(Boss_dps!$C$2:$C$34,MATCH($B$6,Boss_dps!$A$2:$A$34,0))*$F$6</f>
        <v/>
      </c>
      <c r="I6" t="n">
        <v>2164.21632</v>
      </c>
      <c r="J6">
        <f>IF($H$6&gt;0,CEILING(INDEX(input_xe_tham_chieu!$C$2:$C$6,MATCH($D$6,input_xe_tham_chieu!$A$2:$A$6,0))/$H$6,1),"")</f>
        <v/>
      </c>
      <c r="K6">
        <f>IF(Boss_vu_khi!$S$2*$F$6&gt;0,INDEX(input_xe_tham_chieu!$C$2:$C$6,MATCH($D$6,input_xe_tham_chieu!$A$2:$A$6,0))/(Boss_vu_khi!$S$2*INDEX(Boss_dps!$D$2:$D$34,MATCH($B$6,Boss_dps!$A$2:$A$34,0))*$F$6),"")</f>
        <v/>
      </c>
      <c r="L6">
        <f>1+2*MIN(2,FLOOR(INDEX(boss_input_vu_khi!$E$2:$E$94,MATCH($C$6,boss_input_vu_khi!$A$2:$A$94,0))/8,1))</f>
        <v/>
      </c>
      <c r="M6">
        <f>1+2*MIN(2,FLOOR(MAX(INDEX(boss_input_vu_khi!$E$2:$E$94,MATCH($C$6,boss_input_vu_khi!$A$2:$A$94,0)),Boss_vu_khi!$L$2)/8,1))</f>
        <v/>
      </c>
      <c r="N6">
        <f>IF(INDEX(boss_input_vu_khi!$E$2:$E$94,MATCH($C$6,boss_input_vu_khi!$A$2:$A$94,0))&gt;=8,5,1)</f>
        <v/>
      </c>
      <c r="O6">
        <f>IF(MAX(INDEX(boss_input_vu_khi!$E$2:$E$94,MATCH($C$6,boss_input_vu_khi!$A$2:$A$94,0)),Boss_vu_khi!$L$2)&gt;=8,5,1)</f>
        <v/>
      </c>
      <c r="P6">
        <f>INDEX(boss_input_vu_khi_suy_ra!$H$2:$H$94,MATCH($C$6,boss_input_vu_khi_suy_ra!$A$2:$A$94,0))</f>
        <v/>
      </c>
      <c r="Q6">
        <f>IF(AND(INDEX(input_xe_tham_chieu!$G$2:$G$6,MATCH($D$6,input_xe_tham_chieu!$A$2:$A$6,0))&gt;0,INDEX(boss_input_vu_khi!$E$2:$E$94,MATCH($C$6,boss_input_vu_khi!$A$2:$A$94,0))&gt;0),INDEX(boss_input_vu_khi!$E$2:$E$94,MATCH($C$6,boss_input_vu_khi!$A$2:$A$94,0))/INDEX(input_xe_tham_chieu!$G$2:$G$6,MATCH($D$6,input_xe_tham_chieu!$A$2:$A$6,0)),"")</f>
        <v/>
      </c>
      <c r="R6">
        <f>IF(ISNUMBER($Q$6),IF($P$6&gt;=$Q$6,"DU","THIEU"),"")</f>
        <v/>
      </c>
      <c r="S6" t="inlineStr">
        <is>
          <t>Assets/MachineBrigade/Resources/Data/balance.json: vehicles[id=argus].weapon x 01_chien_dau/Xe_tham_chieu[main_battle_tank]</t>
        </is>
      </c>
      <c r="T6" t="inlineStr"/>
    </row>
    <row r="7">
      <c r="A7" t="inlineStr">
        <is>
          <t>armored_train/armored_car</t>
        </is>
      </c>
      <c r="B7" t="inlineStr">
        <is>
          <t>armored_train</t>
        </is>
      </c>
      <c r="C7" t="inlineStr">
        <is>
          <t>train_gun</t>
        </is>
      </c>
      <c r="D7" t="inlineStr">
        <is>
          <t>armored_car</t>
        </is>
      </c>
      <c r="E7">
        <f>IF(INDEX(boss_input_vu_khi_suy_ra!$D$2:$D$94,MATCH($C$7,boss_input_vu_khi_suy_ra!$A$2:$A$94,0)),INDEX(input_xe_tham_chieu!$E$2:$E$6,MATCH($D$7,input_xe_tham_chieu!$A$2:$A$6,0)),INDEX(input_xe_tham_chieu!$D$2:$D$6,MATCH($D$7,input_xe_tham_chieu!$A$2:$A$6,0)))</f>
        <v/>
      </c>
      <c r="F7">
        <f>IF(INDEX(boss_input_vu_khi_suy_ra!$E$2:$E$94,MATCH($C$7,boss_input_vu_khi_suy_ra!$A$2:$A$94,0)),INDEX(boss_input_bang_xuyen_giap!$B$2:$B$7,MIN(6,MAX(1,IF(INDEX(boss_input_vu_khi_suy_ra!$D$2:$D$94,MATCH($C$7,boss_input_vu_khi_suy_ra!$A$2:$A$94,0)),MAX(1,2-(INDEX(boss_input_vu_khi!$C$2:$C$94,MATCH($C$7,boss_input_vu_khi!$A$2:$A$94,0))-$E$7)),2-(INDEX(boss_input_vu_khi!$C$2:$C$94,MATCH($C$7,boss_input_vu_khi!$A$2:$A$94,0))-$E$7))+1)))*IF(INDEX(input_xe_tham_chieu!$F$2:$F$6,MATCH($D$7,input_xe_tham_chieu!$A$2:$A$6,0)),INDEX(boss_input_vu_khi_suy_ra!$G$2:$G$94,MATCH($C$7,boss_input_vu_khi_suy_ra!$A$2:$A$94,0)),INDEX(boss_input_vu_khi_suy_ra!$F$2:$F$94,MATCH($C$7,boss_input_vu_khi_suy_ra!$A$2:$A$94,0))),0)</f>
        <v/>
      </c>
      <c r="G7" t="n">
        <v>1.2</v>
      </c>
      <c r="H7">
        <f>INDEX(boss_input_vu_khi!$B$2:$B$94,MATCH($C$7,boss_input_vu_khi!$A$2:$A$94,0))*INDEX(Boss_dps!$D$2:$D$34,MATCH($B$7,Boss_dps!$A$2:$A$34,0))*IF(INDEX(boss_input_vu_khi!$D$2:$D$94,MATCH($C$7,boss_input_vu_khi!$A$2:$A$94,0)),1,INDEX(Boss_dps!$B$2:$B$34,MATCH($B$7,Boss_dps!$A$2:$A$34,0)))*INDEX(Boss_dps!$C$2:$C$34,MATCH($B$7,Boss_dps!$A$2:$A$34,0))*$F$7</f>
        <v/>
      </c>
      <c r="I7" t="n">
        <v>1336.1778144</v>
      </c>
      <c r="J7">
        <f>IF($H$7&gt;0,CEILING(INDEX(input_xe_tham_chieu!$C$2:$C$6,MATCH($D$7,input_xe_tham_chieu!$A$2:$A$6,0))/$H$7,1),"")</f>
        <v/>
      </c>
      <c r="K7">
        <f>IF(Boss_vu_khi!$S$4*$F$7&gt;0,INDEX(input_xe_tham_chieu!$C$2:$C$6,MATCH($D$7,input_xe_tham_chieu!$A$2:$A$6,0))/(Boss_vu_khi!$S$4*INDEX(Boss_dps!$D$2:$D$34,MATCH($B$7,Boss_dps!$A$2:$A$34,0))*$F$7),"")</f>
        <v/>
      </c>
      <c r="L7">
        <f>1+2*MIN(2,FLOOR(INDEX(boss_input_vu_khi!$E$2:$E$94,MATCH($C$7,boss_input_vu_khi!$A$2:$A$94,0))/8,1))</f>
        <v/>
      </c>
      <c r="M7">
        <f>1+2*MIN(2,FLOOR(MAX(INDEX(boss_input_vu_khi!$E$2:$E$94,MATCH($C$7,boss_input_vu_khi!$A$2:$A$94,0)),Boss_vu_khi!$L$4)/8,1))</f>
        <v/>
      </c>
      <c r="N7">
        <f>IF(INDEX(boss_input_vu_khi!$E$2:$E$94,MATCH($C$7,boss_input_vu_khi!$A$2:$A$94,0))&gt;=8,5,1)</f>
        <v/>
      </c>
      <c r="O7">
        <f>IF(MAX(INDEX(boss_input_vu_khi!$E$2:$E$94,MATCH($C$7,boss_input_vu_khi!$A$2:$A$94,0)),Boss_vu_khi!$L$4)&gt;=8,5,1)</f>
        <v/>
      </c>
      <c r="P7">
        <f>INDEX(boss_input_vu_khi_suy_ra!$H$2:$H$94,MATCH($C$7,boss_input_vu_khi_suy_ra!$A$2:$A$94,0))</f>
        <v/>
      </c>
      <c r="Q7">
        <f>IF(AND(INDEX(input_xe_tham_chieu!$G$2:$G$6,MATCH($D$7,input_xe_tham_chieu!$A$2:$A$6,0))&gt;0,INDEX(boss_input_vu_khi!$E$2:$E$94,MATCH($C$7,boss_input_vu_khi!$A$2:$A$94,0))&gt;0),INDEX(boss_input_vu_khi!$E$2:$E$94,MATCH($C$7,boss_input_vu_khi!$A$2:$A$94,0))/INDEX(input_xe_tham_chieu!$G$2:$G$6,MATCH($D$7,input_xe_tham_chieu!$A$2:$A$6,0)),"")</f>
        <v/>
      </c>
      <c r="R7">
        <f>IF(ISNUMBER($Q$7),IF($P$7&gt;=$Q$7,"DU","THIEU"),"")</f>
        <v/>
      </c>
      <c r="S7" t="inlineStr">
        <is>
          <t>Assets/MachineBrigade/Resources/Data/balance.json: vehicles[id=armored_train].weapon x 01_chien_dau/Xe_tham_chieu[armored_car]</t>
        </is>
      </c>
      <c r="T7" t="inlineStr"/>
    </row>
    <row r="8">
      <c r="A8" t="inlineStr">
        <is>
          <t>armored_train/gun_turret</t>
        </is>
      </c>
      <c r="B8" t="inlineStr">
        <is>
          <t>armored_train</t>
        </is>
      </c>
      <c r="C8" t="inlineStr">
        <is>
          <t>train_gun</t>
        </is>
      </c>
      <c r="D8" t="inlineStr">
        <is>
          <t>gun_turret</t>
        </is>
      </c>
      <c r="E8">
        <f>IF(INDEX(boss_input_vu_khi_suy_ra!$D$2:$D$94,MATCH($C$8,boss_input_vu_khi_suy_ra!$A$2:$A$94,0)),INDEX(input_xe_tham_chieu!$E$2:$E$6,MATCH($D$8,input_xe_tham_chieu!$A$2:$A$6,0)),INDEX(input_xe_tham_chieu!$D$2:$D$6,MATCH($D$8,input_xe_tham_chieu!$A$2:$A$6,0)))</f>
        <v/>
      </c>
      <c r="F8">
        <f>IF(INDEX(boss_input_vu_khi_suy_ra!$E$2:$E$94,MATCH($C$8,boss_input_vu_khi_suy_ra!$A$2:$A$94,0)),INDEX(boss_input_bang_xuyen_giap!$B$2:$B$7,MIN(6,MAX(1,IF(INDEX(boss_input_vu_khi_suy_ra!$D$2:$D$94,MATCH($C$8,boss_input_vu_khi_suy_ra!$A$2:$A$94,0)),MAX(1,2-(INDEX(boss_input_vu_khi!$C$2:$C$94,MATCH($C$8,boss_input_vu_khi!$A$2:$A$94,0))-$E$8)),2-(INDEX(boss_input_vu_khi!$C$2:$C$94,MATCH($C$8,boss_input_vu_khi!$A$2:$A$94,0))-$E$8))+1)))*IF(INDEX(input_xe_tham_chieu!$F$2:$F$6,MATCH($D$8,input_xe_tham_chieu!$A$2:$A$6,0)),INDEX(boss_input_vu_khi_suy_ra!$G$2:$G$94,MATCH($C$8,boss_input_vu_khi_suy_ra!$A$2:$A$94,0)),INDEX(boss_input_vu_khi_suy_ra!$F$2:$F$94,MATCH($C$8,boss_input_vu_khi_suy_ra!$A$2:$A$94,0))),0)</f>
        <v/>
      </c>
      <c r="G8" t="n">
        <v>0.6</v>
      </c>
      <c r="H8">
        <f>INDEX(boss_input_vu_khi!$B$2:$B$94,MATCH($C$8,boss_input_vu_khi!$A$2:$A$94,0))*INDEX(Boss_dps!$D$2:$D$34,MATCH($B$8,Boss_dps!$A$2:$A$34,0))*IF(INDEX(boss_input_vu_khi!$D$2:$D$94,MATCH($C$8,boss_input_vu_khi!$A$2:$A$94,0)),1,INDEX(Boss_dps!$B$2:$B$34,MATCH($B$8,Boss_dps!$A$2:$A$34,0)))*INDEX(Boss_dps!$C$2:$C$34,MATCH($B$8,Boss_dps!$A$2:$A$34,0))*$F$8</f>
        <v/>
      </c>
      <c r="I8" t="n">
        <v>668.0889072</v>
      </c>
      <c r="J8">
        <f>IF($H$8&gt;0,CEILING(INDEX(input_xe_tham_chieu!$C$2:$C$6,MATCH($D$8,input_xe_tham_chieu!$A$2:$A$6,0))/$H$8,1),"")</f>
        <v/>
      </c>
      <c r="K8">
        <f>IF(Boss_vu_khi!$S$4*$F$8&gt;0,INDEX(input_xe_tham_chieu!$C$2:$C$6,MATCH($D$8,input_xe_tham_chieu!$A$2:$A$6,0))/(Boss_vu_khi!$S$4*INDEX(Boss_dps!$D$2:$D$34,MATCH($B$8,Boss_dps!$A$2:$A$34,0))*$F$8),"")</f>
        <v/>
      </c>
      <c r="L8">
        <f>1+2*MIN(2,FLOOR(INDEX(boss_input_vu_khi!$E$2:$E$94,MATCH($C$8,boss_input_vu_khi!$A$2:$A$94,0))/8,1))</f>
        <v/>
      </c>
      <c r="M8">
        <f>1+2*MIN(2,FLOOR(MAX(INDEX(boss_input_vu_khi!$E$2:$E$94,MATCH($C$8,boss_input_vu_khi!$A$2:$A$94,0)),Boss_vu_khi!$L$4)/8,1))</f>
        <v/>
      </c>
      <c r="N8">
        <f>IF(INDEX(boss_input_vu_khi!$E$2:$E$94,MATCH($C$8,boss_input_vu_khi!$A$2:$A$94,0))&gt;=8,5,1)</f>
        <v/>
      </c>
      <c r="O8">
        <f>IF(MAX(INDEX(boss_input_vu_khi!$E$2:$E$94,MATCH($C$8,boss_input_vu_khi!$A$2:$A$94,0)),Boss_vu_khi!$L$4)&gt;=8,5,1)</f>
        <v/>
      </c>
      <c r="P8">
        <f>INDEX(boss_input_vu_khi_suy_ra!$H$2:$H$94,MATCH($C$8,boss_input_vu_khi_suy_ra!$A$2:$A$94,0))</f>
        <v/>
      </c>
      <c r="Q8">
        <f>IF(AND(INDEX(input_xe_tham_chieu!$G$2:$G$6,MATCH($D$8,input_xe_tham_chieu!$A$2:$A$6,0))&gt;0,INDEX(boss_input_vu_khi!$E$2:$E$94,MATCH($C$8,boss_input_vu_khi!$A$2:$A$94,0))&gt;0),INDEX(boss_input_vu_khi!$E$2:$E$94,MATCH($C$8,boss_input_vu_khi!$A$2:$A$94,0))/INDEX(input_xe_tham_chieu!$G$2:$G$6,MATCH($D$8,input_xe_tham_chieu!$A$2:$A$6,0)),"")</f>
        <v/>
      </c>
      <c r="R8">
        <f>IF(ISNUMBER($Q$8),IF($P$8&gt;=$Q$8,"DU","THIEU"),"")</f>
        <v/>
      </c>
      <c r="S8" t="inlineStr">
        <is>
          <t>Assets/MachineBrigade/Resources/Data/balance.json: vehicles[id=armored_train].weapon x 01_chien_dau/Xe_tham_chieu[gun_turret]</t>
        </is>
      </c>
      <c r="T8" t="inlineStr"/>
    </row>
    <row r="9">
      <c r="A9" t="inlineStr">
        <is>
          <t>armored_train/heavy_tank</t>
        </is>
      </c>
      <c r="B9" t="inlineStr">
        <is>
          <t>armored_train</t>
        </is>
      </c>
      <c r="C9" t="inlineStr">
        <is>
          <t>train_gun</t>
        </is>
      </c>
      <c r="D9" t="inlineStr">
        <is>
          <t>heavy_tank</t>
        </is>
      </c>
      <c r="E9">
        <f>IF(INDEX(boss_input_vu_khi_suy_ra!$D$2:$D$94,MATCH($C$9,boss_input_vu_khi_suy_ra!$A$2:$A$94,0)),INDEX(input_xe_tham_chieu!$E$2:$E$6,MATCH($D$9,input_xe_tham_chieu!$A$2:$A$6,0)),INDEX(input_xe_tham_chieu!$D$2:$D$6,MATCH($D$9,input_xe_tham_chieu!$A$2:$A$6,0)))</f>
        <v/>
      </c>
      <c r="F9">
        <f>IF(INDEX(boss_input_vu_khi_suy_ra!$E$2:$E$94,MATCH($C$9,boss_input_vu_khi_suy_ra!$A$2:$A$94,0)),INDEX(boss_input_bang_xuyen_giap!$B$2:$B$7,MIN(6,MAX(1,IF(INDEX(boss_input_vu_khi_suy_ra!$D$2:$D$94,MATCH($C$9,boss_input_vu_khi_suy_ra!$A$2:$A$94,0)),MAX(1,2-(INDEX(boss_input_vu_khi!$C$2:$C$94,MATCH($C$9,boss_input_vu_khi!$A$2:$A$94,0))-$E$9)),2-(INDEX(boss_input_vu_khi!$C$2:$C$94,MATCH($C$9,boss_input_vu_khi!$A$2:$A$94,0))-$E$9))+1)))*IF(INDEX(input_xe_tham_chieu!$F$2:$F$6,MATCH($D$9,input_xe_tham_chieu!$A$2:$A$6,0)),INDEX(boss_input_vu_khi_suy_ra!$G$2:$G$94,MATCH($C$9,boss_input_vu_khi_suy_ra!$A$2:$A$94,0)),INDEX(boss_input_vu_khi_suy_ra!$F$2:$F$94,MATCH($C$9,boss_input_vu_khi_suy_ra!$A$2:$A$94,0))),0)</f>
        <v/>
      </c>
      <c r="G9" t="n">
        <v>0.85</v>
      </c>
      <c r="H9">
        <f>INDEX(boss_input_vu_khi!$B$2:$B$94,MATCH($C$9,boss_input_vu_khi!$A$2:$A$94,0))*INDEX(Boss_dps!$D$2:$D$34,MATCH($B$9,Boss_dps!$A$2:$A$34,0))*IF(INDEX(boss_input_vu_khi!$D$2:$D$94,MATCH($C$9,boss_input_vu_khi!$A$2:$A$94,0)),1,INDEX(Boss_dps!$B$2:$B$34,MATCH($B$9,Boss_dps!$A$2:$A$34,0)))*INDEX(Boss_dps!$C$2:$C$34,MATCH($B$9,Boss_dps!$A$2:$A$34,0))*$F$9</f>
        <v/>
      </c>
      <c r="I9" t="n">
        <v>946.4592852000001</v>
      </c>
      <c r="J9">
        <f>IF($H$9&gt;0,CEILING(INDEX(input_xe_tham_chieu!$C$2:$C$6,MATCH($D$9,input_xe_tham_chieu!$A$2:$A$6,0))/$H$9,1),"")</f>
        <v/>
      </c>
      <c r="K9">
        <f>IF(Boss_vu_khi!$S$4*$F$9&gt;0,INDEX(input_xe_tham_chieu!$C$2:$C$6,MATCH($D$9,input_xe_tham_chieu!$A$2:$A$6,0))/(Boss_vu_khi!$S$4*INDEX(Boss_dps!$D$2:$D$34,MATCH($B$9,Boss_dps!$A$2:$A$34,0))*$F$9),"")</f>
        <v/>
      </c>
      <c r="L9">
        <f>1+2*MIN(2,FLOOR(INDEX(boss_input_vu_khi!$E$2:$E$94,MATCH($C$9,boss_input_vu_khi!$A$2:$A$94,0))/8,1))</f>
        <v/>
      </c>
      <c r="M9">
        <f>1+2*MIN(2,FLOOR(MAX(INDEX(boss_input_vu_khi!$E$2:$E$94,MATCH($C$9,boss_input_vu_khi!$A$2:$A$94,0)),Boss_vu_khi!$L$4)/8,1))</f>
        <v/>
      </c>
      <c r="N9">
        <f>IF(INDEX(boss_input_vu_khi!$E$2:$E$94,MATCH($C$9,boss_input_vu_khi!$A$2:$A$94,0))&gt;=8,5,1)</f>
        <v/>
      </c>
      <c r="O9">
        <f>IF(MAX(INDEX(boss_input_vu_khi!$E$2:$E$94,MATCH($C$9,boss_input_vu_khi!$A$2:$A$94,0)),Boss_vu_khi!$L$4)&gt;=8,5,1)</f>
        <v/>
      </c>
      <c r="P9">
        <f>INDEX(boss_input_vu_khi_suy_ra!$H$2:$H$94,MATCH($C$9,boss_input_vu_khi_suy_ra!$A$2:$A$94,0))</f>
        <v/>
      </c>
      <c r="Q9">
        <f>IF(AND(INDEX(input_xe_tham_chieu!$G$2:$G$6,MATCH($D$9,input_xe_tham_chieu!$A$2:$A$6,0))&gt;0,INDEX(boss_input_vu_khi!$E$2:$E$94,MATCH($C$9,boss_input_vu_khi!$A$2:$A$94,0))&gt;0),INDEX(boss_input_vu_khi!$E$2:$E$94,MATCH($C$9,boss_input_vu_khi!$A$2:$A$94,0))/INDEX(input_xe_tham_chieu!$G$2:$G$6,MATCH($D$9,input_xe_tham_chieu!$A$2:$A$6,0)),"")</f>
        <v/>
      </c>
      <c r="R9">
        <f>IF(ISNUMBER($Q$9),IF($P$9&gt;=$Q$9,"DU","THIEU"),"")</f>
        <v/>
      </c>
      <c r="S9" t="inlineStr">
        <is>
          <t>Assets/MachineBrigade/Resources/Data/balance.json: vehicles[id=armored_train].weapon x 01_chien_dau/Xe_tham_chieu[heavy_tank]</t>
        </is>
      </c>
      <c r="T9" t="inlineStr"/>
    </row>
    <row r="10">
      <c r="A10" t="inlineStr">
        <is>
          <t>armored_train/ifv</t>
        </is>
      </c>
      <c r="B10" t="inlineStr">
        <is>
          <t>armored_train</t>
        </is>
      </c>
      <c r="C10" t="inlineStr">
        <is>
          <t>train_gun</t>
        </is>
      </c>
      <c r="D10" t="inlineStr">
        <is>
          <t>ifv</t>
        </is>
      </c>
      <c r="E10">
        <f>IF(INDEX(boss_input_vu_khi_suy_ra!$D$2:$D$94,MATCH($C$10,boss_input_vu_khi_suy_ra!$A$2:$A$94,0)),INDEX(input_xe_tham_chieu!$E$2:$E$6,MATCH($D$10,input_xe_tham_chieu!$A$2:$A$6,0)),INDEX(input_xe_tham_chieu!$D$2:$D$6,MATCH($D$10,input_xe_tham_chieu!$A$2:$A$6,0)))</f>
        <v/>
      </c>
      <c r="F10">
        <f>IF(INDEX(boss_input_vu_khi_suy_ra!$E$2:$E$94,MATCH($C$10,boss_input_vu_khi_suy_ra!$A$2:$A$94,0)),INDEX(boss_input_bang_xuyen_giap!$B$2:$B$7,MIN(6,MAX(1,IF(INDEX(boss_input_vu_khi_suy_ra!$D$2:$D$94,MATCH($C$10,boss_input_vu_khi_suy_ra!$A$2:$A$94,0)),MAX(1,2-(INDEX(boss_input_vu_khi!$C$2:$C$94,MATCH($C$10,boss_input_vu_khi!$A$2:$A$94,0))-$E$10)),2-(INDEX(boss_input_vu_khi!$C$2:$C$94,MATCH($C$10,boss_input_vu_khi!$A$2:$A$94,0))-$E$10))+1)))*IF(INDEX(input_xe_tham_chieu!$F$2:$F$6,MATCH($D$10,input_xe_tham_chieu!$A$2:$A$6,0)),INDEX(boss_input_vu_khi_suy_ra!$G$2:$G$94,MATCH($C$10,boss_input_vu_khi_suy_ra!$A$2:$A$94,0)),INDEX(boss_input_vu_khi_suy_ra!$F$2:$F$94,MATCH($C$10,boss_input_vu_khi_suy_ra!$A$2:$A$94,0))),0)</f>
        <v/>
      </c>
      <c r="G10" t="n">
        <v>1.2</v>
      </c>
      <c r="H10">
        <f>INDEX(boss_input_vu_khi!$B$2:$B$94,MATCH($C$10,boss_input_vu_khi!$A$2:$A$94,0))*INDEX(Boss_dps!$D$2:$D$34,MATCH($B$10,Boss_dps!$A$2:$A$34,0))*IF(INDEX(boss_input_vu_khi!$D$2:$D$94,MATCH($C$10,boss_input_vu_khi!$A$2:$A$94,0)),1,INDEX(Boss_dps!$B$2:$B$34,MATCH($B$10,Boss_dps!$A$2:$A$34,0)))*INDEX(Boss_dps!$C$2:$C$34,MATCH($B$10,Boss_dps!$A$2:$A$34,0))*$F$10</f>
        <v/>
      </c>
      <c r="I10" t="n">
        <v>1336.1778144</v>
      </c>
      <c r="J10">
        <f>IF($H$10&gt;0,CEILING(INDEX(input_xe_tham_chieu!$C$2:$C$6,MATCH($D$10,input_xe_tham_chieu!$A$2:$A$6,0))/$H$10,1),"")</f>
        <v/>
      </c>
      <c r="K10">
        <f>IF(Boss_vu_khi!$S$4*$F$10&gt;0,INDEX(input_xe_tham_chieu!$C$2:$C$6,MATCH($D$10,input_xe_tham_chieu!$A$2:$A$6,0))/(Boss_vu_khi!$S$4*INDEX(Boss_dps!$D$2:$D$34,MATCH($B$10,Boss_dps!$A$2:$A$34,0))*$F$10),"")</f>
        <v/>
      </c>
      <c r="L10">
        <f>1+2*MIN(2,FLOOR(INDEX(boss_input_vu_khi!$E$2:$E$94,MATCH($C$10,boss_input_vu_khi!$A$2:$A$94,0))/8,1))</f>
        <v/>
      </c>
      <c r="M10">
        <f>1+2*MIN(2,FLOOR(MAX(INDEX(boss_input_vu_khi!$E$2:$E$94,MATCH($C$10,boss_input_vu_khi!$A$2:$A$94,0)),Boss_vu_khi!$L$4)/8,1))</f>
        <v/>
      </c>
      <c r="N10">
        <f>IF(INDEX(boss_input_vu_khi!$E$2:$E$94,MATCH($C$10,boss_input_vu_khi!$A$2:$A$94,0))&gt;=8,5,1)</f>
        <v/>
      </c>
      <c r="O10">
        <f>IF(MAX(INDEX(boss_input_vu_khi!$E$2:$E$94,MATCH($C$10,boss_input_vu_khi!$A$2:$A$94,0)),Boss_vu_khi!$L$4)&gt;=8,5,1)</f>
        <v/>
      </c>
      <c r="P10">
        <f>INDEX(boss_input_vu_khi_suy_ra!$H$2:$H$94,MATCH($C$10,boss_input_vu_khi_suy_ra!$A$2:$A$94,0))</f>
        <v/>
      </c>
      <c r="Q10">
        <f>IF(AND(INDEX(input_xe_tham_chieu!$G$2:$G$6,MATCH($D$10,input_xe_tham_chieu!$A$2:$A$6,0))&gt;0,INDEX(boss_input_vu_khi!$E$2:$E$94,MATCH($C$10,boss_input_vu_khi!$A$2:$A$94,0))&gt;0),INDEX(boss_input_vu_khi!$E$2:$E$94,MATCH($C$10,boss_input_vu_khi!$A$2:$A$94,0))/INDEX(input_xe_tham_chieu!$G$2:$G$6,MATCH($D$10,input_xe_tham_chieu!$A$2:$A$6,0)),"")</f>
        <v/>
      </c>
      <c r="R10">
        <f>IF(ISNUMBER($Q$10),IF($P$10&gt;=$Q$10,"DU","THIEU"),"")</f>
        <v/>
      </c>
      <c r="S10" t="inlineStr">
        <is>
          <t>Assets/MachineBrigade/Resources/Data/balance.json: vehicles[id=armored_train].weapon x 01_chien_dau/Xe_tham_chieu[ifv]</t>
        </is>
      </c>
      <c r="T10" t="inlineStr"/>
    </row>
    <row r="11">
      <c r="A11" t="inlineStr">
        <is>
          <t>armored_train/main_battle_tank</t>
        </is>
      </c>
      <c r="B11" t="inlineStr">
        <is>
          <t>armored_train</t>
        </is>
      </c>
      <c r="C11" t="inlineStr">
        <is>
          <t>train_gun</t>
        </is>
      </c>
      <c r="D11" t="inlineStr">
        <is>
          <t>main_battle_tank</t>
        </is>
      </c>
      <c r="E11">
        <f>IF(INDEX(boss_input_vu_khi_suy_ra!$D$2:$D$94,MATCH($C$11,boss_input_vu_khi_suy_ra!$A$2:$A$94,0)),INDEX(input_xe_tham_chieu!$E$2:$E$6,MATCH($D$11,input_xe_tham_chieu!$A$2:$A$6,0)),INDEX(input_xe_tham_chieu!$D$2:$D$6,MATCH($D$11,input_xe_tham_chieu!$A$2:$A$6,0)))</f>
        <v/>
      </c>
      <c r="F11">
        <f>IF(INDEX(boss_input_vu_khi_suy_ra!$E$2:$E$94,MATCH($C$11,boss_input_vu_khi_suy_ra!$A$2:$A$94,0)),INDEX(boss_input_bang_xuyen_giap!$B$2:$B$7,MIN(6,MAX(1,IF(INDEX(boss_input_vu_khi_suy_ra!$D$2:$D$94,MATCH($C$11,boss_input_vu_khi_suy_ra!$A$2:$A$94,0)),MAX(1,2-(INDEX(boss_input_vu_khi!$C$2:$C$94,MATCH($C$11,boss_input_vu_khi!$A$2:$A$94,0))-$E$11)),2-(INDEX(boss_input_vu_khi!$C$2:$C$94,MATCH($C$11,boss_input_vu_khi!$A$2:$A$94,0))-$E$11))+1)))*IF(INDEX(input_xe_tham_chieu!$F$2:$F$6,MATCH($D$11,input_xe_tham_chieu!$A$2:$A$6,0)),INDEX(boss_input_vu_khi_suy_ra!$G$2:$G$94,MATCH($C$11,boss_input_vu_khi_suy_ra!$A$2:$A$94,0)),INDEX(boss_input_vu_khi_suy_ra!$F$2:$F$94,MATCH($C$11,boss_input_vu_khi_suy_ra!$A$2:$A$94,0))),0)</f>
        <v/>
      </c>
      <c r="G11" t="n">
        <v>0.85</v>
      </c>
      <c r="H11">
        <f>INDEX(boss_input_vu_khi!$B$2:$B$94,MATCH($C$11,boss_input_vu_khi!$A$2:$A$94,0))*INDEX(Boss_dps!$D$2:$D$34,MATCH($B$11,Boss_dps!$A$2:$A$34,0))*IF(INDEX(boss_input_vu_khi!$D$2:$D$94,MATCH($C$11,boss_input_vu_khi!$A$2:$A$94,0)),1,INDEX(Boss_dps!$B$2:$B$34,MATCH($B$11,Boss_dps!$A$2:$A$34,0)))*INDEX(Boss_dps!$C$2:$C$34,MATCH($B$11,Boss_dps!$A$2:$A$34,0))*$F$11</f>
        <v/>
      </c>
      <c r="I11" t="n">
        <v>946.4592852000001</v>
      </c>
      <c r="J11">
        <f>IF($H$11&gt;0,CEILING(INDEX(input_xe_tham_chieu!$C$2:$C$6,MATCH($D$11,input_xe_tham_chieu!$A$2:$A$6,0))/$H$11,1),"")</f>
        <v/>
      </c>
      <c r="K11">
        <f>IF(Boss_vu_khi!$S$4*$F$11&gt;0,INDEX(input_xe_tham_chieu!$C$2:$C$6,MATCH($D$11,input_xe_tham_chieu!$A$2:$A$6,0))/(Boss_vu_khi!$S$4*INDEX(Boss_dps!$D$2:$D$34,MATCH($B$11,Boss_dps!$A$2:$A$34,0))*$F$11),"")</f>
        <v/>
      </c>
      <c r="L11">
        <f>1+2*MIN(2,FLOOR(INDEX(boss_input_vu_khi!$E$2:$E$94,MATCH($C$11,boss_input_vu_khi!$A$2:$A$94,0))/8,1))</f>
        <v/>
      </c>
      <c r="M11">
        <f>1+2*MIN(2,FLOOR(MAX(INDEX(boss_input_vu_khi!$E$2:$E$94,MATCH($C$11,boss_input_vu_khi!$A$2:$A$94,0)),Boss_vu_khi!$L$4)/8,1))</f>
        <v/>
      </c>
      <c r="N11">
        <f>IF(INDEX(boss_input_vu_khi!$E$2:$E$94,MATCH($C$11,boss_input_vu_khi!$A$2:$A$94,0))&gt;=8,5,1)</f>
        <v/>
      </c>
      <c r="O11">
        <f>IF(MAX(INDEX(boss_input_vu_khi!$E$2:$E$94,MATCH($C$11,boss_input_vu_khi!$A$2:$A$94,0)),Boss_vu_khi!$L$4)&gt;=8,5,1)</f>
        <v/>
      </c>
      <c r="P11">
        <f>INDEX(boss_input_vu_khi_suy_ra!$H$2:$H$94,MATCH($C$11,boss_input_vu_khi_suy_ra!$A$2:$A$94,0))</f>
        <v/>
      </c>
      <c r="Q11">
        <f>IF(AND(INDEX(input_xe_tham_chieu!$G$2:$G$6,MATCH($D$11,input_xe_tham_chieu!$A$2:$A$6,0))&gt;0,INDEX(boss_input_vu_khi!$E$2:$E$94,MATCH($C$11,boss_input_vu_khi!$A$2:$A$94,0))&gt;0),INDEX(boss_input_vu_khi!$E$2:$E$94,MATCH($C$11,boss_input_vu_khi!$A$2:$A$94,0))/INDEX(input_xe_tham_chieu!$G$2:$G$6,MATCH($D$11,input_xe_tham_chieu!$A$2:$A$6,0)),"")</f>
        <v/>
      </c>
      <c r="R11">
        <f>IF(ISNUMBER($Q$11),IF($P$11&gt;=$Q$11,"DU","THIEU"),"")</f>
        <v/>
      </c>
      <c r="S11" t="inlineStr">
        <is>
          <t>Assets/MachineBrigade/Resources/Data/balance.json: vehicles[id=armored_train].weapon x 01_chien_dau/Xe_tham_chieu[main_battle_tank]</t>
        </is>
      </c>
      <c r="T11" t="inlineStr"/>
    </row>
    <row r="12">
      <c r="A12" t="inlineStr">
        <is>
          <t>bastion_mk0/armored_car</t>
        </is>
      </c>
      <c r="B12" t="inlineStr">
        <is>
          <t>bastion_mk0</t>
        </is>
      </c>
      <c r="C12" t="inlineStr">
        <is>
          <t>p26_bastion_sec_b240</t>
        </is>
      </c>
      <c r="D12" t="inlineStr">
        <is>
          <t>armored_car</t>
        </is>
      </c>
      <c r="E12">
        <f>IF(INDEX(boss_input_vu_khi_suy_ra!$D$2:$D$94,MATCH($C$12,boss_input_vu_khi_suy_ra!$A$2:$A$94,0)),INDEX(input_xe_tham_chieu!$E$2:$E$6,MATCH($D$12,input_xe_tham_chieu!$A$2:$A$6,0)),INDEX(input_xe_tham_chieu!$D$2:$D$6,MATCH($D$12,input_xe_tham_chieu!$A$2:$A$6,0)))</f>
        <v/>
      </c>
      <c r="F12">
        <f>IF(INDEX(boss_input_vu_khi_suy_ra!$E$2:$E$94,MATCH($C$12,boss_input_vu_khi_suy_ra!$A$2:$A$94,0)),INDEX(boss_input_bang_xuyen_giap!$B$2:$B$7,MIN(6,MAX(1,IF(INDEX(boss_input_vu_khi_suy_ra!$D$2:$D$94,MATCH($C$12,boss_input_vu_khi_suy_ra!$A$2:$A$94,0)),MAX(1,2-(INDEX(boss_input_vu_khi!$C$2:$C$94,MATCH($C$12,boss_input_vu_khi!$A$2:$A$94,0))-$E$12)),2-(INDEX(boss_input_vu_khi!$C$2:$C$94,MATCH($C$12,boss_input_vu_khi!$A$2:$A$94,0))-$E$12))+1)))*IF(INDEX(input_xe_tham_chieu!$F$2:$F$6,MATCH($D$12,input_xe_tham_chieu!$A$2:$A$6,0)),INDEX(boss_input_vu_khi_suy_ra!$G$2:$G$94,MATCH($C$12,boss_input_vu_khi_suy_ra!$A$2:$A$94,0)),INDEX(boss_input_vu_khi_suy_ra!$F$2:$F$94,MATCH($C$12,boss_input_vu_khi_suy_ra!$A$2:$A$94,0))),0)</f>
        <v/>
      </c>
      <c r="G12" t="n">
        <v>1</v>
      </c>
      <c r="H12">
        <f>INDEX(boss_input_vu_khi!$B$2:$B$94,MATCH($C$12,boss_input_vu_khi!$A$2:$A$94,0))*INDEX(Boss_dps!$D$2:$D$34,MATCH($B$12,Boss_dps!$A$2:$A$34,0))*IF(INDEX(boss_input_vu_khi!$D$2:$D$94,MATCH($C$12,boss_input_vu_khi!$A$2:$A$94,0)),1,INDEX(Boss_dps!$B$2:$B$34,MATCH($B$12,Boss_dps!$A$2:$A$34,0)))*INDEX(Boss_dps!$C$2:$C$34,MATCH($B$12,Boss_dps!$A$2:$A$34,0))*$F$12</f>
        <v/>
      </c>
      <c r="I12" t="n">
        <v>2931.59856</v>
      </c>
      <c r="J12">
        <f>IF($H$12&gt;0,CEILING(INDEX(input_xe_tham_chieu!$C$2:$C$6,MATCH($D$12,input_xe_tham_chieu!$A$2:$A$6,0))/$H$12,1),"")</f>
        <v/>
      </c>
      <c r="K12">
        <f>IF(Boss_vu_khi!$S$10*$F$12&gt;0,INDEX(input_xe_tham_chieu!$C$2:$C$6,MATCH($D$12,input_xe_tham_chieu!$A$2:$A$6,0))/(Boss_vu_khi!$S$10*INDEX(Boss_dps!$D$2:$D$34,MATCH($B$12,Boss_dps!$A$2:$A$34,0))*$F$12),"")</f>
        <v/>
      </c>
      <c r="L12">
        <f>1+2*MIN(2,FLOOR(INDEX(boss_input_vu_khi!$E$2:$E$94,MATCH($C$12,boss_input_vu_khi!$A$2:$A$94,0))/8,1))</f>
        <v/>
      </c>
      <c r="M12">
        <f>1+2*MIN(2,FLOOR(MAX(INDEX(boss_input_vu_khi!$E$2:$E$94,MATCH($C$12,boss_input_vu_khi!$A$2:$A$94,0)),Boss_vu_khi!$L$10)/8,1))</f>
        <v/>
      </c>
      <c r="N12">
        <f>IF(INDEX(boss_input_vu_khi!$E$2:$E$94,MATCH($C$12,boss_input_vu_khi!$A$2:$A$94,0))&gt;=8,5,1)</f>
        <v/>
      </c>
      <c r="O12">
        <f>IF(MAX(INDEX(boss_input_vu_khi!$E$2:$E$94,MATCH($C$12,boss_input_vu_khi!$A$2:$A$94,0)),Boss_vu_khi!$L$10)&gt;=8,5,1)</f>
        <v/>
      </c>
      <c r="P12">
        <f>INDEX(boss_input_vu_khi_suy_ra!$H$2:$H$94,MATCH($C$12,boss_input_vu_khi_suy_ra!$A$2:$A$94,0))</f>
        <v/>
      </c>
      <c r="Q12">
        <f>IF(AND(INDEX(input_xe_tham_chieu!$G$2:$G$6,MATCH($D$12,input_xe_tham_chieu!$A$2:$A$6,0))&gt;0,INDEX(boss_input_vu_khi!$E$2:$E$94,MATCH($C$12,boss_input_vu_khi!$A$2:$A$94,0))&gt;0),INDEX(boss_input_vu_khi!$E$2:$E$94,MATCH($C$12,boss_input_vu_khi!$A$2:$A$94,0))/INDEX(input_xe_tham_chieu!$G$2:$G$6,MATCH($D$12,input_xe_tham_chieu!$A$2:$A$6,0)),"")</f>
        <v/>
      </c>
      <c r="R12">
        <f>IF(ISNUMBER($Q$12),IF($P$12&gt;=$Q$12,"DU","THIEU"),"")</f>
        <v/>
      </c>
      <c r="S12" t="inlineStr">
        <is>
          <t>Assets/MachineBrigade/Resources/Data/balance.json: vehicles[id=bastion_mk0].weapon x 01_chien_dau/Xe_tham_chieu[armored_car]</t>
        </is>
      </c>
      <c r="T12" t="inlineStr"/>
    </row>
    <row r="13">
      <c r="A13" t="inlineStr">
        <is>
          <t>bastion_mk0/gun_turret</t>
        </is>
      </c>
      <c r="B13" t="inlineStr">
        <is>
          <t>bastion_mk0</t>
        </is>
      </c>
      <c r="C13" t="inlineStr">
        <is>
          <t>p26_bastion_sec_b240</t>
        </is>
      </c>
      <c r="D13" t="inlineStr">
        <is>
          <t>gun_turret</t>
        </is>
      </c>
      <c r="E13">
        <f>IF(INDEX(boss_input_vu_khi_suy_ra!$D$2:$D$94,MATCH($C$13,boss_input_vu_khi_suy_ra!$A$2:$A$94,0)),INDEX(input_xe_tham_chieu!$E$2:$E$6,MATCH($D$13,input_xe_tham_chieu!$A$2:$A$6,0)),INDEX(input_xe_tham_chieu!$D$2:$D$6,MATCH($D$13,input_xe_tham_chieu!$A$2:$A$6,0)))</f>
        <v/>
      </c>
      <c r="F13">
        <f>IF(INDEX(boss_input_vu_khi_suy_ra!$E$2:$E$94,MATCH($C$13,boss_input_vu_khi_suy_ra!$A$2:$A$94,0)),INDEX(boss_input_bang_xuyen_giap!$B$2:$B$7,MIN(6,MAX(1,IF(INDEX(boss_input_vu_khi_suy_ra!$D$2:$D$94,MATCH($C$13,boss_input_vu_khi_suy_ra!$A$2:$A$94,0)),MAX(1,2-(INDEX(boss_input_vu_khi!$C$2:$C$94,MATCH($C$13,boss_input_vu_khi!$A$2:$A$94,0))-$E$13)),2-(INDEX(boss_input_vu_khi!$C$2:$C$94,MATCH($C$13,boss_input_vu_khi!$A$2:$A$94,0))-$E$13))+1)))*IF(INDEX(input_xe_tham_chieu!$F$2:$F$6,MATCH($D$13,input_xe_tham_chieu!$A$2:$A$6,0)),INDEX(boss_input_vu_khi_suy_ra!$G$2:$G$94,MATCH($C$13,boss_input_vu_khi_suy_ra!$A$2:$A$94,0)),INDEX(boss_input_vu_khi_suy_ra!$F$2:$F$94,MATCH($C$13,boss_input_vu_khi_suy_ra!$A$2:$A$94,0))),0)</f>
        <v/>
      </c>
      <c r="G13" t="n">
        <v>1.5</v>
      </c>
      <c r="H13">
        <f>INDEX(boss_input_vu_khi!$B$2:$B$94,MATCH($C$13,boss_input_vu_khi!$A$2:$A$94,0))*INDEX(Boss_dps!$D$2:$D$34,MATCH($B$13,Boss_dps!$A$2:$A$34,0))*IF(INDEX(boss_input_vu_khi!$D$2:$D$94,MATCH($C$13,boss_input_vu_khi!$A$2:$A$94,0)),1,INDEX(Boss_dps!$B$2:$B$34,MATCH($B$13,Boss_dps!$A$2:$A$34,0)))*INDEX(Boss_dps!$C$2:$C$34,MATCH($B$13,Boss_dps!$A$2:$A$34,0))*$F$13</f>
        <v/>
      </c>
      <c r="I13" t="n">
        <v>4397.397840000001</v>
      </c>
      <c r="J13">
        <f>IF($H$13&gt;0,CEILING(INDEX(input_xe_tham_chieu!$C$2:$C$6,MATCH($D$13,input_xe_tham_chieu!$A$2:$A$6,0))/$H$13,1),"")</f>
        <v/>
      </c>
      <c r="K13">
        <f>IF(Boss_vu_khi!$S$10*$F$13&gt;0,INDEX(input_xe_tham_chieu!$C$2:$C$6,MATCH($D$13,input_xe_tham_chieu!$A$2:$A$6,0))/(Boss_vu_khi!$S$10*INDEX(Boss_dps!$D$2:$D$34,MATCH($B$13,Boss_dps!$A$2:$A$34,0))*$F$13),"")</f>
        <v/>
      </c>
      <c r="L13">
        <f>1+2*MIN(2,FLOOR(INDEX(boss_input_vu_khi!$E$2:$E$94,MATCH($C$13,boss_input_vu_khi!$A$2:$A$94,0))/8,1))</f>
        <v/>
      </c>
      <c r="M13">
        <f>1+2*MIN(2,FLOOR(MAX(INDEX(boss_input_vu_khi!$E$2:$E$94,MATCH($C$13,boss_input_vu_khi!$A$2:$A$94,0)),Boss_vu_khi!$L$10)/8,1))</f>
        <v/>
      </c>
      <c r="N13">
        <f>IF(INDEX(boss_input_vu_khi!$E$2:$E$94,MATCH($C$13,boss_input_vu_khi!$A$2:$A$94,0))&gt;=8,5,1)</f>
        <v/>
      </c>
      <c r="O13">
        <f>IF(MAX(INDEX(boss_input_vu_khi!$E$2:$E$94,MATCH($C$13,boss_input_vu_khi!$A$2:$A$94,0)),Boss_vu_khi!$L$10)&gt;=8,5,1)</f>
        <v/>
      </c>
      <c r="P13">
        <f>INDEX(boss_input_vu_khi_suy_ra!$H$2:$H$94,MATCH($C$13,boss_input_vu_khi_suy_ra!$A$2:$A$94,0))</f>
        <v/>
      </c>
      <c r="Q13">
        <f>IF(AND(INDEX(input_xe_tham_chieu!$G$2:$G$6,MATCH($D$13,input_xe_tham_chieu!$A$2:$A$6,0))&gt;0,INDEX(boss_input_vu_khi!$E$2:$E$94,MATCH($C$13,boss_input_vu_khi!$A$2:$A$94,0))&gt;0),INDEX(boss_input_vu_khi!$E$2:$E$94,MATCH($C$13,boss_input_vu_khi!$A$2:$A$94,0))/INDEX(input_xe_tham_chieu!$G$2:$G$6,MATCH($D$13,input_xe_tham_chieu!$A$2:$A$6,0)),"")</f>
        <v/>
      </c>
      <c r="R13">
        <f>IF(ISNUMBER($Q$13),IF($P$13&gt;=$Q$13,"DU","THIEU"),"")</f>
        <v/>
      </c>
      <c r="S13" t="inlineStr">
        <is>
          <t>Assets/MachineBrigade/Resources/Data/balance.json: vehicles[id=bastion_mk0].weapon x 01_chien_dau/Xe_tham_chieu[gun_turret]</t>
        </is>
      </c>
      <c r="T13" t="inlineStr"/>
    </row>
    <row r="14">
      <c r="A14" t="inlineStr">
        <is>
          <t>bastion_mk0/heavy_tank</t>
        </is>
      </c>
      <c r="B14" t="inlineStr">
        <is>
          <t>bastion_mk0</t>
        </is>
      </c>
      <c r="C14" t="inlineStr">
        <is>
          <t>p26_bastion_sec_b240</t>
        </is>
      </c>
      <c r="D14" t="inlineStr">
        <is>
          <t>heavy_tank</t>
        </is>
      </c>
      <c r="E14">
        <f>IF(INDEX(boss_input_vu_khi_suy_ra!$D$2:$D$94,MATCH($C$14,boss_input_vu_khi_suy_ra!$A$2:$A$94,0)),INDEX(input_xe_tham_chieu!$E$2:$E$6,MATCH($D$14,input_xe_tham_chieu!$A$2:$A$6,0)),INDEX(input_xe_tham_chieu!$D$2:$D$6,MATCH($D$14,input_xe_tham_chieu!$A$2:$A$6,0)))</f>
        <v/>
      </c>
      <c r="F14">
        <f>IF(INDEX(boss_input_vu_khi_suy_ra!$E$2:$E$94,MATCH($C$14,boss_input_vu_khi_suy_ra!$A$2:$A$94,0)),INDEX(boss_input_bang_xuyen_giap!$B$2:$B$7,MIN(6,MAX(1,IF(INDEX(boss_input_vu_khi_suy_ra!$D$2:$D$94,MATCH($C$14,boss_input_vu_khi_suy_ra!$A$2:$A$94,0)),MAX(1,2-(INDEX(boss_input_vu_khi!$C$2:$C$94,MATCH($C$14,boss_input_vu_khi!$A$2:$A$94,0))-$E$14)),2-(INDEX(boss_input_vu_khi!$C$2:$C$94,MATCH($C$14,boss_input_vu_khi!$A$2:$A$94,0))-$E$14))+1)))*IF(INDEX(input_xe_tham_chieu!$F$2:$F$6,MATCH($D$14,input_xe_tham_chieu!$A$2:$A$6,0)),INDEX(boss_input_vu_khi_suy_ra!$G$2:$G$94,MATCH($C$14,boss_input_vu_khi_suy_ra!$A$2:$A$94,0)),INDEX(boss_input_vu_khi_suy_ra!$F$2:$F$94,MATCH($C$14,boss_input_vu_khi_suy_ra!$A$2:$A$94,0))),0)</f>
        <v/>
      </c>
      <c r="G14" t="n">
        <v>1</v>
      </c>
      <c r="H14">
        <f>INDEX(boss_input_vu_khi!$B$2:$B$94,MATCH($C$14,boss_input_vu_khi!$A$2:$A$94,0))*INDEX(Boss_dps!$D$2:$D$34,MATCH($B$14,Boss_dps!$A$2:$A$34,0))*IF(INDEX(boss_input_vu_khi!$D$2:$D$94,MATCH($C$14,boss_input_vu_khi!$A$2:$A$94,0)),1,INDEX(Boss_dps!$B$2:$B$34,MATCH($B$14,Boss_dps!$A$2:$A$34,0)))*INDEX(Boss_dps!$C$2:$C$34,MATCH($B$14,Boss_dps!$A$2:$A$34,0))*$F$14</f>
        <v/>
      </c>
      <c r="I14" t="n">
        <v>2931.59856</v>
      </c>
      <c r="J14">
        <f>IF($H$14&gt;0,CEILING(INDEX(input_xe_tham_chieu!$C$2:$C$6,MATCH($D$14,input_xe_tham_chieu!$A$2:$A$6,0))/$H$14,1),"")</f>
        <v/>
      </c>
      <c r="K14">
        <f>IF(Boss_vu_khi!$S$10*$F$14&gt;0,INDEX(input_xe_tham_chieu!$C$2:$C$6,MATCH($D$14,input_xe_tham_chieu!$A$2:$A$6,0))/(Boss_vu_khi!$S$10*INDEX(Boss_dps!$D$2:$D$34,MATCH($B$14,Boss_dps!$A$2:$A$34,0))*$F$14),"")</f>
        <v/>
      </c>
      <c r="L14">
        <f>1+2*MIN(2,FLOOR(INDEX(boss_input_vu_khi!$E$2:$E$94,MATCH($C$14,boss_input_vu_khi!$A$2:$A$94,0))/8,1))</f>
        <v/>
      </c>
      <c r="M14">
        <f>1+2*MIN(2,FLOOR(MAX(INDEX(boss_input_vu_khi!$E$2:$E$94,MATCH($C$14,boss_input_vu_khi!$A$2:$A$94,0)),Boss_vu_khi!$L$10)/8,1))</f>
        <v/>
      </c>
      <c r="N14">
        <f>IF(INDEX(boss_input_vu_khi!$E$2:$E$94,MATCH($C$14,boss_input_vu_khi!$A$2:$A$94,0))&gt;=8,5,1)</f>
        <v/>
      </c>
      <c r="O14">
        <f>IF(MAX(INDEX(boss_input_vu_khi!$E$2:$E$94,MATCH($C$14,boss_input_vu_khi!$A$2:$A$94,0)),Boss_vu_khi!$L$10)&gt;=8,5,1)</f>
        <v/>
      </c>
      <c r="P14">
        <f>INDEX(boss_input_vu_khi_suy_ra!$H$2:$H$94,MATCH($C$14,boss_input_vu_khi_suy_ra!$A$2:$A$94,0))</f>
        <v/>
      </c>
      <c r="Q14">
        <f>IF(AND(INDEX(input_xe_tham_chieu!$G$2:$G$6,MATCH($D$14,input_xe_tham_chieu!$A$2:$A$6,0))&gt;0,INDEX(boss_input_vu_khi!$E$2:$E$94,MATCH($C$14,boss_input_vu_khi!$A$2:$A$94,0))&gt;0),INDEX(boss_input_vu_khi!$E$2:$E$94,MATCH($C$14,boss_input_vu_khi!$A$2:$A$94,0))/INDEX(input_xe_tham_chieu!$G$2:$G$6,MATCH($D$14,input_xe_tham_chieu!$A$2:$A$6,0)),"")</f>
        <v/>
      </c>
      <c r="R14">
        <f>IF(ISNUMBER($Q$14),IF($P$14&gt;=$Q$14,"DU","THIEU"),"")</f>
        <v/>
      </c>
      <c r="S14" t="inlineStr">
        <is>
          <t>Assets/MachineBrigade/Resources/Data/balance.json: vehicles[id=bastion_mk0].weapon x 01_chien_dau/Xe_tham_chieu[heavy_tank]</t>
        </is>
      </c>
      <c r="T14" t="inlineStr"/>
    </row>
    <row r="15">
      <c r="A15" t="inlineStr">
        <is>
          <t>bastion_mk0/ifv</t>
        </is>
      </c>
      <c r="B15" t="inlineStr">
        <is>
          <t>bastion_mk0</t>
        </is>
      </c>
      <c r="C15" t="inlineStr">
        <is>
          <t>p26_bastion_sec_b240</t>
        </is>
      </c>
      <c r="D15" t="inlineStr">
        <is>
          <t>ifv</t>
        </is>
      </c>
      <c r="E15">
        <f>IF(INDEX(boss_input_vu_khi_suy_ra!$D$2:$D$94,MATCH($C$15,boss_input_vu_khi_suy_ra!$A$2:$A$94,0)),INDEX(input_xe_tham_chieu!$E$2:$E$6,MATCH($D$15,input_xe_tham_chieu!$A$2:$A$6,0)),INDEX(input_xe_tham_chieu!$D$2:$D$6,MATCH($D$15,input_xe_tham_chieu!$A$2:$A$6,0)))</f>
        <v/>
      </c>
      <c r="F15">
        <f>IF(INDEX(boss_input_vu_khi_suy_ra!$E$2:$E$94,MATCH($C$15,boss_input_vu_khi_suy_ra!$A$2:$A$94,0)),INDEX(boss_input_bang_xuyen_giap!$B$2:$B$7,MIN(6,MAX(1,IF(INDEX(boss_input_vu_khi_suy_ra!$D$2:$D$94,MATCH($C$15,boss_input_vu_khi_suy_ra!$A$2:$A$94,0)),MAX(1,2-(INDEX(boss_input_vu_khi!$C$2:$C$94,MATCH($C$15,boss_input_vu_khi!$A$2:$A$94,0))-$E$15)),2-(INDEX(boss_input_vu_khi!$C$2:$C$94,MATCH($C$15,boss_input_vu_khi!$A$2:$A$94,0))-$E$15))+1)))*IF(INDEX(input_xe_tham_chieu!$F$2:$F$6,MATCH($D$15,input_xe_tham_chieu!$A$2:$A$6,0)),INDEX(boss_input_vu_khi_suy_ra!$G$2:$G$94,MATCH($C$15,boss_input_vu_khi_suy_ra!$A$2:$A$94,0)),INDEX(boss_input_vu_khi_suy_ra!$F$2:$F$94,MATCH($C$15,boss_input_vu_khi_suy_ra!$A$2:$A$94,0))),0)</f>
        <v/>
      </c>
      <c r="G15" t="n">
        <v>1</v>
      </c>
      <c r="H15">
        <f>INDEX(boss_input_vu_khi!$B$2:$B$94,MATCH($C$15,boss_input_vu_khi!$A$2:$A$94,0))*INDEX(Boss_dps!$D$2:$D$34,MATCH($B$15,Boss_dps!$A$2:$A$34,0))*IF(INDEX(boss_input_vu_khi!$D$2:$D$94,MATCH($C$15,boss_input_vu_khi!$A$2:$A$94,0)),1,INDEX(Boss_dps!$B$2:$B$34,MATCH($B$15,Boss_dps!$A$2:$A$34,0)))*INDEX(Boss_dps!$C$2:$C$34,MATCH($B$15,Boss_dps!$A$2:$A$34,0))*$F$15</f>
        <v/>
      </c>
      <c r="I15" t="n">
        <v>2931.59856</v>
      </c>
      <c r="J15">
        <f>IF($H$15&gt;0,CEILING(INDEX(input_xe_tham_chieu!$C$2:$C$6,MATCH($D$15,input_xe_tham_chieu!$A$2:$A$6,0))/$H$15,1),"")</f>
        <v/>
      </c>
      <c r="K15">
        <f>IF(Boss_vu_khi!$S$10*$F$15&gt;0,INDEX(input_xe_tham_chieu!$C$2:$C$6,MATCH($D$15,input_xe_tham_chieu!$A$2:$A$6,0))/(Boss_vu_khi!$S$10*INDEX(Boss_dps!$D$2:$D$34,MATCH($B$15,Boss_dps!$A$2:$A$34,0))*$F$15),"")</f>
        <v/>
      </c>
      <c r="L15">
        <f>1+2*MIN(2,FLOOR(INDEX(boss_input_vu_khi!$E$2:$E$94,MATCH($C$15,boss_input_vu_khi!$A$2:$A$94,0))/8,1))</f>
        <v/>
      </c>
      <c r="M15">
        <f>1+2*MIN(2,FLOOR(MAX(INDEX(boss_input_vu_khi!$E$2:$E$94,MATCH($C$15,boss_input_vu_khi!$A$2:$A$94,0)),Boss_vu_khi!$L$10)/8,1))</f>
        <v/>
      </c>
      <c r="N15">
        <f>IF(INDEX(boss_input_vu_khi!$E$2:$E$94,MATCH($C$15,boss_input_vu_khi!$A$2:$A$94,0))&gt;=8,5,1)</f>
        <v/>
      </c>
      <c r="O15">
        <f>IF(MAX(INDEX(boss_input_vu_khi!$E$2:$E$94,MATCH($C$15,boss_input_vu_khi!$A$2:$A$94,0)),Boss_vu_khi!$L$10)&gt;=8,5,1)</f>
        <v/>
      </c>
      <c r="P15">
        <f>INDEX(boss_input_vu_khi_suy_ra!$H$2:$H$94,MATCH($C$15,boss_input_vu_khi_suy_ra!$A$2:$A$94,0))</f>
        <v/>
      </c>
      <c r="Q15">
        <f>IF(AND(INDEX(input_xe_tham_chieu!$G$2:$G$6,MATCH($D$15,input_xe_tham_chieu!$A$2:$A$6,0))&gt;0,INDEX(boss_input_vu_khi!$E$2:$E$94,MATCH($C$15,boss_input_vu_khi!$A$2:$A$94,0))&gt;0),INDEX(boss_input_vu_khi!$E$2:$E$94,MATCH($C$15,boss_input_vu_khi!$A$2:$A$94,0))/INDEX(input_xe_tham_chieu!$G$2:$G$6,MATCH($D$15,input_xe_tham_chieu!$A$2:$A$6,0)),"")</f>
        <v/>
      </c>
      <c r="R15">
        <f>IF(ISNUMBER($Q$15),IF($P$15&gt;=$Q$15,"DU","THIEU"),"")</f>
        <v/>
      </c>
      <c r="S15" t="inlineStr">
        <is>
          <t>Assets/MachineBrigade/Resources/Data/balance.json: vehicles[id=bastion_mk0].weapon x 01_chien_dau/Xe_tham_chieu[ifv]</t>
        </is>
      </c>
      <c r="T15" t="inlineStr"/>
    </row>
    <row r="16">
      <c r="A16" t="inlineStr">
        <is>
          <t>bastion_mk0/main_battle_tank</t>
        </is>
      </c>
      <c r="B16" t="inlineStr">
        <is>
          <t>bastion_mk0</t>
        </is>
      </c>
      <c r="C16" t="inlineStr">
        <is>
          <t>p26_bastion_sec_b240</t>
        </is>
      </c>
      <c r="D16" t="inlineStr">
        <is>
          <t>main_battle_tank</t>
        </is>
      </c>
      <c r="E16">
        <f>IF(INDEX(boss_input_vu_khi_suy_ra!$D$2:$D$94,MATCH($C$16,boss_input_vu_khi_suy_ra!$A$2:$A$94,0)),INDEX(input_xe_tham_chieu!$E$2:$E$6,MATCH($D$16,input_xe_tham_chieu!$A$2:$A$6,0)),INDEX(input_xe_tham_chieu!$D$2:$D$6,MATCH($D$16,input_xe_tham_chieu!$A$2:$A$6,0)))</f>
        <v/>
      </c>
      <c r="F16">
        <f>IF(INDEX(boss_input_vu_khi_suy_ra!$E$2:$E$94,MATCH($C$16,boss_input_vu_khi_suy_ra!$A$2:$A$94,0)),INDEX(boss_input_bang_xuyen_giap!$B$2:$B$7,MIN(6,MAX(1,IF(INDEX(boss_input_vu_khi_suy_ra!$D$2:$D$94,MATCH($C$16,boss_input_vu_khi_suy_ra!$A$2:$A$94,0)),MAX(1,2-(INDEX(boss_input_vu_khi!$C$2:$C$94,MATCH($C$16,boss_input_vu_khi!$A$2:$A$94,0))-$E$16)),2-(INDEX(boss_input_vu_khi!$C$2:$C$94,MATCH($C$16,boss_input_vu_khi!$A$2:$A$94,0))-$E$16))+1)))*IF(INDEX(input_xe_tham_chieu!$F$2:$F$6,MATCH($D$16,input_xe_tham_chieu!$A$2:$A$6,0)),INDEX(boss_input_vu_khi_suy_ra!$G$2:$G$94,MATCH($C$16,boss_input_vu_khi_suy_ra!$A$2:$A$94,0)),INDEX(boss_input_vu_khi_suy_ra!$F$2:$F$94,MATCH($C$16,boss_input_vu_khi_suy_ra!$A$2:$A$94,0))),0)</f>
        <v/>
      </c>
      <c r="G16" t="n">
        <v>1</v>
      </c>
      <c r="H16">
        <f>INDEX(boss_input_vu_khi!$B$2:$B$94,MATCH($C$16,boss_input_vu_khi!$A$2:$A$94,0))*INDEX(Boss_dps!$D$2:$D$34,MATCH($B$16,Boss_dps!$A$2:$A$34,0))*IF(INDEX(boss_input_vu_khi!$D$2:$D$94,MATCH($C$16,boss_input_vu_khi!$A$2:$A$94,0)),1,INDEX(Boss_dps!$B$2:$B$34,MATCH($B$16,Boss_dps!$A$2:$A$34,0)))*INDEX(Boss_dps!$C$2:$C$34,MATCH($B$16,Boss_dps!$A$2:$A$34,0))*$F$16</f>
        <v/>
      </c>
      <c r="I16" t="n">
        <v>2931.59856</v>
      </c>
      <c r="J16">
        <f>IF($H$16&gt;0,CEILING(INDEX(input_xe_tham_chieu!$C$2:$C$6,MATCH($D$16,input_xe_tham_chieu!$A$2:$A$6,0))/$H$16,1),"")</f>
        <v/>
      </c>
      <c r="K16">
        <f>IF(Boss_vu_khi!$S$10*$F$16&gt;0,INDEX(input_xe_tham_chieu!$C$2:$C$6,MATCH($D$16,input_xe_tham_chieu!$A$2:$A$6,0))/(Boss_vu_khi!$S$10*INDEX(Boss_dps!$D$2:$D$34,MATCH($B$16,Boss_dps!$A$2:$A$34,0))*$F$16),"")</f>
        <v/>
      </c>
      <c r="L16">
        <f>1+2*MIN(2,FLOOR(INDEX(boss_input_vu_khi!$E$2:$E$94,MATCH($C$16,boss_input_vu_khi!$A$2:$A$94,0))/8,1))</f>
        <v/>
      </c>
      <c r="M16">
        <f>1+2*MIN(2,FLOOR(MAX(INDEX(boss_input_vu_khi!$E$2:$E$94,MATCH($C$16,boss_input_vu_khi!$A$2:$A$94,0)),Boss_vu_khi!$L$10)/8,1))</f>
        <v/>
      </c>
      <c r="N16">
        <f>IF(INDEX(boss_input_vu_khi!$E$2:$E$94,MATCH($C$16,boss_input_vu_khi!$A$2:$A$94,0))&gt;=8,5,1)</f>
        <v/>
      </c>
      <c r="O16">
        <f>IF(MAX(INDEX(boss_input_vu_khi!$E$2:$E$94,MATCH($C$16,boss_input_vu_khi!$A$2:$A$94,0)),Boss_vu_khi!$L$10)&gt;=8,5,1)</f>
        <v/>
      </c>
      <c r="P16">
        <f>INDEX(boss_input_vu_khi_suy_ra!$H$2:$H$94,MATCH($C$16,boss_input_vu_khi_suy_ra!$A$2:$A$94,0))</f>
        <v/>
      </c>
      <c r="Q16">
        <f>IF(AND(INDEX(input_xe_tham_chieu!$G$2:$G$6,MATCH($D$16,input_xe_tham_chieu!$A$2:$A$6,0))&gt;0,INDEX(boss_input_vu_khi!$E$2:$E$94,MATCH($C$16,boss_input_vu_khi!$A$2:$A$94,0))&gt;0),INDEX(boss_input_vu_khi!$E$2:$E$94,MATCH($C$16,boss_input_vu_khi!$A$2:$A$94,0))/INDEX(input_xe_tham_chieu!$G$2:$G$6,MATCH($D$16,input_xe_tham_chieu!$A$2:$A$6,0)),"")</f>
        <v/>
      </c>
      <c r="R16">
        <f>IF(ISNUMBER($Q$16),IF($P$16&gt;=$Q$16,"DU","THIEU"),"")</f>
        <v/>
      </c>
      <c r="S16" t="inlineStr">
        <is>
          <t>Assets/MachineBrigade/Resources/Data/balance.json: vehicles[id=bastion_mk0].weapon x 01_chien_dau/Xe_tham_chieu[main_battle_tank]</t>
        </is>
      </c>
      <c r="T16" t="inlineStr"/>
    </row>
    <row r="17">
      <c r="A17" t="inlineStr">
        <is>
          <t>behemoth/armored_car</t>
        </is>
      </c>
      <c r="B17" t="inlineStr">
        <is>
          <t>behemoth</t>
        </is>
      </c>
      <c r="C17" t="inlineStr">
        <is>
          <t>p26_behemoth_main_be152</t>
        </is>
      </c>
      <c r="D17" t="inlineStr">
        <is>
          <t>armored_car</t>
        </is>
      </c>
      <c r="E17">
        <f>IF(INDEX(boss_input_vu_khi_suy_ra!$D$2:$D$94,MATCH($C$17,boss_input_vu_khi_suy_ra!$A$2:$A$94,0)),INDEX(input_xe_tham_chieu!$E$2:$E$6,MATCH($D$17,input_xe_tham_chieu!$A$2:$A$6,0)),INDEX(input_xe_tham_chieu!$D$2:$D$6,MATCH($D$17,input_xe_tham_chieu!$A$2:$A$6,0)))</f>
        <v/>
      </c>
      <c r="F17">
        <f>IF(INDEX(boss_input_vu_khi_suy_ra!$E$2:$E$94,MATCH($C$17,boss_input_vu_khi_suy_ra!$A$2:$A$94,0)),INDEX(boss_input_bang_xuyen_giap!$B$2:$B$7,MIN(6,MAX(1,IF(INDEX(boss_input_vu_khi_suy_ra!$D$2:$D$94,MATCH($C$17,boss_input_vu_khi_suy_ra!$A$2:$A$94,0)),MAX(1,2-(INDEX(boss_input_vu_khi!$C$2:$C$94,MATCH($C$17,boss_input_vu_khi!$A$2:$A$94,0))-$E$17)),2-(INDEX(boss_input_vu_khi!$C$2:$C$94,MATCH($C$17,boss_input_vu_khi!$A$2:$A$94,0))-$E$17))+1)))*IF(INDEX(input_xe_tham_chieu!$F$2:$F$6,MATCH($D$17,input_xe_tham_chieu!$A$2:$A$6,0)),INDEX(boss_input_vu_khi_suy_ra!$G$2:$G$94,MATCH($C$17,boss_input_vu_khi_suy_ra!$A$2:$A$94,0)),INDEX(boss_input_vu_khi_suy_ra!$F$2:$F$94,MATCH($C$17,boss_input_vu_khi_suy_ra!$A$2:$A$94,0))),0)</f>
        <v/>
      </c>
      <c r="G17" t="n">
        <v>1.2</v>
      </c>
      <c r="H17">
        <f>INDEX(boss_input_vu_khi!$B$2:$B$94,MATCH($C$17,boss_input_vu_khi!$A$2:$A$94,0))*INDEX(Boss_dps!$D$2:$D$34,MATCH($B$17,Boss_dps!$A$2:$A$34,0))*IF(INDEX(boss_input_vu_khi!$D$2:$D$94,MATCH($C$17,boss_input_vu_khi!$A$2:$A$94,0)),1,INDEX(Boss_dps!$B$2:$B$34,MATCH($B$17,Boss_dps!$A$2:$A$34,0)))*INDEX(Boss_dps!$C$2:$C$34,MATCH($B$17,Boss_dps!$A$2:$A$34,0))*$F$17</f>
        <v/>
      </c>
      <c r="I17" t="n">
        <v>1008</v>
      </c>
      <c r="J17">
        <f>IF($H$17&gt;0,CEILING(INDEX(input_xe_tham_chieu!$C$2:$C$6,MATCH($D$17,input_xe_tham_chieu!$A$2:$A$6,0))/$H$17,1),"")</f>
        <v/>
      </c>
      <c r="K17">
        <f>IF(Boss_vu_khi!$S$13*$F$17&gt;0,INDEX(input_xe_tham_chieu!$C$2:$C$6,MATCH($D$17,input_xe_tham_chieu!$A$2:$A$6,0))/(Boss_vu_khi!$S$13*INDEX(Boss_dps!$D$2:$D$34,MATCH($B$17,Boss_dps!$A$2:$A$34,0))*$F$17),"")</f>
        <v/>
      </c>
      <c r="L17">
        <f>1+2*MIN(2,FLOOR(INDEX(boss_input_vu_khi!$E$2:$E$94,MATCH($C$17,boss_input_vu_khi!$A$2:$A$94,0))/8,1))</f>
        <v/>
      </c>
      <c r="M17">
        <f>1+2*MIN(2,FLOOR(MAX(INDEX(boss_input_vu_khi!$E$2:$E$94,MATCH($C$17,boss_input_vu_khi!$A$2:$A$94,0)),Boss_vu_khi!$L$13)/8,1))</f>
        <v/>
      </c>
      <c r="N17">
        <f>IF(INDEX(boss_input_vu_khi!$E$2:$E$94,MATCH($C$17,boss_input_vu_khi!$A$2:$A$94,0))&gt;=8,5,1)</f>
        <v/>
      </c>
      <c r="O17">
        <f>IF(MAX(INDEX(boss_input_vu_khi!$E$2:$E$94,MATCH($C$17,boss_input_vu_khi!$A$2:$A$94,0)),Boss_vu_khi!$L$13)&gt;=8,5,1)</f>
        <v/>
      </c>
      <c r="P17">
        <f>INDEX(boss_input_vu_khi_suy_ra!$H$2:$H$94,MATCH($C$17,boss_input_vu_khi_suy_ra!$A$2:$A$94,0))</f>
        <v/>
      </c>
      <c r="Q17">
        <f>IF(AND(INDEX(input_xe_tham_chieu!$G$2:$G$6,MATCH($D$17,input_xe_tham_chieu!$A$2:$A$6,0))&gt;0,INDEX(boss_input_vu_khi!$E$2:$E$94,MATCH($C$17,boss_input_vu_khi!$A$2:$A$94,0))&gt;0),INDEX(boss_input_vu_khi!$E$2:$E$94,MATCH($C$17,boss_input_vu_khi!$A$2:$A$94,0))/INDEX(input_xe_tham_chieu!$G$2:$G$6,MATCH($D$17,input_xe_tham_chieu!$A$2:$A$6,0)),"")</f>
        <v/>
      </c>
      <c r="R17">
        <f>IF(ISNUMBER($Q$17),IF($P$17&gt;=$Q$17,"DU","THIEU"),"")</f>
        <v/>
      </c>
      <c r="S17" t="inlineStr">
        <is>
          <t>Assets/MachineBrigade/Resources/Data/balance.json: vehicles[id=behemoth].weapon x 01_chien_dau/Xe_tham_chieu[armored_car]</t>
        </is>
      </c>
      <c r="T17" t="inlineStr"/>
    </row>
    <row r="18">
      <c r="A18" t="inlineStr">
        <is>
          <t>behemoth/gun_turret</t>
        </is>
      </c>
      <c r="B18" t="inlineStr">
        <is>
          <t>behemoth</t>
        </is>
      </c>
      <c r="C18" t="inlineStr">
        <is>
          <t>p26_behemoth_main_be152</t>
        </is>
      </c>
      <c r="D18" t="inlineStr">
        <is>
          <t>gun_turret</t>
        </is>
      </c>
      <c r="E18">
        <f>IF(INDEX(boss_input_vu_khi_suy_ra!$D$2:$D$94,MATCH($C$18,boss_input_vu_khi_suy_ra!$A$2:$A$94,0)),INDEX(input_xe_tham_chieu!$E$2:$E$6,MATCH($D$18,input_xe_tham_chieu!$A$2:$A$6,0)),INDEX(input_xe_tham_chieu!$D$2:$D$6,MATCH($D$18,input_xe_tham_chieu!$A$2:$A$6,0)))</f>
        <v/>
      </c>
      <c r="F18">
        <f>IF(INDEX(boss_input_vu_khi_suy_ra!$E$2:$E$94,MATCH($C$18,boss_input_vu_khi_suy_ra!$A$2:$A$94,0)),INDEX(boss_input_bang_xuyen_giap!$B$2:$B$7,MIN(6,MAX(1,IF(INDEX(boss_input_vu_khi_suy_ra!$D$2:$D$94,MATCH($C$18,boss_input_vu_khi_suy_ra!$A$2:$A$94,0)),MAX(1,2-(INDEX(boss_input_vu_khi!$C$2:$C$94,MATCH($C$18,boss_input_vu_khi!$A$2:$A$94,0))-$E$18)),2-(INDEX(boss_input_vu_khi!$C$2:$C$94,MATCH($C$18,boss_input_vu_khi!$A$2:$A$94,0))-$E$18))+1)))*IF(INDEX(input_xe_tham_chieu!$F$2:$F$6,MATCH($D$18,input_xe_tham_chieu!$A$2:$A$6,0)),INDEX(boss_input_vu_khi_suy_ra!$G$2:$G$94,MATCH($C$18,boss_input_vu_khi_suy_ra!$A$2:$A$94,0)),INDEX(boss_input_vu_khi_suy_ra!$F$2:$F$94,MATCH($C$18,boss_input_vu_khi_suy_ra!$A$2:$A$94,0))),0)</f>
        <v/>
      </c>
      <c r="G18" t="n">
        <v>1.275</v>
      </c>
      <c r="H18">
        <f>INDEX(boss_input_vu_khi!$B$2:$B$94,MATCH($C$18,boss_input_vu_khi!$A$2:$A$94,0))*INDEX(Boss_dps!$D$2:$D$34,MATCH($B$18,Boss_dps!$A$2:$A$34,0))*IF(INDEX(boss_input_vu_khi!$D$2:$D$94,MATCH($C$18,boss_input_vu_khi!$A$2:$A$94,0)),1,INDEX(Boss_dps!$B$2:$B$34,MATCH($B$18,Boss_dps!$A$2:$A$34,0)))*INDEX(Boss_dps!$C$2:$C$34,MATCH($B$18,Boss_dps!$A$2:$A$34,0))*$F$18</f>
        <v/>
      </c>
      <c r="I18" t="n">
        <v>1071</v>
      </c>
      <c r="J18">
        <f>IF($H$18&gt;0,CEILING(INDEX(input_xe_tham_chieu!$C$2:$C$6,MATCH($D$18,input_xe_tham_chieu!$A$2:$A$6,0))/$H$18,1),"")</f>
        <v/>
      </c>
      <c r="K18">
        <f>IF(Boss_vu_khi!$S$13*$F$18&gt;0,INDEX(input_xe_tham_chieu!$C$2:$C$6,MATCH($D$18,input_xe_tham_chieu!$A$2:$A$6,0))/(Boss_vu_khi!$S$13*INDEX(Boss_dps!$D$2:$D$34,MATCH($B$18,Boss_dps!$A$2:$A$34,0))*$F$18),"")</f>
        <v/>
      </c>
      <c r="L18">
        <f>1+2*MIN(2,FLOOR(INDEX(boss_input_vu_khi!$E$2:$E$94,MATCH($C$18,boss_input_vu_khi!$A$2:$A$94,0))/8,1))</f>
        <v/>
      </c>
      <c r="M18">
        <f>1+2*MIN(2,FLOOR(MAX(INDEX(boss_input_vu_khi!$E$2:$E$94,MATCH($C$18,boss_input_vu_khi!$A$2:$A$94,0)),Boss_vu_khi!$L$13)/8,1))</f>
        <v/>
      </c>
      <c r="N18">
        <f>IF(INDEX(boss_input_vu_khi!$E$2:$E$94,MATCH($C$18,boss_input_vu_khi!$A$2:$A$94,0))&gt;=8,5,1)</f>
        <v/>
      </c>
      <c r="O18">
        <f>IF(MAX(INDEX(boss_input_vu_khi!$E$2:$E$94,MATCH($C$18,boss_input_vu_khi!$A$2:$A$94,0)),Boss_vu_khi!$L$13)&gt;=8,5,1)</f>
        <v/>
      </c>
      <c r="P18">
        <f>INDEX(boss_input_vu_khi_suy_ra!$H$2:$H$94,MATCH($C$18,boss_input_vu_khi_suy_ra!$A$2:$A$94,0))</f>
        <v/>
      </c>
      <c r="Q18">
        <f>IF(AND(INDEX(input_xe_tham_chieu!$G$2:$G$6,MATCH($D$18,input_xe_tham_chieu!$A$2:$A$6,0))&gt;0,INDEX(boss_input_vu_khi!$E$2:$E$94,MATCH($C$18,boss_input_vu_khi!$A$2:$A$94,0))&gt;0),INDEX(boss_input_vu_khi!$E$2:$E$94,MATCH($C$18,boss_input_vu_khi!$A$2:$A$94,0))/INDEX(input_xe_tham_chieu!$G$2:$G$6,MATCH($D$18,input_xe_tham_chieu!$A$2:$A$6,0)),"")</f>
        <v/>
      </c>
      <c r="R18">
        <f>IF(ISNUMBER($Q$18),IF($P$18&gt;=$Q$18,"DU","THIEU"),"")</f>
        <v/>
      </c>
      <c r="S18" t="inlineStr">
        <is>
          <t>Assets/MachineBrigade/Resources/Data/balance.json: vehicles[id=behemoth].weapon x 01_chien_dau/Xe_tham_chieu[gun_turret]</t>
        </is>
      </c>
      <c r="T18" t="inlineStr"/>
    </row>
    <row r="19">
      <c r="A19" t="inlineStr">
        <is>
          <t>behemoth/heavy_tank</t>
        </is>
      </c>
      <c r="B19" t="inlineStr">
        <is>
          <t>behemoth</t>
        </is>
      </c>
      <c r="C19" t="inlineStr">
        <is>
          <t>p26_behemoth_main_be152</t>
        </is>
      </c>
      <c r="D19" t="inlineStr">
        <is>
          <t>heavy_tank</t>
        </is>
      </c>
      <c r="E19">
        <f>IF(INDEX(boss_input_vu_khi_suy_ra!$D$2:$D$94,MATCH($C$19,boss_input_vu_khi_suy_ra!$A$2:$A$94,0)),INDEX(input_xe_tham_chieu!$E$2:$E$6,MATCH($D$19,input_xe_tham_chieu!$A$2:$A$6,0)),INDEX(input_xe_tham_chieu!$D$2:$D$6,MATCH($D$19,input_xe_tham_chieu!$A$2:$A$6,0)))</f>
        <v/>
      </c>
      <c r="F19">
        <f>IF(INDEX(boss_input_vu_khi_suy_ra!$E$2:$E$94,MATCH($C$19,boss_input_vu_khi_suy_ra!$A$2:$A$94,0)),INDEX(boss_input_bang_xuyen_giap!$B$2:$B$7,MIN(6,MAX(1,IF(INDEX(boss_input_vu_khi_suy_ra!$D$2:$D$94,MATCH($C$19,boss_input_vu_khi_suy_ra!$A$2:$A$94,0)),MAX(1,2-(INDEX(boss_input_vu_khi!$C$2:$C$94,MATCH($C$19,boss_input_vu_khi!$A$2:$A$94,0))-$E$19)),2-(INDEX(boss_input_vu_khi!$C$2:$C$94,MATCH($C$19,boss_input_vu_khi!$A$2:$A$94,0))-$E$19))+1)))*IF(INDEX(input_xe_tham_chieu!$F$2:$F$6,MATCH($D$19,input_xe_tham_chieu!$A$2:$A$6,0)),INDEX(boss_input_vu_khi_suy_ra!$G$2:$G$94,MATCH($C$19,boss_input_vu_khi_suy_ra!$A$2:$A$94,0)),INDEX(boss_input_vu_khi_suy_ra!$F$2:$F$94,MATCH($C$19,boss_input_vu_khi_suy_ra!$A$2:$A$94,0))),0)</f>
        <v/>
      </c>
      <c r="G19" t="n">
        <v>0.5</v>
      </c>
      <c r="H19">
        <f>INDEX(boss_input_vu_khi!$B$2:$B$94,MATCH($C$19,boss_input_vu_khi!$A$2:$A$94,0))*INDEX(Boss_dps!$D$2:$D$34,MATCH($B$19,Boss_dps!$A$2:$A$34,0))*IF(INDEX(boss_input_vu_khi!$D$2:$D$94,MATCH($C$19,boss_input_vu_khi!$A$2:$A$94,0)),1,INDEX(Boss_dps!$B$2:$B$34,MATCH($B$19,Boss_dps!$A$2:$A$34,0)))*INDEX(Boss_dps!$C$2:$C$34,MATCH($B$19,Boss_dps!$A$2:$A$34,0))*$F$19</f>
        <v/>
      </c>
      <c r="I19" t="n">
        <v>420</v>
      </c>
      <c r="J19">
        <f>IF($H$19&gt;0,CEILING(INDEX(input_xe_tham_chieu!$C$2:$C$6,MATCH($D$19,input_xe_tham_chieu!$A$2:$A$6,0))/$H$19,1),"")</f>
        <v/>
      </c>
      <c r="K19">
        <f>IF(Boss_vu_khi!$S$13*$F$19&gt;0,INDEX(input_xe_tham_chieu!$C$2:$C$6,MATCH($D$19,input_xe_tham_chieu!$A$2:$A$6,0))/(Boss_vu_khi!$S$13*INDEX(Boss_dps!$D$2:$D$34,MATCH($B$19,Boss_dps!$A$2:$A$34,0))*$F$19),"")</f>
        <v/>
      </c>
      <c r="L19">
        <f>1+2*MIN(2,FLOOR(INDEX(boss_input_vu_khi!$E$2:$E$94,MATCH($C$19,boss_input_vu_khi!$A$2:$A$94,0))/8,1))</f>
        <v/>
      </c>
      <c r="M19">
        <f>1+2*MIN(2,FLOOR(MAX(INDEX(boss_input_vu_khi!$E$2:$E$94,MATCH($C$19,boss_input_vu_khi!$A$2:$A$94,0)),Boss_vu_khi!$L$13)/8,1))</f>
        <v/>
      </c>
      <c r="N19">
        <f>IF(INDEX(boss_input_vu_khi!$E$2:$E$94,MATCH($C$19,boss_input_vu_khi!$A$2:$A$94,0))&gt;=8,5,1)</f>
        <v/>
      </c>
      <c r="O19">
        <f>IF(MAX(INDEX(boss_input_vu_khi!$E$2:$E$94,MATCH($C$19,boss_input_vu_khi!$A$2:$A$94,0)),Boss_vu_khi!$L$13)&gt;=8,5,1)</f>
        <v/>
      </c>
      <c r="P19">
        <f>INDEX(boss_input_vu_khi_suy_ra!$H$2:$H$94,MATCH($C$19,boss_input_vu_khi_suy_ra!$A$2:$A$94,0))</f>
        <v/>
      </c>
      <c r="Q19">
        <f>IF(AND(INDEX(input_xe_tham_chieu!$G$2:$G$6,MATCH($D$19,input_xe_tham_chieu!$A$2:$A$6,0))&gt;0,INDEX(boss_input_vu_khi!$E$2:$E$94,MATCH($C$19,boss_input_vu_khi!$A$2:$A$94,0))&gt;0),INDEX(boss_input_vu_khi!$E$2:$E$94,MATCH($C$19,boss_input_vu_khi!$A$2:$A$94,0))/INDEX(input_xe_tham_chieu!$G$2:$G$6,MATCH($D$19,input_xe_tham_chieu!$A$2:$A$6,0)),"")</f>
        <v/>
      </c>
      <c r="R19">
        <f>IF(ISNUMBER($Q$19),IF($P$19&gt;=$Q$19,"DU","THIEU"),"")</f>
        <v/>
      </c>
      <c r="S19" t="inlineStr">
        <is>
          <t>Assets/MachineBrigade/Resources/Data/balance.json: vehicles[id=behemoth].weapon x 01_chien_dau/Xe_tham_chieu[heavy_tank]</t>
        </is>
      </c>
      <c r="T19" t="inlineStr"/>
    </row>
    <row r="20">
      <c r="A20" t="inlineStr">
        <is>
          <t>behemoth/ifv</t>
        </is>
      </c>
      <c r="B20" t="inlineStr">
        <is>
          <t>behemoth</t>
        </is>
      </c>
      <c r="C20" t="inlineStr">
        <is>
          <t>p26_behemoth_main_be152</t>
        </is>
      </c>
      <c r="D20" t="inlineStr">
        <is>
          <t>ifv</t>
        </is>
      </c>
      <c r="E20">
        <f>IF(INDEX(boss_input_vu_khi_suy_ra!$D$2:$D$94,MATCH($C$20,boss_input_vu_khi_suy_ra!$A$2:$A$94,0)),INDEX(input_xe_tham_chieu!$E$2:$E$6,MATCH($D$20,input_xe_tham_chieu!$A$2:$A$6,0)),INDEX(input_xe_tham_chieu!$D$2:$D$6,MATCH($D$20,input_xe_tham_chieu!$A$2:$A$6,0)))</f>
        <v/>
      </c>
      <c r="F20">
        <f>IF(INDEX(boss_input_vu_khi_suy_ra!$E$2:$E$94,MATCH($C$20,boss_input_vu_khi_suy_ra!$A$2:$A$94,0)),INDEX(boss_input_bang_xuyen_giap!$B$2:$B$7,MIN(6,MAX(1,IF(INDEX(boss_input_vu_khi_suy_ra!$D$2:$D$94,MATCH($C$20,boss_input_vu_khi_suy_ra!$A$2:$A$94,0)),MAX(1,2-(INDEX(boss_input_vu_khi!$C$2:$C$94,MATCH($C$20,boss_input_vu_khi!$A$2:$A$94,0))-$E$20)),2-(INDEX(boss_input_vu_khi!$C$2:$C$94,MATCH($C$20,boss_input_vu_khi!$A$2:$A$94,0))-$E$20))+1)))*IF(INDEX(input_xe_tham_chieu!$F$2:$F$6,MATCH($D$20,input_xe_tham_chieu!$A$2:$A$6,0)),INDEX(boss_input_vu_khi_suy_ra!$G$2:$G$94,MATCH($C$20,boss_input_vu_khi_suy_ra!$A$2:$A$94,0)),INDEX(boss_input_vu_khi_suy_ra!$F$2:$F$94,MATCH($C$20,boss_input_vu_khi_suy_ra!$A$2:$A$94,0))),0)</f>
        <v/>
      </c>
      <c r="G20" t="n">
        <v>1</v>
      </c>
      <c r="H20">
        <f>INDEX(boss_input_vu_khi!$B$2:$B$94,MATCH($C$20,boss_input_vu_khi!$A$2:$A$94,0))*INDEX(Boss_dps!$D$2:$D$34,MATCH($B$20,Boss_dps!$A$2:$A$34,0))*IF(INDEX(boss_input_vu_khi!$D$2:$D$94,MATCH($C$20,boss_input_vu_khi!$A$2:$A$94,0)),1,INDEX(Boss_dps!$B$2:$B$34,MATCH($B$20,Boss_dps!$A$2:$A$34,0)))*INDEX(Boss_dps!$C$2:$C$34,MATCH($B$20,Boss_dps!$A$2:$A$34,0))*$F$20</f>
        <v/>
      </c>
      <c r="I20" t="n">
        <v>840</v>
      </c>
      <c r="J20">
        <f>IF($H$20&gt;0,CEILING(INDEX(input_xe_tham_chieu!$C$2:$C$6,MATCH($D$20,input_xe_tham_chieu!$A$2:$A$6,0))/$H$20,1),"")</f>
        <v/>
      </c>
      <c r="K20">
        <f>IF(Boss_vu_khi!$S$13*$F$20&gt;0,INDEX(input_xe_tham_chieu!$C$2:$C$6,MATCH($D$20,input_xe_tham_chieu!$A$2:$A$6,0))/(Boss_vu_khi!$S$13*INDEX(Boss_dps!$D$2:$D$34,MATCH($B$20,Boss_dps!$A$2:$A$34,0))*$F$20),"")</f>
        <v/>
      </c>
      <c r="L20">
        <f>1+2*MIN(2,FLOOR(INDEX(boss_input_vu_khi!$E$2:$E$94,MATCH($C$20,boss_input_vu_khi!$A$2:$A$94,0))/8,1))</f>
        <v/>
      </c>
      <c r="M20">
        <f>1+2*MIN(2,FLOOR(MAX(INDEX(boss_input_vu_khi!$E$2:$E$94,MATCH($C$20,boss_input_vu_khi!$A$2:$A$94,0)),Boss_vu_khi!$L$13)/8,1))</f>
        <v/>
      </c>
      <c r="N20">
        <f>IF(INDEX(boss_input_vu_khi!$E$2:$E$94,MATCH($C$20,boss_input_vu_khi!$A$2:$A$94,0))&gt;=8,5,1)</f>
        <v/>
      </c>
      <c r="O20">
        <f>IF(MAX(INDEX(boss_input_vu_khi!$E$2:$E$94,MATCH($C$20,boss_input_vu_khi!$A$2:$A$94,0)),Boss_vu_khi!$L$13)&gt;=8,5,1)</f>
        <v/>
      </c>
      <c r="P20">
        <f>INDEX(boss_input_vu_khi_suy_ra!$H$2:$H$94,MATCH($C$20,boss_input_vu_khi_suy_ra!$A$2:$A$94,0))</f>
        <v/>
      </c>
      <c r="Q20">
        <f>IF(AND(INDEX(input_xe_tham_chieu!$G$2:$G$6,MATCH($D$20,input_xe_tham_chieu!$A$2:$A$6,0))&gt;0,INDEX(boss_input_vu_khi!$E$2:$E$94,MATCH($C$20,boss_input_vu_khi!$A$2:$A$94,0))&gt;0),INDEX(boss_input_vu_khi!$E$2:$E$94,MATCH($C$20,boss_input_vu_khi!$A$2:$A$94,0))/INDEX(input_xe_tham_chieu!$G$2:$G$6,MATCH($D$20,input_xe_tham_chieu!$A$2:$A$6,0)),"")</f>
        <v/>
      </c>
      <c r="R20">
        <f>IF(ISNUMBER($Q$20),IF($P$20&gt;=$Q$20,"DU","THIEU"),"")</f>
        <v/>
      </c>
      <c r="S20" t="inlineStr">
        <is>
          <t>Assets/MachineBrigade/Resources/Data/balance.json: vehicles[id=behemoth].weapon x 01_chien_dau/Xe_tham_chieu[ifv]</t>
        </is>
      </c>
      <c r="T20" t="inlineStr"/>
    </row>
    <row r="21">
      <c r="A21" t="inlineStr">
        <is>
          <t>behemoth/main_battle_tank</t>
        </is>
      </c>
      <c r="B21" t="inlineStr">
        <is>
          <t>behemoth</t>
        </is>
      </c>
      <c r="C21" t="inlineStr">
        <is>
          <t>p26_behemoth_main_be152</t>
        </is>
      </c>
      <c r="D21" t="inlineStr">
        <is>
          <t>main_battle_tank</t>
        </is>
      </c>
      <c r="E21">
        <f>IF(INDEX(boss_input_vu_khi_suy_ra!$D$2:$D$94,MATCH($C$21,boss_input_vu_khi_suy_ra!$A$2:$A$94,0)),INDEX(input_xe_tham_chieu!$E$2:$E$6,MATCH($D$21,input_xe_tham_chieu!$A$2:$A$6,0)),INDEX(input_xe_tham_chieu!$D$2:$D$6,MATCH($D$21,input_xe_tham_chieu!$A$2:$A$6,0)))</f>
        <v/>
      </c>
      <c r="F21">
        <f>IF(INDEX(boss_input_vu_khi_suy_ra!$E$2:$E$94,MATCH($C$21,boss_input_vu_khi_suy_ra!$A$2:$A$94,0)),INDEX(boss_input_bang_xuyen_giap!$B$2:$B$7,MIN(6,MAX(1,IF(INDEX(boss_input_vu_khi_suy_ra!$D$2:$D$94,MATCH($C$21,boss_input_vu_khi_suy_ra!$A$2:$A$94,0)),MAX(1,2-(INDEX(boss_input_vu_khi!$C$2:$C$94,MATCH($C$21,boss_input_vu_khi!$A$2:$A$94,0))-$E$21)),2-(INDEX(boss_input_vu_khi!$C$2:$C$94,MATCH($C$21,boss_input_vu_khi!$A$2:$A$94,0))-$E$21))+1)))*IF(INDEX(input_xe_tham_chieu!$F$2:$F$6,MATCH($D$21,input_xe_tham_chieu!$A$2:$A$6,0)),INDEX(boss_input_vu_khi_suy_ra!$G$2:$G$94,MATCH($C$21,boss_input_vu_khi_suy_ra!$A$2:$A$94,0)),INDEX(boss_input_vu_khi_suy_ra!$F$2:$F$94,MATCH($C$21,boss_input_vu_khi_suy_ra!$A$2:$A$94,0))),0)</f>
        <v/>
      </c>
      <c r="G21" t="n">
        <v>0.5</v>
      </c>
      <c r="H21">
        <f>INDEX(boss_input_vu_khi!$B$2:$B$94,MATCH($C$21,boss_input_vu_khi!$A$2:$A$94,0))*INDEX(Boss_dps!$D$2:$D$34,MATCH($B$21,Boss_dps!$A$2:$A$34,0))*IF(INDEX(boss_input_vu_khi!$D$2:$D$94,MATCH($C$21,boss_input_vu_khi!$A$2:$A$94,0)),1,INDEX(Boss_dps!$B$2:$B$34,MATCH($B$21,Boss_dps!$A$2:$A$34,0)))*INDEX(Boss_dps!$C$2:$C$34,MATCH($B$21,Boss_dps!$A$2:$A$34,0))*$F$21</f>
        <v/>
      </c>
      <c r="I21" t="n">
        <v>420</v>
      </c>
      <c r="J21">
        <f>IF($H$21&gt;0,CEILING(INDEX(input_xe_tham_chieu!$C$2:$C$6,MATCH($D$21,input_xe_tham_chieu!$A$2:$A$6,0))/$H$21,1),"")</f>
        <v/>
      </c>
      <c r="K21">
        <f>IF(Boss_vu_khi!$S$13*$F$21&gt;0,INDEX(input_xe_tham_chieu!$C$2:$C$6,MATCH($D$21,input_xe_tham_chieu!$A$2:$A$6,0))/(Boss_vu_khi!$S$13*INDEX(Boss_dps!$D$2:$D$34,MATCH($B$21,Boss_dps!$A$2:$A$34,0))*$F$21),"")</f>
        <v/>
      </c>
      <c r="L21">
        <f>1+2*MIN(2,FLOOR(INDEX(boss_input_vu_khi!$E$2:$E$94,MATCH($C$21,boss_input_vu_khi!$A$2:$A$94,0))/8,1))</f>
        <v/>
      </c>
      <c r="M21">
        <f>1+2*MIN(2,FLOOR(MAX(INDEX(boss_input_vu_khi!$E$2:$E$94,MATCH($C$21,boss_input_vu_khi!$A$2:$A$94,0)),Boss_vu_khi!$L$13)/8,1))</f>
        <v/>
      </c>
      <c r="N21">
        <f>IF(INDEX(boss_input_vu_khi!$E$2:$E$94,MATCH($C$21,boss_input_vu_khi!$A$2:$A$94,0))&gt;=8,5,1)</f>
        <v/>
      </c>
      <c r="O21">
        <f>IF(MAX(INDEX(boss_input_vu_khi!$E$2:$E$94,MATCH($C$21,boss_input_vu_khi!$A$2:$A$94,0)),Boss_vu_khi!$L$13)&gt;=8,5,1)</f>
        <v/>
      </c>
      <c r="P21">
        <f>INDEX(boss_input_vu_khi_suy_ra!$H$2:$H$94,MATCH($C$21,boss_input_vu_khi_suy_ra!$A$2:$A$94,0))</f>
        <v/>
      </c>
      <c r="Q21">
        <f>IF(AND(INDEX(input_xe_tham_chieu!$G$2:$G$6,MATCH($D$21,input_xe_tham_chieu!$A$2:$A$6,0))&gt;0,INDEX(boss_input_vu_khi!$E$2:$E$94,MATCH($C$21,boss_input_vu_khi!$A$2:$A$94,0))&gt;0),INDEX(boss_input_vu_khi!$E$2:$E$94,MATCH($C$21,boss_input_vu_khi!$A$2:$A$94,0))/INDEX(input_xe_tham_chieu!$G$2:$G$6,MATCH($D$21,input_xe_tham_chieu!$A$2:$A$6,0)),"")</f>
        <v/>
      </c>
      <c r="R21">
        <f>IF(ISNUMBER($Q$21),IF($P$21&gt;=$Q$21,"DU","THIEU"),"")</f>
        <v/>
      </c>
      <c r="S21" t="inlineStr">
        <is>
          <t>Assets/MachineBrigade/Resources/Data/balance.json: vehicles[id=behemoth].weapon x 01_chien_dau/Xe_tham_chieu[main_battle_tank]</t>
        </is>
      </c>
      <c r="T21" t="inlineStr"/>
    </row>
    <row r="22">
      <c r="A22" t="inlineStr">
        <is>
          <t>behemoth_inferno/armored_car</t>
        </is>
      </c>
      <c r="B22" t="inlineStr">
        <is>
          <t>behemoth_inferno</t>
        </is>
      </c>
      <c r="C22" t="inlineStr">
        <is>
          <t>boss_flamer</t>
        </is>
      </c>
      <c r="D22" t="inlineStr">
        <is>
          <t>armored_car</t>
        </is>
      </c>
      <c r="E22">
        <f>IF(INDEX(boss_input_vu_khi_suy_ra!$D$2:$D$94,MATCH($C$22,boss_input_vu_khi_suy_ra!$A$2:$A$94,0)),INDEX(input_xe_tham_chieu!$E$2:$E$6,MATCH($D$22,input_xe_tham_chieu!$A$2:$A$6,0)),INDEX(input_xe_tham_chieu!$D$2:$D$6,MATCH($D$22,input_xe_tham_chieu!$A$2:$A$6,0)))</f>
        <v/>
      </c>
      <c r="F22">
        <f>IF(INDEX(boss_input_vu_khi_suy_ra!$E$2:$E$94,MATCH($C$22,boss_input_vu_khi_suy_ra!$A$2:$A$94,0)),INDEX(boss_input_bang_xuyen_giap!$B$2:$B$7,MIN(6,MAX(1,IF(INDEX(boss_input_vu_khi_suy_ra!$D$2:$D$94,MATCH($C$22,boss_input_vu_khi_suy_ra!$A$2:$A$94,0)),MAX(1,2-(INDEX(boss_input_vu_khi!$C$2:$C$94,MATCH($C$22,boss_input_vu_khi!$A$2:$A$94,0))-$E$22)),2-(INDEX(boss_input_vu_khi!$C$2:$C$94,MATCH($C$22,boss_input_vu_khi!$A$2:$A$94,0))-$E$22))+1)))*IF(INDEX(input_xe_tham_chieu!$F$2:$F$6,MATCH($D$22,input_xe_tham_chieu!$A$2:$A$6,0)),INDEX(boss_input_vu_khi_suy_ra!$G$2:$G$94,MATCH($C$22,boss_input_vu_khi_suy_ra!$A$2:$A$94,0)),INDEX(boss_input_vu_khi_suy_ra!$F$2:$F$94,MATCH($C$22,boss_input_vu_khi_suy_ra!$A$2:$A$94,0))),0)</f>
        <v/>
      </c>
      <c r="G22" t="n">
        <v>1.5</v>
      </c>
      <c r="H22">
        <f>INDEX(boss_input_vu_khi!$B$2:$B$94,MATCH($C$22,boss_input_vu_khi!$A$2:$A$94,0))*INDEX(Boss_dps!$D$2:$D$34,MATCH($B$22,Boss_dps!$A$2:$A$34,0))*IF(INDEX(boss_input_vu_khi!$D$2:$D$94,MATCH($C$22,boss_input_vu_khi!$A$2:$A$94,0)),1,INDEX(Boss_dps!$B$2:$B$34,MATCH($B$22,Boss_dps!$A$2:$A$34,0)))*INDEX(Boss_dps!$C$2:$C$34,MATCH($B$22,Boss_dps!$A$2:$A$34,0))*$F$22</f>
        <v/>
      </c>
      <c r="I22" t="n">
        <v>105.948</v>
      </c>
      <c r="J22">
        <f>IF($H$22&gt;0,CEILING(INDEX(input_xe_tham_chieu!$C$2:$C$6,MATCH($D$22,input_xe_tham_chieu!$A$2:$A$6,0))/$H$22,1),"")</f>
        <v/>
      </c>
      <c r="K22">
        <f>IF(Boss_vu_khi!$S$23*$F$22&gt;0,INDEX(input_xe_tham_chieu!$C$2:$C$6,MATCH($D$22,input_xe_tham_chieu!$A$2:$A$6,0))/(Boss_vu_khi!$S$23*INDEX(Boss_dps!$D$2:$D$34,MATCH($B$22,Boss_dps!$A$2:$A$34,0))*$F$22),"")</f>
        <v/>
      </c>
      <c r="L22">
        <f>1+2*MIN(2,FLOOR(INDEX(boss_input_vu_khi!$E$2:$E$94,MATCH($C$22,boss_input_vu_khi!$A$2:$A$94,0))/8,1))</f>
        <v/>
      </c>
      <c r="M22">
        <f>1+2*MIN(2,FLOOR(MAX(INDEX(boss_input_vu_khi!$E$2:$E$94,MATCH($C$22,boss_input_vu_khi!$A$2:$A$94,0)),Boss_vu_khi!$L$23)/8,1))</f>
        <v/>
      </c>
      <c r="N22">
        <f>IF(INDEX(boss_input_vu_khi!$E$2:$E$94,MATCH($C$22,boss_input_vu_khi!$A$2:$A$94,0))&gt;=8,5,1)</f>
        <v/>
      </c>
      <c r="O22">
        <f>IF(MAX(INDEX(boss_input_vu_khi!$E$2:$E$94,MATCH($C$22,boss_input_vu_khi!$A$2:$A$94,0)),Boss_vu_khi!$L$23)&gt;=8,5,1)</f>
        <v/>
      </c>
      <c r="P22">
        <f>INDEX(boss_input_vu_khi_suy_ra!$H$2:$H$94,MATCH($C$22,boss_input_vu_khi_suy_ra!$A$2:$A$94,0))</f>
        <v/>
      </c>
      <c r="Q22">
        <f>IF(AND(INDEX(input_xe_tham_chieu!$G$2:$G$6,MATCH($D$22,input_xe_tham_chieu!$A$2:$A$6,0))&gt;0,INDEX(boss_input_vu_khi!$E$2:$E$94,MATCH($C$22,boss_input_vu_khi!$A$2:$A$94,0))&gt;0),INDEX(boss_input_vu_khi!$E$2:$E$94,MATCH($C$22,boss_input_vu_khi!$A$2:$A$94,0))/INDEX(input_xe_tham_chieu!$G$2:$G$6,MATCH($D$22,input_xe_tham_chieu!$A$2:$A$6,0)),"")</f>
        <v/>
      </c>
      <c r="R22">
        <f>IF(ISNUMBER($Q$22),IF($P$22&gt;=$Q$22,"DU","THIEU"),"")</f>
        <v/>
      </c>
      <c r="S22" t="inlineStr">
        <is>
          <t>Assets/MachineBrigade/Resources/Data/balance.json: vehicles[id=behemoth_inferno].weapon x 01_chien_dau/Xe_tham_chieu[armored_car]</t>
        </is>
      </c>
      <c r="T22" t="inlineStr"/>
    </row>
    <row r="23">
      <c r="A23" t="inlineStr">
        <is>
          <t>behemoth_inferno/gun_turret</t>
        </is>
      </c>
      <c r="B23" t="inlineStr">
        <is>
          <t>behemoth_inferno</t>
        </is>
      </c>
      <c r="C23" t="inlineStr">
        <is>
          <t>boss_flamer</t>
        </is>
      </c>
      <c r="D23" t="inlineStr">
        <is>
          <t>gun_turret</t>
        </is>
      </c>
      <c r="E23">
        <f>IF(INDEX(boss_input_vu_khi_suy_ra!$D$2:$D$94,MATCH($C$23,boss_input_vu_khi_suy_ra!$A$2:$A$94,0)),INDEX(input_xe_tham_chieu!$E$2:$E$6,MATCH($D$23,input_xe_tham_chieu!$A$2:$A$6,0)),INDEX(input_xe_tham_chieu!$D$2:$D$6,MATCH($D$23,input_xe_tham_chieu!$A$2:$A$6,0)))</f>
        <v/>
      </c>
      <c r="F23">
        <f>IF(INDEX(boss_input_vu_khi_suy_ra!$E$2:$E$94,MATCH($C$23,boss_input_vu_khi_suy_ra!$A$2:$A$94,0)),INDEX(boss_input_bang_xuyen_giap!$B$2:$B$7,MIN(6,MAX(1,IF(INDEX(boss_input_vu_khi_suy_ra!$D$2:$D$94,MATCH($C$23,boss_input_vu_khi_suy_ra!$A$2:$A$94,0)),MAX(1,2-(INDEX(boss_input_vu_khi!$C$2:$C$94,MATCH($C$23,boss_input_vu_khi!$A$2:$A$94,0))-$E$23)),2-(INDEX(boss_input_vu_khi!$C$2:$C$94,MATCH($C$23,boss_input_vu_khi!$A$2:$A$94,0))-$E$23))+1)))*IF(INDEX(input_xe_tham_chieu!$F$2:$F$6,MATCH($D$23,input_xe_tham_chieu!$A$2:$A$6,0)),INDEX(boss_input_vu_khi_suy_ra!$G$2:$G$94,MATCH($C$23,boss_input_vu_khi_suy_ra!$A$2:$A$94,0)),INDEX(boss_input_vu_khi_suy_ra!$F$2:$F$94,MATCH($C$23,boss_input_vu_khi_suy_ra!$A$2:$A$94,0))),0)</f>
        <v/>
      </c>
      <c r="G23" t="n">
        <v>0.5</v>
      </c>
      <c r="H23">
        <f>INDEX(boss_input_vu_khi!$B$2:$B$94,MATCH($C$23,boss_input_vu_khi!$A$2:$A$94,0))*INDEX(Boss_dps!$D$2:$D$34,MATCH($B$23,Boss_dps!$A$2:$A$34,0))*IF(INDEX(boss_input_vu_khi!$D$2:$D$94,MATCH($C$23,boss_input_vu_khi!$A$2:$A$94,0)),1,INDEX(Boss_dps!$B$2:$B$34,MATCH($B$23,Boss_dps!$A$2:$A$34,0)))*INDEX(Boss_dps!$C$2:$C$34,MATCH($B$23,Boss_dps!$A$2:$A$34,0))*$F$23</f>
        <v/>
      </c>
      <c r="I23" t="n">
        <v>35.316</v>
      </c>
      <c r="J23">
        <f>IF($H$23&gt;0,CEILING(INDEX(input_xe_tham_chieu!$C$2:$C$6,MATCH($D$23,input_xe_tham_chieu!$A$2:$A$6,0))/$H$23,1),"")</f>
        <v/>
      </c>
      <c r="K23">
        <f>IF(Boss_vu_khi!$S$23*$F$23&gt;0,INDEX(input_xe_tham_chieu!$C$2:$C$6,MATCH($D$23,input_xe_tham_chieu!$A$2:$A$6,0))/(Boss_vu_khi!$S$23*INDEX(Boss_dps!$D$2:$D$34,MATCH($B$23,Boss_dps!$A$2:$A$34,0))*$F$23),"")</f>
        <v/>
      </c>
      <c r="L23">
        <f>1+2*MIN(2,FLOOR(INDEX(boss_input_vu_khi!$E$2:$E$94,MATCH($C$23,boss_input_vu_khi!$A$2:$A$94,0))/8,1))</f>
        <v/>
      </c>
      <c r="M23">
        <f>1+2*MIN(2,FLOOR(MAX(INDEX(boss_input_vu_khi!$E$2:$E$94,MATCH($C$23,boss_input_vu_khi!$A$2:$A$94,0)),Boss_vu_khi!$L$23)/8,1))</f>
        <v/>
      </c>
      <c r="N23">
        <f>IF(INDEX(boss_input_vu_khi!$E$2:$E$94,MATCH($C$23,boss_input_vu_khi!$A$2:$A$94,0))&gt;=8,5,1)</f>
        <v/>
      </c>
      <c r="O23">
        <f>IF(MAX(INDEX(boss_input_vu_khi!$E$2:$E$94,MATCH($C$23,boss_input_vu_khi!$A$2:$A$94,0)),Boss_vu_khi!$L$23)&gt;=8,5,1)</f>
        <v/>
      </c>
      <c r="P23">
        <f>INDEX(boss_input_vu_khi_suy_ra!$H$2:$H$94,MATCH($C$23,boss_input_vu_khi_suy_ra!$A$2:$A$94,0))</f>
        <v/>
      </c>
      <c r="Q23">
        <f>IF(AND(INDEX(input_xe_tham_chieu!$G$2:$G$6,MATCH($D$23,input_xe_tham_chieu!$A$2:$A$6,0))&gt;0,INDEX(boss_input_vu_khi!$E$2:$E$94,MATCH($C$23,boss_input_vu_khi!$A$2:$A$94,0))&gt;0),INDEX(boss_input_vu_khi!$E$2:$E$94,MATCH($C$23,boss_input_vu_khi!$A$2:$A$94,0))/INDEX(input_xe_tham_chieu!$G$2:$G$6,MATCH($D$23,input_xe_tham_chieu!$A$2:$A$6,0)),"")</f>
        <v/>
      </c>
      <c r="R23">
        <f>IF(ISNUMBER($Q$23),IF($P$23&gt;=$Q$23,"DU","THIEU"),"")</f>
        <v/>
      </c>
      <c r="S23" t="inlineStr">
        <is>
          <t>Assets/MachineBrigade/Resources/Data/balance.json: vehicles[id=behemoth_inferno].weapon x 01_chien_dau/Xe_tham_chieu[gun_turret]</t>
        </is>
      </c>
      <c r="T23" t="inlineStr"/>
    </row>
    <row r="24">
      <c r="A24" t="inlineStr">
        <is>
          <t>behemoth_inferno/heavy_tank</t>
        </is>
      </c>
      <c r="B24" t="inlineStr">
        <is>
          <t>behemoth_inferno</t>
        </is>
      </c>
      <c r="C24" t="inlineStr">
        <is>
          <t>boss_flamer</t>
        </is>
      </c>
      <c r="D24" t="inlineStr">
        <is>
          <t>heavy_tank</t>
        </is>
      </c>
      <c r="E24">
        <f>IF(INDEX(boss_input_vu_khi_suy_ra!$D$2:$D$94,MATCH($C$24,boss_input_vu_khi_suy_ra!$A$2:$A$94,0)),INDEX(input_xe_tham_chieu!$E$2:$E$6,MATCH($D$24,input_xe_tham_chieu!$A$2:$A$6,0)),INDEX(input_xe_tham_chieu!$D$2:$D$6,MATCH($D$24,input_xe_tham_chieu!$A$2:$A$6,0)))</f>
        <v/>
      </c>
      <c r="F24">
        <f>IF(INDEX(boss_input_vu_khi_suy_ra!$E$2:$E$94,MATCH($C$24,boss_input_vu_khi_suy_ra!$A$2:$A$94,0)),INDEX(boss_input_bang_xuyen_giap!$B$2:$B$7,MIN(6,MAX(1,IF(INDEX(boss_input_vu_khi_suy_ra!$D$2:$D$94,MATCH($C$24,boss_input_vu_khi_suy_ra!$A$2:$A$94,0)),MAX(1,2-(INDEX(boss_input_vu_khi!$C$2:$C$94,MATCH($C$24,boss_input_vu_khi!$A$2:$A$94,0))-$E$24)),2-(INDEX(boss_input_vu_khi!$C$2:$C$94,MATCH($C$24,boss_input_vu_khi!$A$2:$A$94,0))-$E$24))+1)))*IF(INDEX(input_xe_tham_chieu!$F$2:$F$6,MATCH($D$24,input_xe_tham_chieu!$A$2:$A$6,0)),INDEX(boss_input_vu_khi_suy_ra!$G$2:$G$94,MATCH($C$24,boss_input_vu_khi_suy_ra!$A$2:$A$94,0)),INDEX(boss_input_vu_khi_suy_ra!$F$2:$F$94,MATCH($C$24,boss_input_vu_khi_suy_ra!$A$2:$A$94,0))),0)</f>
        <v/>
      </c>
      <c r="G24" t="n">
        <v>0.375</v>
      </c>
      <c r="H24">
        <f>INDEX(boss_input_vu_khi!$B$2:$B$94,MATCH($C$24,boss_input_vu_khi!$A$2:$A$94,0))*INDEX(Boss_dps!$D$2:$D$34,MATCH($B$24,Boss_dps!$A$2:$A$34,0))*IF(INDEX(boss_input_vu_khi!$D$2:$D$94,MATCH($C$24,boss_input_vu_khi!$A$2:$A$94,0)),1,INDEX(Boss_dps!$B$2:$B$34,MATCH($B$24,Boss_dps!$A$2:$A$34,0)))*INDEX(Boss_dps!$C$2:$C$34,MATCH($B$24,Boss_dps!$A$2:$A$34,0))*$F$24</f>
        <v/>
      </c>
      <c r="I24" t="n">
        <v>26.487</v>
      </c>
      <c r="J24">
        <f>IF($H$24&gt;0,CEILING(INDEX(input_xe_tham_chieu!$C$2:$C$6,MATCH($D$24,input_xe_tham_chieu!$A$2:$A$6,0))/$H$24,1),"")</f>
        <v/>
      </c>
      <c r="K24">
        <f>IF(Boss_vu_khi!$S$23*$F$24&gt;0,INDEX(input_xe_tham_chieu!$C$2:$C$6,MATCH($D$24,input_xe_tham_chieu!$A$2:$A$6,0))/(Boss_vu_khi!$S$23*INDEX(Boss_dps!$D$2:$D$34,MATCH($B$24,Boss_dps!$A$2:$A$34,0))*$F$24),"")</f>
        <v/>
      </c>
      <c r="L24">
        <f>1+2*MIN(2,FLOOR(INDEX(boss_input_vu_khi!$E$2:$E$94,MATCH($C$24,boss_input_vu_khi!$A$2:$A$94,0))/8,1))</f>
        <v/>
      </c>
      <c r="M24">
        <f>1+2*MIN(2,FLOOR(MAX(INDEX(boss_input_vu_khi!$E$2:$E$94,MATCH($C$24,boss_input_vu_khi!$A$2:$A$94,0)),Boss_vu_khi!$L$23)/8,1))</f>
        <v/>
      </c>
      <c r="N24">
        <f>IF(INDEX(boss_input_vu_khi!$E$2:$E$94,MATCH($C$24,boss_input_vu_khi!$A$2:$A$94,0))&gt;=8,5,1)</f>
        <v/>
      </c>
      <c r="O24">
        <f>IF(MAX(INDEX(boss_input_vu_khi!$E$2:$E$94,MATCH($C$24,boss_input_vu_khi!$A$2:$A$94,0)),Boss_vu_khi!$L$23)&gt;=8,5,1)</f>
        <v/>
      </c>
      <c r="P24">
        <f>INDEX(boss_input_vu_khi_suy_ra!$H$2:$H$94,MATCH($C$24,boss_input_vu_khi_suy_ra!$A$2:$A$94,0))</f>
        <v/>
      </c>
      <c r="Q24">
        <f>IF(AND(INDEX(input_xe_tham_chieu!$G$2:$G$6,MATCH($D$24,input_xe_tham_chieu!$A$2:$A$6,0))&gt;0,INDEX(boss_input_vu_khi!$E$2:$E$94,MATCH($C$24,boss_input_vu_khi!$A$2:$A$94,0))&gt;0),INDEX(boss_input_vu_khi!$E$2:$E$94,MATCH($C$24,boss_input_vu_khi!$A$2:$A$94,0))/INDEX(input_xe_tham_chieu!$G$2:$G$6,MATCH($D$24,input_xe_tham_chieu!$A$2:$A$6,0)),"")</f>
        <v/>
      </c>
      <c r="R24">
        <f>IF(ISNUMBER($Q$24),IF($P$24&gt;=$Q$24,"DU","THIEU"),"")</f>
        <v/>
      </c>
      <c r="S24" t="inlineStr">
        <is>
          <t>Assets/MachineBrigade/Resources/Data/balance.json: vehicles[id=behemoth_inferno].weapon x 01_chien_dau/Xe_tham_chieu[heavy_tank]</t>
        </is>
      </c>
      <c r="T24" t="inlineStr"/>
    </row>
    <row r="25">
      <c r="A25" t="inlineStr">
        <is>
          <t>behemoth_inferno/ifv</t>
        </is>
      </c>
      <c r="B25" t="inlineStr">
        <is>
          <t>behemoth_inferno</t>
        </is>
      </c>
      <c r="C25" t="inlineStr">
        <is>
          <t>boss_flamer</t>
        </is>
      </c>
      <c r="D25" t="inlineStr">
        <is>
          <t>ifv</t>
        </is>
      </c>
      <c r="E25">
        <f>IF(INDEX(boss_input_vu_khi_suy_ra!$D$2:$D$94,MATCH($C$25,boss_input_vu_khi_suy_ra!$A$2:$A$94,0)),INDEX(input_xe_tham_chieu!$E$2:$E$6,MATCH($D$25,input_xe_tham_chieu!$A$2:$A$6,0)),INDEX(input_xe_tham_chieu!$D$2:$D$6,MATCH($D$25,input_xe_tham_chieu!$A$2:$A$6,0)))</f>
        <v/>
      </c>
      <c r="F25">
        <f>IF(INDEX(boss_input_vu_khi_suy_ra!$E$2:$E$94,MATCH($C$25,boss_input_vu_khi_suy_ra!$A$2:$A$94,0)),INDEX(boss_input_bang_xuyen_giap!$B$2:$B$7,MIN(6,MAX(1,IF(INDEX(boss_input_vu_khi_suy_ra!$D$2:$D$94,MATCH($C$25,boss_input_vu_khi_suy_ra!$A$2:$A$94,0)),MAX(1,2-(INDEX(boss_input_vu_khi!$C$2:$C$94,MATCH($C$25,boss_input_vu_khi!$A$2:$A$94,0))-$E$25)),2-(INDEX(boss_input_vu_khi!$C$2:$C$94,MATCH($C$25,boss_input_vu_khi!$A$2:$A$94,0))-$E$25))+1)))*IF(INDEX(input_xe_tham_chieu!$F$2:$F$6,MATCH($D$25,input_xe_tham_chieu!$A$2:$A$6,0)),INDEX(boss_input_vu_khi_suy_ra!$G$2:$G$94,MATCH($C$25,boss_input_vu_khi_suy_ra!$A$2:$A$94,0)),INDEX(boss_input_vu_khi_suy_ra!$F$2:$F$94,MATCH($C$25,boss_input_vu_khi_suy_ra!$A$2:$A$94,0))),0)</f>
        <v/>
      </c>
      <c r="G25" t="n">
        <v>1.275</v>
      </c>
      <c r="H25">
        <f>INDEX(boss_input_vu_khi!$B$2:$B$94,MATCH($C$25,boss_input_vu_khi!$A$2:$A$94,0))*INDEX(Boss_dps!$D$2:$D$34,MATCH($B$25,Boss_dps!$A$2:$A$34,0))*IF(INDEX(boss_input_vu_khi!$D$2:$D$94,MATCH($C$25,boss_input_vu_khi!$A$2:$A$94,0)),1,INDEX(Boss_dps!$B$2:$B$34,MATCH($B$25,Boss_dps!$A$2:$A$34,0)))*INDEX(Boss_dps!$C$2:$C$34,MATCH($B$25,Boss_dps!$A$2:$A$34,0))*$F$25</f>
        <v/>
      </c>
      <c r="I25" t="n">
        <v>90.0558</v>
      </c>
      <c r="J25">
        <f>IF($H$25&gt;0,CEILING(INDEX(input_xe_tham_chieu!$C$2:$C$6,MATCH($D$25,input_xe_tham_chieu!$A$2:$A$6,0))/$H$25,1),"")</f>
        <v/>
      </c>
      <c r="K25">
        <f>IF(Boss_vu_khi!$S$23*$F$25&gt;0,INDEX(input_xe_tham_chieu!$C$2:$C$6,MATCH($D$25,input_xe_tham_chieu!$A$2:$A$6,0))/(Boss_vu_khi!$S$23*INDEX(Boss_dps!$D$2:$D$34,MATCH($B$25,Boss_dps!$A$2:$A$34,0))*$F$25),"")</f>
        <v/>
      </c>
      <c r="L25">
        <f>1+2*MIN(2,FLOOR(INDEX(boss_input_vu_khi!$E$2:$E$94,MATCH($C$25,boss_input_vu_khi!$A$2:$A$94,0))/8,1))</f>
        <v/>
      </c>
      <c r="M25">
        <f>1+2*MIN(2,FLOOR(MAX(INDEX(boss_input_vu_khi!$E$2:$E$94,MATCH($C$25,boss_input_vu_khi!$A$2:$A$94,0)),Boss_vu_khi!$L$23)/8,1))</f>
        <v/>
      </c>
      <c r="N25">
        <f>IF(INDEX(boss_input_vu_khi!$E$2:$E$94,MATCH($C$25,boss_input_vu_khi!$A$2:$A$94,0))&gt;=8,5,1)</f>
        <v/>
      </c>
      <c r="O25">
        <f>IF(MAX(INDEX(boss_input_vu_khi!$E$2:$E$94,MATCH($C$25,boss_input_vu_khi!$A$2:$A$94,0)),Boss_vu_khi!$L$23)&gt;=8,5,1)</f>
        <v/>
      </c>
      <c r="P25">
        <f>INDEX(boss_input_vu_khi_suy_ra!$H$2:$H$94,MATCH($C$25,boss_input_vu_khi_suy_ra!$A$2:$A$94,0))</f>
        <v/>
      </c>
      <c r="Q25">
        <f>IF(AND(INDEX(input_xe_tham_chieu!$G$2:$G$6,MATCH($D$25,input_xe_tham_chieu!$A$2:$A$6,0))&gt;0,INDEX(boss_input_vu_khi!$E$2:$E$94,MATCH($C$25,boss_input_vu_khi!$A$2:$A$94,0))&gt;0),INDEX(boss_input_vu_khi!$E$2:$E$94,MATCH($C$25,boss_input_vu_khi!$A$2:$A$94,0))/INDEX(input_xe_tham_chieu!$G$2:$G$6,MATCH($D$25,input_xe_tham_chieu!$A$2:$A$6,0)),"")</f>
        <v/>
      </c>
      <c r="R25">
        <f>IF(ISNUMBER($Q$25),IF($P$25&gt;=$Q$25,"DU","THIEU"),"")</f>
        <v/>
      </c>
      <c r="S25" t="inlineStr">
        <is>
          <t>Assets/MachineBrigade/Resources/Data/balance.json: vehicles[id=behemoth_inferno].weapon x 01_chien_dau/Xe_tham_chieu[ifv]</t>
        </is>
      </c>
      <c r="T25" t="inlineStr"/>
    </row>
    <row r="26">
      <c r="A26" t="inlineStr">
        <is>
          <t>behemoth_inferno/main_battle_tank</t>
        </is>
      </c>
      <c r="B26" t="inlineStr">
        <is>
          <t>behemoth_inferno</t>
        </is>
      </c>
      <c r="C26" t="inlineStr">
        <is>
          <t>boss_flamer</t>
        </is>
      </c>
      <c r="D26" t="inlineStr">
        <is>
          <t>main_battle_tank</t>
        </is>
      </c>
      <c r="E26">
        <f>IF(INDEX(boss_input_vu_khi_suy_ra!$D$2:$D$94,MATCH($C$26,boss_input_vu_khi_suy_ra!$A$2:$A$94,0)),INDEX(input_xe_tham_chieu!$E$2:$E$6,MATCH($D$26,input_xe_tham_chieu!$A$2:$A$6,0)),INDEX(input_xe_tham_chieu!$D$2:$D$6,MATCH($D$26,input_xe_tham_chieu!$A$2:$A$6,0)))</f>
        <v/>
      </c>
      <c r="F26">
        <f>IF(INDEX(boss_input_vu_khi_suy_ra!$E$2:$E$94,MATCH($C$26,boss_input_vu_khi_suy_ra!$A$2:$A$94,0)),INDEX(boss_input_bang_xuyen_giap!$B$2:$B$7,MIN(6,MAX(1,IF(INDEX(boss_input_vu_khi_suy_ra!$D$2:$D$94,MATCH($C$26,boss_input_vu_khi_suy_ra!$A$2:$A$94,0)),MAX(1,2-(INDEX(boss_input_vu_khi!$C$2:$C$94,MATCH($C$26,boss_input_vu_khi!$A$2:$A$94,0))-$E$26)),2-(INDEX(boss_input_vu_khi!$C$2:$C$94,MATCH($C$26,boss_input_vu_khi!$A$2:$A$94,0))-$E$26))+1)))*IF(INDEX(input_xe_tham_chieu!$F$2:$F$6,MATCH($D$26,input_xe_tham_chieu!$A$2:$A$6,0)),INDEX(boss_input_vu_khi_suy_ra!$G$2:$G$94,MATCH($C$26,boss_input_vu_khi_suy_ra!$A$2:$A$94,0)),INDEX(boss_input_vu_khi_suy_ra!$F$2:$F$94,MATCH($C$26,boss_input_vu_khi_suy_ra!$A$2:$A$94,0))),0)</f>
        <v/>
      </c>
      <c r="G26" t="n">
        <v>0.375</v>
      </c>
      <c r="H26">
        <f>INDEX(boss_input_vu_khi!$B$2:$B$94,MATCH($C$26,boss_input_vu_khi!$A$2:$A$94,0))*INDEX(Boss_dps!$D$2:$D$34,MATCH($B$26,Boss_dps!$A$2:$A$34,0))*IF(INDEX(boss_input_vu_khi!$D$2:$D$94,MATCH($C$26,boss_input_vu_khi!$A$2:$A$94,0)),1,INDEX(Boss_dps!$B$2:$B$34,MATCH($B$26,Boss_dps!$A$2:$A$34,0)))*INDEX(Boss_dps!$C$2:$C$34,MATCH($B$26,Boss_dps!$A$2:$A$34,0))*$F$26</f>
        <v/>
      </c>
      <c r="I26" t="n">
        <v>26.487</v>
      </c>
      <c r="J26">
        <f>IF($H$26&gt;0,CEILING(INDEX(input_xe_tham_chieu!$C$2:$C$6,MATCH($D$26,input_xe_tham_chieu!$A$2:$A$6,0))/$H$26,1),"")</f>
        <v/>
      </c>
      <c r="K26">
        <f>IF(Boss_vu_khi!$S$23*$F$26&gt;0,INDEX(input_xe_tham_chieu!$C$2:$C$6,MATCH($D$26,input_xe_tham_chieu!$A$2:$A$6,0))/(Boss_vu_khi!$S$23*INDEX(Boss_dps!$D$2:$D$34,MATCH($B$26,Boss_dps!$A$2:$A$34,0))*$F$26),"")</f>
        <v/>
      </c>
      <c r="L26">
        <f>1+2*MIN(2,FLOOR(INDEX(boss_input_vu_khi!$E$2:$E$94,MATCH($C$26,boss_input_vu_khi!$A$2:$A$94,0))/8,1))</f>
        <v/>
      </c>
      <c r="M26">
        <f>1+2*MIN(2,FLOOR(MAX(INDEX(boss_input_vu_khi!$E$2:$E$94,MATCH($C$26,boss_input_vu_khi!$A$2:$A$94,0)),Boss_vu_khi!$L$23)/8,1))</f>
        <v/>
      </c>
      <c r="N26">
        <f>IF(INDEX(boss_input_vu_khi!$E$2:$E$94,MATCH($C$26,boss_input_vu_khi!$A$2:$A$94,0))&gt;=8,5,1)</f>
        <v/>
      </c>
      <c r="O26">
        <f>IF(MAX(INDEX(boss_input_vu_khi!$E$2:$E$94,MATCH($C$26,boss_input_vu_khi!$A$2:$A$94,0)),Boss_vu_khi!$L$23)&gt;=8,5,1)</f>
        <v/>
      </c>
      <c r="P26">
        <f>INDEX(boss_input_vu_khi_suy_ra!$H$2:$H$94,MATCH($C$26,boss_input_vu_khi_suy_ra!$A$2:$A$94,0))</f>
        <v/>
      </c>
      <c r="Q26">
        <f>IF(AND(INDEX(input_xe_tham_chieu!$G$2:$G$6,MATCH($D$26,input_xe_tham_chieu!$A$2:$A$6,0))&gt;0,INDEX(boss_input_vu_khi!$E$2:$E$94,MATCH($C$26,boss_input_vu_khi!$A$2:$A$94,0))&gt;0),INDEX(boss_input_vu_khi!$E$2:$E$94,MATCH($C$26,boss_input_vu_khi!$A$2:$A$94,0))/INDEX(input_xe_tham_chieu!$G$2:$G$6,MATCH($D$26,input_xe_tham_chieu!$A$2:$A$6,0)),"")</f>
        <v/>
      </c>
      <c r="R26">
        <f>IF(ISNUMBER($Q$26),IF($P$26&gt;=$Q$26,"DU","THIEU"),"")</f>
        <v/>
      </c>
      <c r="S26" t="inlineStr">
        <is>
          <t>Assets/MachineBrigade/Resources/Data/balance.json: vehicles[id=behemoth_inferno].weapon x 01_chien_dau/Xe_tham_chieu[main_battle_tank]</t>
        </is>
      </c>
      <c r="T26" t="inlineStr"/>
    </row>
    <row r="27">
      <c r="A27" t="inlineStr">
        <is>
          <t>behemoth_mk0/armored_car</t>
        </is>
      </c>
      <c r="B27" t="inlineStr">
        <is>
          <t>behemoth_mk0</t>
        </is>
      </c>
      <c r="C27" t="inlineStr">
        <is>
          <t>p26_behemoth_main_be152</t>
        </is>
      </c>
      <c r="D27" t="inlineStr">
        <is>
          <t>armored_car</t>
        </is>
      </c>
      <c r="E27">
        <f>IF(INDEX(boss_input_vu_khi_suy_ra!$D$2:$D$94,MATCH($C$27,boss_input_vu_khi_suy_ra!$A$2:$A$94,0)),INDEX(input_xe_tham_chieu!$E$2:$E$6,MATCH($D$27,input_xe_tham_chieu!$A$2:$A$6,0)),INDEX(input_xe_tham_chieu!$D$2:$D$6,MATCH($D$27,input_xe_tham_chieu!$A$2:$A$6,0)))</f>
        <v/>
      </c>
      <c r="F27">
        <f>IF(INDEX(boss_input_vu_khi_suy_ra!$E$2:$E$94,MATCH($C$27,boss_input_vu_khi_suy_ra!$A$2:$A$94,0)),INDEX(boss_input_bang_xuyen_giap!$B$2:$B$7,MIN(6,MAX(1,IF(INDEX(boss_input_vu_khi_suy_ra!$D$2:$D$94,MATCH($C$27,boss_input_vu_khi_suy_ra!$A$2:$A$94,0)),MAX(1,2-(INDEX(boss_input_vu_khi!$C$2:$C$94,MATCH($C$27,boss_input_vu_khi!$A$2:$A$94,0))-$E$27)),2-(INDEX(boss_input_vu_khi!$C$2:$C$94,MATCH($C$27,boss_input_vu_khi!$A$2:$A$94,0))-$E$27))+1)))*IF(INDEX(input_xe_tham_chieu!$F$2:$F$6,MATCH($D$27,input_xe_tham_chieu!$A$2:$A$6,0)),INDEX(boss_input_vu_khi_suy_ra!$G$2:$G$94,MATCH($C$27,boss_input_vu_khi_suy_ra!$A$2:$A$94,0)),INDEX(boss_input_vu_khi_suy_ra!$F$2:$F$94,MATCH($C$27,boss_input_vu_khi_suy_ra!$A$2:$A$94,0))),0)</f>
        <v/>
      </c>
      <c r="G27" t="n">
        <v>1.2</v>
      </c>
      <c r="H27">
        <f>INDEX(boss_input_vu_khi!$B$2:$B$94,MATCH($C$27,boss_input_vu_khi!$A$2:$A$94,0))*INDEX(Boss_dps!$D$2:$D$34,MATCH($B$27,Boss_dps!$A$2:$A$34,0))*IF(INDEX(boss_input_vu_khi!$D$2:$D$94,MATCH($C$27,boss_input_vu_khi!$A$2:$A$94,0)),1,INDEX(Boss_dps!$B$2:$B$34,MATCH($B$27,Boss_dps!$A$2:$A$34,0)))*INDEX(Boss_dps!$C$2:$C$34,MATCH($B$27,Boss_dps!$A$2:$A$34,0))*$F$27</f>
        <v/>
      </c>
      <c r="I27" t="n">
        <v>763.776</v>
      </c>
      <c r="J27">
        <f>IF($H$27&gt;0,CEILING(INDEX(input_xe_tham_chieu!$C$2:$C$6,MATCH($D$27,input_xe_tham_chieu!$A$2:$A$6,0))/$H$27,1),"")</f>
        <v/>
      </c>
      <c r="K27">
        <f>IF(Boss_vu_khi!$S$26*$F$27&gt;0,INDEX(input_xe_tham_chieu!$C$2:$C$6,MATCH($D$27,input_xe_tham_chieu!$A$2:$A$6,0))/(Boss_vu_khi!$S$26*INDEX(Boss_dps!$D$2:$D$34,MATCH($B$27,Boss_dps!$A$2:$A$34,0))*$F$27),"")</f>
        <v/>
      </c>
      <c r="L27">
        <f>1+2*MIN(2,FLOOR(INDEX(boss_input_vu_khi!$E$2:$E$94,MATCH($C$27,boss_input_vu_khi!$A$2:$A$94,0))/8,1))</f>
        <v/>
      </c>
      <c r="M27">
        <f>1+2*MIN(2,FLOOR(MAX(INDEX(boss_input_vu_khi!$E$2:$E$94,MATCH($C$27,boss_input_vu_khi!$A$2:$A$94,0)),Boss_vu_khi!$L$26)/8,1))</f>
        <v/>
      </c>
      <c r="N27">
        <f>IF(INDEX(boss_input_vu_khi!$E$2:$E$94,MATCH($C$27,boss_input_vu_khi!$A$2:$A$94,0))&gt;=8,5,1)</f>
        <v/>
      </c>
      <c r="O27">
        <f>IF(MAX(INDEX(boss_input_vu_khi!$E$2:$E$94,MATCH($C$27,boss_input_vu_khi!$A$2:$A$94,0)),Boss_vu_khi!$L$26)&gt;=8,5,1)</f>
        <v/>
      </c>
      <c r="P27">
        <f>INDEX(boss_input_vu_khi_suy_ra!$H$2:$H$94,MATCH($C$27,boss_input_vu_khi_suy_ra!$A$2:$A$94,0))</f>
        <v/>
      </c>
      <c r="Q27">
        <f>IF(AND(INDEX(input_xe_tham_chieu!$G$2:$G$6,MATCH($D$27,input_xe_tham_chieu!$A$2:$A$6,0))&gt;0,INDEX(boss_input_vu_khi!$E$2:$E$94,MATCH($C$27,boss_input_vu_khi!$A$2:$A$94,0))&gt;0),INDEX(boss_input_vu_khi!$E$2:$E$94,MATCH($C$27,boss_input_vu_khi!$A$2:$A$94,0))/INDEX(input_xe_tham_chieu!$G$2:$G$6,MATCH($D$27,input_xe_tham_chieu!$A$2:$A$6,0)),"")</f>
        <v/>
      </c>
      <c r="R27">
        <f>IF(ISNUMBER($Q$27),IF($P$27&gt;=$Q$27,"DU","THIEU"),"")</f>
        <v/>
      </c>
      <c r="S27" t="inlineStr">
        <is>
          <t>Assets/MachineBrigade/Resources/Data/balance.json: vehicles[id=behemoth_mk0].weapon x 01_chien_dau/Xe_tham_chieu[armored_car]</t>
        </is>
      </c>
      <c r="T27" t="inlineStr"/>
    </row>
    <row r="28">
      <c r="A28" t="inlineStr">
        <is>
          <t>behemoth_mk0/gun_turret</t>
        </is>
      </c>
      <c r="B28" t="inlineStr">
        <is>
          <t>behemoth_mk0</t>
        </is>
      </c>
      <c r="C28" t="inlineStr">
        <is>
          <t>p26_behemoth_main_be152</t>
        </is>
      </c>
      <c r="D28" t="inlineStr">
        <is>
          <t>gun_turret</t>
        </is>
      </c>
      <c r="E28">
        <f>IF(INDEX(boss_input_vu_khi_suy_ra!$D$2:$D$94,MATCH($C$28,boss_input_vu_khi_suy_ra!$A$2:$A$94,0)),INDEX(input_xe_tham_chieu!$E$2:$E$6,MATCH($D$28,input_xe_tham_chieu!$A$2:$A$6,0)),INDEX(input_xe_tham_chieu!$D$2:$D$6,MATCH($D$28,input_xe_tham_chieu!$A$2:$A$6,0)))</f>
        <v/>
      </c>
      <c r="F28">
        <f>IF(INDEX(boss_input_vu_khi_suy_ra!$E$2:$E$94,MATCH($C$28,boss_input_vu_khi_suy_ra!$A$2:$A$94,0)),INDEX(boss_input_bang_xuyen_giap!$B$2:$B$7,MIN(6,MAX(1,IF(INDEX(boss_input_vu_khi_suy_ra!$D$2:$D$94,MATCH($C$28,boss_input_vu_khi_suy_ra!$A$2:$A$94,0)),MAX(1,2-(INDEX(boss_input_vu_khi!$C$2:$C$94,MATCH($C$28,boss_input_vu_khi!$A$2:$A$94,0))-$E$28)),2-(INDEX(boss_input_vu_khi!$C$2:$C$94,MATCH($C$28,boss_input_vu_khi!$A$2:$A$94,0))-$E$28))+1)))*IF(INDEX(input_xe_tham_chieu!$F$2:$F$6,MATCH($D$28,input_xe_tham_chieu!$A$2:$A$6,0)),INDEX(boss_input_vu_khi_suy_ra!$G$2:$G$94,MATCH($C$28,boss_input_vu_khi_suy_ra!$A$2:$A$94,0)),INDEX(boss_input_vu_khi_suy_ra!$F$2:$F$94,MATCH($C$28,boss_input_vu_khi_suy_ra!$A$2:$A$94,0))),0)</f>
        <v/>
      </c>
      <c r="G28" t="n">
        <v>1.275</v>
      </c>
      <c r="H28">
        <f>INDEX(boss_input_vu_khi!$B$2:$B$94,MATCH($C$28,boss_input_vu_khi!$A$2:$A$94,0))*INDEX(Boss_dps!$D$2:$D$34,MATCH($B$28,Boss_dps!$A$2:$A$34,0))*IF(INDEX(boss_input_vu_khi!$D$2:$D$94,MATCH($C$28,boss_input_vu_khi!$A$2:$A$94,0)),1,INDEX(Boss_dps!$B$2:$B$34,MATCH($B$28,Boss_dps!$A$2:$A$34,0)))*INDEX(Boss_dps!$C$2:$C$34,MATCH($B$28,Boss_dps!$A$2:$A$34,0))*$F$28</f>
        <v/>
      </c>
      <c r="I28" t="n">
        <v>811.5119999999999</v>
      </c>
      <c r="J28">
        <f>IF($H$28&gt;0,CEILING(INDEX(input_xe_tham_chieu!$C$2:$C$6,MATCH($D$28,input_xe_tham_chieu!$A$2:$A$6,0))/$H$28,1),"")</f>
        <v/>
      </c>
      <c r="K28">
        <f>IF(Boss_vu_khi!$S$26*$F$28&gt;0,INDEX(input_xe_tham_chieu!$C$2:$C$6,MATCH($D$28,input_xe_tham_chieu!$A$2:$A$6,0))/(Boss_vu_khi!$S$26*INDEX(Boss_dps!$D$2:$D$34,MATCH($B$28,Boss_dps!$A$2:$A$34,0))*$F$28),"")</f>
        <v/>
      </c>
      <c r="L28">
        <f>1+2*MIN(2,FLOOR(INDEX(boss_input_vu_khi!$E$2:$E$94,MATCH($C$28,boss_input_vu_khi!$A$2:$A$94,0))/8,1))</f>
        <v/>
      </c>
      <c r="M28">
        <f>1+2*MIN(2,FLOOR(MAX(INDEX(boss_input_vu_khi!$E$2:$E$94,MATCH($C$28,boss_input_vu_khi!$A$2:$A$94,0)),Boss_vu_khi!$L$26)/8,1))</f>
        <v/>
      </c>
      <c r="N28">
        <f>IF(INDEX(boss_input_vu_khi!$E$2:$E$94,MATCH($C$28,boss_input_vu_khi!$A$2:$A$94,0))&gt;=8,5,1)</f>
        <v/>
      </c>
      <c r="O28">
        <f>IF(MAX(INDEX(boss_input_vu_khi!$E$2:$E$94,MATCH($C$28,boss_input_vu_khi!$A$2:$A$94,0)),Boss_vu_khi!$L$26)&gt;=8,5,1)</f>
        <v/>
      </c>
      <c r="P28">
        <f>INDEX(boss_input_vu_khi_suy_ra!$H$2:$H$94,MATCH($C$28,boss_input_vu_khi_suy_ra!$A$2:$A$94,0))</f>
        <v/>
      </c>
      <c r="Q28">
        <f>IF(AND(INDEX(input_xe_tham_chieu!$G$2:$G$6,MATCH($D$28,input_xe_tham_chieu!$A$2:$A$6,0))&gt;0,INDEX(boss_input_vu_khi!$E$2:$E$94,MATCH($C$28,boss_input_vu_khi!$A$2:$A$94,0))&gt;0),INDEX(boss_input_vu_khi!$E$2:$E$94,MATCH($C$28,boss_input_vu_khi!$A$2:$A$94,0))/INDEX(input_xe_tham_chieu!$G$2:$G$6,MATCH($D$28,input_xe_tham_chieu!$A$2:$A$6,0)),"")</f>
        <v/>
      </c>
      <c r="R28">
        <f>IF(ISNUMBER($Q$28),IF($P$28&gt;=$Q$28,"DU","THIEU"),"")</f>
        <v/>
      </c>
      <c r="S28" t="inlineStr">
        <is>
          <t>Assets/MachineBrigade/Resources/Data/balance.json: vehicles[id=behemoth_mk0].weapon x 01_chien_dau/Xe_tham_chieu[gun_turret]</t>
        </is>
      </c>
      <c r="T28" t="inlineStr"/>
    </row>
    <row r="29">
      <c r="A29" t="inlineStr">
        <is>
          <t>behemoth_mk0/heavy_tank</t>
        </is>
      </c>
      <c r="B29" t="inlineStr">
        <is>
          <t>behemoth_mk0</t>
        </is>
      </c>
      <c r="C29" t="inlineStr">
        <is>
          <t>p26_behemoth_main_be152</t>
        </is>
      </c>
      <c r="D29" t="inlineStr">
        <is>
          <t>heavy_tank</t>
        </is>
      </c>
      <c r="E29">
        <f>IF(INDEX(boss_input_vu_khi_suy_ra!$D$2:$D$94,MATCH($C$29,boss_input_vu_khi_suy_ra!$A$2:$A$94,0)),INDEX(input_xe_tham_chieu!$E$2:$E$6,MATCH($D$29,input_xe_tham_chieu!$A$2:$A$6,0)),INDEX(input_xe_tham_chieu!$D$2:$D$6,MATCH($D$29,input_xe_tham_chieu!$A$2:$A$6,0)))</f>
        <v/>
      </c>
      <c r="F29">
        <f>IF(INDEX(boss_input_vu_khi_suy_ra!$E$2:$E$94,MATCH($C$29,boss_input_vu_khi_suy_ra!$A$2:$A$94,0)),INDEX(boss_input_bang_xuyen_giap!$B$2:$B$7,MIN(6,MAX(1,IF(INDEX(boss_input_vu_khi_suy_ra!$D$2:$D$94,MATCH($C$29,boss_input_vu_khi_suy_ra!$A$2:$A$94,0)),MAX(1,2-(INDEX(boss_input_vu_khi!$C$2:$C$94,MATCH($C$29,boss_input_vu_khi!$A$2:$A$94,0))-$E$29)),2-(INDEX(boss_input_vu_khi!$C$2:$C$94,MATCH($C$29,boss_input_vu_khi!$A$2:$A$94,0))-$E$29))+1)))*IF(INDEX(input_xe_tham_chieu!$F$2:$F$6,MATCH($D$29,input_xe_tham_chieu!$A$2:$A$6,0)),INDEX(boss_input_vu_khi_suy_ra!$G$2:$G$94,MATCH($C$29,boss_input_vu_khi_suy_ra!$A$2:$A$94,0)),INDEX(boss_input_vu_khi_suy_ra!$F$2:$F$94,MATCH($C$29,boss_input_vu_khi_suy_ra!$A$2:$A$94,0))),0)</f>
        <v/>
      </c>
      <c r="G29" t="n">
        <v>0.5</v>
      </c>
      <c r="H29">
        <f>INDEX(boss_input_vu_khi!$B$2:$B$94,MATCH($C$29,boss_input_vu_khi!$A$2:$A$94,0))*INDEX(Boss_dps!$D$2:$D$34,MATCH($B$29,Boss_dps!$A$2:$A$34,0))*IF(INDEX(boss_input_vu_khi!$D$2:$D$94,MATCH($C$29,boss_input_vu_khi!$A$2:$A$94,0)),1,INDEX(Boss_dps!$B$2:$B$34,MATCH($B$29,Boss_dps!$A$2:$A$34,0)))*INDEX(Boss_dps!$C$2:$C$34,MATCH($B$29,Boss_dps!$A$2:$A$34,0))*$F$29</f>
        <v/>
      </c>
      <c r="I29" t="n">
        <v>318.24</v>
      </c>
      <c r="J29">
        <f>IF($H$29&gt;0,CEILING(INDEX(input_xe_tham_chieu!$C$2:$C$6,MATCH($D$29,input_xe_tham_chieu!$A$2:$A$6,0))/$H$29,1),"")</f>
        <v/>
      </c>
      <c r="K29">
        <f>IF(Boss_vu_khi!$S$26*$F$29&gt;0,INDEX(input_xe_tham_chieu!$C$2:$C$6,MATCH($D$29,input_xe_tham_chieu!$A$2:$A$6,0))/(Boss_vu_khi!$S$26*INDEX(Boss_dps!$D$2:$D$34,MATCH($B$29,Boss_dps!$A$2:$A$34,0))*$F$29),"")</f>
        <v/>
      </c>
      <c r="L29">
        <f>1+2*MIN(2,FLOOR(INDEX(boss_input_vu_khi!$E$2:$E$94,MATCH($C$29,boss_input_vu_khi!$A$2:$A$94,0))/8,1))</f>
        <v/>
      </c>
      <c r="M29">
        <f>1+2*MIN(2,FLOOR(MAX(INDEX(boss_input_vu_khi!$E$2:$E$94,MATCH($C$29,boss_input_vu_khi!$A$2:$A$94,0)),Boss_vu_khi!$L$26)/8,1))</f>
        <v/>
      </c>
      <c r="N29">
        <f>IF(INDEX(boss_input_vu_khi!$E$2:$E$94,MATCH($C$29,boss_input_vu_khi!$A$2:$A$94,0))&gt;=8,5,1)</f>
        <v/>
      </c>
      <c r="O29">
        <f>IF(MAX(INDEX(boss_input_vu_khi!$E$2:$E$94,MATCH($C$29,boss_input_vu_khi!$A$2:$A$94,0)),Boss_vu_khi!$L$26)&gt;=8,5,1)</f>
        <v/>
      </c>
      <c r="P29">
        <f>INDEX(boss_input_vu_khi_suy_ra!$H$2:$H$94,MATCH($C$29,boss_input_vu_khi_suy_ra!$A$2:$A$94,0))</f>
        <v/>
      </c>
      <c r="Q29">
        <f>IF(AND(INDEX(input_xe_tham_chieu!$G$2:$G$6,MATCH($D$29,input_xe_tham_chieu!$A$2:$A$6,0))&gt;0,INDEX(boss_input_vu_khi!$E$2:$E$94,MATCH($C$29,boss_input_vu_khi!$A$2:$A$94,0))&gt;0),INDEX(boss_input_vu_khi!$E$2:$E$94,MATCH($C$29,boss_input_vu_khi!$A$2:$A$94,0))/INDEX(input_xe_tham_chieu!$G$2:$G$6,MATCH($D$29,input_xe_tham_chieu!$A$2:$A$6,0)),"")</f>
        <v/>
      </c>
      <c r="R29">
        <f>IF(ISNUMBER($Q$29),IF($P$29&gt;=$Q$29,"DU","THIEU"),"")</f>
        <v/>
      </c>
      <c r="S29" t="inlineStr">
        <is>
          <t>Assets/MachineBrigade/Resources/Data/balance.json: vehicles[id=behemoth_mk0].weapon x 01_chien_dau/Xe_tham_chieu[heavy_tank]</t>
        </is>
      </c>
      <c r="T29" t="inlineStr"/>
    </row>
    <row r="30">
      <c r="A30" t="inlineStr">
        <is>
          <t>behemoth_mk0/ifv</t>
        </is>
      </c>
      <c r="B30" t="inlineStr">
        <is>
          <t>behemoth_mk0</t>
        </is>
      </c>
      <c r="C30" t="inlineStr">
        <is>
          <t>p26_behemoth_main_be152</t>
        </is>
      </c>
      <c r="D30" t="inlineStr">
        <is>
          <t>ifv</t>
        </is>
      </c>
      <c r="E30">
        <f>IF(INDEX(boss_input_vu_khi_suy_ra!$D$2:$D$94,MATCH($C$30,boss_input_vu_khi_suy_ra!$A$2:$A$94,0)),INDEX(input_xe_tham_chieu!$E$2:$E$6,MATCH($D$30,input_xe_tham_chieu!$A$2:$A$6,0)),INDEX(input_xe_tham_chieu!$D$2:$D$6,MATCH($D$30,input_xe_tham_chieu!$A$2:$A$6,0)))</f>
        <v/>
      </c>
      <c r="F30">
        <f>IF(INDEX(boss_input_vu_khi_suy_ra!$E$2:$E$94,MATCH($C$30,boss_input_vu_khi_suy_ra!$A$2:$A$94,0)),INDEX(boss_input_bang_xuyen_giap!$B$2:$B$7,MIN(6,MAX(1,IF(INDEX(boss_input_vu_khi_suy_ra!$D$2:$D$94,MATCH($C$30,boss_input_vu_khi_suy_ra!$A$2:$A$94,0)),MAX(1,2-(INDEX(boss_input_vu_khi!$C$2:$C$94,MATCH($C$30,boss_input_vu_khi!$A$2:$A$94,0))-$E$30)),2-(INDEX(boss_input_vu_khi!$C$2:$C$94,MATCH($C$30,boss_input_vu_khi!$A$2:$A$94,0))-$E$30))+1)))*IF(INDEX(input_xe_tham_chieu!$F$2:$F$6,MATCH($D$30,input_xe_tham_chieu!$A$2:$A$6,0)),INDEX(boss_input_vu_khi_suy_ra!$G$2:$G$94,MATCH($C$30,boss_input_vu_khi_suy_ra!$A$2:$A$94,0)),INDEX(boss_input_vu_khi_suy_ra!$F$2:$F$94,MATCH($C$30,boss_input_vu_khi_suy_ra!$A$2:$A$94,0))),0)</f>
        <v/>
      </c>
      <c r="G30" t="n">
        <v>1</v>
      </c>
      <c r="H30">
        <f>INDEX(boss_input_vu_khi!$B$2:$B$94,MATCH($C$30,boss_input_vu_khi!$A$2:$A$94,0))*INDEX(Boss_dps!$D$2:$D$34,MATCH($B$30,Boss_dps!$A$2:$A$34,0))*IF(INDEX(boss_input_vu_khi!$D$2:$D$94,MATCH($C$30,boss_input_vu_khi!$A$2:$A$94,0)),1,INDEX(Boss_dps!$B$2:$B$34,MATCH($B$30,Boss_dps!$A$2:$A$34,0)))*INDEX(Boss_dps!$C$2:$C$34,MATCH($B$30,Boss_dps!$A$2:$A$34,0))*$F$30</f>
        <v/>
      </c>
      <c r="I30" t="n">
        <v>636.48</v>
      </c>
      <c r="J30">
        <f>IF($H$30&gt;0,CEILING(INDEX(input_xe_tham_chieu!$C$2:$C$6,MATCH($D$30,input_xe_tham_chieu!$A$2:$A$6,0))/$H$30,1),"")</f>
        <v/>
      </c>
      <c r="K30">
        <f>IF(Boss_vu_khi!$S$26*$F$30&gt;0,INDEX(input_xe_tham_chieu!$C$2:$C$6,MATCH($D$30,input_xe_tham_chieu!$A$2:$A$6,0))/(Boss_vu_khi!$S$26*INDEX(Boss_dps!$D$2:$D$34,MATCH($B$30,Boss_dps!$A$2:$A$34,0))*$F$30),"")</f>
        <v/>
      </c>
      <c r="L30">
        <f>1+2*MIN(2,FLOOR(INDEX(boss_input_vu_khi!$E$2:$E$94,MATCH($C$30,boss_input_vu_khi!$A$2:$A$94,0))/8,1))</f>
        <v/>
      </c>
      <c r="M30">
        <f>1+2*MIN(2,FLOOR(MAX(INDEX(boss_input_vu_khi!$E$2:$E$94,MATCH($C$30,boss_input_vu_khi!$A$2:$A$94,0)),Boss_vu_khi!$L$26)/8,1))</f>
        <v/>
      </c>
      <c r="N30">
        <f>IF(INDEX(boss_input_vu_khi!$E$2:$E$94,MATCH($C$30,boss_input_vu_khi!$A$2:$A$94,0))&gt;=8,5,1)</f>
        <v/>
      </c>
      <c r="O30">
        <f>IF(MAX(INDEX(boss_input_vu_khi!$E$2:$E$94,MATCH($C$30,boss_input_vu_khi!$A$2:$A$94,0)),Boss_vu_khi!$L$26)&gt;=8,5,1)</f>
        <v/>
      </c>
      <c r="P30">
        <f>INDEX(boss_input_vu_khi_suy_ra!$H$2:$H$94,MATCH($C$30,boss_input_vu_khi_suy_ra!$A$2:$A$94,0))</f>
        <v/>
      </c>
      <c r="Q30">
        <f>IF(AND(INDEX(input_xe_tham_chieu!$G$2:$G$6,MATCH($D$30,input_xe_tham_chieu!$A$2:$A$6,0))&gt;0,INDEX(boss_input_vu_khi!$E$2:$E$94,MATCH($C$30,boss_input_vu_khi!$A$2:$A$94,0))&gt;0),INDEX(boss_input_vu_khi!$E$2:$E$94,MATCH($C$30,boss_input_vu_khi!$A$2:$A$94,0))/INDEX(input_xe_tham_chieu!$G$2:$G$6,MATCH($D$30,input_xe_tham_chieu!$A$2:$A$6,0)),"")</f>
        <v/>
      </c>
      <c r="R30">
        <f>IF(ISNUMBER($Q$30),IF($P$30&gt;=$Q$30,"DU","THIEU"),"")</f>
        <v/>
      </c>
      <c r="S30" t="inlineStr">
        <is>
          <t>Assets/MachineBrigade/Resources/Data/balance.json: vehicles[id=behemoth_mk0].weapon x 01_chien_dau/Xe_tham_chieu[ifv]</t>
        </is>
      </c>
      <c r="T30" t="inlineStr"/>
    </row>
    <row r="31">
      <c r="A31" t="inlineStr">
        <is>
          <t>behemoth_mk0/main_battle_tank</t>
        </is>
      </c>
      <c r="B31" t="inlineStr">
        <is>
          <t>behemoth_mk0</t>
        </is>
      </c>
      <c r="C31" t="inlineStr">
        <is>
          <t>p26_behemoth_main_be152</t>
        </is>
      </c>
      <c r="D31" t="inlineStr">
        <is>
          <t>main_battle_tank</t>
        </is>
      </c>
      <c r="E31">
        <f>IF(INDEX(boss_input_vu_khi_suy_ra!$D$2:$D$94,MATCH($C$31,boss_input_vu_khi_suy_ra!$A$2:$A$94,0)),INDEX(input_xe_tham_chieu!$E$2:$E$6,MATCH($D$31,input_xe_tham_chieu!$A$2:$A$6,0)),INDEX(input_xe_tham_chieu!$D$2:$D$6,MATCH($D$31,input_xe_tham_chieu!$A$2:$A$6,0)))</f>
        <v/>
      </c>
      <c r="F31">
        <f>IF(INDEX(boss_input_vu_khi_suy_ra!$E$2:$E$94,MATCH($C$31,boss_input_vu_khi_suy_ra!$A$2:$A$94,0)),INDEX(boss_input_bang_xuyen_giap!$B$2:$B$7,MIN(6,MAX(1,IF(INDEX(boss_input_vu_khi_suy_ra!$D$2:$D$94,MATCH($C$31,boss_input_vu_khi_suy_ra!$A$2:$A$94,0)),MAX(1,2-(INDEX(boss_input_vu_khi!$C$2:$C$94,MATCH($C$31,boss_input_vu_khi!$A$2:$A$94,0))-$E$31)),2-(INDEX(boss_input_vu_khi!$C$2:$C$94,MATCH($C$31,boss_input_vu_khi!$A$2:$A$94,0))-$E$31))+1)))*IF(INDEX(input_xe_tham_chieu!$F$2:$F$6,MATCH($D$31,input_xe_tham_chieu!$A$2:$A$6,0)),INDEX(boss_input_vu_khi_suy_ra!$G$2:$G$94,MATCH($C$31,boss_input_vu_khi_suy_ra!$A$2:$A$94,0)),INDEX(boss_input_vu_khi_suy_ra!$F$2:$F$94,MATCH($C$31,boss_input_vu_khi_suy_ra!$A$2:$A$94,0))),0)</f>
        <v/>
      </c>
      <c r="G31" t="n">
        <v>0.5</v>
      </c>
      <c r="H31">
        <f>INDEX(boss_input_vu_khi!$B$2:$B$94,MATCH($C$31,boss_input_vu_khi!$A$2:$A$94,0))*INDEX(Boss_dps!$D$2:$D$34,MATCH($B$31,Boss_dps!$A$2:$A$34,0))*IF(INDEX(boss_input_vu_khi!$D$2:$D$94,MATCH($C$31,boss_input_vu_khi!$A$2:$A$94,0)),1,INDEX(Boss_dps!$B$2:$B$34,MATCH($B$31,Boss_dps!$A$2:$A$34,0)))*INDEX(Boss_dps!$C$2:$C$34,MATCH($B$31,Boss_dps!$A$2:$A$34,0))*$F$31</f>
        <v/>
      </c>
      <c r="I31" t="n">
        <v>318.24</v>
      </c>
      <c r="J31">
        <f>IF($H$31&gt;0,CEILING(INDEX(input_xe_tham_chieu!$C$2:$C$6,MATCH($D$31,input_xe_tham_chieu!$A$2:$A$6,0))/$H$31,1),"")</f>
        <v/>
      </c>
      <c r="K31">
        <f>IF(Boss_vu_khi!$S$26*$F$31&gt;0,INDEX(input_xe_tham_chieu!$C$2:$C$6,MATCH($D$31,input_xe_tham_chieu!$A$2:$A$6,0))/(Boss_vu_khi!$S$26*INDEX(Boss_dps!$D$2:$D$34,MATCH($B$31,Boss_dps!$A$2:$A$34,0))*$F$31),"")</f>
        <v/>
      </c>
      <c r="L31">
        <f>1+2*MIN(2,FLOOR(INDEX(boss_input_vu_khi!$E$2:$E$94,MATCH($C$31,boss_input_vu_khi!$A$2:$A$94,0))/8,1))</f>
        <v/>
      </c>
      <c r="M31">
        <f>1+2*MIN(2,FLOOR(MAX(INDEX(boss_input_vu_khi!$E$2:$E$94,MATCH($C$31,boss_input_vu_khi!$A$2:$A$94,0)),Boss_vu_khi!$L$26)/8,1))</f>
        <v/>
      </c>
      <c r="N31">
        <f>IF(INDEX(boss_input_vu_khi!$E$2:$E$94,MATCH($C$31,boss_input_vu_khi!$A$2:$A$94,0))&gt;=8,5,1)</f>
        <v/>
      </c>
      <c r="O31">
        <f>IF(MAX(INDEX(boss_input_vu_khi!$E$2:$E$94,MATCH($C$31,boss_input_vu_khi!$A$2:$A$94,0)),Boss_vu_khi!$L$26)&gt;=8,5,1)</f>
        <v/>
      </c>
      <c r="P31">
        <f>INDEX(boss_input_vu_khi_suy_ra!$H$2:$H$94,MATCH($C$31,boss_input_vu_khi_suy_ra!$A$2:$A$94,0))</f>
        <v/>
      </c>
      <c r="Q31">
        <f>IF(AND(INDEX(input_xe_tham_chieu!$G$2:$G$6,MATCH($D$31,input_xe_tham_chieu!$A$2:$A$6,0))&gt;0,INDEX(boss_input_vu_khi!$E$2:$E$94,MATCH($C$31,boss_input_vu_khi!$A$2:$A$94,0))&gt;0),INDEX(boss_input_vu_khi!$E$2:$E$94,MATCH($C$31,boss_input_vu_khi!$A$2:$A$94,0))/INDEX(input_xe_tham_chieu!$G$2:$G$6,MATCH($D$31,input_xe_tham_chieu!$A$2:$A$6,0)),"")</f>
        <v/>
      </c>
      <c r="R31">
        <f>IF(ISNUMBER($Q$31),IF($P$31&gt;=$Q$31,"DU","THIEU"),"")</f>
        <v/>
      </c>
      <c r="S31" t="inlineStr">
        <is>
          <t>Assets/MachineBrigade/Resources/Data/balance.json: vehicles[id=behemoth_mk0].weapon x 01_chien_dau/Xe_tham_chieu[main_battle_tank]</t>
        </is>
      </c>
      <c r="T31" t="inlineStr"/>
    </row>
    <row r="32">
      <c r="A32" t="inlineStr">
        <is>
          <t>behemoth_mk2/armored_car</t>
        </is>
      </c>
      <c r="B32" t="inlineStr">
        <is>
          <t>behemoth_mk2</t>
        </is>
      </c>
      <c r="C32" t="inlineStr">
        <is>
          <t>p26_behemoth_main_be152</t>
        </is>
      </c>
      <c r="D32" t="inlineStr">
        <is>
          <t>armored_car</t>
        </is>
      </c>
      <c r="E32">
        <f>IF(INDEX(boss_input_vu_khi_suy_ra!$D$2:$D$94,MATCH($C$32,boss_input_vu_khi_suy_ra!$A$2:$A$94,0)),INDEX(input_xe_tham_chieu!$E$2:$E$6,MATCH($D$32,input_xe_tham_chieu!$A$2:$A$6,0)),INDEX(input_xe_tham_chieu!$D$2:$D$6,MATCH($D$32,input_xe_tham_chieu!$A$2:$A$6,0)))</f>
        <v/>
      </c>
      <c r="F32">
        <f>IF(INDEX(boss_input_vu_khi_suy_ra!$E$2:$E$94,MATCH($C$32,boss_input_vu_khi_suy_ra!$A$2:$A$94,0)),INDEX(boss_input_bang_xuyen_giap!$B$2:$B$7,MIN(6,MAX(1,IF(INDEX(boss_input_vu_khi_suy_ra!$D$2:$D$94,MATCH($C$32,boss_input_vu_khi_suy_ra!$A$2:$A$94,0)),MAX(1,2-(INDEX(boss_input_vu_khi!$C$2:$C$94,MATCH($C$32,boss_input_vu_khi!$A$2:$A$94,0))-$E$32)),2-(INDEX(boss_input_vu_khi!$C$2:$C$94,MATCH($C$32,boss_input_vu_khi!$A$2:$A$94,0))-$E$32))+1)))*IF(INDEX(input_xe_tham_chieu!$F$2:$F$6,MATCH($D$32,input_xe_tham_chieu!$A$2:$A$6,0)),INDEX(boss_input_vu_khi_suy_ra!$G$2:$G$94,MATCH($C$32,boss_input_vu_khi_suy_ra!$A$2:$A$94,0)),INDEX(boss_input_vu_khi_suy_ra!$F$2:$F$94,MATCH($C$32,boss_input_vu_khi_suy_ra!$A$2:$A$94,0))),0)</f>
        <v/>
      </c>
      <c r="G32" t="n">
        <v>1.2</v>
      </c>
      <c r="H32">
        <f>INDEX(boss_input_vu_khi!$B$2:$B$94,MATCH($C$32,boss_input_vu_khi!$A$2:$A$94,0))*INDEX(Boss_dps!$D$2:$D$34,MATCH($B$32,Boss_dps!$A$2:$A$34,0))*IF(INDEX(boss_input_vu_khi!$D$2:$D$94,MATCH($C$32,boss_input_vu_khi!$A$2:$A$94,0)),1,INDEX(Boss_dps!$B$2:$B$34,MATCH($B$32,Boss_dps!$A$2:$A$34,0)))*INDEX(Boss_dps!$C$2:$C$34,MATCH($B$32,Boss_dps!$A$2:$A$34,0))*$F$32</f>
        <v/>
      </c>
      <c r="I32" t="n">
        <v>1665.792</v>
      </c>
      <c r="J32">
        <f>IF($H$32&gt;0,CEILING(INDEX(input_xe_tham_chieu!$C$2:$C$6,MATCH($D$32,input_xe_tham_chieu!$A$2:$A$6,0))/$H$32,1),"")</f>
        <v/>
      </c>
      <c r="K32">
        <f>IF(Boss_vu_khi!$S$30*$F$32&gt;0,INDEX(input_xe_tham_chieu!$C$2:$C$6,MATCH($D$32,input_xe_tham_chieu!$A$2:$A$6,0))/(Boss_vu_khi!$S$30*INDEX(Boss_dps!$D$2:$D$34,MATCH($B$32,Boss_dps!$A$2:$A$34,0))*$F$32),"")</f>
        <v/>
      </c>
      <c r="L32">
        <f>1+2*MIN(2,FLOOR(INDEX(boss_input_vu_khi!$E$2:$E$94,MATCH($C$32,boss_input_vu_khi!$A$2:$A$94,0))/8,1))</f>
        <v/>
      </c>
      <c r="M32">
        <f>1+2*MIN(2,FLOOR(MAX(INDEX(boss_input_vu_khi!$E$2:$E$94,MATCH($C$32,boss_input_vu_khi!$A$2:$A$94,0)),Boss_vu_khi!$L$30)/8,1))</f>
        <v/>
      </c>
      <c r="N32">
        <f>IF(INDEX(boss_input_vu_khi!$E$2:$E$94,MATCH($C$32,boss_input_vu_khi!$A$2:$A$94,0))&gt;=8,5,1)</f>
        <v/>
      </c>
      <c r="O32">
        <f>IF(MAX(INDEX(boss_input_vu_khi!$E$2:$E$94,MATCH($C$32,boss_input_vu_khi!$A$2:$A$94,0)),Boss_vu_khi!$L$30)&gt;=8,5,1)</f>
        <v/>
      </c>
      <c r="P32">
        <f>INDEX(boss_input_vu_khi_suy_ra!$H$2:$H$94,MATCH($C$32,boss_input_vu_khi_suy_ra!$A$2:$A$94,0))</f>
        <v/>
      </c>
      <c r="Q32">
        <f>IF(AND(INDEX(input_xe_tham_chieu!$G$2:$G$6,MATCH($D$32,input_xe_tham_chieu!$A$2:$A$6,0))&gt;0,INDEX(boss_input_vu_khi!$E$2:$E$94,MATCH($C$32,boss_input_vu_khi!$A$2:$A$94,0))&gt;0),INDEX(boss_input_vu_khi!$E$2:$E$94,MATCH($C$32,boss_input_vu_khi!$A$2:$A$94,0))/INDEX(input_xe_tham_chieu!$G$2:$G$6,MATCH($D$32,input_xe_tham_chieu!$A$2:$A$6,0)),"")</f>
        <v/>
      </c>
      <c r="R32">
        <f>IF(ISNUMBER($Q$32),IF($P$32&gt;=$Q$32,"DU","THIEU"),"")</f>
        <v/>
      </c>
      <c r="S32" t="inlineStr">
        <is>
          <t>Assets/MachineBrigade/Resources/Data/balance.json: vehicles[id=behemoth_mk2].weapon x 01_chien_dau/Xe_tham_chieu[armored_car]</t>
        </is>
      </c>
      <c r="T32" t="inlineStr"/>
    </row>
    <row r="33">
      <c r="A33" t="inlineStr">
        <is>
          <t>behemoth_mk2/gun_turret</t>
        </is>
      </c>
      <c r="B33" t="inlineStr">
        <is>
          <t>behemoth_mk2</t>
        </is>
      </c>
      <c r="C33" t="inlineStr">
        <is>
          <t>p26_behemoth_main_be152</t>
        </is>
      </c>
      <c r="D33" t="inlineStr">
        <is>
          <t>gun_turret</t>
        </is>
      </c>
      <c r="E33">
        <f>IF(INDEX(boss_input_vu_khi_suy_ra!$D$2:$D$94,MATCH($C$33,boss_input_vu_khi_suy_ra!$A$2:$A$94,0)),INDEX(input_xe_tham_chieu!$E$2:$E$6,MATCH($D$33,input_xe_tham_chieu!$A$2:$A$6,0)),INDEX(input_xe_tham_chieu!$D$2:$D$6,MATCH($D$33,input_xe_tham_chieu!$A$2:$A$6,0)))</f>
        <v/>
      </c>
      <c r="F33">
        <f>IF(INDEX(boss_input_vu_khi_suy_ra!$E$2:$E$94,MATCH($C$33,boss_input_vu_khi_suy_ra!$A$2:$A$94,0)),INDEX(boss_input_bang_xuyen_giap!$B$2:$B$7,MIN(6,MAX(1,IF(INDEX(boss_input_vu_khi_suy_ra!$D$2:$D$94,MATCH($C$33,boss_input_vu_khi_suy_ra!$A$2:$A$94,0)),MAX(1,2-(INDEX(boss_input_vu_khi!$C$2:$C$94,MATCH($C$33,boss_input_vu_khi!$A$2:$A$94,0))-$E$33)),2-(INDEX(boss_input_vu_khi!$C$2:$C$94,MATCH($C$33,boss_input_vu_khi!$A$2:$A$94,0))-$E$33))+1)))*IF(INDEX(input_xe_tham_chieu!$F$2:$F$6,MATCH($D$33,input_xe_tham_chieu!$A$2:$A$6,0)),INDEX(boss_input_vu_khi_suy_ra!$G$2:$G$94,MATCH($C$33,boss_input_vu_khi_suy_ra!$A$2:$A$94,0)),INDEX(boss_input_vu_khi_suy_ra!$F$2:$F$94,MATCH($C$33,boss_input_vu_khi_suy_ra!$A$2:$A$94,0))),0)</f>
        <v/>
      </c>
      <c r="G33" t="n">
        <v>1.275</v>
      </c>
      <c r="H33">
        <f>INDEX(boss_input_vu_khi!$B$2:$B$94,MATCH($C$33,boss_input_vu_khi!$A$2:$A$94,0))*INDEX(Boss_dps!$D$2:$D$34,MATCH($B$33,Boss_dps!$A$2:$A$34,0))*IF(INDEX(boss_input_vu_khi!$D$2:$D$94,MATCH($C$33,boss_input_vu_khi!$A$2:$A$94,0)),1,INDEX(Boss_dps!$B$2:$B$34,MATCH($B$33,Boss_dps!$A$2:$A$34,0)))*INDEX(Boss_dps!$C$2:$C$34,MATCH($B$33,Boss_dps!$A$2:$A$34,0))*$F$33</f>
        <v/>
      </c>
      <c r="I33" t="n">
        <v>1769.904</v>
      </c>
      <c r="J33">
        <f>IF($H$33&gt;0,CEILING(INDEX(input_xe_tham_chieu!$C$2:$C$6,MATCH($D$33,input_xe_tham_chieu!$A$2:$A$6,0))/$H$33,1),"")</f>
        <v/>
      </c>
      <c r="K33">
        <f>IF(Boss_vu_khi!$S$30*$F$33&gt;0,INDEX(input_xe_tham_chieu!$C$2:$C$6,MATCH($D$33,input_xe_tham_chieu!$A$2:$A$6,0))/(Boss_vu_khi!$S$30*INDEX(Boss_dps!$D$2:$D$34,MATCH($B$33,Boss_dps!$A$2:$A$34,0))*$F$33),"")</f>
        <v/>
      </c>
      <c r="L33">
        <f>1+2*MIN(2,FLOOR(INDEX(boss_input_vu_khi!$E$2:$E$94,MATCH($C$33,boss_input_vu_khi!$A$2:$A$94,0))/8,1))</f>
        <v/>
      </c>
      <c r="M33">
        <f>1+2*MIN(2,FLOOR(MAX(INDEX(boss_input_vu_khi!$E$2:$E$94,MATCH($C$33,boss_input_vu_khi!$A$2:$A$94,0)),Boss_vu_khi!$L$30)/8,1))</f>
        <v/>
      </c>
      <c r="N33">
        <f>IF(INDEX(boss_input_vu_khi!$E$2:$E$94,MATCH($C$33,boss_input_vu_khi!$A$2:$A$94,0))&gt;=8,5,1)</f>
        <v/>
      </c>
      <c r="O33">
        <f>IF(MAX(INDEX(boss_input_vu_khi!$E$2:$E$94,MATCH($C$33,boss_input_vu_khi!$A$2:$A$94,0)),Boss_vu_khi!$L$30)&gt;=8,5,1)</f>
        <v/>
      </c>
      <c r="P33">
        <f>INDEX(boss_input_vu_khi_suy_ra!$H$2:$H$94,MATCH($C$33,boss_input_vu_khi_suy_ra!$A$2:$A$94,0))</f>
        <v/>
      </c>
      <c r="Q33">
        <f>IF(AND(INDEX(input_xe_tham_chieu!$G$2:$G$6,MATCH($D$33,input_xe_tham_chieu!$A$2:$A$6,0))&gt;0,INDEX(boss_input_vu_khi!$E$2:$E$94,MATCH($C$33,boss_input_vu_khi!$A$2:$A$94,0))&gt;0),INDEX(boss_input_vu_khi!$E$2:$E$94,MATCH($C$33,boss_input_vu_khi!$A$2:$A$94,0))/INDEX(input_xe_tham_chieu!$G$2:$G$6,MATCH($D$33,input_xe_tham_chieu!$A$2:$A$6,0)),"")</f>
        <v/>
      </c>
      <c r="R33">
        <f>IF(ISNUMBER($Q$33),IF($P$33&gt;=$Q$33,"DU","THIEU"),"")</f>
        <v/>
      </c>
      <c r="S33" t="inlineStr">
        <is>
          <t>Assets/MachineBrigade/Resources/Data/balance.json: vehicles[id=behemoth_mk2].weapon x 01_chien_dau/Xe_tham_chieu[gun_turret]</t>
        </is>
      </c>
      <c r="T33" t="inlineStr"/>
    </row>
    <row r="34">
      <c r="A34" t="inlineStr">
        <is>
          <t>behemoth_mk2/heavy_tank</t>
        </is>
      </c>
      <c r="B34" t="inlineStr">
        <is>
          <t>behemoth_mk2</t>
        </is>
      </c>
      <c r="C34" t="inlineStr">
        <is>
          <t>p26_behemoth_main_be152</t>
        </is>
      </c>
      <c r="D34" t="inlineStr">
        <is>
          <t>heavy_tank</t>
        </is>
      </c>
      <c r="E34">
        <f>IF(INDEX(boss_input_vu_khi_suy_ra!$D$2:$D$94,MATCH($C$34,boss_input_vu_khi_suy_ra!$A$2:$A$94,0)),INDEX(input_xe_tham_chieu!$E$2:$E$6,MATCH($D$34,input_xe_tham_chieu!$A$2:$A$6,0)),INDEX(input_xe_tham_chieu!$D$2:$D$6,MATCH($D$34,input_xe_tham_chieu!$A$2:$A$6,0)))</f>
        <v/>
      </c>
      <c r="F34">
        <f>IF(INDEX(boss_input_vu_khi_suy_ra!$E$2:$E$94,MATCH($C$34,boss_input_vu_khi_suy_ra!$A$2:$A$94,0)),INDEX(boss_input_bang_xuyen_giap!$B$2:$B$7,MIN(6,MAX(1,IF(INDEX(boss_input_vu_khi_suy_ra!$D$2:$D$94,MATCH($C$34,boss_input_vu_khi_suy_ra!$A$2:$A$94,0)),MAX(1,2-(INDEX(boss_input_vu_khi!$C$2:$C$94,MATCH($C$34,boss_input_vu_khi!$A$2:$A$94,0))-$E$34)),2-(INDEX(boss_input_vu_khi!$C$2:$C$94,MATCH($C$34,boss_input_vu_khi!$A$2:$A$94,0))-$E$34))+1)))*IF(INDEX(input_xe_tham_chieu!$F$2:$F$6,MATCH($D$34,input_xe_tham_chieu!$A$2:$A$6,0)),INDEX(boss_input_vu_khi_suy_ra!$G$2:$G$94,MATCH($C$34,boss_input_vu_khi_suy_ra!$A$2:$A$94,0)),INDEX(boss_input_vu_khi_suy_ra!$F$2:$F$94,MATCH($C$34,boss_input_vu_khi_suy_ra!$A$2:$A$94,0))),0)</f>
        <v/>
      </c>
      <c r="G34" t="n">
        <v>0.5</v>
      </c>
      <c r="H34">
        <f>INDEX(boss_input_vu_khi!$B$2:$B$94,MATCH($C$34,boss_input_vu_khi!$A$2:$A$94,0))*INDEX(Boss_dps!$D$2:$D$34,MATCH($B$34,Boss_dps!$A$2:$A$34,0))*IF(INDEX(boss_input_vu_khi!$D$2:$D$94,MATCH($C$34,boss_input_vu_khi!$A$2:$A$94,0)),1,INDEX(Boss_dps!$B$2:$B$34,MATCH($B$34,Boss_dps!$A$2:$A$34,0)))*INDEX(Boss_dps!$C$2:$C$34,MATCH($B$34,Boss_dps!$A$2:$A$34,0))*$F$34</f>
        <v/>
      </c>
      <c r="I34" t="n">
        <v>694.0799999999999</v>
      </c>
      <c r="J34">
        <f>IF($H$34&gt;0,CEILING(INDEX(input_xe_tham_chieu!$C$2:$C$6,MATCH($D$34,input_xe_tham_chieu!$A$2:$A$6,0))/$H$34,1),"")</f>
        <v/>
      </c>
      <c r="K34">
        <f>IF(Boss_vu_khi!$S$30*$F$34&gt;0,INDEX(input_xe_tham_chieu!$C$2:$C$6,MATCH($D$34,input_xe_tham_chieu!$A$2:$A$6,0))/(Boss_vu_khi!$S$30*INDEX(Boss_dps!$D$2:$D$34,MATCH($B$34,Boss_dps!$A$2:$A$34,0))*$F$34),"")</f>
        <v/>
      </c>
      <c r="L34">
        <f>1+2*MIN(2,FLOOR(INDEX(boss_input_vu_khi!$E$2:$E$94,MATCH($C$34,boss_input_vu_khi!$A$2:$A$94,0))/8,1))</f>
        <v/>
      </c>
      <c r="M34">
        <f>1+2*MIN(2,FLOOR(MAX(INDEX(boss_input_vu_khi!$E$2:$E$94,MATCH($C$34,boss_input_vu_khi!$A$2:$A$94,0)),Boss_vu_khi!$L$30)/8,1))</f>
        <v/>
      </c>
      <c r="N34">
        <f>IF(INDEX(boss_input_vu_khi!$E$2:$E$94,MATCH($C$34,boss_input_vu_khi!$A$2:$A$94,0))&gt;=8,5,1)</f>
        <v/>
      </c>
      <c r="O34">
        <f>IF(MAX(INDEX(boss_input_vu_khi!$E$2:$E$94,MATCH($C$34,boss_input_vu_khi!$A$2:$A$94,0)),Boss_vu_khi!$L$30)&gt;=8,5,1)</f>
        <v/>
      </c>
      <c r="P34">
        <f>INDEX(boss_input_vu_khi_suy_ra!$H$2:$H$94,MATCH($C$34,boss_input_vu_khi_suy_ra!$A$2:$A$94,0))</f>
        <v/>
      </c>
      <c r="Q34">
        <f>IF(AND(INDEX(input_xe_tham_chieu!$G$2:$G$6,MATCH($D$34,input_xe_tham_chieu!$A$2:$A$6,0))&gt;0,INDEX(boss_input_vu_khi!$E$2:$E$94,MATCH($C$34,boss_input_vu_khi!$A$2:$A$94,0))&gt;0),INDEX(boss_input_vu_khi!$E$2:$E$94,MATCH($C$34,boss_input_vu_khi!$A$2:$A$94,0))/INDEX(input_xe_tham_chieu!$G$2:$G$6,MATCH($D$34,input_xe_tham_chieu!$A$2:$A$6,0)),"")</f>
        <v/>
      </c>
      <c r="R34">
        <f>IF(ISNUMBER($Q$34),IF($P$34&gt;=$Q$34,"DU","THIEU"),"")</f>
        <v/>
      </c>
      <c r="S34" t="inlineStr">
        <is>
          <t>Assets/MachineBrigade/Resources/Data/balance.json: vehicles[id=behemoth_mk2].weapon x 01_chien_dau/Xe_tham_chieu[heavy_tank]</t>
        </is>
      </c>
      <c r="T34" t="inlineStr"/>
    </row>
    <row r="35">
      <c r="A35" t="inlineStr">
        <is>
          <t>behemoth_mk2/ifv</t>
        </is>
      </c>
      <c r="B35" t="inlineStr">
        <is>
          <t>behemoth_mk2</t>
        </is>
      </c>
      <c r="C35" t="inlineStr">
        <is>
          <t>p26_behemoth_main_be152</t>
        </is>
      </c>
      <c r="D35" t="inlineStr">
        <is>
          <t>ifv</t>
        </is>
      </c>
      <c r="E35">
        <f>IF(INDEX(boss_input_vu_khi_suy_ra!$D$2:$D$94,MATCH($C$35,boss_input_vu_khi_suy_ra!$A$2:$A$94,0)),INDEX(input_xe_tham_chieu!$E$2:$E$6,MATCH($D$35,input_xe_tham_chieu!$A$2:$A$6,0)),INDEX(input_xe_tham_chieu!$D$2:$D$6,MATCH($D$35,input_xe_tham_chieu!$A$2:$A$6,0)))</f>
        <v/>
      </c>
      <c r="F35">
        <f>IF(INDEX(boss_input_vu_khi_suy_ra!$E$2:$E$94,MATCH($C$35,boss_input_vu_khi_suy_ra!$A$2:$A$94,0)),INDEX(boss_input_bang_xuyen_giap!$B$2:$B$7,MIN(6,MAX(1,IF(INDEX(boss_input_vu_khi_suy_ra!$D$2:$D$94,MATCH($C$35,boss_input_vu_khi_suy_ra!$A$2:$A$94,0)),MAX(1,2-(INDEX(boss_input_vu_khi!$C$2:$C$94,MATCH($C$35,boss_input_vu_khi!$A$2:$A$94,0))-$E$35)),2-(INDEX(boss_input_vu_khi!$C$2:$C$94,MATCH($C$35,boss_input_vu_khi!$A$2:$A$94,0))-$E$35))+1)))*IF(INDEX(input_xe_tham_chieu!$F$2:$F$6,MATCH($D$35,input_xe_tham_chieu!$A$2:$A$6,0)),INDEX(boss_input_vu_khi_suy_ra!$G$2:$G$94,MATCH($C$35,boss_input_vu_khi_suy_ra!$A$2:$A$94,0)),INDEX(boss_input_vu_khi_suy_ra!$F$2:$F$94,MATCH($C$35,boss_input_vu_khi_suy_ra!$A$2:$A$94,0))),0)</f>
        <v/>
      </c>
      <c r="G35" t="n">
        <v>1</v>
      </c>
      <c r="H35">
        <f>INDEX(boss_input_vu_khi!$B$2:$B$94,MATCH($C$35,boss_input_vu_khi!$A$2:$A$94,0))*INDEX(Boss_dps!$D$2:$D$34,MATCH($B$35,Boss_dps!$A$2:$A$34,0))*IF(INDEX(boss_input_vu_khi!$D$2:$D$94,MATCH($C$35,boss_input_vu_khi!$A$2:$A$94,0)),1,INDEX(Boss_dps!$B$2:$B$34,MATCH($B$35,Boss_dps!$A$2:$A$34,0)))*INDEX(Boss_dps!$C$2:$C$34,MATCH($B$35,Boss_dps!$A$2:$A$34,0))*$F$35</f>
        <v/>
      </c>
      <c r="I35" t="n">
        <v>1388.16</v>
      </c>
      <c r="J35">
        <f>IF($H$35&gt;0,CEILING(INDEX(input_xe_tham_chieu!$C$2:$C$6,MATCH($D$35,input_xe_tham_chieu!$A$2:$A$6,0))/$H$35,1),"")</f>
        <v/>
      </c>
      <c r="K35">
        <f>IF(Boss_vu_khi!$S$30*$F$35&gt;0,INDEX(input_xe_tham_chieu!$C$2:$C$6,MATCH($D$35,input_xe_tham_chieu!$A$2:$A$6,0))/(Boss_vu_khi!$S$30*INDEX(Boss_dps!$D$2:$D$34,MATCH($B$35,Boss_dps!$A$2:$A$34,0))*$F$35),"")</f>
        <v/>
      </c>
      <c r="L35">
        <f>1+2*MIN(2,FLOOR(INDEX(boss_input_vu_khi!$E$2:$E$94,MATCH($C$35,boss_input_vu_khi!$A$2:$A$94,0))/8,1))</f>
        <v/>
      </c>
      <c r="M35">
        <f>1+2*MIN(2,FLOOR(MAX(INDEX(boss_input_vu_khi!$E$2:$E$94,MATCH($C$35,boss_input_vu_khi!$A$2:$A$94,0)),Boss_vu_khi!$L$30)/8,1))</f>
        <v/>
      </c>
      <c r="N35">
        <f>IF(INDEX(boss_input_vu_khi!$E$2:$E$94,MATCH($C$35,boss_input_vu_khi!$A$2:$A$94,0))&gt;=8,5,1)</f>
        <v/>
      </c>
      <c r="O35">
        <f>IF(MAX(INDEX(boss_input_vu_khi!$E$2:$E$94,MATCH($C$35,boss_input_vu_khi!$A$2:$A$94,0)),Boss_vu_khi!$L$30)&gt;=8,5,1)</f>
        <v/>
      </c>
      <c r="P35">
        <f>INDEX(boss_input_vu_khi_suy_ra!$H$2:$H$94,MATCH($C$35,boss_input_vu_khi_suy_ra!$A$2:$A$94,0))</f>
        <v/>
      </c>
      <c r="Q35">
        <f>IF(AND(INDEX(input_xe_tham_chieu!$G$2:$G$6,MATCH($D$35,input_xe_tham_chieu!$A$2:$A$6,0))&gt;0,INDEX(boss_input_vu_khi!$E$2:$E$94,MATCH($C$35,boss_input_vu_khi!$A$2:$A$94,0))&gt;0),INDEX(boss_input_vu_khi!$E$2:$E$94,MATCH($C$35,boss_input_vu_khi!$A$2:$A$94,0))/INDEX(input_xe_tham_chieu!$G$2:$G$6,MATCH($D$35,input_xe_tham_chieu!$A$2:$A$6,0)),"")</f>
        <v/>
      </c>
      <c r="R35">
        <f>IF(ISNUMBER($Q$35),IF($P$35&gt;=$Q$35,"DU","THIEU"),"")</f>
        <v/>
      </c>
      <c r="S35" t="inlineStr">
        <is>
          <t>Assets/MachineBrigade/Resources/Data/balance.json: vehicles[id=behemoth_mk2].weapon x 01_chien_dau/Xe_tham_chieu[ifv]</t>
        </is>
      </c>
      <c r="T35" t="inlineStr"/>
    </row>
    <row r="36">
      <c r="A36" t="inlineStr">
        <is>
          <t>behemoth_mk2/main_battle_tank</t>
        </is>
      </c>
      <c r="B36" t="inlineStr">
        <is>
          <t>behemoth_mk2</t>
        </is>
      </c>
      <c r="C36" t="inlineStr">
        <is>
          <t>p26_behemoth_main_be152</t>
        </is>
      </c>
      <c r="D36" t="inlineStr">
        <is>
          <t>main_battle_tank</t>
        </is>
      </c>
      <c r="E36">
        <f>IF(INDEX(boss_input_vu_khi_suy_ra!$D$2:$D$94,MATCH($C$36,boss_input_vu_khi_suy_ra!$A$2:$A$94,0)),INDEX(input_xe_tham_chieu!$E$2:$E$6,MATCH($D$36,input_xe_tham_chieu!$A$2:$A$6,0)),INDEX(input_xe_tham_chieu!$D$2:$D$6,MATCH($D$36,input_xe_tham_chieu!$A$2:$A$6,0)))</f>
        <v/>
      </c>
      <c r="F36">
        <f>IF(INDEX(boss_input_vu_khi_suy_ra!$E$2:$E$94,MATCH($C$36,boss_input_vu_khi_suy_ra!$A$2:$A$94,0)),INDEX(boss_input_bang_xuyen_giap!$B$2:$B$7,MIN(6,MAX(1,IF(INDEX(boss_input_vu_khi_suy_ra!$D$2:$D$94,MATCH($C$36,boss_input_vu_khi_suy_ra!$A$2:$A$94,0)),MAX(1,2-(INDEX(boss_input_vu_khi!$C$2:$C$94,MATCH($C$36,boss_input_vu_khi!$A$2:$A$94,0))-$E$36)),2-(INDEX(boss_input_vu_khi!$C$2:$C$94,MATCH($C$36,boss_input_vu_khi!$A$2:$A$94,0))-$E$36))+1)))*IF(INDEX(input_xe_tham_chieu!$F$2:$F$6,MATCH($D$36,input_xe_tham_chieu!$A$2:$A$6,0)),INDEX(boss_input_vu_khi_suy_ra!$G$2:$G$94,MATCH($C$36,boss_input_vu_khi_suy_ra!$A$2:$A$94,0)),INDEX(boss_input_vu_khi_suy_ra!$F$2:$F$94,MATCH($C$36,boss_input_vu_khi_suy_ra!$A$2:$A$94,0))),0)</f>
        <v/>
      </c>
      <c r="G36" t="n">
        <v>0.5</v>
      </c>
      <c r="H36">
        <f>INDEX(boss_input_vu_khi!$B$2:$B$94,MATCH($C$36,boss_input_vu_khi!$A$2:$A$94,0))*INDEX(Boss_dps!$D$2:$D$34,MATCH($B$36,Boss_dps!$A$2:$A$34,0))*IF(INDEX(boss_input_vu_khi!$D$2:$D$94,MATCH($C$36,boss_input_vu_khi!$A$2:$A$94,0)),1,INDEX(Boss_dps!$B$2:$B$34,MATCH($B$36,Boss_dps!$A$2:$A$34,0)))*INDEX(Boss_dps!$C$2:$C$34,MATCH($B$36,Boss_dps!$A$2:$A$34,0))*$F$36</f>
        <v/>
      </c>
      <c r="I36" t="n">
        <v>694.0799999999999</v>
      </c>
      <c r="J36">
        <f>IF($H$36&gt;0,CEILING(INDEX(input_xe_tham_chieu!$C$2:$C$6,MATCH($D$36,input_xe_tham_chieu!$A$2:$A$6,0))/$H$36,1),"")</f>
        <v/>
      </c>
      <c r="K36">
        <f>IF(Boss_vu_khi!$S$30*$F$36&gt;0,INDEX(input_xe_tham_chieu!$C$2:$C$6,MATCH($D$36,input_xe_tham_chieu!$A$2:$A$6,0))/(Boss_vu_khi!$S$30*INDEX(Boss_dps!$D$2:$D$34,MATCH($B$36,Boss_dps!$A$2:$A$34,0))*$F$36),"")</f>
        <v/>
      </c>
      <c r="L36">
        <f>1+2*MIN(2,FLOOR(INDEX(boss_input_vu_khi!$E$2:$E$94,MATCH($C$36,boss_input_vu_khi!$A$2:$A$94,0))/8,1))</f>
        <v/>
      </c>
      <c r="M36">
        <f>1+2*MIN(2,FLOOR(MAX(INDEX(boss_input_vu_khi!$E$2:$E$94,MATCH($C$36,boss_input_vu_khi!$A$2:$A$94,0)),Boss_vu_khi!$L$30)/8,1))</f>
        <v/>
      </c>
      <c r="N36">
        <f>IF(INDEX(boss_input_vu_khi!$E$2:$E$94,MATCH($C$36,boss_input_vu_khi!$A$2:$A$94,0))&gt;=8,5,1)</f>
        <v/>
      </c>
      <c r="O36">
        <f>IF(MAX(INDEX(boss_input_vu_khi!$E$2:$E$94,MATCH($C$36,boss_input_vu_khi!$A$2:$A$94,0)),Boss_vu_khi!$L$30)&gt;=8,5,1)</f>
        <v/>
      </c>
      <c r="P36">
        <f>INDEX(boss_input_vu_khi_suy_ra!$H$2:$H$94,MATCH($C$36,boss_input_vu_khi_suy_ra!$A$2:$A$94,0))</f>
        <v/>
      </c>
      <c r="Q36">
        <f>IF(AND(INDEX(input_xe_tham_chieu!$G$2:$G$6,MATCH($D$36,input_xe_tham_chieu!$A$2:$A$6,0))&gt;0,INDEX(boss_input_vu_khi!$E$2:$E$94,MATCH($C$36,boss_input_vu_khi!$A$2:$A$94,0))&gt;0),INDEX(boss_input_vu_khi!$E$2:$E$94,MATCH($C$36,boss_input_vu_khi!$A$2:$A$94,0))/INDEX(input_xe_tham_chieu!$G$2:$G$6,MATCH($D$36,input_xe_tham_chieu!$A$2:$A$6,0)),"")</f>
        <v/>
      </c>
      <c r="R36">
        <f>IF(ISNUMBER($Q$36),IF($P$36&gt;=$Q$36,"DU","THIEU"),"")</f>
        <v/>
      </c>
      <c r="S36" t="inlineStr">
        <is>
          <t>Assets/MachineBrigade/Resources/Data/balance.json: vehicles[id=behemoth_mk2].weapon x 01_chien_dau/Xe_tham_chieu[main_battle_tank]</t>
        </is>
      </c>
      <c r="T36" t="inlineStr"/>
    </row>
    <row r="37">
      <c r="A37" t="inlineStr">
        <is>
          <t>behemoth_tempest/armored_car</t>
        </is>
      </c>
      <c r="B37" t="inlineStr">
        <is>
          <t>behemoth_tempest</t>
        </is>
      </c>
      <c r="C37" t="inlineStr">
        <is>
          <t>boss_railgun</t>
        </is>
      </c>
      <c r="D37" t="inlineStr">
        <is>
          <t>armored_car</t>
        </is>
      </c>
      <c r="E37">
        <f>IF(INDEX(boss_input_vu_khi_suy_ra!$D$2:$D$94,MATCH($C$37,boss_input_vu_khi_suy_ra!$A$2:$A$94,0)),INDEX(input_xe_tham_chieu!$E$2:$E$6,MATCH($D$37,input_xe_tham_chieu!$A$2:$A$6,0)),INDEX(input_xe_tham_chieu!$D$2:$D$6,MATCH($D$37,input_xe_tham_chieu!$A$2:$A$6,0)))</f>
        <v/>
      </c>
      <c r="F37">
        <f>IF(INDEX(boss_input_vu_khi_suy_ra!$E$2:$E$94,MATCH($C$37,boss_input_vu_khi_suy_ra!$A$2:$A$94,0)),INDEX(boss_input_bang_xuyen_giap!$B$2:$B$7,MIN(6,MAX(1,IF(INDEX(boss_input_vu_khi_suy_ra!$D$2:$D$94,MATCH($C$37,boss_input_vu_khi_suy_ra!$A$2:$A$94,0)),MAX(1,2-(INDEX(boss_input_vu_khi!$C$2:$C$94,MATCH($C$37,boss_input_vu_khi!$A$2:$A$94,0))-$E$37)),2-(INDEX(boss_input_vu_khi!$C$2:$C$94,MATCH($C$37,boss_input_vu_khi!$A$2:$A$94,0))-$E$37))+1)))*IF(INDEX(input_xe_tham_chieu!$F$2:$F$6,MATCH($D$37,input_xe_tham_chieu!$A$2:$A$6,0)),INDEX(boss_input_vu_khi_suy_ra!$G$2:$G$94,MATCH($C$37,boss_input_vu_khi_suy_ra!$A$2:$A$94,0)),INDEX(boss_input_vu_khi_suy_ra!$F$2:$F$94,MATCH($C$37,boss_input_vu_khi_suy_ra!$A$2:$A$94,0))),0)</f>
        <v/>
      </c>
      <c r="G37" t="n">
        <v>1.2</v>
      </c>
      <c r="H37">
        <f>INDEX(boss_input_vu_khi!$B$2:$B$94,MATCH($C$37,boss_input_vu_khi!$A$2:$A$94,0))*INDEX(Boss_dps!$D$2:$D$34,MATCH($B$37,Boss_dps!$A$2:$A$34,0))*IF(INDEX(boss_input_vu_khi!$D$2:$D$94,MATCH($C$37,boss_input_vu_khi!$A$2:$A$94,0)),1,INDEX(Boss_dps!$B$2:$B$34,MATCH($B$37,Boss_dps!$A$2:$A$34,0)))*INDEX(Boss_dps!$C$2:$C$34,MATCH($B$37,Boss_dps!$A$2:$A$34,0))*$F$37</f>
        <v/>
      </c>
      <c r="I37" t="n">
        <v>1804.032</v>
      </c>
      <c r="J37">
        <f>IF($H$37&gt;0,CEILING(INDEX(input_xe_tham_chieu!$C$2:$C$6,MATCH($D$37,input_xe_tham_chieu!$A$2:$A$6,0))/$H$37,1),"")</f>
        <v/>
      </c>
      <c r="K37">
        <f>IF(Boss_vu_khi!$S$33*$F$37&gt;0,INDEX(input_xe_tham_chieu!$C$2:$C$6,MATCH($D$37,input_xe_tham_chieu!$A$2:$A$6,0))/(Boss_vu_khi!$S$33*INDEX(Boss_dps!$D$2:$D$34,MATCH($B$37,Boss_dps!$A$2:$A$34,0))*$F$37),"")</f>
        <v/>
      </c>
      <c r="L37">
        <f>1+2*MIN(2,FLOOR(INDEX(boss_input_vu_khi!$E$2:$E$94,MATCH($C$37,boss_input_vu_khi!$A$2:$A$94,0))/8,1))</f>
        <v/>
      </c>
      <c r="M37">
        <f>1+2*MIN(2,FLOOR(MAX(INDEX(boss_input_vu_khi!$E$2:$E$94,MATCH($C$37,boss_input_vu_khi!$A$2:$A$94,0)),Boss_vu_khi!$L$33)/8,1))</f>
        <v/>
      </c>
      <c r="N37">
        <f>IF(INDEX(boss_input_vu_khi!$E$2:$E$94,MATCH($C$37,boss_input_vu_khi!$A$2:$A$94,0))&gt;=8,5,1)</f>
        <v/>
      </c>
      <c r="O37">
        <f>IF(MAX(INDEX(boss_input_vu_khi!$E$2:$E$94,MATCH($C$37,boss_input_vu_khi!$A$2:$A$94,0)),Boss_vu_khi!$L$33)&gt;=8,5,1)</f>
        <v/>
      </c>
      <c r="P37">
        <f>INDEX(boss_input_vu_khi_suy_ra!$H$2:$H$94,MATCH($C$37,boss_input_vu_khi_suy_ra!$A$2:$A$94,0))</f>
        <v/>
      </c>
      <c r="Q37">
        <f>IF(AND(INDEX(input_xe_tham_chieu!$G$2:$G$6,MATCH($D$37,input_xe_tham_chieu!$A$2:$A$6,0))&gt;0,INDEX(boss_input_vu_khi!$E$2:$E$94,MATCH($C$37,boss_input_vu_khi!$A$2:$A$94,0))&gt;0),INDEX(boss_input_vu_khi!$E$2:$E$94,MATCH($C$37,boss_input_vu_khi!$A$2:$A$94,0))/INDEX(input_xe_tham_chieu!$G$2:$G$6,MATCH($D$37,input_xe_tham_chieu!$A$2:$A$6,0)),"")</f>
        <v/>
      </c>
      <c r="R37">
        <f>IF(ISNUMBER($Q$37),IF($P$37&gt;=$Q$37,"DU","THIEU"),"")</f>
        <v/>
      </c>
      <c r="S37" t="inlineStr">
        <is>
          <t>Assets/MachineBrigade/Resources/Data/balance.json: vehicles[id=behemoth_tempest].weapon x 01_chien_dau/Xe_tham_chieu[armored_car]</t>
        </is>
      </c>
      <c r="T37" t="inlineStr"/>
    </row>
    <row r="38">
      <c r="A38" t="inlineStr">
        <is>
          <t>behemoth_tempest/gun_turret</t>
        </is>
      </c>
      <c r="B38" t="inlineStr">
        <is>
          <t>behemoth_tempest</t>
        </is>
      </c>
      <c r="C38" t="inlineStr">
        <is>
          <t>boss_railgun</t>
        </is>
      </c>
      <c r="D38" t="inlineStr">
        <is>
          <t>gun_turret</t>
        </is>
      </c>
      <c r="E38">
        <f>IF(INDEX(boss_input_vu_khi_suy_ra!$D$2:$D$94,MATCH($C$38,boss_input_vu_khi_suy_ra!$A$2:$A$94,0)),INDEX(input_xe_tham_chieu!$E$2:$E$6,MATCH($D$38,input_xe_tham_chieu!$A$2:$A$6,0)),INDEX(input_xe_tham_chieu!$D$2:$D$6,MATCH($D$38,input_xe_tham_chieu!$A$2:$A$6,0)))</f>
        <v/>
      </c>
      <c r="F38">
        <f>IF(INDEX(boss_input_vu_khi_suy_ra!$E$2:$E$94,MATCH($C$38,boss_input_vu_khi_suy_ra!$A$2:$A$94,0)),INDEX(boss_input_bang_xuyen_giap!$B$2:$B$7,MIN(6,MAX(1,IF(INDEX(boss_input_vu_khi_suy_ra!$D$2:$D$94,MATCH($C$38,boss_input_vu_khi_suy_ra!$A$2:$A$94,0)),MAX(1,2-(INDEX(boss_input_vu_khi!$C$2:$C$94,MATCH($C$38,boss_input_vu_khi!$A$2:$A$94,0))-$E$38)),2-(INDEX(boss_input_vu_khi!$C$2:$C$94,MATCH($C$38,boss_input_vu_khi!$A$2:$A$94,0))-$E$38))+1)))*IF(INDEX(input_xe_tham_chieu!$F$2:$F$6,MATCH($D$38,input_xe_tham_chieu!$A$2:$A$6,0)),INDEX(boss_input_vu_khi_suy_ra!$G$2:$G$94,MATCH($C$38,boss_input_vu_khi_suy_ra!$A$2:$A$94,0)),INDEX(boss_input_vu_khi_suy_ra!$F$2:$F$94,MATCH($C$38,boss_input_vu_khi_suy_ra!$A$2:$A$94,0))),0)</f>
        <v/>
      </c>
      <c r="G38" t="n">
        <v>0.6</v>
      </c>
      <c r="H38">
        <f>INDEX(boss_input_vu_khi!$B$2:$B$94,MATCH($C$38,boss_input_vu_khi!$A$2:$A$94,0))*INDEX(Boss_dps!$D$2:$D$34,MATCH($B$38,Boss_dps!$A$2:$A$34,0))*IF(INDEX(boss_input_vu_khi!$D$2:$D$94,MATCH($C$38,boss_input_vu_khi!$A$2:$A$94,0)),1,INDEX(Boss_dps!$B$2:$B$34,MATCH($B$38,Boss_dps!$A$2:$A$34,0)))*INDEX(Boss_dps!$C$2:$C$34,MATCH($B$38,Boss_dps!$A$2:$A$34,0))*$F$38</f>
        <v/>
      </c>
      <c r="I38" t="n">
        <v>902.016</v>
      </c>
      <c r="J38">
        <f>IF($H$38&gt;0,CEILING(INDEX(input_xe_tham_chieu!$C$2:$C$6,MATCH($D$38,input_xe_tham_chieu!$A$2:$A$6,0))/$H$38,1),"")</f>
        <v/>
      </c>
      <c r="K38">
        <f>IF(Boss_vu_khi!$S$33*$F$38&gt;0,INDEX(input_xe_tham_chieu!$C$2:$C$6,MATCH($D$38,input_xe_tham_chieu!$A$2:$A$6,0))/(Boss_vu_khi!$S$33*INDEX(Boss_dps!$D$2:$D$34,MATCH($B$38,Boss_dps!$A$2:$A$34,0))*$F$38),"")</f>
        <v/>
      </c>
      <c r="L38">
        <f>1+2*MIN(2,FLOOR(INDEX(boss_input_vu_khi!$E$2:$E$94,MATCH($C$38,boss_input_vu_khi!$A$2:$A$94,0))/8,1))</f>
        <v/>
      </c>
      <c r="M38">
        <f>1+2*MIN(2,FLOOR(MAX(INDEX(boss_input_vu_khi!$E$2:$E$94,MATCH($C$38,boss_input_vu_khi!$A$2:$A$94,0)),Boss_vu_khi!$L$33)/8,1))</f>
        <v/>
      </c>
      <c r="N38">
        <f>IF(INDEX(boss_input_vu_khi!$E$2:$E$94,MATCH($C$38,boss_input_vu_khi!$A$2:$A$94,0))&gt;=8,5,1)</f>
        <v/>
      </c>
      <c r="O38">
        <f>IF(MAX(INDEX(boss_input_vu_khi!$E$2:$E$94,MATCH($C$38,boss_input_vu_khi!$A$2:$A$94,0)),Boss_vu_khi!$L$33)&gt;=8,5,1)</f>
        <v/>
      </c>
      <c r="P38">
        <f>INDEX(boss_input_vu_khi_suy_ra!$H$2:$H$94,MATCH($C$38,boss_input_vu_khi_suy_ra!$A$2:$A$94,0))</f>
        <v/>
      </c>
      <c r="Q38">
        <f>IF(AND(INDEX(input_xe_tham_chieu!$G$2:$G$6,MATCH($D$38,input_xe_tham_chieu!$A$2:$A$6,0))&gt;0,INDEX(boss_input_vu_khi!$E$2:$E$94,MATCH($C$38,boss_input_vu_khi!$A$2:$A$94,0))&gt;0),INDEX(boss_input_vu_khi!$E$2:$E$94,MATCH($C$38,boss_input_vu_khi!$A$2:$A$94,0))/INDEX(input_xe_tham_chieu!$G$2:$G$6,MATCH($D$38,input_xe_tham_chieu!$A$2:$A$6,0)),"")</f>
        <v/>
      </c>
      <c r="R38">
        <f>IF(ISNUMBER($Q$38),IF($P$38&gt;=$Q$38,"DU","THIEU"),"")</f>
        <v/>
      </c>
      <c r="S38" t="inlineStr">
        <is>
          <t>Assets/MachineBrigade/Resources/Data/balance.json: vehicles[id=behemoth_tempest].weapon x 01_chien_dau/Xe_tham_chieu[gun_turret]</t>
        </is>
      </c>
      <c r="T38" t="inlineStr"/>
    </row>
    <row r="39">
      <c r="A39" t="inlineStr">
        <is>
          <t>behemoth_tempest/heavy_tank</t>
        </is>
      </c>
      <c r="B39" t="inlineStr">
        <is>
          <t>behemoth_tempest</t>
        </is>
      </c>
      <c r="C39" t="inlineStr">
        <is>
          <t>boss_railgun</t>
        </is>
      </c>
      <c r="D39" t="inlineStr">
        <is>
          <t>heavy_tank</t>
        </is>
      </c>
      <c r="E39">
        <f>IF(INDEX(boss_input_vu_khi_suy_ra!$D$2:$D$94,MATCH($C$39,boss_input_vu_khi_suy_ra!$A$2:$A$94,0)),INDEX(input_xe_tham_chieu!$E$2:$E$6,MATCH($D$39,input_xe_tham_chieu!$A$2:$A$6,0)),INDEX(input_xe_tham_chieu!$D$2:$D$6,MATCH($D$39,input_xe_tham_chieu!$A$2:$A$6,0)))</f>
        <v/>
      </c>
      <c r="F39">
        <f>IF(INDEX(boss_input_vu_khi_suy_ra!$E$2:$E$94,MATCH($C$39,boss_input_vu_khi_suy_ra!$A$2:$A$94,0)),INDEX(boss_input_bang_xuyen_giap!$B$2:$B$7,MIN(6,MAX(1,IF(INDEX(boss_input_vu_khi_suy_ra!$D$2:$D$94,MATCH($C$39,boss_input_vu_khi_suy_ra!$A$2:$A$94,0)),MAX(1,2-(INDEX(boss_input_vu_khi!$C$2:$C$94,MATCH($C$39,boss_input_vu_khi!$A$2:$A$94,0))-$E$39)),2-(INDEX(boss_input_vu_khi!$C$2:$C$94,MATCH($C$39,boss_input_vu_khi!$A$2:$A$94,0))-$E$39))+1)))*IF(INDEX(input_xe_tham_chieu!$F$2:$F$6,MATCH($D$39,input_xe_tham_chieu!$A$2:$A$6,0)),INDEX(boss_input_vu_khi_suy_ra!$G$2:$G$94,MATCH($C$39,boss_input_vu_khi_suy_ra!$A$2:$A$94,0)),INDEX(boss_input_vu_khi_suy_ra!$F$2:$F$94,MATCH($C$39,boss_input_vu_khi_suy_ra!$A$2:$A$94,0))),0)</f>
        <v/>
      </c>
      <c r="G39" t="n">
        <v>0.85</v>
      </c>
      <c r="H39">
        <f>INDEX(boss_input_vu_khi!$B$2:$B$94,MATCH($C$39,boss_input_vu_khi!$A$2:$A$94,0))*INDEX(Boss_dps!$D$2:$D$34,MATCH($B$39,Boss_dps!$A$2:$A$34,0))*IF(INDEX(boss_input_vu_khi!$D$2:$D$94,MATCH($C$39,boss_input_vu_khi!$A$2:$A$94,0)),1,INDEX(Boss_dps!$B$2:$B$34,MATCH($B$39,Boss_dps!$A$2:$A$34,0)))*INDEX(Boss_dps!$C$2:$C$34,MATCH($B$39,Boss_dps!$A$2:$A$34,0))*$F$39</f>
        <v/>
      </c>
      <c r="I39" t="n">
        <v>1277.856</v>
      </c>
      <c r="J39">
        <f>IF($H$39&gt;0,CEILING(INDEX(input_xe_tham_chieu!$C$2:$C$6,MATCH($D$39,input_xe_tham_chieu!$A$2:$A$6,0))/$H$39,1),"")</f>
        <v/>
      </c>
      <c r="K39">
        <f>IF(Boss_vu_khi!$S$33*$F$39&gt;0,INDEX(input_xe_tham_chieu!$C$2:$C$6,MATCH($D$39,input_xe_tham_chieu!$A$2:$A$6,0))/(Boss_vu_khi!$S$33*INDEX(Boss_dps!$D$2:$D$34,MATCH($B$39,Boss_dps!$A$2:$A$34,0))*$F$39),"")</f>
        <v/>
      </c>
      <c r="L39">
        <f>1+2*MIN(2,FLOOR(INDEX(boss_input_vu_khi!$E$2:$E$94,MATCH($C$39,boss_input_vu_khi!$A$2:$A$94,0))/8,1))</f>
        <v/>
      </c>
      <c r="M39">
        <f>1+2*MIN(2,FLOOR(MAX(INDEX(boss_input_vu_khi!$E$2:$E$94,MATCH($C$39,boss_input_vu_khi!$A$2:$A$94,0)),Boss_vu_khi!$L$33)/8,1))</f>
        <v/>
      </c>
      <c r="N39">
        <f>IF(INDEX(boss_input_vu_khi!$E$2:$E$94,MATCH($C$39,boss_input_vu_khi!$A$2:$A$94,0))&gt;=8,5,1)</f>
        <v/>
      </c>
      <c r="O39">
        <f>IF(MAX(INDEX(boss_input_vu_khi!$E$2:$E$94,MATCH($C$39,boss_input_vu_khi!$A$2:$A$94,0)),Boss_vu_khi!$L$33)&gt;=8,5,1)</f>
        <v/>
      </c>
      <c r="P39">
        <f>INDEX(boss_input_vu_khi_suy_ra!$H$2:$H$94,MATCH($C$39,boss_input_vu_khi_suy_ra!$A$2:$A$94,0))</f>
        <v/>
      </c>
      <c r="Q39">
        <f>IF(AND(INDEX(input_xe_tham_chieu!$G$2:$G$6,MATCH($D$39,input_xe_tham_chieu!$A$2:$A$6,0))&gt;0,INDEX(boss_input_vu_khi!$E$2:$E$94,MATCH($C$39,boss_input_vu_khi!$A$2:$A$94,0))&gt;0),INDEX(boss_input_vu_khi!$E$2:$E$94,MATCH($C$39,boss_input_vu_khi!$A$2:$A$94,0))/INDEX(input_xe_tham_chieu!$G$2:$G$6,MATCH($D$39,input_xe_tham_chieu!$A$2:$A$6,0)),"")</f>
        <v/>
      </c>
      <c r="R39">
        <f>IF(ISNUMBER($Q$39),IF($P$39&gt;=$Q$39,"DU","THIEU"),"")</f>
        <v/>
      </c>
      <c r="S39" t="inlineStr">
        <is>
          <t>Assets/MachineBrigade/Resources/Data/balance.json: vehicles[id=behemoth_tempest].weapon x 01_chien_dau/Xe_tham_chieu[heavy_tank]</t>
        </is>
      </c>
      <c r="T39" t="inlineStr"/>
    </row>
    <row r="40">
      <c r="A40" t="inlineStr">
        <is>
          <t>behemoth_tempest/ifv</t>
        </is>
      </c>
      <c r="B40" t="inlineStr">
        <is>
          <t>behemoth_tempest</t>
        </is>
      </c>
      <c r="C40" t="inlineStr">
        <is>
          <t>boss_railgun</t>
        </is>
      </c>
      <c r="D40" t="inlineStr">
        <is>
          <t>ifv</t>
        </is>
      </c>
      <c r="E40">
        <f>IF(INDEX(boss_input_vu_khi_suy_ra!$D$2:$D$94,MATCH($C$40,boss_input_vu_khi_suy_ra!$A$2:$A$94,0)),INDEX(input_xe_tham_chieu!$E$2:$E$6,MATCH($D$40,input_xe_tham_chieu!$A$2:$A$6,0)),INDEX(input_xe_tham_chieu!$D$2:$D$6,MATCH($D$40,input_xe_tham_chieu!$A$2:$A$6,0)))</f>
        <v/>
      </c>
      <c r="F40">
        <f>IF(INDEX(boss_input_vu_khi_suy_ra!$E$2:$E$94,MATCH($C$40,boss_input_vu_khi_suy_ra!$A$2:$A$94,0)),INDEX(boss_input_bang_xuyen_giap!$B$2:$B$7,MIN(6,MAX(1,IF(INDEX(boss_input_vu_khi_suy_ra!$D$2:$D$94,MATCH($C$40,boss_input_vu_khi_suy_ra!$A$2:$A$94,0)),MAX(1,2-(INDEX(boss_input_vu_khi!$C$2:$C$94,MATCH($C$40,boss_input_vu_khi!$A$2:$A$94,0))-$E$40)),2-(INDEX(boss_input_vu_khi!$C$2:$C$94,MATCH($C$40,boss_input_vu_khi!$A$2:$A$94,0))-$E$40))+1)))*IF(INDEX(input_xe_tham_chieu!$F$2:$F$6,MATCH($D$40,input_xe_tham_chieu!$A$2:$A$6,0)),INDEX(boss_input_vu_khi_suy_ra!$G$2:$G$94,MATCH($C$40,boss_input_vu_khi_suy_ra!$A$2:$A$94,0)),INDEX(boss_input_vu_khi_suy_ra!$F$2:$F$94,MATCH($C$40,boss_input_vu_khi_suy_ra!$A$2:$A$94,0))),0)</f>
        <v/>
      </c>
      <c r="G40" t="n">
        <v>1.2</v>
      </c>
      <c r="H40">
        <f>INDEX(boss_input_vu_khi!$B$2:$B$94,MATCH($C$40,boss_input_vu_khi!$A$2:$A$94,0))*INDEX(Boss_dps!$D$2:$D$34,MATCH($B$40,Boss_dps!$A$2:$A$34,0))*IF(INDEX(boss_input_vu_khi!$D$2:$D$94,MATCH($C$40,boss_input_vu_khi!$A$2:$A$94,0)),1,INDEX(Boss_dps!$B$2:$B$34,MATCH($B$40,Boss_dps!$A$2:$A$34,0)))*INDEX(Boss_dps!$C$2:$C$34,MATCH($B$40,Boss_dps!$A$2:$A$34,0))*$F$40</f>
        <v/>
      </c>
      <c r="I40" t="n">
        <v>1804.032</v>
      </c>
      <c r="J40">
        <f>IF($H$40&gt;0,CEILING(INDEX(input_xe_tham_chieu!$C$2:$C$6,MATCH($D$40,input_xe_tham_chieu!$A$2:$A$6,0))/$H$40,1),"")</f>
        <v/>
      </c>
      <c r="K40">
        <f>IF(Boss_vu_khi!$S$33*$F$40&gt;0,INDEX(input_xe_tham_chieu!$C$2:$C$6,MATCH($D$40,input_xe_tham_chieu!$A$2:$A$6,0))/(Boss_vu_khi!$S$33*INDEX(Boss_dps!$D$2:$D$34,MATCH($B$40,Boss_dps!$A$2:$A$34,0))*$F$40),"")</f>
        <v/>
      </c>
      <c r="L40">
        <f>1+2*MIN(2,FLOOR(INDEX(boss_input_vu_khi!$E$2:$E$94,MATCH($C$40,boss_input_vu_khi!$A$2:$A$94,0))/8,1))</f>
        <v/>
      </c>
      <c r="M40">
        <f>1+2*MIN(2,FLOOR(MAX(INDEX(boss_input_vu_khi!$E$2:$E$94,MATCH($C$40,boss_input_vu_khi!$A$2:$A$94,0)),Boss_vu_khi!$L$33)/8,1))</f>
        <v/>
      </c>
      <c r="N40">
        <f>IF(INDEX(boss_input_vu_khi!$E$2:$E$94,MATCH($C$40,boss_input_vu_khi!$A$2:$A$94,0))&gt;=8,5,1)</f>
        <v/>
      </c>
      <c r="O40">
        <f>IF(MAX(INDEX(boss_input_vu_khi!$E$2:$E$94,MATCH($C$40,boss_input_vu_khi!$A$2:$A$94,0)),Boss_vu_khi!$L$33)&gt;=8,5,1)</f>
        <v/>
      </c>
      <c r="P40">
        <f>INDEX(boss_input_vu_khi_suy_ra!$H$2:$H$94,MATCH($C$40,boss_input_vu_khi_suy_ra!$A$2:$A$94,0))</f>
        <v/>
      </c>
      <c r="Q40">
        <f>IF(AND(INDEX(input_xe_tham_chieu!$G$2:$G$6,MATCH($D$40,input_xe_tham_chieu!$A$2:$A$6,0))&gt;0,INDEX(boss_input_vu_khi!$E$2:$E$94,MATCH($C$40,boss_input_vu_khi!$A$2:$A$94,0))&gt;0),INDEX(boss_input_vu_khi!$E$2:$E$94,MATCH($C$40,boss_input_vu_khi!$A$2:$A$94,0))/INDEX(input_xe_tham_chieu!$G$2:$G$6,MATCH($D$40,input_xe_tham_chieu!$A$2:$A$6,0)),"")</f>
        <v/>
      </c>
      <c r="R40">
        <f>IF(ISNUMBER($Q$40),IF($P$40&gt;=$Q$40,"DU","THIEU"),"")</f>
        <v/>
      </c>
      <c r="S40" t="inlineStr">
        <is>
          <t>Assets/MachineBrigade/Resources/Data/balance.json: vehicles[id=behemoth_tempest].weapon x 01_chien_dau/Xe_tham_chieu[ifv]</t>
        </is>
      </c>
      <c r="T40" t="inlineStr"/>
    </row>
    <row r="41">
      <c r="A41" t="inlineStr">
        <is>
          <t>behemoth_tempest/main_battle_tank</t>
        </is>
      </c>
      <c r="B41" t="inlineStr">
        <is>
          <t>behemoth_tempest</t>
        </is>
      </c>
      <c r="C41" t="inlineStr">
        <is>
          <t>boss_railgun</t>
        </is>
      </c>
      <c r="D41" t="inlineStr">
        <is>
          <t>main_battle_tank</t>
        </is>
      </c>
      <c r="E41">
        <f>IF(INDEX(boss_input_vu_khi_suy_ra!$D$2:$D$94,MATCH($C$41,boss_input_vu_khi_suy_ra!$A$2:$A$94,0)),INDEX(input_xe_tham_chieu!$E$2:$E$6,MATCH($D$41,input_xe_tham_chieu!$A$2:$A$6,0)),INDEX(input_xe_tham_chieu!$D$2:$D$6,MATCH($D$41,input_xe_tham_chieu!$A$2:$A$6,0)))</f>
        <v/>
      </c>
      <c r="F41">
        <f>IF(INDEX(boss_input_vu_khi_suy_ra!$E$2:$E$94,MATCH($C$41,boss_input_vu_khi_suy_ra!$A$2:$A$94,0)),INDEX(boss_input_bang_xuyen_giap!$B$2:$B$7,MIN(6,MAX(1,IF(INDEX(boss_input_vu_khi_suy_ra!$D$2:$D$94,MATCH($C$41,boss_input_vu_khi_suy_ra!$A$2:$A$94,0)),MAX(1,2-(INDEX(boss_input_vu_khi!$C$2:$C$94,MATCH($C$41,boss_input_vu_khi!$A$2:$A$94,0))-$E$41)),2-(INDEX(boss_input_vu_khi!$C$2:$C$94,MATCH($C$41,boss_input_vu_khi!$A$2:$A$94,0))-$E$41))+1)))*IF(INDEX(input_xe_tham_chieu!$F$2:$F$6,MATCH($D$41,input_xe_tham_chieu!$A$2:$A$6,0)),INDEX(boss_input_vu_khi_suy_ra!$G$2:$G$94,MATCH($C$41,boss_input_vu_khi_suy_ra!$A$2:$A$94,0)),INDEX(boss_input_vu_khi_suy_ra!$F$2:$F$94,MATCH($C$41,boss_input_vu_khi_suy_ra!$A$2:$A$94,0))),0)</f>
        <v/>
      </c>
      <c r="G41" t="n">
        <v>0.85</v>
      </c>
      <c r="H41">
        <f>INDEX(boss_input_vu_khi!$B$2:$B$94,MATCH($C$41,boss_input_vu_khi!$A$2:$A$94,0))*INDEX(Boss_dps!$D$2:$D$34,MATCH($B$41,Boss_dps!$A$2:$A$34,0))*IF(INDEX(boss_input_vu_khi!$D$2:$D$94,MATCH($C$41,boss_input_vu_khi!$A$2:$A$94,0)),1,INDEX(Boss_dps!$B$2:$B$34,MATCH($B$41,Boss_dps!$A$2:$A$34,0)))*INDEX(Boss_dps!$C$2:$C$34,MATCH($B$41,Boss_dps!$A$2:$A$34,0))*$F$41</f>
        <v/>
      </c>
      <c r="I41" t="n">
        <v>1277.856</v>
      </c>
      <c r="J41">
        <f>IF($H$41&gt;0,CEILING(INDEX(input_xe_tham_chieu!$C$2:$C$6,MATCH($D$41,input_xe_tham_chieu!$A$2:$A$6,0))/$H$41,1),"")</f>
        <v/>
      </c>
      <c r="K41">
        <f>IF(Boss_vu_khi!$S$33*$F$41&gt;0,INDEX(input_xe_tham_chieu!$C$2:$C$6,MATCH($D$41,input_xe_tham_chieu!$A$2:$A$6,0))/(Boss_vu_khi!$S$33*INDEX(Boss_dps!$D$2:$D$34,MATCH($B$41,Boss_dps!$A$2:$A$34,0))*$F$41),"")</f>
        <v/>
      </c>
      <c r="L41">
        <f>1+2*MIN(2,FLOOR(INDEX(boss_input_vu_khi!$E$2:$E$94,MATCH($C$41,boss_input_vu_khi!$A$2:$A$94,0))/8,1))</f>
        <v/>
      </c>
      <c r="M41">
        <f>1+2*MIN(2,FLOOR(MAX(INDEX(boss_input_vu_khi!$E$2:$E$94,MATCH($C$41,boss_input_vu_khi!$A$2:$A$94,0)),Boss_vu_khi!$L$33)/8,1))</f>
        <v/>
      </c>
      <c r="N41">
        <f>IF(INDEX(boss_input_vu_khi!$E$2:$E$94,MATCH($C$41,boss_input_vu_khi!$A$2:$A$94,0))&gt;=8,5,1)</f>
        <v/>
      </c>
      <c r="O41">
        <f>IF(MAX(INDEX(boss_input_vu_khi!$E$2:$E$94,MATCH($C$41,boss_input_vu_khi!$A$2:$A$94,0)),Boss_vu_khi!$L$33)&gt;=8,5,1)</f>
        <v/>
      </c>
      <c r="P41">
        <f>INDEX(boss_input_vu_khi_suy_ra!$H$2:$H$94,MATCH($C$41,boss_input_vu_khi_suy_ra!$A$2:$A$94,0))</f>
        <v/>
      </c>
      <c r="Q41">
        <f>IF(AND(INDEX(input_xe_tham_chieu!$G$2:$G$6,MATCH($D$41,input_xe_tham_chieu!$A$2:$A$6,0))&gt;0,INDEX(boss_input_vu_khi!$E$2:$E$94,MATCH($C$41,boss_input_vu_khi!$A$2:$A$94,0))&gt;0),INDEX(boss_input_vu_khi!$E$2:$E$94,MATCH($C$41,boss_input_vu_khi!$A$2:$A$94,0))/INDEX(input_xe_tham_chieu!$G$2:$G$6,MATCH($D$41,input_xe_tham_chieu!$A$2:$A$6,0)),"")</f>
        <v/>
      </c>
      <c r="R41">
        <f>IF(ISNUMBER($Q$41),IF($P$41&gt;=$Q$41,"DU","THIEU"),"")</f>
        <v/>
      </c>
      <c r="S41" t="inlineStr">
        <is>
          <t>Assets/MachineBrigade/Resources/Data/balance.json: vehicles[id=behemoth_tempest].weapon x 01_chien_dau/Xe_tham_chieu[main_battle_tank]</t>
        </is>
      </c>
      <c r="T41" t="inlineStr"/>
    </row>
    <row r="42">
      <c r="A42" t="inlineStr">
        <is>
          <t>coeus/armored_car</t>
        </is>
      </c>
      <c r="B42" t="inlineStr">
        <is>
          <t>coeus</t>
        </is>
      </c>
      <c r="C42" t="inlineStr">
        <is>
          <t>pt14_co_203</t>
        </is>
      </c>
      <c r="D42" t="inlineStr">
        <is>
          <t>armored_car</t>
        </is>
      </c>
      <c r="E42">
        <f>IF(INDEX(boss_input_vu_khi_suy_ra!$D$2:$D$94,MATCH($C$42,boss_input_vu_khi_suy_ra!$A$2:$A$94,0)),INDEX(input_xe_tham_chieu!$E$2:$E$6,MATCH($D$42,input_xe_tham_chieu!$A$2:$A$6,0)),INDEX(input_xe_tham_chieu!$D$2:$D$6,MATCH($D$42,input_xe_tham_chieu!$A$2:$A$6,0)))</f>
        <v/>
      </c>
      <c r="F42">
        <f>IF(INDEX(boss_input_vu_khi_suy_ra!$E$2:$E$94,MATCH($C$42,boss_input_vu_khi_suy_ra!$A$2:$A$94,0)),INDEX(boss_input_bang_xuyen_giap!$B$2:$B$7,MIN(6,MAX(1,IF(INDEX(boss_input_vu_khi_suy_ra!$D$2:$D$94,MATCH($C$42,boss_input_vu_khi_suy_ra!$A$2:$A$94,0)),MAX(1,2-(INDEX(boss_input_vu_khi!$C$2:$C$94,MATCH($C$42,boss_input_vu_khi!$A$2:$A$94,0))-$E$42)),2-(INDEX(boss_input_vu_khi!$C$2:$C$94,MATCH($C$42,boss_input_vu_khi!$A$2:$A$94,0))-$E$42))+1)))*IF(INDEX(input_xe_tham_chieu!$F$2:$F$6,MATCH($D$42,input_xe_tham_chieu!$A$2:$A$6,0)),INDEX(boss_input_vu_khi_suy_ra!$G$2:$G$94,MATCH($C$42,boss_input_vu_khi_suy_ra!$A$2:$A$94,0)),INDEX(boss_input_vu_khi_suy_ra!$F$2:$F$94,MATCH($C$42,boss_input_vu_khi_suy_ra!$A$2:$A$94,0))),0)</f>
        <v/>
      </c>
      <c r="G42" t="n">
        <v>1.2</v>
      </c>
      <c r="H42">
        <f>INDEX(boss_input_vu_khi!$B$2:$B$94,MATCH($C$42,boss_input_vu_khi!$A$2:$A$94,0))*INDEX(Boss_dps!$D$2:$D$34,MATCH($B$42,Boss_dps!$A$2:$A$34,0))*IF(INDEX(boss_input_vu_khi!$D$2:$D$94,MATCH($C$42,boss_input_vu_khi!$A$2:$A$94,0)),1,INDEX(Boss_dps!$B$2:$B$34,MATCH($B$42,Boss_dps!$A$2:$A$34,0)))*INDEX(Boss_dps!$C$2:$C$34,MATCH($B$42,Boss_dps!$A$2:$A$34,0))*$F$42</f>
        <v/>
      </c>
      <c r="I42" t="n">
        <v>1296</v>
      </c>
      <c r="J42">
        <f>IF($H$42&gt;0,CEILING(INDEX(input_xe_tham_chieu!$C$2:$C$6,MATCH($D$42,input_xe_tham_chieu!$A$2:$A$6,0))/$H$42,1),"")</f>
        <v/>
      </c>
      <c r="K42">
        <f>IF(Boss_vu_khi!$S$36*$F$42&gt;0,INDEX(input_xe_tham_chieu!$C$2:$C$6,MATCH($D$42,input_xe_tham_chieu!$A$2:$A$6,0))/(Boss_vu_khi!$S$36*INDEX(Boss_dps!$D$2:$D$34,MATCH($B$42,Boss_dps!$A$2:$A$34,0))*$F$42),"")</f>
        <v/>
      </c>
      <c r="L42">
        <f>1+2*MIN(2,FLOOR(INDEX(boss_input_vu_khi!$E$2:$E$94,MATCH($C$42,boss_input_vu_khi!$A$2:$A$94,0))/8,1))</f>
        <v/>
      </c>
      <c r="M42">
        <f>1+2*MIN(2,FLOOR(MAX(INDEX(boss_input_vu_khi!$E$2:$E$94,MATCH($C$42,boss_input_vu_khi!$A$2:$A$94,0)),Boss_vu_khi!$L$36)/8,1))</f>
        <v/>
      </c>
      <c r="N42">
        <f>IF(INDEX(boss_input_vu_khi!$E$2:$E$94,MATCH($C$42,boss_input_vu_khi!$A$2:$A$94,0))&gt;=8,5,1)</f>
        <v/>
      </c>
      <c r="O42">
        <f>IF(MAX(INDEX(boss_input_vu_khi!$E$2:$E$94,MATCH($C$42,boss_input_vu_khi!$A$2:$A$94,0)),Boss_vu_khi!$L$36)&gt;=8,5,1)</f>
        <v/>
      </c>
      <c r="P42">
        <f>INDEX(boss_input_vu_khi_suy_ra!$H$2:$H$94,MATCH($C$42,boss_input_vu_khi_suy_ra!$A$2:$A$94,0))</f>
        <v/>
      </c>
      <c r="Q42">
        <f>IF(AND(INDEX(input_xe_tham_chieu!$G$2:$G$6,MATCH($D$42,input_xe_tham_chieu!$A$2:$A$6,0))&gt;0,INDEX(boss_input_vu_khi!$E$2:$E$94,MATCH($C$42,boss_input_vu_khi!$A$2:$A$94,0))&gt;0),INDEX(boss_input_vu_khi!$E$2:$E$94,MATCH($C$42,boss_input_vu_khi!$A$2:$A$94,0))/INDEX(input_xe_tham_chieu!$G$2:$G$6,MATCH($D$42,input_xe_tham_chieu!$A$2:$A$6,0)),"")</f>
        <v/>
      </c>
      <c r="R42">
        <f>IF(ISNUMBER($Q$42),IF($P$42&gt;=$Q$42,"DU","THIEU"),"")</f>
        <v/>
      </c>
      <c r="S42" t="inlineStr">
        <is>
          <t>Assets/MachineBrigade/Resources/Data/balance.json: vehicles[id=coeus].weapon x 01_chien_dau/Xe_tham_chieu[armored_car]</t>
        </is>
      </c>
      <c r="T42" t="inlineStr"/>
    </row>
    <row r="43">
      <c r="A43" t="inlineStr">
        <is>
          <t>coeus/gun_turret</t>
        </is>
      </c>
      <c r="B43" t="inlineStr">
        <is>
          <t>coeus</t>
        </is>
      </c>
      <c r="C43" t="inlineStr">
        <is>
          <t>pt14_co_203</t>
        </is>
      </c>
      <c r="D43" t="inlineStr">
        <is>
          <t>gun_turret</t>
        </is>
      </c>
      <c r="E43">
        <f>IF(INDEX(boss_input_vu_khi_suy_ra!$D$2:$D$94,MATCH($C$43,boss_input_vu_khi_suy_ra!$A$2:$A$94,0)),INDEX(input_xe_tham_chieu!$E$2:$E$6,MATCH($D$43,input_xe_tham_chieu!$A$2:$A$6,0)),INDEX(input_xe_tham_chieu!$D$2:$D$6,MATCH($D$43,input_xe_tham_chieu!$A$2:$A$6,0)))</f>
        <v/>
      </c>
      <c r="F43">
        <f>IF(INDEX(boss_input_vu_khi_suy_ra!$E$2:$E$94,MATCH($C$43,boss_input_vu_khi_suy_ra!$A$2:$A$94,0)),INDEX(boss_input_bang_xuyen_giap!$B$2:$B$7,MIN(6,MAX(1,IF(INDEX(boss_input_vu_khi_suy_ra!$D$2:$D$94,MATCH($C$43,boss_input_vu_khi_suy_ra!$A$2:$A$94,0)),MAX(1,2-(INDEX(boss_input_vu_khi!$C$2:$C$94,MATCH($C$43,boss_input_vu_khi!$A$2:$A$94,0))-$E$43)),2-(INDEX(boss_input_vu_khi!$C$2:$C$94,MATCH($C$43,boss_input_vu_khi!$A$2:$A$94,0))-$E$43))+1)))*IF(INDEX(input_xe_tham_chieu!$F$2:$F$6,MATCH($D$43,input_xe_tham_chieu!$A$2:$A$6,0)),INDEX(boss_input_vu_khi_suy_ra!$G$2:$G$94,MATCH($C$43,boss_input_vu_khi_suy_ra!$A$2:$A$94,0)),INDEX(boss_input_vu_khi_suy_ra!$F$2:$F$94,MATCH($C$43,boss_input_vu_khi_suy_ra!$A$2:$A$94,0))),0)</f>
        <v/>
      </c>
      <c r="G43" t="n">
        <v>1.5</v>
      </c>
      <c r="H43">
        <f>INDEX(boss_input_vu_khi!$B$2:$B$94,MATCH($C$43,boss_input_vu_khi!$A$2:$A$94,0))*INDEX(Boss_dps!$D$2:$D$34,MATCH($B$43,Boss_dps!$A$2:$A$34,0))*IF(INDEX(boss_input_vu_khi!$D$2:$D$94,MATCH($C$43,boss_input_vu_khi!$A$2:$A$94,0)),1,INDEX(Boss_dps!$B$2:$B$34,MATCH($B$43,Boss_dps!$A$2:$A$34,0)))*INDEX(Boss_dps!$C$2:$C$34,MATCH($B$43,Boss_dps!$A$2:$A$34,0))*$F$43</f>
        <v/>
      </c>
      <c r="I43" t="n">
        <v>1620</v>
      </c>
      <c r="J43">
        <f>IF($H$43&gt;0,CEILING(INDEX(input_xe_tham_chieu!$C$2:$C$6,MATCH($D$43,input_xe_tham_chieu!$A$2:$A$6,0))/$H$43,1),"")</f>
        <v/>
      </c>
      <c r="K43">
        <f>IF(Boss_vu_khi!$S$36*$F$43&gt;0,INDEX(input_xe_tham_chieu!$C$2:$C$6,MATCH($D$43,input_xe_tham_chieu!$A$2:$A$6,0))/(Boss_vu_khi!$S$36*INDEX(Boss_dps!$D$2:$D$34,MATCH($B$43,Boss_dps!$A$2:$A$34,0))*$F$43),"")</f>
        <v/>
      </c>
      <c r="L43">
        <f>1+2*MIN(2,FLOOR(INDEX(boss_input_vu_khi!$E$2:$E$94,MATCH($C$43,boss_input_vu_khi!$A$2:$A$94,0))/8,1))</f>
        <v/>
      </c>
      <c r="M43">
        <f>1+2*MIN(2,FLOOR(MAX(INDEX(boss_input_vu_khi!$E$2:$E$94,MATCH($C$43,boss_input_vu_khi!$A$2:$A$94,0)),Boss_vu_khi!$L$36)/8,1))</f>
        <v/>
      </c>
      <c r="N43">
        <f>IF(INDEX(boss_input_vu_khi!$E$2:$E$94,MATCH($C$43,boss_input_vu_khi!$A$2:$A$94,0))&gt;=8,5,1)</f>
        <v/>
      </c>
      <c r="O43">
        <f>IF(MAX(INDEX(boss_input_vu_khi!$E$2:$E$94,MATCH($C$43,boss_input_vu_khi!$A$2:$A$94,0)),Boss_vu_khi!$L$36)&gt;=8,5,1)</f>
        <v/>
      </c>
      <c r="P43">
        <f>INDEX(boss_input_vu_khi_suy_ra!$H$2:$H$94,MATCH($C$43,boss_input_vu_khi_suy_ra!$A$2:$A$94,0))</f>
        <v/>
      </c>
      <c r="Q43">
        <f>IF(AND(INDEX(input_xe_tham_chieu!$G$2:$G$6,MATCH($D$43,input_xe_tham_chieu!$A$2:$A$6,0))&gt;0,INDEX(boss_input_vu_khi!$E$2:$E$94,MATCH($C$43,boss_input_vu_khi!$A$2:$A$94,0))&gt;0),INDEX(boss_input_vu_khi!$E$2:$E$94,MATCH($C$43,boss_input_vu_khi!$A$2:$A$94,0))/INDEX(input_xe_tham_chieu!$G$2:$G$6,MATCH($D$43,input_xe_tham_chieu!$A$2:$A$6,0)),"")</f>
        <v/>
      </c>
      <c r="R43">
        <f>IF(ISNUMBER($Q$43),IF($P$43&gt;=$Q$43,"DU","THIEU"),"")</f>
        <v/>
      </c>
      <c r="S43" t="inlineStr">
        <is>
          <t>Assets/MachineBrigade/Resources/Data/balance.json: vehicles[id=coeus].weapon x 01_chien_dau/Xe_tham_chieu[gun_turret]</t>
        </is>
      </c>
      <c r="T43" t="inlineStr"/>
    </row>
    <row r="44">
      <c r="A44" t="inlineStr">
        <is>
          <t>coeus/heavy_tank</t>
        </is>
      </c>
      <c r="B44" t="inlineStr">
        <is>
          <t>coeus</t>
        </is>
      </c>
      <c r="C44" t="inlineStr">
        <is>
          <t>pt14_co_203</t>
        </is>
      </c>
      <c r="D44" t="inlineStr">
        <is>
          <t>heavy_tank</t>
        </is>
      </c>
      <c r="E44">
        <f>IF(INDEX(boss_input_vu_khi_suy_ra!$D$2:$D$94,MATCH($C$44,boss_input_vu_khi_suy_ra!$A$2:$A$94,0)),INDEX(input_xe_tham_chieu!$E$2:$E$6,MATCH($D$44,input_xe_tham_chieu!$A$2:$A$6,0)),INDEX(input_xe_tham_chieu!$D$2:$D$6,MATCH($D$44,input_xe_tham_chieu!$A$2:$A$6,0)))</f>
        <v/>
      </c>
      <c r="F44">
        <f>IF(INDEX(boss_input_vu_khi_suy_ra!$E$2:$E$94,MATCH($C$44,boss_input_vu_khi_suy_ra!$A$2:$A$94,0)),INDEX(boss_input_bang_xuyen_giap!$B$2:$B$7,MIN(6,MAX(1,IF(INDEX(boss_input_vu_khi_suy_ra!$D$2:$D$94,MATCH($C$44,boss_input_vu_khi_suy_ra!$A$2:$A$94,0)),MAX(1,2-(INDEX(boss_input_vu_khi!$C$2:$C$94,MATCH($C$44,boss_input_vu_khi!$A$2:$A$94,0))-$E$44)),2-(INDEX(boss_input_vu_khi!$C$2:$C$94,MATCH($C$44,boss_input_vu_khi!$A$2:$A$94,0))-$E$44))+1)))*IF(INDEX(input_xe_tham_chieu!$F$2:$F$6,MATCH($D$44,input_xe_tham_chieu!$A$2:$A$6,0)),INDEX(boss_input_vu_khi_suy_ra!$G$2:$G$94,MATCH($C$44,boss_input_vu_khi_suy_ra!$A$2:$A$94,0)),INDEX(boss_input_vu_khi_suy_ra!$F$2:$F$94,MATCH($C$44,boss_input_vu_khi_suy_ra!$A$2:$A$94,0))),0)</f>
        <v/>
      </c>
      <c r="G44" t="n">
        <v>0.85</v>
      </c>
      <c r="H44">
        <f>INDEX(boss_input_vu_khi!$B$2:$B$94,MATCH($C$44,boss_input_vu_khi!$A$2:$A$94,0))*INDEX(Boss_dps!$D$2:$D$34,MATCH($B$44,Boss_dps!$A$2:$A$34,0))*IF(INDEX(boss_input_vu_khi!$D$2:$D$94,MATCH($C$44,boss_input_vu_khi!$A$2:$A$94,0)),1,INDEX(Boss_dps!$B$2:$B$34,MATCH($B$44,Boss_dps!$A$2:$A$34,0)))*INDEX(Boss_dps!$C$2:$C$34,MATCH($B$44,Boss_dps!$A$2:$A$34,0))*$F$44</f>
        <v/>
      </c>
      <c r="I44" t="n">
        <v>918</v>
      </c>
      <c r="J44">
        <f>IF($H$44&gt;0,CEILING(INDEX(input_xe_tham_chieu!$C$2:$C$6,MATCH($D$44,input_xe_tham_chieu!$A$2:$A$6,0))/$H$44,1),"")</f>
        <v/>
      </c>
      <c r="K44">
        <f>IF(Boss_vu_khi!$S$36*$F$44&gt;0,INDEX(input_xe_tham_chieu!$C$2:$C$6,MATCH($D$44,input_xe_tham_chieu!$A$2:$A$6,0))/(Boss_vu_khi!$S$36*INDEX(Boss_dps!$D$2:$D$34,MATCH($B$44,Boss_dps!$A$2:$A$34,0))*$F$44),"")</f>
        <v/>
      </c>
      <c r="L44">
        <f>1+2*MIN(2,FLOOR(INDEX(boss_input_vu_khi!$E$2:$E$94,MATCH($C$44,boss_input_vu_khi!$A$2:$A$94,0))/8,1))</f>
        <v/>
      </c>
      <c r="M44">
        <f>1+2*MIN(2,FLOOR(MAX(INDEX(boss_input_vu_khi!$E$2:$E$94,MATCH($C$44,boss_input_vu_khi!$A$2:$A$94,0)),Boss_vu_khi!$L$36)/8,1))</f>
        <v/>
      </c>
      <c r="N44">
        <f>IF(INDEX(boss_input_vu_khi!$E$2:$E$94,MATCH($C$44,boss_input_vu_khi!$A$2:$A$94,0))&gt;=8,5,1)</f>
        <v/>
      </c>
      <c r="O44">
        <f>IF(MAX(INDEX(boss_input_vu_khi!$E$2:$E$94,MATCH($C$44,boss_input_vu_khi!$A$2:$A$94,0)),Boss_vu_khi!$L$36)&gt;=8,5,1)</f>
        <v/>
      </c>
      <c r="P44">
        <f>INDEX(boss_input_vu_khi_suy_ra!$H$2:$H$94,MATCH($C$44,boss_input_vu_khi_suy_ra!$A$2:$A$94,0))</f>
        <v/>
      </c>
      <c r="Q44">
        <f>IF(AND(INDEX(input_xe_tham_chieu!$G$2:$G$6,MATCH($D$44,input_xe_tham_chieu!$A$2:$A$6,0))&gt;0,INDEX(boss_input_vu_khi!$E$2:$E$94,MATCH($C$44,boss_input_vu_khi!$A$2:$A$94,0))&gt;0),INDEX(boss_input_vu_khi!$E$2:$E$94,MATCH($C$44,boss_input_vu_khi!$A$2:$A$94,0))/INDEX(input_xe_tham_chieu!$G$2:$G$6,MATCH($D$44,input_xe_tham_chieu!$A$2:$A$6,0)),"")</f>
        <v/>
      </c>
      <c r="R44">
        <f>IF(ISNUMBER($Q$44),IF($P$44&gt;=$Q$44,"DU","THIEU"),"")</f>
        <v/>
      </c>
      <c r="S44" t="inlineStr">
        <is>
          <t>Assets/MachineBrigade/Resources/Data/balance.json: vehicles[id=coeus].weapon x 01_chien_dau/Xe_tham_chieu[heavy_tank]</t>
        </is>
      </c>
      <c r="T44" t="inlineStr"/>
    </row>
    <row r="45">
      <c r="A45" t="inlineStr">
        <is>
          <t>coeus/ifv</t>
        </is>
      </c>
      <c r="B45" t="inlineStr">
        <is>
          <t>coeus</t>
        </is>
      </c>
      <c r="C45" t="inlineStr">
        <is>
          <t>pt14_co_203</t>
        </is>
      </c>
      <c r="D45" t="inlineStr">
        <is>
          <t>ifv</t>
        </is>
      </c>
      <c r="E45">
        <f>IF(INDEX(boss_input_vu_khi_suy_ra!$D$2:$D$94,MATCH($C$45,boss_input_vu_khi_suy_ra!$A$2:$A$94,0)),INDEX(input_xe_tham_chieu!$E$2:$E$6,MATCH($D$45,input_xe_tham_chieu!$A$2:$A$6,0)),INDEX(input_xe_tham_chieu!$D$2:$D$6,MATCH($D$45,input_xe_tham_chieu!$A$2:$A$6,0)))</f>
        <v/>
      </c>
      <c r="F45">
        <f>IF(INDEX(boss_input_vu_khi_suy_ra!$E$2:$E$94,MATCH($C$45,boss_input_vu_khi_suy_ra!$A$2:$A$94,0)),INDEX(boss_input_bang_xuyen_giap!$B$2:$B$7,MIN(6,MAX(1,IF(INDEX(boss_input_vu_khi_suy_ra!$D$2:$D$94,MATCH($C$45,boss_input_vu_khi_suy_ra!$A$2:$A$94,0)),MAX(1,2-(INDEX(boss_input_vu_khi!$C$2:$C$94,MATCH($C$45,boss_input_vu_khi!$A$2:$A$94,0))-$E$45)),2-(INDEX(boss_input_vu_khi!$C$2:$C$94,MATCH($C$45,boss_input_vu_khi!$A$2:$A$94,0))-$E$45))+1)))*IF(INDEX(input_xe_tham_chieu!$F$2:$F$6,MATCH($D$45,input_xe_tham_chieu!$A$2:$A$6,0)),INDEX(boss_input_vu_khi_suy_ra!$G$2:$G$94,MATCH($C$45,boss_input_vu_khi_suy_ra!$A$2:$A$94,0)),INDEX(boss_input_vu_khi_suy_ra!$F$2:$F$94,MATCH($C$45,boss_input_vu_khi_suy_ra!$A$2:$A$94,0))),0)</f>
        <v/>
      </c>
      <c r="G45" t="n">
        <v>1.2</v>
      </c>
      <c r="H45">
        <f>INDEX(boss_input_vu_khi!$B$2:$B$94,MATCH($C$45,boss_input_vu_khi!$A$2:$A$94,0))*INDEX(Boss_dps!$D$2:$D$34,MATCH($B$45,Boss_dps!$A$2:$A$34,0))*IF(INDEX(boss_input_vu_khi!$D$2:$D$94,MATCH($C$45,boss_input_vu_khi!$A$2:$A$94,0)),1,INDEX(Boss_dps!$B$2:$B$34,MATCH($B$45,Boss_dps!$A$2:$A$34,0)))*INDEX(Boss_dps!$C$2:$C$34,MATCH($B$45,Boss_dps!$A$2:$A$34,0))*$F$45</f>
        <v/>
      </c>
      <c r="I45" t="n">
        <v>1296</v>
      </c>
      <c r="J45">
        <f>IF($H$45&gt;0,CEILING(INDEX(input_xe_tham_chieu!$C$2:$C$6,MATCH($D$45,input_xe_tham_chieu!$A$2:$A$6,0))/$H$45,1),"")</f>
        <v/>
      </c>
      <c r="K45">
        <f>IF(Boss_vu_khi!$S$36*$F$45&gt;0,INDEX(input_xe_tham_chieu!$C$2:$C$6,MATCH($D$45,input_xe_tham_chieu!$A$2:$A$6,0))/(Boss_vu_khi!$S$36*INDEX(Boss_dps!$D$2:$D$34,MATCH($B$45,Boss_dps!$A$2:$A$34,0))*$F$45),"")</f>
        <v/>
      </c>
      <c r="L45">
        <f>1+2*MIN(2,FLOOR(INDEX(boss_input_vu_khi!$E$2:$E$94,MATCH($C$45,boss_input_vu_khi!$A$2:$A$94,0))/8,1))</f>
        <v/>
      </c>
      <c r="M45">
        <f>1+2*MIN(2,FLOOR(MAX(INDEX(boss_input_vu_khi!$E$2:$E$94,MATCH($C$45,boss_input_vu_khi!$A$2:$A$94,0)),Boss_vu_khi!$L$36)/8,1))</f>
        <v/>
      </c>
      <c r="N45">
        <f>IF(INDEX(boss_input_vu_khi!$E$2:$E$94,MATCH($C$45,boss_input_vu_khi!$A$2:$A$94,0))&gt;=8,5,1)</f>
        <v/>
      </c>
      <c r="O45">
        <f>IF(MAX(INDEX(boss_input_vu_khi!$E$2:$E$94,MATCH($C$45,boss_input_vu_khi!$A$2:$A$94,0)),Boss_vu_khi!$L$36)&gt;=8,5,1)</f>
        <v/>
      </c>
      <c r="P45">
        <f>INDEX(boss_input_vu_khi_suy_ra!$H$2:$H$94,MATCH($C$45,boss_input_vu_khi_suy_ra!$A$2:$A$94,0))</f>
        <v/>
      </c>
      <c r="Q45">
        <f>IF(AND(INDEX(input_xe_tham_chieu!$G$2:$G$6,MATCH($D$45,input_xe_tham_chieu!$A$2:$A$6,0))&gt;0,INDEX(boss_input_vu_khi!$E$2:$E$94,MATCH($C$45,boss_input_vu_khi!$A$2:$A$94,0))&gt;0),INDEX(boss_input_vu_khi!$E$2:$E$94,MATCH($C$45,boss_input_vu_khi!$A$2:$A$94,0))/INDEX(input_xe_tham_chieu!$G$2:$G$6,MATCH($D$45,input_xe_tham_chieu!$A$2:$A$6,0)),"")</f>
        <v/>
      </c>
      <c r="R45">
        <f>IF(ISNUMBER($Q$45),IF($P$45&gt;=$Q$45,"DU","THIEU"),"")</f>
        <v/>
      </c>
      <c r="S45" t="inlineStr">
        <is>
          <t>Assets/MachineBrigade/Resources/Data/balance.json: vehicles[id=coeus].weapon x 01_chien_dau/Xe_tham_chieu[ifv]</t>
        </is>
      </c>
      <c r="T45" t="inlineStr"/>
    </row>
    <row r="46">
      <c r="A46" t="inlineStr">
        <is>
          <t>coeus/main_battle_tank</t>
        </is>
      </c>
      <c r="B46" t="inlineStr">
        <is>
          <t>coeus</t>
        </is>
      </c>
      <c r="C46" t="inlineStr">
        <is>
          <t>pt14_co_203</t>
        </is>
      </c>
      <c r="D46" t="inlineStr">
        <is>
          <t>main_battle_tank</t>
        </is>
      </c>
      <c r="E46">
        <f>IF(INDEX(boss_input_vu_khi_suy_ra!$D$2:$D$94,MATCH($C$46,boss_input_vu_khi_suy_ra!$A$2:$A$94,0)),INDEX(input_xe_tham_chieu!$E$2:$E$6,MATCH($D$46,input_xe_tham_chieu!$A$2:$A$6,0)),INDEX(input_xe_tham_chieu!$D$2:$D$6,MATCH($D$46,input_xe_tham_chieu!$A$2:$A$6,0)))</f>
        <v/>
      </c>
      <c r="F46">
        <f>IF(INDEX(boss_input_vu_khi_suy_ra!$E$2:$E$94,MATCH($C$46,boss_input_vu_khi_suy_ra!$A$2:$A$94,0)),INDEX(boss_input_bang_xuyen_giap!$B$2:$B$7,MIN(6,MAX(1,IF(INDEX(boss_input_vu_khi_suy_ra!$D$2:$D$94,MATCH($C$46,boss_input_vu_khi_suy_ra!$A$2:$A$94,0)),MAX(1,2-(INDEX(boss_input_vu_khi!$C$2:$C$94,MATCH($C$46,boss_input_vu_khi!$A$2:$A$94,0))-$E$46)),2-(INDEX(boss_input_vu_khi!$C$2:$C$94,MATCH($C$46,boss_input_vu_khi!$A$2:$A$94,0))-$E$46))+1)))*IF(INDEX(input_xe_tham_chieu!$F$2:$F$6,MATCH($D$46,input_xe_tham_chieu!$A$2:$A$6,0)),INDEX(boss_input_vu_khi_suy_ra!$G$2:$G$94,MATCH($C$46,boss_input_vu_khi_suy_ra!$A$2:$A$94,0)),INDEX(boss_input_vu_khi_suy_ra!$F$2:$F$94,MATCH($C$46,boss_input_vu_khi_suy_ra!$A$2:$A$94,0))),0)</f>
        <v/>
      </c>
      <c r="G46" t="n">
        <v>0.85</v>
      </c>
      <c r="H46">
        <f>INDEX(boss_input_vu_khi!$B$2:$B$94,MATCH($C$46,boss_input_vu_khi!$A$2:$A$94,0))*INDEX(Boss_dps!$D$2:$D$34,MATCH($B$46,Boss_dps!$A$2:$A$34,0))*IF(INDEX(boss_input_vu_khi!$D$2:$D$94,MATCH($C$46,boss_input_vu_khi!$A$2:$A$94,0)),1,INDEX(Boss_dps!$B$2:$B$34,MATCH($B$46,Boss_dps!$A$2:$A$34,0)))*INDEX(Boss_dps!$C$2:$C$34,MATCH($B$46,Boss_dps!$A$2:$A$34,0))*$F$46</f>
        <v/>
      </c>
      <c r="I46" t="n">
        <v>918</v>
      </c>
      <c r="J46">
        <f>IF($H$46&gt;0,CEILING(INDEX(input_xe_tham_chieu!$C$2:$C$6,MATCH($D$46,input_xe_tham_chieu!$A$2:$A$6,0))/$H$46,1),"")</f>
        <v/>
      </c>
      <c r="K46">
        <f>IF(Boss_vu_khi!$S$36*$F$46&gt;0,INDEX(input_xe_tham_chieu!$C$2:$C$6,MATCH($D$46,input_xe_tham_chieu!$A$2:$A$6,0))/(Boss_vu_khi!$S$36*INDEX(Boss_dps!$D$2:$D$34,MATCH($B$46,Boss_dps!$A$2:$A$34,0))*$F$46),"")</f>
        <v/>
      </c>
      <c r="L46">
        <f>1+2*MIN(2,FLOOR(INDEX(boss_input_vu_khi!$E$2:$E$94,MATCH($C$46,boss_input_vu_khi!$A$2:$A$94,0))/8,1))</f>
        <v/>
      </c>
      <c r="M46">
        <f>1+2*MIN(2,FLOOR(MAX(INDEX(boss_input_vu_khi!$E$2:$E$94,MATCH($C$46,boss_input_vu_khi!$A$2:$A$94,0)),Boss_vu_khi!$L$36)/8,1))</f>
        <v/>
      </c>
      <c r="N46">
        <f>IF(INDEX(boss_input_vu_khi!$E$2:$E$94,MATCH($C$46,boss_input_vu_khi!$A$2:$A$94,0))&gt;=8,5,1)</f>
        <v/>
      </c>
      <c r="O46">
        <f>IF(MAX(INDEX(boss_input_vu_khi!$E$2:$E$94,MATCH($C$46,boss_input_vu_khi!$A$2:$A$94,0)),Boss_vu_khi!$L$36)&gt;=8,5,1)</f>
        <v/>
      </c>
      <c r="P46">
        <f>INDEX(boss_input_vu_khi_suy_ra!$H$2:$H$94,MATCH($C$46,boss_input_vu_khi_suy_ra!$A$2:$A$94,0))</f>
        <v/>
      </c>
      <c r="Q46">
        <f>IF(AND(INDEX(input_xe_tham_chieu!$G$2:$G$6,MATCH($D$46,input_xe_tham_chieu!$A$2:$A$6,0))&gt;0,INDEX(boss_input_vu_khi!$E$2:$E$94,MATCH($C$46,boss_input_vu_khi!$A$2:$A$94,0))&gt;0),INDEX(boss_input_vu_khi!$E$2:$E$94,MATCH($C$46,boss_input_vu_khi!$A$2:$A$94,0))/INDEX(input_xe_tham_chieu!$G$2:$G$6,MATCH($D$46,input_xe_tham_chieu!$A$2:$A$6,0)),"")</f>
        <v/>
      </c>
      <c r="R46">
        <f>IF(ISNUMBER($Q$46),IF($P$46&gt;=$Q$46,"DU","THIEU"),"")</f>
        <v/>
      </c>
      <c r="S46" t="inlineStr">
        <is>
          <t>Assets/MachineBrigade/Resources/Data/balance.json: vehicles[id=coeus].weapon x 01_chien_dau/Xe_tham_chieu[main_battle_tank]</t>
        </is>
      </c>
      <c r="T46" t="inlineStr"/>
    </row>
    <row r="47">
      <c r="A47" t="inlineStr">
        <is>
          <t>command_airship/armored_car</t>
        </is>
      </c>
      <c r="B47" t="inlineStr">
        <is>
          <t>command_airship</t>
        </is>
      </c>
      <c r="C47" t="inlineStr">
        <is>
          <t>p26_roc_main_roc_bombs</t>
        </is>
      </c>
      <c r="D47" t="inlineStr">
        <is>
          <t>armored_car</t>
        </is>
      </c>
      <c r="E47">
        <f>IF(INDEX(boss_input_vu_khi_suy_ra!$D$2:$D$94,MATCH($C$47,boss_input_vu_khi_suy_ra!$A$2:$A$94,0)),INDEX(input_xe_tham_chieu!$E$2:$E$6,MATCH($D$47,input_xe_tham_chieu!$A$2:$A$6,0)),INDEX(input_xe_tham_chieu!$D$2:$D$6,MATCH($D$47,input_xe_tham_chieu!$A$2:$A$6,0)))</f>
        <v/>
      </c>
      <c r="F47">
        <f>IF(INDEX(boss_input_vu_khi_suy_ra!$E$2:$E$94,MATCH($C$47,boss_input_vu_khi_suy_ra!$A$2:$A$94,0)),INDEX(boss_input_bang_xuyen_giap!$B$2:$B$7,MIN(6,MAX(1,IF(INDEX(boss_input_vu_khi_suy_ra!$D$2:$D$94,MATCH($C$47,boss_input_vu_khi_suy_ra!$A$2:$A$94,0)),MAX(1,2-(INDEX(boss_input_vu_khi!$C$2:$C$94,MATCH($C$47,boss_input_vu_khi!$A$2:$A$94,0))-$E$47)),2-(INDEX(boss_input_vu_khi!$C$2:$C$94,MATCH($C$47,boss_input_vu_khi!$A$2:$A$94,0))-$E$47))+1)))*IF(INDEX(input_xe_tham_chieu!$F$2:$F$6,MATCH($D$47,input_xe_tham_chieu!$A$2:$A$6,0)),INDEX(boss_input_vu_khi_suy_ra!$G$2:$G$94,MATCH($C$47,boss_input_vu_khi_suy_ra!$A$2:$A$94,0)),INDEX(boss_input_vu_khi_suy_ra!$F$2:$F$94,MATCH($C$47,boss_input_vu_khi_suy_ra!$A$2:$A$94,0))),0)</f>
        <v/>
      </c>
      <c r="G47" t="n">
        <v>1</v>
      </c>
      <c r="H47">
        <f>INDEX(boss_input_vu_khi!$B$2:$B$94,MATCH($C$47,boss_input_vu_khi!$A$2:$A$94,0))*INDEX(Boss_dps!$D$2:$D$34,MATCH($B$47,Boss_dps!$A$2:$A$34,0))*IF(INDEX(boss_input_vu_khi!$D$2:$D$94,MATCH($C$47,boss_input_vu_khi!$A$2:$A$94,0)),1,INDEX(Boss_dps!$B$2:$B$34,MATCH($B$47,Boss_dps!$A$2:$A$34,0)))*INDEX(Boss_dps!$C$2:$C$34,MATCH($B$47,Boss_dps!$A$2:$A$34,0))*$F$47</f>
        <v/>
      </c>
      <c r="I47" t="n">
        <v>1753.416</v>
      </c>
      <c r="J47">
        <f>IF($H$47&gt;0,CEILING(INDEX(input_xe_tham_chieu!$C$2:$C$6,MATCH($D$47,input_xe_tham_chieu!$A$2:$A$6,0))/$H$47,1),"")</f>
        <v/>
      </c>
      <c r="K47">
        <f>IF(Boss_vu_khi!$S$41*$F$47&gt;0,INDEX(input_xe_tham_chieu!$C$2:$C$6,MATCH($D$47,input_xe_tham_chieu!$A$2:$A$6,0))/(Boss_vu_khi!$S$41*INDEX(Boss_dps!$D$2:$D$34,MATCH($B$47,Boss_dps!$A$2:$A$34,0))*$F$47),"")</f>
        <v/>
      </c>
      <c r="L47">
        <f>1+2*MIN(2,FLOOR(INDEX(boss_input_vu_khi!$E$2:$E$94,MATCH($C$47,boss_input_vu_khi!$A$2:$A$94,0))/8,1))</f>
        <v/>
      </c>
      <c r="M47">
        <f>1+2*MIN(2,FLOOR(MAX(INDEX(boss_input_vu_khi!$E$2:$E$94,MATCH($C$47,boss_input_vu_khi!$A$2:$A$94,0)),Boss_vu_khi!$L$41)/8,1))</f>
        <v/>
      </c>
      <c r="N47">
        <f>IF(INDEX(boss_input_vu_khi!$E$2:$E$94,MATCH($C$47,boss_input_vu_khi!$A$2:$A$94,0))&gt;=8,5,1)</f>
        <v/>
      </c>
      <c r="O47">
        <f>IF(MAX(INDEX(boss_input_vu_khi!$E$2:$E$94,MATCH($C$47,boss_input_vu_khi!$A$2:$A$94,0)),Boss_vu_khi!$L$41)&gt;=8,5,1)</f>
        <v/>
      </c>
      <c r="P47">
        <f>INDEX(boss_input_vu_khi_suy_ra!$H$2:$H$94,MATCH($C$47,boss_input_vu_khi_suy_ra!$A$2:$A$94,0))</f>
        <v/>
      </c>
      <c r="Q47">
        <f>IF(AND(INDEX(input_xe_tham_chieu!$G$2:$G$6,MATCH($D$47,input_xe_tham_chieu!$A$2:$A$6,0))&gt;0,INDEX(boss_input_vu_khi!$E$2:$E$94,MATCH($C$47,boss_input_vu_khi!$A$2:$A$94,0))&gt;0),INDEX(boss_input_vu_khi!$E$2:$E$94,MATCH($C$47,boss_input_vu_khi!$A$2:$A$94,0))/INDEX(input_xe_tham_chieu!$G$2:$G$6,MATCH($D$47,input_xe_tham_chieu!$A$2:$A$6,0)),"")</f>
        <v/>
      </c>
      <c r="R47">
        <f>IF(ISNUMBER($Q$47),IF($P$47&gt;=$Q$47,"DU","THIEU"),"")</f>
        <v/>
      </c>
      <c r="S47" t="inlineStr">
        <is>
          <t>Assets/MachineBrigade/Resources/Data/balance.json: vehicles[id=command_airship].weapon x 01_chien_dau/Xe_tham_chieu[armored_car]</t>
        </is>
      </c>
      <c r="T47" t="inlineStr"/>
    </row>
    <row r="48">
      <c r="A48" t="inlineStr">
        <is>
          <t>command_airship/gun_turret</t>
        </is>
      </c>
      <c r="B48" t="inlineStr">
        <is>
          <t>command_airship</t>
        </is>
      </c>
      <c r="C48" t="inlineStr">
        <is>
          <t>p26_roc_main_roc_bombs</t>
        </is>
      </c>
      <c r="D48" t="inlineStr">
        <is>
          <t>gun_turret</t>
        </is>
      </c>
      <c r="E48">
        <f>IF(INDEX(boss_input_vu_khi_suy_ra!$D$2:$D$94,MATCH($C$48,boss_input_vu_khi_suy_ra!$A$2:$A$94,0)),INDEX(input_xe_tham_chieu!$E$2:$E$6,MATCH($D$48,input_xe_tham_chieu!$A$2:$A$6,0)),INDEX(input_xe_tham_chieu!$D$2:$D$6,MATCH($D$48,input_xe_tham_chieu!$A$2:$A$6,0)))</f>
        <v/>
      </c>
      <c r="F48">
        <f>IF(INDEX(boss_input_vu_khi_suy_ra!$E$2:$E$94,MATCH($C$48,boss_input_vu_khi_suy_ra!$A$2:$A$94,0)),INDEX(boss_input_bang_xuyen_giap!$B$2:$B$7,MIN(6,MAX(1,IF(INDEX(boss_input_vu_khi_suy_ra!$D$2:$D$94,MATCH($C$48,boss_input_vu_khi_suy_ra!$A$2:$A$94,0)),MAX(1,2-(INDEX(boss_input_vu_khi!$C$2:$C$94,MATCH($C$48,boss_input_vu_khi!$A$2:$A$94,0))-$E$48)),2-(INDEX(boss_input_vu_khi!$C$2:$C$94,MATCH($C$48,boss_input_vu_khi!$A$2:$A$94,0))-$E$48))+1)))*IF(INDEX(input_xe_tham_chieu!$F$2:$F$6,MATCH($D$48,input_xe_tham_chieu!$A$2:$A$6,0)),INDEX(boss_input_vu_khi_suy_ra!$G$2:$G$94,MATCH($C$48,boss_input_vu_khi_suy_ra!$A$2:$A$94,0)),INDEX(boss_input_vu_khi_suy_ra!$F$2:$F$94,MATCH($C$48,boss_input_vu_khi_suy_ra!$A$2:$A$94,0))),0)</f>
        <v/>
      </c>
      <c r="G48" t="n">
        <v>1.5</v>
      </c>
      <c r="H48">
        <f>INDEX(boss_input_vu_khi!$B$2:$B$94,MATCH($C$48,boss_input_vu_khi!$A$2:$A$94,0))*INDEX(Boss_dps!$D$2:$D$34,MATCH($B$48,Boss_dps!$A$2:$A$34,0))*IF(INDEX(boss_input_vu_khi!$D$2:$D$94,MATCH($C$48,boss_input_vu_khi!$A$2:$A$94,0)),1,INDEX(Boss_dps!$B$2:$B$34,MATCH($B$48,Boss_dps!$A$2:$A$34,0)))*INDEX(Boss_dps!$C$2:$C$34,MATCH($B$48,Boss_dps!$A$2:$A$34,0))*$F$48</f>
        <v/>
      </c>
      <c r="I48" t="n">
        <v>2630.124</v>
      </c>
      <c r="J48">
        <f>IF($H$48&gt;0,CEILING(INDEX(input_xe_tham_chieu!$C$2:$C$6,MATCH($D$48,input_xe_tham_chieu!$A$2:$A$6,0))/$H$48,1),"")</f>
        <v/>
      </c>
      <c r="K48">
        <f>IF(Boss_vu_khi!$S$41*$F$48&gt;0,INDEX(input_xe_tham_chieu!$C$2:$C$6,MATCH($D$48,input_xe_tham_chieu!$A$2:$A$6,0))/(Boss_vu_khi!$S$41*INDEX(Boss_dps!$D$2:$D$34,MATCH($B$48,Boss_dps!$A$2:$A$34,0))*$F$48),"")</f>
        <v/>
      </c>
      <c r="L48">
        <f>1+2*MIN(2,FLOOR(INDEX(boss_input_vu_khi!$E$2:$E$94,MATCH($C$48,boss_input_vu_khi!$A$2:$A$94,0))/8,1))</f>
        <v/>
      </c>
      <c r="M48">
        <f>1+2*MIN(2,FLOOR(MAX(INDEX(boss_input_vu_khi!$E$2:$E$94,MATCH($C$48,boss_input_vu_khi!$A$2:$A$94,0)),Boss_vu_khi!$L$41)/8,1))</f>
        <v/>
      </c>
      <c r="N48">
        <f>IF(INDEX(boss_input_vu_khi!$E$2:$E$94,MATCH($C$48,boss_input_vu_khi!$A$2:$A$94,0))&gt;=8,5,1)</f>
        <v/>
      </c>
      <c r="O48">
        <f>IF(MAX(INDEX(boss_input_vu_khi!$E$2:$E$94,MATCH($C$48,boss_input_vu_khi!$A$2:$A$94,0)),Boss_vu_khi!$L$41)&gt;=8,5,1)</f>
        <v/>
      </c>
      <c r="P48">
        <f>INDEX(boss_input_vu_khi_suy_ra!$H$2:$H$94,MATCH($C$48,boss_input_vu_khi_suy_ra!$A$2:$A$94,0))</f>
        <v/>
      </c>
      <c r="Q48">
        <f>IF(AND(INDEX(input_xe_tham_chieu!$G$2:$G$6,MATCH($D$48,input_xe_tham_chieu!$A$2:$A$6,0))&gt;0,INDEX(boss_input_vu_khi!$E$2:$E$94,MATCH($C$48,boss_input_vu_khi!$A$2:$A$94,0))&gt;0),INDEX(boss_input_vu_khi!$E$2:$E$94,MATCH($C$48,boss_input_vu_khi!$A$2:$A$94,0))/INDEX(input_xe_tham_chieu!$G$2:$G$6,MATCH($D$48,input_xe_tham_chieu!$A$2:$A$6,0)),"")</f>
        <v/>
      </c>
      <c r="R48">
        <f>IF(ISNUMBER($Q$48),IF($P$48&gt;=$Q$48,"DU","THIEU"),"")</f>
        <v/>
      </c>
      <c r="S48" t="inlineStr">
        <is>
          <t>Assets/MachineBrigade/Resources/Data/balance.json: vehicles[id=command_airship].weapon x 01_chien_dau/Xe_tham_chieu[gun_turret]</t>
        </is>
      </c>
      <c r="T48" t="inlineStr"/>
    </row>
    <row r="49">
      <c r="A49" t="inlineStr">
        <is>
          <t>command_airship/heavy_tank</t>
        </is>
      </c>
      <c r="B49" t="inlineStr">
        <is>
          <t>command_airship</t>
        </is>
      </c>
      <c r="C49" t="inlineStr">
        <is>
          <t>p26_roc_main_roc_bombs</t>
        </is>
      </c>
      <c r="D49" t="inlineStr">
        <is>
          <t>heavy_tank</t>
        </is>
      </c>
      <c r="E49">
        <f>IF(INDEX(boss_input_vu_khi_suy_ra!$D$2:$D$94,MATCH($C$49,boss_input_vu_khi_suy_ra!$A$2:$A$94,0)),INDEX(input_xe_tham_chieu!$E$2:$E$6,MATCH($D$49,input_xe_tham_chieu!$A$2:$A$6,0)),INDEX(input_xe_tham_chieu!$D$2:$D$6,MATCH($D$49,input_xe_tham_chieu!$A$2:$A$6,0)))</f>
        <v/>
      </c>
      <c r="F49">
        <f>IF(INDEX(boss_input_vu_khi_suy_ra!$E$2:$E$94,MATCH($C$49,boss_input_vu_khi_suy_ra!$A$2:$A$94,0)),INDEX(boss_input_bang_xuyen_giap!$B$2:$B$7,MIN(6,MAX(1,IF(INDEX(boss_input_vu_khi_suy_ra!$D$2:$D$94,MATCH($C$49,boss_input_vu_khi_suy_ra!$A$2:$A$94,0)),MAX(1,2-(INDEX(boss_input_vu_khi!$C$2:$C$94,MATCH($C$49,boss_input_vu_khi!$A$2:$A$94,0))-$E$49)),2-(INDEX(boss_input_vu_khi!$C$2:$C$94,MATCH($C$49,boss_input_vu_khi!$A$2:$A$94,0))-$E$49))+1)))*IF(INDEX(input_xe_tham_chieu!$F$2:$F$6,MATCH($D$49,input_xe_tham_chieu!$A$2:$A$6,0)),INDEX(boss_input_vu_khi_suy_ra!$G$2:$G$94,MATCH($C$49,boss_input_vu_khi_suy_ra!$A$2:$A$94,0)),INDEX(boss_input_vu_khi_suy_ra!$F$2:$F$94,MATCH($C$49,boss_input_vu_khi_suy_ra!$A$2:$A$94,0))),0)</f>
        <v/>
      </c>
      <c r="G49" t="n">
        <v>1</v>
      </c>
      <c r="H49">
        <f>INDEX(boss_input_vu_khi!$B$2:$B$94,MATCH($C$49,boss_input_vu_khi!$A$2:$A$94,0))*INDEX(Boss_dps!$D$2:$D$34,MATCH($B$49,Boss_dps!$A$2:$A$34,0))*IF(INDEX(boss_input_vu_khi!$D$2:$D$94,MATCH($C$49,boss_input_vu_khi!$A$2:$A$94,0)),1,INDEX(Boss_dps!$B$2:$B$34,MATCH($B$49,Boss_dps!$A$2:$A$34,0)))*INDEX(Boss_dps!$C$2:$C$34,MATCH($B$49,Boss_dps!$A$2:$A$34,0))*$F$49</f>
        <v/>
      </c>
      <c r="I49" t="n">
        <v>1753.416</v>
      </c>
      <c r="J49">
        <f>IF($H$49&gt;0,CEILING(INDEX(input_xe_tham_chieu!$C$2:$C$6,MATCH($D$49,input_xe_tham_chieu!$A$2:$A$6,0))/$H$49,1),"")</f>
        <v/>
      </c>
      <c r="K49">
        <f>IF(Boss_vu_khi!$S$41*$F$49&gt;0,INDEX(input_xe_tham_chieu!$C$2:$C$6,MATCH($D$49,input_xe_tham_chieu!$A$2:$A$6,0))/(Boss_vu_khi!$S$41*INDEX(Boss_dps!$D$2:$D$34,MATCH($B$49,Boss_dps!$A$2:$A$34,0))*$F$49),"")</f>
        <v/>
      </c>
      <c r="L49">
        <f>1+2*MIN(2,FLOOR(INDEX(boss_input_vu_khi!$E$2:$E$94,MATCH($C$49,boss_input_vu_khi!$A$2:$A$94,0))/8,1))</f>
        <v/>
      </c>
      <c r="M49">
        <f>1+2*MIN(2,FLOOR(MAX(INDEX(boss_input_vu_khi!$E$2:$E$94,MATCH($C$49,boss_input_vu_khi!$A$2:$A$94,0)),Boss_vu_khi!$L$41)/8,1))</f>
        <v/>
      </c>
      <c r="N49">
        <f>IF(INDEX(boss_input_vu_khi!$E$2:$E$94,MATCH($C$49,boss_input_vu_khi!$A$2:$A$94,0))&gt;=8,5,1)</f>
        <v/>
      </c>
      <c r="O49">
        <f>IF(MAX(INDEX(boss_input_vu_khi!$E$2:$E$94,MATCH($C$49,boss_input_vu_khi!$A$2:$A$94,0)),Boss_vu_khi!$L$41)&gt;=8,5,1)</f>
        <v/>
      </c>
      <c r="P49">
        <f>INDEX(boss_input_vu_khi_suy_ra!$H$2:$H$94,MATCH($C$49,boss_input_vu_khi_suy_ra!$A$2:$A$94,0))</f>
        <v/>
      </c>
      <c r="Q49">
        <f>IF(AND(INDEX(input_xe_tham_chieu!$G$2:$G$6,MATCH($D$49,input_xe_tham_chieu!$A$2:$A$6,0))&gt;0,INDEX(boss_input_vu_khi!$E$2:$E$94,MATCH($C$49,boss_input_vu_khi!$A$2:$A$94,0))&gt;0),INDEX(boss_input_vu_khi!$E$2:$E$94,MATCH($C$49,boss_input_vu_khi!$A$2:$A$94,0))/INDEX(input_xe_tham_chieu!$G$2:$G$6,MATCH($D$49,input_xe_tham_chieu!$A$2:$A$6,0)),"")</f>
        <v/>
      </c>
      <c r="R49">
        <f>IF(ISNUMBER($Q$49),IF($P$49&gt;=$Q$49,"DU","THIEU"),"")</f>
        <v/>
      </c>
      <c r="S49" t="inlineStr">
        <is>
          <t>Assets/MachineBrigade/Resources/Data/balance.json: vehicles[id=command_airship].weapon x 01_chien_dau/Xe_tham_chieu[heavy_tank]</t>
        </is>
      </c>
      <c r="T49" t="inlineStr"/>
    </row>
    <row r="50">
      <c r="A50" t="inlineStr">
        <is>
          <t>command_airship/ifv</t>
        </is>
      </c>
      <c r="B50" t="inlineStr">
        <is>
          <t>command_airship</t>
        </is>
      </c>
      <c r="C50" t="inlineStr">
        <is>
          <t>p26_roc_main_roc_bombs</t>
        </is>
      </c>
      <c r="D50" t="inlineStr">
        <is>
          <t>ifv</t>
        </is>
      </c>
      <c r="E50">
        <f>IF(INDEX(boss_input_vu_khi_suy_ra!$D$2:$D$94,MATCH($C$50,boss_input_vu_khi_suy_ra!$A$2:$A$94,0)),INDEX(input_xe_tham_chieu!$E$2:$E$6,MATCH($D$50,input_xe_tham_chieu!$A$2:$A$6,0)),INDEX(input_xe_tham_chieu!$D$2:$D$6,MATCH($D$50,input_xe_tham_chieu!$A$2:$A$6,0)))</f>
        <v/>
      </c>
      <c r="F50">
        <f>IF(INDEX(boss_input_vu_khi_suy_ra!$E$2:$E$94,MATCH($C$50,boss_input_vu_khi_suy_ra!$A$2:$A$94,0)),INDEX(boss_input_bang_xuyen_giap!$B$2:$B$7,MIN(6,MAX(1,IF(INDEX(boss_input_vu_khi_suy_ra!$D$2:$D$94,MATCH($C$50,boss_input_vu_khi_suy_ra!$A$2:$A$94,0)),MAX(1,2-(INDEX(boss_input_vu_khi!$C$2:$C$94,MATCH($C$50,boss_input_vu_khi!$A$2:$A$94,0))-$E$50)),2-(INDEX(boss_input_vu_khi!$C$2:$C$94,MATCH($C$50,boss_input_vu_khi!$A$2:$A$94,0))-$E$50))+1)))*IF(INDEX(input_xe_tham_chieu!$F$2:$F$6,MATCH($D$50,input_xe_tham_chieu!$A$2:$A$6,0)),INDEX(boss_input_vu_khi_suy_ra!$G$2:$G$94,MATCH($C$50,boss_input_vu_khi_suy_ra!$A$2:$A$94,0)),INDEX(boss_input_vu_khi_suy_ra!$F$2:$F$94,MATCH($C$50,boss_input_vu_khi_suy_ra!$A$2:$A$94,0))),0)</f>
        <v/>
      </c>
      <c r="G50" t="n">
        <v>1</v>
      </c>
      <c r="H50">
        <f>INDEX(boss_input_vu_khi!$B$2:$B$94,MATCH($C$50,boss_input_vu_khi!$A$2:$A$94,0))*INDEX(Boss_dps!$D$2:$D$34,MATCH($B$50,Boss_dps!$A$2:$A$34,0))*IF(INDEX(boss_input_vu_khi!$D$2:$D$94,MATCH($C$50,boss_input_vu_khi!$A$2:$A$94,0)),1,INDEX(Boss_dps!$B$2:$B$34,MATCH($B$50,Boss_dps!$A$2:$A$34,0)))*INDEX(Boss_dps!$C$2:$C$34,MATCH($B$50,Boss_dps!$A$2:$A$34,0))*$F$50</f>
        <v/>
      </c>
      <c r="I50" t="n">
        <v>1753.416</v>
      </c>
      <c r="J50">
        <f>IF($H$50&gt;0,CEILING(INDEX(input_xe_tham_chieu!$C$2:$C$6,MATCH($D$50,input_xe_tham_chieu!$A$2:$A$6,0))/$H$50,1),"")</f>
        <v/>
      </c>
      <c r="K50">
        <f>IF(Boss_vu_khi!$S$41*$F$50&gt;0,INDEX(input_xe_tham_chieu!$C$2:$C$6,MATCH($D$50,input_xe_tham_chieu!$A$2:$A$6,0))/(Boss_vu_khi!$S$41*INDEX(Boss_dps!$D$2:$D$34,MATCH($B$50,Boss_dps!$A$2:$A$34,0))*$F$50),"")</f>
        <v/>
      </c>
      <c r="L50">
        <f>1+2*MIN(2,FLOOR(INDEX(boss_input_vu_khi!$E$2:$E$94,MATCH($C$50,boss_input_vu_khi!$A$2:$A$94,0))/8,1))</f>
        <v/>
      </c>
      <c r="M50">
        <f>1+2*MIN(2,FLOOR(MAX(INDEX(boss_input_vu_khi!$E$2:$E$94,MATCH($C$50,boss_input_vu_khi!$A$2:$A$94,0)),Boss_vu_khi!$L$41)/8,1))</f>
        <v/>
      </c>
      <c r="N50">
        <f>IF(INDEX(boss_input_vu_khi!$E$2:$E$94,MATCH($C$50,boss_input_vu_khi!$A$2:$A$94,0))&gt;=8,5,1)</f>
        <v/>
      </c>
      <c r="O50">
        <f>IF(MAX(INDEX(boss_input_vu_khi!$E$2:$E$94,MATCH($C$50,boss_input_vu_khi!$A$2:$A$94,0)),Boss_vu_khi!$L$41)&gt;=8,5,1)</f>
        <v/>
      </c>
      <c r="P50">
        <f>INDEX(boss_input_vu_khi_suy_ra!$H$2:$H$94,MATCH($C$50,boss_input_vu_khi_suy_ra!$A$2:$A$94,0))</f>
        <v/>
      </c>
      <c r="Q50">
        <f>IF(AND(INDEX(input_xe_tham_chieu!$G$2:$G$6,MATCH($D$50,input_xe_tham_chieu!$A$2:$A$6,0))&gt;0,INDEX(boss_input_vu_khi!$E$2:$E$94,MATCH($C$50,boss_input_vu_khi!$A$2:$A$94,0))&gt;0),INDEX(boss_input_vu_khi!$E$2:$E$94,MATCH($C$50,boss_input_vu_khi!$A$2:$A$94,0))/INDEX(input_xe_tham_chieu!$G$2:$G$6,MATCH($D$50,input_xe_tham_chieu!$A$2:$A$6,0)),"")</f>
        <v/>
      </c>
      <c r="R50">
        <f>IF(ISNUMBER($Q$50),IF($P$50&gt;=$Q$50,"DU","THIEU"),"")</f>
        <v/>
      </c>
      <c r="S50" t="inlineStr">
        <is>
          <t>Assets/MachineBrigade/Resources/Data/balance.json: vehicles[id=command_airship].weapon x 01_chien_dau/Xe_tham_chieu[ifv]</t>
        </is>
      </c>
      <c r="T50" t="inlineStr"/>
    </row>
    <row r="51">
      <c r="A51" t="inlineStr">
        <is>
          <t>command_airship/main_battle_tank</t>
        </is>
      </c>
      <c r="B51" t="inlineStr">
        <is>
          <t>command_airship</t>
        </is>
      </c>
      <c r="C51" t="inlineStr">
        <is>
          <t>p26_roc_main_roc_bombs</t>
        </is>
      </c>
      <c r="D51" t="inlineStr">
        <is>
          <t>main_battle_tank</t>
        </is>
      </c>
      <c r="E51">
        <f>IF(INDEX(boss_input_vu_khi_suy_ra!$D$2:$D$94,MATCH($C$51,boss_input_vu_khi_suy_ra!$A$2:$A$94,0)),INDEX(input_xe_tham_chieu!$E$2:$E$6,MATCH($D$51,input_xe_tham_chieu!$A$2:$A$6,0)),INDEX(input_xe_tham_chieu!$D$2:$D$6,MATCH($D$51,input_xe_tham_chieu!$A$2:$A$6,0)))</f>
        <v/>
      </c>
      <c r="F51">
        <f>IF(INDEX(boss_input_vu_khi_suy_ra!$E$2:$E$94,MATCH($C$51,boss_input_vu_khi_suy_ra!$A$2:$A$94,0)),INDEX(boss_input_bang_xuyen_giap!$B$2:$B$7,MIN(6,MAX(1,IF(INDEX(boss_input_vu_khi_suy_ra!$D$2:$D$94,MATCH($C$51,boss_input_vu_khi_suy_ra!$A$2:$A$94,0)),MAX(1,2-(INDEX(boss_input_vu_khi!$C$2:$C$94,MATCH($C$51,boss_input_vu_khi!$A$2:$A$94,0))-$E$51)),2-(INDEX(boss_input_vu_khi!$C$2:$C$94,MATCH($C$51,boss_input_vu_khi!$A$2:$A$94,0))-$E$51))+1)))*IF(INDEX(input_xe_tham_chieu!$F$2:$F$6,MATCH($D$51,input_xe_tham_chieu!$A$2:$A$6,0)),INDEX(boss_input_vu_khi_suy_ra!$G$2:$G$94,MATCH($C$51,boss_input_vu_khi_suy_ra!$A$2:$A$94,0)),INDEX(boss_input_vu_khi_suy_ra!$F$2:$F$94,MATCH($C$51,boss_input_vu_khi_suy_ra!$A$2:$A$94,0))),0)</f>
        <v/>
      </c>
      <c r="G51" t="n">
        <v>1</v>
      </c>
      <c r="H51">
        <f>INDEX(boss_input_vu_khi!$B$2:$B$94,MATCH($C$51,boss_input_vu_khi!$A$2:$A$94,0))*INDEX(Boss_dps!$D$2:$D$34,MATCH($B$51,Boss_dps!$A$2:$A$34,0))*IF(INDEX(boss_input_vu_khi!$D$2:$D$94,MATCH($C$51,boss_input_vu_khi!$A$2:$A$94,0)),1,INDEX(Boss_dps!$B$2:$B$34,MATCH($B$51,Boss_dps!$A$2:$A$34,0)))*INDEX(Boss_dps!$C$2:$C$34,MATCH($B$51,Boss_dps!$A$2:$A$34,0))*$F$51</f>
        <v/>
      </c>
      <c r="I51" t="n">
        <v>1753.416</v>
      </c>
      <c r="J51">
        <f>IF($H$51&gt;0,CEILING(INDEX(input_xe_tham_chieu!$C$2:$C$6,MATCH($D$51,input_xe_tham_chieu!$A$2:$A$6,0))/$H$51,1),"")</f>
        <v/>
      </c>
      <c r="K51">
        <f>IF(Boss_vu_khi!$S$41*$F$51&gt;0,INDEX(input_xe_tham_chieu!$C$2:$C$6,MATCH($D$51,input_xe_tham_chieu!$A$2:$A$6,0))/(Boss_vu_khi!$S$41*INDEX(Boss_dps!$D$2:$D$34,MATCH($B$51,Boss_dps!$A$2:$A$34,0))*$F$51),"")</f>
        <v/>
      </c>
      <c r="L51">
        <f>1+2*MIN(2,FLOOR(INDEX(boss_input_vu_khi!$E$2:$E$94,MATCH($C$51,boss_input_vu_khi!$A$2:$A$94,0))/8,1))</f>
        <v/>
      </c>
      <c r="M51">
        <f>1+2*MIN(2,FLOOR(MAX(INDEX(boss_input_vu_khi!$E$2:$E$94,MATCH($C$51,boss_input_vu_khi!$A$2:$A$94,0)),Boss_vu_khi!$L$41)/8,1))</f>
        <v/>
      </c>
      <c r="N51">
        <f>IF(INDEX(boss_input_vu_khi!$E$2:$E$94,MATCH($C$51,boss_input_vu_khi!$A$2:$A$94,0))&gt;=8,5,1)</f>
        <v/>
      </c>
      <c r="O51">
        <f>IF(MAX(INDEX(boss_input_vu_khi!$E$2:$E$94,MATCH($C$51,boss_input_vu_khi!$A$2:$A$94,0)),Boss_vu_khi!$L$41)&gt;=8,5,1)</f>
        <v/>
      </c>
      <c r="P51">
        <f>INDEX(boss_input_vu_khi_suy_ra!$H$2:$H$94,MATCH($C$51,boss_input_vu_khi_suy_ra!$A$2:$A$94,0))</f>
        <v/>
      </c>
      <c r="Q51">
        <f>IF(AND(INDEX(input_xe_tham_chieu!$G$2:$G$6,MATCH($D$51,input_xe_tham_chieu!$A$2:$A$6,0))&gt;0,INDEX(boss_input_vu_khi!$E$2:$E$94,MATCH($C$51,boss_input_vu_khi!$A$2:$A$94,0))&gt;0),INDEX(boss_input_vu_khi!$E$2:$E$94,MATCH($C$51,boss_input_vu_khi!$A$2:$A$94,0))/INDEX(input_xe_tham_chieu!$G$2:$G$6,MATCH($D$51,input_xe_tham_chieu!$A$2:$A$6,0)),"")</f>
        <v/>
      </c>
      <c r="R51">
        <f>IF(ISNUMBER($Q$51),IF($P$51&gt;=$Q$51,"DU","THIEU"),"")</f>
        <v/>
      </c>
      <c r="S51" t="inlineStr">
        <is>
          <t>Assets/MachineBrigade/Resources/Data/balance.json: vehicles[id=command_airship].weapon x 01_chien_dau/Xe_tham_chieu[main_battle_tank]</t>
        </is>
      </c>
      <c r="T51" t="inlineStr"/>
    </row>
    <row r="52">
      <c r="A52" t="inlineStr">
        <is>
          <t>daedalus/armored_car</t>
        </is>
      </c>
      <c r="B52" t="inlineStr">
        <is>
          <t>daedalus</t>
        </is>
      </c>
      <c r="C52" t="inlineStr">
        <is>
          <t>p26_daedalus_direct_dae_laser</t>
        </is>
      </c>
      <c r="D52" t="inlineStr">
        <is>
          <t>armored_car</t>
        </is>
      </c>
      <c r="E52">
        <f>IF(INDEX(boss_input_vu_khi_suy_ra!$D$2:$D$94,MATCH($C$52,boss_input_vu_khi_suy_ra!$A$2:$A$94,0)),INDEX(input_xe_tham_chieu!$E$2:$E$6,MATCH($D$52,input_xe_tham_chieu!$A$2:$A$6,0)),INDEX(input_xe_tham_chieu!$D$2:$D$6,MATCH($D$52,input_xe_tham_chieu!$A$2:$A$6,0)))</f>
        <v/>
      </c>
      <c r="F52">
        <f>IF(INDEX(boss_input_vu_khi_suy_ra!$E$2:$E$94,MATCH($C$52,boss_input_vu_khi_suy_ra!$A$2:$A$94,0)),INDEX(boss_input_bang_xuyen_giap!$B$2:$B$7,MIN(6,MAX(1,IF(INDEX(boss_input_vu_khi_suy_ra!$D$2:$D$94,MATCH($C$52,boss_input_vu_khi_suy_ra!$A$2:$A$94,0)),MAX(1,2-(INDEX(boss_input_vu_khi!$C$2:$C$94,MATCH($C$52,boss_input_vu_khi!$A$2:$A$94,0))-$E$52)),2-(INDEX(boss_input_vu_khi!$C$2:$C$94,MATCH($C$52,boss_input_vu_khi!$A$2:$A$94,0))-$E$52))+1)))*IF(INDEX(input_xe_tham_chieu!$F$2:$F$6,MATCH($D$52,input_xe_tham_chieu!$A$2:$A$6,0)),INDEX(boss_input_vu_khi_suy_ra!$G$2:$G$94,MATCH($C$52,boss_input_vu_khi_suy_ra!$A$2:$A$94,0)),INDEX(boss_input_vu_khi_suy_ra!$F$2:$F$94,MATCH($C$52,boss_input_vu_khi_suy_ra!$A$2:$A$94,0))),0)</f>
        <v/>
      </c>
      <c r="G52" t="n">
        <v>1.2</v>
      </c>
      <c r="H52">
        <f>INDEX(boss_input_vu_khi!$B$2:$B$94,MATCH($C$52,boss_input_vu_khi!$A$2:$A$94,0))*INDEX(Boss_dps!$D$2:$D$34,MATCH($B$52,Boss_dps!$A$2:$A$34,0))*IF(INDEX(boss_input_vu_khi!$D$2:$D$94,MATCH($C$52,boss_input_vu_khi!$A$2:$A$94,0)),1,INDEX(Boss_dps!$B$2:$B$34,MATCH($B$52,Boss_dps!$A$2:$A$34,0)))*INDEX(Boss_dps!$C$2:$C$34,MATCH($B$52,Boss_dps!$A$2:$A$34,0))*$F$52</f>
        <v/>
      </c>
      <c r="I52" t="n">
        <v>27.72</v>
      </c>
      <c r="J52">
        <f>IF($H$52&gt;0,CEILING(INDEX(input_xe_tham_chieu!$C$2:$C$6,MATCH($D$52,input_xe_tham_chieu!$A$2:$A$6,0))/$H$52,1),"")</f>
        <v/>
      </c>
      <c r="K52">
        <f>IF(Boss_vu_khi!$S$49*$F$52&gt;0,INDEX(input_xe_tham_chieu!$C$2:$C$6,MATCH($D$52,input_xe_tham_chieu!$A$2:$A$6,0))/(Boss_vu_khi!$S$49*INDEX(Boss_dps!$D$2:$D$34,MATCH($B$52,Boss_dps!$A$2:$A$34,0))*$F$52),"")</f>
        <v/>
      </c>
      <c r="L52">
        <f>1+2*MIN(2,FLOOR(INDEX(boss_input_vu_khi!$E$2:$E$94,MATCH($C$52,boss_input_vu_khi!$A$2:$A$94,0))/8,1))</f>
        <v/>
      </c>
      <c r="M52">
        <f>1+2*MIN(2,FLOOR(MAX(INDEX(boss_input_vu_khi!$E$2:$E$94,MATCH($C$52,boss_input_vu_khi!$A$2:$A$94,0)),Boss_vu_khi!$L$49)/8,1))</f>
        <v/>
      </c>
      <c r="N52">
        <f>IF(INDEX(boss_input_vu_khi!$E$2:$E$94,MATCH($C$52,boss_input_vu_khi!$A$2:$A$94,0))&gt;=8,5,1)</f>
        <v/>
      </c>
      <c r="O52">
        <f>IF(MAX(INDEX(boss_input_vu_khi!$E$2:$E$94,MATCH($C$52,boss_input_vu_khi!$A$2:$A$94,0)),Boss_vu_khi!$L$49)&gt;=8,5,1)</f>
        <v/>
      </c>
      <c r="P52">
        <f>INDEX(boss_input_vu_khi_suy_ra!$H$2:$H$94,MATCH($C$52,boss_input_vu_khi_suy_ra!$A$2:$A$94,0))</f>
        <v/>
      </c>
      <c r="Q52">
        <f>IF(AND(INDEX(input_xe_tham_chieu!$G$2:$G$6,MATCH($D$52,input_xe_tham_chieu!$A$2:$A$6,0))&gt;0,INDEX(boss_input_vu_khi!$E$2:$E$94,MATCH($C$52,boss_input_vu_khi!$A$2:$A$94,0))&gt;0),INDEX(boss_input_vu_khi!$E$2:$E$94,MATCH($C$52,boss_input_vu_khi!$A$2:$A$94,0))/INDEX(input_xe_tham_chieu!$G$2:$G$6,MATCH($D$52,input_xe_tham_chieu!$A$2:$A$6,0)),"")</f>
        <v/>
      </c>
      <c r="R52">
        <f>IF(ISNUMBER($Q$52),IF($P$52&gt;=$Q$52,"DU","THIEU"),"")</f>
        <v/>
      </c>
      <c r="S52" t="inlineStr">
        <is>
          <t>Assets/MachineBrigade/Resources/Data/balance.json: vehicles[id=daedalus].weapon x 01_chien_dau/Xe_tham_chieu[armored_car]</t>
        </is>
      </c>
      <c r="T52" t="inlineStr"/>
    </row>
    <row r="53">
      <c r="A53" t="inlineStr">
        <is>
          <t>daedalus/gun_turret</t>
        </is>
      </c>
      <c r="B53" t="inlineStr">
        <is>
          <t>daedalus</t>
        </is>
      </c>
      <c r="C53" t="inlineStr">
        <is>
          <t>p26_daedalus_direct_dae_laser</t>
        </is>
      </c>
      <c r="D53" t="inlineStr">
        <is>
          <t>gun_turret</t>
        </is>
      </c>
      <c r="E53">
        <f>IF(INDEX(boss_input_vu_khi_suy_ra!$D$2:$D$94,MATCH($C$53,boss_input_vu_khi_suy_ra!$A$2:$A$94,0)),INDEX(input_xe_tham_chieu!$E$2:$E$6,MATCH($D$53,input_xe_tham_chieu!$A$2:$A$6,0)),INDEX(input_xe_tham_chieu!$D$2:$D$6,MATCH($D$53,input_xe_tham_chieu!$A$2:$A$6,0)))</f>
        <v/>
      </c>
      <c r="F53">
        <f>IF(INDEX(boss_input_vu_khi_suy_ra!$E$2:$E$94,MATCH($C$53,boss_input_vu_khi_suy_ra!$A$2:$A$94,0)),INDEX(boss_input_bang_xuyen_giap!$B$2:$B$7,MIN(6,MAX(1,IF(INDEX(boss_input_vu_khi_suy_ra!$D$2:$D$94,MATCH($C$53,boss_input_vu_khi_suy_ra!$A$2:$A$94,0)),MAX(1,2-(INDEX(boss_input_vu_khi!$C$2:$C$94,MATCH($C$53,boss_input_vu_khi!$A$2:$A$94,0))-$E$53)),2-(INDEX(boss_input_vu_khi!$C$2:$C$94,MATCH($C$53,boss_input_vu_khi!$A$2:$A$94,0))-$E$53))+1)))*IF(INDEX(input_xe_tham_chieu!$F$2:$F$6,MATCH($D$53,input_xe_tham_chieu!$A$2:$A$6,0)),INDEX(boss_input_vu_khi_suy_ra!$G$2:$G$94,MATCH($C$53,boss_input_vu_khi_suy_ra!$A$2:$A$94,0)),INDEX(boss_input_vu_khi_suy_ra!$F$2:$F$94,MATCH($C$53,boss_input_vu_khi_suy_ra!$A$2:$A$94,0))),0)</f>
        <v/>
      </c>
      <c r="G53" t="n">
        <v>0.5</v>
      </c>
      <c r="H53">
        <f>INDEX(boss_input_vu_khi!$B$2:$B$94,MATCH($C$53,boss_input_vu_khi!$A$2:$A$94,0))*INDEX(Boss_dps!$D$2:$D$34,MATCH($B$53,Boss_dps!$A$2:$A$34,0))*IF(INDEX(boss_input_vu_khi!$D$2:$D$94,MATCH($C$53,boss_input_vu_khi!$A$2:$A$94,0)),1,INDEX(Boss_dps!$B$2:$B$34,MATCH($B$53,Boss_dps!$A$2:$A$34,0)))*INDEX(Boss_dps!$C$2:$C$34,MATCH($B$53,Boss_dps!$A$2:$A$34,0))*$F$53</f>
        <v/>
      </c>
      <c r="I53" t="n">
        <v>11.55</v>
      </c>
      <c r="J53">
        <f>IF($H$53&gt;0,CEILING(INDEX(input_xe_tham_chieu!$C$2:$C$6,MATCH($D$53,input_xe_tham_chieu!$A$2:$A$6,0))/$H$53,1),"")</f>
        <v/>
      </c>
      <c r="K53">
        <f>IF(Boss_vu_khi!$S$49*$F$53&gt;0,INDEX(input_xe_tham_chieu!$C$2:$C$6,MATCH($D$53,input_xe_tham_chieu!$A$2:$A$6,0))/(Boss_vu_khi!$S$49*INDEX(Boss_dps!$D$2:$D$34,MATCH($B$53,Boss_dps!$A$2:$A$34,0))*$F$53),"")</f>
        <v/>
      </c>
      <c r="L53">
        <f>1+2*MIN(2,FLOOR(INDEX(boss_input_vu_khi!$E$2:$E$94,MATCH($C$53,boss_input_vu_khi!$A$2:$A$94,0))/8,1))</f>
        <v/>
      </c>
      <c r="M53">
        <f>1+2*MIN(2,FLOOR(MAX(INDEX(boss_input_vu_khi!$E$2:$E$94,MATCH($C$53,boss_input_vu_khi!$A$2:$A$94,0)),Boss_vu_khi!$L$49)/8,1))</f>
        <v/>
      </c>
      <c r="N53">
        <f>IF(INDEX(boss_input_vu_khi!$E$2:$E$94,MATCH($C$53,boss_input_vu_khi!$A$2:$A$94,0))&gt;=8,5,1)</f>
        <v/>
      </c>
      <c r="O53">
        <f>IF(MAX(INDEX(boss_input_vu_khi!$E$2:$E$94,MATCH($C$53,boss_input_vu_khi!$A$2:$A$94,0)),Boss_vu_khi!$L$49)&gt;=8,5,1)</f>
        <v/>
      </c>
      <c r="P53">
        <f>INDEX(boss_input_vu_khi_suy_ra!$H$2:$H$94,MATCH($C$53,boss_input_vu_khi_suy_ra!$A$2:$A$94,0))</f>
        <v/>
      </c>
      <c r="Q53">
        <f>IF(AND(INDEX(input_xe_tham_chieu!$G$2:$G$6,MATCH($D$53,input_xe_tham_chieu!$A$2:$A$6,0))&gt;0,INDEX(boss_input_vu_khi!$E$2:$E$94,MATCH($C$53,boss_input_vu_khi!$A$2:$A$94,0))&gt;0),INDEX(boss_input_vu_khi!$E$2:$E$94,MATCH($C$53,boss_input_vu_khi!$A$2:$A$94,0))/INDEX(input_xe_tham_chieu!$G$2:$G$6,MATCH($D$53,input_xe_tham_chieu!$A$2:$A$6,0)),"")</f>
        <v/>
      </c>
      <c r="R53">
        <f>IF(ISNUMBER($Q$53),IF($P$53&gt;=$Q$53,"DU","THIEU"),"")</f>
        <v/>
      </c>
      <c r="S53" t="inlineStr">
        <is>
          <t>Assets/MachineBrigade/Resources/Data/balance.json: vehicles[id=daedalus].weapon x 01_chien_dau/Xe_tham_chieu[gun_turret]</t>
        </is>
      </c>
      <c r="T53" t="inlineStr"/>
    </row>
    <row r="54">
      <c r="A54" t="inlineStr">
        <is>
          <t>daedalus/heavy_tank</t>
        </is>
      </c>
      <c r="B54" t="inlineStr">
        <is>
          <t>daedalus</t>
        </is>
      </c>
      <c r="C54" t="inlineStr">
        <is>
          <t>p26_daedalus_direct_dae_laser</t>
        </is>
      </c>
      <c r="D54" t="inlineStr">
        <is>
          <t>heavy_tank</t>
        </is>
      </c>
      <c r="E54">
        <f>IF(INDEX(boss_input_vu_khi_suy_ra!$D$2:$D$94,MATCH($C$54,boss_input_vu_khi_suy_ra!$A$2:$A$94,0)),INDEX(input_xe_tham_chieu!$E$2:$E$6,MATCH($D$54,input_xe_tham_chieu!$A$2:$A$6,0)),INDEX(input_xe_tham_chieu!$D$2:$D$6,MATCH($D$54,input_xe_tham_chieu!$A$2:$A$6,0)))</f>
        <v/>
      </c>
      <c r="F54">
        <f>IF(INDEX(boss_input_vu_khi_suy_ra!$E$2:$E$94,MATCH($C$54,boss_input_vu_khi_suy_ra!$A$2:$A$94,0)),INDEX(boss_input_bang_xuyen_giap!$B$2:$B$7,MIN(6,MAX(1,IF(INDEX(boss_input_vu_khi_suy_ra!$D$2:$D$94,MATCH($C$54,boss_input_vu_khi_suy_ra!$A$2:$A$94,0)),MAX(1,2-(INDEX(boss_input_vu_khi!$C$2:$C$94,MATCH($C$54,boss_input_vu_khi!$A$2:$A$94,0))-$E$54)),2-(INDEX(boss_input_vu_khi!$C$2:$C$94,MATCH($C$54,boss_input_vu_khi!$A$2:$A$94,0))-$E$54))+1)))*IF(INDEX(input_xe_tham_chieu!$F$2:$F$6,MATCH($D$54,input_xe_tham_chieu!$A$2:$A$6,0)),INDEX(boss_input_vu_khi_suy_ra!$G$2:$G$94,MATCH($C$54,boss_input_vu_khi_suy_ra!$A$2:$A$94,0)),INDEX(boss_input_vu_khi_suy_ra!$F$2:$F$94,MATCH($C$54,boss_input_vu_khi_suy_ra!$A$2:$A$94,0))),0)</f>
        <v/>
      </c>
      <c r="G54" t="n">
        <v>0.85</v>
      </c>
      <c r="H54">
        <f>INDEX(boss_input_vu_khi!$B$2:$B$94,MATCH($C$54,boss_input_vu_khi!$A$2:$A$94,0))*INDEX(Boss_dps!$D$2:$D$34,MATCH($B$54,Boss_dps!$A$2:$A$34,0))*IF(INDEX(boss_input_vu_khi!$D$2:$D$94,MATCH($C$54,boss_input_vu_khi!$A$2:$A$94,0)),1,INDEX(Boss_dps!$B$2:$B$34,MATCH($B$54,Boss_dps!$A$2:$A$34,0)))*INDEX(Boss_dps!$C$2:$C$34,MATCH($B$54,Boss_dps!$A$2:$A$34,0))*$F$54</f>
        <v/>
      </c>
      <c r="I54" t="n">
        <v>19.635</v>
      </c>
      <c r="J54">
        <f>IF($H$54&gt;0,CEILING(INDEX(input_xe_tham_chieu!$C$2:$C$6,MATCH($D$54,input_xe_tham_chieu!$A$2:$A$6,0))/$H$54,1),"")</f>
        <v/>
      </c>
      <c r="K54">
        <f>IF(Boss_vu_khi!$S$49*$F$54&gt;0,INDEX(input_xe_tham_chieu!$C$2:$C$6,MATCH($D$54,input_xe_tham_chieu!$A$2:$A$6,0))/(Boss_vu_khi!$S$49*INDEX(Boss_dps!$D$2:$D$34,MATCH($B$54,Boss_dps!$A$2:$A$34,0))*$F$54),"")</f>
        <v/>
      </c>
      <c r="L54">
        <f>1+2*MIN(2,FLOOR(INDEX(boss_input_vu_khi!$E$2:$E$94,MATCH($C$54,boss_input_vu_khi!$A$2:$A$94,0))/8,1))</f>
        <v/>
      </c>
      <c r="M54">
        <f>1+2*MIN(2,FLOOR(MAX(INDEX(boss_input_vu_khi!$E$2:$E$94,MATCH($C$54,boss_input_vu_khi!$A$2:$A$94,0)),Boss_vu_khi!$L$49)/8,1))</f>
        <v/>
      </c>
      <c r="N54">
        <f>IF(INDEX(boss_input_vu_khi!$E$2:$E$94,MATCH($C$54,boss_input_vu_khi!$A$2:$A$94,0))&gt;=8,5,1)</f>
        <v/>
      </c>
      <c r="O54">
        <f>IF(MAX(INDEX(boss_input_vu_khi!$E$2:$E$94,MATCH($C$54,boss_input_vu_khi!$A$2:$A$94,0)),Boss_vu_khi!$L$49)&gt;=8,5,1)</f>
        <v/>
      </c>
      <c r="P54">
        <f>INDEX(boss_input_vu_khi_suy_ra!$H$2:$H$94,MATCH($C$54,boss_input_vu_khi_suy_ra!$A$2:$A$94,0))</f>
        <v/>
      </c>
      <c r="Q54">
        <f>IF(AND(INDEX(input_xe_tham_chieu!$G$2:$G$6,MATCH($D$54,input_xe_tham_chieu!$A$2:$A$6,0))&gt;0,INDEX(boss_input_vu_khi!$E$2:$E$94,MATCH($C$54,boss_input_vu_khi!$A$2:$A$94,0))&gt;0),INDEX(boss_input_vu_khi!$E$2:$E$94,MATCH($C$54,boss_input_vu_khi!$A$2:$A$94,0))/INDEX(input_xe_tham_chieu!$G$2:$G$6,MATCH($D$54,input_xe_tham_chieu!$A$2:$A$6,0)),"")</f>
        <v/>
      </c>
      <c r="R54">
        <f>IF(ISNUMBER($Q$54),IF($P$54&gt;=$Q$54,"DU","THIEU"),"")</f>
        <v/>
      </c>
      <c r="S54" t="inlineStr">
        <is>
          <t>Assets/MachineBrigade/Resources/Data/balance.json: vehicles[id=daedalus].weapon x 01_chien_dau/Xe_tham_chieu[heavy_tank]</t>
        </is>
      </c>
      <c r="T54" t="inlineStr"/>
    </row>
    <row r="55">
      <c r="A55" t="inlineStr">
        <is>
          <t>daedalus/ifv</t>
        </is>
      </c>
      <c r="B55" t="inlineStr">
        <is>
          <t>daedalus</t>
        </is>
      </c>
      <c r="C55" t="inlineStr">
        <is>
          <t>p26_daedalus_direct_dae_laser</t>
        </is>
      </c>
      <c r="D55" t="inlineStr">
        <is>
          <t>ifv</t>
        </is>
      </c>
      <c r="E55">
        <f>IF(INDEX(boss_input_vu_khi_suy_ra!$D$2:$D$94,MATCH($C$55,boss_input_vu_khi_suy_ra!$A$2:$A$94,0)),INDEX(input_xe_tham_chieu!$E$2:$E$6,MATCH($D$55,input_xe_tham_chieu!$A$2:$A$6,0)),INDEX(input_xe_tham_chieu!$D$2:$D$6,MATCH($D$55,input_xe_tham_chieu!$A$2:$A$6,0)))</f>
        <v/>
      </c>
      <c r="F55">
        <f>IF(INDEX(boss_input_vu_khi_suy_ra!$E$2:$E$94,MATCH($C$55,boss_input_vu_khi_suy_ra!$A$2:$A$94,0)),INDEX(boss_input_bang_xuyen_giap!$B$2:$B$7,MIN(6,MAX(1,IF(INDEX(boss_input_vu_khi_suy_ra!$D$2:$D$94,MATCH($C$55,boss_input_vu_khi_suy_ra!$A$2:$A$94,0)),MAX(1,2-(INDEX(boss_input_vu_khi!$C$2:$C$94,MATCH($C$55,boss_input_vu_khi!$A$2:$A$94,0))-$E$55)),2-(INDEX(boss_input_vu_khi!$C$2:$C$94,MATCH($C$55,boss_input_vu_khi!$A$2:$A$94,0))-$E$55))+1)))*IF(INDEX(input_xe_tham_chieu!$F$2:$F$6,MATCH($D$55,input_xe_tham_chieu!$A$2:$A$6,0)),INDEX(boss_input_vu_khi_suy_ra!$G$2:$G$94,MATCH($C$55,boss_input_vu_khi_suy_ra!$A$2:$A$94,0)),INDEX(boss_input_vu_khi_suy_ra!$F$2:$F$94,MATCH($C$55,boss_input_vu_khi_suy_ra!$A$2:$A$94,0))),0)</f>
        <v/>
      </c>
      <c r="G55" t="n">
        <v>1.2</v>
      </c>
      <c r="H55">
        <f>INDEX(boss_input_vu_khi!$B$2:$B$94,MATCH($C$55,boss_input_vu_khi!$A$2:$A$94,0))*INDEX(Boss_dps!$D$2:$D$34,MATCH($B$55,Boss_dps!$A$2:$A$34,0))*IF(INDEX(boss_input_vu_khi!$D$2:$D$94,MATCH($C$55,boss_input_vu_khi!$A$2:$A$94,0)),1,INDEX(Boss_dps!$B$2:$B$34,MATCH($B$55,Boss_dps!$A$2:$A$34,0)))*INDEX(Boss_dps!$C$2:$C$34,MATCH($B$55,Boss_dps!$A$2:$A$34,0))*$F$55</f>
        <v/>
      </c>
      <c r="I55" t="n">
        <v>27.72</v>
      </c>
      <c r="J55">
        <f>IF($H$55&gt;0,CEILING(INDEX(input_xe_tham_chieu!$C$2:$C$6,MATCH($D$55,input_xe_tham_chieu!$A$2:$A$6,0))/$H$55,1),"")</f>
        <v/>
      </c>
      <c r="K55">
        <f>IF(Boss_vu_khi!$S$49*$F$55&gt;0,INDEX(input_xe_tham_chieu!$C$2:$C$6,MATCH($D$55,input_xe_tham_chieu!$A$2:$A$6,0))/(Boss_vu_khi!$S$49*INDEX(Boss_dps!$D$2:$D$34,MATCH($B$55,Boss_dps!$A$2:$A$34,0))*$F$55),"")</f>
        <v/>
      </c>
      <c r="L55">
        <f>1+2*MIN(2,FLOOR(INDEX(boss_input_vu_khi!$E$2:$E$94,MATCH($C$55,boss_input_vu_khi!$A$2:$A$94,0))/8,1))</f>
        <v/>
      </c>
      <c r="M55">
        <f>1+2*MIN(2,FLOOR(MAX(INDEX(boss_input_vu_khi!$E$2:$E$94,MATCH($C$55,boss_input_vu_khi!$A$2:$A$94,0)),Boss_vu_khi!$L$49)/8,1))</f>
        <v/>
      </c>
      <c r="N55">
        <f>IF(INDEX(boss_input_vu_khi!$E$2:$E$94,MATCH($C$55,boss_input_vu_khi!$A$2:$A$94,0))&gt;=8,5,1)</f>
        <v/>
      </c>
      <c r="O55">
        <f>IF(MAX(INDEX(boss_input_vu_khi!$E$2:$E$94,MATCH($C$55,boss_input_vu_khi!$A$2:$A$94,0)),Boss_vu_khi!$L$49)&gt;=8,5,1)</f>
        <v/>
      </c>
      <c r="P55">
        <f>INDEX(boss_input_vu_khi_suy_ra!$H$2:$H$94,MATCH($C$55,boss_input_vu_khi_suy_ra!$A$2:$A$94,0))</f>
        <v/>
      </c>
      <c r="Q55">
        <f>IF(AND(INDEX(input_xe_tham_chieu!$G$2:$G$6,MATCH($D$55,input_xe_tham_chieu!$A$2:$A$6,0))&gt;0,INDEX(boss_input_vu_khi!$E$2:$E$94,MATCH($C$55,boss_input_vu_khi!$A$2:$A$94,0))&gt;0),INDEX(boss_input_vu_khi!$E$2:$E$94,MATCH($C$55,boss_input_vu_khi!$A$2:$A$94,0))/INDEX(input_xe_tham_chieu!$G$2:$G$6,MATCH($D$55,input_xe_tham_chieu!$A$2:$A$6,0)),"")</f>
        <v/>
      </c>
      <c r="R55">
        <f>IF(ISNUMBER($Q$55),IF($P$55&gt;=$Q$55,"DU","THIEU"),"")</f>
        <v/>
      </c>
      <c r="S55" t="inlineStr">
        <is>
          <t>Assets/MachineBrigade/Resources/Data/balance.json: vehicles[id=daedalus].weapon x 01_chien_dau/Xe_tham_chieu[ifv]</t>
        </is>
      </c>
      <c r="T55" t="inlineStr"/>
    </row>
    <row r="56">
      <c r="A56" t="inlineStr">
        <is>
          <t>daedalus/main_battle_tank</t>
        </is>
      </c>
      <c r="B56" t="inlineStr">
        <is>
          <t>daedalus</t>
        </is>
      </c>
      <c r="C56" t="inlineStr">
        <is>
          <t>p26_daedalus_direct_dae_laser</t>
        </is>
      </c>
      <c r="D56" t="inlineStr">
        <is>
          <t>main_battle_tank</t>
        </is>
      </c>
      <c r="E56">
        <f>IF(INDEX(boss_input_vu_khi_suy_ra!$D$2:$D$94,MATCH($C$56,boss_input_vu_khi_suy_ra!$A$2:$A$94,0)),INDEX(input_xe_tham_chieu!$E$2:$E$6,MATCH($D$56,input_xe_tham_chieu!$A$2:$A$6,0)),INDEX(input_xe_tham_chieu!$D$2:$D$6,MATCH($D$56,input_xe_tham_chieu!$A$2:$A$6,0)))</f>
        <v/>
      </c>
      <c r="F56">
        <f>IF(INDEX(boss_input_vu_khi_suy_ra!$E$2:$E$94,MATCH($C$56,boss_input_vu_khi_suy_ra!$A$2:$A$94,0)),INDEX(boss_input_bang_xuyen_giap!$B$2:$B$7,MIN(6,MAX(1,IF(INDEX(boss_input_vu_khi_suy_ra!$D$2:$D$94,MATCH($C$56,boss_input_vu_khi_suy_ra!$A$2:$A$94,0)),MAX(1,2-(INDEX(boss_input_vu_khi!$C$2:$C$94,MATCH($C$56,boss_input_vu_khi!$A$2:$A$94,0))-$E$56)),2-(INDEX(boss_input_vu_khi!$C$2:$C$94,MATCH($C$56,boss_input_vu_khi!$A$2:$A$94,0))-$E$56))+1)))*IF(INDEX(input_xe_tham_chieu!$F$2:$F$6,MATCH($D$56,input_xe_tham_chieu!$A$2:$A$6,0)),INDEX(boss_input_vu_khi_suy_ra!$G$2:$G$94,MATCH($C$56,boss_input_vu_khi_suy_ra!$A$2:$A$94,0)),INDEX(boss_input_vu_khi_suy_ra!$F$2:$F$94,MATCH($C$56,boss_input_vu_khi_suy_ra!$A$2:$A$94,0))),0)</f>
        <v/>
      </c>
      <c r="G56" t="n">
        <v>0.85</v>
      </c>
      <c r="H56">
        <f>INDEX(boss_input_vu_khi!$B$2:$B$94,MATCH($C$56,boss_input_vu_khi!$A$2:$A$94,0))*INDEX(Boss_dps!$D$2:$D$34,MATCH($B$56,Boss_dps!$A$2:$A$34,0))*IF(INDEX(boss_input_vu_khi!$D$2:$D$94,MATCH($C$56,boss_input_vu_khi!$A$2:$A$94,0)),1,INDEX(Boss_dps!$B$2:$B$34,MATCH($B$56,Boss_dps!$A$2:$A$34,0)))*INDEX(Boss_dps!$C$2:$C$34,MATCH($B$56,Boss_dps!$A$2:$A$34,0))*$F$56</f>
        <v/>
      </c>
      <c r="I56" t="n">
        <v>19.635</v>
      </c>
      <c r="J56">
        <f>IF($H$56&gt;0,CEILING(INDEX(input_xe_tham_chieu!$C$2:$C$6,MATCH($D$56,input_xe_tham_chieu!$A$2:$A$6,0))/$H$56,1),"")</f>
        <v/>
      </c>
      <c r="K56">
        <f>IF(Boss_vu_khi!$S$49*$F$56&gt;0,INDEX(input_xe_tham_chieu!$C$2:$C$6,MATCH($D$56,input_xe_tham_chieu!$A$2:$A$6,0))/(Boss_vu_khi!$S$49*INDEX(Boss_dps!$D$2:$D$34,MATCH($B$56,Boss_dps!$A$2:$A$34,0))*$F$56),"")</f>
        <v/>
      </c>
      <c r="L56">
        <f>1+2*MIN(2,FLOOR(INDEX(boss_input_vu_khi!$E$2:$E$94,MATCH($C$56,boss_input_vu_khi!$A$2:$A$94,0))/8,1))</f>
        <v/>
      </c>
      <c r="M56">
        <f>1+2*MIN(2,FLOOR(MAX(INDEX(boss_input_vu_khi!$E$2:$E$94,MATCH($C$56,boss_input_vu_khi!$A$2:$A$94,0)),Boss_vu_khi!$L$49)/8,1))</f>
        <v/>
      </c>
      <c r="N56">
        <f>IF(INDEX(boss_input_vu_khi!$E$2:$E$94,MATCH($C$56,boss_input_vu_khi!$A$2:$A$94,0))&gt;=8,5,1)</f>
        <v/>
      </c>
      <c r="O56">
        <f>IF(MAX(INDEX(boss_input_vu_khi!$E$2:$E$94,MATCH($C$56,boss_input_vu_khi!$A$2:$A$94,0)),Boss_vu_khi!$L$49)&gt;=8,5,1)</f>
        <v/>
      </c>
      <c r="P56">
        <f>INDEX(boss_input_vu_khi_suy_ra!$H$2:$H$94,MATCH($C$56,boss_input_vu_khi_suy_ra!$A$2:$A$94,0))</f>
        <v/>
      </c>
      <c r="Q56">
        <f>IF(AND(INDEX(input_xe_tham_chieu!$G$2:$G$6,MATCH($D$56,input_xe_tham_chieu!$A$2:$A$6,0))&gt;0,INDEX(boss_input_vu_khi!$E$2:$E$94,MATCH($C$56,boss_input_vu_khi!$A$2:$A$94,0))&gt;0),INDEX(boss_input_vu_khi!$E$2:$E$94,MATCH($C$56,boss_input_vu_khi!$A$2:$A$94,0))/INDEX(input_xe_tham_chieu!$G$2:$G$6,MATCH($D$56,input_xe_tham_chieu!$A$2:$A$6,0)),"")</f>
        <v/>
      </c>
      <c r="R56">
        <f>IF(ISNUMBER($Q$56),IF($P$56&gt;=$Q$56,"DU","THIEU"),"")</f>
        <v/>
      </c>
      <c r="S56" t="inlineStr">
        <is>
          <t>Assets/MachineBrigade/Resources/Data/balance.json: vehicles[id=daedalus].weapon x 01_chien_dau/Xe_tham_chieu[main_battle_tank]</t>
        </is>
      </c>
      <c r="T56" t="inlineStr"/>
    </row>
    <row r="57">
      <c r="A57" t="inlineStr">
        <is>
          <t>drone_mothership/armored_car</t>
        </is>
      </c>
      <c r="B57" t="inlineStr">
        <is>
          <t>drone_mothership</t>
        </is>
      </c>
      <c r="C57" t="inlineStr">
        <is>
          <t>p26_matriarch_tiny_mothership_cannon</t>
        </is>
      </c>
      <c r="D57" t="inlineStr">
        <is>
          <t>armored_car</t>
        </is>
      </c>
      <c r="E57">
        <f>IF(INDEX(boss_input_vu_khi_suy_ra!$D$2:$D$94,MATCH($C$57,boss_input_vu_khi_suy_ra!$A$2:$A$94,0)),INDEX(input_xe_tham_chieu!$E$2:$E$6,MATCH($D$57,input_xe_tham_chieu!$A$2:$A$6,0)),INDEX(input_xe_tham_chieu!$D$2:$D$6,MATCH($D$57,input_xe_tham_chieu!$A$2:$A$6,0)))</f>
        <v/>
      </c>
      <c r="F57">
        <f>IF(INDEX(boss_input_vu_khi_suy_ra!$E$2:$E$94,MATCH($C$57,boss_input_vu_khi_suy_ra!$A$2:$A$94,0)),INDEX(boss_input_bang_xuyen_giap!$B$2:$B$7,MIN(6,MAX(1,IF(INDEX(boss_input_vu_khi_suy_ra!$D$2:$D$94,MATCH($C$57,boss_input_vu_khi_suy_ra!$A$2:$A$94,0)),MAX(1,2-(INDEX(boss_input_vu_khi!$C$2:$C$94,MATCH($C$57,boss_input_vu_khi!$A$2:$A$94,0))-$E$57)),2-(INDEX(boss_input_vu_khi!$C$2:$C$94,MATCH($C$57,boss_input_vu_khi!$A$2:$A$94,0))-$E$57))+1)))*IF(INDEX(input_xe_tham_chieu!$F$2:$F$6,MATCH($D$57,input_xe_tham_chieu!$A$2:$A$6,0)),INDEX(boss_input_vu_khi_suy_ra!$G$2:$G$94,MATCH($C$57,boss_input_vu_khi_suy_ra!$A$2:$A$94,0)),INDEX(boss_input_vu_khi_suy_ra!$F$2:$F$94,MATCH($C$57,boss_input_vu_khi_suy_ra!$A$2:$A$94,0))),0)</f>
        <v/>
      </c>
      <c r="G57" t="n">
        <v>1</v>
      </c>
      <c r="H57">
        <f>INDEX(boss_input_vu_khi!$B$2:$B$94,MATCH($C$57,boss_input_vu_khi!$A$2:$A$94,0))*INDEX(Boss_dps!$D$2:$D$34,MATCH($B$57,Boss_dps!$A$2:$A$34,0))*IF(INDEX(boss_input_vu_khi!$D$2:$D$94,MATCH($C$57,boss_input_vu_khi!$A$2:$A$94,0)),1,INDEX(Boss_dps!$B$2:$B$34,MATCH($B$57,Boss_dps!$A$2:$A$34,0)))*INDEX(Boss_dps!$C$2:$C$34,MATCH($B$57,Boss_dps!$A$2:$A$34,0))*$F$57</f>
        <v/>
      </c>
      <c r="I57" t="n">
        <v>168</v>
      </c>
      <c r="J57">
        <f>IF($H$57&gt;0,CEILING(INDEX(input_xe_tham_chieu!$C$2:$C$6,MATCH($D$57,input_xe_tham_chieu!$A$2:$A$6,0))/$H$57,1),"")</f>
        <v/>
      </c>
      <c r="K57">
        <f>IF(Boss_vu_khi!$S$55*$F$57&gt;0,INDEX(input_xe_tham_chieu!$C$2:$C$6,MATCH($D$57,input_xe_tham_chieu!$A$2:$A$6,0))/(Boss_vu_khi!$S$55*INDEX(Boss_dps!$D$2:$D$34,MATCH($B$57,Boss_dps!$A$2:$A$34,0))*$F$57),"")</f>
        <v/>
      </c>
      <c r="L57">
        <f>1+2*MIN(2,FLOOR(INDEX(boss_input_vu_khi!$E$2:$E$94,MATCH($C$57,boss_input_vu_khi!$A$2:$A$94,0))/8,1))</f>
        <v/>
      </c>
      <c r="M57">
        <f>1+2*MIN(2,FLOOR(MAX(INDEX(boss_input_vu_khi!$E$2:$E$94,MATCH($C$57,boss_input_vu_khi!$A$2:$A$94,0)),Boss_vu_khi!$L$55)/8,1))</f>
        <v/>
      </c>
      <c r="N57">
        <f>IF(INDEX(boss_input_vu_khi!$E$2:$E$94,MATCH($C$57,boss_input_vu_khi!$A$2:$A$94,0))&gt;=8,5,1)</f>
        <v/>
      </c>
      <c r="O57">
        <f>IF(MAX(INDEX(boss_input_vu_khi!$E$2:$E$94,MATCH($C$57,boss_input_vu_khi!$A$2:$A$94,0)),Boss_vu_khi!$L$55)&gt;=8,5,1)</f>
        <v/>
      </c>
      <c r="P57">
        <f>INDEX(boss_input_vu_khi_suy_ra!$H$2:$H$94,MATCH($C$57,boss_input_vu_khi_suy_ra!$A$2:$A$94,0))</f>
        <v/>
      </c>
      <c r="Q57">
        <f>IF(AND(INDEX(input_xe_tham_chieu!$G$2:$G$6,MATCH($D$57,input_xe_tham_chieu!$A$2:$A$6,0))&gt;0,INDEX(boss_input_vu_khi!$E$2:$E$94,MATCH($C$57,boss_input_vu_khi!$A$2:$A$94,0))&gt;0),INDEX(boss_input_vu_khi!$E$2:$E$94,MATCH($C$57,boss_input_vu_khi!$A$2:$A$94,0))/INDEX(input_xe_tham_chieu!$G$2:$G$6,MATCH($D$57,input_xe_tham_chieu!$A$2:$A$6,0)),"")</f>
        <v/>
      </c>
      <c r="R57">
        <f>IF(ISNUMBER($Q$57),IF($P$57&gt;=$Q$57,"DU","THIEU"),"")</f>
        <v/>
      </c>
      <c r="S57" t="inlineStr">
        <is>
          <t>Assets/MachineBrigade/Resources/Data/balance.json: vehicles[id=drone_mothership].weapon x 01_chien_dau/Xe_tham_chieu[armored_car]</t>
        </is>
      </c>
      <c r="T57" t="inlineStr"/>
    </row>
    <row r="58">
      <c r="A58" t="inlineStr">
        <is>
          <t>drone_mothership/gun_turret</t>
        </is>
      </c>
      <c r="B58" t="inlineStr">
        <is>
          <t>drone_mothership</t>
        </is>
      </c>
      <c r="C58" t="inlineStr">
        <is>
          <t>p26_matriarch_tiny_mothership_cannon</t>
        </is>
      </c>
      <c r="D58" t="inlineStr">
        <is>
          <t>gun_turret</t>
        </is>
      </c>
      <c r="E58">
        <f>IF(INDEX(boss_input_vu_khi_suy_ra!$D$2:$D$94,MATCH($C$58,boss_input_vu_khi_suy_ra!$A$2:$A$94,0)),INDEX(input_xe_tham_chieu!$E$2:$E$6,MATCH($D$58,input_xe_tham_chieu!$A$2:$A$6,0)),INDEX(input_xe_tham_chieu!$D$2:$D$6,MATCH($D$58,input_xe_tham_chieu!$A$2:$A$6,0)))</f>
        <v/>
      </c>
      <c r="F58">
        <f>IF(INDEX(boss_input_vu_khi_suy_ra!$E$2:$E$94,MATCH($C$58,boss_input_vu_khi_suy_ra!$A$2:$A$94,0)),INDEX(boss_input_bang_xuyen_giap!$B$2:$B$7,MIN(6,MAX(1,IF(INDEX(boss_input_vu_khi_suy_ra!$D$2:$D$94,MATCH($C$58,boss_input_vu_khi_suy_ra!$A$2:$A$94,0)),MAX(1,2-(INDEX(boss_input_vu_khi!$C$2:$C$94,MATCH($C$58,boss_input_vu_khi!$A$2:$A$94,0))-$E$58)),2-(INDEX(boss_input_vu_khi!$C$2:$C$94,MATCH($C$58,boss_input_vu_khi!$A$2:$A$94,0))-$E$58))+1)))*IF(INDEX(input_xe_tham_chieu!$F$2:$F$6,MATCH($D$58,input_xe_tham_chieu!$A$2:$A$6,0)),INDEX(boss_input_vu_khi_suy_ra!$G$2:$G$94,MATCH($C$58,boss_input_vu_khi_suy_ra!$A$2:$A$94,0)),INDEX(boss_input_vu_khi_suy_ra!$F$2:$F$94,MATCH($C$58,boss_input_vu_khi_suy_ra!$A$2:$A$94,0))),0)</f>
        <v/>
      </c>
      <c r="G58" t="n">
        <v>0.75</v>
      </c>
      <c r="H58">
        <f>INDEX(boss_input_vu_khi!$B$2:$B$94,MATCH($C$58,boss_input_vu_khi!$A$2:$A$94,0))*INDEX(Boss_dps!$D$2:$D$34,MATCH($B$58,Boss_dps!$A$2:$A$34,0))*IF(INDEX(boss_input_vu_khi!$D$2:$D$94,MATCH($C$58,boss_input_vu_khi!$A$2:$A$94,0)),1,INDEX(Boss_dps!$B$2:$B$34,MATCH($B$58,Boss_dps!$A$2:$A$34,0)))*INDEX(Boss_dps!$C$2:$C$34,MATCH($B$58,Boss_dps!$A$2:$A$34,0))*$F$58</f>
        <v/>
      </c>
      <c r="I58" t="n">
        <v>126</v>
      </c>
      <c r="J58">
        <f>IF($H$58&gt;0,CEILING(INDEX(input_xe_tham_chieu!$C$2:$C$6,MATCH($D$58,input_xe_tham_chieu!$A$2:$A$6,0))/$H$58,1),"")</f>
        <v/>
      </c>
      <c r="K58">
        <f>IF(Boss_vu_khi!$S$55*$F$58&gt;0,INDEX(input_xe_tham_chieu!$C$2:$C$6,MATCH($D$58,input_xe_tham_chieu!$A$2:$A$6,0))/(Boss_vu_khi!$S$55*INDEX(Boss_dps!$D$2:$D$34,MATCH($B$58,Boss_dps!$A$2:$A$34,0))*$F$58),"")</f>
        <v/>
      </c>
      <c r="L58">
        <f>1+2*MIN(2,FLOOR(INDEX(boss_input_vu_khi!$E$2:$E$94,MATCH($C$58,boss_input_vu_khi!$A$2:$A$94,0))/8,1))</f>
        <v/>
      </c>
      <c r="M58">
        <f>1+2*MIN(2,FLOOR(MAX(INDEX(boss_input_vu_khi!$E$2:$E$94,MATCH($C$58,boss_input_vu_khi!$A$2:$A$94,0)),Boss_vu_khi!$L$55)/8,1))</f>
        <v/>
      </c>
      <c r="N58">
        <f>IF(INDEX(boss_input_vu_khi!$E$2:$E$94,MATCH($C$58,boss_input_vu_khi!$A$2:$A$94,0))&gt;=8,5,1)</f>
        <v/>
      </c>
      <c r="O58">
        <f>IF(MAX(INDEX(boss_input_vu_khi!$E$2:$E$94,MATCH($C$58,boss_input_vu_khi!$A$2:$A$94,0)),Boss_vu_khi!$L$55)&gt;=8,5,1)</f>
        <v/>
      </c>
      <c r="P58">
        <f>INDEX(boss_input_vu_khi_suy_ra!$H$2:$H$94,MATCH($C$58,boss_input_vu_khi_suy_ra!$A$2:$A$94,0))</f>
        <v/>
      </c>
      <c r="Q58">
        <f>IF(AND(INDEX(input_xe_tham_chieu!$G$2:$G$6,MATCH($D$58,input_xe_tham_chieu!$A$2:$A$6,0))&gt;0,INDEX(boss_input_vu_khi!$E$2:$E$94,MATCH($C$58,boss_input_vu_khi!$A$2:$A$94,0))&gt;0),INDEX(boss_input_vu_khi!$E$2:$E$94,MATCH($C$58,boss_input_vu_khi!$A$2:$A$94,0))/INDEX(input_xe_tham_chieu!$G$2:$G$6,MATCH($D$58,input_xe_tham_chieu!$A$2:$A$6,0)),"")</f>
        <v/>
      </c>
      <c r="R58">
        <f>IF(ISNUMBER($Q$58),IF($P$58&gt;=$Q$58,"DU","THIEU"),"")</f>
        <v/>
      </c>
      <c r="S58" t="inlineStr">
        <is>
          <t>Assets/MachineBrigade/Resources/Data/balance.json: vehicles[id=drone_mothership].weapon x 01_chien_dau/Xe_tham_chieu[gun_turret]</t>
        </is>
      </c>
      <c r="T58" t="inlineStr"/>
    </row>
    <row r="59">
      <c r="A59" t="inlineStr">
        <is>
          <t>drone_mothership/heavy_tank</t>
        </is>
      </c>
      <c r="B59" t="inlineStr">
        <is>
          <t>drone_mothership</t>
        </is>
      </c>
      <c r="C59" t="inlineStr">
        <is>
          <t>p26_matriarch_tiny_mothership_cannon</t>
        </is>
      </c>
      <c r="D59" t="inlineStr">
        <is>
          <t>heavy_tank</t>
        </is>
      </c>
      <c r="E59">
        <f>IF(INDEX(boss_input_vu_khi_suy_ra!$D$2:$D$94,MATCH($C$59,boss_input_vu_khi_suy_ra!$A$2:$A$94,0)),INDEX(input_xe_tham_chieu!$E$2:$E$6,MATCH($D$59,input_xe_tham_chieu!$A$2:$A$6,0)),INDEX(input_xe_tham_chieu!$D$2:$D$6,MATCH($D$59,input_xe_tham_chieu!$A$2:$A$6,0)))</f>
        <v/>
      </c>
      <c r="F59">
        <f>IF(INDEX(boss_input_vu_khi_suy_ra!$E$2:$E$94,MATCH($C$59,boss_input_vu_khi_suy_ra!$A$2:$A$94,0)),INDEX(boss_input_bang_xuyen_giap!$B$2:$B$7,MIN(6,MAX(1,IF(INDEX(boss_input_vu_khi_suy_ra!$D$2:$D$94,MATCH($C$59,boss_input_vu_khi_suy_ra!$A$2:$A$94,0)),MAX(1,2-(INDEX(boss_input_vu_khi!$C$2:$C$94,MATCH($C$59,boss_input_vu_khi!$A$2:$A$94,0))-$E$59)),2-(INDEX(boss_input_vu_khi!$C$2:$C$94,MATCH($C$59,boss_input_vu_khi!$A$2:$A$94,0))-$E$59))+1)))*IF(INDEX(input_xe_tham_chieu!$F$2:$F$6,MATCH($D$59,input_xe_tham_chieu!$A$2:$A$6,0)),INDEX(boss_input_vu_khi_suy_ra!$G$2:$G$94,MATCH($C$59,boss_input_vu_khi_suy_ra!$A$2:$A$94,0)),INDEX(boss_input_vu_khi_suy_ra!$F$2:$F$94,MATCH($C$59,boss_input_vu_khi_suy_ra!$A$2:$A$94,0))),0)</f>
        <v/>
      </c>
      <c r="G59" t="n">
        <v>0.25</v>
      </c>
      <c r="H59">
        <f>INDEX(boss_input_vu_khi!$B$2:$B$94,MATCH($C$59,boss_input_vu_khi!$A$2:$A$94,0))*INDEX(Boss_dps!$D$2:$D$34,MATCH($B$59,Boss_dps!$A$2:$A$34,0))*IF(INDEX(boss_input_vu_khi!$D$2:$D$94,MATCH($C$59,boss_input_vu_khi!$A$2:$A$94,0)),1,INDEX(Boss_dps!$B$2:$B$34,MATCH($B$59,Boss_dps!$A$2:$A$34,0)))*INDEX(Boss_dps!$C$2:$C$34,MATCH($B$59,Boss_dps!$A$2:$A$34,0))*$F$59</f>
        <v/>
      </c>
      <c r="I59" t="n">
        <v>42</v>
      </c>
      <c r="J59">
        <f>IF($H$59&gt;0,CEILING(INDEX(input_xe_tham_chieu!$C$2:$C$6,MATCH($D$59,input_xe_tham_chieu!$A$2:$A$6,0))/$H$59,1),"")</f>
        <v/>
      </c>
      <c r="K59">
        <f>IF(Boss_vu_khi!$S$55*$F$59&gt;0,INDEX(input_xe_tham_chieu!$C$2:$C$6,MATCH($D$59,input_xe_tham_chieu!$A$2:$A$6,0))/(Boss_vu_khi!$S$55*INDEX(Boss_dps!$D$2:$D$34,MATCH($B$59,Boss_dps!$A$2:$A$34,0))*$F$59),"")</f>
        <v/>
      </c>
      <c r="L59">
        <f>1+2*MIN(2,FLOOR(INDEX(boss_input_vu_khi!$E$2:$E$94,MATCH($C$59,boss_input_vu_khi!$A$2:$A$94,0))/8,1))</f>
        <v/>
      </c>
      <c r="M59">
        <f>1+2*MIN(2,FLOOR(MAX(INDEX(boss_input_vu_khi!$E$2:$E$94,MATCH($C$59,boss_input_vu_khi!$A$2:$A$94,0)),Boss_vu_khi!$L$55)/8,1))</f>
        <v/>
      </c>
      <c r="N59">
        <f>IF(INDEX(boss_input_vu_khi!$E$2:$E$94,MATCH($C$59,boss_input_vu_khi!$A$2:$A$94,0))&gt;=8,5,1)</f>
        <v/>
      </c>
      <c r="O59">
        <f>IF(MAX(INDEX(boss_input_vu_khi!$E$2:$E$94,MATCH($C$59,boss_input_vu_khi!$A$2:$A$94,0)),Boss_vu_khi!$L$55)&gt;=8,5,1)</f>
        <v/>
      </c>
      <c r="P59">
        <f>INDEX(boss_input_vu_khi_suy_ra!$H$2:$H$94,MATCH($C$59,boss_input_vu_khi_suy_ra!$A$2:$A$94,0))</f>
        <v/>
      </c>
      <c r="Q59">
        <f>IF(AND(INDEX(input_xe_tham_chieu!$G$2:$G$6,MATCH($D$59,input_xe_tham_chieu!$A$2:$A$6,0))&gt;0,INDEX(boss_input_vu_khi!$E$2:$E$94,MATCH($C$59,boss_input_vu_khi!$A$2:$A$94,0))&gt;0),INDEX(boss_input_vu_khi!$E$2:$E$94,MATCH($C$59,boss_input_vu_khi!$A$2:$A$94,0))/INDEX(input_xe_tham_chieu!$G$2:$G$6,MATCH($D$59,input_xe_tham_chieu!$A$2:$A$6,0)),"")</f>
        <v/>
      </c>
      <c r="R59">
        <f>IF(ISNUMBER($Q$59),IF($P$59&gt;=$Q$59,"DU","THIEU"),"")</f>
        <v/>
      </c>
      <c r="S59" t="inlineStr">
        <is>
          <t>Assets/MachineBrigade/Resources/Data/balance.json: vehicles[id=drone_mothership].weapon x 01_chien_dau/Xe_tham_chieu[heavy_tank]</t>
        </is>
      </c>
      <c r="T59" t="inlineStr"/>
    </row>
    <row r="60">
      <c r="A60" t="inlineStr">
        <is>
          <t>drone_mothership/ifv</t>
        </is>
      </c>
      <c r="B60" t="inlineStr">
        <is>
          <t>drone_mothership</t>
        </is>
      </c>
      <c r="C60" t="inlineStr">
        <is>
          <t>p26_matriarch_tiny_mothership_cannon</t>
        </is>
      </c>
      <c r="D60" t="inlineStr">
        <is>
          <t>ifv</t>
        </is>
      </c>
      <c r="E60">
        <f>IF(INDEX(boss_input_vu_khi_suy_ra!$D$2:$D$94,MATCH($C$60,boss_input_vu_khi_suy_ra!$A$2:$A$94,0)),INDEX(input_xe_tham_chieu!$E$2:$E$6,MATCH($D$60,input_xe_tham_chieu!$A$2:$A$6,0)),INDEX(input_xe_tham_chieu!$D$2:$D$6,MATCH($D$60,input_xe_tham_chieu!$A$2:$A$6,0)))</f>
        <v/>
      </c>
      <c r="F60">
        <f>IF(INDEX(boss_input_vu_khi_suy_ra!$E$2:$E$94,MATCH($C$60,boss_input_vu_khi_suy_ra!$A$2:$A$94,0)),INDEX(boss_input_bang_xuyen_giap!$B$2:$B$7,MIN(6,MAX(1,IF(INDEX(boss_input_vu_khi_suy_ra!$D$2:$D$94,MATCH($C$60,boss_input_vu_khi_suy_ra!$A$2:$A$94,0)),MAX(1,2-(INDEX(boss_input_vu_khi!$C$2:$C$94,MATCH($C$60,boss_input_vu_khi!$A$2:$A$94,0))-$E$60)),2-(INDEX(boss_input_vu_khi!$C$2:$C$94,MATCH($C$60,boss_input_vu_khi!$A$2:$A$94,0))-$E$60))+1)))*IF(INDEX(input_xe_tham_chieu!$F$2:$F$6,MATCH($D$60,input_xe_tham_chieu!$A$2:$A$6,0)),INDEX(boss_input_vu_khi_suy_ra!$G$2:$G$94,MATCH($C$60,boss_input_vu_khi_suy_ra!$A$2:$A$94,0)),INDEX(boss_input_vu_khi_suy_ra!$F$2:$F$94,MATCH($C$60,boss_input_vu_khi_suy_ra!$A$2:$A$94,0))),0)</f>
        <v/>
      </c>
      <c r="G60" t="n">
        <v>0.85</v>
      </c>
      <c r="H60">
        <f>INDEX(boss_input_vu_khi!$B$2:$B$94,MATCH($C$60,boss_input_vu_khi!$A$2:$A$94,0))*INDEX(Boss_dps!$D$2:$D$34,MATCH($B$60,Boss_dps!$A$2:$A$34,0))*IF(INDEX(boss_input_vu_khi!$D$2:$D$94,MATCH($C$60,boss_input_vu_khi!$A$2:$A$94,0)),1,INDEX(Boss_dps!$B$2:$B$34,MATCH($B$60,Boss_dps!$A$2:$A$34,0)))*INDEX(Boss_dps!$C$2:$C$34,MATCH($B$60,Boss_dps!$A$2:$A$34,0))*$F$60</f>
        <v/>
      </c>
      <c r="I60" t="n">
        <v>142.8</v>
      </c>
      <c r="J60">
        <f>IF($H$60&gt;0,CEILING(INDEX(input_xe_tham_chieu!$C$2:$C$6,MATCH($D$60,input_xe_tham_chieu!$A$2:$A$6,0))/$H$60,1),"")</f>
        <v/>
      </c>
      <c r="K60">
        <f>IF(Boss_vu_khi!$S$55*$F$60&gt;0,INDEX(input_xe_tham_chieu!$C$2:$C$6,MATCH($D$60,input_xe_tham_chieu!$A$2:$A$6,0))/(Boss_vu_khi!$S$55*INDEX(Boss_dps!$D$2:$D$34,MATCH($B$60,Boss_dps!$A$2:$A$34,0))*$F$60),"")</f>
        <v/>
      </c>
      <c r="L60">
        <f>1+2*MIN(2,FLOOR(INDEX(boss_input_vu_khi!$E$2:$E$94,MATCH($C$60,boss_input_vu_khi!$A$2:$A$94,0))/8,1))</f>
        <v/>
      </c>
      <c r="M60">
        <f>1+2*MIN(2,FLOOR(MAX(INDEX(boss_input_vu_khi!$E$2:$E$94,MATCH($C$60,boss_input_vu_khi!$A$2:$A$94,0)),Boss_vu_khi!$L$55)/8,1))</f>
        <v/>
      </c>
      <c r="N60">
        <f>IF(INDEX(boss_input_vu_khi!$E$2:$E$94,MATCH($C$60,boss_input_vu_khi!$A$2:$A$94,0))&gt;=8,5,1)</f>
        <v/>
      </c>
      <c r="O60">
        <f>IF(MAX(INDEX(boss_input_vu_khi!$E$2:$E$94,MATCH($C$60,boss_input_vu_khi!$A$2:$A$94,0)),Boss_vu_khi!$L$55)&gt;=8,5,1)</f>
        <v/>
      </c>
      <c r="P60">
        <f>INDEX(boss_input_vu_khi_suy_ra!$H$2:$H$94,MATCH($C$60,boss_input_vu_khi_suy_ra!$A$2:$A$94,0))</f>
        <v/>
      </c>
      <c r="Q60">
        <f>IF(AND(INDEX(input_xe_tham_chieu!$G$2:$G$6,MATCH($D$60,input_xe_tham_chieu!$A$2:$A$6,0))&gt;0,INDEX(boss_input_vu_khi!$E$2:$E$94,MATCH($C$60,boss_input_vu_khi!$A$2:$A$94,0))&gt;0),INDEX(boss_input_vu_khi!$E$2:$E$94,MATCH($C$60,boss_input_vu_khi!$A$2:$A$94,0))/INDEX(input_xe_tham_chieu!$G$2:$G$6,MATCH($D$60,input_xe_tham_chieu!$A$2:$A$6,0)),"")</f>
        <v/>
      </c>
      <c r="R60">
        <f>IF(ISNUMBER($Q$60),IF($P$60&gt;=$Q$60,"DU","THIEU"),"")</f>
        <v/>
      </c>
      <c r="S60" t="inlineStr">
        <is>
          <t>Assets/MachineBrigade/Resources/Data/balance.json: vehicles[id=drone_mothership].weapon x 01_chien_dau/Xe_tham_chieu[ifv]</t>
        </is>
      </c>
      <c r="T60" t="inlineStr"/>
    </row>
    <row r="61">
      <c r="A61" t="inlineStr">
        <is>
          <t>drone_mothership/main_battle_tank</t>
        </is>
      </c>
      <c r="B61" t="inlineStr">
        <is>
          <t>drone_mothership</t>
        </is>
      </c>
      <c r="C61" t="inlineStr">
        <is>
          <t>p26_matriarch_tiny_mothership_cannon</t>
        </is>
      </c>
      <c r="D61" t="inlineStr">
        <is>
          <t>main_battle_tank</t>
        </is>
      </c>
      <c r="E61">
        <f>IF(INDEX(boss_input_vu_khi_suy_ra!$D$2:$D$94,MATCH($C$61,boss_input_vu_khi_suy_ra!$A$2:$A$94,0)),INDEX(input_xe_tham_chieu!$E$2:$E$6,MATCH($D$61,input_xe_tham_chieu!$A$2:$A$6,0)),INDEX(input_xe_tham_chieu!$D$2:$D$6,MATCH($D$61,input_xe_tham_chieu!$A$2:$A$6,0)))</f>
        <v/>
      </c>
      <c r="F61">
        <f>IF(INDEX(boss_input_vu_khi_suy_ra!$E$2:$E$94,MATCH($C$61,boss_input_vu_khi_suy_ra!$A$2:$A$94,0)),INDEX(boss_input_bang_xuyen_giap!$B$2:$B$7,MIN(6,MAX(1,IF(INDEX(boss_input_vu_khi_suy_ra!$D$2:$D$94,MATCH($C$61,boss_input_vu_khi_suy_ra!$A$2:$A$94,0)),MAX(1,2-(INDEX(boss_input_vu_khi!$C$2:$C$94,MATCH($C$61,boss_input_vu_khi!$A$2:$A$94,0))-$E$61)),2-(INDEX(boss_input_vu_khi!$C$2:$C$94,MATCH($C$61,boss_input_vu_khi!$A$2:$A$94,0))-$E$61))+1)))*IF(INDEX(input_xe_tham_chieu!$F$2:$F$6,MATCH($D$61,input_xe_tham_chieu!$A$2:$A$6,0)),INDEX(boss_input_vu_khi_suy_ra!$G$2:$G$94,MATCH($C$61,boss_input_vu_khi_suy_ra!$A$2:$A$94,0)),INDEX(boss_input_vu_khi_suy_ra!$F$2:$F$94,MATCH($C$61,boss_input_vu_khi_suy_ra!$A$2:$A$94,0))),0)</f>
        <v/>
      </c>
      <c r="G61" t="n">
        <v>0.25</v>
      </c>
      <c r="H61">
        <f>INDEX(boss_input_vu_khi!$B$2:$B$94,MATCH($C$61,boss_input_vu_khi!$A$2:$A$94,0))*INDEX(Boss_dps!$D$2:$D$34,MATCH($B$61,Boss_dps!$A$2:$A$34,0))*IF(INDEX(boss_input_vu_khi!$D$2:$D$94,MATCH($C$61,boss_input_vu_khi!$A$2:$A$94,0)),1,INDEX(Boss_dps!$B$2:$B$34,MATCH($B$61,Boss_dps!$A$2:$A$34,0)))*INDEX(Boss_dps!$C$2:$C$34,MATCH($B$61,Boss_dps!$A$2:$A$34,0))*$F$61</f>
        <v/>
      </c>
      <c r="I61" t="n">
        <v>42</v>
      </c>
      <c r="J61">
        <f>IF($H$61&gt;0,CEILING(INDEX(input_xe_tham_chieu!$C$2:$C$6,MATCH($D$61,input_xe_tham_chieu!$A$2:$A$6,0))/$H$61,1),"")</f>
        <v/>
      </c>
      <c r="K61">
        <f>IF(Boss_vu_khi!$S$55*$F$61&gt;0,INDEX(input_xe_tham_chieu!$C$2:$C$6,MATCH($D$61,input_xe_tham_chieu!$A$2:$A$6,0))/(Boss_vu_khi!$S$55*INDEX(Boss_dps!$D$2:$D$34,MATCH($B$61,Boss_dps!$A$2:$A$34,0))*$F$61),"")</f>
        <v/>
      </c>
      <c r="L61">
        <f>1+2*MIN(2,FLOOR(INDEX(boss_input_vu_khi!$E$2:$E$94,MATCH($C$61,boss_input_vu_khi!$A$2:$A$94,0))/8,1))</f>
        <v/>
      </c>
      <c r="M61">
        <f>1+2*MIN(2,FLOOR(MAX(INDEX(boss_input_vu_khi!$E$2:$E$94,MATCH($C$61,boss_input_vu_khi!$A$2:$A$94,0)),Boss_vu_khi!$L$55)/8,1))</f>
        <v/>
      </c>
      <c r="N61">
        <f>IF(INDEX(boss_input_vu_khi!$E$2:$E$94,MATCH($C$61,boss_input_vu_khi!$A$2:$A$94,0))&gt;=8,5,1)</f>
        <v/>
      </c>
      <c r="O61">
        <f>IF(MAX(INDEX(boss_input_vu_khi!$E$2:$E$94,MATCH($C$61,boss_input_vu_khi!$A$2:$A$94,0)),Boss_vu_khi!$L$55)&gt;=8,5,1)</f>
        <v/>
      </c>
      <c r="P61">
        <f>INDEX(boss_input_vu_khi_suy_ra!$H$2:$H$94,MATCH($C$61,boss_input_vu_khi_suy_ra!$A$2:$A$94,0))</f>
        <v/>
      </c>
      <c r="Q61">
        <f>IF(AND(INDEX(input_xe_tham_chieu!$G$2:$G$6,MATCH($D$61,input_xe_tham_chieu!$A$2:$A$6,0))&gt;0,INDEX(boss_input_vu_khi!$E$2:$E$94,MATCH($C$61,boss_input_vu_khi!$A$2:$A$94,0))&gt;0),INDEX(boss_input_vu_khi!$E$2:$E$94,MATCH($C$61,boss_input_vu_khi!$A$2:$A$94,0))/INDEX(input_xe_tham_chieu!$G$2:$G$6,MATCH($D$61,input_xe_tham_chieu!$A$2:$A$6,0)),"")</f>
        <v/>
      </c>
      <c r="R61">
        <f>IF(ISNUMBER($Q$61),IF($P$61&gt;=$Q$61,"DU","THIEU"),"")</f>
        <v/>
      </c>
      <c r="S61" t="inlineStr">
        <is>
          <t>Assets/MachineBrigade/Resources/Data/balance.json: vehicles[id=drone_mothership].weapon x 01_chien_dau/Xe_tham_chieu[main_battle_tank]</t>
        </is>
      </c>
      <c r="T61" t="inlineStr"/>
    </row>
    <row r="62">
      <c r="A62" t="inlineStr">
        <is>
          <t>earth_borer/armored_car</t>
        </is>
      </c>
      <c r="B62" t="inlineStr">
        <is>
          <t>earth_borer</t>
        </is>
      </c>
      <c r="C62" t="inlineStr">
        <is>
          <t>borer_drill</t>
        </is>
      </c>
      <c r="D62" t="inlineStr">
        <is>
          <t>armored_car</t>
        </is>
      </c>
      <c r="E62">
        <f>IF(INDEX(boss_input_vu_khi_suy_ra!$D$2:$D$94,MATCH($C$62,boss_input_vu_khi_suy_ra!$A$2:$A$94,0)),INDEX(input_xe_tham_chieu!$E$2:$E$6,MATCH($D$62,input_xe_tham_chieu!$A$2:$A$6,0)),INDEX(input_xe_tham_chieu!$D$2:$D$6,MATCH($D$62,input_xe_tham_chieu!$A$2:$A$6,0)))</f>
        <v/>
      </c>
      <c r="F62">
        <f>IF(INDEX(boss_input_vu_khi_suy_ra!$E$2:$E$94,MATCH($C$62,boss_input_vu_khi_suy_ra!$A$2:$A$94,0)),INDEX(boss_input_bang_xuyen_giap!$B$2:$B$7,MIN(6,MAX(1,IF(INDEX(boss_input_vu_khi_suy_ra!$D$2:$D$94,MATCH($C$62,boss_input_vu_khi_suy_ra!$A$2:$A$94,0)),MAX(1,2-(INDEX(boss_input_vu_khi!$C$2:$C$94,MATCH($C$62,boss_input_vu_khi!$A$2:$A$94,0))-$E$62)),2-(INDEX(boss_input_vu_khi!$C$2:$C$94,MATCH($C$62,boss_input_vu_khi!$A$2:$A$94,0))-$E$62))+1)))*IF(INDEX(input_xe_tham_chieu!$F$2:$F$6,MATCH($D$62,input_xe_tham_chieu!$A$2:$A$6,0)),INDEX(boss_input_vu_khi_suy_ra!$G$2:$G$94,MATCH($C$62,boss_input_vu_khi_suy_ra!$A$2:$A$94,0)),INDEX(boss_input_vu_khi_suy_ra!$F$2:$F$94,MATCH($C$62,boss_input_vu_khi_suy_ra!$A$2:$A$94,0))),0)</f>
        <v/>
      </c>
      <c r="G62" t="n">
        <v>1.2</v>
      </c>
      <c r="H62">
        <f>INDEX(boss_input_vu_khi!$B$2:$B$94,MATCH($C$62,boss_input_vu_khi!$A$2:$A$94,0))*INDEX(Boss_dps!$D$2:$D$34,MATCH($B$62,Boss_dps!$A$2:$A$34,0))*IF(INDEX(boss_input_vu_khi!$D$2:$D$94,MATCH($C$62,boss_input_vu_khi!$A$2:$A$94,0)),1,INDEX(Boss_dps!$B$2:$B$34,MATCH($B$62,Boss_dps!$A$2:$A$34,0)))*INDEX(Boss_dps!$C$2:$C$34,MATCH($B$62,Boss_dps!$A$2:$A$34,0))*$F$62</f>
        <v/>
      </c>
      <c r="I62" t="n">
        <v>1167.91818624</v>
      </c>
      <c r="J62">
        <f>IF($H$62&gt;0,CEILING(INDEX(input_xe_tham_chieu!$C$2:$C$6,MATCH($D$62,input_xe_tham_chieu!$A$2:$A$6,0))/$H$62,1),"")</f>
        <v/>
      </c>
      <c r="K62">
        <f>IF(Boss_vu_khi!$S$64*$F$62&gt;0,INDEX(input_xe_tham_chieu!$C$2:$C$6,MATCH($D$62,input_xe_tham_chieu!$A$2:$A$6,0))/(Boss_vu_khi!$S$64*INDEX(Boss_dps!$D$2:$D$34,MATCH($B$62,Boss_dps!$A$2:$A$34,0))*$F$62),"")</f>
        <v/>
      </c>
      <c r="L62">
        <f>1+2*MIN(2,FLOOR(INDEX(boss_input_vu_khi!$E$2:$E$94,MATCH($C$62,boss_input_vu_khi!$A$2:$A$94,0))/8,1))</f>
        <v/>
      </c>
      <c r="M62">
        <f>1+2*MIN(2,FLOOR(MAX(INDEX(boss_input_vu_khi!$E$2:$E$94,MATCH($C$62,boss_input_vu_khi!$A$2:$A$94,0)),Boss_vu_khi!$L$64)/8,1))</f>
        <v/>
      </c>
      <c r="N62">
        <f>IF(INDEX(boss_input_vu_khi!$E$2:$E$94,MATCH($C$62,boss_input_vu_khi!$A$2:$A$94,0))&gt;=8,5,1)</f>
        <v/>
      </c>
      <c r="O62">
        <f>IF(MAX(INDEX(boss_input_vu_khi!$E$2:$E$94,MATCH($C$62,boss_input_vu_khi!$A$2:$A$94,0)),Boss_vu_khi!$L$64)&gt;=8,5,1)</f>
        <v/>
      </c>
      <c r="P62">
        <f>INDEX(boss_input_vu_khi_suy_ra!$H$2:$H$94,MATCH($C$62,boss_input_vu_khi_suy_ra!$A$2:$A$94,0))</f>
        <v/>
      </c>
      <c r="Q62">
        <f>IF(AND(INDEX(input_xe_tham_chieu!$G$2:$G$6,MATCH($D$62,input_xe_tham_chieu!$A$2:$A$6,0))&gt;0,INDEX(boss_input_vu_khi!$E$2:$E$94,MATCH($C$62,boss_input_vu_khi!$A$2:$A$94,0))&gt;0),INDEX(boss_input_vu_khi!$E$2:$E$94,MATCH($C$62,boss_input_vu_khi!$A$2:$A$94,0))/INDEX(input_xe_tham_chieu!$G$2:$G$6,MATCH($D$62,input_xe_tham_chieu!$A$2:$A$6,0)),"")</f>
        <v/>
      </c>
      <c r="R62">
        <f>IF(ISNUMBER($Q$62),IF($P$62&gt;=$Q$62,"DU","THIEU"),"")</f>
        <v/>
      </c>
      <c r="S62" t="inlineStr">
        <is>
          <t>Assets/MachineBrigade/Resources/Data/balance.json: vehicles[id=earth_borer].weapon x 01_chien_dau/Xe_tham_chieu[armored_car]</t>
        </is>
      </c>
      <c r="T62" t="inlineStr"/>
    </row>
    <row r="63">
      <c r="A63" t="inlineStr">
        <is>
          <t>earth_borer/gun_turret</t>
        </is>
      </c>
      <c r="B63" t="inlineStr">
        <is>
          <t>earth_borer</t>
        </is>
      </c>
      <c r="C63" t="inlineStr">
        <is>
          <t>borer_drill</t>
        </is>
      </c>
      <c r="D63" t="inlineStr">
        <is>
          <t>gun_turret</t>
        </is>
      </c>
      <c r="E63">
        <f>IF(INDEX(boss_input_vu_khi_suy_ra!$D$2:$D$94,MATCH($C$63,boss_input_vu_khi_suy_ra!$A$2:$A$94,0)),INDEX(input_xe_tham_chieu!$E$2:$E$6,MATCH($D$63,input_xe_tham_chieu!$A$2:$A$6,0)),INDEX(input_xe_tham_chieu!$D$2:$D$6,MATCH($D$63,input_xe_tham_chieu!$A$2:$A$6,0)))</f>
        <v/>
      </c>
      <c r="F63">
        <f>IF(INDEX(boss_input_vu_khi_suy_ra!$E$2:$E$94,MATCH($C$63,boss_input_vu_khi_suy_ra!$A$2:$A$94,0)),INDEX(boss_input_bang_xuyen_giap!$B$2:$B$7,MIN(6,MAX(1,IF(INDEX(boss_input_vu_khi_suy_ra!$D$2:$D$94,MATCH($C$63,boss_input_vu_khi_suy_ra!$A$2:$A$94,0)),MAX(1,2-(INDEX(boss_input_vu_khi!$C$2:$C$94,MATCH($C$63,boss_input_vu_khi!$A$2:$A$94,0))-$E$63)),2-(INDEX(boss_input_vu_khi!$C$2:$C$94,MATCH($C$63,boss_input_vu_khi!$A$2:$A$94,0))-$E$63))+1)))*IF(INDEX(input_xe_tham_chieu!$F$2:$F$6,MATCH($D$63,input_xe_tham_chieu!$A$2:$A$6,0)),INDEX(boss_input_vu_khi_suy_ra!$G$2:$G$94,MATCH($C$63,boss_input_vu_khi_suy_ra!$A$2:$A$94,0)),INDEX(boss_input_vu_khi_suy_ra!$F$2:$F$94,MATCH($C$63,boss_input_vu_khi_suy_ra!$A$2:$A$94,0))),0)</f>
        <v/>
      </c>
      <c r="G63" t="n">
        <v>0.6</v>
      </c>
      <c r="H63">
        <f>INDEX(boss_input_vu_khi!$B$2:$B$94,MATCH($C$63,boss_input_vu_khi!$A$2:$A$94,0))*INDEX(Boss_dps!$D$2:$D$34,MATCH($B$63,Boss_dps!$A$2:$A$34,0))*IF(INDEX(boss_input_vu_khi!$D$2:$D$94,MATCH($C$63,boss_input_vu_khi!$A$2:$A$94,0)),1,INDEX(Boss_dps!$B$2:$B$34,MATCH($B$63,Boss_dps!$A$2:$A$34,0)))*INDEX(Boss_dps!$C$2:$C$34,MATCH($B$63,Boss_dps!$A$2:$A$34,0))*$F$63</f>
        <v/>
      </c>
      <c r="I63" t="n">
        <v>583.9590931199999</v>
      </c>
      <c r="J63">
        <f>IF($H$63&gt;0,CEILING(INDEX(input_xe_tham_chieu!$C$2:$C$6,MATCH($D$63,input_xe_tham_chieu!$A$2:$A$6,0))/$H$63,1),"")</f>
        <v/>
      </c>
      <c r="K63">
        <f>IF(Boss_vu_khi!$S$64*$F$63&gt;0,INDEX(input_xe_tham_chieu!$C$2:$C$6,MATCH($D$63,input_xe_tham_chieu!$A$2:$A$6,0))/(Boss_vu_khi!$S$64*INDEX(Boss_dps!$D$2:$D$34,MATCH($B$63,Boss_dps!$A$2:$A$34,0))*$F$63),"")</f>
        <v/>
      </c>
      <c r="L63">
        <f>1+2*MIN(2,FLOOR(INDEX(boss_input_vu_khi!$E$2:$E$94,MATCH($C$63,boss_input_vu_khi!$A$2:$A$94,0))/8,1))</f>
        <v/>
      </c>
      <c r="M63">
        <f>1+2*MIN(2,FLOOR(MAX(INDEX(boss_input_vu_khi!$E$2:$E$94,MATCH($C$63,boss_input_vu_khi!$A$2:$A$94,0)),Boss_vu_khi!$L$64)/8,1))</f>
        <v/>
      </c>
      <c r="N63">
        <f>IF(INDEX(boss_input_vu_khi!$E$2:$E$94,MATCH($C$63,boss_input_vu_khi!$A$2:$A$94,0))&gt;=8,5,1)</f>
        <v/>
      </c>
      <c r="O63">
        <f>IF(MAX(INDEX(boss_input_vu_khi!$E$2:$E$94,MATCH($C$63,boss_input_vu_khi!$A$2:$A$94,0)),Boss_vu_khi!$L$64)&gt;=8,5,1)</f>
        <v/>
      </c>
      <c r="P63">
        <f>INDEX(boss_input_vu_khi_suy_ra!$H$2:$H$94,MATCH($C$63,boss_input_vu_khi_suy_ra!$A$2:$A$94,0))</f>
        <v/>
      </c>
      <c r="Q63">
        <f>IF(AND(INDEX(input_xe_tham_chieu!$G$2:$G$6,MATCH($D$63,input_xe_tham_chieu!$A$2:$A$6,0))&gt;0,INDEX(boss_input_vu_khi!$E$2:$E$94,MATCH($C$63,boss_input_vu_khi!$A$2:$A$94,0))&gt;0),INDEX(boss_input_vu_khi!$E$2:$E$94,MATCH($C$63,boss_input_vu_khi!$A$2:$A$94,0))/INDEX(input_xe_tham_chieu!$G$2:$G$6,MATCH($D$63,input_xe_tham_chieu!$A$2:$A$6,0)),"")</f>
        <v/>
      </c>
      <c r="R63">
        <f>IF(ISNUMBER($Q$63),IF($P$63&gt;=$Q$63,"DU","THIEU"),"")</f>
        <v/>
      </c>
      <c r="S63" t="inlineStr">
        <is>
          <t>Assets/MachineBrigade/Resources/Data/balance.json: vehicles[id=earth_borer].weapon x 01_chien_dau/Xe_tham_chieu[gun_turret]</t>
        </is>
      </c>
      <c r="T63" t="inlineStr"/>
    </row>
    <row r="64">
      <c r="A64" t="inlineStr">
        <is>
          <t>earth_borer/heavy_tank</t>
        </is>
      </c>
      <c r="B64" t="inlineStr">
        <is>
          <t>earth_borer</t>
        </is>
      </c>
      <c r="C64" t="inlineStr">
        <is>
          <t>borer_drill</t>
        </is>
      </c>
      <c r="D64" t="inlineStr">
        <is>
          <t>heavy_tank</t>
        </is>
      </c>
      <c r="E64">
        <f>IF(INDEX(boss_input_vu_khi_suy_ra!$D$2:$D$94,MATCH($C$64,boss_input_vu_khi_suy_ra!$A$2:$A$94,0)),INDEX(input_xe_tham_chieu!$E$2:$E$6,MATCH($D$64,input_xe_tham_chieu!$A$2:$A$6,0)),INDEX(input_xe_tham_chieu!$D$2:$D$6,MATCH($D$64,input_xe_tham_chieu!$A$2:$A$6,0)))</f>
        <v/>
      </c>
      <c r="F64">
        <f>IF(INDEX(boss_input_vu_khi_suy_ra!$E$2:$E$94,MATCH($C$64,boss_input_vu_khi_suy_ra!$A$2:$A$94,0)),INDEX(boss_input_bang_xuyen_giap!$B$2:$B$7,MIN(6,MAX(1,IF(INDEX(boss_input_vu_khi_suy_ra!$D$2:$D$94,MATCH($C$64,boss_input_vu_khi_suy_ra!$A$2:$A$94,0)),MAX(1,2-(INDEX(boss_input_vu_khi!$C$2:$C$94,MATCH($C$64,boss_input_vu_khi!$A$2:$A$94,0))-$E$64)),2-(INDEX(boss_input_vu_khi!$C$2:$C$94,MATCH($C$64,boss_input_vu_khi!$A$2:$A$94,0))-$E$64))+1)))*IF(INDEX(input_xe_tham_chieu!$F$2:$F$6,MATCH($D$64,input_xe_tham_chieu!$A$2:$A$6,0)),INDEX(boss_input_vu_khi_suy_ra!$G$2:$G$94,MATCH($C$64,boss_input_vu_khi_suy_ra!$A$2:$A$94,0)),INDEX(boss_input_vu_khi_suy_ra!$F$2:$F$94,MATCH($C$64,boss_input_vu_khi_suy_ra!$A$2:$A$94,0))),0)</f>
        <v/>
      </c>
      <c r="G64" t="n">
        <v>0.85</v>
      </c>
      <c r="H64">
        <f>INDEX(boss_input_vu_khi!$B$2:$B$94,MATCH($C$64,boss_input_vu_khi!$A$2:$A$94,0))*INDEX(Boss_dps!$D$2:$D$34,MATCH($B$64,Boss_dps!$A$2:$A$34,0))*IF(INDEX(boss_input_vu_khi!$D$2:$D$94,MATCH($C$64,boss_input_vu_khi!$A$2:$A$94,0)),1,INDEX(Boss_dps!$B$2:$B$34,MATCH($B$64,Boss_dps!$A$2:$A$34,0)))*INDEX(Boss_dps!$C$2:$C$34,MATCH($B$64,Boss_dps!$A$2:$A$34,0))*$F$64</f>
        <v/>
      </c>
      <c r="I64" t="n">
        <v>827.2753819199999</v>
      </c>
      <c r="J64">
        <f>IF($H$64&gt;0,CEILING(INDEX(input_xe_tham_chieu!$C$2:$C$6,MATCH($D$64,input_xe_tham_chieu!$A$2:$A$6,0))/$H$64,1),"")</f>
        <v/>
      </c>
      <c r="K64">
        <f>IF(Boss_vu_khi!$S$64*$F$64&gt;0,INDEX(input_xe_tham_chieu!$C$2:$C$6,MATCH($D$64,input_xe_tham_chieu!$A$2:$A$6,0))/(Boss_vu_khi!$S$64*INDEX(Boss_dps!$D$2:$D$34,MATCH($B$64,Boss_dps!$A$2:$A$34,0))*$F$64),"")</f>
        <v/>
      </c>
      <c r="L64">
        <f>1+2*MIN(2,FLOOR(INDEX(boss_input_vu_khi!$E$2:$E$94,MATCH($C$64,boss_input_vu_khi!$A$2:$A$94,0))/8,1))</f>
        <v/>
      </c>
      <c r="M64">
        <f>1+2*MIN(2,FLOOR(MAX(INDEX(boss_input_vu_khi!$E$2:$E$94,MATCH($C$64,boss_input_vu_khi!$A$2:$A$94,0)),Boss_vu_khi!$L$64)/8,1))</f>
        <v/>
      </c>
      <c r="N64">
        <f>IF(INDEX(boss_input_vu_khi!$E$2:$E$94,MATCH($C$64,boss_input_vu_khi!$A$2:$A$94,0))&gt;=8,5,1)</f>
        <v/>
      </c>
      <c r="O64">
        <f>IF(MAX(INDEX(boss_input_vu_khi!$E$2:$E$94,MATCH($C$64,boss_input_vu_khi!$A$2:$A$94,0)),Boss_vu_khi!$L$64)&gt;=8,5,1)</f>
        <v/>
      </c>
      <c r="P64">
        <f>INDEX(boss_input_vu_khi_suy_ra!$H$2:$H$94,MATCH($C$64,boss_input_vu_khi_suy_ra!$A$2:$A$94,0))</f>
        <v/>
      </c>
      <c r="Q64">
        <f>IF(AND(INDEX(input_xe_tham_chieu!$G$2:$G$6,MATCH($D$64,input_xe_tham_chieu!$A$2:$A$6,0))&gt;0,INDEX(boss_input_vu_khi!$E$2:$E$94,MATCH($C$64,boss_input_vu_khi!$A$2:$A$94,0))&gt;0),INDEX(boss_input_vu_khi!$E$2:$E$94,MATCH($C$64,boss_input_vu_khi!$A$2:$A$94,0))/INDEX(input_xe_tham_chieu!$G$2:$G$6,MATCH($D$64,input_xe_tham_chieu!$A$2:$A$6,0)),"")</f>
        <v/>
      </c>
      <c r="R64">
        <f>IF(ISNUMBER($Q$64),IF($P$64&gt;=$Q$64,"DU","THIEU"),"")</f>
        <v/>
      </c>
      <c r="S64" t="inlineStr">
        <is>
          <t>Assets/MachineBrigade/Resources/Data/balance.json: vehicles[id=earth_borer].weapon x 01_chien_dau/Xe_tham_chieu[heavy_tank]</t>
        </is>
      </c>
      <c r="T64" t="inlineStr"/>
    </row>
    <row r="65">
      <c r="A65" t="inlineStr">
        <is>
          <t>earth_borer/ifv</t>
        </is>
      </c>
      <c r="B65" t="inlineStr">
        <is>
          <t>earth_borer</t>
        </is>
      </c>
      <c r="C65" t="inlineStr">
        <is>
          <t>borer_drill</t>
        </is>
      </c>
      <c r="D65" t="inlineStr">
        <is>
          <t>ifv</t>
        </is>
      </c>
      <c r="E65">
        <f>IF(INDEX(boss_input_vu_khi_suy_ra!$D$2:$D$94,MATCH($C$65,boss_input_vu_khi_suy_ra!$A$2:$A$94,0)),INDEX(input_xe_tham_chieu!$E$2:$E$6,MATCH($D$65,input_xe_tham_chieu!$A$2:$A$6,0)),INDEX(input_xe_tham_chieu!$D$2:$D$6,MATCH($D$65,input_xe_tham_chieu!$A$2:$A$6,0)))</f>
        <v/>
      </c>
      <c r="F65">
        <f>IF(INDEX(boss_input_vu_khi_suy_ra!$E$2:$E$94,MATCH($C$65,boss_input_vu_khi_suy_ra!$A$2:$A$94,0)),INDEX(boss_input_bang_xuyen_giap!$B$2:$B$7,MIN(6,MAX(1,IF(INDEX(boss_input_vu_khi_suy_ra!$D$2:$D$94,MATCH($C$65,boss_input_vu_khi_suy_ra!$A$2:$A$94,0)),MAX(1,2-(INDEX(boss_input_vu_khi!$C$2:$C$94,MATCH($C$65,boss_input_vu_khi!$A$2:$A$94,0))-$E$65)),2-(INDEX(boss_input_vu_khi!$C$2:$C$94,MATCH($C$65,boss_input_vu_khi!$A$2:$A$94,0))-$E$65))+1)))*IF(INDEX(input_xe_tham_chieu!$F$2:$F$6,MATCH($D$65,input_xe_tham_chieu!$A$2:$A$6,0)),INDEX(boss_input_vu_khi_suy_ra!$G$2:$G$94,MATCH($C$65,boss_input_vu_khi_suy_ra!$A$2:$A$94,0)),INDEX(boss_input_vu_khi_suy_ra!$F$2:$F$94,MATCH($C$65,boss_input_vu_khi_suy_ra!$A$2:$A$94,0))),0)</f>
        <v/>
      </c>
      <c r="G65" t="n">
        <v>1.2</v>
      </c>
      <c r="H65">
        <f>INDEX(boss_input_vu_khi!$B$2:$B$94,MATCH($C$65,boss_input_vu_khi!$A$2:$A$94,0))*INDEX(Boss_dps!$D$2:$D$34,MATCH($B$65,Boss_dps!$A$2:$A$34,0))*IF(INDEX(boss_input_vu_khi!$D$2:$D$94,MATCH($C$65,boss_input_vu_khi!$A$2:$A$94,0)),1,INDEX(Boss_dps!$B$2:$B$34,MATCH($B$65,Boss_dps!$A$2:$A$34,0)))*INDEX(Boss_dps!$C$2:$C$34,MATCH($B$65,Boss_dps!$A$2:$A$34,0))*$F$65</f>
        <v/>
      </c>
      <c r="I65" t="n">
        <v>1167.91818624</v>
      </c>
      <c r="J65">
        <f>IF($H$65&gt;0,CEILING(INDEX(input_xe_tham_chieu!$C$2:$C$6,MATCH($D$65,input_xe_tham_chieu!$A$2:$A$6,0))/$H$65,1),"")</f>
        <v/>
      </c>
      <c r="K65">
        <f>IF(Boss_vu_khi!$S$64*$F$65&gt;0,INDEX(input_xe_tham_chieu!$C$2:$C$6,MATCH($D$65,input_xe_tham_chieu!$A$2:$A$6,0))/(Boss_vu_khi!$S$64*INDEX(Boss_dps!$D$2:$D$34,MATCH($B$65,Boss_dps!$A$2:$A$34,0))*$F$65),"")</f>
        <v/>
      </c>
      <c r="L65">
        <f>1+2*MIN(2,FLOOR(INDEX(boss_input_vu_khi!$E$2:$E$94,MATCH($C$65,boss_input_vu_khi!$A$2:$A$94,0))/8,1))</f>
        <v/>
      </c>
      <c r="M65">
        <f>1+2*MIN(2,FLOOR(MAX(INDEX(boss_input_vu_khi!$E$2:$E$94,MATCH($C$65,boss_input_vu_khi!$A$2:$A$94,0)),Boss_vu_khi!$L$64)/8,1))</f>
        <v/>
      </c>
      <c r="N65">
        <f>IF(INDEX(boss_input_vu_khi!$E$2:$E$94,MATCH($C$65,boss_input_vu_khi!$A$2:$A$94,0))&gt;=8,5,1)</f>
        <v/>
      </c>
      <c r="O65">
        <f>IF(MAX(INDEX(boss_input_vu_khi!$E$2:$E$94,MATCH($C$65,boss_input_vu_khi!$A$2:$A$94,0)),Boss_vu_khi!$L$64)&gt;=8,5,1)</f>
        <v/>
      </c>
      <c r="P65">
        <f>INDEX(boss_input_vu_khi_suy_ra!$H$2:$H$94,MATCH($C$65,boss_input_vu_khi_suy_ra!$A$2:$A$94,0))</f>
        <v/>
      </c>
      <c r="Q65">
        <f>IF(AND(INDEX(input_xe_tham_chieu!$G$2:$G$6,MATCH($D$65,input_xe_tham_chieu!$A$2:$A$6,0))&gt;0,INDEX(boss_input_vu_khi!$E$2:$E$94,MATCH($C$65,boss_input_vu_khi!$A$2:$A$94,0))&gt;0),INDEX(boss_input_vu_khi!$E$2:$E$94,MATCH($C$65,boss_input_vu_khi!$A$2:$A$94,0))/INDEX(input_xe_tham_chieu!$G$2:$G$6,MATCH($D$65,input_xe_tham_chieu!$A$2:$A$6,0)),"")</f>
        <v/>
      </c>
      <c r="R65">
        <f>IF(ISNUMBER($Q$65),IF($P$65&gt;=$Q$65,"DU","THIEU"),"")</f>
        <v/>
      </c>
      <c r="S65" t="inlineStr">
        <is>
          <t>Assets/MachineBrigade/Resources/Data/balance.json: vehicles[id=earth_borer].weapon x 01_chien_dau/Xe_tham_chieu[ifv]</t>
        </is>
      </c>
      <c r="T65" t="inlineStr"/>
    </row>
    <row r="66">
      <c r="A66" t="inlineStr">
        <is>
          <t>earth_borer/main_battle_tank</t>
        </is>
      </c>
      <c r="B66" t="inlineStr">
        <is>
          <t>earth_borer</t>
        </is>
      </c>
      <c r="C66" t="inlineStr">
        <is>
          <t>borer_drill</t>
        </is>
      </c>
      <c r="D66" t="inlineStr">
        <is>
          <t>main_battle_tank</t>
        </is>
      </c>
      <c r="E66">
        <f>IF(INDEX(boss_input_vu_khi_suy_ra!$D$2:$D$94,MATCH($C$66,boss_input_vu_khi_suy_ra!$A$2:$A$94,0)),INDEX(input_xe_tham_chieu!$E$2:$E$6,MATCH($D$66,input_xe_tham_chieu!$A$2:$A$6,0)),INDEX(input_xe_tham_chieu!$D$2:$D$6,MATCH($D$66,input_xe_tham_chieu!$A$2:$A$6,0)))</f>
        <v/>
      </c>
      <c r="F66">
        <f>IF(INDEX(boss_input_vu_khi_suy_ra!$E$2:$E$94,MATCH($C$66,boss_input_vu_khi_suy_ra!$A$2:$A$94,0)),INDEX(boss_input_bang_xuyen_giap!$B$2:$B$7,MIN(6,MAX(1,IF(INDEX(boss_input_vu_khi_suy_ra!$D$2:$D$94,MATCH($C$66,boss_input_vu_khi_suy_ra!$A$2:$A$94,0)),MAX(1,2-(INDEX(boss_input_vu_khi!$C$2:$C$94,MATCH($C$66,boss_input_vu_khi!$A$2:$A$94,0))-$E$66)),2-(INDEX(boss_input_vu_khi!$C$2:$C$94,MATCH($C$66,boss_input_vu_khi!$A$2:$A$94,0))-$E$66))+1)))*IF(INDEX(input_xe_tham_chieu!$F$2:$F$6,MATCH($D$66,input_xe_tham_chieu!$A$2:$A$6,0)),INDEX(boss_input_vu_khi_suy_ra!$G$2:$G$94,MATCH($C$66,boss_input_vu_khi_suy_ra!$A$2:$A$94,0)),INDEX(boss_input_vu_khi_suy_ra!$F$2:$F$94,MATCH($C$66,boss_input_vu_khi_suy_ra!$A$2:$A$94,0))),0)</f>
        <v/>
      </c>
      <c r="G66" t="n">
        <v>0.85</v>
      </c>
      <c r="H66">
        <f>INDEX(boss_input_vu_khi!$B$2:$B$94,MATCH($C$66,boss_input_vu_khi!$A$2:$A$94,0))*INDEX(Boss_dps!$D$2:$D$34,MATCH($B$66,Boss_dps!$A$2:$A$34,0))*IF(INDEX(boss_input_vu_khi!$D$2:$D$94,MATCH($C$66,boss_input_vu_khi!$A$2:$A$94,0)),1,INDEX(Boss_dps!$B$2:$B$34,MATCH($B$66,Boss_dps!$A$2:$A$34,0)))*INDEX(Boss_dps!$C$2:$C$34,MATCH($B$66,Boss_dps!$A$2:$A$34,0))*$F$66</f>
        <v/>
      </c>
      <c r="I66" t="n">
        <v>827.2753819199999</v>
      </c>
      <c r="J66">
        <f>IF($H$66&gt;0,CEILING(INDEX(input_xe_tham_chieu!$C$2:$C$6,MATCH($D$66,input_xe_tham_chieu!$A$2:$A$6,0))/$H$66,1),"")</f>
        <v/>
      </c>
      <c r="K66">
        <f>IF(Boss_vu_khi!$S$64*$F$66&gt;0,INDEX(input_xe_tham_chieu!$C$2:$C$6,MATCH($D$66,input_xe_tham_chieu!$A$2:$A$6,0))/(Boss_vu_khi!$S$64*INDEX(Boss_dps!$D$2:$D$34,MATCH($B$66,Boss_dps!$A$2:$A$34,0))*$F$66),"")</f>
        <v/>
      </c>
      <c r="L66">
        <f>1+2*MIN(2,FLOOR(INDEX(boss_input_vu_khi!$E$2:$E$94,MATCH($C$66,boss_input_vu_khi!$A$2:$A$94,0))/8,1))</f>
        <v/>
      </c>
      <c r="M66">
        <f>1+2*MIN(2,FLOOR(MAX(INDEX(boss_input_vu_khi!$E$2:$E$94,MATCH($C$66,boss_input_vu_khi!$A$2:$A$94,0)),Boss_vu_khi!$L$64)/8,1))</f>
        <v/>
      </c>
      <c r="N66">
        <f>IF(INDEX(boss_input_vu_khi!$E$2:$E$94,MATCH($C$66,boss_input_vu_khi!$A$2:$A$94,0))&gt;=8,5,1)</f>
        <v/>
      </c>
      <c r="O66">
        <f>IF(MAX(INDEX(boss_input_vu_khi!$E$2:$E$94,MATCH($C$66,boss_input_vu_khi!$A$2:$A$94,0)),Boss_vu_khi!$L$64)&gt;=8,5,1)</f>
        <v/>
      </c>
      <c r="P66">
        <f>INDEX(boss_input_vu_khi_suy_ra!$H$2:$H$94,MATCH($C$66,boss_input_vu_khi_suy_ra!$A$2:$A$94,0))</f>
        <v/>
      </c>
      <c r="Q66">
        <f>IF(AND(INDEX(input_xe_tham_chieu!$G$2:$G$6,MATCH($D$66,input_xe_tham_chieu!$A$2:$A$6,0))&gt;0,INDEX(boss_input_vu_khi!$E$2:$E$94,MATCH($C$66,boss_input_vu_khi!$A$2:$A$94,0))&gt;0),INDEX(boss_input_vu_khi!$E$2:$E$94,MATCH($C$66,boss_input_vu_khi!$A$2:$A$94,0))/INDEX(input_xe_tham_chieu!$G$2:$G$6,MATCH($D$66,input_xe_tham_chieu!$A$2:$A$6,0)),"")</f>
        <v/>
      </c>
      <c r="R66">
        <f>IF(ISNUMBER($Q$66),IF($P$66&gt;=$Q$66,"DU","THIEU"),"")</f>
        <v/>
      </c>
      <c r="S66" t="inlineStr">
        <is>
          <t>Assets/MachineBrigade/Resources/Data/balance.json: vehicles[id=earth_borer].weapon x 01_chien_dau/Xe_tham_chieu[main_battle_tank]</t>
        </is>
      </c>
      <c r="T66" t="inlineStr"/>
    </row>
    <row r="67">
      <c r="A67" t="inlineStr">
        <is>
          <t>fenrir/armored_car</t>
        </is>
      </c>
      <c r="B67" t="inlineStr">
        <is>
          <t>fenrir</t>
        </is>
      </c>
      <c r="C67" t="inlineStr">
        <is>
          <t>p26_jotunn_sec_jo_rockets</t>
        </is>
      </c>
      <c r="D67" t="inlineStr">
        <is>
          <t>armored_car</t>
        </is>
      </c>
      <c r="E67">
        <f>IF(INDEX(boss_input_vu_khi_suy_ra!$D$2:$D$94,MATCH($C$67,boss_input_vu_khi_suy_ra!$A$2:$A$94,0)),INDEX(input_xe_tham_chieu!$E$2:$E$6,MATCH($D$67,input_xe_tham_chieu!$A$2:$A$6,0)),INDEX(input_xe_tham_chieu!$D$2:$D$6,MATCH($D$67,input_xe_tham_chieu!$A$2:$A$6,0)))</f>
        <v/>
      </c>
      <c r="F67">
        <f>IF(INDEX(boss_input_vu_khi_suy_ra!$E$2:$E$94,MATCH($C$67,boss_input_vu_khi_suy_ra!$A$2:$A$94,0)),INDEX(boss_input_bang_xuyen_giap!$B$2:$B$7,MIN(6,MAX(1,IF(INDEX(boss_input_vu_khi_suy_ra!$D$2:$D$94,MATCH($C$67,boss_input_vu_khi_suy_ra!$A$2:$A$94,0)),MAX(1,2-(INDEX(boss_input_vu_khi!$C$2:$C$94,MATCH($C$67,boss_input_vu_khi!$A$2:$A$94,0))-$E$67)),2-(INDEX(boss_input_vu_khi!$C$2:$C$94,MATCH($C$67,boss_input_vu_khi!$A$2:$A$94,0))-$E$67))+1)))*IF(INDEX(input_xe_tham_chieu!$F$2:$F$6,MATCH($D$67,input_xe_tham_chieu!$A$2:$A$6,0)),INDEX(boss_input_vu_khi_suy_ra!$G$2:$G$94,MATCH($C$67,boss_input_vu_khi_suy_ra!$A$2:$A$94,0)),INDEX(boss_input_vu_khi_suy_ra!$F$2:$F$94,MATCH($C$67,boss_input_vu_khi_suy_ra!$A$2:$A$94,0))),0)</f>
        <v/>
      </c>
      <c r="G67" t="n">
        <v>1</v>
      </c>
      <c r="H67">
        <f>INDEX(boss_input_vu_khi!$B$2:$B$94,MATCH($C$67,boss_input_vu_khi!$A$2:$A$94,0))*INDEX(Boss_dps!$D$2:$D$34,MATCH($B$67,Boss_dps!$A$2:$A$34,0))*IF(INDEX(boss_input_vu_khi!$D$2:$D$94,MATCH($C$67,boss_input_vu_khi!$A$2:$A$94,0)),1,INDEX(Boss_dps!$B$2:$B$34,MATCH($B$67,Boss_dps!$A$2:$A$34,0)))*INDEX(Boss_dps!$C$2:$C$34,MATCH($B$67,Boss_dps!$A$2:$A$34,0))*$F$67</f>
        <v/>
      </c>
      <c r="I67" t="n">
        <v>1140.845904</v>
      </c>
      <c r="J67">
        <f>IF($H$67&gt;0,CEILING(INDEX(input_xe_tham_chieu!$C$2:$C$6,MATCH($D$67,input_xe_tham_chieu!$A$2:$A$6,0))/$H$67,1),"")</f>
        <v/>
      </c>
      <c r="K67">
        <f>IF(Boss_vu_khi!$S$67*$F$67&gt;0,INDEX(input_xe_tham_chieu!$C$2:$C$6,MATCH($D$67,input_xe_tham_chieu!$A$2:$A$6,0))/(Boss_vu_khi!$S$67*INDEX(Boss_dps!$D$2:$D$34,MATCH($B$67,Boss_dps!$A$2:$A$34,0))*$F$67),"")</f>
        <v/>
      </c>
      <c r="L67">
        <f>1+2*MIN(2,FLOOR(INDEX(boss_input_vu_khi!$E$2:$E$94,MATCH($C$67,boss_input_vu_khi!$A$2:$A$94,0))/8,1))</f>
        <v/>
      </c>
      <c r="M67">
        <f>1+2*MIN(2,FLOOR(MAX(INDEX(boss_input_vu_khi!$E$2:$E$94,MATCH($C$67,boss_input_vu_khi!$A$2:$A$94,0)),Boss_vu_khi!$L$67)/8,1))</f>
        <v/>
      </c>
      <c r="N67">
        <f>IF(INDEX(boss_input_vu_khi!$E$2:$E$94,MATCH($C$67,boss_input_vu_khi!$A$2:$A$94,0))&gt;=8,5,1)</f>
        <v/>
      </c>
      <c r="O67">
        <f>IF(MAX(INDEX(boss_input_vu_khi!$E$2:$E$94,MATCH($C$67,boss_input_vu_khi!$A$2:$A$94,0)),Boss_vu_khi!$L$67)&gt;=8,5,1)</f>
        <v/>
      </c>
      <c r="P67">
        <f>INDEX(boss_input_vu_khi_suy_ra!$H$2:$H$94,MATCH($C$67,boss_input_vu_khi_suy_ra!$A$2:$A$94,0))</f>
        <v/>
      </c>
      <c r="Q67">
        <f>IF(AND(INDEX(input_xe_tham_chieu!$G$2:$G$6,MATCH($D$67,input_xe_tham_chieu!$A$2:$A$6,0))&gt;0,INDEX(boss_input_vu_khi!$E$2:$E$94,MATCH($C$67,boss_input_vu_khi!$A$2:$A$94,0))&gt;0),INDEX(boss_input_vu_khi!$E$2:$E$94,MATCH($C$67,boss_input_vu_khi!$A$2:$A$94,0))/INDEX(input_xe_tham_chieu!$G$2:$G$6,MATCH($D$67,input_xe_tham_chieu!$A$2:$A$6,0)),"")</f>
        <v/>
      </c>
      <c r="R67">
        <f>IF(ISNUMBER($Q$67),IF($P$67&gt;=$Q$67,"DU","THIEU"),"")</f>
        <v/>
      </c>
      <c r="S67" t="inlineStr">
        <is>
          <t>Assets/MachineBrigade/Resources/Data/balance.json: vehicles[id=fenrir].weapon x 01_chien_dau/Xe_tham_chieu[armored_car]</t>
        </is>
      </c>
      <c r="T67" t="inlineStr"/>
    </row>
    <row r="68">
      <c r="A68" t="inlineStr">
        <is>
          <t>fenrir/gun_turret</t>
        </is>
      </c>
      <c r="B68" t="inlineStr">
        <is>
          <t>fenrir</t>
        </is>
      </c>
      <c r="C68" t="inlineStr">
        <is>
          <t>p26_jotunn_sec_jo_rockets</t>
        </is>
      </c>
      <c r="D68" t="inlineStr">
        <is>
          <t>gun_turret</t>
        </is>
      </c>
      <c r="E68">
        <f>IF(INDEX(boss_input_vu_khi_suy_ra!$D$2:$D$94,MATCH($C$68,boss_input_vu_khi_suy_ra!$A$2:$A$94,0)),INDEX(input_xe_tham_chieu!$E$2:$E$6,MATCH($D$68,input_xe_tham_chieu!$A$2:$A$6,0)),INDEX(input_xe_tham_chieu!$D$2:$D$6,MATCH($D$68,input_xe_tham_chieu!$A$2:$A$6,0)))</f>
        <v/>
      </c>
      <c r="F68">
        <f>IF(INDEX(boss_input_vu_khi_suy_ra!$E$2:$E$94,MATCH($C$68,boss_input_vu_khi_suy_ra!$A$2:$A$94,0)),INDEX(boss_input_bang_xuyen_giap!$B$2:$B$7,MIN(6,MAX(1,IF(INDEX(boss_input_vu_khi_suy_ra!$D$2:$D$94,MATCH($C$68,boss_input_vu_khi_suy_ra!$A$2:$A$94,0)),MAX(1,2-(INDEX(boss_input_vu_khi!$C$2:$C$94,MATCH($C$68,boss_input_vu_khi!$A$2:$A$94,0))-$E$68)),2-(INDEX(boss_input_vu_khi!$C$2:$C$94,MATCH($C$68,boss_input_vu_khi!$A$2:$A$94,0))-$E$68))+1)))*IF(INDEX(input_xe_tham_chieu!$F$2:$F$6,MATCH($D$68,input_xe_tham_chieu!$A$2:$A$6,0)),INDEX(boss_input_vu_khi_suy_ra!$G$2:$G$94,MATCH($C$68,boss_input_vu_khi_suy_ra!$A$2:$A$94,0)),INDEX(boss_input_vu_khi_suy_ra!$F$2:$F$94,MATCH($C$68,boss_input_vu_khi_suy_ra!$A$2:$A$94,0))),0)</f>
        <v/>
      </c>
      <c r="G68" t="n">
        <v>0.75</v>
      </c>
      <c r="H68">
        <f>INDEX(boss_input_vu_khi!$B$2:$B$94,MATCH($C$68,boss_input_vu_khi!$A$2:$A$94,0))*INDEX(Boss_dps!$D$2:$D$34,MATCH($B$68,Boss_dps!$A$2:$A$34,0))*IF(INDEX(boss_input_vu_khi!$D$2:$D$94,MATCH($C$68,boss_input_vu_khi!$A$2:$A$94,0)),1,INDEX(Boss_dps!$B$2:$B$34,MATCH($B$68,Boss_dps!$A$2:$A$34,0)))*INDEX(Boss_dps!$C$2:$C$34,MATCH($B$68,Boss_dps!$A$2:$A$34,0))*$F$68</f>
        <v/>
      </c>
      <c r="I68" t="n">
        <v>855.6344279999998</v>
      </c>
      <c r="J68">
        <f>IF($H$68&gt;0,CEILING(INDEX(input_xe_tham_chieu!$C$2:$C$6,MATCH($D$68,input_xe_tham_chieu!$A$2:$A$6,0))/$H$68,1),"")</f>
        <v/>
      </c>
      <c r="K68">
        <f>IF(Boss_vu_khi!$S$67*$F$68&gt;0,INDEX(input_xe_tham_chieu!$C$2:$C$6,MATCH($D$68,input_xe_tham_chieu!$A$2:$A$6,0))/(Boss_vu_khi!$S$67*INDEX(Boss_dps!$D$2:$D$34,MATCH($B$68,Boss_dps!$A$2:$A$34,0))*$F$68),"")</f>
        <v/>
      </c>
      <c r="L68">
        <f>1+2*MIN(2,FLOOR(INDEX(boss_input_vu_khi!$E$2:$E$94,MATCH($C$68,boss_input_vu_khi!$A$2:$A$94,0))/8,1))</f>
        <v/>
      </c>
      <c r="M68">
        <f>1+2*MIN(2,FLOOR(MAX(INDEX(boss_input_vu_khi!$E$2:$E$94,MATCH($C$68,boss_input_vu_khi!$A$2:$A$94,0)),Boss_vu_khi!$L$67)/8,1))</f>
        <v/>
      </c>
      <c r="N68">
        <f>IF(INDEX(boss_input_vu_khi!$E$2:$E$94,MATCH($C$68,boss_input_vu_khi!$A$2:$A$94,0))&gt;=8,5,1)</f>
        <v/>
      </c>
      <c r="O68">
        <f>IF(MAX(INDEX(boss_input_vu_khi!$E$2:$E$94,MATCH($C$68,boss_input_vu_khi!$A$2:$A$94,0)),Boss_vu_khi!$L$67)&gt;=8,5,1)</f>
        <v/>
      </c>
      <c r="P68">
        <f>INDEX(boss_input_vu_khi_suy_ra!$H$2:$H$94,MATCH($C$68,boss_input_vu_khi_suy_ra!$A$2:$A$94,0))</f>
        <v/>
      </c>
      <c r="Q68">
        <f>IF(AND(INDEX(input_xe_tham_chieu!$G$2:$G$6,MATCH($D$68,input_xe_tham_chieu!$A$2:$A$6,0))&gt;0,INDEX(boss_input_vu_khi!$E$2:$E$94,MATCH($C$68,boss_input_vu_khi!$A$2:$A$94,0))&gt;0),INDEX(boss_input_vu_khi!$E$2:$E$94,MATCH($C$68,boss_input_vu_khi!$A$2:$A$94,0))/INDEX(input_xe_tham_chieu!$G$2:$G$6,MATCH($D$68,input_xe_tham_chieu!$A$2:$A$6,0)),"")</f>
        <v/>
      </c>
      <c r="R68">
        <f>IF(ISNUMBER($Q$68),IF($P$68&gt;=$Q$68,"DU","THIEU"),"")</f>
        <v/>
      </c>
      <c r="S68" t="inlineStr">
        <is>
          <t>Assets/MachineBrigade/Resources/Data/balance.json: vehicles[id=fenrir].weapon x 01_chien_dau/Xe_tham_chieu[gun_turret]</t>
        </is>
      </c>
      <c r="T68" t="inlineStr"/>
    </row>
    <row r="69">
      <c r="A69" t="inlineStr">
        <is>
          <t>fenrir/heavy_tank</t>
        </is>
      </c>
      <c r="B69" t="inlineStr">
        <is>
          <t>fenrir</t>
        </is>
      </c>
      <c r="C69" t="inlineStr">
        <is>
          <t>p26_jotunn_sec_jo_rockets</t>
        </is>
      </c>
      <c r="D69" t="inlineStr">
        <is>
          <t>heavy_tank</t>
        </is>
      </c>
      <c r="E69">
        <f>IF(INDEX(boss_input_vu_khi_suy_ra!$D$2:$D$94,MATCH($C$69,boss_input_vu_khi_suy_ra!$A$2:$A$94,0)),INDEX(input_xe_tham_chieu!$E$2:$E$6,MATCH($D$69,input_xe_tham_chieu!$A$2:$A$6,0)),INDEX(input_xe_tham_chieu!$D$2:$D$6,MATCH($D$69,input_xe_tham_chieu!$A$2:$A$6,0)))</f>
        <v/>
      </c>
      <c r="F69">
        <f>IF(INDEX(boss_input_vu_khi_suy_ra!$E$2:$E$94,MATCH($C$69,boss_input_vu_khi_suy_ra!$A$2:$A$94,0)),INDEX(boss_input_bang_xuyen_giap!$B$2:$B$7,MIN(6,MAX(1,IF(INDEX(boss_input_vu_khi_suy_ra!$D$2:$D$94,MATCH($C$69,boss_input_vu_khi_suy_ra!$A$2:$A$94,0)),MAX(1,2-(INDEX(boss_input_vu_khi!$C$2:$C$94,MATCH($C$69,boss_input_vu_khi!$A$2:$A$94,0))-$E$69)),2-(INDEX(boss_input_vu_khi!$C$2:$C$94,MATCH($C$69,boss_input_vu_khi!$A$2:$A$94,0))-$E$69))+1)))*IF(INDEX(input_xe_tham_chieu!$F$2:$F$6,MATCH($D$69,input_xe_tham_chieu!$A$2:$A$6,0)),INDEX(boss_input_vu_khi_suy_ra!$G$2:$G$94,MATCH($C$69,boss_input_vu_khi_suy_ra!$A$2:$A$94,0)),INDEX(boss_input_vu_khi_suy_ra!$F$2:$F$94,MATCH($C$69,boss_input_vu_khi_suy_ra!$A$2:$A$94,0))),0)</f>
        <v/>
      </c>
      <c r="G69" t="n">
        <v>0.25</v>
      </c>
      <c r="H69">
        <f>INDEX(boss_input_vu_khi!$B$2:$B$94,MATCH($C$69,boss_input_vu_khi!$A$2:$A$94,0))*INDEX(Boss_dps!$D$2:$D$34,MATCH($B$69,Boss_dps!$A$2:$A$34,0))*IF(INDEX(boss_input_vu_khi!$D$2:$D$94,MATCH($C$69,boss_input_vu_khi!$A$2:$A$94,0)),1,INDEX(Boss_dps!$B$2:$B$34,MATCH($B$69,Boss_dps!$A$2:$A$34,0)))*INDEX(Boss_dps!$C$2:$C$34,MATCH($B$69,Boss_dps!$A$2:$A$34,0))*$F$69</f>
        <v/>
      </c>
      <c r="I69" t="n">
        <v>285.2114759999999</v>
      </c>
      <c r="J69">
        <f>IF($H$69&gt;0,CEILING(INDEX(input_xe_tham_chieu!$C$2:$C$6,MATCH($D$69,input_xe_tham_chieu!$A$2:$A$6,0))/$H$69,1),"")</f>
        <v/>
      </c>
      <c r="K69">
        <f>IF(Boss_vu_khi!$S$67*$F$69&gt;0,INDEX(input_xe_tham_chieu!$C$2:$C$6,MATCH($D$69,input_xe_tham_chieu!$A$2:$A$6,0))/(Boss_vu_khi!$S$67*INDEX(Boss_dps!$D$2:$D$34,MATCH($B$69,Boss_dps!$A$2:$A$34,0))*$F$69),"")</f>
        <v/>
      </c>
      <c r="L69">
        <f>1+2*MIN(2,FLOOR(INDEX(boss_input_vu_khi!$E$2:$E$94,MATCH($C$69,boss_input_vu_khi!$A$2:$A$94,0))/8,1))</f>
        <v/>
      </c>
      <c r="M69">
        <f>1+2*MIN(2,FLOOR(MAX(INDEX(boss_input_vu_khi!$E$2:$E$94,MATCH($C$69,boss_input_vu_khi!$A$2:$A$94,0)),Boss_vu_khi!$L$67)/8,1))</f>
        <v/>
      </c>
      <c r="N69">
        <f>IF(INDEX(boss_input_vu_khi!$E$2:$E$94,MATCH($C$69,boss_input_vu_khi!$A$2:$A$94,0))&gt;=8,5,1)</f>
        <v/>
      </c>
      <c r="O69">
        <f>IF(MAX(INDEX(boss_input_vu_khi!$E$2:$E$94,MATCH($C$69,boss_input_vu_khi!$A$2:$A$94,0)),Boss_vu_khi!$L$67)&gt;=8,5,1)</f>
        <v/>
      </c>
      <c r="P69">
        <f>INDEX(boss_input_vu_khi_suy_ra!$H$2:$H$94,MATCH($C$69,boss_input_vu_khi_suy_ra!$A$2:$A$94,0))</f>
        <v/>
      </c>
      <c r="Q69">
        <f>IF(AND(INDEX(input_xe_tham_chieu!$G$2:$G$6,MATCH($D$69,input_xe_tham_chieu!$A$2:$A$6,0))&gt;0,INDEX(boss_input_vu_khi!$E$2:$E$94,MATCH($C$69,boss_input_vu_khi!$A$2:$A$94,0))&gt;0),INDEX(boss_input_vu_khi!$E$2:$E$94,MATCH($C$69,boss_input_vu_khi!$A$2:$A$94,0))/INDEX(input_xe_tham_chieu!$G$2:$G$6,MATCH($D$69,input_xe_tham_chieu!$A$2:$A$6,0)),"")</f>
        <v/>
      </c>
      <c r="R69">
        <f>IF(ISNUMBER($Q$69),IF($P$69&gt;=$Q$69,"DU","THIEU"),"")</f>
        <v/>
      </c>
      <c r="S69" t="inlineStr">
        <is>
          <t>Assets/MachineBrigade/Resources/Data/balance.json: vehicles[id=fenrir].weapon x 01_chien_dau/Xe_tham_chieu[heavy_tank]</t>
        </is>
      </c>
      <c r="T69" t="inlineStr"/>
    </row>
    <row r="70">
      <c r="A70" t="inlineStr">
        <is>
          <t>fenrir/ifv</t>
        </is>
      </c>
      <c r="B70" t="inlineStr">
        <is>
          <t>fenrir</t>
        </is>
      </c>
      <c r="C70" t="inlineStr">
        <is>
          <t>p26_jotunn_sec_jo_rockets</t>
        </is>
      </c>
      <c r="D70" t="inlineStr">
        <is>
          <t>ifv</t>
        </is>
      </c>
      <c r="E70">
        <f>IF(INDEX(boss_input_vu_khi_suy_ra!$D$2:$D$94,MATCH($C$70,boss_input_vu_khi_suy_ra!$A$2:$A$94,0)),INDEX(input_xe_tham_chieu!$E$2:$E$6,MATCH($D$70,input_xe_tham_chieu!$A$2:$A$6,0)),INDEX(input_xe_tham_chieu!$D$2:$D$6,MATCH($D$70,input_xe_tham_chieu!$A$2:$A$6,0)))</f>
        <v/>
      </c>
      <c r="F70">
        <f>IF(INDEX(boss_input_vu_khi_suy_ra!$E$2:$E$94,MATCH($C$70,boss_input_vu_khi_suy_ra!$A$2:$A$94,0)),INDEX(boss_input_bang_xuyen_giap!$B$2:$B$7,MIN(6,MAX(1,IF(INDEX(boss_input_vu_khi_suy_ra!$D$2:$D$94,MATCH($C$70,boss_input_vu_khi_suy_ra!$A$2:$A$94,0)),MAX(1,2-(INDEX(boss_input_vu_khi!$C$2:$C$94,MATCH($C$70,boss_input_vu_khi!$A$2:$A$94,0))-$E$70)),2-(INDEX(boss_input_vu_khi!$C$2:$C$94,MATCH($C$70,boss_input_vu_khi!$A$2:$A$94,0))-$E$70))+1)))*IF(INDEX(input_xe_tham_chieu!$F$2:$F$6,MATCH($D$70,input_xe_tham_chieu!$A$2:$A$6,0)),INDEX(boss_input_vu_khi_suy_ra!$G$2:$G$94,MATCH($C$70,boss_input_vu_khi_suy_ra!$A$2:$A$94,0)),INDEX(boss_input_vu_khi_suy_ra!$F$2:$F$94,MATCH($C$70,boss_input_vu_khi_suy_ra!$A$2:$A$94,0))),0)</f>
        <v/>
      </c>
      <c r="G70" t="n">
        <v>0.85</v>
      </c>
      <c r="H70">
        <f>INDEX(boss_input_vu_khi!$B$2:$B$94,MATCH($C$70,boss_input_vu_khi!$A$2:$A$94,0))*INDEX(Boss_dps!$D$2:$D$34,MATCH($B$70,Boss_dps!$A$2:$A$34,0))*IF(INDEX(boss_input_vu_khi!$D$2:$D$94,MATCH($C$70,boss_input_vu_khi!$A$2:$A$94,0)),1,INDEX(Boss_dps!$B$2:$B$34,MATCH($B$70,Boss_dps!$A$2:$A$34,0)))*INDEX(Boss_dps!$C$2:$C$34,MATCH($B$70,Boss_dps!$A$2:$A$34,0))*$F$70</f>
        <v/>
      </c>
      <c r="I70" t="n">
        <v>969.7190183999998</v>
      </c>
      <c r="J70">
        <f>IF($H$70&gt;0,CEILING(INDEX(input_xe_tham_chieu!$C$2:$C$6,MATCH($D$70,input_xe_tham_chieu!$A$2:$A$6,0))/$H$70,1),"")</f>
        <v/>
      </c>
      <c r="K70">
        <f>IF(Boss_vu_khi!$S$67*$F$70&gt;0,INDEX(input_xe_tham_chieu!$C$2:$C$6,MATCH($D$70,input_xe_tham_chieu!$A$2:$A$6,0))/(Boss_vu_khi!$S$67*INDEX(Boss_dps!$D$2:$D$34,MATCH($B$70,Boss_dps!$A$2:$A$34,0))*$F$70),"")</f>
        <v/>
      </c>
      <c r="L70">
        <f>1+2*MIN(2,FLOOR(INDEX(boss_input_vu_khi!$E$2:$E$94,MATCH($C$70,boss_input_vu_khi!$A$2:$A$94,0))/8,1))</f>
        <v/>
      </c>
      <c r="M70">
        <f>1+2*MIN(2,FLOOR(MAX(INDEX(boss_input_vu_khi!$E$2:$E$94,MATCH($C$70,boss_input_vu_khi!$A$2:$A$94,0)),Boss_vu_khi!$L$67)/8,1))</f>
        <v/>
      </c>
      <c r="N70">
        <f>IF(INDEX(boss_input_vu_khi!$E$2:$E$94,MATCH($C$70,boss_input_vu_khi!$A$2:$A$94,0))&gt;=8,5,1)</f>
        <v/>
      </c>
      <c r="O70">
        <f>IF(MAX(INDEX(boss_input_vu_khi!$E$2:$E$94,MATCH($C$70,boss_input_vu_khi!$A$2:$A$94,0)),Boss_vu_khi!$L$67)&gt;=8,5,1)</f>
        <v/>
      </c>
      <c r="P70">
        <f>INDEX(boss_input_vu_khi_suy_ra!$H$2:$H$94,MATCH($C$70,boss_input_vu_khi_suy_ra!$A$2:$A$94,0))</f>
        <v/>
      </c>
      <c r="Q70">
        <f>IF(AND(INDEX(input_xe_tham_chieu!$G$2:$G$6,MATCH($D$70,input_xe_tham_chieu!$A$2:$A$6,0))&gt;0,INDEX(boss_input_vu_khi!$E$2:$E$94,MATCH($C$70,boss_input_vu_khi!$A$2:$A$94,0))&gt;0),INDEX(boss_input_vu_khi!$E$2:$E$94,MATCH($C$70,boss_input_vu_khi!$A$2:$A$94,0))/INDEX(input_xe_tham_chieu!$G$2:$G$6,MATCH($D$70,input_xe_tham_chieu!$A$2:$A$6,0)),"")</f>
        <v/>
      </c>
      <c r="R70">
        <f>IF(ISNUMBER($Q$70),IF($P$70&gt;=$Q$70,"DU","THIEU"),"")</f>
        <v/>
      </c>
      <c r="S70" t="inlineStr">
        <is>
          <t>Assets/MachineBrigade/Resources/Data/balance.json: vehicles[id=fenrir].weapon x 01_chien_dau/Xe_tham_chieu[ifv]</t>
        </is>
      </c>
      <c r="T70" t="inlineStr"/>
    </row>
    <row r="71">
      <c r="A71" t="inlineStr">
        <is>
          <t>fenrir/main_battle_tank</t>
        </is>
      </c>
      <c r="B71" t="inlineStr">
        <is>
          <t>fenrir</t>
        </is>
      </c>
      <c r="C71" t="inlineStr">
        <is>
          <t>p26_jotunn_sec_jo_rockets</t>
        </is>
      </c>
      <c r="D71" t="inlineStr">
        <is>
          <t>main_battle_tank</t>
        </is>
      </c>
      <c r="E71">
        <f>IF(INDEX(boss_input_vu_khi_suy_ra!$D$2:$D$94,MATCH($C$71,boss_input_vu_khi_suy_ra!$A$2:$A$94,0)),INDEX(input_xe_tham_chieu!$E$2:$E$6,MATCH($D$71,input_xe_tham_chieu!$A$2:$A$6,0)),INDEX(input_xe_tham_chieu!$D$2:$D$6,MATCH($D$71,input_xe_tham_chieu!$A$2:$A$6,0)))</f>
        <v/>
      </c>
      <c r="F71">
        <f>IF(INDEX(boss_input_vu_khi_suy_ra!$E$2:$E$94,MATCH($C$71,boss_input_vu_khi_suy_ra!$A$2:$A$94,0)),INDEX(boss_input_bang_xuyen_giap!$B$2:$B$7,MIN(6,MAX(1,IF(INDEX(boss_input_vu_khi_suy_ra!$D$2:$D$94,MATCH($C$71,boss_input_vu_khi_suy_ra!$A$2:$A$94,0)),MAX(1,2-(INDEX(boss_input_vu_khi!$C$2:$C$94,MATCH($C$71,boss_input_vu_khi!$A$2:$A$94,0))-$E$71)),2-(INDEX(boss_input_vu_khi!$C$2:$C$94,MATCH($C$71,boss_input_vu_khi!$A$2:$A$94,0))-$E$71))+1)))*IF(INDEX(input_xe_tham_chieu!$F$2:$F$6,MATCH($D$71,input_xe_tham_chieu!$A$2:$A$6,0)),INDEX(boss_input_vu_khi_suy_ra!$G$2:$G$94,MATCH($C$71,boss_input_vu_khi_suy_ra!$A$2:$A$94,0)),INDEX(boss_input_vu_khi_suy_ra!$F$2:$F$94,MATCH($C$71,boss_input_vu_khi_suy_ra!$A$2:$A$94,0))),0)</f>
        <v/>
      </c>
      <c r="G71" t="n">
        <v>0.25</v>
      </c>
      <c r="H71">
        <f>INDEX(boss_input_vu_khi!$B$2:$B$94,MATCH($C$71,boss_input_vu_khi!$A$2:$A$94,0))*INDEX(Boss_dps!$D$2:$D$34,MATCH($B$71,Boss_dps!$A$2:$A$34,0))*IF(INDEX(boss_input_vu_khi!$D$2:$D$94,MATCH($C$71,boss_input_vu_khi!$A$2:$A$94,0)),1,INDEX(Boss_dps!$B$2:$B$34,MATCH($B$71,Boss_dps!$A$2:$A$34,0)))*INDEX(Boss_dps!$C$2:$C$34,MATCH($B$71,Boss_dps!$A$2:$A$34,0))*$F$71</f>
        <v/>
      </c>
      <c r="I71" t="n">
        <v>285.2114759999999</v>
      </c>
      <c r="J71">
        <f>IF($H$71&gt;0,CEILING(INDEX(input_xe_tham_chieu!$C$2:$C$6,MATCH($D$71,input_xe_tham_chieu!$A$2:$A$6,0))/$H$71,1),"")</f>
        <v/>
      </c>
      <c r="K71">
        <f>IF(Boss_vu_khi!$S$67*$F$71&gt;0,INDEX(input_xe_tham_chieu!$C$2:$C$6,MATCH($D$71,input_xe_tham_chieu!$A$2:$A$6,0))/(Boss_vu_khi!$S$67*INDEX(Boss_dps!$D$2:$D$34,MATCH($B$71,Boss_dps!$A$2:$A$34,0))*$F$71),"")</f>
        <v/>
      </c>
      <c r="L71">
        <f>1+2*MIN(2,FLOOR(INDEX(boss_input_vu_khi!$E$2:$E$94,MATCH($C$71,boss_input_vu_khi!$A$2:$A$94,0))/8,1))</f>
        <v/>
      </c>
      <c r="M71">
        <f>1+2*MIN(2,FLOOR(MAX(INDEX(boss_input_vu_khi!$E$2:$E$94,MATCH($C$71,boss_input_vu_khi!$A$2:$A$94,0)),Boss_vu_khi!$L$67)/8,1))</f>
        <v/>
      </c>
      <c r="N71">
        <f>IF(INDEX(boss_input_vu_khi!$E$2:$E$94,MATCH($C$71,boss_input_vu_khi!$A$2:$A$94,0))&gt;=8,5,1)</f>
        <v/>
      </c>
      <c r="O71">
        <f>IF(MAX(INDEX(boss_input_vu_khi!$E$2:$E$94,MATCH($C$71,boss_input_vu_khi!$A$2:$A$94,0)),Boss_vu_khi!$L$67)&gt;=8,5,1)</f>
        <v/>
      </c>
      <c r="P71">
        <f>INDEX(boss_input_vu_khi_suy_ra!$H$2:$H$94,MATCH($C$71,boss_input_vu_khi_suy_ra!$A$2:$A$94,0))</f>
        <v/>
      </c>
      <c r="Q71">
        <f>IF(AND(INDEX(input_xe_tham_chieu!$G$2:$G$6,MATCH($D$71,input_xe_tham_chieu!$A$2:$A$6,0))&gt;0,INDEX(boss_input_vu_khi!$E$2:$E$94,MATCH($C$71,boss_input_vu_khi!$A$2:$A$94,0))&gt;0),INDEX(boss_input_vu_khi!$E$2:$E$94,MATCH($C$71,boss_input_vu_khi!$A$2:$A$94,0))/INDEX(input_xe_tham_chieu!$G$2:$G$6,MATCH($D$71,input_xe_tham_chieu!$A$2:$A$6,0)),"")</f>
        <v/>
      </c>
      <c r="R71">
        <f>IF(ISNUMBER($Q$71),IF($P$71&gt;=$Q$71,"DU","THIEU"),"")</f>
        <v/>
      </c>
      <c r="S71" t="inlineStr">
        <is>
          <t>Assets/MachineBrigade/Resources/Data/balance.json: vehicles[id=fenrir].weapon x 01_chien_dau/Xe_tham_chieu[main_battle_tank]</t>
        </is>
      </c>
      <c r="T71" t="inlineStr"/>
    </row>
    <row r="72">
      <c r="A72" t="inlineStr">
        <is>
          <t>fortress_bastion/armored_car</t>
        </is>
      </c>
      <c r="B72" t="inlineStr">
        <is>
          <t>fortress_bastion</t>
        </is>
      </c>
      <c r="C72" t="inlineStr">
        <is>
          <t>p26_bastion_sec_b240</t>
        </is>
      </c>
      <c r="D72" t="inlineStr">
        <is>
          <t>armored_car</t>
        </is>
      </c>
      <c r="E72">
        <f>IF(INDEX(boss_input_vu_khi_suy_ra!$D$2:$D$94,MATCH($C$72,boss_input_vu_khi_suy_ra!$A$2:$A$94,0)),INDEX(input_xe_tham_chieu!$E$2:$E$6,MATCH($D$72,input_xe_tham_chieu!$A$2:$A$6,0)),INDEX(input_xe_tham_chieu!$D$2:$D$6,MATCH($D$72,input_xe_tham_chieu!$A$2:$A$6,0)))</f>
        <v/>
      </c>
      <c r="F72">
        <f>IF(INDEX(boss_input_vu_khi_suy_ra!$E$2:$E$94,MATCH($C$72,boss_input_vu_khi_suy_ra!$A$2:$A$94,0)),INDEX(boss_input_bang_xuyen_giap!$B$2:$B$7,MIN(6,MAX(1,IF(INDEX(boss_input_vu_khi_suy_ra!$D$2:$D$94,MATCH($C$72,boss_input_vu_khi_suy_ra!$A$2:$A$94,0)),MAX(1,2-(INDEX(boss_input_vu_khi!$C$2:$C$94,MATCH($C$72,boss_input_vu_khi!$A$2:$A$94,0))-$E$72)),2-(INDEX(boss_input_vu_khi!$C$2:$C$94,MATCH($C$72,boss_input_vu_khi!$A$2:$A$94,0))-$E$72))+1)))*IF(INDEX(input_xe_tham_chieu!$F$2:$F$6,MATCH($D$72,input_xe_tham_chieu!$A$2:$A$6,0)),INDEX(boss_input_vu_khi_suy_ra!$G$2:$G$94,MATCH($C$72,boss_input_vu_khi_suy_ra!$A$2:$A$94,0)),INDEX(boss_input_vu_khi_suy_ra!$F$2:$F$94,MATCH($C$72,boss_input_vu_khi_suy_ra!$A$2:$A$94,0))),0)</f>
        <v/>
      </c>
      <c r="G72" t="n">
        <v>1</v>
      </c>
      <c r="H72">
        <f>INDEX(boss_input_vu_khi!$B$2:$B$94,MATCH($C$72,boss_input_vu_khi!$A$2:$A$94,0))*INDEX(Boss_dps!$D$2:$D$34,MATCH($B$72,Boss_dps!$A$2:$A$34,0))*IF(INDEX(boss_input_vu_khi!$D$2:$D$94,MATCH($C$72,boss_input_vu_khi!$A$2:$A$94,0)),1,INDEX(Boss_dps!$B$2:$B$34,MATCH($B$72,Boss_dps!$A$2:$A$34,0)))*INDEX(Boss_dps!$C$2:$C$34,MATCH($B$72,Boss_dps!$A$2:$A$34,0))*$F$72</f>
        <v/>
      </c>
      <c r="I72" t="n">
        <v>1540</v>
      </c>
      <c r="J72">
        <f>IF($H$72&gt;0,CEILING(INDEX(input_xe_tham_chieu!$C$2:$C$6,MATCH($D$72,input_xe_tham_chieu!$A$2:$A$6,0))/$H$72,1),"")</f>
        <v/>
      </c>
      <c r="K72">
        <f>IF(Boss_vu_khi!$S$70*$F$72&gt;0,INDEX(input_xe_tham_chieu!$C$2:$C$6,MATCH($D$72,input_xe_tham_chieu!$A$2:$A$6,0))/(Boss_vu_khi!$S$70*INDEX(Boss_dps!$D$2:$D$34,MATCH($B$72,Boss_dps!$A$2:$A$34,0))*$F$72),"")</f>
        <v/>
      </c>
      <c r="L72">
        <f>1+2*MIN(2,FLOOR(INDEX(boss_input_vu_khi!$E$2:$E$94,MATCH($C$72,boss_input_vu_khi!$A$2:$A$94,0))/8,1))</f>
        <v/>
      </c>
      <c r="M72">
        <f>1+2*MIN(2,FLOOR(MAX(INDEX(boss_input_vu_khi!$E$2:$E$94,MATCH($C$72,boss_input_vu_khi!$A$2:$A$94,0)),Boss_vu_khi!$L$70)/8,1))</f>
        <v/>
      </c>
      <c r="N72">
        <f>IF(INDEX(boss_input_vu_khi!$E$2:$E$94,MATCH($C$72,boss_input_vu_khi!$A$2:$A$94,0))&gt;=8,5,1)</f>
        <v/>
      </c>
      <c r="O72">
        <f>IF(MAX(INDEX(boss_input_vu_khi!$E$2:$E$94,MATCH($C$72,boss_input_vu_khi!$A$2:$A$94,0)),Boss_vu_khi!$L$70)&gt;=8,5,1)</f>
        <v/>
      </c>
      <c r="P72">
        <f>INDEX(boss_input_vu_khi_suy_ra!$H$2:$H$94,MATCH($C$72,boss_input_vu_khi_suy_ra!$A$2:$A$94,0))</f>
        <v/>
      </c>
      <c r="Q72">
        <f>IF(AND(INDEX(input_xe_tham_chieu!$G$2:$G$6,MATCH($D$72,input_xe_tham_chieu!$A$2:$A$6,0))&gt;0,INDEX(boss_input_vu_khi!$E$2:$E$94,MATCH($C$72,boss_input_vu_khi!$A$2:$A$94,0))&gt;0),INDEX(boss_input_vu_khi!$E$2:$E$94,MATCH($C$72,boss_input_vu_khi!$A$2:$A$94,0))/INDEX(input_xe_tham_chieu!$G$2:$G$6,MATCH($D$72,input_xe_tham_chieu!$A$2:$A$6,0)),"")</f>
        <v/>
      </c>
      <c r="R72">
        <f>IF(ISNUMBER($Q$72),IF($P$72&gt;=$Q$72,"DU","THIEU"),"")</f>
        <v/>
      </c>
      <c r="S72" t="inlineStr">
        <is>
          <t>Assets/MachineBrigade/Resources/Data/balance.json: vehicles[id=fortress_bastion].weapon x 01_chien_dau/Xe_tham_chieu[armored_car]</t>
        </is>
      </c>
      <c r="T72" t="inlineStr"/>
    </row>
    <row r="73">
      <c r="A73" t="inlineStr">
        <is>
          <t>fortress_bastion/gun_turret</t>
        </is>
      </c>
      <c r="B73" t="inlineStr">
        <is>
          <t>fortress_bastion</t>
        </is>
      </c>
      <c r="C73" t="inlineStr">
        <is>
          <t>p26_bastion_sec_b240</t>
        </is>
      </c>
      <c r="D73" t="inlineStr">
        <is>
          <t>gun_turret</t>
        </is>
      </c>
      <c r="E73">
        <f>IF(INDEX(boss_input_vu_khi_suy_ra!$D$2:$D$94,MATCH($C$73,boss_input_vu_khi_suy_ra!$A$2:$A$94,0)),INDEX(input_xe_tham_chieu!$E$2:$E$6,MATCH($D$73,input_xe_tham_chieu!$A$2:$A$6,0)),INDEX(input_xe_tham_chieu!$D$2:$D$6,MATCH($D$73,input_xe_tham_chieu!$A$2:$A$6,0)))</f>
        <v/>
      </c>
      <c r="F73">
        <f>IF(INDEX(boss_input_vu_khi_suy_ra!$E$2:$E$94,MATCH($C$73,boss_input_vu_khi_suy_ra!$A$2:$A$94,0)),INDEX(boss_input_bang_xuyen_giap!$B$2:$B$7,MIN(6,MAX(1,IF(INDEX(boss_input_vu_khi_suy_ra!$D$2:$D$94,MATCH($C$73,boss_input_vu_khi_suy_ra!$A$2:$A$94,0)),MAX(1,2-(INDEX(boss_input_vu_khi!$C$2:$C$94,MATCH($C$73,boss_input_vu_khi!$A$2:$A$94,0))-$E$73)),2-(INDEX(boss_input_vu_khi!$C$2:$C$94,MATCH($C$73,boss_input_vu_khi!$A$2:$A$94,0))-$E$73))+1)))*IF(INDEX(input_xe_tham_chieu!$F$2:$F$6,MATCH($D$73,input_xe_tham_chieu!$A$2:$A$6,0)),INDEX(boss_input_vu_khi_suy_ra!$G$2:$G$94,MATCH($C$73,boss_input_vu_khi_suy_ra!$A$2:$A$94,0)),INDEX(boss_input_vu_khi_suy_ra!$F$2:$F$94,MATCH($C$73,boss_input_vu_khi_suy_ra!$A$2:$A$94,0))),0)</f>
        <v/>
      </c>
      <c r="G73" t="n">
        <v>1.5</v>
      </c>
      <c r="H73">
        <f>INDEX(boss_input_vu_khi!$B$2:$B$94,MATCH($C$73,boss_input_vu_khi!$A$2:$A$94,0))*INDEX(Boss_dps!$D$2:$D$34,MATCH($B$73,Boss_dps!$A$2:$A$34,0))*IF(INDEX(boss_input_vu_khi!$D$2:$D$94,MATCH($C$73,boss_input_vu_khi!$A$2:$A$94,0)),1,INDEX(Boss_dps!$B$2:$B$34,MATCH($B$73,Boss_dps!$A$2:$A$34,0)))*INDEX(Boss_dps!$C$2:$C$34,MATCH($B$73,Boss_dps!$A$2:$A$34,0))*$F$73</f>
        <v/>
      </c>
      <c r="I73" t="n">
        <v>2310</v>
      </c>
      <c r="J73">
        <f>IF($H$73&gt;0,CEILING(INDEX(input_xe_tham_chieu!$C$2:$C$6,MATCH($D$73,input_xe_tham_chieu!$A$2:$A$6,0))/$H$73,1),"")</f>
        <v/>
      </c>
      <c r="K73">
        <f>IF(Boss_vu_khi!$S$70*$F$73&gt;0,INDEX(input_xe_tham_chieu!$C$2:$C$6,MATCH($D$73,input_xe_tham_chieu!$A$2:$A$6,0))/(Boss_vu_khi!$S$70*INDEX(Boss_dps!$D$2:$D$34,MATCH($B$73,Boss_dps!$A$2:$A$34,0))*$F$73),"")</f>
        <v/>
      </c>
      <c r="L73">
        <f>1+2*MIN(2,FLOOR(INDEX(boss_input_vu_khi!$E$2:$E$94,MATCH($C$73,boss_input_vu_khi!$A$2:$A$94,0))/8,1))</f>
        <v/>
      </c>
      <c r="M73">
        <f>1+2*MIN(2,FLOOR(MAX(INDEX(boss_input_vu_khi!$E$2:$E$94,MATCH($C$73,boss_input_vu_khi!$A$2:$A$94,0)),Boss_vu_khi!$L$70)/8,1))</f>
        <v/>
      </c>
      <c r="N73">
        <f>IF(INDEX(boss_input_vu_khi!$E$2:$E$94,MATCH($C$73,boss_input_vu_khi!$A$2:$A$94,0))&gt;=8,5,1)</f>
        <v/>
      </c>
      <c r="O73">
        <f>IF(MAX(INDEX(boss_input_vu_khi!$E$2:$E$94,MATCH($C$73,boss_input_vu_khi!$A$2:$A$94,0)),Boss_vu_khi!$L$70)&gt;=8,5,1)</f>
        <v/>
      </c>
      <c r="P73">
        <f>INDEX(boss_input_vu_khi_suy_ra!$H$2:$H$94,MATCH($C$73,boss_input_vu_khi_suy_ra!$A$2:$A$94,0))</f>
        <v/>
      </c>
      <c r="Q73">
        <f>IF(AND(INDEX(input_xe_tham_chieu!$G$2:$G$6,MATCH($D$73,input_xe_tham_chieu!$A$2:$A$6,0))&gt;0,INDEX(boss_input_vu_khi!$E$2:$E$94,MATCH($C$73,boss_input_vu_khi!$A$2:$A$94,0))&gt;0),INDEX(boss_input_vu_khi!$E$2:$E$94,MATCH($C$73,boss_input_vu_khi!$A$2:$A$94,0))/INDEX(input_xe_tham_chieu!$G$2:$G$6,MATCH($D$73,input_xe_tham_chieu!$A$2:$A$6,0)),"")</f>
        <v/>
      </c>
      <c r="R73">
        <f>IF(ISNUMBER($Q$73),IF($P$73&gt;=$Q$73,"DU","THIEU"),"")</f>
        <v/>
      </c>
      <c r="S73" t="inlineStr">
        <is>
          <t>Assets/MachineBrigade/Resources/Data/balance.json: vehicles[id=fortress_bastion].weapon x 01_chien_dau/Xe_tham_chieu[gun_turret]</t>
        </is>
      </c>
      <c r="T73" t="inlineStr"/>
    </row>
    <row r="74">
      <c r="A74" t="inlineStr">
        <is>
          <t>fortress_bastion/heavy_tank</t>
        </is>
      </c>
      <c r="B74" t="inlineStr">
        <is>
          <t>fortress_bastion</t>
        </is>
      </c>
      <c r="C74" t="inlineStr">
        <is>
          <t>p26_bastion_sec_b240</t>
        </is>
      </c>
      <c r="D74" t="inlineStr">
        <is>
          <t>heavy_tank</t>
        </is>
      </c>
      <c r="E74">
        <f>IF(INDEX(boss_input_vu_khi_suy_ra!$D$2:$D$94,MATCH($C$74,boss_input_vu_khi_suy_ra!$A$2:$A$94,0)),INDEX(input_xe_tham_chieu!$E$2:$E$6,MATCH($D$74,input_xe_tham_chieu!$A$2:$A$6,0)),INDEX(input_xe_tham_chieu!$D$2:$D$6,MATCH($D$74,input_xe_tham_chieu!$A$2:$A$6,0)))</f>
        <v/>
      </c>
      <c r="F74">
        <f>IF(INDEX(boss_input_vu_khi_suy_ra!$E$2:$E$94,MATCH($C$74,boss_input_vu_khi_suy_ra!$A$2:$A$94,0)),INDEX(boss_input_bang_xuyen_giap!$B$2:$B$7,MIN(6,MAX(1,IF(INDEX(boss_input_vu_khi_suy_ra!$D$2:$D$94,MATCH($C$74,boss_input_vu_khi_suy_ra!$A$2:$A$94,0)),MAX(1,2-(INDEX(boss_input_vu_khi!$C$2:$C$94,MATCH($C$74,boss_input_vu_khi!$A$2:$A$94,0))-$E$74)),2-(INDEX(boss_input_vu_khi!$C$2:$C$94,MATCH($C$74,boss_input_vu_khi!$A$2:$A$94,0))-$E$74))+1)))*IF(INDEX(input_xe_tham_chieu!$F$2:$F$6,MATCH($D$74,input_xe_tham_chieu!$A$2:$A$6,0)),INDEX(boss_input_vu_khi_suy_ra!$G$2:$G$94,MATCH($C$74,boss_input_vu_khi_suy_ra!$A$2:$A$94,0)),INDEX(boss_input_vu_khi_suy_ra!$F$2:$F$94,MATCH($C$74,boss_input_vu_khi_suy_ra!$A$2:$A$94,0))),0)</f>
        <v/>
      </c>
      <c r="G74" t="n">
        <v>1</v>
      </c>
      <c r="H74">
        <f>INDEX(boss_input_vu_khi!$B$2:$B$94,MATCH($C$74,boss_input_vu_khi!$A$2:$A$94,0))*INDEX(Boss_dps!$D$2:$D$34,MATCH($B$74,Boss_dps!$A$2:$A$34,0))*IF(INDEX(boss_input_vu_khi!$D$2:$D$94,MATCH($C$74,boss_input_vu_khi!$A$2:$A$94,0)),1,INDEX(Boss_dps!$B$2:$B$34,MATCH($B$74,Boss_dps!$A$2:$A$34,0)))*INDEX(Boss_dps!$C$2:$C$34,MATCH($B$74,Boss_dps!$A$2:$A$34,0))*$F$74</f>
        <v/>
      </c>
      <c r="I74" t="n">
        <v>1540</v>
      </c>
      <c r="J74">
        <f>IF($H$74&gt;0,CEILING(INDEX(input_xe_tham_chieu!$C$2:$C$6,MATCH($D$74,input_xe_tham_chieu!$A$2:$A$6,0))/$H$74,1),"")</f>
        <v/>
      </c>
      <c r="K74">
        <f>IF(Boss_vu_khi!$S$70*$F$74&gt;0,INDEX(input_xe_tham_chieu!$C$2:$C$6,MATCH($D$74,input_xe_tham_chieu!$A$2:$A$6,0))/(Boss_vu_khi!$S$70*INDEX(Boss_dps!$D$2:$D$34,MATCH($B$74,Boss_dps!$A$2:$A$34,0))*$F$74),"")</f>
        <v/>
      </c>
      <c r="L74">
        <f>1+2*MIN(2,FLOOR(INDEX(boss_input_vu_khi!$E$2:$E$94,MATCH($C$74,boss_input_vu_khi!$A$2:$A$94,0))/8,1))</f>
        <v/>
      </c>
      <c r="M74">
        <f>1+2*MIN(2,FLOOR(MAX(INDEX(boss_input_vu_khi!$E$2:$E$94,MATCH($C$74,boss_input_vu_khi!$A$2:$A$94,0)),Boss_vu_khi!$L$70)/8,1))</f>
        <v/>
      </c>
      <c r="N74">
        <f>IF(INDEX(boss_input_vu_khi!$E$2:$E$94,MATCH($C$74,boss_input_vu_khi!$A$2:$A$94,0))&gt;=8,5,1)</f>
        <v/>
      </c>
      <c r="O74">
        <f>IF(MAX(INDEX(boss_input_vu_khi!$E$2:$E$94,MATCH($C$74,boss_input_vu_khi!$A$2:$A$94,0)),Boss_vu_khi!$L$70)&gt;=8,5,1)</f>
        <v/>
      </c>
      <c r="P74">
        <f>INDEX(boss_input_vu_khi_suy_ra!$H$2:$H$94,MATCH($C$74,boss_input_vu_khi_suy_ra!$A$2:$A$94,0))</f>
        <v/>
      </c>
      <c r="Q74">
        <f>IF(AND(INDEX(input_xe_tham_chieu!$G$2:$G$6,MATCH($D$74,input_xe_tham_chieu!$A$2:$A$6,0))&gt;0,INDEX(boss_input_vu_khi!$E$2:$E$94,MATCH($C$74,boss_input_vu_khi!$A$2:$A$94,0))&gt;0),INDEX(boss_input_vu_khi!$E$2:$E$94,MATCH($C$74,boss_input_vu_khi!$A$2:$A$94,0))/INDEX(input_xe_tham_chieu!$G$2:$G$6,MATCH($D$74,input_xe_tham_chieu!$A$2:$A$6,0)),"")</f>
        <v/>
      </c>
      <c r="R74">
        <f>IF(ISNUMBER($Q$74),IF($P$74&gt;=$Q$74,"DU","THIEU"),"")</f>
        <v/>
      </c>
      <c r="S74" t="inlineStr">
        <is>
          <t>Assets/MachineBrigade/Resources/Data/balance.json: vehicles[id=fortress_bastion].weapon x 01_chien_dau/Xe_tham_chieu[heavy_tank]</t>
        </is>
      </c>
      <c r="T74" t="inlineStr"/>
    </row>
    <row r="75">
      <c r="A75" t="inlineStr">
        <is>
          <t>fortress_bastion/ifv</t>
        </is>
      </c>
      <c r="B75" t="inlineStr">
        <is>
          <t>fortress_bastion</t>
        </is>
      </c>
      <c r="C75" t="inlineStr">
        <is>
          <t>p26_bastion_sec_b240</t>
        </is>
      </c>
      <c r="D75" t="inlineStr">
        <is>
          <t>ifv</t>
        </is>
      </c>
      <c r="E75">
        <f>IF(INDEX(boss_input_vu_khi_suy_ra!$D$2:$D$94,MATCH($C$75,boss_input_vu_khi_suy_ra!$A$2:$A$94,0)),INDEX(input_xe_tham_chieu!$E$2:$E$6,MATCH($D$75,input_xe_tham_chieu!$A$2:$A$6,0)),INDEX(input_xe_tham_chieu!$D$2:$D$6,MATCH($D$75,input_xe_tham_chieu!$A$2:$A$6,0)))</f>
        <v/>
      </c>
      <c r="F75">
        <f>IF(INDEX(boss_input_vu_khi_suy_ra!$E$2:$E$94,MATCH($C$75,boss_input_vu_khi_suy_ra!$A$2:$A$94,0)),INDEX(boss_input_bang_xuyen_giap!$B$2:$B$7,MIN(6,MAX(1,IF(INDEX(boss_input_vu_khi_suy_ra!$D$2:$D$94,MATCH($C$75,boss_input_vu_khi_suy_ra!$A$2:$A$94,0)),MAX(1,2-(INDEX(boss_input_vu_khi!$C$2:$C$94,MATCH($C$75,boss_input_vu_khi!$A$2:$A$94,0))-$E$75)),2-(INDEX(boss_input_vu_khi!$C$2:$C$94,MATCH($C$75,boss_input_vu_khi!$A$2:$A$94,0))-$E$75))+1)))*IF(INDEX(input_xe_tham_chieu!$F$2:$F$6,MATCH($D$75,input_xe_tham_chieu!$A$2:$A$6,0)),INDEX(boss_input_vu_khi_suy_ra!$G$2:$G$94,MATCH($C$75,boss_input_vu_khi_suy_ra!$A$2:$A$94,0)),INDEX(boss_input_vu_khi_suy_ra!$F$2:$F$94,MATCH($C$75,boss_input_vu_khi_suy_ra!$A$2:$A$94,0))),0)</f>
        <v/>
      </c>
      <c r="G75" t="n">
        <v>1</v>
      </c>
      <c r="H75">
        <f>INDEX(boss_input_vu_khi!$B$2:$B$94,MATCH($C$75,boss_input_vu_khi!$A$2:$A$94,0))*INDEX(Boss_dps!$D$2:$D$34,MATCH($B$75,Boss_dps!$A$2:$A$34,0))*IF(INDEX(boss_input_vu_khi!$D$2:$D$94,MATCH($C$75,boss_input_vu_khi!$A$2:$A$94,0)),1,INDEX(Boss_dps!$B$2:$B$34,MATCH($B$75,Boss_dps!$A$2:$A$34,0)))*INDEX(Boss_dps!$C$2:$C$34,MATCH($B$75,Boss_dps!$A$2:$A$34,0))*$F$75</f>
        <v/>
      </c>
      <c r="I75" t="n">
        <v>1540</v>
      </c>
      <c r="J75">
        <f>IF($H$75&gt;0,CEILING(INDEX(input_xe_tham_chieu!$C$2:$C$6,MATCH($D$75,input_xe_tham_chieu!$A$2:$A$6,0))/$H$75,1),"")</f>
        <v/>
      </c>
      <c r="K75">
        <f>IF(Boss_vu_khi!$S$70*$F$75&gt;0,INDEX(input_xe_tham_chieu!$C$2:$C$6,MATCH($D$75,input_xe_tham_chieu!$A$2:$A$6,0))/(Boss_vu_khi!$S$70*INDEX(Boss_dps!$D$2:$D$34,MATCH($B$75,Boss_dps!$A$2:$A$34,0))*$F$75),"")</f>
        <v/>
      </c>
      <c r="L75">
        <f>1+2*MIN(2,FLOOR(INDEX(boss_input_vu_khi!$E$2:$E$94,MATCH($C$75,boss_input_vu_khi!$A$2:$A$94,0))/8,1))</f>
        <v/>
      </c>
      <c r="M75">
        <f>1+2*MIN(2,FLOOR(MAX(INDEX(boss_input_vu_khi!$E$2:$E$94,MATCH($C$75,boss_input_vu_khi!$A$2:$A$94,0)),Boss_vu_khi!$L$70)/8,1))</f>
        <v/>
      </c>
      <c r="N75">
        <f>IF(INDEX(boss_input_vu_khi!$E$2:$E$94,MATCH($C$75,boss_input_vu_khi!$A$2:$A$94,0))&gt;=8,5,1)</f>
        <v/>
      </c>
      <c r="O75">
        <f>IF(MAX(INDEX(boss_input_vu_khi!$E$2:$E$94,MATCH($C$75,boss_input_vu_khi!$A$2:$A$94,0)),Boss_vu_khi!$L$70)&gt;=8,5,1)</f>
        <v/>
      </c>
      <c r="P75">
        <f>INDEX(boss_input_vu_khi_suy_ra!$H$2:$H$94,MATCH($C$75,boss_input_vu_khi_suy_ra!$A$2:$A$94,0))</f>
        <v/>
      </c>
      <c r="Q75">
        <f>IF(AND(INDEX(input_xe_tham_chieu!$G$2:$G$6,MATCH($D$75,input_xe_tham_chieu!$A$2:$A$6,0))&gt;0,INDEX(boss_input_vu_khi!$E$2:$E$94,MATCH($C$75,boss_input_vu_khi!$A$2:$A$94,0))&gt;0),INDEX(boss_input_vu_khi!$E$2:$E$94,MATCH($C$75,boss_input_vu_khi!$A$2:$A$94,0))/INDEX(input_xe_tham_chieu!$G$2:$G$6,MATCH($D$75,input_xe_tham_chieu!$A$2:$A$6,0)),"")</f>
        <v/>
      </c>
      <c r="R75">
        <f>IF(ISNUMBER($Q$75),IF($P$75&gt;=$Q$75,"DU","THIEU"),"")</f>
        <v/>
      </c>
      <c r="S75" t="inlineStr">
        <is>
          <t>Assets/MachineBrigade/Resources/Data/balance.json: vehicles[id=fortress_bastion].weapon x 01_chien_dau/Xe_tham_chieu[ifv]</t>
        </is>
      </c>
      <c r="T75" t="inlineStr"/>
    </row>
    <row r="76">
      <c r="A76" t="inlineStr">
        <is>
          <t>fortress_bastion/main_battle_tank</t>
        </is>
      </c>
      <c r="B76" t="inlineStr">
        <is>
          <t>fortress_bastion</t>
        </is>
      </c>
      <c r="C76" t="inlineStr">
        <is>
          <t>p26_bastion_sec_b240</t>
        </is>
      </c>
      <c r="D76" t="inlineStr">
        <is>
          <t>main_battle_tank</t>
        </is>
      </c>
      <c r="E76">
        <f>IF(INDEX(boss_input_vu_khi_suy_ra!$D$2:$D$94,MATCH($C$76,boss_input_vu_khi_suy_ra!$A$2:$A$94,0)),INDEX(input_xe_tham_chieu!$E$2:$E$6,MATCH($D$76,input_xe_tham_chieu!$A$2:$A$6,0)),INDEX(input_xe_tham_chieu!$D$2:$D$6,MATCH($D$76,input_xe_tham_chieu!$A$2:$A$6,0)))</f>
        <v/>
      </c>
      <c r="F76">
        <f>IF(INDEX(boss_input_vu_khi_suy_ra!$E$2:$E$94,MATCH($C$76,boss_input_vu_khi_suy_ra!$A$2:$A$94,0)),INDEX(boss_input_bang_xuyen_giap!$B$2:$B$7,MIN(6,MAX(1,IF(INDEX(boss_input_vu_khi_suy_ra!$D$2:$D$94,MATCH($C$76,boss_input_vu_khi_suy_ra!$A$2:$A$94,0)),MAX(1,2-(INDEX(boss_input_vu_khi!$C$2:$C$94,MATCH($C$76,boss_input_vu_khi!$A$2:$A$94,0))-$E$76)),2-(INDEX(boss_input_vu_khi!$C$2:$C$94,MATCH($C$76,boss_input_vu_khi!$A$2:$A$94,0))-$E$76))+1)))*IF(INDEX(input_xe_tham_chieu!$F$2:$F$6,MATCH($D$76,input_xe_tham_chieu!$A$2:$A$6,0)),INDEX(boss_input_vu_khi_suy_ra!$G$2:$G$94,MATCH($C$76,boss_input_vu_khi_suy_ra!$A$2:$A$94,0)),INDEX(boss_input_vu_khi_suy_ra!$F$2:$F$94,MATCH($C$76,boss_input_vu_khi_suy_ra!$A$2:$A$94,0))),0)</f>
        <v/>
      </c>
      <c r="G76" t="n">
        <v>1</v>
      </c>
      <c r="H76">
        <f>INDEX(boss_input_vu_khi!$B$2:$B$94,MATCH($C$76,boss_input_vu_khi!$A$2:$A$94,0))*INDEX(Boss_dps!$D$2:$D$34,MATCH($B$76,Boss_dps!$A$2:$A$34,0))*IF(INDEX(boss_input_vu_khi!$D$2:$D$94,MATCH($C$76,boss_input_vu_khi!$A$2:$A$94,0)),1,INDEX(Boss_dps!$B$2:$B$34,MATCH($B$76,Boss_dps!$A$2:$A$34,0)))*INDEX(Boss_dps!$C$2:$C$34,MATCH($B$76,Boss_dps!$A$2:$A$34,0))*$F$76</f>
        <v/>
      </c>
      <c r="I76" t="n">
        <v>1540</v>
      </c>
      <c r="J76">
        <f>IF($H$76&gt;0,CEILING(INDEX(input_xe_tham_chieu!$C$2:$C$6,MATCH($D$76,input_xe_tham_chieu!$A$2:$A$6,0))/$H$76,1),"")</f>
        <v/>
      </c>
      <c r="K76">
        <f>IF(Boss_vu_khi!$S$70*$F$76&gt;0,INDEX(input_xe_tham_chieu!$C$2:$C$6,MATCH($D$76,input_xe_tham_chieu!$A$2:$A$6,0))/(Boss_vu_khi!$S$70*INDEX(Boss_dps!$D$2:$D$34,MATCH($B$76,Boss_dps!$A$2:$A$34,0))*$F$76),"")</f>
        <v/>
      </c>
      <c r="L76">
        <f>1+2*MIN(2,FLOOR(INDEX(boss_input_vu_khi!$E$2:$E$94,MATCH($C$76,boss_input_vu_khi!$A$2:$A$94,0))/8,1))</f>
        <v/>
      </c>
      <c r="M76">
        <f>1+2*MIN(2,FLOOR(MAX(INDEX(boss_input_vu_khi!$E$2:$E$94,MATCH($C$76,boss_input_vu_khi!$A$2:$A$94,0)),Boss_vu_khi!$L$70)/8,1))</f>
        <v/>
      </c>
      <c r="N76">
        <f>IF(INDEX(boss_input_vu_khi!$E$2:$E$94,MATCH($C$76,boss_input_vu_khi!$A$2:$A$94,0))&gt;=8,5,1)</f>
        <v/>
      </c>
      <c r="O76">
        <f>IF(MAX(INDEX(boss_input_vu_khi!$E$2:$E$94,MATCH($C$76,boss_input_vu_khi!$A$2:$A$94,0)),Boss_vu_khi!$L$70)&gt;=8,5,1)</f>
        <v/>
      </c>
      <c r="P76">
        <f>INDEX(boss_input_vu_khi_suy_ra!$H$2:$H$94,MATCH($C$76,boss_input_vu_khi_suy_ra!$A$2:$A$94,0))</f>
        <v/>
      </c>
      <c r="Q76">
        <f>IF(AND(INDEX(input_xe_tham_chieu!$G$2:$G$6,MATCH($D$76,input_xe_tham_chieu!$A$2:$A$6,0))&gt;0,INDEX(boss_input_vu_khi!$E$2:$E$94,MATCH($C$76,boss_input_vu_khi!$A$2:$A$94,0))&gt;0),INDEX(boss_input_vu_khi!$E$2:$E$94,MATCH($C$76,boss_input_vu_khi!$A$2:$A$94,0))/INDEX(input_xe_tham_chieu!$G$2:$G$6,MATCH($D$76,input_xe_tham_chieu!$A$2:$A$6,0)),"")</f>
        <v/>
      </c>
      <c r="R76">
        <f>IF(ISNUMBER($Q$76),IF($P$76&gt;=$Q$76,"DU","THIEU"),"")</f>
        <v/>
      </c>
      <c r="S76" t="inlineStr">
        <is>
          <t>Assets/MachineBrigade/Resources/Data/balance.json: vehicles[id=fortress_bastion].weapon x 01_chien_dau/Xe_tham_chieu[main_battle_tank]</t>
        </is>
      </c>
      <c r="T76" t="inlineStr"/>
    </row>
    <row r="77">
      <c r="A77" t="inlineStr">
        <is>
          <t>hydra/armored_car</t>
        </is>
      </c>
      <c r="B77" t="inlineStr">
        <is>
          <t>hydra</t>
        </is>
      </c>
      <c r="C77" t="inlineStr">
        <is>
          <t>p26_typhon_sec_ty57</t>
        </is>
      </c>
      <c r="D77" t="inlineStr">
        <is>
          <t>armored_car</t>
        </is>
      </c>
      <c r="E77">
        <f>IF(INDEX(boss_input_vu_khi_suy_ra!$D$2:$D$94,MATCH($C$77,boss_input_vu_khi_suy_ra!$A$2:$A$94,0)),INDEX(input_xe_tham_chieu!$E$2:$E$6,MATCH($D$77,input_xe_tham_chieu!$A$2:$A$6,0)),INDEX(input_xe_tham_chieu!$D$2:$D$6,MATCH($D$77,input_xe_tham_chieu!$A$2:$A$6,0)))</f>
        <v/>
      </c>
      <c r="F77">
        <f>IF(INDEX(boss_input_vu_khi_suy_ra!$E$2:$E$94,MATCH($C$77,boss_input_vu_khi_suy_ra!$A$2:$A$94,0)),INDEX(boss_input_bang_xuyen_giap!$B$2:$B$7,MIN(6,MAX(1,IF(INDEX(boss_input_vu_khi_suy_ra!$D$2:$D$94,MATCH($C$77,boss_input_vu_khi_suy_ra!$A$2:$A$94,0)),MAX(1,2-(INDEX(boss_input_vu_khi!$C$2:$C$94,MATCH($C$77,boss_input_vu_khi!$A$2:$A$94,0))-$E$77)),2-(INDEX(boss_input_vu_khi!$C$2:$C$94,MATCH($C$77,boss_input_vu_khi!$A$2:$A$94,0))-$E$77))+1)))*IF(INDEX(input_xe_tham_chieu!$F$2:$F$6,MATCH($D$77,input_xe_tham_chieu!$A$2:$A$6,0)),INDEX(boss_input_vu_khi_suy_ra!$G$2:$G$94,MATCH($C$77,boss_input_vu_khi_suy_ra!$A$2:$A$94,0)),INDEX(boss_input_vu_khi_suy_ra!$F$2:$F$94,MATCH($C$77,boss_input_vu_khi_suy_ra!$A$2:$A$94,0))),0)</f>
        <v/>
      </c>
      <c r="G77" t="n">
        <v>1.2</v>
      </c>
      <c r="H77">
        <f>INDEX(boss_input_vu_khi!$B$2:$B$94,MATCH($C$77,boss_input_vu_khi!$A$2:$A$94,0))*INDEX(Boss_dps!$D$2:$D$34,MATCH($B$77,Boss_dps!$A$2:$A$34,0))*IF(INDEX(boss_input_vu_khi!$D$2:$D$94,MATCH($C$77,boss_input_vu_khi!$A$2:$A$94,0)),1,INDEX(Boss_dps!$B$2:$B$34,MATCH($B$77,Boss_dps!$A$2:$A$34,0)))*INDEX(Boss_dps!$C$2:$C$34,MATCH($B$77,Boss_dps!$A$2:$A$34,0))*$F$77</f>
        <v/>
      </c>
      <c r="I77" t="n">
        <v>223.2576</v>
      </c>
      <c r="J77">
        <f>IF($H$77&gt;0,CEILING(INDEX(input_xe_tham_chieu!$C$2:$C$6,MATCH($D$77,input_xe_tham_chieu!$A$2:$A$6,0))/$H$77,1),"")</f>
        <v/>
      </c>
      <c r="K77">
        <f>IF(Boss_vu_khi!$S$81*$F$77&gt;0,INDEX(input_xe_tham_chieu!$C$2:$C$6,MATCH($D$77,input_xe_tham_chieu!$A$2:$A$6,0))/(Boss_vu_khi!$S$81*INDEX(Boss_dps!$D$2:$D$34,MATCH($B$77,Boss_dps!$A$2:$A$34,0))*$F$77),"")</f>
        <v/>
      </c>
      <c r="L77">
        <f>1+2*MIN(2,FLOOR(INDEX(boss_input_vu_khi!$E$2:$E$94,MATCH($C$77,boss_input_vu_khi!$A$2:$A$94,0))/8,1))</f>
        <v/>
      </c>
      <c r="M77">
        <f>1+2*MIN(2,FLOOR(MAX(INDEX(boss_input_vu_khi!$E$2:$E$94,MATCH($C$77,boss_input_vu_khi!$A$2:$A$94,0)),Boss_vu_khi!$L$81)/8,1))</f>
        <v/>
      </c>
      <c r="N77">
        <f>IF(INDEX(boss_input_vu_khi!$E$2:$E$94,MATCH($C$77,boss_input_vu_khi!$A$2:$A$94,0))&gt;=8,5,1)</f>
        <v/>
      </c>
      <c r="O77">
        <f>IF(MAX(INDEX(boss_input_vu_khi!$E$2:$E$94,MATCH($C$77,boss_input_vu_khi!$A$2:$A$94,0)),Boss_vu_khi!$L$81)&gt;=8,5,1)</f>
        <v/>
      </c>
      <c r="P77">
        <f>INDEX(boss_input_vu_khi_suy_ra!$H$2:$H$94,MATCH($C$77,boss_input_vu_khi_suy_ra!$A$2:$A$94,0))</f>
        <v/>
      </c>
      <c r="Q77">
        <f>IF(AND(INDEX(input_xe_tham_chieu!$G$2:$G$6,MATCH($D$77,input_xe_tham_chieu!$A$2:$A$6,0))&gt;0,INDEX(boss_input_vu_khi!$E$2:$E$94,MATCH($C$77,boss_input_vu_khi!$A$2:$A$94,0))&gt;0),INDEX(boss_input_vu_khi!$E$2:$E$94,MATCH($C$77,boss_input_vu_khi!$A$2:$A$94,0))/INDEX(input_xe_tham_chieu!$G$2:$G$6,MATCH($D$77,input_xe_tham_chieu!$A$2:$A$6,0)),"")</f>
        <v/>
      </c>
      <c r="R77">
        <f>IF(ISNUMBER($Q$77),IF($P$77&gt;=$Q$77,"DU","THIEU"),"")</f>
        <v/>
      </c>
      <c r="S77" t="inlineStr">
        <is>
          <t>Assets/MachineBrigade/Resources/Data/balance.json: vehicles[id=hydra].weapon x 01_chien_dau/Xe_tham_chieu[armored_car]</t>
        </is>
      </c>
      <c r="T77" t="inlineStr"/>
    </row>
    <row r="78">
      <c r="A78" t="inlineStr">
        <is>
          <t>hydra/gun_turret</t>
        </is>
      </c>
      <c r="B78" t="inlineStr">
        <is>
          <t>hydra</t>
        </is>
      </c>
      <c r="C78" t="inlineStr">
        <is>
          <t>p26_typhon_sec_ty57</t>
        </is>
      </c>
      <c r="D78" t="inlineStr">
        <is>
          <t>gun_turret</t>
        </is>
      </c>
      <c r="E78">
        <f>IF(INDEX(boss_input_vu_khi_suy_ra!$D$2:$D$94,MATCH($C$78,boss_input_vu_khi_suy_ra!$A$2:$A$94,0)),INDEX(input_xe_tham_chieu!$E$2:$E$6,MATCH($D$78,input_xe_tham_chieu!$A$2:$A$6,0)),INDEX(input_xe_tham_chieu!$D$2:$D$6,MATCH($D$78,input_xe_tham_chieu!$A$2:$A$6,0)))</f>
        <v/>
      </c>
      <c r="F78">
        <f>IF(INDEX(boss_input_vu_khi_suy_ra!$E$2:$E$94,MATCH($C$78,boss_input_vu_khi_suy_ra!$A$2:$A$94,0)),INDEX(boss_input_bang_xuyen_giap!$B$2:$B$7,MIN(6,MAX(1,IF(INDEX(boss_input_vu_khi_suy_ra!$D$2:$D$94,MATCH($C$78,boss_input_vu_khi_suy_ra!$A$2:$A$94,0)),MAX(1,2-(INDEX(boss_input_vu_khi!$C$2:$C$94,MATCH($C$78,boss_input_vu_khi!$A$2:$A$94,0))-$E$78)),2-(INDEX(boss_input_vu_khi!$C$2:$C$94,MATCH($C$78,boss_input_vu_khi!$A$2:$A$94,0))-$E$78))+1)))*IF(INDEX(input_xe_tham_chieu!$F$2:$F$6,MATCH($D$78,input_xe_tham_chieu!$A$2:$A$6,0)),INDEX(boss_input_vu_khi_suy_ra!$G$2:$G$94,MATCH($C$78,boss_input_vu_khi_suy_ra!$A$2:$A$94,0)),INDEX(boss_input_vu_khi_suy_ra!$F$2:$F$94,MATCH($C$78,boss_input_vu_khi_suy_ra!$A$2:$A$94,0))),0)</f>
        <v/>
      </c>
      <c r="G78" t="n">
        <v>1.275</v>
      </c>
      <c r="H78">
        <f>INDEX(boss_input_vu_khi!$B$2:$B$94,MATCH($C$78,boss_input_vu_khi!$A$2:$A$94,0))*INDEX(Boss_dps!$D$2:$D$34,MATCH($B$78,Boss_dps!$A$2:$A$34,0))*IF(INDEX(boss_input_vu_khi!$D$2:$D$94,MATCH($C$78,boss_input_vu_khi!$A$2:$A$94,0)),1,INDEX(Boss_dps!$B$2:$B$34,MATCH($B$78,Boss_dps!$A$2:$A$34,0)))*INDEX(Boss_dps!$C$2:$C$34,MATCH($B$78,Boss_dps!$A$2:$A$34,0))*$F$78</f>
        <v/>
      </c>
      <c r="I78" t="n">
        <v>237.2112</v>
      </c>
      <c r="J78">
        <f>IF($H$78&gt;0,CEILING(INDEX(input_xe_tham_chieu!$C$2:$C$6,MATCH($D$78,input_xe_tham_chieu!$A$2:$A$6,0))/$H$78,1),"")</f>
        <v/>
      </c>
      <c r="K78">
        <f>IF(Boss_vu_khi!$S$81*$F$78&gt;0,INDEX(input_xe_tham_chieu!$C$2:$C$6,MATCH($D$78,input_xe_tham_chieu!$A$2:$A$6,0))/(Boss_vu_khi!$S$81*INDEX(Boss_dps!$D$2:$D$34,MATCH($B$78,Boss_dps!$A$2:$A$34,0))*$F$78),"")</f>
        <v/>
      </c>
      <c r="L78">
        <f>1+2*MIN(2,FLOOR(INDEX(boss_input_vu_khi!$E$2:$E$94,MATCH($C$78,boss_input_vu_khi!$A$2:$A$94,0))/8,1))</f>
        <v/>
      </c>
      <c r="M78">
        <f>1+2*MIN(2,FLOOR(MAX(INDEX(boss_input_vu_khi!$E$2:$E$94,MATCH($C$78,boss_input_vu_khi!$A$2:$A$94,0)),Boss_vu_khi!$L$81)/8,1))</f>
        <v/>
      </c>
      <c r="N78">
        <f>IF(INDEX(boss_input_vu_khi!$E$2:$E$94,MATCH($C$78,boss_input_vu_khi!$A$2:$A$94,0))&gt;=8,5,1)</f>
        <v/>
      </c>
      <c r="O78">
        <f>IF(MAX(INDEX(boss_input_vu_khi!$E$2:$E$94,MATCH($C$78,boss_input_vu_khi!$A$2:$A$94,0)),Boss_vu_khi!$L$81)&gt;=8,5,1)</f>
        <v/>
      </c>
      <c r="P78">
        <f>INDEX(boss_input_vu_khi_suy_ra!$H$2:$H$94,MATCH($C$78,boss_input_vu_khi_suy_ra!$A$2:$A$94,0))</f>
        <v/>
      </c>
      <c r="Q78">
        <f>IF(AND(INDEX(input_xe_tham_chieu!$G$2:$G$6,MATCH($D$78,input_xe_tham_chieu!$A$2:$A$6,0))&gt;0,INDEX(boss_input_vu_khi!$E$2:$E$94,MATCH($C$78,boss_input_vu_khi!$A$2:$A$94,0))&gt;0),INDEX(boss_input_vu_khi!$E$2:$E$94,MATCH($C$78,boss_input_vu_khi!$A$2:$A$94,0))/INDEX(input_xe_tham_chieu!$G$2:$G$6,MATCH($D$78,input_xe_tham_chieu!$A$2:$A$6,0)),"")</f>
        <v/>
      </c>
      <c r="R78">
        <f>IF(ISNUMBER($Q$78),IF($P$78&gt;=$Q$78,"DU","THIEU"),"")</f>
        <v/>
      </c>
      <c r="S78" t="inlineStr">
        <is>
          <t>Assets/MachineBrigade/Resources/Data/balance.json: vehicles[id=hydra].weapon x 01_chien_dau/Xe_tham_chieu[gun_turret]</t>
        </is>
      </c>
      <c r="T78" t="inlineStr"/>
    </row>
    <row r="79">
      <c r="A79" t="inlineStr">
        <is>
          <t>hydra/heavy_tank</t>
        </is>
      </c>
      <c r="B79" t="inlineStr">
        <is>
          <t>hydra</t>
        </is>
      </c>
      <c r="C79" t="inlineStr">
        <is>
          <t>p26_typhon_sec_ty57</t>
        </is>
      </c>
      <c r="D79" t="inlineStr">
        <is>
          <t>heavy_tank</t>
        </is>
      </c>
      <c r="E79">
        <f>IF(INDEX(boss_input_vu_khi_suy_ra!$D$2:$D$94,MATCH($C$79,boss_input_vu_khi_suy_ra!$A$2:$A$94,0)),INDEX(input_xe_tham_chieu!$E$2:$E$6,MATCH($D$79,input_xe_tham_chieu!$A$2:$A$6,0)),INDEX(input_xe_tham_chieu!$D$2:$D$6,MATCH($D$79,input_xe_tham_chieu!$A$2:$A$6,0)))</f>
        <v/>
      </c>
      <c r="F79">
        <f>IF(INDEX(boss_input_vu_khi_suy_ra!$E$2:$E$94,MATCH($C$79,boss_input_vu_khi_suy_ra!$A$2:$A$94,0)),INDEX(boss_input_bang_xuyen_giap!$B$2:$B$7,MIN(6,MAX(1,IF(INDEX(boss_input_vu_khi_suy_ra!$D$2:$D$94,MATCH($C$79,boss_input_vu_khi_suy_ra!$A$2:$A$94,0)),MAX(1,2-(INDEX(boss_input_vu_khi!$C$2:$C$94,MATCH($C$79,boss_input_vu_khi!$A$2:$A$94,0))-$E$79)),2-(INDEX(boss_input_vu_khi!$C$2:$C$94,MATCH($C$79,boss_input_vu_khi!$A$2:$A$94,0))-$E$79))+1)))*IF(INDEX(input_xe_tham_chieu!$F$2:$F$6,MATCH($D$79,input_xe_tham_chieu!$A$2:$A$6,0)),INDEX(boss_input_vu_khi_suy_ra!$G$2:$G$94,MATCH($C$79,boss_input_vu_khi_suy_ra!$A$2:$A$94,0)),INDEX(boss_input_vu_khi_suy_ra!$F$2:$F$94,MATCH($C$79,boss_input_vu_khi_suy_ra!$A$2:$A$94,0))),0)</f>
        <v/>
      </c>
      <c r="G79" t="n">
        <v>0.5</v>
      </c>
      <c r="H79">
        <f>INDEX(boss_input_vu_khi!$B$2:$B$94,MATCH($C$79,boss_input_vu_khi!$A$2:$A$94,0))*INDEX(Boss_dps!$D$2:$D$34,MATCH($B$79,Boss_dps!$A$2:$A$34,0))*IF(INDEX(boss_input_vu_khi!$D$2:$D$94,MATCH($C$79,boss_input_vu_khi!$A$2:$A$94,0)),1,INDEX(Boss_dps!$B$2:$B$34,MATCH($B$79,Boss_dps!$A$2:$A$34,0)))*INDEX(Boss_dps!$C$2:$C$34,MATCH($B$79,Boss_dps!$A$2:$A$34,0))*$F$79</f>
        <v/>
      </c>
      <c r="I79" t="n">
        <v>93.024</v>
      </c>
      <c r="J79">
        <f>IF($H$79&gt;0,CEILING(INDEX(input_xe_tham_chieu!$C$2:$C$6,MATCH($D$79,input_xe_tham_chieu!$A$2:$A$6,0))/$H$79,1),"")</f>
        <v/>
      </c>
      <c r="K79">
        <f>IF(Boss_vu_khi!$S$81*$F$79&gt;0,INDEX(input_xe_tham_chieu!$C$2:$C$6,MATCH($D$79,input_xe_tham_chieu!$A$2:$A$6,0))/(Boss_vu_khi!$S$81*INDEX(Boss_dps!$D$2:$D$34,MATCH($B$79,Boss_dps!$A$2:$A$34,0))*$F$79),"")</f>
        <v/>
      </c>
      <c r="L79">
        <f>1+2*MIN(2,FLOOR(INDEX(boss_input_vu_khi!$E$2:$E$94,MATCH($C$79,boss_input_vu_khi!$A$2:$A$94,0))/8,1))</f>
        <v/>
      </c>
      <c r="M79">
        <f>1+2*MIN(2,FLOOR(MAX(INDEX(boss_input_vu_khi!$E$2:$E$94,MATCH($C$79,boss_input_vu_khi!$A$2:$A$94,0)),Boss_vu_khi!$L$81)/8,1))</f>
        <v/>
      </c>
      <c r="N79">
        <f>IF(INDEX(boss_input_vu_khi!$E$2:$E$94,MATCH($C$79,boss_input_vu_khi!$A$2:$A$94,0))&gt;=8,5,1)</f>
        <v/>
      </c>
      <c r="O79">
        <f>IF(MAX(INDEX(boss_input_vu_khi!$E$2:$E$94,MATCH($C$79,boss_input_vu_khi!$A$2:$A$94,0)),Boss_vu_khi!$L$81)&gt;=8,5,1)</f>
        <v/>
      </c>
      <c r="P79">
        <f>INDEX(boss_input_vu_khi_suy_ra!$H$2:$H$94,MATCH($C$79,boss_input_vu_khi_suy_ra!$A$2:$A$94,0))</f>
        <v/>
      </c>
      <c r="Q79">
        <f>IF(AND(INDEX(input_xe_tham_chieu!$G$2:$G$6,MATCH($D$79,input_xe_tham_chieu!$A$2:$A$6,0))&gt;0,INDEX(boss_input_vu_khi!$E$2:$E$94,MATCH($C$79,boss_input_vu_khi!$A$2:$A$94,0))&gt;0),INDEX(boss_input_vu_khi!$E$2:$E$94,MATCH($C$79,boss_input_vu_khi!$A$2:$A$94,0))/INDEX(input_xe_tham_chieu!$G$2:$G$6,MATCH($D$79,input_xe_tham_chieu!$A$2:$A$6,0)),"")</f>
        <v/>
      </c>
      <c r="R79">
        <f>IF(ISNUMBER($Q$79),IF($P$79&gt;=$Q$79,"DU","THIEU"),"")</f>
        <v/>
      </c>
      <c r="S79" t="inlineStr">
        <is>
          <t>Assets/MachineBrigade/Resources/Data/balance.json: vehicles[id=hydra].weapon x 01_chien_dau/Xe_tham_chieu[heavy_tank]</t>
        </is>
      </c>
      <c r="T79" t="inlineStr"/>
    </row>
    <row r="80">
      <c r="A80" t="inlineStr">
        <is>
          <t>hydra/ifv</t>
        </is>
      </c>
      <c r="B80" t="inlineStr">
        <is>
          <t>hydra</t>
        </is>
      </c>
      <c r="C80" t="inlineStr">
        <is>
          <t>p26_typhon_sec_ty57</t>
        </is>
      </c>
      <c r="D80" t="inlineStr">
        <is>
          <t>ifv</t>
        </is>
      </c>
      <c r="E80">
        <f>IF(INDEX(boss_input_vu_khi_suy_ra!$D$2:$D$94,MATCH($C$80,boss_input_vu_khi_suy_ra!$A$2:$A$94,0)),INDEX(input_xe_tham_chieu!$E$2:$E$6,MATCH($D$80,input_xe_tham_chieu!$A$2:$A$6,0)),INDEX(input_xe_tham_chieu!$D$2:$D$6,MATCH($D$80,input_xe_tham_chieu!$A$2:$A$6,0)))</f>
        <v/>
      </c>
      <c r="F80">
        <f>IF(INDEX(boss_input_vu_khi_suy_ra!$E$2:$E$94,MATCH($C$80,boss_input_vu_khi_suy_ra!$A$2:$A$94,0)),INDEX(boss_input_bang_xuyen_giap!$B$2:$B$7,MIN(6,MAX(1,IF(INDEX(boss_input_vu_khi_suy_ra!$D$2:$D$94,MATCH($C$80,boss_input_vu_khi_suy_ra!$A$2:$A$94,0)),MAX(1,2-(INDEX(boss_input_vu_khi!$C$2:$C$94,MATCH($C$80,boss_input_vu_khi!$A$2:$A$94,0))-$E$80)),2-(INDEX(boss_input_vu_khi!$C$2:$C$94,MATCH($C$80,boss_input_vu_khi!$A$2:$A$94,0))-$E$80))+1)))*IF(INDEX(input_xe_tham_chieu!$F$2:$F$6,MATCH($D$80,input_xe_tham_chieu!$A$2:$A$6,0)),INDEX(boss_input_vu_khi_suy_ra!$G$2:$G$94,MATCH($C$80,boss_input_vu_khi_suy_ra!$A$2:$A$94,0)),INDEX(boss_input_vu_khi_suy_ra!$F$2:$F$94,MATCH($C$80,boss_input_vu_khi_suy_ra!$A$2:$A$94,0))),0)</f>
        <v/>
      </c>
      <c r="G80" t="n">
        <v>1</v>
      </c>
      <c r="H80">
        <f>INDEX(boss_input_vu_khi!$B$2:$B$94,MATCH($C$80,boss_input_vu_khi!$A$2:$A$94,0))*INDEX(Boss_dps!$D$2:$D$34,MATCH($B$80,Boss_dps!$A$2:$A$34,0))*IF(INDEX(boss_input_vu_khi!$D$2:$D$94,MATCH($C$80,boss_input_vu_khi!$A$2:$A$94,0)),1,INDEX(Boss_dps!$B$2:$B$34,MATCH($B$80,Boss_dps!$A$2:$A$34,0)))*INDEX(Boss_dps!$C$2:$C$34,MATCH($B$80,Boss_dps!$A$2:$A$34,0))*$F$80</f>
        <v/>
      </c>
      <c r="I80" t="n">
        <v>186.048</v>
      </c>
      <c r="J80">
        <f>IF($H$80&gt;0,CEILING(INDEX(input_xe_tham_chieu!$C$2:$C$6,MATCH($D$80,input_xe_tham_chieu!$A$2:$A$6,0))/$H$80,1),"")</f>
        <v/>
      </c>
      <c r="K80">
        <f>IF(Boss_vu_khi!$S$81*$F$80&gt;0,INDEX(input_xe_tham_chieu!$C$2:$C$6,MATCH($D$80,input_xe_tham_chieu!$A$2:$A$6,0))/(Boss_vu_khi!$S$81*INDEX(Boss_dps!$D$2:$D$34,MATCH($B$80,Boss_dps!$A$2:$A$34,0))*$F$80),"")</f>
        <v/>
      </c>
      <c r="L80">
        <f>1+2*MIN(2,FLOOR(INDEX(boss_input_vu_khi!$E$2:$E$94,MATCH($C$80,boss_input_vu_khi!$A$2:$A$94,0))/8,1))</f>
        <v/>
      </c>
      <c r="M80">
        <f>1+2*MIN(2,FLOOR(MAX(INDEX(boss_input_vu_khi!$E$2:$E$94,MATCH($C$80,boss_input_vu_khi!$A$2:$A$94,0)),Boss_vu_khi!$L$81)/8,1))</f>
        <v/>
      </c>
      <c r="N80">
        <f>IF(INDEX(boss_input_vu_khi!$E$2:$E$94,MATCH($C$80,boss_input_vu_khi!$A$2:$A$94,0))&gt;=8,5,1)</f>
        <v/>
      </c>
      <c r="O80">
        <f>IF(MAX(INDEX(boss_input_vu_khi!$E$2:$E$94,MATCH($C$80,boss_input_vu_khi!$A$2:$A$94,0)),Boss_vu_khi!$L$81)&gt;=8,5,1)</f>
        <v/>
      </c>
      <c r="P80">
        <f>INDEX(boss_input_vu_khi_suy_ra!$H$2:$H$94,MATCH($C$80,boss_input_vu_khi_suy_ra!$A$2:$A$94,0))</f>
        <v/>
      </c>
      <c r="Q80">
        <f>IF(AND(INDEX(input_xe_tham_chieu!$G$2:$G$6,MATCH($D$80,input_xe_tham_chieu!$A$2:$A$6,0))&gt;0,INDEX(boss_input_vu_khi!$E$2:$E$94,MATCH($C$80,boss_input_vu_khi!$A$2:$A$94,0))&gt;0),INDEX(boss_input_vu_khi!$E$2:$E$94,MATCH($C$80,boss_input_vu_khi!$A$2:$A$94,0))/INDEX(input_xe_tham_chieu!$G$2:$G$6,MATCH($D$80,input_xe_tham_chieu!$A$2:$A$6,0)),"")</f>
        <v/>
      </c>
      <c r="R80">
        <f>IF(ISNUMBER($Q$80),IF($P$80&gt;=$Q$80,"DU","THIEU"),"")</f>
        <v/>
      </c>
      <c r="S80" t="inlineStr">
        <is>
          <t>Assets/MachineBrigade/Resources/Data/balance.json: vehicles[id=hydra].weapon x 01_chien_dau/Xe_tham_chieu[ifv]</t>
        </is>
      </c>
      <c r="T80" t="inlineStr"/>
    </row>
    <row r="81">
      <c r="A81" t="inlineStr">
        <is>
          <t>hydra/main_battle_tank</t>
        </is>
      </c>
      <c r="B81" t="inlineStr">
        <is>
          <t>hydra</t>
        </is>
      </c>
      <c r="C81" t="inlineStr">
        <is>
          <t>p26_typhon_sec_ty57</t>
        </is>
      </c>
      <c r="D81" t="inlineStr">
        <is>
          <t>main_battle_tank</t>
        </is>
      </c>
      <c r="E81">
        <f>IF(INDEX(boss_input_vu_khi_suy_ra!$D$2:$D$94,MATCH($C$81,boss_input_vu_khi_suy_ra!$A$2:$A$94,0)),INDEX(input_xe_tham_chieu!$E$2:$E$6,MATCH($D$81,input_xe_tham_chieu!$A$2:$A$6,0)),INDEX(input_xe_tham_chieu!$D$2:$D$6,MATCH($D$81,input_xe_tham_chieu!$A$2:$A$6,0)))</f>
        <v/>
      </c>
      <c r="F81">
        <f>IF(INDEX(boss_input_vu_khi_suy_ra!$E$2:$E$94,MATCH($C$81,boss_input_vu_khi_suy_ra!$A$2:$A$94,0)),INDEX(boss_input_bang_xuyen_giap!$B$2:$B$7,MIN(6,MAX(1,IF(INDEX(boss_input_vu_khi_suy_ra!$D$2:$D$94,MATCH($C$81,boss_input_vu_khi_suy_ra!$A$2:$A$94,0)),MAX(1,2-(INDEX(boss_input_vu_khi!$C$2:$C$94,MATCH($C$81,boss_input_vu_khi!$A$2:$A$94,0))-$E$81)),2-(INDEX(boss_input_vu_khi!$C$2:$C$94,MATCH($C$81,boss_input_vu_khi!$A$2:$A$94,0))-$E$81))+1)))*IF(INDEX(input_xe_tham_chieu!$F$2:$F$6,MATCH($D$81,input_xe_tham_chieu!$A$2:$A$6,0)),INDEX(boss_input_vu_khi_suy_ra!$G$2:$G$94,MATCH($C$81,boss_input_vu_khi_suy_ra!$A$2:$A$94,0)),INDEX(boss_input_vu_khi_suy_ra!$F$2:$F$94,MATCH($C$81,boss_input_vu_khi_suy_ra!$A$2:$A$94,0))),0)</f>
        <v/>
      </c>
      <c r="G81" t="n">
        <v>0.5</v>
      </c>
      <c r="H81">
        <f>INDEX(boss_input_vu_khi!$B$2:$B$94,MATCH($C$81,boss_input_vu_khi!$A$2:$A$94,0))*INDEX(Boss_dps!$D$2:$D$34,MATCH($B$81,Boss_dps!$A$2:$A$34,0))*IF(INDEX(boss_input_vu_khi!$D$2:$D$94,MATCH($C$81,boss_input_vu_khi!$A$2:$A$94,0)),1,INDEX(Boss_dps!$B$2:$B$34,MATCH($B$81,Boss_dps!$A$2:$A$34,0)))*INDEX(Boss_dps!$C$2:$C$34,MATCH($B$81,Boss_dps!$A$2:$A$34,0))*$F$81</f>
        <v/>
      </c>
      <c r="I81" t="n">
        <v>93.024</v>
      </c>
      <c r="J81">
        <f>IF($H$81&gt;0,CEILING(INDEX(input_xe_tham_chieu!$C$2:$C$6,MATCH($D$81,input_xe_tham_chieu!$A$2:$A$6,0))/$H$81,1),"")</f>
        <v/>
      </c>
      <c r="K81">
        <f>IF(Boss_vu_khi!$S$81*$F$81&gt;0,INDEX(input_xe_tham_chieu!$C$2:$C$6,MATCH($D$81,input_xe_tham_chieu!$A$2:$A$6,0))/(Boss_vu_khi!$S$81*INDEX(Boss_dps!$D$2:$D$34,MATCH($B$81,Boss_dps!$A$2:$A$34,0))*$F$81),"")</f>
        <v/>
      </c>
      <c r="L81">
        <f>1+2*MIN(2,FLOOR(INDEX(boss_input_vu_khi!$E$2:$E$94,MATCH($C$81,boss_input_vu_khi!$A$2:$A$94,0))/8,1))</f>
        <v/>
      </c>
      <c r="M81">
        <f>1+2*MIN(2,FLOOR(MAX(INDEX(boss_input_vu_khi!$E$2:$E$94,MATCH($C$81,boss_input_vu_khi!$A$2:$A$94,0)),Boss_vu_khi!$L$81)/8,1))</f>
        <v/>
      </c>
      <c r="N81">
        <f>IF(INDEX(boss_input_vu_khi!$E$2:$E$94,MATCH($C$81,boss_input_vu_khi!$A$2:$A$94,0))&gt;=8,5,1)</f>
        <v/>
      </c>
      <c r="O81">
        <f>IF(MAX(INDEX(boss_input_vu_khi!$E$2:$E$94,MATCH($C$81,boss_input_vu_khi!$A$2:$A$94,0)),Boss_vu_khi!$L$81)&gt;=8,5,1)</f>
        <v/>
      </c>
      <c r="P81">
        <f>INDEX(boss_input_vu_khi_suy_ra!$H$2:$H$94,MATCH($C$81,boss_input_vu_khi_suy_ra!$A$2:$A$94,0))</f>
        <v/>
      </c>
      <c r="Q81">
        <f>IF(AND(INDEX(input_xe_tham_chieu!$G$2:$G$6,MATCH($D$81,input_xe_tham_chieu!$A$2:$A$6,0))&gt;0,INDEX(boss_input_vu_khi!$E$2:$E$94,MATCH($C$81,boss_input_vu_khi!$A$2:$A$94,0))&gt;0),INDEX(boss_input_vu_khi!$E$2:$E$94,MATCH($C$81,boss_input_vu_khi!$A$2:$A$94,0))/INDEX(input_xe_tham_chieu!$G$2:$G$6,MATCH($D$81,input_xe_tham_chieu!$A$2:$A$6,0)),"")</f>
        <v/>
      </c>
      <c r="R81">
        <f>IF(ISNUMBER($Q$81),IF($P$81&gt;=$Q$81,"DU","THIEU"),"")</f>
        <v/>
      </c>
      <c r="S81" t="inlineStr">
        <is>
          <t>Assets/MachineBrigade/Resources/Data/balance.json: vehicles[id=hydra].weapon x 01_chien_dau/Xe_tham_chieu[main_battle_tank]</t>
        </is>
      </c>
      <c r="T81" t="inlineStr"/>
    </row>
    <row r="82">
      <c r="A82" t="inlineStr">
        <is>
          <t>hyperion/armored_car</t>
        </is>
      </c>
      <c r="B82" t="inlineStr">
        <is>
          <t>hyperion</t>
        </is>
      </c>
      <c r="C82" t="inlineStr">
        <is>
          <t>p26_icarus_sec_orbital_laser</t>
        </is>
      </c>
      <c r="D82" t="inlineStr">
        <is>
          <t>armored_car</t>
        </is>
      </c>
      <c r="E82">
        <f>IF(INDEX(boss_input_vu_khi_suy_ra!$D$2:$D$94,MATCH($C$82,boss_input_vu_khi_suy_ra!$A$2:$A$94,0)),INDEX(input_xe_tham_chieu!$E$2:$E$6,MATCH($D$82,input_xe_tham_chieu!$A$2:$A$6,0)),INDEX(input_xe_tham_chieu!$D$2:$D$6,MATCH($D$82,input_xe_tham_chieu!$A$2:$A$6,0)))</f>
        <v/>
      </c>
      <c r="F82">
        <f>IF(INDEX(boss_input_vu_khi_suy_ra!$E$2:$E$94,MATCH($C$82,boss_input_vu_khi_suy_ra!$A$2:$A$94,0)),INDEX(boss_input_bang_xuyen_giap!$B$2:$B$7,MIN(6,MAX(1,IF(INDEX(boss_input_vu_khi_suy_ra!$D$2:$D$94,MATCH($C$82,boss_input_vu_khi_suy_ra!$A$2:$A$94,0)),MAX(1,2-(INDEX(boss_input_vu_khi!$C$2:$C$94,MATCH($C$82,boss_input_vu_khi!$A$2:$A$94,0))-$E$82)),2-(INDEX(boss_input_vu_khi!$C$2:$C$94,MATCH($C$82,boss_input_vu_khi!$A$2:$A$94,0))-$E$82))+1)))*IF(INDEX(input_xe_tham_chieu!$F$2:$F$6,MATCH($D$82,input_xe_tham_chieu!$A$2:$A$6,0)),INDEX(boss_input_vu_khi_suy_ra!$G$2:$G$94,MATCH($C$82,boss_input_vu_khi_suy_ra!$A$2:$A$94,0)),INDEX(boss_input_vu_khi_suy_ra!$F$2:$F$94,MATCH($C$82,boss_input_vu_khi_suy_ra!$A$2:$A$94,0))),0)</f>
        <v/>
      </c>
      <c r="G82" t="n">
        <v>1.2</v>
      </c>
      <c r="H82">
        <f>INDEX(boss_input_vu_khi!$B$2:$B$94,MATCH($C$82,boss_input_vu_khi!$A$2:$A$94,0))*INDEX(Boss_dps!$D$2:$D$34,MATCH($B$82,Boss_dps!$A$2:$A$34,0))*IF(INDEX(boss_input_vu_khi!$D$2:$D$94,MATCH($C$82,boss_input_vu_khi!$A$2:$A$94,0)),1,INDEX(Boss_dps!$B$2:$B$34,MATCH($B$82,Boss_dps!$A$2:$A$34,0)))*INDEX(Boss_dps!$C$2:$C$34,MATCH($B$82,Boss_dps!$A$2:$A$34,0))*$F$82</f>
        <v/>
      </c>
      <c r="I82" t="n">
        <v>74.6592</v>
      </c>
      <c r="J82">
        <f>IF($H$82&gt;0,CEILING(INDEX(input_xe_tham_chieu!$C$2:$C$6,MATCH($D$82,input_xe_tham_chieu!$A$2:$A$6,0))/$H$82,1),"")</f>
        <v/>
      </c>
      <c r="K82">
        <f>IF(Boss_vu_khi!$S$84*$F$82&gt;0,INDEX(input_xe_tham_chieu!$C$2:$C$6,MATCH($D$82,input_xe_tham_chieu!$A$2:$A$6,0))/(Boss_vu_khi!$S$84*INDEX(Boss_dps!$D$2:$D$34,MATCH($B$82,Boss_dps!$A$2:$A$34,0))*$F$82),"")</f>
        <v/>
      </c>
      <c r="L82">
        <f>1+2*MIN(2,FLOOR(INDEX(boss_input_vu_khi!$E$2:$E$94,MATCH($C$82,boss_input_vu_khi!$A$2:$A$94,0))/8,1))</f>
        <v/>
      </c>
      <c r="M82">
        <f>1+2*MIN(2,FLOOR(MAX(INDEX(boss_input_vu_khi!$E$2:$E$94,MATCH($C$82,boss_input_vu_khi!$A$2:$A$94,0)),Boss_vu_khi!$L$84)/8,1))</f>
        <v/>
      </c>
      <c r="N82">
        <f>IF(INDEX(boss_input_vu_khi!$E$2:$E$94,MATCH($C$82,boss_input_vu_khi!$A$2:$A$94,0))&gt;=8,5,1)</f>
        <v/>
      </c>
      <c r="O82">
        <f>IF(MAX(INDEX(boss_input_vu_khi!$E$2:$E$94,MATCH($C$82,boss_input_vu_khi!$A$2:$A$94,0)),Boss_vu_khi!$L$84)&gt;=8,5,1)</f>
        <v/>
      </c>
      <c r="P82">
        <f>INDEX(boss_input_vu_khi_suy_ra!$H$2:$H$94,MATCH($C$82,boss_input_vu_khi_suy_ra!$A$2:$A$94,0))</f>
        <v/>
      </c>
      <c r="Q82">
        <f>IF(AND(INDEX(input_xe_tham_chieu!$G$2:$G$6,MATCH($D$82,input_xe_tham_chieu!$A$2:$A$6,0))&gt;0,INDEX(boss_input_vu_khi!$E$2:$E$94,MATCH($C$82,boss_input_vu_khi!$A$2:$A$94,0))&gt;0),INDEX(boss_input_vu_khi!$E$2:$E$94,MATCH($C$82,boss_input_vu_khi!$A$2:$A$94,0))/INDEX(input_xe_tham_chieu!$G$2:$G$6,MATCH($D$82,input_xe_tham_chieu!$A$2:$A$6,0)),"")</f>
        <v/>
      </c>
      <c r="R82">
        <f>IF(ISNUMBER($Q$82),IF($P$82&gt;=$Q$82,"DU","THIEU"),"")</f>
        <v/>
      </c>
      <c r="S82" t="inlineStr">
        <is>
          <t>Assets/MachineBrigade/Resources/Data/balance.json: vehicles[id=hyperion].weapon x 01_chien_dau/Xe_tham_chieu[armored_car]</t>
        </is>
      </c>
      <c r="T82" t="inlineStr"/>
    </row>
    <row r="83">
      <c r="A83" t="inlineStr">
        <is>
          <t>hyperion/gun_turret</t>
        </is>
      </c>
      <c r="B83" t="inlineStr">
        <is>
          <t>hyperion</t>
        </is>
      </c>
      <c r="C83" t="inlineStr">
        <is>
          <t>p26_icarus_sec_orbital_laser</t>
        </is>
      </c>
      <c r="D83" t="inlineStr">
        <is>
          <t>gun_turret</t>
        </is>
      </c>
      <c r="E83">
        <f>IF(INDEX(boss_input_vu_khi_suy_ra!$D$2:$D$94,MATCH($C$83,boss_input_vu_khi_suy_ra!$A$2:$A$94,0)),INDEX(input_xe_tham_chieu!$E$2:$E$6,MATCH($D$83,input_xe_tham_chieu!$A$2:$A$6,0)),INDEX(input_xe_tham_chieu!$D$2:$D$6,MATCH($D$83,input_xe_tham_chieu!$A$2:$A$6,0)))</f>
        <v/>
      </c>
      <c r="F83">
        <f>IF(INDEX(boss_input_vu_khi_suy_ra!$E$2:$E$94,MATCH($C$83,boss_input_vu_khi_suy_ra!$A$2:$A$94,0)),INDEX(boss_input_bang_xuyen_giap!$B$2:$B$7,MIN(6,MAX(1,IF(INDEX(boss_input_vu_khi_suy_ra!$D$2:$D$94,MATCH($C$83,boss_input_vu_khi_suy_ra!$A$2:$A$94,0)),MAX(1,2-(INDEX(boss_input_vu_khi!$C$2:$C$94,MATCH($C$83,boss_input_vu_khi!$A$2:$A$94,0))-$E$83)),2-(INDEX(boss_input_vu_khi!$C$2:$C$94,MATCH($C$83,boss_input_vu_khi!$A$2:$A$94,0))-$E$83))+1)))*IF(INDEX(input_xe_tham_chieu!$F$2:$F$6,MATCH($D$83,input_xe_tham_chieu!$A$2:$A$6,0)),INDEX(boss_input_vu_khi_suy_ra!$G$2:$G$94,MATCH($C$83,boss_input_vu_khi_suy_ra!$A$2:$A$94,0)),INDEX(boss_input_vu_khi_suy_ra!$F$2:$F$94,MATCH($C$83,boss_input_vu_khi_suy_ra!$A$2:$A$94,0))),0)</f>
        <v/>
      </c>
      <c r="G83" t="n">
        <v>0.5</v>
      </c>
      <c r="H83">
        <f>INDEX(boss_input_vu_khi!$B$2:$B$94,MATCH($C$83,boss_input_vu_khi!$A$2:$A$94,0))*INDEX(Boss_dps!$D$2:$D$34,MATCH($B$83,Boss_dps!$A$2:$A$34,0))*IF(INDEX(boss_input_vu_khi!$D$2:$D$94,MATCH($C$83,boss_input_vu_khi!$A$2:$A$94,0)),1,INDEX(Boss_dps!$B$2:$B$34,MATCH($B$83,Boss_dps!$A$2:$A$34,0)))*INDEX(Boss_dps!$C$2:$C$34,MATCH($B$83,Boss_dps!$A$2:$A$34,0))*$F$83</f>
        <v/>
      </c>
      <c r="I83" t="n">
        <v>31.108</v>
      </c>
      <c r="J83">
        <f>IF($H$83&gt;0,CEILING(INDEX(input_xe_tham_chieu!$C$2:$C$6,MATCH($D$83,input_xe_tham_chieu!$A$2:$A$6,0))/$H$83,1),"")</f>
        <v/>
      </c>
      <c r="K83">
        <f>IF(Boss_vu_khi!$S$84*$F$83&gt;0,INDEX(input_xe_tham_chieu!$C$2:$C$6,MATCH($D$83,input_xe_tham_chieu!$A$2:$A$6,0))/(Boss_vu_khi!$S$84*INDEX(Boss_dps!$D$2:$D$34,MATCH($B$83,Boss_dps!$A$2:$A$34,0))*$F$83),"")</f>
        <v/>
      </c>
      <c r="L83">
        <f>1+2*MIN(2,FLOOR(INDEX(boss_input_vu_khi!$E$2:$E$94,MATCH($C$83,boss_input_vu_khi!$A$2:$A$94,0))/8,1))</f>
        <v/>
      </c>
      <c r="M83">
        <f>1+2*MIN(2,FLOOR(MAX(INDEX(boss_input_vu_khi!$E$2:$E$94,MATCH($C$83,boss_input_vu_khi!$A$2:$A$94,0)),Boss_vu_khi!$L$84)/8,1))</f>
        <v/>
      </c>
      <c r="N83">
        <f>IF(INDEX(boss_input_vu_khi!$E$2:$E$94,MATCH($C$83,boss_input_vu_khi!$A$2:$A$94,0))&gt;=8,5,1)</f>
        <v/>
      </c>
      <c r="O83">
        <f>IF(MAX(INDEX(boss_input_vu_khi!$E$2:$E$94,MATCH($C$83,boss_input_vu_khi!$A$2:$A$94,0)),Boss_vu_khi!$L$84)&gt;=8,5,1)</f>
        <v/>
      </c>
      <c r="P83">
        <f>INDEX(boss_input_vu_khi_suy_ra!$H$2:$H$94,MATCH($C$83,boss_input_vu_khi_suy_ra!$A$2:$A$94,0))</f>
        <v/>
      </c>
      <c r="Q83">
        <f>IF(AND(INDEX(input_xe_tham_chieu!$G$2:$G$6,MATCH($D$83,input_xe_tham_chieu!$A$2:$A$6,0))&gt;0,INDEX(boss_input_vu_khi!$E$2:$E$94,MATCH($C$83,boss_input_vu_khi!$A$2:$A$94,0))&gt;0),INDEX(boss_input_vu_khi!$E$2:$E$94,MATCH($C$83,boss_input_vu_khi!$A$2:$A$94,0))/INDEX(input_xe_tham_chieu!$G$2:$G$6,MATCH($D$83,input_xe_tham_chieu!$A$2:$A$6,0)),"")</f>
        <v/>
      </c>
      <c r="R83">
        <f>IF(ISNUMBER($Q$83),IF($P$83&gt;=$Q$83,"DU","THIEU"),"")</f>
        <v/>
      </c>
      <c r="S83" t="inlineStr">
        <is>
          <t>Assets/MachineBrigade/Resources/Data/balance.json: vehicles[id=hyperion].weapon x 01_chien_dau/Xe_tham_chieu[gun_turret]</t>
        </is>
      </c>
      <c r="T83" t="inlineStr"/>
    </row>
    <row r="84">
      <c r="A84" t="inlineStr">
        <is>
          <t>hyperion/heavy_tank</t>
        </is>
      </c>
      <c r="B84" t="inlineStr">
        <is>
          <t>hyperion</t>
        </is>
      </c>
      <c r="C84" t="inlineStr">
        <is>
          <t>p26_icarus_sec_orbital_laser</t>
        </is>
      </c>
      <c r="D84" t="inlineStr">
        <is>
          <t>heavy_tank</t>
        </is>
      </c>
      <c r="E84">
        <f>IF(INDEX(boss_input_vu_khi_suy_ra!$D$2:$D$94,MATCH($C$84,boss_input_vu_khi_suy_ra!$A$2:$A$94,0)),INDEX(input_xe_tham_chieu!$E$2:$E$6,MATCH($D$84,input_xe_tham_chieu!$A$2:$A$6,0)),INDEX(input_xe_tham_chieu!$D$2:$D$6,MATCH($D$84,input_xe_tham_chieu!$A$2:$A$6,0)))</f>
        <v/>
      </c>
      <c r="F84">
        <f>IF(INDEX(boss_input_vu_khi_suy_ra!$E$2:$E$94,MATCH($C$84,boss_input_vu_khi_suy_ra!$A$2:$A$94,0)),INDEX(boss_input_bang_xuyen_giap!$B$2:$B$7,MIN(6,MAX(1,IF(INDEX(boss_input_vu_khi_suy_ra!$D$2:$D$94,MATCH($C$84,boss_input_vu_khi_suy_ra!$A$2:$A$94,0)),MAX(1,2-(INDEX(boss_input_vu_khi!$C$2:$C$94,MATCH($C$84,boss_input_vu_khi!$A$2:$A$94,0))-$E$84)),2-(INDEX(boss_input_vu_khi!$C$2:$C$94,MATCH($C$84,boss_input_vu_khi!$A$2:$A$94,0))-$E$84))+1)))*IF(INDEX(input_xe_tham_chieu!$F$2:$F$6,MATCH($D$84,input_xe_tham_chieu!$A$2:$A$6,0)),INDEX(boss_input_vu_khi_suy_ra!$G$2:$G$94,MATCH($C$84,boss_input_vu_khi_suy_ra!$A$2:$A$94,0)),INDEX(boss_input_vu_khi_suy_ra!$F$2:$F$94,MATCH($C$84,boss_input_vu_khi_suy_ra!$A$2:$A$94,0))),0)</f>
        <v/>
      </c>
      <c r="G84" t="n">
        <v>0.85</v>
      </c>
      <c r="H84">
        <f>INDEX(boss_input_vu_khi!$B$2:$B$94,MATCH($C$84,boss_input_vu_khi!$A$2:$A$94,0))*INDEX(Boss_dps!$D$2:$D$34,MATCH($B$84,Boss_dps!$A$2:$A$34,0))*IF(INDEX(boss_input_vu_khi!$D$2:$D$94,MATCH($C$84,boss_input_vu_khi!$A$2:$A$94,0)),1,INDEX(Boss_dps!$B$2:$B$34,MATCH($B$84,Boss_dps!$A$2:$A$34,0)))*INDEX(Boss_dps!$C$2:$C$34,MATCH($B$84,Boss_dps!$A$2:$A$34,0))*$F$84</f>
        <v/>
      </c>
      <c r="I84" t="n">
        <v>52.8836</v>
      </c>
      <c r="J84">
        <f>IF($H$84&gt;0,CEILING(INDEX(input_xe_tham_chieu!$C$2:$C$6,MATCH($D$84,input_xe_tham_chieu!$A$2:$A$6,0))/$H$84,1),"")</f>
        <v/>
      </c>
      <c r="K84">
        <f>IF(Boss_vu_khi!$S$84*$F$84&gt;0,INDEX(input_xe_tham_chieu!$C$2:$C$6,MATCH($D$84,input_xe_tham_chieu!$A$2:$A$6,0))/(Boss_vu_khi!$S$84*INDEX(Boss_dps!$D$2:$D$34,MATCH($B$84,Boss_dps!$A$2:$A$34,0))*$F$84),"")</f>
        <v/>
      </c>
      <c r="L84">
        <f>1+2*MIN(2,FLOOR(INDEX(boss_input_vu_khi!$E$2:$E$94,MATCH($C$84,boss_input_vu_khi!$A$2:$A$94,0))/8,1))</f>
        <v/>
      </c>
      <c r="M84">
        <f>1+2*MIN(2,FLOOR(MAX(INDEX(boss_input_vu_khi!$E$2:$E$94,MATCH($C$84,boss_input_vu_khi!$A$2:$A$94,0)),Boss_vu_khi!$L$84)/8,1))</f>
        <v/>
      </c>
      <c r="N84">
        <f>IF(INDEX(boss_input_vu_khi!$E$2:$E$94,MATCH($C$84,boss_input_vu_khi!$A$2:$A$94,0))&gt;=8,5,1)</f>
        <v/>
      </c>
      <c r="O84">
        <f>IF(MAX(INDEX(boss_input_vu_khi!$E$2:$E$94,MATCH($C$84,boss_input_vu_khi!$A$2:$A$94,0)),Boss_vu_khi!$L$84)&gt;=8,5,1)</f>
        <v/>
      </c>
      <c r="P84">
        <f>INDEX(boss_input_vu_khi_suy_ra!$H$2:$H$94,MATCH($C$84,boss_input_vu_khi_suy_ra!$A$2:$A$94,0))</f>
        <v/>
      </c>
      <c r="Q84">
        <f>IF(AND(INDEX(input_xe_tham_chieu!$G$2:$G$6,MATCH($D$84,input_xe_tham_chieu!$A$2:$A$6,0))&gt;0,INDEX(boss_input_vu_khi!$E$2:$E$94,MATCH($C$84,boss_input_vu_khi!$A$2:$A$94,0))&gt;0),INDEX(boss_input_vu_khi!$E$2:$E$94,MATCH($C$84,boss_input_vu_khi!$A$2:$A$94,0))/INDEX(input_xe_tham_chieu!$G$2:$G$6,MATCH($D$84,input_xe_tham_chieu!$A$2:$A$6,0)),"")</f>
        <v/>
      </c>
      <c r="R84">
        <f>IF(ISNUMBER($Q$84),IF($P$84&gt;=$Q$84,"DU","THIEU"),"")</f>
        <v/>
      </c>
      <c r="S84" t="inlineStr">
        <is>
          <t>Assets/MachineBrigade/Resources/Data/balance.json: vehicles[id=hyperion].weapon x 01_chien_dau/Xe_tham_chieu[heavy_tank]</t>
        </is>
      </c>
      <c r="T84" t="inlineStr"/>
    </row>
    <row r="85">
      <c r="A85" t="inlineStr">
        <is>
          <t>hyperion/ifv</t>
        </is>
      </c>
      <c r="B85" t="inlineStr">
        <is>
          <t>hyperion</t>
        </is>
      </c>
      <c r="C85" t="inlineStr">
        <is>
          <t>p26_icarus_sec_orbital_laser</t>
        </is>
      </c>
      <c r="D85" t="inlineStr">
        <is>
          <t>ifv</t>
        </is>
      </c>
      <c r="E85">
        <f>IF(INDEX(boss_input_vu_khi_suy_ra!$D$2:$D$94,MATCH($C$85,boss_input_vu_khi_suy_ra!$A$2:$A$94,0)),INDEX(input_xe_tham_chieu!$E$2:$E$6,MATCH($D$85,input_xe_tham_chieu!$A$2:$A$6,0)),INDEX(input_xe_tham_chieu!$D$2:$D$6,MATCH($D$85,input_xe_tham_chieu!$A$2:$A$6,0)))</f>
        <v/>
      </c>
      <c r="F85">
        <f>IF(INDEX(boss_input_vu_khi_suy_ra!$E$2:$E$94,MATCH($C$85,boss_input_vu_khi_suy_ra!$A$2:$A$94,0)),INDEX(boss_input_bang_xuyen_giap!$B$2:$B$7,MIN(6,MAX(1,IF(INDEX(boss_input_vu_khi_suy_ra!$D$2:$D$94,MATCH($C$85,boss_input_vu_khi_suy_ra!$A$2:$A$94,0)),MAX(1,2-(INDEX(boss_input_vu_khi!$C$2:$C$94,MATCH($C$85,boss_input_vu_khi!$A$2:$A$94,0))-$E$85)),2-(INDEX(boss_input_vu_khi!$C$2:$C$94,MATCH($C$85,boss_input_vu_khi!$A$2:$A$94,0))-$E$85))+1)))*IF(INDEX(input_xe_tham_chieu!$F$2:$F$6,MATCH($D$85,input_xe_tham_chieu!$A$2:$A$6,0)),INDEX(boss_input_vu_khi_suy_ra!$G$2:$G$94,MATCH($C$85,boss_input_vu_khi_suy_ra!$A$2:$A$94,0)),INDEX(boss_input_vu_khi_suy_ra!$F$2:$F$94,MATCH($C$85,boss_input_vu_khi_suy_ra!$A$2:$A$94,0))),0)</f>
        <v/>
      </c>
      <c r="G85" t="n">
        <v>1.2</v>
      </c>
      <c r="H85">
        <f>INDEX(boss_input_vu_khi!$B$2:$B$94,MATCH($C$85,boss_input_vu_khi!$A$2:$A$94,0))*INDEX(Boss_dps!$D$2:$D$34,MATCH($B$85,Boss_dps!$A$2:$A$34,0))*IF(INDEX(boss_input_vu_khi!$D$2:$D$94,MATCH($C$85,boss_input_vu_khi!$A$2:$A$94,0)),1,INDEX(Boss_dps!$B$2:$B$34,MATCH($B$85,Boss_dps!$A$2:$A$34,0)))*INDEX(Boss_dps!$C$2:$C$34,MATCH($B$85,Boss_dps!$A$2:$A$34,0))*$F$85</f>
        <v/>
      </c>
      <c r="I85" t="n">
        <v>74.6592</v>
      </c>
      <c r="J85">
        <f>IF($H$85&gt;0,CEILING(INDEX(input_xe_tham_chieu!$C$2:$C$6,MATCH($D$85,input_xe_tham_chieu!$A$2:$A$6,0))/$H$85,1),"")</f>
        <v/>
      </c>
      <c r="K85">
        <f>IF(Boss_vu_khi!$S$84*$F$85&gt;0,INDEX(input_xe_tham_chieu!$C$2:$C$6,MATCH($D$85,input_xe_tham_chieu!$A$2:$A$6,0))/(Boss_vu_khi!$S$84*INDEX(Boss_dps!$D$2:$D$34,MATCH($B$85,Boss_dps!$A$2:$A$34,0))*$F$85),"")</f>
        <v/>
      </c>
      <c r="L85">
        <f>1+2*MIN(2,FLOOR(INDEX(boss_input_vu_khi!$E$2:$E$94,MATCH($C$85,boss_input_vu_khi!$A$2:$A$94,0))/8,1))</f>
        <v/>
      </c>
      <c r="M85">
        <f>1+2*MIN(2,FLOOR(MAX(INDEX(boss_input_vu_khi!$E$2:$E$94,MATCH($C$85,boss_input_vu_khi!$A$2:$A$94,0)),Boss_vu_khi!$L$84)/8,1))</f>
        <v/>
      </c>
      <c r="N85">
        <f>IF(INDEX(boss_input_vu_khi!$E$2:$E$94,MATCH($C$85,boss_input_vu_khi!$A$2:$A$94,0))&gt;=8,5,1)</f>
        <v/>
      </c>
      <c r="O85">
        <f>IF(MAX(INDEX(boss_input_vu_khi!$E$2:$E$94,MATCH($C$85,boss_input_vu_khi!$A$2:$A$94,0)),Boss_vu_khi!$L$84)&gt;=8,5,1)</f>
        <v/>
      </c>
      <c r="P85">
        <f>INDEX(boss_input_vu_khi_suy_ra!$H$2:$H$94,MATCH($C$85,boss_input_vu_khi_suy_ra!$A$2:$A$94,0))</f>
        <v/>
      </c>
      <c r="Q85">
        <f>IF(AND(INDEX(input_xe_tham_chieu!$G$2:$G$6,MATCH($D$85,input_xe_tham_chieu!$A$2:$A$6,0))&gt;0,INDEX(boss_input_vu_khi!$E$2:$E$94,MATCH($C$85,boss_input_vu_khi!$A$2:$A$94,0))&gt;0),INDEX(boss_input_vu_khi!$E$2:$E$94,MATCH($C$85,boss_input_vu_khi!$A$2:$A$94,0))/INDEX(input_xe_tham_chieu!$G$2:$G$6,MATCH($D$85,input_xe_tham_chieu!$A$2:$A$6,0)),"")</f>
        <v/>
      </c>
      <c r="R85">
        <f>IF(ISNUMBER($Q$85),IF($P$85&gt;=$Q$85,"DU","THIEU"),"")</f>
        <v/>
      </c>
      <c r="S85" t="inlineStr">
        <is>
          <t>Assets/MachineBrigade/Resources/Data/balance.json: vehicles[id=hyperion].weapon x 01_chien_dau/Xe_tham_chieu[ifv]</t>
        </is>
      </c>
      <c r="T85" t="inlineStr"/>
    </row>
    <row r="86">
      <c r="A86" t="inlineStr">
        <is>
          <t>hyperion/main_battle_tank</t>
        </is>
      </c>
      <c r="B86" t="inlineStr">
        <is>
          <t>hyperion</t>
        </is>
      </c>
      <c r="C86" t="inlineStr">
        <is>
          <t>p26_icarus_sec_orbital_laser</t>
        </is>
      </c>
      <c r="D86" t="inlineStr">
        <is>
          <t>main_battle_tank</t>
        </is>
      </c>
      <c r="E86">
        <f>IF(INDEX(boss_input_vu_khi_suy_ra!$D$2:$D$94,MATCH($C$86,boss_input_vu_khi_suy_ra!$A$2:$A$94,0)),INDEX(input_xe_tham_chieu!$E$2:$E$6,MATCH($D$86,input_xe_tham_chieu!$A$2:$A$6,0)),INDEX(input_xe_tham_chieu!$D$2:$D$6,MATCH($D$86,input_xe_tham_chieu!$A$2:$A$6,0)))</f>
        <v/>
      </c>
      <c r="F86">
        <f>IF(INDEX(boss_input_vu_khi_suy_ra!$E$2:$E$94,MATCH($C$86,boss_input_vu_khi_suy_ra!$A$2:$A$94,0)),INDEX(boss_input_bang_xuyen_giap!$B$2:$B$7,MIN(6,MAX(1,IF(INDEX(boss_input_vu_khi_suy_ra!$D$2:$D$94,MATCH($C$86,boss_input_vu_khi_suy_ra!$A$2:$A$94,0)),MAX(1,2-(INDEX(boss_input_vu_khi!$C$2:$C$94,MATCH($C$86,boss_input_vu_khi!$A$2:$A$94,0))-$E$86)),2-(INDEX(boss_input_vu_khi!$C$2:$C$94,MATCH($C$86,boss_input_vu_khi!$A$2:$A$94,0))-$E$86))+1)))*IF(INDEX(input_xe_tham_chieu!$F$2:$F$6,MATCH($D$86,input_xe_tham_chieu!$A$2:$A$6,0)),INDEX(boss_input_vu_khi_suy_ra!$G$2:$G$94,MATCH($C$86,boss_input_vu_khi_suy_ra!$A$2:$A$94,0)),INDEX(boss_input_vu_khi_suy_ra!$F$2:$F$94,MATCH($C$86,boss_input_vu_khi_suy_ra!$A$2:$A$94,0))),0)</f>
        <v/>
      </c>
      <c r="G86" t="n">
        <v>0.85</v>
      </c>
      <c r="H86">
        <f>INDEX(boss_input_vu_khi!$B$2:$B$94,MATCH($C$86,boss_input_vu_khi!$A$2:$A$94,0))*INDEX(Boss_dps!$D$2:$D$34,MATCH($B$86,Boss_dps!$A$2:$A$34,0))*IF(INDEX(boss_input_vu_khi!$D$2:$D$94,MATCH($C$86,boss_input_vu_khi!$A$2:$A$94,0)),1,INDEX(Boss_dps!$B$2:$B$34,MATCH($B$86,Boss_dps!$A$2:$A$34,0)))*INDEX(Boss_dps!$C$2:$C$34,MATCH($B$86,Boss_dps!$A$2:$A$34,0))*$F$86</f>
        <v/>
      </c>
      <c r="I86" t="n">
        <v>52.8836</v>
      </c>
      <c r="J86">
        <f>IF($H$86&gt;0,CEILING(INDEX(input_xe_tham_chieu!$C$2:$C$6,MATCH($D$86,input_xe_tham_chieu!$A$2:$A$6,0))/$H$86,1),"")</f>
        <v/>
      </c>
      <c r="K86">
        <f>IF(Boss_vu_khi!$S$84*$F$86&gt;0,INDEX(input_xe_tham_chieu!$C$2:$C$6,MATCH($D$86,input_xe_tham_chieu!$A$2:$A$6,0))/(Boss_vu_khi!$S$84*INDEX(Boss_dps!$D$2:$D$34,MATCH($B$86,Boss_dps!$A$2:$A$34,0))*$F$86),"")</f>
        <v/>
      </c>
      <c r="L86">
        <f>1+2*MIN(2,FLOOR(INDEX(boss_input_vu_khi!$E$2:$E$94,MATCH($C$86,boss_input_vu_khi!$A$2:$A$94,0))/8,1))</f>
        <v/>
      </c>
      <c r="M86">
        <f>1+2*MIN(2,FLOOR(MAX(INDEX(boss_input_vu_khi!$E$2:$E$94,MATCH($C$86,boss_input_vu_khi!$A$2:$A$94,0)),Boss_vu_khi!$L$84)/8,1))</f>
        <v/>
      </c>
      <c r="N86">
        <f>IF(INDEX(boss_input_vu_khi!$E$2:$E$94,MATCH($C$86,boss_input_vu_khi!$A$2:$A$94,0))&gt;=8,5,1)</f>
        <v/>
      </c>
      <c r="O86">
        <f>IF(MAX(INDEX(boss_input_vu_khi!$E$2:$E$94,MATCH($C$86,boss_input_vu_khi!$A$2:$A$94,0)),Boss_vu_khi!$L$84)&gt;=8,5,1)</f>
        <v/>
      </c>
      <c r="P86">
        <f>INDEX(boss_input_vu_khi_suy_ra!$H$2:$H$94,MATCH($C$86,boss_input_vu_khi_suy_ra!$A$2:$A$94,0))</f>
        <v/>
      </c>
      <c r="Q86">
        <f>IF(AND(INDEX(input_xe_tham_chieu!$G$2:$G$6,MATCH($D$86,input_xe_tham_chieu!$A$2:$A$6,0))&gt;0,INDEX(boss_input_vu_khi!$E$2:$E$94,MATCH($C$86,boss_input_vu_khi!$A$2:$A$94,0))&gt;0),INDEX(boss_input_vu_khi!$E$2:$E$94,MATCH($C$86,boss_input_vu_khi!$A$2:$A$94,0))/INDEX(input_xe_tham_chieu!$G$2:$G$6,MATCH($D$86,input_xe_tham_chieu!$A$2:$A$6,0)),"")</f>
        <v/>
      </c>
      <c r="R86">
        <f>IF(ISNUMBER($Q$86),IF($P$86&gt;=$Q$86,"DU","THIEU"),"")</f>
        <v/>
      </c>
      <c r="S86" t="inlineStr">
        <is>
          <t>Assets/MachineBrigade/Resources/Data/balance.json: vehicles[id=hyperion].weapon x 01_chien_dau/Xe_tham_chieu[main_battle_tank]</t>
        </is>
      </c>
      <c r="T86" t="inlineStr"/>
    </row>
    <row r="87">
      <c r="A87" t="inlineStr">
        <is>
          <t>icarus_mk0/armored_car</t>
        </is>
      </c>
      <c r="B87" t="inlineStr">
        <is>
          <t>icarus_mk0</t>
        </is>
      </c>
      <c r="C87" t="inlineStr">
        <is>
          <t>p26_icarus_sec_orbital_laser</t>
        </is>
      </c>
      <c r="D87" t="inlineStr">
        <is>
          <t>armored_car</t>
        </is>
      </c>
      <c r="E87">
        <f>IF(INDEX(boss_input_vu_khi_suy_ra!$D$2:$D$94,MATCH($C$87,boss_input_vu_khi_suy_ra!$A$2:$A$94,0)),INDEX(input_xe_tham_chieu!$E$2:$E$6,MATCH($D$87,input_xe_tham_chieu!$A$2:$A$6,0)),INDEX(input_xe_tham_chieu!$D$2:$D$6,MATCH($D$87,input_xe_tham_chieu!$A$2:$A$6,0)))</f>
        <v/>
      </c>
      <c r="F87">
        <f>IF(INDEX(boss_input_vu_khi_suy_ra!$E$2:$E$94,MATCH($C$87,boss_input_vu_khi_suy_ra!$A$2:$A$94,0)),INDEX(boss_input_bang_xuyen_giap!$B$2:$B$7,MIN(6,MAX(1,IF(INDEX(boss_input_vu_khi_suy_ra!$D$2:$D$94,MATCH($C$87,boss_input_vu_khi_suy_ra!$A$2:$A$94,0)),MAX(1,2-(INDEX(boss_input_vu_khi!$C$2:$C$94,MATCH($C$87,boss_input_vu_khi!$A$2:$A$94,0))-$E$87)),2-(INDEX(boss_input_vu_khi!$C$2:$C$94,MATCH($C$87,boss_input_vu_khi!$A$2:$A$94,0))-$E$87))+1)))*IF(INDEX(input_xe_tham_chieu!$F$2:$F$6,MATCH($D$87,input_xe_tham_chieu!$A$2:$A$6,0)),INDEX(boss_input_vu_khi_suy_ra!$G$2:$G$94,MATCH($C$87,boss_input_vu_khi_suy_ra!$A$2:$A$94,0)),INDEX(boss_input_vu_khi_suy_ra!$F$2:$F$94,MATCH($C$87,boss_input_vu_khi_suy_ra!$A$2:$A$94,0))),0)</f>
        <v/>
      </c>
      <c r="G87" t="n">
        <v>1.2</v>
      </c>
      <c r="H87">
        <f>INDEX(boss_input_vu_khi!$B$2:$B$94,MATCH($C$87,boss_input_vu_khi!$A$2:$A$94,0))*INDEX(Boss_dps!$D$2:$D$34,MATCH($B$87,Boss_dps!$A$2:$A$34,0))*IF(INDEX(boss_input_vu_khi!$D$2:$D$94,MATCH($C$87,boss_input_vu_khi!$A$2:$A$94,0)),1,INDEX(Boss_dps!$B$2:$B$34,MATCH($B$87,Boss_dps!$A$2:$A$34,0)))*INDEX(Boss_dps!$C$2:$C$34,MATCH($B$87,Boss_dps!$A$2:$A$34,0))*$F$87</f>
        <v/>
      </c>
      <c r="I87" t="n">
        <v>131.04</v>
      </c>
      <c r="J87">
        <f>IF($H$87&gt;0,CEILING(INDEX(input_xe_tham_chieu!$C$2:$C$6,MATCH($D$87,input_xe_tham_chieu!$A$2:$A$6,0))/$H$87,1),"")</f>
        <v/>
      </c>
      <c r="K87">
        <f>IF(Boss_vu_khi!$S$93*$F$87&gt;0,INDEX(input_xe_tham_chieu!$C$2:$C$6,MATCH($D$87,input_xe_tham_chieu!$A$2:$A$6,0))/(Boss_vu_khi!$S$93*INDEX(Boss_dps!$D$2:$D$34,MATCH($B$87,Boss_dps!$A$2:$A$34,0))*$F$87),"")</f>
        <v/>
      </c>
      <c r="L87">
        <f>1+2*MIN(2,FLOOR(INDEX(boss_input_vu_khi!$E$2:$E$94,MATCH($C$87,boss_input_vu_khi!$A$2:$A$94,0))/8,1))</f>
        <v/>
      </c>
      <c r="M87">
        <f>1+2*MIN(2,FLOOR(MAX(INDEX(boss_input_vu_khi!$E$2:$E$94,MATCH($C$87,boss_input_vu_khi!$A$2:$A$94,0)),Boss_vu_khi!$L$93)/8,1))</f>
        <v/>
      </c>
      <c r="N87">
        <f>IF(INDEX(boss_input_vu_khi!$E$2:$E$94,MATCH($C$87,boss_input_vu_khi!$A$2:$A$94,0))&gt;=8,5,1)</f>
        <v/>
      </c>
      <c r="O87">
        <f>IF(MAX(INDEX(boss_input_vu_khi!$E$2:$E$94,MATCH($C$87,boss_input_vu_khi!$A$2:$A$94,0)),Boss_vu_khi!$L$93)&gt;=8,5,1)</f>
        <v/>
      </c>
      <c r="P87">
        <f>INDEX(boss_input_vu_khi_suy_ra!$H$2:$H$94,MATCH($C$87,boss_input_vu_khi_suy_ra!$A$2:$A$94,0))</f>
        <v/>
      </c>
      <c r="Q87">
        <f>IF(AND(INDEX(input_xe_tham_chieu!$G$2:$G$6,MATCH($D$87,input_xe_tham_chieu!$A$2:$A$6,0))&gt;0,INDEX(boss_input_vu_khi!$E$2:$E$94,MATCH($C$87,boss_input_vu_khi!$A$2:$A$94,0))&gt;0),INDEX(boss_input_vu_khi!$E$2:$E$94,MATCH($C$87,boss_input_vu_khi!$A$2:$A$94,0))/INDEX(input_xe_tham_chieu!$G$2:$G$6,MATCH($D$87,input_xe_tham_chieu!$A$2:$A$6,0)),"")</f>
        <v/>
      </c>
      <c r="R87">
        <f>IF(ISNUMBER($Q$87),IF($P$87&gt;=$Q$87,"DU","THIEU"),"")</f>
        <v/>
      </c>
      <c r="S87" t="inlineStr">
        <is>
          <t>Assets/MachineBrigade/Resources/Data/balance.json: vehicles[id=icarus_mk0].weapon x 01_chien_dau/Xe_tham_chieu[armored_car]</t>
        </is>
      </c>
      <c r="T87" t="inlineStr"/>
    </row>
    <row r="88">
      <c r="A88" t="inlineStr">
        <is>
          <t>icarus_mk0/gun_turret</t>
        </is>
      </c>
      <c r="B88" t="inlineStr">
        <is>
          <t>icarus_mk0</t>
        </is>
      </c>
      <c r="C88" t="inlineStr">
        <is>
          <t>p26_icarus_sec_orbital_laser</t>
        </is>
      </c>
      <c r="D88" t="inlineStr">
        <is>
          <t>gun_turret</t>
        </is>
      </c>
      <c r="E88">
        <f>IF(INDEX(boss_input_vu_khi_suy_ra!$D$2:$D$94,MATCH($C$88,boss_input_vu_khi_suy_ra!$A$2:$A$94,0)),INDEX(input_xe_tham_chieu!$E$2:$E$6,MATCH($D$88,input_xe_tham_chieu!$A$2:$A$6,0)),INDEX(input_xe_tham_chieu!$D$2:$D$6,MATCH($D$88,input_xe_tham_chieu!$A$2:$A$6,0)))</f>
        <v/>
      </c>
      <c r="F88">
        <f>IF(INDEX(boss_input_vu_khi_suy_ra!$E$2:$E$94,MATCH($C$88,boss_input_vu_khi_suy_ra!$A$2:$A$94,0)),INDEX(boss_input_bang_xuyen_giap!$B$2:$B$7,MIN(6,MAX(1,IF(INDEX(boss_input_vu_khi_suy_ra!$D$2:$D$94,MATCH($C$88,boss_input_vu_khi_suy_ra!$A$2:$A$94,0)),MAX(1,2-(INDEX(boss_input_vu_khi!$C$2:$C$94,MATCH($C$88,boss_input_vu_khi!$A$2:$A$94,0))-$E$88)),2-(INDEX(boss_input_vu_khi!$C$2:$C$94,MATCH($C$88,boss_input_vu_khi!$A$2:$A$94,0))-$E$88))+1)))*IF(INDEX(input_xe_tham_chieu!$F$2:$F$6,MATCH($D$88,input_xe_tham_chieu!$A$2:$A$6,0)),INDEX(boss_input_vu_khi_suy_ra!$G$2:$G$94,MATCH($C$88,boss_input_vu_khi_suy_ra!$A$2:$A$94,0)),INDEX(boss_input_vu_khi_suy_ra!$F$2:$F$94,MATCH($C$88,boss_input_vu_khi_suy_ra!$A$2:$A$94,0))),0)</f>
        <v/>
      </c>
      <c r="G88" t="n">
        <v>0.5</v>
      </c>
      <c r="H88">
        <f>INDEX(boss_input_vu_khi!$B$2:$B$94,MATCH($C$88,boss_input_vu_khi!$A$2:$A$94,0))*INDEX(Boss_dps!$D$2:$D$34,MATCH($B$88,Boss_dps!$A$2:$A$34,0))*IF(INDEX(boss_input_vu_khi!$D$2:$D$94,MATCH($C$88,boss_input_vu_khi!$A$2:$A$94,0)),1,INDEX(Boss_dps!$B$2:$B$34,MATCH($B$88,Boss_dps!$A$2:$A$34,0)))*INDEX(Boss_dps!$C$2:$C$34,MATCH($B$88,Boss_dps!$A$2:$A$34,0))*$F$88</f>
        <v/>
      </c>
      <c r="I88" t="n">
        <v>54.59999999999999</v>
      </c>
      <c r="J88">
        <f>IF($H$88&gt;0,CEILING(INDEX(input_xe_tham_chieu!$C$2:$C$6,MATCH($D$88,input_xe_tham_chieu!$A$2:$A$6,0))/$H$88,1),"")</f>
        <v/>
      </c>
      <c r="K88">
        <f>IF(Boss_vu_khi!$S$93*$F$88&gt;0,INDEX(input_xe_tham_chieu!$C$2:$C$6,MATCH($D$88,input_xe_tham_chieu!$A$2:$A$6,0))/(Boss_vu_khi!$S$93*INDEX(Boss_dps!$D$2:$D$34,MATCH($B$88,Boss_dps!$A$2:$A$34,0))*$F$88),"")</f>
        <v/>
      </c>
      <c r="L88">
        <f>1+2*MIN(2,FLOOR(INDEX(boss_input_vu_khi!$E$2:$E$94,MATCH($C$88,boss_input_vu_khi!$A$2:$A$94,0))/8,1))</f>
        <v/>
      </c>
      <c r="M88">
        <f>1+2*MIN(2,FLOOR(MAX(INDEX(boss_input_vu_khi!$E$2:$E$94,MATCH($C$88,boss_input_vu_khi!$A$2:$A$94,0)),Boss_vu_khi!$L$93)/8,1))</f>
        <v/>
      </c>
      <c r="N88">
        <f>IF(INDEX(boss_input_vu_khi!$E$2:$E$94,MATCH($C$88,boss_input_vu_khi!$A$2:$A$94,0))&gt;=8,5,1)</f>
        <v/>
      </c>
      <c r="O88">
        <f>IF(MAX(INDEX(boss_input_vu_khi!$E$2:$E$94,MATCH($C$88,boss_input_vu_khi!$A$2:$A$94,0)),Boss_vu_khi!$L$93)&gt;=8,5,1)</f>
        <v/>
      </c>
      <c r="P88">
        <f>INDEX(boss_input_vu_khi_suy_ra!$H$2:$H$94,MATCH($C$88,boss_input_vu_khi_suy_ra!$A$2:$A$94,0))</f>
        <v/>
      </c>
      <c r="Q88">
        <f>IF(AND(INDEX(input_xe_tham_chieu!$G$2:$G$6,MATCH($D$88,input_xe_tham_chieu!$A$2:$A$6,0))&gt;0,INDEX(boss_input_vu_khi!$E$2:$E$94,MATCH($C$88,boss_input_vu_khi!$A$2:$A$94,0))&gt;0),INDEX(boss_input_vu_khi!$E$2:$E$94,MATCH($C$88,boss_input_vu_khi!$A$2:$A$94,0))/INDEX(input_xe_tham_chieu!$G$2:$G$6,MATCH($D$88,input_xe_tham_chieu!$A$2:$A$6,0)),"")</f>
        <v/>
      </c>
      <c r="R88">
        <f>IF(ISNUMBER($Q$88),IF($P$88&gt;=$Q$88,"DU","THIEU"),"")</f>
        <v/>
      </c>
      <c r="S88" t="inlineStr">
        <is>
          <t>Assets/MachineBrigade/Resources/Data/balance.json: vehicles[id=icarus_mk0].weapon x 01_chien_dau/Xe_tham_chieu[gun_turret]</t>
        </is>
      </c>
      <c r="T88" t="inlineStr"/>
    </row>
    <row r="89">
      <c r="A89" t="inlineStr">
        <is>
          <t>icarus_mk0/heavy_tank</t>
        </is>
      </c>
      <c r="B89" t="inlineStr">
        <is>
          <t>icarus_mk0</t>
        </is>
      </c>
      <c r="C89" t="inlineStr">
        <is>
          <t>p26_icarus_sec_orbital_laser</t>
        </is>
      </c>
      <c r="D89" t="inlineStr">
        <is>
          <t>heavy_tank</t>
        </is>
      </c>
      <c r="E89">
        <f>IF(INDEX(boss_input_vu_khi_suy_ra!$D$2:$D$94,MATCH($C$89,boss_input_vu_khi_suy_ra!$A$2:$A$94,0)),INDEX(input_xe_tham_chieu!$E$2:$E$6,MATCH($D$89,input_xe_tham_chieu!$A$2:$A$6,0)),INDEX(input_xe_tham_chieu!$D$2:$D$6,MATCH($D$89,input_xe_tham_chieu!$A$2:$A$6,0)))</f>
        <v/>
      </c>
      <c r="F89">
        <f>IF(INDEX(boss_input_vu_khi_suy_ra!$E$2:$E$94,MATCH($C$89,boss_input_vu_khi_suy_ra!$A$2:$A$94,0)),INDEX(boss_input_bang_xuyen_giap!$B$2:$B$7,MIN(6,MAX(1,IF(INDEX(boss_input_vu_khi_suy_ra!$D$2:$D$94,MATCH($C$89,boss_input_vu_khi_suy_ra!$A$2:$A$94,0)),MAX(1,2-(INDEX(boss_input_vu_khi!$C$2:$C$94,MATCH($C$89,boss_input_vu_khi!$A$2:$A$94,0))-$E$89)),2-(INDEX(boss_input_vu_khi!$C$2:$C$94,MATCH($C$89,boss_input_vu_khi!$A$2:$A$94,0))-$E$89))+1)))*IF(INDEX(input_xe_tham_chieu!$F$2:$F$6,MATCH($D$89,input_xe_tham_chieu!$A$2:$A$6,0)),INDEX(boss_input_vu_khi_suy_ra!$G$2:$G$94,MATCH($C$89,boss_input_vu_khi_suy_ra!$A$2:$A$94,0)),INDEX(boss_input_vu_khi_suy_ra!$F$2:$F$94,MATCH($C$89,boss_input_vu_khi_suy_ra!$A$2:$A$94,0))),0)</f>
        <v/>
      </c>
      <c r="G89" t="n">
        <v>0.85</v>
      </c>
      <c r="H89">
        <f>INDEX(boss_input_vu_khi!$B$2:$B$94,MATCH($C$89,boss_input_vu_khi!$A$2:$A$94,0))*INDEX(Boss_dps!$D$2:$D$34,MATCH($B$89,Boss_dps!$A$2:$A$34,0))*IF(INDEX(boss_input_vu_khi!$D$2:$D$94,MATCH($C$89,boss_input_vu_khi!$A$2:$A$94,0)),1,INDEX(Boss_dps!$B$2:$B$34,MATCH($B$89,Boss_dps!$A$2:$A$34,0)))*INDEX(Boss_dps!$C$2:$C$34,MATCH($B$89,Boss_dps!$A$2:$A$34,0))*$F$89</f>
        <v/>
      </c>
      <c r="I89" t="n">
        <v>92.81999999999999</v>
      </c>
      <c r="J89">
        <f>IF($H$89&gt;0,CEILING(INDEX(input_xe_tham_chieu!$C$2:$C$6,MATCH($D$89,input_xe_tham_chieu!$A$2:$A$6,0))/$H$89,1),"")</f>
        <v/>
      </c>
      <c r="K89">
        <f>IF(Boss_vu_khi!$S$93*$F$89&gt;0,INDEX(input_xe_tham_chieu!$C$2:$C$6,MATCH($D$89,input_xe_tham_chieu!$A$2:$A$6,0))/(Boss_vu_khi!$S$93*INDEX(Boss_dps!$D$2:$D$34,MATCH($B$89,Boss_dps!$A$2:$A$34,0))*$F$89),"")</f>
        <v/>
      </c>
      <c r="L89">
        <f>1+2*MIN(2,FLOOR(INDEX(boss_input_vu_khi!$E$2:$E$94,MATCH($C$89,boss_input_vu_khi!$A$2:$A$94,0))/8,1))</f>
        <v/>
      </c>
      <c r="M89">
        <f>1+2*MIN(2,FLOOR(MAX(INDEX(boss_input_vu_khi!$E$2:$E$94,MATCH($C$89,boss_input_vu_khi!$A$2:$A$94,0)),Boss_vu_khi!$L$93)/8,1))</f>
        <v/>
      </c>
      <c r="N89">
        <f>IF(INDEX(boss_input_vu_khi!$E$2:$E$94,MATCH($C$89,boss_input_vu_khi!$A$2:$A$94,0))&gt;=8,5,1)</f>
        <v/>
      </c>
      <c r="O89">
        <f>IF(MAX(INDEX(boss_input_vu_khi!$E$2:$E$94,MATCH($C$89,boss_input_vu_khi!$A$2:$A$94,0)),Boss_vu_khi!$L$93)&gt;=8,5,1)</f>
        <v/>
      </c>
      <c r="P89">
        <f>INDEX(boss_input_vu_khi_suy_ra!$H$2:$H$94,MATCH($C$89,boss_input_vu_khi_suy_ra!$A$2:$A$94,0))</f>
        <v/>
      </c>
      <c r="Q89">
        <f>IF(AND(INDEX(input_xe_tham_chieu!$G$2:$G$6,MATCH($D$89,input_xe_tham_chieu!$A$2:$A$6,0))&gt;0,INDEX(boss_input_vu_khi!$E$2:$E$94,MATCH($C$89,boss_input_vu_khi!$A$2:$A$94,0))&gt;0),INDEX(boss_input_vu_khi!$E$2:$E$94,MATCH($C$89,boss_input_vu_khi!$A$2:$A$94,0))/INDEX(input_xe_tham_chieu!$G$2:$G$6,MATCH($D$89,input_xe_tham_chieu!$A$2:$A$6,0)),"")</f>
        <v/>
      </c>
      <c r="R89">
        <f>IF(ISNUMBER($Q$89),IF($P$89&gt;=$Q$89,"DU","THIEU"),"")</f>
        <v/>
      </c>
      <c r="S89" t="inlineStr">
        <is>
          <t>Assets/MachineBrigade/Resources/Data/balance.json: vehicles[id=icarus_mk0].weapon x 01_chien_dau/Xe_tham_chieu[heavy_tank]</t>
        </is>
      </c>
      <c r="T89" t="inlineStr"/>
    </row>
    <row r="90">
      <c r="A90" t="inlineStr">
        <is>
          <t>icarus_mk0/ifv</t>
        </is>
      </c>
      <c r="B90" t="inlineStr">
        <is>
          <t>icarus_mk0</t>
        </is>
      </c>
      <c r="C90" t="inlineStr">
        <is>
          <t>p26_icarus_sec_orbital_laser</t>
        </is>
      </c>
      <c r="D90" t="inlineStr">
        <is>
          <t>ifv</t>
        </is>
      </c>
      <c r="E90">
        <f>IF(INDEX(boss_input_vu_khi_suy_ra!$D$2:$D$94,MATCH($C$90,boss_input_vu_khi_suy_ra!$A$2:$A$94,0)),INDEX(input_xe_tham_chieu!$E$2:$E$6,MATCH($D$90,input_xe_tham_chieu!$A$2:$A$6,0)),INDEX(input_xe_tham_chieu!$D$2:$D$6,MATCH($D$90,input_xe_tham_chieu!$A$2:$A$6,0)))</f>
        <v/>
      </c>
      <c r="F90">
        <f>IF(INDEX(boss_input_vu_khi_suy_ra!$E$2:$E$94,MATCH($C$90,boss_input_vu_khi_suy_ra!$A$2:$A$94,0)),INDEX(boss_input_bang_xuyen_giap!$B$2:$B$7,MIN(6,MAX(1,IF(INDEX(boss_input_vu_khi_suy_ra!$D$2:$D$94,MATCH($C$90,boss_input_vu_khi_suy_ra!$A$2:$A$94,0)),MAX(1,2-(INDEX(boss_input_vu_khi!$C$2:$C$94,MATCH($C$90,boss_input_vu_khi!$A$2:$A$94,0))-$E$90)),2-(INDEX(boss_input_vu_khi!$C$2:$C$94,MATCH($C$90,boss_input_vu_khi!$A$2:$A$94,0))-$E$90))+1)))*IF(INDEX(input_xe_tham_chieu!$F$2:$F$6,MATCH($D$90,input_xe_tham_chieu!$A$2:$A$6,0)),INDEX(boss_input_vu_khi_suy_ra!$G$2:$G$94,MATCH($C$90,boss_input_vu_khi_suy_ra!$A$2:$A$94,0)),INDEX(boss_input_vu_khi_suy_ra!$F$2:$F$94,MATCH($C$90,boss_input_vu_khi_suy_ra!$A$2:$A$94,0))),0)</f>
        <v/>
      </c>
      <c r="G90" t="n">
        <v>1.2</v>
      </c>
      <c r="H90">
        <f>INDEX(boss_input_vu_khi!$B$2:$B$94,MATCH($C$90,boss_input_vu_khi!$A$2:$A$94,0))*INDEX(Boss_dps!$D$2:$D$34,MATCH($B$90,Boss_dps!$A$2:$A$34,0))*IF(INDEX(boss_input_vu_khi!$D$2:$D$94,MATCH($C$90,boss_input_vu_khi!$A$2:$A$94,0)),1,INDEX(Boss_dps!$B$2:$B$34,MATCH($B$90,Boss_dps!$A$2:$A$34,0)))*INDEX(Boss_dps!$C$2:$C$34,MATCH($B$90,Boss_dps!$A$2:$A$34,0))*$F$90</f>
        <v/>
      </c>
      <c r="I90" t="n">
        <v>131.04</v>
      </c>
      <c r="J90">
        <f>IF($H$90&gt;0,CEILING(INDEX(input_xe_tham_chieu!$C$2:$C$6,MATCH($D$90,input_xe_tham_chieu!$A$2:$A$6,0))/$H$90,1),"")</f>
        <v/>
      </c>
      <c r="K90">
        <f>IF(Boss_vu_khi!$S$93*$F$90&gt;0,INDEX(input_xe_tham_chieu!$C$2:$C$6,MATCH($D$90,input_xe_tham_chieu!$A$2:$A$6,0))/(Boss_vu_khi!$S$93*INDEX(Boss_dps!$D$2:$D$34,MATCH($B$90,Boss_dps!$A$2:$A$34,0))*$F$90),"")</f>
        <v/>
      </c>
      <c r="L90">
        <f>1+2*MIN(2,FLOOR(INDEX(boss_input_vu_khi!$E$2:$E$94,MATCH($C$90,boss_input_vu_khi!$A$2:$A$94,0))/8,1))</f>
        <v/>
      </c>
      <c r="M90">
        <f>1+2*MIN(2,FLOOR(MAX(INDEX(boss_input_vu_khi!$E$2:$E$94,MATCH($C$90,boss_input_vu_khi!$A$2:$A$94,0)),Boss_vu_khi!$L$93)/8,1))</f>
        <v/>
      </c>
      <c r="N90">
        <f>IF(INDEX(boss_input_vu_khi!$E$2:$E$94,MATCH($C$90,boss_input_vu_khi!$A$2:$A$94,0))&gt;=8,5,1)</f>
        <v/>
      </c>
      <c r="O90">
        <f>IF(MAX(INDEX(boss_input_vu_khi!$E$2:$E$94,MATCH($C$90,boss_input_vu_khi!$A$2:$A$94,0)),Boss_vu_khi!$L$93)&gt;=8,5,1)</f>
        <v/>
      </c>
      <c r="P90">
        <f>INDEX(boss_input_vu_khi_suy_ra!$H$2:$H$94,MATCH($C$90,boss_input_vu_khi_suy_ra!$A$2:$A$94,0))</f>
        <v/>
      </c>
      <c r="Q90">
        <f>IF(AND(INDEX(input_xe_tham_chieu!$G$2:$G$6,MATCH($D$90,input_xe_tham_chieu!$A$2:$A$6,0))&gt;0,INDEX(boss_input_vu_khi!$E$2:$E$94,MATCH($C$90,boss_input_vu_khi!$A$2:$A$94,0))&gt;0),INDEX(boss_input_vu_khi!$E$2:$E$94,MATCH($C$90,boss_input_vu_khi!$A$2:$A$94,0))/INDEX(input_xe_tham_chieu!$G$2:$G$6,MATCH($D$90,input_xe_tham_chieu!$A$2:$A$6,0)),"")</f>
        <v/>
      </c>
      <c r="R90">
        <f>IF(ISNUMBER($Q$90),IF($P$90&gt;=$Q$90,"DU","THIEU"),"")</f>
        <v/>
      </c>
      <c r="S90" t="inlineStr">
        <is>
          <t>Assets/MachineBrigade/Resources/Data/balance.json: vehicles[id=icarus_mk0].weapon x 01_chien_dau/Xe_tham_chieu[ifv]</t>
        </is>
      </c>
      <c r="T90" t="inlineStr"/>
    </row>
    <row r="91">
      <c r="A91" t="inlineStr">
        <is>
          <t>icarus_mk0/main_battle_tank</t>
        </is>
      </c>
      <c r="B91" t="inlineStr">
        <is>
          <t>icarus_mk0</t>
        </is>
      </c>
      <c r="C91" t="inlineStr">
        <is>
          <t>p26_icarus_sec_orbital_laser</t>
        </is>
      </c>
      <c r="D91" t="inlineStr">
        <is>
          <t>main_battle_tank</t>
        </is>
      </c>
      <c r="E91">
        <f>IF(INDEX(boss_input_vu_khi_suy_ra!$D$2:$D$94,MATCH($C$91,boss_input_vu_khi_suy_ra!$A$2:$A$94,0)),INDEX(input_xe_tham_chieu!$E$2:$E$6,MATCH($D$91,input_xe_tham_chieu!$A$2:$A$6,0)),INDEX(input_xe_tham_chieu!$D$2:$D$6,MATCH($D$91,input_xe_tham_chieu!$A$2:$A$6,0)))</f>
        <v/>
      </c>
      <c r="F91">
        <f>IF(INDEX(boss_input_vu_khi_suy_ra!$E$2:$E$94,MATCH($C$91,boss_input_vu_khi_suy_ra!$A$2:$A$94,0)),INDEX(boss_input_bang_xuyen_giap!$B$2:$B$7,MIN(6,MAX(1,IF(INDEX(boss_input_vu_khi_suy_ra!$D$2:$D$94,MATCH($C$91,boss_input_vu_khi_suy_ra!$A$2:$A$94,0)),MAX(1,2-(INDEX(boss_input_vu_khi!$C$2:$C$94,MATCH($C$91,boss_input_vu_khi!$A$2:$A$94,0))-$E$91)),2-(INDEX(boss_input_vu_khi!$C$2:$C$94,MATCH($C$91,boss_input_vu_khi!$A$2:$A$94,0))-$E$91))+1)))*IF(INDEX(input_xe_tham_chieu!$F$2:$F$6,MATCH($D$91,input_xe_tham_chieu!$A$2:$A$6,0)),INDEX(boss_input_vu_khi_suy_ra!$G$2:$G$94,MATCH($C$91,boss_input_vu_khi_suy_ra!$A$2:$A$94,0)),INDEX(boss_input_vu_khi_suy_ra!$F$2:$F$94,MATCH($C$91,boss_input_vu_khi_suy_ra!$A$2:$A$94,0))),0)</f>
        <v/>
      </c>
      <c r="G91" t="n">
        <v>0.85</v>
      </c>
      <c r="H91">
        <f>INDEX(boss_input_vu_khi!$B$2:$B$94,MATCH($C$91,boss_input_vu_khi!$A$2:$A$94,0))*INDEX(Boss_dps!$D$2:$D$34,MATCH($B$91,Boss_dps!$A$2:$A$34,0))*IF(INDEX(boss_input_vu_khi!$D$2:$D$94,MATCH($C$91,boss_input_vu_khi!$A$2:$A$94,0)),1,INDEX(Boss_dps!$B$2:$B$34,MATCH($B$91,Boss_dps!$A$2:$A$34,0)))*INDEX(Boss_dps!$C$2:$C$34,MATCH($B$91,Boss_dps!$A$2:$A$34,0))*$F$91</f>
        <v/>
      </c>
      <c r="I91" t="n">
        <v>92.81999999999999</v>
      </c>
      <c r="J91">
        <f>IF($H$91&gt;0,CEILING(INDEX(input_xe_tham_chieu!$C$2:$C$6,MATCH($D$91,input_xe_tham_chieu!$A$2:$A$6,0))/$H$91,1),"")</f>
        <v/>
      </c>
      <c r="K91">
        <f>IF(Boss_vu_khi!$S$93*$F$91&gt;0,INDEX(input_xe_tham_chieu!$C$2:$C$6,MATCH($D$91,input_xe_tham_chieu!$A$2:$A$6,0))/(Boss_vu_khi!$S$93*INDEX(Boss_dps!$D$2:$D$34,MATCH($B$91,Boss_dps!$A$2:$A$34,0))*$F$91),"")</f>
        <v/>
      </c>
      <c r="L91">
        <f>1+2*MIN(2,FLOOR(INDEX(boss_input_vu_khi!$E$2:$E$94,MATCH($C$91,boss_input_vu_khi!$A$2:$A$94,0))/8,1))</f>
        <v/>
      </c>
      <c r="M91">
        <f>1+2*MIN(2,FLOOR(MAX(INDEX(boss_input_vu_khi!$E$2:$E$94,MATCH($C$91,boss_input_vu_khi!$A$2:$A$94,0)),Boss_vu_khi!$L$93)/8,1))</f>
        <v/>
      </c>
      <c r="N91">
        <f>IF(INDEX(boss_input_vu_khi!$E$2:$E$94,MATCH($C$91,boss_input_vu_khi!$A$2:$A$94,0))&gt;=8,5,1)</f>
        <v/>
      </c>
      <c r="O91">
        <f>IF(MAX(INDEX(boss_input_vu_khi!$E$2:$E$94,MATCH($C$91,boss_input_vu_khi!$A$2:$A$94,0)),Boss_vu_khi!$L$93)&gt;=8,5,1)</f>
        <v/>
      </c>
      <c r="P91">
        <f>INDEX(boss_input_vu_khi_suy_ra!$H$2:$H$94,MATCH($C$91,boss_input_vu_khi_suy_ra!$A$2:$A$94,0))</f>
        <v/>
      </c>
      <c r="Q91">
        <f>IF(AND(INDEX(input_xe_tham_chieu!$G$2:$G$6,MATCH($D$91,input_xe_tham_chieu!$A$2:$A$6,0))&gt;0,INDEX(boss_input_vu_khi!$E$2:$E$94,MATCH($C$91,boss_input_vu_khi!$A$2:$A$94,0))&gt;0),INDEX(boss_input_vu_khi!$E$2:$E$94,MATCH($C$91,boss_input_vu_khi!$A$2:$A$94,0))/INDEX(input_xe_tham_chieu!$G$2:$G$6,MATCH($D$91,input_xe_tham_chieu!$A$2:$A$6,0)),"")</f>
        <v/>
      </c>
      <c r="R91">
        <f>IF(ISNUMBER($Q$91),IF($P$91&gt;=$Q$91,"DU","THIEU"),"")</f>
        <v/>
      </c>
      <c r="S91" t="inlineStr">
        <is>
          <t>Assets/MachineBrigade/Resources/Data/balance.json: vehicles[id=icarus_mk0].weapon x 01_chien_dau/Xe_tham_chieu[main_battle_tank]</t>
        </is>
      </c>
      <c r="T91" t="inlineStr"/>
    </row>
    <row r="92">
      <c r="A92" t="inlineStr">
        <is>
          <t>ixion/armored_car</t>
        </is>
      </c>
      <c r="B92" t="inlineStr">
        <is>
          <t>ixion</t>
        </is>
      </c>
      <c r="C92" t="inlineStr">
        <is>
          <t>p26_ixion_125</t>
        </is>
      </c>
      <c r="D92" t="inlineStr">
        <is>
          <t>armored_car</t>
        </is>
      </c>
      <c r="E92">
        <f>IF(INDEX(boss_input_vu_khi_suy_ra!$D$2:$D$94,MATCH($C$92,boss_input_vu_khi_suy_ra!$A$2:$A$94,0)),INDEX(input_xe_tham_chieu!$E$2:$E$6,MATCH($D$92,input_xe_tham_chieu!$A$2:$A$6,0)),INDEX(input_xe_tham_chieu!$D$2:$D$6,MATCH($D$92,input_xe_tham_chieu!$A$2:$A$6,0)))</f>
        <v/>
      </c>
      <c r="F92">
        <f>IF(INDEX(boss_input_vu_khi_suy_ra!$E$2:$E$94,MATCH($C$92,boss_input_vu_khi_suy_ra!$A$2:$A$94,0)),INDEX(boss_input_bang_xuyen_giap!$B$2:$B$7,MIN(6,MAX(1,IF(INDEX(boss_input_vu_khi_suy_ra!$D$2:$D$94,MATCH($C$92,boss_input_vu_khi_suy_ra!$A$2:$A$94,0)),MAX(1,2-(INDEX(boss_input_vu_khi!$C$2:$C$94,MATCH($C$92,boss_input_vu_khi!$A$2:$A$94,0))-$E$92)),2-(INDEX(boss_input_vu_khi!$C$2:$C$94,MATCH($C$92,boss_input_vu_khi!$A$2:$A$94,0))-$E$92))+1)))*IF(INDEX(input_xe_tham_chieu!$F$2:$F$6,MATCH($D$92,input_xe_tham_chieu!$A$2:$A$6,0)),INDEX(boss_input_vu_khi_suy_ra!$G$2:$G$94,MATCH($C$92,boss_input_vu_khi_suy_ra!$A$2:$A$94,0)),INDEX(boss_input_vu_khi_suy_ra!$F$2:$F$94,MATCH($C$92,boss_input_vu_khi_suy_ra!$A$2:$A$94,0))),0)</f>
        <v/>
      </c>
      <c r="G92" t="n">
        <v>1.2</v>
      </c>
      <c r="H92">
        <f>INDEX(boss_input_vu_khi!$B$2:$B$94,MATCH($C$92,boss_input_vu_khi!$A$2:$A$94,0))*INDEX(Boss_dps!$D$2:$D$34,MATCH($B$92,Boss_dps!$A$2:$A$34,0))*IF(INDEX(boss_input_vu_khi!$D$2:$D$94,MATCH($C$92,boss_input_vu_khi!$A$2:$A$94,0)),1,INDEX(Boss_dps!$B$2:$B$34,MATCH($B$92,Boss_dps!$A$2:$A$34,0)))*INDEX(Boss_dps!$C$2:$C$34,MATCH($B$92,Boss_dps!$A$2:$A$34,0))*$F$92</f>
        <v/>
      </c>
      <c r="I92" t="n">
        <v>1180.7712</v>
      </c>
      <c r="J92">
        <f>IF($H$92&gt;0,CEILING(INDEX(input_xe_tham_chieu!$C$2:$C$6,MATCH($D$92,input_xe_tham_chieu!$A$2:$A$6,0))/$H$92,1),"")</f>
        <v/>
      </c>
      <c r="K92">
        <f>IF(Boss_vu_khi!$S$96*$F$92&gt;0,INDEX(input_xe_tham_chieu!$C$2:$C$6,MATCH($D$92,input_xe_tham_chieu!$A$2:$A$6,0))/(Boss_vu_khi!$S$96*INDEX(Boss_dps!$D$2:$D$34,MATCH($B$92,Boss_dps!$A$2:$A$34,0))*$F$92),"")</f>
        <v/>
      </c>
      <c r="L92">
        <f>1+2*MIN(2,FLOOR(INDEX(boss_input_vu_khi!$E$2:$E$94,MATCH($C$92,boss_input_vu_khi!$A$2:$A$94,0))/8,1))</f>
        <v/>
      </c>
      <c r="M92">
        <f>1+2*MIN(2,FLOOR(MAX(INDEX(boss_input_vu_khi!$E$2:$E$94,MATCH($C$92,boss_input_vu_khi!$A$2:$A$94,0)),Boss_vu_khi!$L$96)/8,1))</f>
        <v/>
      </c>
      <c r="N92">
        <f>IF(INDEX(boss_input_vu_khi!$E$2:$E$94,MATCH($C$92,boss_input_vu_khi!$A$2:$A$94,0))&gt;=8,5,1)</f>
        <v/>
      </c>
      <c r="O92">
        <f>IF(MAX(INDEX(boss_input_vu_khi!$E$2:$E$94,MATCH($C$92,boss_input_vu_khi!$A$2:$A$94,0)),Boss_vu_khi!$L$96)&gt;=8,5,1)</f>
        <v/>
      </c>
      <c r="P92">
        <f>INDEX(boss_input_vu_khi_suy_ra!$H$2:$H$94,MATCH($C$92,boss_input_vu_khi_suy_ra!$A$2:$A$94,0))</f>
        <v/>
      </c>
      <c r="Q92">
        <f>IF(AND(INDEX(input_xe_tham_chieu!$G$2:$G$6,MATCH($D$92,input_xe_tham_chieu!$A$2:$A$6,0))&gt;0,INDEX(boss_input_vu_khi!$E$2:$E$94,MATCH($C$92,boss_input_vu_khi!$A$2:$A$94,0))&gt;0),INDEX(boss_input_vu_khi!$E$2:$E$94,MATCH($C$92,boss_input_vu_khi!$A$2:$A$94,0))/INDEX(input_xe_tham_chieu!$G$2:$G$6,MATCH($D$92,input_xe_tham_chieu!$A$2:$A$6,0)),"")</f>
        <v/>
      </c>
      <c r="R92">
        <f>IF(ISNUMBER($Q$92),IF($P$92&gt;=$Q$92,"DU","THIEU"),"")</f>
        <v/>
      </c>
      <c r="S92" t="inlineStr">
        <is>
          <t>Assets/MachineBrigade/Resources/Data/balance.json: vehicles[id=ixion].weapon x 01_chien_dau/Xe_tham_chieu[armored_car]</t>
        </is>
      </c>
      <c r="T92" t="inlineStr"/>
    </row>
    <row r="93">
      <c r="A93" t="inlineStr">
        <is>
          <t>ixion/gun_turret</t>
        </is>
      </c>
      <c r="B93" t="inlineStr">
        <is>
          <t>ixion</t>
        </is>
      </c>
      <c r="C93" t="inlineStr">
        <is>
          <t>p26_ixion_125</t>
        </is>
      </c>
      <c r="D93" t="inlineStr">
        <is>
          <t>gun_turret</t>
        </is>
      </c>
      <c r="E93">
        <f>IF(INDEX(boss_input_vu_khi_suy_ra!$D$2:$D$94,MATCH($C$93,boss_input_vu_khi_suy_ra!$A$2:$A$94,0)),INDEX(input_xe_tham_chieu!$E$2:$E$6,MATCH($D$93,input_xe_tham_chieu!$A$2:$A$6,0)),INDEX(input_xe_tham_chieu!$D$2:$D$6,MATCH($D$93,input_xe_tham_chieu!$A$2:$A$6,0)))</f>
        <v/>
      </c>
      <c r="F93">
        <f>IF(INDEX(boss_input_vu_khi_suy_ra!$E$2:$E$94,MATCH($C$93,boss_input_vu_khi_suy_ra!$A$2:$A$94,0)),INDEX(boss_input_bang_xuyen_giap!$B$2:$B$7,MIN(6,MAX(1,IF(INDEX(boss_input_vu_khi_suy_ra!$D$2:$D$94,MATCH($C$93,boss_input_vu_khi_suy_ra!$A$2:$A$94,0)),MAX(1,2-(INDEX(boss_input_vu_khi!$C$2:$C$94,MATCH($C$93,boss_input_vu_khi!$A$2:$A$94,0))-$E$93)),2-(INDEX(boss_input_vu_khi!$C$2:$C$94,MATCH($C$93,boss_input_vu_khi!$A$2:$A$94,0))-$E$93))+1)))*IF(INDEX(input_xe_tham_chieu!$F$2:$F$6,MATCH($D$93,input_xe_tham_chieu!$A$2:$A$6,0)),INDEX(boss_input_vu_khi_suy_ra!$G$2:$G$94,MATCH($C$93,boss_input_vu_khi_suy_ra!$A$2:$A$94,0)),INDEX(boss_input_vu_khi_suy_ra!$F$2:$F$94,MATCH($C$93,boss_input_vu_khi_suy_ra!$A$2:$A$94,0))),0)</f>
        <v/>
      </c>
      <c r="G93" t="n">
        <v>0.6</v>
      </c>
      <c r="H93">
        <f>INDEX(boss_input_vu_khi!$B$2:$B$94,MATCH($C$93,boss_input_vu_khi!$A$2:$A$94,0))*INDEX(Boss_dps!$D$2:$D$34,MATCH($B$93,Boss_dps!$A$2:$A$34,0))*IF(INDEX(boss_input_vu_khi!$D$2:$D$94,MATCH($C$93,boss_input_vu_khi!$A$2:$A$94,0)),1,INDEX(Boss_dps!$B$2:$B$34,MATCH($B$93,Boss_dps!$A$2:$A$34,0)))*INDEX(Boss_dps!$C$2:$C$34,MATCH($B$93,Boss_dps!$A$2:$A$34,0))*$F$93</f>
        <v/>
      </c>
      <c r="I93" t="n">
        <v>590.3856000000001</v>
      </c>
      <c r="J93">
        <f>IF($H$93&gt;0,CEILING(INDEX(input_xe_tham_chieu!$C$2:$C$6,MATCH($D$93,input_xe_tham_chieu!$A$2:$A$6,0))/$H$93,1),"")</f>
        <v/>
      </c>
      <c r="K93">
        <f>IF(Boss_vu_khi!$S$96*$F$93&gt;0,INDEX(input_xe_tham_chieu!$C$2:$C$6,MATCH($D$93,input_xe_tham_chieu!$A$2:$A$6,0))/(Boss_vu_khi!$S$96*INDEX(Boss_dps!$D$2:$D$34,MATCH($B$93,Boss_dps!$A$2:$A$34,0))*$F$93),"")</f>
        <v/>
      </c>
      <c r="L93">
        <f>1+2*MIN(2,FLOOR(INDEX(boss_input_vu_khi!$E$2:$E$94,MATCH($C$93,boss_input_vu_khi!$A$2:$A$94,0))/8,1))</f>
        <v/>
      </c>
      <c r="M93">
        <f>1+2*MIN(2,FLOOR(MAX(INDEX(boss_input_vu_khi!$E$2:$E$94,MATCH($C$93,boss_input_vu_khi!$A$2:$A$94,0)),Boss_vu_khi!$L$96)/8,1))</f>
        <v/>
      </c>
      <c r="N93">
        <f>IF(INDEX(boss_input_vu_khi!$E$2:$E$94,MATCH($C$93,boss_input_vu_khi!$A$2:$A$94,0))&gt;=8,5,1)</f>
        <v/>
      </c>
      <c r="O93">
        <f>IF(MAX(INDEX(boss_input_vu_khi!$E$2:$E$94,MATCH($C$93,boss_input_vu_khi!$A$2:$A$94,0)),Boss_vu_khi!$L$96)&gt;=8,5,1)</f>
        <v/>
      </c>
      <c r="P93">
        <f>INDEX(boss_input_vu_khi_suy_ra!$H$2:$H$94,MATCH($C$93,boss_input_vu_khi_suy_ra!$A$2:$A$94,0))</f>
        <v/>
      </c>
      <c r="Q93">
        <f>IF(AND(INDEX(input_xe_tham_chieu!$G$2:$G$6,MATCH($D$93,input_xe_tham_chieu!$A$2:$A$6,0))&gt;0,INDEX(boss_input_vu_khi!$E$2:$E$94,MATCH($C$93,boss_input_vu_khi!$A$2:$A$94,0))&gt;0),INDEX(boss_input_vu_khi!$E$2:$E$94,MATCH($C$93,boss_input_vu_khi!$A$2:$A$94,0))/INDEX(input_xe_tham_chieu!$G$2:$G$6,MATCH($D$93,input_xe_tham_chieu!$A$2:$A$6,0)),"")</f>
        <v/>
      </c>
      <c r="R93">
        <f>IF(ISNUMBER($Q$93),IF($P$93&gt;=$Q$93,"DU","THIEU"),"")</f>
        <v/>
      </c>
      <c r="S93" t="inlineStr">
        <is>
          <t>Assets/MachineBrigade/Resources/Data/balance.json: vehicles[id=ixion].weapon x 01_chien_dau/Xe_tham_chieu[gun_turret]</t>
        </is>
      </c>
      <c r="T93" t="inlineStr"/>
    </row>
    <row r="94">
      <c r="A94" t="inlineStr">
        <is>
          <t>ixion/heavy_tank</t>
        </is>
      </c>
      <c r="B94" t="inlineStr">
        <is>
          <t>ixion</t>
        </is>
      </c>
      <c r="C94" t="inlineStr">
        <is>
          <t>p26_ixion_125</t>
        </is>
      </c>
      <c r="D94" t="inlineStr">
        <is>
          <t>heavy_tank</t>
        </is>
      </c>
      <c r="E94">
        <f>IF(INDEX(boss_input_vu_khi_suy_ra!$D$2:$D$94,MATCH($C$94,boss_input_vu_khi_suy_ra!$A$2:$A$94,0)),INDEX(input_xe_tham_chieu!$E$2:$E$6,MATCH($D$94,input_xe_tham_chieu!$A$2:$A$6,0)),INDEX(input_xe_tham_chieu!$D$2:$D$6,MATCH($D$94,input_xe_tham_chieu!$A$2:$A$6,0)))</f>
        <v/>
      </c>
      <c r="F94">
        <f>IF(INDEX(boss_input_vu_khi_suy_ra!$E$2:$E$94,MATCH($C$94,boss_input_vu_khi_suy_ra!$A$2:$A$94,0)),INDEX(boss_input_bang_xuyen_giap!$B$2:$B$7,MIN(6,MAX(1,IF(INDEX(boss_input_vu_khi_suy_ra!$D$2:$D$94,MATCH($C$94,boss_input_vu_khi_suy_ra!$A$2:$A$94,0)),MAX(1,2-(INDEX(boss_input_vu_khi!$C$2:$C$94,MATCH($C$94,boss_input_vu_khi!$A$2:$A$94,0))-$E$94)),2-(INDEX(boss_input_vu_khi!$C$2:$C$94,MATCH($C$94,boss_input_vu_khi!$A$2:$A$94,0))-$E$94))+1)))*IF(INDEX(input_xe_tham_chieu!$F$2:$F$6,MATCH($D$94,input_xe_tham_chieu!$A$2:$A$6,0)),INDEX(boss_input_vu_khi_suy_ra!$G$2:$G$94,MATCH($C$94,boss_input_vu_khi_suy_ra!$A$2:$A$94,0)),INDEX(boss_input_vu_khi_suy_ra!$F$2:$F$94,MATCH($C$94,boss_input_vu_khi_suy_ra!$A$2:$A$94,0))),0)</f>
        <v/>
      </c>
      <c r="G94" t="n">
        <v>0.85</v>
      </c>
      <c r="H94">
        <f>INDEX(boss_input_vu_khi!$B$2:$B$94,MATCH($C$94,boss_input_vu_khi!$A$2:$A$94,0))*INDEX(Boss_dps!$D$2:$D$34,MATCH($B$94,Boss_dps!$A$2:$A$34,0))*IF(INDEX(boss_input_vu_khi!$D$2:$D$94,MATCH($C$94,boss_input_vu_khi!$A$2:$A$94,0)),1,INDEX(Boss_dps!$B$2:$B$34,MATCH($B$94,Boss_dps!$A$2:$A$34,0)))*INDEX(Boss_dps!$C$2:$C$34,MATCH($B$94,Boss_dps!$A$2:$A$34,0))*$F$94</f>
        <v/>
      </c>
      <c r="I94" t="n">
        <v>836.3796000000001</v>
      </c>
      <c r="J94">
        <f>IF($H$94&gt;0,CEILING(INDEX(input_xe_tham_chieu!$C$2:$C$6,MATCH($D$94,input_xe_tham_chieu!$A$2:$A$6,0))/$H$94,1),"")</f>
        <v/>
      </c>
      <c r="K94">
        <f>IF(Boss_vu_khi!$S$96*$F$94&gt;0,INDEX(input_xe_tham_chieu!$C$2:$C$6,MATCH($D$94,input_xe_tham_chieu!$A$2:$A$6,0))/(Boss_vu_khi!$S$96*INDEX(Boss_dps!$D$2:$D$34,MATCH($B$94,Boss_dps!$A$2:$A$34,0))*$F$94),"")</f>
        <v/>
      </c>
      <c r="L94">
        <f>1+2*MIN(2,FLOOR(INDEX(boss_input_vu_khi!$E$2:$E$94,MATCH($C$94,boss_input_vu_khi!$A$2:$A$94,0))/8,1))</f>
        <v/>
      </c>
      <c r="M94">
        <f>1+2*MIN(2,FLOOR(MAX(INDEX(boss_input_vu_khi!$E$2:$E$94,MATCH($C$94,boss_input_vu_khi!$A$2:$A$94,0)),Boss_vu_khi!$L$96)/8,1))</f>
        <v/>
      </c>
      <c r="N94">
        <f>IF(INDEX(boss_input_vu_khi!$E$2:$E$94,MATCH($C$94,boss_input_vu_khi!$A$2:$A$94,0))&gt;=8,5,1)</f>
        <v/>
      </c>
      <c r="O94">
        <f>IF(MAX(INDEX(boss_input_vu_khi!$E$2:$E$94,MATCH($C$94,boss_input_vu_khi!$A$2:$A$94,0)),Boss_vu_khi!$L$96)&gt;=8,5,1)</f>
        <v/>
      </c>
      <c r="P94">
        <f>INDEX(boss_input_vu_khi_suy_ra!$H$2:$H$94,MATCH($C$94,boss_input_vu_khi_suy_ra!$A$2:$A$94,0))</f>
        <v/>
      </c>
      <c r="Q94">
        <f>IF(AND(INDEX(input_xe_tham_chieu!$G$2:$G$6,MATCH($D$94,input_xe_tham_chieu!$A$2:$A$6,0))&gt;0,INDEX(boss_input_vu_khi!$E$2:$E$94,MATCH($C$94,boss_input_vu_khi!$A$2:$A$94,0))&gt;0),INDEX(boss_input_vu_khi!$E$2:$E$94,MATCH($C$94,boss_input_vu_khi!$A$2:$A$94,0))/INDEX(input_xe_tham_chieu!$G$2:$G$6,MATCH($D$94,input_xe_tham_chieu!$A$2:$A$6,0)),"")</f>
        <v/>
      </c>
      <c r="R94">
        <f>IF(ISNUMBER($Q$94),IF($P$94&gt;=$Q$94,"DU","THIEU"),"")</f>
        <v/>
      </c>
      <c r="S94" t="inlineStr">
        <is>
          <t>Assets/MachineBrigade/Resources/Data/balance.json: vehicles[id=ixion].weapon x 01_chien_dau/Xe_tham_chieu[heavy_tank]</t>
        </is>
      </c>
      <c r="T94" t="inlineStr"/>
    </row>
    <row r="95">
      <c r="A95" t="inlineStr">
        <is>
          <t>ixion/ifv</t>
        </is>
      </c>
      <c r="B95" t="inlineStr">
        <is>
          <t>ixion</t>
        </is>
      </c>
      <c r="C95" t="inlineStr">
        <is>
          <t>p26_ixion_125</t>
        </is>
      </c>
      <c r="D95" t="inlineStr">
        <is>
          <t>ifv</t>
        </is>
      </c>
      <c r="E95">
        <f>IF(INDEX(boss_input_vu_khi_suy_ra!$D$2:$D$94,MATCH($C$95,boss_input_vu_khi_suy_ra!$A$2:$A$94,0)),INDEX(input_xe_tham_chieu!$E$2:$E$6,MATCH($D$95,input_xe_tham_chieu!$A$2:$A$6,0)),INDEX(input_xe_tham_chieu!$D$2:$D$6,MATCH($D$95,input_xe_tham_chieu!$A$2:$A$6,0)))</f>
        <v/>
      </c>
      <c r="F95">
        <f>IF(INDEX(boss_input_vu_khi_suy_ra!$E$2:$E$94,MATCH($C$95,boss_input_vu_khi_suy_ra!$A$2:$A$94,0)),INDEX(boss_input_bang_xuyen_giap!$B$2:$B$7,MIN(6,MAX(1,IF(INDEX(boss_input_vu_khi_suy_ra!$D$2:$D$94,MATCH($C$95,boss_input_vu_khi_suy_ra!$A$2:$A$94,0)),MAX(1,2-(INDEX(boss_input_vu_khi!$C$2:$C$94,MATCH($C$95,boss_input_vu_khi!$A$2:$A$94,0))-$E$95)),2-(INDEX(boss_input_vu_khi!$C$2:$C$94,MATCH($C$95,boss_input_vu_khi!$A$2:$A$94,0))-$E$95))+1)))*IF(INDEX(input_xe_tham_chieu!$F$2:$F$6,MATCH($D$95,input_xe_tham_chieu!$A$2:$A$6,0)),INDEX(boss_input_vu_khi_suy_ra!$G$2:$G$94,MATCH($C$95,boss_input_vu_khi_suy_ra!$A$2:$A$94,0)),INDEX(boss_input_vu_khi_suy_ra!$F$2:$F$94,MATCH($C$95,boss_input_vu_khi_suy_ra!$A$2:$A$94,0))),0)</f>
        <v/>
      </c>
      <c r="G95" t="n">
        <v>1.2</v>
      </c>
      <c r="H95">
        <f>INDEX(boss_input_vu_khi!$B$2:$B$94,MATCH($C$95,boss_input_vu_khi!$A$2:$A$94,0))*INDEX(Boss_dps!$D$2:$D$34,MATCH($B$95,Boss_dps!$A$2:$A$34,0))*IF(INDEX(boss_input_vu_khi!$D$2:$D$94,MATCH($C$95,boss_input_vu_khi!$A$2:$A$94,0)),1,INDEX(Boss_dps!$B$2:$B$34,MATCH($B$95,Boss_dps!$A$2:$A$34,0)))*INDEX(Boss_dps!$C$2:$C$34,MATCH($B$95,Boss_dps!$A$2:$A$34,0))*$F$95</f>
        <v/>
      </c>
      <c r="I95" t="n">
        <v>1180.7712</v>
      </c>
      <c r="J95">
        <f>IF($H$95&gt;0,CEILING(INDEX(input_xe_tham_chieu!$C$2:$C$6,MATCH($D$95,input_xe_tham_chieu!$A$2:$A$6,0))/$H$95,1),"")</f>
        <v/>
      </c>
      <c r="K95">
        <f>IF(Boss_vu_khi!$S$96*$F$95&gt;0,INDEX(input_xe_tham_chieu!$C$2:$C$6,MATCH($D$95,input_xe_tham_chieu!$A$2:$A$6,0))/(Boss_vu_khi!$S$96*INDEX(Boss_dps!$D$2:$D$34,MATCH($B$95,Boss_dps!$A$2:$A$34,0))*$F$95),"")</f>
        <v/>
      </c>
      <c r="L95">
        <f>1+2*MIN(2,FLOOR(INDEX(boss_input_vu_khi!$E$2:$E$94,MATCH($C$95,boss_input_vu_khi!$A$2:$A$94,0))/8,1))</f>
        <v/>
      </c>
      <c r="M95">
        <f>1+2*MIN(2,FLOOR(MAX(INDEX(boss_input_vu_khi!$E$2:$E$94,MATCH($C$95,boss_input_vu_khi!$A$2:$A$94,0)),Boss_vu_khi!$L$96)/8,1))</f>
        <v/>
      </c>
      <c r="N95">
        <f>IF(INDEX(boss_input_vu_khi!$E$2:$E$94,MATCH($C$95,boss_input_vu_khi!$A$2:$A$94,0))&gt;=8,5,1)</f>
        <v/>
      </c>
      <c r="O95">
        <f>IF(MAX(INDEX(boss_input_vu_khi!$E$2:$E$94,MATCH($C$95,boss_input_vu_khi!$A$2:$A$94,0)),Boss_vu_khi!$L$96)&gt;=8,5,1)</f>
        <v/>
      </c>
      <c r="P95">
        <f>INDEX(boss_input_vu_khi_suy_ra!$H$2:$H$94,MATCH($C$95,boss_input_vu_khi_suy_ra!$A$2:$A$94,0))</f>
        <v/>
      </c>
      <c r="Q95">
        <f>IF(AND(INDEX(input_xe_tham_chieu!$G$2:$G$6,MATCH($D$95,input_xe_tham_chieu!$A$2:$A$6,0))&gt;0,INDEX(boss_input_vu_khi!$E$2:$E$94,MATCH($C$95,boss_input_vu_khi!$A$2:$A$94,0))&gt;0),INDEX(boss_input_vu_khi!$E$2:$E$94,MATCH($C$95,boss_input_vu_khi!$A$2:$A$94,0))/INDEX(input_xe_tham_chieu!$G$2:$G$6,MATCH($D$95,input_xe_tham_chieu!$A$2:$A$6,0)),"")</f>
        <v/>
      </c>
      <c r="R95">
        <f>IF(ISNUMBER($Q$95),IF($P$95&gt;=$Q$95,"DU","THIEU"),"")</f>
        <v/>
      </c>
      <c r="S95" t="inlineStr">
        <is>
          <t>Assets/MachineBrigade/Resources/Data/balance.json: vehicles[id=ixion].weapon x 01_chien_dau/Xe_tham_chieu[ifv]</t>
        </is>
      </c>
      <c r="T95" t="inlineStr"/>
    </row>
    <row r="96">
      <c r="A96" t="inlineStr">
        <is>
          <t>ixion/main_battle_tank</t>
        </is>
      </c>
      <c r="B96" t="inlineStr">
        <is>
          <t>ixion</t>
        </is>
      </c>
      <c r="C96" t="inlineStr">
        <is>
          <t>p26_ixion_125</t>
        </is>
      </c>
      <c r="D96" t="inlineStr">
        <is>
          <t>main_battle_tank</t>
        </is>
      </c>
      <c r="E96">
        <f>IF(INDEX(boss_input_vu_khi_suy_ra!$D$2:$D$94,MATCH($C$96,boss_input_vu_khi_suy_ra!$A$2:$A$94,0)),INDEX(input_xe_tham_chieu!$E$2:$E$6,MATCH($D$96,input_xe_tham_chieu!$A$2:$A$6,0)),INDEX(input_xe_tham_chieu!$D$2:$D$6,MATCH($D$96,input_xe_tham_chieu!$A$2:$A$6,0)))</f>
        <v/>
      </c>
      <c r="F96">
        <f>IF(INDEX(boss_input_vu_khi_suy_ra!$E$2:$E$94,MATCH($C$96,boss_input_vu_khi_suy_ra!$A$2:$A$94,0)),INDEX(boss_input_bang_xuyen_giap!$B$2:$B$7,MIN(6,MAX(1,IF(INDEX(boss_input_vu_khi_suy_ra!$D$2:$D$94,MATCH($C$96,boss_input_vu_khi_suy_ra!$A$2:$A$94,0)),MAX(1,2-(INDEX(boss_input_vu_khi!$C$2:$C$94,MATCH($C$96,boss_input_vu_khi!$A$2:$A$94,0))-$E$96)),2-(INDEX(boss_input_vu_khi!$C$2:$C$94,MATCH($C$96,boss_input_vu_khi!$A$2:$A$94,0))-$E$96))+1)))*IF(INDEX(input_xe_tham_chieu!$F$2:$F$6,MATCH($D$96,input_xe_tham_chieu!$A$2:$A$6,0)),INDEX(boss_input_vu_khi_suy_ra!$G$2:$G$94,MATCH($C$96,boss_input_vu_khi_suy_ra!$A$2:$A$94,0)),INDEX(boss_input_vu_khi_suy_ra!$F$2:$F$94,MATCH($C$96,boss_input_vu_khi_suy_ra!$A$2:$A$94,0))),0)</f>
        <v/>
      </c>
      <c r="G96" t="n">
        <v>0.85</v>
      </c>
      <c r="H96">
        <f>INDEX(boss_input_vu_khi!$B$2:$B$94,MATCH($C$96,boss_input_vu_khi!$A$2:$A$94,0))*INDEX(Boss_dps!$D$2:$D$34,MATCH($B$96,Boss_dps!$A$2:$A$34,0))*IF(INDEX(boss_input_vu_khi!$D$2:$D$94,MATCH($C$96,boss_input_vu_khi!$A$2:$A$94,0)),1,INDEX(Boss_dps!$B$2:$B$34,MATCH($B$96,Boss_dps!$A$2:$A$34,0)))*INDEX(Boss_dps!$C$2:$C$34,MATCH($B$96,Boss_dps!$A$2:$A$34,0))*$F$96</f>
        <v/>
      </c>
      <c r="I96" t="n">
        <v>836.3796000000001</v>
      </c>
      <c r="J96">
        <f>IF($H$96&gt;0,CEILING(INDEX(input_xe_tham_chieu!$C$2:$C$6,MATCH($D$96,input_xe_tham_chieu!$A$2:$A$6,0))/$H$96,1),"")</f>
        <v/>
      </c>
      <c r="K96">
        <f>IF(Boss_vu_khi!$S$96*$F$96&gt;0,INDEX(input_xe_tham_chieu!$C$2:$C$6,MATCH($D$96,input_xe_tham_chieu!$A$2:$A$6,0))/(Boss_vu_khi!$S$96*INDEX(Boss_dps!$D$2:$D$34,MATCH($B$96,Boss_dps!$A$2:$A$34,0))*$F$96),"")</f>
        <v/>
      </c>
      <c r="L96">
        <f>1+2*MIN(2,FLOOR(INDEX(boss_input_vu_khi!$E$2:$E$94,MATCH($C$96,boss_input_vu_khi!$A$2:$A$94,0))/8,1))</f>
        <v/>
      </c>
      <c r="M96">
        <f>1+2*MIN(2,FLOOR(MAX(INDEX(boss_input_vu_khi!$E$2:$E$94,MATCH($C$96,boss_input_vu_khi!$A$2:$A$94,0)),Boss_vu_khi!$L$96)/8,1))</f>
        <v/>
      </c>
      <c r="N96">
        <f>IF(INDEX(boss_input_vu_khi!$E$2:$E$94,MATCH($C$96,boss_input_vu_khi!$A$2:$A$94,0))&gt;=8,5,1)</f>
        <v/>
      </c>
      <c r="O96">
        <f>IF(MAX(INDEX(boss_input_vu_khi!$E$2:$E$94,MATCH($C$96,boss_input_vu_khi!$A$2:$A$94,0)),Boss_vu_khi!$L$96)&gt;=8,5,1)</f>
        <v/>
      </c>
      <c r="P96">
        <f>INDEX(boss_input_vu_khi_suy_ra!$H$2:$H$94,MATCH($C$96,boss_input_vu_khi_suy_ra!$A$2:$A$94,0))</f>
        <v/>
      </c>
      <c r="Q96">
        <f>IF(AND(INDEX(input_xe_tham_chieu!$G$2:$G$6,MATCH($D$96,input_xe_tham_chieu!$A$2:$A$6,0))&gt;0,INDEX(boss_input_vu_khi!$E$2:$E$94,MATCH($C$96,boss_input_vu_khi!$A$2:$A$94,0))&gt;0),INDEX(boss_input_vu_khi!$E$2:$E$94,MATCH($C$96,boss_input_vu_khi!$A$2:$A$94,0))/INDEX(input_xe_tham_chieu!$G$2:$G$6,MATCH($D$96,input_xe_tham_chieu!$A$2:$A$6,0)),"")</f>
        <v/>
      </c>
      <c r="R96">
        <f>IF(ISNUMBER($Q$96),IF($P$96&gt;=$Q$96,"DU","THIEU"),"")</f>
        <v/>
      </c>
      <c r="S96" t="inlineStr">
        <is>
          <t>Assets/MachineBrigade/Resources/Data/balance.json: vehicles[id=ixion].weapon x 01_chien_dau/Xe_tham_chieu[main_battle_tank]</t>
        </is>
      </c>
      <c r="T96" t="inlineStr"/>
    </row>
    <row r="97">
      <c r="A97" t="inlineStr">
        <is>
          <t>kraken/armored_car</t>
        </is>
      </c>
      <c r="B97" t="inlineStr">
        <is>
          <t>kraken</t>
        </is>
      </c>
      <c r="C97" t="inlineStr">
        <is>
          <t>p26_leviathan_lev406</t>
        </is>
      </c>
      <c r="D97" t="inlineStr">
        <is>
          <t>armored_car</t>
        </is>
      </c>
      <c r="E97">
        <f>IF(INDEX(boss_input_vu_khi_suy_ra!$D$2:$D$94,MATCH($C$97,boss_input_vu_khi_suy_ra!$A$2:$A$94,0)),INDEX(input_xe_tham_chieu!$E$2:$E$6,MATCH($D$97,input_xe_tham_chieu!$A$2:$A$6,0)),INDEX(input_xe_tham_chieu!$D$2:$D$6,MATCH($D$97,input_xe_tham_chieu!$A$2:$A$6,0)))</f>
        <v/>
      </c>
      <c r="F97">
        <f>IF(INDEX(boss_input_vu_khi_suy_ra!$E$2:$E$94,MATCH($C$97,boss_input_vu_khi_suy_ra!$A$2:$A$94,0)),INDEX(boss_input_bang_xuyen_giap!$B$2:$B$7,MIN(6,MAX(1,IF(INDEX(boss_input_vu_khi_suy_ra!$D$2:$D$94,MATCH($C$97,boss_input_vu_khi_suy_ra!$A$2:$A$94,0)),MAX(1,2-(INDEX(boss_input_vu_khi!$C$2:$C$94,MATCH($C$97,boss_input_vu_khi!$A$2:$A$94,0))-$E$97)),2-(INDEX(boss_input_vu_khi!$C$2:$C$94,MATCH($C$97,boss_input_vu_khi!$A$2:$A$94,0))-$E$97))+1)))*IF(INDEX(input_xe_tham_chieu!$F$2:$F$6,MATCH($D$97,input_xe_tham_chieu!$A$2:$A$6,0)),INDEX(boss_input_vu_khi_suy_ra!$G$2:$G$94,MATCH($C$97,boss_input_vu_khi_suy_ra!$A$2:$A$94,0)),INDEX(boss_input_vu_khi_suy_ra!$F$2:$F$94,MATCH($C$97,boss_input_vu_khi_suy_ra!$A$2:$A$94,0))),0)</f>
        <v/>
      </c>
      <c r="G97" t="n">
        <v>1.2</v>
      </c>
      <c r="H97">
        <f>INDEX(boss_input_vu_khi!$B$2:$B$94,MATCH($C$97,boss_input_vu_khi!$A$2:$A$94,0))*INDEX(Boss_dps!$D$2:$D$34,MATCH($B$97,Boss_dps!$A$2:$A$34,0))*IF(INDEX(boss_input_vu_khi!$D$2:$D$94,MATCH($C$97,boss_input_vu_khi!$A$2:$A$94,0)),1,INDEX(Boss_dps!$B$2:$B$34,MATCH($B$97,Boss_dps!$A$2:$A$34,0)))*INDEX(Boss_dps!$C$2:$C$34,MATCH($B$97,Boss_dps!$A$2:$A$34,0))*$F$97</f>
        <v/>
      </c>
      <c r="I97" t="n">
        <v>3902.1696</v>
      </c>
      <c r="J97">
        <f>IF($H$97&gt;0,CEILING(INDEX(input_xe_tham_chieu!$C$2:$C$6,MATCH($D$97,input_xe_tham_chieu!$A$2:$A$6,0))/$H$97,1),"")</f>
        <v/>
      </c>
      <c r="K97">
        <f>IF(Boss_vu_khi!$S$103*$F$97&gt;0,INDEX(input_xe_tham_chieu!$C$2:$C$6,MATCH($D$97,input_xe_tham_chieu!$A$2:$A$6,0))/(Boss_vu_khi!$S$103*INDEX(Boss_dps!$D$2:$D$34,MATCH($B$97,Boss_dps!$A$2:$A$34,0))*$F$97),"")</f>
        <v/>
      </c>
      <c r="L97">
        <f>1+2*MIN(2,FLOOR(INDEX(boss_input_vu_khi!$E$2:$E$94,MATCH($C$97,boss_input_vu_khi!$A$2:$A$94,0))/8,1))</f>
        <v/>
      </c>
      <c r="M97">
        <f>1+2*MIN(2,FLOOR(MAX(INDEX(boss_input_vu_khi!$E$2:$E$94,MATCH($C$97,boss_input_vu_khi!$A$2:$A$94,0)),Boss_vu_khi!$L$103)/8,1))</f>
        <v/>
      </c>
      <c r="N97">
        <f>IF(INDEX(boss_input_vu_khi!$E$2:$E$94,MATCH($C$97,boss_input_vu_khi!$A$2:$A$94,0))&gt;=8,5,1)</f>
        <v/>
      </c>
      <c r="O97">
        <f>IF(MAX(INDEX(boss_input_vu_khi!$E$2:$E$94,MATCH($C$97,boss_input_vu_khi!$A$2:$A$94,0)),Boss_vu_khi!$L$103)&gt;=8,5,1)</f>
        <v/>
      </c>
      <c r="P97">
        <f>INDEX(boss_input_vu_khi_suy_ra!$H$2:$H$94,MATCH($C$97,boss_input_vu_khi_suy_ra!$A$2:$A$94,0))</f>
        <v/>
      </c>
      <c r="Q97">
        <f>IF(AND(INDEX(input_xe_tham_chieu!$G$2:$G$6,MATCH($D$97,input_xe_tham_chieu!$A$2:$A$6,0))&gt;0,INDEX(boss_input_vu_khi!$E$2:$E$94,MATCH($C$97,boss_input_vu_khi!$A$2:$A$94,0))&gt;0),INDEX(boss_input_vu_khi!$E$2:$E$94,MATCH($C$97,boss_input_vu_khi!$A$2:$A$94,0))/INDEX(input_xe_tham_chieu!$G$2:$G$6,MATCH($D$97,input_xe_tham_chieu!$A$2:$A$6,0)),"")</f>
        <v/>
      </c>
      <c r="R97">
        <f>IF(ISNUMBER($Q$97),IF($P$97&gt;=$Q$97,"DU","THIEU"),"")</f>
        <v/>
      </c>
      <c r="S97" t="inlineStr">
        <is>
          <t>Assets/MachineBrigade/Resources/Data/balance.json: vehicles[id=kraken].weapon x 01_chien_dau/Xe_tham_chieu[armored_car]</t>
        </is>
      </c>
      <c r="T97" t="inlineStr"/>
    </row>
    <row r="98">
      <c r="A98" t="inlineStr">
        <is>
          <t>kraken/gun_turret</t>
        </is>
      </c>
      <c r="B98" t="inlineStr">
        <is>
          <t>kraken</t>
        </is>
      </c>
      <c r="C98" t="inlineStr">
        <is>
          <t>p26_leviathan_lev406</t>
        </is>
      </c>
      <c r="D98" t="inlineStr">
        <is>
          <t>gun_turret</t>
        </is>
      </c>
      <c r="E98">
        <f>IF(INDEX(boss_input_vu_khi_suy_ra!$D$2:$D$94,MATCH($C$98,boss_input_vu_khi_suy_ra!$A$2:$A$94,0)),INDEX(input_xe_tham_chieu!$E$2:$E$6,MATCH($D$98,input_xe_tham_chieu!$A$2:$A$6,0)),INDEX(input_xe_tham_chieu!$D$2:$D$6,MATCH($D$98,input_xe_tham_chieu!$A$2:$A$6,0)))</f>
        <v/>
      </c>
      <c r="F98">
        <f>IF(INDEX(boss_input_vu_khi_suy_ra!$E$2:$E$94,MATCH($C$98,boss_input_vu_khi_suy_ra!$A$2:$A$94,0)),INDEX(boss_input_bang_xuyen_giap!$B$2:$B$7,MIN(6,MAX(1,IF(INDEX(boss_input_vu_khi_suy_ra!$D$2:$D$94,MATCH($C$98,boss_input_vu_khi_suy_ra!$A$2:$A$94,0)),MAX(1,2-(INDEX(boss_input_vu_khi!$C$2:$C$94,MATCH($C$98,boss_input_vu_khi!$A$2:$A$94,0))-$E$98)),2-(INDEX(boss_input_vu_khi!$C$2:$C$94,MATCH($C$98,boss_input_vu_khi!$A$2:$A$94,0))-$E$98))+1)))*IF(INDEX(input_xe_tham_chieu!$F$2:$F$6,MATCH($D$98,input_xe_tham_chieu!$A$2:$A$6,0)),INDEX(boss_input_vu_khi_suy_ra!$G$2:$G$94,MATCH($C$98,boss_input_vu_khi_suy_ra!$A$2:$A$94,0)),INDEX(boss_input_vu_khi_suy_ra!$F$2:$F$94,MATCH($C$98,boss_input_vu_khi_suy_ra!$A$2:$A$94,0))),0)</f>
        <v/>
      </c>
      <c r="G98" t="n">
        <v>1.5</v>
      </c>
      <c r="H98">
        <f>INDEX(boss_input_vu_khi!$B$2:$B$94,MATCH($C$98,boss_input_vu_khi!$A$2:$A$94,0))*INDEX(Boss_dps!$D$2:$D$34,MATCH($B$98,Boss_dps!$A$2:$A$34,0))*IF(INDEX(boss_input_vu_khi!$D$2:$D$94,MATCH($C$98,boss_input_vu_khi!$A$2:$A$94,0)),1,INDEX(Boss_dps!$B$2:$B$34,MATCH($B$98,Boss_dps!$A$2:$A$34,0)))*INDEX(Boss_dps!$C$2:$C$34,MATCH($B$98,Boss_dps!$A$2:$A$34,0))*$F$98</f>
        <v/>
      </c>
      <c r="I98" t="n">
        <v>4877.712</v>
      </c>
      <c r="J98">
        <f>IF($H$98&gt;0,CEILING(INDEX(input_xe_tham_chieu!$C$2:$C$6,MATCH($D$98,input_xe_tham_chieu!$A$2:$A$6,0))/$H$98,1),"")</f>
        <v/>
      </c>
      <c r="K98">
        <f>IF(Boss_vu_khi!$S$103*$F$98&gt;0,INDEX(input_xe_tham_chieu!$C$2:$C$6,MATCH($D$98,input_xe_tham_chieu!$A$2:$A$6,0))/(Boss_vu_khi!$S$103*INDEX(Boss_dps!$D$2:$D$34,MATCH($B$98,Boss_dps!$A$2:$A$34,0))*$F$98),"")</f>
        <v/>
      </c>
      <c r="L98">
        <f>1+2*MIN(2,FLOOR(INDEX(boss_input_vu_khi!$E$2:$E$94,MATCH($C$98,boss_input_vu_khi!$A$2:$A$94,0))/8,1))</f>
        <v/>
      </c>
      <c r="M98">
        <f>1+2*MIN(2,FLOOR(MAX(INDEX(boss_input_vu_khi!$E$2:$E$94,MATCH($C$98,boss_input_vu_khi!$A$2:$A$94,0)),Boss_vu_khi!$L$103)/8,1))</f>
        <v/>
      </c>
      <c r="N98">
        <f>IF(INDEX(boss_input_vu_khi!$E$2:$E$94,MATCH($C$98,boss_input_vu_khi!$A$2:$A$94,0))&gt;=8,5,1)</f>
        <v/>
      </c>
      <c r="O98">
        <f>IF(MAX(INDEX(boss_input_vu_khi!$E$2:$E$94,MATCH($C$98,boss_input_vu_khi!$A$2:$A$94,0)),Boss_vu_khi!$L$103)&gt;=8,5,1)</f>
        <v/>
      </c>
      <c r="P98">
        <f>INDEX(boss_input_vu_khi_suy_ra!$H$2:$H$94,MATCH($C$98,boss_input_vu_khi_suy_ra!$A$2:$A$94,0))</f>
        <v/>
      </c>
      <c r="Q98">
        <f>IF(AND(INDEX(input_xe_tham_chieu!$G$2:$G$6,MATCH($D$98,input_xe_tham_chieu!$A$2:$A$6,0))&gt;0,INDEX(boss_input_vu_khi!$E$2:$E$94,MATCH($C$98,boss_input_vu_khi!$A$2:$A$94,0))&gt;0),INDEX(boss_input_vu_khi!$E$2:$E$94,MATCH($C$98,boss_input_vu_khi!$A$2:$A$94,0))/INDEX(input_xe_tham_chieu!$G$2:$G$6,MATCH($D$98,input_xe_tham_chieu!$A$2:$A$6,0)),"")</f>
        <v/>
      </c>
      <c r="R98">
        <f>IF(ISNUMBER($Q$98),IF($P$98&gt;=$Q$98,"DU","THIEU"),"")</f>
        <v/>
      </c>
      <c r="S98" t="inlineStr">
        <is>
          <t>Assets/MachineBrigade/Resources/Data/balance.json: vehicles[id=kraken].weapon x 01_chien_dau/Xe_tham_chieu[gun_turret]</t>
        </is>
      </c>
      <c r="T98" t="inlineStr"/>
    </row>
    <row r="99">
      <c r="A99" t="inlineStr">
        <is>
          <t>kraken/heavy_tank</t>
        </is>
      </c>
      <c r="B99" t="inlineStr">
        <is>
          <t>kraken</t>
        </is>
      </c>
      <c r="C99" t="inlineStr">
        <is>
          <t>p26_leviathan_lev406</t>
        </is>
      </c>
      <c r="D99" t="inlineStr">
        <is>
          <t>heavy_tank</t>
        </is>
      </c>
      <c r="E99">
        <f>IF(INDEX(boss_input_vu_khi_suy_ra!$D$2:$D$94,MATCH($C$99,boss_input_vu_khi_suy_ra!$A$2:$A$94,0)),INDEX(input_xe_tham_chieu!$E$2:$E$6,MATCH($D$99,input_xe_tham_chieu!$A$2:$A$6,0)),INDEX(input_xe_tham_chieu!$D$2:$D$6,MATCH($D$99,input_xe_tham_chieu!$A$2:$A$6,0)))</f>
        <v/>
      </c>
      <c r="F99">
        <f>IF(INDEX(boss_input_vu_khi_suy_ra!$E$2:$E$94,MATCH($C$99,boss_input_vu_khi_suy_ra!$A$2:$A$94,0)),INDEX(boss_input_bang_xuyen_giap!$B$2:$B$7,MIN(6,MAX(1,IF(INDEX(boss_input_vu_khi_suy_ra!$D$2:$D$94,MATCH($C$99,boss_input_vu_khi_suy_ra!$A$2:$A$94,0)),MAX(1,2-(INDEX(boss_input_vu_khi!$C$2:$C$94,MATCH($C$99,boss_input_vu_khi!$A$2:$A$94,0))-$E$99)),2-(INDEX(boss_input_vu_khi!$C$2:$C$94,MATCH($C$99,boss_input_vu_khi!$A$2:$A$94,0))-$E$99))+1)))*IF(INDEX(input_xe_tham_chieu!$F$2:$F$6,MATCH($D$99,input_xe_tham_chieu!$A$2:$A$6,0)),INDEX(boss_input_vu_khi_suy_ra!$G$2:$G$94,MATCH($C$99,boss_input_vu_khi_suy_ra!$A$2:$A$94,0)),INDEX(boss_input_vu_khi_suy_ra!$F$2:$F$94,MATCH($C$99,boss_input_vu_khi_suy_ra!$A$2:$A$94,0))),0)</f>
        <v/>
      </c>
      <c r="G99" t="n">
        <v>0.85</v>
      </c>
      <c r="H99">
        <f>INDEX(boss_input_vu_khi!$B$2:$B$94,MATCH($C$99,boss_input_vu_khi!$A$2:$A$94,0))*INDEX(Boss_dps!$D$2:$D$34,MATCH($B$99,Boss_dps!$A$2:$A$34,0))*IF(INDEX(boss_input_vu_khi!$D$2:$D$94,MATCH($C$99,boss_input_vu_khi!$A$2:$A$94,0)),1,INDEX(Boss_dps!$B$2:$B$34,MATCH($B$99,Boss_dps!$A$2:$A$34,0)))*INDEX(Boss_dps!$C$2:$C$34,MATCH($B$99,Boss_dps!$A$2:$A$34,0))*$F$99</f>
        <v/>
      </c>
      <c r="I99" t="n">
        <v>2764.0368</v>
      </c>
      <c r="J99">
        <f>IF($H$99&gt;0,CEILING(INDEX(input_xe_tham_chieu!$C$2:$C$6,MATCH($D$99,input_xe_tham_chieu!$A$2:$A$6,0))/$H$99,1),"")</f>
        <v/>
      </c>
      <c r="K99">
        <f>IF(Boss_vu_khi!$S$103*$F$99&gt;0,INDEX(input_xe_tham_chieu!$C$2:$C$6,MATCH($D$99,input_xe_tham_chieu!$A$2:$A$6,0))/(Boss_vu_khi!$S$103*INDEX(Boss_dps!$D$2:$D$34,MATCH($B$99,Boss_dps!$A$2:$A$34,0))*$F$99),"")</f>
        <v/>
      </c>
      <c r="L99">
        <f>1+2*MIN(2,FLOOR(INDEX(boss_input_vu_khi!$E$2:$E$94,MATCH($C$99,boss_input_vu_khi!$A$2:$A$94,0))/8,1))</f>
        <v/>
      </c>
      <c r="M99">
        <f>1+2*MIN(2,FLOOR(MAX(INDEX(boss_input_vu_khi!$E$2:$E$94,MATCH($C$99,boss_input_vu_khi!$A$2:$A$94,0)),Boss_vu_khi!$L$103)/8,1))</f>
        <v/>
      </c>
      <c r="N99">
        <f>IF(INDEX(boss_input_vu_khi!$E$2:$E$94,MATCH($C$99,boss_input_vu_khi!$A$2:$A$94,0))&gt;=8,5,1)</f>
        <v/>
      </c>
      <c r="O99">
        <f>IF(MAX(INDEX(boss_input_vu_khi!$E$2:$E$94,MATCH($C$99,boss_input_vu_khi!$A$2:$A$94,0)),Boss_vu_khi!$L$103)&gt;=8,5,1)</f>
        <v/>
      </c>
      <c r="P99">
        <f>INDEX(boss_input_vu_khi_suy_ra!$H$2:$H$94,MATCH($C$99,boss_input_vu_khi_suy_ra!$A$2:$A$94,0))</f>
        <v/>
      </c>
      <c r="Q99">
        <f>IF(AND(INDEX(input_xe_tham_chieu!$G$2:$G$6,MATCH($D$99,input_xe_tham_chieu!$A$2:$A$6,0))&gt;0,INDEX(boss_input_vu_khi!$E$2:$E$94,MATCH($C$99,boss_input_vu_khi!$A$2:$A$94,0))&gt;0),INDEX(boss_input_vu_khi!$E$2:$E$94,MATCH($C$99,boss_input_vu_khi!$A$2:$A$94,0))/INDEX(input_xe_tham_chieu!$G$2:$G$6,MATCH($D$99,input_xe_tham_chieu!$A$2:$A$6,0)),"")</f>
        <v/>
      </c>
      <c r="R99">
        <f>IF(ISNUMBER($Q$99),IF($P$99&gt;=$Q$99,"DU","THIEU"),"")</f>
        <v/>
      </c>
      <c r="S99" t="inlineStr">
        <is>
          <t>Assets/MachineBrigade/Resources/Data/balance.json: vehicles[id=kraken].weapon x 01_chien_dau/Xe_tham_chieu[heavy_tank]</t>
        </is>
      </c>
      <c r="T99" t="inlineStr"/>
    </row>
    <row r="100">
      <c r="A100" t="inlineStr">
        <is>
          <t>kraken/ifv</t>
        </is>
      </c>
      <c r="B100" t="inlineStr">
        <is>
          <t>kraken</t>
        </is>
      </c>
      <c r="C100" t="inlineStr">
        <is>
          <t>p26_leviathan_lev406</t>
        </is>
      </c>
      <c r="D100" t="inlineStr">
        <is>
          <t>ifv</t>
        </is>
      </c>
      <c r="E100">
        <f>IF(INDEX(boss_input_vu_khi_suy_ra!$D$2:$D$94,MATCH($C$100,boss_input_vu_khi_suy_ra!$A$2:$A$94,0)),INDEX(input_xe_tham_chieu!$E$2:$E$6,MATCH($D$100,input_xe_tham_chieu!$A$2:$A$6,0)),INDEX(input_xe_tham_chieu!$D$2:$D$6,MATCH($D$100,input_xe_tham_chieu!$A$2:$A$6,0)))</f>
        <v/>
      </c>
      <c r="F100">
        <f>IF(INDEX(boss_input_vu_khi_suy_ra!$E$2:$E$94,MATCH($C$100,boss_input_vu_khi_suy_ra!$A$2:$A$94,0)),INDEX(boss_input_bang_xuyen_giap!$B$2:$B$7,MIN(6,MAX(1,IF(INDEX(boss_input_vu_khi_suy_ra!$D$2:$D$94,MATCH($C$100,boss_input_vu_khi_suy_ra!$A$2:$A$94,0)),MAX(1,2-(INDEX(boss_input_vu_khi!$C$2:$C$94,MATCH($C$100,boss_input_vu_khi!$A$2:$A$94,0))-$E$100)),2-(INDEX(boss_input_vu_khi!$C$2:$C$94,MATCH($C$100,boss_input_vu_khi!$A$2:$A$94,0))-$E$100))+1)))*IF(INDEX(input_xe_tham_chieu!$F$2:$F$6,MATCH($D$100,input_xe_tham_chieu!$A$2:$A$6,0)),INDEX(boss_input_vu_khi_suy_ra!$G$2:$G$94,MATCH($C$100,boss_input_vu_khi_suy_ra!$A$2:$A$94,0)),INDEX(boss_input_vu_khi_suy_ra!$F$2:$F$94,MATCH($C$100,boss_input_vu_khi_suy_ra!$A$2:$A$94,0))),0)</f>
        <v/>
      </c>
      <c r="G100" t="n">
        <v>1.2</v>
      </c>
      <c r="H100">
        <f>INDEX(boss_input_vu_khi!$B$2:$B$94,MATCH($C$100,boss_input_vu_khi!$A$2:$A$94,0))*INDEX(Boss_dps!$D$2:$D$34,MATCH($B$100,Boss_dps!$A$2:$A$34,0))*IF(INDEX(boss_input_vu_khi!$D$2:$D$94,MATCH($C$100,boss_input_vu_khi!$A$2:$A$94,0)),1,INDEX(Boss_dps!$B$2:$B$34,MATCH($B$100,Boss_dps!$A$2:$A$34,0)))*INDEX(Boss_dps!$C$2:$C$34,MATCH($B$100,Boss_dps!$A$2:$A$34,0))*$F$100</f>
        <v/>
      </c>
      <c r="I100" t="n">
        <v>3902.1696</v>
      </c>
      <c r="J100">
        <f>IF($H$100&gt;0,CEILING(INDEX(input_xe_tham_chieu!$C$2:$C$6,MATCH($D$100,input_xe_tham_chieu!$A$2:$A$6,0))/$H$100,1),"")</f>
        <v/>
      </c>
      <c r="K100">
        <f>IF(Boss_vu_khi!$S$103*$F$100&gt;0,INDEX(input_xe_tham_chieu!$C$2:$C$6,MATCH($D$100,input_xe_tham_chieu!$A$2:$A$6,0))/(Boss_vu_khi!$S$103*INDEX(Boss_dps!$D$2:$D$34,MATCH($B$100,Boss_dps!$A$2:$A$34,0))*$F$100),"")</f>
        <v/>
      </c>
      <c r="L100">
        <f>1+2*MIN(2,FLOOR(INDEX(boss_input_vu_khi!$E$2:$E$94,MATCH($C$100,boss_input_vu_khi!$A$2:$A$94,0))/8,1))</f>
        <v/>
      </c>
      <c r="M100">
        <f>1+2*MIN(2,FLOOR(MAX(INDEX(boss_input_vu_khi!$E$2:$E$94,MATCH($C$100,boss_input_vu_khi!$A$2:$A$94,0)),Boss_vu_khi!$L$103)/8,1))</f>
        <v/>
      </c>
      <c r="N100">
        <f>IF(INDEX(boss_input_vu_khi!$E$2:$E$94,MATCH($C$100,boss_input_vu_khi!$A$2:$A$94,0))&gt;=8,5,1)</f>
        <v/>
      </c>
      <c r="O100">
        <f>IF(MAX(INDEX(boss_input_vu_khi!$E$2:$E$94,MATCH($C$100,boss_input_vu_khi!$A$2:$A$94,0)),Boss_vu_khi!$L$103)&gt;=8,5,1)</f>
        <v/>
      </c>
      <c r="P100">
        <f>INDEX(boss_input_vu_khi_suy_ra!$H$2:$H$94,MATCH($C$100,boss_input_vu_khi_suy_ra!$A$2:$A$94,0))</f>
        <v/>
      </c>
      <c r="Q100">
        <f>IF(AND(INDEX(input_xe_tham_chieu!$G$2:$G$6,MATCH($D$100,input_xe_tham_chieu!$A$2:$A$6,0))&gt;0,INDEX(boss_input_vu_khi!$E$2:$E$94,MATCH($C$100,boss_input_vu_khi!$A$2:$A$94,0))&gt;0),INDEX(boss_input_vu_khi!$E$2:$E$94,MATCH($C$100,boss_input_vu_khi!$A$2:$A$94,0))/INDEX(input_xe_tham_chieu!$G$2:$G$6,MATCH($D$100,input_xe_tham_chieu!$A$2:$A$6,0)),"")</f>
        <v/>
      </c>
      <c r="R100">
        <f>IF(ISNUMBER($Q$100),IF($P$100&gt;=$Q$100,"DU","THIEU"),"")</f>
        <v/>
      </c>
      <c r="S100" t="inlineStr">
        <is>
          <t>Assets/MachineBrigade/Resources/Data/balance.json: vehicles[id=kraken].weapon x 01_chien_dau/Xe_tham_chieu[ifv]</t>
        </is>
      </c>
      <c r="T100" t="inlineStr"/>
    </row>
    <row r="101">
      <c r="A101" t="inlineStr">
        <is>
          <t>kraken/main_battle_tank</t>
        </is>
      </c>
      <c r="B101" t="inlineStr">
        <is>
          <t>kraken</t>
        </is>
      </c>
      <c r="C101" t="inlineStr">
        <is>
          <t>p26_leviathan_lev406</t>
        </is>
      </c>
      <c r="D101" t="inlineStr">
        <is>
          <t>main_battle_tank</t>
        </is>
      </c>
      <c r="E101">
        <f>IF(INDEX(boss_input_vu_khi_suy_ra!$D$2:$D$94,MATCH($C$101,boss_input_vu_khi_suy_ra!$A$2:$A$94,0)),INDEX(input_xe_tham_chieu!$E$2:$E$6,MATCH($D$101,input_xe_tham_chieu!$A$2:$A$6,0)),INDEX(input_xe_tham_chieu!$D$2:$D$6,MATCH($D$101,input_xe_tham_chieu!$A$2:$A$6,0)))</f>
        <v/>
      </c>
      <c r="F101">
        <f>IF(INDEX(boss_input_vu_khi_suy_ra!$E$2:$E$94,MATCH($C$101,boss_input_vu_khi_suy_ra!$A$2:$A$94,0)),INDEX(boss_input_bang_xuyen_giap!$B$2:$B$7,MIN(6,MAX(1,IF(INDEX(boss_input_vu_khi_suy_ra!$D$2:$D$94,MATCH($C$101,boss_input_vu_khi_suy_ra!$A$2:$A$94,0)),MAX(1,2-(INDEX(boss_input_vu_khi!$C$2:$C$94,MATCH($C$101,boss_input_vu_khi!$A$2:$A$94,0))-$E$101)),2-(INDEX(boss_input_vu_khi!$C$2:$C$94,MATCH($C$101,boss_input_vu_khi!$A$2:$A$94,0))-$E$101))+1)))*IF(INDEX(input_xe_tham_chieu!$F$2:$F$6,MATCH($D$101,input_xe_tham_chieu!$A$2:$A$6,0)),INDEX(boss_input_vu_khi_suy_ra!$G$2:$G$94,MATCH($C$101,boss_input_vu_khi_suy_ra!$A$2:$A$94,0)),INDEX(boss_input_vu_khi_suy_ra!$F$2:$F$94,MATCH($C$101,boss_input_vu_khi_suy_ra!$A$2:$A$94,0))),0)</f>
        <v/>
      </c>
      <c r="G101" t="n">
        <v>0.85</v>
      </c>
      <c r="H101">
        <f>INDEX(boss_input_vu_khi!$B$2:$B$94,MATCH($C$101,boss_input_vu_khi!$A$2:$A$94,0))*INDEX(Boss_dps!$D$2:$D$34,MATCH($B$101,Boss_dps!$A$2:$A$34,0))*IF(INDEX(boss_input_vu_khi!$D$2:$D$94,MATCH($C$101,boss_input_vu_khi!$A$2:$A$94,0)),1,INDEX(Boss_dps!$B$2:$B$34,MATCH($B$101,Boss_dps!$A$2:$A$34,0)))*INDEX(Boss_dps!$C$2:$C$34,MATCH($B$101,Boss_dps!$A$2:$A$34,0))*$F$101</f>
        <v/>
      </c>
      <c r="I101" t="n">
        <v>2764.0368</v>
      </c>
      <c r="J101">
        <f>IF($H$101&gt;0,CEILING(INDEX(input_xe_tham_chieu!$C$2:$C$6,MATCH($D$101,input_xe_tham_chieu!$A$2:$A$6,0))/$H$101,1),"")</f>
        <v/>
      </c>
      <c r="K101">
        <f>IF(Boss_vu_khi!$S$103*$F$101&gt;0,INDEX(input_xe_tham_chieu!$C$2:$C$6,MATCH($D$101,input_xe_tham_chieu!$A$2:$A$6,0))/(Boss_vu_khi!$S$103*INDEX(Boss_dps!$D$2:$D$34,MATCH($B$101,Boss_dps!$A$2:$A$34,0))*$F$101),"")</f>
        <v/>
      </c>
      <c r="L101">
        <f>1+2*MIN(2,FLOOR(INDEX(boss_input_vu_khi!$E$2:$E$94,MATCH($C$101,boss_input_vu_khi!$A$2:$A$94,0))/8,1))</f>
        <v/>
      </c>
      <c r="M101">
        <f>1+2*MIN(2,FLOOR(MAX(INDEX(boss_input_vu_khi!$E$2:$E$94,MATCH($C$101,boss_input_vu_khi!$A$2:$A$94,0)),Boss_vu_khi!$L$103)/8,1))</f>
        <v/>
      </c>
      <c r="N101">
        <f>IF(INDEX(boss_input_vu_khi!$E$2:$E$94,MATCH($C$101,boss_input_vu_khi!$A$2:$A$94,0))&gt;=8,5,1)</f>
        <v/>
      </c>
      <c r="O101">
        <f>IF(MAX(INDEX(boss_input_vu_khi!$E$2:$E$94,MATCH($C$101,boss_input_vu_khi!$A$2:$A$94,0)),Boss_vu_khi!$L$103)&gt;=8,5,1)</f>
        <v/>
      </c>
      <c r="P101">
        <f>INDEX(boss_input_vu_khi_suy_ra!$H$2:$H$94,MATCH($C$101,boss_input_vu_khi_suy_ra!$A$2:$A$94,0))</f>
        <v/>
      </c>
      <c r="Q101">
        <f>IF(AND(INDEX(input_xe_tham_chieu!$G$2:$G$6,MATCH($D$101,input_xe_tham_chieu!$A$2:$A$6,0))&gt;0,INDEX(boss_input_vu_khi!$E$2:$E$94,MATCH($C$101,boss_input_vu_khi!$A$2:$A$94,0))&gt;0),INDEX(boss_input_vu_khi!$E$2:$E$94,MATCH($C$101,boss_input_vu_khi!$A$2:$A$94,0))/INDEX(input_xe_tham_chieu!$G$2:$G$6,MATCH($D$101,input_xe_tham_chieu!$A$2:$A$6,0)),"")</f>
        <v/>
      </c>
      <c r="R101">
        <f>IF(ISNUMBER($Q$101),IF($P$101&gt;=$Q$101,"DU","THIEU"),"")</f>
        <v/>
      </c>
      <c r="S101" t="inlineStr">
        <is>
          <t>Assets/MachineBrigade/Resources/Data/balance.json: vehicles[id=kraken].weapon x 01_chien_dau/Xe_tham_chieu[main_battle_tank]</t>
        </is>
      </c>
      <c r="T101" t="inlineStr"/>
    </row>
    <row r="102">
      <c r="A102" t="inlineStr">
        <is>
          <t>landing_hovercraft/armored_car</t>
        </is>
      </c>
      <c r="B102" t="inlineStr">
        <is>
          <t>landing_hovercraft</t>
        </is>
      </c>
      <c r="C102" t="inlineStr">
        <is>
          <t>hover_ciws</t>
        </is>
      </c>
      <c r="D102" t="inlineStr">
        <is>
          <t>armored_car</t>
        </is>
      </c>
      <c r="E102">
        <f>IF(INDEX(boss_input_vu_khi_suy_ra!$D$2:$D$94,MATCH($C$102,boss_input_vu_khi_suy_ra!$A$2:$A$94,0)),INDEX(input_xe_tham_chieu!$E$2:$E$6,MATCH($D$102,input_xe_tham_chieu!$A$2:$A$6,0)),INDEX(input_xe_tham_chieu!$D$2:$D$6,MATCH($D$102,input_xe_tham_chieu!$A$2:$A$6,0)))</f>
        <v/>
      </c>
      <c r="F102">
        <f>IF(INDEX(boss_input_vu_khi_suy_ra!$E$2:$E$94,MATCH($C$102,boss_input_vu_khi_suy_ra!$A$2:$A$94,0)),INDEX(boss_input_bang_xuyen_giap!$B$2:$B$7,MIN(6,MAX(1,IF(INDEX(boss_input_vu_khi_suy_ra!$D$2:$D$94,MATCH($C$102,boss_input_vu_khi_suy_ra!$A$2:$A$94,0)),MAX(1,2-(INDEX(boss_input_vu_khi!$C$2:$C$94,MATCH($C$102,boss_input_vu_khi!$A$2:$A$94,0))-$E$102)),2-(INDEX(boss_input_vu_khi!$C$2:$C$94,MATCH($C$102,boss_input_vu_khi!$A$2:$A$94,0))-$E$102))+1)))*IF(INDEX(input_xe_tham_chieu!$F$2:$F$6,MATCH($D$102,input_xe_tham_chieu!$A$2:$A$6,0)),INDEX(boss_input_vu_khi_suy_ra!$G$2:$G$94,MATCH($C$102,boss_input_vu_khi_suy_ra!$A$2:$A$94,0)),INDEX(boss_input_vu_khi_suy_ra!$F$2:$F$94,MATCH($C$102,boss_input_vu_khi_suy_ra!$A$2:$A$94,0))),0)</f>
        <v/>
      </c>
      <c r="G102" t="n">
        <v>1</v>
      </c>
      <c r="H102">
        <f>INDEX(boss_input_vu_khi!$B$2:$B$94,MATCH($C$102,boss_input_vu_khi!$A$2:$A$94,0))*INDEX(Boss_dps!$D$2:$D$34,MATCH($B$102,Boss_dps!$A$2:$A$34,0))*IF(INDEX(boss_input_vu_khi!$D$2:$D$94,MATCH($C$102,boss_input_vu_khi!$A$2:$A$94,0)),1,INDEX(Boss_dps!$B$2:$B$34,MATCH($B$102,Boss_dps!$A$2:$A$34,0)))*INDEX(Boss_dps!$C$2:$C$34,MATCH($B$102,Boss_dps!$A$2:$A$34,0))*$F$102</f>
        <v/>
      </c>
      <c r="I102" t="n">
        <v>61.96319999999999</v>
      </c>
      <c r="J102">
        <f>IF($H$102&gt;0,CEILING(INDEX(input_xe_tham_chieu!$C$2:$C$6,MATCH($D$102,input_xe_tham_chieu!$A$2:$A$6,0))/$H$102,1),"")</f>
        <v/>
      </c>
      <c r="K102">
        <f>IF(Boss_vu_khi!$S$119*$F$102&gt;0,INDEX(input_xe_tham_chieu!$C$2:$C$6,MATCH($D$102,input_xe_tham_chieu!$A$2:$A$6,0))/(Boss_vu_khi!$S$119*INDEX(Boss_dps!$D$2:$D$34,MATCH($B$102,Boss_dps!$A$2:$A$34,0))*$F$102),"")</f>
        <v/>
      </c>
      <c r="L102">
        <f>1+2*MIN(2,FLOOR(INDEX(boss_input_vu_khi!$E$2:$E$94,MATCH($C$102,boss_input_vu_khi!$A$2:$A$94,0))/8,1))</f>
        <v/>
      </c>
      <c r="M102">
        <f>1+2*MIN(2,FLOOR(MAX(INDEX(boss_input_vu_khi!$E$2:$E$94,MATCH($C$102,boss_input_vu_khi!$A$2:$A$94,0)),Boss_vu_khi!$L$119)/8,1))</f>
        <v/>
      </c>
      <c r="N102">
        <f>IF(INDEX(boss_input_vu_khi!$E$2:$E$94,MATCH($C$102,boss_input_vu_khi!$A$2:$A$94,0))&gt;=8,5,1)</f>
        <v/>
      </c>
      <c r="O102">
        <f>IF(MAX(INDEX(boss_input_vu_khi!$E$2:$E$94,MATCH($C$102,boss_input_vu_khi!$A$2:$A$94,0)),Boss_vu_khi!$L$119)&gt;=8,5,1)</f>
        <v/>
      </c>
      <c r="P102">
        <f>INDEX(boss_input_vu_khi_suy_ra!$H$2:$H$94,MATCH($C$102,boss_input_vu_khi_suy_ra!$A$2:$A$94,0))</f>
        <v/>
      </c>
      <c r="Q102">
        <f>IF(AND(INDEX(input_xe_tham_chieu!$G$2:$G$6,MATCH($D$102,input_xe_tham_chieu!$A$2:$A$6,0))&gt;0,INDEX(boss_input_vu_khi!$E$2:$E$94,MATCH($C$102,boss_input_vu_khi!$A$2:$A$94,0))&gt;0),INDEX(boss_input_vu_khi!$E$2:$E$94,MATCH($C$102,boss_input_vu_khi!$A$2:$A$94,0))/INDEX(input_xe_tham_chieu!$G$2:$G$6,MATCH($D$102,input_xe_tham_chieu!$A$2:$A$6,0)),"")</f>
        <v/>
      </c>
      <c r="R102">
        <f>IF(ISNUMBER($Q$102),IF($P$102&gt;=$Q$102,"DU","THIEU"),"")</f>
        <v/>
      </c>
      <c r="S102" t="inlineStr">
        <is>
          <t>Assets/MachineBrigade/Resources/Data/balance.json: vehicles[id=landing_hovercraft].weapon x 01_chien_dau/Xe_tham_chieu[armored_car]</t>
        </is>
      </c>
      <c r="T102" t="inlineStr"/>
    </row>
    <row r="103">
      <c r="A103" t="inlineStr">
        <is>
          <t>landing_hovercraft/gun_turret</t>
        </is>
      </c>
      <c r="B103" t="inlineStr">
        <is>
          <t>landing_hovercraft</t>
        </is>
      </c>
      <c r="C103" t="inlineStr">
        <is>
          <t>hover_ciws</t>
        </is>
      </c>
      <c r="D103" t="inlineStr">
        <is>
          <t>gun_turret</t>
        </is>
      </c>
      <c r="E103">
        <f>IF(INDEX(boss_input_vu_khi_suy_ra!$D$2:$D$94,MATCH($C$103,boss_input_vu_khi_suy_ra!$A$2:$A$94,0)),INDEX(input_xe_tham_chieu!$E$2:$E$6,MATCH($D$103,input_xe_tham_chieu!$A$2:$A$6,0)),INDEX(input_xe_tham_chieu!$D$2:$D$6,MATCH($D$103,input_xe_tham_chieu!$A$2:$A$6,0)))</f>
        <v/>
      </c>
      <c r="F103">
        <f>IF(INDEX(boss_input_vu_khi_suy_ra!$E$2:$E$94,MATCH($C$103,boss_input_vu_khi_suy_ra!$A$2:$A$94,0)),INDEX(boss_input_bang_xuyen_giap!$B$2:$B$7,MIN(6,MAX(1,IF(INDEX(boss_input_vu_khi_suy_ra!$D$2:$D$94,MATCH($C$103,boss_input_vu_khi_suy_ra!$A$2:$A$94,0)),MAX(1,2-(INDEX(boss_input_vu_khi!$C$2:$C$94,MATCH($C$103,boss_input_vu_khi!$A$2:$A$94,0))-$E$103)),2-(INDEX(boss_input_vu_khi!$C$2:$C$94,MATCH($C$103,boss_input_vu_khi!$A$2:$A$94,0))-$E$103))+1)))*IF(INDEX(input_xe_tham_chieu!$F$2:$F$6,MATCH($D$103,input_xe_tham_chieu!$A$2:$A$6,0)),INDEX(boss_input_vu_khi_suy_ra!$G$2:$G$94,MATCH($C$103,boss_input_vu_khi_suy_ra!$A$2:$A$94,0)),INDEX(boss_input_vu_khi_suy_ra!$F$2:$F$94,MATCH($C$103,boss_input_vu_khi_suy_ra!$A$2:$A$94,0))),0)</f>
        <v/>
      </c>
      <c r="G103" t="n">
        <v>0.3</v>
      </c>
      <c r="H103">
        <f>INDEX(boss_input_vu_khi!$B$2:$B$94,MATCH($C$103,boss_input_vu_khi!$A$2:$A$94,0))*INDEX(Boss_dps!$D$2:$D$34,MATCH($B$103,Boss_dps!$A$2:$A$34,0))*IF(INDEX(boss_input_vu_khi!$D$2:$D$94,MATCH($C$103,boss_input_vu_khi!$A$2:$A$94,0)),1,INDEX(Boss_dps!$B$2:$B$34,MATCH($B$103,Boss_dps!$A$2:$A$34,0)))*INDEX(Boss_dps!$C$2:$C$34,MATCH($B$103,Boss_dps!$A$2:$A$34,0))*$F$103</f>
        <v/>
      </c>
      <c r="I103" t="n">
        <v>18.58896</v>
      </c>
      <c r="J103">
        <f>IF($H$103&gt;0,CEILING(INDEX(input_xe_tham_chieu!$C$2:$C$6,MATCH($D$103,input_xe_tham_chieu!$A$2:$A$6,0))/$H$103,1),"")</f>
        <v/>
      </c>
      <c r="K103">
        <f>IF(Boss_vu_khi!$S$119*$F$103&gt;0,INDEX(input_xe_tham_chieu!$C$2:$C$6,MATCH($D$103,input_xe_tham_chieu!$A$2:$A$6,0))/(Boss_vu_khi!$S$119*INDEX(Boss_dps!$D$2:$D$34,MATCH($B$103,Boss_dps!$A$2:$A$34,0))*$F$103),"")</f>
        <v/>
      </c>
      <c r="L103">
        <f>1+2*MIN(2,FLOOR(INDEX(boss_input_vu_khi!$E$2:$E$94,MATCH($C$103,boss_input_vu_khi!$A$2:$A$94,0))/8,1))</f>
        <v/>
      </c>
      <c r="M103">
        <f>1+2*MIN(2,FLOOR(MAX(INDEX(boss_input_vu_khi!$E$2:$E$94,MATCH($C$103,boss_input_vu_khi!$A$2:$A$94,0)),Boss_vu_khi!$L$119)/8,1))</f>
        <v/>
      </c>
      <c r="N103">
        <f>IF(INDEX(boss_input_vu_khi!$E$2:$E$94,MATCH($C$103,boss_input_vu_khi!$A$2:$A$94,0))&gt;=8,5,1)</f>
        <v/>
      </c>
      <c r="O103">
        <f>IF(MAX(INDEX(boss_input_vu_khi!$E$2:$E$94,MATCH($C$103,boss_input_vu_khi!$A$2:$A$94,0)),Boss_vu_khi!$L$119)&gt;=8,5,1)</f>
        <v/>
      </c>
      <c r="P103">
        <f>INDEX(boss_input_vu_khi_suy_ra!$H$2:$H$94,MATCH($C$103,boss_input_vu_khi_suy_ra!$A$2:$A$94,0))</f>
        <v/>
      </c>
      <c r="Q103">
        <f>IF(AND(INDEX(input_xe_tham_chieu!$G$2:$G$6,MATCH($D$103,input_xe_tham_chieu!$A$2:$A$6,0))&gt;0,INDEX(boss_input_vu_khi!$E$2:$E$94,MATCH($C$103,boss_input_vu_khi!$A$2:$A$94,0))&gt;0),INDEX(boss_input_vu_khi!$E$2:$E$94,MATCH($C$103,boss_input_vu_khi!$A$2:$A$94,0))/INDEX(input_xe_tham_chieu!$G$2:$G$6,MATCH($D$103,input_xe_tham_chieu!$A$2:$A$6,0)),"")</f>
        <v/>
      </c>
      <c r="R103">
        <f>IF(ISNUMBER($Q$103),IF($P$103&gt;=$Q$103,"DU","THIEU"),"")</f>
        <v/>
      </c>
      <c r="S103" t="inlineStr">
        <is>
          <t>Assets/MachineBrigade/Resources/Data/balance.json: vehicles[id=landing_hovercraft].weapon x 01_chien_dau/Xe_tham_chieu[gun_turret]</t>
        </is>
      </c>
      <c r="T103" t="inlineStr"/>
    </row>
    <row r="104">
      <c r="A104" t="inlineStr">
        <is>
          <t>landing_hovercraft/heavy_tank</t>
        </is>
      </c>
      <c r="B104" t="inlineStr">
        <is>
          <t>landing_hovercraft</t>
        </is>
      </c>
      <c r="C104" t="inlineStr">
        <is>
          <t>hover_ciws</t>
        </is>
      </c>
      <c r="D104" t="inlineStr">
        <is>
          <t>heavy_tank</t>
        </is>
      </c>
      <c r="E104">
        <f>IF(INDEX(boss_input_vu_khi_suy_ra!$D$2:$D$94,MATCH($C$104,boss_input_vu_khi_suy_ra!$A$2:$A$94,0)),INDEX(input_xe_tham_chieu!$E$2:$E$6,MATCH($D$104,input_xe_tham_chieu!$A$2:$A$6,0)),INDEX(input_xe_tham_chieu!$D$2:$D$6,MATCH($D$104,input_xe_tham_chieu!$A$2:$A$6,0)))</f>
        <v/>
      </c>
      <c r="F104">
        <f>IF(INDEX(boss_input_vu_khi_suy_ra!$E$2:$E$94,MATCH($C$104,boss_input_vu_khi_suy_ra!$A$2:$A$94,0)),INDEX(boss_input_bang_xuyen_giap!$B$2:$B$7,MIN(6,MAX(1,IF(INDEX(boss_input_vu_khi_suy_ra!$D$2:$D$94,MATCH($C$104,boss_input_vu_khi_suy_ra!$A$2:$A$94,0)),MAX(1,2-(INDEX(boss_input_vu_khi!$C$2:$C$94,MATCH($C$104,boss_input_vu_khi!$A$2:$A$94,0))-$E$104)),2-(INDEX(boss_input_vu_khi!$C$2:$C$94,MATCH($C$104,boss_input_vu_khi!$A$2:$A$94,0))-$E$104))+1)))*IF(INDEX(input_xe_tham_chieu!$F$2:$F$6,MATCH($D$104,input_xe_tham_chieu!$A$2:$A$6,0)),INDEX(boss_input_vu_khi_suy_ra!$G$2:$G$94,MATCH($C$104,boss_input_vu_khi_suy_ra!$A$2:$A$94,0)),INDEX(boss_input_vu_khi_suy_ra!$F$2:$F$94,MATCH($C$104,boss_input_vu_khi_suy_ra!$A$2:$A$94,0))),0)</f>
        <v/>
      </c>
      <c r="G104" t="n">
        <v>0.25</v>
      </c>
      <c r="H104">
        <f>INDEX(boss_input_vu_khi!$B$2:$B$94,MATCH($C$104,boss_input_vu_khi!$A$2:$A$94,0))*INDEX(Boss_dps!$D$2:$D$34,MATCH($B$104,Boss_dps!$A$2:$A$34,0))*IF(INDEX(boss_input_vu_khi!$D$2:$D$94,MATCH($C$104,boss_input_vu_khi!$A$2:$A$94,0)),1,INDEX(Boss_dps!$B$2:$B$34,MATCH($B$104,Boss_dps!$A$2:$A$34,0)))*INDEX(Boss_dps!$C$2:$C$34,MATCH($B$104,Boss_dps!$A$2:$A$34,0))*$F$104</f>
        <v/>
      </c>
      <c r="I104" t="n">
        <v>15.4908</v>
      </c>
      <c r="J104">
        <f>IF($H$104&gt;0,CEILING(INDEX(input_xe_tham_chieu!$C$2:$C$6,MATCH($D$104,input_xe_tham_chieu!$A$2:$A$6,0))/$H$104,1),"")</f>
        <v/>
      </c>
      <c r="K104">
        <f>IF(Boss_vu_khi!$S$119*$F$104&gt;0,INDEX(input_xe_tham_chieu!$C$2:$C$6,MATCH($D$104,input_xe_tham_chieu!$A$2:$A$6,0))/(Boss_vu_khi!$S$119*INDEX(Boss_dps!$D$2:$D$34,MATCH($B$104,Boss_dps!$A$2:$A$34,0))*$F$104),"")</f>
        <v/>
      </c>
      <c r="L104">
        <f>1+2*MIN(2,FLOOR(INDEX(boss_input_vu_khi!$E$2:$E$94,MATCH($C$104,boss_input_vu_khi!$A$2:$A$94,0))/8,1))</f>
        <v/>
      </c>
      <c r="M104">
        <f>1+2*MIN(2,FLOOR(MAX(INDEX(boss_input_vu_khi!$E$2:$E$94,MATCH($C$104,boss_input_vu_khi!$A$2:$A$94,0)),Boss_vu_khi!$L$119)/8,1))</f>
        <v/>
      </c>
      <c r="N104">
        <f>IF(INDEX(boss_input_vu_khi!$E$2:$E$94,MATCH($C$104,boss_input_vu_khi!$A$2:$A$94,0))&gt;=8,5,1)</f>
        <v/>
      </c>
      <c r="O104">
        <f>IF(MAX(INDEX(boss_input_vu_khi!$E$2:$E$94,MATCH($C$104,boss_input_vu_khi!$A$2:$A$94,0)),Boss_vu_khi!$L$119)&gt;=8,5,1)</f>
        <v/>
      </c>
      <c r="P104">
        <f>INDEX(boss_input_vu_khi_suy_ra!$H$2:$H$94,MATCH($C$104,boss_input_vu_khi_suy_ra!$A$2:$A$94,0))</f>
        <v/>
      </c>
      <c r="Q104">
        <f>IF(AND(INDEX(input_xe_tham_chieu!$G$2:$G$6,MATCH($D$104,input_xe_tham_chieu!$A$2:$A$6,0))&gt;0,INDEX(boss_input_vu_khi!$E$2:$E$94,MATCH($C$104,boss_input_vu_khi!$A$2:$A$94,0))&gt;0),INDEX(boss_input_vu_khi!$E$2:$E$94,MATCH($C$104,boss_input_vu_khi!$A$2:$A$94,0))/INDEX(input_xe_tham_chieu!$G$2:$G$6,MATCH($D$104,input_xe_tham_chieu!$A$2:$A$6,0)),"")</f>
        <v/>
      </c>
      <c r="R104">
        <f>IF(ISNUMBER($Q$104),IF($P$104&gt;=$Q$104,"DU","THIEU"),"")</f>
        <v/>
      </c>
      <c r="S104" t="inlineStr">
        <is>
          <t>Assets/MachineBrigade/Resources/Data/balance.json: vehicles[id=landing_hovercraft].weapon x 01_chien_dau/Xe_tham_chieu[heavy_tank]</t>
        </is>
      </c>
      <c r="T104" t="inlineStr"/>
    </row>
    <row r="105">
      <c r="A105" t="inlineStr">
        <is>
          <t>landing_hovercraft/ifv</t>
        </is>
      </c>
      <c r="B105" t="inlineStr">
        <is>
          <t>landing_hovercraft</t>
        </is>
      </c>
      <c r="C105" t="inlineStr">
        <is>
          <t>hover_ciws</t>
        </is>
      </c>
      <c r="D105" t="inlineStr">
        <is>
          <t>ifv</t>
        </is>
      </c>
      <c r="E105">
        <f>IF(INDEX(boss_input_vu_khi_suy_ra!$D$2:$D$94,MATCH($C$105,boss_input_vu_khi_suy_ra!$A$2:$A$94,0)),INDEX(input_xe_tham_chieu!$E$2:$E$6,MATCH($D$105,input_xe_tham_chieu!$A$2:$A$6,0)),INDEX(input_xe_tham_chieu!$D$2:$D$6,MATCH($D$105,input_xe_tham_chieu!$A$2:$A$6,0)))</f>
        <v/>
      </c>
      <c r="F105">
        <f>IF(INDEX(boss_input_vu_khi_suy_ra!$E$2:$E$94,MATCH($C$105,boss_input_vu_khi_suy_ra!$A$2:$A$94,0)),INDEX(boss_input_bang_xuyen_giap!$B$2:$B$7,MIN(6,MAX(1,IF(INDEX(boss_input_vu_khi_suy_ra!$D$2:$D$94,MATCH($C$105,boss_input_vu_khi_suy_ra!$A$2:$A$94,0)),MAX(1,2-(INDEX(boss_input_vu_khi!$C$2:$C$94,MATCH($C$105,boss_input_vu_khi!$A$2:$A$94,0))-$E$105)),2-(INDEX(boss_input_vu_khi!$C$2:$C$94,MATCH($C$105,boss_input_vu_khi!$A$2:$A$94,0))-$E$105))+1)))*IF(INDEX(input_xe_tham_chieu!$F$2:$F$6,MATCH($D$105,input_xe_tham_chieu!$A$2:$A$6,0)),INDEX(boss_input_vu_khi_suy_ra!$G$2:$G$94,MATCH($C$105,boss_input_vu_khi_suy_ra!$A$2:$A$94,0)),INDEX(boss_input_vu_khi_suy_ra!$F$2:$F$94,MATCH($C$105,boss_input_vu_khi_suy_ra!$A$2:$A$94,0))),0)</f>
        <v/>
      </c>
      <c r="G105" t="n">
        <v>0.85</v>
      </c>
      <c r="H105">
        <f>INDEX(boss_input_vu_khi!$B$2:$B$94,MATCH($C$105,boss_input_vu_khi!$A$2:$A$94,0))*INDEX(Boss_dps!$D$2:$D$34,MATCH($B$105,Boss_dps!$A$2:$A$34,0))*IF(INDEX(boss_input_vu_khi!$D$2:$D$94,MATCH($C$105,boss_input_vu_khi!$A$2:$A$94,0)),1,INDEX(Boss_dps!$B$2:$B$34,MATCH($B$105,Boss_dps!$A$2:$A$34,0)))*INDEX(Boss_dps!$C$2:$C$34,MATCH($B$105,Boss_dps!$A$2:$A$34,0))*$F$105</f>
        <v/>
      </c>
      <c r="I105" t="n">
        <v>52.66871999999999</v>
      </c>
      <c r="J105">
        <f>IF($H$105&gt;0,CEILING(INDEX(input_xe_tham_chieu!$C$2:$C$6,MATCH($D$105,input_xe_tham_chieu!$A$2:$A$6,0))/$H$105,1),"")</f>
        <v/>
      </c>
      <c r="K105">
        <f>IF(Boss_vu_khi!$S$119*$F$105&gt;0,INDEX(input_xe_tham_chieu!$C$2:$C$6,MATCH($D$105,input_xe_tham_chieu!$A$2:$A$6,0))/(Boss_vu_khi!$S$119*INDEX(Boss_dps!$D$2:$D$34,MATCH($B$105,Boss_dps!$A$2:$A$34,0))*$F$105),"")</f>
        <v/>
      </c>
      <c r="L105">
        <f>1+2*MIN(2,FLOOR(INDEX(boss_input_vu_khi!$E$2:$E$94,MATCH($C$105,boss_input_vu_khi!$A$2:$A$94,0))/8,1))</f>
        <v/>
      </c>
      <c r="M105">
        <f>1+2*MIN(2,FLOOR(MAX(INDEX(boss_input_vu_khi!$E$2:$E$94,MATCH($C$105,boss_input_vu_khi!$A$2:$A$94,0)),Boss_vu_khi!$L$119)/8,1))</f>
        <v/>
      </c>
      <c r="N105">
        <f>IF(INDEX(boss_input_vu_khi!$E$2:$E$94,MATCH($C$105,boss_input_vu_khi!$A$2:$A$94,0))&gt;=8,5,1)</f>
        <v/>
      </c>
      <c r="O105">
        <f>IF(MAX(INDEX(boss_input_vu_khi!$E$2:$E$94,MATCH($C$105,boss_input_vu_khi!$A$2:$A$94,0)),Boss_vu_khi!$L$119)&gt;=8,5,1)</f>
        <v/>
      </c>
      <c r="P105">
        <f>INDEX(boss_input_vu_khi_suy_ra!$H$2:$H$94,MATCH($C$105,boss_input_vu_khi_suy_ra!$A$2:$A$94,0))</f>
        <v/>
      </c>
      <c r="Q105">
        <f>IF(AND(INDEX(input_xe_tham_chieu!$G$2:$G$6,MATCH($D$105,input_xe_tham_chieu!$A$2:$A$6,0))&gt;0,INDEX(boss_input_vu_khi!$E$2:$E$94,MATCH($C$105,boss_input_vu_khi!$A$2:$A$94,0))&gt;0),INDEX(boss_input_vu_khi!$E$2:$E$94,MATCH($C$105,boss_input_vu_khi!$A$2:$A$94,0))/INDEX(input_xe_tham_chieu!$G$2:$G$6,MATCH($D$105,input_xe_tham_chieu!$A$2:$A$6,0)),"")</f>
        <v/>
      </c>
      <c r="R105">
        <f>IF(ISNUMBER($Q$105),IF($P$105&gt;=$Q$105,"DU","THIEU"),"")</f>
        <v/>
      </c>
      <c r="S105" t="inlineStr">
        <is>
          <t>Assets/MachineBrigade/Resources/Data/balance.json: vehicles[id=landing_hovercraft].weapon x 01_chien_dau/Xe_tham_chieu[ifv]</t>
        </is>
      </c>
      <c r="T105" t="inlineStr"/>
    </row>
    <row r="106">
      <c r="A106" t="inlineStr">
        <is>
          <t>landing_hovercraft/main_battle_tank</t>
        </is>
      </c>
      <c r="B106" t="inlineStr">
        <is>
          <t>landing_hovercraft</t>
        </is>
      </c>
      <c r="C106" t="inlineStr">
        <is>
          <t>hover_ciws</t>
        </is>
      </c>
      <c r="D106" t="inlineStr">
        <is>
          <t>main_battle_tank</t>
        </is>
      </c>
      <c r="E106">
        <f>IF(INDEX(boss_input_vu_khi_suy_ra!$D$2:$D$94,MATCH($C$106,boss_input_vu_khi_suy_ra!$A$2:$A$94,0)),INDEX(input_xe_tham_chieu!$E$2:$E$6,MATCH($D$106,input_xe_tham_chieu!$A$2:$A$6,0)),INDEX(input_xe_tham_chieu!$D$2:$D$6,MATCH($D$106,input_xe_tham_chieu!$A$2:$A$6,0)))</f>
        <v/>
      </c>
      <c r="F106">
        <f>IF(INDEX(boss_input_vu_khi_suy_ra!$E$2:$E$94,MATCH($C$106,boss_input_vu_khi_suy_ra!$A$2:$A$94,0)),INDEX(boss_input_bang_xuyen_giap!$B$2:$B$7,MIN(6,MAX(1,IF(INDEX(boss_input_vu_khi_suy_ra!$D$2:$D$94,MATCH($C$106,boss_input_vu_khi_suy_ra!$A$2:$A$94,0)),MAX(1,2-(INDEX(boss_input_vu_khi!$C$2:$C$94,MATCH($C$106,boss_input_vu_khi!$A$2:$A$94,0))-$E$106)),2-(INDEX(boss_input_vu_khi!$C$2:$C$94,MATCH($C$106,boss_input_vu_khi!$A$2:$A$94,0))-$E$106))+1)))*IF(INDEX(input_xe_tham_chieu!$F$2:$F$6,MATCH($D$106,input_xe_tham_chieu!$A$2:$A$6,0)),INDEX(boss_input_vu_khi_suy_ra!$G$2:$G$94,MATCH($C$106,boss_input_vu_khi_suy_ra!$A$2:$A$94,0)),INDEX(boss_input_vu_khi_suy_ra!$F$2:$F$94,MATCH($C$106,boss_input_vu_khi_suy_ra!$A$2:$A$94,0))),0)</f>
        <v/>
      </c>
      <c r="G106" t="n">
        <v>0.25</v>
      </c>
      <c r="H106">
        <f>INDEX(boss_input_vu_khi!$B$2:$B$94,MATCH($C$106,boss_input_vu_khi!$A$2:$A$94,0))*INDEX(Boss_dps!$D$2:$D$34,MATCH($B$106,Boss_dps!$A$2:$A$34,0))*IF(INDEX(boss_input_vu_khi!$D$2:$D$94,MATCH($C$106,boss_input_vu_khi!$A$2:$A$94,0)),1,INDEX(Boss_dps!$B$2:$B$34,MATCH($B$106,Boss_dps!$A$2:$A$34,0)))*INDEX(Boss_dps!$C$2:$C$34,MATCH($B$106,Boss_dps!$A$2:$A$34,0))*$F$106</f>
        <v/>
      </c>
      <c r="I106" t="n">
        <v>15.4908</v>
      </c>
      <c r="J106">
        <f>IF($H$106&gt;0,CEILING(INDEX(input_xe_tham_chieu!$C$2:$C$6,MATCH($D$106,input_xe_tham_chieu!$A$2:$A$6,0))/$H$106,1),"")</f>
        <v/>
      </c>
      <c r="K106">
        <f>IF(Boss_vu_khi!$S$119*$F$106&gt;0,INDEX(input_xe_tham_chieu!$C$2:$C$6,MATCH($D$106,input_xe_tham_chieu!$A$2:$A$6,0))/(Boss_vu_khi!$S$119*INDEX(Boss_dps!$D$2:$D$34,MATCH($B$106,Boss_dps!$A$2:$A$34,0))*$F$106),"")</f>
        <v/>
      </c>
      <c r="L106">
        <f>1+2*MIN(2,FLOOR(INDEX(boss_input_vu_khi!$E$2:$E$94,MATCH($C$106,boss_input_vu_khi!$A$2:$A$94,0))/8,1))</f>
        <v/>
      </c>
      <c r="M106">
        <f>1+2*MIN(2,FLOOR(MAX(INDEX(boss_input_vu_khi!$E$2:$E$94,MATCH($C$106,boss_input_vu_khi!$A$2:$A$94,0)),Boss_vu_khi!$L$119)/8,1))</f>
        <v/>
      </c>
      <c r="N106">
        <f>IF(INDEX(boss_input_vu_khi!$E$2:$E$94,MATCH($C$106,boss_input_vu_khi!$A$2:$A$94,0))&gt;=8,5,1)</f>
        <v/>
      </c>
      <c r="O106">
        <f>IF(MAX(INDEX(boss_input_vu_khi!$E$2:$E$94,MATCH($C$106,boss_input_vu_khi!$A$2:$A$94,0)),Boss_vu_khi!$L$119)&gt;=8,5,1)</f>
        <v/>
      </c>
      <c r="P106">
        <f>INDEX(boss_input_vu_khi_suy_ra!$H$2:$H$94,MATCH($C$106,boss_input_vu_khi_suy_ra!$A$2:$A$94,0))</f>
        <v/>
      </c>
      <c r="Q106">
        <f>IF(AND(INDEX(input_xe_tham_chieu!$G$2:$G$6,MATCH($D$106,input_xe_tham_chieu!$A$2:$A$6,0))&gt;0,INDEX(boss_input_vu_khi!$E$2:$E$94,MATCH($C$106,boss_input_vu_khi!$A$2:$A$94,0))&gt;0),INDEX(boss_input_vu_khi!$E$2:$E$94,MATCH($C$106,boss_input_vu_khi!$A$2:$A$94,0))/INDEX(input_xe_tham_chieu!$G$2:$G$6,MATCH($D$106,input_xe_tham_chieu!$A$2:$A$6,0)),"")</f>
        <v/>
      </c>
      <c r="R106">
        <f>IF(ISNUMBER($Q$106),IF($P$106&gt;=$Q$106,"DU","THIEU"),"")</f>
        <v/>
      </c>
      <c r="S106" t="inlineStr">
        <is>
          <t>Assets/MachineBrigade/Resources/Data/balance.json: vehicles[id=landing_hovercraft].weapon x 01_chien_dau/Xe_tham_chieu[main_battle_tank]</t>
        </is>
      </c>
      <c r="T106" t="inlineStr"/>
    </row>
    <row r="107">
      <c r="A107" t="inlineStr">
        <is>
          <t>leviathan/armored_car</t>
        </is>
      </c>
      <c r="B107" t="inlineStr">
        <is>
          <t>leviathan</t>
        </is>
      </c>
      <c r="C107" t="inlineStr">
        <is>
          <t>p26_leviathan_lev406</t>
        </is>
      </c>
      <c r="D107" t="inlineStr">
        <is>
          <t>armored_car</t>
        </is>
      </c>
      <c r="E107">
        <f>IF(INDEX(boss_input_vu_khi_suy_ra!$D$2:$D$94,MATCH($C$107,boss_input_vu_khi_suy_ra!$A$2:$A$94,0)),INDEX(input_xe_tham_chieu!$E$2:$E$6,MATCH($D$107,input_xe_tham_chieu!$A$2:$A$6,0)),INDEX(input_xe_tham_chieu!$D$2:$D$6,MATCH($D$107,input_xe_tham_chieu!$A$2:$A$6,0)))</f>
        <v/>
      </c>
      <c r="F107">
        <f>IF(INDEX(boss_input_vu_khi_suy_ra!$E$2:$E$94,MATCH($C$107,boss_input_vu_khi_suy_ra!$A$2:$A$94,0)),INDEX(boss_input_bang_xuyen_giap!$B$2:$B$7,MIN(6,MAX(1,IF(INDEX(boss_input_vu_khi_suy_ra!$D$2:$D$94,MATCH($C$107,boss_input_vu_khi_suy_ra!$A$2:$A$94,0)),MAX(1,2-(INDEX(boss_input_vu_khi!$C$2:$C$94,MATCH($C$107,boss_input_vu_khi!$A$2:$A$94,0))-$E$107)),2-(INDEX(boss_input_vu_khi!$C$2:$C$94,MATCH($C$107,boss_input_vu_khi!$A$2:$A$94,0))-$E$107))+1)))*IF(INDEX(input_xe_tham_chieu!$F$2:$F$6,MATCH($D$107,input_xe_tham_chieu!$A$2:$A$6,0)),INDEX(boss_input_vu_khi_suy_ra!$G$2:$G$94,MATCH($C$107,boss_input_vu_khi_suy_ra!$A$2:$A$94,0)),INDEX(boss_input_vu_khi_suy_ra!$F$2:$F$94,MATCH($C$107,boss_input_vu_khi_suy_ra!$A$2:$A$94,0))),0)</f>
        <v/>
      </c>
      <c r="G107" t="n">
        <v>1.2</v>
      </c>
      <c r="H107">
        <f>INDEX(boss_input_vu_khi!$B$2:$B$94,MATCH($C$107,boss_input_vu_khi!$A$2:$A$94,0))*INDEX(Boss_dps!$D$2:$D$34,MATCH($B$107,Boss_dps!$A$2:$A$34,0))*IF(INDEX(boss_input_vu_khi!$D$2:$D$94,MATCH($C$107,boss_input_vu_khi!$A$2:$A$94,0)),1,INDEX(Boss_dps!$B$2:$B$34,MATCH($B$107,Boss_dps!$A$2:$A$34,0)))*INDEX(Boss_dps!$C$2:$C$34,MATCH($B$107,Boss_dps!$A$2:$A$34,0))*$F$107</f>
        <v/>
      </c>
      <c r="I107" t="n">
        <v>3902.1696</v>
      </c>
      <c r="J107">
        <f>IF($H$107&gt;0,CEILING(INDEX(input_xe_tham_chieu!$C$2:$C$6,MATCH($D$107,input_xe_tham_chieu!$A$2:$A$6,0))/$H$107,1),"")</f>
        <v/>
      </c>
      <c r="K107">
        <f>IF(Boss_vu_khi!$S$124*$F$107&gt;0,INDEX(input_xe_tham_chieu!$C$2:$C$6,MATCH($D$107,input_xe_tham_chieu!$A$2:$A$6,0))/(Boss_vu_khi!$S$124*INDEX(Boss_dps!$D$2:$D$34,MATCH($B$107,Boss_dps!$A$2:$A$34,0))*$F$107),"")</f>
        <v/>
      </c>
      <c r="L107">
        <f>1+2*MIN(2,FLOOR(INDEX(boss_input_vu_khi!$E$2:$E$94,MATCH($C$107,boss_input_vu_khi!$A$2:$A$94,0))/8,1))</f>
        <v/>
      </c>
      <c r="M107">
        <f>1+2*MIN(2,FLOOR(MAX(INDEX(boss_input_vu_khi!$E$2:$E$94,MATCH($C$107,boss_input_vu_khi!$A$2:$A$94,0)),Boss_vu_khi!$L$124)/8,1))</f>
        <v/>
      </c>
      <c r="N107">
        <f>IF(INDEX(boss_input_vu_khi!$E$2:$E$94,MATCH($C$107,boss_input_vu_khi!$A$2:$A$94,0))&gt;=8,5,1)</f>
        <v/>
      </c>
      <c r="O107">
        <f>IF(MAX(INDEX(boss_input_vu_khi!$E$2:$E$94,MATCH($C$107,boss_input_vu_khi!$A$2:$A$94,0)),Boss_vu_khi!$L$124)&gt;=8,5,1)</f>
        <v/>
      </c>
      <c r="P107">
        <f>INDEX(boss_input_vu_khi_suy_ra!$H$2:$H$94,MATCH($C$107,boss_input_vu_khi_suy_ra!$A$2:$A$94,0))</f>
        <v/>
      </c>
      <c r="Q107">
        <f>IF(AND(INDEX(input_xe_tham_chieu!$G$2:$G$6,MATCH($D$107,input_xe_tham_chieu!$A$2:$A$6,0))&gt;0,INDEX(boss_input_vu_khi!$E$2:$E$94,MATCH($C$107,boss_input_vu_khi!$A$2:$A$94,0))&gt;0),INDEX(boss_input_vu_khi!$E$2:$E$94,MATCH($C$107,boss_input_vu_khi!$A$2:$A$94,0))/INDEX(input_xe_tham_chieu!$G$2:$G$6,MATCH($D$107,input_xe_tham_chieu!$A$2:$A$6,0)),"")</f>
        <v/>
      </c>
      <c r="R107">
        <f>IF(ISNUMBER($Q$107),IF($P$107&gt;=$Q$107,"DU","THIEU"),"")</f>
        <v/>
      </c>
      <c r="S107" t="inlineStr">
        <is>
          <t>Assets/MachineBrigade/Resources/Data/balance.json: vehicles[id=leviathan].weapon x 01_chien_dau/Xe_tham_chieu[armored_car]</t>
        </is>
      </c>
      <c r="T107" t="inlineStr"/>
    </row>
    <row r="108">
      <c r="A108" t="inlineStr">
        <is>
          <t>leviathan/gun_turret</t>
        </is>
      </c>
      <c r="B108" t="inlineStr">
        <is>
          <t>leviathan</t>
        </is>
      </c>
      <c r="C108" t="inlineStr">
        <is>
          <t>p26_leviathan_lev406</t>
        </is>
      </c>
      <c r="D108" t="inlineStr">
        <is>
          <t>gun_turret</t>
        </is>
      </c>
      <c r="E108">
        <f>IF(INDEX(boss_input_vu_khi_suy_ra!$D$2:$D$94,MATCH($C$108,boss_input_vu_khi_suy_ra!$A$2:$A$94,0)),INDEX(input_xe_tham_chieu!$E$2:$E$6,MATCH($D$108,input_xe_tham_chieu!$A$2:$A$6,0)),INDEX(input_xe_tham_chieu!$D$2:$D$6,MATCH($D$108,input_xe_tham_chieu!$A$2:$A$6,0)))</f>
        <v/>
      </c>
      <c r="F108">
        <f>IF(INDEX(boss_input_vu_khi_suy_ra!$E$2:$E$94,MATCH($C$108,boss_input_vu_khi_suy_ra!$A$2:$A$94,0)),INDEX(boss_input_bang_xuyen_giap!$B$2:$B$7,MIN(6,MAX(1,IF(INDEX(boss_input_vu_khi_suy_ra!$D$2:$D$94,MATCH($C$108,boss_input_vu_khi_suy_ra!$A$2:$A$94,0)),MAX(1,2-(INDEX(boss_input_vu_khi!$C$2:$C$94,MATCH($C$108,boss_input_vu_khi!$A$2:$A$94,0))-$E$108)),2-(INDEX(boss_input_vu_khi!$C$2:$C$94,MATCH($C$108,boss_input_vu_khi!$A$2:$A$94,0))-$E$108))+1)))*IF(INDEX(input_xe_tham_chieu!$F$2:$F$6,MATCH($D$108,input_xe_tham_chieu!$A$2:$A$6,0)),INDEX(boss_input_vu_khi_suy_ra!$G$2:$G$94,MATCH($C$108,boss_input_vu_khi_suy_ra!$A$2:$A$94,0)),INDEX(boss_input_vu_khi_suy_ra!$F$2:$F$94,MATCH($C$108,boss_input_vu_khi_suy_ra!$A$2:$A$94,0))),0)</f>
        <v/>
      </c>
      <c r="G108" t="n">
        <v>1.5</v>
      </c>
      <c r="H108">
        <f>INDEX(boss_input_vu_khi!$B$2:$B$94,MATCH($C$108,boss_input_vu_khi!$A$2:$A$94,0))*INDEX(Boss_dps!$D$2:$D$34,MATCH($B$108,Boss_dps!$A$2:$A$34,0))*IF(INDEX(boss_input_vu_khi!$D$2:$D$94,MATCH($C$108,boss_input_vu_khi!$A$2:$A$94,0)),1,INDEX(Boss_dps!$B$2:$B$34,MATCH($B$108,Boss_dps!$A$2:$A$34,0)))*INDEX(Boss_dps!$C$2:$C$34,MATCH($B$108,Boss_dps!$A$2:$A$34,0))*$F$108</f>
        <v/>
      </c>
      <c r="I108" t="n">
        <v>4877.712</v>
      </c>
      <c r="J108">
        <f>IF($H$108&gt;0,CEILING(INDEX(input_xe_tham_chieu!$C$2:$C$6,MATCH($D$108,input_xe_tham_chieu!$A$2:$A$6,0))/$H$108,1),"")</f>
        <v/>
      </c>
      <c r="K108">
        <f>IF(Boss_vu_khi!$S$124*$F$108&gt;0,INDEX(input_xe_tham_chieu!$C$2:$C$6,MATCH($D$108,input_xe_tham_chieu!$A$2:$A$6,0))/(Boss_vu_khi!$S$124*INDEX(Boss_dps!$D$2:$D$34,MATCH($B$108,Boss_dps!$A$2:$A$34,0))*$F$108),"")</f>
        <v/>
      </c>
      <c r="L108">
        <f>1+2*MIN(2,FLOOR(INDEX(boss_input_vu_khi!$E$2:$E$94,MATCH($C$108,boss_input_vu_khi!$A$2:$A$94,0))/8,1))</f>
        <v/>
      </c>
      <c r="M108">
        <f>1+2*MIN(2,FLOOR(MAX(INDEX(boss_input_vu_khi!$E$2:$E$94,MATCH($C$108,boss_input_vu_khi!$A$2:$A$94,0)),Boss_vu_khi!$L$124)/8,1))</f>
        <v/>
      </c>
      <c r="N108">
        <f>IF(INDEX(boss_input_vu_khi!$E$2:$E$94,MATCH($C$108,boss_input_vu_khi!$A$2:$A$94,0))&gt;=8,5,1)</f>
        <v/>
      </c>
      <c r="O108">
        <f>IF(MAX(INDEX(boss_input_vu_khi!$E$2:$E$94,MATCH($C$108,boss_input_vu_khi!$A$2:$A$94,0)),Boss_vu_khi!$L$124)&gt;=8,5,1)</f>
        <v/>
      </c>
      <c r="P108">
        <f>INDEX(boss_input_vu_khi_suy_ra!$H$2:$H$94,MATCH($C$108,boss_input_vu_khi_suy_ra!$A$2:$A$94,0))</f>
        <v/>
      </c>
      <c r="Q108">
        <f>IF(AND(INDEX(input_xe_tham_chieu!$G$2:$G$6,MATCH($D$108,input_xe_tham_chieu!$A$2:$A$6,0))&gt;0,INDEX(boss_input_vu_khi!$E$2:$E$94,MATCH($C$108,boss_input_vu_khi!$A$2:$A$94,0))&gt;0),INDEX(boss_input_vu_khi!$E$2:$E$94,MATCH($C$108,boss_input_vu_khi!$A$2:$A$94,0))/INDEX(input_xe_tham_chieu!$G$2:$G$6,MATCH($D$108,input_xe_tham_chieu!$A$2:$A$6,0)),"")</f>
        <v/>
      </c>
      <c r="R108">
        <f>IF(ISNUMBER($Q$108),IF($P$108&gt;=$Q$108,"DU","THIEU"),"")</f>
        <v/>
      </c>
      <c r="S108" t="inlineStr">
        <is>
          <t>Assets/MachineBrigade/Resources/Data/balance.json: vehicles[id=leviathan].weapon x 01_chien_dau/Xe_tham_chieu[gun_turret]</t>
        </is>
      </c>
      <c r="T108" t="inlineStr"/>
    </row>
    <row r="109">
      <c r="A109" t="inlineStr">
        <is>
          <t>leviathan/heavy_tank</t>
        </is>
      </c>
      <c r="B109" t="inlineStr">
        <is>
          <t>leviathan</t>
        </is>
      </c>
      <c r="C109" t="inlineStr">
        <is>
          <t>p26_leviathan_lev406</t>
        </is>
      </c>
      <c r="D109" t="inlineStr">
        <is>
          <t>heavy_tank</t>
        </is>
      </c>
      <c r="E109">
        <f>IF(INDEX(boss_input_vu_khi_suy_ra!$D$2:$D$94,MATCH($C$109,boss_input_vu_khi_suy_ra!$A$2:$A$94,0)),INDEX(input_xe_tham_chieu!$E$2:$E$6,MATCH($D$109,input_xe_tham_chieu!$A$2:$A$6,0)),INDEX(input_xe_tham_chieu!$D$2:$D$6,MATCH($D$109,input_xe_tham_chieu!$A$2:$A$6,0)))</f>
        <v/>
      </c>
      <c r="F109">
        <f>IF(INDEX(boss_input_vu_khi_suy_ra!$E$2:$E$94,MATCH($C$109,boss_input_vu_khi_suy_ra!$A$2:$A$94,0)),INDEX(boss_input_bang_xuyen_giap!$B$2:$B$7,MIN(6,MAX(1,IF(INDEX(boss_input_vu_khi_suy_ra!$D$2:$D$94,MATCH($C$109,boss_input_vu_khi_suy_ra!$A$2:$A$94,0)),MAX(1,2-(INDEX(boss_input_vu_khi!$C$2:$C$94,MATCH($C$109,boss_input_vu_khi!$A$2:$A$94,0))-$E$109)),2-(INDEX(boss_input_vu_khi!$C$2:$C$94,MATCH($C$109,boss_input_vu_khi!$A$2:$A$94,0))-$E$109))+1)))*IF(INDEX(input_xe_tham_chieu!$F$2:$F$6,MATCH($D$109,input_xe_tham_chieu!$A$2:$A$6,0)),INDEX(boss_input_vu_khi_suy_ra!$G$2:$G$94,MATCH($C$109,boss_input_vu_khi_suy_ra!$A$2:$A$94,0)),INDEX(boss_input_vu_khi_suy_ra!$F$2:$F$94,MATCH($C$109,boss_input_vu_khi_suy_ra!$A$2:$A$94,0))),0)</f>
        <v/>
      </c>
      <c r="G109" t="n">
        <v>0.85</v>
      </c>
      <c r="H109">
        <f>INDEX(boss_input_vu_khi!$B$2:$B$94,MATCH($C$109,boss_input_vu_khi!$A$2:$A$94,0))*INDEX(Boss_dps!$D$2:$D$34,MATCH($B$109,Boss_dps!$A$2:$A$34,0))*IF(INDEX(boss_input_vu_khi!$D$2:$D$94,MATCH($C$109,boss_input_vu_khi!$A$2:$A$94,0)),1,INDEX(Boss_dps!$B$2:$B$34,MATCH($B$109,Boss_dps!$A$2:$A$34,0)))*INDEX(Boss_dps!$C$2:$C$34,MATCH($B$109,Boss_dps!$A$2:$A$34,0))*$F$109</f>
        <v/>
      </c>
      <c r="I109" t="n">
        <v>2764.0368</v>
      </c>
      <c r="J109">
        <f>IF($H$109&gt;0,CEILING(INDEX(input_xe_tham_chieu!$C$2:$C$6,MATCH($D$109,input_xe_tham_chieu!$A$2:$A$6,0))/$H$109,1),"")</f>
        <v/>
      </c>
      <c r="K109">
        <f>IF(Boss_vu_khi!$S$124*$F$109&gt;0,INDEX(input_xe_tham_chieu!$C$2:$C$6,MATCH($D$109,input_xe_tham_chieu!$A$2:$A$6,0))/(Boss_vu_khi!$S$124*INDEX(Boss_dps!$D$2:$D$34,MATCH($B$109,Boss_dps!$A$2:$A$34,0))*$F$109),"")</f>
        <v/>
      </c>
      <c r="L109">
        <f>1+2*MIN(2,FLOOR(INDEX(boss_input_vu_khi!$E$2:$E$94,MATCH($C$109,boss_input_vu_khi!$A$2:$A$94,0))/8,1))</f>
        <v/>
      </c>
      <c r="M109">
        <f>1+2*MIN(2,FLOOR(MAX(INDEX(boss_input_vu_khi!$E$2:$E$94,MATCH($C$109,boss_input_vu_khi!$A$2:$A$94,0)),Boss_vu_khi!$L$124)/8,1))</f>
        <v/>
      </c>
      <c r="N109">
        <f>IF(INDEX(boss_input_vu_khi!$E$2:$E$94,MATCH($C$109,boss_input_vu_khi!$A$2:$A$94,0))&gt;=8,5,1)</f>
        <v/>
      </c>
      <c r="O109">
        <f>IF(MAX(INDEX(boss_input_vu_khi!$E$2:$E$94,MATCH($C$109,boss_input_vu_khi!$A$2:$A$94,0)),Boss_vu_khi!$L$124)&gt;=8,5,1)</f>
        <v/>
      </c>
      <c r="P109">
        <f>INDEX(boss_input_vu_khi_suy_ra!$H$2:$H$94,MATCH($C$109,boss_input_vu_khi_suy_ra!$A$2:$A$94,0))</f>
        <v/>
      </c>
      <c r="Q109">
        <f>IF(AND(INDEX(input_xe_tham_chieu!$G$2:$G$6,MATCH($D$109,input_xe_tham_chieu!$A$2:$A$6,0))&gt;0,INDEX(boss_input_vu_khi!$E$2:$E$94,MATCH($C$109,boss_input_vu_khi!$A$2:$A$94,0))&gt;0),INDEX(boss_input_vu_khi!$E$2:$E$94,MATCH($C$109,boss_input_vu_khi!$A$2:$A$94,0))/INDEX(input_xe_tham_chieu!$G$2:$G$6,MATCH($D$109,input_xe_tham_chieu!$A$2:$A$6,0)),"")</f>
        <v/>
      </c>
      <c r="R109">
        <f>IF(ISNUMBER($Q$109),IF($P$109&gt;=$Q$109,"DU","THIEU"),"")</f>
        <v/>
      </c>
      <c r="S109" t="inlineStr">
        <is>
          <t>Assets/MachineBrigade/Resources/Data/balance.json: vehicles[id=leviathan].weapon x 01_chien_dau/Xe_tham_chieu[heavy_tank]</t>
        </is>
      </c>
      <c r="T109" t="inlineStr"/>
    </row>
    <row r="110">
      <c r="A110" t="inlineStr">
        <is>
          <t>leviathan/ifv</t>
        </is>
      </c>
      <c r="B110" t="inlineStr">
        <is>
          <t>leviathan</t>
        </is>
      </c>
      <c r="C110" t="inlineStr">
        <is>
          <t>p26_leviathan_lev406</t>
        </is>
      </c>
      <c r="D110" t="inlineStr">
        <is>
          <t>ifv</t>
        </is>
      </c>
      <c r="E110">
        <f>IF(INDEX(boss_input_vu_khi_suy_ra!$D$2:$D$94,MATCH($C$110,boss_input_vu_khi_suy_ra!$A$2:$A$94,0)),INDEX(input_xe_tham_chieu!$E$2:$E$6,MATCH($D$110,input_xe_tham_chieu!$A$2:$A$6,0)),INDEX(input_xe_tham_chieu!$D$2:$D$6,MATCH($D$110,input_xe_tham_chieu!$A$2:$A$6,0)))</f>
        <v/>
      </c>
      <c r="F110">
        <f>IF(INDEX(boss_input_vu_khi_suy_ra!$E$2:$E$94,MATCH($C$110,boss_input_vu_khi_suy_ra!$A$2:$A$94,0)),INDEX(boss_input_bang_xuyen_giap!$B$2:$B$7,MIN(6,MAX(1,IF(INDEX(boss_input_vu_khi_suy_ra!$D$2:$D$94,MATCH($C$110,boss_input_vu_khi_suy_ra!$A$2:$A$94,0)),MAX(1,2-(INDEX(boss_input_vu_khi!$C$2:$C$94,MATCH($C$110,boss_input_vu_khi!$A$2:$A$94,0))-$E$110)),2-(INDEX(boss_input_vu_khi!$C$2:$C$94,MATCH($C$110,boss_input_vu_khi!$A$2:$A$94,0))-$E$110))+1)))*IF(INDEX(input_xe_tham_chieu!$F$2:$F$6,MATCH($D$110,input_xe_tham_chieu!$A$2:$A$6,0)),INDEX(boss_input_vu_khi_suy_ra!$G$2:$G$94,MATCH($C$110,boss_input_vu_khi_suy_ra!$A$2:$A$94,0)),INDEX(boss_input_vu_khi_suy_ra!$F$2:$F$94,MATCH($C$110,boss_input_vu_khi_suy_ra!$A$2:$A$94,0))),0)</f>
        <v/>
      </c>
      <c r="G110" t="n">
        <v>1.2</v>
      </c>
      <c r="H110">
        <f>INDEX(boss_input_vu_khi!$B$2:$B$94,MATCH($C$110,boss_input_vu_khi!$A$2:$A$94,0))*INDEX(Boss_dps!$D$2:$D$34,MATCH($B$110,Boss_dps!$A$2:$A$34,0))*IF(INDEX(boss_input_vu_khi!$D$2:$D$94,MATCH($C$110,boss_input_vu_khi!$A$2:$A$94,0)),1,INDEX(Boss_dps!$B$2:$B$34,MATCH($B$110,Boss_dps!$A$2:$A$34,0)))*INDEX(Boss_dps!$C$2:$C$34,MATCH($B$110,Boss_dps!$A$2:$A$34,0))*$F$110</f>
        <v/>
      </c>
      <c r="I110" t="n">
        <v>3902.1696</v>
      </c>
      <c r="J110">
        <f>IF($H$110&gt;0,CEILING(INDEX(input_xe_tham_chieu!$C$2:$C$6,MATCH($D$110,input_xe_tham_chieu!$A$2:$A$6,0))/$H$110,1),"")</f>
        <v/>
      </c>
      <c r="K110">
        <f>IF(Boss_vu_khi!$S$124*$F$110&gt;0,INDEX(input_xe_tham_chieu!$C$2:$C$6,MATCH($D$110,input_xe_tham_chieu!$A$2:$A$6,0))/(Boss_vu_khi!$S$124*INDEX(Boss_dps!$D$2:$D$34,MATCH($B$110,Boss_dps!$A$2:$A$34,0))*$F$110),"")</f>
        <v/>
      </c>
      <c r="L110">
        <f>1+2*MIN(2,FLOOR(INDEX(boss_input_vu_khi!$E$2:$E$94,MATCH($C$110,boss_input_vu_khi!$A$2:$A$94,0))/8,1))</f>
        <v/>
      </c>
      <c r="M110">
        <f>1+2*MIN(2,FLOOR(MAX(INDEX(boss_input_vu_khi!$E$2:$E$94,MATCH($C$110,boss_input_vu_khi!$A$2:$A$94,0)),Boss_vu_khi!$L$124)/8,1))</f>
        <v/>
      </c>
      <c r="N110">
        <f>IF(INDEX(boss_input_vu_khi!$E$2:$E$94,MATCH($C$110,boss_input_vu_khi!$A$2:$A$94,0))&gt;=8,5,1)</f>
        <v/>
      </c>
      <c r="O110">
        <f>IF(MAX(INDEX(boss_input_vu_khi!$E$2:$E$94,MATCH($C$110,boss_input_vu_khi!$A$2:$A$94,0)),Boss_vu_khi!$L$124)&gt;=8,5,1)</f>
        <v/>
      </c>
      <c r="P110">
        <f>INDEX(boss_input_vu_khi_suy_ra!$H$2:$H$94,MATCH($C$110,boss_input_vu_khi_suy_ra!$A$2:$A$94,0))</f>
        <v/>
      </c>
      <c r="Q110">
        <f>IF(AND(INDEX(input_xe_tham_chieu!$G$2:$G$6,MATCH($D$110,input_xe_tham_chieu!$A$2:$A$6,0))&gt;0,INDEX(boss_input_vu_khi!$E$2:$E$94,MATCH($C$110,boss_input_vu_khi!$A$2:$A$94,0))&gt;0),INDEX(boss_input_vu_khi!$E$2:$E$94,MATCH($C$110,boss_input_vu_khi!$A$2:$A$94,0))/INDEX(input_xe_tham_chieu!$G$2:$G$6,MATCH($D$110,input_xe_tham_chieu!$A$2:$A$6,0)),"")</f>
        <v/>
      </c>
      <c r="R110">
        <f>IF(ISNUMBER($Q$110),IF($P$110&gt;=$Q$110,"DU","THIEU"),"")</f>
        <v/>
      </c>
      <c r="S110" t="inlineStr">
        <is>
          <t>Assets/MachineBrigade/Resources/Data/balance.json: vehicles[id=leviathan].weapon x 01_chien_dau/Xe_tham_chieu[ifv]</t>
        </is>
      </c>
      <c r="T110" t="inlineStr"/>
    </row>
    <row r="111">
      <c r="A111" t="inlineStr">
        <is>
          <t>leviathan/main_battle_tank</t>
        </is>
      </c>
      <c r="B111" t="inlineStr">
        <is>
          <t>leviathan</t>
        </is>
      </c>
      <c r="C111" t="inlineStr">
        <is>
          <t>p26_leviathan_lev406</t>
        </is>
      </c>
      <c r="D111" t="inlineStr">
        <is>
          <t>main_battle_tank</t>
        </is>
      </c>
      <c r="E111">
        <f>IF(INDEX(boss_input_vu_khi_suy_ra!$D$2:$D$94,MATCH($C$111,boss_input_vu_khi_suy_ra!$A$2:$A$94,0)),INDEX(input_xe_tham_chieu!$E$2:$E$6,MATCH($D$111,input_xe_tham_chieu!$A$2:$A$6,0)),INDEX(input_xe_tham_chieu!$D$2:$D$6,MATCH($D$111,input_xe_tham_chieu!$A$2:$A$6,0)))</f>
        <v/>
      </c>
      <c r="F111">
        <f>IF(INDEX(boss_input_vu_khi_suy_ra!$E$2:$E$94,MATCH($C$111,boss_input_vu_khi_suy_ra!$A$2:$A$94,0)),INDEX(boss_input_bang_xuyen_giap!$B$2:$B$7,MIN(6,MAX(1,IF(INDEX(boss_input_vu_khi_suy_ra!$D$2:$D$94,MATCH($C$111,boss_input_vu_khi_suy_ra!$A$2:$A$94,0)),MAX(1,2-(INDEX(boss_input_vu_khi!$C$2:$C$94,MATCH($C$111,boss_input_vu_khi!$A$2:$A$94,0))-$E$111)),2-(INDEX(boss_input_vu_khi!$C$2:$C$94,MATCH($C$111,boss_input_vu_khi!$A$2:$A$94,0))-$E$111))+1)))*IF(INDEX(input_xe_tham_chieu!$F$2:$F$6,MATCH($D$111,input_xe_tham_chieu!$A$2:$A$6,0)),INDEX(boss_input_vu_khi_suy_ra!$G$2:$G$94,MATCH($C$111,boss_input_vu_khi_suy_ra!$A$2:$A$94,0)),INDEX(boss_input_vu_khi_suy_ra!$F$2:$F$94,MATCH($C$111,boss_input_vu_khi_suy_ra!$A$2:$A$94,0))),0)</f>
        <v/>
      </c>
      <c r="G111" t="n">
        <v>0.85</v>
      </c>
      <c r="H111">
        <f>INDEX(boss_input_vu_khi!$B$2:$B$94,MATCH($C$111,boss_input_vu_khi!$A$2:$A$94,0))*INDEX(Boss_dps!$D$2:$D$34,MATCH($B$111,Boss_dps!$A$2:$A$34,0))*IF(INDEX(boss_input_vu_khi!$D$2:$D$94,MATCH($C$111,boss_input_vu_khi!$A$2:$A$94,0)),1,INDEX(Boss_dps!$B$2:$B$34,MATCH($B$111,Boss_dps!$A$2:$A$34,0)))*INDEX(Boss_dps!$C$2:$C$34,MATCH($B$111,Boss_dps!$A$2:$A$34,0))*$F$111</f>
        <v/>
      </c>
      <c r="I111" t="n">
        <v>2764.0368</v>
      </c>
      <c r="J111">
        <f>IF($H$111&gt;0,CEILING(INDEX(input_xe_tham_chieu!$C$2:$C$6,MATCH($D$111,input_xe_tham_chieu!$A$2:$A$6,0))/$H$111,1),"")</f>
        <v/>
      </c>
      <c r="K111">
        <f>IF(Boss_vu_khi!$S$124*$F$111&gt;0,INDEX(input_xe_tham_chieu!$C$2:$C$6,MATCH($D$111,input_xe_tham_chieu!$A$2:$A$6,0))/(Boss_vu_khi!$S$124*INDEX(Boss_dps!$D$2:$D$34,MATCH($B$111,Boss_dps!$A$2:$A$34,0))*$F$111),"")</f>
        <v/>
      </c>
      <c r="L111">
        <f>1+2*MIN(2,FLOOR(INDEX(boss_input_vu_khi!$E$2:$E$94,MATCH($C$111,boss_input_vu_khi!$A$2:$A$94,0))/8,1))</f>
        <v/>
      </c>
      <c r="M111">
        <f>1+2*MIN(2,FLOOR(MAX(INDEX(boss_input_vu_khi!$E$2:$E$94,MATCH($C$111,boss_input_vu_khi!$A$2:$A$94,0)),Boss_vu_khi!$L$124)/8,1))</f>
        <v/>
      </c>
      <c r="N111">
        <f>IF(INDEX(boss_input_vu_khi!$E$2:$E$94,MATCH($C$111,boss_input_vu_khi!$A$2:$A$94,0))&gt;=8,5,1)</f>
        <v/>
      </c>
      <c r="O111">
        <f>IF(MAX(INDEX(boss_input_vu_khi!$E$2:$E$94,MATCH($C$111,boss_input_vu_khi!$A$2:$A$94,0)),Boss_vu_khi!$L$124)&gt;=8,5,1)</f>
        <v/>
      </c>
      <c r="P111">
        <f>INDEX(boss_input_vu_khi_suy_ra!$H$2:$H$94,MATCH($C$111,boss_input_vu_khi_suy_ra!$A$2:$A$94,0))</f>
        <v/>
      </c>
      <c r="Q111">
        <f>IF(AND(INDEX(input_xe_tham_chieu!$G$2:$G$6,MATCH($D$111,input_xe_tham_chieu!$A$2:$A$6,0))&gt;0,INDEX(boss_input_vu_khi!$E$2:$E$94,MATCH($C$111,boss_input_vu_khi!$A$2:$A$94,0))&gt;0),INDEX(boss_input_vu_khi!$E$2:$E$94,MATCH($C$111,boss_input_vu_khi!$A$2:$A$94,0))/INDEX(input_xe_tham_chieu!$G$2:$G$6,MATCH($D$111,input_xe_tham_chieu!$A$2:$A$6,0)),"")</f>
        <v/>
      </c>
      <c r="R111">
        <f>IF(ISNUMBER($Q$111),IF($P$111&gt;=$Q$111,"DU","THIEU"),"")</f>
        <v/>
      </c>
      <c r="S111" t="inlineStr">
        <is>
          <t>Assets/MachineBrigade/Resources/Data/balance.json: vehicles[id=leviathan].weapon x 01_chien_dau/Xe_tham_chieu[main_battle_tank]</t>
        </is>
      </c>
      <c r="T111" t="inlineStr"/>
    </row>
    <row r="112">
      <c r="A112" t="inlineStr">
        <is>
          <t>locust/armored_car</t>
        </is>
      </c>
      <c r="B112" t="inlineStr">
        <is>
          <t>locust</t>
        </is>
      </c>
      <c r="C112" t="inlineStr">
        <is>
          <t>locust_drones</t>
        </is>
      </c>
      <c r="D112" t="inlineStr">
        <is>
          <t>armored_car</t>
        </is>
      </c>
      <c r="E112">
        <f>IF(INDEX(boss_input_vu_khi_suy_ra!$D$2:$D$94,MATCH($C$112,boss_input_vu_khi_suy_ra!$A$2:$A$94,0)),INDEX(input_xe_tham_chieu!$E$2:$E$6,MATCH($D$112,input_xe_tham_chieu!$A$2:$A$6,0)),INDEX(input_xe_tham_chieu!$D$2:$D$6,MATCH($D$112,input_xe_tham_chieu!$A$2:$A$6,0)))</f>
        <v/>
      </c>
      <c r="F112">
        <f>IF(INDEX(boss_input_vu_khi_suy_ra!$E$2:$E$94,MATCH($C$112,boss_input_vu_khi_suy_ra!$A$2:$A$94,0)),INDEX(boss_input_bang_xuyen_giap!$B$2:$B$7,MIN(6,MAX(1,IF(INDEX(boss_input_vu_khi_suy_ra!$D$2:$D$94,MATCH($C$112,boss_input_vu_khi_suy_ra!$A$2:$A$94,0)),MAX(1,2-(INDEX(boss_input_vu_khi!$C$2:$C$94,MATCH($C$112,boss_input_vu_khi!$A$2:$A$94,0))-$E$112)),2-(INDEX(boss_input_vu_khi!$C$2:$C$94,MATCH($C$112,boss_input_vu_khi!$A$2:$A$94,0))-$E$112))+1)))*IF(INDEX(input_xe_tham_chieu!$F$2:$F$6,MATCH($D$112,input_xe_tham_chieu!$A$2:$A$6,0)),INDEX(boss_input_vu_khi_suy_ra!$G$2:$G$94,MATCH($C$112,boss_input_vu_khi_suy_ra!$A$2:$A$94,0)),INDEX(boss_input_vu_khi_suy_ra!$F$2:$F$94,MATCH($C$112,boss_input_vu_khi_suy_ra!$A$2:$A$94,0))),0)</f>
        <v/>
      </c>
      <c r="G112" t="n">
        <v>1</v>
      </c>
      <c r="H112">
        <f>INDEX(boss_input_vu_khi!$B$2:$B$94,MATCH($C$112,boss_input_vu_khi!$A$2:$A$94,0))*INDEX(Boss_dps!$D$2:$D$34,MATCH($B$112,Boss_dps!$A$2:$A$34,0))*IF(INDEX(boss_input_vu_khi!$D$2:$D$94,MATCH($C$112,boss_input_vu_khi!$A$2:$A$94,0)),1,INDEX(Boss_dps!$B$2:$B$34,MATCH($B$112,Boss_dps!$A$2:$A$34,0)))*INDEX(Boss_dps!$C$2:$C$34,MATCH($B$112,Boss_dps!$A$2:$A$34,0))*$F$112</f>
        <v/>
      </c>
      <c r="I112" t="n">
        <v>498.048</v>
      </c>
      <c r="J112">
        <f>IF($H$112&gt;0,CEILING(INDEX(input_xe_tham_chieu!$C$2:$C$6,MATCH($D$112,input_xe_tham_chieu!$A$2:$A$6,0))/$H$112,1),"")</f>
        <v/>
      </c>
      <c r="K112">
        <f>IF(Boss_vu_khi!$S$140*$F$112&gt;0,INDEX(input_xe_tham_chieu!$C$2:$C$6,MATCH($D$112,input_xe_tham_chieu!$A$2:$A$6,0))/(Boss_vu_khi!$S$140*INDEX(Boss_dps!$D$2:$D$34,MATCH($B$112,Boss_dps!$A$2:$A$34,0))*$F$112),"")</f>
        <v/>
      </c>
      <c r="L112">
        <f>1+2*MIN(2,FLOOR(INDEX(boss_input_vu_khi!$E$2:$E$94,MATCH($C$112,boss_input_vu_khi!$A$2:$A$94,0))/8,1))</f>
        <v/>
      </c>
      <c r="M112">
        <f>1+2*MIN(2,FLOOR(MAX(INDEX(boss_input_vu_khi!$E$2:$E$94,MATCH($C$112,boss_input_vu_khi!$A$2:$A$94,0)),Boss_vu_khi!$L$140)/8,1))</f>
        <v/>
      </c>
      <c r="N112">
        <f>IF(INDEX(boss_input_vu_khi!$E$2:$E$94,MATCH($C$112,boss_input_vu_khi!$A$2:$A$94,0))&gt;=8,5,1)</f>
        <v/>
      </c>
      <c r="O112">
        <f>IF(MAX(INDEX(boss_input_vu_khi!$E$2:$E$94,MATCH($C$112,boss_input_vu_khi!$A$2:$A$94,0)),Boss_vu_khi!$L$140)&gt;=8,5,1)</f>
        <v/>
      </c>
      <c r="P112">
        <f>INDEX(boss_input_vu_khi_suy_ra!$H$2:$H$94,MATCH($C$112,boss_input_vu_khi_suy_ra!$A$2:$A$94,0))</f>
        <v/>
      </c>
      <c r="Q112">
        <f>IF(AND(INDEX(input_xe_tham_chieu!$G$2:$G$6,MATCH($D$112,input_xe_tham_chieu!$A$2:$A$6,0))&gt;0,INDEX(boss_input_vu_khi!$E$2:$E$94,MATCH($C$112,boss_input_vu_khi!$A$2:$A$94,0))&gt;0),INDEX(boss_input_vu_khi!$E$2:$E$94,MATCH($C$112,boss_input_vu_khi!$A$2:$A$94,0))/INDEX(input_xe_tham_chieu!$G$2:$G$6,MATCH($D$112,input_xe_tham_chieu!$A$2:$A$6,0)),"")</f>
        <v/>
      </c>
      <c r="R112">
        <f>IF(ISNUMBER($Q$112),IF($P$112&gt;=$Q$112,"DU","THIEU"),"")</f>
        <v/>
      </c>
      <c r="S112" t="inlineStr">
        <is>
          <t>Assets/MachineBrigade/Resources/Data/balance.json: vehicles[id=locust].weapon x 01_chien_dau/Xe_tham_chieu[armored_car]</t>
        </is>
      </c>
      <c r="T112" t="inlineStr"/>
    </row>
    <row r="113">
      <c r="A113" t="inlineStr">
        <is>
          <t>locust/gun_turret</t>
        </is>
      </c>
      <c r="B113" t="inlineStr">
        <is>
          <t>locust</t>
        </is>
      </c>
      <c r="C113" t="inlineStr">
        <is>
          <t>locust_drones</t>
        </is>
      </c>
      <c r="D113" t="inlineStr">
        <is>
          <t>gun_turret</t>
        </is>
      </c>
      <c r="E113">
        <f>IF(INDEX(boss_input_vu_khi_suy_ra!$D$2:$D$94,MATCH($C$113,boss_input_vu_khi_suy_ra!$A$2:$A$94,0)),INDEX(input_xe_tham_chieu!$E$2:$E$6,MATCH($D$113,input_xe_tham_chieu!$A$2:$A$6,0)),INDEX(input_xe_tham_chieu!$D$2:$D$6,MATCH($D$113,input_xe_tham_chieu!$A$2:$A$6,0)))</f>
        <v/>
      </c>
      <c r="F113">
        <f>IF(INDEX(boss_input_vu_khi_suy_ra!$E$2:$E$94,MATCH($C$113,boss_input_vu_khi_suy_ra!$A$2:$A$94,0)),INDEX(boss_input_bang_xuyen_giap!$B$2:$B$7,MIN(6,MAX(1,IF(INDEX(boss_input_vu_khi_suy_ra!$D$2:$D$94,MATCH($C$113,boss_input_vu_khi_suy_ra!$A$2:$A$94,0)),MAX(1,2-(INDEX(boss_input_vu_khi!$C$2:$C$94,MATCH($C$113,boss_input_vu_khi!$A$2:$A$94,0))-$E$113)),2-(INDEX(boss_input_vu_khi!$C$2:$C$94,MATCH($C$113,boss_input_vu_khi!$A$2:$A$94,0))-$E$113))+1)))*IF(INDEX(input_xe_tham_chieu!$F$2:$F$6,MATCH($D$113,input_xe_tham_chieu!$A$2:$A$6,0)),INDEX(boss_input_vu_khi_suy_ra!$G$2:$G$94,MATCH($C$113,boss_input_vu_khi_suy_ra!$A$2:$A$94,0)),INDEX(boss_input_vu_khi_suy_ra!$F$2:$F$94,MATCH($C$113,boss_input_vu_khi_suy_ra!$A$2:$A$94,0))),0)</f>
        <v/>
      </c>
      <c r="G113" t="n">
        <v>0.6</v>
      </c>
      <c r="H113">
        <f>INDEX(boss_input_vu_khi!$B$2:$B$94,MATCH($C$113,boss_input_vu_khi!$A$2:$A$94,0))*INDEX(Boss_dps!$D$2:$D$34,MATCH($B$113,Boss_dps!$A$2:$A$34,0))*IF(INDEX(boss_input_vu_khi!$D$2:$D$94,MATCH($C$113,boss_input_vu_khi!$A$2:$A$94,0)),1,INDEX(Boss_dps!$B$2:$B$34,MATCH($B$113,Boss_dps!$A$2:$A$34,0)))*INDEX(Boss_dps!$C$2:$C$34,MATCH($B$113,Boss_dps!$A$2:$A$34,0))*$F$113</f>
        <v/>
      </c>
      <c r="I113" t="n">
        <v>298.8288</v>
      </c>
      <c r="J113">
        <f>IF($H$113&gt;0,CEILING(INDEX(input_xe_tham_chieu!$C$2:$C$6,MATCH($D$113,input_xe_tham_chieu!$A$2:$A$6,0))/$H$113,1),"")</f>
        <v/>
      </c>
      <c r="K113">
        <f>IF(Boss_vu_khi!$S$140*$F$113&gt;0,INDEX(input_xe_tham_chieu!$C$2:$C$6,MATCH($D$113,input_xe_tham_chieu!$A$2:$A$6,0))/(Boss_vu_khi!$S$140*INDEX(Boss_dps!$D$2:$D$34,MATCH($B$113,Boss_dps!$A$2:$A$34,0))*$F$113),"")</f>
        <v/>
      </c>
      <c r="L113">
        <f>1+2*MIN(2,FLOOR(INDEX(boss_input_vu_khi!$E$2:$E$94,MATCH($C$113,boss_input_vu_khi!$A$2:$A$94,0))/8,1))</f>
        <v/>
      </c>
      <c r="M113">
        <f>1+2*MIN(2,FLOOR(MAX(INDEX(boss_input_vu_khi!$E$2:$E$94,MATCH($C$113,boss_input_vu_khi!$A$2:$A$94,0)),Boss_vu_khi!$L$140)/8,1))</f>
        <v/>
      </c>
      <c r="N113">
        <f>IF(INDEX(boss_input_vu_khi!$E$2:$E$94,MATCH($C$113,boss_input_vu_khi!$A$2:$A$94,0))&gt;=8,5,1)</f>
        <v/>
      </c>
      <c r="O113">
        <f>IF(MAX(INDEX(boss_input_vu_khi!$E$2:$E$94,MATCH($C$113,boss_input_vu_khi!$A$2:$A$94,0)),Boss_vu_khi!$L$140)&gt;=8,5,1)</f>
        <v/>
      </c>
      <c r="P113">
        <f>INDEX(boss_input_vu_khi_suy_ra!$H$2:$H$94,MATCH($C$113,boss_input_vu_khi_suy_ra!$A$2:$A$94,0))</f>
        <v/>
      </c>
      <c r="Q113">
        <f>IF(AND(INDEX(input_xe_tham_chieu!$G$2:$G$6,MATCH($D$113,input_xe_tham_chieu!$A$2:$A$6,0))&gt;0,INDEX(boss_input_vu_khi!$E$2:$E$94,MATCH($C$113,boss_input_vu_khi!$A$2:$A$94,0))&gt;0),INDEX(boss_input_vu_khi!$E$2:$E$94,MATCH($C$113,boss_input_vu_khi!$A$2:$A$94,0))/INDEX(input_xe_tham_chieu!$G$2:$G$6,MATCH($D$113,input_xe_tham_chieu!$A$2:$A$6,0)),"")</f>
        <v/>
      </c>
      <c r="R113">
        <f>IF(ISNUMBER($Q$113),IF($P$113&gt;=$Q$113,"DU","THIEU"),"")</f>
        <v/>
      </c>
      <c r="S113" t="inlineStr">
        <is>
          <t>Assets/MachineBrigade/Resources/Data/balance.json: vehicles[id=locust].weapon x 01_chien_dau/Xe_tham_chieu[gun_turret]</t>
        </is>
      </c>
      <c r="T113" t="inlineStr"/>
    </row>
    <row r="114">
      <c r="A114" t="inlineStr">
        <is>
          <t>locust/heavy_tank</t>
        </is>
      </c>
      <c r="B114" t="inlineStr">
        <is>
          <t>locust</t>
        </is>
      </c>
      <c r="C114" t="inlineStr">
        <is>
          <t>locust_drones</t>
        </is>
      </c>
      <c r="D114" t="inlineStr">
        <is>
          <t>heavy_tank</t>
        </is>
      </c>
      <c r="E114">
        <f>IF(INDEX(boss_input_vu_khi_suy_ra!$D$2:$D$94,MATCH($C$114,boss_input_vu_khi_suy_ra!$A$2:$A$94,0)),INDEX(input_xe_tham_chieu!$E$2:$E$6,MATCH($D$114,input_xe_tham_chieu!$A$2:$A$6,0)),INDEX(input_xe_tham_chieu!$D$2:$D$6,MATCH($D$114,input_xe_tham_chieu!$A$2:$A$6,0)))</f>
        <v/>
      </c>
      <c r="F114">
        <f>IF(INDEX(boss_input_vu_khi_suy_ra!$E$2:$E$94,MATCH($C$114,boss_input_vu_khi_suy_ra!$A$2:$A$94,0)),INDEX(boss_input_bang_xuyen_giap!$B$2:$B$7,MIN(6,MAX(1,IF(INDEX(boss_input_vu_khi_suy_ra!$D$2:$D$94,MATCH($C$114,boss_input_vu_khi_suy_ra!$A$2:$A$94,0)),MAX(1,2-(INDEX(boss_input_vu_khi!$C$2:$C$94,MATCH($C$114,boss_input_vu_khi!$A$2:$A$94,0))-$E$114)),2-(INDEX(boss_input_vu_khi!$C$2:$C$94,MATCH($C$114,boss_input_vu_khi!$A$2:$A$94,0))-$E$114))+1)))*IF(INDEX(input_xe_tham_chieu!$F$2:$F$6,MATCH($D$114,input_xe_tham_chieu!$A$2:$A$6,0)),INDEX(boss_input_vu_khi_suy_ra!$G$2:$G$94,MATCH($C$114,boss_input_vu_khi_suy_ra!$A$2:$A$94,0)),INDEX(boss_input_vu_khi_suy_ra!$F$2:$F$94,MATCH($C$114,boss_input_vu_khi_suy_ra!$A$2:$A$94,0))),0)</f>
        <v/>
      </c>
      <c r="G114" t="n">
        <v>1</v>
      </c>
      <c r="H114">
        <f>INDEX(boss_input_vu_khi!$B$2:$B$94,MATCH($C$114,boss_input_vu_khi!$A$2:$A$94,0))*INDEX(Boss_dps!$D$2:$D$34,MATCH($B$114,Boss_dps!$A$2:$A$34,0))*IF(INDEX(boss_input_vu_khi!$D$2:$D$94,MATCH($C$114,boss_input_vu_khi!$A$2:$A$94,0)),1,INDEX(Boss_dps!$B$2:$B$34,MATCH($B$114,Boss_dps!$A$2:$A$34,0)))*INDEX(Boss_dps!$C$2:$C$34,MATCH($B$114,Boss_dps!$A$2:$A$34,0))*$F$114</f>
        <v/>
      </c>
      <c r="I114" t="n">
        <v>498.048</v>
      </c>
      <c r="J114">
        <f>IF($H$114&gt;0,CEILING(INDEX(input_xe_tham_chieu!$C$2:$C$6,MATCH($D$114,input_xe_tham_chieu!$A$2:$A$6,0))/$H$114,1),"")</f>
        <v/>
      </c>
      <c r="K114">
        <f>IF(Boss_vu_khi!$S$140*$F$114&gt;0,INDEX(input_xe_tham_chieu!$C$2:$C$6,MATCH($D$114,input_xe_tham_chieu!$A$2:$A$6,0))/(Boss_vu_khi!$S$140*INDEX(Boss_dps!$D$2:$D$34,MATCH($B$114,Boss_dps!$A$2:$A$34,0))*$F$114),"")</f>
        <v/>
      </c>
      <c r="L114">
        <f>1+2*MIN(2,FLOOR(INDEX(boss_input_vu_khi!$E$2:$E$94,MATCH($C$114,boss_input_vu_khi!$A$2:$A$94,0))/8,1))</f>
        <v/>
      </c>
      <c r="M114">
        <f>1+2*MIN(2,FLOOR(MAX(INDEX(boss_input_vu_khi!$E$2:$E$94,MATCH($C$114,boss_input_vu_khi!$A$2:$A$94,0)),Boss_vu_khi!$L$140)/8,1))</f>
        <v/>
      </c>
      <c r="N114">
        <f>IF(INDEX(boss_input_vu_khi!$E$2:$E$94,MATCH($C$114,boss_input_vu_khi!$A$2:$A$94,0))&gt;=8,5,1)</f>
        <v/>
      </c>
      <c r="O114">
        <f>IF(MAX(INDEX(boss_input_vu_khi!$E$2:$E$94,MATCH($C$114,boss_input_vu_khi!$A$2:$A$94,0)),Boss_vu_khi!$L$140)&gt;=8,5,1)</f>
        <v/>
      </c>
      <c r="P114">
        <f>INDEX(boss_input_vu_khi_suy_ra!$H$2:$H$94,MATCH($C$114,boss_input_vu_khi_suy_ra!$A$2:$A$94,0))</f>
        <v/>
      </c>
      <c r="Q114">
        <f>IF(AND(INDEX(input_xe_tham_chieu!$G$2:$G$6,MATCH($D$114,input_xe_tham_chieu!$A$2:$A$6,0))&gt;0,INDEX(boss_input_vu_khi!$E$2:$E$94,MATCH($C$114,boss_input_vu_khi!$A$2:$A$94,0))&gt;0),INDEX(boss_input_vu_khi!$E$2:$E$94,MATCH($C$114,boss_input_vu_khi!$A$2:$A$94,0))/INDEX(input_xe_tham_chieu!$G$2:$G$6,MATCH($D$114,input_xe_tham_chieu!$A$2:$A$6,0)),"")</f>
        <v/>
      </c>
      <c r="R114">
        <f>IF(ISNUMBER($Q$114),IF($P$114&gt;=$Q$114,"DU","THIEU"),"")</f>
        <v/>
      </c>
      <c r="S114" t="inlineStr">
        <is>
          <t>Assets/MachineBrigade/Resources/Data/balance.json: vehicles[id=locust].weapon x 01_chien_dau/Xe_tham_chieu[heavy_tank]</t>
        </is>
      </c>
      <c r="T114" t="inlineStr"/>
    </row>
    <row r="115">
      <c r="A115" t="inlineStr">
        <is>
          <t>locust/ifv</t>
        </is>
      </c>
      <c r="B115" t="inlineStr">
        <is>
          <t>locust</t>
        </is>
      </c>
      <c r="C115" t="inlineStr">
        <is>
          <t>locust_drones</t>
        </is>
      </c>
      <c r="D115" t="inlineStr">
        <is>
          <t>ifv</t>
        </is>
      </c>
      <c r="E115">
        <f>IF(INDEX(boss_input_vu_khi_suy_ra!$D$2:$D$94,MATCH($C$115,boss_input_vu_khi_suy_ra!$A$2:$A$94,0)),INDEX(input_xe_tham_chieu!$E$2:$E$6,MATCH($D$115,input_xe_tham_chieu!$A$2:$A$6,0)),INDEX(input_xe_tham_chieu!$D$2:$D$6,MATCH($D$115,input_xe_tham_chieu!$A$2:$A$6,0)))</f>
        <v/>
      </c>
      <c r="F115">
        <f>IF(INDEX(boss_input_vu_khi_suy_ra!$E$2:$E$94,MATCH($C$115,boss_input_vu_khi_suy_ra!$A$2:$A$94,0)),INDEX(boss_input_bang_xuyen_giap!$B$2:$B$7,MIN(6,MAX(1,IF(INDEX(boss_input_vu_khi_suy_ra!$D$2:$D$94,MATCH($C$115,boss_input_vu_khi_suy_ra!$A$2:$A$94,0)),MAX(1,2-(INDEX(boss_input_vu_khi!$C$2:$C$94,MATCH($C$115,boss_input_vu_khi!$A$2:$A$94,0))-$E$115)),2-(INDEX(boss_input_vu_khi!$C$2:$C$94,MATCH($C$115,boss_input_vu_khi!$A$2:$A$94,0))-$E$115))+1)))*IF(INDEX(input_xe_tham_chieu!$F$2:$F$6,MATCH($D$115,input_xe_tham_chieu!$A$2:$A$6,0)),INDEX(boss_input_vu_khi_suy_ra!$G$2:$G$94,MATCH($C$115,boss_input_vu_khi_suy_ra!$A$2:$A$94,0)),INDEX(boss_input_vu_khi_suy_ra!$F$2:$F$94,MATCH($C$115,boss_input_vu_khi_suy_ra!$A$2:$A$94,0))),0)</f>
        <v/>
      </c>
      <c r="G115" t="n">
        <v>1</v>
      </c>
      <c r="H115">
        <f>INDEX(boss_input_vu_khi!$B$2:$B$94,MATCH($C$115,boss_input_vu_khi!$A$2:$A$94,0))*INDEX(Boss_dps!$D$2:$D$34,MATCH($B$115,Boss_dps!$A$2:$A$34,0))*IF(INDEX(boss_input_vu_khi!$D$2:$D$94,MATCH($C$115,boss_input_vu_khi!$A$2:$A$94,0)),1,INDEX(Boss_dps!$B$2:$B$34,MATCH($B$115,Boss_dps!$A$2:$A$34,0)))*INDEX(Boss_dps!$C$2:$C$34,MATCH($B$115,Boss_dps!$A$2:$A$34,0))*$F$115</f>
        <v/>
      </c>
      <c r="I115" t="n">
        <v>498.048</v>
      </c>
      <c r="J115">
        <f>IF($H$115&gt;0,CEILING(INDEX(input_xe_tham_chieu!$C$2:$C$6,MATCH($D$115,input_xe_tham_chieu!$A$2:$A$6,0))/$H$115,1),"")</f>
        <v/>
      </c>
      <c r="K115">
        <f>IF(Boss_vu_khi!$S$140*$F$115&gt;0,INDEX(input_xe_tham_chieu!$C$2:$C$6,MATCH($D$115,input_xe_tham_chieu!$A$2:$A$6,0))/(Boss_vu_khi!$S$140*INDEX(Boss_dps!$D$2:$D$34,MATCH($B$115,Boss_dps!$A$2:$A$34,0))*$F$115),"")</f>
        <v/>
      </c>
      <c r="L115">
        <f>1+2*MIN(2,FLOOR(INDEX(boss_input_vu_khi!$E$2:$E$94,MATCH($C$115,boss_input_vu_khi!$A$2:$A$94,0))/8,1))</f>
        <v/>
      </c>
      <c r="M115">
        <f>1+2*MIN(2,FLOOR(MAX(INDEX(boss_input_vu_khi!$E$2:$E$94,MATCH($C$115,boss_input_vu_khi!$A$2:$A$94,0)),Boss_vu_khi!$L$140)/8,1))</f>
        <v/>
      </c>
      <c r="N115">
        <f>IF(INDEX(boss_input_vu_khi!$E$2:$E$94,MATCH($C$115,boss_input_vu_khi!$A$2:$A$94,0))&gt;=8,5,1)</f>
        <v/>
      </c>
      <c r="O115">
        <f>IF(MAX(INDEX(boss_input_vu_khi!$E$2:$E$94,MATCH($C$115,boss_input_vu_khi!$A$2:$A$94,0)),Boss_vu_khi!$L$140)&gt;=8,5,1)</f>
        <v/>
      </c>
      <c r="P115">
        <f>INDEX(boss_input_vu_khi_suy_ra!$H$2:$H$94,MATCH($C$115,boss_input_vu_khi_suy_ra!$A$2:$A$94,0))</f>
        <v/>
      </c>
      <c r="Q115">
        <f>IF(AND(INDEX(input_xe_tham_chieu!$G$2:$G$6,MATCH($D$115,input_xe_tham_chieu!$A$2:$A$6,0))&gt;0,INDEX(boss_input_vu_khi!$E$2:$E$94,MATCH($C$115,boss_input_vu_khi!$A$2:$A$94,0))&gt;0),INDEX(boss_input_vu_khi!$E$2:$E$94,MATCH($C$115,boss_input_vu_khi!$A$2:$A$94,0))/INDEX(input_xe_tham_chieu!$G$2:$G$6,MATCH($D$115,input_xe_tham_chieu!$A$2:$A$6,0)),"")</f>
        <v/>
      </c>
      <c r="R115">
        <f>IF(ISNUMBER($Q$115),IF($P$115&gt;=$Q$115,"DU","THIEU"),"")</f>
        <v/>
      </c>
      <c r="S115" t="inlineStr">
        <is>
          <t>Assets/MachineBrigade/Resources/Data/balance.json: vehicles[id=locust].weapon x 01_chien_dau/Xe_tham_chieu[ifv]</t>
        </is>
      </c>
      <c r="T115" t="inlineStr"/>
    </row>
    <row r="116">
      <c r="A116" t="inlineStr">
        <is>
          <t>locust/main_battle_tank</t>
        </is>
      </c>
      <c r="B116" t="inlineStr">
        <is>
          <t>locust</t>
        </is>
      </c>
      <c r="C116" t="inlineStr">
        <is>
          <t>locust_drones</t>
        </is>
      </c>
      <c r="D116" t="inlineStr">
        <is>
          <t>main_battle_tank</t>
        </is>
      </c>
      <c r="E116">
        <f>IF(INDEX(boss_input_vu_khi_suy_ra!$D$2:$D$94,MATCH($C$116,boss_input_vu_khi_suy_ra!$A$2:$A$94,0)),INDEX(input_xe_tham_chieu!$E$2:$E$6,MATCH($D$116,input_xe_tham_chieu!$A$2:$A$6,0)),INDEX(input_xe_tham_chieu!$D$2:$D$6,MATCH($D$116,input_xe_tham_chieu!$A$2:$A$6,0)))</f>
        <v/>
      </c>
      <c r="F116">
        <f>IF(INDEX(boss_input_vu_khi_suy_ra!$E$2:$E$94,MATCH($C$116,boss_input_vu_khi_suy_ra!$A$2:$A$94,0)),INDEX(boss_input_bang_xuyen_giap!$B$2:$B$7,MIN(6,MAX(1,IF(INDEX(boss_input_vu_khi_suy_ra!$D$2:$D$94,MATCH($C$116,boss_input_vu_khi_suy_ra!$A$2:$A$94,0)),MAX(1,2-(INDEX(boss_input_vu_khi!$C$2:$C$94,MATCH($C$116,boss_input_vu_khi!$A$2:$A$94,0))-$E$116)),2-(INDEX(boss_input_vu_khi!$C$2:$C$94,MATCH($C$116,boss_input_vu_khi!$A$2:$A$94,0))-$E$116))+1)))*IF(INDEX(input_xe_tham_chieu!$F$2:$F$6,MATCH($D$116,input_xe_tham_chieu!$A$2:$A$6,0)),INDEX(boss_input_vu_khi_suy_ra!$G$2:$G$94,MATCH($C$116,boss_input_vu_khi_suy_ra!$A$2:$A$94,0)),INDEX(boss_input_vu_khi_suy_ra!$F$2:$F$94,MATCH($C$116,boss_input_vu_khi_suy_ra!$A$2:$A$94,0))),0)</f>
        <v/>
      </c>
      <c r="G116" t="n">
        <v>1</v>
      </c>
      <c r="H116">
        <f>INDEX(boss_input_vu_khi!$B$2:$B$94,MATCH($C$116,boss_input_vu_khi!$A$2:$A$94,0))*INDEX(Boss_dps!$D$2:$D$34,MATCH($B$116,Boss_dps!$A$2:$A$34,0))*IF(INDEX(boss_input_vu_khi!$D$2:$D$94,MATCH($C$116,boss_input_vu_khi!$A$2:$A$94,0)),1,INDEX(Boss_dps!$B$2:$B$34,MATCH($B$116,Boss_dps!$A$2:$A$34,0)))*INDEX(Boss_dps!$C$2:$C$34,MATCH($B$116,Boss_dps!$A$2:$A$34,0))*$F$116</f>
        <v/>
      </c>
      <c r="I116" t="n">
        <v>498.048</v>
      </c>
      <c r="J116">
        <f>IF($H$116&gt;0,CEILING(INDEX(input_xe_tham_chieu!$C$2:$C$6,MATCH($D$116,input_xe_tham_chieu!$A$2:$A$6,0))/$H$116,1),"")</f>
        <v/>
      </c>
      <c r="K116">
        <f>IF(Boss_vu_khi!$S$140*$F$116&gt;0,INDEX(input_xe_tham_chieu!$C$2:$C$6,MATCH($D$116,input_xe_tham_chieu!$A$2:$A$6,0))/(Boss_vu_khi!$S$140*INDEX(Boss_dps!$D$2:$D$34,MATCH($B$116,Boss_dps!$A$2:$A$34,0))*$F$116),"")</f>
        <v/>
      </c>
      <c r="L116">
        <f>1+2*MIN(2,FLOOR(INDEX(boss_input_vu_khi!$E$2:$E$94,MATCH($C$116,boss_input_vu_khi!$A$2:$A$94,0))/8,1))</f>
        <v/>
      </c>
      <c r="M116">
        <f>1+2*MIN(2,FLOOR(MAX(INDEX(boss_input_vu_khi!$E$2:$E$94,MATCH($C$116,boss_input_vu_khi!$A$2:$A$94,0)),Boss_vu_khi!$L$140)/8,1))</f>
        <v/>
      </c>
      <c r="N116">
        <f>IF(INDEX(boss_input_vu_khi!$E$2:$E$94,MATCH($C$116,boss_input_vu_khi!$A$2:$A$94,0))&gt;=8,5,1)</f>
        <v/>
      </c>
      <c r="O116">
        <f>IF(MAX(INDEX(boss_input_vu_khi!$E$2:$E$94,MATCH($C$116,boss_input_vu_khi!$A$2:$A$94,0)),Boss_vu_khi!$L$140)&gt;=8,5,1)</f>
        <v/>
      </c>
      <c r="P116">
        <f>INDEX(boss_input_vu_khi_suy_ra!$H$2:$H$94,MATCH($C$116,boss_input_vu_khi_suy_ra!$A$2:$A$94,0))</f>
        <v/>
      </c>
      <c r="Q116">
        <f>IF(AND(INDEX(input_xe_tham_chieu!$G$2:$G$6,MATCH($D$116,input_xe_tham_chieu!$A$2:$A$6,0))&gt;0,INDEX(boss_input_vu_khi!$E$2:$E$94,MATCH($C$116,boss_input_vu_khi!$A$2:$A$94,0))&gt;0),INDEX(boss_input_vu_khi!$E$2:$E$94,MATCH($C$116,boss_input_vu_khi!$A$2:$A$94,0))/INDEX(input_xe_tham_chieu!$G$2:$G$6,MATCH($D$116,input_xe_tham_chieu!$A$2:$A$6,0)),"")</f>
        <v/>
      </c>
      <c r="R116">
        <f>IF(ISNUMBER($Q$116),IF($P$116&gt;=$Q$116,"DU","THIEU"),"")</f>
        <v/>
      </c>
      <c r="S116" t="inlineStr">
        <is>
          <t>Assets/MachineBrigade/Resources/Data/balance.json: vehicles[id=locust].weapon x 01_chien_dau/Xe_tham_chieu[main_battle_tank]</t>
        </is>
      </c>
      <c r="T116" t="inlineStr"/>
    </row>
    <row r="117">
      <c r="A117" t="inlineStr">
        <is>
          <t>mega_gunship/armored_car</t>
        </is>
      </c>
      <c r="B117" t="inlineStr">
        <is>
          <t>mega_gunship</t>
        </is>
      </c>
      <c r="C117" t="inlineStr">
        <is>
          <t>gunship_rockets</t>
        </is>
      </c>
      <c r="D117" t="inlineStr">
        <is>
          <t>armored_car</t>
        </is>
      </c>
      <c r="E117">
        <f>IF(INDEX(boss_input_vu_khi_suy_ra!$D$2:$D$94,MATCH($C$117,boss_input_vu_khi_suy_ra!$A$2:$A$94,0)),INDEX(input_xe_tham_chieu!$E$2:$E$6,MATCH($D$117,input_xe_tham_chieu!$A$2:$A$6,0)),INDEX(input_xe_tham_chieu!$D$2:$D$6,MATCH($D$117,input_xe_tham_chieu!$A$2:$A$6,0)))</f>
        <v/>
      </c>
      <c r="F117">
        <f>IF(INDEX(boss_input_vu_khi_suy_ra!$E$2:$E$94,MATCH($C$117,boss_input_vu_khi_suy_ra!$A$2:$A$94,0)),INDEX(boss_input_bang_xuyen_giap!$B$2:$B$7,MIN(6,MAX(1,IF(INDEX(boss_input_vu_khi_suy_ra!$D$2:$D$94,MATCH($C$117,boss_input_vu_khi_suy_ra!$A$2:$A$94,0)),MAX(1,2-(INDEX(boss_input_vu_khi!$C$2:$C$94,MATCH($C$117,boss_input_vu_khi!$A$2:$A$94,0))-$E$117)),2-(INDEX(boss_input_vu_khi!$C$2:$C$94,MATCH($C$117,boss_input_vu_khi!$A$2:$A$94,0))-$E$117))+1)))*IF(INDEX(input_xe_tham_chieu!$F$2:$F$6,MATCH($D$117,input_xe_tham_chieu!$A$2:$A$6,0)),INDEX(boss_input_vu_khi_suy_ra!$G$2:$G$94,MATCH($C$117,boss_input_vu_khi_suy_ra!$A$2:$A$94,0)),INDEX(boss_input_vu_khi_suy_ra!$F$2:$F$94,MATCH($C$117,boss_input_vu_khi_suy_ra!$A$2:$A$94,0))),0)</f>
        <v/>
      </c>
      <c r="G117" t="n">
        <v>1</v>
      </c>
      <c r="H117">
        <f>INDEX(boss_input_vu_khi!$B$2:$B$94,MATCH($C$117,boss_input_vu_khi!$A$2:$A$94,0))*INDEX(Boss_dps!$D$2:$D$34,MATCH($B$117,Boss_dps!$A$2:$A$34,0))*IF(INDEX(boss_input_vu_khi!$D$2:$D$94,MATCH($C$117,boss_input_vu_khi!$A$2:$A$94,0)),1,INDEX(Boss_dps!$B$2:$B$34,MATCH($B$117,Boss_dps!$A$2:$A$34,0)))*INDEX(Boss_dps!$C$2:$C$34,MATCH($B$117,Boss_dps!$A$2:$A$34,0))*$F$117</f>
        <v/>
      </c>
      <c r="I117" t="n">
        <v>95.8464</v>
      </c>
      <c r="J117">
        <f>IF($H$117&gt;0,CEILING(INDEX(input_xe_tham_chieu!$C$2:$C$6,MATCH($D$117,input_xe_tham_chieu!$A$2:$A$6,0))/$H$117,1),"")</f>
        <v/>
      </c>
      <c r="K117">
        <f>IF(Boss_vu_khi!$S$142*$F$117&gt;0,INDEX(input_xe_tham_chieu!$C$2:$C$6,MATCH($D$117,input_xe_tham_chieu!$A$2:$A$6,0))/(Boss_vu_khi!$S$142*INDEX(Boss_dps!$D$2:$D$34,MATCH($B$117,Boss_dps!$A$2:$A$34,0))*$F$117),"")</f>
        <v/>
      </c>
      <c r="L117">
        <f>1+2*MIN(2,FLOOR(INDEX(boss_input_vu_khi!$E$2:$E$94,MATCH($C$117,boss_input_vu_khi!$A$2:$A$94,0))/8,1))</f>
        <v/>
      </c>
      <c r="M117">
        <f>1+2*MIN(2,FLOOR(MAX(INDEX(boss_input_vu_khi!$E$2:$E$94,MATCH($C$117,boss_input_vu_khi!$A$2:$A$94,0)),Boss_vu_khi!$L$142)/8,1))</f>
        <v/>
      </c>
      <c r="N117">
        <f>IF(INDEX(boss_input_vu_khi!$E$2:$E$94,MATCH($C$117,boss_input_vu_khi!$A$2:$A$94,0))&gt;=8,5,1)</f>
        <v/>
      </c>
      <c r="O117">
        <f>IF(MAX(INDEX(boss_input_vu_khi!$E$2:$E$94,MATCH($C$117,boss_input_vu_khi!$A$2:$A$94,0)),Boss_vu_khi!$L$142)&gt;=8,5,1)</f>
        <v/>
      </c>
      <c r="P117">
        <f>INDEX(boss_input_vu_khi_suy_ra!$H$2:$H$94,MATCH($C$117,boss_input_vu_khi_suy_ra!$A$2:$A$94,0))</f>
        <v/>
      </c>
      <c r="Q117">
        <f>IF(AND(INDEX(input_xe_tham_chieu!$G$2:$G$6,MATCH($D$117,input_xe_tham_chieu!$A$2:$A$6,0))&gt;0,INDEX(boss_input_vu_khi!$E$2:$E$94,MATCH($C$117,boss_input_vu_khi!$A$2:$A$94,0))&gt;0),INDEX(boss_input_vu_khi!$E$2:$E$94,MATCH($C$117,boss_input_vu_khi!$A$2:$A$94,0))/INDEX(input_xe_tham_chieu!$G$2:$G$6,MATCH($D$117,input_xe_tham_chieu!$A$2:$A$6,0)),"")</f>
        <v/>
      </c>
      <c r="R117">
        <f>IF(ISNUMBER($Q$117),IF($P$117&gt;=$Q$117,"DU","THIEU"),"")</f>
        <v/>
      </c>
      <c r="S117" t="inlineStr">
        <is>
          <t>Assets/MachineBrigade/Resources/Data/balance.json: vehicles[id=mega_gunship].weapon x 01_chien_dau/Xe_tham_chieu[armored_car]</t>
        </is>
      </c>
      <c r="T117" t="inlineStr"/>
    </row>
    <row r="118">
      <c r="A118" t="inlineStr">
        <is>
          <t>mega_gunship/gun_turret</t>
        </is>
      </c>
      <c r="B118" t="inlineStr">
        <is>
          <t>mega_gunship</t>
        </is>
      </c>
      <c r="C118" t="inlineStr">
        <is>
          <t>gunship_rockets</t>
        </is>
      </c>
      <c r="D118" t="inlineStr">
        <is>
          <t>gun_turret</t>
        </is>
      </c>
      <c r="E118">
        <f>IF(INDEX(boss_input_vu_khi_suy_ra!$D$2:$D$94,MATCH($C$118,boss_input_vu_khi_suy_ra!$A$2:$A$94,0)),INDEX(input_xe_tham_chieu!$E$2:$E$6,MATCH($D$118,input_xe_tham_chieu!$A$2:$A$6,0)),INDEX(input_xe_tham_chieu!$D$2:$D$6,MATCH($D$118,input_xe_tham_chieu!$A$2:$A$6,0)))</f>
        <v/>
      </c>
      <c r="F118">
        <f>IF(INDEX(boss_input_vu_khi_suy_ra!$E$2:$E$94,MATCH($C$118,boss_input_vu_khi_suy_ra!$A$2:$A$94,0)),INDEX(boss_input_bang_xuyen_giap!$B$2:$B$7,MIN(6,MAX(1,IF(INDEX(boss_input_vu_khi_suy_ra!$D$2:$D$94,MATCH($C$118,boss_input_vu_khi_suy_ra!$A$2:$A$94,0)),MAX(1,2-(INDEX(boss_input_vu_khi!$C$2:$C$94,MATCH($C$118,boss_input_vu_khi!$A$2:$A$94,0))-$E$118)),2-(INDEX(boss_input_vu_khi!$C$2:$C$94,MATCH($C$118,boss_input_vu_khi!$A$2:$A$94,0))-$E$118))+1)))*IF(INDEX(input_xe_tham_chieu!$F$2:$F$6,MATCH($D$118,input_xe_tham_chieu!$A$2:$A$6,0)),INDEX(boss_input_vu_khi_suy_ra!$G$2:$G$94,MATCH($C$118,boss_input_vu_khi_suy_ra!$A$2:$A$94,0)),INDEX(boss_input_vu_khi_suy_ra!$F$2:$F$94,MATCH($C$118,boss_input_vu_khi_suy_ra!$A$2:$A$94,0))),0)</f>
        <v/>
      </c>
      <c r="G118" t="n">
        <v>0.75</v>
      </c>
      <c r="H118">
        <f>INDEX(boss_input_vu_khi!$B$2:$B$94,MATCH($C$118,boss_input_vu_khi!$A$2:$A$94,0))*INDEX(Boss_dps!$D$2:$D$34,MATCH($B$118,Boss_dps!$A$2:$A$34,0))*IF(INDEX(boss_input_vu_khi!$D$2:$D$94,MATCH($C$118,boss_input_vu_khi!$A$2:$A$94,0)),1,INDEX(Boss_dps!$B$2:$B$34,MATCH($B$118,Boss_dps!$A$2:$A$34,0)))*INDEX(Boss_dps!$C$2:$C$34,MATCH($B$118,Boss_dps!$A$2:$A$34,0))*$F$118</f>
        <v/>
      </c>
      <c r="I118" t="n">
        <v>71.8848</v>
      </c>
      <c r="J118">
        <f>IF($H$118&gt;0,CEILING(INDEX(input_xe_tham_chieu!$C$2:$C$6,MATCH($D$118,input_xe_tham_chieu!$A$2:$A$6,0))/$H$118,1),"")</f>
        <v/>
      </c>
      <c r="K118">
        <f>IF(Boss_vu_khi!$S$142*$F$118&gt;0,INDEX(input_xe_tham_chieu!$C$2:$C$6,MATCH($D$118,input_xe_tham_chieu!$A$2:$A$6,0))/(Boss_vu_khi!$S$142*INDEX(Boss_dps!$D$2:$D$34,MATCH($B$118,Boss_dps!$A$2:$A$34,0))*$F$118),"")</f>
        <v/>
      </c>
      <c r="L118">
        <f>1+2*MIN(2,FLOOR(INDEX(boss_input_vu_khi!$E$2:$E$94,MATCH($C$118,boss_input_vu_khi!$A$2:$A$94,0))/8,1))</f>
        <v/>
      </c>
      <c r="M118">
        <f>1+2*MIN(2,FLOOR(MAX(INDEX(boss_input_vu_khi!$E$2:$E$94,MATCH($C$118,boss_input_vu_khi!$A$2:$A$94,0)),Boss_vu_khi!$L$142)/8,1))</f>
        <v/>
      </c>
      <c r="N118">
        <f>IF(INDEX(boss_input_vu_khi!$E$2:$E$94,MATCH($C$118,boss_input_vu_khi!$A$2:$A$94,0))&gt;=8,5,1)</f>
        <v/>
      </c>
      <c r="O118">
        <f>IF(MAX(INDEX(boss_input_vu_khi!$E$2:$E$94,MATCH($C$118,boss_input_vu_khi!$A$2:$A$94,0)),Boss_vu_khi!$L$142)&gt;=8,5,1)</f>
        <v/>
      </c>
      <c r="P118">
        <f>INDEX(boss_input_vu_khi_suy_ra!$H$2:$H$94,MATCH($C$118,boss_input_vu_khi_suy_ra!$A$2:$A$94,0))</f>
        <v/>
      </c>
      <c r="Q118">
        <f>IF(AND(INDEX(input_xe_tham_chieu!$G$2:$G$6,MATCH($D$118,input_xe_tham_chieu!$A$2:$A$6,0))&gt;0,INDEX(boss_input_vu_khi!$E$2:$E$94,MATCH($C$118,boss_input_vu_khi!$A$2:$A$94,0))&gt;0),INDEX(boss_input_vu_khi!$E$2:$E$94,MATCH($C$118,boss_input_vu_khi!$A$2:$A$94,0))/INDEX(input_xe_tham_chieu!$G$2:$G$6,MATCH($D$118,input_xe_tham_chieu!$A$2:$A$6,0)),"")</f>
        <v/>
      </c>
      <c r="R118">
        <f>IF(ISNUMBER($Q$118),IF($P$118&gt;=$Q$118,"DU","THIEU"),"")</f>
        <v/>
      </c>
      <c r="S118" t="inlineStr">
        <is>
          <t>Assets/MachineBrigade/Resources/Data/balance.json: vehicles[id=mega_gunship].weapon x 01_chien_dau/Xe_tham_chieu[gun_turret]</t>
        </is>
      </c>
      <c r="T118" t="inlineStr"/>
    </row>
    <row r="119">
      <c r="A119" t="inlineStr">
        <is>
          <t>mega_gunship/heavy_tank</t>
        </is>
      </c>
      <c r="B119" t="inlineStr">
        <is>
          <t>mega_gunship</t>
        </is>
      </c>
      <c r="C119" t="inlineStr">
        <is>
          <t>gunship_rockets</t>
        </is>
      </c>
      <c r="D119" t="inlineStr">
        <is>
          <t>heavy_tank</t>
        </is>
      </c>
      <c r="E119">
        <f>IF(INDEX(boss_input_vu_khi_suy_ra!$D$2:$D$94,MATCH($C$119,boss_input_vu_khi_suy_ra!$A$2:$A$94,0)),INDEX(input_xe_tham_chieu!$E$2:$E$6,MATCH($D$119,input_xe_tham_chieu!$A$2:$A$6,0)),INDEX(input_xe_tham_chieu!$D$2:$D$6,MATCH($D$119,input_xe_tham_chieu!$A$2:$A$6,0)))</f>
        <v/>
      </c>
      <c r="F119">
        <f>IF(INDEX(boss_input_vu_khi_suy_ra!$E$2:$E$94,MATCH($C$119,boss_input_vu_khi_suy_ra!$A$2:$A$94,0)),INDEX(boss_input_bang_xuyen_giap!$B$2:$B$7,MIN(6,MAX(1,IF(INDEX(boss_input_vu_khi_suy_ra!$D$2:$D$94,MATCH($C$119,boss_input_vu_khi_suy_ra!$A$2:$A$94,0)),MAX(1,2-(INDEX(boss_input_vu_khi!$C$2:$C$94,MATCH($C$119,boss_input_vu_khi!$A$2:$A$94,0))-$E$119)),2-(INDEX(boss_input_vu_khi!$C$2:$C$94,MATCH($C$119,boss_input_vu_khi!$A$2:$A$94,0))-$E$119))+1)))*IF(INDEX(input_xe_tham_chieu!$F$2:$F$6,MATCH($D$119,input_xe_tham_chieu!$A$2:$A$6,0)),INDEX(boss_input_vu_khi_suy_ra!$G$2:$G$94,MATCH($C$119,boss_input_vu_khi_suy_ra!$A$2:$A$94,0)),INDEX(boss_input_vu_khi_suy_ra!$F$2:$F$94,MATCH($C$119,boss_input_vu_khi_suy_ra!$A$2:$A$94,0))),0)</f>
        <v/>
      </c>
      <c r="G119" t="n">
        <v>0.25</v>
      </c>
      <c r="H119">
        <f>INDEX(boss_input_vu_khi!$B$2:$B$94,MATCH($C$119,boss_input_vu_khi!$A$2:$A$94,0))*INDEX(Boss_dps!$D$2:$D$34,MATCH($B$119,Boss_dps!$A$2:$A$34,0))*IF(INDEX(boss_input_vu_khi!$D$2:$D$94,MATCH($C$119,boss_input_vu_khi!$A$2:$A$94,0)),1,INDEX(Boss_dps!$B$2:$B$34,MATCH($B$119,Boss_dps!$A$2:$A$34,0)))*INDEX(Boss_dps!$C$2:$C$34,MATCH($B$119,Boss_dps!$A$2:$A$34,0))*$F$119</f>
        <v/>
      </c>
      <c r="I119" t="n">
        <v>23.9616</v>
      </c>
      <c r="J119">
        <f>IF($H$119&gt;0,CEILING(INDEX(input_xe_tham_chieu!$C$2:$C$6,MATCH($D$119,input_xe_tham_chieu!$A$2:$A$6,0))/$H$119,1),"")</f>
        <v/>
      </c>
      <c r="K119">
        <f>IF(Boss_vu_khi!$S$142*$F$119&gt;0,INDEX(input_xe_tham_chieu!$C$2:$C$6,MATCH($D$119,input_xe_tham_chieu!$A$2:$A$6,0))/(Boss_vu_khi!$S$142*INDEX(Boss_dps!$D$2:$D$34,MATCH($B$119,Boss_dps!$A$2:$A$34,0))*$F$119),"")</f>
        <v/>
      </c>
      <c r="L119">
        <f>1+2*MIN(2,FLOOR(INDEX(boss_input_vu_khi!$E$2:$E$94,MATCH($C$119,boss_input_vu_khi!$A$2:$A$94,0))/8,1))</f>
        <v/>
      </c>
      <c r="M119">
        <f>1+2*MIN(2,FLOOR(MAX(INDEX(boss_input_vu_khi!$E$2:$E$94,MATCH($C$119,boss_input_vu_khi!$A$2:$A$94,0)),Boss_vu_khi!$L$142)/8,1))</f>
        <v/>
      </c>
      <c r="N119">
        <f>IF(INDEX(boss_input_vu_khi!$E$2:$E$94,MATCH($C$119,boss_input_vu_khi!$A$2:$A$94,0))&gt;=8,5,1)</f>
        <v/>
      </c>
      <c r="O119">
        <f>IF(MAX(INDEX(boss_input_vu_khi!$E$2:$E$94,MATCH($C$119,boss_input_vu_khi!$A$2:$A$94,0)),Boss_vu_khi!$L$142)&gt;=8,5,1)</f>
        <v/>
      </c>
      <c r="P119">
        <f>INDEX(boss_input_vu_khi_suy_ra!$H$2:$H$94,MATCH($C$119,boss_input_vu_khi_suy_ra!$A$2:$A$94,0))</f>
        <v/>
      </c>
      <c r="Q119">
        <f>IF(AND(INDEX(input_xe_tham_chieu!$G$2:$G$6,MATCH($D$119,input_xe_tham_chieu!$A$2:$A$6,0))&gt;0,INDEX(boss_input_vu_khi!$E$2:$E$94,MATCH($C$119,boss_input_vu_khi!$A$2:$A$94,0))&gt;0),INDEX(boss_input_vu_khi!$E$2:$E$94,MATCH($C$119,boss_input_vu_khi!$A$2:$A$94,0))/INDEX(input_xe_tham_chieu!$G$2:$G$6,MATCH($D$119,input_xe_tham_chieu!$A$2:$A$6,0)),"")</f>
        <v/>
      </c>
      <c r="R119">
        <f>IF(ISNUMBER($Q$119),IF($P$119&gt;=$Q$119,"DU","THIEU"),"")</f>
        <v/>
      </c>
      <c r="S119" t="inlineStr">
        <is>
          <t>Assets/MachineBrigade/Resources/Data/balance.json: vehicles[id=mega_gunship].weapon x 01_chien_dau/Xe_tham_chieu[heavy_tank]</t>
        </is>
      </c>
      <c r="T119" t="inlineStr"/>
    </row>
    <row r="120">
      <c r="A120" t="inlineStr">
        <is>
          <t>mega_gunship/ifv</t>
        </is>
      </c>
      <c r="B120" t="inlineStr">
        <is>
          <t>mega_gunship</t>
        </is>
      </c>
      <c r="C120" t="inlineStr">
        <is>
          <t>gunship_rockets</t>
        </is>
      </c>
      <c r="D120" t="inlineStr">
        <is>
          <t>ifv</t>
        </is>
      </c>
      <c r="E120">
        <f>IF(INDEX(boss_input_vu_khi_suy_ra!$D$2:$D$94,MATCH($C$120,boss_input_vu_khi_suy_ra!$A$2:$A$94,0)),INDEX(input_xe_tham_chieu!$E$2:$E$6,MATCH($D$120,input_xe_tham_chieu!$A$2:$A$6,0)),INDEX(input_xe_tham_chieu!$D$2:$D$6,MATCH($D$120,input_xe_tham_chieu!$A$2:$A$6,0)))</f>
        <v/>
      </c>
      <c r="F120">
        <f>IF(INDEX(boss_input_vu_khi_suy_ra!$E$2:$E$94,MATCH($C$120,boss_input_vu_khi_suy_ra!$A$2:$A$94,0)),INDEX(boss_input_bang_xuyen_giap!$B$2:$B$7,MIN(6,MAX(1,IF(INDEX(boss_input_vu_khi_suy_ra!$D$2:$D$94,MATCH($C$120,boss_input_vu_khi_suy_ra!$A$2:$A$94,0)),MAX(1,2-(INDEX(boss_input_vu_khi!$C$2:$C$94,MATCH($C$120,boss_input_vu_khi!$A$2:$A$94,0))-$E$120)),2-(INDEX(boss_input_vu_khi!$C$2:$C$94,MATCH($C$120,boss_input_vu_khi!$A$2:$A$94,0))-$E$120))+1)))*IF(INDEX(input_xe_tham_chieu!$F$2:$F$6,MATCH($D$120,input_xe_tham_chieu!$A$2:$A$6,0)),INDEX(boss_input_vu_khi_suy_ra!$G$2:$G$94,MATCH($C$120,boss_input_vu_khi_suy_ra!$A$2:$A$94,0)),INDEX(boss_input_vu_khi_suy_ra!$F$2:$F$94,MATCH($C$120,boss_input_vu_khi_suy_ra!$A$2:$A$94,0))),0)</f>
        <v/>
      </c>
      <c r="G120" t="n">
        <v>0.85</v>
      </c>
      <c r="H120">
        <f>INDEX(boss_input_vu_khi!$B$2:$B$94,MATCH($C$120,boss_input_vu_khi!$A$2:$A$94,0))*INDEX(Boss_dps!$D$2:$D$34,MATCH($B$120,Boss_dps!$A$2:$A$34,0))*IF(INDEX(boss_input_vu_khi!$D$2:$D$94,MATCH($C$120,boss_input_vu_khi!$A$2:$A$94,0)),1,INDEX(Boss_dps!$B$2:$B$34,MATCH($B$120,Boss_dps!$A$2:$A$34,0)))*INDEX(Boss_dps!$C$2:$C$34,MATCH($B$120,Boss_dps!$A$2:$A$34,0))*$F$120</f>
        <v/>
      </c>
      <c r="I120" t="n">
        <v>81.46944000000001</v>
      </c>
      <c r="J120">
        <f>IF($H$120&gt;0,CEILING(INDEX(input_xe_tham_chieu!$C$2:$C$6,MATCH($D$120,input_xe_tham_chieu!$A$2:$A$6,0))/$H$120,1),"")</f>
        <v/>
      </c>
      <c r="K120">
        <f>IF(Boss_vu_khi!$S$142*$F$120&gt;0,INDEX(input_xe_tham_chieu!$C$2:$C$6,MATCH($D$120,input_xe_tham_chieu!$A$2:$A$6,0))/(Boss_vu_khi!$S$142*INDEX(Boss_dps!$D$2:$D$34,MATCH($B$120,Boss_dps!$A$2:$A$34,0))*$F$120),"")</f>
        <v/>
      </c>
      <c r="L120">
        <f>1+2*MIN(2,FLOOR(INDEX(boss_input_vu_khi!$E$2:$E$94,MATCH($C$120,boss_input_vu_khi!$A$2:$A$94,0))/8,1))</f>
        <v/>
      </c>
      <c r="M120">
        <f>1+2*MIN(2,FLOOR(MAX(INDEX(boss_input_vu_khi!$E$2:$E$94,MATCH($C$120,boss_input_vu_khi!$A$2:$A$94,0)),Boss_vu_khi!$L$142)/8,1))</f>
        <v/>
      </c>
      <c r="N120">
        <f>IF(INDEX(boss_input_vu_khi!$E$2:$E$94,MATCH($C$120,boss_input_vu_khi!$A$2:$A$94,0))&gt;=8,5,1)</f>
        <v/>
      </c>
      <c r="O120">
        <f>IF(MAX(INDEX(boss_input_vu_khi!$E$2:$E$94,MATCH($C$120,boss_input_vu_khi!$A$2:$A$94,0)),Boss_vu_khi!$L$142)&gt;=8,5,1)</f>
        <v/>
      </c>
      <c r="P120">
        <f>INDEX(boss_input_vu_khi_suy_ra!$H$2:$H$94,MATCH($C$120,boss_input_vu_khi_suy_ra!$A$2:$A$94,0))</f>
        <v/>
      </c>
      <c r="Q120">
        <f>IF(AND(INDEX(input_xe_tham_chieu!$G$2:$G$6,MATCH($D$120,input_xe_tham_chieu!$A$2:$A$6,0))&gt;0,INDEX(boss_input_vu_khi!$E$2:$E$94,MATCH($C$120,boss_input_vu_khi!$A$2:$A$94,0))&gt;0),INDEX(boss_input_vu_khi!$E$2:$E$94,MATCH($C$120,boss_input_vu_khi!$A$2:$A$94,0))/INDEX(input_xe_tham_chieu!$G$2:$G$6,MATCH($D$120,input_xe_tham_chieu!$A$2:$A$6,0)),"")</f>
        <v/>
      </c>
      <c r="R120">
        <f>IF(ISNUMBER($Q$120),IF($P$120&gt;=$Q$120,"DU","THIEU"),"")</f>
        <v/>
      </c>
      <c r="S120" t="inlineStr">
        <is>
          <t>Assets/MachineBrigade/Resources/Data/balance.json: vehicles[id=mega_gunship].weapon x 01_chien_dau/Xe_tham_chieu[ifv]</t>
        </is>
      </c>
      <c r="T120" t="inlineStr"/>
    </row>
    <row r="121">
      <c r="A121" t="inlineStr">
        <is>
          <t>mega_gunship/main_battle_tank</t>
        </is>
      </c>
      <c r="B121" t="inlineStr">
        <is>
          <t>mega_gunship</t>
        </is>
      </c>
      <c r="C121" t="inlineStr">
        <is>
          <t>gunship_rockets</t>
        </is>
      </c>
      <c r="D121" t="inlineStr">
        <is>
          <t>main_battle_tank</t>
        </is>
      </c>
      <c r="E121">
        <f>IF(INDEX(boss_input_vu_khi_suy_ra!$D$2:$D$94,MATCH($C$121,boss_input_vu_khi_suy_ra!$A$2:$A$94,0)),INDEX(input_xe_tham_chieu!$E$2:$E$6,MATCH($D$121,input_xe_tham_chieu!$A$2:$A$6,0)),INDEX(input_xe_tham_chieu!$D$2:$D$6,MATCH($D$121,input_xe_tham_chieu!$A$2:$A$6,0)))</f>
        <v/>
      </c>
      <c r="F121">
        <f>IF(INDEX(boss_input_vu_khi_suy_ra!$E$2:$E$94,MATCH($C$121,boss_input_vu_khi_suy_ra!$A$2:$A$94,0)),INDEX(boss_input_bang_xuyen_giap!$B$2:$B$7,MIN(6,MAX(1,IF(INDEX(boss_input_vu_khi_suy_ra!$D$2:$D$94,MATCH($C$121,boss_input_vu_khi_suy_ra!$A$2:$A$94,0)),MAX(1,2-(INDEX(boss_input_vu_khi!$C$2:$C$94,MATCH($C$121,boss_input_vu_khi!$A$2:$A$94,0))-$E$121)),2-(INDEX(boss_input_vu_khi!$C$2:$C$94,MATCH($C$121,boss_input_vu_khi!$A$2:$A$94,0))-$E$121))+1)))*IF(INDEX(input_xe_tham_chieu!$F$2:$F$6,MATCH($D$121,input_xe_tham_chieu!$A$2:$A$6,0)),INDEX(boss_input_vu_khi_suy_ra!$G$2:$G$94,MATCH($C$121,boss_input_vu_khi_suy_ra!$A$2:$A$94,0)),INDEX(boss_input_vu_khi_suy_ra!$F$2:$F$94,MATCH($C$121,boss_input_vu_khi_suy_ra!$A$2:$A$94,0))),0)</f>
        <v/>
      </c>
      <c r="G121" t="n">
        <v>0.25</v>
      </c>
      <c r="H121">
        <f>INDEX(boss_input_vu_khi!$B$2:$B$94,MATCH($C$121,boss_input_vu_khi!$A$2:$A$94,0))*INDEX(Boss_dps!$D$2:$D$34,MATCH($B$121,Boss_dps!$A$2:$A$34,0))*IF(INDEX(boss_input_vu_khi!$D$2:$D$94,MATCH($C$121,boss_input_vu_khi!$A$2:$A$94,0)),1,INDEX(Boss_dps!$B$2:$B$34,MATCH($B$121,Boss_dps!$A$2:$A$34,0)))*INDEX(Boss_dps!$C$2:$C$34,MATCH($B$121,Boss_dps!$A$2:$A$34,0))*$F$121</f>
        <v/>
      </c>
      <c r="I121" t="n">
        <v>23.9616</v>
      </c>
      <c r="J121">
        <f>IF($H$121&gt;0,CEILING(INDEX(input_xe_tham_chieu!$C$2:$C$6,MATCH($D$121,input_xe_tham_chieu!$A$2:$A$6,0))/$H$121,1),"")</f>
        <v/>
      </c>
      <c r="K121">
        <f>IF(Boss_vu_khi!$S$142*$F$121&gt;0,INDEX(input_xe_tham_chieu!$C$2:$C$6,MATCH($D$121,input_xe_tham_chieu!$A$2:$A$6,0))/(Boss_vu_khi!$S$142*INDEX(Boss_dps!$D$2:$D$34,MATCH($B$121,Boss_dps!$A$2:$A$34,0))*$F$121),"")</f>
        <v/>
      </c>
      <c r="L121">
        <f>1+2*MIN(2,FLOOR(INDEX(boss_input_vu_khi!$E$2:$E$94,MATCH($C$121,boss_input_vu_khi!$A$2:$A$94,0))/8,1))</f>
        <v/>
      </c>
      <c r="M121">
        <f>1+2*MIN(2,FLOOR(MAX(INDEX(boss_input_vu_khi!$E$2:$E$94,MATCH($C$121,boss_input_vu_khi!$A$2:$A$94,0)),Boss_vu_khi!$L$142)/8,1))</f>
        <v/>
      </c>
      <c r="N121">
        <f>IF(INDEX(boss_input_vu_khi!$E$2:$E$94,MATCH($C$121,boss_input_vu_khi!$A$2:$A$94,0))&gt;=8,5,1)</f>
        <v/>
      </c>
      <c r="O121">
        <f>IF(MAX(INDEX(boss_input_vu_khi!$E$2:$E$94,MATCH($C$121,boss_input_vu_khi!$A$2:$A$94,0)),Boss_vu_khi!$L$142)&gt;=8,5,1)</f>
        <v/>
      </c>
      <c r="P121">
        <f>INDEX(boss_input_vu_khi_suy_ra!$H$2:$H$94,MATCH($C$121,boss_input_vu_khi_suy_ra!$A$2:$A$94,0))</f>
        <v/>
      </c>
      <c r="Q121">
        <f>IF(AND(INDEX(input_xe_tham_chieu!$G$2:$G$6,MATCH($D$121,input_xe_tham_chieu!$A$2:$A$6,0))&gt;0,INDEX(boss_input_vu_khi!$E$2:$E$94,MATCH($C$121,boss_input_vu_khi!$A$2:$A$94,0))&gt;0),INDEX(boss_input_vu_khi!$E$2:$E$94,MATCH($C$121,boss_input_vu_khi!$A$2:$A$94,0))/INDEX(input_xe_tham_chieu!$G$2:$G$6,MATCH($D$121,input_xe_tham_chieu!$A$2:$A$6,0)),"")</f>
        <v/>
      </c>
      <c r="R121">
        <f>IF(ISNUMBER($Q$121),IF($P$121&gt;=$Q$121,"DU","THIEU"),"")</f>
        <v/>
      </c>
      <c r="S121" t="inlineStr">
        <is>
          <t>Assets/MachineBrigade/Resources/Data/balance.json: vehicles[id=mega_gunship].weapon x 01_chien_dau/Xe_tham_chieu[main_battle_tank]</t>
        </is>
      </c>
      <c r="T121" t="inlineStr"/>
    </row>
    <row r="122">
      <c r="A122" t="inlineStr">
        <is>
          <t>mobile_fortress/armored_car</t>
        </is>
      </c>
      <c r="B122" t="inlineStr">
        <is>
          <t>mobile_fortress</t>
        </is>
      </c>
      <c r="C122" t="inlineStr">
        <is>
          <t>p26_jotunn_jo203</t>
        </is>
      </c>
      <c r="D122" t="inlineStr">
        <is>
          <t>armored_car</t>
        </is>
      </c>
      <c r="E122">
        <f>IF(INDEX(boss_input_vu_khi_suy_ra!$D$2:$D$94,MATCH($C$122,boss_input_vu_khi_suy_ra!$A$2:$A$94,0)),INDEX(input_xe_tham_chieu!$E$2:$E$6,MATCH($D$122,input_xe_tham_chieu!$A$2:$A$6,0)),INDEX(input_xe_tham_chieu!$D$2:$D$6,MATCH($D$122,input_xe_tham_chieu!$A$2:$A$6,0)))</f>
        <v/>
      </c>
      <c r="F122">
        <f>IF(INDEX(boss_input_vu_khi_suy_ra!$E$2:$E$94,MATCH($C$122,boss_input_vu_khi_suy_ra!$A$2:$A$94,0)),INDEX(boss_input_bang_xuyen_giap!$B$2:$B$7,MIN(6,MAX(1,IF(INDEX(boss_input_vu_khi_suy_ra!$D$2:$D$94,MATCH($C$122,boss_input_vu_khi_suy_ra!$A$2:$A$94,0)),MAX(1,2-(INDEX(boss_input_vu_khi!$C$2:$C$94,MATCH($C$122,boss_input_vu_khi!$A$2:$A$94,0))-$E$122)),2-(INDEX(boss_input_vu_khi!$C$2:$C$94,MATCH($C$122,boss_input_vu_khi!$A$2:$A$94,0))-$E$122))+1)))*IF(INDEX(input_xe_tham_chieu!$F$2:$F$6,MATCH($D$122,input_xe_tham_chieu!$A$2:$A$6,0)),INDEX(boss_input_vu_khi_suy_ra!$G$2:$G$94,MATCH($C$122,boss_input_vu_khi_suy_ra!$A$2:$A$94,0)),INDEX(boss_input_vu_khi_suy_ra!$F$2:$F$94,MATCH($C$122,boss_input_vu_khi_suy_ra!$A$2:$A$94,0))),0)</f>
        <v/>
      </c>
      <c r="G122" t="n">
        <v>1.2</v>
      </c>
      <c r="H122">
        <f>INDEX(boss_input_vu_khi!$B$2:$B$94,MATCH($C$122,boss_input_vu_khi!$A$2:$A$94,0))*INDEX(Boss_dps!$D$2:$D$34,MATCH($B$122,Boss_dps!$A$2:$A$34,0))*IF(INDEX(boss_input_vu_khi!$D$2:$D$94,MATCH($C$122,boss_input_vu_khi!$A$2:$A$94,0)),1,INDEX(Boss_dps!$B$2:$B$34,MATCH($B$122,Boss_dps!$A$2:$A$34,0)))*INDEX(Boss_dps!$C$2:$C$34,MATCH($B$122,Boss_dps!$A$2:$A$34,0))*$F$122</f>
        <v/>
      </c>
      <c r="I122" t="n">
        <v>1437.6096</v>
      </c>
      <c r="J122">
        <f>IF($H$122&gt;0,CEILING(INDEX(input_xe_tham_chieu!$C$2:$C$6,MATCH($D$122,input_xe_tham_chieu!$A$2:$A$6,0))/$H$122,1),"")</f>
        <v/>
      </c>
      <c r="K122">
        <f>IF(Boss_vu_khi!$S$149*$F$122&gt;0,INDEX(input_xe_tham_chieu!$C$2:$C$6,MATCH($D$122,input_xe_tham_chieu!$A$2:$A$6,0))/(Boss_vu_khi!$S$149*INDEX(Boss_dps!$D$2:$D$34,MATCH($B$122,Boss_dps!$A$2:$A$34,0))*$F$122),"")</f>
        <v/>
      </c>
      <c r="L122">
        <f>1+2*MIN(2,FLOOR(INDEX(boss_input_vu_khi!$E$2:$E$94,MATCH($C$122,boss_input_vu_khi!$A$2:$A$94,0))/8,1))</f>
        <v/>
      </c>
      <c r="M122">
        <f>1+2*MIN(2,FLOOR(MAX(INDEX(boss_input_vu_khi!$E$2:$E$94,MATCH($C$122,boss_input_vu_khi!$A$2:$A$94,0)),Boss_vu_khi!$L$149)/8,1))</f>
        <v/>
      </c>
      <c r="N122">
        <f>IF(INDEX(boss_input_vu_khi!$E$2:$E$94,MATCH($C$122,boss_input_vu_khi!$A$2:$A$94,0))&gt;=8,5,1)</f>
        <v/>
      </c>
      <c r="O122">
        <f>IF(MAX(INDEX(boss_input_vu_khi!$E$2:$E$94,MATCH($C$122,boss_input_vu_khi!$A$2:$A$94,0)),Boss_vu_khi!$L$149)&gt;=8,5,1)</f>
        <v/>
      </c>
      <c r="P122">
        <f>INDEX(boss_input_vu_khi_suy_ra!$H$2:$H$94,MATCH($C$122,boss_input_vu_khi_suy_ra!$A$2:$A$94,0))</f>
        <v/>
      </c>
      <c r="Q122">
        <f>IF(AND(INDEX(input_xe_tham_chieu!$G$2:$G$6,MATCH($D$122,input_xe_tham_chieu!$A$2:$A$6,0))&gt;0,INDEX(boss_input_vu_khi!$E$2:$E$94,MATCH($C$122,boss_input_vu_khi!$A$2:$A$94,0))&gt;0),INDEX(boss_input_vu_khi!$E$2:$E$94,MATCH($C$122,boss_input_vu_khi!$A$2:$A$94,0))/INDEX(input_xe_tham_chieu!$G$2:$G$6,MATCH($D$122,input_xe_tham_chieu!$A$2:$A$6,0)),"")</f>
        <v/>
      </c>
      <c r="R122">
        <f>IF(ISNUMBER($Q$122),IF($P$122&gt;=$Q$122,"DU","THIEU"),"")</f>
        <v/>
      </c>
      <c r="S122" t="inlineStr">
        <is>
          <t>Assets/MachineBrigade/Resources/Data/balance.json: vehicles[id=mobile_fortress].weapon x 01_chien_dau/Xe_tham_chieu[armored_car]</t>
        </is>
      </c>
      <c r="T122" t="inlineStr"/>
    </row>
    <row r="123">
      <c r="A123" t="inlineStr">
        <is>
          <t>mobile_fortress/gun_turret</t>
        </is>
      </c>
      <c r="B123" t="inlineStr">
        <is>
          <t>mobile_fortress</t>
        </is>
      </c>
      <c r="C123" t="inlineStr">
        <is>
          <t>p26_jotunn_jo203</t>
        </is>
      </c>
      <c r="D123" t="inlineStr">
        <is>
          <t>gun_turret</t>
        </is>
      </c>
      <c r="E123">
        <f>IF(INDEX(boss_input_vu_khi_suy_ra!$D$2:$D$94,MATCH($C$123,boss_input_vu_khi_suy_ra!$A$2:$A$94,0)),INDEX(input_xe_tham_chieu!$E$2:$E$6,MATCH($D$123,input_xe_tham_chieu!$A$2:$A$6,0)),INDEX(input_xe_tham_chieu!$D$2:$D$6,MATCH($D$123,input_xe_tham_chieu!$A$2:$A$6,0)))</f>
        <v/>
      </c>
      <c r="F123">
        <f>IF(INDEX(boss_input_vu_khi_suy_ra!$E$2:$E$94,MATCH($C$123,boss_input_vu_khi_suy_ra!$A$2:$A$94,0)),INDEX(boss_input_bang_xuyen_giap!$B$2:$B$7,MIN(6,MAX(1,IF(INDEX(boss_input_vu_khi_suy_ra!$D$2:$D$94,MATCH($C$123,boss_input_vu_khi_suy_ra!$A$2:$A$94,0)),MAX(1,2-(INDEX(boss_input_vu_khi!$C$2:$C$94,MATCH($C$123,boss_input_vu_khi!$A$2:$A$94,0))-$E$123)),2-(INDEX(boss_input_vu_khi!$C$2:$C$94,MATCH($C$123,boss_input_vu_khi!$A$2:$A$94,0))-$E$123))+1)))*IF(INDEX(input_xe_tham_chieu!$F$2:$F$6,MATCH($D$123,input_xe_tham_chieu!$A$2:$A$6,0)),INDEX(boss_input_vu_khi_suy_ra!$G$2:$G$94,MATCH($C$123,boss_input_vu_khi_suy_ra!$A$2:$A$94,0)),INDEX(boss_input_vu_khi_suy_ra!$F$2:$F$94,MATCH($C$123,boss_input_vu_khi_suy_ra!$A$2:$A$94,0))),0)</f>
        <v/>
      </c>
      <c r="G123" t="n">
        <v>1.5</v>
      </c>
      <c r="H123">
        <f>INDEX(boss_input_vu_khi!$B$2:$B$94,MATCH($C$123,boss_input_vu_khi!$A$2:$A$94,0))*INDEX(Boss_dps!$D$2:$D$34,MATCH($B$123,Boss_dps!$A$2:$A$34,0))*IF(INDEX(boss_input_vu_khi!$D$2:$D$94,MATCH($C$123,boss_input_vu_khi!$A$2:$A$94,0)),1,INDEX(Boss_dps!$B$2:$B$34,MATCH($B$123,Boss_dps!$A$2:$A$34,0)))*INDEX(Boss_dps!$C$2:$C$34,MATCH($B$123,Boss_dps!$A$2:$A$34,0))*$F$123</f>
        <v/>
      </c>
      <c r="I123" t="n">
        <v>1797.012</v>
      </c>
      <c r="J123">
        <f>IF($H$123&gt;0,CEILING(INDEX(input_xe_tham_chieu!$C$2:$C$6,MATCH($D$123,input_xe_tham_chieu!$A$2:$A$6,0))/$H$123,1),"")</f>
        <v/>
      </c>
      <c r="K123">
        <f>IF(Boss_vu_khi!$S$149*$F$123&gt;0,INDEX(input_xe_tham_chieu!$C$2:$C$6,MATCH($D$123,input_xe_tham_chieu!$A$2:$A$6,0))/(Boss_vu_khi!$S$149*INDEX(Boss_dps!$D$2:$D$34,MATCH($B$123,Boss_dps!$A$2:$A$34,0))*$F$123),"")</f>
        <v/>
      </c>
      <c r="L123">
        <f>1+2*MIN(2,FLOOR(INDEX(boss_input_vu_khi!$E$2:$E$94,MATCH($C$123,boss_input_vu_khi!$A$2:$A$94,0))/8,1))</f>
        <v/>
      </c>
      <c r="M123">
        <f>1+2*MIN(2,FLOOR(MAX(INDEX(boss_input_vu_khi!$E$2:$E$94,MATCH($C$123,boss_input_vu_khi!$A$2:$A$94,0)),Boss_vu_khi!$L$149)/8,1))</f>
        <v/>
      </c>
      <c r="N123">
        <f>IF(INDEX(boss_input_vu_khi!$E$2:$E$94,MATCH($C$123,boss_input_vu_khi!$A$2:$A$94,0))&gt;=8,5,1)</f>
        <v/>
      </c>
      <c r="O123">
        <f>IF(MAX(INDEX(boss_input_vu_khi!$E$2:$E$94,MATCH($C$123,boss_input_vu_khi!$A$2:$A$94,0)),Boss_vu_khi!$L$149)&gt;=8,5,1)</f>
        <v/>
      </c>
      <c r="P123">
        <f>INDEX(boss_input_vu_khi_suy_ra!$H$2:$H$94,MATCH($C$123,boss_input_vu_khi_suy_ra!$A$2:$A$94,0))</f>
        <v/>
      </c>
      <c r="Q123">
        <f>IF(AND(INDEX(input_xe_tham_chieu!$G$2:$G$6,MATCH($D$123,input_xe_tham_chieu!$A$2:$A$6,0))&gt;0,INDEX(boss_input_vu_khi!$E$2:$E$94,MATCH($C$123,boss_input_vu_khi!$A$2:$A$94,0))&gt;0),INDEX(boss_input_vu_khi!$E$2:$E$94,MATCH($C$123,boss_input_vu_khi!$A$2:$A$94,0))/INDEX(input_xe_tham_chieu!$G$2:$G$6,MATCH($D$123,input_xe_tham_chieu!$A$2:$A$6,0)),"")</f>
        <v/>
      </c>
      <c r="R123">
        <f>IF(ISNUMBER($Q$123),IF($P$123&gt;=$Q$123,"DU","THIEU"),"")</f>
        <v/>
      </c>
      <c r="S123" t="inlineStr">
        <is>
          <t>Assets/MachineBrigade/Resources/Data/balance.json: vehicles[id=mobile_fortress].weapon x 01_chien_dau/Xe_tham_chieu[gun_turret]</t>
        </is>
      </c>
      <c r="T123" t="inlineStr"/>
    </row>
    <row r="124">
      <c r="A124" t="inlineStr">
        <is>
          <t>mobile_fortress/heavy_tank</t>
        </is>
      </c>
      <c r="B124" t="inlineStr">
        <is>
          <t>mobile_fortress</t>
        </is>
      </c>
      <c r="C124" t="inlineStr">
        <is>
          <t>p26_jotunn_jo203</t>
        </is>
      </c>
      <c r="D124" t="inlineStr">
        <is>
          <t>heavy_tank</t>
        </is>
      </c>
      <c r="E124">
        <f>IF(INDEX(boss_input_vu_khi_suy_ra!$D$2:$D$94,MATCH($C$124,boss_input_vu_khi_suy_ra!$A$2:$A$94,0)),INDEX(input_xe_tham_chieu!$E$2:$E$6,MATCH($D$124,input_xe_tham_chieu!$A$2:$A$6,0)),INDEX(input_xe_tham_chieu!$D$2:$D$6,MATCH($D$124,input_xe_tham_chieu!$A$2:$A$6,0)))</f>
        <v/>
      </c>
      <c r="F124">
        <f>IF(INDEX(boss_input_vu_khi_suy_ra!$E$2:$E$94,MATCH($C$124,boss_input_vu_khi_suy_ra!$A$2:$A$94,0)),INDEX(boss_input_bang_xuyen_giap!$B$2:$B$7,MIN(6,MAX(1,IF(INDEX(boss_input_vu_khi_suy_ra!$D$2:$D$94,MATCH($C$124,boss_input_vu_khi_suy_ra!$A$2:$A$94,0)),MAX(1,2-(INDEX(boss_input_vu_khi!$C$2:$C$94,MATCH($C$124,boss_input_vu_khi!$A$2:$A$94,0))-$E$124)),2-(INDEX(boss_input_vu_khi!$C$2:$C$94,MATCH($C$124,boss_input_vu_khi!$A$2:$A$94,0))-$E$124))+1)))*IF(INDEX(input_xe_tham_chieu!$F$2:$F$6,MATCH($D$124,input_xe_tham_chieu!$A$2:$A$6,0)),INDEX(boss_input_vu_khi_suy_ra!$G$2:$G$94,MATCH($C$124,boss_input_vu_khi_suy_ra!$A$2:$A$94,0)),INDEX(boss_input_vu_khi_suy_ra!$F$2:$F$94,MATCH($C$124,boss_input_vu_khi_suy_ra!$A$2:$A$94,0))),0)</f>
        <v/>
      </c>
      <c r="G124" t="n">
        <v>0.85</v>
      </c>
      <c r="H124">
        <f>INDEX(boss_input_vu_khi!$B$2:$B$94,MATCH($C$124,boss_input_vu_khi!$A$2:$A$94,0))*INDEX(Boss_dps!$D$2:$D$34,MATCH($B$124,Boss_dps!$A$2:$A$34,0))*IF(INDEX(boss_input_vu_khi!$D$2:$D$94,MATCH($C$124,boss_input_vu_khi!$A$2:$A$94,0)),1,INDEX(Boss_dps!$B$2:$B$34,MATCH($B$124,Boss_dps!$A$2:$A$34,0)))*INDEX(Boss_dps!$C$2:$C$34,MATCH($B$124,Boss_dps!$A$2:$A$34,0))*$F$124</f>
        <v/>
      </c>
      <c r="I124" t="n">
        <v>1018.3068</v>
      </c>
      <c r="J124">
        <f>IF($H$124&gt;0,CEILING(INDEX(input_xe_tham_chieu!$C$2:$C$6,MATCH($D$124,input_xe_tham_chieu!$A$2:$A$6,0))/$H$124,1),"")</f>
        <v/>
      </c>
      <c r="K124">
        <f>IF(Boss_vu_khi!$S$149*$F$124&gt;0,INDEX(input_xe_tham_chieu!$C$2:$C$6,MATCH($D$124,input_xe_tham_chieu!$A$2:$A$6,0))/(Boss_vu_khi!$S$149*INDEX(Boss_dps!$D$2:$D$34,MATCH($B$124,Boss_dps!$A$2:$A$34,0))*$F$124),"")</f>
        <v/>
      </c>
      <c r="L124">
        <f>1+2*MIN(2,FLOOR(INDEX(boss_input_vu_khi!$E$2:$E$94,MATCH($C$124,boss_input_vu_khi!$A$2:$A$94,0))/8,1))</f>
        <v/>
      </c>
      <c r="M124">
        <f>1+2*MIN(2,FLOOR(MAX(INDEX(boss_input_vu_khi!$E$2:$E$94,MATCH($C$124,boss_input_vu_khi!$A$2:$A$94,0)),Boss_vu_khi!$L$149)/8,1))</f>
        <v/>
      </c>
      <c r="N124">
        <f>IF(INDEX(boss_input_vu_khi!$E$2:$E$94,MATCH($C$124,boss_input_vu_khi!$A$2:$A$94,0))&gt;=8,5,1)</f>
        <v/>
      </c>
      <c r="O124">
        <f>IF(MAX(INDEX(boss_input_vu_khi!$E$2:$E$94,MATCH($C$124,boss_input_vu_khi!$A$2:$A$94,0)),Boss_vu_khi!$L$149)&gt;=8,5,1)</f>
        <v/>
      </c>
      <c r="P124">
        <f>INDEX(boss_input_vu_khi_suy_ra!$H$2:$H$94,MATCH($C$124,boss_input_vu_khi_suy_ra!$A$2:$A$94,0))</f>
        <v/>
      </c>
      <c r="Q124">
        <f>IF(AND(INDEX(input_xe_tham_chieu!$G$2:$G$6,MATCH($D$124,input_xe_tham_chieu!$A$2:$A$6,0))&gt;0,INDEX(boss_input_vu_khi!$E$2:$E$94,MATCH($C$124,boss_input_vu_khi!$A$2:$A$94,0))&gt;0),INDEX(boss_input_vu_khi!$E$2:$E$94,MATCH($C$124,boss_input_vu_khi!$A$2:$A$94,0))/INDEX(input_xe_tham_chieu!$G$2:$G$6,MATCH($D$124,input_xe_tham_chieu!$A$2:$A$6,0)),"")</f>
        <v/>
      </c>
      <c r="R124">
        <f>IF(ISNUMBER($Q$124),IF($P$124&gt;=$Q$124,"DU","THIEU"),"")</f>
        <v/>
      </c>
      <c r="S124" t="inlineStr">
        <is>
          <t>Assets/MachineBrigade/Resources/Data/balance.json: vehicles[id=mobile_fortress].weapon x 01_chien_dau/Xe_tham_chieu[heavy_tank]</t>
        </is>
      </c>
      <c r="T124" t="inlineStr"/>
    </row>
    <row r="125">
      <c r="A125" t="inlineStr">
        <is>
          <t>mobile_fortress/ifv</t>
        </is>
      </c>
      <c r="B125" t="inlineStr">
        <is>
          <t>mobile_fortress</t>
        </is>
      </c>
      <c r="C125" t="inlineStr">
        <is>
          <t>p26_jotunn_jo203</t>
        </is>
      </c>
      <c r="D125" t="inlineStr">
        <is>
          <t>ifv</t>
        </is>
      </c>
      <c r="E125">
        <f>IF(INDEX(boss_input_vu_khi_suy_ra!$D$2:$D$94,MATCH($C$125,boss_input_vu_khi_suy_ra!$A$2:$A$94,0)),INDEX(input_xe_tham_chieu!$E$2:$E$6,MATCH($D$125,input_xe_tham_chieu!$A$2:$A$6,0)),INDEX(input_xe_tham_chieu!$D$2:$D$6,MATCH($D$125,input_xe_tham_chieu!$A$2:$A$6,0)))</f>
        <v/>
      </c>
      <c r="F125">
        <f>IF(INDEX(boss_input_vu_khi_suy_ra!$E$2:$E$94,MATCH($C$125,boss_input_vu_khi_suy_ra!$A$2:$A$94,0)),INDEX(boss_input_bang_xuyen_giap!$B$2:$B$7,MIN(6,MAX(1,IF(INDEX(boss_input_vu_khi_suy_ra!$D$2:$D$94,MATCH($C$125,boss_input_vu_khi_suy_ra!$A$2:$A$94,0)),MAX(1,2-(INDEX(boss_input_vu_khi!$C$2:$C$94,MATCH($C$125,boss_input_vu_khi!$A$2:$A$94,0))-$E$125)),2-(INDEX(boss_input_vu_khi!$C$2:$C$94,MATCH($C$125,boss_input_vu_khi!$A$2:$A$94,0))-$E$125))+1)))*IF(INDEX(input_xe_tham_chieu!$F$2:$F$6,MATCH($D$125,input_xe_tham_chieu!$A$2:$A$6,0)),INDEX(boss_input_vu_khi_suy_ra!$G$2:$G$94,MATCH($C$125,boss_input_vu_khi_suy_ra!$A$2:$A$94,0)),INDEX(boss_input_vu_khi_suy_ra!$F$2:$F$94,MATCH($C$125,boss_input_vu_khi_suy_ra!$A$2:$A$94,0))),0)</f>
        <v/>
      </c>
      <c r="G125" t="n">
        <v>1.2</v>
      </c>
      <c r="H125">
        <f>INDEX(boss_input_vu_khi!$B$2:$B$94,MATCH($C$125,boss_input_vu_khi!$A$2:$A$94,0))*INDEX(Boss_dps!$D$2:$D$34,MATCH($B$125,Boss_dps!$A$2:$A$34,0))*IF(INDEX(boss_input_vu_khi!$D$2:$D$94,MATCH($C$125,boss_input_vu_khi!$A$2:$A$94,0)),1,INDEX(Boss_dps!$B$2:$B$34,MATCH($B$125,Boss_dps!$A$2:$A$34,0)))*INDEX(Boss_dps!$C$2:$C$34,MATCH($B$125,Boss_dps!$A$2:$A$34,0))*$F$125</f>
        <v/>
      </c>
      <c r="I125" t="n">
        <v>1437.6096</v>
      </c>
      <c r="J125">
        <f>IF($H$125&gt;0,CEILING(INDEX(input_xe_tham_chieu!$C$2:$C$6,MATCH($D$125,input_xe_tham_chieu!$A$2:$A$6,0))/$H$125,1),"")</f>
        <v/>
      </c>
      <c r="K125">
        <f>IF(Boss_vu_khi!$S$149*$F$125&gt;0,INDEX(input_xe_tham_chieu!$C$2:$C$6,MATCH($D$125,input_xe_tham_chieu!$A$2:$A$6,0))/(Boss_vu_khi!$S$149*INDEX(Boss_dps!$D$2:$D$34,MATCH($B$125,Boss_dps!$A$2:$A$34,0))*$F$125),"")</f>
        <v/>
      </c>
      <c r="L125">
        <f>1+2*MIN(2,FLOOR(INDEX(boss_input_vu_khi!$E$2:$E$94,MATCH($C$125,boss_input_vu_khi!$A$2:$A$94,0))/8,1))</f>
        <v/>
      </c>
      <c r="M125">
        <f>1+2*MIN(2,FLOOR(MAX(INDEX(boss_input_vu_khi!$E$2:$E$94,MATCH($C$125,boss_input_vu_khi!$A$2:$A$94,0)),Boss_vu_khi!$L$149)/8,1))</f>
        <v/>
      </c>
      <c r="N125">
        <f>IF(INDEX(boss_input_vu_khi!$E$2:$E$94,MATCH($C$125,boss_input_vu_khi!$A$2:$A$94,0))&gt;=8,5,1)</f>
        <v/>
      </c>
      <c r="O125">
        <f>IF(MAX(INDEX(boss_input_vu_khi!$E$2:$E$94,MATCH($C$125,boss_input_vu_khi!$A$2:$A$94,0)),Boss_vu_khi!$L$149)&gt;=8,5,1)</f>
        <v/>
      </c>
      <c r="P125">
        <f>INDEX(boss_input_vu_khi_suy_ra!$H$2:$H$94,MATCH($C$125,boss_input_vu_khi_suy_ra!$A$2:$A$94,0))</f>
        <v/>
      </c>
      <c r="Q125">
        <f>IF(AND(INDEX(input_xe_tham_chieu!$G$2:$G$6,MATCH($D$125,input_xe_tham_chieu!$A$2:$A$6,0))&gt;0,INDEX(boss_input_vu_khi!$E$2:$E$94,MATCH($C$125,boss_input_vu_khi!$A$2:$A$94,0))&gt;0),INDEX(boss_input_vu_khi!$E$2:$E$94,MATCH($C$125,boss_input_vu_khi!$A$2:$A$94,0))/INDEX(input_xe_tham_chieu!$G$2:$G$6,MATCH($D$125,input_xe_tham_chieu!$A$2:$A$6,0)),"")</f>
        <v/>
      </c>
      <c r="R125">
        <f>IF(ISNUMBER($Q$125),IF($P$125&gt;=$Q$125,"DU","THIEU"),"")</f>
        <v/>
      </c>
      <c r="S125" t="inlineStr">
        <is>
          <t>Assets/MachineBrigade/Resources/Data/balance.json: vehicles[id=mobile_fortress].weapon x 01_chien_dau/Xe_tham_chieu[ifv]</t>
        </is>
      </c>
      <c r="T125" t="inlineStr"/>
    </row>
    <row r="126">
      <c r="A126" t="inlineStr">
        <is>
          <t>mobile_fortress/main_battle_tank</t>
        </is>
      </c>
      <c r="B126" t="inlineStr">
        <is>
          <t>mobile_fortress</t>
        </is>
      </c>
      <c r="C126" t="inlineStr">
        <is>
          <t>p26_jotunn_jo203</t>
        </is>
      </c>
      <c r="D126" t="inlineStr">
        <is>
          <t>main_battle_tank</t>
        </is>
      </c>
      <c r="E126">
        <f>IF(INDEX(boss_input_vu_khi_suy_ra!$D$2:$D$94,MATCH($C$126,boss_input_vu_khi_suy_ra!$A$2:$A$94,0)),INDEX(input_xe_tham_chieu!$E$2:$E$6,MATCH($D$126,input_xe_tham_chieu!$A$2:$A$6,0)),INDEX(input_xe_tham_chieu!$D$2:$D$6,MATCH($D$126,input_xe_tham_chieu!$A$2:$A$6,0)))</f>
        <v/>
      </c>
      <c r="F126">
        <f>IF(INDEX(boss_input_vu_khi_suy_ra!$E$2:$E$94,MATCH($C$126,boss_input_vu_khi_suy_ra!$A$2:$A$94,0)),INDEX(boss_input_bang_xuyen_giap!$B$2:$B$7,MIN(6,MAX(1,IF(INDEX(boss_input_vu_khi_suy_ra!$D$2:$D$94,MATCH($C$126,boss_input_vu_khi_suy_ra!$A$2:$A$94,0)),MAX(1,2-(INDEX(boss_input_vu_khi!$C$2:$C$94,MATCH($C$126,boss_input_vu_khi!$A$2:$A$94,0))-$E$126)),2-(INDEX(boss_input_vu_khi!$C$2:$C$94,MATCH($C$126,boss_input_vu_khi!$A$2:$A$94,0))-$E$126))+1)))*IF(INDEX(input_xe_tham_chieu!$F$2:$F$6,MATCH($D$126,input_xe_tham_chieu!$A$2:$A$6,0)),INDEX(boss_input_vu_khi_suy_ra!$G$2:$G$94,MATCH($C$126,boss_input_vu_khi_suy_ra!$A$2:$A$94,0)),INDEX(boss_input_vu_khi_suy_ra!$F$2:$F$94,MATCH($C$126,boss_input_vu_khi_suy_ra!$A$2:$A$94,0))),0)</f>
        <v/>
      </c>
      <c r="G126" t="n">
        <v>0.85</v>
      </c>
      <c r="H126">
        <f>INDEX(boss_input_vu_khi!$B$2:$B$94,MATCH($C$126,boss_input_vu_khi!$A$2:$A$94,0))*INDEX(Boss_dps!$D$2:$D$34,MATCH($B$126,Boss_dps!$A$2:$A$34,0))*IF(INDEX(boss_input_vu_khi!$D$2:$D$94,MATCH($C$126,boss_input_vu_khi!$A$2:$A$94,0)),1,INDEX(Boss_dps!$B$2:$B$34,MATCH($B$126,Boss_dps!$A$2:$A$34,0)))*INDEX(Boss_dps!$C$2:$C$34,MATCH($B$126,Boss_dps!$A$2:$A$34,0))*$F$126</f>
        <v/>
      </c>
      <c r="I126" t="n">
        <v>1018.3068</v>
      </c>
      <c r="J126">
        <f>IF($H$126&gt;0,CEILING(INDEX(input_xe_tham_chieu!$C$2:$C$6,MATCH($D$126,input_xe_tham_chieu!$A$2:$A$6,0))/$H$126,1),"")</f>
        <v/>
      </c>
      <c r="K126">
        <f>IF(Boss_vu_khi!$S$149*$F$126&gt;0,INDEX(input_xe_tham_chieu!$C$2:$C$6,MATCH($D$126,input_xe_tham_chieu!$A$2:$A$6,0))/(Boss_vu_khi!$S$149*INDEX(Boss_dps!$D$2:$D$34,MATCH($B$126,Boss_dps!$A$2:$A$34,0))*$F$126),"")</f>
        <v/>
      </c>
      <c r="L126">
        <f>1+2*MIN(2,FLOOR(INDEX(boss_input_vu_khi!$E$2:$E$94,MATCH($C$126,boss_input_vu_khi!$A$2:$A$94,0))/8,1))</f>
        <v/>
      </c>
      <c r="M126">
        <f>1+2*MIN(2,FLOOR(MAX(INDEX(boss_input_vu_khi!$E$2:$E$94,MATCH($C$126,boss_input_vu_khi!$A$2:$A$94,0)),Boss_vu_khi!$L$149)/8,1))</f>
        <v/>
      </c>
      <c r="N126">
        <f>IF(INDEX(boss_input_vu_khi!$E$2:$E$94,MATCH($C$126,boss_input_vu_khi!$A$2:$A$94,0))&gt;=8,5,1)</f>
        <v/>
      </c>
      <c r="O126">
        <f>IF(MAX(INDEX(boss_input_vu_khi!$E$2:$E$94,MATCH($C$126,boss_input_vu_khi!$A$2:$A$94,0)),Boss_vu_khi!$L$149)&gt;=8,5,1)</f>
        <v/>
      </c>
      <c r="P126">
        <f>INDEX(boss_input_vu_khi_suy_ra!$H$2:$H$94,MATCH($C$126,boss_input_vu_khi_suy_ra!$A$2:$A$94,0))</f>
        <v/>
      </c>
      <c r="Q126">
        <f>IF(AND(INDEX(input_xe_tham_chieu!$G$2:$G$6,MATCH($D$126,input_xe_tham_chieu!$A$2:$A$6,0))&gt;0,INDEX(boss_input_vu_khi!$E$2:$E$94,MATCH($C$126,boss_input_vu_khi!$A$2:$A$94,0))&gt;0),INDEX(boss_input_vu_khi!$E$2:$E$94,MATCH($C$126,boss_input_vu_khi!$A$2:$A$94,0))/INDEX(input_xe_tham_chieu!$G$2:$G$6,MATCH($D$126,input_xe_tham_chieu!$A$2:$A$6,0)),"")</f>
        <v/>
      </c>
      <c r="R126">
        <f>IF(ISNUMBER($Q$126),IF($P$126&gt;=$Q$126,"DU","THIEU"),"")</f>
        <v/>
      </c>
      <c r="S126" t="inlineStr">
        <is>
          <t>Assets/MachineBrigade/Resources/Data/balance.json: vehicles[id=mobile_fortress].weapon x 01_chien_dau/Xe_tham_chieu[main_battle_tank]</t>
        </is>
      </c>
      <c r="T126" t="inlineStr"/>
    </row>
    <row r="127">
      <c r="A127" t="inlineStr">
        <is>
          <t>moloch/armored_car</t>
        </is>
      </c>
      <c r="B127" t="inlineStr">
        <is>
          <t>moloch</t>
        </is>
      </c>
      <c r="C127" t="inlineStr">
        <is>
          <t>p26_moloch_main_mo120</t>
        </is>
      </c>
      <c r="D127" t="inlineStr">
        <is>
          <t>armored_car</t>
        </is>
      </c>
      <c r="E127">
        <f>IF(INDEX(boss_input_vu_khi_suy_ra!$D$2:$D$94,MATCH($C$127,boss_input_vu_khi_suy_ra!$A$2:$A$94,0)),INDEX(input_xe_tham_chieu!$E$2:$E$6,MATCH($D$127,input_xe_tham_chieu!$A$2:$A$6,0)),INDEX(input_xe_tham_chieu!$D$2:$D$6,MATCH($D$127,input_xe_tham_chieu!$A$2:$A$6,0)))</f>
        <v/>
      </c>
      <c r="F127">
        <f>IF(INDEX(boss_input_vu_khi_suy_ra!$E$2:$E$94,MATCH($C$127,boss_input_vu_khi_suy_ra!$A$2:$A$94,0)),INDEX(boss_input_bang_xuyen_giap!$B$2:$B$7,MIN(6,MAX(1,IF(INDEX(boss_input_vu_khi_suy_ra!$D$2:$D$94,MATCH($C$127,boss_input_vu_khi_suy_ra!$A$2:$A$94,0)),MAX(1,2-(INDEX(boss_input_vu_khi!$C$2:$C$94,MATCH($C$127,boss_input_vu_khi!$A$2:$A$94,0))-$E$127)),2-(INDEX(boss_input_vu_khi!$C$2:$C$94,MATCH($C$127,boss_input_vu_khi!$A$2:$A$94,0))-$E$127))+1)))*IF(INDEX(input_xe_tham_chieu!$F$2:$F$6,MATCH($D$127,input_xe_tham_chieu!$A$2:$A$6,0)),INDEX(boss_input_vu_khi_suy_ra!$G$2:$G$94,MATCH($C$127,boss_input_vu_khi_suy_ra!$A$2:$A$94,0)),INDEX(boss_input_vu_khi_suy_ra!$F$2:$F$94,MATCH($C$127,boss_input_vu_khi_suy_ra!$A$2:$A$94,0))),0)</f>
        <v/>
      </c>
      <c r="G127" t="n">
        <v>1.2</v>
      </c>
      <c r="H127">
        <f>INDEX(boss_input_vu_khi!$B$2:$B$94,MATCH($C$127,boss_input_vu_khi!$A$2:$A$94,0))*INDEX(Boss_dps!$D$2:$D$34,MATCH($B$127,Boss_dps!$A$2:$A$34,0))*IF(INDEX(boss_input_vu_khi!$D$2:$D$94,MATCH($C$127,boss_input_vu_khi!$A$2:$A$94,0)),1,INDEX(Boss_dps!$B$2:$B$34,MATCH($B$127,Boss_dps!$A$2:$A$34,0)))*INDEX(Boss_dps!$C$2:$C$34,MATCH($B$127,Boss_dps!$A$2:$A$34,0))*$F$127</f>
        <v/>
      </c>
      <c r="I127" t="n">
        <v>968.5838399999998</v>
      </c>
      <c r="J127">
        <f>IF($H$127&gt;0,CEILING(INDEX(input_xe_tham_chieu!$C$2:$C$6,MATCH($D$127,input_xe_tham_chieu!$A$2:$A$6,0))/$H$127,1),"")</f>
        <v/>
      </c>
      <c r="K127">
        <f>IF(Boss_vu_khi!$S$158*$F$127&gt;0,INDEX(input_xe_tham_chieu!$C$2:$C$6,MATCH($D$127,input_xe_tham_chieu!$A$2:$A$6,0))/(Boss_vu_khi!$S$158*INDEX(Boss_dps!$D$2:$D$34,MATCH($B$127,Boss_dps!$A$2:$A$34,0))*$F$127),"")</f>
        <v/>
      </c>
      <c r="L127">
        <f>1+2*MIN(2,FLOOR(INDEX(boss_input_vu_khi!$E$2:$E$94,MATCH($C$127,boss_input_vu_khi!$A$2:$A$94,0))/8,1))</f>
        <v/>
      </c>
      <c r="M127">
        <f>1+2*MIN(2,FLOOR(MAX(INDEX(boss_input_vu_khi!$E$2:$E$94,MATCH($C$127,boss_input_vu_khi!$A$2:$A$94,0)),Boss_vu_khi!$L$158)/8,1))</f>
        <v/>
      </c>
      <c r="N127">
        <f>IF(INDEX(boss_input_vu_khi!$E$2:$E$94,MATCH($C$127,boss_input_vu_khi!$A$2:$A$94,0))&gt;=8,5,1)</f>
        <v/>
      </c>
      <c r="O127">
        <f>IF(MAX(INDEX(boss_input_vu_khi!$E$2:$E$94,MATCH($C$127,boss_input_vu_khi!$A$2:$A$94,0)),Boss_vu_khi!$L$158)&gt;=8,5,1)</f>
        <v/>
      </c>
      <c r="P127">
        <f>INDEX(boss_input_vu_khi_suy_ra!$H$2:$H$94,MATCH($C$127,boss_input_vu_khi_suy_ra!$A$2:$A$94,0))</f>
        <v/>
      </c>
      <c r="Q127">
        <f>IF(AND(INDEX(input_xe_tham_chieu!$G$2:$G$6,MATCH($D$127,input_xe_tham_chieu!$A$2:$A$6,0))&gt;0,INDEX(boss_input_vu_khi!$E$2:$E$94,MATCH($C$127,boss_input_vu_khi!$A$2:$A$94,0))&gt;0),INDEX(boss_input_vu_khi!$E$2:$E$94,MATCH($C$127,boss_input_vu_khi!$A$2:$A$94,0))/INDEX(input_xe_tham_chieu!$G$2:$G$6,MATCH($D$127,input_xe_tham_chieu!$A$2:$A$6,0)),"")</f>
        <v/>
      </c>
      <c r="R127">
        <f>IF(ISNUMBER($Q$127),IF($P$127&gt;=$Q$127,"DU","THIEU"),"")</f>
        <v/>
      </c>
      <c r="S127" t="inlineStr">
        <is>
          <t>Assets/MachineBrigade/Resources/Data/balance.json: vehicles[id=moloch].weapon x 01_chien_dau/Xe_tham_chieu[armored_car]</t>
        </is>
      </c>
      <c r="T127" t="inlineStr"/>
    </row>
    <row r="128">
      <c r="A128" t="inlineStr">
        <is>
          <t>moloch/gun_turret</t>
        </is>
      </c>
      <c r="B128" t="inlineStr">
        <is>
          <t>moloch</t>
        </is>
      </c>
      <c r="C128" t="inlineStr">
        <is>
          <t>p26_moloch_main_mo120</t>
        </is>
      </c>
      <c r="D128" t="inlineStr">
        <is>
          <t>gun_turret</t>
        </is>
      </c>
      <c r="E128">
        <f>IF(INDEX(boss_input_vu_khi_suy_ra!$D$2:$D$94,MATCH($C$128,boss_input_vu_khi_suy_ra!$A$2:$A$94,0)),INDEX(input_xe_tham_chieu!$E$2:$E$6,MATCH($D$128,input_xe_tham_chieu!$A$2:$A$6,0)),INDEX(input_xe_tham_chieu!$D$2:$D$6,MATCH($D$128,input_xe_tham_chieu!$A$2:$A$6,0)))</f>
        <v/>
      </c>
      <c r="F128">
        <f>IF(INDEX(boss_input_vu_khi_suy_ra!$E$2:$E$94,MATCH($C$128,boss_input_vu_khi_suy_ra!$A$2:$A$94,0)),INDEX(boss_input_bang_xuyen_giap!$B$2:$B$7,MIN(6,MAX(1,IF(INDEX(boss_input_vu_khi_suy_ra!$D$2:$D$94,MATCH($C$128,boss_input_vu_khi_suy_ra!$A$2:$A$94,0)),MAX(1,2-(INDEX(boss_input_vu_khi!$C$2:$C$94,MATCH($C$128,boss_input_vu_khi!$A$2:$A$94,0))-$E$128)),2-(INDEX(boss_input_vu_khi!$C$2:$C$94,MATCH($C$128,boss_input_vu_khi!$A$2:$A$94,0))-$E$128))+1)))*IF(INDEX(input_xe_tham_chieu!$F$2:$F$6,MATCH($D$128,input_xe_tham_chieu!$A$2:$A$6,0)),INDEX(boss_input_vu_khi_suy_ra!$G$2:$G$94,MATCH($C$128,boss_input_vu_khi_suy_ra!$A$2:$A$94,0)),INDEX(boss_input_vu_khi_suy_ra!$F$2:$F$94,MATCH($C$128,boss_input_vu_khi_suy_ra!$A$2:$A$94,0))),0)</f>
        <v/>
      </c>
      <c r="G128" t="n">
        <v>1.5</v>
      </c>
      <c r="H128">
        <f>INDEX(boss_input_vu_khi!$B$2:$B$94,MATCH($C$128,boss_input_vu_khi!$A$2:$A$94,0))*INDEX(Boss_dps!$D$2:$D$34,MATCH($B$128,Boss_dps!$A$2:$A$34,0))*IF(INDEX(boss_input_vu_khi!$D$2:$D$94,MATCH($C$128,boss_input_vu_khi!$A$2:$A$94,0)),1,INDEX(Boss_dps!$B$2:$B$34,MATCH($B$128,Boss_dps!$A$2:$A$34,0)))*INDEX(Boss_dps!$C$2:$C$34,MATCH($B$128,Boss_dps!$A$2:$A$34,0))*$F$128</f>
        <v/>
      </c>
      <c r="I128" t="n">
        <v>1210.7298</v>
      </c>
      <c r="J128">
        <f>IF($H$128&gt;0,CEILING(INDEX(input_xe_tham_chieu!$C$2:$C$6,MATCH($D$128,input_xe_tham_chieu!$A$2:$A$6,0))/$H$128,1),"")</f>
        <v/>
      </c>
      <c r="K128">
        <f>IF(Boss_vu_khi!$S$158*$F$128&gt;0,INDEX(input_xe_tham_chieu!$C$2:$C$6,MATCH($D$128,input_xe_tham_chieu!$A$2:$A$6,0))/(Boss_vu_khi!$S$158*INDEX(Boss_dps!$D$2:$D$34,MATCH($B$128,Boss_dps!$A$2:$A$34,0))*$F$128),"")</f>
        <v/>
      </c>
      <c r="L128">
        <f>1+2*MIN(2,FLOOR(INDEX(boss_input_vu_khi!$E$2:$E$94,MATCH($C$128,boss_input_vu_khi!$A$2:$A$94,0))/8,1))</f>
        <v/>
      </c>
      <c r="M128">
        <f>1+2*MIN(2,FLOOR(MAX(INDEX(boss_input_vu_khi!$E$2:$E$94,MATCH($C$128,boss_input_vu_khi!$A$2:$A$94,0)),Boss_vu_khi!$L$158)/8,1))</f>
        <v/>
      </c>
      <c r="N128">
        <f>IF(INDEX(boss_input_vu_khi!$E$2:$E$94,MATCH($C$128,boss_input_vu_khi!$A$2:$A$94,0))&gt;=8,5,1)</f>
        <v/>
      </c>
      <c r="O128">
        <f>IF(MAX(INDEX(boss_input_vu_khi!$E$2:$E$94,MATCH($C$128,boss_input_vu_khi!$A$2:$A$94,0)),Boss_vu_khi!$L$158)&gt;=8,5,1)</f>
        <v/>
      </c>
      <c r="P128">
        <f>INDEX(boss_input_vu_khi_suy_ra!$H$2:$H$94,MATCH($C$128,boss_input_vu_khi_suy_ra!$A$2:$A$94,0))</f>
        <v/>
      </c>
      <c r="Q128">
        <f>IF(AND(INDEX(input_xe_tham_chieu!$G$2:$G$6,MATCH($D$128,input_xe_tham_chieu!$A$2:$A$6,0))&gt;0,INDEX(boss_input_vu_khi!$E$2:$E$94,MATCH($C$128,boss_input_vu_khi!$A$2:$A$94,0))&gt;0),INDEX(boss_input_vu_khi!$E$2:$E$94,MATCH($C$128,boss_input_vu_khi!$A$2:$A$94,0))/INDEX(input_xe_tham_chieu!$G$2:$G$6,MATCH($D$128,input_xe_tham_chieu!$A$2:$A$6,0)),"")</f>
        <v/>
      </c>
      <c r="R128">
        <f>IF(ISNUMBER($Q$128),IF($P$128&gt;=$Q$128,"DU","THIEU"),"")</f>
        <v/>
      </c>
      <c r="S128" t="inlineStr">
        <is>
          <t>Assets/MachineBrigade/Resources/Data/balance.json: vehicles[id=moloch].weapon x 01_chien_dau/Xe_tham_chieu[gun_turret]</t>
        </is>
      </c>
      <c r="T128" t="inlineStr"/>
    </row>
    <row r="129">
      <c r="A129" t="inlineStr">
        <is>
          <t>moloch/heavy_tank</t>
        </is>
      </c>
      <c r="B129" t="inlineStr">
        <is>
          <t>moloch</t>
        </is>
      </c>
      <c r="C129" t="inlineStr">
        <is>
          <t>p26_moloch_main_mo120</t>
        </is>
      </c>
      <c r="D129" t="inlineStr">
        <is>
          <t>heavy_tank</t>
        </is>
      </c>
      <c r="E129">
        <f>IF(INDEX(boss_input_vu_khi_suy_ra!$D$2:$D$94,MATCH($C$129,boss_input_vu_khi_suy_ra!$A$2:$A$94,0)),INDEX(input_xe_tham_chieu!$E$2:$E$6,MATCH($D$129,input_xe_tham_chieu!$A$2:$A$6,0)),INDEX(input_xe_tham_chieu!$D$2:$D$6,MATCH($D$129,input_xe_tham_chieu!$A$2:$A$6,0)))</f>
        <v/>
      </c>
      <c r="F129">
        <f>IF(INDEX(boss_input_vu_khi_suy_ra!$E$2:$E$94,MATCH($C$129,boss_input_vu_khi_suy_ra!$A$2:$A$94,0)),INDEX(boss_input_bang_xuyen_giap!$B$2:$B$7,MIN(6,MAX(1,IF(INDEX(boss_input_vu_khi_suy_ra!$D$2:$D$94,MATCH($C$129,boss_input_vu_khi_suy_ra!$A$2:$A$94,0)),MAX(1,2-(INDEX(boss_input_vu_khi!$C$2:$C$94,MATCH($C$129,boss_input_vu_khi!$A$2:$A$94,0))-$E$129)),2-(INDEX(boss_input_vu_khi!$C$2:$C$94,MATCH($C$129,boss_input_vu_khi!$A$2:$A$94,0))-$E$129))+1)))*IF(INDEX(input_xe_tham_chieu!$F$2:$F$6,MATCH($D$129,input_xe_tham_chieu!$A$2:$A$6,0)),INDEX(boss_input_vu_khi_suy_ra!$G$2:$G$94,MATCH($C$129,boss_input_vu_khi_suy_ra!$A$2:$A$94,0)),INDEX(boss_input_vu_khi_suy_ra!$F$2:$F$94,MATCH($C$129,boss_input_vu_khi_suy_ra!$A$2:$A$94,0))),0)</f>
        <v/>
      </c>
      <c r="G129" t="n">
        <v>0.85</v>
      </c>
      <c r="H129">
        <f>INDEX(boss_input_vu_khi!$B$2:$B$94,MATCH($C$129,boss_input_vu_khi!$A$2:$A$94,0))*INDEX(Boss_dps!$D$2:$D$34,MATCH($B$129,Boss_dps!$A$2:$A$34,0))*IF(INDEX(boss_input_vu_khi!$D$2:$D$94,MATCH($C$129,boss_input_vu_khi!$A$2:$A$94,0)),1,INDEX(Boss_dps!$B$2:$B$34,MATCH($B$129,Boss_dps!$A$2:$A$34,0)))*INDEX(Boss_dps!$C$2:$C$34,MATCH($B$129,Boss_dps!$A$2:$A$34,0))*$F$129</f>
        <v/>
      </c>
      <c r="I129" t="n">
        <v>686.0802199999998</v>
      </c>
      <c r="J129">
        <f>IF($H$129&gt;0,CEILING(INDEX(input_xe_tham_chieu!$C$2:$C$6,MATCH($D$129,input_xe_tham_chieu!$A$2:$A$6,0))/$H$129,1),"")</f>
        <v/>
      </c>
      <c r="K129">
        <f>IF(Boss_vu_khi!$S$158*$F$129&gt;0,INDEX(input_xe_tham_chieu!$C$2:$C$6,MATCH($D$129,input_xe_tham_chieu!$A$2:$A$6,0))/(Boss_vu_khi!$S$158*INDEX(Boss_dps!$D$2:$D$34,MATCH($B$129,Boss_dps!$A$2:$A$34,0))*$F$129),"")</f>
        <v/>
      </c>
      <c r="L129">
        <f>1+2*MIN(2,FLOOR(INDEX(boss_input_vu_khi!$E$2:$E$94,MATCH($C$129,boss_input_vu_khi!$A$2:$A$94,0))/8,1))</f>
        <v/>
      </c>
      <c r="M129">
        <f>1+2*MIN(2,FLOOR(MAX(INDEX(boss_input_vu_khi!$E$2:$E$94,MATCH($C$129,boss_input_vu_khi!$A$2:$A$94,0)),Boss_vu_khi!$L$158)/8,1))</f>
        <v/>
      </c>
      <c r="N129">
        <f>IF(INDEX(boss_input_vu_khi!$E$2:$E$94,MATCH($C$129,boss_input_vu_khi!$A$2:$A$94,0))&gt;=8,5,1)</f>
        <v/>
      </c>
      <c r="O129">
        <f>IF(MAX(INDEX(boss_input_vu_khi!$E$2:$E$94,MATCH($C$129,boss_input_vu_khi!$A$2:$A$94,0)),Boss_vu_khi!$L$158)&gt;=8,5,1)</f>
        <v/>
      </c>
      <c r="P129">
        <f>INDEX(boss_input_vu_khi_suy_ra!$H$2:$H$94,MATCH($C$129,boss_input_vu_khi_suy_ra!$A$2:$A$94,0))</f>
        <v/>
      </c>
      <c r="Q129">
        <f>IF(AND(INDEX(input_xe_tham_chieu!$G$2:$G$6,MATCH($D$129,input_xe_tham_chieu!$A$2:$A$6,0))&gt;0,INDEX(boss_input_vu_khi!$E$2:$E$94,MATCH($C$129,boss_input_vu_khi!$A$2:$A$94,0))&gt;0),INDEX(boss_input_vu_khi!$E$2:$E$94,MATCH($C$129,boss_input_vu_khi!$A$2:$A$94,0))/INDEX(input_xe_tham_chieu!$G$2:$G$6,MATCH($D$129,input_xe_tham_chieu!$A$2:$A$6,0)),"")</f>
        <v/>
      </c>
      <c r="R129">
        <f>IF(ISNUMBER($Q$129),IF($P$129&gt;=$Q$129,"DU","THIEU"),"")</f>
        <v/>
      </c>
      <c r="S129" t="inlineStr">
        <is>
          <t>Assets/MachineBrigade/Resources/Data/balance.json: vehicles[id=moloch].weapon x 01_chien_dau/Xe_tham_chieu[heavy_tank]</t>
        </is>
      </c>
      <c r="T129" t="inlineStr"/>
    </row>
    <row r="130">
      <c r="A130" t="inlineStr">
        <is>
          <t>moloch/ifv</t>
        </is>
      </c>
      <c r="B130" t="inlineStr">
        <is>
          <t>moloch</t>
        </is>
      </c>
      <c r="C130" t="inlineStr">
        <is>
          <t>p26_moloch_main_mo120</t>
        </is>
      </c>
      <c r="D130" t="inlineStr">
        <is>
          <t>ifv</t>
        </is>
      </c>
      <c r="E130">
        <f>IF(INDEX(boss_input_vu_khi_suy_ra!$D$2:$D$94,MATCH($C$130,boss_input_vu_khi_suy_ra!$A$2:$A$94,0)),INDEX(input_xe_tham_chieu!$E$2:$E$6,MATCH($D$130,input_xe_tham_chieu!$A$2:$A$6,0)),INDEX(input_xe_tham_chieu!$D$2:$D$6,MATCH($D$130,input_xe_tham_chieu!$A$2:$A$6,0)))</f>
        <v/>
      </c>
      <c r="F130">
        <f>IF(INDEX(boss_input_vu_khi_suy_ra!$E$2:$E$94,MATCH($C$130,boss_input_vu_khi_suy_ra!$A$2:$A$94,0)),INDEX(boss_input_bang_xuyen_giap!$B$2:$B$7,MIN(6,MAX(1,IF(INDEX(boss_input_vu_khi_suy_ra!$D$2:$D$94,MATCH($C$130,boss_input_vu_khi_suy_ra!$A$2:$A$94,0)),MAX(1,2-(INDEX(boss_input_vu_khi!$C$2:$C$94,MATCH($C$130,boss_input_vu_khi!$A$2:$A$94,0))-$E$130)),2-(INDEX(boss_input_vu_khi!$C$2:$C$94,MATCH($C$130,boss_input_vu_khi!$A$2:$A$94,0))-$E$130))+1)))*IF(INDEX(input_xe_tham_chieu!$F$2:$F$6,MATCH($D$130,input_xe_tham_chieu!$A$2:$A$6,0)),INDEX(boss_input_vu_khi_suy_ra!$G$2:$G$94,MATCH($C$130,boss_input_vu_khi_suy_ra!$A$2:$A$94,0)),INDEX(boss_input_vu_khi_suy_ra!$F$2:$F$94,MATCH($C$130,boss_input_vu_khi_suy_ra!$A$2:$A$94,0))),0)</f>
        <v/>
      </c>
      <c r="G130" t="n">
        <v>1.2</v>
      </c>
      <c r="H130">
        <f>INDEX(boss_input_vu_khi!$B$2:$B$94,MATCH($C$130,boss_input_vu_khi!$A$2:$A$94,0))*INDEX(Boss_dps!$D$2:$D$34,MATCH($B$130,Boss_dps!$A$2:$A$34,0))*IF(INDEX(boss_input_vu_khi!$D$2:$D$94,MATCH($C$130,boss_input_vu_khi!$A$2:$A$94,0)),1,INDEX(Boss_dps!$B$2:$B$34,MATCH($B$130,Boss_dps!$A$2:$A$34,0)))*INDEX(Boss_dps!$C$2:$C$34,MATCH($B$130,Boss_dps!$A$2:$A$34,0))*$F$130</f>
        <v/>
      </c>
      <c r="I130" t="n">
        <v>968.5838399999998</v>
      </c>
      <c r="J130">
        <f>IF($H$130&gt;0,CEILING(INDEX(input_xe_tham_chieu!$C$2:$C$6,MATCH($D$130,input_xe_tham_chieu!$A$2:$A$6,0))/$H$130,1),"")</f>
        <v/>
      </c>
      <c r="K130">
        <f>IF(Boss_vu_khi!$S$158*$F$130&gt;0,INDEX(input_xe_tham_chieu!$C$2:$C$6,MATCH($D$130,input_xe_tham_chieu!$A$2:$A$6,0))/(Boss_vu_khi!$S$158*INDEX(Boss_dps!$D$2:$D$34,MATCH($B$130,Boss_dps!$A$2:$A$34,0))*$F$130),"")</f>
        <v/>
      </c>
      <c r="L130">
        <f>1+2*MIN(2,FLOOR(INDEX(boss_input_vu_khi!$E$2:$E$94,MATCH($C$130,boss_input_vu_khi!$A$2:$A$94,0))/8,1))</f>
        <v/>
      </c>
      <c r="M130">
        <f>1+2*MIN(2,FLOOR(MAX(INDEX(boss_input_vu_khi!$E$2:$E$94,MATCH($C$130,boss_input_vu_khi!$A$2:$A$94,0)),Boss_vu_khi!$L$158)/8,1))</f>
        <v/>
      </c>
      <c r="N130">
        <f>IF(INDEX(boss_input_vu_khi!$E$2:$E$94,MATCH($C$130,boss_input_vu_khi!$A$2:$A$94,0))&gt;=8,5,1)</f>
        <v/>
      </c>
      <c r="O130">
        <f>IF(MAX(INDEX(boss_input_vu_khi!$E$2:$E$94,MATCH($C$130,boss_input_vu_khi!$A$2:$A$94,0)),Boss_vu_khi!$L$158)&gt;=8,5,1)</f>
        <v/>
      </c>
      <c r="P130">
        <f>INDEX(boss_input_vu_khi_suy_ra!$H$2:$H$94,MATCH($C$130,boss_input_vu_khi_suy_ra!$A$2:$A$94,0))</f>
        <v/>
      </c>
      <c r="Q130">
        <f>IF(AND(INDEX(input_xe_tham_chieu!$G$2:$G$6,MATCH($D$130,input_xe_tham_chieu!$A$2:$A$6,0))&gt;0,INDEX(boss_input_vu_khi!$E$2:$E$94,MATCH($C$130,boss_input_vu_khi!$A$2:$A$94,0))&gt;0),INDEX(boss_input_vu_khi!$E$2:$E$94,MATCH($C$130,boss_input_vu_khi!$A$2:$A$94,0))/INDEX(input_xe_tham_chieu!$G$2:$G$6,MATCH($D$130,input_xe_tham_chieu!$A$2:$A$6,0)),"")</f>
        <v/>
      </c>
      <c r="R130">
        <f>IF(ISNUMBER($Q$130),IF($P$130&gt;=$Q$130,"DU","THIEU"),"")</f>
        <v/>
      </c>
      <c r="S130" t="inlineStr">
        <is>
          <t>Assets/MachineBrigade/Resources/Data/balance.json: vehicles[id=moloch].weapon x 01_chien_dau/Xe_tham_chieu[ifv]</t>
        </is>
      </c>
      <c r="T130" t="inlineStr"/>
    </row>
    <row r="131">
      <c r="A131" t="inlineStr">
        <is>
          <t>moloch/main_battle_tank</t>
        </is>
      </c>
      <c r="B131" t="inlineStr">
        <is>
          <t>moloch</t>
        </is>
      </c>
      <c r="C131" t="inlineStr">
        <is>
          <t>p26_moloch_main_mo120</t>
        </is>
      </c>
      <c r="D131" t="inlineStr">
        <is>
          <t>main_battle_tank</t>
        </is>
      </c>
      <c r="E131">
        <f>IF(INDEX(boss_input_vu_khi_suy_ra!$D$2:$D$94,MATCH($C$131,boss_input_vu_khi_suy_ra!$A$2:$A$94,0)),INDEX(input_xe_tham_chieu!$E$2:$E$6,MATCH($D$131,input_xe_tham_chieu!$A$2:$A$6,0)),INDEX(input_xe_tham_chieu!$D$2:$D$6,MATCH($D$131,input_xe_tham_chieu!$A$2:$A$6,0)))</f>
        <v/>
      </c>
      <c r="F131">
        <f>IF(INDEX(boss_input_vu_khi_suy_ra!$E$2:$E$94,MATCH($C$131,boss_input_vu_khi_suy_ra!$A$2:$A$94,0)),INDEX(boss_input_bang_xuyen_giap!$B$2:$B$7,MIN(6,MAX(1,IF(INDEX(boss_input_vu_khi_suy_ra!$D$2:$D$94,MATCH($C$131,boss_input_vu_khi_suy_ra!$A$2:$A$94,0)),MAX(1,2-(INDEX(boss_input_vu_khi!$C$2:$C$94,MATCH($C$131,boss_input_vu_khi!$A$2:$A$94,0))-$E$131)),2-(INDEX(boss_input_vu_khi!$C$2:$C$94,MATCH($C$131,boss_input_vu_khi!$A$2:$A$94,0))-$E$131))+1)))*IF(INDEX(input_xe_tham_chieu!$F$2:$F$6,MATCH($D$131,input_xe_tham_chieu!$A$2:$A$6,0)),INDEX(boss_input_vu_khi_suy_ra!$G$2:$G$94,MATCH($C$131,boss_input_vu_khi_suy_ra!$A$2:$A$94,0)),INDEX(boss_input_vu_khi_suy_ra!$F$2:$F$94,MATCH($C$131,boss_input_vu_khi_suy_ra!$A$2:$A$94,0))),0)</f>
        <v/>
      </c>
      <c r="G131" t="n">
        <v>0.85</v>
      </c>
      <c r="H131">
        <f>INDEX(boss_input_vu_khi!$B$2:$B$94,MATCH($C$131,boss_input_vu_khi!$A$2:$A$94,0))*INDEX(Boss_dps!$D$2:$D$34,MATCH($B$131,Boss_dps!$A$2:$A$34,0))*IF(INDEX(boss_input_vu_khi!$D$2:$D$94,MATCH($C$131,boss_input_vu_khi!$A$2:$A$94,0)),1,INDEX(Boss_dps!$B$2:$B$34,MATCH($B$131,Boss_dps!$A$2:$A$34,0)))*INDEX(Boss_dps!$C$2:$C$34,MATCH($B$131,Boss_dps!$A$2:$A$34,0))*$F$131</f>
        <v/>
      </c>
      <c r="I131" t="n">
        <v>686.0802199999998</v>
      </c>
      <c r="J131">
        <f>IF($H$131&gt;0,CEILING(INDEX(input_xe_tham_chieu!$C$2:$C$6,MATCH($D$131,input_xe_tham_chieu!$A$2:$A$6,0))/$H$131,1),"")</f>
        <v/>
      </c>
      <c r="K131">
        <f>IF(Boss_vu_khi!$S$158*$F$131&gt;0,INDEX(input_xe_tham_chieu!$C$2:$C$6,MATCH($D$131,input_xe_tham_chieu!$A$2:$A$6,0))/(Boss_vu_khi!$S$158*INDEX(Boss_dps!$D$2:$D$34,MATCH($B$131,Boss_dps!$A$2:$A$34,0))*$F$131),"")</f>
        <v/>
      </c>
      <c r="L131">
        <f>1+2*MIN(2,FLOOR(INDEX(boss_input_vu_khi!$E$2:$E$94,MATCH($C$131,boss_input_vu_khi!$A$2:$A$94,0))/8,1))</f>
        <v/>
      </c>
      <c r="M131">
        <f>1+2*MIN(2,FLOOR(MAX(INDEX(boss_input_vu_khi!$E$2:$E$94,MATCH($C$131,boss_input_vu_khi!$A$2:$A$94,0)),Boss_vu_khi!$L$158)/8,1))</f>
        <v/>
      </c>
      <c r="N131">
        <f>IF(INDEX(boss_input_vu_khi!$E$2:$E$94,MATCH($C$131,boss_input_vu_khi!$A$2:$A$94,0))&gt;=8,5,1)</f>
        <v/>
      </c>
      <c r="O131">
        <f>IF(MAX(INDEX(boss_input_vu_khi!$E$2:$E$94,MATCH($C$131,boss_input_vu_khi!$A$2:$A$94,0)),Boss_vu_khi!$L$158)&gt;=8,5,1)</f>
        <v/>
      </c>
      <c r="P131">
        <f>INDEX(boss_input_vu_khi_suy_ra!$H$2:$H$94,MATCH($C$131,boss_input_vu_khi_suy_ra!$A$2:$A$94,0))</f>
        <v/>
      </c>
      <c r="Q131">
        <f>IF(AND(INDEX(input_xe_tham_chieu!$G$2:$G$6,MATCH($D$131,input_xe_tham_chieu!$A$2:$A$6,0))&gt;0,INDEX(boss_input_vu_khi!$E$2:$E$94,MATCH($C$131,boss_input_vu_khi!$A$2:$A$94,0))&gt;0),INDEX(boss_input_vu_khi!$E$2:$E$94,MATCH($C$131,boss_input_vu_khi!$A$2:$A$94,0))/INDEX(input_xe_tham_chieu!$G$2:$G$6,MATCH($D$131,input_xe_tham_chieu!$A$2:$A$6,0)),"")</f>
        <v/>
      </c>
      <c r="R131">
        <f>IF(ISNUMBER($Q$131),IF($P$131&gt;=$Q$131,"DU","THIEU"),"")</f>
        <v/>
      </c>
      <c r="S131" t="inlineStr">
        <is>
          <t>Assets/MachineBrigade/Resources/Data/balance.json: vehicles[id=moloch].weapon x 01_chien_dau/Xe_tham_chieu[main_battle_tank]</t>
        </is>
      </c>
      <c r="T131" t="inlineStr"/>
    </row>
    <row r="132">
      <c r="A132" t="inlineStr">
        <is>
          <t>monster/armored_car</t>
        </is>
      </c>
      <c r="B132" t="inlineStr">
        <is>
          <t>monster</t>
        </is>
      </c>
      <c r="C132" t="inlineStr">
        <is>
          <t>p26_bastion_sec_b240</t>
        </is>
      </c>
      <c r="D132" t="inlineStr">
        <is>
          <t>armored_car</t>
        </is>
      </c>
      <c r="E132">
        <f>IF(INDEX(boss_input_vu_khi_suy_ra!$D$2:$D$94,MATCH($C$132,boss_input_vu_khi_suy_ra!$A$2:$A$94,0)),INDEX(input_xe_tham_chieu!$E$2:$E$6,MATCH($D$132,input_xe_tham_chieu!$A$2:$A$6,0)),INDEX(input_xe_tham_chieu!$D$2:$D$6,MATCH($D$132,input_xe_tham_chieu!$A$2:$A$6,0)))</f>
        <v/>
      </c>
      <c r="F132">
        <f>IF(INDEX(boss_input_vu_khi_suy_ra!$E$2:$E$94,MATCH($C$132,boss_input_vu_khi_suy_ra!$A$2:$A$94,0)),INDEX(boss_input_bang_xuyen_giap!$B$2:$B$7,MIN(6,MAX(1,IF(INDEX(boss_input_vu_khi_suy_ra!$D$2:$D$94,MATCH($C$132,boss_input_vu_khi_suy_ra!$A$2:$A$94,0)),MAX(1,2-(INDEX(boss_input_vu_khi!$C$2:$C$94,MATCH($C$132,boss_input_vu_khi!$A$2:$A$94,0))-$E$132)),2-(INDEX(boss_input_vu_khi!$C$2:$C$94,MATCH($C$132,boss_input_vu_khi!$A$2:$A$94,0))-$E$132))+1)))*IF(INDEX(input_xe_tham_chieu!$F$2:$F$6,MATCH($D$132,input_xe_tham_chieu!$A$2:$A$6,0)),INDEX(boss_input_vu_khi_suy_ra!$G$2:$G$94,MATCH($C$132,boss_input_vu_khi_suy_ra!$A$2:$A$94,0)),INDEX(boss_input_vu_khi_suy_ra!$F$2:$F$94,MATCH($C$132,boss_input_vu_khi_suy_ra!$A$2:$A$94,0))),0)</f>
        <v/>
      </c>
      <c r="G132" t="n">
        <v>1</v>
      </c>
      <c r="H132">
        <f>INDEX(boss_input_vu_khi!$B$2:$B$94,MATCH($C$132,boss_input_vu_khi!$A$2:$A$94,0))*INDEX(Boss_dps!$D$2:$D$34,MATCH($B$132,Boss_dps!$A$2:$A$34,0))*IF(INDEX(boss_input_vu_khi!$D$2:$D$94,MATCH($C$132,boss_input_vu_khi!$A$2:$A$94,0)),1,INDEX(Boss_dps!$B$2:$B$34,MATCH($B$132,Boss_dps!$A$2:$A$34,0)))*INDEX(Boss_dps!$C$2:$C$34,MATCH($B$132,Boss_dps!$A$2:$A$34,0))*$F$132</f>
        <v/>
      </c>
      <c r="I132" t="n">
        <v>3075.38</v>
      </c>
      <c r="J132">
        <f>IF($H$132&gt;0,CEILING(INDEX(input_xe_tham_chieu!$C$2:$C$6,MATCH($D$132,input_xe_tham_chieu!$A$2:$A$6,0))/$H$132,1),"")</f>
        <v/>
      </c>
      <c r="K132">
        <f>IF(Boss_vu_khi!$S$165*$F$132&gt;0,INDEX(input_xe_tham_chieu!$C$2:$C$6,MATCH($D$132,input_xe_tham_chieu!$A$2:$A$6,0))/(Boss_vu_khi!$S$165*INDEX(Boss_dps!$D$2:$D$34,MATCH($B$132,Boss_dps!$A$2:$A$34,0))*$F$132),"")</f>
        <v/>
      </c>
      <c r="L132">
        <f>1+2*MIN(2,FLOOR(INDEX(boss_input_vu_khi!$E$2:$E$94,MATCH($C$132,boss_input_vu_khi!$A$2:$A$94,0))/8,1))</f>
        <v/>
      </c>
      <c r="M132">
        <f>1+2*MIN(2,FLOOR(MAX(INDEX(boss_input_vu_khi!$E$2:$E$94,MATCH($C$132,boss_input_vu_khi!$A$2:$A$94,0)),Boss_vu_khi!$L$165)/8,1))</f>
        <v/>
      </c>
      <c r="N132">
        <f>IF(INDEX(boss_input_vu_khi!$E$2:$E$94,MATCH($C$132,boss_input_vu_khi!$A$2:$A$94,0))&gt;=8,5,1)</f>
        <v/>
      </c>
      <c r="O132">
        <f>IF(MAX(INDEX(boss_input_vu_khi!$E$2:$E$94,MATCH($C$132,boss_input_vu_khi!$A$2:$A$94,0)),Boss_vu_khi!$L$165)&gt;=8,5,1)</f>
        <v/>
      </c>
      <c r="P132">
        <f>INDEX(boss_input_vu_khi_suy_ra!$H$2:$H$94,MATCH($C$132,boss_input_vu_khi_suy_ra!$A$2:$A$94,0))</f>
        <v/>
      </c>
      <c r="Q132">
        <f>IF(AND(INDEX(input_xe_tham_chieu!$G$2:$G$6,MATCH($D$132,input_xe_tham_chieu!$A$2:$A$6,0))&gt;0,INDEX(boss_input_vu_khi!$E$2:$E$94,MATCH($C$132,boss_input_vu_khi!$A$2:$A$94,0))&gt;0),INDEX(boss_input_vu_khi!$E$2:$E$94,MATCH($C$132,boss_input_vu_khi!$A$2:$A$94,0))/INDEX(input_xe_tham_chieu!$G$2:$G$6,MATCH($D$132,input_xe_tham_chieu!$A$2:$A$6,0)),"")</f>
        <v/>
      </c>
      <c r="R132">
        <f>IF(ISNUMBER($Q$132),IF($P$132&gt;=$Q$132,"DU","THIEU"),"")</f>
        <v/>
      </c>
      <c r="S132" t="inlineStr">
        <is>
          <t>Assets/MachineBrigade/Resources/Data/balance.json: vehicles[id=monster].weapon x 01_chien_dau/Xe_tham_chieu[armored_car]</t>
        </is>
      </c>
      <c r="T132" t="inlineStr"/>
    </row>
    <row r="133">
      <c r="A133" t="inlineStr">
        <is>
          <t>monster/gun_turret</t>
        </is>
      </c>
      <c r="B133" t="inlineStr">
        <is>
          <t>monster</t>
        </is>
      </c>
      <c r="C133" t="inlineStr">
        <is>
          <t>p26_bastion_sec_b240</t>
        </is>
      </c>
      <c r="D133" t="inlineStr">
        <is>
          <t>gun_turret</t>
        </is>
      </c>
      <c r="E133">
        <f>IF(INDEX(boss_input_vu_khi_suy_ra!$D$2:$D$94,MATCH($C$133,boss_input_vu_khi_suy_ra!$A$2:$A$94,0)),INDEX(input_xe_tham_chieu!$E$2:$E$6,MATCH($D$133,input_xe_tham_chieu!$A$2:$A$6,0)),INDEX(input_xe_tham_chieu!$D$2:$D$6,MATCH($D$133,input_xe_tham_chieu!$A$2:$A$6,0)))</f>
        <v/>
      </c>
      <c r="F133">
        <f>IF(INDEX(boss_input_vu_khi_suy_ra!$E$2:$E$94,MATCH($C$133,boss_input_vu_khi_suy_ra!$A$2:$A$94,0)),INDEX(boss_input_bang_xuyen_giap!$B$2:$B$7,MIN(6,MAX(1,IF(INDEX(boss_input_vu_khi_suy_ra!$D$2:$D$94,MATCH($C$133,boss_input_vu_khi_suy_ra!$A$2:$A$94,0)),MAX(1,2-(INDEX(boss_input_vu_khi!$C$2:$C$94,MATCH($C$133,boss_input_vu_khi!$A$2:$A$94,0))-$E$133)),2-(INDEX(boss_input_vu_khi!$C$2:$C$94,MATCH($C$133,boss_input_vu_khi!$A$2:$A$94,0))-$E$133))+1)))*IF(INDEX(input_xe_tham_chieu!$F$2:$F$6,MATCH($D$133,input_xe_tham_chieu!$A$2:$A$6,0)),INDEX(boss_input_vu_khi_suy_ra!$G$2:$G$94,MATCH($C$133,boss_input_vu_khi_suy_ra!$A$2:$A$94,0)),INDEX(boss_input_vu_khi_suy_ra!$F$2:$F$94,MATCH($C$133,boss_input_vu_khi_suy_ra!$A$2:$A$94,0))),0)</f>
        <v/>
      </c>
      <c r="G133" t="n">
        <v>1.5</v>
      </c>
      <c r="H133">
        <f>INDEX(boss_input_vu_khi!$B$2:$B$94,MATCH($C$133,boss_input_vu_khi!$A$2:$A$94,0))*INDEX(Boss_dps!$D$2:$D$34,MATCH($B$133,Boss_dps!$A$2:$A$34,0))*IF(INDEX(boss_input_vu_khi!$D$2:$D$94,MATCH($C$133,boss_input_vu_khi!$A$2:$A$94,0)),1,INDEX(Boss_dps!$B$2:$B$34,MATCH($B$133,Boss_dps!$A$2:$A$34,0)))*INDEX(Boss_dps!$C$2:$C$34,MATCH($B$133,Boss_dps!$A$2:$A$34,0))*$F$133</f>
        <v/>
      </c>
      <c r="I133" t="n">
        <v>4613.07</v>
      </c>
      <c r="J133">
        <f>IF($H$133&gt;0,CEILING(INDEX(input_xe_tham_chieu!$C$2:$C$6,MATCH($D$133,input_xe_tham_chieu!$A$2:$A$6,0))/$H$133,1),"")</f>
        <v/>
      </c>
      <c r="K133">
        <f>IF(Boss_vu_khi!$S$165*$F$133&gt;0,INDEX(input_xe_tham_chieu!$C$2:$C$6,MATCH($D$133,input_xe_tham_chieu!$A$2:$A$6,0))/(Boss_vu_khi!$S$165*INDEX(Boss_dps!$D$2:$D$34,MATCH($B$133,Boss_dps!$A$2:$A$34,0))*$F$133),"")</f>
        <v/>
      </c>
      <c r="L133">
        <f>1+2*MIN(2,FLOOR(INDEX(boss_input_vu_khi!$E$2:$E$94,MATCH($C$133,boss_input_vu_khi!$A$2:$A$94,0))/8,1))</f>
        <v/>
      </c>
      <c r="M133">
        <f>1+2*MIN(2,FLOOR(MAX(INDEX(boss_input_vu_khi!$E$2:$E$94,MATCH($C$133,boss_input_vu_khi!$A$2:$A$94,0)),Boss_vu_khi!$L$165)/8,1))</f>
        <v/>
      </c>
      <c r="N133">
        <f>IF(INDEX(boss_input_vu_khi!$E$2:$E$94,MATCH($C$133,boss_input_vu_khi!$A$2:$A$94,0))&gt;=8,5,1)</f>
        <v/>
      </c>
      <c r="O133">
        <f>IF(MAX(INDEX(boss_input_vu_khi!$E$2:$E$94,MATCH($C$133,boss_input_vu_khi!$A$2:$A$94,0)),Boss_vu_khi!$L$165)&gt;=8,5,1)</f>
        <v/>
      </c>
      <c r="P133">
        <f>INDEX(boss_input_vu_khi_suy_ra!$H$2:$H$94,MATCH($C$133,boss_input_vu_khi_suy_ra!$A$2:$A$94,0))</f>
        <v/>
      </c>
      <c r="Q133">
        <f>IF(AND(INDEX(input_xe_tham_chieu!$G$2:$G$6,MATCH($D$133,input_xe_tham_chieu!$A$2:$A$6,0))&gt;0,INDEX(boss_input_vu_khi!$E$2:$E$94,MATCH($C$133,boss_input_vu_khi!$A$2:$A$94,0))&gt;0),INDEX(boss_input_vu_khi!$E$2:$E$94,MATCH($C$133,boss_input_vu_khi!$A$2:$A$94,0))/INDEX(input_xe_tham_chieu!$G$2:$G$6,MATCH($D$133,input_xe_tham_chieu!$A$2:$A$6,0)),"")</f>
        <v/>
      </c>
      <c r="R133">
        <f>IF(ISNUMBER($Q$133),IF($P$133&gt;=$Q$133,"DU","THIEU"),"")</f>
        <v/>
      </c>
      <c r="S133" t="inlineStr">
        <is>
          <t>Assets/MachineBrigade/Resources/Data/balance.json: vehicles[id=monster].weapon x 01_chien_dau/Xe_tham_chieu[gun_turret]</t>
        </is>
      </c>
      <c r="T133" t="inlineStr"/>
    </row>
    <row r="134">
      <c r="A134" t="inlineStr">
        <is>
          <t>monster/heavy_tank</t>
        </is>
      </c>
      <c r="B134" t="inlineStr">
        <is>
          <t>monster</t>
        </is>
      </c>
      <c r="C134" t="inlineStr">
        <is>
          <t>p26_bastion_sec_b240</t>
        </is>
      </c>
      <c r="D134" t="inlineStr">
        <is>
          <t>heavy_tank</t>
        </is>
      </c>
      <c r="E134">
        <f>IF(INDEX(boss_input_vu_khi_suy_ra!$D$2:$D$94,MATCH($C$134,boss_input_vu_khi_suy_ra!$A$2:$A$94,0)),INDEX(input_xe_tham_chieu!$E$2:$E$6,MATCH($D$134,input_xe_tham_chieu!$A$2:$A$6,0)),INDEX(input_xe_tham_chieu!$D$2:$D$6,MATCH($D$134,input_xe_tham_chieu!$A$2:$A$6,0)))</f>
        <v/>
      </c>
      <c r="F134">
        <f>IF(INDEX(boss_input_vu_khi_suy_ra!$E$2:$E$94,MATCH($C$134,boss_input_vu_khi_suy_ra!$A$2:$A$94,0)),INDEX(boss_input_bang_xuyen_giap!$B$2:$B$7,MIN(6,MAX(1,IF(INDEX(boss_input_vu_khi_suy_ra!$D$2:$D$94,MATCH($C$134,boss_input_vu_khi_suy_ra!$A$2:$A$94,0)),MAX(1,2-(INDEX(boss_input_vu_khi!$C$2:$C$94,MATCH($C$134,boss_input_vu_khi!$A$2:$A$94,0))-$E$134)),2-(INDEX(boss_input_vu_khi!$C$2:$C$94,MATCH($C$134,boss_input_vu_khi!$A$2:$A$94,0))-$E$134))+1)))*IF(INDEX(input_xe_tham_chieu!$F$2:$F$6,MATCH($D$134,input_xe_tham_chieu!$A$2:$A$6,0)),INDEX(boss_input_vu_khi_suy_ra!$G$2:$G$94,MATCH($C$134,boss_input_vu_khi_suy_ra!$A$2:$A$94,0)),INDEX(boss_input_vu_khi_suy_ra!$F$2:$F$94,MATCH($C$134,boss_input_vu_khi_suy_ra!$A$2:$A$94,0))),0)</f>
        <v/>
      </c>
      <c r="G134" t="n">
        <v>1</v>
      </c>
      <c r="H134">
        <f>INDEX(boss_input_vu_khi!$B$2:$B$94,MATCH($C$134,boss_input_vu_khi!$A$2:$A$94,0))*INDEX(Boss_dps!$D$2:$D$34,MATCH($B$134,Boss_dps!$A$2:$A$34,0))*IF(INDEX(boss_input_vu_khi!$D$2:$D$94,MATCH($C$134,boss_input_vu_khi!$A$2:$A$94,0)),1,INDEX(Boss_dps!$B$2:$B$34,MATCH($B$134,Boss_dps!$A$2:$A$34,0)))*INDEX(Boss_dps!$C$2:$C$34,MATCH($B$134,Boss_dps!$A$2:$A$34,0))*$F$134</f>
        <v/>
      </c>
      <c r="I134" t="n">
        <v>3075.38</v>
      </c>
      <c r="J134">
        <f>IF($H$134&gt;0,CEILING(INDEX(input_xe_tham_chieu!$C$2:$C$6,MATCH($D$134,input_xe_tham_chieu!$A$2:$A$6,0))/$H$134,1),"")</f>
        <v/>
      </c>
      <c r="K134">
        <f>IF(Boss_vu_khi!$S$165*$F$134&gt;0,INDEX(input_xe_tham_chieu!$C$2:$C$6,MATCH($D$134,input_xe_tham_chieu!$A$2:$A$6,0))/(Boss_vu_khi!$S$165*INDEX(Boss_dps!$D$2:$D$34,MATCH($B$134,Boss_dps!$A$2:$A$34,0))*$F$134),"")</f>
        <v/>
      </c>
      <c r="L134">
        <f>1+2*MIN(2,FLOOR(INDEX(boss_input_vu_khi!$E$2:$E$94,MATCH($C$134,boss_input_vu_khi!$A$2:$A$94,0))/8,1))</f>
        <v/>
      </c>
      <c r="M134">
        <f>1+2*MIN(2,FLOOR(MAX(INDEX(boss_input_vu_khi!$E$2:$E$94,MATCH($C$134,boss_input_vu_khi!$A$2:$A$94,0)),Boss_vu_khi!$L$165)/8,1))</f>
        <v/>
      </c>
      <c r="N134">
        <f>IF(INDEX(boss_input_vu_khi!$E$2:$E$94,MATCH($C$134,boss_input_vu_khi!$A$2:$A$94,0))&gt;=8,5,1)</f>
        <v/>
      </c>
      <c r="O134">
        <f>IF(MAX(INDEX(boss_input_vu_khi!$E$2:$E$94,MATCH($C$134,boss_input_vu_khi!$A$2:$A$94,0)),Boss_vu_khi!$L$165)&gt;=8,5,1)</f>
        <v/>
      </c>
      <c r="P134">
        <f>INDEX(boss_input_vu_khi_suy_ra!$H$2:$H$94,MATCH($C$134,boss_input_vu_khi_suy_ra!$A$2:$A$94,0))</f>
        <v/>
      </c>
      <c r="Q134">
        <f>IF(AND(INDEX(input_xe_tham_chieu!$G$2:$G$6,MATCH($D$134,input_xe_tham_chieu!$A$2:$A$6,0))&gt;0,INDEX(boss_input_vu_khi!$E$2:$E$94,MATCH($C$134,boss_input_vu_khi!$A$2:$A$94,0))&gt;0),INDEX(boss_input_vu_khi!$E$2:$E$94,MATCH($C$134,boss_input_vu_khi!$A$2:$A$94,0))/INDEX(input_xe_tham_chieu!$G$2:$G$6,MATCH($D$134,input_xe_tham_chieu!$A$2:$A$6,0)),"")</f>
        <v/>
      </c>
      <c r="R134">
        <f>IF(ISNUMBER($Q$134),IF($P$134&gt;=$Q$134,"DU","THIEU"),"")</f>
        <v/>
      </c>
      <c r="S134" t="inlineStr">
        <is>
          <t>Assets/MachineBrigade/Resources/Data/balance.json: vehicles[id=monster].weapon x 01_chien_dau/Xe_tham_chieu[heavy_tank]</t>
        </is>
      </c>
      <c r="T134" t="inlineStr"/>
    </row>
    <row r="135">
      <c r="A135" t="inlineStr">
        <is>
          <t>monster/ifv</t>
        </is>
      </c>
      <c r="B135" t="inlineStr">
        <is>
          <t>monster</t>
        </is>
      </c>
      <c r="C135" t="inlineStr">
        <is>
          <t>p26_bastion_sec_b240</t>
        </is>
      </c>
      <c r="D135" t="inlineStr">
        <is>
          <t>ifv</t>
        </is>
      </c>
      <c r="E135">
        <f>IF(INDEX(boss_input_vu_khi_suy_ra!$D$2:$D$94,MATCH($C$135,boss_input_vu_khi_suy_ra!$A$2:$A$94,0)),INDEX(input_xe_tham_chieu!$E$2:$E$6,MATCH($D$135,input_xe_tham_chieu!$A$2:$A$6,0)),INDEX(input_xe_tham_chieu!$D$2:$D$6,MATCH($D$135,input_xe_tham_chieu!$A$2:$A$6,0)))</f>
        <v/>
      </c>
      <c r="F135">
        <f>IF(INDEX(boss_input_vu_khi_suy_ra!$E$2:$E$94,MATCH($C$135,boss_input_vu_khi_suy_ra!$A$2:$A$94,0)),INDEX(boss_input_bang_xuyen_giap!$B$2:$B$7,MIN(6,MAX(1,IF(INDEX(boss_input_vu_khi_suy_ra!$D$2:$D$94,MATCH($C$135,boss_input_vu_khi_suy_ra!$A$2:$A$94,0)),MAX(1,2-(INDEX(boss_input_vu_khi!$C$2:$C$94,MATCH($C$135,boss_input_vu_khi!$A$2:$A$94,0))-$E$135)),2-(INDEX(boss_input_vu_khi!$C$2:$C$94,MATCH($C$135,boss_input_vu_khi!$A$2:$A$94,0))-$E$135))+1)))*IF(INDEX(input_xe_tham_chieu!$F$2:$F$6,MATCH($D$135,input_xe_tham_chieu!$A$2:$A$6,0)),INDEX(boss_input_vu_khi_suy_ra!$G$2:$G$94,MATCH($C$135,boss_input_vu_khi_suy_ra!$A$2:$A$94,0)),INDEX(boss_input_vu_khi_suy_ra!$F$2:$F$94,MATCH($C$135,boss_input_vu_khi_suy_ra!$A$2:$A$94,0))),0)</f>
        <v/>
      </c>
      <c r="G135" t="n">
        <v>1</v>
      </c>
      <c r="H135">
        <f>INDEX(boss_input_vu_khi!$B$2:$B$94,MATCH($C$135,boss_input_vu_khi!$A$2:$A$94,0))*INDEX(Boss_dps!$D$2:$D$34,MATCH($B$135,Boss_dps!$A$2:$A$34,0))*IF(INDEX(boss_input_vu_khi!$D$2:$D$94,MATCH($C$135,boss_input_vu_khi!$A$2:$A$94,0)),1,INDEX(Boss_dps!$B$2:$B$34,MATCH($B$135,Boss_dps!$A$2:$A$34,0)))*INDEX(Boss_dps!$C$2:$C$34,MATCH($B$135,Boss_dps!$A$2:$A$34,0))*$F$135</f>
        <v/>
      </c>
      <c r="I135" t="n">
        <v>3075.38</v>
      </c>
      <c r="J135">
        <f>IF($H$135&gt;0,CEILING(INDEX(input_xe_tham_chieu!$C$2:$C$6,MATCH($D$135,input_xe_tham_chieu!$A$2:$A$6,0))/$H$135,1),"")</f>
        <v/>
      </c>
      <c r="K135">
        <f>IF(Boss_vu_khi!$S$165*$F$135&gt;0,INDEX(input_xe_tham_chieu!$C$2:$C$6,MATCH($D$135,input_xe_tham_chieu!$A$2:$A$6,0))/(Boss_vu_khi!$S$165*INDEX(Boss_dps!$D$2:$D$34,MATCH($B$135,Boss_dps!$A$2:$A$34,0))*$F$135),"")</f>
        <v/>
      </c>
      <c r="L135">
        <f>1+2*MIN(2,FLOOR(INDEX(boss_input_vu_khi!$E$2:$E$94,MATCH($C$135,boss_input_vu_khi!$A$2:$A$94,0))/8,1))</f>
        <v/>
      </c>
      <c r="M135">
        <f>1+2*MIN(2,FLOOR(MAX(INDEX(boss_input_vu_khi!$E$2:$E$94,MATCH($C$135,boss_input_vu_khi!$A$2:$A$94,0)),Boss_vu_khi!$L$165)/8,1))</f>
        <v/>
      </c>
      <c r="N135">
        <f>IF(INDEX(boss_input_vu_khi!$E$2:$E$94,MATCH($C$135,boss_input_vu_khi!$A$2:$A$94,0))&gt;=8,5,1)</f>
        <v/>
      </c>
      <c r="O135">
        <f>IF(MAX(INDEX(boss_input_vu_khi!$E$2:$E$94,MATCH($C$135,boss_input_vu_khi!$A$2:$A$94,0)),Boss_vu_khi!$L$165)&gt;=8,5,1)</f>
        <v/>
      </c>
      <c r="P135">
        <f>INDEX(boss_input_vu_khi_suy_ra!$H$2:$H$94,MATCH($C$135,boss_input_vu_khi_suy_ra!$A$2:$A$94,0))</f>
        <v/>
      </c>
      <c r="Q135">
        <f>IF(AND(INDEX(input_xe_tham_chieu!$G$2:$G$6,MATCH($D$135,input_xe_tham_chieu!$A$2:$A$6,0))&gt;0,INDEX(boss_input_vu_khi!$E$2:$E$94,MATCH($C$135,boss_input_vu_khi!$A$2:$A$94,0))&gt;0),INDEX(boss_input_vu_khi!$E$2:$E$94,MATCH($C$135,boss_input_vu_khi!$A$2:$A$94,0))/INDEX(input_xe_tham_chieu!$G$2:$G$6,MATCH($D$135,input_xe_tham_chieu!$A$2:$A$6,0)),"")</f>
        <v/>
      </c>
      <c r="R135">
        <f>IF(ISNUMBER($Q$135),IF($P$135&gt;=$Q$135,"DU","THIEU"),"")</f>
        <v/>
      </c>
      <c r="S135" t="inlineStr">
        <is>
          <t>Assets/MachineBrigade/Resources/Data/balance.json: vehicles[id=monster].weapon x 01_chien_dau/Xe_tham_chieu[ifv]</t>
        </is>
      </c>
      <c r="T135" t="inlineStr"/>
    </row>
    <row r="136">
      <c r="A136" t="inlineStr">
        <is>
          <t>monster/main_battle_tank</t>
        </is>
      </c>
      <c r="B136" t="inlineStr">
        <is>
          <t>monster</t>
        </is>
      </c>
      <c r="C136" t="inlineStr">
        <is>
          <t>p26_bastion_sec_b240</t>
        </is>
      </c>
      <c r="D136" t="inlineStr">
        <is>
          <t>main_battle_tank</t>
        </is>
      </c>
      <c r="E136">
        <f>IF(INDEX(boss_input_vu_khi_suy_ra!$D$2:$D$94,MATCH($C$136,boss_input_vu_khi_suy_ra!$A$2:$A$94,0)),INDEX(input_xe_tham_chieu!$E$2:$E$6,MATCH($D$136,input_xe_tham_chieu!$A$2:$A$6,0)),INDEX(input_xe_tham_chieu!$D$2:$D$6,MATCH($D$136,input_xe_tham_chieu!$A$2:$A$6,0)))</f>
        <v/>
      </c>
      <c r="F136">
        <f>IF(INDEX(boss_input_vu_khi_suy_ra!$E$2:$E$94,MATCH($C$136,boss_input_vu_khi_suy_ra!$A$2:$A$94,0)),INDEX(boss_input_bang_xuyen_giap!$B$2:$B$7,MIN(6,MAX(1,IF(INDEX(boss_input_vu_khi_suy_ra!$D$2:$D$94,MATCH($C$136,boss_input_vu_khi_suy_ra!$A$2:$A$94,0)),MAX(1,2-(INDEX(boss_input_vu_khi!$C$2:$C$94,MATCH($C$136,boss_input_vu_khi!$A$2:$A$94,0))-$E$136)),2-(INDEX(boss_input_vu_khi!$C$2:$C$94,MATCH($C$136,boss_input_vu_khi!$A$2:$A$94,0))-$E$136))+1)))*IF(INDEX(input_xe_tham_chieu!$F$2:$F$6,MATCH($D$136,input_xe_tham_chieu!$A$2:$A$6,0)),INDEX(boss_input_vu_khi_suy_ra!$G$2:$G$94,MATCH($C$136,boss_input_vu_khi_suy_ra!$A$2:$A$94,0)),INDEX(boss_input_vu_khi_suy_ra!$F$2:$F$94,MATCH($C$136,boss_input_vu_khi_suy_ra!$A$2:$A$94,0))),0)</f>
        <v/>
      </c>
      <c r="G136" t="n">
        <v>1</v>
      </c>
      <c r="H136">
        <f>INDEX(boss_input_vu_khi!$B$2:$B$94,MATCH($C$136,boss_input_vu_khi!$A$2:$A$94,0))*INDEX(Boss_dps!$D$2:$D$34,MATCH($B$136,Boss_dps!$A$2:$A$34,0))*IF(INDEX(boss_input_vu_khi!$D$2:$D$94,MATCH($C$136,boss_input_vu_khi!$A$2:$A$94,0)),1,INDEX(Boss_dps!$B$2:$B$34,MATCH($B$136,Boss_dps!$A$2:$A$34,0)))*INDEX(Boss_dps!$C$2:$C$34,MATCH($B$136,Boss_dps!$A$2:$A$34,0))*$F$136</f>
        <v/>
      </c>
      <c r="I136" t="n">
        <v>3075.38</v>
      </c>
      <c r="J136">
        <f>IF($H$136&gt;0,CEILING(INDEX(input_xe_tham_chieu!$C$2:$C$6,MATCH($D$136,input_xe_tham_chieu!$A$2:$A$6,0))/$H$136,1),"")</f>
        <v/>
      </c>
      <c r="K136">
        <f>IF(Boss_vu_khi!$S$165*$F$136&gt;0,INDEX(input_xe_tham_chieu!$C$2:$C$6,MATCH($D$136,input_xe_tham_chieu!$A$2:$A$6,0))/(Boss_vu_khi!$S$165*INDEX(Boss_dps!$D$2:$D$34,MATCH($B$136,Boss_dps!$A$2:$A$34,0))*$F$136),"")</f>
        <v/>
      </c>
      <c r="L136">
        <f>1+2*MIN(2,FLOOR(INDEX(boss_input_vu_khi!$E$2:$E$94,MATCH($C$136,boss_input_vu_khi!$A$2:$A$94,0))/8,1))</f>
        <v/>
      </c>
      <c r="M136">
        <f>1+2*MIN(2,FLOOR(MAX(INDEX(boss_input_vu_khi!$E$2:$E$94,MATCH($C$136,boss_input_vu_khi!$A$2:$A$94,0)),Boss_vu_khi!$L$165)/8,1))</f>
        <v/>
      </c>
      <c r="N136">
        <f>IF(INDEX(boss_input_vu_khi!$E$2:$E$94,MATCH($C$136,boss_input_vu_khi!$A$2:$A$94,0))&gt;=8,5,1)</f>
        <v/>
      </c>
      <c r="O136">
        <f>IF(MAX(INDEX(boss_input_vu_khi!$E$2:$E$94,MATCH($C$136,boss_input_vu_khi!$A$2:$A$94,0)),Boss_vu_khi!$L$165)&gt;=8,5,1)</f>
        <v/>
      </c>
      <c r="P136">
        <f>INDEX(boss_input_vu_khi_suy_ra!$H$2:$H$94,MATCH($C$136,boss_input_vu_khi_suy_ra!$A$2:$A$94,0))</f>
        <v/>
      </c>
      <c r="Q136">
        <f>IF(AND(INDEX(input_xe_tham_chieu!$G$2:$G$6,MATCH($D$136,input_xe_tham_chieu!$A$2:$A$6,0))&gt;0,INDEX(boss_input_vu_khi!$E$2:$E$94,MATCH($C$136,boss_input_vu_khi!$A$2:$A$94,0))&gt;0),INDEX(boss_input_vu_khi!$E$2:$E$94,MATCH($C$136,boss_input_vu_khi!$A$2:$A$94,0))/INDEX(input_xe_tham_chieu!$G$2:$G$6,MATCH($D$136,input_xe_tham_chieu!$A$2:$A$6,0)),"")</f>
        <v/>
      </c>
      <c r="R136">
        <f>IF(ISNUMBER($Q$136),IF($P$136&gt;=$Q$136,"DU","THIEU"),"")</f>
        <v/>
      </c>
      <c r="S136" t="inlineStr">
        <is>
          <t>Assets/MachineBrigade/Resources/Data/balance.json: vehicles[id=monster].weapon x 01_chien_dau/Xe_tham_chieu[main_battle_tank]</t>
        </is>
      </c>
      <c r="T136" t="inlineStr"/>
    </row>
    <row r="137">
      <c r="A137" t="inlineStr">
        <is>
          <t>nuke_train/armored_car</t>
        </is>
      </c>
      <c r="B137" t="inlineStr">
        <is>
          <t>nuke_train</t>
        </is>
      </c>
      <c r="C137" t="inlineStr">
        <is>
          <t>p26_nemesis_main_ne152</t>
        </is>
      </c>
      <c r="D137" t="inlineStr">
        <is>
          <t>armored_car</t>
        </is>
      </c>
      <c r="E137">
        <f>IF(INDEX(boss_input_vu_khi_suy_ra!$D$2:$D$94,MATCH($C$137,boss_input_vu_khi_suy_ra!$A$2:$A$94,0)),INDEX(input_xe_tham_chieu!$E$2:$E$6,MATCH($D$137,input_xe_tham_chieu!$A$2:$A$6,0)),INDEX(input_xe_tham_chieu!$D$2:$D$6,MATCH($D$137,input_xe_tham_chieu!$A$2:$A$6,0)))</f>
        <v/>
      </c>
      <c r="F137">
        <f>IF(INDEX(boss_input_vu_khi_suy_ra!$E$2:$E$94,MATCH($C$137,boss_input_vu_khi_suy_ra!$A$2:$A$94,0)),INDEX(boss_input_bang_xuyen_giap!$B$2:$B$7,MIN(6,MAX(1,IF(INDEX(boss_input_vu_khi_suy_ra!$D$2:$D$94,MATCH($C$137,boss_input_vu_khi_suy_ra!$A$2:$A$94,0)),MAX(1,2-(INDEX(boss_input_vu_khi!$C$2:$C$94,MATCH($C$137,boss_input_vu_khi!$A$2:$A$94,0))-$E$137)),2-(INDEX(boss_input_vu_khi!$C$2:$C$94,MATCH($C$137,boss_input_vu_khi!$A$2:$A$94,0))-$E$137))+1)))*IF(INDEX(input_xe_tham_chieu!$F$2:$F$6,MATCH($D$137,input_xe_tham_chieu!$A$2:$A$6,0)),INDEX(boss_input_vu_khi_suy_ra!$G$2:$G$94,MATCH($C$137,boss_input_vu_khi_suy_ra!$A$2:$A$94,0)),INDEX(boss_input_vu_khi_suy_ra!$F$2:$F$94,MATCH($C$137,boss_input_vu_khi_suy_ra!$A$2:$A$94,0))),0)</f>
        <v/>
      </c>
      <c r="G137" t="n">
        <v>1.2</v>
      </c>
      <c r="H137">
        <f>INDEX(boss_input_vu_khi!$B$2:$B$94,MATCH($C$137,boss_input_vu_khi!$A$2:$A$94,0))*INDEX(Boss_dps!$D$2:$D$34,MATCH($B$137,Boss_dps!$A$2:$A$34,0))*IF(INDEX(boss_input_vu_khi!$D$2:$D$94,MATCH($C$137,boss_input_vu_khi!$A$2:$A$94,0)),1,INDEX(Boss_dps!$B$2:$B$34,MATCH($B$137,Boss_dps!$A$2:$A$34,0)))*INDEX(Boss_dps!$C$2:$C$34,MATCH($B$137,Boss_dps!$A$2:$A$34,0))*$F$137</f>
        <v/>
      </c>
      <c r="I137" t="n">
        <v>1319.6736</v>
      </c>
      <c r="J137">
        <f>IF($H$137&gt;0,CEILING(INDEX(input_xe_tham_chieu!$C$2:$C$6,MATCH($D$137,input_xe_tham_chieu!$A$2:$A$6,0))/$H$137,1),"")</f>
        <v/>
      </c>
      <c r="K137">
        <f>IF(Boss_vu_khi!$S$176*$F$137&gt;0,INDEX(input_xe_tham_chieu!$C$2:$C$6,MATCH($D$137,input_xe_tham_chieu!$A$2:$A$6,0))/(Boss_vu_khi!$S$176*INDEX(Boss_dps!$D$2:$D$34,MATCH($B$137,Boss_dps!$A$2:$A$34,0))*$F$137),"")</f>
        <v/>
      </c>
      <c r="L137">
        <f>1+2*MIN(2,FLOOR(INDEX(boss_input_vu_khi!$E$2:$E$94,MATCH($C$137,boss_input_vu_khi!$A$2:$A$94,0))/8,1))</f>
        <v/>
      </c>
      <c r="M137">
        <f>1+2*MIN(2,FLOOR(MAX(INDEX(boss_input_vu_khi!$E$2:$E$94,MATCH($C$137,boss_input_vu_khi!$A$2:$A$94,0)),Boss_vu_khi!$L$176)/8,1))</f>
        <v/>
      </c>
      <c r="N137">
        <f>IF(INDEX(boss_input_vu_khi!$E$2:$E$94,MATCH($C$137,boss_input_vu_khi!$A$2:$A$94,0))&gt;=8,5,1)</f>
        <v/>
      </c>
      <c r="O137">
        <f>IF(MAX(INDEX(boss_input_vu_khi!$E$2:$E$94,MATCH($C$137,boss_input_vu_khi!$A$2:$A$94,0)),Boss_vu_khi!$L$176)&gt;=8,5,1)</f>
        <v/>
      </c>
      <c r="P137">
        <f>INDEX(boss_input_vu_khi_suy_ra!$H$2:$H$94,MATCH($C$137,boss_input_vu_khi_suy_ra!$A$2:$A$94,0))</f>
        <v/>
      </c>
      <c r="Q137">
        <f>IF(AND(INDEX(input_xe_tham_chieu!$G$2:$G$6,MATCH($D$137,input_xe_tham_chieu!$A$2:$A$6,0))&gt;0,INDEX(boss_input_vu_khi!$E$2:$E$94,MATCH($C$137,boss_input_vu_khi!$A$2:$A$94,0))&gt;0),INDEX(boss_input_vu_khi!$E$2:$E$94,MATCH($C$137,boss_input_vu_khi!$A$2:$A$94,0))/INDEX(input_xe_tham_chieu!$G$2:$G$6,MATCH($D$137,input_xe_tham_chieu!$A$2:$A$6,0)),"")</f>
        <v/>
      </c>
      <c r="R137">
        <f>IF(ISNUMBER($Q$137),IF($P$137&gt;=$Q$137,"DU","THIEU"),"")</f>
        <v/>
      </c>
      <c r="S137" t="inlineStr">
        <is>
          <t>Assets/MachineBrigade/Resources/Data/balance.json: vehicles[id=nuke_train].weapon x 01_chien_dau/Xe_tham_chieu[armored_car]</t>
        </is>
      </c>
      <c r="T137" t="inlineStr"/>
    </row>
    <row r="138">
      <c r="A138" t="inlineStr">
        <is>
          <t>nuke_train/gun_turret</t>
        </is>
      </c>
      <c r="B138" t="inlineStr">
        <is>
          <t>nuke_train</t>
        </is>
      </c>
      <c r="C138" t="inlineStr">
        <is>
          <t>p26_nemesis_main_ne152</t>
        </is>
      </c>
      <c r="D138" t="inlineStr">
        <is>
          <t>gun_turret</t>
        </is>
      </c>
      <c r="E138">
        <f>IF(INDEX(boss_input_vu_khi_suy_ra!$D$2:$D$94,MATCH($C$138,boss_input_vu_khi_suy_ra!$A$2:$A$94,0)),INDEX(input_xe_tham_chieu!$E$2:$E$6,MATCH($D$138,input_xe_tham_chieu!$A$2:$A$6,0)),INDEX(input_xe_tham_chieu!$D$2:$D$6,MATCH($D$138,input_xe_tham_chieu!$A$2:$A$6,0)))</f>
        <v/>
      </c>
      <c r="F138">
        <f>IF(INDEX(boss_input_vu_khi_suy_ra!$E$2:$E$94,MATCH($C$138,boss_input_vu_khi_suy_ra!$A$2:$A$94,0)),INDEX(boss_input_bang_xuyen_giap!$B$2:$B$7,MIN(6,MAX(1,IF(INDEX(boss_input_vu_khi_suy_ra!$D$2:$D$94,MATCH($C$138,boss_input_vu_khi_suy_ra!$A$2:$A$94,0)),MAX(1,2-(INDEX(boss_input_vu_khi!$C$2:$C$94,MATCH($C$138,boss_input_vu_khi!$A$2:$A$94,0))-$E$138)),2-(INDEX(boss_input_vu_khi!$C$2:$C$94,MATCH($C$138,boss_input_vu_khi!$A$2:$A$94,0))-$E$138))+1)))*IF(INDEX(input_xe_tham_chieu!$F$2:$F$6,MATCH($D$138,input_xe_tham_chieu!$A$2:$A$6,0)),INDEX(boss_input_vu_khi_suy_ra!$G$2:$G$94,MATCH($C$138,boss_input_vu_khi_suy_ra!$A$2:$A$94,0)),INDEX(boss_input_vu_khi_suy_ra!$F$2:$F$94,MATCH($C$138,boss_input_vu_khi_suy_ra!$A$2:$A$94,0))),0)</f>
        <v/>
      </c>
      <c r="G138" t="n">
        <v>1.275</v>
      </c>
      <c r="H138">
        <f>INDEX(boss_input_vu_khi!$B$2:$B$94,MATCH($C$138,boss_input_vu_khi!$A$2:$A$94,0))*INDEX(Boss_dps!$D$2:$D$34,MATCH($B$138,Boss_dps!$A$2:$A$34,0))*IF(INDEX(boss_input_vu_khi!$D$2:$D$94,MATCH($C$138,boss_input_vu_khi!$A$2:$A$94,0)),1,INDEX(Boss_dps!$B$2:$B$34,MATCH($B$138,Boss_dps!$A$2:$A$34,0)))*INDEX(Boss_dps!$C$2:$C$34,MATCH($B$138,Boss_dps!$A$2:$A$34,0))*$F$138</f>
        <v/>
      </c>
      <c r="I138" t="n">
        <v>1402.1532</v>
      </c>
      <c r="J138">
        <f>IF($H$138&gt;0,CEILING(INDEX(input_xe_tham_chieu!$C$2:$C$6,MATCH($D$138,input_xe_tham_chieu!$A$2:$A$6,0))/$H$138,1),"")</f>
        <v/>
      </c>
      <c r="K138">
        <f>IF(Boss_vu_khi!$S$176*$F$138&gt;0,INDEX(input_xe_tham_chieu!$C$2:$C$6,MATCH($D$138,input_xe_tham_chieu!$A$2:$A$6,0))/(Boss_vu_khi!$S$176*INDEX(Boss_dps!$D$2:$D$34,MATCH($B$138,Boss_dps!$A$2:$A$34,0))*$F$138),"")</f>
        <v/>
      </c>
      <c r="L138">
        <f>1+2*MIN(2,FLOOR(INDEX(boss_input_vu_khi!$E$2:$E$94,MATCH($C$138,boss_input_vu_khi!$A$2:$A$94,0))/8,1))</f>
        <v/>
      </c>
      <c r="M138">
        <f>1+2*MIN(2,FLOOR(MAX(INDEX(boss_input_vu_khi!$E$2:$E$94,MATCH($C$138,boss_input_vu_khi!$A$2:$A$94,0)),Boss_vu_khi!$L$176)/8,1))</f>
        <v/>
      </c>
      <c r="N138">
        <f>IF(INDEX(boss_input_vu_khi!$E$2:$E$94,MATCH($C$138,boss_input_vu_khi!$A$2:$A$94,0))&gt;=8,5,1)</f>
        <v/>
      </c>
      <c r="O138">
        <f>IF(MAX(INDEX(boss_input_vu_khi!$E$2:$E$94,MATCH($C$138,boss_input_vu_khi!$A$2:$A$94,0)),Boss_vu_khi!$L$176)&gt;=8,5,1)</f>
        <v/>
      </c>
      <c r="P138">
        <f>INDEX(boss_input_vu_khi_suy_ra!$H$2:$H$94,MATCH($C$138,boss_input_vu_khi_suy_ra!$A$2:$A$94,0))</f>
        <v/>
      </c>
      <c r="Q138">
        <f>IF(AND(INDEX(input_xe_tham_chieu!$G$2:$G$6,MATCH($D$138,input_xe_tham_chieu!$A$2:$A$6,0))&gt;0,INDEX(boss_input_vu_khi!$E$2:$E$94,MATCH($C$138,boss_input_vu_khi!$A$2:$A$94,0))&gt;0),INDEX(boss_input_vu_khi!$E$2:$E$94,MATCH($C$138,boss_input_vu_khi!$A$2:$A$94,0))/INDEX(input_xe_tham_chieu!$G$2:$G$6,MATCH($D$138,input_xe_tham_chieu!$A$2:$A$6,0)),"")</f>
        <v/>
      </c>
      <c r="R138">
        <f>IF(ISNUMBER($Q$138),IF($P$138&gt;=$Q$138,"DU","THIEU"),"")</f>
        <v/>
      </c>
      <c r="S138" t="inlineStr">
        <is>
          <t>Assets/MachineBrigade/Resources/Data/balance.json: vehicles[id=nuke_train].weapon x 01_chien_dau/Xe_tham_chieu[gun_turret]</t>
        </is>
      </c>
      <c r="T138" t="inlineStr"/>
    </row>
    <row r="139">
      <c r="A139" t="inlineStr">
        <is>
          <t>nuke_train/heavy_tank</t>
        </is>
      </c>
      <c r="B139" t="inlineStr">
        <is>
          <t>nuke_train</t>
        </is>
      </c>
      <c r="C139" t="inlineStr">
        <is>
          <t>p26_nemesis_main_ne152</t>
        </is>
      </c>
      <c r="D139" t="inlineStr">
        <is>
          <t>heavy_tank</t>
        </is>
      </c>
      <c r="E139">
        <f>IF(INDEX(boss_input_vu_khi_suy_ra!$D$2:$D$94,MATCH($C$139,boss_input_vu_khi_suy_ra!$A$2:$A$94,0)),INDEX(input_xe_tham_chieu!$E$2:$E$6,MATCH($D$139,input_xe_tham_chieu!$A$2:$A$6,0)),INDEX(input_xe_tham_chieu!$D$2:$D$6,MATCH($D$139,input_xe_tham_chieu!$A$2:$A$6,0)))</f>
        <v/>
      </c>
      <c r="F139">
        <f>IF(INDEX(boss_input_vu_khi_suy_ra!$E$2:$E$94,MATCH($C$139,boss_input_vu_khi_suy_ra!$A$2:$A$94,0)),INDEX(boss_input_bang_xuyen_giap!$B$2:$B$7,MIN(6,MAX(1,IF(INDEX(boss_input_vu_khi_suy_ra!$D$2:$D$94,MATCH($C$139,boss_input_vu_khi_suy_ra!$A$2:$A$94,0)),MAX(1,2-(INDEX(boss_input_vu_khi!$C$2:$C$94,MATCH($C$139,boss_input_vu_khi!$A$2:$A$94,0))-$E$139)),2-(INDEX(boss_input_vu_khi!$C$2:$C$94,MATCH($C$139,boss_input_vu_khi!$A$2:$A$94,0))-$E$139))+1)))*IF(INDEX(input_xe_tham_chieu!$F$2:$F$6,MATCH($D$139,input_xe_tham_chieu!$A$2:$A$6,0)),INDEX(boss_input_vu_khi_suy_ra!$G$2:$G$94,MATCH($C$139,boss_input_vu_khi_suy_ra!$A$2:$A$94,0)),INDEX(boss_input_vu_khi_suy_ra!$F$2:$F$94,MATCH($C$139,boss_input_vu_khi_suy_ra!$A$2:$A$94,0))),0)</f>
        <v/>
      </c>
      <c r="G139" t="n">
        <v>0.5</v>
      </c>
      <c r="H139">
        <f>INDEX(boss_input_vu_khi!$B$2:$B$94,MATCH($C$139,boss_input_vu_khi!$A$2:$A$94,0))*INDEX(Boss_dps!$D$2:$D$34,MATCH($B$139,Boss_dps!$A$2:$A$34,0))*IF(INDEX(boss_input_vu_khi!$D$2:$D$94,MATCH($C$139,boss_input_vu_khi!$A$2:$A$94,0)),1,INDEX(Boss_dps!$B$2:$B$34,MATCH($B$139,Boss_dps!$A$2:$A$34,0)))*INDEX(Boss_dps!$C$2:$C$34,MATCH($B$139,Boss_dps!$A$2:$A$34,0))*$F$139</f>
        <v/>
      </c>
      <c r="I139" t="n">
        <v>549.8639999999999</v>
      </c>
      <c r="J139">
        <f>IF($H$139&gt;0,CEILING(INDEX(input_xe_tham_chieu!$C$2:$C$6,MATCH($D$139,input_xe_tham_chieu!$A$2:$A$6,0))/$H$139,1),"")</f>
        <v/>
      </c>
      <c r="K139">
        <f>IF(Boss_vu_khi!$S$176*$F$139&gt;0,INDEX(input_xe_tham_chieu!$C$2:$C$6,MATCH($D$139,input_xe_tham_chieu!$A$2:$A$6,0))/(Boss_vu_khi!$S$176*INDEX(Boss_dps!$D$2:$D$34,MATCH($B$139,Boss_dps!$A$2:$A$34,0))*$F$139),"")</f>
        <v/>
      </c>
      <c r="L139">
        <f>1+2*MIN(2,FLOOR(INDEX(boss_input_vu_khi!$E$2:$E$94,MATCH($C$139,boss_input_vu_khi!$A$2:$A$94,0))/8,1))</f>
        <v/>
      </c>
      <c r="M139">
        <f>1+2*MIN(2,FLOOR(MAX(INDEX(boss_input_vu_khi!$E$2:$E$94,MATCH($C$139,boss_input_vu_khi!$A$2:$A$94,0)),Boss_vu_khi!$L$176)/8,1))</f>
        <v/>
      </c>
      <c r="N139">
        <f>IF(INDEX(boss_input_vu_khi!$E$2:$E$94,MATCH($C$139,boss_input_vu_khi!$A$2:$A$94,0))&gt;=8,5,1)</f>
        <v/>
      </c>
      <c r="O139">
        <f>IF(MAX(INDEX(boss_input_vu_khi!$E$2:$E$94,MATCH($C$139,boss_input_vu_khi!$A$2:$A$94,0)),Boss_vu_khi!$L$176)&gt;=8,5,1)</f>
        <v/>
      </c>
      <c r="P139">
        <f>INDEX(boss_input_vu_khi_suy_ra!$H$2:$H$94,MATCH($C$139,boss_input_vu_khi_suy_ra!$A$2:$A$94,0))</f>
        <v/>
      </c>
      <c r="Q139">
        <f>IF(AND(INDEX(input_xe_tham_chieu!$G$2:$G$6,MATCH($D$139,input_xe_tham_chieu!$A$2:$A$6,0))&gt;0,INDEX(boss_input_vu_khi!$E$2:$E$94,MATCH($C$139,boss_input_vu_khi!$A$2:$A$94,0))&gt;0),INDEX(boss_input_vu_khi!$E$2:$E$94,MATCH($C$139,boss_input_vu_khi!$A$2:$A$94,0))/INDEX(input_xe_tham_chieu!$G$2:$G$6,MATCH($D$139,input_xe_tham_chieu!$A$2:$A$6,0)),"")</f>
        <v/>
      </c>
      <c r="R139">
        <f>IF(ISNUMBER($Q$139),IF($P$139&gt;=$Q$139,"DU","THIEU"),"")</f>
        <v/>
      </c>
      <c r="S139" t="inlineStr">
        <is>
          <t>Assets/MachineBrigade/Resources/Data/balance.json: vehicles[id=nuke_train].weapon x 01_chien_dau/Xe_tham_chieu[heavy_tank]</t>
        </is>
      </c>
      <c r="T139" t="inlineStr"/>
    </row>
    <row r="140">
      <c r="A140" t="inlineStr">
        <is>
          <t>nuke_train/ifv</t>
        </is>
      </c>
      <c r="B140" t="inlineStr">
        <is>
          <t>nuke_train</t>
        </is>
      </c>
      <c r="C140" t="inlineStr">
        <is>
          <t>p26_nemesis_main_ne152</t>
        </is>
      </c>
      <c r="D140" t="inlineStr">
        <is>
          <t>ifv</t>
        </is>
      </c>
      <c r="E140">
        <f>IF(INDEX(boss_input_vu_khi_suy_ra!$D$2:$D$94,MATCH($C$140,boss_input_vu_khi_suy_ra!$A$2:$A$94,0)),INDEX(input_xe_tham_chieu!$E$2:$E$6,MATCH($D$140,input_xe_tham_chieu!$A$2:$A$6,0)),INDEX(input_xe_tham_chieu!$D$2:$D$6,MATCH($D$140,input_xe_tham_chieu!$A$2:$A$6,0)))</f>
        <v/>
      </c>
      <c r="F140">
        <f>IF(INDEX(boss_input_vu_khi_suy_ra!$E$2:$E$94,MATCH($C$140,boss_input_vu_khi_suy_ra!$A$2:$A$94,0)),INDEX(boss_input_bang_xuyen_giap!$B$2:$B$7,MIN(6,MAX(1,IF(INDEX(boss_input_vu_khi_suy_ra!$D$2:$D$94,MATCH($C$140,boss_input_vu_khi_suy_ra!$A$2:$A$94,0)),MAX(1,2-(INDEX(boss_input_vu_khi!$C$2:$C$94,MATCH($C$140,boss_input_vu_khi!$A$2:$A$94,0))-$E$140)),2-(INDEX(boss_input_vu_khi!$C$2:$C$94,MATCH($C$140,boss_input_vu_khi!$A$2:$A$94,0))-$E$140))+1)))*IF(INDEX(input_xe_tham_chieu!$F$2:$F$6,MATCH($D$140,input_xe_tham_chieu!$A$2:$A$6,0)),INDEX(boss_input_vu_khi_suy_ra!$G$2:$G$94,MATCH($C$140,boss_input_vu_khi_suy_ra!$A$2:$A$94,0)),INDEX(boss_input_vu_khi_suy_ra!$F$2:$F$94,MATCH($C$140,boss_input_vu_khi_suy_ra!$A$2:$A$94,0))),0)</f>
        <v/>
      </c>
      <c r="G140" t="n">
        <v>1</v>
      </c>
      <c r="H140">
        <f>INDEX(boss_input_vu_khi!$B$2:$B$94,MATCH($C$140,boss_input_vu_khi!$A$2:$A$94,0))*INDEX(Boss_dps!$D$2:$D$34,MATCH($B$140,Boss_dps!$A$2:$A$34,0))*IF(INDEX(boss_input_vu_khi!$D$2:$D$94,MATCH($C$140,boss_input_vu_khi!$A$2:$A$94,0)),1,INDEX(Boss_dps!$B$2:$B$34,MATCH($B$140,Boss_dps!$A$2:$A$34,0)))*INDEX(Boss_dps!$C$2:$C$34,MATCH($B$140,Boss_dps!$A$2:$A$34,0))*$F$140</f>
        <v/>
      </c>
      <c r="I140" t="n">
        <v>1099.728</v>
      </c>
      <c r="J140">
        <f>IF($H$140&gt;0,CEILING(INDEX(input_xe_tham_chieu!$C$2:$C$6,MATCH($D$140,input_xe_tham_chieu!$A$2:$A$6,0))/$H$140,1),"")</f>
        <v/>
      </c>
      <c r="K140">
        <f>IF(Boss_vu_khi!$S$176*$F$140&gt;0,INDEX(input_xe_tham_chieu!$C$2:$C$6,MATCH($D$140,input_xe_tham_chieu!$A$2:$A$6,0))/(Boss_vu_khi!$S$176*INDEX(Boss_dps!$D$2:$D$34,MATCH($B$140,Boss_dps!$A$2:$A$34,0))*$F$140),"")</f>
        <v/>
      </c>
      <c r="L140">
        <f>1+2*MIN(2,FLOOR(INDEX(boss_input_vu_khi!$E$2:$E$94,MATCH($C$140,boss_input_vu_khi!$A$2:$A$94,0))/8,1))</f>
        <v/>
      </c>
      <c r="M140">
        <f>1+2*MIN(2,FLOOR(MAX(INDEX(boss_input_vu_khi!$E$2:$E$94,MATCH($C$140,boss_input_vu_khi!$A$2:$A$94,0)),Boss_vu_khi!$L$176)/8,1))</f>
        <v/>
      </c>
      <c r="N140">
        <f>IF(INDEX(boss_input_vu_khi!$E$2:$E$94,MATCH($C$140,boss_input_vu_khi!$A$2:$A$94,0))&gt;=8,5,1)</f>
        <v/>
      </c>
      <c r="O140">
        <f>IF(MAX(INDEX(boss_input_vu_khi!$E$2:$E$94,MATCH($C$140,boss_input_vu_khi!$A$2:$A$94,0)),Boss_vu_khi!$L$176)&gt;=8,5,1)</f>
        <v/>
      </c>
      <c r="P140">
        <f>INDEX(boss_input_vu_khi_suy_ra!$H$2:$H$94,MATCH($C$140,boss_input_vu_khi_suy_ra!$A$2:$A$94,0))</f>
        <v/>
      </c>
      <c r="Q140">
        <f>IF(AND(INDEX(input_xe_tham_chieu!$G$2:$G$6,MATCH($D$140,input_xe_tham_chieu!$A$2:$A$6,0))&gt;0,INDEX(boss_input_vu_khi!$E$2:$E$94,MATCH($C$140,boss_input_vu_khi!$A$2:$A$94,0))&gt;0),INDEX(boss_input_vu_khi!$E$2:$E$94,MATCH($C$140,boss_input_vu_khi!$A$2:$A$94,0))/INDEX(input_xe_tham_chieu!$G$2:$G$6,MATCH($D$140,input_xe_tham_chieu!$A$2:$A$6,0)),"")</f>
        <v/>
      </c>
      <c r="R140">
        <f>IF(ISNUMBER($Q$140),IF($P$140&gt;=$Q$140,"DU","THIEU"),"")</f>
        <v/>
      </c>
      <c r="S140" t="inlineStr">
        <is>
          <t>Assets/MachineBrigade/Resources/Data/balance.json: vehicles[id=nuke_train].weapon x 01_chien_dau/Xe_tham_chieu[ifv]</t>
        </is>
      </c>
      <c r="T140" t="inlineStr"/>
    </row>
    <row r="141">
      <c r="A141" t="inlineStr">
        <is>
          <t>nuke_train/main_battle_tank</t>
        </is>
      </c>
      <c r="B141" t="inlineStr">
        <is>
          <t>nuke_train</t>
        </is>
      </c>
      <c r="C141" t="inlineStr">
        <is>
          <t>p26_nemesis_main_ne152</t>
        </is>
      </c>
      <c r="D141" t="inlineStr">
        <is>
          <t>main_battle_tank</t>
        </is>
      </c>
      <c r="E141">
        <f>IF(INDEX(boss_input_vu_khi_suy_ra!$D$2:$D$94,MATCH($C$141,boss_input_vu_khi_suy_ra!$A$2:$A$94,0)),INDEX(input_xe_tham_chieu!$E$2:$E$6,MATCH($D$141,input_xe_tham_chieu!$A$2:$A$6,0)),INDEX(input_xe_tham_chieu!$D$2:$D$6,MATCH($D$141,input_xe_tham_chieu!$A$2:$A$6,0)))</f>
        <v/>
      </c>
      <c r="F141">
        <f>IF(INDEX(boss_input_vu_khi_suy_ra!$E$2:$E$94,MATCH($C$141,boss_input_vu_khi_suy_ra!$A$2:$A$94,0)),INDEX(boss_input_bang_xuyen_giap!$B$2:$B$7,MIN(6,MAX(1,IF(INDEX(boss_input_vu_khi_suy_ra!$D$2:$D$94,MATCH($C$141,boss_input_vu_khi_suy_ra!$A$2:$A$94,0)),MAX(1,2-(INDEX(boss_input_vu_khi!$C$2:$C$94,MATCH($C$141,boss_input_vu_khi!$A$2:$A$94,0))-$E$141)),2-(INDEX(boss_input_vu_khi!$C$2:$C$94,MATCH($C$141,boss_input_vu_khi!$A$2:$A$94,0))-$E$141))+1)))*IF(INDEX(input_xe_tham_chieu!$F$2:$F$6,MATCH($D$141,input_xe_tham_chieu!$A$2:$A$6,0)),INDEX(boss_input_vu_khi_suy_ra!$G$2:$G$94,MATCH($C$141,boss_input_vu_khi_suy_ra!$A$2:$A$94,0)),INDEX(boss_input_vu_khi_suy_ra!$F$2:$F$94,MATCH($C$141,boss_input_vu_khi_suy_ra!$A$2:$A$94,0))),0)</f>
        <v/>
      </c>
      <c r="G141" t="n">
        <v>0.5</v>
      </c>
      <c r="H141">
        <f>INDEX(boss_input_vu_khi!$B$2:$B$94,MATCH($C$141,boss_input_vu_khi!$A$2:$A$94,0))*INDEX(Boss_dps!$D$2:$D$34,MATCH($B$141,Boss_dps!$A$2:$A$34,0))*IF(INDEX(boss_input_vu_khi!$D$2:$D$94,MATCH($C$141,boss_input_vu_khi!$A$2:$A$94,0)),1,INDEX(Boss_dps!$B$2:$B$34,MATCH($B$141,Boss_dps!$A$2:$A$34,0)))*INDEX(Boss_dps!$C$2:$C$34,MATCH($B$141,Boss_dps!$A$2:$A$34,0))*$F$141</f>
        <v/>
      </c>
      <c r="I141" t="n">
        <v>549.8639999999999</v>
      </c>
      <c r="J141">
        <f>IF($H$141&gt;0,CEILING(INDEX(input_xe_tham_chieu!$C$2:$C$6,MATCH($D$141,input_xe_tham_chieu!$A$2:$A$6,0))/$H$141,1),"")</f>
        <v/>
      </c>
      <c r="K141">
        <f>IF(Boss_vu_khi!$S$176*$F$141&gt;0,INDEX(input_xe_tham_chieu!$C$2:$C$6,MATCH($D$141,input_xe_tham_chieu!$A$2:$A$6,0))/(Boss_vu_khi!$S$176*INDEX(Boss_dps!$D$2:$D$34,MATCH($B$141,Boss_dps!$A$2:$A$34,0))*$F$141),"")</f>
        <v/>
      </c>
      <c r="L141">
        <f>1+2*MIN(2,FLOOR(INDEX(boss_input_vu_khi!$E$2:$E$94,MATCH($C$141,boss_input_vu_khi!$A$2:$A$94,0))/8,1))</f>
        <v/>
      </c>
      <c r="M141">
        <f>1+2*MIN(2,FLOOR(MAX(INDEX(boss_input_vu_khi!$E$2:$E$94,MATCH($C$141,boss_input_vu_khi!$A$2:$A$94,0)),Boss_vu_khi!$L$176)/8,1))</f>
        <v/>
      </c>
      <c r="N141">
        <f>IF(INDEX(boss_input_vu_khi!$E$2:$E$94,MATCH($C$141,boss_input_vu_khi!$A$2:$A$94,0))&gt;=8,5,1)</f>
        <v/>
      </c>
      <c r="O141">
        <f>IF(MAX(INDEX(boss_input_vu_khi!$E$2:$E$94,MATCH($C$141,boss_input_vu_khi!$A$2:$A$94,0)),Boss_vu_khi!$L$176)&gt;=8,5,1)</f>
        <v/>
      </c>
      <c r="P141">
        <f>INDEX(boss_input_vu_khi_suy_ra!$H$2:$H$94,MATCH($C$141,boss_input_vu_khi_suy_ra!$A$2:$A$94,0))</f>
        <v/>
      </c>
      <c r="Q141">
        <f>IF(AND(INDEX(input_xe_tham_chieu!$G$2:$G$6,MATCH($D$141,input_xe_tham_chieu!$A$2:$A$6,0))&gt;0,INDEX(boss_input_vu_khi!$E$2:$E$94,MATCH($C$141,boss_input_vu_khi!$A$2:$A$94,0))&gt;0),INDEX(boss_input_vu_khi!$E$2:$E$94,MATCH($C$141,boss_input_vu_khi!$A$2:$A$94,0))/INDEX(input_xe_tham_chieu!$G$2:$G$6,MATCH($D$141,input_xe_tham_chieu!$A$2:$A$6,0)),"")</f>
        <v/>
      </c>
      <c r="R141">
        <f>IF(ISNUMBER($Q$141),IF($P$141&gt;=$Q$141,"DU","THIEU"),"")</f>
        <v/>
      </c>
      <c r="S141" t="inlineStr">
        <is>
          <t>Assets/MachineBrigade/Resources/Data/balance.json: vehicles[id=nuke_train].weapon x 01_chien_dau/Xe_tham_chieu[main_battle_tank]</t>
        </is>
      </c>
      <c r="T141" t="inlineStr"/>
    </row>
    <row r="142">
      <c r="A142" t="inlineStr">
        <is>
          <t>nyx/armored_car</t>
        </is>
      </c>
      <c r="B142" t="inlineStr">
        <is>
          <t>nyx</t>
        </is>
      </c>
      <c r="C142" t="inlineStr">
        <is>
          <t>nyx_ags_155</t>
        </is>
      </c>
      <c r="D142" t="inlineStr">
        <is>
          <t>armored_car</t>
        </is>
      </c>
      <c r="E142">
        <f>IF(INDEX(boss_input_vu_khi_suy_ra!$D$2:$D$94,MATCH($C$142,boss_input_vu_khi_suy_ra!$A$2:$A$94,0)),INDEX(input_xe_tham_chieu!$E$2:$E$6,MATCH($D$142,input_xe_tham_chieu!$A$2:$A$6,0)),INDEX(input_xe_tham_chieu!$D$2:$D$6,MATCH($D$142,input_xe_tham_chieu!$A$2:$A$6,0)))</f>
        <v/>
      </c>
      <c r="F142">
        <f>IF(INDEX(boss_input_vu_khi_suy_ra!$E$2:$E$94,MATCH($C$142,boss_input_vu_khi_suy_ra!$A$2:$A$94,0)),INDEX(boss_input_bang_xuyen_giap!$B$2:$B$7,MIN(6,MAX(1,IF(INDEX(boss_input_vu_khi_suy_ra!$D$2:$D$94,MATCH($C$142,boss_input_vu_khi_suy_ra!$A$2:$A$94,0)),MAX(1,2-(INDEX(boss_input_vu_khi!$C$2:$C$94,MATCH($C$142,boss_input_vu_khi!$A$2:$A$94,0))-$E$142)),2-(INDEX(boss_input_vu_khi!$C$2:$C$94,MATCH($C$142,boss_input_vu_khi!$A$2:$A$94,0))-$E$142))+1)))*IF(INDEX(input_xe_tham_chieu!$F$2:$F$6,MATCH($D$142,input_xe_tham_chieu!$A$2:$A$6,0)),INDEX(boss_input_vu_khi_suy_ra!$G$2:$G$94,MATCH($C$142,boss_input_vu_khi_suy_ra!$A$2:$A$94,0)),INDEX(boss_input_vu_khi_suy_ra!$F$2:$F$94,MATCH($C$142,boss_input_vu_khi_suy_ra!$A$2:$A$94,0))),0)</f>
        <v/>
      </c>
      <c r="G142" t="n">
        <v>1.2</v>
      </c>
      <c r="H142">
        <f>INDEX(boss_input_vu_khi!$B$2:$B$94,MATCH($C$142,boss_input_vu_khi!$A$2:$A$94,0))*INDEX(Boss_dps!$D$2:$D$34,MATCH($B$142,Boss_dps!$A$2:$A$34,0))*IF(INDEX(boss_input_vu_khi!$D$2:$D$94,MATCH($C$142,boss_input_vu_khi!$A$2:$A$94,0)),1,INDEX(Boss_dps!$B$2:$B$34,MATCH($B$142,Boss_dps!$A$2:$A$34,0)))*INDEX(Boss_dps!$C$2:$C$34,MATCH($B$142,Boss_dps!$A$2:$A$34,0))*$F$142</f>
        <v/>
      </c>
      <c r="I142" t="n">
        <v>808.4515392</v>
      </c>
      <c r="J142">
        <f>IF($H$142&gt;0,CEILING(INDEX(input_xe_tham_chieu!$C$2:$C$6,MATCH($D$142,input_xe_tham_chieu!$A$2:$A$6,0))/$H$142,1),"")</f>
        <v/>
      </c>
      <c r="K142">
        <f>IF(Boss_vu_khi!$S$183*$F$142&gt;0,INDEX(input_xe_tham_chieu!$C$2:$C$6,MATCH($D$142,input_xe_tham_chieu!$A$2:$A$6,0))/(Boss_vu_khi!$S$183*INDEX(Boss_dps!$D$2:$D$34,MATCH($B$142,Boss_dps!$A$2:$A$34,0))*$F$142),"")</f>
        <v/>
      </c>
      <c r="L142">
        <f>1+2*MIN(2,FLOOR(INDEX(boss_input_vu_khi!$E$2:$E$94,MATCH($C$142,boss_input_vu_khi!$A$2:$A$94,0))/8,1))</f>
        <v/>
      </c>
      <c r="M142">
        <f>1+2*MIN(2,FLOOR(MAX(INDEX(boss_input_vu_khi!$E$2:$E$94,MATCH($C$142,boss_input_vu_khi!$A$2:$A$94,0)),Boss_vu_khi!$L$183)/8,1))</f>
        <v/>
      </c>
      <c r="N142">
        <f>IF(INDEX(boss_input_vu_khi!$E$2:$E$94,MATCH($C$142,boss_input_vu_khi!$A$2:$A$94,0))&gt;=8,5,1)</f>
        <v/>
      </c>
      <c r="O142">
        <f>IF(MAX(INDEX(boss_input_vu_khi!$E$2:$E$94,MATCH($C$142,boss_input_vu_khi!$A$2:$A$94,0)),Boss_vu_khi!$L$183)&gt;=8,5,1)</f>
        <v/>
      </c>
      <c r="P142">
        <f>INDEX(boss_input_vu_khi_suy_ra!$H$2:$H$94,MATCH($C$142,boss_input_vu_khi_suy_ra!$A$2:$A$94,0))</f>
        <v/>
      </c>
      <c r="Q142">
        <f>IF(AND(INDEX(input_xe_tham_chieu!$G$2:$G$6,MATCH($D$142,input_xe_tham_chieu!$A$2:$A$6,0))&gt;0,INDEX(boss_input_vu_khi!$E$2:$E$94,MATCH($C$142,boss_input_vu_khi!$A$2:$A$94,0))&gt;0),INDEX(boss_input_vu_khi!$E$2:$E$94,MATCH($C$142,boss_input_vu_khi!$A$2:$A$94,0))/INDEX(input_xe_tham_chieu!$G$2:$G$6,MATCH($D$142,input_xe_tham_chieu!$A$2:$A$6,0)),"")</f>
        <v/>
      </c>
      <c r="R142">
        <f>IF(ISNUMBER($Q$142),IF($P$142&gt;=$Q$142,"DU","THIEU"),"")</f>
        <v/>
      </c>
      <c r="S142" t="inlineStr">
        <is>
          <t>Assets/MachineBrigade/Resources/Data/balance.json: vehicles[id=nyx].weapon x 01_chien_dau/Xe_tham_chieu[armored_car]</t>
        </is>
      </c>
      <c r="T142" t="inlineStr"/>
    </row>
    <row r="143">
      <c r="A143" t="inlineStr">
        <is>
          <t>nyx/gun_turret</t>
        </is>
      </c>
      <c r="B143" t="inlineStr">
        <is>
          <t>nyx</t>
        </is>
      </c>
      <c r="C143" t="inlineStr">
        <is>
          <t>nyx_ags_155</t>
        </is>
      </c>
      <c r="D143" t="inlineStr">
        <is>
          <t>gun_turret</t>
        </is>
      </c>
      <c r="E143">
        <f>IF(INDEX(boss_input_vu_khi_suy_ra!$D$2:$D$94,MATCH($C$143,boss_input_vu_khi_suy_ra!$A$2:$A$94,0)),INDEX(input_xe_tham_chieu!$E$2:$E$6,MATCH($D$143,input_xe_tham_chieu!$A$2:$A$6,0)),INDEX(input_xe_tham_chieu!$D$2:$D$6,MATCH($D$143,input_xe_tham_chieu!$A$2:$A$6,0)))</f>
        <v/>
      </c>
      <c r="F143">
        <f>IF(INDEX(boss_input_vu_khi_suy_ra!$E$2:$E$94,MATCH($C$143,boss_input_vu_khi_suy_ra!$A$2:$A$94,0)),INDEX(boss_input_bang_xuyen_giap!$B$2:$B$7,MIN(6,MAX(1,IF(INDEX(boss_input_vu_khi_suy_ra!$D$2:$D$94,MATCH($C$143,boss_input_vu_khi_suy_ra!$A$2:$A$94,0)),MAX(1,2-(INDEX(boss_input_vu_khi!$C$2:$C$94,MATCH($C$143,boss_input_vu_khi!$A$2:$A$94,0))-$E$143)),2-(INDEX(boss_input_vu_khi!$C$2:$C$94,MATCH($C$143,boss_input_vu_khi!$A$2:$A$94,0))-$E$143))+1)))*IF(INDEX(input_xe_tham_chieu!$F$2:$F$6,MATCH($D$143,input_xe_tham_chieu!$A$2:$A$6,0)),INDEX(boss_input_vu_khi_suy_ra!$G$2:$G$94,MATCH($C$143,boss_input_vu_khi_suy_ra!$A$2:$A$94,0)),INDEX(boss_input_vu_khi_suy_ra!$F$2:$F$94,MATCH($C$143,boss_input_vu_khi_suy_ra!$A$2:$A$94,0))),0)</f>
        <v/>
      </c>
      <c r="G143" t="n">
        <v>1.275</v>
      </c>
      <c r="H143">
        <f>INDEX(boss_input_vu_khi!$B$2:$B$94,MATCH($C$143,boss_input_vu_khi!$A$2:$A$94,0))*INDEX(Boss_dps!$D$2:$D$34,MATCH($B$143,Boss_dps!$A$2:$A$34,0))*IF(INDEX(boss_input_vu_khi!$D$2:$D$94,MATCH($C$143,boss_input_vu_khi!$A$2:$A$94,0)),1,INDEX(Boss_dps!$B$2:$B$34,MATCH($B$143,Boss_dps!$A$2:$A$34,0)))*INDEX(Boss_dps!$C$2:$C$34,MATCH($B$143,Boss_dps!$A$2:$A$34,0))*$F$143</f>
        <v/>
      </c>
      <c r="I143" t="n">
        <v>858.9797603999999</v>
      </c>
      <c r="J143">
        <f>IF($H$143&gt;0,CEILING(INDEX(input_xe_tham_chieu!$C$2:$C$6,MATCH($D$143,input_xe_tham_chieu!$A$2:$A$6,0))/$H$143,1),"")</f>
        <v/>
      </c>
      <c r="K143">
        <f>IF(Boss_vu_khi!$S$183*$F$143&gt;0,INDEX(input_xe_tham_chieu!$C$2:$C$6,MATCH($D$143,input_xe_tham_chieu!$A$2:$A$6,0))/(Boss_vu_khi!$S$183*INDEX(Boss_dps!$D$2:$D$34,MATCH($B$143,Boss_dps!$A$2:$A$34,0))*$F$143),"")</f>
        <v/>
      </c>
      <c r="L143">
        <f>1+2*MIN(2,FLOOR(INDEX(boss_input_vu_khi!$E$2:$E$94,MATCH($C$143,boss_input_vu_khi!$A$2:$A$94,0))/8,1))</f>
        <v/>
      </c>
      <c r="M143">
        <f>1+2*MIN(2,FLOOR(MAX(INDEX(boss_input_vu_khi!$E$2:$E$94,MATCH($C$143,boss_input_vu_khi!$A$2:$A$94,0)),Boss_vu_khi!$L$183)/8,1))</f>
        <v/>
      </c>
      <c r="N143">
        <f>IF(INDEX(boss_input_vu_khi!$E$2:$E$94,MATCH($C$143,boss_input_vu_khi!$A$2:$A$94,0))&gt;=8,5,1)</f>
        <v/>
      </c>
      <c r="O143">
        <f>IF(MAX(INDEX(boss_input_vu_khi!$E$2:$E$94,MATCH($C$143,boss_input_vu_khi!$A$2:$A$94,0)),Boss_vu_khi!$L$183)&gt;=8,5,1)</f>
        <v/>
      </c>
      <c r="P143">
        <f>INDEX(boss_input_vu_khi_suy_ra!$H$2:$H$94,MATCH($C$143,boss_input_vu_khi_suy_ra!$A$2:$A$94,0))</f>
        <v/>
      </c>
      <c r="Q143">
        <f>IF(AND(INDEX(input_xe_tham_chieu!$G$2:$G$6,MATCH($D$143,input_xe_tham_chieu!$A$2:$A$6,0))&gt;0,INDEX(boss_input_vu_khi!$E$2:$E$94,MATCH($C$143,boss_input_vu_khi!$A$2:$A$94,0))&gt;0),INDEX(boss_input_vu_khi!$E$2:$E$94,MATCH($C$143,boss_input_vu_khi!$A$2:$A$94,0))/INDEX(input_xe_tham_chieu!$G$2:$G$6,MATCH($D$143,input_xe_tham_chieu!$A$2:$A$6,0)),"")</f>
        <v/>
      </c>
      <c r="R143">
        <f>IF(ISNUMBER($Q$143),IF($P$143&gt;=$Q$143,"DU","THIEU"),"")</f>
        <v/>
      </c>
      <c r="S143" t="inlineStr">
        <is>
          <t>Assets/MachineBrigade/Resources/Data/balance.json: vehicles[id=nyx].weapon x 01_chien_dau/Xe_tham_chieu[gun_turret]</t>
        </is>
      </c>
      <c r="T143" t="inlineStr"/>
    </row>
    <row r="144">
      <c r="A144" t="inlineStr">
        <is>
          <t>nyx/heavy_tank</t>
        </is>
      </c>
      <c r="B144" t="inlineStr">
        <is>
          <t>nyx</t>
        </is>
      </c>
      <c r="C144" t="inlineStr">
        <is>
          <t>nyx_ags_155</t>
        </is>
      </c>
      <c r="D144" t="inlineStr">
        <is>
          <t>heavy_tank</t>
        </is>
      </c>
      <c r="E144">
        <f>IF(INDEX(boss_input_vu_khi_suy_ra!$D$2:$D$94,MATCH($C$144,boss_input_vu_khi_suy_ra!$A$2:$A$94,0)),INDEX(input_xe_tham_chieu!$E$2:$E$6,MATCH($D$144,input_xe_tham_chieu!$A$2:$A$6,0)),INDEX(input_xe_tham_chieu!$D$2:$D$6,MATCH($D$144,input_xe_tham_chieu!$A$2:$A$6,0)))</f>
        <v/>
      </c>
      <c r="F144">
        <f>IF(INDEX(boss_input_vu_khi_suy_ra!$E$2:$E$94,MATCH($C$144,boss_input_vu_khi_suy_ra!$A$2:$A$94,0)),INDEX(boss_input_bang_xuyen_giap!$B$2:$B$7,MIN(6,MAX(1,IF(INDEX(boss_input_vu_khi_suy_ra!$D$2:$D$94,MATCH($C$144,boss_input_vu_khi_suy_ra!$A$2:$A$94,0)),MAX(1,2-(INDEX(boss_input_vu_khi!$C$2:$C$94,MATCH($C$144,boss_input_vu_khi!$A$2:$A$94,0))-$E$144)),2-(INDEX(boss_input_vu_khi!$C$2:$C$94,MATCH($C$144,boss_input_vu_khi!$A$2:$A$94,0))-$E$144))+1)))*IF(INDEX(input_xe_tham_chieu!$F$2:$F$6,MATCH($D$144,input_xe_tham_chieu!$A$2:$A$6,0)),INDEX(boss_input_vu_khi_suy_ra!$G$2:$G$94,MATCH($C$144,boss_input_vu_khi_suy_ra!$A$2:$A$94,0)),INDEX(boss_input_vu_khi_suy_ra!$F$2:$F$94,MATCH($C$144,boss_input_vu_khi_suy_ra!$A$2:$A$94,0))),0)</f>
        <v/>
      </c>
      <c r="G144" t="n">
        <v>0.5</v>
      </c>
      <c r="H144">
        <f>INDEX(boss_input_vu_khi!$B$2:$B$94,MATCH($C$144,boss_input_vu_khi!$A$2:$A$94,0))*INDEX(Boss_dps!$D$2:$D$34,MATCH($B$144,Boss_dps!$A$2:$A$34,0))*IF(INDEX(boss_input_vu_khi!$D$2:$D$94,MATCH($C$144,boss_input_vu_khi!$A$2:$A$94,0)),1,INDEX(Boss_dps!$B$2:$B$34,MATCH($B$144,Boss_dps!$A$2:$A$34,0)))*INDEX(Boss_dps!$C$2:$C$34,MATCH($B$144,Boss_dps!$A$2:$A$34,0))*$F$144</f>
        <v/>
      </c>
      <c r="I144" t="n">
        <v>336.854808</v>
      </c>
      <c r="J144">
        <f>IF($H$144&gt;0,CEILING(INDEX(input_xe_tham_chieu!$C$2:$C$6,MATCH($D$144,input_xe_tham_chieu!$A$2:$A$6,0))/$H$144,1),"")</f>
        <v/>
      </c>
      <c r="K144">
        <f>IF(Boss_vu_khi!$S$183*$F$144&gt;0,INDEX(input_xe_tham_chieu!$C$2:$C$6,MATCH($D$144,input_xe_tham_chieu!$A$2:$A$6,0))/(Boss_vu_khi!$S$183*INDEX(Boss_dps!$D$2:$D$34,MATCH($B$144,Boss_dps!$A$2:$A$34,0))*$F$144),"")</f>
        <v/>
      </c>
      <c r="L144">
        <f>1+2*MIN(2,FLOOR(INDEX(boss_input_vu_khi!$E$2:$E$94,MATCH($C$144,boss_input_vu_khi!$A$2:$A$94,0))/8,1))</f>
        <v/>
      </c>
      <c r="M144">
        <f>1+2*MIN(2,FLOOR(MAX(INDEX(boss_input_vu_khi!$E$2:$E$94,MATCH($C$144,boss_input_vu_khi!$A$2:$A$94,0)),Boss_vu_khi!$L$183)/8,1))</f>
        <v/>
      </c>
      <c r="N144">
        <f>IF(INDEX(boss_input_vu_khi!$E$2:$E$94,MATCH($C$144,boss_input_vu_khi!$A$2:$A$94,0))&gt;=8,5,1)</f>
        <v/>
      </c>
      <c r="O144">
        <f>IF(MAX(INDEX(boss_input_vu_khi!$E$2:$E$94,MATCH($C$144,boss_input_vu_khi!$A$2:$A$94,0)),Boss_vu_khi!$L$183)&gt;=8,5,1)</f>
        <v/>
      </c>
      <c r="P144">
        <f>INDEX(boss_input_vu_khi_suy_ra!$H$2:$H$94,MATCH($C$144,boss_input_vu_khi_suy_ra!$A$2:$A$94,0))</f>
        <v/>
      </c>
      <c r="Q144">
        <f>IF(AND(INDEX(input_xe_tham_chieu!$G$2:$G$6,MATCH($D$144,input_xe_tham_chieu!$A$2:$A$6,0))&gt;0,INDEX(boss_input_vu_khi!$E$2:$E$94,MATCH($C$144,boss_input_vu_khi!$A$2:$A$94,0))&gt;0),INDEX(boss_input_vu_khi!$E$2:$E$94,MATCH($C$144,boss_input_vu_khi!$A$2:$A$94,0))/INDEX(input_xe_tham_chieu!$G$2:$G$6,MATCH($D$144,input_xe_tham_chieu!$A$2:$A$6,0)),"")</f>
        <v/>
      </c>
      <c r="R144">
        <f>IF(ISNUMBER($Q$144),IF($P$144&gt;=$Q$144,"DU","THIEU"),"")</f>
        <v/>
      </c>
      <c r="S144" t="inlineStr">
        <is>
          <t>Assets/MachineBrigade/Resources/Data/balance.json: vehicles[id=nyx].weapon x 01_chien_dau/Xe_tham_chieu[heavy_tank]</t>
        </is>
      </c>
      <c r="T144" t="inlineStr"/>
    </row>
    <row r="145">
      <c r="A145" t="inlineStr">
        <is>
          <t>nyx/ifv</t>
        </is>
      </c>
      <c r="B145" t="inlineStr">
        <is>
          <t>nyx</t>
        </is>
      </c>
      <c r="C145" t="inlineStr">
        <is>
          <t>nyx_ags_155</t>
        </is>
      </c>
      <c r="D145" t="inlineStr">
        <is>
          <t>ifv</t>
        </is>
      </c>
      <c r="E145">
        <f>IF(INDEX(boss_input_vu_khi_suy_ra!$D$2:$D$94,MATCH($C$145,boss_input_vu_khi_suy_ra!$A$2:$A$94,0)),INDEX(input_xe_tham_chieu!$E$2:$E$6,MATCH($D$145,input_xe_tham_chieu!$A$2:$A$6,0)),INDEX(input_xe_tham_chieu!$D$2:$D$6,MATCH($D$145,input_xe_tham_chieu!$A$2:$A$6,0)))</f>
        <v/>
      </c>
      <c r="F145">
        <f>IF(INDEX(boss_input_vu_khi_suy_ra!$E$2:$E$94,MATCH($C$145,boss_input_vu_khi_suy_ra!$A$2:$A$94,0)),INDEX(boss_input_bang_xuyen_giap!$B$2:$B$7,MIN(6,MAX(1,IF(INDEX(boss_input_vu_khi_suy_ra!$D$2:$D$94,MATCH($C$145,boss_input_vu_khi_suy_ra!$A$2:$A$94,0)),MAX(1,2-(INDEX(boss_input_vu_khi!$C$2:$C$94,MATCH($C$145,boss_input_vu_khi!$A$2:$A$94,0))-$E$145)),2-(INDEX(boss_input_vu_khi!$C$2:$C$94,MATCH($C$145,boss_input_vu_khi!$A$2:$A$94,0))-$E$145))+1)))*IF(INDEX(input_xe_tham_chieu!$F$2:$F$6,MATCH($D$145,input_xe_tham_chieu!$A$2:$A$6,0)),INDEX(boss_input_vu_khi_suy_ra!$G$2:$G$94,MATCH($C$145,boss_input_vu_khi_suy_ra!$A$2:$A$94,0)),INDEX(boss_input_vu_khi_suy_ra!$F$2:$F$94,MATCH($C$145,boss_input_vu_khi_suy_ra!$A$2:$A$94,0))),0)</f>
        <v/>
      </c>
      <c r="G145" t="n">
        <v>1</v>
      </c>
      <c r="H145">
        <f>INDEX(boss_input_vu_khi!$B$2:$B$94,MATCH($C$145,boss_input_vu_khi!$A$2:$A$94,0))*INDEX(Boss_dps!$D$2:$D$34,MATCH($B$145,Boss_dps!$A$2:$A$34,0))*IF(INDEX(boss_input_vu_khi!$D$2:$D$94,MATCH($C$145,boss_input_vu_khi!$A$2:$A$94,0)),1,INDEX(Boss_dps!$B$2:$B$34,MATCH($B$145,Boss_dps!$A$2:$A$34,0)))*INDEX(Boss_dps!$C$2:$C$34,MATCH($B$145,Boss_dps!$A$2:$A$34,0))*$F$145</f>
        <v/>
      </c>
      <c r="I145" t="n">
        <v>673.709616</v>
      </c>
      <c r="J145">
        <f>IF($H$145&gt;0,CEILING(INDEX(input_xe_tham_chieu!$C$2:$C$6,MATCH($D$145,input_xe_tham_chieu!$A$2:$A$6,0))/$H$145,1),"")</f>
        <v/>
      </c>
      <c r="K145">
        <f>IF(Boss_vu_khi!$S$183*$F$145&gt;0,INDEX(input_xe_tham_chieu!$C$2:$C$6,MATCH($D$145,input_xe_tham_chieu!$A$2:$A$6,0))/(Boss_vu_khi!$S$183*INDEX(Boss_dps!$D$2:$D$34,MATCH($B$145,Boss_dps!$A$2:$A$34,0))*$F$145),"")</f>
        <v/>
      </c>
      <c r="L145">
        <f>1+2*MIN(2,FLOOR(INDEX(boss_input_vu_khi!$E$2:$E$94,MATCH($C$145,boss_input_vu_khi!$A$2:$A$94,0))/8,1))</f>
        <v/>
      </c>
      <c r="M145">
        <f>1+2*MIN(2,FLOOR(MAX(INDEX(boss_input_vu_khi!$E$2:$E$94,MATCH($C$145,boss_input_vu_khi!$A$2:$A$94,0)),Boss_vu_khi!$L$183)/8,1))</f>
        <v/>
      </c>
      <c r="N145">
        <f>IF(INDEX(boss_input_vu_khi!$E$2:$E$94,MATCH($C$145,boss_input_vu_khi!$A$2:$A$94,0))&gt;=8,5,1)</f>
        <v/>
      </c>
      <c r="O145">
        <f>IF(MAX(INDEX(boss_input_vu_khi!$E$2:$E$94,MATCH($C$145,boss_input_vu_khi!$A$2:$A$94,0)),Boss_vu_khi!$L$183)&gt;=8,5,1)</f>
        <v/>
      </c>
      <c r="P145">
        <f>INDEX(boss_input_vu_khi_suy_ra!$H$2:$H$94,MATCH($C$145,boss_input_vu_khi_suy_ra!$A$2:$A$94,0))</f>
        <v/>
      </c>
      <c r="Q145">
        <f>IF(AND(INDEX(input_xe_tham_chieu!$G$2:$G$6,MATCH($D$145,input_xe_tham_chieu!$A$2:$A$6,0))&gt;0,INDEX(boss_input_vu_khi!$E$2:$E$94,MATCH($C$145,boss_input_vu_khi!$A$2:$A$94,0))&gt;0),INDEX(boss_input_vu_khi!$E$2:$E$94,MATCH($C$145,boss_input_vu_khi!$A$2:$A$94,0))/INDEX(input_xe_tham_chieu!$G$2:$G$6,MATCH($D$145,input_xe_tham_chieu!$A$2:$A$6,0)),"")</f>
        <v/>
      </c>
      <c r="R145">
        <f>IF(ISNUMBER($Q$145),IF($P$145&gt;=$Q$145,"DU","THIEU"),"")</f>
        <v/>
      </c>
      <c r="S145" t="inlineStr">
        <is>
          <t>Assets/MachineBrigade/Resources/Data/balance.json: vehicles[id=nyx].weapon x 01_chien_dau/Xe_tham_chieu[ifv]</t>
        </is>
      </c>
      <c r="T145" t="inlineStr"/>
    </row>
    <row r="146">
      <c r="A146" t="inlineStr">
        <is>
          <t>nyx/main_battle_tank</t>
        </is>
      </c>
      <c r="B146" t="inlineStr">
        <is>
          <t>nyx</t>
        </is>
      </c>
      <c r="C146" t="inlineStr">
        <is>
          <t>nyx_ags_155</t>
        </is>
      </c>
      <c r="D146" t="inlineStr">
        <is>
          <t>main_battle_tank</t>
        </is>
      </c>
      <c r="E146">
        <f>IF(INDEX(boss_input_vu_khi_suy_ra!$D$2:$D$94,MATCH($C$146,boss_input_vu_khi_suy_ra!$A$2:$A$94,0)),INDEX(input_xe_tham_chieu!$E$2:$E$6,MATCH($D$146,input_xe_tham_chieu!$A$2:$A$6,0)),INDEX(input_xe_tham_chieu!$D$2:$D$6,MATCH($D$146,input_xe_tham_chieu!$A$2:$A$6,0)))</f>
        <v/>
      </c>
      <c r="F146">
        <f>IF(INDEX(boss_input_vu_khi_suy_ra!$E$2:$E$94,MATCH($C$146,boss_input_vu_khi_suy_ra!$A$2:$A$94,0)),INDEX(boss_input_bang_xuyen_giap!$B$2:$B$7,MIN(6,MAX(1,IF(INDEX(boss_input_vu_khi_suy_ra!$D$2:$D$94,MATCH($C$146,boss_input_vu_khi_suy_ra!$A$2:$A$94,0)),MAX(1,2-(INDEX(boss_input_vu_khi!$C$2:$C$94,MATCH($C$146,boss_input_vu_khi!$A$2:$A$94,0))-$E$146)),2-(INDEX(boss_input_vu_khi!$C$2:$C$94,MATCH($C$146,boss_input_vu_khi!$A$2:$A$94,0))-$E$146))+1)))*IF(INDEX(input_xe_tham_chieu!$F$2:$F$6,MATCH($D$146,input_xe_tham_chieu!$A$2:$A$6,0)),INDEX(boss_input_vu_khi_suy_ra!$G$2:$G$94,MATCH($C$146,boss_input_vu_khi_suy_ra!$A$2:$A$94,0)),INDEX(boss_input_vu_khi_suy_ra!$F$2:$F$94,MATCH($C$146,boss_input_vu_khi_suy_ra!$A$2:$A$94,0))),0)</f>
        <v/>
      </c>
      <c r="G146" t="n">
        <v>0.5</v>
      </c>
      <c r="H146">
        <f>INDEX(boss_input_vu_khi!$B$2:$B$94,MATCH($C$146,boss_input_vu_khi!$A$2:$A$94,0))*INDEX(Boss_dps!$D$2:$D$34,MATCH($B$146,Boss_dps!$A$2:$A$34,0))*IF(INDEX(boss_input_vu_khi!$D$2:$D$94,MATCH($C$146,boss_input_vu_khi!$A$2:$A$94,0)),1,INDEX(Boss_dps!$B$2:$B$34,MATCH($B$146,Boss_dps!$A$2:$A$34,0)))*INDEX(Boss_dps!$C$2:$C$34,MATCH($B$146,Boss_dps!$A$2:$A$34,0))*$F$146</f>
        <v/>
      </c>
      <c r="I146" t="n">
        <v>336.854808</v>
      </c>
      <c r="J146">
        <f>IF($H$146&gt;0,CEILING(INDEX(input_xe_tham_chieu!$C$2:$C$6,MATCH($D$146,input_xe_tham_chieu!$A$2:$A$6,0))/$H$146,1),"")</f>
        <v/>
      </c>
      <c r="K146">
        <f>IF(Boss_vu_khi!$S$183*$F$146&gt;0,INDEX(input_xe_tham_chieu!$C$2:$C$6,MATCH($D$146,input_xe_tham_chieu!$A$2:$A$6,0))/(Boss_vu_khi!$S$183*INDEX(Boss_dps!$D$2:$D$34,MATCH($B$146,Boss_dps!$A$2:$A$34,0))*$F$146),"")</f>
        <v/>
      </c>
      <c r="L146">
        <f>1+2*MIN(2,FLOOR(INDEX(boss_input_vu_khi!$E$2:$E$94,MATCH($C$146,boss_input_vu_khi!$A$2:$A$94,0))/8,1))</f>
        <v/>
      </c>
      <c r="M146">
        <f>1+2*MIN(2,FLOOR(MAX(INDEX(boss_input_vu_khi!$E$2:$E$94,MATCH($C$146,boss_input_vu_khi!$A$2:$A$94,0)),Boss_vu_khi!$L$183)/8,1))</f>
        <v/>
      </c>
      <c r="N146">
        <f>IF(INDEX(boss_input_vu_khi!$E$2:$E$94,MATCH($C$146,boss_input_vu_khi!$A$2:$A$94,0))&gt;=8,5,1)</f>
        <v/>
      </c>
      <c r="O146">
        <f>IF(MAX(INDEX(boss_input_vu_khi!$E$2:$E$94,MATCH($C$146,boss_input_vu_khi!$A$2:$A$94,0)),Boss_vu_khi!$L$183)&gt;=8,5,1)</f>
        <v/>
      </c>
      <c r="P146">
        <f>INDEX(boss_input_vu_khi_suy_ra!$H$2:$H$94,MATCH($C$146,boss_input_vu_khi_suy_ra!$A$2:$A$94,0))</f>
        <v/>
      </c>
      <c r="Q146">
        <f>IF(AND(INDEX(input_xe_tham_chieu!$G$2:$G$6,MATCH($D$146,input_xe_tham_chieu!$A$2:$A$6,0))&gt;0,INDEX(boss_input_vu_khi!$E$2:$E$94,MATCH($C$146,boss_input_vu_khi!$A$2:$A$94,0))&gt;0),INDEX(boss_input_vu_khi!$E$2:$E$94,MATCH($C$146,boss_input_vu_khi!$A$2:$A$94,0))/INDEX(input_xe_tham_chieu!$G$2:$G$6,MATCH($D$146,input_xe_tham_chieu!$A$2:$A$6,0)),"")</f>
        <v/>
      </c>
      <c r="R146">
        <f>IF(ISNUMBER($Q$146),IF($P$146&gt;=$Q$146,"DU","THIEU"),"")</f>
        <v/>
      </c>
      <c r="S146" t="inlineStr">
        <is>
          <t>Assets/MachineBrigade/Resources/Data/balance.json: vehicles[id=nyx].weapon x 01_chien_dau/Xe_tham_chieu[main_battle_tank]</t>
        </is>
      </c>
      <c r="T146" t="inlineStr"/>
    </row>
    <row r="147">
      <c r="A147" t="inlineStr">
        <is>
          <t>scylla/armored_car</t>
        </is>
      </c>
      <c r="B147" t="inlineStr">
        <is>
          <t>scylla</t>
        </is>
      </c>
      <c r="C147" t="inlineStr">
        <is>
          <t>naval_130_twin</t>
        </is>
      </c>
      <c r="D147" t="inlineStr">
        <is>
          <t>armored_car</t>
        </is>
      </c>
      <c r="E147">
        <f>IF(INDEX(boss_input_vu_khi_suy_ra!$D$2:$D$94,MATCH($C$147,boss_input_vu_khi_suy_ra!$A$2:$A$94,0)),INDEX(input_xe_tham_chieu!$E$2:$E$6,MATCH($D$147,input_xe_tham_chieu!$A$2:$A$6,0)),INDEX(input_xe_tham_chieu!$D$2:$D$6,MATCH($D$147,input_xe_tham_chieu!$A$2:$A$6,0)))</f>
        <v/>
      </c>
      <c r="F147">
        <f>IF(INDEX(boss_input_vu_khi_suy_ra!$E$2:$E$94,MATCH($C$147,boss_input_vu_khi_suy_ra!$A$2:$A$94,0)),INDEX(boss_input_bang_xuyen_giap!$B$2:$B$7,MIN(6,MAX(1,IF(INDEX(boss_input_vu_khi_suy_ra!$D$2:$D$94,MATCH($C$147,boss_input_vu_khi_suy_ra!$A$2:$A$94,0)),MAX(1,2-(INDEX(boss_input_vu_khi!$C$2:$C$94,MATCH($C$147,boss_input_vu_khi!$A$2:$A$94,0))-$E$147)),2-(INDEX(boss_input_vu_khi!$C$2:$C$94,MATCH($C$147,boss_input_vu_khi!$A$2:$A$94,0))-$E$147))+1)))*IF(INDEX(input_xe_tham_chieu!$F$2:$F$6,MATCH($D$147,input_xe_tham_chieu!$A$2:$A$6,0)),INDEX(boss_input_vu_khi_suy_ra!$G$2:$G$94,MATCH($C$147,boss_input_vu_khi_suy_ra!$A$2:$A$94,0)),INDEX(boss_input_vu_khi_suy_ra!$F$2:$F$94,MATCH($C$147,boss_input_vu_khi_suy_ra!$A$2:$A$94,0))),0)</f>
        <v/>
      </c>
      <c r="G147" t="n">
        <v>1.2</v>
      </c>
      <c r="H147">
        <f>INDEX(boss_input_vu_khi!$B$2:$B$94,MATCH($C$147,boss_input_vu_khi!$A$2:$A$94,0))*INDEX(Boss_dps!$D$2:$D$34,MATCH($B$147,Boss_dps!$A$2:$A$34,0))*IF(INDEX(boss_input_vu_khi!$D$2:$D$94,MATCH($C$147,boss_input_vu_khi!$A$2:$A$94,0)),1,INDEX(Boss_dps!$B$2:$B$34,MATCH($B$147,Boss_dps!$A$2:$A$34,0)))*INDEX(Boss_dps!$C$2:$C$34,MATCH($B$147,Boss_dps!$A$2:$A$34,0))*$F$147</f>
        <v/>
      </c>
      <c r="I147" t="n">
        <v>1268.18471016</v>
      </c>
      <c r="J147">
        <f>IF($H$147&gt;0,CEILING(INDEX(input_xe_tham_chieu!$C$2:$C$6,MATCH($D$147,input_xe_tham_chieu!$A$2:$A$6,0))/$H$147,1),"")</f>
        <v/>
      </c>
      <c r="K147">
        <f>IF(Boss_vu_khi!$S$189*$F$147&gt;0,INDEX(input_xe_tham_chieu!$C$2:$C$6,MATCH($D$147,input_xe_tham_chieu!$A$2:$A$6,0))/(Boss_vu_khi!$S$189*INDEX(Boss_dps!$D$2:$D$34,MATCH($B$147,Boss_dps!$A$2:$A$34,0))*$F$147),"")</f>
        <v/>
      </c>
      <c r="L147">
        <f>1+2*MIN(2,FLOOR(INDEX(boss_input_vu_khi!$E$2:$E$94,MATCH($C$147,boss_input_vu_khi!$A$2:$A$94,0))/8,1))</f>
        <v/>
      </c>
      <c r="M147">
        <f>1+2*MIN(2,FLOOR(MAX(INDEX(boss_input_vu_khi!$E$2:$E$94,MATCH($C$147,boss_input_vu_khi!$A$2:$A$94,0)),Boss_vu_khi!$L$189)/8,1))</f>
        <v/>
      </c>
      <c r="N147">
        <f>IF(INDEX(boss_input_vu_khi!$E$2:$E$94,MATCH($C$147,boss_input_vu_khi!$A$2:$A$94,0))&gt;=8,5,1)</f>
        <v/>
      </c>
      <c r="O147">
        <f>IF(MAX(INDEX(boss_input_vu_khi!$E$2:$E$94,MATCH($C$147,boss_input_vu_khi!$A$2:$A$94,0)),Boss_vu_khi!$L$189)&gt;=8,5,1)</f>
        <v/>
      </c>
      <c r="P147">
        <f>INDEX(boss_input_vu_khi_suy_ra!$H$2:$H$94,MATCH($C$147,boss_input_vu_khi_suy_ra!$A$2:$A$94,0))</f>
        <v/>
      </c>
      <c r="Q147">
        <f>IF(AND(INDEX(input_xe_tham_chieu!$G$2:$G$6,MATCH($D$147,input_xe_tham_chieu!$A$2:$A$6,0))&gt;0,INDEX(boss_input_vu_khi!$E$2:$E$94,MATCH($C$147,boss_input_vu_khi!$A$2:$A$94,0))&gt;0),INDEX(boss_input_vu_khi!$E$2:$E$94,MATCH($C$147,boss_input_vu_khi!$A$2:$A$94,0))/INDEX(input_xe_tham_chieu!$G$2:$G$6,MATCH($D$147,input_xe_tham_chieu!$A$2:$A$6,0)),"")</f>
        <v/>
      </c>
      <c r="R147">
        <f>IF(ISNUMBER($Q$147),IF($P$147&gt;=$Q$147,"DU","THIEU"),"")</f>
        <v/>
      </c>
      <c r="S147" t="inlineStr">
        <is>
          <t>Assets/MachineBrigade/Resources/Data/balance.json: vehicles[id=scylla].weapon x 01_chien_dau/Xe_tham_chieu[armored_car]</t>
        </is>
      </c>
      <c r="T147" t="inlineStr"/>
    </row>
    <row r="148">
      <c r="A148" t="inlineStr">
        <is>
          <t>scylla/gun_turret</t>
        </is>
      </c>
      <c r="B148" t="inlineStr">
        <is>
          <t>scylla</t>
        </is>
      </c>
      <c r="C148" t="inlineStr">
        <is>
          <t>naval_130_twin</t>
        </is>
      </c>
      <c r="D148" t="inlineStr">
        <is>
          <t>gun_turret</t>
        </is>
      </c>
      <c r="E148">
        <f>IF(INDEX(boss_input_vu_khi_suy_ra!$D$2:$D$94,MATCH($C$148,boss_input_vu_khi_suy_ra!$A$2:$A$94,0)),INDEX(input_xe_tham_chieu!$E$2:$E$6,MATCH($D$148,input_xe_tham_chieu!$A$2:$A$6,0)),INDEX(input_xe_tham_chieu!$D$2:$D$6,MATCH($D$148,input_xe_tham_chieu!$A$2:$A$6,0)))</f>
        <v/>
      </c>
      <c r="F148">
        <f>IF(INDEX(boss_input_vu_khi_suy_ra!$E$2:$E$94,MATCH($C$148,boss_input_vu_khi_suy_ra!$A$2:$A$94,0)),INDEX(boss_input_bang_xuyen_giap!$B$2:$B$7,MIN(6,MAX(1,IF(INDEX(boss_input_vu_khi_suy_ra!$D$2:$D$94,MATCH($C$148,boss_input_vu_khi_suy_ra!$A$2:$A$94,0)),MAX(1,2-(INDEX(boss_input_vu_khi!$C$2:$C$94,MATCH($C$148,boss_input_vu_khi!$A$2:$A$94,0))-$E$148)),2-(INDEX(boss_input_vu_khi!$C$2:$C$94,MATCH($C$148,boss_input_vu_khi!$A$2:$A$94,0))-$E$148))+1)))*IF(INDEX(input_xe_tham_chieu!$F$2:$F$6,MATCH($D$148,input_xe_tham_chieu!$A$2:$A$6,0)),INDEX(boss_input_vu_khi_suy_ra!$G$2:$G$94,MATCH($C$148,boss_input_vu_khi_suy_ra!$A$2:$A$94,0)),INDEX(boss_input_vu_khi_suy_ra!$F$2:$F$94,MATCH($C$148,boss_input_vu_khi_suy_ra!$A$2:$A$94,0))),0)</f>
        <v/>
      </c>
      <c r="G148" t="n">
        <v>1.275</v>
      </c>
      <c r="H148">
        <f>INDEX(boss_input_vu_khi!$B$2:$B$94,MATCH($C$148,boss_input_vu_khi!$A$2:$A$94,0))*INDEX(Boss_dps!$D$2:$D$34,MATCH($B$148,Boss_dps!$A$2:$A$34,0))*IF(INDEX(boss_input_vu_khi!$D$2:$D$94,MATCH($C$148,boss_input_vu_khi!$A$2:$A$94,0)),1,INDEX(Boss_dps!$B$2:$B$34,MATCH($B$148,Boss_dps!$A$2:$A$34,0)))*INDEX(Boss_dps!$C$2:$C$34,MATCH($B$148,Boss_dps!$A$2:$A$34,0))*$F$148</f>
        <v/>
      </c>
      <c r="I148" t="n">
        <v>1347.446254545</v>
      </c>
      <c r="J148">
        <f>IF($H$148&gt;0,CEILING(INDEX(input_xe_tham_chieu!$C$2:$C$6,MATCH($D$148,input_xe_tham_chieu!$A$2:$A$6,0))/$H$148,1),"")</f>
        <v/>
      </c>
      <c r="K148">
        <f>IF(Boss_vu_khi!$S$189*$F$148&gt;0,INDEX(input_xe_tham_chieu!$C$2:$C$6,MATCH($D$148,input_xe_tham_chieu!$A$2:$A$6,0))/(Boss_vu_khi!$S$189*INDEX(Boss_dps!$D$2:$D$34,MATCH($B$148,Boss_dps!$A$2:$A$34,0))*$F$148),"")</f>
        <v/>
      </c>
      <c r="L148">
        <f>1+2*MIN(2,FLOOR(INDEX(boss_input_vu_khi!$E$2:$E$94,MATCH($C$148,boss_input_vu_khi!$A$2:$A$94,0))/8,1))</f>
        <v/>
      </c>
      <c r="M148">
        <f>1+2*MIN(2,FLOOR(MAX(INDEX(boss_input_vu_khi!$E$2:$E$94,MATCH($C$148,boss_input_vu_khi!$A$2:$A$94,0)),Boss_vu_khi!$L$189)/8,1))</f>
        <v/>
      </c>
      <c r="N148">
        <f>IF(INDEX(boss_input_vu_khi!$E$2:$E$94,MATCH($C$148,boss_input_vu_khi!$A$2:$A$94,0))&gt;=8,5,1)</f>
        <v/>
      </c>
      <c r="O148">
        <f>IF(MAX(INDEX(boss_input_vu_khi!$E$2:$E$94,MATCH($C$148,boss_input_vu_khi!$A$2:$A$94,0)),Boss_vu_khi!$L$189)&gt;=8,5,1)</f>
        <v/>
      </c>
      <c r="P148">
        <f>INDEX(boss_input_vu_khi_suy_ra!$H$2:$H$94,MATCH($C$148,boss_input_vu_khi_suy_ra!$A$2:$A$94,0))</f>
        <v/>
      </c>
      <c r="Q148">
        <f>IF(AND(INDEX(input_xe_tham_chieu!$G$2:$G$6,MATCH($D$148,input_xe_tham_chieu!$A$2:$A$6,0))&gt;0,INDEX(boss_input_vu_khi!$E$2:$E$94,MATCH($C$148,boss_input_vu_khi!$A$2:$A$94,0))&gt;0),INDEX(boss_input_vu_khi!$E$2:$E$94,MATCH($C$148,boss_input_vu_khi!$A$2:$A$94,0))/INDEX(input_xe_tham_chieu!$G$2:$G$6,MATCH($D$148,input_xe_tham_chieu!$A$2:$A$6,0)),"")</f>
        <v/>
      </c>
      <c r="R148">
        <f>IF(ISNUMBER($Q$148),IF($P$148&gt;=$Q$148,"DU","THIEU"),"")</f>
        <v/>
      </c>
      <c r="S148" t="inlineStr">
        <is>
          <t>Assets/MachineBrigade/Resources/Data/balance.json: vehicles[id=scylla].weapon x 01_chien_dau/Xe_tham_chieu[gun_turret]</t>
        </is>
      </c>
      <c r="T148" t="inlineStr"/>
    </row>
    <row r="149">
      <c r="A149" t="inlineStr">
        <is>
          <t>scylla/heavy_tank</t>
        </is>
      </c>
      <c r="B149" t="inlineStr">
        <is>
          <t>scylla</t>
        </is>
      </c>
      <c r="C149" t="inlineStr">
        <is>
          <t>naval_130_twin</t>
        </is>
      </c>
      <c r="D149" t="inlineStr">
        <is>
          <t>heavy_tank</t>
        </is>
      </c>
      <c r="E149">
        <f>IF(INDEX(boss_input_vu_khi_suy_ra!$D$2:$D$94,MATCH($C$149,boss_input_vu_khi_suy_ra!$A$2:$A$94,0)),INDEX(input_xe_tham_chieu!$E$2:$E$6,MATCH($D$149,input_xe_tham_chieu!$A$2:$A$6,0)),INDEX(input_xe_tham_chieu!$D$2:$D$6,MATCH($D$149,input_xe_tham_chieu!$A$2:$A$6,0)))</f>
        <v/>
      </c>
      <c r="F149">
        <f>IF(INDEX(boss_input_vu_khi_suy_ra!$E$2:$E$94,MATCH($C$149,boss_input_vu_khi_suy_ra!$A$2:$A$94,0)),INDEX(boss_input_bang_xuyen_giap!$B$2:$B$7,MIN(6,MAX(1,IF(INDEX(boss_input_vu_khi_suy_ra!$D$2:$D$94,MATCH($C$149,boss_input_vu_khi_suy_ra!$A$2:$A$94,0)),MAX(1,2-(INDEX(boss_input_vu_khi!$C$2:$C$94,MATCH($C$149,boss_input_vu_khi!$A$2:$A$94,0))-$E$149)),2-(INDEX(boss_input_vu_khi!$C$2:$C$94,MATCH($C$149,boss_input_vu_khi!$A$2:$A$94,0))-$E$149))+1)))*IF(INDEX(input_xe_tham_chieu!$F$2:$F$6,MATCH($D$149,input_xe_tham_chieu!$A$2:$A$6,0)),INDEX(boss_input_vu_khi_suy_ra!$G$2:$G$94,MATCH($C$149,boss_input_vu_khi_suy_ra!$A$2:$A$94,0)),INDEX(boss_input_vu_khi_suy_ra!$F$2:$F$94,MATCH($C$149,boss_input_vu_khi_suy_ra!$A$2:$A$94,0))),0)</f>
        <v/>
      </c>
      <c r="G149" t="n">
        <v>0.5</v>
      </c>
      <c r="H149">
        <f>INDEX(boss_input_vu_khi!$B$2:$B$94,MATCH($C$149,boss_input_vu_khi!$A$2:$A$94,0))*INDEX(Boss_dps!$D$2:$D$34,MATCH($B$149,Boss_dps!$A$2:$A$34,0))*IF(INDEX(boss_input_vu_khi!$D$2:$D$94,MATCH($C$149,boss_input_vu_khi!$A$2:$A$94,0)),1,INDEX(Boss_dps!$B$2:$B$34,MATCH($B$149,Boss_dps!$A$2:$A$34,0)))*INDEX(Boss_dps!$C$2:$C$34,MATCH($B$149,Boss_dps!$A$2:$A$34,0))*$F$149</f>
        <v/>
      </c>
      <c r="I149" t="n">
        <v>528.4102958999999</v>
      </c>
      <c r="J149">
        <f>IF($H$149&gt;0,CEILING(INDEX(input_xe_tham_chieu!$C$2:$C$6,MATCH($D$149,input_xe_tham_chieu!$A$2:$A$6,0))/$H$149,1),"")</f>
        <v/>
      </c>
      <c r="K149">
        <f>IF(Boss_vu_khi!$S$189*$F$149&gt;0,INDEX(input_xe_tham_chieu!$C$2:$C$6,MATCH($D$149,input_xe_tham_chieu!$A$2:$A$6,0))/(Boss_vu_khi!$S$189*INDEX(Boss_dps!$D$2:$D$34,MATCH($B$149,Boss_dps!$A$2:$A$34,0))*$F$149),"")</f>
        <v/>
      </c>
      <c r="L149">
        <f>1+2*MIN(2,FLOOR(INDEX(boss_input_vu_khi!$E$2:$E$94,MATCH($C$149,boss_input_vu_khi!$A$2:$A$94,0))/8,1))</f>
        <v/>
      </c>
      <c r="M149">
        <f>1+2*MIN(2,FLOOR(MAX(INDEX(boss_input_vu_khi!$E$2:$E$94,MATCH($C$149,boss_input_vu_khi!$A$2:$A$94,0)),Boss_vu_khi!$L$189)/8,1))</f>
        <v/>
      </c>
      <c r="N149">
        <f>IF(INDEX(boss_input_vu_khi!$E$2:$E$94,MATCH($C$149,boss_input_vu_khi!$A$2:$A$94,0))&gt;=8,5,1)</f>
        <v/>
      </c>
      <c r="O149">
        <f>IF(MAX(INDEX(boss_input_vu_khi!$E$2:$E$94,MATCH($C$149,boss_input_vu_khi!$A$2:$A$94,0)),Boss_vu_khi!$L$189)&gt;=8,5,1)</f>
        <v/>
      </c>
      <c r="P149">
        <f>INDEX(boss_input_vu_khi_suy_ra!$H$2:$H$94,MATCH($C$149,boss_input_vu_khi_suy_ra!$A$2:$A$94,0))</f>
        <v/>
      </c>
      <c r="Q149">
        <f>IF(AND(INDEX(input_xe_tham_chieu!$G$2:$G$6,MATCH($D$149,input_xe_tham_chieu!$A$2:$A$6,0))&gt;0,INDEX(boss_input_vu_khi!$E$2:$E$94,MATCH($C$149,boss_input_vu_khi!$A$2:$A$94,0))&gt;0),INDEX(boss_input_vu_khi!$E$2:$E$94,MATCH($C$149,boss_input_vu_khi!$A$2:$A$94,0))/INDEX(input_xe_tham_chieu!$G$2:$G$6,MATCH($D$149,input_xe_tham_chieu!$A$2:$A$6,0)),"")</f>
        <v/>
      </c>
      <c r="R149">
        <f>IF(ISNUMBER($Q$149),IF($P$149&gt;=$Q$149,"DU","THIEU"),"")</f>
        <v/>
      </c>
      <c r="S149" t="inlineStr">
        <is>
          <t>Assets/MachineBrigade/Resources/Data/balance.json: vehicles[id=scylla].weapon x 01_chien_dau/Xe_tham_chieu[heavy_tank]</t>
        </is>
      </c>
      <c r="T149" t="inlineStr"/>
    </row>
    <row r="150">
      <c r="A150" t="inlineStr">
        <is>
          <t>scylla/ifv</t>
        </is>
      </c>
      <c r="B150" t="inlineStr">
        <is>
          <t>scylla</t>
        </is>
      </c>
      <c r="C150" t="inlineStr">
        <is>
          <t>naval_130_twin</t>
        </is>
      </c>
      <c r="D150" t="inlineStr">
        <is>
          <t>ifv</t>
        </is>
      </c>
      <c r="E150">
        <f>IF(INDEX(boss_input_vu_khi_suy_ra!$D$2:$D$94,MATCH($C$150,boss_input_vu_khi_suy_ra!$A$2:$A$94,0)),INDEX(input_xe_tham_chieu!$E$2:$E$6,MATCH($D$150,input_xe_tham_chieu!$A$2:$A$6,0)),INDEX(input_xe_tham_chieu!$D$2:$D$6,MATCH($D$150,input_xe_tham_chieu!$A$2:$A$6,0)))</f>
        <v/>
      </c>
      <c r="F150">
        <f>IF(INDEX(boss_input_vu_khi_suy_ra!$E$2:$E$94,MATCH($C$150,boss_input_vu_khi_suy_ra!$A$2:$A$94,0)),INDEX(boss_input_bang_xuyen_giap!$B$2:$B$7,MIN(6,MAX(1,IF(INDEX(boss_input_vu_khi_suy_ra!$D$2:$D$94,MATCH($C$150,boss_input_vu_khi_suy_ra!$A$2:$A$94,0)),MAX(1,2-(INDEX(boss_input_vu_khi!$C$2:$C$94,MATCH($C$150,boss_input_vu_khi!$A$2:$A$94,0))-$E$150)),2-(INDEX(boss_input_vu_khi!$C$2:$C$94,MATCH($C$150,boss_input_vu_khi!$A$2:$A$94,0))-$E$150))+1)))*IF(INDEX(input_xe_tham_chieu!$F$2:$F$6,MATCH($D$150,input_xe_tham_chieu!$A$2:$A$6,0)),INDEX(boss_input_vu_khi_suy_ra!$G$2:$G$94,MATCH($C$150,boss_input_vu_khi_suy_ra!$A$2:$A$94,0)),INDEX(boss_input_vu_khi_suy_ra!$F$2:$F$94,MATCH($C$150,boss_input_vu_khi_suy_ra!$A$2:$A$94,0))),0)</f>
        <v/>
      </c>
      <c r="G150" t="n">
        <v>1</v>
      </c>
      <c r="H150">
        <f>INDEX(boss_input_vu_khi!$B$2:$B$94,MATCH($C$150,boss_input_vu_khi!$A$2:$A$94,0))*INDEX(Boss_dps!$D$2:$D$34,MATCH($B$150,Boss_dps!$A$2:$A$34,0))*IF(INDEX(boss_input_vu_khi!$D$2:$D$94,MATCH($C$150,boss_input_vu_khi!$A$2:$A$94,0)),1,INDEX(Boss_dps!$B$2:$B$34,MATCH($B$150,Boss_dps!$A$2:$A$34,0)))*INDEX(Boss_dps!$C$2:$C$34,MATCH($B$150,Boss_dps!$A$2:$A$34,0))*$F$150</f>
        <v/>
      </c>
      <c r="I150" t="n">
        <v>1056.8205918</v>
      </c>
      <c r="J150">
        <f>IF($H$150&gt;0,CEILING(INDEX(input_xe_tham_chieu!$C$2:$C$6,MATCH($D$150,input_xe_tham_chieu!$A$2:$A$6,0))/$H$150,1),"")</f>
        <v/>
      </c>
      <c r="K150">
        <f>IF(Boss_vu_khi!$S$189*$F$150&gt;0,INDEX(input_xe_tham_chieu!$C$2:$C$6,MATCH($D$150,input_xe_tham_chieu!$A$2:$A$6,0))/(Boss_vu_khi!$S$189*INDEX(Boss_dps!$D$2:$D$34,MATCH($B$150,Boss_dps!$A$2:$A$34,0))*$F$150),"")</f>
        <v/>
      </c>
      <c r="L150">
        <f>1+2*MIN(2,FLOOR(INDEX(boss_input_vu_khi!$E$2:$E$94,MATCH($C$150,boss_input_vu_khi!$A$2:$A$94,0))/8,1))</f>
        <v/>
      </c>
      <c r="M150">
        <f>1+2*MIN(2,FLOOR(MAX(INDEX(boss_input_vu_khi!$E$2:$E$94,MATCH($C$150,boss_input_vu_khi!$A$2:$A$94,0)),Boss_vu_khi!$L$189)/8,1))</f>
        <v/>
      </c>
      <c r="N150">
        <f>IF(INDEX(boss_input_vu_khi!$E$2:$E$94,MATCH($C$150,boss_input_vu_khi!$A$2:$A$94,0))&gt;=8,5,1)</f>
        <v/>
      </c>
      <c r="O150">
        <f>IF(MAX(INDEX(boss_input_vu_khi!$E$2:$E$94,MATCH($C$150,boss_input_vu_khi!$A$2:$A$94,0)),Boss_vu_khi!$L$189)&gt;=8,5,1)</f>
        <v/>
      </c>
      <c r="P150">
        <f>INDEX(boss_input_vu_khi_suy_ra!$H$2:$H$94,MATCH($C$150,boss_input_vu_khi_suy_ra!$A$2:$A$94,0))</f>
        <v/>
      </c>
      <c r="Q150">
        <f>IF(AND(INDEX(input_xe_tham_chieu!$G$2:$G$6,MATCH($D$150,input_xe_tham_chieu!$A$2:$A$6,0))&gt;0,INDEX(boss_input_vu_khi!$E$2:$E$94,MATCH($C$150,boss_input_vu_khi!$A$2:$A$94,0))&gt;0),INDEX(boss_input_vu_khi!$E$2:$E$94,MATCH($C$150,boss_input_vu_khi!$A$2:$A$94,0))/INDEX(input_xe_tham_chieu!$G$2:$G$6,MATCH($D$150,input_xe_tham_chieu!$A$2:$A$6,0)),"")</f>
        <v/>
      </c>
      <c r="R150">
        <f>IF(ISNUMBER($Q$150),IF($P$150&gt;=$Q$150,"DU","THIEU"),"")</f>
        <v/>
      </c>
      <c r="S150" t="inlineStr">
        <is>
          <t>Assets/MachineBrigade/Resources/Data/balance.json: vehicles[id=scylla].weapon x 01_chien_dau/Xe_tham_chieu[ifv]</t>
        </is>
      </c>
      <c r="T150" t="inlineStr"/>
    </row>
    <row r="151">
      <c r="A151" t="inlineStr">
        <is>
          <t>scylla/main_battle_tank</t>
        </is>
      </c>
      <c r="B151" t="inlineStr">
        <is>
          <t>scylla</t>
        </is>
      </c>
      <c r="C151" t="inlineStr">
        <is>
          <t>naval_130_twin</t>
        </is>
      </c>
      <c r="D151" t="inlineStr">
        <is>
          <t>main_battle_tank</t>
        </is>
      </c>
      <c r="E151">
        <f>IF(INDEX(boss_input_vu_khi_suy_ra!$D$2:$D$94,MATCH($C$151,boss_input_vu_khi_suy_ra!$A$2:$A$94,0)),INDEX(input_xe_tham_chieu!$E$2:$E$6,MATCH($D$151,input_xe_tham_chieu!$A$2:$A$6,0)),INDEX(input_xe_tham_chieu!$D$2:$D$6,MATCH($D$151,input_xe_tham_chieu!$A$2:$A$6,0)))</f>
        <v/>
      </c>
      <c r="F151">
        <f>IF(INDEX(boss_input_vu_khi_suy_ra!$E$2:$E$94,MATCH($C$151,boss_input_vu_khi_suy_ra!$A$2:$A$94,0)),INDEX(boss_input_bang_xuyen_giap!$B$2:$B$7,MIN(6,MAX(1,IF(INDEX(boss_input_vu_khi_suy_ra!$D$2:$D$94,MATCH($C$151,boss_input_vu_khi_suy_ra!$A$2:$A$94,0)),MAX(1,2-(INDEX(boss_input_vu_khi!$C$2:$C$94,MATCH($C$151,boss_input_vu_khi!$A$2:$A$94,0))-$E$151)),2-(INDEX(boss_input_vu_khi!$C$2:$C$94,MATCH($C$151,boss_input_vu_khi!$A$2:$A$94,0))-$E$151))+1)))*IF(INDEX(input_xe_tham_chieu!$F$2:$F$6,MATCH($D$151,input_xe_tham_chieu!$A$2:$A$6,0)),INDEX(boss_input_vu_khi_suy_ra!$G$2:$G$94,MATCH($C$151,boss_input_vu_khi_suy_ra!$A$2:$A$94,0)),INDEX(boss_input_vu_khi_suy_ra!$F$2:$F$94,MATCH($C$151,boss_input_vu_khi_suy_ra!$A$2:$A$94,0))),0)</f>
        <v/>
      </c>
      <c r="G151" t="n">
        <v>0.5</v>
      </c>
      <c r="H151">
        <f>INDEX(boss_input_vu_khi!$B$2:$B$94,MATCH($C$151,boss_input_vu_khi!$A$2:$A$94,0))*INDEX(Boss_dps!$D$2:$D$34,MATCH($B$151,Boss_dps!$A$2:$A$34,0))*IF(INDEX(boss_input_vu_khi!$D$2:$D$94,MATCH($C$151,boss_input_vu_khi!$A$2:$A$94,0)),1,INDEX(Boss_dps!$B$2:$B$34,MATCH($B$151,Boss_dps!$A$2:$A$34,0)))*INDEX(Boss_dps!$C$2:$C$34,MATCH($B$151,Boss_dps!$A$2:$A$34,0))*$F$151</f>
        <v/>
      </c>
      <c r="I151" t="n">
        <v>528.4102958999999</v>
      </c>
      <c r="J151">
        <f>IF($H$151&gt;0,CEILING(INDEX(input_xe_tham_chieu!$C$2:$C$6,MATCH($D$151,input_xe_tham_chieu!$A$2:$A$6,0))/$H$151,1),"")</f>
        <v/>
      </c>
      <c r="K151">
        <f>IF(Boss_vu_khi!$S$189*$F$151&gt;0,INDEX(input_xe_tham_chieu!$C$2:$C$6,MATCH($D$151,input_xe_tham_chieu!$A$2:$A$6,0))/(Boss_vu_khi!$S$189*INDEX(Boss_dps!$D$2:$D$34,MATCH($B$151,Boss_dps!$A$2:$A$34,0))*$F$151),"")</f>
        <v/>
      </c>
      <c r="L151">
        <f>1+2*MIN(2,FLOOR(INDEX(boss_input_vu_khi!$E$2:$E$94,MATCH($C$151,boss_input_vu_khi!$A$2:$A$94,0))/8,1))</f>
        <v/>
      </c>
      <c r="M151">
        <f>1+2*MIN(2,FLOOR(MAX(INDEX(boss_input_vu_khi!$E$2:$E$94,MATCH($C$151,boss_input_vu_khi!$A$2:$A$94,0)),Boss_vu_khi!$L$189)/8,1))</f>
        <v/>
      </c>
      <c r="N151">
        <f>IF(INDEX(boss_input_vu_khi!$E$2:$E$94,MATCH($C$151,boss_input_vu_khi!$A$2:$A$94,0))&gt;=8,5,1)</f>
        <v/>
      </c>
      <c r="O151">
        <f>IF(MAX(INDEX(boss_input_vu_khi!$E$2:$E$94,MATCH($C$151,boss_input_vu_khi!$A$2:$A$94,0)),Boss_vu_khi!$L$189)&gt;=8,5,1)</f>
        <v/>
      </c>
      <c r="P151">
        <f>INDEX(boss_input_vu_khi_suy_ra!$H$2:$H$94,MATCH($C$151,boss_input_vu_khi_suy_ra!$A$2:$A$94,0))</f>
        <v/>
      </c>
      <c r="Q151">
        <f>IF(AND(INDEX(input_xe_tham_chieu!$G$2:$G$6,MATCH($D$151,input_xe_tham_chieu!$A$2:$A$6,0))&gt;0,INDEX(boss_input_vu_khi!$E$2:$E$94,MATCH($C$151,boss_input_vu_khi!$A$2:$A$94,0))&gt;0),INDEX(boss_input_vu_khi!$E$2:$E$94,MATCH($C$151,boss_input_vu_khi!$A$2:$A$94,0))/INDEX(input_xe_tham_chieu!$G$2:$G$6,MATCH($D$151,input_xe_tham_chieu!$A$2:$A$6,0)),"")</f>
        <v/>
      </c>
      <c r="R151">
        <f>IF(ISNUMBER($Q$151),IF($P$151&gt;=$Q$151,"DU","THIEU"),"")</f>
        <v/>
      </c>
      <c r="S151" t="inlineStr">
        <is>
          <t>Assets/MachineBrigade/Resources/Data/balance.json: vehicles[id=scylla].weapon x 01_chien_dau/Xe_tham_chieu[main_battle_tank]</t>
        </is>
      </c>
      <c r="T151" t="inlineStr"/>
    </row>
    <row r="152">
      <c r="A152" t="inlineStr">
        <is>
          <t>silver_bug/armored_car</t>
        </is>
      </c>
      <c r="B152" t="inlineStr">
        <is>
          <t>silver_bug</t>
        </is>
      </c>
      <c r="C152" t="inlineStr">
        <is>
          <t>p26_icarus_sec_orbital_laser</t>
        </is>
      </c>
      <c r="D152" t="inlineStr">
        <is>
          <t>armored_car</t>
        </is>
      </c>
      <c r="E152">
        <f>IF(INDEX(boss_input_vu_khi_suy_ra!$D$2:$D$94,MATCH($C$152,boss_input_vu_khi_suy_ra!$A$2:$A$94,0)),INDEX(input_xe_tham_chieu!$E$2:$E$6,MATCH($D$152,input_xe_tham_chieu!$A$2:$A$6,0)),INDEX(input_xe_tham_chieu!$D$2:$D$6,MATCH($D$152,input_xe_tham_chieu!$A$2:$A$6,0)))</f>
        <v/>
      </c>
      <c r="F152">
        <f>IF(INDEX(boss_input_vu_khi_suy_ra!$E$2:$E$94,MATCH($C$152,boss_input_vu_khi_suy_ra!$A$2:$A$94,0)),INDEX(boss_input_bang_xuyen_giap!$B$2:$B$7,MIN(6,MAX(1,IF(INDEX(boss_input_vu_khi_suy_ra!$D$2:$D$94,MATCH($C$152,boss_input_vu_khi_suy_ra!$A$2:$A$94,0)),MAX(1,2-(INDEX(boss_input_vu_khi!$C$2:$C$94,MATCH($C$152,boss_input_vu_khi!$A$2:$A$94,0))-$E$152)),2-(INDEX(boss_input_vu_khi!$C$2:$C$94,MATCH($C$152,boss_input_vu_khi!$A$2:$A$94,0))-$E$152))+1)))*IF(INDEX(input_xe_tham_chieu!$F$2:$F$6,MATCH($D$152,input_xe_tham_chieu!$A$2:$A$6,0)),INDEX(boss_input_vu_khi_suy_ra!$G$2:$G$94,MATCH($C$152,boss_input_vu_khi_suy_ra!$A$2:$A$94,0)),INDEX(boss_input_vu_khi_suy_ra!$F$2:$F$94,MATCH($C$152,boss_input_vu_khi_suy_ra!$A$2:$A$94,0))),0)</f>
        <v/>
      </c>
      <c r="G152" t="n">
        <v>1.2</v>
      </c>
      <c r="H152">
        <f>INDEX(boss_input_vu_khi!$B$2:$B$94,MATCH($C$152,boss_input_vu_khi!$A$2:$A$94,0))*INDEX(Boss_dps!$D$2:$D$34,MATCH($B$152,Boss_dps!$A$2:$A$34,0))*IF(INDEX(boss_input_vu_khi!$D$2:$D$94,MATCH($C$152,boss_input_vu_khi!$A$2:$A$94,0)),1,INDEX(Boss_dps!$B$2:$B$34,MATCH($B$152,Boss_dps!$A$2:$A$34,0)))*INDEX(Boss_dps!$C$2:$C$34,MATCH($B$152,Boss_dps!$A$2:$A$34,0))*$F$152</f>
        <v/>
      </c>
      <c r="I152" t="n">
        <v>67.2</v>
      </c>
      <c r="J152">
        <f>IF($H$152&gt;0,CEILING(INDEX(input_xe_tham_chieu!$C$2:$C$6,MATCH($D$152,input_xe_tham_chieu!$A$2:$A$6,0))/$H$152,1),"")</f>
        <v/>
      </c>
      <c r="K152">
        <f>IF(Boss_vu_khi!$S$197*$F$152&gt;0,INDEX(input_xe_tham_chieu!$C$2:$C$6,MATCH($D$152,input_xe_tham_chieu!$A$2:$A$6,0))/(Boss_vu_khi!$S$197*INDEX(Boss_dps!$D$2:$D$34,MATCH($B$152,Boss_dps!$A$2:$A$34,0))*$F$152),"")</f>
        <v/>
      </c>
      <c r="L152">
        <f>1+2*MIN(2,FLOOR(INDEX(boss_input_vu_khi!$E$2:$E$94,MATCH($C$152,boss_input_vu_khi!$A$2:$A$94,0))/8,1))</f>
        <v/>
      </c>
      <c r="M152">
        <f>1+2*MIN(2,FLOOR(MAX(INDEX(boss_input_vu_khi!$E$2:$E$94,MATCH($C$152,boss_input_vu_khi!$A$2:$A$94,0)),Boss_vu_khi!$L$197)/8,1))</f>
        <v/>
      </c>
      <c r="N152">
        <f>IF(INDEX(boss_input_vu_khi!$E$2:$E$94,MATCH($C$152,boss_input_vu_khi!$A$2:$A$94,0))&gt;=8,5,1)</f>
        <v/>
      </c>
      <c r="O152">
        <f>IF(MAX(INDEX(boss_input_vu_khi!$E$2:$E$94,MATCH($C$152,boss_input_vu_khi!$A$2:$A$94,0)),Boss_vu_khi!$L$197)&gt;=8,5,1)</f>
        <v/>
      </c>
      <c r="P152">
        <f>INDEX(boss_input_vu_khi_suy_ra!$H$2:$H$94,MATCH($C$152,boss_input_vu_khi_suy_ra!$A$2:$A$94,0))</f>
        <v/>
      </c>
      <c r="Q152">
        <f>IF(AND(INDEX(input_xe_tham_chieu!$G$2:$G$6,MATCH($D$152,input_xe_tham_chieu!$A$2:$A$6,0))&gt;0,INDEX(boss_input_vu_khi!$E$2:$E$94,MATCH($C$152,boss_input_vu_khi!$A$2:$A$94,0))&gt;0),INDEX(boss_input_vu_khi!$E$2:$E$94,MATCH($C$152,boss_input_vu_khi!$A$2:$A$94,0))/INDEX(input_xe_tham_chieu!$G$2:$G$6,MATCH($D$152,input_xe_tham_chieu!$A$2:$A$6,0)),"")</f>
        <v/>
      </c>
      <c r="R152">
        <f>IF(ISNUMBER($Q$152),IF($P$152&gt;=$Q$152,"DU","THIEU"),"")</f>
        <v/>
      </c>
      <c r="S152" t="inlineStr">
        <is>
          <t>Assets/MachineBrigade/Resources/Data/balance.json: vehicles[id=silver_bug].weapon x 01_chien_dau/Xe_tham_chieu[armored_car]</t>
        </is>
      </c>
      <c r="T152" t="inlineStr"/>
    </row>
    <row r="153">
      <c r="A153" t="inlineStr">
        <is>
          <t>silver_bug/gun_turret</t>
        </is>
      </c>
      <c r="B153" t="inlineStr">
        <is>
          <t>silver_bug</t>
        </is>
      </c>
      <c r="C153" t="inlineStr">
        <is>
          <t>p26_icarus_sec_orbital_laser</t>
        </is>
      </c>
      <c r="D153" t="inlineStr">
        <is>
          <t>gun_turret</t>
        </is>
      </c>
      <c r="E153">
        <f>IF(INDEX(boss_input_vu_khi_suy_ra!$D$2:$D$94,MATCH($C$153,boss_input_vu_khi_suy_ra!$A$2:$A$94,0)),INDEX(input_xe_tham_chieu!$E$2:$E$6,MATCH($D$153,input_xe_tham_chieu!$A$2:$A$6,0)),INDEX(input_xe_tham_chieu!$D$2:$D$6,MATCH($D$153,input_xe_tham_chieu!$A$2:$A$6,0)))</f>
        <v/>
      </c>
      <c r="F153">
        <f>IF(INDEX(boss_input_vu_khi_suy_ra!$E$2:$E$94,MATCH($C$153,boss_input_vu_khi_suy_ra!$A$2:$A$94,0)),INDEX(boss_input_bang_xuyen_giap!$B$2:$B$7,MIN(6,MAX(1,IF(INDEX(boss_input_vu_khi_suy_ra!$D$2:$D$94,MATCH($C$153,boss_input_vu_khi_suy_ra!$A$2:$A$94,0)),MAX(1,2-(INDEX(boss_input_vu_khi!$C$2:$C$94,MATCH($C$153,boss_input_vu_khi!$A$2:$A$94,0))-$E$153)),2-(INDEX(boss_input_vu_khi!$C$2:$C$94,MATCH($C$153,boss_input_vu_khi!$A$2:$A$94,0))-$E$153))+1)))*IF(INDEX(input_xe_tham_chieu!$F$2:$F$6,MATCH($D$153,input_xe_tham_chieu!$A$2:$A$6,0)),INDEX(boss_input_vu_khi_suy_ra!$G$2:$G$94,MATCH($C$153,boss_input_vu_khi_suy_ra!$A$2:$A$94,0)),INDEX(boss_input_vu_khi_suy_ra!$F$2:$F$94,MATCH($C$153,boss_input_vu_khi_suy_ra!$A$2:$A$94,0))),0)</f>
        <v/>
      </c>
      <c r="G153" t="n">
        <v>0.5</v>
      </c>
      <c r="H153">
        <f>INDEX(boss_input_vu_khi!$B$2:$B$94,MATCH($C$153,boss_input_vu_khi!$A$2:$A$94,0))*INDEX(Boss_dps!$D$2:$D$34,MATCH($B$153,Boss_dps!$A$2:$A$34,0))*IF(INDEX(boss_input_vu_khi!$D$2:$D$94,MATCH($C$153,boss_input_vu_khi!$A$2:$A$94,0)),1,INDEX(Boss_dps!$B$2:$B$34,MATCH($B$153,Boss_dps!$A$2:$A$34,0)))*INDEX(Boss_dps!$C$2:$C$34,MATCH($B$153,Boss_dps!$A$2:$A$34,0))*$F$153</f>
        <v/>
      </c>
      <c r="I153" t="n">
        <v>28</v>
      </c>
      <c r="J153">
        <f>IF($H$153&gt;0,CEILING(INDEX(input_xe_tham_chieu!$C$2:$C$6,MATCH($D$153,input_xe_tham_chieu!$A$2:$A$6,0))/$H$153,1),"")</f>
        <v/>
      </c>
      <c r="K153">
        <f>IF(Boss_vu_khi!$S$197*$F$153&gt;0,INDEX(input_xe_tham_chieu!$C$2:$C$6,MATCH($D$153,input_xe_tham_chieu!$A$2:$A$6,0))/(Boss_vu_khi!$S$197*INDEX(Boss_dps!$D$2:$D$34,MATCH($B$153,Boss_dps!$A$2:$A$34,0))*$F$153),"")</f>
        <v/>
      </c>
      <c r="L153">
        <f>1+2*MIN(2,FLOOR(INDEX(boss_input_vu_khi!$E$2:$E$94,MATCH($C$153,boss_input_vu_khi!$A$2:$A$94,0))/8,1))</f>
        <v/>
      </c>
      <c r="M153">
        <f>1+2*MIN(2,FLOOR(MAX(INDEX(boss_input_vu_khi!$E$2:$E$94,MATCH($C$153,boss_input_vu_khi!$A$2:$A$94,0)),Boss_vu_khi!$L$197)/8,1))</f>
        <v/>
      </c>
      <c r="N153">
        <f>IF(INDEX(boss_input_vu_khi!$E$2:$E$94,MATCH($C$153,boss_input_vu_khi!$A$2:$A$94,0))&gt;=8,5,1)</f>
        <v/>
      </c>
      <c r="O153">
        <f>IF(MAX(INDEX(boss_input_vu_khi!$E$2:$E$94,MATCH($C$153,boss_input_vu_khi!$A$2:$A$94,0)),Boss_vu_khi!$L$197)&gt;=8,5,1)</f>
        <v/>
      </c>
      <c r="P153">
        <f>INDEX(boss_input_vu_khi_suy_ra!$H$2:$H$94,MATCH($C$153,boss_input_vu_khi_suy_ra!$A$2:$A$94,0))</f>
        <v/>
      </c>
      <c r="Q153">
        <f>IF(AND(INDEX(input_xe_tham_chieu!$G$2:$G$6,MATCH($D$153,input_xe_tham_chieu!$A$2:$A$6,0))&gt;0,INDEX(boss_input_vu_khi!$E$2:$E$94,MATCH($C$153,boss_input_vu_khi!$A$2:$A$94,0))&gt;0),INDEX(boss_input_vu_khi!$E$2:$E$94,MATCH($C$153,boss_input_vu_khi!$A$2:$A$94,0))/INDEX(input_xe_tham_chieu!$G$2:$G$6,MATCH($D$153,input_xe_tham_chieu!$A$2:$A$6,0)),"")</f>
        <v/>
      </c>
      <c r="R153">
        <f>IF(ISNUMBER($Q$153),IF($P$153&gt;=$Q$153,"DU","THIEU"),"")</f>
        <v/>
      </c>
      <c r="S153" t="inlineStr">
        <is>
          <t>Assets/MachineBrigade/Resources/Data/balance.json: vehicles[id=silver_bug].weapon x 01_chien_dau/Xe_tham_chieu[gun_turret]</t>
        </is>
      </c>
      <c r="T153" t="inlineStr"/>
    </row>
    <row r="154">
      <c r="A154" t="inlineStr">
        <is>
          <t>silver_bug/heavy_tank</t>
        </is>
      </c>
      <c r="B154" t="inlineStr">
        <is>
          <t>silver_bug</t>
        </is>
      </c>
      <c r="C154" t="inlineStr">
        <is>
          <t>p26_icarus_sec_orbital_laser</t>
        </is>
      </c>
      <c r="D154" t="inlineStr">
        <is>
          <t>heavy_tank</t>
        </is>
      </c>
      <c r="E154">
        <f>IF(INDEX(boss_input_vu_khi_suy_ra!$D$2:$D$94,MATCH($C$154,boss_input_vu_khi_suy_ra!$A$2:$A$94,0)),INDEX(input_xe_tham_chieu!$E$2:$E$6,MATCH($D$154,input_xe_tham_chieu!$A$2:$A$6,0)),INDEX(input_xe_tham_chieu!$D$2:$D$6,MATCH($D$154,input_xe_tham_chieu!$A$2:$A$6,0)))</f>
        <v/>
      </c>
      <c r="F154">
        <f>IF(INDEX(boss_input_vu_khi_suy_ra!$E$2:$E$94,MATCH($C$154,boss_input_vu_khi_suy_ra!$A$2:$A$94,0)),INDEX(boss_input_bang_xuyen_giap!$B$2:$B$7,MIN(6,MAX(1,IF(INDEX(boss_input_vu_khi_suy_ra!$D$2:$D$94,MATCH($C$154,boss_input_vu_khi_suy_ra!$A$2:$A$94,0)),MAX(1,2-(INDEX(boss_input_vu_khi!$C$2:$C$94,MATCH($C$154,boss_input_vu_khi!$A$2:$A$94,0))-$E$154)),2-(INDEX(boss_input_vu_khi!$C$2:$C$94,MATCH($C$154,boss_input_vu_khi!$A$2:$A$94,0))-$E$154))+1)))*IF(INDEX(input_xe_tham_chieu!$F$2:$F$6,MATCH($D$154,input_xe_tham_chieu!$A$2:$A$6,0)),INDEX(boss_input_vu_khi_suy_ra!$G$2:$G$94,MATCH($C$154,boss_input_vu_khi_suy_ra!$A$2:$A$94,0)),INDEX(boss_input_vu_khi_suy_ra!$F$2:$F$94,MATCH($C$154,boss_input_vu_khi_suy_ra!$A$2:$A$94,0))),0)</f>
        <v/>
      </c>
      <c r="G154" t="n">
        <v>0.85</v>
      </c>
      <c r="H154">
        <f>INDEX(boss_input_vu_khi!$B$2:$B$94,MATCH($C$154,boss_input_vu_khi!$A$2:$A$94,0))*INDEX(Boss_dps!$D$2:$D$34,MATCH($B$154,Boss_dps!$A$2:$A$34,0))*IF(INDEX(boss_input_vu_khi!$D$2:$D$94,MATCH($C$154,boss_input_vu_khi!$A$2:$A$94,0)),1,INDEX(Boss_dps!$B$2:$B$34,MATCH($B$154,Boss_dps!$A$2:$A$34,0)))*INDEX(Boss_dps!$C$2:$C$34,MATCH($B$154,Boss_dps!$A$2:$A$34,0))*$F$154</f>
        <v/>
      </c>
      <c r="I154" t="n">
        <v>47.6</v>
      </c>
      <c r="J154">
        <f>IF($H$154&gt;0,CEILING(INDEX(input_xe_tham_chieu!$C$2:$C$6,MATCH($D$154,input_xe_tham_chieu!$A$2:$A$6,0))/$H$154,1),"")</f>
        <v/>
      </c>
      <c r="K154">
        <f>IF(Boss_vu_khi!$S$197*$F$154&gt;0,INDEX(input_xe_tham_chieu!$C$2:$C$6,MATCH($D$154,input_xe_tham_chieu!$A$2:$A$6,0))/(Boss_vu_khi!$S$197*INDEX(Boss_dps!$D$2:$D$34,MATCH($B$154,Boss_dps!$A$2:$A$34,0))*$F$154),"")</f>
        <v/>
      </c>
      <c r="L154">
        <f>1+2*MIN(2,FLOOR(INDEX(boss_input_vu_khi!$E$2:$E$94,MATCH($C$154,boss_input_vu_khi!$A$2:$A$94,0))/8,1))</f>
        <v/>
      </c>
      <c r="M154">
        <f>1+2*MIN(2,FLOOR(MAX(INDEX(boss_input_vu_khi!$E$2:$E$94,MATCH($C$154,boss_input_vu_khi!$A$2:$A$94,0)),Boss_vu_khi!$L$197)/8,1))</f>
        <v/>
      </c>
      <c r="N154">
        <f>IF(INDEX(boss_input_vu_khi!$E$2:$E$94,MATCH($C$154,boss_input_vu_khi!$A$2:$A$94,0))&gt;=8,5,1)</f>
        <v/>
      </c>
      <c r="O154">
        <f>IF(MAX(INDEX(boss_input_vu_khi!$E$2:$E$94,MATCH($C$154,boss_input_vu_khi!$A$2:$A$94,0)),Boss_vu_khi!$L$197)&gt;=8,5,1)</f>
        <v/>
      </c>
      <c r="P154">
        <f>INDEX(boss_input_vu_khi_suy_ra!$H$2:$H$94,MATCH($C$154,boss_input_vu_khi_suy_ra!$A$2:$A$94,0))</f>
        <v/>
      </c>
      <c r="Q154">
        <f>IF(AND(INDEX(input_xe_tham_chieu!$G$2:$G$6,MATCH($D$154,input_xe_tham_chieu!$A$2:$A$6,0))&gt;0,INDEX(boss_input_vu_khi!$E$2:$E$94,MATCH($C$154,boss_input_vu_khi!$A$2:$A$94,0))&gt;0),INDEX(boss_input_vu_khi!$E$2:$E$94,MATCH($C$154,boss_input_vu_khi!$A$2:$A$94,0))/INDEX(input_xe_tham_chieu!$G$2:$G$6,MATCH($D$154,input_xe_tham_chieu!$A$2:$A$6,0)),"")</f>
        <v/>
      </c>
      <c r="R154">
        <f>IF(ISNUMBER($Q$154),IF($P$154&gt;=$Q$154,"DU","THIEU"),"")</f>
        <v/>
      </c>
      <c r="S154" t="inlineStr">
        <is>
          <t>Assets/MachineBrigade/Resources/Data/balance.json: vehicles[id=silver_bug].weapon x 01_chien_dau/Xe_tham_chieu[heavy_tank]</t>
        </is>
      </c>
      <c r="T154" t="inlineStr"/>
    </row>
    <row r="155">
      <c r="A155" t="inlineStr">
        <is>
          <t>silver_bug/ifv</t>
        </is>
      </c>
      <c r="B155" t="inlineStr">
        <is>
          <t>silver_bug</t>
        </is>
      </c>
      <c r="C155" t="inlineStr">
        <is>
          <t>p26_icarus_sec_orbital_laser</t>
        </is>
      </c>
      <c r="D155" t="inlineStr">
        <is>
          <t>ifv</t>
        </is>
      </c>
      <c r="E155">
        <f>IF(INDEX(boss_input_vu_khi_suy_ra!$D$2:$D$94,MATCH($C$155,boss_input_vu_khi_suy_ra!$A$2:$A$94,0)),INDEX(input_xe_tham_chieu!$E$2:$E$6,MATCH($D$155,input_xe_tham_chieu!$A$2:$A$6,0)),INDEX(input_xe_tham_chieu!$D$2:$D$6,MATCH($D$155,input_xe_tham_chieu!$A$2:$A$6,0)))</f>
        <v/>
      </c>
      <c r="F155">
        <f>IF(INDEX(boss_input_vu_khi_suy_ra!$E$2:$E$94,MATCH($C$155,boss_input_vu_khi_suy_ra!$A$2:$A$94,0)),INDEX(boss_input_bang_xuyen_giap!$B$2:$B$7,MIN(6,MAX(1,IF(INDEX(boss_input_vu_khi_suy_ra!$D$2:$D$94,MATCH($C$155,boss_input_vu_khi_suy_ra!$A$2:$A$94,0)),MAX(1,2-(INDEX(boss_input_vu_khi!$C$2:$C$94,MATCH($C$155,boss_input_vu_khi!$A$2:$A$94,0))-$E$155)),2-(INDEX(boss_input_vu_khi!$C$2:$C$94,MATCH($C$155,boss_input_vu_khi!$A$2:$A$94,0))-$E$155))+1)))*IF(INDEX(input_xe_tham_chieu!$F$2:$F$6,MATCH($D$155,input_xe_tham_chieu!$A$2:$A$6,0)),INDEX(boss_input_vu_khi_suy_ra!$G$2:$G$94,MATCH($C$155,boss_input_vu_khi_suy_ra!$A$2:$A$94,0)),INDEX(boss_input_vu_khi_suy_ra!$F$2:$F$94,MATCH($C$155,boss_input_vu_khi_suy_ra!$A$2:$A$94,0))),0)</f>
        <v/>
      </c>
      <c r="G155" t="n">
        <v>1.2</v>
      </c>
      <c r="H155">
        <f>INDEX(boss_input_vu_khi!$B$2:$B$94,MATCH($C$155,boss_input_vu_khi!$A$2:$A$94,0))*INDEX(Boss_dps!$D$2:$D$34,MATCH($B$155,Boss_dps!$A$2:$A$34,0))*IF(INDEX(boss_input_vu_khi!$D$2:$D$94,MATCH($C$155,boss_input_vu_khi!$A$2:$A$94,0)),1,INDEX(Boss_dps!$B$2:$B$34,MATCH($B$155,Boss_dps!$A$2:$A$34,0)))*INDEX(Boss_dps!$C$2:$C$34,MATCH($B$155,Boss_dps!$A$2:$A$34,0))*$F$155</f>
        <v/>
      </c>
      <c r="I155" t="n">
        <v>67.2</v>
      </c>
      <c r="J155">
        <f>IF($H$155&gt;0,CEILING(INDEX(input_xe_tham_chieu!$C$2:$C$6,MATCH($D$155,input_xe_tham_chieu!$A$2:$A$6,0))/$H$155,1),"")</f>
        <v/>
      </c>
      <c r="K155">
        <f>IF(Boss_vu_khi!$S$197*$F$155&gt;0,INDEX(input_xe_tham_chieu!$C$2:$C$6,MATCH($D$155,input_xe_tham_chieu!$A$2:$A$6,0))/(Boss_vu_khi!$S$197*INDEX(Boss_dps!$D$2:$D$34,MATCH($B$155,Boss_dps!$A$2:$A$34,0))*$F$155),"")</f>
        <v/>
      </c>
      <c r="L155">
        <f>1+2*MIN(2,FLOOR(INDEX(boss_input_vu_khi!$E$2:$E$94,MATCH($C$155,boss_input_vu_khi!$A$2:$A$94,0))/8,1))</f>
        <v/>
      </c>
      <c r="M155">
        <f>1+2*MIN(2,FLOOR(MAX(INDEX(boss_input_vu_khi!$E$2:$E$94,MATCH($C$155,boss_input_vu_khi!$A$2:$A$94,0)),Boss_vu_khi!$L$197)/8,1))</f>
        <v/>
      </c>
      <c r="N155">
        <f>IF(INDEX(boss_input_vu_khi!$E$2:$E$94,MATCH($C$155,boss_input_vu_khi!$A$2:$A$94,0))&gt;=8,5,1)</f>
        <v/>
      </c>
      <c r="O155">
        <f>IF(MAX(INDEX(boss_input_vu_khi!$E$2:$E$94,MATCH($C$155,boss_input_vu_khi!$A$2:$A$94,0)),Boss_vu_khi!$L$197)&gt;=8,5,1)</f>
        <v/>
      </c>
      <c r="P155">
        <f>INDEX(boss_input_vu_khi_suy_ra!$H$2:$H$94,MATCH($C$155,boss_input_vu_khi_suy_ra!$A$2:$A$94,0))</f>
        <v/>
      </c>
      <c r="Q155">
        <f>IF(AND(INDEX(input_xe_tham_chieu!$G$2:$G$6,MATCH($D$155,input_xe_tham_chieu!$A$2:$A$6,0))&gt;0,INDEX(boss_input_vu_khi!$E$2:$E$94,MATCH($C$155,boss_input_vu_khi!$A$2:$A$94,0))&gt;0),INDEX(boss_input_vu_khi!$E$2:$E$94,MATCH($C$155,boss_input_vu_khi!$A$2:$A$94,0))/INDEX(input_xe_tham_chieu!$G$2:$G$6,MATCH($D$155,input_xe_tham_chieu!$A$2:$A$6,0)),"")</f>
        <v/>
      </c>
      <c r="R155">
        <f>IF(ISNUMBER($Q$155),IF($P$155&gt;=$Q$155,"DU","THIEU"),"")</f>
        <v/>
      </c>
      <c r="S155" t="inlineStr">
        <is>
          <t>Assets/MachineBrigade/Resources/Data/balance.json: vehicles[id=silver_bug].weapon x 01_chien_dau/Xe_tham_chieu[ifv]</t>
        </is>
      </c>
      <c r="T155" t="inlineStr"/>
    </row>
    <row r="156">
      <c r="A156" t="inlineStr">
        <is>
          <t>silver_bug/main_battle_tank</t>
        </is>
      </c>
      <c r="B156" t="inlineStr">
        <is>
          <t>silver_bug</t>
        </is>
      </c>
      <c r="C156" t="inlineStr">
        <is>
          <t>p26_icarus_sec_orbital_laser</t>
        </is>
      </c>
      <c r="D156" t="inlineStr">
        <is>
          <t>main_battle_tank</t>
        </is>
      </c>
      <c r="E156">
        <f>IF(INDEX(boss_input_vu_khi_suy_ra!$D$2:$D$94,MATCH($C$156,boss_input_vu_khi_suy_ra!$A$2:$A$94,0)),INDEX(input_xe_tham_chieu!$E$2:$E$6,MATCH($D$156,input_xe_tham_chieu!$A$2:$A$6,0)),INDEX(input_xe_tham_chieu!$D$2:$D$6,MATCH($D$156,input_xe_tham_chieu!$A$2:$A$6,0)))</f>
        <v/>
      </c>
      <c r="F156">
        <f>IF(INDEX(boss_input_vu_khi_suy_ra!$E$2:$E$94,MATCH($C$156,boss_input_vu_khi_suy_ra!$A$2:$A$94,0)),INDEX(boss_input_bang_xuyen_giap!$B$2:$B$7,MIN(6,MAX(1,IF(INDEX(boss_input_vu_khi_suy_ra!$D$2:$D$94,MATCH($C$156,boss_input_vu_khi_suy_ra!$A$2:$A$94,0)),MAX(1,2-(INDEX(boss_input_vu_khi!$C$2:$C$94,MATCH($C$156,boss_input_vu_khi!$A$2:$A$94,0))-$E$156)),2-(INDEX(boss_input_vu_khi!$C$2:$C$94,MATCH($C$156,boss_input_vu_khi!$A$2:$A$94,0))-$E$156))+1)))*IF(INDEX(input_xe_tham_chieu!$F$2:$F$6,MATCH($D$156,input_xe_tham_chieu!$A$2:$A$6,0)),INDEX(boss_input_vu_khi_suy_ra!$G$2:$G$94,MATCH($C$156,boss_input_vu_khi_suy_ra!$A$2:$A$94,0)),INDEX(boss_input_vu_khi_suy_ra!$F$2:$F$94,MATCH($C$156,boss_input_vu_khi_suy_ra!$A$2:$A$94,0))),0)</f>
        <v/>
      </c>
      <c r="G156" t="n">
        <v>0.85</v>
      </c>
      <c r="H156">
        <f>INDEX(boss_input_vu_khi!$B$2:$B$94,MATCH($C$156,boss_input_vu_khi!$A$2:$A$94,0))*INDEX(Boss_dps!$D$2:$D$34,MATCH($B$156,Boss_dps!$A$2:$A$34,0))*IF(INDEX(boss_input_vu_khi!$D$2:$D$94,MATCH($C$156,boss_input_vu_khi!$A$2:$A$94,0)),1,INDEX(Boss_dps!$B$2:$B$34,MATCH($B$156,Boss_dps!$A$2:$A$34,0)))*INDEX(Boss_dps!$C$2:$C$34,MATCH($B$156,Boss_dps!$A$2:$A$34,0))*$F$156</f>
        <v/>
      </c>
      <c r="I156" t="n">
        <v>47.6</v>
      </c>
      <c r="J156">
        <f>IF($H$156&gt;0,CEILING(INDEX(input_xe_tham_chieu!$C$2:$C$6,MATCH($D$156,input_xe_tham_chieu!$A$2:$A$6,0))/$H$156,1),"")</f>
        <v/>
      </c>
      <c r="K156">
        <f>IF(Boss_vu_khi!$S$197*$F$156&gt;0,INDEX(input_xe_tham_chieu!$C$2:$C$6,MATCH($D$156,input_xe_tham_chieu!$A$2:$A$6,0))/(Boss_vu_khi!$S$197*INDEX(Boss_dps!$D$2:$D$34,MATCH($B$156,Boss_dps!$A$2:$A$34,0))*$F$156),"")</f>
        <v/>
      </c>
      <c r="L156">
        <f>1+2*MIN(2,FLOOR(INDEX(boss_input_vu_khi!$E$2:$E$94,MATCH($C$156,boss_input_vu_khi!$A$2:$A$94,0))/8,1))</f>
        <v/>
      </c>
      <c r="M156">
        <f>1+2*MIN(2,FLOOR(MAX(INDEX(boss_input_vu_khi!$E$2:$E$94,MATCH($C$156,boss_input_vu_khi!$A$2:$A$94,0)),Boss_vu_khi!$L$197)/8,1))</f>
        <v/>
      </c>
      <c r="N156">
        <f>IF(INDEX(boss_input_vu_khi!$E$2:$E$94,MATCH($C$156,boss_input_vu_khi!$A$2:$A$94,0))&gt;=8,5,1)</f>
        <v/>
      </c>
      <c r="O156">
        <f>IF(MAX(INDEX(boss_input_vu_khi!$E$2:$E$94,MATCH($C$156,boss_input_vu_khi!$A$2:$A$94,0)),Boss_vu_khi!$L$197)&gt;=8,5,1)</f>
        <v/>
      </c>
      <c r="P156">
        <f>INDEX(boss_input_vu_khi_suy_ra!$H$2:$H$94,MATCH($C$156,boss_input_vu_khi_suy_ra!$A$2:$A$94,0))</f>
        <v/>
      </c>
      <c r="Q156">
        <f>IF(AND(INDEX(input_xe_tham_chieu!$G$2:$G$6,MATCH($D$156,input_xe_tham_chieu!$A$2:$A$6,0))&gt;0,INDEX(boss_input_vu_khi!$E$2:$E$94,MATCH($C$156,boss_input_vu_khi!$A$2:$A$94,0))&gt;0),INDEX(boss_input_vu_khi!$E$2:$E$94,MATCH($C$156,boss_input_vu_khi!$A$2:$A$94,0))/INDEX(input_xe_tham_chieu!$G$2:$G$6,MATCH($D$156,input_xe_tham_chieu!$A$2:$A$6,0)),"")</f>
        <v/>
      </c>
      <c r="R156">
        <f>IF(ISNUMBER($Q$156),IF($P$156&gt;=$Q$156,"DU","THIEU"),"")</f>
        <v/>
      </c>
      <c r="S156" t="inlineStr">
        <is>
          <t>Assets/MachineBrigade/Resources/Data/balance.json: vehicles[id=silver_bug].weapon x 01_chien_dau/Xe_tham_chieu[main_battle_tank]</t>
        </is>
      </c>
      <c r="T156" t="inlineStr"/>
    </row>
    <row r="157">
      <c r="A157" t="inlineStr">
        <is>
          <t>theia/armored_car</t>
        </is>
      </c>
      <c r="B157" t="inlineStr">
        <is>
          <t>theia</t>
        </is>
      </c>
      <c r="C157" t="inlineStr">
        <is>
          <t>p26_icarus_sec_orbital_laser</t>
        </is>
      </c>
      <c r="D157" t="inlineStr">
        <is>
          <t>armored_car</t>
        </is>
      </c>
      <c r="E157">
        <f>IF(INDEX(boss_input_vu_khi_suy_ra!$D$2:$D$94,MATCH($C$157,boss_input_vu_khi_suy_ra!$A$2:$A$94,0)),INDEX(input_xe_tham_chieu!$E$2:$E$6,MATCH($D$157,input_xe_tham_chieu!$A$2:$A$6,0)),INDEX(input_xe_tham_chieu!$D$2:$D$6,MATCH($D$157,input_xe_tham_chieu!$A$2:$A$6,0)))</f>
        <v/>
      </c>
      <c r="F157">
        <f>IF(INDEX(boss_input_vu_khi_suy_ra!$E$2:$E$94,MATCH($C$157,boss_input_vu_khi_suy_ra!$A$2:$A$94,0)),INDEX(boss_input_bang_xuyen_giap!$B$2:$B$7,MIN(6,MAX(1,IF(INDEX(boss_input_vu_khi_suy_ra!$D$2:$D$94,MATCH($C$157,boss_input_vu_khi_suy_ra!$A$2:$A$94,0)),MAX(1,2-(INDEX(boss_input_vu_khi!$C$2:$C$94,MATCH($C$157,boss_input_vu_khi!$A$2:$A$94,0))-$E$157)),2-(INDEX(boss_input_vu_khi!$C$2:$C$94,MATCH($C$157,boss_input_vu_khi!$A$2:$A$94,0))-$E$157))+1)))*IF(INDEX(input_xe_tham_chieu!$F$2:$F$6,MATCH($D$157,input_xe_tham_chieu!$A$2:$A$6,0)),INDEX(boss_input_vu_khi_suy_ra!$G$2:$G$94,MATCH($C$157,boss_input_vu_khi_suy_ra!$A$2:$A$94,0)),INDEX(boss_input_vu_khi_suy_ra!$F$2:$F$94,MATCH($C$157,boss_input_vu_khi_suy_ra!$A$2:$A$94,0))),0)</f>
        <v/>
      </c>
      <c r="G157" t="n">
        <v>1.2</v>
      </c>
      <c r="H157">
        <f>INDEX(boss_input_vu_khi!$B$2:$B$94,MATCH($C$157,boss_input_vu_khi!$A$2:$A$94,0))*INDEX(Boss_dps!$D$2:$D$34,MATCH($B$157,Boss_dps!$A$2:$A$34,0))*IF(INDEX(boss_input_vu_khi!$D$2:$D$94,MATCH($C$157,boss_input_vu_khi!$A$2:$A$94,0)),1,INDEX(Boss_dps!$B$2:$B$34,MATCH($B$157,Boss_dps!$A$2:$A$34,0)))*INDEX(Boss_dps!$C$2:$C$34,MATCH($B$157,Boss_dps!$A$2:$A$34,0))*$F$157</f>
        <v/>
      </c>
      <c r="I157" t="n">
        <v>57.59999999999999</v>
      </c>
      <c r="J157">
        <f>IF($H$157&gt;0,CEILING(INDEX(input_xe_tham_chieu!$C$2:$C$6,MATCH($D$157,input_xe_tham_chieu!$A$2:$A$6,0))/$H$157,1),"")</f>
        <v/>
      </c>
      <c r="K157">
        <f>IF(Boss_vu_khi!$S$208*$F$157&gt;0,INDEX(input_xe_tham_chieu!$C$2:$C$6,MATCH($D$157,input_xe_tham_chieu!$A$2:$A$6,0))/(Boss_vu_khi!$S$208*INDEX(Boss_dps!$D$2:$D$34,MATCH($B$157,Boss_dps!$A$2:$A$34,0))*$F$157),"")</f>
        <v/>
      </c>
      <c r="L157">
        <f>1+2*MIN(2,FLOOR(INDEX(boss_input_vu_khi!$E$2:$E$94,MATCH($C$157,boss_input_vu_khi!$A$2:$A$94,0))/8,1))</f>
        <v/>
      </c>
      <c r="M157">
        <f>1+2*MIN(2,FLOOR(MAX(INDEX(boss_input_vu_khi!$E$2:$E$94,MATCH($C$157,boss_input_vu_khi!$A$2:$A$94,0)),Boss_vu_khi!$L$208)/8,1))</f>
        <v/>
      </c>
      <c r="N157">
        <f>IF(INDEX(boss_input_vu_khi!$E$2:$E$94,MATCH($C$157,boss_input_vu_khi!$A$2:$A$94,0))&gt;=8,5,1)</f>
        <v/>
      </c>
      <c r="O157">
        <f>IF(MAX(INDEX(boss_input_vu_khi!$E$2:$E$94,MATCH($C$157,boss_input_vu_khi!$A$2:$A$94,0)),Boss_vu_khi!$L$208)&gt;=8,5,1)</f>
        <v/>
      </c>
      <c r="P157">
        <f>INDEX(boss_input_vu_khi_suy_ra!$H$2:$H$94,MATCH($C$157,boss_input_vu_khi_suy_ra!$A$2:$A$94,0))</f>
        <v/>
      </c>
      <c r="Q157">
        <f>IF(AND(INDEX(input_xe_tham_chieu!$G$2:$G$6,MATCH($D$157,input_xe_tham_chieu!$A$2:$A$6,0))&gt;0,INDEX(boss_input_vu_khi!$E$2:$E$94,MATCH($C$157,boss_input_vu_khi!$A$2:$A$94,0))&gt;0),INDEX(boss_input_vu_khi!$E$2:$E$94,MATCH($C$157,boss_input_vu_khi!$A$2:$A$94,0))/INDEX(input_xe_tham_chieu!$G$2:$G$6,MATCH($D$157,input_xe_tham_chieu!$A$2:$A$6,0)),"")</f>
        <v/>
      </c>
      <c r="R157">
        <f>IF(ISNUMBER($Q$157),IF($P$157&gt;=$Q$157,"DU","THIEU"),"")</f>
        <v/>
      </c>
      <c r="S157" t="inlineStr">
        <is>
          <t>Assets/MachineBrigade/Resources/Data/balance.json: vehicles[id=theia].weapon x 01_chien_dau/Xe_tham_chieu[armored_car]</t>
        </is>
      </c>
      <c r="T157" t="inlineStr"/>
    </row>
    <row r="158">
      <c r="A158" t="inlineStr">
        <is>
          <t>theia/gun_turret</t>
        </is>
      </c>
      <c r="B158" t="inlineStr">
        <is>
          <t>theia</t>
        </is>
      </c>
      <c r="C158" t="inlineStr">
        <is>
          <t>p26_icarus_sec_orbital_laser</t>
        </is>
      </c>
      <c r="D158" t="inlineStr">
        <is>
          <t>gun_turret</t>
        </is>
      </c>
      <c r="E158">
        <f>IF(INDEX(boss_input_vu_khi_suy_ra!$D$2:$D$94,MATCH($C$158,boss_input_vu_khi_suy_ra!$A$2:$A$94,0)),INDEX(input_xe_tham_chieu!$E$2:$E$6,MATCH($D$158,input_xe_tham_chieu!$A$2:$A$6,0)),INDEX(input_xe_tham_chieu!$D$2:$D$6,MATCH($D$158,input_xe_tham_chieu!$A$2:$A$6,0)))</f>
        <v/>
      </c>
      <c r="F158">
        <f>IF(INDEX(boss_input_vu_khi_suy_ra!$E$2:$E$94,MATCH($C$158,boss_input_vu_khi_suy_ra!$A$2:$A$94,0)),INDEX(boss_input_bang_xuyen_giap!$B$2:$B$7,MIN(6,MAX(1,IF(INDEX(boss_input_vu_khi_suy_ra!$D$2:$D$94,MATCH($C$158,boss_input_vu_khi_suy_ra!$A$2:$A$94,0)),MAX(1,2-(INDEX(boss_input_vu_khi!$C$2:$C$94,MATCH($C$158,boss_input_vu_khi!$A$2:$A$94,0))-$E$158)),2-(INDEX(boss_input_vu_khi!$C$2:$C$94,MATCH($C$158,boss_input_vu_khi!$A$2:$A$94,0))-$E$158))+1)))*IF(INDEX(input_xe_tham_chieu!$F$2:$F$6,MATCH($D$158,input_xe_tham_chieu!$A$2:$A$6,0)),INDEX(boss_input_vu_khi_suy_ra!$G$2:$G$94,MATCH($C$158,boss_input_vu_khi_suy_ra!$A$2:$A$94,0)),INDEX(boss_input_vu_khi_suy_ra!$F$2:$F$94,MATCH($C$158,boss_input_vu_khi_suy_ra!$A$2:$A$94,0))),0)</f>
        <v/>
      </c>
      <c r="G158" t="n">
        <v>0.5</v>
      </c>
      <c r="H158">
        <f>INDEX(boss_input_vu_khi!$B$2:$B$94,MATCH($C$158,boss_input_vu_khi!$A$2:$A$94,0))*INDEX(Boss_dps!$D$2:$D$34,MATCH($B$158,Boss_dps!$A$2:$A$34,0))*IF(INDEX(boss_input_vu_khi!$D$2:$D$94,MATCH($C$158,boss_input_vu_khi!$A$2:$A$94,0)),1,INDEX(Boss_dps!$B$2:$B$34,MATCH($B$158,Boss_dps!$A$2:$A$34,0)))*INDEX(Boss_dps!$C$2:$C$34,MATCH($B$158,Boss_dps!$A$2:$A$34,0))*$F$158</f>
        <v/>
      </c>
      <c r="I158" t="n">
        <v>24</v>
      </c>
      <c r="J158">
        <f>IF($H$158&gt;0,CEILING(INDEX(input_xe_tham_chieu!$C$2:$C$6,MATCH($D$158,input_xe_tham_chieu!$A$2:$A$6,0))/$H$158,1),"")</f>
        <v/>
      </c>
      <c r="K158">
        <f>IF(Boss_vu_khi!$S$208*$F$158&gt;0,INDEX(input_xe_tham_chieu!$C$2:$C$6,MATCH($D$158,input_xe_tham_chieu!$A$2:$A$6,0))/(Boss_vu_khi!$S$208*INDEX(Boss_dps!$D$2:$D$34,MATCH($B$158,Boss_dps!$A$2:$A$34,0))*$F$158),"")</f>
        <v/>
      </c>
      <c r="L158">
        <f>1+2*MIN(2,FLOOR(INDEX(boss_input_vu_khi!$E$2:$E$94,MATCH($C$158,boss_input_vu_khi!$A$2:$A$94,0))/8,1))</f>
        <v/>
      </c>
      <c r="M158">
        <f>1+2*MIN(2,FLOOR(MAX(INDEX(boss_input_vu_khi!$E$2:$E$94,MATCH($C$158,boss_input_vu_khi!$A$2:$A$94,0)),Boss_vu_khi!$L$208)/8,1))</f>
        <v/>
      </c>
      <c r="N158">
        <f>IF(INDEX(boss_input_vu_khi!$E$2:$E$94,MATCH($C$158,boss_input_vu_khi!$A$2:$A$94,0))&gt;=8,5,1)</f>
        <v/>
      </c>
      <c r="O158">
        <f>IF(MAX(INDEX(boss_input_vu_khi!$E$2:$E$94,MATCH($C$158,boss_input_vu_khi!$A$2:$A$94,0)),Boss_vu_khi!$L$208)&gt;=8,5,1)</f>
        <v/>
      </c>
      <c r="P158">
        <f>INDEX(boss_input_vu_khi_suy_ra!$H$2:$H$94,MATCH($C$158,boss_input_vu_khi_suy_ra!$A$2:$A$94,0))</f>
        <v/>
      </c>
      <c r="Q158">
        <f>IF(AND(INDEX(input_xe_tham_chieu!$G$2:$G$6,MATCH($D$158,input_xe_tham_chieu!$A$2:$A$6,0))&gt;0,INDEX(boss_input_vu_khi!$E$2:$E$94,MATCH($C$158,boss_input_vu_khi!$A$2:$A$94,0))&gt;0),INDEX(boss_input_vu_khi!$E$2:$E$94,MATCH($C$158,boss_input_vu_khi!$A$2:$A$94,0))/INDEX(input_xe_tham_chieu!$G$2:$G$6,MATCH($D$158,input_xe_tham_chieu!$A$2:$A$6,0)),"")</f>
        <v/>
      </c>
      <c r="R158">
        <f>IF(ISNUMBER($Q$158),IF($P$158&gt;=$Q$158,"DU","THIEU"),"")</f>
        <v/>
      </c>
      <c r="S158" t="inlineStr">
        <is>
          <t>Assets/MachineBrigade/Resources/Data/balance.json: vehicles[id=theia].weapon x 01_chien_dau/Xe_tham_chieu[gun_turret]</t>
        </is>
      </c>
      <c r="T158" t="inlineStr"/>
    </row>
    <row r="159">
      <c r="A159" t="inlineStr">
        <is>
          <t>theia/heavy_tank</t>
        </is>
      </c>
      <c r="B159" t="inlineStr">
        <is>
          <t>theia</t>
        </is>
      </c>
      <c r="C159" t="inlineStr">
        <is>
          <t>p26_icarus_sec_orbital_laser</t>
        </is>
      </c>
      <c r="D159" t="inlineStr">
        <is>
          <t>heavy_tank</t>
        </is>
      </c>
      <c r="E159">
        <f>IF(INDEX(boss_input_vu_khi_suy_ra!$D$2:$D$94,MATCH($C$159,boss_input_vu_khi_suy_ra!$A$2:$A$94,0)),INDEX(input_xe_tham_chieu!$E$2:$E$6,MATCH($D$159,input_xe_tham_chieu!$A$2:$A$6,0)),INDEX(input_xe_tham_chieu!$D$2:$D$6,MATCH($D$159,input_xe_tham_chieu!$A$2:$A$6,0)))</f>
        <v/>
      </c>
      <c r="F159">
        <f>IF(INDEX(boss_input_vu_khi_suy_ra!$E$2:$E$94,MATCH($C$159,boss_input_vu_khi_suy_ra!$A$2:$A$94,0)),INDEX(boss_input_bang_xuyen_giap!$B$2:$B$7,MIN(6,MAX(1,IF(INDEX(boss_input_vu_khi_suy_ra!$D$2:$D$94,MATCH($C$159,boss_input_vu_khi_suy_ra!$A$2:$A$94,0)),MAX(1,2-(INDEX(boss_input_vu_khi!$C$2:$C$94,MATCH($C$159,boss_input_vu_khi!$A$2:$A$94,0))-$E$159)),2-(INDEX(boss_input_vu_khi!$C$2:$C$94,MATCH($C$159,boss_input_vu_khi!$A$2:$A$94,0))-$E$159))+1)))*IF(INDEX(input_xe_tham_chieu!$F$2:$F$6,MATCH($D$159,input_xe_tham_chieu!$A$2:$A$6,0)),INDEX(boss_input_vu_khi_suy_ra!$G$2:$G$94,MATCH($C$159,boss_input_vu_khi_suy_ra!$A$2:$A$94,0)),INDEX(boss_input_vu_khi_suy_ra!$F$2:$F$94,MATCH($C$159,boss_input_vu_khi_suy_ra!$A$2:$A$94,0))),0)</f>
        <v/>
      </c>
      <c r="G159" t="n">
        <v>0.85</v>
      </c>
      <c r="H159">
        <f>INDEX(boss_input_vu_khi!$B$2:$B$94,MATCH($C$159,boss_input_vu_khi!$A$2:$A$94,0))*INDEX(Boss_dps!$D$2:$D$34,MATCH($B$159,Boss_dps!$A$2:$A$34,0))*IF(INDEX(boss_input_vu_khi!$D$2:$D$94,MATCH($C$159,boss_input_vu_khi!$A$2:$A$94,0)),1,INDEX(Boss_dps!$B$2:$B$34,MATCH($B$159,Boss_dps!$A$2:$A$34,0)))*INDEX(Boss_dps!$C$2:$C$34,MATCH($B$159,Boss_dps!$A$2:$A$34,0))*$F$159</f>
        <v/>
      </c>
      <c r="I159" t="n">
        <v>40.8</v>
      </c>
      <c r="J159">
        <f>IF($H$159&gt;0,CEILING(INDEX(input_xe_tham_chieu!$C$2:$C$6,MATCH($D$159,input_xe_tham_chieu!$A$2:$A$6,0))/$H$159,1),"")</f>
        <v/>
      </c>
      <c r="K159">
        <f>IF(Boss_vu_khi!$S$208*$F$159&gt;0,INDEX(input_xe_tham_chieu!$C$2:$C$6,MATCH($D$159,input_xe_tham_chieu!$A$2:$A$6,0))/(Boss_vu_khi!$S$208*INDEX(Boss_dps!$D$2:$D$34,MATCH($B$159,Boss_dps!$A$2:$A$34,0))*$F$159),"")</f>
        <v/>
      </c>
      <c r="L159">
        <f>1+2*MIN(2,FLOOR(INDEX(boss_input_vu_khi!$E$2:$E$94,MATCH($C$159,boss_input_vu_khi!$A$2:$A$94,0))/8,1))</f>
        <v/>
      </c>
      <c r="M159">
        <f>1+2*MIN(2,FLOOR(MAX(INDEX(boss_input_vu_khi!$E$2:$E$94,MATCH($C$159,boss_input_vu_khi!$A$2:$A$94,0)),Boss_vu_khi!$L$208)/8,1))</f>
        <v/>
      </c>
      <c r="N159">
        <f>IF(INDEX(boss_input_vu_khi!$E$2:$E$94,MATCH($C$159,boss_input_vu_khi!$A$2:$A$94,0))&gt;=8,5,1)</f>
        <v/>
      </c>
      <c r="O159">
        <f>IF(MAX(INDEX(boss_input_vu_khi!$E$2:$E$94,MATCH($C$159,boss_input_vu_khi!$A$2:$A$94,0)),Boss_vu_khi!$L$208)&gt;=8,5,1)</f>
        <v/>
      </c>
      <c r="P159">
        <f>INDEX(boss_input_vu_khi_suy_ra!$H$2:$H$94,MATCH($C$159,boss_input_vu_khi_suy_ra!$A$2:$A$94,0))</f>
        <v/>
      </c>
      <c r="Q159">
        <f>IF(AND(INDEX(input_xe_tham_chieu!$G$2:$G$6,MATCH($D$159,input_xe_tham_chieu!$A$2:$A$6,0))&gt;0,INDEX(boss_input_vu_khi!$E$2:$E$94,MATCH($C$159,boss_input_vu_khi!$A$2:$A$94,0))&gt;0),INDEX(boss_input_vu_khi!$E$2:$E$94,MATCH($C$159,boss_input_vu_khi!$A$2:$A$94,0))/INDEX(input_xe_tham_chieu!$G$2:$G$6,MATCH($D$159,input_xe_tham_chieu!$A$2:$A$6,0)),"")</f>
        <v/>
      </c>
      <c r="R159">
        <f>IF(ISNUMBER($Q$159),IF($P$159&gt;=$Q$159,"DU","THIEU"),"")</f>
        <v/>
      </c>
      <c r="S159" t="inlineStr">
        <is>
          <t>Assets/MachineBrigade/Resources/Data/balance.json: vehicles[id=theia].weapon x 01_chien_dau/Xe_tham_chieu[heavy_tank]</t>
        </is>
      </c>
      <c r="T159" t="inlineStr"/>
    </row>
    <row r="160">
      <c r="A160" t="inlineStr">
        <is>
          <t>theia/ifv</t>
        </is>
      </c>
      <c r="B160" t="inlineStr">
        <is>
          <t>theia</t>
        </is>
      </c>
      <c r="C160" t="inlineStr">
        <is>
          <t>p26_icarus_sec_orbital_laser</t>
        </is>
      </c>
      <c r="D160" t="inlineStr">
        <is>
          <t>ifv</t>
        </is>
      </c>
      <c r="E160">
        <f>IF(INDEX(boss_input_vu_khi_suy_ra!$D$2:$D$94,MATCH($C$160,boss_input_vu_khi_suy_ra!$A$2:$A$94,0)),INDEX(input_xe_tham_chieu!$E$2:$E$6,MATCH($D$160,input_xe_tham_chieu!$A$2:$A$6,0)),INDEX(input_xe_tham_chieu!$D$2:$D$6,MATCH($D$160,input_xe_tham_chieu!$A$2:$A$6,0)))</f>
        <v/>
      </c>
      <c r="F160">
        <f>IF(INDEX(boss_input_vu_khi_suy_ra!$E$2:$E$94,MATCH($C$160,boss_input_vu_khi_suy_ra!$A$2:$A$94,0)),INDEX(boss_input_bang_xuyen_giap!$B$2:$B$7,MIN(6,MAX(1,IF(INDEX(boss_input_vu_khi_suy_ra!$D$2:$D$94,MATCH($C$160,boss_input_vu_khi_suy_ra!$A$2:$A$94,0)),MAX(1,2-(INDEX(boss_input_vu_khi!$C$2:$C$94,MATCH($C$160,boss_input_vu_khi!$A$2:$A$94,0))-$E$160)),2-(INDEX(boss_input_vu_khi!$C$2:$C$94,MATCH($C$160,boss_input_vu_khi!$A$2:$A$94,0))-$E$160))+1)))*IF(INDEX(input_xe_tham_chieu!$F$2:$F$6,MATCH($D$160,input_xe_tham_chieu!$A$2:$A$6,0)),INDEX(boss_input_vu_khi_suy_ra!$G$2:$G$94,MATCH($C$160,boss_input_vu_khi_suy_ra!$A$2:$A$94,0)),INDEX(boss_input_vu_khi_suy_ra!$F$2:$F$94,MATCH($C$160,boss_input_vu_khi_suy_ra!$A$2:$A$94,0))),0)</f>
        <v/>
      </c>
      <c r="G160" t="n">
        <v>1.2</v>
      </c>
      <c r="H160">
        <f>INDEX(boss_input_vu_khi!$B$2:$B$94,MATCH($C$160,boss_input_vu_khi!$A$2:$A$94,0))*INDEX(Boss_dps!$D$2:$D$34,MATCH($B$160,Boss_dps!$A$2:$A$34,0))*IF(INDEX(boss_input_vu_khi!$D$2:$D$94,MATCH($C$160,boss_input_vu_khi!$A$2:$A$94,0)),1,INDEX(Boss_dps!$B$2:$B$34,MATCH($B$160,Boss_dps!$A$2:$A$34,0)))*INDEX(Boss_dps!$C$2:$C$34,MATCH($B$160,Boss_dps!$A$2:$A$34,0))*$F$160</f>
        <v/>
      </c>
      <c r="I160" t="n">
        <v>57.59999999999999</v>
      </c>
      <c r="J160">
        <f>IF($H$160&gt;0,CEILING(INDEX(input_xe_tham_chieu!$C$2:$C$6,MATCH($D$160,input_xe_tham_chieu!$A$2:$A$6,0))/$H$160,1),"")</f>
        <v/>
      </c>
      <c r="K160">
        <f>IF(Boss_vu_khi!$S$208*$F$160&gt;0,INDEX(input_xe_tham_chieu!$C$2:$C$6,MATCH($D$160,input_xe_tham_chieu!$A$2:$A$6,0))/(Boss_vu_khi!$S$208*INDEX(Boss_dps!$D$2:$D$34,MATCH($B$160,Boss_dps!$A$2:$A$34,0))*$F$160),"")</f>
        <v/>
      </c>
      <c r="L160">
        <f>1+2*MIN(2,FLOOR(INDEX(boss_input_vu_khi!$E$2:$E$94,MATCH($C$160,boss_input_vu_khi!$A$2:$A$94,0))/8,1))</f>
        <v/>
      </c>
      <c r="M160">
        <f>1+2*MIN(2,FLOOR(MAX(INDEX(boss_input_vu_khi!$E$2:$E$94,MATCH($C$160,boss_input_vu_khi!$A$2:$A$94,0)),Boss_vu_khi!$L$208)/8,1))</f>
        <v/>
      </c>
      <c r="N160">
        <f>IF(INDEX(boss_input_vu_khi!$E$2:$E$94,MATCH($C$160,boss_input_vu_khi!$A$2:$A$94,0))&gt;=8,5,1)</f>
        <v/>
      </c>
      <c r="O160">
        <f>IF(MAX(INDEX(boss_input_vu_khi!$E$2:$E$94,MATCH($C$160,boss_input_vu_khi!$A$2:$A$94,0)),Boss_vu_khi!$L$208)&gt;=8,5,1)</f>
        <v/>
      </c>
      <c r="P160">
        <f>INDEX(boss_input_vu_khi_suy_ra!$H$2:$H$94,MATCH($C$160,boss_input_vu_khi_suy_ra!$A$2:$A$94,0))</f>
        <v/>
      </c>
      <c r="Q160">
        <f>IF(AND(INDEX(input_xe_tham_chieu!$G$2:$G$6,MATCH($D$160,input_xe_tham_chieu!$A$2:$A$6,0))&gt;0,INDEX(boss_input_vu_khi!$E$2:$E$94,MATCH($C$160,boss_input_vu_khi!$A$2:$A$94,0))&gt;0),INDEX(boss_input_vu_khi!$E$2:$E$94,MATCH($C$160,boss_input_vu_khi!$A$2:$A$94,0))/INDEX(input_xe_tham_chieu!$G$2:$G$6,MATCH($D$160,input_xe_tham_chieu!$A$2:$A$6,0)),"")</f>
        <v/>
      </c>
      <c r="R160">
        <f>IF(ISNUMBER($Q$160),IF($P$160&gt;=$Q$160,"DU","THIEU"),"")</f>
        <v/>
      </c>
      <c r="S160" t="inlineStr">
        <is>
          <t>Assets/MachineBrigade/Resources/Data/balance.json: vehicles[id=theia].weapon x 01_chien_dau/Xe_tham_chieu[ifv]</t>
        </is>
      </c>
      <c r="T160" t="inlineStr"/>
    </row>
    <row r="161">
      <c r="A161" t="inlineStr">
        <is>
          <t>theia/main_battle_tank</t>
        </is>
      </c>
      <c r="B161" t="inlineStr">
        <is>
          <t>theia</t>
        </is>
      </c>
      <c r="C161" t="inlineStr">
        <is>
          <t>p26_icarus_sec_orbital_laser</t>
        </is>
      </c>
      <c r="D161" t="inlineStr">
        <is>
          <t>main_battle_tank</t>
        </is>
      </c>
      <c r="E161">
        <f>IF(INDEX(boss_input_vu_khi_suy_ra!$D$2:$D$94,MATCH($C$161,boss_input_vu_khi_suy_ra!$A$2:$A$94,0)),INDEX(input_xe_tham_chieu!$E$2:$E$6,MATCH($D$161,input_xe_tham_chieu!$A$2:$A$6,0)),INDEX(input_xe_tham_chieu!$D$2:$D$6,MATCH($D$161,input_xe_tham_chieu!$A$2:$A$6,0)))</f>
        <v/>
      </c>
      <c r="F161">
        <f>IF(INDEX(boss_input_vu_khi_suy_ra!$E$2:$E$94,MATCH($C$161,boss_input_vu_khi_suy_ra!$A$2:$A$94,0)),INDEX(boss_input_bang_xuyen_giap!$B$2:$B$7,MIN(6,MAX(1,IF(INDEX(boss_input_vu_khi_suy_ra!$D$2:$D$94,MATCH($C$161,boss_input_vu_khi_suy_ra!$A$2:$A$94,0)),MAX(1,2-(INDEX(boss_input_vu_khi!$C$2:$C$94,MATCH($C$161,boss_input_vu_khi!$A$2:$A$94,0))-$E$161)),2-(INDEX(boss_input_vu_khi!$C$2:$C$94,MATCH($C$161,boss_input_vu_khi!$A$2:$A$94,0))-$E$161))+1)))*IF(INDEX(input_xe_tham_chieu!$F$2:$F$6,MATCH($D$161,input_xe_tham_chieu!$A$2:$A$6,0)),INDEX(boss_input_vu_khi_suy_ra!$G$2:$G$94,MATCH($C$161,boss_input_vu_khi_suy_ra!$A$2:$A$94,0)),INDEX(boss_input_vu_khi_suy_ra!$F$2:$F$94,MATCH($C$161,boss_input_vu_khi_suy_ra!$A$2:$A$94,0))),0)</f>
        <v/>
      </c>
      <c r="G161" t="n">
        <v>0.85</v>
      </c>
      <c r="H161">
        <f>INDEX(boss_input_vu_khi!$B$2:$B$94,MATCH($C$161,boss_input_vu_khi!$A$2:$A$94,0))*INDEX(Boss_dps!$D$2:$D$34,MATCH($B$161,Boss_dps!$A$2:$A$34,0))*IF(INDEX(boss_input_vu_khi!$D$2:$D$94,MATCH($C$161,boss_input_vu_khi!$A$2:$A$94,0)),1,INDEX(Boss_dps!$B$2:$B$34,MATCH($B$161,Boss_dps!$A$2:$A$34,0)))*INDEX(Boss_dps!$C$2:$C$34,MATCH($B$161,Boss_dps!$A$2:$A$34,0))*$F$161</f>
        <v/>
      </c>
      <c r="I161" t="n">
        <v>40.8</v>
      </c>
      <c r="J161">
        <f>IF($H$161&gt;0,CEILING(INDEX(input_xe_tham_chieu!$C$2:$C$6,MATCH($D$161,input_xe_tham_chieu!$A$2:$A$6,0))/$H$161,1),"")</f>
        <v/>
      </c>
      <c r="K161">
        <f>IF(Boss_vu_khi!$S$208*$F$161&gt;0,INDEX(input_xe_tham_chieu!$C$2:$C$6,MATCH($D$161,input_xe_tham_chieu!$A$2:$A$6,0))/(Boss_vu_khi!$S$208*INDEX(Boss_dps!$D$2:$D$34,MATCH($B$161,Boss_dps!$A$2:$A$34,0))*$F$161),"")</f>
        <v/>
      </c>
      <c r="L161">
        <f>1+2*MIN(2,FLOOR(INDEX(boss_input_vu_khi!$E$2:$E$94,MATCH($C$161,boss_input_vu_khi!$A$2:$A$94,0))/8,1))</f>
        <v/>
      </c>
      <c r="M161">
        <f>1+2*MIN(2,FLOOR(MAX(INDEX(boss_input_vu_khi!$E$2:$E$94,MATCH($C$161,boss_input_vu_khi!$A$2:$A$94,0)),Boss_vu_khi!$L$208)/8,1))</f>
        <v/>
      </c>
      <c r="N161">
        <f>IF(INDEX(boss_input_vu_khi!$E$2:$E$94,MATCH($C$161,boss_input_vu_khi!$A$2:$A$94,0))&gt;=8,5,1)</f>
        <v/>
      </c>
      <c r="O161">
        <f>IF(MAX(INDEX(boss_input_vu_khi!$E$2:$E$94,MATCH($C$161,boss_input_vu_khi!$A$2:$A$94,0)),Boss_vu_khi!$L$208)&gt;=8,5,1)</f>
        <v/>
      </c>
      <c r="P161">
        <f>INDEX(boss_input_vu_khi_suy_ra!$H$2:$H$94,MATCH($C$161,boss_input_vu_khi_suy_ra!$A$2:$A$94,0))</f>
        <v/>
      </c>
      <c r="Q161">
        <f>IF(AND(INDEX(input_xe_tham_chieu!$G$2:$G$6,MATCH($D$161,input_xe_tham_chieu!$A$2:$A$6,0))&gt;0,INDEX(boss_input_vu_khi!$E$2:$E$94,MATCH($C$161,boss_input_vu_khi!$A$2:$A$94,0))&gt;0),INDEX(boss_input_vu_khi!$E$2:$E$94,MATCH($C$161,boss_input_vu_khi!$A$2:$A$94,0))/INDEX(input_xe_tham_chieu!$G$2:$G$6,MATCH($D$161,input_xe_tham_chieu!$A$2:$A$6,0)),"")</f>
        <v/>
      </c>
      <c r="R161">
        <f>IF(ISNUMBER($Q$161),IF($P$161&gt;=$Q$161,"DU","THIEU"),"")</f>
        <v/>
      </c>
      <c r="S161" t="inlineStr">
        <is>
          <t>Assets/MachineBrigade/Resources/Data/balance.json: vehicles[id=theia].weapon x 01_chien_dau/Xe_tham_chieu[main_battle_tank]</t>
        </is>
      </c>
      <c r="T161" t="inlineStr"/>
    </row>
    <row r="162">
      <c r="A162" t="inlineStr">
        <is>
          <t>typhon/armored_car</t>
        </is>
      </c>
      <c r="B162" t="inlineStr">
        <is>
          <t>typhon</t>
        </is>
      </c>
      <c r="C162" t="inlineStr">
        <is>
          <t>sam_post</t>
        </is>
      </c>
      <c r="D162" t="inlineStr">
        <is>
          <t>armored_car</t>
        </is>
      </c>
      <c r="E162">
        <f>IF(INDEX(boss_input_vu_khi_suy_ra!$D$2:$D$94,MATCH($C$162,boss_input_vu_khi_suy_ra!$A$2:$A$94,0)),INDEX(input_xe_tham_chieu!$E$2:$E$6,MATCH($D$162,input_xe_tham_chieu!$A$2:$A$6,0)),INDEX(input_xe_tham_chieu!$D$2:$D$6,MATCH($D$162,input_xe_tham_chieu!$A$2:$A$6,0)))</f>
        <v/>
      </c>
      <c r="F162">
        <f>IF(INDEX(boss_input_vu_khi_suy_ra!$E$2:$E$94,MATCH($C$162,boss_input_vu_khi_suy_ra!$A$2:$A$94,0)),INDEX(boss_input_bang_xuyen_giap!$B$2:$B$7,MIN(6,MAX(1,IF(INDEX(boss_input_vu_khi_suy_ra!$D$2:$D$94,MATCH($C$162,boss_input_vu_khi_suy_ra!$A$2:$A$94,0)),MAX(1,2-(INDEX(boss_input_vu_khi!$C$2:$C$94,MATCH($C$162,boss_input_vu_khi!$A$2:$A$94,0))-$E$162)),2-(INDEX(boss_input_vu_khi!$C$2:$C$94,MATCH($C$162,boss_input_vu_khi!$A$2:$A$94,0))-$E$162))+1)))*IF(INDEX(input_xe_tham_chieu!$F$2:$F$6,MATCH($D$162,input_xe_tham_chieu!$A$2:$A$6,0)),INDEX(boss_input_vu_khi_suy_ra!$G$2:$G$94,MATCH($C$162,boss_input_vu_khi_suy_ra!$A$2:$A$94,0)),INDEX(boss_input_vu_khi_suy_ra!$F$2:$F$94,MATCH($C$162,boss_input_vu_khi_suy_ra!$A$2:$A$94,0))),0)</f>
        <v/>
      </c>
      <c r="G162" t="n">
        <v>0</v>
      </c>
      <c r="H162">
        <f>INDEX(boss_input_vu_khi!$B$2:$B$94,MATCH($C$162,boss_input_vu_khi!$A$2:$A$94,0))*INDEX(Boss_dps!$D$2:$D$34,MATCH($B$162,Boss_dps!$A$2:$A$34,0))*IF(INDEX(boss_input_vu_khi!$D$2:$D$94,MATCH($C$162,boss_input_vu_khi!$A$2:$A$94,0)),1,INDEX(Boss_dps!$B$2:$B$34,MATCH($B$162,Boss_dps!$A$2:$A$34,0)))*INDEX(Boss_dps!$C$2:$C$34,MATCH($B$162,Boss_dps!$A$2:$A$34,0))*$F$162</f>
        <v/>
      </c>
      <c r="I162" t="n">
        <v>0</v>
      </c>
      <c r="J162">
        <f>IF($H$162&gt;0,CEILING(INDEX(input_xe_tham_chieu!$C$2:$C$6,MATCH($D$162,input_xe_tham_chieu!$A$2:$A$6,0))/$H$162,1),"")</f>
        <v/>
      </c>
      <c r="K162">
        <f>IF(Boss_vu_khi!$S$216*$F$162&gt;0,INDEX(input_xe_tham_chieu!$C$2:$C$6,MATCH($D$162,input_xe_tham_chieu!$A$2:$A$6,0))/(Boss_vu_khi!$S$216*INDEX(Boss_dps!$D$2:$D$34,MATCH($B$162,Boss_dps!$A$2:$A$34,0))*$F$162),"")</f>
        <v/>
      </c>
      <c r="L162">
        <f>1+2*MIN(2,FLOOR(INDEX(boss_input_vu_khi!$E$2:$E$94,MATCH($C$162,boss_input_vu_khi!$A$2:$A$94,0))/8,1))</f>
        <v/>
      </c>
      <c r="M162">
        <f>1+2*MIN(2,FLOOR(MAX(INDEX(boss_input_vu_khi!$E$2:$E$94,MATCH($C$162,boss_input_vu_khi!$A$2:$A$94,0)),Boss_vu_khi!$L$216)/8,1))</f>
        <v/>
      </c>
      <c r="N162">
        <f>IF(INDEX(boss_input_vu_khi!$E$2:$E$94,MATCH($C$162,boss_input_vu_khi!$A$2:$A$94,0))&gt;=8,5,1)</f>
        <v/>
      </c>
      <c r="O162">
        <f>IF(MAX(INDEX(boss_input_vu_khi!$E$2:$E$94,MATCH($C$162,boss_input_vu_khi!$A$2:$A$94,0)),Boss_vu_khi!$L$216)&gt;=8,5,1)</f>
        <v/>
      </c>
      <c r="P162">
        <f>INDEX(boss_input_vu_khi_suy_ra!$H$2:$H$94,MATCH($C$162,boss_input_vu_khi_suy_ra!$A$2:$A$94,0))</f>
        <v/>
      </c>
      <c r="Q162">
        <f>IF(AND(INDEX(input_xe_tham_chieu!$G$2:$G$6,MATCH($D$162,input_xe_tham_chieu!$A$2:$A$6,0))&gt;0,INDEX(boss_input_vu_khi!$E$2:$E$94,MATCH($C$162,boss_input_vu_khi!$A$2:$A$94,0))&gt;0),INDEX(boss_input_vu_khi!$E$2:$E$94,MATCH($C$162,boss_input_vu_khi!$A$2:$A$94,0))/INDEX(input_xe_tham_chieu!$G$2:$G$6,MATCH($D$162,input_xe_tham_chieu!$A$2:$A$6,0)),"")</f>
        <v/>
      </c>
      <c r="R162">
        <f>IF(ISNUMBER($Q$162),IF($P$162&gt;=$Q$162,"DU","THIEU"),"")</f>
        <v/>
      </c>
      <c r="S162" t="inlineStr">
        <is>
          <t>Assets/MachineBrigade/Resources/Data/balance.json: vehicles[id=typhon].weapon x 01_chien_dau/Xe_tham_chieu[armored_car]</t>
        </is>
      </c>
      <c r="T162" t="inlineStr"/>
    </row>
    <row r="163">
      <c r="A163" t="inlineStr">
        <is>
          <t>typhon/gun_turret</t>
        </is>
      </c>
      <c r="B163" t="inlineStr">
        <is>
          <t>typhon</t>
        </is>
      </c>
      <c r="C163" t="inlineStr">
        <is>
          <t>sam_post</t>
        </is>
      </c>
      <c r="D163" t="inlineStr">
        <is>
          <t>gun_turret</t>
        </is>
      </c>
      <c r="E163">
        <f>IF(INDEX(boss_input_vu_khi_suy_ra!$D$2:$D$94,MATCH($C$163,boss_input_vu_khi_suy_ra!$A$2:$A$94,0)),INDEX(input_xe_tham_chieu!$E$2:$E$6,MATCH($D$163,input_xe_tham_chieu!$A$2:$A$6,0)),INDEX(input_xe_tham_chieu!$D$2:$D$6,MATCH($D$163,input_xe_tham_chieu!$A$2:$A$6,0)))</f>
        <v/>
      </c>
      <c r="F163">
        <f>IF(INDEX(boss_input_vu_khi_suy_ra!$E$2:$E$94,MATCH($C$163,boss_input_vu_khi_suy_ra!$A$2:$A$94,0)),INDEX(boss_input_bang_xuyen_giap!$B$2:$B$7,MIN(6,MAX(1,IF(INDEX(boss_input_vu_khi_suy_ra!$D$2:$D$94,MATCH($C$163,boss_input_vu_khi_suy_ra!$A$2:$A$94,0)),MAX(1,2-(INDEX(boss_input_vu_khi!$C$2:$C$94,MATCH($C$163,boss_input_vu_khi!$A$2:$A$94,0))-$E$163)),2-(INDEX(boss_input_vu_khi!$C$2:$C$94,MATCH($C$163,boss_input_vu_khi!$A$2:$A$94,0))-$E$163))+1)))*IF(INDEX(input_xe_tham_chieu!$F$2:$F$6,MATCH($D$163,input_xe_tham_chieu!$A$2:$A$6,0)),INDEX(boss_input_vu_khi_suy_ra!$G$2:$G$94,MATCH($C$163,boss_input_vu_khi_suy_ra!$A$2:$A$94,0)),INDEX(boss_input_vu_khi_suy_ra!$F$2:$F$94,MATCH($C$163,boss_input_vu_khi_suy_ra!$A$2:$A$94,0))),0)</f>
        <v/>
      </c>
      <c r="G163" t="n">
        <v>0</v>
      </c>
      <c r="H163">
        <f>INDEX(boss_input_vu_khi!$B$2:$B$94,MATCH($C$163,boss_input_vu_khi!$A$2:$A$94,0))*INDEX(Boss_dps!$D$2:$D$34,MATCH($B$163,Boss_dps!$A$2:$A$34,0))*IF(INDEX(boss_input_vu_khi!$D$2:$D$94,MATCH($C$163,boss_input_vu_khi!$A$2:$A$94,0)),1,INDEX(Boss_dps!$B$2:$B$34,MATCH($B$163,Boss_dps!$A$2:$A$34,0)))*INDEX(Boss_dps!$C$2:$C$34,MATCH($B$163,Boss_dps!$A$2:$A$34,0))*$F$163</f>
        <v/>
      </c>
      <c r="I163" t="n">
        <v>0</v>
      </c>
      <c r="J163">
        <f>IF($H$163&gt;0,CEILING(INDEX(input_xe_tham_chieu!$C$2:$C$6,MATCH($D$163,input_xe_tham_chieu!$A$2:$A$6,0))/$H$163,1),"")</f>
        <v/>
      </c>
      <c r="K163">
        <f>IF(Boss_vu_khi!$S$216*$F$163&gt;0,INDEX(input_xe_tham_chieu!$C$2:$C$6,MATCH($D$163,input_xe_tham_chieu!$A$2:$A$6,0))/(Boss_vu_khi!$S$216*INDEX(Boss_dps!$D$2:$D$34,MATCH($B$163,Boss_dps!$A$2:$A$34,0))*$F$163),"")</f>
        <v/>
      </c>
      <c r="L163">
        <f>1+2*MIN(2,FLOOR(INDEX(boss_input_vu_khi!$E$2:$E$94,MATCH($C$163,boss_input_vu_khi!$A$2:$A$94,0))/8,1))</f>
        <v/>
      </c>
      <c r="M163">
        <f>1+2*MIN(2,FLOOR(MAX(INDEX(boss_input_vu_khi!$E$2:$E$94,MATCH($C$163,boss_input_vu_khi!$A$2:$A$94,0)),Boss_vu_khi!$L$216)/8,1))</f>
        <v/>
      </c>
      <c r="N163">
        <f>IF(INDEX(boss_input_vu_khi!$E$2:$E$94,MATCH($C$163,boss_input_vu_khi!$A$2:$A$94,0))&gt;=8,5,1)</f>
        <v/>
      </c>
      <c r="O163">
        <f>IF(MAX(INDEX(boss_input_vu_khi!$E$2:$E$94,MATCH($C$163,boss_input_vu_khi!$A$2:$A$94,0)),Boss_vu_khi!$L$216)&gt;=8,5,1)</f>
        <v/>
      </c>
      <c r="P163">
        <f>INDEX(boss_input_vu_khi_suy_ra!$H$2:$H$94,MATCH($C$163,boss_input_vu_khi_suy_ra!$A$2:$A$94,0))</f>
        <v/>
      </c>
      <c r="Q163">
        <f>IF(AND(INDEX(input_xe_tham_chieu!$G$2:$G$6,MATCH($D$163,input_xe_tham_chieu!$A$2:$A$6,0))&gt;0,INDEX(boss_input_vu_khi!$E$2:$E$94,MATCH($C$163,boss_input_vu_khi!$A$2:$A$94,0))&gt;0),INDEX(boss_input_vu_khi!$E$2:$E$94,MATCH($C$163,boss_input_vu_khi!$A$2:$A$94,0))/INDEX(input_xe_tham_chieu!$G$2:$G$6,MATCH($D$163,input_xe_tham_chieu!$A$2:$A$6,0)),"")</f>
        <v/>
      </c>
      <c r="R163">
        <f>IF(ISNUMBER($Q$163),IF($P$163&gt;=$Q$163,"DU","THIEU"),"")</f>
        <v/>
      </c>
      <c r="S163" t="inlineStr">
        <is>
          <t>Assets/MachineBrigade/Resources/Data/balance.json: vehicles[id=typhon].weapon x 01_chien_dau/Xe_tham_chieu[gun_turret]</t>
        </is>
      </c>
      <c r="T163" t="inlineStr"/>
    </row>
    <row r="164">
      <c r="A164" t="inlineStr">
        <is>
          <t>typhon/heavy_tank</t>
        </is>
      </c>
      <c r="B164" t="inlineStr">
        <is>
          <t>typhon</t>
        </is>
      </c>
      <c r="C164" t="inlineStr">
        <is>
          <t>sam_post</t>
        </is>
      </c>
      <c r="D164" t="inlineStr">
        <is>
          <t>heavy_tank</t>
        </is>
      </c>
      <c r="E164">
        <f>IF(INDEX(boss_input_vu_khi_suy_ra!$D$2:$D$94,MATCH($C$164,boss_input_vu_khi_suy_ra!$A$2:$A$94,0)),INDEX(input_xe_tham_chieu!$E$2:$E$6,MATCH($D$164,input_xe_tham_chieu!$A$2:$A$6,0)),INDEX(input_xe_tham_chieu!$D$2:$D$6,MATCH($D$164,input_xe_tham_chieu!$A$2:$A$6,0)))</f>
        <v/>
      </c>
      <c r="F164">
        <f>IF(INDEX(boss_input_vu_khi_suy_ra!$E$2:$E$94,MATCH($C$164,boss_input_vu_khi_suy_ra!$A$2:$A$94,0)),INDEX(boss_input_bang_xuyen_giap!$B$2:$B$7,MIN(6,MAX(1,IF(INDEX(boss_input_vu_khi_suy_ra!$D$2:$D$94,MATCH($C$164,boss_input_vu_khi_suy_ra!$A$2:$A$94,0)),MAX(1,2-(INDEX(boss_input_vu_khi!$C$2:$C$94,MATCH($C$164,boss_input_vu_khi!$A$2:$A$94,0))-$E$164)),2-(INDEX(boss_input_vu_khi!$C$2:$C$94,MATCH($C$164,boss_input_vu_khi!$A$2:$A$94,0))-$E$164))+1)))*IF(INDEX(input_xe_tham_chieu!$F$2:$F$6,MATCH($D$164,input_xe_tham_chieu!$A$2:$A$6,0)),INDEX(boss_input_vu_khi_suy_ra!$G$2:$G$94,MATCH($C$164,boss_input_vu_khi_suy_ra!$A$2:$A$94,0)),INDEX(boss_input_vu_khi_suy_ra!$F$2:$F$94,MATCH($C$164,boss_input_vu_khi_suy_ra!$A$2:$A$94,0))),0)</f>
        <v/>
      </c>
      <c r="G164" t="n">
        <v>0</v>
      </c>
      <c r="H164">
        <f>INDEX(boss_input_vu_khi!$B$2:$B$94,MATCH($C$164,boss_input_vu_khi!$A$2:$A$94,0))*INDEX(Boss_dps!$D$2:$D$34,MATCH($B$164,Boss_dps!$A$2:$A$34,0))*IF(INDEX(boss_input_vu_khi!$D$2:$D$94,MATCH($C$164,boss_input_vu_khi!$A$2:$A$94,0)),1,INDEX(Boss_dps!$B$2:$B$34,MATCH($B$164,Boss_dps!$A$2:$A$34,0)))*INDEX(Boss_dps!$C$2:$C$34,MATCH($B$164,Boss_dps!$A$2:$A$34,0))*$F$164</f>
        <v/>
      </c>
      <c r="I164" t="n">
        <v>0</v>
      </c>
      <c r="J164">
        <f>IF($H$164&gt;0,CEILING(INDEX(input_xe_tham_chieu!$C$2:$C$6,MATCH($D$164,input_xe_tham_chieu!$A$2:$A$6,0))/$H$164,1),"")</f>
        <v/>
      </c>
      <c r="K164">
        <f>IF(Boss_vu_khi!$S$216*$F$164&gt;0,INDEX(input_xe_tham_chieu!$C$2:$C$6,MATCH($D$164,input_xe_tham_chieu!$A$2:$A$6,0))/(Boss_vu_khi!$S$216*INDEX(Boss_dps!$D$2:$D$34,MATCH($B$164,Boss_dps!$A$2:$A$34,0))*$F$164),"")</f>
        <v/>
      </c>
      <c r="L164">
        <f>1+2*MIN(2,FLOOR(INDEX(boss_input_vu_khi!$E$2:$E$94,MATCH($C$164,boss_input_vu_khi!$A$2:$A$94,0))/8,1))</f>
        <v/>
      </c>
      <c r="M164">
        <f>1+2*MIN(2,FLOOR(MAX(INDEX(boss_input_vu_khi!$E$2:$E$94,MATCH($C$164,boss_input_vu_khi!$A$2:$A$94,0)),Boss_vu_khi!$L$216)/8,1))</f>
        <v/>
      </c>
      <c r="N164">
        <f>IF(INDEX(boss_input_vu_khi!$E$2:$E$94,MATCH($C$164,boss_input_vu_khi!$A$2:$A$94,0))&gt;=8,5,1)</f>
        <v/>
      </c>
      <c r="O164">
        <f>IF(MAX(INDEX(boss_input_vu_khi!$E$2:$E$94,MATCH($C$164,boss_input_vu_khi!$A$2:$A$94,0)),Boss_vu_khi!$L$216)&gt;=8,5,1)</f>
        <v/>
      </c>
      <c r="P164">
        <f>INDEX(boss_input_vu_khi_suy_ra!$H$2:$H$94,MATCH($C$164,boss_input_vu_khi_suy_ra!$A$2:$A$94,0))</f>
        <v/>
      </c>
      <c r="Q164">
        <f>IF(AND(INDEX(input_xe_tham_chieu!$G$2:$G$6,MATCH($D$164,input_xe_tham_chieu!$A$2:$A$6,0))&gt;0,INDEX(boss_input_vu_khi!$E$2:$E$94,MATCH($C$164,boss_input_vu_khi!$A$2:$A$94,0))&gt;0),INDEX(boss_input_vu_khi!$E$2:$E$94,MATCH($C$164,boss_input_vu_khi!$A$2:$A$94,0))/INDEX(input_xe_tham_chieu!$G$2:$G$6,MATCH($D$164,input_xe_tham_chieu!$A$2:$A$6,0)),"")</f>
        <v/>
      </c>
      <c r="R164">
        <f>IF(ISNUMBER($Q$164),IF($P$164&gt;=$Q$164,"DU","THIEU"),"")</f>
        <v/>
      </c>
      <c r="S164" t="inlineStr">
        <is>
          <t>Assets/MachineBrigade/Resources/Data/balance.json: vehicles[id=typhon].weapon x 01_chien_dau/Xe_tham_chieu[heavy_tank]</t>
        </is>
      </c>
      <c r="T164" t="inlineStr"/>
    </row>
    <row r="165">
      <c r="A165" t="inlineStr">
        <is>
          <t>typhon/ifv</t>
        </is>
      </c>
      <c r="B165" t="inlineStr">
        <is>
          <t>typhon</t>
        </is>
      </c>
      <c r="C165" t="inlineStr">
        <is>
          <t>sam_post</t>
        </is>
      </c>
      <c r="D165" t="inlineStr">
        <is>
          <t>ifv</t>
        </is>
      </c>
      <c r="E165">
        <f>IF(INDEX(boss_input_vu_khi_suy_ra!$D$2:$D$94,MATCH($C$165,boss_input_vu_khi_suy_ra!$A$2:$A$94,0)),INDEX(input_xe_tham_chieu!$E$2:$E$6,MATCH($D$165,input_xe_tham_chieu!$A$2:$A$6,0)),INDEX(input_xe_tham_chieu!$D$2:$D$6,MATCH($D$165,input_xe_tham_chieu!$A$2:$A$6,0)))</f>
        <v/>
      </c>
      <c r="F165">
        <f>IF(INDEX(boss_input_vu_khi_suy_ra!$E$2:$E$94,MATCH($C$165,boss_input_vu_khi_suy_ra!$A$2:$A$94,0)),INDEX(boss_input_bang_xuyen_giap!$B$2:$B$7,MIN(6,MAX(1,IF(INDEX(boss_input_vu_khi_suy_ra!$D$2:$D$94,MATCH($C$165,boss_input_vu_khi_suy_ra!$A$2:$A$94,0)),MAX(1,2-(INDEX(boss_input_vu_khi!$C$2:$C$94,MATCH($C$165,boss_input_vu_khi!$A$2:$A$94,0))-$E$165)),2-(INDEX(boss_input_vu_khi!$C$2:$C$94,MATCH($C$165,boss_input_vu_khi!$A$2:$A$94,0))-$E$165))+1)))*IF(INDEX(input_xe_tham_chieu!$F$2:$F$6,MATCH($D$165,input_xe_tham_chieu!$A$2:$A$6,0)),INDEX(boss_input_vu_khi_suy_ra!$G$2:$G$94,MATCH($C$165,boss_input_vu_khi_suy_ra!$A$2:$A$94,0)),INDEX(boss_input_vu_khi_suy_ra!$F$2:$F$94,MATCH($C$165,boss_input_vu_khi_suy_ra!$A$2:$A$94,0))),0)</f>
        <v/>
      </c>
      <c r="G165" t="n">
        <v>0</v>
      </c>
      <c r="H165">
        <f>INDEX(boss_input_vu_khi!$B$2:$B$94,MATCH($C$165,boss_input_vu_khi!$A$2:$A$94,0))*INDEX(Boss_dps!$D$2:$D$34,MATCH($B$165,Boss_dps!$A$2:$A$34,0))*IF(INDEX(boss_input_vu_khi!$D$2:$D$94,MATCH($C$165,boss_input_vu_khi!$A$2:$A$94,0)),1,INDEX(Boss_dps!$B$2:$B$34,MATCH($B$165,Boss_dps!$A$2:$A$34,0)))*INDEX(Boss_dps!$C$2:$C$34,MATCH($B$165,Boss_dps!$A$2:$A$34,0))*$F$165</f>
        <v/>
      </c>
      <c r="I165" t="n">
        <v>0</v>
      </c>
      <c r="J165">
        <f>IF($H$165&gt;0,CEILING(INDEX(input_xe_tham_chieu!$C$2:$C$6,MATCH($D$165,input_xe_tham_chieu!$A$2:$A$6,0))/$H$165,1),"")</f>
        <v/>
      </c>
      <c r="K165">
        <f>IF(Boss_vu_khi!$S$216*$F$165&gt;0,INDEX(input_xe_tham_chieu!$C$2:$C$6,MATCH($D$165,input_xe_tham_chieu!$A$2:$A$6,0))/(Boss_vu_khi!$S$216*INDEX(Boss_dps!$D$2:$D$34,MATCH($B$165,Boss_dps!$A$2:$A$34,0))*$F$165),"")</f>
        <v/>
      </c>
      <c r="L165">
        <f>1+2*MIN(2,FLOOR(INDEX(boss_input_vu_khi!$E$2:$E$94,MATCH($C$165,boss_input_vu_khi!$A$2:$A$94,0))/8,1))</f>
        <v/>
      </c>
      <c r="M165">
        <f>1+2*MIN(2,FLOOR(MAX(INDEX(boss_input_vu_khi!$E$2:$E$94,MATCH($C$165,boss_input_vu_khi!$A$2:$A$94,0)),Boss_vu_khi!$L$216)/8,1))</f>
        <v/>
      </c>
      <c r="N165">
        <f>IF(INDEX(boss_input_vu_khi!$E$2:$E$94,MATCH($C$165,boss_input_vu_khi!$A$2:$A$94,0))&gt;=8,5,1)</f>
        <v/>
      </c>
      <c r="O165">
        <f>IF(MAX(INDEX(boss_input_vu_khi!$E$2:$E$94,MATCH($C$165,boss_input_vu_khi!$A$2:$A$94,0)),Boss_vu_khi!$L$216)&gt;=8,5,1)</f>
        <v/>
      </c>
      <c r="P165">
        <f>INDEX(boss_input_vu_khi_suy_ra!$H$2:$H$94,MATCH($C$165,boss_input_vu_khi_suy_ra!$A$2:$A$94,0))</f>
        <v/>
      </c>
      <c r="Q165">
        <f>IF(AND(INDEX(input_xe_tham_chieu!$G$2:$G$6,MATCH($D$165,input_xe_tham_chieu!$A$2:$A$6,0))&gt;0,INDEX(boss_input_vu_khi!$E$2:$E$94,MATCH($C$165,boss_input_vu_khi!$A$2:$A$94,0))&gt;0),INDEX(boss_input_vu_khi!$E$2:$E$94,MATCH($C$165,boss_input_vu_khi!$A$2:$A$94,0))/INDEX(input_xe_tham_chieu!$G$2:$G$6,MATCH($D$165,input_xe_tham_chieu!$A$2:$A$6,0)),"")</f>
        <v/>
      </c>
      <c r="R165">
        <f>IF(ISNUMBER($Q$165),IF($P$165&gt;=$Q$165,"DU","THIEU"),"")</f>
        <v/>
      </c>
      <c r="S165" t="inlineStr">
        <is>
          <t>Assets/MachineBrigade/Resources/Data/balance.json: vehicles[id=typhon].weapon x 01_chien_dau/Xe_tham_chieu[ifv]</t>
        </is>
      </c>
      <c r="T165" t="inlineStr"/>
    </row>
    <row r="166">
      <c r="A166" t="inlineStr">
        <is>
          <t>typhon/main_battle_tank</t>
        </is>
      </c>
      <c r="B166" t="inlineStr">
        <is>
          <t>typhon</t>
        </is>
      </c>
      <c r="C166" t="inlineStr">
        <is>
          <t>sam_post</t>
        </is>
      </c>
      <c r="D166" t="inlineStr">
        <is>
          <t>main_battle_tank</t>
        </is>
      </c>
      <c r="E166">
        <f>IF(INDEX(boss_input_vu_khi_suy_ra!$D$2:$D$94,MATCH($C$166,boss_input_vu_khi_suy_ra!$A$2:$A$94,0)),INDEX(input_xe_tham_chieu!$E$2:$E$6,MATCH($D$166,input_xe_tham_chieu!$A$2:$A$6,0)),INDEX(input_xe_tham_chieu!$D$2:$D$6,MATCH($D$166,input_xe_tham_chieu!$A$2:$A$6,0)))</f>
        <v/>
      </c>
      <c r="F166">
        <f>IF(INDEX(boss_input_vu_khi_suy_ra!$E$2:$E$94,MATCH($C$166,boss_input_vu_khi_suy_ra!$A$2:$A$94,0)),INDEX(boss_input_bang_xuyen_giap!$B$2:$B$7,MIN(6,MAX(1,IF(INDEX(boss_input_vu_khi_suy_ra!$D$2:$D$94,MATCH($C$166,boss_input_vu_khi_suy_ra!$A$2:$A$94,0)),MAX(1,2-(INDEX(boss_input_vu_khi!$C$2:$C$94,MATCH($C$166,boss_input_vu_khi!$A$2:$A$94,0))-$E$166)),2-(INDEX(boss_input_vu_khi!$C$2:$C$94,MATCH($C$166,boss_input_vu_khi!$A$2:$A$94,0))-$E$166))+1)))*IF(INDEX(input_xe_tham_chieu!$F$2:$F$6,MATCH($D$166,input_xe_tham_chieu!$A$2:$A$6,0)),INDEX(boss_input_vu_khi_suy_ra!$G$2:$G$94,MATCH($C$166,boss_input_vu_khi_suy_ra!$A$2:$A$94,0)),INDEX(boss_input_vu_khi_suy_ra!$F$2:$F$94,MATCH($C$166,boss_input_vu_khi_suy_ra!$A$2:$A$94,0))),0)</f>
        <v/>
      </c>
      <c r="G166" t="n">
        <v>0</v>
      </c>
      <c r="H166">
        <f>INDEX(boss_input_vu_khi!$B$2:$B$94,MATCH($C$166,boss_input_vu_khi!$A$2:$A$94,0))*INDEX(Boss_dps!$D$2:$D$34,MATCH($B$166,Boss_dps!$A$2:$A$34,0))*IF(INDEX(boss_input_vu_khi!$D$2:$D$94,MATCH($C$166,boss_input_vu_khi!$A$2:$A$94,0)),1,INDEX(Boss_dps!$B$2:$B$34,MATCH($B$166,Boss_dps!$A$2:$A$34,0)))*INDEX(Boss_dps!$C$2:$C$34,MATCH($B$166,Boss_dps!$A$2:$A$34,0))*$F$166</f>
        <v/>
      </c>
      <c r="I166" t="n">
        <v>0</v>
      </c>
      <c r="J166">
        <f>IF($H$166&gt;0,CEILING(INDEX(input_xe_tham_chieu!$C$2:$C$6,MATCH($D$166,input_xe_tham_chieu!$A$2:$A$6,0))/$H$166,1),"")</f>
        <v/>
      </c>
      <c r="K166">
        <f>IF(Boss_vu_khi!$S$216*$F$166&gt;0,INDEX(input_xe_tham_chieu!$C$2:$C$6,MATCH($D$166,input_xe_tham_chieu!$A$2:$A$6,0))/(Boss_vu_khi!$S$216*INDEX(Boss_dps!$D$2:$D$34,MATCH($B$166,Boss_dps!$A$2:$A$34,0))*$F$166),"")</f>
        <v/>
      </c>
      <c r="L166">
        <f>1+2*MIN(2,FLOOR(INDEX(boss_input_vu_khi!$E$2:$E$94,MATCH($C$166,boss_input_vu_khi!$A$2:$A$94,0))/8,1))</f>
        <v/>
      </c>
      <c r="M166">
        <f>1+2*MIN(2,FLOOR(MAX(INDEX(boss_input_vu_khi!$E$2:$E$94,MATCH($C$166,boss_input_vu_khi!$A$2:$A$94,0)),Boss_vu_khi!$L$216)/8,1))</f>
        <v/>
      </c>
      <c r="N166">
        <f>IF(INDEX(boss_input_vu_khi!$E$2:$E$94,MATCH($C$166,boss_input_vu_khi!$A$2:$A$94,0))&gt;=8,5,1)</f>
        <v/>
      </c>
      <c r="O166">
        <f>IF(MAX(INDEX(boss_input_vu_khi!$E$2:$E$94,MATCH($C$166,boss_input_vu_khi!$A$2:$A$94,0)),Boss_vu_khi!$L$216)&gt;=8,5,1)</f>
        <v/>
      </c>
      <c r="P166">
        <f>INDEX(boss_input_vu_khi_suy_ra!$H$2:$H$94,MATCH($C$166,boss_input_vu_khi_suy_ra!$A$2:$A$94,0))</f>
        <v/>
      </c>
      <c r="Q166">
        <f>IF(AND(INDEX(input_xe_tham_chieu!$G$2:$G$6,MATCH($D$166,input_xe_tham_chieu!$A$2:$A$6,0))&gt;0,INDEX(boss_input_vu_khi!$E$2:$E$94,MATCH($C$166,boss_input_vu_khi!$A$2:$A$94,0))&gt;0),INDEX(boss_input_vu_khi!$E$2:$E$94,MATCH($C$166,boss_input_vu_khi!$A$2:$A$94,0))/INDEX(input_xe_tham_chieu!$G$2:$G$6,MATCH($D$166,input_xe_tham_chieu!$A$2:$A$6,0)),"")</f>
        <v/>
      </c>
      <c r="R166">
        <f>IF(ISNUMBER($Q$166),IF($P$166&gt;=$Q$166,"DU","THIEU"),"")</f>
        <v/>
      </c>
      <c r="S166" t="inlineStr">
        <is>
          <t>Assets/MachineBrigade/Resources/Data/balance.json: vehicles[id=typhon].weapon x 01_chien_dau/Xe_tham_chieu[main_battle_tank]</t>
        </is>
      </c>
      <c r="T166" t="inlineStr"/>
    </row>
  </sheetData>
  <autoFilter ref="A1:T166"/>
  <pageMargins left="0.75" right="0.75" top="1" bottom="1" header="0.5" footer="0.5"/>
</worksheet>
</file>

<file path=xl/worksheets/sheet39.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60" customWidth="1" min="3" max="3"/>
    <col width="19" customWidth="1" min="4" max="4"/>
  </cols>
  <sheetData>
    <row r="1">
      <c r="A1" s="1" t="inlineStr">
        <is>
          <t>id</t>
        </is>
      </c>
      <c r="B1" s="1" t="inlineStr">
        <is>
          <t>sau_chuong</t>
        </is>
      </c>
      <c r="C1" s="1" t="inlineStr">
        <is>
          <t>nguon</t>
        </is>
      </c>
      <c r="D1" s="1" t="inlineStr">
        <is>
          <t>raw_json</t>
        </is>
      </c>
    </row>
    <row r="2">
      <c r="A2" t="inlineStr">
        <is>
          <t>behemoth_mk0</t>
        </is>
      </c>
      <c r="B2" t="n">
        <v>3</v>
      </c>
      <c r="C2" t="inlineStr">
        <is>
          <t>Assets/MachineBrigade/Scripts/Game/Match/BossHunts.cs:79 (Unslotted[0])</t>
        </is>
      </c>
      <c r="D2" t="inlineStr">
        <is>
          <t>["behemoth_mk0",3]</t>
        </is>
      </c>
    </row>
    <row r="3">
      <c r="A3" t="inlineStr">
        <is>
          <t>coeus</t>
        </is>
      </c>
      <c r="B3" t="n">
        <v>12</v>
      </c>
      <c r="C3" t="inlineStr">
        <is>
          <t>Assets/MachineBrigade/Scripts/Game/Match/BossHunts.cs:83 (Unslotted[7])</t>
        </is>
      </c>
      <c r="D3" t="inlineStr">
        <is>
          <t>["coeus",12]</t>
        </is>
      </c>
    </row>
    <row r="4">
      <c r="A4" t="inlineStr">
        <is>
          <t>hydra</t>
        </is>
      </c>
      <c r="B4" t="n">
        <v>9</v>
      </c>
      <c r="C4" t="inlineStr">
        <is>
          <t>Assets/MachineBrigade/Scripts/Game/Match/BossHunts.cs:81 (Unslotted[4])</t>
        </is>
      </c>
      <c r="D4" t="inlineStr">
        <is>
          <t>["hydra",9]</t>
        </is>
      </c>
    </row>
    <row r="5">
      <c r="A5" t="inlineStr">
        <is>
          <t>hyperion</t>
        </is>
      </c>
      <c r="B5" t="n">
        <v>12</v>
      </c>
      <c r="C5" t="inlineStr">
        <is>
          <t>Assets/MachineBrigade/Scripts/Game/Match/BossHunts.cs:81 (Unslotted[5])</t>
        </is>
      </c>
      <c r="D5" t="inlineStr">
        <is>
          <t>["hyperion",12]</t>
        </is>
      </c>
    </row>
    <row r="6">
      <c r="A6" t="inlineStr">
        <is>
          <t>kraken</t>
        </is>
      </c>
      <c r="B6" t="n">
        <v>9</v>
      </c>
      <c r="C6" t="inlineStr">
        <is>
          <t>Assets/MachineBrigade/Scripts/Game/Match/BossHunts.cs:81 (Unslotted[3])</t>
        </is>
      </c>
      <c r="D6" t="inlineStr">
        <is>
          <t>["kraken",9]</t>
        </is>
      </c>
    </row>
    <row r="7">
      <c r="A7" t="inlineStr">
        <is>
          <t>monster</t>
        </is>
      </c>
      <c r="B7" t="n">
        <v>8</v>
      </c>
      <c r="C7" t="inlineStr">
        <is>
          <t>Assets/MachineBrigade/Scripts/Game/Match/BossHunts.cs:81 (Unslotted[2])</t>
        </is>
      </c>
      <c r="D7" t="inlineStr">
        <is>
          <t>["monster",8]</t>
        </is>
      </c>
    </row>
    <row r="8">
      <c r="A8" t="inlineStr">
        <is>
          <t>nyx</t>
        </is>
      </c>
      <c r="B8" t="n">
        <v>4</v>
      </c>
      <c r="C8" t="inlineStr">
        <is>
          <t>Assets/MachineBrigade/Scripts/Game/Match/BossHunts.cs:81 (Unslotted[1])</t>
        </is>
      </c>
      <c r="D8" t="inlineStr">
        <is>
          <t>["nyx",4]</t>
        </is>
      </c>
    </row>
    <row r="9">
      <c r="A9" t="inlineStr">
        <is>
          <t>theia</t>
        </is>
      </c>
      <c r="B9" t="n">
        <v>12</v>
      </c>
      <c r="C9" t="inlineStr">
        <is>
          <t>Assets/MachineBrigade/Scripts/Game/Match/BossHunts.cs:83 (Unslotted[6])</t>
        </is>
      </c>
      <c r="D9" t="inlineStr">
        <is>
          <t>["theia",12]</t>
        </is>
      </c>
    </row>
  </sheetData>
  <autoFilter ref="A1:D9"/>
  <pageMargins left="0.75" right="0.75" top="1" bottom="1" header="0.5" footer="0.5"/>
</worksheet>
</file>

<file path=xl/worksheets/sheet40.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0" customWidth="1" min="2" max="2"/>
    <col width="10" customWidth="1" min="3" max="3"/>
    <col width="10" customWidth="1" min="4" max="4"/>
    <col width="10" customWidth="1" min="5" max="5"/>
    <col width="8" customWidth="1" min="6" max="6"/>
    <col width="60" customWidth="1" min="7" max="7"/>
    <col width="60" customWidth="1" min="8" max="8"/>
  </cols>
  <sheetData>
    <row r="1">
      <c r="A1" s="1" t="inlineStr">
        <is>
          <t>id</t>
        </is>
      </c>
      <c r="B1" s="1" t="inlineStr">
        <is>
          <t>ten_vi</t>
        </is>
      </c>
      <c r="C1" s="1" t="inlineStr">
        <is>
          <t>icon</t>
        </is>
      </c>
      <c r="D1" s="1" t="inlineStr">
        <is>
          <t>kind</t>
        </is>
      </c>
      <c r="E1" s="1" t="inlineStr">
        <is>
          <t>strength</t>
        </is>
      </c>
      <c r="F1" s="1" t="inlineStr">
        <is>
          <t>value</t>
        </is>
      </c>
      <c r="G1" s="1" t="inlineStr">
        <is>
          <t>nguon</t>
        </is>
      </c>
      <c r="H1" s="1" t="inlineStr">
        <is>
          <t>raw_json</t>
        </is>
      </c>
    </row>
    <row r="2">
      <c r="A2" t="inlineStr">
        <is>
          <t>airdrop</t>
        </is>
      </c>
      <c r="B2" t="inlineStr">
        <is>
          <t>Tiếp viện miễn phí</t>
        </is>
      </c>
      <c r="C2" t="inlineStr">
        <is>
          <t>reinforce</t>
        </is>
      </c>
      <c r="D2" t="inlineStr">
        <is>
          <t>Airdrop</t>
        </is>
      </c>
      <c r="F2" t="n">
        <v>3</v>
      </c>
      <c r="G2" t="inlineStr">
        <is>
          <t>Assets/MachineBrigade/Scripts/Sim/Modes/BossHunt.cs:236 (HuntSupports.All[11])</t>
        </is>
      </c>
      <c r="H2" t="inlineStr">
        <is>
          <t>{"id":"airdrop","icon":"reinforce","kind":"Airdrop","value":3}</t>
        </is>
      </c>
    </row>
    <row r="3">
      <c r="A3" t="inlineStr">
        <is>
          <t>bounty</t>
        </is>
      </c>
      <c r="B3" t="inlineStr">
        <is>
          <t>Hợp đồng săn thưởng</t>
        </is>
      </c>
      <c r="C3" t="inlineStr">
        <is>
          <t>trophy</t>
        </is>
      </c>
      <c r="D3" t="inlineStr">
        <is>
          <t>Bounty</t>
        </is>
      </c>
      <c r="E3" t="n">
        <v>0.05</v>
      </c>
      <c r="F3" t="n">
        <v>0.5</v>
      </c>
      <c r="G3" t="inlineStr">
        <is>
          <t>Assets/MachineBrigade/Scripts/Sim/Modes/BossHunt.cs:235 (HuntSupports.All[10])</t>
        </is>
      </c>
      <c r="H3" t="inlineStr">
        <is>
          <t>{"id":"bounty","icon":"trophy","kind":"Bounty","value":0.5,"strength":0.05}</t>
        </is>
      </c>
    </row>
    <row r="4">
      <c r="A4" t="inlineStr">
        <is>
          <t>engines</t>
        </is>
      </c>
      <c r="B4" t="inlineStr">
        <is>
          <t>Tinh chỉnh động cơ</t>
        </is>
      </c>
      <c r="C4" t="inlineStr">
        <is>
          <t>move</t>
        </is>
      </c>
      <c r="D4" t="inlineStr">
        <is>
          <t>Engines</t>
        </is>
      </c>
      <c r="E4" t="n">
        <v>0.06</v>
      </c>
      <c r="F4" t="n">
        <v>0.12</v>
      </c>
      <c r="G4" t="inlineStr">
        <is>
          <t>Assets/MachineBrigade/Scripts/Sim/Modes/BossHunt.cs:228 (HuntSupports.All[3])</t>
        </is>
      </c>
      <c r="H4" t="inlineStr">
        <is>
          <t>{"id":"engines","icon":"move","kind":"Engines","value":0.12,"strength":0.06}</t>
        </is>
      </c>
    </row>
    <row r="5">
      <c r="A5" t="inlineStr">
        <is>
          <t>gunnery</t>
        </is>
      </c>
      <c r="B5" t="inlineStr">
        <is>
          <t>Huấn luyện pháo thủ</t>
        </is>
      </c>
      <c r="C5" t="inlineStr">
        <is>
          <t>crosshair</t>
        </is>
      </c>
      <c r="D5" t="inlineStr">
        <is>
          <t>Gunnery</t>
        </is>
      </c>
      <c r="E5" t="n">
        <v>0.1</v>
      </c>
      <c r="F5" t="n">
        <v>0.1</v>
      </c>
      <c r="G5" t="inlineStr">
        <is>
          <t>Assets/MachineBrigade/Scripts/Sim/Modes/BossHunt.cs:226 (HuntSupports.All[1])</t>
        </is>
      </c>
      <c r="H5" t="inlineStr">
        <is>
          <t>{"id":"gunnery","icon":"crosshair","kind":"Gunnery","value":0.1,"strength":0.1}</t>
        </is>
      </c>
    </row>
    <row r="6">
      <c r="A6" t="inlineStr">
        <is>
          <t>hull</t>
        </is>
      </c>
      <c r="B6" t="inlineStr">
        <is>
          <t>Gia cố thân xe</t>
        </is>
      </c>
      <c r="C6" t="inlineStr">
        <is>
          <t>shield</t>
        </is>
      </c>
      <c r="D6" t="inlineStr">
        <is>
          <t>Hull</t>
        </is>
      </c>
      <c r="E6" t="n">
        <v>0.15</v>
      </c>
      <c r="F6" t="n">
        <v>0.15</v>
      </c>
      <c r="G6" t="inlineStr">
        <is>
          <t>Assets/MachineBrigade/Scripts/Sim/Modes/BossHunt.cs:225 (HuntSupports.All[0])</t>
        </is>
      </c>
      <c r="H6" t="inlineStr">
        <is>
          <t>{"id":"hull","icon":"shield","kind":"Hull","value":0.15,"strength":0.15}</t>
        </is>
      </c>
    </row>
    <row r="7">
      <c r="A7" t="inlineStr">
        <is>
          <t>loaders</t>
        </is>
      </c>
      <c r="B7" t="inlineStr">
        <is>
          <t>Nạp đạn nhanh</t>
        </is>
      </c>
      <c r="C7" t="inlineStr">
        <is>
          <t>ammo</t>
        </is>
      </c>
      <c r="D7" t="inlineStr">
        <is>
          <t>Loaders</t>
        </is>
      </c>
      <c r="E7" t="n">
        <v>0.12</v>
      </c>
      <c r="F7" t="n">
        <v>0.12</v>
      </c>
      <c r="G7" t="inlineStr">
        <is>
          <t>Assets/MachineBrigade/Scripts/Sim/Modes/BossHunt.cs:227 (HuntSupports.All[2])</t>
        </is>
      </c>
      <c r="H7" t="inlineStr">
        <is>
          <t>{"id":"loaders","icon":"ammo","kind":"Loaders","value":0.12,"strength":0.12}</t>
        </is>
      </c>
    </row>
    <row r="8">
      <c r="A8" t="inlineStr">
        <is>
          <t>logistics</t>
        </is>
      </c>
      <c r="B8" t="inlineStr">
        <is>
          <t>Đoàn tiếp tế</t>
        </is>
      </c>
      <c r="C8" t="inlineStr">
        <is>
          <t>cp</t>
        </is>
      </c>
      <c r="D8" t="inlineStr">
        <is>
          <t>Logistics</t>
        </is>
      </c>
      <c r="E8" t="n">
        <v>0.1</v>
      </c>
      <c r="F8" t="n">
        <v>0.2</v>
      </c>
      <c r="G8" t="inlineStr">
        <is>
          <t>Assets/MachineBrigade/Scripts/Sim/Modes/BossHunt.cs:231 (HuntSupports.All[6])</t>
        </is>
      </c>
      <c r="H8" t="inlineStr">
        <is>
          <t>{"id":"logistics","icon":"cp","kind":"Logistics","value":0.2,"strength":0.1}</t>
        </is>
      </c>
    </row>
    <row r="9">
      <c r="A9" t="inlineStr">
        <is>
          <t>rapid</t>
        </is>
      </c>
      <c r="B9" t="inlineStr">
        <is>
          <t>Điều phối nhanh</t>
        </is>
      </c>
      <c r="C9" t="inlineStr">
        <is>
          <t>airstrike</t>
        </is>
      </c>
      <c r="D9" t="inlineStr">
        <is>
          <t>Rapid</t>
        </is>
      </c>
      <c r="F9" t="n">
        <v>0.25</v>
      </c>
      <c r="G9" t="inlineStr">
        <is>
          <t>Assets/MachineBrigade/Scripts/Sim/Modes/BossHunt.cs:230 (HuntSupports.All[5])</t>
        </is>
      </c>
      <c r="H9" t="inlineStr">
        <is>
          <t>{"id":"rapid","icon":"airstrike","kind":"Rapid","value":0.25}</t>
        </is>
      </c>
    </row>
    <row r="10">
      <c r="A10" t="inlineStr">
        <is>
          <t>regen</t>
        </is>
      </c>
      <c r="B10" t="inlineStr">
        <is>
          <t>Sửa chữa dã chiến</t>
        </is>
      </c>
      <c r="C10" t="inlineStr">
        <is>
          <t>repair</t>
        </is>
      </c>
      <c r="D10" t="inlineStr">
        <is>
          <t>Regen</t>
        </is>
      </c>
      <c r="E10" t="n">
        <v>0.08</v>
      </c>
      <c r="F10" t="n">
        <v>0.01</v>
      </c>
      <c r="G10" t="inlineStr">
        <is>
          <t>Assets/MachineBrigade/Scripts/Sim/Modes/BossHunt.cs:229 (HuntSupports.All[4])</t>
        </is>
      </c>
      <c r="H10" t="inlineStr">
        <is>
          <t>{"id":"regen","icon":"repair","kind":"Regen","value":0.01,"strength":0.08}</t>
        </is>
      </c>
    </row>
    <row r="11">
      <c r="A11" t="inlineStr">
        <is>
          <t>supply</t>
        </is>
      </c>
      <c r="B11" t="inlineStr">
        <is>
          <t>Thêm kíp lái</t>
        </is>
      </c>
      <c r="C11" t="inlineStr">
        <is>
          <t>people</t>
        </is>
      </c>
      <c r="D11" t="inlineStr">
        <is>
          <t>Supply</t>
        </is>
      </c>
      <c r="E11" t="n">
        <v>0.08</v>
      </c>
      <c r="F11" t="n">
        <v>6</v>
      </c>
      <c r="G11" t="inlineStr">
        <is>
          <t>Assets/MachineBrigade/Scripts/Sim/Modes/BossHunt.cs:233 (HuntSupports.All[8])</t>
        </is>
      </c>
      <c r="H11" t="inlineStr">
        <is>
          <t>{"id":"supply","icon":"people","kind":"Supply","value":6,"strength":0.08}</t>
        </is>
      </c>
    </row>
    <row r="12">
      <c r="A12" t="inlineStr">
        <is>
          <t>warchest</t>
        </is>
      </c>
      <c r="B12" t="inlineStr">
        <is>
          <t>Quỹ chiến tranh</t>
        </is>
      </c>
      <c r="C12" t="inlineStr">
        <is>
          <t>coin</t>
        </is>
      </c>
      <c r="D12" t="inlineStr">
        <is>
          <t>WarChest</t>
        </is>
      </c>
      <c r="E12" t="n">
        <v>0.05</v>
      </c>
      <c r="F12" t="n">
        <v>35</v>
      </c>
      <c r="G12" t="inlineStr">
        <is>
          <t>Assets/MachineBrigade/Scripts/Sim/Modes/BossHunt.cs:232 (HuntSupports.All[7])</t>
        </is>
      </c>
      <c r="H12" t="inlineStr">
        <is>
          <t>{"id":"warchest","icon":"coin","kind":"WarChest","value":35,"strength":0.05}</t>
        </is>
      </c>
    </row>
    <row r="13">
      <c r="A13" t="inlineStr">
        <is>
          <t>workshop</t>
        </is>
      </c>
      <c r="B13" t="inlineStr">
        <is>
          <t>Xưởng lưu động</t>
        </is>
      </c>
      <c r="C13" t="inlineStr">
        <is>
          <t>gear</t>
        </is>
      </c>
      <c r="D13" t="inlineStr">
        <is>
          <t>Workshop</t>
        </is>
      </c>
      <c r="E13" t="n">
        <v>0.05</v>
      </c>
      <c r="F13" t="n">
        <v>1</v>
      </c>
      <c r="G13" t="inlineStr">
        <is>
          <t>Assets/MachineBrigade/Scripts/Sim/Modes/BossHunt.cs:234 (HuntSupports.All[9])</t>
        </is>
      </c>
      <c r="H13" t="inlineStr">
        <is>
          <t>{"id":"workshop","icon":"gear","kind":"Workshop","value":1,"strength":0.05}</t>
        </is>
      </c>
    </row>
  </sheetData>
  <autoFilter ref="A1:H13"/>
  <pageMargins left="0.75" right="0.75" top="1" bottom="1" header="0.5" footer="0.5"/>
</worksheet>
</file>

<file path=xl/worksheets/sheet41.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8" customWidth="1" min="2" max="2"/>
    <col width="8" customWidth="1" min="3" max="3"/>
    <col width="8" customWidth="1" min="4" max="4"/>
    <col width="45" customWidth="1" min="5" max="5"/>
    <col width="12" customWidth="1" min="6" max="6"/>
    <col width="60" customWidth="1" min="7" max="7"/>
    <col width="60" customWidth="1" min="8" max="8"/>
    <col width="10" customWidth="1" min="9" max="9"/>
  </cols>
  <sheetData>
    <row r="1">
      <c r="A1" s="1" t="inlineStr">
        <is>
          <t>id</t>
        </is>
      </c>
      <c r="B1" s="1" t="inlineStr">
        <is>
          <t>dai_m</t>
        </is>
      </c>
      <c r="C1" s="1" t="inlineStr">
        <is>
          <t>rong_m</t>
        </is>
      </c>
      <c r="D1" s="1" t="inlineStr">
        <is>
          <t>cao_m</t>
        </is>
      </c>
      <c r="E1" s="1" t="inlineStr">
        <is>
          <t>mau</t>
        </is>
      </c>
      <c r="F1" s="1" t="inlineStr">
        <is>
          <t>conf</t>
        </is>
      </c>
      <c r="G1" s="1" t="inlineStr">
        <is>
          <t>nguon_ghi</t>
        </is>
      </c>
      <c r="H1" s="1" t="inlineStr">
        <is>
          <t>nguon</t>
        </is>
      </c>
      <c r="I1" s="1" t="inlineStr">
        <is>
          <t>raw_json</t>
        </is>
      </c>
    </row>
    <row r="2">
      <c r="A2" t="inlineStr">
        <is>
          <t>armored_train</t>
        </is>
      </c>
      <c r="B2" t="inlineStr"/>
      <c r="C2" t="inlineStr"/>
      <c r="D2" t="inlineStr"/>
      <c r="E2" t="inlineStr">
        <is>
          <t>BP-35 armoured train</t>
        </is>
      </c>
      <c r="F2" t="inlineStr">
        <is>
          <t>inspiration</t>
        </is>
      </c>
      <c r="G2" t="inlineStr">
        <is>
          <t>a train set</t>
        </is>
      </c>
      <c r="H2" t="inlineStr">
        <is>
          <t>07_hinh_anh_am_thanh_model/Kich_thuoc_that (id armored_train)</t>
        </is>
      </c>
      <c r="I2" t="inlineStr"/>
    </row>
    <row r="3">
      <c r="A3" t="inlineStr">
        <is>
          <t>behemoth</t>
        </is>
      </c>
      <c r="B3" t="n">
        <v>10.24</v>
      </c>
      <c r="C3" t="n">
        <v>3.4</v>
      </c>
      <c r="D3" t="n">
        <v>2.47</v>
      </c>
      <c r="E3" t="inlineStr">
        <is>
          <t>Object 279 (four tracks, flat hull), a giant</t>
        </is>
      </c>
      <c r="F3" t="inlineStr">
        <is>
          <t>inspiration</t>
        </is>
      </c>
      <c r="G3" t="inlineStr">
        <is>
          <t>Wikipedia 'Object 279' (hull 7.77 m); the boss is a fictional giant on its lines</t>
        </is>
      </c>
      <c r="H3" t="inlineStr">
        <is>
          <t>07_hinh_anh_am_thanh_model/Kich_thuoc_that (id behemoth)</t>
        </is>
      </c>
      <c r="I3" t="inlineStr"/>
    </row>
    <row r="4">
      <c r="A4" t="inlineStr">
        <is>
          <t>behemoth_inferno</t>
        </is>
      </c>
      <c r="B4" t="inlineStr"/>
      <c r="C4" t="inlineStr"/>
      <c r="D4" t="inlineStr"/>
      <c r="E4" t="inlineStr">
        <is>
          <t>Object 279 with a TOS-1A pack</t>
        </is>
      </c>
      <c r="F4" t="inlineStr">
        <is>
          <t>inspiration</t>
        </is>
      </c>
      <c r="G4" t="inlineStr">
        <is>
          <t>fictional</t>
        </is>
      </c>
      <c r="H4" t="inlineStr">
        <is>
          <t>07_hinh_anh_am_thanh_model/Kich_thuoc_that (id behemoth_inferno)</t>
        </is>
      </c>
      <c r="I4" t="inlineStr"/>
    </row>
    <row r="5">
      <c r="A5" t="inlineStr">
        <is>
          <t>behemoth_tempest</t>
        </is>
      </c>
      <c r="B5" t="inlineStr"/>
      <c r="C5" t="inlineStr"/>
      <c r="D5" t="inlineStr"/>
      <c r="E5" t="inlineStr">
        <is>
          <t>Object 279 with a railgun</t>
        </is>
      </c>
      <c r="F5" t="inlineStr">
        <is>
          <t>inspiration</t>
        </is>
      </c>
      <c r="G5" t="inlineStr">
        <is>
          <t>fictional</t>
        </is>
      </c>
      <c r="H5" t="inlineStr">
        <is>
          <t>07_hinh_anh_am_thanh_model/Kich_thuoc_that (id behemoth_tempest)</t>
        </is>
      </c>
      <c r="I5" t="inlineStr"/>
    </row>
    <row r="6">
      <c r="A6" t="inlineStr">
        <is>
          <t>command_airship</t>
        </is>
      </c>
      <c r="B6" t="n">
        <v>92</v>
      </c>
      <c r="C6" t="n">
        <v>43.5</v>
      </c>
      <c r="D6" t="n">
        <v>26</v>
      </c>
      <c r="E6" t="inlineStr">
        <is>
          <t>Airlander 10</t>
        </is>
      </c>
      <c r="F6" t="inlineStr">
        <is>
          <t>high</t>
        </is>
      </c>
      <c r="G6" t="inlineStr">
        <is>
          <t>Wikipedia 'Hybrid Air Vehicles Airlander 10'</t>
        </is>
      </c>
      <c r="H6" t="inlineStr">
        <is>
          <t>07_hinh_anh_am_thanh_model/Kich_thuoc_that (id command_airship)</t>
        </is>
      </c>
      <c r="I6" t="inlineStr"/>
    </row>
    <row r="7">
      <c r="A7" t="inlineStr">
        <is>
          <t>daedalus</t>
        </is>
      </c>
      <c r="B7" t="inlineStr"/>
      <c r="C7" t="inlineStr"/>
      <c r="D7" t="inlineStr"/>
      <c r="E7" t="inlineStr">
        <is>
          <t>Daedalus (flying fortress)</t>
        </is>
      </c>
      <c r="F7" t="inlineStr">
        <is>
          <t>inspiration</t>
        </is>
      </c>
      <c r="G7" t="inlineStr">
        <is>
          <t>fictional</t>
        </is>
      </c>
      <c r="H7" t="inlineStr">
        <is>
          <t>07_hinh_anh_am_thanh_model/Kich_thuoc_that (id daedalus)</t>
        </is>
      </c>
      <c r="I7" t="inlineStr"/>
    </row>
    <row r="8">
      <c r="A8" t="inlineStr">
        <is>
          <t>drone_mothership</t>
        </is>
      </c>
      <c r="B8" t="n">
        <v>92</v>
      </c>
      <c r="C8" t="n">
        <v>43.5</v>
      </c>
      <c r="D8" t="n">
        <v>26</v>
      </c>
      <c r="E8" t="inlineStr">
        <is>
          <t>Airlander 10</t>
        </is>
      </c>
      <c r="F8" t="inlineStr">
        <is>
          <t>high</t>
        </is>
      </c>
      <c r="G8" t="inlineStr">
        <is>
          <t>Wikipedia 'Hybrid Air Vehicles Airlander 10'</t>
        </is>
      </c>
      <c r="H8" t="inlineStr">
        <is>
          <t>07_hinh_anh_am_thanh_model/Kich_thuoc_that (id drone_mothership)</t>
        </is>
      </c>
      <c r="I8" t="inlineStr"/>
    </row>
    <row r="9">
      <c r="A9" t="inlineStr">
        <is>
          <t>earth_borer</t>
        </is>
      </c>
      <c r="B9" t="inlineStr"/>
      <c r="C9" t="inlineStr"/>
      <c r="D9" t="inlineStr"/>
      <c r="E9" t="inlineStr">
        <is>
          <t>Soviet 'Battle Mole' / TBM</t>
        </is>
      </c>
      <c r="F9" t="inlineStr">
        <is>
          <t>inspiration</t>
        </is>
      </c>
      <c r="G9" t="inlineStr">
        <is>
          <t>fictional</t>
        </is>
      </c>
      <c r="H9" t="inlineStr">
        <is>
          <t>07_hinh_anh_am_thanh_model/Kich_thuoc_that (id earth_borer)</t>
        </is>
      </c>
      <c r="I9" t="inlineStr"/>
    </row>
    <row r="10">
      <c r="A10" t="inlineStr">
        <is>
          <t>fortress_bastion</t>
        </is>
      </c>
      <c r="B10" t="inlineStr"/>
      <c r="C10" t="inlineStr"/>
      <c r="D10" t="inlineStr"/>
      <c r="E10" t="inlineStr">
        <is>
          <t>Crawler-Transporter gun bastion</t>
        </is>
      </c>
      <c r="F10" t="inlineStr">
        <is>
          <t>inspiration</t>
        </is>
      </c>
      <c r="G10" t="inlineStr">
        <is>
          <t>fictional</t>
        </is>
      </c>
      <c r="H10" t="inlineStr">
        <is>
          <t>07_hinh_anh_am_thanh_model/Kich_thuoc_that (id fortress_bastion)</t>
        </is>
      </c>
      <c r="I10" t="inlineStr"/>
    </row>
    <row r="11">
      <c r="A11" t="inlineStr">
        <is>
          <t>ixion</t>
        </is>
      </c>
      <c r="B11" t="n">
        <v>20.6</v>
      </c>
      <c r="C11" t="n">
        <v>9.869999999999999</v>
      </c>
      <c r="D11" t="n">
        <v>8.16</v>
      </c>
      <c r="E11" t="inlineStr">
        <is>
          <t>BelAZ-75710</t>
        </is>
      </c>
      <c r="F11" t="inlineStr">
        <is>
          <t>high</t>
        </is>
      </c>
      <c r="G11" t="inlineStr">
        <is>
          <t>Wikipedia 'BelAZ 75710'</t>
        </is>
      </c>
      <c r="H11" t="inlineStr">
        <is>
          <t>07_hinh_anh_am_thanh_model/Kich_thuoc_that (id ixion)</t>
        </is>
      </c>
      <c r="I11" t="inlineStr"/>
    </row>
    <row r="12">
      <c r="A12" t="inlineStr">
        <is>
          <t>landing_hovercraft</t>
        </is>
      </c>
      <c r="B12" t="n">
        <v>26.8</v>
      </c>
      <c r="C12" t="n">
        <v>14.3</v>
      </c>
      <c r="E12" t="inlineStr">
        <is>
          <t>LCAC</t>
        </is>
      </c>
      <c r="F12" t="inlineStr">
        <is>
          <t>high</t>
        </is>
      </c>
      <c r="G12" t="inlineStr">
        <is>
          <t>Wikipedia 'Landing Craft Air Cushion'</t>
        </is>
      </c>
      <c r="H12" t="inlineStr">
        <is>
          <t>07_hinh_anh_am_thanh_model/Kich_thuoc_that (id landing_hovercraft)</t>
        </is>
      </c>
      <c r="I12" t="inlineStr"/>
    </row>
    <row r="13">
      <c r="A13" t="inlineStr">
        <is>
          <t>leviathan</t>
        </is>
      </c>
      <c r="B13" t="n">
        <v>270.4</v>
      </c>
      <c r="C13" t="n">
        <v>33</v>
      </c>
      <c r="E13" t="inlineStr">
        <is>
          <t>Iowa-class battleship</t>
        </is>
      </c>
      <c r="F13" t="inlineStr">
        <is>
          <t>high</t>
        </is>
      </c>
      <c r="G13" t="inlineStr">
        <is>
          <t>Wikipedia 'Iowa-class battleship'</t>
        </is>
      </c>
      <c r="H13" t="inlineStr">
        <is>
          <t>07_hinh_anh_am_thanh_model/Kich_thuoc_that (id leviathan)</t>
        </is>
      </c>
      <c r="I13" t="inlineStr"/>
    </row>
    <row r="14">
      <c r="A14" t="inlineStr">
        <is>
          <t>mega_gunship</t>
        </is>
      </c>
      <c r="B14" t="n">
        <v>30.1</v>
      </c>
      <c r="C14" t="n">
        <v>18.29</v>
      </c>
      <c r="D14" t="n">
        <v>5.68</v>
      </c>
      <c r="E14" t="inlineStr">
        <is>
          <t>CH-47F Chinook</t>
        </is>
      </c>
      <c r="F14" t="inlineStr">
        <is>
          <t>high</t>
        </is>
      </c>
      <c r="G14" t="inlineStr">
        <is>
          <t>Wikipedia 'Boeing CH-47 Chinook' (length with rotors)</t>
        </is>
      </c>
      <c r="H14" t="inlineStr">
        <is>
          <t>07_hinh_anh_am_thanh_model/Kich_thuoc_that (id mega_gunship)</t>
        </is>
      </c>
      <c r="I14" t="inlineStr"/>
    </row>
    <row r="15">
      <c r="A15" t="inlineStr">
        <is>
          <t>mobile_fortress</t>
        </is>
      </c>
      <c r="B15" t="n">
        <v>39.9</v>
      </c>
      <c r="C15" t="n">
        <v>34.7</v>
      </c>
      <c r="D15" t="n">
        <v>6.1</v>
      </c>
      <c r="E15" t="inlineStr">
        <is>
          <t>NASA Crawler-Transporter</t>
        </is>
      </c>
      <c r="F15" t="inlineStr">
        <is>
          <t>high</t>
        </is>
      </c>
      <c r="G15" t="inlineStr">
        <is>
          <t>Wikipedia 'Crawler-transporter' (height 6.1-7.9 m)</t>
        </is>
      </c>
      <c r="H15" t="inlineStr">
        <is>
          <t>07_hinh_anh_am_thanh_model/Kich_thuoc_that (id mobile_fortress)</t>
        </is>
      </c>
      <c r="I15" t="inlineStr"/>
    </row>
    <row r="16">
      <c r="A16" t="inlineStr">
        <is>
          <t>moloch</t>
        </is>
      </c>
      <c r="B16" t="inlineStr"/>
      <c r="C16" t="inlineStr"/>
      <c r="D16" t="inlineStr"/>
      <c r="E16" t="inlineStr">
        <is>
          <t>tracked mobile factory</t>
        </is>
      </c>
      <c r="F16" t="inlineStr">
        <is>
          <t>inspiration</t>
        </is>
      </c>
      <c r="G16" t="inlineStr">
        <is>
          <t>fictional</t>
        </is>
      </c>
      <c r="H16" t="inlineStr">
        <is>
          <t>07_hinh_anh_am_thanh_model/Kich_thuoc_that (id moloch)</t>
        </is>
      </c>
      <c r="I16" t="inlineStr"/>
    </row>
    <row r="17">
      <c r="A17" t="inlineStr">
        <is>
          <t>monster</t>
        </is>
      </c>
      <c r="B17" t="inlineStr"/>
      <c r="C17" t="inlineStr"/>
      <c r="D17" t="inlineStr"/>
      <c r="E17" t="inlineStr">
        <is>
          <t>2B1 Oka / Object 271</t>
        </is>
      </c>
      <c r="F17" t="inlineStr">
        <is>
          <t>inspiration</t>
        </is>
      </c>
      <c r="G17" t="inlineStr">
        <is>
          <t>fictional giant</t>
        </is>
      </c>
      <c r="H17" t="inlineStr">
        <is>
          <t>07_hinh_anh_am_thanh_model/Kich_thuoc_that (id monster)</t>
        </is>
      </c>
      <c r="I17" t="inlineStr"/>
    </row>
    <row r="18">
      <c r="A18" t="inlineStr">
        <is>
          <t>nuke_train</t>
        </is>
      </c>
      <c r="B18" t="inlineStr"/>
      <c r="C18" t="inlineStr"/>
      <c r="D18" t="inlineStr"/>
      <c r="E18" t="inlineStr">
        <is>
          <t>RT-23 Molodets BZhRK</t>
        </is>
      </c>
      <c r="F18" t="inlineStr">
        <is>
          <t>inspiration</t>
        </is>
      </c>
      <c r="G18" t="inlineStr">
        <is>
          <t>a train set</t>
        </is>
      </c>
      <c r="H18" t="inlineStr">
        <is>
          <t>07_hinh_anh_am_thanh_model/Kich_thuoc_that (id nuke_train)</t>
        </is>
      </c>
      <c r="I18" t="inlineStr"/>
    </row>
    <row r="19">
      <c r="A19" t="inlineStr">
        <is>
          <t>silver_bug</t>
        </is>
      </c>
      <c r="B19" t="inlineStr"/>
      <c r="C19" t="inlineStr"/>
      <c r="D19" t="inlineStr"/>
      <c r="E19" t="inlineStr">
        <is>
          <t>Icarus (alien craft)</t>
        </is>
      </c>
      <c r="F19" t="inlineStr">
        <is>
          <t>inspiration</t>
        </is>
      </c>
      <c r="G19" t="inlineStr">
        <is>
          <t>fictional</t>
        </is>
      </c>
      <c r="H19" t="inlineStr">
        <is>
          <t>07_hinh_anh_am_thanh_model/Kich_thuoc_that (id silver_bug)</t>
        </is>
      </c>
      <c r="I19" t="inlineStr"/>
    </row>
    <row r="20">
      <c r="A20" t="inlineStr">
        <is>
          <t>typhon</t>
        </is>
      </c>
      <c r="B20" t="n">
        <v>175</v>
      </c>
      <c r="C20" t="n">
        <v>23</v>
      </c>
      <c r="E20" t="inlineStr">
        <is>
          <t>Project 941 Akula (Typhoon)</t>
        </is>
      </c>
      <c r="F20" t="inlineStr">
        <is>
          <t>high</t>
        </is>
      </c>
      <c r="G20" t="inlineStr">
        <is>
          <t>Wikipedia 'Typhoon-class submarine'</t>
        </is>
      </c>
      <c r="H20" t="inlineStr">
        <is>
          <t>07_hinh_anh_am_thanh_model/Kich_thuoc_that (id typhon)</t>
        </is>
      </c>
      <c r="I20" t="inlineStr"/>
    </row>
  </sheetData>
  <autoFilter ref="A1:I20"/>
  <pageMargins left="0.75" right="0.75" top="1" bottom="1" header="0.5" footer="0.5"/>
</worksheet>
</file>

<file path=xl/worksheets/sheet42.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9" customWidth="1" min="2" max="2"/>
    <col width="36" customWidth="1" min="3" max="3"/>
    <col width="17" customWidth="1" min="4" max="4"/>
    <col width="60" customWidth="1" min="5" max="5"/>
    <col width="12" customWidth="1" min="6" max="6"/>
    <col width="21" customWidth="1" min="7" max="7"/>
    <col width="36" customWidth="1" min="8" max="8"/>
    <col width="60" customWidth="1" min="9" max="9"/>
    <col width="59" customWidth="1" min="10" max="10"/>
    <col width="60" customWidth="1" min="11" max="11"/>
    <col width="23" customWidth="1" min="12" max="12"/>
    <col width="12" customWidth="1" min="13" max="13"/>
    <col width="24" customWidth="1" min="14" max="14"/>
    <col width="14" customWidth="1" min="15" max="15"/>
    <col width="60" customWidth="1" min="16" max="16"/>
    <col width="60" customWidth="1" min="17" max="17"/>
    <col width="60" customWidth="1" min="18" max="18"/>
    <col width="60" customWidth="1" min="19" max="19"/>
    <col width="60" customWidth="1" min="20" max="20"/>
    <col width="60" customWidth="1" min="21" max="21"/>
    <col width="45" customWidth="1" min="22" max="22"/>
    <col width="23" customWidth="1" min="23" max="23"/>
    <col width="23" customWidth="1" min="24" max="24"/>
    <col width="60" customWidth="1" min="25" max="25"/>
    <col width="60" customWidth="1" min="26" max="26"/>
    <col width="60" customWidth="1" min="27" max="27"/>
    <col width="21" customWidth="1" min="28" max="28"/>
    <col width="60" customWidth="1" min="29" max="29"/>
    <col width="60" customWidth="1" min="30" max="30"/>
    <col width="60" customWidth="1" min="31" max="31"/>
    <col width="60" customWidth="1" min="32" max="32"/>
    <col width="60" customWidth="1" min="33" max="33"/>
    <col width="10" customWidth="1" min="34" max="34"/>
  </cols>
  <sheetData>
    <row r="1">
      <c r="A1" s="1" t="inlineStr">
        <is>
          <t>id</t>
        </is>
      </c>
      <c r="B1" s="1" t="inlineStr">
        <is>
          <t>entity_id</t>
        </is>
      </c>
      <c r="C1" s="1" t="inlineStr">
        <is>
          <t>ten_hien_thi</t>
        </is>
      </c>
      <c r="D1" s="1" t="inlineStr">
        <is>
          <t>loai_tham_chieu</t>
        </is>
      </c>
      <c r="E1" s="1" t="inlineStr">
        <is>
          <t>ten_mau_that</t>
        </is>
      </c>
      <c r="F1" s="1" t="inlineStr">
        <is>
          <t>quoc_gia</t>
        </is>
      </c>
      <c r="G1" s="1" t="inlineStr">
        <is>
          <t>nam_dua_vao_su_dung</t>
        </is>
      </c>
      <c r="H1" s="1" t="inlineStr">
        <is>
          <t>ten_game</t>
        </is>
      </c>
      <c r="I1" s="1" t="inlineStr">
        <is>
          <t>co_che_game</t>
        </is>
      </c>
      <c r="J1" s="1" t="inlineStr">
        <is>
          <t>ten_phim_truyen</t>
        </is>
      </c>
      <c r="K1" s="1" t="inlineStr">
        <is>
          <t>diem_giong</t>
        </is>
      </c>
      <c r="L1" s="1" t="inlineStr">
        <is>
          <t>diem_khac_co_chu_dich</t>
        </is>
      </c>
      <c r="M1" s="1" t="inlineStr">
        <is>
          <t>ly_do_khac</t>
        </is>
      </c>
      <c r="N1" s="1" t="inlineStr">
        <is>
          <t>cam_giac_khac_khi_choi</t>
        </is>
      </c>
      <c r="O1" s="1" t="inlineStr">
        <is>
          <t>do_tin_cay</t>
        </is>
      </c>
      <c r="P1" s="1" t="inlineStr">
        <is>
          <t>nguon_id</t>
        </is>
      </c>
      <c r="Q1" s="1" t="inlineStr">
        <is>
          <t>ly_do</t>
        </is>
      </c>
      <c r="R1" s="1" t="inlineStr">
        <is>
          <t>ghi_chu_ban_quyen</t>
        </is>
      </c>
      <c r="S1" s="1" t="inlineStr">
        <is>
          <t>ngoai_doi_dai_m</t>
        </is>
      </c>
      <c r="T1" s="1" t="inlineStr">
        <is>
          <t>ngoai_doi_rong_m</t>
        </is>
      </c>
      <c r="U1" s="1" t="inlineStr">
        <is>
          <t>ngoai_doi_cao_m</t>
        </is>
      </c>
      <c r="V1" s="1" t="inlineStr">
        <is>
          <t>ngoai_doi_mau_kich_thuoc</t>
        </is>
      </c>
      <c r="W1" s="1" t="inlineStr">
        <is>
          <t>do_tin_cay_kich_thuoc</t>
        </is>
      </c>
      <c r="X1" s="1" t="inlineStr">
        <is>
          <t>tham_chieu_kich_thuoc</t>
        </is>
      </c>
      <c r="Y1" s="1" t="inlineStr">
        <is>
          <t>ghi_chu_unit_refs</t>
        </is>
      </c>
      <c r="Z1" s="1" t="inlineStr">
        <is>
          <t>tham_khao_bang_can_bang</t>
        </is>
      </c>
      <c r="AA1" s="1" t="inlineStr">
        <is>
          <t>tham_khao_bang_thay_doi</t>
        </is>
      </c>
      <c r="AB1" s="1" t="inlineStr">
        <is>
          <t>nam_ghi_trong_nguon</t>
        </is>
      </c>
      <c r="AC1" s="1" t="inlineStr">
        <is>
          <t>ghi_chu_dung_model</t>
        </is>
      </c>
      <c r="AD1" s="1" t="inlineStr">
        <is>
          <t>phan_lay_tu_mau</t>
        </is>
      </c>
      <c r="AE1" s="1" t="inlineStr">
        <is>
          <t>he_so_phong_to</t>
        </is>
      </c>
      <c r="AF1" s="1" t="inlineStr">
        <is>
          <t>phan_gia_tuong</t>
        </is>
      </c>
      <c r="AG1" s="1" t="inlineStr">
        <is>
          <t>nguon</t>
        </is>
      </c>
      <c r="AH1" s="1" t="inlineStr">
        <is>
          <t>raw_json</t>
        </is>
      </c>
    </row>
    <row r="2">
      <c r="A2" t="inlineStr">
        <is>
          <t>argus</t>
        </is>
      </c>
      <c r="B2" t="inlineStr">
        <is>
          <t>argus</t>
        </is>
      </c>
      <c r="C2" t="inlineStr">
        <is>
          <t>Argus · Khí cầu trinh sát</t>
        </is>
      </c>
      <c r="D2" t="inlineStr">
        <is>
          <t>doi_that</t>
        </is>
      </c>
      <c r="E2" t="inlineStr">
        <is>
          <t>JLENS (khí cầu radar neo)</t>
        </is>
      </c>
      <c r="F2" t="inlineStr">
        <is>
          <t>NEED_SOURCE</t>
        </is>
      </c>
      <c r="G2" t="inlineStr">
        <is>
          <t>NEED_SOURCE</t>
        </is>
      </c>
      <c r="H2" t="inlineStr">
        <is>
          <t>Red Alert 2</t>
        </is>
      </c>
      <c r="I2" t="inlineStr">
        <is>
          <t>hình dáng: Kirov Airship</t>
        </is>
      </c>
      <c r="J2" t="inlineStr"/>
      <c r="K2" t="inlineStr">
        <is>
          <t>biến thể của khí cầu chỉ huy, khí cầu radar neo</t>
        </is>
      </c>
      <c r="L2" t="inlineStr"/>
      <c r="M2" t="inlineStr"/>
      <c r="N2" t="inlineStr"/>
      <c r="O2" t="inlineStr">
        <is>
          <t>uoc_dinh</t>
        </is>
      </c>
      <c r="P2" t="inlineStr">
        <is>
          <t>R_unit_refs;R_machine_brigade_can_bang;R_unit_sheet</t>
        </is>
      </c>
      <c r="Q2" t="inlineStr"/>
      <c r="R2" t="inlineStr">
        <is>
          <t>chỉ ở mức ý tưởng và thông số (sự kiện); không dùng tên, logo, văn bản, ảnh hay mô hình có bản quyền; tên và phù hiệu quốc gia thật không hiện cho người chơi</t>
        </is>
      </c>
      <c r="S2" t="inlineStr">
        <is>
          <t>NEED_SOURCE</t>
        </is>
      </c>
      <c r="T2" t="inlineStr">
        <is>
          <t>NEED_SOURCE</t>
        </is>
      </c>
      <c r="U2" t="inlineStr">
        <is>
          <t>NEED_SOURCE</t>
        </is>
      </c>
      <c r="Y2" t="inlineStr">
        <is>
          <t>ước đoán: biến thể của khí cầu chỉ huy, khí cầu radar neo</t>
        </is>
      </c>
      <c r="Z2" t="inlineStr">
        <is>
          <t>JLENS (khí cầu radar neo) · Kirov Airship (Red Alert 2) — ước đoán: biến thể của khí cầu chỉ huy, khí cầu radar neo</t>
        </is>
      </c>
      <c r="AA2" t="inlineStr"/>
      <c r="AB2" t="inlineStr"/>
      <c r="AC2" t="inlineStr"/>
      <c r="AD2" t="inlineStr">
        <is>
          <t>JLENS (khí cầu radar neo) · Kirov Airship (Red Alert 2) — ước đoán: biến thể của khí cầu chỉ huy, khí cầu radar neo</t>
        </is>
      </c>
      <c r="AE2" t="inlineStr">
        <is>
          <t>boss ×1,3–1,5 so với mẫu gốc (Docs/balance/Machine_Brigade_Can_bang.xlsx, sheet Hướng dẫn vẽ)</t>
        </is>
      </c>
      <c r="AF2" t="inlineStr">
        <is>
          <t>unit_refs.json ghi ước đoán</t>
        </is>
      </c>
      <c r="AG2" t="inlineStr">
        <is>
          <t>Tools/docs/unit_refs.json: argus; Tools/models/reference_real.json: units.argus</t>
        </is>
      </c>
      <c r="AH2" t="inlineStr"/>
    </row>
    <row r="3">
      <c r="A3" t="inlineStr">
        <is>
          <t>armored_train</t>
        </is>
      </c>
      <c r="B3" t="inlineStr">
        <is>
          <t>armored_train</t>
        </is>
      </c>
      <c r="C3" t="inlineStr">
        <is>
          <t>Juggernaut · Đoàn tàu bọc thép</t>
        </is>
      </c>
      <c r="D3" t="inlineStr">
        <is>
          <t>doi_that</t>
        </is>
      </c>
      <c r="E3" t="inlineStr">
        <is>
          <t>tàu bọc thép Liên Xô BP-35;B-38 152 mm;2B11 120 mm</t>
        </is>
      </c>
      <c r="F3" t="inlineStr">
        <is>
          <t>NEED_SOURCE</t>
        </is>
      </c>
      <c r="G3" t="inlineStr">
        <is>
          <t>NEED_SOURCE</t>
        </is>
      </c>
      <c r="H3" t="inlineStr"/>
      <c r="I3" t="inlineStr"/>
      <c r="J3" t="inlineStr"/>
      <c r="K3" t="inlineStr">
        <is>
          <t>đầu máy diesel bọc thép kéo toa pháo</t>
        </is>
      </c>
      <c r="L3" t="inlineStr"/>
      <c r="M3" t="inlineStr">
        <is>
          <t>gia_tuong</t>
        </is>
      </c>
      <c r="N3" t="inlineStr"/>
      <c r="O3" t="inlineStr">
        <is>
          <t>uoc_dinh</t>
        </is>
      </c>
      <c r="P3" t="inlineStr">
        <is>
          <t>R_unit_refs;R_reference_real;R_machine_brigade_can_bang;R_armored_train;R_unit_sheet</t>
        </is>
      </c>
      <c r="Q3" t="inlineStr">
        <is>
          <t>reference_real.json: a train set (mẫu 'BP-35 armoured train', thiết kế giả tưởng)</t>
        </is>
      </c>
      <c r="R3" t="inlineStr">
        <is>
          <t>chỉ ở mức ý tưởng và thông số (sự kiện); không dùng tên, logo, văn bản, ảnh hay mô hình có bản quyền; tên và phù hiệu quốc gia thật không hiện cho người chơi</t>
        </is>
      </c>
      <c r="S3" t="inlineStr">
        <is>
          <t>NEED_SOURCE</t>
        </is>
      </c>
      <c r="T3" t="inlineStr">
        <is>
          <t>NEED_SOURCE</t>
        </is>
      </c>
      <c r="U3" t="inlineStr">
        <is>
          <t>NEED_SOURCE</t>
        </is>
      </c>
      <c r="V3" t="inlineStr">
        <is>
          <t>BP-35 armoured train</t>
        </is>
      </c>
      <c r="W3" t="inlineStr">
        <is>
          <t>inspiration</t>
        </is>
      </c>
      <c r="Y3" t="inlineStr">
        <is>
          <t>ước đoán: đầu máy diesel bọc thép kéo toa pháo</t>
        </is>
      </c>
      <c r="Z3" t="inlineStr">
        <is>
          <t>tàu bọc thép Liên Xô BP-35, B-38 152 mm, 2B11 120 mm — ước đoán: đầu máy diesel bọc thép kéo toa pháo</t>
        </is>
      </c>
      <c r="AA3" t="inlineStr">
        <is>
          <t>Luật mini boss</t>
        </is>
      </c>
      <c r="AB3" t="inlineStr"/>
      <c r="AC3" t="inlineStr">
        <is>
          <t>Tools/blender/specs/armored_train.json: real = Soviet armoured train BP-35; B-38 152 mm; 2B11 120 mm mortar (twin); ZU-23-2; confidence = tham_khao_thuc (BP-35 armoured locomotive and gun wagon; cars and couplings kept from the old file)</t>
        </is>
      </c>
      <c r="AD3" t="inlineStr">
        <is>
          <t>tàu bọc thép Liên Xô BP-35, B-38 152 mm, 2B11 120 mm — ước đoán: đầu máy diesel bọc thép kéo toa pháo</t>
        </is>
      </c>
      <c r="AE3" t="inlineStr">
        <is>
          <t>boss ×1,3–1,5 so với mẫu gốc (Docs/balance/Machine_Brigade_Can_bang.xlsx, sheet Hướng dẫn vẽ)</t>
        </is>
      </c>
      <c r="AF3" t="inlineStr">
        <is>
          <t>reference_real.json: a train set; unit_refs.json ghi ước đoán</t>
        </is>
      </c>
      <c r="AG3" t="inlineStr">
        <is>
          <t>Tools/docs/unit_refs.json: armored_train; Tools/models/reference_real.json: units.armored_train</t>
        </is>
      </c>
      <c r="AH3" t="inlineStr"/>
    </row>
    <row r="4">
      <c r="A4" t="inlineStr">
        <is>
          <t>bastion_mk0</t>
        </is>
      </c>
      <c r="B4" t="inlineStr">
        <is>
          <t>bastion_mk0</t>
        </is>
      </c>
      <c r="C4" t="inlineStr">
        <is>
          <t>Bastion Mk.0 · Pháo đài nguyên mẫu</t>
        </is>
      </c>
      <c r="D4" t="inlineStr">
        <is>
          <t>doi_that</t>
        </is>
      </c>
      <c r="E4" t="inlineStr">
        <is>
          <t>2B8 240 mm;Bofors 40 mm</t>
        </is>
      </c>
      <c r="F4" t="inlineStr">
        <is>
          <t>NEED_SOURCE</t>
        </is>
      </c>
      <c r="G4" t="inlineStr">
        <is>
          <t>NEED_SOURCE</t>
        </is>
      </c>
      <c r="H4" t="inlineStr"/>
      <c r="I4" t="inlineStr"/>
      <c r="J4" t="inlineStr">
        <is>
          <t>Star Wars</t>
        </is>
      </c>
      <c r="K4" t="inlineStr">
        <is>
          <t>bản đầu, nhỏ của Bastion</t>
        </is>
      </c>
      <c r="L4" t="inlineStr"/>
      <c r="M4" t="inlineStr"/>
      <c r="N4" t="inlineStr"/>
      <c r="O4" t="inlineStr">
        <is>
          <t>uoc_dinh</t>
        </is>
      </c>
      <c r="P4" t="inlineStr">
        <is>
          <t>R_unit_refs;R_machine_brigade_can_bang;R_unit_sheet</t>
        </is>
      </c>
      <c r="Q4" t="inlineStr"/>
      <c r="R4" t="inlineStr">
        <is>
          <t>chỉ ở mức ý tưởng và thông số (sự kiện); không dùng tên, logo, văn bản, ảnh hay mô hình có bản quyền; tên và phù hiệu quốc gia thật không hiện cho người chơi</t>
        </is>
      </c>
      <c r="S4" t="inlineStr">
        <is>
          <t>NEED_SOURCE</t>
        </is>
      </c>
      <c r="T4" t="inlineStr">
        <is>
          <t>NEED_SOURCE</t>
        </is>
      </c>
      <c r="U4" t="inlineStr">
        <is>
          <t>NEED_SOURCE</t>
        </is>
      </c>
      <c r="Y4" t="inlineStr">
        <is>
          <t>ước đoán: bản đầu, nhỏ của Bastion</t>
        </is>
      </c>
      <c r="Z4" t="inlineStr">
        <is>
          <t>2B8 240 mm, Bofors 40 mm · Sandcrawler (Star Wars) — ước đoán: bản đầu, nhỏ của Bastion</t>
        </is>
      </c>
      <c r="AA4" t="inlineStr">
        <is>
          <t>Thang máu boss</t>
        </is>
      </c>
      <c r="AB4" t="inlineStr"/>
      <c r="AC4" t="inlineStr"/>
      <c r="AD4" t="inlineStr">
        <is>
          <t>2B8 240 mm, Bofors 40 mm · Sandcrawler (Star Wars) — ước đoán: bản đầu, nhỏ của Bastion</t>
        </is>
      </c>
      <c r="AE4" t="inlineStr">
        <is>
          <t>boss ×1,3–1,5 so với mẫu gốc (Docs/balance/Machine_Brigade_Can_bang.xlsx, sheet Hướng dẫn vẽ)</t>
        </is>
      </c>
      <c r="AF4" t="inlineStr">
        <is>
          <t>unit_refs.json ghi ước đoán</t>
        </is>
      </c>
      <c r="AG4" t="inlineStr">
        <is>
          <t>Tools/docs/unit_refs.json: bastion_mk0; Tools/models/reference_real.json: units.bastion_mk0</t>
        </is>
      </c>
      <c r="AH4" t="inlineStr"/>
    </row>
    <row r="5">
      <c r="A5" t="inlineStr">
        <is>
          <t>behemoth</t>
        </is>
      </c>
      <c r="B5" t="inlineStr">
        <is>
          <t>behemoth</t>
        </is>
      </c>
      <c r="C5" t="inlineStr">
        <is>
          <t>Behemoth · Quái vật thép</t>
        </is>
      </c>
      <c r="D5" t="inlineStr">
        <is>
          <t>doi_that</t>
        </is>
      </c>
      <c r="E5" t="inlineStr">
        <is>
          <t>Object 279 (1959: bốn dải xích, thân dẹt);giáp composite, APS và cảm biến hiện đại;2A65 152 mm</t>
        </is>
      </c>
      <c r="F5" t="inlineStr">
        <is>
          <t>NEED_SOURCE</t>
        </is>
      </c>
      <c r="G5" t="inlineStr">
        <is>
          <t>NEED_SOURCE</t>
        </is>
      </c>
      <c r="H5" t="inlineStr">
        <is>
          <t>Warhammer 40,000</t>
        </is>
      </c>
      <c r="I5" t="inlineStr">
        <is>
          <t>hình dáng: Baneblade</t>
        </is>
      </c>
      <c r="J5" t="inlineStr"/>
      <c r="K5" t="inlineStr">
        <is>
          <t>'thiết giáp hạm trên cạn' bốn cụm xích</t>
        </is>
      </c>
      <c r="L5" t="inlineStr"/>
      <c r="M5" t="inlineStr">
        <is>
          <t>gia_tuong</t>
        </is>
      </c>
      <c r="N5" t="inlineStr"/>
      <c r="O5" t="inlineStr">
        <is>
          <t>uoc_dinh</t>
        </is>
      </c>
      <c r="P5" t="inlineStr">
        <is>
          <t>R_unit_refs;R_reference_real;W_wikipedia_object_279;R_machine_brigade_can_bang;R_behemoth;R_unit_sheet</t>
        </is>
      </c>
      <c r="Q5" t="inlineStr">
        <is>
          <t>reference_real.json: Wikipedia 'Object 279' (hull 7.77 m); the boss is a fictional giant on its lines (mẫu 'Object 279 (four tracks, flat hull), a giant', thiết kế giả tưởng)</t>
        </is>
      </c>
      <c r="R5" t="inlineStr">
        <is>
          <t>chỉ ở mức ý tưởng và thông số (sự kiện); không dùng tên, logo, văn bản, ảnh hay mô hình có bản quyền; tên và phù hiệu quốc gia thật không hiện cho người chơi</t>
        </is>
      </c>
      <c r="S5">
        <f>INDEX(boss_input_kich_thuoc_that!$B$2:$B$20,MATCH($B$5,boss_input_kich_thuoc_that!$A$2:$A$20,0))</f>
        <v/>
      </c>
      <c r="T5">
        <f>INDEX(boss_input_kich_thuoc_that!$C$2:$C$20,MATCH($B$5,boss_input_kich_thuoc_that!$A$2:$A$20,0))</f>
        <v/>
      </c>
      <c r="U5">
        <f>INDEX(boss_input_kich_thuoc_that!$D$2:$D$20,MATCH($B$5,boss_input_kich_thuoc_that!$A$2:$A$20,0))</f>
        <v/>
      </c>
      <c r="V5" t="inlineStr">
        <is>
          <t>Object 279 (four tracks, flat hull), a giant</t>
        </is>
      </c>
      <c r="W5" t="inlineStr">
        <is>
          <t>inspiration</t>
        </is>
      </c>
      <c r="Y5" t="inlineStr">
        <is>
          <t>ước đoán: 'thiết giáp hạm trên cạn' bốn cụm xích</t>
        </is>
      </c>
      <c r="Z5" t="inlineStr">
        <is>
          <t>Object 279 (1959: bốn dải xích, thân dẹt), giáp composite, APS và cảm biến hiện đại, 2A65 152 mm · Baneblade (Warhammer 40,000) — ước đoán: 'thiết giáp hạm trên cạn' bốn cụm xích</t>
        </is>
      </c>
      <c r="AA5" t="inlineStr">
        <is>
          <t>Thang máu boss</t>
        </is>
      </c>
      <c r="AB5" t="inlineStr"/>
      <c r="AC5" t="inlineStr">
        <is>
          <t>Tools/blender/specs/behemoth.json: real = Object 279 (1959: four tracks, flat hull); 2A65 152 mm (twin); composite armour, APS (Trophy class); confidence = tham_khao_thuc (Object 279 running gear; the turret and sponsons after the Baneblade read)</t>
        </is>
      </c>
      <c r="AD5" t="inlineStr">
        <is>
          <t>Object 279 (1959: bốn dải xích, thân dẹt), giáp composite, APS và cảm biến hiện đại, 2A65 152 mm · Baneblade (Warhammer 40,000) — ước đoán: 'thiết giáp hạm trên cạn' bốn cụm xích</t>
        </is>
      </c>
      <c r="AE5" t="inlineStr">
        <is>
          <t>boss ×1,3–1,5 so với mẫu gốc (Docs/balance/Machine_Brigade_Can_bang.xlsx, sheet Hướng dẫn vẽ)</t>
        </is>
      </c>
      <c r="AF5" t="inlineStr">
        <is>
          <t>reference_real.json: Wikipedia 'Object 279' (hull 7.77 m); the boss is a fictional giant on its lines; unit_refs.json ghi ước đoán</t>
        </is>
      </c>
      <c r="AG5" t="inlineStr">
        <is>
          <t>Tools/docs/unit_refs.json: behemoth; Tools/models/reference_real.json: units.behemoth</t>
        </is>
      </c>
      <c r="AH5" t="inlineStr"/>
    </row>
    <row r="6">
      <c r="A6" t="inlineStr">
        <is>
          <t>behemoth_inferno</t>
        </is>
      </c>
      <c r="B6" t="inlineStr">
        <is>
          <t>behemoth_inferno</t>
        </is>
      </c>
      <c r="C6" t="inlineStr">
        <is>
          <t>Inferno · Behemoth phun lửa</t>
        </is>
      </c>
      <c r="D6" t="inlineStr">
        <is>
          <t>doi_that</t>
        </is>
      </c>
      <c r="E6" t="inlineStr">
        <is>
          <t>TOS-1A;Object 279 (1959)</t>
        </is>
      </c>
      <c r="F6" t="inlineStr">
        <is>
          <t>NEED_SOURCE</t>
        </is>
      </c>
      <c r="G6" t="inlineStr">
        <is>
          <t>NEED_SOURCE</t>
        </is>
      </c>
      <c r="H6" t="inlineStr">
        <is>
          <t>Warhammer 40,000</t>
        </is>
      </c>
      <c r="I6" t="inlineStr">
        <is>
          <t>hình dáng: Baneblade</t>
        </is>
      </c>
      <c r="J6" t="inlineStr"/>
      <c r="K6" t="inlineStr">
        <is>
          <t>Behemoth phun lửa, thùng nhiên liệu đỏ</t>
        </is>
      </c>
      <c r="L6" t="inlineStr"/>
      <c r="M6" t="inlineStr">
        <is>
          <t>gia_tuong</t>
        </is>
      </c>
      <c r="N6" t="inlineStr"/>
      <c r="O6" t="inlineStr">
        <is>
          <t>uoc_dinh</t>
        </is>
      </c>
      <c r="P6" t="inlineStr">
        <is>
          <t>R_unit_refs;R_reference_real;R_machine_brigade_can_bang;R_behemoth_inferno;R_unit_sheet</t>
        </is>
      </c>
      <c r="Q6" t="inlineStr">
        <is>
          <t>reference_real.json: fictional (mẫu 'Object 279 with a TOS-1A pack', thiết kế giả tưởng)</t>
        </is>
      </c>
      <c r="R6" t="inlineStr">
        <is>
          <t>chỉ ở mức ý tưởng và thông số (sự kiện); không dùng tên, logo, văn bản, ảnh hay mô hình có bản quyền; tên và phù hiệu quốc gia thật không hiện cho người chơi</t>
        </is>
      </c>
      <c r="S6" t="inlineStr">
        <is>
          <t>NEED_SOURCE</t>
        </is>
      </c>
      <c r="T6" t="inlineStr">
        <is>
          <t>NEED_SOURCE</t>
        </is>
      </c>
      <c r="U6" t="inlineStr">
        <is>
          <t>NEED_SOURCE</t>
        </is>
      </c>
      <c r="V6" t="inlineStr">
        <is>
          <t>Object 279 with a TOS-1A pack</t>
        </is>
      </c>
      <c r="W6" t="inlineStr">
        <is>
          <t>inspiration</t>
        </is>
      </c>
      <c r="Y6" t="inlineStr">
        <is>
          <t>ước đoán: Behemoth phun lửa, thùng nhiên liệu đỏ</t>
        </is>
      </c>
      <c r="Z6" t="inlineStr">
        <is>
          <t>TOS-1A, Object 279 (1959) · Baneblade (Warhammer 40,000) — ước đoán: Behemoth phun lửa, thùng nhiên liệu đỏ</t>
        </is>
      </c>
      <c r="AA6" t="inlineStr"/>
      <c r="AB6" t="inlineStr">
        <is>
          <t>1959</t>
        </is>
      </c>
      <c r="AC6" t="inlineStr">
        <is>
          <t>Tools/blender/specs/behemoth_inferno.json: real = 2A46M 125 mm smoothbore firing the 3VOF128 thermobaric round, in a small unmanned casemate turret (play-test 13: was the TOS-1A rocket box); Object 279 (1959: four tracks, the elliptical hull); Baneblade (Warhammer 40,000) for the scale; confidence = ban_dau_doan (a fictional variant after the sheet's references)</t>
        </is>
      </c>
      <c r="AD6" t="inlineStr">
        <is>
          <t>TOS-1A, Object 279 (1959) · Baneblade (Warhammer 40,000) — ước đoán: Behemoth phun lửa, thùng nhiên liệu đỏ</t>
        </is>
      </c>
      <c r="AE6" t="inlineStr">
        <is>
          <t>boss ×1,3–1,5 so với mẫu gốc (Docs/balance/Machine_Brigade_Can_bang.xlsx, sheet Hướng dẫn vẽ)</t>
        </is>
      </c>
      <c r="AF6" t="inlineStr">
        <is>
          <t>reference_real.json: fictional; unit_refs.json ghi ước đoán</t>
        </is>
      </c>
      <c r="AG6" t="inlineStr">
        <is>
          <t>Tools/docs/unit_refs.json: behemoth_inferno; Tools/models/reference_real.json: units.behemoth_inferno</t>
        </is>
      </c>
      <c r="AH6" t="inlineStr"/>
    </row>
    <row r="7">
      <c r="A7" t="inlineStr">
        <is>
          <t>behemoth_mk0</t>
        </is>
      </c>
      <c r="B7" t="inlineStr">
        <is>
          <t>behemoth_mk0</t>
        </is>
      </c>
      <c r="C7" t="inlineStr">
        <is>
          <t>Behemoth Mk.0 · Behemoth nguyên mẫu</t>
        </is>
      </c>
      <c r="D7" t="inlineStr">
        <is>
          <t>doi_that</t>
        </is>
      </c>
      <c r="E7" t="inlineStr">
        <is>
          <t>Object 279 (1959);giáp composite, APS và cảm biến hiện đại</t>
        </is>
      </c>
      <c r="F7" t="inlineStr">
        <is>
          <t>NEED_SOURCE</t>
        </is>
      </c>
      <c r="G7" t="inlineStr">
        <is>
          <t>NEED_SOURCE</t>
        </is>
      </c>
      <c r="H7" t="inlineStr">
        <is>
          <t>Warhammer 40,000</t>
        </is>
      </c>
      <c r="I7" t="inlineStr">
        <is>
          <t>hình dáng: Baneblade</t>
        </is>
      </c>
      <c r="J7" t="inlineStr"/>
      <c r="K7" t="inlineStr">
        <is>
          <t>Behemoth đời đầu, nhỏ hơn</t>
        </is>
      </c>
      <c r="L7" t="inlineStr"/>
      <c r="M7" t="inlineStr"/>
      <c r="N7" t="inlineStr"/>
      <c r="O7" t="inlineStr">
        <is>
          <t>uoc_dinh</t>
        </is>
      </c>
      <c r="P7" t="inlineStr">
        <is>
          <t>R_unit_refs;R_machine_brigade_can_bang;R_unit_sheet</t>
        </is>
      </c>
      <c r="Q7" t="inlineStr"/>
      <c r="R7" t="inlineStr">
        <is>
          <t>chỉ ở mức ý tưởng và thông số (sự kiện); không dùng tên, logo, văn bản, ảnh hay mô hình có bản quyền; tên và phù hiệu quốc gia thật không hiện cho người chơi</t>
        </is>
      </c>
      <c r="S7" t="inlineStr">
        <is>
          <t>NEED_SOURCE</t>
        </is>
      </c>
      <c r="T7" t="inlineStr">
        <is>
          <t>NEED_SOURCE</t>
        </is>
      </c>
      <c r="U7" t="inlineStr">
        <is>
          <t>NEED_SOURCE</t>
        </is>
      </c>
      <c r="Y7" t="inlineStr">
        <is>
          <t>ước đoán: Behemoth đời đầu, nhỏ hơn</t>
        </is>
      </c>
      <c r="Z7" t="inlineStr">
        <is>
          <t>Object 279 (1959), giáp composite, APS và cảm biến hiện đại · Baneblade (Warhammer 40,000) — ước đoán: Behemoth đời đầu, nhỏ hơn</t>
        </is>
      </c>
      <c r="AA7" t="inlineStr"/>
      <c r="AB7" t="inlineStr">
        <is>
          <t>1959</t>
        </is>
      </c>
      <c r="AC7" t="inlineStr"/>
      <c r="AD7" t="inlineStr">
        <is>
          <t>Object 279 (1959), giáp composite, APS và cảm biến hiện đại · Baneblade (Warhammer 40,000) — ước đoán: Behemoth đời đầu, nhỏ hơn</t>
        </is>
      </c>
      <c r="AE7" t="inlineStr">
        <is>
          <t>boss ×1,3–1,5 so với mẫu gốc (Docs/balance/Machine_Brigade_Can_bang.xlsx, sheet Hướng dẫn vẽ)</t>
        </is>
      </c>
      <c r="AF7" t="inlineStr">
        <is>
          <t>unit_refs.json ghi ước đoán</t>
        </is>
      </c>
      <c r="AG7" t="inlineStr">
        <is>
          <t>Tools/docs/unit_refs.json: behemoth_mk0; Tools/models/reference_real.json: units.behemoth_mk0</t>
        </is>
      </c>
      <c r="AH7" t="inlineStr"/>
    </row>
    <row r="8">
      <c r="A8" t="inlineStr">
        <is>
          <t>behemoth_mk2</t>
        </is>
      </c>
      <c r="B8" t="inlineStr">
        <is>
          <t>behemoth_mk2</t>
        </is>
      </c>
      <c r="C8" t="inlineStr">
        <is>
          <t>Behemoth Mk.II · Behemoth nâng cấp</t>
        </is>
      </c>
      <c r="D8" t="inlineStr">
        <is>
          <t>doi_that</t>
        </is>
      </c>
      <c r="E8" t="inlineStr">
        <is>
          <t>Object 279 (1959);giáp composite, APS và cảm biến hiện đại</t>
        </is>
      </c>
      <c r="F8" t="inlineStr">
        <is>
          <t>NEED_SOURCE</t>
        </is>
      </c>
      <c r="G8" t="inlineStr">
        <is>
          <t>NEED_SOURCE</t>
        </is>
      </c>
      <c r="H8" t="inlineStr">
        <is>
          <t>Warhammer 40,000</t>
        </is>
      </c>
      <c r="I8" t="inlineStr">
        <is>
          <t>hình dáng: Baneblade</t>
        </is>
      </c>
      <c r="J8" t="inlineStr"/>
      <c r="K8" t="inlineStr">
        <is>
          <t>Behemoth đời hai</t>
        </is>
      </c>
      <c r="L8" t="inlineStr"/>
      <c r="M8" t="inlineStr"/>
      <c r="N8" t="inlineStr"/>
      <c r="O8" t="inlineStr">
        <is>
          <t>uoc_dinh</t>
        </is>
      </c>
      <c r="P8" t="inlineStr">
        <is>
          <t>R_unit_refs;R_machine_brigade_can_bang;R_unit_sheet</t>
        </is>
      </c>
      <c r="Q8" t="inlineStr"/>
      <c r="R8" t="inlineStr">
        <is>
          <t>chỉ ở mức ý tưởng và thông số (sự kiện); không dùng tên, logo, văn bản, ảnh hay mô hình có bản quyền; tên và phù hiệu quốc gia thật không hiện cho người chơi</t>
        </is>
      </c>
      <c r="S8" t="inlineStr">
        <is>
          <t>NEED_SOURCE</t>
        </is>
      </c>
      <c r="T8" t="inlineStr">
        <is>
          <t>NEED_SOURCE</t>
        </is>
      </c>
      <c r="U8" t="inlineStr">
        <is>
          <t>NEED_SOURCE</t>
        </is>
      </c>
      <c r="Y8" t="inlineStr">
        <is>
          <t>ước đoán: Behemoth đời hai</t>
        </is>
      </c>
      <c r="Z8" t="inlineStr">
        <is>
          <t>Object 279 (1959), giáp composite, APS và cảm biến hiện đại · Baneblade (Warhammer 40,000) — ước đoán: Behemoth đời hai</t>
        </is>
      </c>
      <c r="AA8" t="inlineStr"/>
      <c r="AB8" t="inlineStr">
        <is>
          <t>1959</t>
        </is>
      </c>
      <c r="AC8" t="inlineStr"/>
      <c r="AD8" t="inlineStr">
        <is>
          <t>Object 279 (1959), giáp composite, APS và cảm biến hiện đại · Baneblade (Warhammer 40,000) — ước đoán: Behemoth đời hai</t>
        </is>
      </c>
      <c r="AE8" t="inlineStr">
        <is>
          <t>boss ×1,3–1,5 so với mẫu gốc (Docs/balance/Machine_Brigade_Can_bang.xlsx, sheet Hướng dẫn vẽ)</t>
        </is>
      </c>
      <c r="AF8" t="inlineStr">
        <is>
          <t>unit_refs.json ghi ước đoán</t>
        </is>
      </c>
      <c r="AG8" t="inlineStr">
        <is>
          <t>Tools/docs/unit_refs.json: behemoth_mk2; Tools/models/reference_real.json: units.behemoth_mk2</t>
        </is>
      </c>
      <c r="AH8" t="inlineStr"/>
    </row>
    <row r="9">
      <c r="A9" t="inlineStr">
        <is>
          <t>behemoth_tempest</t>
        </is>
      </c>
      <c r="B9" t="inlineStr">
        <is>
          <t>behemoth_tempest</t>
        </is>
      </c>
      <c r="C9" t="inlineStr">
        <is>
          <t>Tempest · Behemoth pháo điện từ</t>
        </is>
      </c>
      <c r="D9" t="inlineStr">
        <is>
          <t>doi_that</t>
        </is>
      </c>
      <c r="E9" t="inlineStr">
        <is>
          <t>US Navy EMRG (pháo điện từ);Object 279 (1959)</t>
        </is>
      </c>
      <c r="F9" t="inlineStr">
        <is>
          <t>NEED_SOURCE</t>
        </is>
      </c>
      <c r="G9" t="inlineStr">
        <is>
          <t>NEED_SOURCE</t>
        </is>
      </c>
      <c r="H9" t="inlineStr">
        <is>
          <t>Warhammer 40,000</t>
        </is>
      </c>
      <c r="I9" t="inlineStr">
        <is>
          <t>hình dáng: Baneblade</t>
        </is>
      </c>
      <c r="J9" t="inlineStr"/>
      <c r="K9" t="inlineStr">
        <is>
          <t>Behemoth hai tháp pháo điện từ</t>
        </is>
      </c>
      <c r="L9" t="inlineStr"/>
      <c r="M9" t="inlineStr">
        <is>
          <t>gia_tuong</t>
        </is>
      </c>
      <c r="N9" t="inlineStr"/>
      <c r="O9" t="inlineStr">
        <is>
          <t>uoc_dinh</t>
        </is>
      </c>
      <c r="P9" t="inlineStr">
        <is>
          <t>R_unit_refs;R_reference_real;R_machine_brigade_can_bang;R_behemoth_tempest;R_unit_sheet</t>
        </is>
      </c>
      <c r="Q9" t="inlineStr">
        <is>
          <t>reference_real.json: fictional (mẫu 'Object 279 with a railgun', thiết kế giả tưởng)</t>
        </is>
      </c>
      <c r="R9" t="inlineStr">
        <is>
          <t>chỉ ở mức ý tưởng và thông số (sự kiện); không dùng tên, logo, văn bản, ảnh hay mô hình có bản quyền; tên và phù hiệu quốc gia thật không hiện cho người chơi</t>
        </is>
      </c>
      <c r="S9" t="inlineStr">
        <is>
          <t>NEED_SOURCE</t>
        </is>
      </c>
      <c r="T9" t="inlineStr">
        <is>
          <t>NEED_SOURCE</t>
        </is>
      </c>
      <c r="U9" t="inlineStr">
        <is>
          <t>NEED_SOURCE</t>
        </is>
      </c>
      <c r="V9" t="inlineStr">
        <is>
          <t>Object 279 with a railgun</t>
        </is>
      </c>
      <c r="W9" t="inlineStr">
        <is>
          <t>inspiration</t>
        </is>
      </c>
      <c r="Y9" t="inlineStr">
        <is>
          <t>ước đoán: Behemoth hai tháp pháo điện từ</t>
        </is>
      </c>
      <c r="Z9" t="inlineStr">
        <is>
          <t>US Navy EMRG (pháo điện từ), Object 279 (1959) · Baneblade (Warhammer 40,000) — ước đoán: Behemoth hai tháp pháo điện từ</t>
        </is>
      </c>
      <c r="AA9" t="inlineStr"/>
      <c r="AB9" t="inlineStr">
        <is>
          <t>1959</t>
        </is>
      </c>
      <c r="AC9" t="inlineStr">
        <is>
          <t>Tools/blender/specs/behemoth_tempest.json: real = US Navy EMRG (electromagnetic railgun); Object 279 / Baneblade for the superheavy hull; confidence = ban_dau_doan (a fictional variant after the sheet's references)</t>
        </is>
      </c>
      <c r="AD9" t="inlineStr">
        <is>
          <t>US Navy EMRG (pháo điện từ), Object 279 (1959) · Baneblade (Warhammer 40,000) — ước đoán: Behemoth hai tháp pháo điện từ</t>
        </is>
      </c>
      <c r="AE9" t="inlineStr">
        <is>
          <t>boss ×1,3–1,5 so với mẫu gốc (Docs/balance/Machine_Brigade_Can_bang.xlsx, sheet Hướng dẫn vẽ)</t>
        </is>
      </c>
      <c r="AF9" t="inlineStr">
        <is>
          <t>reference_real.json: fictional; unit_refs.json ghi ước đoán</t>
        </is>
      </c>
      <c r="AG9" t="inlineStr">
        <is>
          <t>Tools/docs/unit_refs.json: behemoth_tempest; Tools/models/reference_real.json: units.behemoth_tempest</t>
        </is>
      </c>
      <c r="AH9" t="inlineStr"/>
    </row>
    <row r="10">
      <c r="A10" t="inlineStr">
        <is>
          <t>coeus</t>
        </is>
      </c>
      <c r="B10" t="inlineStr">
        <is>
          <t>coeus</t>
        </is>
      </c>
      <c r="C10" t="inlineStr">
        <is>
          <t>Coeus · Tuần dương hạm pháo kích</t>
        </is>
      </c>
      <c r="D10" t="inlineStr">
        <is>
          <t>NEED_SOURCE</t>
        </is>
      </c>
      <c r="E10" t="inlineStr"/>
      <c r="F10" t="inlineStr">
        <is>
          <t>NEED_SOURCE</t>
        </is>
      </c>
      <c r="G10" t="inlineStr">
        <is>
          <t>NEED_SOURCE</t>
        </is>
      </c>
      <c r="H10" t="inlineStr"/>
      <c r="I10" t="inlineStr"/>
      <c r="J10" t="inlineStr"/>
      <c r="K10" t="inlineStr"/>
      <c r="L10" t="inlineStr"/>
      <c r="M10" t="inlineStr"/>
      <c r="N10" t="inlineStr"/>
      <c r="O10" t="inlineStr">
        <is>
          <t>NEED_SOURCE</t>
        </is>
      </c>
      <c r="P10" t="inlineStr"/>
      <c r="Q10" t="inlineStr">
        <is>
          <t>repo không có tham chiếu cho thực thể này (unit_refs.json, reference_real.json, bảng cân bằng)</t>
        </is>
      </c>
      <c r="R10" t="inlineStr">
        <is>
          <t>chỉ ở mức ý tưởng và thông số (sự kiện); không dùng tên, logo, văn bản, ảnh hay mô hình có bản quyền; tên và phù hiệu quốc gia thật không hiện cho người chơi</t>
        </is>
      </c>
      <c r="S10" t="inlineStr">
        <is>
          <t>NEED_SOURCE</t>
        </is>
      </c>
      <c r="T10" t="inlineStr">
        <is>
          <t>NEED_SOURCE</t>
        </is>
      </c>
      <c r="U10" t="inlineStr">
        <is>
          <t>NEED_SOURCE</t>
        </is>
      </c>
      <c r="Z10" t="inlineStr"/>
      <c r="AA10" t="inlineStr"/>
      <c r="AB10" t="inlineStr"/>
      <c r="AC10" t="inlineStr"/>
      <c r="AD10" t="inlineStr"/>
      <c r="AE10" t="inlineStr"/>
      <c r="AF10" t="inlineStr"/>
      <c r="AG10" t="inlineStr">
        <is>
          <t>Tools/docs/unit_refs.json: coeus; Tools/models/reference_real.json: units.coeus</t>
        </is>
      </c>
      <c r="AH10" t="inlineStr"/>
    </row>
    <row r="11">
      <c r="A11" t="inlineStr">
        <is>
          <t>command_airship</t>
        </is>
      </c>
      <c r="B11" t="inlineStr">
        <is>
          <t>command_airship</t>
        </is>
      </c>
      <c r="C11" t="inlineStr">
        <is>
          <t>Roc · Khí cầu chỉ huy</t>
        </is>
      </c>
      <c r="D11" t="inlineStr">
        <is>
          <t>doi_that</t>
        </is>
      </c>
      <c r="E11" t="inlineStr">
        <is>
          <t>Airlander 10;Lockheed P-791 (khí cầu lai hiện đại)</t>
        </is>
      </c>
      <c r="F11" t="inlineStr">
        <is>
          <t>NEED_SOURCE</t>
        </is>
      </c>
      <c r="G11" t="inlineStr">
        <is>
          <t>NEED_SOURCE</t>
        </is>
      </c>
      <c r="H11" t="inlineStr">
        <is>
          <t>Red Alert 2</t>
        </is>
      </c>
      <c r="I11" t="inlineStr">
        <is>
          <t>hình dáng: Kirov Airship</t>
        </is>
      </c>
      <c r="J11" t="inlineStr"/>
      <c r="K11" t="inlineStr">
        <is>
          <t>'Sky Admiral', thiết giáp hạm bay hai túi khí</t>
        </is>
      </c>
      <c r="L11" t="inlineStr"/>
      <c r="M11" t="inlineStr"/>
      <c r="N11" t="inlineStr"/>
      <c r="O11" t="inlineStr">
        <is>
          <t>uoc_dinh</t>
        </is>
      </c>
      <c r="P11" t="inlineStr">
        <is>
          <t>R_unit_refs;R_reference_real;W_wikipedia_hybrid_air_vehicles_airlander_10;R_machine_brigade_can_bang;R_command_airship;R_unit_sheet</t>
        </is>
      </c>
      <c r="Q11" t="inlineStr"/>
      <c r="R11" t="inlineStr">
        <is>
          <t>chỉ ở mức ý tưởng và thông số (sự kiện); không dùng tên, logo, văn bản, ảnh hay mô hình có bản quyền; tên và phù hiệu quốc gia thật không hiện cho người chơi</t>
        </is>
      </c>
      <c r="S11">
        <f>INDEX(boss_input_kich_thuoc_that!$B$2:$B$20,MATCH($B$11,boss_input_kich_thuoc_that!$A$2:$A$20,0))</f>
        <v/>
      </c>
      <c r="T11">
        <f>INDEX(boss_input_kich_thuoc_that!$C$2:$C$20,MATCH($B$11,boss_input_kich_thuoc_that!$A$2:$A$20,0))</f>
        <v/>
      </c>
      <c r="U11">
        <f>INDEX(boss_input_kich_thuoc_that!$D$2:$D$20,MATCH($B$11,boss_input_kich_thuoc_that!$A$2:$A$20,0))</f>
        <v/>
      </c>
      <c r="V11" t="inlineStr">
        <is>
          <t>Airlander 10</t>
        </is>
      </c>
      <c r="W11" t="inlineStr">
        <is>
          <t>high</t>
        </is>
      </c>
      <c r="Y11" t="inlineStr">
        <is>
          <t>ước đoán: 'Sky Admiral', thiết giáp hạm bay hai túi khí</t>
        </is>
      </c>
      <c r="Z11" t="inlineStr">
        <is>
          <t>Airlander 10, Lockheed P-791 (khí cầu lai hiện đại) · Kirov Airship (Red Alert 2) — ước đoán: 'Sky Admiral', thiết giáp hạm bay hai túi khí</t>
        </is>
      </c>
      <c r="AA11" t="inlineStr"/>
      <c r="AB11" t="inlineStr"/>
      <c r="AC11" t="inlineStr">
        <is>
          <t>Tools/blender/specs/command_airship.json: real = Hybrid Air Vehicles Airlander 10; Lockheed Martin P-791 (unit_refs); media: Kirov airship (Red Alert 2); confidence = ước đoán (twin-envelope hybrid layout; the gondola, turrets and pods are game design)</t>
        </is>
      </c>
      <c r="AD11" t="inlineStr">
        <is>
          <t>Airlander 10, Lockheed P-791 (khí cầu lai hiện đại) · Kirov Airship (Red Alert 2) — ước đoán: 'Sky Admiral', thiết giáp hạm bay hai túi khí</t>
        </is>
      </c>
      <c r="AE11" t="inlineStr">
        <is>
          <t>boss ×1,3–1,5 so với mẫu gốc (Docs/balance/Machine_Brigade_Can_bang.xlsx, sheet Hướng dẫn vẽ)</t>
        </is>
      </c>
      <c r="AF11" t="inlineStr">
        <is>
          <t>unit_refs.json ghi ước đoán</t>
        </is>
      </c>
      <c r="AG11" t="inlineStr">
        <is>
          <t>Tools/docs/unit_refs.json: command_airship; Tools/models/reference_real.json: units.command_airship</t>
        </is>
      </c>
      <c r="AH11" t="inlineStr"/>
    </row>
    <row r="12">
      <c r="A12" t="inlineStr">
        <is>
          <t>daedalus</t>
        </is>
      </c>
      <c r="B12" t="inlineStr">
        <is>
          <t>daedalus</t>
        </is>
      </c>
      <c r="C12" t="inlineStr">
        <is>
          <t>Daedalus · Tàu đổ bộ quỹ đạo</t>
        </is>
      </c>
      <c r="D12" t="inlineStr">
        <is>
          <t>gia_tuong</t>
        </is>
      </c>
      <c r="E12" t="inlineStr"/>
      <c r="F12" t="inlineStr"/>
      <c r="G12" t="inlineStr"/>
      <c r="H12" t="inlineStr"/>
      <c r="I12" t="inlineStr"/>
      <c r="J12" t="inlineStr">
        <is>
          <t>Star Wars: Attack of the Clones</t>
        </is>
      </c>
      <c r="K12" t="inlineStr">
        <is>
          <t>Tàu đổ bộ tấn công của Aurel</t>
        </is>
      </c>
      <c r="L12" t="inlineStr"/>
      <c r="M12" t="inlineStr">
        <is>
          <t>gia_tuong</t>
        </is>
      </c>
      <c r="N12" t="inlineStr"/>
      <c r="O12" t="inlineStr">
        <is>
          <t>ban_dau_doan</t>
        </is>
      </c>
      <c r="P12" t="inlineStr">
        <is>
          <t>R_unit_refs;R_reference_real;R_machine_brigade_can_bang;R_daedalus;R_mb_p20_bosses;R_unit_sheet</t>
        </is>
      </c>
      <c r="Q12" t="inlineStr">
        <is>
          <t>reference_real.json: fictional (mẫu 'Daedalus (flying fortress)', thiết kế giả tưởng)</t>
        </is>
      </c>
      <c r="R12" t="inlineStr">
        <is>
          <t>chỉ ở mức ý tưởng và thông số (sự kiện); không dùng tên, logo, văn bản, ảnh hay mô hình có bản quyền; tên và phù hiệu quốc gia thật không hiện cho người chơi</t>
        </is>
      </c>
      <c r="S12" t="inlineStr"/>
      <c r="T12" t="inlineStr"/>
      <c r="U12" t="inlineStr"/>
      <c r="V12" t="inlineStr">
        <is>
          <t>Daedalus (flying fortress)</t>
        </is>
      </c>
      <c r="W12" t="inlineStr">
        <is>
          <t>inspiration</t>
        </is>
      </c>
      <c r="Y12" t="inlineStr">
        <is>
          <t>Tàu đổ bộ tấn công của Aurel</t>
        </is>
      </c>
      <c r="Z12" t="inlineStr">
        <is>
          <t>Acclamator-class (Star Wars: Attack of the Clones) — Tàu đổ bộ tấn công của Aurel</t>
        </is>
      </c>
      <c r="AA12" t="inlineStr">
        <is>
          <t>Acclamator (Star Wars)</t>
        </is>
      </c>
      <c r="AB12" t="inlineStr"/>
      <c r="AC12" t="inlineStr">
        <is>
          <t>Tools/blender/mb_p20_bosses.py: Aurel's orbital lander, on the Silver Bug's hull, wings, tail and engines (mb_orbital's builders, shared to save work) with a cargo hump, three drop-pod bays under it (`Pod_bay_1..3`), two hanging 30 mm guns (`Mount_gun`, `Mount_gun.001`), the point-defence lasers and main engine (`Pd_laser_l/r`, `Thruster_main`). || Tools/blender/specs/daedalus.json: real = media: Acclamator-class assault ship (Star Wars: Attack of the Clones) (unit_refs); confidence = ước đoán (media reference; the breakable parts at the def's places)</t>
        </is>
      </c>
      <c r="AD12" t="inlineStr">
        <is>
          <t>Acclamator-class (Star Wars: Attack of the Clones) — Tàu đổ bộ tấn công của Aurel</t>
        </is>
      </c>
      <c r="AE12" t="inlineStr"/>
      <c r="AF12" t="inlineStr">
        <is>
          <t>reference_real.json: fictional</t>
        </is>
      </c>
      <c r="AG12" t="inlineStr">
        <is>
          <t>Tools/docs/unit_refs.json: daedalus; Tools/models/reference_real.json: units.daedalus</t>
        </is>
      </c>
      <c r="AH12" t="inlineStr"/>
    </row>
    <row r="13">
      <c r="A13" t="inlineStr">
        <is>
          <t>drone_mothership</t>
        </is>
      </c>
      <c r="B13" t="inlineStr">
        <is>
          <t>drone_mothership</t>
        </is>
      </c>
      <c r="C13" t="inlineStr">
        <is>
          <t>Matriarch · Tàu mẹ drone</t>
        </is>
      </c>
      <c r="D13" t="inlineStr">
        <is>
          <t>doi_that</t>
        </is>
      </c>
      <c r="E13" t="inlineStr">
        <is>
          <t>Airlander 10 (khí cầu mẹ hiện đại);drone FPV</t>
        </is>
      </c>
      <c r="F13" t="inlineStr">
        <is>
          <t>NEED_SOURCE</t>
        </is>
      </c>
      <c r="G13" t="inlineStr">
        <is>
          <t>NEED_SOURCE</t>
        </is>
      </c>
      <c r="H13" t="inlineStr">
        <is>
          <t>Red Alert 2</t>
        </is>
      </c>
      <c r="I13" t="inlineStr">
        <is>
          <t>hình dáng: Kirov Airship</t>
        </is>
      </c>
      <c r="J13" t="inlineStr"/>
      <c r="K13" t="inlineStr">
        <is>
          <t>khí cầu bọc thép phóng drone</t>
        </is>
      </c>
      <c r="L13" t="inlineStr"/>
      <c r="M13" t="inlineStr"/>
      <c r="N13" t="inlineStr"/>
      <c r="O13" t="inlineStr">
        <is>
          <t>uoc_dinh</t>
        </is>
      </c>
      <c r="P13" t="inlineStr">
        <is>
          <t>R_unit_refs;R_reference_real;W_wikipedia_hybrid_air_vehicles_airlander_10;R_machine_brigade_can_bang;R_drone_mothership;R_unit_sheet</t>
        </is>
      </c>
      <c r="Q13" t="inlineStr"/>
      <c r="R13" t="inlineStr">
        <is>
          <t>chỉ ở mức ý tưởng và thông số (sự kiện); không dùng tên, logo, văn bản, ảnh hay mô hình có bản quyền; tên và phù hiệu quốc gia thật không hiện cho người chơi</t>
        </is>
      </c>
      <c r="S13">
        <f>INDEX(boss_input_kich_thuoc_that!$B$2:$B$20,MATCH($B$13,boss_input_kich_thuoc_that!$A$2:$A$20,0))</f>
        <v/>
      </c>
      <c r="T13">
        <f>INDEX(boss_input_kich_thuoc_that!$C$2:$C$20,MATCH($B$13,boss_input_kich_thuoc_that!$A$2:$A$20,0))</f>
        <v/>
      </c>
      <c r="U13">
        <f>INDEX(boss_input_kich_thuoc_that!$D$2:$D$20,MATCH($B$13,boss_input_kich_thuoc_that!$A$2:$A$20,0))</f>
        <v/>
      </c>
      <c r="V13" t="inlineStr">
        <is>
          <t>Airlander 10</t>
        </is>
      </c>
      <c r="W13" t="inlineStr">
        <is>
          <t>high</t>
        </is>
      </c>
      <c r="Y13" t="inlineStr">
        <is>
          <t>ước đoán: khí cầu bọc thép phóng drone</t>
        </is>
      </c>
      <c r="Z13" t="inlineStr">
        <is>
          <t>Airlander 10 (khí cầu mẹ hiện đại), drone FPV · Kirov Airship (Red Alert 2) — ước đoán: khí cầu bọc thép phóng drone</t>
        </is>
      </c>
      <c r="AA13" t="inlineStr"/>
      <c r="AB13" t="inlineStr"/>
      <c r="AC13" t="inlineStr">
        <is>
          <t>Tools/blender/specs/drone_mothership.json: real = USS Akron / Macon (the rigid airship 'flying aircraft carrier': internal hangar, trapeze); Zeppelin NT / Airlander 10 X tail and vectoring ducted fans; twin 30 mm chin turret, quad 23-30 mm flak turrets, Shadow-class recon UAV, FPV drones; confidence = ước đoán (a game boss; USS Akron / Macon hangar and trapeze, Zeppelin NT / Airlander X tail and ducted fans for the parts)</t>
        </is>
      </c>
      <c r="AD13" t="inlineStr">
        <is>
          <t>Airlander 10 (khí cầu mẹ hiện đại), drone FPV · Kirov Airship (Red Alert 2) — ước đoán: khí cầu bọc thép phóng drone</t>
        </is>
      </c>
      <c r="AE13" t="inlineStr">
        <is>
          <t>boss ×1,3–1,5 so với mẫu gốc (Docs/balance/Machine_Brigade_Can_bang.xlsx, sheet Hướng dẫn vẽ)</t>
        </is>
      </c>
      <c r="AF13" t="inlineStr">
        <is>
          <t>unit_refs.json ghi ước đoán</t>
        </is>
      </c>
      <c r="AG13" t="inlineStr">
        <is>
          <t>Tools/docs/unit_refs.json: drone_mothership; Tools/models/reference_real.json: units.drone_mothership</t>
        </is>
      </c>
      <c r="AH13" t="inlineStr"/>
    </row>
    <row r="14">
      <c r="A14" t="inlineStr">
        <is>
          <t>earth_borer</t>
        </is>
      </c>
      <c r="B14" t="inlineStr">
        <is>
          <t>earth_borer</t>
        </is>
      </c>
      <c r="C14" t="inlineStr">
        <is>
          <t>Tartarus · Máy khoan</t>
        </is>
      </c>
      <c r="D14" t="inlineStr">
        <is>
          <t>doi_that</t>
        </is>
      </c>
      <c r="E14" t="inlineStr">
        <is>
          <t>'Battle Mole' của Liên Xô;máy khoan hầm TBM;2A70 100 mm</t>
        </is>
      </c>
      <c r="F14" t="inlineStr">
        <is>
          <t>NEED_SOURCE</t>
        </is>
      </c>
      <c r="G14" t="inlineStr">
        <is>
          <t>NEED_SOURCE</t>
        </is>
      </c>
      <c r="H14" t="inlineStr"/>
      <c r="I14" t="inlineStr"/>
      <c r="J14" t="inlineStr"/>
      <c r="K14" t="inlineStr">
        <is>
          <t>'Earth Worm': máy khoan đất bọc thép ba đốt</t>
        </is>
      </c>
      <c r="L14" t="inlineStr"/>
      <c r="M14" t="inlineStr">
        <is>
          <t>gia_tuong</t>
        </is>
      </c>
      <c r="N14" t="inlineStr"/>
      <c r="O14" t="inlineStr">
        <is>
          <t>ban_dau_doan</t>
        </is>
      </c>
      <c r="P14" t="inlineStr">
        <is>
          <t>R_unit_refs;R_reference_real;R_machine_brigade_can_bang;R_earth_borer;R_unit_sheet</t>
        </is>
      </c>
      <c r="Q14" t="inlineStr">
        <is>
          <t>reference_real.json: fictional (mẫu 'Soviet 'Battle Mole' / TBM', thiết kế giả tưởng)</t>
        </is>
      </c>
      <c r="R14" t="inlineStr">
        <is>
          <t>chỉ ở mức ý tưởng và thông số (sự kiện); không dùng tên, logo, văn bản, ảnh hay mô hình có bản quyền; tên và phù hiệu quốc gia thật không hiện cho người chơi</t>
        </is>
      </c>
      <c r="S14" t="inlineStr">
        <is>
          <t>NEED_SOURCE</t>
        </is>
      </c>
      <c r="T14" t="inlineStr">
        <is>
          <t>NEED_SOURCE</t>
        </is>
      </c>
      <c r="U14" t="inlineStr">
        <is>
          <t>NEED_SOURCE</t>
        </is>
      </c>
      <c r="V14" t="inlineStr">
        <is>
          <t>Soviet 'Battle Mole' / TBM</t>
        </is>
      </c>
      <c r="W14" t="inlineStr">
        <is>
          <t>inspiration</t>
        </is>
      </c>
      <c r="Y14" t="inlineStr">
        <is>
          <t>'Earth Worm': máy khoan đất bọc thép ba đốt</t>
        </is>
      </c>
      <c r="Z14" t="inlineStr">
        <is>
          <t>'Battle Mole' của Liên Xô, máy khoan hầm TBM, 2A70 100 mm — 'Earth Worm': máy khoan đất bọc thép ba đốt</t>
        </is>
      </c>
      <c r="AA14" t="inlineStr">
        <is>
          <t>Thang máu boss</t>
        </is>
      </c>
      <c r="AB14" t="inlineStr"/>
      <c r="AC14" t="inlineStr">
        <is>
          <t>Tools/blender/specs/earth_borer.json: real = Soviet 'Battle Mole' (unit_refs); tunnel boring machine; 2A70 100 mm turrets (balance.json borer_cannon); confidence = ước đoán (TBM photographs; the old file's size)</t>
        </is>
      </c>
      <c r="AD14" t="inlineStr">
        <is>
          <t>'Battle Mole' của Liên Xô, máy khoan hầm TBM, 2A70 100 mm — 'Earth Worm': máy khoan đất bọc thép ba đốt</t>
        </is>
      </c>
      <c r="AE14" t="inlineStr">
        <is>
          <t>boss ×1,3–1,5 so với mẫu gốc (Docs/balance/Machine_Brigade_Can_bang.xlsx, sheet Hướng dẫn vẽ)</t>
        </is>
      </c>
      <c r="AF14" t="inlineStr">
        <is>
          <t>reference_real.json: fictional</t>
        </is>
      </c>
      <c r="AG14" t="inlineStr">
        <is>
          <t>Tools/docs/unit_refs.json: earth_borer; Tools/models/reference_real.json: units.earth_borer</t>
        </is>
      </c>
      <c r="AH14" t="inlineStr"/>
    </row>
    <row r="15">
      <c r="A15" t="inlineStr">
        <is>
          <t>fenrir</t>
        </is>
      </c>
      <c r="B15" t="inlineStr">
        <is>
          <t>fenrir</t>
        </is>
      </c>
      <c r="C15" t="inlineStr">
        <is>
          <t>Fenrir · Xe tiên phong</t>
        </is>
      </c>
      <c r="D15" t="inlineStr">
        <is>
          <t>doi_that</t>
        </is>
      </c>
      <c r="E15" t="inlineStr">
        <is>
          <t>NASA Crawler-Transporter;Kharkovchanka (1959)</t>
        </is>
      </c>
      <c r="F15" t="inlineStr">
        <is>
          <t>NEED_SOURCE</t>
        </is>
      </c>
      <c r="G15" t="inlineStr">
        <is>
          <t>NEED_SOURCE</t>
        </is>
      </c>
      <c r="H15" t="inlineStr"/>
      <c r="I15" t="inlineStr"/>
      <c r="J15" t="inlineStr">
        <is>
          <t>Star Wars</t>
        </is>
      </c>
      <c r="K15" t="inlineStr">
        <is>
          <t>biến thể của pháo đài di động</t>
        </is>
      </c>
      <c r="L15" t="inlineStr"/>
      <c r="M15" t="inlineStr"/>
      <c r="N15" t="inlineStr"/>
      <c r="O15" t="inlineStr">
        <is>
          <t>uoc_dinh</t>
        </is>
      </c>
      <c r="P15" t="inlineStr">
        <is>
          <t>R_unit_refs;R_machine_brigade_can_bang;R_unit_sheet</t>
        </is>
      </c>
      <c r="Q15" t="inlineStr"/>
      <c r="R15" t="inlineStr">
        <is>
          <t>chỉ ở mức ý tưởng và thông số (sự kiện); không dùng tên, logo, văn bản, ảnh hay mô hình có bản quyền; tên và phù hiệu quốc gia thật không hiện cho người chơi</t>
        </is>
      </c>
      <c r="S15" t="inlineStr">
        <is>
          <t>NEED_SOURCE</t>
        </is>
      </c>
      <c r="T15" t="inlineStr">
        <is>
          <t>NEED_SOURCE</t>
        </is>
      </c>
      <c r="U15" t="inlineStr">
        <is>
          <t>NEED_SOURCE</t>
        </is>
      </c>
      <c r="Y15" t="inlineStr">
        <is>
          <t>ước đoán: biến thể của pháo đài di động</t>
        </is>
      </c>
      <c r="Z15" t="inlineStr">
        <is>
          <t>NASA Crawler-Transporter, Kharkovchanka (1959) · Sandcrawler (Star Wars) — ước đoán: biến thể của pháo đài di động</t>
        </is>
      </c>
      <c r="AA15" t="inlineStr">
        <is>
          <t>Luật mini boss</t>
        </is>
      </c>
      <c r="AB15" t="inlineStr">
        <is>
          <t>1959</t>
        </is>
      </c>
      <c r="AC15" t="inlineStr"/>
      <c r="AD15" t="inlineStr">
        <is>
          <t>NASA Crawler-Transporter, Kharkovchanka (1959) · Sandcrawler (Star Wars) — ước đoán: biến thể của pháo đài di động</t>
        </is>
      </c>
      <c r="AE15" t="inlineStr">
        <is>
          <t>boss ×1,3–1,5 so với mẫu gốc (Docs/balance/Machine_Brigade_Can_bang.xlsx, sheet Hướng dẫn vẽ)</t>
        </is>
      </c>
      <c r="AF15" t="inlineStr">
        <is>
          <t>unit_refs.json ghi ước đoán</t>
        </is>
      </c>
      <c r="AG15" t="inlineStr">
        <is>
          <t>Tools/docs/unit_refs.json: fenrir; Tools/models/reference_real.json: units.fenrir</t>
        </is>
      </c>
      <c r="AH15" t="inlineStr"/>
    </row>
    <row r="16">
      <c r="A16" t="inlineStr">
        <is>
          <t>fortress_bastion</t>
        </is>
      </c>
      <c r="B16" t="inlineStr">
        <is>
          <t>fortress_bastion</t>
        </is>
      </c>
      <c r="C16" t="inlineStr">
        <is>
          <t>Bastion · Pháo đài</t>
        </is>
      </c>
      <c r="D16" t="inlineStr">
        <is>
          <t>doi_that</t>
        </is>
      </c>
      <c r="E16" t="inlineStr">
        <is>
          <t>2B8 240 mm;Bofors 40 mm;9M133 Kornet</t>
        </is>
      </c>
      <c r="F16" t="inlineStr">
        <is>
          <t>NEED_SOURCE</t>
        </is>
      </c>
      <c r="G16" t="inlineStr">
        <is>
          <t>NEED_SOURCE</t>
        </is>
      </c>
      <c r="H16" t="inlineStr"/>
      <c r="I16" t="inlineStr"/>
      <c r="J16" t="inlineStr">
        <is>
          <t>Star Wars</t>
        </is>
      </c>
      <c r="K16" t="inlineStr">
        <is>
          <t>pháo đài bánh xích bọc giáp tấm dày</t>
        </is>
      </c>
      <c r="L16" t="inlineStr"/>
      <c r="M16" t="inlineStr">
        <is>
          <t>gia_tuong</t>
        </is>
      </c>
      <c r="N16" t="inlineStr"/>
      <c r="O16" t="inlineStr">
        <is>
          <t>uoc_dinh</t>
        </is>
      </c>
      <c r="P16" t="inlineStr">
        <is>
          <t>R_unit_refs;R_reference_real;R_machine_brigade_can_bang;R_fortress_bastion;R_unit_sheet</t>
        </is>
      </c>
      <c r="Q16" t="inlineStr">
        <is>
          <t>reference_real.json: fictional (mẫu 'Crawler-Transporter gun bastion', thiết kế giả tưởng)</t>
        </is>
      </c>
      <c r="R16" t="inlineStr">
        <is>
          <t>chỉ ở mức ý tưởng và thông số (sự kiện); không dùng tên, logo, văn bản, ảnh hay mô hình có bản quyền; tên và phù hiệu quốc gia thật không hiện cho người chơi</t>
        </is>
      </c>
      <c r="S16" t="inlineStr">
        <is>
          <t>NEED_SOURCE</t>
        </is>
      </c>
      <c r="T16" t="inlineStr">
        <is>
          <t>NEED_SOURCE</t>
        </is>
      </c>
      <c r="U16" t="inlineStr">
        <is>
          <t>NEED_SOURCE</t>
        </is>
      </c>
      <c r="V16" t="inlineStr">
        <is>
          <t>Crawler-Transporter gun bastion</t>
        </is>
      </c>
      <c r="W16" t="inlineStr">
        <is>
          <t>inspiration</t>
        </is>
      </c>
      <c r="Y16" t="inlineStr">
        <is>
          <t>ước đoán: pháo đài bánh xích bọc giáp tấm dày</t>
        </is>
      </c>
      <c r="Z16" t="inlineStr">
        <is>
          <t>2B8 240 mm, Bofors 40 mm, 9M133 Kornet · Sandcrawler (Star Wars) — ước đoán: pháo đài bánh xích bọc giáp tấm dày</t>
        </is>
      </c>
      <c r="AA16" t="inlineStr">
        <is>
          <t>Thang máu boss</t>
        </is>
      </c>
      <c r="AB16" t="inlineStr"/>
      <c r="AC16" t="inlineStr">
        <is>
          <t>Tools/blender/specs/fortress_bastion.json: real = 2B8 / 2S4 Tyulpan 240 mm mortar; Bofors 40 mm L/70 turret; 9M133 Kornet twin launcher; ZU-23-2; Sandcrawler (Star Wars) for the tracked casemate; confidence = ban_dau_doan (a fictional fortress after the sheet's references)</t>
        </is>
      </c>
      <c r="AD16" t="inlineStr">
        <is>
          <t>2B8 240 mm, Bofors 40 mm, 9M133 Kornet · Sandcrawler (Star Wars) — ước đoán: pháo đài bánh xích bọc giáp tấm dày</t>
        </is>
      </c>
      <c r="AE16" t="inlineStr">
        <is>
          <t>boss ×1,3–1,5 so với mẫu gốc (Docs/balance/Machine_Brigade_Can_bang.xlsx, sheet Hướng dẫn vẽ)</t>
        </is>
      </c>
      <c r="AF16" t="inlineStr">
        <is>
          <t>reference_real.json: fictional; unit_refs.json ghi ước đoán</t>
        </is>
      </c>
      <c r="AG16" t="inlineStr">
        <is>
          <t>Tools/docs/unit_refs.json: fortress_bastion; Tools/models/reference_real.json: units.fortress_bastion</t>
        </is>
      </c>
      <c r="AH16" t="inlineStr"/>
    </row>
    <row r="17">
      <c r="A17" t="inlineStr">
        <is>
          <t>hydra</t>
        </is>
      </c>
      <c r="B17" t="inlineStr">
        <is>
          <t>hydra</t>
        </is>
      </c>
      <c r="C17" t="inlineStr">
        <is>
          <t>Hydra · Tàu ngầm tấn công</t>
        </is>
      </c>
      <c r="D17" t="inlineStr">
        <is>
          <t>NEED_SOURCE</t>
        </is>
      </c>
      <c r="E17" t="inlineStr"/>
      <c r="F17" t="inlineStr">
        <is>
          <t>NEED_SOURCE</t>
        </is>
      </c>
      <c r="G17" t="inlineStr">
        <is>
          <t>NEED_SOURCE</t>
        </is>
      </c>
      <c r="H17" t="inlineStr"/>
      <c r="I17" t="inlineStr"/>
      <c r="J17" t="inlineStr"/>
      <c r="K17" t="inlineStr"/>
      <c r="L17" t="inlineStr"/>
      <c r="M17" t="inlineStr"/>
      <c r="N17" t="inlineStr"/>
      <c r="O17" t="inlineStr">
        <is>
          <t>NEED_SOURCE</t>
        </is>
      </c>
      <c r="P17" t="inlineStr"/>
      <c r="Q17" t="inlineStr">
        <is>
          <t>repo không có tham chiếu cho thực thể này (unit_refs.json, reference_real.json, bảng cân bằng)</t>
        </is>
      </c>
      <c r="R17" t="inlineStr">
        <is>
          <t>chỉ ở mức ý tưởng và thông số (sự kiện); không dùng tên, logo, văn bản, ảnh hay mô hình có bản quyền; tên và phù hiệu quốc gia thật không hiện cho người chơi</t>
        </is>
      </c>
      <c r="S17" t="inlineStr">
        <is>
          <t>NEED_SOURCE</t>
        </is>
      </c>
      <c r="T17" t="inlineStr">
        <is>
          <t>NEED_SOURCE</t>
        </is>
      </c>
      <c r="U17" t="inlineStr">
        <is>
          <t>NEED_SOURCE</t>
        </is>
      </c>
      <c r="Z17" t="inlineStr"/>
      <c r="AA17" t="inlineStr"/>
      <c r="AB17" t="inlineStr"/>
      <c r="AC17" t="inlineStr"/>
      <c r="AD17" t="inlineStr"/>
      <c r="AE17" t="inlineStr"/>
      <c r="AF17" t="inlineStr"/>
      <c r="AG17" t="inlineStr">
        <is>
          <t>Tools/docs/unit_refs.json: hydra; Tools/models/reference_real.json: units.hydra</t>
        </is>
      </c>
      <c r="AH17" t="inlineStr"/>
    </row>
    <row r="18">
      <c r="A18" t="inlineStr">
        <is>
          <t>hyperion</t>
        </is>
      </c>
      <c r="B18" t="inlineStr">
        <is>
          <t>hyperion</t>
        </is>
      </c>
      <c r="C18" t="inlineStr">
        <is>
          <t>Hyperion · Tuần dương hạm hạng nặng</t>
        </is>
      </c>
      <c r="D18" t="inlineStr">
        <is>
          <t>NEED_SOURCE</t>
        </is>
      </c>
      <c r="E18" t="inlineStr"/>
      <c r="F18" t="inlineStr">
        <is>
          <t>NEED_SOURCE</t>
        </is>
      </c>
      <c r="G18" t="inlineStr">
        <is>
          <t>NEED_SOURCE</t>
        </is>
      </c>
      <c r="H18" t="inlineStr"/>
      <c r="I18" t="inlineStr"/>
      <c r="J18" t="inlineStr"/>
      <c r="K18" t="inlineStr"/>
      <c r="L18" t="inlineStr"/>
      <c r="M18" t="inlineStr"/>
      <c r="N18" t="inlineStr"/>
      <c r="O18" t="inlineStr">
        <is>
          <t>NEED_SOURCE</t>
        </is>
      </c>
      <c r="P18" t="inlineStr">
        <is>
          <t>R_hyperion</t>
        </is>
      </c>
      <c r="Q18" t="inlineStr">
        <is>
          <t>repo không có tham chiếu cho thực thể này (unit_refs.json, reference_real.json, bảng cân bằng)</t>
        </is>
      </c>
      <c r="R18" t="inlineStr">
        <is>
          <t>chỉ ở mức ý tưởng và thông số (sự kiện); không dùng tên, logo, văn bản, ảnh hay mô hình có bản quyền; tên và phù hiệu quốc gia thật không hiện cho người chơi</t>
        </is>
      </c>
      <c r="S18" t="inlineStr">
        <is>
          <t>NEED_SOURCE</t>
        </is>
      </c>
      <c r="T18" t="inlineStr">
        <is>
          <t>NEED_SOURCE</t>
        </is>
      </c>
      <c r="U18" t="inlineStr">
        <is>
          <t>NEED_SOURCE</t>
        </is>
      </c>
      <c r="Z18" t="inlineStr"/>
      <c r="AA18" t="inlineStr"/>
      <c r="AB18" t="inlineStr"/>
      <c r="AC18" t="inlineStr">
        <is>
          <t>Tools/blender/specs/hyperion.json: real = Znamya 2 orbital mirror experiment (1993); ISS integrated truss, solar array wings and radiators; media: silver_bug's references (unit_refs); confidence = ước đoán (a game boss; Znamya 2 and ISS hardware for the parts)</t>
        </is>
      </c>
      <c r="AD18" t="inlineStr"/>
      <c r="AE18" t="inlineStr"/>
      <c r="AF18" t="inlineStr"/>
      <c r="AG18" t="inlineStr">
        <is>
          <t>Tools/docs/unit_refs.json: hyperion; Tools/models/reference_real.json: units.hyperion</t>
        </is>
      </c>
      <c r="AH18" t="inlineStr"/>
    </row>
    <row r="19">
      <c r="A19" t="inlineStr">
        <is>
          <t>icarus_mk0</t>
        </is>
      </c>
      <c r="B19" t="inlineStr">
        <is>
          <t>icarus_mk0</t>
        </is>
      </c>
      <c r="C19" t="inlineStr">
        <is>
          <t>Icarus Mk.0 · Phi thuyền nguyên mẫu</t>
        </is>
      </c>
      <c r="D19" t="inlineStr">
        <is>
          <t>game</t>
        </is>
      </c>
      <c r="E19" t="inlineStr"/>
      <c r="F19" t="inlineStr"/>
      <c r="G19" t="inlineStr"/>
      <c r="H19" t="inlineStr">
        <is>
          <t>Halo</t>
        </is>
      </c>
      <c r="I19" t="inlineStr">
        <is>
          <t>hình dáng: Tàu frigate UNSC</t>
        </is>
      </c>
      <c r="J19" t="inlineStr">
        <is>
          <t>Star Wars;The Expanse</t>
        </is>
      </c>
      <c r="K19" t="inlineStr">
        <is>
          <t>Bản đầu của Icarus (chiến hạm vũ trụ, nhỏ hơn)</t>
        </is>
      </c>
      <c r="L19" t="inlineStr"/>
      <c r="M19" t="inlineStr"/>
      <c r="N19" t="inlineStr"/>
      <c r="O19" t="inlineStr">
        <is>
          <t>ban_dau_doan</t>
        </is>
      </c>
      <c r="P19" t="inlineStr">
        <is>
          <t>R_unit_refs;R_machine_brigade_can_bang;R_unit_sheet</t>
        </is>
      </c>
      <c r="Q19" t="inlineStr"/>
      <c r="R19" t="inlineStr">
        <is>
          <t>chỉ ở mức ý tưởng và thông số (sự kiện); không dùng tên, logo, văn bản, ảnh hay mô hình có bản quyền; tên và phù hiệu quốc gia thật không hiện cho người chơi</t>
        </is>
      </c>
      <c r="S19" t="inlineStr"/>
      <c r="T19" t="inlineStr"/>
      <c r="U19" t="inlineStr"/>
      <c r="Y19" t="inlineStr">
        <is>
          <t>Bản đầu của Icarus (chiến hạm vũ trụ, nhỏ hơn)</t>
        </is>
      </c>
      <c r="Z19" t="inlineStr">
        <is>
          <t>Polyus / Skif-DM, ISS, Hubble · SOLG (Ace Combat 5), The Expanse — Bản đầu của Icarus (trạm vũ khí quỹ đạo, nhỏ hơn)</t>
        </is>
      </c>
      <c r="AA19" t="inlineStr"/>
      <c r="AB19" t="inlineStr"/>
      <c r="AC19" t="inlineStr"/>
      <c r="AD19" t="inlineStr">
        <is>
          <t>Polyus / Skif-DM, ISS, Hubble · SOLG (Ace Combat 5), The Expanse — Bản đầu của Icarus (trạm vũ khí quỹ đạo, nhỏ hơn)</t>
        </is>
      </c>
      <c r="AE19" t="inlineStr"/>
      <c r="AF19" t="inlineStr"/>
      <c r="AG19" t="inlineStr">
        <is>
          <t>Tools/docs/unit_refs.json: icarus_mk0; Tools/models/reference_real.json: units.icarus_mk0</t>
        </is>
      </c>
      <c r="AH19" t="inlineStr"/>
    </row>
    <row r="20">
      <c r="A20" t="inlineStr">
        <is>
          <t>ixion</t>
        </is>
      </c>
      <c r="B20" t="inlineStr">
        <is>
          <t>ixion</t>
        </is>
      </c>
      <c r="C20" t="inlineStr">
        <is>
          <t>Ixion · Xe tải mỏ bọc thép</t>
        </is>
      </c>
      <c r="D20" t="inlineStr">
        <is>
          <t>doi_that</t>
        </is>
      </c>
      <c r="E20" t="inlineStr">
        <is>
          <t>BelAZ-75710 (xe tải mỏ lớn nhất thế giới);tháp pháo T-72 125 mm hàn trên thùng</t>
        </is>
      </c>
      <c r="F20" t="inlineStr">
        <is>
          <t>NEED_SOURCE</t>
        </is>
      </c>
      <c r="G20" t="inlineStr">
        <is>
          <t>NEED_SOURCE</t>
        </is>
      </c>
      <c r="H20" t="inlineStr"/>
      <c r="I20" t="inlineStr"/>
      <c r="J20" t="inlineStr"/>
      <c r="K20" t="inlineStr">
        <is>
          <t>Xe tải mỏ bọc thép của Thorne ở Deepcut Mine: ca-bin lệch trái, sáu bánh lớn, lưỡi húc chữ V</t>
        </is>
      </c>
      <c r="L20" t="inlineStr"/>
      <c r="M20" t="inlineStr"/>
      <c r="N20" t="inlineStr"/>
      <c r="O20" t="inlineStr">
        <is>
          <t>da_kiem_chung</t>
        </is>
      </c>
      <c r="P20" t="inlineStr">
        <is>
          <t>R_unit_refs;R_reference_real;W_wikipedia_belaz_75710;R_machine_brigade_can_bang;R_ixion;R_mb_p20_bosses;R_mb_redesign_20y;R_unit_sheet</t>
        </is>
      </c>
      <c r="Q20" t="inlineStr"/>
      <c r="R20" t="inlineStr">
        <is>
          <t>chỉ ở mức ý tưởng và thông số (sự kiện); không dùng tên, logo, văn bản, ảnh hay mô hình có bản quyền; tên và phù hiệu quốc gia thật không hiện cho người chơi</t>
        </is>
      </c>
      <c r="S20">
        <f>INDEX(boss_input_kich_thuoc_that!$B$2:$B$20,MATCH($B$20,boss_input_kich_thuoc_that!$A$2:$A$20,0))</f>
        <v/>
      </c>
      <c r="T20">
        <f>INDEX(boss_input_kich_thuoc_that!$C$2:$C$20,MATCH($B$20,boss_input_kich_thuoc_that!$A$2:$A$20,0))</f>
        <v/>
      </c>
      <c r="U20">
        <f>INDEX(boss_input_kich_thuoc_that!$D$2:$D$20,MATCH($B$20,boss_input_kich_thuoc_that!$A$2:$A$20,0))</f>
        <v/>
      </c>
      <c r="V20" t="inlineStr">
        <is>
          <t>BelAZ-75710</t>
        </is>
      </c>
      <c r="W20" t="inlineStr">
        <is>
          <t>high</t>
        </is>
      </c>
      <c r="Y20" t="inlineStr">
        <is>
          <t>Xe tải mỏ bọc thép của Thorne ở Deepcut Mine: ca-bin lệch trái, sáu bánh lớn, lưỡi húc chữ V</t>
        </is>
      </c>
      <c r="Z20" t="inlineStr">
        <is>
          <t>BelAZ-75710 (xe tải mỏ lớn nhất thế giới), tháp pháo T-72 125 mm hàn trên thùng — Xe tải mỏ bọc thép của Thorne ở Deepcut Mine: ca-bin lệch trái, sáu bánh lớn, lưỡi húc chữ V</t>
        </is>
      </c>
      <c r="AA20" t="inlineStr"/>
      <c r="AB20" t="inlineStr"/>
      <c r="AC20" t="inlineStr">
        <is>
          <t>Tools/blender/mb_p20_bosses.py: a giant wheel (Tsar Tank lineage), 17 x 12 m: two 9 m wheels (`Part_wheel_l/r`), the hub gondola with its 76 mm gun (`Turret`, `Muzzle_main`) and the tail with its steering wheel (`Part_steer`). || Tools/blender/mb_redesign_20y.py: Ly Han's giant wheel, rebuilt as a war machine: the Lebedenko "Tsar Tank" layout (two 10 m spoked wheels on one axle, a war cabin slung between them, a trailing steering roller), dressed like a game war machine: an Ork "deff rolla" of spikes across the front (Warhammer 40,000), scythe spikes on the hubs and studded treads, slab armour, rivets, exhaust stacks and rust (Gears of War's Locust machines, Metal Gear's Shagohod). 21 x 12.7 m (17.5 m across the hub spikes). Nodes as before: `Part_wheel_ || Tools/blender/specs/ixion.json: real = BelAZ-75710 (the largest mining dump truck); T-72 turret, 2A46 125 mm, welded on the body; confidence = cao (BelAZ-75710 dimensions: Wikipedia, reference_dimensions.md high)</t>
        </is>
      </c>
      <c r="AD20" t="inlineStr">
        <is>
          <t>BelAZ-75710 (xe tải mỏ lớn nhất thế giới), tháp pháo T-72 125 mm hàn trên thùng — Xe tải mỏ bọc thép của Thorne ở Deepcut Mine: ca-bin lệch trái, sáu bánh lớn, lưỡi húc chữ V</t>
        </is>
      </c>
      <c r="AE20" t="inlineStr">
        <is>
          <t>boss ×1,3–1,5 so với mẫu gốc (Docs/balance/Machine_Brigade_Can_bang.xlsx, sheet Hướng dẫn vẽ)</t>
        </is>
      </c>
      <c r="AF20" t="inlineStr"/>
      <c r="AG20" t="inlineStr">
        <is>
          <t>Tools/docs/unit_refs.json: ixion; Tools/models/reference_real.json: units.ixion</t>
        </is>
      </c>
      <c r="AH20" t="inlineStr"/>
    </row>
    <row r="21">
      <c r="A21" t="inlineStr">
        <is>
          <t>kraken</t>
        </is>
      </c>
      <c r="B21" t="inlineStr">
        <is>
          <t>kraken</t>
        </is>
      </c>
      <c r="C21" t="inlineStr">
        <is>
          <t>Kraken · Tàu sân bay</t>
        </is>
      </c>
      <c r="D21" t="inlineStr">
        <is>
          <t>NEED_SOURCE</t>
        </is>
      </c>
      <c r="E21" t="inlineStr"/>
      <c r="F21" t="inlineStr">
        <is>
          <t>NEED_SOURCE</t>
        </is>
      </c>
      <c r="G21" t="inlineStr">
        <is>
          <t>NEED_SOURCE</t>
        </is>
      </c>
      <c r="H21" t="inlineStr"/>
      <c r="I21" t="inlineStr"/>
      <c r="J21" t="inlineStr"/>
      <c r="K21" t="inlineStr"/>
      <c r="L21" t="inlineStr"/>
      <c r="M21" t="inlineStr"/>
      <c r="N21" t="inlineStr"/>
      <c r="O21" t="inlineStr">
        <is>
          <t>NEED_SOURCE</t>
        </is>
      </c>
      <c r="P21" t="inlineStr">
        <is>
          <t>R_kraken</t>
        </is>
      </c>
      <c r="Q21" t="inlineStr">
        <is>
          <t>repo không có tham chiếu cho thực thể này (unit_refs.json, reference_real.json, bảng cân bằng)</t>
        </is>
      </c>
      <c r="R21" t="inlineStr">
        <is>
          <t>chỉ ở mức ý tưởng và thông số (sự kiện); không dùng tên, logo, văn bản, ảnh hay mô hình có bản quyền; tên và phù hiệu quốc gia thật không hiện cho người chơi</t>
        </is>
      </c>
      <c r="S21" t="inlineStr">
        <is>
          <t>NEED_SOURCE</t>
        </is>
      </c>
      <c r="T21" t="inlineStr">
        <is>
          <t>NEED_SOURCE</t>
        </is>
      </c>
      <c r="U21" t="inlineStr">
        <is>
          <t>NEED_SOURCE</t>
        </is>
      </c>
      <c r="Z21" t="inlineStr"/>
      <c r="AA21" t="inlineStr"/>
      <c r="AB21" t="inlineStr"/>
      <c r="AC21" t="inlineStr">
        <is>
          <t>Tools/blender/specs/kraken.json: real = Kuznetsov / Nimitz-line aircraft carrier: ski-jump, angled deck, island to starboard, Granit-style cells, CIWS galleries; confidence = ban_dau_doan (no sheet shape note; BossText note and tip, the old builder)</t>
        </is>
      </c>
      <c r="AD21" t="inlineStr"/>
      <c r="AE21" t="inlineStr"/>
      <c r="AF21" t="inlineStr"/>
      <c r="AG21" t="inlineStr">
        <is>
          <t>Tools/docs/unit_refs.json: kraken; Tools/models/reference_real.json: units.kraken</t>
        </is>
      </c>
      <c r="AH21" t="inlineStr"/>
    </row>
    <row r="22">
      <c r="A22" t="inlineStr">
        <is>
          <t>landing_hovercraft</t>
        </is>
      </c>
      <c r="B22" t="inlineStr">
        <is>
          <t>landing_hovercraft</t>
        </is>
      </c>
      <c r="C22" t="inlineStr">
        <is>
          <t>Charybdis · Tàu đệm khí đổ bộ</t>
        </is>
      </c>
      <c r="D22" t="inlineStr">
        <is>
          <t>doi_that</t>
        </is>
      </c>
      <c r="E22" t="inlineStr">
        <is>
          <t>LCAC;Zubr (Project 1232.2);A-22 Ogon 140 mm;AK-630</t>
        </is>
      </c>
      <c r="F22" t="inlineStr">
        <is>
          <t>NEED_SOURCE</t>
        </is>
      </c>
      <c r="G22" t="inlineStr">
        <is>
          <t>NEED_SOURCE</t>
        </is>
      </c>
      <c r="H22" t="inlineStr"/>
      <c r="I22" t="inlineStr"/>
      <c r="J22" t="inlineStr"/>
      <c r="K22" t="inlineStr">
        <is>
          <t>Tàu đổ bộ đệm khí</t>
        </is>
      </c>
      <c r="L22" t="inlineStr"/>
      <c r="M22" t="inlineStr"/>
      <c r="N22" t="inlineStr"/>
      <c r="O22" t="inlineStr">
        <is>
          <t>da_kiem_chung</t>
        </is>
      </c>
      <c r="P22" t="inlineStr">
        <is>
          <t>R_unit_refs;R_reference_real;W_wikipedia_landing_craft_air_cushion;R_machine_brigade_can_bang;R_landing_hovercraft;R_unit_sheet</t>
        </is>
      </c>
      <c r="Q22" t="inlineStr"/>
      <c r="R22" t="inlineStr">
        <is>
          <t>chỉ ở mức ý tưởng và thông số (sự kiện); không dùng tên, logo, văn bản, ảnh hay mô hình có bản quyền; tên và phù hiệu quốc gia thật không hiện cho người chơi</t>
        </is>
      </c>
      <c r="S22">
        <f>INDEX(boss_input_kich_thuoc_that!$B$2:$B$20,MATCH($B$22,boss_input_kich_thuoc_that!$A$2:$A$20,0))</f>
        <v/>
      </c>
      <c r="T22">
        <f>INDEX(boss_input_kich_thuoc_that!$C$2:$C$20,MATCH($B$22,boss_input_kich_thuoc_that!$A$2:$A$20,0))</f>
        <v/>
      </c>
      <c r="U22" t="inlineStr">
        <is>
          <t>NEED_SOURCE</t>
        </is>
      </c>
      <c r="V22" t="inlineStr">
        <is>
          <t>LCAC</t>
        </is>
      </c>
      <c r="W22" t="inlineStr">
        <is>
          <t>high</t>
        </is>
      </c>
      <c r="Y22" t="inlineStr">
        <is>
          <t>Tàu đổ bộ đệm khí</t>
        </is>
      </c>
      <c r="Z22" t="inlineStr">
        <is>
          <t>LCAC, Zubr (Project 1232.2), A-22 Ogon 140 mm, AK-630 — Tàu đổ bộ đệm khí</t>
        </is>
      </c>
      <c r="AA22" t="inlineStr"/>
      <c r="AB22" t="inlineStr"/>
      <c r="AC22" t="inlineStr">
        <is>
          <t>Tools/blender/specs/landing_hovercraft.json: real = LCAC; Zubr (Project 1232.2); A-22 Ogon 140 mm; AK-630; confidence = xấp xỉ (Zubr / LCAC photographs; at the old file's size)</t>
        </is>
      </c>
      <c r="AD22" t="inlineStr">
        <is>
          <t>LCAC, Zubr (Project 1232.2), A-22 Ogon 140 mm, AK-630 — Tàu đổ bộ đệm khí</t>
        </is>
      </c>
      <c r="AE22" t="inlineStr">
        <is>
          <t>boss ×1,3–1,5 so với mẫu gốc (Docs/balance/Machine_Brigade_Can_bang.xlsx, sheet Hướng dẫn vẽ)</t>
        </is>
      </c>
      <c r="AF22" t="inlineStr"/>
      <c r="AG22" t="inlineStr">
        <is>
          <t>Tools/docs/unit_refs.json: landing_hovercraft; Tools/models/reference_real.json: units.landing_hovercraft</t>
        </is>
      </c>
      <c r="AH22" t="inlineStr"/>
    </row>
    <row r="23">
      <c r="A23" t="inlineStr">
        <is>
          <t>leviathan</t>
        </is>
      </c>
      <c r="B23" t="inlineStr">
        <is>
          <t>leviathan</t>
        </is>
      </c>
      <c r="C23" t="inlineStr">
        <is>
          <t>Leviathan · Thiết giáp hạm</t>
        </is>
      </c>
      <c r="D23" t="inlineStr">
        <is>
          <t>doi_that</t>
        </is>
      </c>
      <c r="E23" t="inlineStr">
        <is>
          <t>Iowa-class hiện đại hóa thập niên 1980 (Mk 7 406 mm);Kirov-class (bệ phóng thẳng đứng)</t>
        </is>
      </c>
      <c r="F23" t="inlineStr">
        <is>
          <t>NEED_SOURCE</t>
        </is>
      </c>
      <c r="G23" t="inlineStr">
        <is>
          <t>NEED_SOURCE</t>
        </is>
      </c>
      <c r="H23" t="inlineStr"/>
      <c r="I23" t="inlineStr"/>
      <c r="J23" t="inlineStr"/>
      <c r="K23" t="inlineStr">
        <is>
          <t>Thiết giáp hạm lớp Iowa hiện đại hóa, thêm bệ phóng thẳng đứng kiểu Kirov</t>
        </is>
      </c>
      <c r="L23" t="inlineStr"/>
      <c r="M23" t="inlineStr"/>
      <c r="N23" t="inlineStr"/>
      <c r="O23" t="inlineStr">
        <is>
          <t>da_kiem_chung</t>
        </is>
      </c>
      <c r="P23" t="inlineStr">
        <is>
          <t>R_unit_refs;R_reference_real;W_wikipedia_iowa_class_battleship;R_machine_brigade_can_bang;R_leviathan;R_unit_sheet</t>
        </is>
      </c>
      <c r="Q23" t="inlineStr"/>
      <c r="R23" t="inlineStr">
        <is>
          <t>chỉ ở mức ý tưởng và thông số (sự kiện); không dùng tên, logo, văn bản, ảnh hay mô hình có bản quyền; tên và phù hiệu quốc gia thật không hiện cho người chơi</t>
        </is>
      </c>
      <c r="S23">
        <f>INDEX(boss_input_kich_thuoc_that!$B$2:$B$20,MATCH($B$23,boss_input_kich_thuoc_that!$A$2:$A$20,0))</f>
        <v/>
      </c>
      <c r="T23">
        <f>INDEX(boss_input_kich_thuoc_that!$C$2:$C$20,MATCH($B$23,boss_input_kich_thuoc_that!$A$2:$A$20,0))</f>
        <v/>
      </c>
      <c r="U23" t="inlineStr">
        <is>
          <t>NEED_SOURCE</t>
        </is>
      </c>
      <c r="V23" t="inlineStr">
        <is>
          <t>Iowa-class battleship</t>
        </is>
      </c>
      <c r="W23" t="inlineStr">
        <is>
          <t>high</t>
        </is>
      </c>
      <c r="Y23" t="inlineStr">
        <is>
          <t>Thiết giáp hạm lớp Iowa hiện đại hóa, thêm bệ phóng thẳng đứng kiểu Kirov</t>
        </is>
      </c>
      <c r="Z23" t="inlineStr">
        <is>
          <t>Iowa-class hiện đại hóa thập niên 1980 (Mk 7 406 mm), Kirov-class (bệ phóng thẳng đứng) — Thiết giáp hạm lớp Iowa hiện đại hóa, thêm bệ phóng thẳng đứng kiểu Kirov</t>
        </is>
      </c>
      <c r="AA23" t="inlineStr">
        <is>
          <t>Type 94 460 mm</t>
        </is>
      </c>
      <c r="AB23" t="inlineStr"/>
      <c r="AC23" t="inlineStr">
        <is>
          <t>Tools/blender/specs/leviathan.json: real = Iowa-class modernised in the 1980s (Mk 7 406 mm triples, ABL Tomahawk boxes, Harpoon, CIWS); Kirov-class launch cells; confidence = tham_khao_thuc (Iowa layout; every part node and mount place of the old file kept, the sea-boss gold set)</t>
        </is>
      </c>
      <c r="AD23" t="inlineStr">
        <is>
          <t>Iowa-class hiện đại hóa thập niên 1980 (Mk 7 406 mm), Kirov-class (bệ phóng thẳng đứng) — Thiết giáp hạm lớp Iowa hiện đại hóa, thêm bệ phóng thẳng đứng kiểu Kirov</t>
        </is>
      </c>
      <c r="AE23" t="inlineStr">
        <is>
          <t>boss ×1,3–1,5 so với mẫu gốc (Docs/balance/Machine_Brigade_Can_bang.xlsx, sheet Hướng dẫn vẽ)</t>
        </is>
      </c>
      <c r="AF23" t="inlineStr"/>
      <c r="AG23" t="inlineStr">
        <is>
          <t>Tools/docs/unit_refs.json: leviathan; Tools/models/reference_real.json: units.leviathan</t>
        </is>
      </c>
      <c r="AH23" t="inlineStr"/>
    </row>
    <row r="24">
      <c r="A24" t="inlineStr">
        <is>
          <t>locust</t>
        </is>
      </c>
      <c r="B24" t="inlineStr">
        <is>
          <t>locust</t>
        </is>
      </c>
      <c r="C24" t="inlineStr">
        <is>
          <t>Locust · Tàu con drone</t>
        </is>
      </c>
      <c r="D24" t="inlineStr">
        <is>
          <t>doi_that</t>
        </is>
      </c>
      <c r="E24" t="inlineStr">
        <is>
          <t>Airlander 10;drone FPV</t>
        </is>
      </c>
      <c r="F24" t="inlineStr">
        <is>
          <t>NEED_SOURCE</t>
        </is>
      </c>
      <c r="G24" t="inlineStr">
        <is>
          <t>NEED_SOURCE</t>
        </is>
      </c>
      <c r="H24" t="inlineStr">
        <is>
          <t>Red Alert 2</t>
        </is>
      </c>
      <c r="I24" t="inlineStr">
        <is>
          <t>hình dáng: Kirov Airship</t>
        </is>
      </c>
      <c r="J24" t="inlineStr"/>
      <c r="K24" t="inlineStr">
        <is>
          <t>biến thể nhỏ của khí cầu mẹ</t>
        </is>
      </c>
      <c r="L24" t="inlineStr"/>
      <c r="M24" t="inlineStr"/>
      <c r="N24" t="inlineStr"/>
      <c r="O24" t="inlineStr">
        <is>
          <t>uoc_dinh</t>
        </is>
      </c>
      <c r="P24" t="inlineStr">
        <is>
          <t>R_unit_refs;R_machine_brigade_can_bang;R_unit_sheet</t>
        </is>
      </c>
      <c r="Q24" t="inlineStr"/>
      <c r="R24" t="inlineStr">
        <is>
          <t>chỉ ở mức ý tưởng và thông số (sự kiện); không dùng tên, logo, văn bản, ảnh hay mô hình có bản quyền; tên và phù hiệu quốc gia thật không hiện cho người chơi</t>
        </is>
      </c>
      <c r="S24" t="inlineStr">
        <is>
          <t>NEED_SOURCE</t>
        </is>
      </c>
      <c r="T24" t="inlineStr">
        <is>
          <t>NEED_SOURCE</t>
        </is>
      </c>
      <c r="U24" t="inlineStr">
        <is>
          <t>NEED_SOURCE</t>
        </is>
      </c>
      <c r="Y24" t="inlineStr">
        <is>
          <t>ước đoán: biến thể nhỏ của khí cầu mẹ</t>
        </is>
      </c>
      <c r="Z24" t="inlineStr">
        <is>
          <t>Airlander 10, drone FPV · Kirov Airship (Red Alert 2) — ước đoán: biến thể nhỏ của khí cầu mẹ</t>
        </is>
      </c>
      <c r="AA24" t="inlineStr"/>
      <c r="AB24" t="inlineStr"/>
      <c r="AC24" t="inlineStr"/>
      <c r="AD24" t="inlineStr">
        <is>
          <t>Airlander 10, drone FPV · Kirov Airship (Red Alert 2) — ước đoán: biến thể nhỏ của khí cầu mẹ</t>
        </is>
      </c>
      <c r="AE24" t="inlineStr">
        <is>
          <t>boss ×1,3–1,5 so với mẫu gốc (Docs/balance/Machine_Brigade_Can_bang.xlsx, sheet Hướng dẫn vẽ)</t>
        </is>
      </c>
      <c r="AF24" t="inlineStr">
        <is>
          <t>unit_refs.json ghi ước đoán</t>
        </is>
      </c>
      <c r="AG24" t="inlineStr">
        <is>
          <t>Tools/docs/unit_refs.json: locust; Tools/models/reference_real.json: units.locust</t>
        </is>
      </c>
      <c r="AH24" t="inlineStr"/>
    </row>
    <row r="25">
      <c r="A25" t="inlineStr">
        <is>
          <t>mega_gunship</t>
        </is>
      </c>
      <c r="B25" t="inlineStr">
        <is>
          <t>mega_gunship</t>
        </is>
      </c>
      <c r="C25" t="inlineStr">
        <is>
          <t>Harpy · Trực thăng khổng lồ</t>
        </is>
      </c>
      <c r="D25" t="inlineStr">
        <is>
          <t>doi_that</t>
        </is>
      </c>
      <c r="E25" t="inlineStr">
        <is>
          <t>CH-47 Chinook (cỡ khung);ACH-47A 'Guns-A-Go-Go'</t>
        </is>
      </c>
      <c r="F25" t="inlineStr">
        <is>
          <t>NEED_SOURCE</t>
        </is>
      </c>
      <c r="G25" t="inlineStr">
        <is>
          <t>NEED_SOURCE</t>
        </is>
      </c>
      <c r="H25" t="inlineStr"/>
      <c r="I25" t="inlineStr"/>
      <c r="J25" t="inlineStr"/>
      <c r="K25" t="inlineStr">
        <is>
          <t>ước đoán (ACH-47A): trực thăng hai rô-to vũ trang hạng nặng</t>
        </is>
      </c>
      <c r="L25" t="inlineStr"/>
      <c r="M25" t="inlineStr"/>
      <c r="N25" t="inlineStr"/>
      <c r="O25" t="inlineStr">
        <is>
          <t>uoc_dinh</t>
        </is>
      </c>
      <c r="P25" t="inlineStr">
        <is>
          <t>R_unit_refs;R_reference_real;W_wikipedia_boeing_ch_47_chinook;R_machine_brigade_can_bang;R_mega_gunship;R_unit_sheet</t>
        </is>
      </c>
      <c r="Q25" t="inlineStr"/>
      <c r="R25" t="inlineStr">
        <is>
          <t>chỉ ở mức ý tưởng và thông số (sự kiện); không dùng tên, logo, văn bản, ảnh hay mô hình có bản quyền; tên và phù hiệu quốc gia thật không hiện cho người chơi</t>
        </is>
      </c>
      <c r="S25">
        <f>INDEX(boss_input_kich_thuoc_that!$B$2:$B$20,MATCH($B$25,boss_input_kich_thuoc_that!$A$2:$A$20,0))</f>
        <v/>
      </c>
      <c r="T25">
        <f>INDEX(boss_input_kich_thuoc_that!$C$2:$C$20,MATCH($B$25,boss_input_kich_thuoc_that!$A$2:$A$20,0))</f>
        <v/>
      </c>
      <c r="U25">
        <f>INDEX(boss_input_kich_thuoc_that!$D$2:$D$20,MATCH($B$25,boss_input_kich_thuoc_that!$A$2:$A$20,0))</f>
        <v/>
      </c>
      <c r="V25" t="inlineStr">
        <is>
          <t>CH-47F Chinook</t>
        </is>
      </c>
      <c r="W25" t="inlineStr">
        <is>
          <t>high</t>
        </is>
      </c>
      <c r="Y25" t="inlineStr">
        <is>
          <t>ước đoán (ACH-47A): trực thăng hai rô-to vũ trang hạng nặng</t>
        </is>
      </c>
      <c r="Z25" t="inlineStr">
        <is>
          <t>CH-47 Chinook (cỡ khung), ACH-47A 'Guns-A-Go-Go' — ước đoán (ACH-47A): trực thăng hai rô-to vũ trang hạng nặng</t>
        </is>
      </c>
      <c r="AA25" t="inlineStr"/>
      <c r="AB25" t="inlineStr"/>
      <c r="AC25" t="inlineStr">
        <is>
          <t>Tools/blender/specs/mega_gunship.json: real = CH-47 Chinook (airframe size); ACH-47A 'Guns-A-Go-Go' (gun pods, door guns, chin turret); confidence = tham_khao_thuc (Chinook airframe; the ACH-47A's armament layout)</t>
        </is>
      </c>
      <c r="AD25" t="inlineStr">
        <is>
          <t>CH-47 Chinook (cỡ khung), ACH-47A 'Guns-A-Go-Go' — ước đoán (ACH-47A): trực thăng hai rô-to vũ trang hạng nặng</t>
        </is>
      </c>
      <c r="AE25" t="inlineStr">
        <is>
          <t>boss ×1,3–1,5 so với mẫu gốc (Docs/balance/Machine_Brigade_Can_bang.xlsx, sheet Hướng dẫn vẽ)</t>
        </is>
      </c>
      <c r="AF25" t="inlineStr">
        <is>
          <t>unit_refs.json ghi ước đoán</t>
        </is>
      </c>
      <c r="AG25" t="inlineStr">
        <is>
          <t>Tools/docs/unit_refs.json: mega_gunship; Tools/models/reference_real.json: units.mega_gunship</t>
        </is>
      </c>
      <c r="AH25" t="inlineStr"/>
    </row>
    <row r="26">
      <c r="A26" t="inlineStr">
        <is>
          <t>mobile_fortress</t>
        </is>
      </c>
      <c r="B26" t="inlineStr">
        <is>
          <t>mobile_fortress</t>
        </is>
      </c>
      <c r="C26" t="inlineStr">
        <is>
          <t>Jötunn · Pháo đài di động</t>
        </is>
      </c>
      <c r="D26" t="inlineStr">
        <is>
          <t>doi_that</t>
        </is>
      </c>
      <c r="E26" t="inlineStr">
        <is>
          <t>NASA Crawler-Transporter;Kharkovchanka (1959);2A44 203 mm (2S7 Pion)</t>
        </is>
      </c>
      <c r="F26" t="inlineStr">
        <is>
          <t>NEED_SOURCE</t>
        </is>
      </c>
      <c r="G26" t="inlineStr">
        <is>
          <t>NEED_SOURCE</t>
        </is>
      </c>
      <c r="H26" t="inlineStr"/>
      <c r="I26" t="inlineStr"/>
      <c r="J26" t="inlineStr">
        <is>
          <t>Star Wars</t>
        </is>
      </c>
      <c r="K26" t="inlineStr">
        <is>
          <t>pháo đài bánh xích bốn cụm, cầu chỉ huy lắp kính</t>
        </is>
      </c>
      <c r="L26" t="inlineStr"/>
      <c r="M26" t="inlineStr"/>
      <c r="N26" t="inlineStr"/>
      <c r="O26" t="inlineStr">
        <is>
          <t>uoc_dinh</t>
        </is>
      </c>
      <c r="P26" t="inlineStr">
        <is>
          <t>R_unit_refs;R_reference_real;W_wikipedia_crawler_transporter;R_machine_brigade_can_bang;R_mobile_fortress;R_unit_sheet</t>
        </is>
      </c>
      <c r="Q26" t="inlineStr"/>
      <c r="R26" t="inlineStr">
        <is>
          <t>chỉ ở mức ý tưởng và thông số (sự kiện); không dùng tên, logo, văn bản, ảnh hay mô hình có bản quyền; tên và phù hiệu quốc gia thật không hiện cho người chơi</t>
        </is>
      </c>
      <c r="S26">
        <f>INDEX(boss_input_kich_thuoc_that!$B$2:$B$20,MATCH($B$26,boss_input_kich_thuoc_that!$A$2:$A$20,0))</f>
        <v/>
      </c>
      <c r="T26">
        <f>INDEX(boss_input_kich_thuoc_that!$C$2:$C$20,MATCH($B$26,boss_input_kich_thuoc_that!$A$2:$A$20,0))</f>
        <v/>
      </c>
      <c r="U26">
        <f>INDEX(boss_input_kich_thuoc_that!$D$2:$D$20,MATCH($B$26,boss_input_kich_thuoc_that!$A$2:$A$20,0))</f>
        <v/>
      </c>
      <c r="V26" t="inlineStr">
        <is>
          <t>NASA Crawler-Transporter</t>
        </is>
      </c>
      <c r="W26" t="inlineStr">
        <is>
          <t>high</t>
        </is>
      </c>
      <c r="Y26" t="inlineStr">
        <is>
          <t>ước đoán: pháo đài bánh xích bốn cụm, cầu chỉ huy lắp kính</t>
        </is>
      </c>
      <c r="Z26" t="inlineStr">
        <is>
          <t>NASA Crawler-Transporter, Kharkovchanka (1959), 2A44 203 mm (2S7 Pion) · Sandcrawler (Star Wars) — ước đoán: pháo đài bánh xích bốn cụm, cầu chỉ huy lắp kính</t>
        </is>
      </c>
      <c r="AA26" t="inlineStr"/>
      <c r="AB26" t="inlineStr">
        <is>
          <t>1959</t>
        </is>
      </c>
      <c r="AC26" t="inlineStr">
        <is>
          <t>Tools/blender/specs/mobile_fortress.json: real = NASA Crawler-Transporter (corner crawler trucks, jacking cylinders); Kharkovchanka (1959) glazed bridge; 2A44 203 mm (2S7 Pion); confidence = tham_khao_thuc (the crawler-transporter's four twin-track trucks under a platform; the bridge after the Kharkovchanka)</t>
        </is>
      </c>
      <c r="AD26" t="inlineStr">
        <is>
          <t>NASA Crawler-Transporter, Kharkovchanka (1959), 2A44 203 mm (2S7 Pion) · Sandcrawler (Star Wars) — ước đoán: pháo đài bánh xích bốn cụm, cầu chỉ huy lắp kính</t>
        </is>
      </c>
      <c r="AE26" t="inlineStr">
        <is>
          <t>boss ×1,3–1,5 so với mẫu gốc (Docs/balance/Machine_Brigade_Can_bang.xlsx, sheet Hướng dẫn vẽ)</t>
        </is>
      </c>
      <c r="AF26" t="inlineStr">
        <is>
          <t>unit_refs.json ghi ước đoán</t>
        </is>
      </c>
      <c r="AG26" t="inlineStr">
        <is>
          <t>Tools/docs/unit_refs.json: mobile_fortress; Tools/models/reference_real.json: units.mobile_fortress</t>
        </is>
      </c>
      <c r="AH26" t="inlineStr"/>
    </row>
    <row r="27">
      <c r="A27" t="inlineStr">
        <is>
          <t>moloch</t>
        </is>
      </c>
      <c r="B27" t="inlineStr">
        <is>
          <t>moloch</t>
        </is>
      </c>
      <c r="C27" t="inlineStr">
        <is>
          <t>Moloch · Nhà máy di động</t>
        </is>
      </c>
      <c r="D27" t="inlineStr">
        <is>
          <t>doi_that</t>
        </is>
      </c>
      <c r="E27" t="inlineStr">
        <is>
          <t>xưởng cơ động bánh xích</t>
        </is>
      </c>
      <c r="F27" t="inlineStr">
        <is>
          <t>NEED_SOURCE</t>
        </is>
      </c>
      <c r="G27" t="inlineStr">
        <is>
          <t>NEED_SOURCE</t>
        </is>
      </c>
      <c r="H27" t="inlineStr">
        <is>
          <t>Supreme Commander;Command &amp; Conquer</t>
        </is>
      </c>
      <c r="I27" t="inlineStr">
        <is>
          <t>hình dáng: Fatboy;hình dáng: MCV / War Factory</t>
        </is>
      </c>
      <c r="J27" t="inlineStr"/>
      <c r="K27" t="inlineStr">
        <is>
          <t>nhà máy di động của Varga, bốn tháp 120 mm</t>
        </is>
      </c>
      <c r="L27" t="inlineStr"/>
      <c r="M27" t="inlineStr">
        <is>
          <t>gia_tuong</t>
        </is>
      </c>
      <c r="N27" t="inlineStr"/>
      <c r="O27" t="inlineStr">
        <is>
          <t>uoc_dinh</t>
        </is>
      </c>
      <c r="P27" t="inlineStr">
        <is>
          <t>R_unit_refs;R_reference_real;R_machine_brigade_can_bang;R_moloch;R_mb_p20_bosses;R_unit_sheet</t>
        </is>
      </c>
      <c r="Q27" t="inlineStr">
        <is>
          <t>reference_real.json: fictional (mẫu 'tracked mobile factory', thiết kế giả tưởng)</t>
        </is>
      </c>
      <c r="R27" t="inlineStr">
        <is>
          <t>chỉ ở mức ý tưởng và thông số (sự kiện); không dùng tên, logo, văn bản, ảnh hay mô hình có bản quyền; tên và phù hiệu quốc gia thật không hiện cho người chơi</t>
        </is>
      </c>
      <c r="S27" t="inlineStr">
        <is>
          <t>NEED_SOURCE</t>
        </is>
      </c>
      <c r="T27" t="inlineStr">
        <is>
          <t>NEED_SOURCE</t>
        </is>
      </c>
      <c r="U27" t="inlineStr">
        <is>
          <t>NEED_SOURCE</t>
        </is>
      </c>
      <c r="V27" t="inlineStr">
        <is>
          <t>tracked mobile factory</t>
        </is>
      </c>
      <c r="W27" t="inlineStr">
        <is>
          <t>inspiration</t>
        </is>
      </c>
      <c r="Y27" t="inlineStr">
        <is>
          <t>ước đoán: nhà máy di động của Varga, bốn tháp 120 mm</t>
        </is>
      </c>
      <c r="Z27" t="inlineStr">
        <is>
          <t>xưởng cơ động bánh xích · Fatboy (Supreme Commander), MCV / War Factory (Command &amp; Conquer) — ước đoán: nhà máy di động</t>
        </is>
      </c>
      <c r="AA27" t="inlineStr"/>
      <c r="AB27" t="inlineStr"/>
      <c r="AC27" t="inlineStr">
        <is>
          <t>Tools/blender/mb_p20_bosses.py: Varga's mobile factory, 24 x 13 m: a long tracked hull with a raised workshop block, four 120 mm turrets on the corners (`Turret` front left with `Muzzle_main`; `Mount_gun` / `.001` / `.002`), a flak mount on the roof (`Mount_mg`), two workshop doors at the back (`Part_door_l` / `Part_door_r`), two track units (`Part_track_l/r`), smokestacks. || Tools/blender/specs/moloch.json: real = tracked mobile factory (the sheet's 'xưởng cơ động bánh xích'); Fatboy (Supreme Commander) and the C&amp;C MCV / war factory for the look; twin 120 mm turrets; 35 mm twin flak; confidence = ban_dau_doan (a fictional factory after the sheet's references)</t>
        </is>
      </c>
      <c r="AD27" t="inlineStr">
        <is>
          <t>xưởng cơ động bánh xích · Fatboy (Supreme Commander), MCV / War Factory (Command &amp; Conquer) — ước đoán: nhà máy di động</t>
        </is>
      </c>
      <c r="AE27" t="inlineStr">
        <is>
          <t>boss ×1,3–1,5 so với mẫu gốc (Docs/balance/Machine_Brigade_Can_bang.xlsx, sheet Hướng dẫn vẽ)</t>
        </is>
      </c>
      <c r="AF27" t="inlineStr">
        <is>
          <t>reference_real.json: fictional; unit_refs.json ghi ước đoán</t>
        </is>
      </c>
      <c r="AG27" t="inlineStr">
        <is>
          <t>Tools/docs/unit_refs.json: moloch; Tools/models/reference_real.json: units.moloch</t>
        </is>
      </c>
      <c r="AH27" t="inlineStr"/>
    </row>
    <row r="28">
      <c r="A28" t="inlineStr">
        <is>
          <t>monster</t>
        </is>
      </c>
      <c r="B28" t="inlineStr">
        <is>
          <t>monster</t>
        </is>
      </c>
      <c r="C28" t="inlineStr">
        <is>
          <t>Monster · Pháo tự hành 800 mm</t>
        </is>
      </c>
      <c r="D28" t="inlineStr">
        <is>
          <t>doi_that</t>
        </is>
      </c>
      <c r="E28" t="inlineStr">
        <is>
          <t>2B1 Oka (420 mm);Object 271 (1957)</t>
        </is>
      </c>
      <c r="F28" t="inlineStr">
        <is>
          <t>NEED_SOURCE</t>
        </is>
      </c>
      <c r="G28" t="inlineStr">
        <is>
          <t>NEED_SOURCE</t>
        </is>
      </c>
      <c r="H28" t="inlineStr"/>
      <c r="I28" t="inlineStr"/>
      <c r="J28" t="inlineStr"/>
      <c r="K28" t="inlineStr">
        <is>
          <t>Pháo tự hành 800 mm khổng lồ trên xích</t>
        </is>
      </c>
      <c r="L28" t="inlineStr"/>
      <c r="M28" t="inlineStr">
        <is>
          <t>gia_tuong</t>
        </is>
      </c>
      <c r="N28" t="inlineStr"/>
      <c r="O28" t="inlineStr">
        <is>
          <t>ban_dau_doan</t>
        </is>
      </c>
      <c r="P28" t="inlineStr">
        <is>
          <t>R_unit_refs;R_reference_real;R_monster</t>
        </is>
      </c>
      <c r="Q28" t="inlineStr">
        <is>
          <t>reference_real.json: fictional giant (mẫu '2B1 Oka / Object 271', thiết kế giả tưởng)</t>
        </is>
      </c>
      <c r="R28" t="inlineStr">
        <is>
          <t>chỉ ở mức ý tưởng và thông số (sự kiện); không dùng tên, logo, văn bản, ảnh hay mô hình có bản quyền; tên và phù hiệu quốc gia thật không hiện cho người chơi</t>
        </is>
      </c>
      <c r="S28" t="inlineStr">
        <is>
          <t>NEED_SOURCE</t>
        </is>
      </c>
      <c r="T28" t="inlineStr">
        <is>
          <t>NEED_SOURCE</t>
        </is>
      </c>
      <c r="U28" t="inlineStr">
        <is>
          <t>NEED_SOURCE</t>
        </is>
      </c>
      <c r="V28" t="inlineStr">
        <is>
          <t>2B1 Oka / Object 271</t>
        </is>
      </c>
      <c r="W28" t="inlineStr">
        <is>
          <t>inspiration</t>
        </is>
      </c>
      <c r="Y28" t="inlineStr">
        <is>
          <t>Pháo tự hành 800 mm khổng lồ trên xích</t>
        </is>
      </c>
      <c r="Z28" t="inlineStr"/>
      <c r="AA28" t="inlineStr"/>
      <c r="AB28" t="inlineStr"/>
      <c r="AC28" t="inlineStr">
        <is>
          <t>Tools/blender/specs/monster.json: real = 2B1 Oka (420 mm self-propelled mortar); Object 271 (1957); the def's 800 mm siege gun; confidence = ban_dau_doan (a fictional super-heavy SPG after the 2B1 Oka / Object 271 layout; no card text)</t>
        </is>
      </c>
      <c r="AD28" t="inlineStr"/>
      <c r="AE28" t="inlineStr">
        <is>
          <t>boss ×1,3–1,5 so với mẫu gốc (Docs/balance/Machine_Brigade_Can_bang.xlsx, sheet Hướng dẫn vẽ)</t>
        </is>
      </c>
      <c r="AF28" t="inlineStr">
        <is>
          <t>reference_real.json: fictional giant</t>
        </is>
      </c>
      <c r="AG28" t="inlineStr">
        <is>
          <t>Tools/docs/unit_refs.json: monster; Tools/models/reference_real.json: units.monster</t>
        </is>
      </c>
      <c r="AH28" t="inlineStr"/>
    </row>
    <row r="29">
      <c r="A29" t="inlineStr">
        <is>
          <t>nuke_train</t>
        </is>
      </c>
      <c r="B29" t="inlineStr">
        <is>
          <t>nuke_train</t>
        </is>
      </c>
      <c r="C29" t="inlineStr">
        <is>
          <t>Nemesis · Đoàn tàu tên lửa</t>
        </is>
      </c>
      <c r="D29" t="inlineStr">
        <is>
          <t>doi_that</t>
        </is>
      </c>
      <c r="E29" t="inlineStr">
        <is>
          <t>RT-23 Molodets (tàu tên lửa BZhRK);MIM-104 Patriot</t>
        </is>
      </c>
      <c r="F29" t="inlineStr">
        <is>
          <t>NEED_SOURCE</t>
        </is>
      </c>
      <c r="G29" t="inlineStr">
        <is>
          <t>NEED_SOURCE</t>
        </is>
      </c>
      <c r="H29" t="inlineStr"/>
      <c r="I29" t="inlineStr"/>
      <c r="J29" t="inlineStr"/>
      <c r="K29" t="inlineStr">
        <is>
          <t>đoàn tàu bọc thép mang tên lửa đạn đạo</t>
        </is>
      </c>
      <c r="L29" t="inlineStr"/>
      <c r="M29" t="inlineStr">
        <is>
          <t>gia_tuong</t>
        </is>
      </c>
      <c r="N29" t="inlineStr"/>
      <c r="O29" t="inlineStr">
        <is>
          <t>uoc_dinh</t>
        </is>
      </c>
      <c r="P29" t="inlineStr">
        <is>
          <t>R_unit_refs;R_reference_real;R_machine_brigade_can_bang;R_nuke_train;R_unit_sheet</t>
        </is>
      </c>
      <c r="Q29" t="inlineStr">
        <is>
          <t>reference_real.json: a train set (mẫu 'RT-23 Molodets BZhRK', thiết kế giả tưởng)</t>
        </is>
      </c>
      <c r="R29" t="inlineStr">
        <is>
          <t>chỉ ở mức ý tưởng và thông số (sự kiện); không dùng tên, logo, văn bản, ảnh hay mô hình có bản quyền; tên và phù hiệu quốc gia thật không hiện cho người chơi</t>
        </is>
      </c>
      <c r="S29" t="inlineStr">
        <is>
          <t>NEED_SOURCE</t>
        </is>
      </c>
      <c r="T29" t="inlineStr">
        <is>
          <t>NEED_SOURCE</t>
        </is>
      </c>
      <c r="U29" t="inlineStr">
        <is>
          <t>NEED_SOURCE</t>
        </is>
      </c>
      <c r="V29" t="inlineStr">
        <is>
          <t>RT-23 Molodets BZhRK</t>
        </is>
      </c>
      <c r="W29" t="inlineStr">
        <is>
          <t>inspiration</t>
        </is>
      </c>
      <c r="Y29" t="inlineStr">
        <is>
          <t>ước đoán: đoàn tàu bọc thép mang tên lửa đạn đạo</t>
        </is>
      </c>
      <c r="Z29" t="inlineStr">
        <is>
          <t>RT-23 Molodets (tàu tên lửa BZhRK), MIM-104 Patriot — ước đoán: đoàn tàu bọc thép mang tên lửa đạn đạo</t>
        </is>
      </c>
      <c r="AA29" t="inlineStr"/>
      <c r="AB29" t="inlineStr"/>
      <c r="AC29" t="inlineStr">
        <is>
          <t>Tools/blender/specs/nuke_train.json: real = BZhRK Molodets (RT-23 UTTKh rail-mobile ICBM: roof-door launcher car, catenary diverter); BP-43 armoured train (armoured locomotive with turrets); railway flatcars carrying a 220 mm MLRS pod, a Roland-pattern SAM turret, a 152 mm gun and a twin 35 mm AA turret; confidence = ước đoán (a game boss; BZhRK Molodets, BP-43 armoured train and railway artillery / air-defence flatcars for the parts)</t>
        </is>
      </c>
      <c r="AD29" t="inlineStr">
        <is>
          <t>RT-23 Molodets (tàu tên lửa BZhRK), MIM-104 Patriot — ước đoán: đoàn tàu bọc thép mang tên lửa đạn đạo</t>
        </is>
      </c>
      <c r="AE29" t="inlineStr">
        <is>
          <t>boss ×1,3–1,5 so với mẫu gốc (Docs/balance/Machine_Brigade_Can_bang.xlsx, sheet Hướng dẫn vẽ)</t>
        </is>
      </c>
      <c r="AF29" t="inlineStr">
        <is>
          <t>reference_real.json: a train set; unit_refs.json ghi ước đoán</t>
        </is>
      </c>
      <c r="AG29" t="inlineStr">
        <is>
          <t>Tools/docs/unit_refs.json: nuke_train; Tools/models/reference_real.json: units.nuke_train</t>
        </is>
      </c>
      <c r="AH29" t="inlineStr"/>
    </row>
    <row r="30">
      <c r="A30" t="inlineStr">
        <is>
          <t>nyx</t>
        </is>
      </c>
      <c r="B30" t="inlineStr">
        <is>
          <t>nyx</t>
        </is>
      </c>
      <c r="C30" t="inlineStr">
        <is>
          <t>Nyx · Tàu khu trục tàng hình</t>
        </is>
      </c>
      <c r="D30" t="inlineStr">
        <is>
          <t>NEED_SOURCE</t>
        </is>
      </c>
      <c r="E30" t="inlineStr"/>
      <c r="F30" t="inlineStr">
        <is>
          <t>NEED_SOURCE</t>
        </is>
      </c>
      <c r="G30" t="inlineStr">
        <is>
          <t>NEED_SOURCE</t>
        </is>
      </c>
      <c r="H30" t="inlineStr"/>
      <c r="I30" t="inlineStr"/>
      <c r="J30" t="inlineStr"/>
      <c r="K30" t="inlineStr"/>
      <c r="L30" t="inlineStr"/>
      <c r="M30" t="inlineStr"/>
      <c r="N30" t="inlineStr"/>
      <c r="O30" t="inlineStr">
        <is>
          <t>NEED_SOURCE</t>
        </is>
      </c>
      <c r="P30" t="inlineStr">
        <is>
          <t>R_nyx</t>
        </is>
      </c>
      <c r="Q30" t="inlineStr">
        <is>
          <t>repo không có tham chiếu cho thực thể này (unit_refs.json, reference_real.json, bảng cân bằng)</t>
        </is>
      </c>
      <c r="R30" t="inlineStr">
        <is>
          <t>chỉ ở mức ý tưởng và thông số (sự kiện); không dùng tên, logo, văn bản, ảnh hay mô hình có bản quyền; tên và phù hiệu quốc gia thật không hiện cho người chơi</t>
        </is>
      </c>
      <c r="S30" t="inlineStr">
        <is>
          <t>NEED_SOURCE</t>
        </is>
      </c>
      <c r="T30" t="inlineStr">
        <is>
          <t>NEED_SOURCE</t>
        </is>
      </c>
      <c r="U30" t="inlineStr">
        <is>
          <t>NEED_SOURCE</t>
        </is>
      </c>
      <c r="Z30" t="inlineStr"/>
      <c r="AA30" t="inlineStr"/>
      <c r="AB30" t="inlineStr"/>
      <c r="AC30" t="inlineStr">
        <is>
          <t>Tools/blender/specs/nyx.json: real = Zumwalt-class destroyer (tumblehome hull, wave-piercing bow, pyramid deckhouse, peripheral VLS) with a railgun; confidence = ban_dau_doan (no sheet shape note; BossText note and tip, the old builder)</t>
        </is>
      </c>
      <c r="AD30" t="inlineStr"/>
      <c r="AE30" t="inlineStr"/>
      <c r="AF30" t="inlineStr"/>
      <c r="AG30" t="inlineStr">
        <is>
          <t>Tools/docs/unit_refs.json: nyx; Tools/models/reference_real.json: units.nyx</t>
        </is>
      </c>
      <c r="AH30" t="inlineStr"/>
    </row>
    <row r="31">
      <c r="A31" t="inlineStr">
        <is>
          <t>scylla</t>
        </is>
      </c>
      <c r="B31" t="inlineStr">
        <is>
          <t>scylla</t>
        </is>
      </c>
      <c r="C31" t="inlineStr">
        <is>
          <t>Scylla · Tàu khu trục</t>
        </is>
      </c>
      <c r="D31" t="inlineStr">
        <is>
          <t>doi_that</t>
        </is>
      </c>
      <c r="E31" t="inlineStr">
        <is>
          <t>Sovremenny-class (khu trục hạm);Kirov-class</t>
        </is>
      </c>
      <c r="F31" t="inlineStr">
        <is>
          <t>NEED_SOURCE</t>
        </is>
      </c>
      <c r="G31" t="inlineStr">
        <is>
          <t>NEED_SOURCE</t>
        </is>
      </c>
      <c r="H31" t="inlineStr"/>
      <c r="I31" t="inlineStr"/>
      <c r="J31" t="inlineStr"/>
      <c r="K31" t="inlineStr">
        <is>
          <t>Bản nhỏ của Leviathan</t>
        </is>
      </c>
      <c r="L31" t="inlineStr"/>
      <c r="M31" t="inlineStr"/>
      <c r="N31" t="inlineStr"/>
      <c r="O31" t="inlineStr">
        <is>
          <t>ban_dau_doan</t>
        </is>
      </c>
      <c r="P31" t="inlineStr">
        <is>
          <t>R_unit_refs;R_machine_brigade_can_bang;R_unit_sheet</t>
        </is>
      </c>
      <c r="Q31" t="inlineStr"/>
      <c r="R31" t="inlineStr">
        <is>
          <t>chỉ ở mức ý tưởng và thông số (sự kiện); không dùng tên, logo, văn bản, ảnh hay mô hình có bản quyền; tên và phù hiệu quốc gia thật không hiện cho người chơi</t>
        </is>
      </c>
      <c r="S31" t="inlineStr">
        <is>
          <t>NEED_SOURCE</t>
        </is>
      </c>
      <c r="T31" t="inlineStr">
        <is>
          <t>NEED_SOURCE</t>
        </is>
      </c>
      <c r="U31" t="inlineStr">
        <is>
          <t>NEED_SOURCE</t>
        </is>
      </c>
      <c r="Y31" t="inlineStr">
        <is>
          <t>Bản nhỏ của Leviathan</t>
        </is>
      </c>
      <c r="Z31" t="inlineStr">
        <is>
          <t>Sovremenny-class (khu trục hạm), Kirov-class — Bản nhỏ của Leviathan</t>
        </is>
      </c>
      <c r="AA31" t="inlineStr">
        <is>
          <t>Sovremenny (AK-130, P-270 Moskit)</t>
        </is>
      </c>
      <c r="AB31" t="inlineStr"/>
      <c r="AC31" t="inlineStr"/>
      <c r="AD31" t="inlineStr">
        <is>
          <t>Sovremenny-class (khu trục hạm), Kirov-class — Bản nhỏ của Leviathan</t>
        </is>
      </c>
      <c r="AE31" t="inlineStr">
        <is>
          <t>boss ×1,3–1,5 so với mẫu gốc (Docs/balance/Machine_Brigade_Can_bang.xlsx, sheet Hướng dẫn vẽ)</t>
        </is>
      </c>
      <c r="AF31" t="inlineStr"/>
      <c r="AG31" t="inlineStr">
        <is>
          <t>Tools/docs/unit_refs.json: scylla; Tools/models/reference_real.json: units.scylla</t>
        </is>
      </c>
      <c r="AH31" t="inlineStr"/>
    </row>
    <row r="32">
      <c r="A32" t="inlineStr">
        <is>
          <t>silver_bug</t>
        </is>
      </c>
      <c r="B32" t="inlineStr">
        <is>
          <t>silver_bug</t>
        </is>
      </c>
      <c r="C32" t="inlineStr">
        <is>
          <t>Icarus · Phi thuyền quỹ đạo</t>
        </is>
      </c>
      <c r="D32" t="inlineStr">
        <is>
          <t>gia_tuong</t>
        </is>
      </c>
      <c r="E32" t="inlineStr"/>
      <c r="F32" t="inlineStr"/>
      <c r="G32" t="inlineStr"/>
      <c r="H32" t="inlineStr">
        <is>
          <t>Halo;Mass Effect</t>
        </is>
      </c>
      <c r="I32" t="inlineStr">
        <is>
          <t>hình dáng: Tàu frigate UNSC lớp Charon (pháo dọc sống tàu, khoang sườn có động cơ RCS và tháp pháo);hình dáng: Normandy SR-2 (hai gondola động cơ ở đuôi có vây nghiêng)</t>
        </is>
      </c>
      <c r="J32" t="inlineStr">
        <is>
          <t>Star Wars;CR90, Star Wars;The Expanse;Battlestar Galactica</t>
        </is>
      </c>
      <c r="K32" t="inlineStr">
        <is>
          <t>Icarus: chiến hạm vũ trụ cỡ nhỏ, thân mũi dao 36 m, hai khoang sườn, thượng tầng bậc thang, tháp chỉ huy đầu búa phía sau, bảy động cơ ở đuôi (play-test 9, DECISIONS 23M)</t>
        </is>
      </c>
      <c r="L32" t="inlineStr"/>
      <c r="M32" t="inlineStr">
        <is>
          <t>gia_tuong</t>
        </is>
      </c>
      <c r="N32" t="inlineStr"/>
      <c r="O32" t="inlineStr">
        <is>
          <t>ban_dau_doan</t>
        </is>
      </c>
      <c r="P32" t="inlineStr">
        <is>
          <t>R_unit_refs;R_reference_real;R_machine_brigade_can_bang;R_mb_redesign_20y;R_unit_sheet</t>
        </is>
      </c>
      <c r="Q32" t="inlineStr">
        <is>
          <t>reference_real.json: fictional (mẫu 'Icarus (alien craft)', thiết kế giả tưởng)</t>
        </is>
      </c>
      <c r="R32" t="inlineStr">
        <is>
          <t>chỉ ở mức ý tưởng và thông số (sự kiện); không dùng tên, logo, văn bản, ảnh hay mô hình có bản quyền; tên và phù hiệu quốc gia thật không hiện cho người chơi</t>
        </is>
      </c>
      <c r="S32" t="inlineStr"/>
      <c r="T32" t="inlineStr"/>
      <c r="U32" t="inlineStr"/>
      <c r="V32" t="inlineStr">
        <is>
          <t>Icarus (alien craft)</t>
        </is>
      </c>
      <c r="W32" t="inlineStr">
        <is>
          <t>inspiration</t>
        </is>
      </c>
      <c r="Y32" t="inlineStr">
        <is>
          <t>Icarus: chiến hạm vũ trụ cỡ nhỏ, thân mũi dao 36 m, hai khoang sườn, thượng tầng bậc thang, tháp chỉ huy đầu búa phía sau, bảy động cơ ở đuôi (play-test 9, DECISIONS 23M)</t>
        </is>
      </c>
      <c r="Z32" t="inlineStr">
        <is>
          <t>Polyus / Skif-DM (trạm vũ khí quỹ đạo Liên Xô, 1987), ISS (giàn chính, cánh pin mặt trời, tấm tản nhiệt), Hubble / KH-11 (ống kính, cửa</t>
        </is>
      </c>
      <c r="AA32" t="inlineStr">
        <is>
          <t>Thang máu boss (Tổng quan) | Polyus/Skif-DM; SOLG (Ace Combat 5)</t>
        </is>
      </c>
      <c r="AB32" t="inlineStr"/>
      <c r="AC32" t="inlineStr">
        <is>
          <t>Tools/blender/mb_redesign_20y.py: Aurel's Icarus, rebuilt as a warship spacecraft: a wedge hull after the Imperial Star Destroyer (a dagger plan, the side trench with its lit windows, a stepped superstructure and a command tower with its two shield domes) and the Republic Venator (the dorsal flight-deck doors, the red stripes, here in the side's colour), an engine bank across the stern and a ventral hangar. 33.5 x 22 m. Every node keeps its name and place (mb_orbital.NODES): `Turret` (the ventral laser ball, `Muzzle_main`), `Mou</t>
        </is>
      </c>
      <c r="AD32" t="inlineStr">
        <is>
          <t>Polyus / Skif-DM (trạm vũ khí quỹ đạo Liên Xô, 1987), ISS (giàn chính, cánh pin mặt trời, tấm tản nhiệt), Hubble / KH-11 (ống kính, cửa</t>
        </is>
      </c>
      <c r="AE32" t="inlineStr"/>
      <c r="AF32" t="inlineStr">
        <is>
          <t>reference_real.json: fictional</t>
        </is>
      </c>
      <c r="AG32" t="inlineStr">
        <is>
          <t>Tools/docs/unit_refs.json: silver_bug; Tools/models/reference_real.json: units.silver_bug</t>
        </is>
      </c>
      <c r="AH32" t="inlineStr"/>
    </row>
    <row r="33">
      <c r="A33" t="inlineStr">
        <is>
          <t>theia</t>
        </is>
      </c>
      <c r="B33" t="inlineStr">
        <is>
          <t>theia</t>
        </is>
      </c>
      <c r="C33" t="inlineStr">
        <is>
          <t>Theia · Tàu sân bay hộ tống</t>
        </is>
      </c>
      <c r="D33" t="inlineStr">
        <is>
          <t>NEED_SOURCE</t>
        </is>
      </c>
      <c r="E33" t="inlineStr"/>
      <c r="F33" t="inlineStr">
        <is>
          <t>NEED_SOURCE</t>
        </is>
      </c>
      <c r="G33" t="inlineStr">
        <is>
          <t>NEED_SOURCE</t>
        </is>
      </c>
      <c r="H33" t="inlineStr"/>
      <c r="I33" t="inlineStr"/>
      <c r="J33" t="inlineStr"/>
      <c r="K33" t="inlineStr"/>
      <c r="L33" t="inlineStr"/>
      <c r="M33" t="inlineStr"/>
      <c r="N33" t="inlineStr"/>
      <c r="O33" t="inlineStr">
        <is>
          <t>NEED_SOURCE</t>
        </is>
      </c>
      <c r="P33" t="inlineStr"/>
      <c r="Q33" t="inlineStr">
        <is>
          <t>repo không có tham chiếu cho thực thể này (unit_refs.json, reference_real.json, bảng cân bằng)</t>
        </is>
      </c>
      <c r="R33" t="inlineStr">
        <is>
          <t>chỉ ở mức ý tưởng và thông số (sự kiện); không dùng tên, logo, văn bản, ảnh hay mô hình có bản quyền; tên và phù hiệu quốc gia thật không hiện cho người chơi</t>
        </is>
      </c>
      <c r="S33" t="inlineStr">
        <is>
          <t>NEED_SOURCE</t>
        </is>
      </c>
      <c r="T33" t="inlineStr">
        <is>
          <t>NEED_SOURCE</t>
        </is>
      </c>
      <c r="U33" t="inlineStr">
        <is>
          <t>NEED_SOURCE</t>
        </is>
      </c>
      <c r="Z33" t="inlineStr"/>
      <c r="AA33" t="inlineStr"/>
      <c r="AB33" t="inlineStr"/>
      <c r="AC33" t="inlineStr"/>
      <c r="AD33" t="inlineStr"/>
      <c r="AE33" t="inlineStr"/>
      <c r="AF33" t="inlineStr"/>
      <c r="AG33" t="inlineStr">
        <is>
          <t>Tools/docs/unit_refs.json: theia; Tools/models/reference_real.json: units.theia</t>
        </is>
      </c>
      <c r="AH33" t="inlineStr"/>
    </row>
    <row r="34">
      <c r="A34" t="inlineStr">
        <is>
          <t>typhon</t>
        </is>
      </c>
      <c r="B34" t="inlineStr">
        <is>
          <t>typhon</t>
        </is>
      </c>
      <c r="C34" t="inlineStr">
        <is>
          <t>Typhon · Tàu ngầm tên lửa</t>
        </is>
      </c>
      <c r="D34" t="inlineStr">
        <is>
          <t>doi_that</t>
        </is>
      </c>
      <c r="E34" t="inlineStr">
        <is>
          <t>Project 941 Akula (Typhoon)</t>
        </is>
      </c>
      <c r="F34" t="inlineStr">
        <is>
          <t>NEED_SOURCE</t>
        </is>
      </c>
      <c r="G34" t="inlineStr">
        <is>
          <t>NEED_SOURCE</t>
        </is>
      </c>
      <c r="H34" t="inlineStr"/>
      <c r="I34" t="inlineStr"/>
      <c r="J34" t="inlineStr">
        <is>
          <t>The Hunt for Red October</t>
        </is>
      </c>
      <c r="K34" t="inlineStr">
        <is>
          <t>Tàu ngầm tên lửa</t>
        </is>
      </c>
      <c r="L34" t="inlineStr"/>
      <c r="M34" t="inlineStr"/>
      <c r="N34" t="inlineStr"/>
      <c r="O34" t="inlineStr">
        <is>
          <t>da_kiem_chung</t>
        </is>
      </c>
      <c r="P34" t="inlineStr">
        <is>
          <t>R_unit_refs;R_reference_real;W_wikipedia_typhoon_class_submarine;R_machine_brigade_can_bang;R_typhon;R_mb_p20_bosses;R_unit_sheet</t>
        </is>
      </c>
      <c r="Q34" t="inlineStr"/>
      <c r="R34" t="inlineStr">
        <is>
          <t>chỉ ở mức ý tưởng và thông số (sự kiện); không dùng tên, logo, văn bản, ảnh hay mô hình có bản quyền; tên và phù hiệu quốc gia thật không hiện cho người chơi</t>
        </is>
      </c>
      <c r="S34">
        <f>INDEX(boss_input_kich_thuoc_that!$B$2:$B$20,MATCH($B$34,boss_input_kich_thuoc_that!$A$2:$A$20,0))</f>
        <v/>
      </c>
      <c r="T34">
        <f>INDEX(boss_input_kich_thuoc_that!$C$2:$C$20,MATCH($B$34,boss_input_kich_thuoc_that!$A$2:$A$20,0))</f>
        <v/>
      </c>
      <c r="U34" t="inlineStr">
        <is>
          <t>NEED_SOURCE</t>
        </is>
      </c>
      <c r="V34" t="inlineStr">
        <is>
          <t>Project 941 Akula (Typhoon)</t>
        </is>
      </c>
      <c r="W34" t="inlineStr">
        <is>
          <t>high</t>
        </is>
      </c>
      <c r="Y34" t="inlineStr">
        <is>
          <t>Tàu ngầm tên lửa</t>
        </is>
      </c>
      <c r="Z34" t="inlineStr">
        <is>
          <t>Project 941 Akula (Typhoon) · The Hunt for Red October (1990) — Tàu ngầm tên lửa</t>
        </is>
      </c>
      <c r="AA34" t="inlineStr">
        <is>
          <t>Project 941</t>
        </is>
      </c>
      <c r="AB34" t="inlineStr">
        <is>
          <t>1990</t>
        </is>
      </c>
      <c r="AC34" t="inlineStr">
        <is>
          <t>Tools/blender/mb_p20_bosses.py: a missile submarine (Typhoon lineage), 58 x 12 m, origin on the waterline: a broad hull, the sail (`Part_sail`) with its SAM launcher (`Mount_missile`), two banks of launch doors (`Part_doors_l/r`), the rudder (`Part_rudder`), the bow sonar (`Part_sonar`) and a 100 mm deck gun (`Mount_gun`) for phase 3. || Tools/blender/specs/typhon.json: real = Project 941 Akula (Typhoon); confidence = xấp xỉ (Typhoon photographs and drawings; at the old file's size)</t>
        </is>
      </c>
      <c r="AD34" t="inlineStr">
        <is>
          <t>Project 941 Akula (Typhoon) · The Hunt for Red October (1990) — Tàu ngầm tên lửa</t>
        </is>
      </c>
      <c r="AE34" t="inlineStr">
        <is>
          <t>boss ×1,3–1,5 so với mẫu gốc (Docs/balance/Machine_Brigade_Can_bang.xlsx, sheet Hướng dẫn vẽ)</t>
        </is>
      </c>
      <c r="AF34" t="inlineStr"/>
      <c r="AG34" t="inlineStr">
        <is>
          <t>Tools/docs/unit_refs.json: typhon; Tools/models/reference_real.json: units.typhon</t>
        </is>
      </c>
      <c r="AH34" t="inlineStr"/>
    </row>
  </sheetData>
  <autoFilter ref="A1:AH34"/>
  <pageMargins left="0.75" right="0.75" top="1" bottom="1" header="0.5" footer="0.5"/>
</worksheet>
</file>

<file path=xl/worksheets/sheet43.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9" customWidth="1" min="1" max="1"/>
    <col width="19" customWidth="1" min="2" max="2"/>
    <col width="22" customWidth="1" min="3" max="3"/>
    <col width="8" customWidth="1" min="4" max="4"/>
    <col width="60" customWidth="1" min="5" max="5"/>
    <col width="60" customWidth="1" min="6" max="6"/>
    <col width="15" customWidth="1" min="7" max="7"/>
    <col width="12" customWidth="1" min="8" max="8"/>
    <col width="12" customWidth="1" min="9" max="9"/>
    <col width="13" customWidth="1" min="10" max="10"/>
    <col width="60" customWidth="1" min="11" max="11"/>
    <col width="60" customWidth="1" min="12" max="12"/>
    <col width="14" customWidth="1" min="13" max="13"/>
    <col width="60" customWidth="1" min="14" max="14"/>
    <col width="60" customWidth="1" min="15" max="15"/>
    <col width="37" customWidth="1" min="16" max="16"/>
    <col width="60" customWidth="1" min="17" max="17"/>
    <col width="10" customWidth="1" min="18" max="18"/>
  </cols>
  <sheetData>
    <row r="1">
      <c r="A1" s="1" t="inlineStr">
        <is>
          <t>id</t>
        </is>
      </c>
      <c r="B1" s="1" t="inlineStr">
        <is>
          <t>entity_id</t>
        </is>
      </c>
      <c r="C1" s="1" t="inlineStr">
        <is>
          <t>thong_so</t>
        </is>
      </c>
      <c r="D1" s="1" t="inlineStr">
        <is>
          <t>don_vi</t>
        </is>
      </c>
      <c r="E1" s="1" t="inlineStr">
        <is>
          <t>gia_tri_game</t>
        </is>
      </c>
      <c r="F1" s="1" t="inlineStr">
        <is>
          <t>gia_tri_that</t>
        </is>
      </c>
      <c r="G1" s="1" t="inlineStr">
        <is>
          <t>ty_le</t>
        </is>
      </c>
      <c r="H1" s="1" t="inlineStr">
        <is>
          <t>khoang_min</t>
        </is>
      </c>
      <c r="I1" s="1" t="inlineStr">
        <is>
          <t>khoang_max</t>
        </is>
      </c>
      <c r="J1" s="1" t="inlineStr">
        <is>
          <t>co_chu_dich</t>
        </is>
      </c>
      <c r="K1" s="1" t="inlineStr">
        <is>
          <t>ly_do</t>
        </is>
      </c>
      <c r="L1" s="1" t="inlineStr">
        <is>
          <t>co_lech_lon</t>
        </is>
      </c>
      <c r="M1" s="1" t="inlineStr">
        <is>
          <t>cho_quyet_id</t>
        </is>
      </c>
      <c r="N1" s="1" t="inlineStr">
        <is>
          <t>nguon_id</t>
        </is>
      </c>
      <c r="O1" s="1" t="inlineStr">
        <is>
          <t>ghi_chu</t>
        </is>
      </c>
      <c r="P1" s="1" t="inlineStr">
        <is>
          <t>vu_khi_id</t>
        </is>
      </c>
      <c r="Q1" s="1" t="inlineStr">
        <is>
          <t>nguon</t>
        </is>
      </c>
      <c r="R1" s="1" t="inlineStr">
        <is>
          <t>raw_json</t>
        </is>
      </c>
    </row>
    <row r="2">
      <c r="A2" t="inlineStr">
        <is>
          <t>argus/p26_roc_main_roc_bombs/nhip</t>
        </is>
      </c>
      <c r="B2" t="inlineStr">
        <is>
          <t>argus</t>
        </is>
      </c>
      <c r="C2" t="inlineStr">
        <is>
          <t>khe_mot_nong_mot_vien</t>
        </is>
      </c>
      <c r="D2" t="inlineStr">
        <is>
          <t>s</t>
        </is>
      </c>
      <c r="E2" t="n">
        <v>0.3</v>
      </c>
      <c r="F2">
        <f>60/INDEX(boss_input_nhip_that!$B$2:$B$74,MATCH($P$2,boss_input_nhip_that!$A$2:$A$74,0))/IF(INDEX(boss_input_nhip_that!$C$2:$C$74,MATCH($P$2,boss_input_nhip_that!$A$2:$A$74,0))="gun",0.7,1)</f>
        <v/>
      </c>
      <c r="G2">
        <f>$E$2/$F$2</f>
        <v/>
      </c>
      <c r="H2" t="n">
        <v>0.6</v>
      </c>
      <c r="I2" t="n">
        <v>2</v>
      </c>
      <c r="J2" t="b">
        <v>1</v>
      </c>
      <c r="K2" t="inlineStr">
        <is>
          <t>fix_weapon_reasons.json: a 400 kg bomb stick from an airship's bay: no real rate for the bay's reload; the 35.4 s cycle kept</t>
        </is>
      </c>
      <c r="L2">
        <f>IF(ISNUMBER($H$2),AND(NOT($J$2),OR($G$2&lt;$H$2,$G$2&gt;$I$2)),FALSE)</f>
        <v/>
      </c>
      <c r="M2" t="inlineStr"/>
      <c r="N2" t="inlineStr">
        <is>
          <t>R_balance;R_full_weapon_audit</t>
        </is>
      </c>
      <c r="O2" t="inlineStr">
        <is>
          <t>nhịp pháo boss so với hệ thống thật (định nghĩa như 01_chien_dau/Vu_khi_so_sanh_that)</t>
        </is>
      </c>
      <c r="P2" t="inlineStr">
        <is>
          <t>p26_roc_main_roc_bombs</t>
        </is>
      </c>
      <c r="Q2" t="inlineStr">
        <is>
          <t>Tools/balance/full_weapon_audit.py (bảng REAL) qua input_nhip_that / input_ty_le_nhip</t>
        </is>
      </c>
      <c r="R2" t="inlineStr"/>
    </row>
    <row r="3">
      <c r="A3" t="inlineStr">
        <is>
          <t>armored_train/boss_flak/nhip</t>
        </is>
      </c>
      <c r="B3" t="inlineStr">
        <is>
          <t>armored_train</t>
        </is>
      </c>
      <c r="C3" t="inlineStr">
        <is>
          <t>khe_mot_nong_mot_vien</t>
        </is>
      </c>
      <c r="D3" t="inlineStr">
        <is>
          <t>s</t>
        </is>
      </c>
      <c r="E3" t="n">
        <v>0.262439018</v>
      </c>
      <c r="F3">
        <f>60/INDEX(boss_input_nhip_that!$B$2:$B$74,MATCH($P$3,boss_input_nhip_that!$A$2:$A$74,0))/IF(INDEX(boss_input_nhip_that!$C$2:$C$74,MATCH($P$3,boss_input_nhip_that!$A$2:$A$74,0))="gun",0.7,1)</f>
        <v/>
      </c>
      <c r="G3">
        <f>$E$3/$F$3</f>
        <v/>
      </c>
      <c r="H3" t="n">
        <v>0.6</v>
      </c>
      <c r="I3" t="n">
        <v>2</v>
      </c>
      <c r="J3" t="b">
        <v>1</v>
      </c>
      <c r="K3" t="inlineStr">
        <is>
          <t>bản kiểm L1 (Tools/balance/full_weapon_audit.py) không cờ nhịp này: súng máy, pháo tự động, cao xạ so khe chậm với nhịp thực tế; rốc-két, bom và đồ treo máy bay chỉ so khoảng trong loạt</t>
        </is>
      </c>
      <c r="L3">
        <f>IF(ISNUMBER($H$3),AND(NOT($J$3),OR($G$3&lt;$H$3,$G$3&gt;$I$3)),FALSE)</f>
        <v/>
      </c>
      <c r="M3" t="inlineStr"/>
      <c r="N3" t="inlineStr">
        <is>
          <t>R_balance;R_full_weapon_audit;W_wikipedia_oerlikon_gdf;R_machine_brigade_can_bang</t>
        </is>
      </c>
      <c r="O3" t="inlineStr">
        <is>
          <t>nhịp pháo boss so với hệ thống thật (định nghĩa như 01_chien_dau/Vu_khi_so_sanh_that)</t>
        </is>
      </c>
      <c r="P3" t="inlineStr">
        <is>
          <t>boss_flak</t>
        </is>
      </c>
      <c r="Q3" t="inlineStr">
        <is>
          <t>Tools/balance/full_weapon_audit.py (bảng REAL) qua input_nhip_that / input_ty_le_nhip</t>
        </is>
      </c>
      <c r="R3" t="inlineStr"/>
    </row>
    <row r="4">
      <c r="A4" t="inlineStr">
        <is>
          <t>armored_train/boss_hmg/nhip</t>
        </is>
      </c>
      <c r="B4" t="inlineStr">
        <is>
          <t>armored_train</t>
        </is>
      </c>
      <c r="C4" t="inlineStr">
        <is>
          <t>khe_mot_nong_mot_vien</t>
        </is>
      </c>
      <c r="D4" t="inlineStr">
        <is>
          <t>s</t>
        </is>
      </c>
      <c r="E4" t="n">
        <v>0.132467025</v>
      </c>
      <c r="F4">
        <f>60/INDEX(boss_input_nhip_that!$B$2:$B$74,MATCH($P$4,boss_input_nhip_that!$A$2:$A$74,0))/IF(INDEX(boss_input_nhip_that!$C$2:$C$74,MATCH($P$4,boss_input_nhip_that!$A$2:$A$74,0))="gun",0.7,1)</f>
        <v/>
      </c>
      <c r="G4">
        <f>$E$4/$F$4</f>
        <v/>
      </c>
      <c r="H4" t="n">
        <v>0.6</v>
      </c>
      <c r="I4" t="n">
        <v>2</v>
      </c>
      <c r="J4" t="b">
        <v>0</v>
      </c>
      <c r="K4" t="inlineStr"/>
      <c r="L4">
        <f>IF(ISNUMBER($H$4),AND(NOT($J$4),OR($G$4&lt;$H$4,$G$4&gt;$I$4)),FALSE)</f>
        <v/>
      </c>
      <c r="M4" t="inlineStr"/>
      <c r="N4" t="inlineStr">
        <is>
          <t>R_balance;R_full_weapon_audit;W_wikipedia_nsv_machine_gun;R_machine_brigade_can_bang</t>
        </is>
      </c>
      <c r="O4" t="inlineStr">
        <is>
          <t>nhịp pháo boss so với hệ thống thật (định nghĩa như 01_chien_dau/Vu_khi_so_sanh_that)</t>
        </is>
      </c>
      <c r="P4" t="inlineStr">
        <is>
          <t>boss_hmg</t>
        </is>
      </c>
      <c r="Q4" t="inlineStr">
        <is>
          <t>Tools/balance/full_weapon_audit.py (bảng REAL) qua input_nhip_that / input_ty_le_nhip</t>
        </is>
      </c>
      <c r="R4" t="inlineStr"/>
    </row>
    <row r="5">
      <c r="A5" t="inlineStr">
        <is>
          <t>armored_train/pt14_train_grad/nhip</t>
        </is>
      </c>
      <c r="B5" t="inlineStr">
        <is>
          <t>armored_train</t>
        </is>
      </c>
      <c r="C5" t="inlineStr">
        <is>
          <t>khe_mot_nong_mot_vien</t>
        </is>
      </c>
      <c r="D5" t="inlineStr">
        <is>
          <t>s</t>
        </is>
      </c>
      <c r="E5" t="n">
        <v>0.5</v>
      </c>
      <c r="F5">
        <f>60/INDEX(boss_input_nhip_that!$B$2:$B$74,MATCH($P$5,boss_input_nhip_that!$A$2:$A$74,0))/IF(INDEX(boss_input_nhip_that!$C$2:$C$74,MATCH($P$5,boss_input_nhip_that!$A$2:$A$74,0))="gun",0.7,1)</f>
        <v/>
      </c>
      <c r="G5">
        <f>$E$5/$F$5</f>
        <v/>
      </c>
      <c r="H5" t="n">
        <v>0.6</v>
      </c>
      <c r="I5" t="n">
        <v>2</v>
      </c>
      <c r="J5" t="b">
        <v>0</v>
      </c>
      <c r="K5" t="inlineStr"/>
      <c r="L5">
        <f>IF(ISNUMBER($H$5),AND(NOT($J$5),OR($G$5&lt;$H$5,$G$5&gt;$I$5)),FALSE)</f>
        <v/>
      </c>
      <c r="M5" t="inlineStr"/>
      <c r="N5" t="inlineStr">
        <is>
          <t>R_balance;R_full_weapon_audit;W_wikipedia_bm_21_grad</t>
        </is>
      </c>
      <c r="O5" t="inlineStr">
        <is>
          <t>nhịp pháo boss so với hệ thống thật (định nghĩa như 01_chien_dau/Vu_khi_so_sanh_that)</t>
        </is>
      </c>
      <c r="P5" t="inlineStr">
        <is>
          <t>pt14_train_grad</t>
        </is>
      </c>
      <c r="Q5" t="inlineStr">
        <is>
          <t>Tools/balance/full_weapon_audit.py (bảng REAL) qua input_nhip_that / input_ty_le_nhip</t>
        </is>
      </c>
      <c r="R5" t="inlineStr"/>
    </row>
    <row r="6">
      <c r="A6" t="inlineStr">
        <is>
          <t>armored_train/train_gun/nhip</t>
        </is>
      </c>
      <c r="B6" t="inlineStr">
        <is>
          <t>armored_train</t>
        </is>
      </c>
      <c r="C6" t="inlineStr">
        <is>
          <t>khe_mot_nong_mot_vien</t>
        </is>
      </c>
      <c r="D6" t="inlineStr">
        <is>
          <t>s</t>
        </is>
      </c>
      <c r="E6" t="n">
        <v>8</v>
      </c>
      <c r="F6">
        <f>60/INDEX(boss_input_nhip_that!$B$2:$B$74,MATCH($P$6,boss_input_nhip_that!$A$2:$A$74,0))/IF(INDEX(boss_input_nhip_that!$C$2:$C$74,MATCH($P$6,boss_input_nhip_that!$A$2:$A$74,0))="gun",0.7,1)</f>
        <v/>
      </c>
      <c r="G6">
        <f>$E$6/$F$6</f>
        <v/>
      </c>
      <c r="H6" t="n">
        <v>0.6</v>
      </c>
      <c r="I6" t="n">
        <v>2</v>
      </c>
      <c r="J6" t="b">
        <v>0</v>
      </c>
      <c r="K6" t="inlineStr"/>
      <c r="L6">
        <f>IF(ISNUMBER($H$6),AND(NOT($J$6),OR($G$6&lt;$H$6,$G$6&gt;$I$6)),FALSE)</f>
        <v/>
      </c>
      <c r="M6" t="inlineStr"/>
      <c r="N6" t="inlineStr">
        <is>
          <t>R_balance;R_full_weapon_audit;W_wikipedia_15_2_cm_57_b_38</t>
        </is>
      </c>
      <c r="O6" t="inlineStr">
        <is>
          <t>nhịp pháo boss so với hệ thống thật (định nghĩa như 01_chien_dau/Vu_khi_so_sanh_that)</t>
        </is>
      </c>
      <c r="P6" t="inlineStr">
        <is>
          <t>train_gun</t>
        </is>
      </c>
      <c r="Q6" t="inlineStr">
        <is>
          <t>Tools/balance/full_weapon_audit.py (bảng REAL) qua input_nhip_that / input_ty_le_nhip</t>
        </is>
      </c>
      <c r="R6" t="inlineStr"/>
    </row>
    <row r="7">
      <c r="A7" t="inlineStr">
        <is>
          <t>bastion_mk0/p26_bastion_direct_b100/nhip</t>
        </is>
      </c>
      <c r="B7" t="inlineStr">
        <is>
          <t>bastion_mk0</t>
        </is>
      </c>
      <c r="C7" t="inlineStr">
        <is>
          <t>khe_mot_nong_mot_vien</t>
        </is>
      </c>
      <c r="D7" t="inlineStr">
        <is>
          <t>s</t>
        </is>
      </c>
      <c r="E7" t="n">
        <v>8.599995917999999</v>
      </c>
      <c r="F7">
        <f>60/INDEX(boss_input_nhip_that!$B$2:$B$74,MATCH($P$7,boss_input_nhip_that!$A$2:$A$74,0))/IF(INDEX(boss_input_nhip_that!$C$2:$C$74,MATCH($P$7,boss_input_nhip_that!$A$2:$A$74,0))="gun",0.7,1)</f>
        <v/>
      </c>
      <c r="G7">
        <f>$E$7/$F$7</f>
        <v/>
      </c>
      <c r="H7" t="n">
        <v>0.6</v>
      </c>
      <c r="I7" t="n">
        <v>2</v>
      </c>
      <c r="J7" t="b">
        <v>0</v>
      </c>
      <c r="K7" t="inlineStr"/>
      <c r="L7">
        <f>IF(ISNUMBER($H$7),AND(NOT($J$7),OR($G$7&lt;$H$7,$G$7&gt;$I$7)),FALSE)</f>
        <v/>
      </c>
      <c r="M7" t="inlineStr"/>
      <c r="N7" t="inlineStr">
        <is>
          <t>R_balance;R_full_weapon_audit;W_wikipedia_d_10_tank_gun</t>
        </is>
      </c>
      <c r="O7" t="inlineStr">
        <is>
          <t>nhịp pháo boss so với hệ thống thật (định nghĩa như 01_chien_dau/Vu_khi_so_sanh_that)</t>
        </is>
      </c>
      <c r="P7" t="inlineStr">
        <is>
          <t>p26_bastion_direct_b100</t>
        </is>
      </c>
      <c r="Q7" t="inlineStr">
        <is>
          <t>Tools/balance/full_weapon_audit.py (bảng REAL) qua input_nhip_that / input_ty_le_nhip</t>
        </is>
      </c>
      <c r="R7" t="inlineStr"/>
    </row>
    <row r="8">
      <c r="A8" t="inlineStr">
        <is>
          <t>bastion_mk0/p26_bastion_sec_b240/nhip</t>
        </is>
      </c>
      <c r="B8" t="inlineStr">
        <is>
          <t>bastion_mk0</t>
        </is>
      </c>
      <c r="C8" t="inlineStr">
        <is>
          <t>khe_mot_nong_mot_vien</t>
        </is>
      </c>
      <c r="D8" t="inlineStr">
        <is>
          <t>s</t>
        </is>
      </c>
      <c r="E8" t="n">
        <v>60</v>
      </c>
      <c r="F8">
        <f>60/INDEX(boss_input_nhip_that!$B$2:$B$74,MATCH($P$8,boss_input_nhip_that!$A$2:$A$74,0))/IF(INDEX(boss_input_nhip_that!$C$2:$C$74,MATCH($P$8,boss_input_nhip_that!$A$2:$A$74,0))="gun",0.7,1)</f>
        <v/>
      </c>
      <c r="G8">
        <f>$E$8/$F$8</f>
        <v/>
      </c>
      <c r="H8" t="n">
        <v>0.6</v>
      </c>
      <c r="I8" t="n">
        <v>2</v>
      </c>
      <c r="J8" t="b">
        <v>0</v>
      </c>
      <c r="K8" t="inlineStr"/>
      <c r="L8">
        <f>IF(ISNUMBER($H$8),AND(NOT($J$8),OR($G$8&lt;$H$8,$G$8&gt;$I$8)),FALSE)</f>
        <v/>
      </c>
      <c r="M8" t="inlineStr"/>
      <c r="N8" t="inlineStr">
        <is>
          <t>R_balance;R_full_weapon_audit;W_wikipedia_2s4_tyulpan</t>
        </is>
      </c>
      <c r="O8" t="inlineStr">
        <is>
          <t>nhịp pháo boss so với hệ thống thật (định nghĩa như 01_chien_dau/Vu_khi_so_sanh_that)</t>
        </is>
      </c>
      <c r="P8" t="inlineStr">
        <is>
          <t>p26_bastion_sec_b240</t>
        </is>
      </c>
      <c r="Q8" t="inlineStr">
        <is>
          <t>Tools/balance/full_weapon_audit.py (bảng REAL) qua input_nhip_that / input_ty_le_nhip</t>
        </is>
      </c>
      <c r="R8" t="inlineStr"/>
    </row>
    <row r="9">
      <c r="A9" t="inlineStr">
        <is>
          <t>behemoth/p26_behemoth_close_boss_flak/nhip</t>
        </is>
      </c>
      <c r="B9" t="inlineStr">
        <is>
          <t>behemoth</t>
        </is>
      </c>
      <c r="C9" t="inlineStr">
        <is>
          <t>khe_mot_nong_mot_vien</t>
        </is>
      </c>
      <c r="D9" t="inlineStr">
        <is>
          <t>s</t>
        </is>
      </c>
      <c r="E9" t="n">
        <v>0.262439018</v>
      </c>
      <c r="F9">
        <f>60/INDEX(boss_input_nhip_that!$B$2:$B$74,MATCH($P$9,boss_input_nhip_that!$A$2:$A$74,0))/IF(INDEX(boss_input_nhip_that!$C$2:$C$74,MATCH($P$9,boss_input_nhip_that!$A$2:$A$74,0))="gun",0.7,1)</f>
        <v/>
      </c>
      <c r="G9">
        <f>$E$9/$F$9</f>
        <v/>
      </c>
      <c r="H9" t="n">
        <v>0.6</v>
      </c>
      <c r="I9" t="n">
        <v>2</v>
      </c>
      <c r="J9" t="b">
        <v>1</v>
      </c>
      <c r="K9" t="inlineStr">
        <is>
          <t>fix_weapon_reasons.json: wave 1 boss_flak: 41 rounds at 1,200 rpm, changed in 3.38 s (twin Oerlikon GDF 2 x 550 rpm)</t>
        </is>
      </c>
      <c r="L9">
        <f>IF(ISNUMBER($H$9),AND(NOT($J$9),OR($G$9&lt;$H$9,$G$9&gt;$I$9)),FALSE)</f>
        <v/>
      </c>
      <c r="M9" t="inlineStr"/>
      <c r="N9" t="inlineStr">
        <is>
          <t>R_balance;R_full_weapon_audit;W_wikipedia_oerlikon_gdf</t>
        </is>
      </c>
      <c r="O9" t="inlineStr">
        <is>
          <t>nhịp pháo boss so với hệ thống thật (định nghĩa như 01_chien_dau/Vu_khi_so_sanh_that)</t>
        </is>
      </c>
      <c r="P9" t="inlineStr">
        <is>
          <t>p26_behemoth_close_boss_flak</t>
        </is>
      </c>
      <c r="Q9" t="inlineStr">
        <is>
          <t>Tools/balance/full_weapon_audit.py (bảng REAL) qua input_nhip_that / input_ty_le_nhip</t>
        </is>
      </c>
      <c r="R9" t="inlineStr"/>
    </row>
    <row r="10">
      <c r="A10" t="inlineStr">
        <is>
          <t>behemoth/p26_behemoth_direct_be120/nhip</t>
        </is>
      </c>
      <c r="B10" t="inlineStr">
        <is>
          <t>behemoth</t>
        </is>
      </c>
      <c r="C10" t="inlineStr">
        <is>
          <t>khe_mot_nong_mot_vien</t>
        </is>
      </c>
      <c r="D10" t="inlineStr">
        <is>
          <t>s</t>
        </is>
      </c>
      <c r="E10" t="n">
        <v>7.5</v>
      </c>
      <c r="F10">
        <f>60/INDEX(boss_input_nhip_that!$B$2:$B$74,MATCH($P$10,boss_input_nhip_that!$A$2:$A$74,0))/IF(INDEX(boss_input_nhip_that!$C$2:$C$74,MATCH($P$10,boss_input_nhip_that!$A$2:$A$74,0))="gun",0.7,1)</f>
        <v/>
      </c>
      <c r="G10">
        <f>$E$10/$F$10</f>
        <v/>
      </c>
      <c r="H10" t="n">
        <v>0.6</v>
      </c>
      <c r="I10" t="n">
        <v>2</v>
      </c>
      <c r="J10" t="b">
        <v>0</v>
      </c>
      <c r="K10" t="inlineStr"/>
      <c r="L10">
        <f>IF(ISNUMBER($H$10),AND(NOT($J$10),OR($G$10&lt;$H$10,$G$10&gt;$I$10)),FALSE)</f>
        <v/>
      </c>
      <c r="M10" t="inlineStr"/>
      <c r="N10" t="inlineStr">
        <is>
          <t>R_balance;R_full_weapon_audit;W_wikipedia_rheinmetall_120_mm_gun;R_machine_brigade_can_bang</t>
        </is>
      </c>
      <c r="O10" t="inlineStr">
        <is>
          <t>nhịp pháo boss so với hệ thống thật (định nghĩa như 01_chien_dau/Vu_khi_so_sanh_that)</t>
        </is>
      </c>
      <c r="P10" t="inlineStr">
        <is>
          <t>p26_behemoth_direct_be120</t>
        </is>
      </c>
      <c r="Q10" t="inlineStr">
        <is>
          <t>Tools/balance/full_weapon_audit.py (bảng REAL) qua input_nhip_that / input_ty_le_nhip</t>
        </is>
      </c>
      <c r="R10" t="inlineStr"/>
    </row>
    <row r="11">
      <c r="A11" t="inlineStr">
        <is>
          <t>behemoth/p26_behemoth_main_be152/nhip</t>
        </is>
      </c>
      <c r="B11" t="inlineStr">
        <is>
          <t>behemoth</t>
        </is>
      </c>
      <c r="C11" t="inlineStr">
        <is>
          <t>khe_mot_nong_mot_vien</t>
        </is>
      </c>
      <c r="D11" t="inlineStr">
        <is>
          <t>s</t>
        </is>
      </c>
      <c r="E11" t="n">
        <v>8.979996429</v>
      </c>
      <c r="F11">
        <f>60/INDEX(boss_input_nhip_that!$B$2:$B$74,MATCH($P$11,boss_input_nhip_that!$A$2:$A$74,0))/IF(INDEX(boss_input_nhip_that!$C$2:$C$74,MATCH($P$11,boss_input_nhip_that!$A$2:$A$74,0))="gun",0.7,1)</f>
        <v/>
      </c>
      <c r="G11">
        <f>$E$11/$F$11</f>
        <v/>
      </c>
      <c r="H11" t="n">
        <v>0.6</v>
      </c>
      <c r="I11" t="n">
        <v>2</v>
      </c>
      <c r="J11" t="b">
        <v>0</v>
      </c>
      <c r="K11" t="inlineStr"/>
      <c r="L11">
        <f>IF(ISNUMBER($H$11),AND(NOT($J$11),OR($G$11&lt;$H$11,$G$11&gt;$I$11)),FALSE)</f>
        <v/>
      </c>
      <c r="M11" t="inlineStr"/>
      <c r="N11" t="inlineStr">
        <is>
          <t>R_balance;R_full_weapon_audit;W_wikipedia_2a65_msta_b</t>
        </is>
      </c>
      <c r="O11" t="inlineStr">
        <is>
          <t>nhịp pháo boss so với hệ thống thật (định nghĩa như 01_chien_dau/Vu_khi_so_sanh_that)</t>
        </is>
      </c>
      <c r="P11" t="inlineStr">
        <is>
          <t>p26_behemoth_main_be152</t>
        </is>
      </c>
      <c r="Q11" t="inlineStr">
        <is>
          <t>Tools/balance/full_weapon_audit.py (bảng REAL) qua input_nhip_that / input_ty_le_nhip</t>
        </is>
      </c>
      <c r="R11" t="inlineStr"/>
    </row>
    <row r="12">
      <c r="A12" t="inlineStr">
        <is>
          <t>behemoth/p26_behemoth_sec_be_rockets/nhip</t>
        </is>
      </c>
      <c r="B12" t="inlineStr">
        <is>
          <t>behemoth</t>
        </is>
      </c>
      <c r="C12" t="inlineStr">
        <is>
          <t>khe_mot_nong_mot_vien</t>
        </is>
      </c>
      <c r="D12" t="inlineStr">
        <is>
          <t>s</t>
        </is>
      </c>
      <c r="E12" t="n">
        <v>0.5</v>
      </c>
      <c r="F12">
        <f>60/INDEX(boss_input_nhip_that!$B$2:$B$74,MATCH($P$12,boss_input_nhip_that!$A$2:$A$74,0))/IF(INDEX(boss_input_nhip_that!$C$2:$C$74,MATCH($P$12,boss_input_nhip_that!$A$2:$A$74,0))="gun",0.7,1)</f>
        <v/>
      </c>
      <c r="G12">
        <f>$E$12/$F$12</f>
        <v/>
      </c>
      <c r="H12" t="n">
        <v>0.6</v>
      </c>
      <c r="I12" t="n">
        <v>2</v>
      </c>
      <c r="J12" t="b">
        <v>0</v>
      </c>
      <c r="K12" t="inlineStr"/>
      <c r="L12">
        <f>IF(ISNUMBER($H$12),AND(NOT($J$12),OR($G$12&lt;$H$12,$G$12&gt;$I$12)),FALSE)</f>
        <v/>
      </c>
      <c r="M12" t="inlineStr"/>
      <c r="N12" t="inlineStr">
        <is>
          <t>R_balance;R_full_weapon_audit;W_wikipedia_bm_21_grad</t>
        </is>
      </c>
      <c r="O12" t="inlineStr">
        <is>
          <t>nhịp pháo boss so với hệ thống thật (định nghĩa như 01_chien_dau/Vu_khi_so_sanh_that)</t>
        </is>
      </c>
      <c r="P12" t="inlineStr">
        <is>
          <t>p26_behemoth_sec_be_rockets</t>
        </is>
      </c>
      <c r="Q12" t="inlineStr">
        <is>
          <t>Tools/balance/full_weapon_audit.py (bảng REAL) qua input_nhip_that / input_ty_le_nhip</t>
        </is>
      </c>
      <c r="R12" t="inlineStr"/>
    </row>
    <row r="13">
      <c r="A13" t="inlineStr">
        <is>
          <t>behemoth/p26_behemoth_tiny_be120/nhip</t>
        </is>
      </c>
      <c r="B13" t="inlineStr">
        <is>
          <t>behemoth</t>
        </is>
      </c>
      <c r="C13" t="inlineStr">
        <is>
          <t>khe_mot_nong_mot_vien</t>
        </is>
      </c>
      <c r="D13" t="inlineStr">
        <is>
          <t>s</t>
        </is>
      </c>
      <c r="E13" t="n">
        <v>7.5</v>
      </c>
      <c r="F13">
        <f>60/INDEX(boss_input_nhip_that!$B$2:$B$74,MATCH($P$13,boss_input_nhip_that!$A$2:$A$74,0))/IF(INDEX(boss_input_nhip_that!$C$2:$C$74,MATCH($P$13,boss_input_nhip_that!$A$2:$A$74,0))="gun",0.7,1)</f>
        <v/>
      </c>
      <c r="G13">
        <f>$E$13/$F$13</f>
        <v/>
      </c>
      <c r="H13" t="n">
        <v>0.6</v>
      </c>
      <c r="I13" t="n">
        <v>2</v>
      </c>
      <c r="J13" t="b">
        <v>0</v>
      </c>
      <c r="K13" t="inlineStr"/>
      <c r="L13">
        <f>IF(ISNUMBER($H$13),AND(NOT($J$13),OR($G$13&lt;$H$13,$G$13&gt;$I$13)),FALSE)</f>
        <v/>
      </c>
      <c r="M13" t="inlineStr"/>
      <c r="N13" t="inlineStr">
        <is>
          <t>R_balance;R_full_weapon_audit;W_wikipedia_rheinmetall_120_mm_gun;R_machine_brigade_can_bang</t>
        </is>
      </c>
      <c r="O13" t="inlineStr">
        <is>
          <t>nhịp pháo boss so với hệ thống thật (định nghĩa như 01_chien_dau/Vu_khi_so_sanh_that)</t>
        </is>
      </c>
      <c r="P13" t="inlineStr">
        <is>
          <t>p26_behemoth_tiny_be120</t>
        </is>
      </c>
      <c r="Q13" t="inlineStr">
        <is>
          <t>Tools/balance/full_weapon_audit.py (bảng REAL) qua input_nhip_that / input_ty_le_nhip</t>
        </is>
      </c>
      <c r="R13" t="inlineStr"/>
    </row>
    <row r="14">
      <c r="A14" t="inlineStr">
        <is>
          <t>behemoth/p26_behemoth_tiny_boss_missiles/nhip</t>
        </is>
      </c>
      <c r="B14" t="inlineStr">
        <is>
          <t>behemoth</t>
        </is>
      </c>
      <c r="C14" t="inlineStr">
        <is>
          <t>khe_mot_nong_mot_vien</t>
        </is>
      </c>
      <c r="D14" t="inlineStr">
        <is>
          <t>s</t>
        </is>
      </c>
      <c r="E14" t="n">
        <v>20</v>
      </c>
      <c r="F14">
        <f>60/INDEX(boss_input_nhip_that!$B$2:$B$74,MATCH($P$14,boss_input_nhip_that!$A$2:$A$74,0))/IF(INDEX(boss_input_nhip_that!$C$2:$C$74,MATCH($P$14,boss_input_nhip_that!$A$2:$A$74,0))="gun",0.7,1)</f>
        <v/>
      </c>
      <c r="G14">
        <f>$E$14/$F$14</f>
        <v/>
      </c>
      <c r="H14" t="n">
        <v>0.6</v>
      </c>
      <c r="I14" t="n">
        <v>2</v>
      </c>
      <c r="J14" t="b">
        <v>0</v>
      </c>
      <c r="K14" t="inlineStr"/>
      <c r="L14">
        <f>IF(ISNUMBER($H$14),AND(NOT($J$14),OR($G$14&lt;$H$14,$G$14&gt;$I$14)),FALSE)</f>
        <v/>
      </c>
      <c r="M14" t="inlineStr"/>
      <c r="N14" t="inlineStr">
        <is>
          <t>R_balance;R_full_weapon_audit;W_wikipedia_9m133_kornet;W_wikipedia_bai_cua_tung_ten_lua_bang_warhead</t>
        </is>
      </c>
      <c r="O14" t="inlineStr">
        <is>
          <t>nhịp pháo boss so với hệ thống thật (định nghĩa như 01_chien_dau/Vu_khi_so_sanh_that)</t>
        </is>
      </c>
      <c r="P14" t="inlineStr">
        <is>
          <t>p26_behemoth_tiny_boss_missiles</t>
        </is>
      </c>
      <c r="Q14" t="inlineStr">
        <is>
          <t>Tools/balance/full_weapon_audit.py (bảng REAL) qua input_nhip_that / input_ty_le_nhip</t>
        </is>
      </c>
      <c r="R14" t="inlineStr"/>
    </row>
    <row r="15">
      <c r="A15" t="inlineStr">
        <is>
          <t>behemoth/p26_behemoth_tiny_kornet_twin/nhip</t>
        </is>
      </c>
      <c r="B15" t="inlineStr">
        <is>
          <t>behemoth</t>
        </is>
      </c>
      <c r="C15" t="inlineStr">
        <is>
          <t>khe_mot_nong_mot_vien</t>
        </is>
      </c>
      <c r="D15" t="inlineStr">
        <is>
          <t>s</t>
        </is>
      </c>
      <c r="E15" t="n">
        <v>9.699996429</v>
      </c>
      <c r="F15">
        <f>60/INDEX(boss_input_nhip_that!$B$2:$B$74,MATCH($P$15,boss_input_nhip_that!$A$2:$A$74,0))/IF(INDEX(boss_input_nhip_that!$C$2:$C$74,MATCH($P$15,boss_input_nhip_that!$A$2:$A$74,0))="gun",0.7,1)</f>
        <v/>
      </c>
      <c r="G15">
        <f>$E$15/$F$15</f>
        <v/>
      </c>
      <c r="H15" t="n">
        <v>0.6</v>
      </c>
      <c r="I15" t="n">
        <v>2</v>
      </c>
      <c r="J15" t="b">
        <v>0</v>
      </c>
      <c r="K15" t="inlineStr"/>
      <c r="L15">
        <f>IF(ISNUMBER($H$15),AND(NOT($J$15),OR($G$15&lt;$H$15,$G$15&gt;$I$15)),FALSE)</f>
        <v/>
      </c>
      <c r="M15" t="inlineStr"/>
      <c r="N15" t="inlineStr">
        <is>
          <t>R_balance;R_full_weapon_audit;W_wikipedia_rheinmetall_120_mm_gun;R_machine_brigade_can_bang</t>
        </is>
      </c>
      <c r="O15" t="inlineStr">
        <is>
          <t>nhịp pháo boss so với hệ thống thật (định nghĩa như 01_chien_dau/Vu_khi_so_sanh_that)</t>
        </is>
      </c>
      <c r="P15" t="inlineStr">
        <is>
          <t>p26_behemoth_tiny_kornet_twin</t>
        </is>
      </c>
      <c r="Q15" t="inlineStr">
        <is>
          <t>Tools/balance/full_weapon_audit.py (bảng REAL) qua input_nhip_that / input_ty_le_nhip</t>
        </is>
      </c>
      <c r="R15" t="inlineStr"/>
    </row>
    <row r="16">
      <c r="A16" t="inlineStr">
        <is>
          <t>behemoth_inferno/boss_thermo/nhip</t>
        </is>
      </c>
      <c r="B16" t="inlineStr">
        <is>
          <t>behemoth_inferno</t>
        </is>
      </c>
      <c r="C16" t="inlineStr">
        <is>
          <t>khe_mot_nong_mot_vien</t>
        </is>
      </c>
      <c r="D16" t="inlineStr">
        <is>
          <t>s</t>
        </is>
      </c>
      <c r="E16" t="n">
        <v>6.255</v>
      </c>
      <c r="F16">
        <f>60/INDEX(boss_input_nhip_that!$B$2:$B$74,MATCH($P$16,boss_input_nhip_that!$A$2:$A$74,0))/IF(INDEX(boss_input_nhip_that!$C$2:$C$74,MATCH($P$16,boss_input_nhip_that!$A$2:$A$74,0))="gun",0.7,1)</f>
        <v/>
      </c>
      <c r="G16">
        <f>$E$16/$F$16</f>
        <v/>
      </c>
      <c r="H16" t="n">
        <v>0.6</v>
      </c>
      <c r="I16" t="n">
        <v>2</v>
      </c>
      <c r="J16" t="b">
        <v>0</v>
      </c>
      <c r="K16" t="inlineStr"/>
      <c r="L16">
        <f>IF(ISNUMBER($H$16),AND(NOT($J$16),OR($G$16&lt;$H$16,$G$16&gt;$I$16)),FALSE)</f>
        <v/>
      </c>
      <c r="M16" t="inlineStr">
        <is>
          <t>TC0101</t>
        </is>
      </c>
      <c r="N16" t="inlineStr">
        <is>
          <t>R_balance;R_full_weapon_audit;W_wikipedia_2a46;R_machine_brigade_can_bang</t>
        </is>
      </c>
      <c r="O16" t="inlineStr">
        <is>
          <t>nhịp pháo boss so với hệ thống thật (định nghĩa như 01_chien_dau/Vu_khi_so_sanh_that)</t>
        </is>
      </c>
      <c r="P16" t="inlineStr">
        <is>
          <t>boss_thermo</t>
        </is>
      </c>
      <c r="Q16" t="inlineStr">
        <is>
          <t>Tools/balance/full_weapon_audit.py (bảng REAL) qua input_nhip_that / input_ty_le_nhip</t>
        </is>
      </c>
      <c r="R16" t="inlineStr"/>
    </row>
    <row r="17">
      <c r="A17" t="inlineStr">
        <is>
          <t>behemoth_mk0/p26_behemoth_direct_be120/nhip</t>
        </is>
      </c>
      <c r="B17" t="inlineStr">
        <is>
          <t>behemoth_mk0</t>
        </is>
      </c>
      <c r="C17" t="inlineStr">
        <is>
          <t>khe_mot_nong_mot_vien</t>
        </is>
      </c>
      <c r="D17" t="inlineStr">
        <is>
          <t>s</t>
        </is>
      </c>
      <c r="E17" t="n">
        <v>7.5</v>
      </c>
      <c r="F17">
        <f>60/INDEX(boss_input_nhip_that!$B$2:$B$74,MATCH($P$17,boss_input_nhip_that!$A$2:$A$74,0))/IF(INDEX(boss_input_nhip_that!$C$2:$C$74,MATCH($P$17,boss_input_nhip_that!$A$2:$A$74,0))="gun",0.7,1)</f>
        <v/>
      </c>
      <c r="G17">
        <f>$E$17/$F$17</f>
        <v/>
      </c>
      <c r="H17" t="n">
        <v>0.6</v>
      </c>
      <c r="I17" t="n">
        <v>2</v>
      </c>
      <c r="J17" t="b">
        <v>0</v>
      </c>
      <c r="K17" t="inlineStr"/>
      <c r="L17">
        <f>IF(ISNUMBER($H$17),AND(NOT($J$17),OR($G$17&lt;$H$17,$G$17&gt;$I$17)),FALSE)</f>
        <v/>
      </c>
      <c r="M17" t="inlineStr"/>
      <c r="N17" t="inlineStr">
        <is>
          <t>R_balance;R_full_weapon_audit;W_wikipedia_rheinmetall_120_mm_gun;R_machine_brigade_can_bang</t>
        </is>
      </c>
      <c r="O17" t="inlineStr">
        <is>
          <t>nhịp pháo boss so với hệ thống thật (định nghĩa như 01_chien_dau/Vu_khi_so_sanh_that)</t>
        </is>
      </c>
      <c r="P17" t="inlineStr">
        <is>
          <t>p26_behemoth_direct_be120</t>
        </is>
      </c>
      <c r="Q17" t="inlineStr">
        <is>
          <t>Tools/balance/full_weapon_audit.py (bảng REAL) qua input_nhip_that / input_ty_le_nhip</t>
        </is>
      </c>
      <c r="R17" t="inlineStr"/>
    </row>
    <row r="18">
      <c r="A18" t="inlineStr">
        <is>
          <t>behemoth_mk0/p26_behemoth_main_be152/nhip</t>
        </is>
      </c>
      <c r="B18" t="inlineStr">
        <is>
          <t>behemoth_mk0</t>
        </is>
      </c>
      <c r="C18" t="inlineStr">
        <is>
          <t>khe_mot_nong_mot_vien</t>
        </is>
      </c>
      <c r="D18" t="inlineStr">
        <is>
          <t>s</t>
        </is>
      </c>
      <c r="E18" t="n">
        <v>8.979996429</v>
      </c>
      <c r="F18">
        <f>60/INDEX(boss_input_nhip_that!$B$2:$B$74,MATCH($P$18,boss_input_nhip_that!$A$2:$A$74,0))/IF(INDEX(boss_input_nhip_that!$C$2:$C$74,MATCH($P$18,boss_input_nhip_that!$A$2:$A$74,0))="gun",0.7,1)</f>
        <v/>
      </c>
      <c r="G18">
        <f>$E$18/$F$18</f>
        <v/>
      </c>
      <c r="H18" t="n">
        <v>0.6</v>
      </c>
      <c r="I18" t="n">
        <v>2</v>
      </c>
      <c r="J18" t="b">
        <v>0</v>
      </c>
      <c r="K18" t="inlineStr"/>
      <c r="L18">
        <f>IF(ISNUMBER($H$18),AND(NOT($J$18),OR($G$18&lt;$H$18,$G$18&gt;$I$18)),FALSE)</f>
        <v/>
      </c>
      <c r="M18" t="inlineStr"/>
      <c r="N18" t="inlineStr">
        <is>
          <t>R_balance;R_full_weapon_audit;W_wikipedia_2a65_msta_b</t>
        </is>
      </c>
      <c r="O18" t="inlineStr">
        <is>
          <t>nhịp pháo boss so với hệ thống thật (định nghĩa như 01_chien_dau/Vu_khi_so_sanh_that)</t>
        </is>
      </c>
      <c r="P18" t="inlineStr">
        <is>
          <t>p26_behemoth_main_be152</t>
        </is>
      </c>
      <c r="Q18" t="inlineStr">
        <is>
          <t>Tools/balance/full_weapon_audit.py (bảng REAL) qua input_nhip_that / input_ty_le_nhip</t>
        </is>
      </c>
      <c r="R18" t="inlineStr"/>
    </row>
    <row r="19">
      <c r="A19" t="inlineStr">
        <is>
          <t>behemoth_mk0/p26_behemoth_sec_be_rockets/nhip</t>
        </is>
      </c>
      <c r="B19" t="inlineStr">
        <is>
          <t>behemoth_mk0</t>
        </is>
      </c>
      <c r="C19" t="inlineStr">
        <is>
          <t>khe_mot_nong_mot_vien</t>
        </is>
      </c>
      <c r="D19" t="inlineStr">
        <is>
          <t>s</t>
        </is>
      </c>
      <c r="E19" t="n">
        <v>0.5</v>
      </c>
      <c r="F19">
        <f>60/INDEX(boss_input_nhip_that!$B$2:$B$74,MATCH($P$19,boss_input_nhip_that!$A$2:$A$74,0))/IF(INDEX(boss_input_nhip_that!$C$2:$C$74,MATCH($P$19,boss_input_nhip_that!$A$2:$A$74,0))="gun",0.7,1)</f>
        <v/>
      </c>
      <c r="G19">
        <f>$E$19/$F$19</f>
        <v/>
      </c>
      <c r="H19" t="n">
        <v>0.6</v>
      </c>
      <c r="I19" t="n">
        <v>2</v>
      </c>
      <c r="J19" t="b">
        <v>0</v>
      </c>
      <c r="K19" t="inlineStr"/>
      <c r="L19">
        <f>IF(ISNUMBER($H$19),AND(NOT($J$19),OR($G$19&lt;$H$19,$G$19&gt;$I$19)),FALSE)</f>
        <v/>
      </c>
      <c r="M19" t="inlineStr"/>
      <c r="N19" t="inlineStr">
        <is>
          <t>R_balance;R_full_weapon_audit;W_wikipedia_bm_21_grad</t>
        </is>
      </c>
      <c r="O19" t="inlineStr">
        <is>
          <t>nhịp pháo boss so với hệ thống thật (định nghĩa như 01_chien_dau/Vu_khi_so_sanh_that)</t>
        </is>
      </c>
      <c r="P19" t="inlineStr">
        <is>
          <t>p26_behemoth_sec_be_rockets</t>
        </is>
      </c>
      <c r="Q19" t="inlineStr">
        <is>
          <t>Tools/balance/full_weapon_audit.py (bảng REAL) qua input_nhip_that / input_ty_le_nhip</t>
        </is>
      </c>
      <c r="R19" t="inlineStr"/>
    </row>
    <row r="20">
      <c r="A20" t="inlineStr">
        <is>
          <t>behemoth_mk2/p26_behemoth_close_boss_flak/nhip</t>
        </is>
      </c>
      <c r="B20" t="inlineStr">
        <is>
          <t>behemoth_mk2</t>
        </is>
      </c>
      <c r="C20" t="inlineStr">
        <is>
          <t>khe_mot_nong_mot_vien</t>
        </is>
      </c>
      <c r="D20" t="inlineStr">
        <is>
          <t>s</t>
        </is>
      </c>
      <c r="E20" t="n">
        <v>0.262439018</v>
      </c>
      <c r="F20">
        <f>60/INDEX(boss_input_nhip_that!$B$2:$B$74,MATCH($P$20,boss_input_nhip_that!$A$2:$A$74,0))/IF(INDEX(boss_input_nhip_that!$C$2:$C$74,MATCH($P$20,boss_input_nhip_that!$A$2:$A$74,0))="gun",0.7,1)</f>
        <v/>
      </c>
      <c r="G20">
        <f>$E$20/$F$20</f>
        <v/>
      </c>
      <c r="H20" t="n">
        <v>0.6</v>
      </c>
      <c r="I20" t="n">
        <v>2</v>
      </c>
      <c r="J20" t="b">
        <v>1</v>
      </c>
      <c r="K20" t="inlineStr">
        <is>
          <t>fix_weapon_reasons.json: wave 1 boss_flak: 41 rounds at 1,200 rpm, changed in 3.38 s (twin Oerlikon GDF 2 x 550 rpm)</t>
        </is>
      </c>
      <c r="L20">
        <f>IF(ISNUMBER($H$20),AND(NOT($J$20),OR($G$20&lt;$H$20,$G$20&gt;$I$20)),FALSE)</f>
        <v/>
      </c>
      <c r="M20" t="inlineStr"/>
      <c r="N20" t="inlineStr">
        <is>
          <t>R_balance;R_full_weapon_audit;W_wikipedia_oerlikon_gdf</t>
        </is>
      </c>
      <c r="O20" t="inlineStr">
        <is>
          <t>nhịp pháo boss so với hệ thống thật (định nghĩa như 01_chien_dau/Vu_khi_so_sanh_that)</t>
        </is>
      </c>
      <c r="P20" t="inlineStr">
        <is>
          <t>p26_behemoth_close_boss_flak</t>
        </is>
      </c>
      <c r="Q20" t="inlineStr">
        <is>
          <t>Tools/balance/full_weapon_audit.py (bảng REAL) qua input_nhip_that / input_ty_le_nhip</t>
        </is>
      </c>
      <c r="R20" t="inlineStr"/>
    </row>
    <row r="21">
      <c r="A21" t="inlineStr">
        <is>
          <t>behemoth_mk2/p26_behemoth_main_be152/nhip</t>
        </is>
      </c>
      <c r="B21" t="inlineStr">
        <is>
          <t>behemoth_mk2</t>
        </is>
      </c>
      <c r="C21" t="inlineStr">
        <is>
          <t>khe_mot_nong_mot_vien</t>
        </is>
      </c>
      <c r="D21" t="inlineStr">
        <is>
          <t>s</t>
        </is>
      </c>
      <c r="E21" t="n">
        <v>8.979996429</v>
      </c>
      <c r="F21">
        <f>60/INDEX(boss_input_nhip_that!$B$2:$B$74,MATCH($P$21,boss_input_nhip_that!$A$2:$A$74,0))/IF(INDEX(boss_input_nhip_that!$C$2:$C$74,MATCH($P$21,boss_input_nhip_that!$A$2:$A$74,0))="gun",0.7,1)</f>
        <v/>
      </c>
      <c r="G21">
        <f>$E$21/$F$21</f>
        <v/>
      </c>
      <c r="H21" t="n">
        <v>0.6</v>
      </c>
      <c r="I21" t="n">
        <v>2</v>
      </c>
      <c r="J21" t="b">
        <v>0</v>
      </c>
      <c r="K21" t="inlineStr"/>
      <c r="L21">
        <f>IF(ISNUMBER($H$21),AND(NOT($J$21),OR($G$21&lt;$H$21,$G$21&gt;$I$21)),FALSE)</f>
        <v/>
      </c>
      <c r="M21" t="inlineStr"/>
      <c r="N21" t="inlineStr">
        <is>
          <t>R_balance;R_full_weapon_audit;W_wikipedia_2a65_msta_b</t>
        </is>
      </c>
      <c r="O21" t="inlineStr">
        <is>
          <t>nhịp pháo boss so với hệ thống thật (định nghĩa như 01_chien_dau/Vu_khi_so_sanh_that)</t>
        </is>
      </c>
      <c r="P21" t="inlineStr">
        <is>
          <t>p26_behemoth_main_be152</t>
        </is>
      </c>
      <c r="Q21" t="inlineStr">
        <is>
          <t>Tools/balance/full_weapon_audit.py (bảng REAL) qua input_nhip_that / input_ty_le_nhip</t>
        </is>
      </c>
      <c r="R21" t="inlineStr"/>
    </row>
    <row r="22">
      <c r="A22" t="inlineStr">
        <is>
          <t>coeus/pt14_co_203/nhip</t>
        </is>
      </c>
      <c r="B22" t="inlineStr">
        <is>
          <t>coeus</t>
        </is>
      </c>
      <c r="C22" t="inlineStr">
        <is>
          <t>khe_mot_nong_mot_vien</t>
        </is>
      </c>
      <c r="D22" t="inlineStr">
        <is>
          <t>s</t>
        </is>
      </c>
      <c r="E22" t="n">
        <v>21</v>
      </c>
      <c r="F22">
        <f>60/INDEX(boss_input_nhip_that!$B$2:$B$74,MATCH($P$22,boss_input_nhip_that!$A$2:$A$74,0))/IF(INDEX(boss_input_nhip_that!$C$2:$C$74,MATCH($P$22,boss_input_nhip_that!$A$2:$A$74,0))="gun",0.7,1)</f>
        <v/>
      </c>
      <c r="G22">
        <f>$E$22/$F$22</f>
        <v/>
      </c>
      <c r="H22" t="n">
        <v>0.6</v>
      </c>
      <c r="I22" t="n">
        <v>2</v>
      </c>
      <c r="J22" t="b">
        <v>0</v>
      </c>
      <c r="K22" t="inlineStr"/>
      <c r="L22">
        <f>IF(ISNUMBER($H$22),AND(NOT($J$22),OR($G$22&lt;$H$22,$G$22&gt;$I$22)),FALSE)</f>
        <v/>
      </c>
      <c r="M22" t="inlineStr">
        <is>
          <t>TC0102</t>
        </is>
      </c>
      <c r="N22" t="inlineStr">
        <is>
          <t>R_balance;R_full_weapon_audit;W_wikipedia_8_55_caliber_mark_71</t>
        </is>
      </c>
      <c r="O22" t="inlineStr">
        <is>
          <t>nhịp pháo boss so với hệ thống thật (định nghĩa như 01_chien_dau/Vu_khi_so_sanh_that)</t>
        </is>
      </c>
      <c r="P22" t="inlineStr">
        <is>
          <t>pt14_co_203</t>
        </is>
      </c>
      <c r="Q22" t="inlineStr">
        <is>
          <t>Tools/balance/full_weapon_audit.py (bảng REAL) qua input_nhip_that / input_ty_le_nhip</t>
        </is>
      </c>
      <c r="R22" t="inlineStr"/>
    </row>
    <row r="23">
      <c r="A23" t="inlineStr">
        <is>
          <t>coeus/pt14_co_v76/nhip</t>
        </is>
      </c>
      <c r="B23" t="inlineStr">
        <is>
          <t>coeus</t>
        </is>
      </c>
      <c r="C23" t="inlineStr">
        <is>
          <t>khe_mot_nong_mot_vien</t>
        </is>
      </c>
      <c r="D23" t="inlineStr">
        <is>
          <t>s</t>
        </is>
      </c>
      <c r="E23" t="n">
        <v>2.05</v>
      </c>
      <c r="F23">
        <f>60/INDEX(boss_input_nhip_that!$B$2:$B$74,MATCH($P$23,boss_input_nhip_that!$A$2:$A$74,0))/IF(INDEX(boss_input_nhip_that!$C$2:$C$74,MATCH($P$23,boss_input_nhip_that!$A$2:$A$74,0))="gun",0.7,1)</f>
        <v/>
      </c>
      <c r="G23">
        <f>$E$23/$F$23</f>
        <v/>
      </c>
      <c r="H23" t="n">
        <v>0.6</v>
      </c>
      <c r="I23" t="n">
        <v>2</v>
      </c>
      <c r="J23" t="b">
        <v>0</v>
      </c>
      <c r="K23" t="inlineStr"/>
      <c r="L23">
        <f>IF(ISNUMBER($H$23),AND(NOT($J$23),OR($G$23&lt;$H$23,$G$23&gt;$I$23)),FALSE)</f>
        <v/>
      </c>
      <c r="M23" t="inlineStr">
        <is>
          <t>TC0103</t>
        </is>
      </c>
      <c r="N23" t="inlineStr">
        <is>
          <t>R_balance;R_full_weapon_audit;W_wikipedia_oto_melara_76_mm</t>
        </is>
      </c>
      <c r="O23" t="inlineStr">
        <is>
          <t>nhịp pháo boss so với hệ thống thật (định nghĩa như 01_chien_dau/Vu_khi_so_sanh_that)</t>
        </is>
      </c>
      <c r="P23" t="inlineStr">
        <is>
          <t>pt14_co_v76</t>
        </is>
      </c>
      <c r="Q23" t="inlineStr">
        <is>
          <t>Tools/balance/full_weapon_audit.py (bảng REAL) qua input_nhip_that / input_ty_le_nhip</t>
        </is>
      </c>
      <c r="R23" t="inlineStr"/>
    </row>
    <row r="24">
      <c r="A24" t="inlineStr">
        <is>
          <t>command_airship/p26_roc_close_twin_30_bmpt/nhip</t>
        </is>
      </c>
      <c r="B24" t="inlineStr">
        <is>
          <t>command_airship</t>
        </is>
      </c>
      <c r="C24" t="inlineStr">
        <is>
          <t>khe_mot_nong_mot_vien</t>
        </is>
      </c>
      <c r="D24" t="inlineStr">
        <is>
          <t>s</t>
        </is>
      </c>
      <c r="E24" t="n">
        <v>0.3943833</v>
      </c>
      <c r="F24">
        <f>60/INDEX(boss_input_nhip_that!$B$2:$B$74,MATCH($P$24,boss_input_nhip_that!$A$2:$A$74,0))/IF(INDEX(boss_input_nhip_that!$C$2:$C$74,MATCH($P$24,boss_input_nhip_that!$A$2:$A$74,0))="gun",0.7,1)</f>
        <v/>
      </c>
      <c r="G24">
        <f>$E$24/$F$24</f>
        <v/>
      </c>
      <c r="H24" t="n">
        <v>0.6</v>
      </c>
      <c r="I24" t="n">
        <v>2</v>
      </c>
      <c r="J24" t="b">
        <v>1</v>
      </c>
      <c r="K24" t="inlineStr">
        <is>
          <t>fix_weapon_reasons.json: wave 1 twin_30_bmpt: 12 rounds at 720 rpm, 1.45 s after (wave 1's 1.5 s is a hair over 2 x the practical rate)</t>
        </is>
      </c>
      <c r="L24">
        <f>IF(ISNUMBER($H$24),AND(NOT($J$24),OR($G$24&lt;$H$24,$G$24&gt;$I$24)),FALSE)</f>
        <v/>
      </c>
      <c r="M24" t="inlineStr"/>
      <c r="N24" t="inlineStr">
        <is>
          <t>R_balance;R_full_weapon_audit;W_wikipedia_2a42</t>
        </is>
      </c>
      <c r="O24" t="inlineStr">
        <is>
          <t>nhịp pháo boss so với hệ thống thật (định nghĩa như 01_chien_dau/Vu_khi_so_sanh_that)</t>
        </is>
      </c>
      <c r="P24" t="inlineStr">
        <is>
          <t>p26_roc_close_twin_30_bmpt</t>
        </is>
      </c>
      <c r="Q24" t="inlineStr">
        <is>
          <t>Tools/balance/full_weapon_audit.py (bảng REAL) qua input_nhip_that / input_ty_le_nhip</t>
        </is>
      </c>
      <c r="R24" t="inlineStr"/>
    </row>
    <row r="25">
      <c r="A25" t="inlineStr">
        <is>
          <t>command_airship/p26_roc_direct_roc_atgm/nhip</t>
        </is>
      </c>
      <c r="B25" t="inlineStr">
        <is>
          <t>command_airship</t>
        </is>
      </c>
      <c r="C25" t="inlineStr">
        <is>
          <t>khe_mot_nong_mot_vien</t>
        </is>
      </c>
      <c r="D25" t="inlineStr">
        <is>
          <t>s</t>
        </is>
      </c>
      <c r="E25" t="n">
        <v>20</v>
      </c>
      <c r="F25">
        <f>60/INDEX(boss_input_nhip_that!$B$2:$B$74,MATCH($P$25,boss_input_nhip_that!$A$2:$A$74,0))/IF(INDEX(boss_input_nhip_that!$C$2:$C$74,MATCH($P$25,boss_input_nhip_that!$A$2:$A$74,0))="gun",0.7,1)</f>
        <v/>
      </c>
      <c r="G25">
        <f>$E$25/$F$25</f>
        <v/>
      </c>
      <c r="H25" t="n">
        <v>0.6</v>
      </c>
      <c r="I25" t="n">
        <v>2</v>
      </c>
      <c r="J25" t="b">
        <v>0</v>
      </c>
      <c r="K25" t="inlineStr"/>
      <c r="L25">
        <f>IF(ISNUMBER($H$25),AND(NOT($J$25),OR($G$25&lt;$H$25,$G$25&gt;$I$25)),FALSE)</f>
        <v/>
      </c>
      <c r="M25" t="inlineStr"/>
      <c r="N25" t="inlineStr">
        <is>
          <t>R_balance;R_full_weapon_audit;W_wikipedia_9m133_kornet</t>
        </is>
      </c>
      <c r="O25" t="inlineStr">
        <is>
          <t>nhịp pháo boss so với hệ thống thật (định nghĩa như 01_chien_dau/Vu_khi_so_sanh_that)</t>
        </is>
      </c>
      <c r="P25" t="inlineStr">
        <is>
          <t>p26_roc_direct_roc_atgm</t>
        </is>
      </c>
      <c r="Q25" t="inlineStr">
        <is>
          <t>Tools/balance/full_weapon_audit.py (bảng REAL) qua input_nhip_that / input_ty_le_nhip</t>
        </is>
      </c>
      <c r="R25" t="inlineStr"/>
    </row>
    <row r="26">
      <c r="A26" t="inlineStr">
        <is>
          <t>command_airship/p26_roc_main_roc_bombs/nhip</t>
        </is>
      </c>
      <c r="B26" t="inlineStr">
        <is>
          <t>command_airship</t>
        </is>
      </c>
      <c r="C26" t="inlineStr">
        <is>
          <t>khe_mot_nong_mot_vien</t>
        </is>
      </c>
      <c r="D26" t="inlineStr">
        <is>
          <t>s</t>
        </is>
      </c>
      <c r="E26" t="n">
        <v>0.3</v>
      </c>
      <c r="F26">
        <f>60/INDEX(boss_input_nhip_that!$B$2:$B$74,MATCH($P$26,boss_input_nhip_that!$A$2:$A$74,0))/IF(INDEX(boss_input_nhip_that!$C$2:$C$74,MATCH($P$26,boss_input_nhip_that!$A$2:$A$74,0))="gun",0.7,1)</f>
        <v/>
      </c>
      <c r="G26">
        <f>$E$26/$F$26</f>
        <v/>
      </c>
      <c r="H26" t="n">
        <v>0.6</v>
      </c>
      <c r="I26" t="n">
        <v>2</v>
      </c>
      <c r="J26" t="b">
        <v>1</v>
      </c>
      <c r="K26" t="inlineStr">
        <is>
          <t>fix_weapon_reasons.json: a 400 kg bomb stick from an airship's bay: no real rate for the bay's reload; the 35.4 s cycle kept</t>
        </is>
      </c>
      <c r="L26">
        <f>IF(ISNUMBER($H$26),AND(NOT($J$26),OR($G$26&lt;$H$26,$G$26&gt;$I$26)),FALSE)</f>
        <v/>
      </c>
      <c r="M26" t="inlineStr"/>
      <c r="N26" t="inlineStr">
        <is>
          <t>R_balance;R_full_weapon_audit</t>
        </is>
      </c>
      <c r="O26" t="inlineStr">
        <is>
          <t>nhịp pháo boss so với hệ thống thật (định nghĩa như 01_chien_dau/Vu_khi_so_sanh_that)</t>
        </is>
      </c>
      <c r="P26" t="inlineStr">
        <is>
          <t>p26_roc_main_roc_bombs</t>
        </is>
      </c>
      <c r="Q26" t="inlineStr">
        <is>
          <t>Tools/balance/full_weapon_audit.py (bảng REAL) qua input_nhip_that / input_ty_le_nhip</t>
        </is>
      </c>
      <c r="R26" t="inlineStr"/>
    </row>
    <row r="27">
      <c r="A27" t="inlineStr">
        <is>
          <t>command_airship/p26_roc_roc105/nhip</t>
        </is>
      </c>
      <c r="B27" t="inlineStr">
        <is>
          <t>command_airship</t>
        </is>
      </c>
      <c r="C27" t="inlineStr">
        <is>
          <t>khe_mot_nong_mot_vien</t>
        </is>
      </c>
      <c r="D27" t="inlineStr">
        <is>
          <t>s</t>
        </is>
      </c>
      <c r="E27" t="n">
        <v>6</v>
      </c>
      <c r="F27">
        <f>60/INDEX(boss_input_nhip_that!$B$2:$B$74,MATCH($P$27,boss_input_nhip_that!$A$2:$A$74,0))/IF(INDEX(boss_input_nhip_that!$C$2:$C$74,MATCH($P$27,boss_input_nhip_that!$A$2:$A$74,0))="gun",0.7,1)</f>
        <v/>
      </c>
      <c r="G27">
        <f>$E$27/$F$27</f>
        <v/>
      </c>
      <c r="H27" t="n">
        <v>0.6</v>
      </c>
      <c r="I27" t="n">
        <v>2</v>
      </c>
      <c r="J27" t="b">
        <v>0</v>
      </c>
      <c r="K27" t="inlineStr"/>
      <c r="L27">
        <f>IF(ISNUMBER($H$27),AND(NOT($J$27),OR($G$27&lt;$H$27,$G$27&gt;$I$27)),FALSE)</f>
        <v/>
      </c>
      <c r="M27" t="inlineStr"/>
      <c r="N27" t="inlineStr">
        <is>
          <t>R_balance;R_full_weapon_audit;W_wikipedia_m102_howitzer;R_machine_brigade_can_bang</t>
        </is>
      </c>
      <c r="O27" t="inlineStr">
        <is>
          <t>nhịp pháo boss so với hệ thống thật (định nghĩa như 01_chien_dau/Vu_khi_so_sanh_that)</t>
        </is>
      </c>
      <c r="P27" t="inlineStr">
        <is>
          <t>p26_roc_roc105</t>
        </is>
      </c>
      <c r="Q27" t="inlineStr">
        <is>
          <t>Tools/balance/full_weapon_audit.py (bảng REAL) qua input_nhip_that / input_ty_le_nhip</t>
        </is>
      </c>
      <c r="R27" t="inlineStr"/>
    </row>
    <row r="28">
      <c r="A28" t="inlineStr">
        <is>
          <t>daedalus/pt14_dd_v25/nhip</t>
        </is>
      </c>
      <c r="B28" t="inlineStr">
        <is>
          <t>daedalus</t>
        </is>
      </c>
      <c r="C28" t="inlineStr">
        <is>
          <t>khe_mot_nong_mot_vien</t>
        </is>
      </c>
      <c r="D28" t="inlineStr">
        <is>
          <t>s</t>
        </is>
      </c>
      <c r="E28" t="n">
        <v>0.203571429</v>
      </c>
      <c r="F28">
        <f>60/INDEX(boss_input_nhip_that!$B$2:$B$74,MATCH($P$28,boss_input_nhip_that!$A$2:$A$74,0))/IF(INDEX(boss_input_nhip_that!$C$2:$C$74,MATCH($P$28,boss_input_nhip_that!$A$2:$A$74,0))="gun",0.7,1)</f>
        <v/>
      </c>
      <c r="G28">
        <f>$E$28/$F$28</f>
        <v/>
      </c>
      <c r="H28" t="n">
        <v>0.6</v>
      </c>
      <c r="I28" t="n">
        <v>2</v>
      </c>
      <c r="J28" t="b">
        <v>1</v>
      </c>
      <c r="K28" t="inlineStr">
        <is>
          <t>bản kiểm L1 (Tools/balance/full_weapon_audit.py) không cờ nhịp này: súng máy, pháo tự động, cao xạ so khe chậm với nhịp thực tế; rốc-két, bom và đồ treo máy bay chỉ so khoảng trong loạt</t>
        </is>
      </c>
      <c r="L28">
        <f>IF(ISNUMBER($H$28),AND(NOT($J$28),OR($G$28&lt;$H$28,$G$28&gt;$I$28)),FALSE)</f>
        <v/>
      </c>
      <c r="M28" t="inlineStr"/>
      <c r="N28" t="inlineStr">
        <is>
          <t>R_balance;R_full_weapon_audit;W_wikipedia_gau_12_equalizer</t>
        </is>
      </c>
      <c r="O28" t="inlineStr">
        <is>
          <t>nhịp pháo boss so với hệ thống thật (định nghĩa như 01_chien_dau/Vu_khi_so_sanh_that)</t>
        </is>
      </c>
      <c r="P28" t="inlineStr">
        <is>
          <t>pt14_dd_v25</t>
        </is>
      </c>
      <c r="Q28" t="inlineStr">
        <is>
          <t>Tools/balance/full_weapon_audit.py (bảng REAL) qua input_nhip_that / input_ty_le_nhip</t>
        </is>
      </c>
      <c r="R28" t="inlineStr"/>
    </row>
    <row r="29">
      <c r="A29" t="inlineStr">
        <is>
          <t>daedalus/pt14_dd_v57/nhip</t>
        </is>
      </c>
      <c r="B29" t="inlineStr">
        <is>
          <t>daedalus</t>
        </is>
      </c>
      <c r="C29" t="inlineStr">
        <is>
          <t>khe_mot_nong_mot_vien</t>
        </is>
      </c>
      <c r="D29" t="inlineStr">
        <is>
          <t>s</t>
        </is>
      </c>
      <c r="E29" t="n">
        <v>1.0725</v>
      </c>
      <c r="F29">
        <f>60/INDEX(boss_input_nhip_that!$B$2:$B$74,MATCH($P$29,boss_input_nhip_that!$A$2:$A$74,0))/IF(INDEX(boss_input_nhip_that!$C$2:$C$74,MATCH($P$29,boss_input_nhip_that!$A$2:$A$74,0))="gun",0.7,1)</f>
        <v/>
      </c>
      <c r="G29">
        <f>$E$29/$F$29</f>
        <v/>
      </c>
      <c r="H29" t="n">
        <v>0.6</v>
      </c>
      <c r="I29" t="n">
        <v>2</v>
      </c>
      <c r="J29" t="b">
        <v>1</v>
      </c>
      <c r="K29" t="inlineStr">
        <is>
          <t>bản kiểm L1 (Tools/balance/full_weapon_audit.py) không cờ nhịp này: súng máy, pháo tự động, cao xạ so khe chậm với nhịp thực tế; rốc-két, bom và đồ treo máy bay chỉ so khoảng trong loạt</t>
        </is>
      </c>
      <c r="L29">
        <f>IF(ISNUMBER($H$29),AND(NOT($J$29),OR($G$29&lt;$H$29,$G$29&gt;$I$29)),FALSE)</f>
        <v/>
      </c>
      <c r="M29" t="inlineStr"/>
      <c r="N29" t="inlineStr">
        <is>
          <t>R_balance;R_full_weapon_audit;W_wikipedia_au_220m</t>
        </is>
      </c>
      <c r="O29" t="inlineStr">
        <is>
          <t>nhịp pháo boss so với hệ thống thật (định nghĩa như 01_chien_dau/Vu_khi_so_sanh_that)</t>
        </is>
      </c>
      <c r="P29" t="inlineStr">
        <is>
          <t>pt14_dd_v57</t>
        </is>
      </c>
      <c r="Q29" t="inlineStr">
        <is>
          <t>Tools/balance/full_weapon_audit.py (bảng REAL) qua input_nhip_that / input_ty_le_nhip</t>
        </is>
      </c>
      <c r="R29" t="inlineStr"/>
    </row>
    <row r="30">
      <c r="A30" t="inlineStr">
        <is>
          <t>drone_mothership/p26_matriarch_close_boss_flak/nhip</t>
        </is>
      </c>
      <c r="B30" t="inlineStr">
        <is>
          <t>drone_mothership</t>
        </is>
      </c>
      <c r="C30" t="inlineStr">
        <is>
          <t>khe_mot_nong_mot_vien</t>
        </is>
      </c>
      <c r="D30" t="inlineStr">
        <is>
          <t>s</t>
        </is>
      </c>
      <c r="E30" t="n">
        <v>0.262439018</v>
      </c>
      <c r="F30">
        <f>60/INDEX(boss_input_nhip_that!$B$2:$B$74,MATCH($P$30,boss_input_nhip_that!$A$2:$A$74,0))/IF(INDEX(boss_input_nhip_that!$C$2:$C$74,MATCH($P$30,boss_input_nhip_that!$A$2:$A$74,0))="gun",0.7,1)</f>
        <v/>
      </c>
      <c r="G30">
        <f>$E$30/$F$30</f>
        <v/>
      </c>
      <c r="H30" t="n">
        <v>0.6</v>
      </c>
      <c r="I30" t="n">
        <v>2</v>
      </c>
      <c r="J30" t="b">
        <v>1</v>
      </c>
      <c r="K30" t="inlineStr">
        <is>
          <t>fix_weapon_reasons.json: wave 1 boss_flak: 41 rounds at 1,200 rpm, changed in 3.38 s (twin Oerlikon GDF 2 x 550 rpm)</t>
        </is>
      </c>
      <c r="L30">
        <f>IF(ISNUMBER($H$30),AND(NOT($J$30),OR($G$30&lt;$H$30,$G$30&gt;$I$30)),FALSE)</f>
        <v/>
      </c>
      <c r="M30" t="inlineStr"/>
      <c r="N30" t="inlineStr">
        <is>
          <t>R_balance;R_full_weapon_audit;W_wikipedia_oerlikon_gdf</t>
        </is>
      </c>
      <c r="O30" t="inlineStr">
        <is>
          <t>nhịp pháo boss so với hệ thống thật (định nghĩa như 01_chien_dau/Vu_khi_so_sanh_that)</t>
        </is>
      </c>
      <c r="P30" t="inlineStr">
        <is>
          <t>p26_matriarch_close_boss_flak</t>
        </is>
      </c>
      <c r="Q30" t="inlineStr">
        <is>
          <t>Tools/balance/full_weapon_audit.py (bảng REAL) qua input_nhip_that / input_ty_le_nhip</t>
        </is>
      </c>
      <c r="R30" t="inlineStr"/>
    </row>
    <row r="31">
      <c r="A31" t="inlineStr">
        <is>
          <t>drone_mothership/p26_matriarch_direct_ma_atgm/nhip</t>
        </is>
      </c>
      <c r="B31" t="inlineStr">
        <is>
          <t>drone_mothership</t>
        </is>
      </c>
      <c r="C31" t="inlineStr">
        <is>
          <t>khe_mot_nong_mot_vien</t>
        </is>
      </c>
      <c r="D31" t="inlineStr">
        <is>
          <t>s</t>
        </is>
      </c>
      <c r="E31" t="n">
        <v>20</v>
      </c>
      <c r="F31">
        <f>60/INDEX(boss_input_nhip_that!$B$2:$B$74,MATCH($P$31,boss_input_nhip_that!$A$2:$A$74,0))/IF(INDEX(boss_input_nhip_that!$C$2:$C$74,MATCH($P$31,boss_input_nhip_that!$A$2:$A$74,0))="gun",0.7,1)</f>
        <v/>
      </c>
      <c r="G31">
        <f>$E$31/$F$31</f>
        <v/>
      </c>
      <c r="H31" t="n">
        <v>0.6</v>
      </c>
      <c r="I31" t="n">
        <v>2</v>
      </c>
      <c r="J31" t="b">
        <v>0</v>
      </c>
      <c r="K31" t="inlineStr"/>
      <c r="L31">
        <f>IF(ISNUMBER($H$31),AND(NOT($J$31),OR($G$31&lt;$H$31,$G$31&gt;$I$31)),FALSE)</f>
        <v/>
      </c>
      <c r="M31" t="inlineStr"/>
      <c r="N31" t="inlineStr">
        <is>
          <t>R_balance;R_full_weapon_audit;W_wikipedia_9m133_kornet;W_wikipedia_bai_cua_tung_ten_lua_bang_warhead</t>
        </is>
      </c>
      <c r="O31" t="inlineStr">
        <is>
          <t>nhịp pháo boss so với hệ thống thật (định nghĩa như 01_chien_dau/Vu_khi_so_sanh_that)</t>
        </is>
      </c>
      <c r="P31" t="inlineStr">
        <is>
          <t>p26_matriarch_direct_ma_atgm</t>
        </is>
      </c>
      <c r="Q31" t="inlineStr">
        <is>
          <t>Tools/balance/full_weapon_audit.py (bảng REAL) qua input_nhip_that / input_ty_le_nhip</t>
        </is>
      </c>
      <c r="R31" t="inlineStr"/>
    </row>
    <row r="32">
      <c r="A32" t="inlineStr">
        <is>
          <t>drone_mothership/p26_matriarch_sec_autocannon_30/nhip</t>
        </is>
      </c>
      <c r="B32" t="inlineStr">
        <is>
          <t>drone_mothership</t>
        </is>
      </c>
      <c r="C32" t="inlineStr">
        <is>
          <t>khe_mot_nong_mot_vien</t>
        </is>
      </c>
      <c r="D32" t="inlineStr">
        <is>
          <t>s</t>
        </is>
      </c>
      <c r="E32" t="n">
        <v>0.24999</v>
      </c>
      <c r="F32">
        <f>60/INDEX(boss_input_nhip_that!$B$2:$B$74,MATCH($P$32,boss_input_nhip_that!$A$2:$A$74,0))/IF(INDEX(boss_input_nhip_that!$C$2:$C$74,MATCH($P$32,boss_input_nhip_that!$A$2:$A$74,0))="gun",0.7,1)</f>
        <v/>
      </c>
      <c r="G32">
        <f>$E$32/$F$32</f>
        <v/>
      </c>
      <c r="H32" t="n">
        <v>0.6</v>
      </c>
      <c r="I32" t="n">
        <v>2</v>
      </c>
      <c r="J32" t="b">
        <v>1</v>
      </c>
      <c r="K32" t="inlineStr">
        <is>
          <t>fix_weapon_reasons.json: wave 1 autocannon_30: 10 rounds at 540 rpm every 2.5 s (2A42 550-800 rpm)</t>
        </is>
      </c>
      <c r="L32">
        <f>IF(ISNUMBER($H$32),AND(NOT($J$32),OR($G$32&lt;$H$32,$G$32&gt;$I$32)),FALSE)</f>
        <v/>
      </c>
      <c r="M32" t="inlineStr"/>
      <c r="N32" t="inlineStr">
        <is>
          <t>R_balance;R_full_weapon_audit;W_wikipedia_2a42</t>
        </is>
      </c>
      <c r="O32" t="inlineStr">
        <is>
          <t>nhịp pháo boss so với hệ thống thật (định nghĩa như 01_chien_dau/Vu_khi_so_sanh_that)</t>
        </is>
      </c>
      <c r="P32" t="inlineStr">
        <is>
          <t>p26_matriarch_sec_autocannon_30</t>
        </is>
      </c>
      <c r="Q32" t="inlineStr">
        <is>
          <t>Tools/balance/full_weapon_audit.py (bảng REAL) qua input_nhip_that / input_ty_le_nhip</t>
        </is>
      </c>
      <c r="R32" t="inlineStr"/>
    </row>
    <row r="33">
      <c r="A33" t="inlineStr">
        <is>
          <t>drone_mothership/p26_matriarch_tiny_mothership_cannon/nhip</t>
        </is>
      </c>
      <c r="B33" t="inlineStr">
        <is>
          <t>drone_mothership</t>
        </is>
      </c>
      <c r="C33" t="inlineStr">
        <is>
          <t>khe_mot_nong_mot_vien</t>
        </is>
      </c>
      <c r="D33" t="inlineStr">
        <is>
          <t>s</t>
        </is>
      </c>
      <c r="E33" t="n">
        <v>1.0725</v>
      </c>
      <c r="F33">
        <f>60/INDEX(boss_input_nhip_that!$B$2:$B$74,MATCH($P$33,boss_input_nhip_that!$A$2:$A$74,0))/IF(INDEX(boss_input_nhip_that!$C$2:$C$74,MATCH($P$33,boss_input_nhip_that!$A$2:$A$74,0))="gun",0.7,1)</f>
        <v/>
      </c>
      <c r="G33">
        <f>$E$33/$F$33</f>
        <v/>
      </c>
      <c r="H33" t="n">
        <v>0.6</v>
      </c>
      <c r="I33" t="n">
        <v>2</v>
      </c>
      <c r="J33" t="b">
        <v>1</v>
      </c>
      <c r="K33" t="inlineStr">
        <is>
          <t>fix_weapon_reasons.json: wave 1 mothership_cannon: 4 rounds 0.5 s apart every 4.29 s (AU-220M 120 rpm); made up: a twin 57 mm deck mount (as the real AK-725 twin 57 mm); made up: a twin 57 mm belly mount (as the real AK-725 twin 57 mm)</t>
        </is>
      </c>
      <c r="L33">
        <f>IF(ISNUMBER($H$33),AND(NOT($J$33),OR($G$33&lt;$H$33,$G$33&gt;$I$33)),FALSE)</f>
        <v/>
      </c>
      <c r="M33" t="inlineStr"/>
      <c r="N33" t="inlineStr">
        <is>
          <t>R_balance;R_full_weapon_audit;W_wikipedia_au_220m</t>
        </is>
      </c>
      <c r="O33" t="inlineStr">
        <is>
          <t>nhịp pháo boss so với hệ thống thật (định nghĩa như 01_chien_dau/Vu_khi_so_sanh_that)</t>
        </is>
      </c>
      <c r="P33" t="inlineStr">
        <is>
          <t>p26_matriarch_tiny_mothership_cannon</t>
        </is>
      </c>
      <c r="Q33" t="inlineStr">
        <is>
          <t>Tools/balance/full_weapon_audit.py (bảng REAL) qua input_nhip_that / input_ty_le_nhip</t>
        </is>
      </c>
      <c r="R33" t="inlineStr"/>
    </row>
    <row r="34">
      <c r="A34" t="inlineStr">
        <is>
          <t>earth_borer/borer_cannon/nhip</t>
        </is>
      </c>
      <c r="B34" t="inlineStr">
        <is>
          <t>earth_borer</t>
        </is>
      </c>
      <c r="C34" t="inlineStr">
        <is>
          <t>khe_mot_nong_mot_vien</t>
        </is>
      </c>
      <c r="D34" t="inlineStr">
        <is>
          <t>s</t>
        </is>
      </c>
      <c r="E34" t="n">
        <v>6</v>
      </c>
      <c r="F34">
        <f>60/INDEX(boss_input_nhip_that!$B$2:$B$74,MATCH($P$34,boss_input_nhip_that!$A$2:$A$74,0))/IF(INDEX(boss_input_nhip_that!$C$2:$C$74,MATCH($P$34,boss_input_nhip_that!$A$2:$A$74,0))="gun",0.7,1)</f>
        <v/>
      </c>
      <c r="G34">
        <f>$E$34/$F$34</f>
        <v/>
      </c>
      <c r="H34" t="n">
        <v>0.6</v>
      </c>
      <c r="I34" t="n">
        <v>2</v>
      </c>
      <c r="J34" t="b">
        <v>0</v>
      </c>
      <c r="K34" t="inlineStr"/>
      <c r="L34">
        <f>IF(ISNUMBER($H$34),AND(NOT($J$34),OR($G$34&lt;$H$34,$G$34&gt;$I$34)),FALSE)</f>
        <v/>
      </c>
      <c r="M34" t="inlineStr"/>
      <c r="N34" t="inlineStr">
        <is>
          <t>R_balance;R_full_weapon_audit;W_wikipedia_2a70</t>
        </is>
      </c>
      <c r="O34" t="inlineStr">
        <is>
          <t>nhịp pháo boss so với hệ thống thật (định nghĩa như 01_chien_dau/Vu_khi_so_sanh_that)</t>
        </is>
      </c>
      <c r="P34" t="inlineStr">
        <is>
          <t>borer_cannon</t>
        </is>
      </c>
      <c r="Q34" t="inlineStr">
        <is>
          <t>Tools/balance/full_weapon_audit.py (bảng REAL) qua input_nhip_that / input_ty_le_nhip</t>
        </is>
      </c>
      <c r="R34" t="inlineStr"/>
    </row>
    <row r="35">
      <c r="A35" t="inlineStr">
        <is>
          <t>fenrir/p26_jotunn_close_boss_flak/nhip</t>
        </is>
      </c>
      <c r="B35" t="inlineStr">
        <is>
          <t>fenrir</t>
        </is>
      </c>
      <c r="C35" t="inlineStr">
        <is>
          <t>khe_mot_nong_mot_vien</t>
        </is>
      </c>
      <c r="D35" t="inlineStr">
        <is>
          <t>s</t>
        </is>
      </c>
      <c r="E35" t="n">
        <v>0.262439018</v>
      </c>
      <c r="F35">
        <f>60/INDEX(boss_input_nhip_that!$B$2:$B$74,MATCH($P$35,boss_input_nhip_that!$A$2:$A$74,0))/IF(INDEX(boss_input_nhip_that!$C$2:$C$74,MATCH($P$35,boss_input_nhip_that!$A$2:$A$74,0))="gun",0.7,1)</f>
        <v/>
      </c>
      <c r="G35">
        <f>$E$35/$F$35</f>
        <v/>
      </c>
      <c r="H35" t="n">
        <v>0.6</v>
      </c>
      <c r="I35" t="n">
        <v>2</v>
      </c>
      <c r="J35" t="b">
        <v>1</v>
      </c>
      <c r="K35" t="inlineStr">
        <is>
          <t>fix_weapon_reasons.json: wave 1 boss_flak: 41 rounds at 1,200 rpm, changed in 3.38 s (twin Oerlikon GDF 2 x 550 rpm)</t>
        </is>
      </c>
      <c r="L35">
        <f>IF(ISNUMBER($H$35),AND(NOT($J$35),OR($G$35&lt;$H$35,$G$35&gt;$I$35)),FALSE)</f>
        <v/>
      </c>
      <c r="M35" t="inlineStr"/>
      <c r="N35" t="inlineStr">
        <is>
          <t>R_balance;R_full_weapon_audit;W_wikipedia_oerlikon_gdf</t>
        </is>
      </c>
      <c r="O35" t="inlineStr">
        <is>
          <t>nhịp pháo boss so với hệ thống thật (định nghĩa như 01_chien_dau/Vu_khi_so_sanh_that)</t>
        </is>
      </c>
      <c r="P35" t="inlineStr">
        <is>
          <t>p26_jotunn_close_boss_flak</t>
        </is>
      </c>
      <c r="Q35" t="inlineStr">
        <is>
          <t>Tools/balance/full_weapon_audit.py (bảng REAL) qua input_nhip_that / input_ty_le_nhip</t>
        </is>
      </c>
      <c r="R35" t="inlineStr"/>
    </row>
    <row r="36">
      <c r="A36" t="inlineStr">
        <is>
          <t>fenrir/p26_jotunn_sec_jo_rockets/nhip</t>
        </is>
      </c>
      <c r="B36" t="inlineStr">
        <is>
          <t>fenrir</t>
        </is>
      </c>
      <c r="C36" t="inlineStr">
        <is>
          <t>khe_mot_nong_mot_vien</t>
        </is>
      </c>
      <c r="D36" t="inlineStr">
        <is>
          <t>s</t>
        </is>
      </c>
      <c r="E36" t="n">
        <v>3.169998947</v>
      </c>
      <c r="F36">
        <f>60/INDEX(boss_input_nhip_that!$B$2:$B$74,MATCH($P$36,boss_input_nhip_that!$A$2:$A$74,0))/IF(INDEX(boss_input_nhip_that!$C$2:$C$74,MATCH($P$36,boss_input_nhip_that!$A$2:$A$74,0))="gun",0.7,1)</f>
        <v/>
      </c>
      <c r="G36">
        <f>$E$36/$F$36</f>
        <v/>
      </c>
      <c r="H36" t="n">
        <v>0.6</v>
      </c>
      <c r="I36" t="n">
        <v>2</v>
      </c>
      <c r="J36" t="b">
        <v>0</v>
      </c>
      <c r="K36" t="inlineStr"/>
      <c r="L36">
        <f>IF(ISNUMBER($H$36),AND(NOT($J$36),OR($G$36&lt;$H$36,$G$36&gt;$I$36)),FALSE)</f>
        <v/>
      </c>
      <c r="M36" t="inlineStr"/>
      <c r="N36" t="inlineStr">
        <is>
          <t>R_balance;R_full_weapon_audit;W_wikipedia_bm_30_smerch</t>
        </is>
      </c>
      <c r="O36" t="inlineStr">
        <is>
          <t>nhịp pháo boss so với hệ thống thật (định nghĩa như 01_chien_dau/Vu_khi_so_sanh_that)</t>
        </is>
      </c>
      <c r="P36" t="inlineStr">
        <is>
          <t>p26_jotunn_sec_jo_rockets</t>
        </is>
      </c>
      <c r="Q36" t="inlineStr">
        <is>
          <t>Tools/balance/full_weapon_audit.py (bảng REAL) qua input_nhip_that / input_ty_le_nhip</t>
        </is>
      </c>
      <c r="R36" t="inlineStr"/>
    </row>
    <row r="37">
      <c r="A37" t="inlineStr">
        <is>
          <t>fortress_bastion/p26_bastion_close_boss_hmg/nhip</t>
        </is>
      </c>
      <c r="B37" t="inlineStr">
        <is>
          <t>fortress_bastion</t>
        </is>
      </c>
      <c r="C37" t="inlineStr">
        <is>
          <t>khe_mot_nong_mot_vien</t>
        </is>
      </c>
      <c r="D37" t="inlineStr">
        <is>
          <t>s</t>
        </is>
      </c>
      <c r="E37" t="n">
        <v>0.132467025</v>
      </c>
      <c r="F37">
        <f>60/INDEX(boss_input_nhip_that!$B$2:$B$74,MATCH($P$37,boss_input_nhip_that!$A$2:$A$74,0))/IF(INDEX(boss_input_nhip_that!$C$2:$C$74,MATCH($P$37,boss_input_nhip_that!$A$2:$A$74,0))="gun",0.7,1)</f>
        <v/>
      </c>
      <c r="G37">
        <f>$E$37/$F$37</f>
        <v/>
      </c>
      <c r="H37" t="n">
        <v>0.6</v>
      </c>
      <c r="I37" t="n">
        <v>2</v>
      </c>
      <c r="J37" t="b">
        <v>0</v>
      </c>
      <c r="K37" t="inlineStr"/>
      <c r="L37">
        <f>IF(ISNUMBER($H$37),AND(NOT($J$37),OR($G$37&lt;$H$37,$G$37&gt;$I$37)),FALSE)</f>
        <v/>
      </c>
      <c r="M37" t="inlineStr"/>
      <c r="N37" t="inlineStr">
        <is>
          <t>R_balance;R_full_weapon_audit;W_wikipedia_nsv_machine_gun</t>
        </is>
      </c>
      <c r="O37" t="inlineStr">
        <is>
          <t>nhịp pháo boss so với hệ thống thật (định nghĩa như 01_chien_dau/Vu_khi_so_sanh_that)</t>
        </is>
      </c>
      <c r="P37" t="inlineStr">
        <is>
          <t>p26_bastion_close_boss_hmg</t>
        </is>
      </c>
      <c r="Q37" t="inlineStr">
        <is>
          <t>Tools/balance/full_weapon_audit.py (bảng REAL) qua input_nhip_that / input_ty_le_nhip</t>
        </is>
      </c>
      <c r="R37" t="inlineStr"/>
    </row>
    <row r="38">
      <c r="A38" t="inlineStr">
        <is>
          <t>fortress_bastion/p26_bastion_direct_b100/nhip</t>
        </is>
      </c>
      <c r="B38" t="inlineStr">
        <is>
          <t>fortress_bastion</t>
        </is>
      </c>
      <c r="C38" t="inlineStr">
        <is>
          <t>khe_mot_nong_mot_vien</t>
        </is>
      </c>
      <c r="D38" t="inlineStr">
        <is>
          <t>s</t>
        </is>
      </c>
      <c r="E38" t="n">
        <v>8.599995917999999</v>
      </c>
      <c r="F38">
        <f>60/INDEX(boss_input_nhip_that!$B$2:$B$74,MATCH($P$38,boss_input_nhip_that!$A$2:$A$74,0))/IF(INDEX(boss_input_nhip_that!$C$2:$C$74,MATCH($P$38,boss_input_nhip_that!$A$2:$A$74,0))="gun",0.7,1)</f>
        <v/>
      </c>
      <c r="G38">
        <f>$E$38/$F$38</f>
        <v/>
      </c>
      <c r="H38" t="n">
        <v>0.6</v>
      </c>
      <c r="I38" t="n">
        <v>2</v>
      </c>
      <c r="J38" t="b">
        <v>0</v>
      </c>
      <c r="K38" t="inlineStr"/>
      <c r="L38">
        <f>IF(ISNUMBER($H$38),AND(NOT($J$38),OR($G$38&lt;$H$38,$G$38&gt;$I$38)),FALSE)</f>
        <v/>
      </c>
      <c r="M38" t="inlineStr"/>
      <c r="N38" t="inlineStr">
        <is>
          <t>R_balance;R_full_weapon_audit;W_wikipedia_d_10_tank_gun</t>
        </is>
      </c>
      <c r="O38" t="inlineStr">
        <is>
          <t>nhịp pháo boss so với hệ thống thật (định nghĩa như 01_chien_dau/Vu_khi_so_sanh_that)</t>
        </is>
      </c>
      <c r="P38" t="inlineStr">
        <is>
          <t>p26_bastion_direct_b100</t>
        </is>
      </c>
      <c r="Q38" t="inlineStr">
        <is>
          <t>Tools/balance/full_weapon_audit.py (bảng REAL) qua input_nhip_that / input_ty_le_nhip</t>
        </is>
      </c>
      <c r="R38" t="inlineStr"/>
    </row>
    <row r="39">
      <c r="A39" t="inlineStr">
        <is>
          <t>fortress_bastion/p26_bastion_main_b155/nhip</t>
        </is>
      </c>
      <c r="B39" t="inlineStr">
        <is>
          <t>fortress_bastion</t>
        </is>
      </c>
      <c r="C39" t="inlineStr">
        <is>
          <t>khe_mot_nong_mot_vien</t>
        </is>
      </c>
      <c r="D39" t="inlineStr">
        <is>
          <t>s</t>
        </is>
      </c>
      <c r="E39" t="n">
        <v>15</v>
      </c>
      <c r="F39">
        <f>60/INDEX(boss_input_nhip_that!$B$2:$B$74,MATCH($P$39,boss_input_nhip_that!$A$2:$A$74,0))/IF(INDEX(boss_input_nhip_that!$C$2:$C$74,MATCH($P$39,boss_input_nhip_that!$A$2:$A$74,0))="gun",0.7,1)</f>
        <v/>
      </c>
      <c r="G39">
        <f>$E$39/$F$39</f>
        <v/>
      </c>
      <c r="H39" t="n">
        <v>0.6</v>
      </c>
      <c r="I39" t="n">
        <v>2</v>
      </c>
      <c r="J39" t="b">
        <v>0</v>
      </c>
      <c r="K39" t="inlineStr"/>
      <c r="L39">
        <f>IF(ISNUMBER($H$39),AND(NOT($J$39),OR($G$39&lt;$H$39,$G$39&gt;$I$39)),FALSE)</f>
        <v/>
      </c>
      <c r="M39" t="inlineStr"/>
      <c r="N39" t="inlineStr">
        <is>
          <t>R_balance;R_full_weapon_audit;D_us_army_m109a7_fact_file</t>
        </is>
      </c>
      <c r="O39" t="inlineStr">
        <is>
          <t>nhịp pháo boss so với hệ thống thật (định nghĩa như 01_chien_dau/Vu_khi_so_sanh_that)</t>
        </is>
      </c>
      <c r="P39" t="inlineStr">
        <is>
          <t>p26_bastion_main_b155</t>
        </is>
      </c>
      <c r="Q39" t="inlineStr">
        <is>
          <t>Tools/balance/full_weapon_audit.py (bảng REAL) qua input_nhip_that / input_ty_le_nhip</t>
        </is>
      </c>
      <c r="R39" t="inlineStr"/>
    </row>
    <row r="40">
      <c r="A40" t="inlineStr">
        <is>
          <t>fortress_bastion/p26_bastion_sec_b240/nhip</t>
        </is>
      </c>
      <c r="B40" t="inlineStr">
        <is>
          <t>fortress_bastion</t>
        </is>
      </c>
      <c r="C40" t="inlineStr">
        <is>
          <t>khe_mot_nong_mot_vien</t>
        </is>
      </c>
      <c r="D40" t="inlineStr">
        <is>
          <t>s</t>
        </is>
      </c>
      <c r="E40" t="n">
        <v>60</v>
      </c>
      <c r="F40">
        <f>60/INDEX(boss_input_nhip_that!$B$2:$B$74,MATCH($P$40,boss_input_nhip_that!$A$2:$A$74,0))/IF(INDEX(boss_input_nhip_that!$C$2:$C$74,MATCH($P$40,boss_input_nhip_that!$A$2:$A$74,0))="gun",0.7,1)</f>
        <v/>
      </c>
      <c r="G40">
        <f>$E$40/$F$40</f>
        <v/>
      </c>
      <c r="H40" t="n">
        <v>0.6</v>
      </c>
      <c r="I40" t="n">
        <v>2</v>
      </c>
      <c r="J40" t="b">
        <v>0</v>
      </c>
      <c r="K40" t="inlineStr"/>
      <c r="L40">
        <f>IF(ISNUMBER($H$40),AND(NOT($J$40),OR($G$40&lt;$H$40,$G$40&gt;$I$40)),FALSE)</f>
        <v/>
      </c>
      <c r="M40" t="inlineStr"/>
      <c r="N40" t="inlineStr">
        <is>
          <t>R_balance;R_full_weapon_audit;W_wikipedia_2s4_tyulpan</t>
        </is>
      </c>
      <c r="O40" t="inlineStr">
        <is>
          <t>nhịp pháo boss so với hệ thống thật (định nghĩa như 01_chien_dau/Vu_khi_so_sanh_that)</t>
        </is>
      </c>
      <c r="P40" t="inlineStr">
        <is>
          <t>p26_bastion_sec_b240</t>
        </is>
      </c>
      <c r="Q40" t="inlineStr">
        <is>
          <t>Tools/balance/full_weapon_audit.py (bảng REAL) qua input_nhip_that / input_ty_le_nhip</t>
        </is>
      </c>
      <c r="R40" t="inlineStr"/>
    </row>
    <row r="41">
      <c r="A41" t="inlineStr">
        <is>
          <t>fortress_bastion/p26_bastion_tiny_autocannon_40/nhip</t>
        </is>
      </c>
      <c r="B41" t="inlineStr">
        <is>
          <t>fortress_bastion</t>
        </is>
      </c>
      <c r="C41" t="inlineStr">
        <is>
          <t>khe_mot_nong_mot_vien</t>
        </is>
      </c>
      <c r="D41" t="inlineStr">
        <is>
          <t>s</t>
        </is>
      </c>
      <c r="E41" t="n">
        <v>0.332</v>
      </c>
      <c r="F41">
        <f>60/INDEX(boss_input_nhip_that!$B$2:$B$74,MATCH($P$41,boss_input_nhip_that!$A$2:$A$74,0))/IF(INDEX(boss_input_nhip_that!$C$2:$C$74,MATCH($P$41,boss_input_nhip_that!$A$2:$A$74,0))="gun",0.7,1)</f>
        <v/>
      </c>
      <c r="G41">
        <f>$E$41/$F$41</f>
        <v/>
      </c>
      <c r="H41" t="n">
        <v>0.6</v>
      </c>
      <c r="I41" t="n">
        <v>2</v>
      </c>
      <c r="J41" t="b">
        <v>0</v>
      </c>
      <c r="K41" t="inlineStr"/>
      <c r="L41">
        <f>IF(ISNUMBER($H$41),AND(NOT($J$41),OR($G$41&lt;$H$41,$G$41&gt;$I$41)),FALSE)</f>
        <v/>
      </c>
      <c r="M41" t="inlineStr"/>
      <c r="N41" t="inlineStr">
        <is>
          <t>R_balance;R_full_weapon_audit;W_wikipedia_bofors_40_mm_l_70</t>
        </is>
      </c>
      <c r="O41" t="inlineStr">
        <is>
          <t>nhịp pháo boss so với hệ thống thật (định nghĩa như 01_chien_dau/Vu_khi_so_sanh_that)</t>
        </is>
      </c>
      <c r="P41" t="inlineStr">
        <is>
          <t>p26_bastion_tiny_autocannon_40</t>
        </is>
      </c>
      <c r="Q41" t="inlineStr">
        <is>
          <t>Tools/balance/full_weapon_audit.py (bảng REAL) qua input_nhip_that / input_ty_le_nhip</t>
        </is>
      </c>
      <c r="R41" t="inlineStr"/>
    </row>
    <row r="42">
      <c r="A42" t="inlineStr">
        <is>
          <t>fortress_bastion/p26_bastion_tiny_kornet_twin/nhip</t>
        </is>
      </c>
      <c r="B42" t="inlineStr">
        <is>
          <t>fortress_bastion</t>
        </is>
      </c>
      <c r="C42" t="inlineStr">
        <is>
          <t>khe_mot_nong_mot_vien</t>
        </is>
      </c>
      <c r="D42" t="inlineStr">
        <is>
          <t>s</t>
        </is>
      </c>
      <c r="E42" t="n">
        <v>20</v>
      </c>
      <c r="F42">
        <f>60/INDEX(boss_input_nhip_that!$B$2:$B$74,MATCH($P$42,boss_input_nhip_that!$A$2:$A$74,0))/IF(INDEX(boss_input_nhip_that!$C$2:$C$74,MATCH($P$42,boss_input_nhip_that!$A$2:$A$74,0))="gun",0.7,1)</f>
        <v/>
      </c>
      <c r="G42">
        <f>$E$42/$F$42</f>
        <v/>
      </c>
      <c r="H42" t="n">
        <v>0.6</v>
      </c>
      <c r="I42" t="n">
        <v>2</v>
      </c>
      <c r="J42" t="b">
        <v>0</v>
      </c>
      <c r="K42" t="inlineStr"/>
      <c r="L42">
        <f>IF(ISNUMBER($H$42),AND(NOT($J$42),OR($G$42&lt;$H$42,$G$42&gt;$I$42)),FALSE)</f>
        <v/>
      </c>
      <c r="M42" t="inlineStr"/>
      <c r="N42" t="inlineStr">
        <is>
          <t>R_balance;R_full_weapon_audit;W_wikipedia_9m133_kornet;W_wikipedia_bai_cua_tung_ten_lua_bang_warhead</t>
        </is>
      </c>
      <c r="O42" t="inlineStr">
        <is>
          <t>nhịp pháo boss so với hệ thống thật (định nghĩa như 01_chien_dau/Vu_khi_so_sanh_that)</t>
        </is>
      </c>
      <c r="P42" t="inlineStr">
        <is>
          <t>p26_bastion_tiny_kornet_twin</t>
        </is>
      </c>
      <c r="Q42" t="inlineStr">
        <is>
          <t>Tools/balance/full_weapon_audit.py (bảng REAL) qua input_nhip_that / input_ty_le_nhip</t>
        </is>
      </c>
      <c r="R42" t="inlineStr"/>
    </row>
    <row r="43">
      <c r="A43" t="inlineStr">
        <is>
          <t>fortress_bastion/p26_bastion_tiny_zu23/nhip</t>
        </is>
      </c>
      <c r="B43" t="inlineStr">
        <is>
          <t>fortress_bastion</t>
        </is>
      </c>
      <c r="C43" t="inlineStr">
        <is>
          <t>khe_mot_nong_mot_vien</t>
        </is>
      </c>
      <c r="D43" t="inlineStr">
        <is>
          <t>s</t>
        </is>
      </c>
      <c r="E43" t="n">
        <v>0.09919997999999999</v>
      </c>
      <c r="F43">
        <f>60/INDEX(boss_input_nhip_that!$B$2:$B$74,MATCH($P$43,boss_input_nhip_that!$A$2:$A$74,0))/IF(INDEX(boss_input_nhip_that!$C$2:$C$74,MATCH($P$43,boss_input_nhip_that!$A$2:$A$74,0))="gun",0.7,1)</f>
        <v/>
      </c>
      <c r="G43">
        <f>$E$43/$F$43</f>
        <v/>
      </c>
      <c r="H43" t="n">
        <v>0.6</v>
      </c>
      <c r="I43" t="n">
        <v>2</v>
      </c>
      <c r="J43" t="b">
        <v>0</v>
      </c>
      <c r="K43" t="inlineStr"/>
      <c r="L43">
        <f>IF(ISNUMBER($H$43),AND(NOT($J$43),OR($G$43&lt;$H$43,$G$43&gt;$I$43)),FALSE)</f>
        <v/>
      </c>
      <c r="M43" t="inlineStr"/>
      <c r="N43" t="inlineStr">
        <is>
          <t>R_balance;R_full_weapon_audit;W_wikipedia_zu_23_2</t>
        </is>
      </c>
      <c r="O43" t="inlineStr">
        <is>
          <t>nhịp pháo boss so với hệ thống thật (định nghĩa như 01_chien_dau/Vu_khi_so_sanh_that)</t>
        </is>
      </c>
      <c r="P43" t="inlineStr">
        <is>
          <t>p26_bastion_tiny_zu23</t>
        </is>
      </c>
      <c r="Q43" t="inlineStr">
        <is>
          <t>Tools/balance/full_weapon_audit.py (bảng REAL) qua input_nhip_that / input_ty_le_nhip</t>
        </is>
      </c>
      <c r="R43" t="inlineStr"/>
    </row>
    <row r="44">
      <c r="A44" t="inlineStr">
        <is>
          <t>hydra/p26_typhon_direct_ty100/nhip</t>
        </is>
      </c>
      <c r="B44" t="inlineStr">
        <is>
          <t>hydra</t>
        </is>
      </c>
      <c r="C44" t="inlineStr">
        <is>
          <t>khe_mot_nong_mot_vien</t>
        </is>
      </c>
      <c r="D44" t="inlineStr">
        <is>
          <t>s</t>
        </is>
      </c>
      <c r="E44" t="n">
        <v>1.75</v>
      </c>
      <c r="F44">
        <f>60/INDEX(boss_input_nhip_that!$B$2:$B$74,MATCH($P$44,boss_input_nhip_that!$A$2:$A$74,0))/IF(INDEX(boss_input_nhip_that!$C$2:$C$74,MATCH($P$44,boss_input_nhip_that!$A$2:$A$74,0))="gun",0.7,1)</f>
        <v/>
      </c>
      <c r="G44">
        <f>$E$44/$F$44</f>
        <v/>
      </c>
      <c r="H44" t="n">
        <v>0.6</v>
      </c>
      <c r="I44" t="n">
        <v>2</v>
      </c>
      <c r="J44" t="b">
        <v>0</v>
      </c>
      <c r="K44" t="inlineStr"/>
      <c r="L44">
        <f>IF(ISNUMBER($H$44),AND(NOT($J$44),OR($G$44&lt;$H$44,$G$44&gt;$I$44)),FALSE)</f>
        <v/>
      </c>
      <c r="M44" t="inlineStr"/>
      <c r="N44" t="inlineStr">
        <is>
          <t>R_balance;R_full_weapon_audit;W_wikipedia_ak_100_naval_gun</t>
        </is>
      </c>
      <c r="O44" t="inlineStr">
        <is>
          <t>nhịp pháo boss so với hệ thống thật (định nghĩa như 01_chien_dau/Vu_khi_so_sanh_that)</t>
        </is>
      </c>
      <c r="P44" t="inlineStr">
        <is>
          <t>p26_typhon_direct_ty100</t>
        </is>
      </c>
      <c r="Q44" t="inlineStr">
        <is>
          <t>Tools/balance/full_weapon_audit.py (bảng REAL) qua input_nhip_that / input_ty_le_nhip</t>
        </is>
      </c>
      <c r="R44" t="inlineStr"/>
    </row>
    <row r="45">
      <c r="A45" t="inlineStr">
        <is>
          <t>hydra/p26_typhon_sec_ty57/nhip</t>
        </is>
      </c>
      <c r="B45" t="inlineStr">
        <is>
          <t>hydra</t>
        </is>
      </c>
      <c r="C45" t="inlineStr">
        <is>
          <t>khe_mot_nong_mot_vien</t>
        </is>
      </c>
      <c r="D45" t="inlineStr">
        <is>
          <t>s</t>
        </is>
      </c>
      <c r="E45" t="n">
        <v>1.0725</v>
      </c>
      <c r="F45">
        <f>60/INDEX(boss_input_nhip_that!$B$2:$B$74,MATCH($P$45,boss_input_nhip_that!$A$2:$A$74,0))/IF(INDEX(boss_input_nhip_that!$C$2:$C$74,MATCH($P$45,boss_input_nhip_that!$A$2:$A$74,0))="gun",0.7,1)</f>
        <v/>
      </c>
      <c r="G45">
        <f>$E$45/$F$45</f>
        <v/>
      </c>
      <c r="H45" t="n">
        <v>0.6</v>
      </c>
      <c r="I45" t="n">
        <v>2</v>
      </c>
      <c r="J45" t="b">
        <v>1</v>
      </c>
      <c r="K45" t="inlineStr">
        <is>
          <t>fix_weapon_reasons.json: wave 1 mothership_cannon: 4 rounds 0.5 s apart every 4.29 s (AU-220M 120 rpm); made up: a twin 57 mm deck mount (as the real AK-725 twin 57 mm)</t>
        </is>
      </c>
      <c r="L45">
        <f>IF(ISNUMBER($H$45),AND(NOT($J$45),OR($G$45&lt;$H$45,$G$45&gt;$I$45)),FALSE)</f>
        <v/>
      </c>
      <c r="M45" t="inlineStr"/>
      <c r="N45" t="inlineStr">
        <is>
          <t>R_balance;R_full_weapon_audit;W_wikipedia_au_220m</t>
        </is>
      </c>
      <c r="O45" t="inlineStr">
        <is>
          <t>nhịp pháo boss so với hệ thống thật (định nghĩa như 01_chien_dau/Vu_khi_so_sanh_that)</t>
        </is>
      </c>
      <c r="P45" t="inlineStr">
        <is>
          <t>p26_typhon_sec_ty57</t>
        </is>
      </c>
      <c r="Q45" t="inlineStr">
        <is>
          <t>Tools/balance/full_weapon_audit.py (bảng REAL) qua input_nhip_that / input_ty_le_nhip</t>
        </is>
      </c>
      <c r="R45" t="inlineStr"/>
    </row>
    <row r="46">
      <c r="A46" t="inlineStr">
        <is>
          <t>hyperion/pt14_hp_155/nhip</t>
        </is>
      </c>
      <c r="B46" t="inlineStr">
        <is>
          <t>hyperion</t>
        </is>
      </c>
      <c r="C46" t="inlineStr">
        <is>
          <t>khe_mot_nong_mot_vien</t>
        </is>
      </c>
      <c r="D46" t="inlineStr">
        <is>
          <t>s</t>
        </is>
      </c>
      <c r="E46" t="n">
        <v>13.899994286</v>
      </c>
      <c r="F46">
        <f>60/INDEX(boss_input_nhip_that!$B$2:$B$74,MATCH($P$46,boss_input_nhip_that!$A$2:$A$74,0))/IF(INDEX(boss_input_nhip_that!$C$2:$C$74,MATCH($P$46,boss_input_nhip_that!$A$2:$A$74,0))="gun",0.7,1)</f>
        <v/>
      </c>
      <c r="G46">
        <f>$E$46/$F$46</f>
        <v/>
      </c>
      <c r="H46" t="n">
        <v>0.6</v>
      </c>
      <c r="I46" t="n">
        <v>2</v>
      </c>
      <c r="J46" t="b">
        <v>0</v>
      </c>
      <c r="K46" t="inlineStr"/>
      <c r="L46">
        <f>IF(ISNUMBER($H$46),AND(NOT($J$46),OR($G$46&lt;$H$46,$G$46&gt;$I$46)),FALSE)</f>
        <v/>
      </c>
      <c r="M46" t="inlineStr"/>
      <c r="N46" t="inlineStr">
        <is>
          <t>R_balance;R_full_weapon_audit;W_wikipedia_15_5_cm_60_3rd_year_type</t>
        </is>
      </c>
      <c r="O46" t="inlineStr">
        <is>
          <t>nhịp pháo boss so với hệ thống thật (định nghĩa như 01_chien_dau/Vu_khi_so_sanh_that)</t>
        </is>
      </c>
      <c r="P46" t="inlineStr">
        <is>
          <t>pt14_hp_155</t>
        </is>
      </c>
      <c r="Q46" t="inlineStr">
        <is>
          <t>Tools/balance/full_weapon_audit.py (bảng REAL) qua input_nhip_that / input_ty_le_nhip</t>
        </is>
      </c>
      <c r="R46" t="inlineStr"/>
    </row>
    <row r="47">
      <c r="A47" t="inlineStr">
        <is>
          <t>hyperion/pt14_hp_nsm/nhip</t>
        </is>
      </c>
      <c r="B47" t="inlineStr">
        <is>
          <t>hyperion</t>
        </is>
      </c>
      <c r="C47" t="inlineStr">
        <is>
          <t>khe_mot_nong_mot_vien</t>
        </is>
      </c>
      <c r="D47" t="inlineStr">
        <is>
          <t>s</t>
        </is>
      </c>
      <c r="E47" t="n">
        <v>7.299999</v>
      </c>
      <c r="F47">
        <f>60/INDEX(boss_input_nhip_that!$B$2:$B$74,MATCH($P$47,boss_input_nhip_that!$A$2:$A$74,0))/IF(INDEX(boss_input_nhip_that!$C$2:$C$74,MATCH($P$47,boss_input_nhip_that!$A$2:$A$74,0))="gun",0.7,1)</f>
        <v/>
      </c>
      <c r="G47">
        <f>$E$47/$F$47</f>
        <v/>
      </c>
      <c r="H47" t="n">
        <v>0.6</v>
      </c>
      <c r="I47" t="n">
        <v>2</v>
      </c>
      <c r="J47" t="b">
        <v>0</v>
      </c>
      <c r="K47" t="inlineStr"/>
      <c r="L47">
        <f>IF(ISNUMBER($H$47),AND(NOT($J$47),OR($G$47&lt;$H$47,$G$47&gt;$I$47)),FALSE)</f>
        <v/>
      </c>
      <c r="M47" t="inlineStr">
        <is>
          <t>TC0104</t>
        </is>
      </c>
      <c r="N47" t="inlineStr">
        <is>
          <t>R_balance;R_full_weapon_audit</t>
        </is>
      </c>
      <c r="O47" t="inlineStr">
        <is>
          <t>nhịp pháo boss so với hệ thống thật (định nghĩa như 01_chien_dau/Vu_khi_so_sanh_that)</t>
        </is>
      </c>
      <c r="P47" t="inlineStr">
        <is>
          <t>pt14_hp_nsm</t>
        </is>
      </c>
      <c r="Q47" t="inlineStr">
        <is>
          <t>Tools/balance/full_weapon_audit.py (bảng REAL) qua input_nhip_that / input_ty_le_nhip</t>
        </is>
      </c>
      <c r="R47" t="inlineStr"/>
    </row>
    <row r="48">
      <c r="A48" t="inlineStr">
        <is>
          <t>hyperion/pt14_hp_v127/nhip</t>
        </is>
      </c>
      <c r="B48" t="inlineStr">
        <is>
          <t>hyperion</t>
        </is>
      </c>
      <c r="C48" t="inlineStr">
        <is>
          <t>khe_mot_nong_mot_vien</t>
        </is>
      </c>
      <c r="D48" t="inlineStr">
        <is>
          <t>s</t>
        </is>
      </c>
      <c r="E48" t="n">
        <v>2.499998571</v>
      </c>
      <c r="F48">
        <f>60/INDEX(boss_input_nhip_that!$B$2:$B$74,MATCH($P$48,boss_input_nhip_that!$A$2:$A$74,0))/IF(INDEX(boss_input_nhip_that!$C$2:$C$74,MATCH($P$48,boss_input_nhip_that!$A$2:$A$74,0))="gun",0.7,1)</f>
        <v/>
      </c>
      <c r="G48">
        <f>$E$48/$F$48</f>
        <v/>
      </c>
      <c r="H48" t="n">
        <v>0.6</v>
      </c>
      <c r="I48" t="n">
        <v>2</v>
      </c>
      <c r="J48" t="b">
        <v>0</v>
      </c>
      <c r="K48" t="inlineStr"/>
      <c r="L48">
        <f>IF(ISNUMBER($H$48),AND(NOT($J$48),OR($G$48&lt;$H$48,$G$48&gt;$I$48)),FALSE)</f>
        <v/>
      </c>
      <c r="M48" t="inlineStr">
        <is>
          <t>TC0105</t>
        </is>
      </c>
      <c r="N48" t="inlineStr">
        <is>
          <t>R_balance;R_full_weapon_audit;W_wikipedia_5_54_caliber_mark_45</t>
        </is>
      </c>
      <c r="O48" t="inlineStr">
        <is>
          <t>nhịp pháo boss so với hệ thống thật (định nghĩa như 01_chien_dau/Vu_khi_so_sanh_that)</t>
        </is>
      </c>
      <c r="P48" t="inlineStr">
        <is>
          <t>pt14_hp_v127</t>
        </is>
      </c>
      <c r="Q48" t="inlineStr">
        <is>
          <t>Tools/balance/full_weapon_audit.py (bảng REAL) qua input_nhip_that / input_ty_le_nhip</t>
        </is>
      </c>
      <c r="R48" t="inlineStr"/>
    </row>
    <row r="49">
      <c r="A49" t="inlineStr">
        <is>
          <t>icarus_mk0/pt14_mk0_v40/nhip</t>
        </is>
      </c>
      <c r="B49" t="inlineStr">
        <is>
          <t>icarus_mk0</t>
        </is>
      </c>
      <c r="C49" t="inlineStr">
        <is>
          <t>khe_mot_nong_mot_vien</t>
        </is>
      </c>
      <c r="D49" t="inlineStr">
        <is>
          <t>s</t>
        </is>
      </c>
      <c r="E49" t="n">
        <v>0.5375</v>
      </c>
      <c r="F49">
        <f>60/INDEX(boss_input_nhip_that!$B$2:$B$74,MATCH($P$49,boss_input_nhip_that!$A$2:$A$74,0))/IF(INDEX(boss_input_nhip_that!$C$2:$C$74,MATCH($P$49,boss_input_nhip_that!$A$2:$A$74,0))="gun",0.7,1)</f>
        <v/>
      </c>
      <c r="G49">
        <f>$E$49/$F$49</f>
        <v/>
      </c>
      <c r="H49" t="n">
        <v>0.6</v>
      </c>
      <c r="I49" t="n">
        <v>2</v>
      </c>
      <c r="J49" t="b">
        <v>0</v>
      </c>
      <c r="K49" t="inlineStr"/>
      <c r="L49">
        <f>IF(ISNUMBER($H$49),AND(NOT($J$49),OR($G$49&lt;$H$49,$G$49&gt;$I$49)),FALSE)</f>
        <v/>
      </c>
      <c r="M49" t="inlineStr"/>
      <c r="N49" t="inlineStr">
        <is>
          <t>R_balance;R_full_weapon_audit;W_wikipedia_bofors_40_mm_l_60</t>
        </is>
      </c>
      <c r="O49" t="inlineStr">
        <is>
          <t>nhịp pháo boss so với hệ thống thật (định nghĩa như 01_chien_dau/Vu_khi_so_sanh_that)</t>
        </is>
      </c>
      <c r="P49" t="inlineStr">
        <is>
          <t>pt14_mk0_v40</t>
        </is>
      </c>
      <c r="Q49" t="inlineStr">
        <is>
          <t>Tools/balance/full_weapon_audit.py (bảng REAL) qua input_nhip_that / input_ty_le_nhip</t>
        </is>
      </c>
      <c r="R49" t="inlineStr"/>
    </row>
    <row r="50">
      <c r="A50" t="inlineStr">
        <is>
          <t>ixion/cao_m</t>
        </is>
      </c>
      <c r="B50" t="inlineStr">
        <is>
          <t>ixion</t>
        </is>
      </c>
      <c r="C50" t="inlineStr">
        <is>
          <t>cao_m</t>
        </is>
      </c>
      <c r="D50" t="inlineStr">
        <is>
          <t>m</t>
        </is>
      </c>
      <c r="E50">
        <f>INDEX(Boss!$FV$2:$FV$34,MATCH($B$50,Boss!$A$2:$A$34,0))</f>
        <v/>
      </c>
      <c r="F50">
        <f>INDEX(Boss_tham_chieu!$U$2:$U$34,MATCH("ixion",Boss_tham_chieu!$A$2:$A$34,0))</f>
        <v/>
      </c>
      <c r="G50">
        <f>$E$50/$F$50</f>
        <v/>
      </c>
      <c r="H50" t="n">
        <v>0.7</v>
      </c>
      <c r="I50" t="n">
        <v>1.4</v>
      </c>
      <c r="J50" t="b">
        <v>0</v>
      </c>
      <c r="K50" t="inlineStr"/>
      <c r="L50">
        <f>IF(ISNUMBER($H$50),AND(NOT($J$50),OR($G$50&lt;$H$50,$G$50&gt;$I$50)),FALSE)</f>
        <v/>
      </c>
      <c r="M50" t="inlineStr"/>
      <c r="N50" t="inlineStr">
        <is>
          <t>R_unit_refs;R_reference_real;W_wikipedia_belaz_75710;R_machine_brigade_can_bang;R_ixion;R_mb_p20_bosses;R_mb_redesign_20y;R_unit_sheet</t>
        </is>
      </c>
      <c r="O50" t="inlineStr">
        <is>
          <t>modelSize của dữ liệu / kích thước thật (reference_real.json)</t>
        </is>
      </c>
      <c r="P50" t="inlineStr"/>
      <c r="Q50" t="inlineStr">
        <is>
          <t>02_boss/Boss.model_size_height_m; Tools/models/reference_real.json</t>
        </is>
      </c>
      <c r="R50" t="inlineStr"/>
    </row>
    <row r="51">
      <c r="A51" t="inlineStr">
        <is>
          <t>ixion/cao_tren_dai</t>
        </is>
      </c>
      <c r="B51" t="inlineStr">
        <is>
          <t>ixion</t>
        </is>
      </c>
      <c r="C51" t="inlineStr">
        <is>
          <t>cao_tren_dai</t>
        </is>
      </c>
      <c r="D51" t="inlineStr"/>
      <c r="E51">
        <f>INDEX(Boss!$FV$2:$FV$34,MATCH($B$51,Boss!$A$2:$A$34,0))/INDEX(Boss!$FW$2:$FW$34,MATCH($B$51,Boss!$A$2:$A$34,0))</f>
        <v/>
      </c>
      <c r="F51">
        <f>INDEX(Boss_tham_chieu!$U$2:$U$34,MATCH("ixion",Boss_tham_chieu!$A$2:$A$34,0))/INDEX(Boss_tham_chieu!$S$2:$S$34,MATCH("ixion",Boss_tham_chieu!$A$2:$A$34,0))</f>
        <v/>
      </c>
      <c r="G51">
        <f>$E$51/$F$51</f>
        <v/>
      </c>
      <c r="H51" t="n">
        <v>0.9</v>
      </c>
      <c r="I51" t="n">
        <v>1.1</v>
      </c>
      <c r="J51" t="b">
        <v>0</v>
      </c>
      <c r="K51" t="inlineStr"/>
      <c r="L51">
        <f>IF(ISNUMBER($H$51),AND(NOT($J$51),OR($G$51&lt;$H$51,$G$51&gt;$I$51)),FALSE)</f>
        <v/>
      </c>
      <c r="M51" t="inlineStr"/>
      <c r="N51" t="inlineStr">
        <is>
          <t>R_unit_refs;R_reference_real;W_wikipedia_belaz_75710;R_machine_brigade_can_bang;R_ixion;R_mb_p20_bosses;R_mb_redesign_20y;R_unit_sheet</t>
        </is>
      </c>
      <c r="O51" t="inlineStr">
        <is>
          <t>tỷ lệ hình (MODEL_STANDARD 3.1: lệch quá 10 % là cờ)</t>
        </is>
      </c>
      <c r="P51" t="inlineStr"/>
      <c r="Q51" t="inlineStr">
        <is>
          <t>02_boss/Boss; Tools/models/reference_real.json</t>
        </is>
      </c>
      <c r="R51" t="inlineStr"/>
    </row>
    <row r="52">
      <c r="A52" t="inlineStr">
        <is>
          <t>ixion/dai_m</t>
        </is>
      </c>
      <c r="B52" t="inlineStr">
        <is>
          <t>ixion</t>
        </is>
      </c>
      <c r="C52" t="inlineStr">
        <is>
          <t>dai_m</t>
        </is>
      </c>
      <c r="D52" t="inlineStr">
        <is>
          <t>m</t>
        </is>
      </c>
      <c r="E52">
        <f>INDEX(Boss!$FW$2:$FW$34,MATCH($B$52,Boss!$A$2:$A$34,0))</f>
        <v/>
      </c>
      <c r="F52">
        <f>INDEX(Boss_tham_chieu!$S$2:$S$34,MATCH("ixion",Boss_tham_chieu!$A$2:$A$34,0))</f>
        <v/>
      </c>
      <c r="G52">
        <f>$E$52/$F$52</f>
        <v/>
      </c>
      <c r="H52" t="n">
        <v>0.7</v>
      </c>
      <c r="I52" t="n">
        <v>1.4</v>
      </c>
      <c r="J52" t="b">
        <v>0</v>
      </c>
      <c r="K52" t="inlineStr"/>
      <c r="L52">
        <f>IF(ISNUMBER($H$52),AND(NOT($J$52),OR($G$52&lt;$H$52,$G$52&gt;$I$52)),FALSE)</f>
        <v/>
      </c>
      <c r="M52" t="inlineStr"/>
      <c r="N52" t="inlineStr">
        <is>
          <t>R_unit_refs;R_reference_real;W_wikipedia_belaz_75710;R_machine_brigade_can_bang;R_ixion;R_mb_p20_bosses;R_mb_redesign_20y;R_unit_sheet</t>
        </is>
      </c>
      <c r="O52" t="inlineStr">
        <is>
          <t>modelSize của dữ liệu / kích thước thật (reference_real.json)</t>
        </is>
      </c>
      <c r="P52" t="inlineStr"/>
      <c r="Q52" t="inlineStr">
        <is>
          <t>02_boss/Boss.model_size_length_m; Tools/models/reference_real.json</t>
        </is>
      </c>
      <c r="R52" t="inlineStr"/>
    </row>
    <row r="53">
      <c r="A53" t="inlineStr">
        <is>
          <t>ixion/p26_ixion_125/nhip</t>
        </is>
      </c>
      <c r="B53" t="inlineStr">
        <is>
          <t>ixion</t>
        </is>
      </c>
      <c r="C53" t="inlineStr">
        <is>
          <t>khe_mot_nong_mot_vien</t>
        </is>
      </c>
      <c r="D53" t="inlineStr">
        <is>
          <t>s</t>
        </is>
      </c>
      <c r="E53" t="n">
        <v>7.5</v>
      </c>
      <c r="F53">
        <f>60/INDEX(boss_input_nhip_that!$B$2:$B$74,MATCH($P$53,boss_input_nhip_that!$A$2:$A$74,0))/IF(INDEX(boss_input_nhip_that!$C$2:$C$74,MATCH($P$53,boss_input_nhip_that!$A$2:$A$74,0))="gun",0.7,1)</f>
        <v/>
      </c>
      <c r="G53">
        <f>$E$53/$F$53</f>
        <v/>
      </c>
      <c r="H53" t="n">
        <v>0.6</v>
      </c>
      <c r="I53" t="n">
        <v>2</v>
      </c>
      <c r="J53" t="b">
        <v>0</v>
      </c>
      <c r="K53" t="inlineStr"/>
      <c r="L53">
        <f>IF(ISNUMBER($H$53),AND(NOT($J$53),OR($G$53&lt;$H$53,$G$53&gt;$I$53)),FALSE)</f>
        <v/>
      </c>
      <c r="M53" t="inlineStr"/>
      <c r="N53" t="inlineStr">
        <is>
          <t>R_balance;R_full_weapon_audit;W_wikipedia_2a46</t>
        </is>
      </c>
      <c r="O53" t="inlineStr">
        <is>
          <t>nhịp pháo boss so với hệ thống thật (định nghĩa như 01_chien_dau/Vu_khi_so_sanh_that)</t>
        </is>
      </c>
      <c r="P53" t="inlineStr">
        <is>
          <t>p26_ixion_125</t>
        </is>
      </c>
      <c r="Q53" t="inlineStr">
        <is>
          <t>Tools/balance/full_weapon_audit.py (bảng REAL) qua input_nhip_that / input_ty_le_nhip</t>
        </is>
      </c>
      <c r="R53" t="inlineStr"/>
    </row>
    <row r="54">
      <c r="A54" t="inlineStr">
        <is>
          <t>ixion/p26_ixion_mg/nhip</t>
        </is>
      </c>
      <c r="B54" t="inlineStr">
        <is>
          <t>ixion</t>
        </is>
      </c>
      <c r="C54" t="inlineStr">
        <is>
          <t>khe_mot_nong_mot_vien</t>
        </is>
      </c>
      <c r="D54" t="inlineStr">
        <is>
          <t>s</t>
        </is>
      </c>
      <c r="E54" t="n">
        <v>0.132467025</v>
      </c>
      <c r="F54">
        <f>60/INDEX(boss_input_nhip_that!$B$2:$B$74,MATCH($P$54,boss_input_nhip_that!$A$2:$A$74,0))/IF(INDEX(boss_input_nhip_that!$C$2:$C$74,MATCH($P$54,boss_input_nhip_that!$A$2:$A$74,0))="gun",0.7,1)</f>
        <v/>
      </c>
      <c r="G54">
        <f>$E$54/$F$54</f>
        <v/>
      </c>
      <c r="H54" t="n">
        <v>0.6</v>
      </c>
      <c r="I54" t="n">
        <v>2</v>
      </c>
      <c r="J54" t="b">
        <v>0</v>
      </c>
      <c r="K54" t="inlineStr"/>
      <c r="L54">
        <f>IF(ISNUMBER($H$54),AND(NOT($J$54),OR($G$54&lt;$H$54,$G$54&gt;$I$54)),FALSE)</f>
        <v/>
      </c>
      <c r="M54" t="inlineStr"/>
      <c r="N54" t="inlineStr">
        <is>
          <t>R_balance;R_full_weapon_audit;W_wikipedia_nsv_machine_gun</t>
        </is>
      </c>
      <c r="O54" t="inlineStr">
        <is>
          <t>nhịp pháo boss so với hệ thống thật (định nghĩa như 01_chien_dau/Vu_khi_so_sanh_that)</t>
        </is>
      </c>
      <c r="P54" t="inlineStr">
        <is>
          <t>p26_ixion_mg</t>
        </is>
      </c>
      <c r="Q54" t="inlineStr">
        <is>
          <t>Tools/balance/full_weapon_audit.py (bảng REAL) qua input_nhip_that / input_ty_le_nhip</t>
        </is>
      </c>
      <c r="R54" t="inlineStr"/>
    </row>
    <row r="55">
      <c r="A55" t="inlineStr">
        <is>
          <t>ixion/pt14_ixion_30/nhip</t>
        </is>
      </c>
      <c r="B55" t="inlineStr">
        <is>
          <t>ixion</t>
        </is>
      </c>
      <c r="C55" t="inlineStr">
        <is>
          <t>khe_mot_nong_mot_vien</t>
        </is>
      </c>
      <c r="D55" t="inlineStr">
        <is>
          <t>s</t>
        </is>
      </c>
      <c r="E55" t="n">
        <v>0.5347125</v>
      </c>
      <c r="F55">
        <f>60/INDEX(boss_input_nhip_that!$B$2:$B$74,MATCH($P$55,boss_input_nhip_that!$A$2:$A$74,0))/IF(INDEX(boss_input_nhip_that!$C$2:$C$74,MATCH($P$55,boss_input_nhip_that!$A$2:$A$74,0))="gun",0.7,1)</f>
        <v/>
      </c>
      <c r="G55">
        <f>$E$55/$F$55</f>
        <v/>
      </c>
      <c r="H55" t="n">
        <v>0.6</v>
      </c>
      <c r="I55" t="n">
        <v>2</v>
      </c>
      <c r="J55" t="b">
        <v>0</v>
      </c>
      <c r="K55" t="inlineStr"/>
      <c r="L55">
        <f>IF(ISNUMBER($H$55),AND(NOT($J$55),OR($G$55&lt;$H$55,$G$55&gt;$I$55)),FALSE)</f>
        <v/>
      </c>
      <c r="M55" t="inlineStr">
        <is>
          <t>TC0106</t>
        </is>
      </c>
      <c r="N55" t="inlineStr">
        <is>
          <t>R_balance;R_full_weapon_audit;W_wikipedia_2a42</t>
        </is>
      </c>
      <c r="O55" t="inlineStr">
        <is>
          <t>nhịp pháo boss so với hệ thống thật (định nghĩa như 01_chien_dau/Vu_khi_so_sanh_that)</t>
        </is>
      </c>
      <c r="P55" t="inlineStr">
        <is>
          <t>pt14_ixion_30</t>
        </is>
      </c>
      <c r="Q55" t="inlineStr">
        <is>
          <t>Tools/balance/full_weapon_audit.py (bảng REAL) qua input_nhip_that / input_ty_le_nhip</t>
        </is>
      </c>
      <c r="R55" t="inlineStr"/>
    </row>
    <row r="56">
      <c r="A56" t="inlineStr">
        <is>
          <t>ixion/pt14_ixion_grad/nhip</t>
        </is>
      </c>
      <c r="B56" t="inlineStr">
        <is>
          <t>ixion</t>
        </is>
      </c>
      <c r="C56" t="inlineStr">
        <is>
          <t>khe_mot_nong_mot_vien</t>
        </is>
      </c>
      <c r="D56" t="inlineStr">
        <is>
          <t>s</t>
        </is>
      </c>
      <c r="E56" t="n">
        <v>0.5</v>
      </c>
      <c r="F56">
        <f>60/INDEX(boss_input_nhip_that!$B$2:$B$74,MATCH($P$56,boss_input_nhip_that!$A$2:$A$74,0))/IF(INDEX(boss_input_nhip_that!$C$2:$C$74,MATCH($P$56,boss_input_nhip_that!$A$2:$A$74,0))="gun",0.7,1)</f>
        <v/>
      </c>
      <c r="G56">
        <f>$E$56/$F$56</f>
        <v/>
      </c>
      <c r="H56" t="n">
        <v>0.6</v>
      </c>
      <c r="I56" t="n">
        <v>2</v>
      </c>
      <c r="J56" t="b">
        <v>0</v>
      </c>
      <c r="K56" t="inlineStr"/>
      <c r="L56">
        <f>IF(ISNUMBER($H$56),AND(NOT($J$56),OR($G$56&lt;$H$56,$G$56&gt;$I$56)),FALSE)</f>
        <v/>
      </c>
      <c r="M56" t="inlineStr"/>
      <c r="N56" t="inlineStr">
        <is>
          <t>R_balance;R_full_weapon_audit;W_wikipedia_bm_21_grad</t>
        </is>
      </c>
      <c r="O56" t="inlineStr">
        <is>
          <t>nhịp pháo boss so với hệ thống thật (định nghĩa như 01_chien_dau/Vu_khi_so_sanh_that)</t>
        </is>
      </c>
      <c r="P56" t="inlineStr">
        <is>
          <t>pt14_ixion_grad</t>
        </is>
      </c>
      <c r="Q56" t="inlineStr">
        <is>
          <t>Tools/balance/full_weapon_audit.py (bảng REAL) qua input_nhip_that / input_ty_le_nhip</t>
        </is>
      </c>
      <c r="R56" t="inlineStr"/>
    </row>
    <row r="57">
      <c r="A57" t="inlineStr">
        <is>
          <t>ixion/pt14_ixion_kornet/nhip</t>
        </is>
      </c>
      <c r="B57" t="inlineStr">
        <is>
          <t>ixion</t>
        </is>
      </c>
      <c r="C57" t="inlineStr">
        <is>
          <t>khe_mot_nong_mot_vien</t>
        </is>
      </c>
      <c r="D57" t="inlineStr">
        <is>
          <t>s</t>
        </is>
      </c>
      <c r="E57" t="n">
        <v>24</v>
      </c>
      <c r="F57">
        <f>60/INDEX(boss_input_nhip_that!$B$2:$B$74,MATCH($P$57,boss_input_nhip_that!$A$2:$A$74,0))/IF(INDEX(boss_input_nhip_that!$C$2:$C$74,MATCH($P$57,boss_input_nhip_that!$A$2:$A$74,0))="gun",0.7,1)</f>
        <v/>
      </c>
      <c r="G57">
        <f>$E$57/$F$57</f>
        <v/>
      </c>
      <c r="H57" t="n">
        <v>0.6</v>
      </c>
      <c r="I57" t="n">
        <v>2</v>
      </c>
      <c r="J57" t="b">
        <v>0</v>
      </c>
      <c r="K57" t="inlineStr"/>
      <c r="L57">
        <f>IF(ISNUMBER($H$57),AND(NOT($J$57),OR($G$57&lt;$H$57,$G$57&gt;$I$57)),FALSE)</f>
        <v/>
      </c>
      <c r="M57" t="inlineStr"/>
      <c r="N57" t="inlineStr">
        <is>
          <t>R_balance;R_full_weapon_audit;W_wikipedia_9m133_kornet</t>
        </is>
      </c>
      <c r="O57" t="inlineStr">
        <is>
          <t>nhịp pháo boss so với hệ thống thật (định nghĩa như 01_chien_dau/Vu_khi_so_sanh_that)</t>
        </is>
      </c>
      <c r="P57" t="inlineStr">
        <is>
          <t>pt14_ixion_kornet</t>
        </is>
      </c>
      <c r="Q57" t="inlineStr">
        <is>
          <t>Tools/balance/full_weapon_audit.py (bảng REAL) qua input_nhip_that / input_ty_le_nhip</t>
        </is>
      </c>
      <c r="R57" t="inlineStr"/>
    </row>
    <row r="58">
      <c r="A58" t="inlineStr">
        <is>
          <t>ixion/rong_m</t>
        </is>
      </c>
      <c r="B58" t="inlineStr">
        <is>
          <t>ixion</t>
        </is>
      </c>
      <c r="C58" t="inlineStr">
        <is>
          <t>rong_m</t>
        </is>
      </c>
      <c r="D58" t="inlineStr">
        <is>
          <t>m</t>
        </is>
      </c>
      <c r="E58">
        <f>INDEX(Boss!$FX$2:$FX$34,MATCH($B$58,Boss!$A$2:$A$34,0))</f>
        <v/>
      </c>
      <c r="F58">
        <f>INDEX(Boss_tham_chieu!$T$2:$T$34,MATCH("ixion",Boss_tham_chieu!$A$2:$A$34,0))</f>
        <v/>
      </c>
      <c r="G58">
        <f>$E$58/$F$58</f>
        <v/>
      </c>
      <c r="H58" t="n">
        <v>0.7</v>
      </c>
      <c r="I58" t="n">
        <v>1.4</v>
      </c>
      <c r="J58" t="b">
        <v>0</v>
      </c>
      <c r="K58" t="inlineStr"/>
      <c r="L58">
        <f>IF(ISNUMBER($H$58),AND(NOT($J$58),OR($G$58&lt;$H$58,$G$58&gt;$I$58)),FALSE)</f>
        <v/>
      </c>
      <c r="M58" t="inlineStr"/>
      <c r="N58" t="inlineStr">
        <is>
          <t>R_unit_refs;R_reference_real;W_wikipedia_belaz_75710;R_machine_brigade_can_bang;R_ixion;R_mb_p20_bosses;R_mb_redesign_20y;R_unit_sheet</t>
        </is>
      </c>
      <c r="O58" t="inlineStr">
        <is>
          <t>modelSize của dữ liệu / kích thước thật (reference_real.json)</t>
        </is>
      </c>
      <c r="P58" t="inlineStr"/>
      <c r="Q58" t="inlineStr">
        <is>
          <t>02_boss/Boss.model_size_width_m; Tools/models/reference_real.json</t>
        </is>
      </c>
      <c r="R58" t="inlineStr"/>
    </row>
    <row r="59">
      <c r="A59" t="inlineStr">
        <is>
          <t>ixion/rong_tren_dai</t>
        </is>
      </c>
      <c r="B59" t="inlineStr">
        <is>
          <t>ixion</t>
        </is>
      </c>
      <c r="C59" t="inlineStr">
        <is>
          <t>rong_tren_dai</t>
        </is>
      </c>
      <c r="D59" t="inlineStr"/>
      <c r="E59">
        <f>INDEX(Boss!$FX$2:$FX$34,MATCH($B$59,Boss!$A$2:$A$34,0))/INDEX(Boss!$FW$2:$FW$34,MATCH($B$59,Boss!$A$2:$A$34,0))</f>
        <v/>
      </c>
      <c r="F59">
        <f>INDEX(Boss_tham_chieu!$T$2:$T$34,MATCH("ixion",Boss_tham_chieu!$A$2:$A$34,0))/INDEX(Boss_tham_chieu!$S$2:$S$34,MATCH("ixion",Boss_tham_chieu!$A$2:$A$34,0))</f>
        <v/>
      </c>
      <c r="G59">
        <f>$E$59/$F$59</f>
        <v/>
      </c>
      <c r="H59" t="n">
        <v>0.9</v>
      </c>
      <c r="I59" t="n">
        <v>1.1</v>
      </c>
      <c r="J59" t="b">
        <v>0</v>
      </c>
      <c r="K59" t="inlineStr"/>
      <c r="L59">
        <f>IF(ISNUMBER($H$59),AND(NOT($J$59),OR($G$59&lt;$H$59,$G$59&gt;$I$59)),FALSE)</f>
        <v/>
      </c>
      <c r="M59" t="inlineStr"/>
      <c r="N59" t="inlineStr">
        <is>
          <t>R_unit_refs;R_reference_real;W_wikipedia_belaz_75710;R_machine_brigade_can_bang;R_ixion;R_mb_p20_bosses;R_mb_redesign_20y;R_unit_sheet</t>
        </is>
      </c>
      <c r="O59" t="inlineStr">
        <is>
          <t>tỷ lệ hình (MODEL_STANDARD 3.1: lệch quá 10 % là cờ)</t>
        </is>
      </c>
      <c r="P59" t="inlineStr"/>
      <c r="Q59" t="inlineStr">
        <is>
          <t>02_boss/Boss; Tools/models/reference_real.json</t>
        </is>
      </c>
      <c r="R59" t="inlineStr"/>
    </row>
    <row r="60">
      <c r="A60" t="inlineStr">
        <is>
          <t>kraken/aa_25_triple/nhip</t>
        </is>
      </c>
      <c r="B60" t="inlineStr">
        <is>
          <t>kraken</t>
        </is>
      </c>
      <c r="C60" t="inlineStr">
        <is>
          <t>khe_mot_nong_mot_vien</t>
        </is>
      </c>
      <c r="D60" t="inlineStr">
        <is>
          <t>s</t>
        </is>
      </c>
      <c r="E60" t="n">
        <v>0.620000077</v>
      </c>
      <c r="F60">
        <f>60/INDEX(boss_input_nhip_that!$B$2:$B$74,MATCH($P$60,boss_input_nhip_that!$A$2:$A$74,0))/IF(INDEX(boss_input_nhip_that!$C$2:$C$74,MATCH($P$60,boss_input_nhip_that!$A$2:$A$74,0))="gun",0.7,1)</f>
        <v/>
      </c>
      <c r="G60">
        <f>$E$60/$F$60</f>
        <v/>
      </c>
      <c r="H60" t="n">
        <v>0.6</v>
      </c>
      <c r="I60" t="n">
        <v>2</v>
      </c>
      <c r="J60" t="b">
        <v>1</v>
      </c>
      <c r="K60" t="inlineStr">
        <is>
          <t>bản kiểm L1 (Tools/balance/full_weapon_audit.py) không cờ nhịp này: súng máy, pháo tự động, cao xạ so khe chậm với nhịp thực tế; rốc-két, bom và đồ treo máy bay chỉ so khoảng trong loạt</t>
        </is>
      </c>
      <c r="L60">
        <f>IF(ISNUMBER($H$60),AND(NOT($J$60),OR($G$60&lt;$H$60,$G$60&gt;$I$60)),FALSE)</f>
        <v/>
      </c>
      <c r="M60" t="inlineStr"/>
      <c r="N60" t="inlineStr">
        <is>
          <t>R_balance;R_full_weapon_audit;W_wikipedia_type_96_25_mm_at_aa_gun;R_machine_brigade_can_bang</t>
        </is>
      </c>
      <c r="O60" t="inlineStr">
        <is>
          <t>nhịp pháo boss so với hệ thống thật (định nghĩa như 01_chien_dau/Vu_khi_so_sanh_that)</t>
        </is>
      </c>
      <c r="P60" t="inlineStr">
        <is>
          <t>aa_25_triple</t>
        </is>
      </c>
      <c r="Q60" t="inlineStr">
        <is>
          <t>Tools/balance/full_weapon_audit.py (bảng REAL) qua input_nhip_that / input_ty_le_nhip</t>
        </is>
      </c>
      <c r="R60" t="inlineStr"/>
    </row>
    <row r="61">
      <c r="A61" t="inlineStr">
        <is>
          <t>kraken/p26_leviathan_direct_lev127/nhip</t>
        </is>
      </c>
      <c r="B61" t="inlineStr">
        <is>
          <t>kraken</t>
        </is>
      </c>
      <c r="C61" t="inlineStr">
        <is>
          <t>khe_mot_nong_mot_vien</t>
        </is>
      </c>
      <c r="D61" t="inlineStr">
        <is>
          <t>s</t>
        </is>
      </c>
      <c r="E61" t="n">
        <v>3</v>
      </c>
      <c r="F61">
        <f>60/INDEX(boss_input_nhip_that!$B$2:$B$74,MATCH($P$61,boss_input_nhip_that!$A$2:$A$74,0))/IF(INDEX(boss_input_nhip_that!$C$2:$C$74,MATCH($P$61,boss_input_nhip_that!$A$2:$A$74,0))="gun",0.7,1)</f>
        <v/>
      </c>
      <c r="G61">
        <f>$E$61/$F$61</f>
        <v/>
      </c>
      <c r="H61" t="n">
        <v>0.6</v>
      </c>
      <c r="I61" t="n">
        <v>2</v>
      </c>
      <c r="J61" t="b">
        <v>0</v>
      </c>
      <c r="K61" t="inlineStr"/>
      <c r="L61">
        <f>IF(ISNUMBER($H$61),AND(NOT($J$61),OR($G$61&lt;$H$61,$G$61&gt;$I$61)),FALSE)</f>
        <v/>
      </c>
      <c r="M61" t="inlineStr"/>
      <c r="N61" t="inlineStr">
        <is>
          <t>R_balance;R_full_weapon_audit;W_wikipedia_a_192</t>
        </is>
      </c>
      <c r="O61" t="inlineStr">
        <is>
          <t>nhịp pháo boss so với hệ thống thật (định nghĩa như 01_chien_dau/Vu_khi_so_sanh_that)</t>
        </is>
      </c>
      <c r="P61" t="inlineStr">
        <is>
          <t>p26_leviathan_direct_lev127</t>
        </is>
      </c>
      <c r="Q61" t="inlineStr">
        <is>
          <t>Tools/balance/full_weapon_audit.py (bảng REAL) qua input_nhip_that / input_ty_le_nhip</t>
        </is>
      </c>
      <c r="R61" t="inlineStr"/>
    </row>
    <row r="62">
      <c r="A62" t="inlineStr">
        <is>
          <t>kraken/p26_leviathan_lev406/nhip</t>
        </is>
      </c>
      <c r="B62" t="inlineStr">
        <is>
          <t>kraken</t>
        </is>
      </c>
      <c r="C62" t="inlineStr">
        <is>
          <t>khe_mot_nong_mot_vien</t>
        </is>
      </c>
      <c r="D62" t="inlineStr">
        <is>
          <t>s</t>
        </is>
      </c>
      <c r="E62" t="n">
        <v>60</v>
      </c>
      <c r="F62">
        <f>60/INDEX(boss_input_nhip_that!$B$2:$B$74,MATCH($P$62,boss_input_nhip_that!$A$2:$A$74,0))/IF(INDEX(boss_input_nhip_that!$C$2:$C$74,MATCH($P$62,boss_input_nhip_that!$A$2:$A$74,0))="gun",0.7,1)</f>
        <v/>
      </c>
      <c r="G62">
        <f>$E$62/$F$62</f>
        <v/>
      </c>
      <c r="H62" t="n">
        <v>0.6</v>
      </c>
      <c r="I62" t="n">
        <v>2</v>
      </c>
      <c r="J62" t="b">
        <v>0</v>
      </c>
      <c r="K62" t="inlineStr"/>
      <c r="L62">
        <f>IF(ISNUMBER($H$62),AND(NOT($J$62),OR($G$62&lt;$H$62,$G$62&gt;$I$62)),FALSE)</f>
        <v/>
      </c>
      <c r="M62" t="inlineStr"/>
      <c r="N62" t="inlineStr">
        <is>
          <t>R_balance;R_full_weapon_audit;W_wikipedia_16_50_caliber_mark_7</t>
        </is>
      </c>
      <c r="O62" t="inlineStr">
        <is>
          <t>nhịp pháo boss so với hệ thống thật (định nghĩa như 01_chien_dau/Vu_khi_so_sanh_that)</t>
        </is>
      </c>
      <c r="P62" t="inlineStr">
        <is>
          <t>p26_leviathan_lev406</t>
        </is>
      </c>
      <c r="Q62" t="inlineStr">
        <is>
          <t>Tools/balance/full_weapon_audit.py (bảng REAL) qua input_nhip_that / input_ty_le_nhip</t>
        </is>
      </c>
      <c r="R62" t="inlineStr"/>
    </row>
    <row r="63">
      <c r="A63" t="inlineStr">
        <is>
          <t>kraken/p26_leviathan_sec_lev155/nhip</t>
        </is>
      </c>
      <c r="B63" t="inlineStr">
        <is>
          <t>kraken</t>
        </is>
      </c>
      <c r="C63" t="inlineStr">
        <is>
          <t>khe_mot_nong_mot_vien</t>
        </is>
      </c>
      <c r="D63" t="inlineStr">
        <is>
          <t>s</t>
        </is>
      </c>
      <c r="E63" t="n">
        <v>10.5</v>
      </c>
      <c r="F63">
        <f>60/INDEX(boss_input_nhip_that!$B$2:$B$74,MATCH($P$63,boss_input_nhip_that!$A$2:$A$74,0))/IF(INDEX(boss_input_nhip_that!$C$2:$C$74,MATCH($P$63,boss_input_nhip_that!$A$2:$A$74,0))="gun",0.7,1)</f>
        <v/>
      </c>
      <c r="G63">
        <f>$E$63/$F$63</f>
        <v/>
      </c>
      <c r="H63" t="n">
        <v>0.6</v>
      </c>
      <c r="I63" t="n">
        <v>2</v>
      </c>
      <c r="J63" t="b">
        <v>0</v>
      </c>
      <c r="K63" t="inlineStr"/>
      <c r="L63">
        <f>IF(ISNUMBER($H$63),AND(NOT($J$63),OR($G$63&lt;$H$63,$G$63&gt;$I$63)),FALSE)</f>
        <v/>
      </c>
      <c r="M63" t="inlineStr"/>
      <c r="N63" t="inlineStr">
        <is>
          <t>R_balance;R_full_weapon_audit;W_wikipedia_15_5_cm_60_3rd_year_type</t>
        </is>
      </c>
      <c r="O63" t="inlineStr">
        <is>
          <t>nhịp pháo boss so với hệ thống thật (định nghĩa như 01_chien_dau/Vu_khi_so_sanh_that)</t>
        </is>
      </c>
      <c r="P63" t="inlineStr">
        <is>
          <t>p26_leviathan_sec_lev155</t>
        </is>
      </c>
      <c r="Q63" t="inlineStr">
        <is>
          <t>Tools/balance/full_weapon_audit.py (bảng REAL) qua input_nhip_that / input_ty_le_nhip</t>
        </is>
      </c>
      <c r="R63" t="inlineStr"/>
    </row>
    <row r="64">
      <c r="A64" t="inlineStr">
        <is>
          <t>kraken/sam_post/nhip</t>
        </is>
      </c>
      <c r="B64" t="inlineStr">
        <is>
          <t>kraken</t>
        </is>
      </c>
      <c r="C64" t="inlineStr">
        <is>
          <t>khe_mot_nong_mot_vien</t>
        </is>
      </c>
      <c r="D64" t="inlineStr">
        <is>
          <t>s</t>
        </is>
      </c>
      <c r="E64" t="n">
        <v>2.2</v>
      </c>
      <c r="F64">
        <f>60/INDEX(boss_input_nhip_that!$B$2:$B$74,MATCH($P$64,boss_input_nhip_that!$A$2:$A$74,0))/IF(INDEX(boss_input_nhip_that!$C$2:$C$74,MATCH($P$64,boss_input_nhip_that!$A$2:$A$74,0))="gun",0.7,1)</f>
        <v/>
      </c>
      <c r="G64">
        <f>$E$64/$F$64</f>
        <v/>
      </c>
      <c r="H64" t="n">
        <v>0.6</v>
      </c>
      <c r="I64" t="n">
        <v>2</v>
      </c>
      <c r="J64" t="b">
        <v>0</v>
      </c>
      <c r="K64" t="inlineStr"/>
      <c r="L64">
        <f>IF(ISNUMBER($H$64),AND(NOT($J$64),OR($G$64&lt;$H$64,$G$64&gt;$I$64)),FALSE)</f>
        <v/>
      </c>
      <c r="M64" t="inlineStr">
        <is>
          <t>TC0107</t>
        </is>
      </c>
      <c r="N64" t="inlineStr">
        <is>
          <t>R_balance;R_full_weapon_audit;W_wikipedia_buk_missile_system;R_machine_brigade_can_bang</t>
        </is>
      </c>
      <c r="O64" t="inlineStr">
        <is>
          <t>nhịp pháo boss so với hệ thống thật (định nghĩa như 01_chien_dau/Vu_khi_so_sanh_that)</t>
        </is>
      </c>
      <c r="P64" t="inlineStr">
        <is>
          <t>sam_post</t>
        </is>
      </c>
      <c r="Q64" t="inlineStr">
        <is>
          <t>Tools/balance/full_weapon_audit.py (bảng REAL) qua input_nhip_that / input_ty_le_nhip</t>
        </is>
      </c>
      <c r="R64" t="inlineStr"/>
    </row>
    <row r="65">
      <c r="A65" t="inlineStr">
        <is>
          <t>landing_hovercraft/ciws_aa/nhip</t>
        </is>
      </c>
      <c r="B65" t="inlineStr">
        <is>
          <t>landing_hovercraft</t>
        </is>
      </c>
      <c r="C65" t="inlineStr">
        <is>
          <t>khe_mot_nong_mot_vien</t>
        </is>
      </c>
      <c r="D65" t="inlineStr">
        <is>
          <t>s</t>
        </is>
      </c>
      <c r="E65" t="n">
        <v>0.100033332</v>
      </c>
      <c r="F65">
        <f>60/INDEX(boss_input_nhip_that!$B$2:$B$74,MATCH($P$65,boss_input_nhip_that!$A$2:$A$74,0))/IF(INDEX(boss_input_nhip_that!$C$2:$C$74,MATCH($P$65,boss_input_nhip_that!$A$2:$A$74,0))="gun",0.7,1)</f>
        <v/>
      </c>
      <c r="G65">
        <f>$E$65/$F$65</f>
        <v/>
      </c>
      <c r="H65" t="n">
        <v>0.6</v>
      </c>
      <c r="I65" t="n">
        <v>2</v>
      </c>
      <c r="J65" t="b">
        <v>1</v>
      </c>
      <c r="K65" t="inlineStr">
        <is>
          <t>bản kiểm L1 (Tools/balance/full_weapon_audit.py) không cờ nhịp này: súng máy, pháo tự động, cao xạ so khe chậm với nhịp thực tế; rốc-két, bom và đồ treo máy bay chỉ so khoảng trong loạt</t>
        </is>
      </c>
      <c r="L65">
        <f>IF(ISNUMBER($H$65),AND(NOT($J$65),OR($G$65&lt;$H$65,$G$65&gt;$I$65)),FALSE)</f>
        <v/>
      </c>
      <c r="M65" t="inlineStr"/>
      <c r="N65" t="inlineStr">
        <is>
          <t>R_balance;R_full_weapon_audit;W_wikipedia_ak_630;R_machine_brigade_can_bang</t>
        </is>
      </c>
      <c r="O65" t="inlineStr">
        <is>
          <t>nhịp pháo boss so với hệ thống thật (định nghĩa như 01_chien_dau/Vu_khi_so_sanh_that)</t>
        </is>
      </c>
      <c r="P65" t="inlineStr">
        <is>
          <t>ciws_aa</t>
        </is>
      </c>
      <c r="Q65" t="inlineStr">
        <is>
          <t>Tools/balance/full_weapon_audit.py (bảng REAL) qua input_nhip_that / input_ty_le_nhip</t>
        </is>
      </c>
      <c r="R65" t="inlineStr"/>
    </row>
    <row r="66">
      <c r="A66" t="inlineStr">
        <is>
          <t>landing_hovercraft/hover_ciws/nhip</t>
        </is>
      </c>
      <c r="B66" t="inlineStr">
        <is>
          <t>landing_hovercraft</t>
        </is>
      </c>
      <c r="C66" t="inlineStr">
        <is>
          <t>khe_mot_nong_mot_vien</t>
        </is>
      </c>
      <c r="D66" t="inlineStr">
        <is>
          <t>s</t>
        </is>
      </c>
      <c r="E66" t="n">
        <v>0.100033332</v>
      </c>
      <c r="F66">
        <f>60/INDEX(boss_input_nhip_that!$B$2:$B$74,MATCH($P$66,boss_input_nhip_that!$A$2:$A$74,0))/IF(INDEX(boss_input_nhip_that!$C$2:$C$74,MATCH($P$66,boss_input_nhip_that!$A$2:$A$74,0))="gun",0.7,1)</f>
        <v/>
      </c>
      <c r="G66">
        <f>$E$66/$F$66</f>
        <v/>
      </c>
      <c r="H66" t="n">
        <v>0.6</v>
      </c>
      <c r="I66" t="n">
        <v>2</v>
      </c>
      <c r="J66" t="b">
        <v>1</v>
      </c>
      <c r="K66" t="inlineStr">
        <is>
          <t>bản kiểm L1 (Tools/balance/full_weapon_audit.py) không cờ nhịp này: súng máy, pháo tự động, cao xạ so khe chậm với nhịp thực tế; rốc-két, bom và đồ treo máy bay chỉ so khoảng trong loạt</t>
        </is>
      </c>
      <c r="L66">
        <f>IF(ISNUMBER($H$66),AND(NOT($J$66),OR($G$66&lt;$H$66,$G$66&gt;$I$66)),FALSE)</f>
        <v/>
      </c>
      <c r="M66" t="inlineStr"/>
      <c r="N66" t="inlineStr">
        <is>
          <t>R_balance;R_full_weapon_audit;W_wikipedia_ak_630;R_machine_brigade_can_bang</t>
        </is>
      </c>
      <c r="O66" t="inlineStr">
        <is>
          <t>nhịp pháo boss so với hệ thống thật (định nghĩa như 01_chien_dau/Vu_khi_so_sanh_that)</t>
        </is>
      </c>
      <c r="P66" t="inlineStr">
        <is>
          <t>hover_ciws</t>
        </is>
      </c>
      <c r="Q66" t="inlineStr">
        <is>
          <t>Tools/balance/full_weapon_audit.py (bảng REAL) qua input_nhip_that / input_ty_le_nhip</t>
        </is>
      </c>
      <c r="R66" t="inlineStr"/>
    </row>
    <row r="67">
      <c r="A67" t="inlineStr">
        <is>
          <t>landing_hovercraft/hover_rockets/nhip</t>
        </is>
      </c>
      <c r="B67" t="inlineStr">
        <is>
          <t>landing_hovercraft</t>
        </is>
      </c>
      <c r="C67" t="inlineStr">
        <is>
          <t>khe_mot_nong_mot_vien</t>
        </is>
      </c>
      <c r="D67" t="inlineStr">
        <is>
          <t>s</t>
        </is>
      </c>
      <c r="E67" t="n">
        <v>0.5</v>
      </c>
      <c r="F67">
        <f>60/INDEX(boss_input_nhip_that!$B$2:$B$74,MATCH($P$67,boss_input_nhip_that!$A$2:$A$74,0))/IF(INDEX(boss_input_nhip_that!$C$2:$C$74,MATCH($P$67,boss_input_nhip_that!$A$2:$A$74,0))="gun",0.7,1)</f>
        <v/>
      </c>
      <c r="G67">
        <f>$E$67/$F$67</f>
        <v/>
      </c>
      <c r="H67" t="n">
        <v>0.6</v>
      </c>
      <c r="I67" t="n">
        <v>2</v>
      </c>
      <c r="J67" t="b">
        <v>0</v>
      </c>
      <c r="K67" t="inlineStr"/>
      <c r="L67">
        <f>IF(ISNUMBER($H$67),AND(NOT($J$67),OR($G$67&lt;$H$67,$G$67&gt;$I$67)),FALSE)</f>
        <v/>
      </c>
      <c r="M67" t="inlineStr"/>
      <c r="N67" t="inlineStr">
        <is>
          <t>R_balance;R_full_weapon_audit;R_machine_brigade_can_bang</t>
        </is>
      </c>
      <c r="O67" t="inlineStr">
        <is>
          <t>nhịp pháo boss so với hệ thống thật (định nghĩa như 01_chien_dau/Vu_khi_so_sanh_that)</t>
        </is>
      </c>
      <c r="P67" t="inlineStr">
        <is>
          <t>hover_rockets</t>
        </is>
      </c>
      <c r="Q67" t="inlineStr">
        <is>
          <t>Tools/balance/full_weapon_audit.py (bảng REAL) qua input_nhip_that / input_ty_le_nhip</t>
        </is>
      </c>
      <c r="R67" t="inlineStr"/>
    </row>
    <row r="68">
      <c r="A68" t="inlineStr">
        <is>
          <t>leviathan/aa_25_triple/nhip</t>
        </is>
      </c>
      <c r="B68" t="inlineStr">
        <is>
          <t>leviathan</t>
        </is>
      </c>
      <c r="C68" t="inlineStr">
        <is>
          <t>khe_mot_nong_mot_vien</t>
        </is>
      </c>
      <c r="D68" t="inlineStr">
        <is>
          <t>s</t>
        </is>
      </c>
      <c r="E68" t="n">
        <v>0.620000077</v>
      </c>
      <c r="F68">
        <f>60/INDEX(boss_input_nhip_that!$B$2:$B$74,MATCH($P$68,boss_input_nhip_that!$A$2:$A$74,0))/IF(INDEX(boss_input_nhip_that!$C$2:$C$74,MATCH($P$68,boss_input_nhip_that!$A$2:$A$74,0))="gun",0.7,1)</f>
        <v/>
      </c>
      <c r="G68">
        <f>$E$68/$F$68</f>
        <v/>
      </c>
      <c r="H68" t="n">
        <v>0.6</v>
      </c>
      <c r="I68" t="n">
        <v>2</v>
      </c>
      <c r="J68" t="b">
        <v>1</v>
      </c>
      <c r="K68" t="inlineStr">
        <is>
          <t>bản kiểm L1 (Tools/balance/full_weapon_audit.py) không cờ nhịp này: súng máy, pháo tự động, cao xạ so khe chậm với nhịp thực tế; rốc-két, bom và đồ treo máy bay chỉ so khoảng trong loạt</t>
        </is>
      </c>
      <c r="L68">
        <f>IF(ISNUMBER($H$68),AND(NOT($J$68),OR($G$68&lt;$H$68,$G$68&gt;$I$68)),FALSE)</f>
        <v/>
      </c>
      <c r="M68" t="inlineStr"/>
      <c r="N68" t="inlineStr">
        <is>
          <t>R_balance;R_full_weapon_audit;W_wikipedia_type_96_25_mm_at_aa_gun;R_machine_brigade_can_bang</t>
        </is>
      </c>
      <c r="O68" t="inlineStr">
        <is>
          <t>nhịp pháo boss so với hệ thống thật (định nghĩa như 01_chien_dau/Vu_khi_so_sanh_that)</t>
        </is>
      </c>
      <c r="P68" t="inlineStr">
        <is>
          <t>aa_25_triple</t>
        </is>
      </c>
      <c r="Q68" t="inlineStr">
        <is>
          <t>Tools/balance/full_weapon_audit.py (bảng REAL) qua input_nhip_that / input_ty_le_nhip</t>
        </is>
      </c>
      <c r="R68" t="inlineStr"/>
    </row>
    <row r="69">
      <c r="A69" t="inlineStr">
        <is>
          <t>leviathan/p26_leviathan_direct_lev127/nhip</t>
        </is>
      </c>
      <c r="B69" t="inlineStr">
        <is>
          <t>leviathan</t>
        </is>
      </c>
      <c r="C69" t="inlineStr">
        <is>
          <t>khe_mot_nong_mot_vien</t>
        </is>
      </c>
      <c r="D69" t="inlineStr">
        <is>
          <t>s</t>
        </is>
      </c>
      <c r="E69" t="n">
        <v>3</v>
      </c>
      <c r="F69">
        <f>60/INDEX(boss_input_nhip_that!$B$2:$B$74,MATCH($P$69,boss_input_nhip_that!$A$2:$A$74,0))/IF(INDEX(boss_input_nhip_that!$C$2:$C$74,MATCH($P$69,boss_input_nhip_that!$A$2:$A$74,0))="gun",0.7,1)</f>
        <v/>
      </c>
      <c r="G69">
        <f>$E$69/$F$69</f>
        <v/>
      </c>
      <c r="H69" t="n">
        <v>0.6</v>
      </c>
      <c r="I69" t="n">
        <v>2</v>
      </c>
      <c r="J69" t="b">
        <v>0</v>
      </c>
      <c r="K69" t="inlineStr"/>
      <c r="L69">
        <f>IF(ISNUMBER($H$69),AND(NOT($J$69),OR($G$69&lt;$H$69,$G$69&gt;$I$69)),FALSE)</f>
        <v/>
      </c>
      <c r="M69" t="inlineStr"/>
      <c r="N69" t="inlineStr">
        <is>
          <t>R_balance;R_full_weapon_audit;W_wikipedia_a_192</t>
        </is>
      </c>
      <c r="O69" t="inlineStr">
        <is>
          <t>nhịp pháo boss so với hệ thống thật (định nghĩa như 01_chien_dau/Vu_khi_so_sanh_that)</t>
        </is>
      </c>
      <c r="P69" t="inlineStr">
        <is>
          <t>p26_leviathan_direct_lev127</t>
        </is>
      </c>
      <c r="Q69" t="inlineStr">
        <is>
          <t>Tools/balance/full_weapon_audit.py (bảng REAL) qua input_nhip_that / input_ty_le_nhip</t>
        </is>
      </c>
      <c r="R69" t="inlineStr"/>
    </row>
    <row r="70">
      <c r="A70" t="inlineStr">
        <is>
          <t>leviathan/p26_leviathan_lev406/nhip</t>
        </is>
      </c>
      <c r="B70" t="inlineStr">
        <is>
          <t>leviathan</t>
        </is>
      </c>
      <c r="C70" t="inlineStr">
        <is>
          <t>khe_mot_nong_mot_vien</t>
        </is>
      </c>
      <c r="D70" t="inlineStr">
        <is>
          <t>s</t>
        </is>
      </c>
      <c r="E70" t="n">
        <v>60</v>
      </c>
      <c r="F70">
        <f>60/INDEX(boss_input_nhip_that!$B$2:$B$74,MATCH($P$70,boss_input_nhip_that!$A$2:$A$74,0))/IF(INDEX(boss_input_nhip_that!$C$2:$C$74,MATCH($P$70,boss_input_nhip_that!$A$2:$A$74,0))="gun",0.7,1)</f>
        <v/>
      </c>
      <c r="G70">
        <f>$E$70/$F$70</f>
        <v/>
      </c>
      <c r="H70" t="n">
        <v>0.6</v>
      </c>
      <c r="I70" t="n">
        <v>2</v>
      </c>
      <c r="J70" t="b">
        <v>0</v>
      </c>
      <c r="K70" t="inlineStr"/>
      <c r="L70">
        <f>IF(ISNUMBER($H$70),AND(NOT($J$70),OR($G$70&lt;$H$70,$G$70&gt;$I$70)),FALSE)</f>
        <v/>
      </c>
      <c r="M70" t="inlineStr"/>
      <c r="N70" t="inlineStr">
        <is>
          <t>R_balance;R_full_weapon_audit;W_wikipedia_16_50_caliber_mark_7</t>
        </is>
      </c>
      <c r="O70" t="inlineStr">
        <is>
          <t>nhịp pháo boss so với hệ thống thật (định nghĩa như 01_chien_dau/Vu_khi_so_sanh_that)</t>
        </is>
      </c>
      <c r="P70" t="inlineStr">
        <is>
          <t>p26_leviathan_lev406</t>
        </is>
      </c>
      <c r="Q70" t="inlineStr">
        <is>
          <t>Tools/balance/full_weapon_audit.py (bảng REAL) qua input_nhip_that / input_ty_le_nhip</t>
        </is>
      </c>
      <c r="R70" t="inlineStr"/>
    </row>
    <row r="71">
      <c r="A71" t="inlineStr">
        <is>
          <t>leviathan/p26_leviathan_sec_lev155/nhip</t>
        </is>
      </c>
      <c r="B71" t="inlineStr">
        <is>
          <t>leviathan</t>
        </is>
      </c>
      <c r="C71" t="inlineStr">
        <is>
          <t>khe_mot_nong_mot_vien</t>
        </is>
      </c>
      <c r="D71" t="inlineStr">
        <is>
          <t>s</t>
        </is>
      </c>
      <c r="E71" t="n">
        <v>10.5</v>
      </c>
      <c r="F71">
        <f>60/INDEX(boss_input_nhip_that!$B$2:$B$74,MATCH($P$71,boss_input_nhip_that!$A$2:$A$74,0))/IF(INDEX(boss_input_nhip_that!$C$2:$C$74,MATCH($P$71,boss_input_nhip_that!$A$2:$A$74,0))="gun",0.7,1)</f>
        <v/>
      </c>
      <c r="G71">
        <f>$E$71/$F$71</f>
        <v/>
      </c>
      <c r="H71" t="n">
        <v>0.6</v>
      </c>
      <c r="I71" t="n">
        <v>2</v>
      </c>
      <c r="J71" t="b">
        <v>0</v>
      </c>
      <c r="K71" t="inlineStr"/>
      <c r="L71">
        <f>IF(ISNUMBER($H$71),AND(NOT($J$71),OR($G$71&lt;$H$71,$G$71&gt;$I$71)),FALSE)</f>
        <v/>
      </c>
      <c r="M71" t="inlineStr"/>
      <c r="N71" t="inlineStr">
        <is>
          <t>R_balance;R_full_weapon_audit;W_wikipedia_15_5_cm_60_3rd_year_type</t>
        </is>
      </c>
      <c r="O71" t="inlineStr">
        <is>
          <t>nhịp pháo boss so với hệ thống thật (định nghĩa như 01_chien_dau/Vu_khi_so_sanh_that)</t>
        </is>
      </c>
      <c r="P71" t="inlineStr">
        <is>
          <t>p26_leviathan_sec_lev155</t>
        </is>
      </c>
      <c r="Q71" t="inlineStr">
        <is>
          <t>Tools/balance/full_weapon_audit.py (bảng REAL) qua input_nhip_that / input_ty_le_nhip</t>
        </is>
      </c>
      <c r="R71" t="inlineStr"/>
    </row>
    <row r="72">
      <c r="A72" t="inlineStr">
        <is>
          <t>leviathan/sam_post/nhip</t>
        </is>
      </c>
      <c r="B72" t="inlineStr">
        <is>
          <t>leviathan</t>
        </is>
      </c>
      <c r="C72" t="inlineStr">
        <is>
          <t>khe_mot_nong_mot_vien</t>
        </is>
      </c>
      <c r="D72" t="inlineStr">
        <is>
          <t>s</t>
        </is>
      </c>
      <c r="E72" t="n">
        <v>2.2</v>
      </c>
      <c r="F72">
        <f>60/INDEX(boss_input_nhip_that!$B$2:$B$74,MATCH($P$72,boss_input_nhip_that!$A$2:$A$74,0))/IF(INDEX(boss_input_nhip_that!$C$2:$C$74,MATCH($P$72,boss_input_nhip_that!$A$2:$A$74,0))="gun",0.7,1)</f>
        <v/>
      </c>
      <c r="G72">
        <f>$E$72/$F$72</f>
        <v/>
      </c>
      <c r="H72" t="n">
        <v>0.6</v>
      </c>
      <c r="I72" t="n">
        <v>2</v>
      </c>
      <c r="J72" t="b">
        <v>0</v>
      </c>
      <c r="K72" t="inlineStr"/>
      <c r="L72">
        <f>IF(ISNUMBER($H$72),AND(NOT($J$72),OR($G$72&lt;$H$72,$G$72&gt;$I$72)),FALSE)</f>
        <v/>
      </c>
      <c r="M72" t="inlineStr">
        <is>
          <t>TC0108</t>
        </is>
      </c>
      <c r="N72" t="inlineStr">
        <is>
          <t>R_balance;R_full_weapon_audit;W_wikipedia_buk_missile_system;R_machine_brigade_can_bang</t>
        </is>
      </c>
      <c r="O72" t="inlineStr">
        <is>
          <t>nhịp pháo boss so với hệ thống thật (định nghĩa như 01_chien_dau/Vu_khi_so_sanh_that)</t>
        </is>
      </c>
      <c r="P72" t="inlineStr">
        <is>
          <t>sam_post</t>
        </is>
      </c>
      <c r="Q72" t="inlineStr">
        <is>
          <t>Tools/balance/full_weapon_audit.py (bảng REAL) qua input_nhip_that / input_ty_le_nhip</t>
        </is>
      </c>
      <c r="R72" t="inlineStr"/>
    </row>
    <row r="73">
      <c r="A73" t="inlineStr">
        <is>
          <t>locust/p26_matriarch_close_boss_flak/nhip</t>
        </is>
      </c>
      <c r="B73" t="inlineStr">
        <is>
          <t>locust</t>
        </is>
      </c>
      <c r="C73" t="inlineStr">
        <is>
          <t>khe_mot_nong_mot_vien</t>
        </is>
      </c>
      <c r="D73" t="inlineStr">
        <is>
          <t>s</t>
        </is>
      </c>
      <c r="E73" t="n">
        <v>0.262439018</v>
      </c>
      <c r="F73">
        <f>60/INDEX(boss_input_nhip_that!$B$2:$B$74,MATCH($P$73,boss_input_nhip_that!$A$2:$A$74,0))/IF(INDEX(boss_input_nhip_that!$C$2:$C$74,MATCH($P$73,boss_input_nhip_that!$A$2:$A$74,0))="gun",0.7,1)</f>
        <v/>
      </c>
      <c r="G73">
        <f>$E$73/$F$73</f>
        <v/>
      </c>
      <c r="H73" t="n">
        <v>0.6</v>
      </c>
      <c r="I73" t="n">
        <v>2</v>
      </c>
      <c r="J73" t="b">
        <v>1</v>
      </c>
      <c r="K73" t="inlineStr">
        <is>
          <t>fix_weapon_reasons.json: wave 1 boss_flak: 41 rounds at 1,200 rpm, changed in 3.38 s (twin Oerlikon GDF 2 x 550 rpm)</t>
        </is>
      </c>
      <c r="L73">
        <f>IF(ISNUMBER($H$73),AND(NOT($J$73),OR($G$73&lt;$H$73,$G$73&gt;$I$73)),FALSE)</f>
        <v/>
      </c>
      <c r="M73" t="inlineStr"/>
      <c r="N73" t="inlineStr">
        <is>
          <t>R_balance;R_full_weapon_audit;W_wikipedia_oerlikon_gdf</t>
        </is>
      </c>
      <c r="O73" t="inlineStr">
        <is>
          <t>nhịp pháo boss so với hệ thống thật (định nghĩa như 01_chien_dau/Vu_khi_so_sanh_that)</t>
        </is>
      </c>
      <c r="P73" t="inlineStr">
        <is>
          <t>p26_matriarch_close_boss_flak</t>
        </is>
      </c>
      <c r="Q73" t="inlineStr">
        <is>
          <t>Tools/balance/full_weapon_audit.py (bảng REAL) qua input_nhip_that / input_ty_le_nhip</t>
        </is>
      </c>
      <c r="R73" t="inlineStr"/>
    </row>
    <row r="74">
      <c r="A74" t="inlineStr">
        <is>
          <t>mega_gunship/boss_heli_gun/nhip</t>
        </is>
      </c>
      <c r="B74" t="inlineStr">
        <is>
          <t>mega_gunship</t>
        </is>
      </c>
      <c r="C74" t="inlineStr">
        <is>
          <t>khe_mot_nong_mot_vien</t>
        </is>
      </c>
      <c r="D74" t="inlineStr">
        <is>
          <t>s</t>
        </is>
      </c>
      <c r="E74" t="n">
        <v>0.241707456</v>
      </c>
      <c r="F74">
        <f>60/INDEX(boss_input_nhip_that!$B$2:$B$74,MATCH($P$74,boss_input_nhip_that!$A$2:$A$74,0))/IF(INDEX(boss_input_nhip_that!$C$2:$C$74,MATCH($P$74,boss_input_nhip_that!$A$2:$A$74,0))="gun",0.7,1)</f>
        <v/>
      </c>
      <c r="G74">
        <f>$E$74/$F$74</f>
        <v/>
      </c>
      <c r="H74" t="n">
        <v>0.6</v>
      </c>
      <c r="I74" t="n">
        <v>2</v>
      </c>
      <c r="J74" t="b">
        <v>1</v>
      </c>
      <c r="K74" t="inlineStr">
        <is>
          <t>bản kiểm L1 (Tools/balance/full_weapon_audit.py) không cờ nhịp này: súng máy, pháo tự động, cao xạ so khe chậm với nhịp thực tế; rốc-két, bom và đồ treo máy bay chỉ so khoảng trong loạt</t>
        </is>
      </c>
      <c r="L74">
        <f>IF(ISNUMBER($H$74),AND(NOT($J$74),OR($G$74&lt;$H$74,$G$74&gt;$I$74)),FALSE)</f>
        <v/>
      </c>
      <c r="M74" t="inlineStr"/>
      <c r="N74" t="inlineStr">
        <is>
          <t>R_balance;R_full_weapon_audit;W_wikipedia_m230_chain_gun;R_machine_brigade_can_bang</t>
        </is>
      </c>
      <c r="O74" t="inlineStr">
        <is>
          <t>nhịp pháo boss so với hệ thống thật (định nghĩa như 01_chien_dau/Vu_khi_so_sanh_that)</t>
        </is>
      </c>
      <c r="P74" t="inlineStr">
        <is>
          <t>boss_heli_gun</t>
        </is>
      </c>
      <c r="Q74" t="inlineStr">
        <is>
          <t>Tools/balance/full_weapon_audit.py (bảng REAL) qua input_nhip_that / input_ty_le_nhip</t>
        </is>
      </c>
      <c r="R74" t="inlineStr"/>
    </row>
    <row r="75">
      <c r="A75" t="inlineStr">
        <is>
          <t>mega_gunship/boss_hmg/nhip</t>
        </is>
      </c>
      <c r="B75" t="inlineStr">
        <is>
          <t>mega_gunship</t>
        </is>
      </c>
      <c r="C75" t="inlineStr">
        <is>
          <t>khe_mot_nong_mot_vien</t>
        </is>
      </c>
      <c r="D75" t="inlineStr">
        <is>
          <t>s</t>
        </is>
      </c>
      <c r="E75" t="n">
        <v>0.132467025</v>
      </c>
      <c r="F75">
        <f>60/INDEX(boss_input_nhip_that!$B$2:$B$74,MATCH($P$75,boss_input_nhip_that!$A$2:$A$74,0))/IF(INDEX(boss_input_nhip_that!$C$2:$C$74,MATCH($P$75,boss_input_nhip_that!$A$2:$A$74,0))="gun",0.7,1)</f>
        <v/>
      </c>
      <c r="G75">
        <f>$E$75/$F$75</f>
        <v/>
      </c>
      <c r="H75" t="n">
        <v>0.6</v>
      </c>
      <c r="I75" t="n">
        <v>2</v>
      </c>
      <c r="J75" t="b">
        <v>0</v>
      </c>
      <c r="K75" t="inlineStr"/>
      <c r="L75">
        <f>IF(ISNUMBER($H$75),AND(NOT($J$75),OR($G$75&lt;$H$75,$G$75&gt;$I$75)),FALSE)</f>
        <v/>
      </c>
      <c r="M75" t="inlineStr"/>
      <c r="N75" t="inlineStr">
        <is>
          <t>R_balance;R_full_weapon_audit;W_wikipedia_nsv_machine_gun;R_machine_brigade_can_bang</t>
        </is>
      </c>
      <c r="O75" t="inlineStr">
        <is>
          <t>nhịp pháo boss so với hệ thống thật (định nghĩa như 01_chien_dau/Vu_khi_so_sanh_that)</t>
        </is>
      </c>
      <c r="P75" t="inlineStr">
        <is>
          <t>boss_hmg</t>
        </is>
      </c>
      <c r="Q75" t="inlineStr">
        <is>
          <t>Tools/balance/full_weapon_audit.py (bảng REAL) qua input_nhip_that / input_ty_le_nhip</t>
        </is>
      </c>
      <c r="R75" t="inlineStr"/>
    </row>
    <row r="76">
      <c r="A76" t="inlineStr">
        <is>
          <t>mega_gunship/boss_minigun/nhip</t>
        </is>
      </c>
      <c r="B76" t="inlineStr">
        <is>
          <t>mega_gunship</t>
        </is>
      </c>
      <c r="C76" t="inlineStr">
        <is>
          <t>khe_mot_nong_mot_vien</t>
        </is>
      </c>
      <c r="D76" t="inlineStr">
        <is>
          <t>s</t>
        </is>
      </c>
      <c r="E76" t="n">
        <v>0.16902</v>
      </c>
      <c r="F76">
        <f>60/INDEX(boss_input_nhip_that!$B$2:$B$74,MATCH($P$76,boss_input_nhip_that!$A$2:$A$74,0))/IF(INDEX(boss_input_nhip_that!$C$2:$C$74,MATCH($P$76,boss_input_nhip_that!$A$2:$A$74,0))="gun",0.7,1)</f>
        <v/>
      </c>
      <c r="G76">
        <f>$E$76/$F$76</f>
        <v/>
      </c>
      <c r="H76" t="n">
        <v>0.6</v>
      </c>
      <c r="I76" t="n">
        <v>2</v>
      </c>
      <c r="J76" t="b">
        <v>1</v>
      </c>
      <c r="K76" t="inlineStr">
        <is>
          <t>bản kiểm L1 (Tools/balance/full_weapon_audit.py) không cờ nhịp này: súng máy, pháo tự động, cao xạ so khe chậm với nhịp thực tế; rốc-két, bom và đồ treo máy bay chỉ so khoảng trong loạt</t>
        </is>
      </c>
      <c r="L76">
        <f>IF(ISNUMBER($H$76),AND(NOT($J$76),OR($G$76&lt;$H$76,$G$76&gt;$I$76)),FALSE)</f>
        <v/>
      </c>
      <c r="M76" t="inlineStr"/>
      <c r="N76" t="inlineStr">
        <is>
          <t>R_balance;R_full_weapon_audit;W_wikipedia_gshg_7_62;R_machine_brigade_can_bang</t>
        </is>
      </c>
      <c r="O76" t="inlineStr">
        <is>
          <t>nhịp pháo boss so với hệ thống thật (định nghĩa như 01_chien_dau/Vu_khi_so_sanh_that)</t>
        </is>
      </c>
      <c r="P76" t="inlineStr">
        <is>
          <t>boss_minigun</t>
        </is>
      </c>
      <c r="Q76" t="inlineStr">
        <is>
          <t>Tools/balance/full_weapon_audit.py (bảng REAL) qua input_nhip_that / input_ty_le_nhip</t>
        </is>
      </c>
      <c r="R76" t="inlineStr"/>
    </row>
    <row r="77">
      <c r="A77" t="inlineStr">
        <is>
          <t>mega_gunship/gunship_rockets/nhip</t>
        </is>
      </c>
      <c r="B77" t="inlineStr">
        <is>
          <t>mega_gunship</t>
        </is>
      </c>
      <c r="C77" t="inlineStr">
        <is>
          <t>khe_mot_nong_mot_vien</t>
        </is>
      </c>
      <c r="D77" t="inlineStr">
        <is>
          <t>s</t>
        </is>
      </c>
      <c r="E77" t="n">
        <v>0.1</v>
      </c>
      <c r="F77">
        <f>60/INDEX(boss_input_nhip_that!$B$2:$B$74,MATCH($P$77,boss_input_nhip_that!$A$2:$A$74,0))/IF(INDEX(boss_input_nhip_that!$C$2:$C$74,MATCH($P$77,boss_input_nhip_that!$A$2:$A$74,0))="gun",0.7,1)</f>
        <v/>
      </c>
      <c r="G77">
        <f>$E$77/$F$77</f>
        <v/>
      </c>
      <c r="H77" t="n">
        <v>0.6</v>
      </c>
      <c r="I77" t="n">
        <v>2</v>
      </c>
      <c r="J77" t="b">
        <v>0</v>
      </c>
      <c r="K77" t="inlineStr"/>
      <c r="L77">
        <f>IF(ISNUMBER($H$77),AND(NOT($J$77),OR($G$77&lt;$H$77,$G$77&gt;$I$77)),FALSE)</f>
        <v/>
      </c>
      <c r="M77" t="inlineStr"/>
      <c r="N77" t="inlineStr">
        <is>
          <t>R_balance;R_full_weapon_audit;R_decisions;R_machine_brigade_can_bang</t>
        </is>
      </c>
      <c r="O77" t="inlineStr">
        <is>
          <t>nhịp pháo boss so với hệ thống thật (định nghĩa như 01_chien_dau/Vu_khi_so_sanh_that)</t>
        </is>
      </c>
      <c r="P77" t="inlineStr">
        <is>
          <t>gunship_rockets</t>
        </is>
      </c>
      <c r="Q77" t="inlineStr">
        <is>
          <t>Tools/balance/full_weapon_audit.py (bảng REAL) qua input_nhip_that / input_ty_le_nhip</t>
        </is>
      </c>
      <c r="R77" t="inlineStr"/>
    </row>
    <row r="78">
      <c r="A78" t="inlineStr">
        <is>
          <t>mobile_fortress/p26_jotunn_close_boss_flak/nhip</t>
        </is>
      </c>
      <c r="B78" t="inlineStr">
        <is>
          <t>mobile_fortress</t>
        </is>
      </c>
      <c r="C78" t="inlineStr">
        <is>
          <t>khe_mot_nong_mot_vien</t>
        </is>
      </c>
      <c r="D78" t="inlineStr">
        <is>
          <t>s</t>
        </is>
      </c>
      <c r="E78" t="n">
        <v>0.262439018</v>
      </c>
      <c r="F78">
        <f>60/INDEX(boss_input_nhip_that!$B$2:$B$74,MATCH($P$78,boss_input_nhip_that!$A$2:$A$74,0))/IF(INDEX(boss_input_nhip_that!$C$2:$C$74,MATCH($P$78,boss_input_nhip_that!$A$2:$A$74,0))="gun",0.7,1)</f>
        <v/>
      </c>
      <c r="G78">
        <f>$E$78/$F$78</f>
        <v/>
      </c>
      <c r="H78" t="n">
        <v>0.6</v>
      </c>
      <c r="I78" t="n">
        <v>2</v>
      </c>
      <c r="J78" t="b">
        <v>1</v>
      </c>
      <c r="K78" t="inlineStr">
        <is>
          <t>fix_weapon_reasons.json: wave 1 boss_flak: 41 rounds at 1,200 rpm, changed in 3.38 s (twin Oerlikon GDF 2 x 550 rpm)</t>
        </is>
      </c>
      <c r="L78">
        <f>IF(ISNUMBER($H$78),AND(NOT($J$78),OR($G$78&lt;$H$78,$G$78&gt;$I$78)),FALSE)</f>
        <v/>
      </c>
      <c r="M78" t="inlineStr"/>
      <c r="N78" t="inlineStr">
        <is>
          <t>R_balance;R_full_weapon_audit;W_wikipedia_oerlikon_gdf</t>
        </is>
      </c>
      <c r="O78" t="inlineStr">
        <is>
          <t>nhịp pháo boss so với hệ thống thật (định nghĩa như 01_chien_dau/Vu_khi_so_sanh_that)</t>
        </is>
      </c>
      <c r="P78" t="inlineStr">
        <is>
          <t>p26_jotunn_close_boss_flak</t>
        </is>
      </c>
      <c r="Q78" t="inlineStr">
        <is>
          <t>Tools/balance/full_weapon_audit.py (bảng REAL) qua input_nhip_that / input_ty_le_nhip</t>
        </is>
      </c>
      <c r="R78" t="inlineStr"/>
    </row>
    <row r="79">
      <c r="A79" t="inlineStr">
        <is>
          <t>mobile_fortress/p26_jotunn_direct_jo125/nhip</t>
        </is>
      </c>
      <c r="B79" t="inlineStr">
        <is>
          <t>mobile_fortress</t>
        </is>
      </c>
      <c r="C79" t="inlineStr">
        <is>
          <t>khe_mot_nong_mot_vien</t>
        </is>
      </c>
      <c r="D79" t="inlineStr">
        <is>
          <t>s</t>
        </is>
      </c>
      <c r="E79" t="n">
        <v>7.5</v>
      </c>
      <c r="F79">
        <f>60/INDEX(boss_input_nhip_that!$B$2:$B$74,MATCH($P$79,boss_input_nhip_that!$A$2:$A$74,0))/IF(INDEX(boss_input_nhip_that!$C$2:$C$74,MATCH($P$79,boss_input_nhip_that!$A$2:$A$74,0))="gun",0.7,1)</f>
        <v/>
      </c>
      <c r="G79">
        <f>$E$79/$F$79</f>
        <v/>
      </c>
      <c r="H79" t="n">
        <v>0.6</v>
      </c>
      <c r="I79" t="n">
        <v>2</v>
      </c>
      <c r="J79" t="b">
        <v>0</v>
      </c>
      <c r="K79" t="inlineStr"/>
      <c r="L79">
        <f>IF(ISNUMBER($H$79),AND(NOT($J$79),OR($G$79&lt;$H$79,$G$79&gt;$I$79)),FALSE)</f>
        <v/>
      </c>
      <c r="M79" t="inlineStr"/>
      <c r="N79" t="inlineStr">
        <is>
          <t>R_balance;R_full_weapon_audit;W_wikipedia_2a46</t>
        </is>
      </c>
      <c r="O79" t="inlineStr">
        <is>
          <t>nhịp pháo boss so với hệ thống thật (định nghĩa như 01_chien_dau/Vu_khi_so_sanh_that)</t>
        </is>
      </c>
      <c r="P79" t="inlineStr">
        <is>
          <t>p26_jotunn_direct_jo125</t>
        </is>
      </c>
      <c r="Q79" t="inlineStr">
        <is>
          <t>Tools/balance/full_weapon_audit.py (bảng REAL) qua input_nhip_that / input_ty_le_nhip</t>
        </is>
      </c>
      <c r="R79" t="inlineStr"/>
    </row>
    <row r="80">
      <c r="A80" t="inlineStr">
        <is>
          <t>mobile_fortress/p26_jotunn_jo203/nhip</t>
        </is>
      </c>
      <c r="B80" t="inlineStr">
        <is>
          <t>mobile_fortress</t>
        </is>
      </c>
      <c r="C80" t="inlineStr">
        <is>
          <t>khe_mot_nong_mot_vien</t>
        </is>
      </c>
      <c r="D80" t="inlineStr">
        <is>
          <t>s</t>
        </is>
      </c>
      <c r="E80" t="n">
        <v>24</v>
      </c>
      <c r="F80">
        <f>60/INDEX(boss_input_nhip_that!$B$2:$B$74,MATCH($P$80,boss_input_nhip_that!$A$2:$A$74,0))/IF(INDEX(boss_input_nhip_that!$C$2:$C$74,MATCH($P$80,boss_input_nhip_that!$A$2:$A$74,0))="gun",0.7,1)</f>
        <v/>
      </c>
      <c r="G80">
        <f>$E$80/$F$80</f>
        <v/>
      </c>
      <c r="H80" t="n">
        <v>0.6</v>
      </c>
      <c r="I80" t="n">
        <v>2</v>
      </c>
      <c r="J80" t="b">
        <v>0</v>
      </c>
      <c r="K80" t="inlineStr"/>
      <c r="L80">
        <f>IF(ISNUMBER($H$80),AND(NOT($J$80),OR($G$80&lt;$H$80,$G$80&gt;$I$80)),FALSE)</f>
        <v/>
      </c>
      <c r="M80" t="inlineStr"/>
      <c r="N80" t="inlineStr">
        <is>
          <t>R_balance;R_full_weapon_audit;W_wikipedia_2s7_pion</t>
        </is>
      </c>
      <c r="O80" t="inlineStr">
        <is>
          <t>nhịp pháo boss so với hệ thống thật (định nghĩa như 01_chien_dau/Vu_khi_so_sanh_that)</t>
        </is>
      </c>
      <c r="P80" t="inlineStr">
        <is>
          <t>p26_jotunn_jo203</t>
        </is>
      </c>
      <c r="Q80" t="inlineStr">
        <is>
          <t>Tools/balance/full_weapon_audit.py (bảng REAL) qua input_nhip_that / input_ty_le_nhip</t>
        </is>
      </c>
      <c r="R80" t="inlineStr"/>
    </row>
    <row r="81">
      <c r="A81" t="inlineStr">
        <is>
          <t>mobile_fortress/p26_jotunn_sec_jo_rockets/nhip</t>
        </is>
      </c>
      <c r="B81" t="inlineStr">
        <is>
          <t>mobile_fortress</t>
        </is>
      </c>
      <c r="C81" t="inlineStr">
        <is>
          <t>khe_mot_nong_mot_vien</t>
        </is>
      </c>
      <c r="D81" t="inlineStr">
        <is>
          <t>s</t>
        </is>
      </c>
      <c r="E81" t="n">
        <v>3.169998947</v>
      </c>
      <c r="F81">
        <f>60/INDEX(boss_input_nhip_that!$B$2:$B$74,MATCH($P$81,boss_input_nhip_that!$A$2:$A$74,0))/IF(INDEX(boss_input_nhip_that!$C$2:$C$74,MATCH($P$81,boss_input_nhip_that!$A$2:$A$74,0))="gun",0.7,1)</f>
        <v/>
      </c>
      <c r="G81">
        <f>$E$81/$F$81</f>
        <v/>
      </c>
      <c r="H81" t="n">
        <v>0.6</v>
      </c>
      <c r="I81" t="n">
        <v>2</v>
      </c>
      <c r="J81" t="b">
        <v>0</v>
      </c>
      <c r="K81" t="inlineStr"/>
      <c r="L81">
        <f>IF(ISNUMBER($H$81),AND(NOT($J$81),OR($G$81&lt;$H$81,$G$81&gt;$I$81)),FALSE)</f>
        <v/>
      </c>
      <c r="M81" t="inlineStr"/>
      <c r="N81" t="inlineStr">
        <is>
          <t>R_balance;R_full_weapon_audit;W_wikipedia_bm_30_smerch</t>
        </is>
      </c>
      <c r="O81" t="inlineStr">
        <is>
          <t>nhịp pháo boss so với hệ thống thật (định nghĩa như 01_chien_dau/Vu_khi_so_sanh_that)</t>
        </is>
      </c>
      <c r="P81" t="inlineStr">
        <is>
          <t>p26_jotunn_sec_jo_rockets</t>
        </is>
      </c>
      <c r="Q81" t="inlineStr">
        <is>
          <t>Tools/balance/full_weapon_audit.py (bảng REAL) qua input_nhip_that / input_ty_le_nhip</t>
        </is>
      </c>
      <c r="R81" t="inlineStr"/>
    </row>
    <row r="82">
      <c r="A82" t="inlineStr">
        <is>
          <t>mobile_fortress/p26_jotunn_tiny_twin_30_flak/nhip</t>
        </is>
      </c>
      <c r="B82" t="inlineStr">
        <is>
          <t>mobile_fortress</t>
        </is>
      </c>
      <c r="C82" t="inlineStr">
        <is>
          <t>khe_mot_nong_mot_vien</t>
        </is>
      </c>
      <c r="D82" t="inlineStr">
        <is>
          <t>s</t>
        </is>
      </c>
      <c r="E82" t="n">
        <v>0.08718748799999999</v>
      </c>
      <c r="F82">
        <f>60/INDEX(boss_input_nhip_that!$B$2:$B$74,MATCH($P$82,boss_input_nhip_that!$A$2:$A$74,0))/IF(INDEX(boss_input_nhip_that!$C$2:$C$74,MATCH($P$82,boss_input_nhip_that!$A$2:$A$74,0))="gun",0.7,1)</f>
        <v/>
      </c>
      <c r="G82">
        <f>$E$82/$F$82</f>
        <v/>
      </c>
      <c r="H82" t="n">
        <v>0.6</v>
      </c>
      <c r="I82" t="n">
        <v>2</v>
      </c>
      <c r="J82" t="b">
        <v>1</v>
      </c>
      <c r="K82" t="inlineStr">
        <is>
          <t>fix_weapon_reasons.json: wave 1 twin_30_flak: 160 rounds at 2,400 rpm, changed in 3 s (2A38M 4,060-5,000 rpm the pair)</t>
        </is>
      </c>
      <c r="L82">
        <f>IF(ISNUMBER($H$82),AND(NOT($J$82),OR($G$82&lt;$H$82,$G$82&gt;$I$82)),FALSE)</f>
        <v/>
      </c>
      <c r="M82" t="inlineStr"/>
      <c r="N82" t="inlineStr">
        <is>
          <t>R_balance;R_full_weapon_audit;W_wikipedia_2a38</t>
        </is>
      </c>
      <c r="O82" t="inlineStr">
        <is>
          <t>nhịp pháo boss so với hệ thống thật (định nghĩa như 01_chien_dau/Vu_khi_so_sanh_that)</t>
        </is>
      </c>
      <c r="P82" t="inlineStr">
        <is>
          <t>p26_jotunn_tiny_twin_30_flak</t>
        </is>
      </c>
      <c r="Q82" t="inlineStr">
        <is>
          <t>Tools/balance/full_weapon_audit.py (bảng REAL) qua input_nhip_that / input_ty_le_nhip</t>
        </is>
      </c>
      <c r="R82" t="inlineStr"/>
    </row>
    <row r="83">
      <c r="A83" t="inlineStr">
        <is>
          <t>mobile_fortress/sam_post/nhip</t>
        </is>
      </c>
      <c r="B83" t="inlineStr">
        <is>
          <t>mobile_fortress</t>
        </is>
      </c>
      <c r="C83" t="inlineStr">
        <is>
          <t>khe_mot_nong_mot_vien</t>
        </is>
      </c>
      <c r="D83" t="inlineStr">
        <is>
          <t>s</t>
        </is>
      </c>
      <c r="E83" t="n">
        <v>2.2</v>
      </c>
      <c r="F83">
        <f>60/INDEX(boss_input_nhip_that!$B$2:$B$74,MATCH($P$83,boss_input_nhip_that!$A$2:$A$74,0))/IF(INDEX(boss_input_nhip_that!$C$2:$C$74,MATCH($P$83,boss_input_nhip_that!$A$2:$A$74,0))="gun",0.7,1)</f>
        <v/>
      </c>
      <c r="G83">
        <f>$E$83/$F$83</f>
        <v/>
      </c>
      <c r="H83" t="n">
        <v>0.6</v>
      </c>
      <c r="I83" t="n">
        <v>2</v>
      </c>
      <c r="J83" t="b">
        <v>0</v>
      </c>
      <c r="K83" t="inlineStr"/>
      <c r="L83">
        <f>IF(ISNUMBER($H$83),AND(NOT($J$83),OR($G$83&lt;$H$83,$G$83&gt;$I$83)),FALSE)</f>
        <v/>
      </c>
      <c r="M83" t="inlineStr">
        <is>
          <t>TC0109</t>
        </is>
      </c>
      <c r="N83" t="inlineStr">
        <is>
          <t>R_balance;R_full_weapon_audit;W_wikipedia_buk_missile_system;R_machine_brigade_can_bang</t>
        </is>
      </c>
      <c r="O83" t="inlineStr">
        <is>
          <t>nhịp pháo boss so với hệ thống thật (định nghĩa như 01_chien_dau/Vu_khi_so_sanh_that)</t>
        </is>
      </c>
      <c r="P83" t="inlineStr">
        <is>
          <t>sam_post</t>
        </is>
      </c>
      <c r="Q83" t="inlineStr">
        <is>
          <t>Tools/balance/full_weapon_audit.py (bảng REAL) qua input_nhip_that / input_ty_le_nhip</t>
        </is>
      </c>
      <c r="R83" t="inlineStr"/>
    </row>
    <row r="84">
      <c r="A84" t="inlineStr">
        <is>
          <t>moloch/p26_moloch_close_boss_flak/nhip</t>
        </is>
      </c>
      <c r="B84" t="inlineStr">
        <is>
          <t>moloch</t>
        </is>
      </c>
      <c r="C84" t="inlineStr">
        <is>
          <t>khe_mot_nong_mot_vien</t>
        </is>
      </c>
      <c r="D84" t="inlineStr">
        <is>
          <t>s</t>
        </is>
      </c>
      <c r="E84" t="n">
        <v>0.262439018</v>
      </c>
      <c r="F84">
        <f>60/INDEX(boss_input_nhip_that!$B$2:$B$74,MATCH($P$84,boss_input_nhip_that!$A$2:$A$74,0))/IF(INDEX(boss_input_nhip_that!$C$2:$C$74,MATCH($P$84,boss_input_nhip_that!$A$2:$A$74,0))="gun",0.7,1)</f>
        <v/>
      </c>
      <c r="G84">
        <f>$E$84/$F$84</f>
        <v/>
      </c>
      <c r="H84" t="n">
        <v>0.6</v>
      </c>
      <c r="I84" t="n">
        <v>2</v>
      </c>
      <c r="J84" t="b">
        <v>1</v>
      </c>
      <c r="K84" t="inlineStr">
        <is>
          <t>fix_weapon_reasons.json: wave 1 boss_flak: 41 rounds at 1,200 rpm, changed in 3.38 s (twin Oerlikon GDF 2 x 550 rpm)</t>
        </is>
      </c>
      <c r="L84">
        <f>IF(ISNUMBER($H$84),AND(NOT($J$84),OR($G$84&lt;$H$84,$G$84&gt;$I$84)),FALSE)</f>
        <v/>
      </c>
      <c r="M84" t="inlineStr"/>
      <c r="N84" t="inlineStr">
        <is>
          <t>R_balance;R_full_weapon_audit;W_wikipedia_oerlikon_gdf</t>
        </is>
      </c>
      <c r="O84" t="inlineStr">
        <is>
          <t>nhịp pháo boss so với hệ thống thật (định nghĩa như 01_chien_dau/Vu_khi_so_sanh_that)</t>
        </is>
      </c>
      <c r="P84" t="inlineStr">
        <is>
          <t>p26_moloch_close_boss_flak</t>
        </is>
      </c>
      <c r="Q84" t="inlineStr">
        <is>
          <t>Tools/balance/full_weapon_audit.py (bảng REAL) qua input_nhip_that / input_ty_le_nhip</t>
        </is>
      </c>
      <c r="R84" t="inlineStr"/>
    </row>
    <row r="85">
      <c r="A85" t="inlineStr">
        <is>
          <t>moloch/p26_moloch_direct_mo120ap/nhip</t>
        </is>
      </c>
      <c r="B85" t="inlineStr">
        <is>
          <t>moloch</t>
        </is>
      </c>
      <c r="C85" t="inlineStr">
        <is>
          <t>khe_mot_nong_mot_vien</t>
        </is>
      </c>
      <c r="D85" t="inlineStr">
        <is>
          <t>s</t>
        </is>
      </c>
      <c r="E85" t="n">
        <v>7.5</v>
      </c>
      <c r="F85">
        <f>60/INDEX(boss_input_nhip_that!$B$2:$B$74,MATCH($P$85,boss_input_nhip_that!$A$2:$A$74,0))/IF(INDEX(boss_input_nhip_that!$C$2:$C$74,MATCH($P$85,boss_input_nhip_that!$A$2:$A$74,0))="gun",0.7,1)</f>
        <v/>
      </c>
      <c r="G85">
        <f>$E$85/$F$85</f>
        <v/>
      </c>
      <c r="H85" t="n">
        <v>0.6</v>
      </c>
      <c r="I85" t="n">
        <v>2</v>
      </c>
      <c r="J85" t="b">
        <v>0</v>
      </c>
      <c r="K85" t="inlineStr"/>
      <c r="L85">
        <f>IF(ISNUMBER($H$85),AND(NOT($J$85),OR($G$85&lt;$H$85,$G$85&gt;$I$85)),FALSE)</f>
        <v/>
      </c>
      <c r="M85" t="inlineStr"/>
      <c r="N85" t="inlineStr">
        <is>
          <t>R_balance;R_full_weapon_audit;W_wikipedia_rheinmetall_120_mm_gun;R_machine_brigade_can_bang</t>
        </is>
      </c>
      <c r="O85" t="inlineStr">
        <is>
          <t>nhịp pháo boss so với hệ thống thật (định nghĩa như 01_chien_dau/Vu_khi_so_sanh_that)</t>
        </is>
      </c>
      <c r="P85" t="inlineStr">
        <is>
          <t>p26_moloch_direct_mo120ap</t>
        </is>
      </c>
      <c r="Q85" t="inlineStr">
        <is>
          <t>Tools/balance/full_weapon_audit.py (bảng REAL) qua input_nhip_that / input_ty_le_nhip</t>
        </is>
      </c>
      <c r="R85" t="inlineStr"/>
    </row>
    <row r="86">
      <c r="A86" t="inlineStr">
        <is>
          <t>moloch/p26_moloch_main_mo120/nhip</t>
        </is>
      </c>
      <c r="B86" t="inlineStr">
        <is>
          <t>moloch</t>
        </is>
      </c>
      <c r="C86" t="inlineStr">
        <is>
          <t>khe_mot_nong_mot_vien</t>
        </is>
      </c>
      <c r="D86" t="inlineStr">
        <is>
          <t>s</t>
        </is>
      </c>
      <c r="E86" t="n">
        <v>7.5</v>
      </c>
      <c r="F86">
        <f>60/INDEX(boss_input_nhip_that!$B$2:$B$74,MATCH($P$86,boss_input_nhip_that!$A$2:$A$74,0))/IF(INDEX(boss_input_nhip_that!$C$2:$C$74,MATCH($P$86,boss_input_nhip_that!$A$2:$A$74,0))="gun",0.7,1)</f>
        <v/>
      </c>
      <c r="G86">
        <f>$E$86/$F$86</f>
        <v/>
      </c>
      <c r="H86" t="n">
        <v>0.6</v>
      </c>
      <c r="I86" t="n">
        <v>2</v>
      </c>
      <c r="J86" t="b">
        <v>0</v>
      </c>
      <c r="K86" t="inlineStr"/>
      <c r="L86">
        <f>IF(ISNUMBER($H$86),AND(NOT($J$86),OR($G$86&lt;$H$86,$G$86&gt;$I$86)),FALSE)</f>
        <v/>
      </c>
      <c r="M86" t="inlineStr"/>
      <c r="N86" t="inlineStr">
        <is>
          <t>R_balance;R_full_weapon_audit;W_wikipedia_rheinmetall_120_mm_gun;R_machine_brigade_can_bang</t>
        </is>
      </c>
      <c r="O86" t="inlineStr">
        <is>
          <t>nhịp pháo boss so với hệ thống thật (định nghĩa như 01_chien_dau/Vu_khi_so_sanh_that)</t>
        </is>
      </c>
      <c r="P86" t="inlineStr">
        <is>
          <t>p26_moloch_main_mo120</t>
        </is>
      </c>
      <c r="Q86" t="inlineStr">
        <is>
          <t>Tools/balance/full_weapon_audit.py (bảng REAL) qua input_nhip_that / input_ty_le_nhip</t>
        </is>
      </c>
      <c r="R86" t="inlineStr"/>
    </row>
    <row r="87">
      <c r="A87" t="inlineStr">
        <is>
          <t>moloch/p26_moloch_tiny_zu23/nhip</t>
        </is>
      </c>
      <c r="B87" t="inlineStr">
        <is>
          <t>moloch</t>
        </is>
      </c>
      <c r="C87" t="inlineStr">
        <is>
          <t>khe_mot_nong_mot_vien</t>
        </is>
      </c>
      <c r="D87" t="inlineStr">
        <is>
          <t>s</t>
        </is>
      </c>
      <c r="E87" t="n">
        <v>0.09919997999999999</v>
      </c>
      <c r="F87">
        <f>60/INDEX(boss_input_nhip_that!$B$2:$B$74,MATCH($P$87,boss_input_nhip_that!$A$2:$A$74,0))/IF(INDEX(boss_input_nhip_that!$C$2:$C$74,MATCH($P$87,boss_input_nhip_that!$A$2:$A$74,0))="gun",0.7,1)</f>
        <v/>
      </c>
      <c r="G87">
        <f>$E$87/$F$87</f>
        <v/>
      </c>
      <c r="H87" t="n">
        <v>0.6</v>
      </c>
      <c r="I87" t="n">
        <v>2</v>
      </c>
      <c r="J87" t="b">
        <v>0</v>
      </c>
      <c r="K87" t="inlineStr"/>
      <c r="L87">
        <f>IF(ISNUMBER($H$87),AND(NOT($J$87),OR($G$87&lt;$H$87,$G$87&gt;$I$87)),FALSE)</f>
        <v/>
      </c>
      <c r="M87" t="inlineStr"/>
      <c r="N87" t="inlineStr">
        <is>
          <t>R_balance;R_full_weapon_audit;W_wikipedia_zu_23_2</t>
        </is>
      </c>
      <c r="O87" t="inlineStr">
        <is>
          <t>nhịp pháo boss so với hệ thống thật (định nghĩa như 01_chien_dau/Vu_khi_so_sanh_that)</t>
        </is>
      </c>
      <c r="P87" t="inlineStr">
        <is>
          <t>p26_moloch_tiny_zu23</t>
        </is>
      </c>
      <c r="Q87" t="inlineStr">
        <is>
          <t>Tools/balance/full_weapon_audit.py (bảng REAL) qua input_nhip_that / input_ty_le_nhip</t>
        </is>
      </c>
      <c r="R87" t="inlineStr"/>
    </row>
    <row r="88">
      <c r="A88" t="inlineStr">
        <is>
          <t>monster/p26_bastion_close_boss_hmg/nhip</t>
        </is>
      </c>
      <c r="B88" t="inlineStr">
        <is>
          <t>monster</t>
        </is>
      </c>
      <c r="C88" t="inlineStr">
        <is>
          <t>khe_mot_nong_mot_vien</t>
        </is>
      </c>
      <c r="D88" t="inlineStr">
        <is>
          <t>s</t>
        </is>
      </c>
      <c r="E88" t="n">
        <v>0.132467025</v>
      </c>
      <c r="F88">
        <f>60/INDEX(boss_input_nhip_that!$B$2:$B$74,MATCH($P$88,boss_input_nhip_that!$A$2:$A$74,0))/IF(INDEX(boss_input_nhip_that!$C$2:$C$74,MATCH($P$88,boss_input_nhip_that!$A$2:$A$74,0))="gun",0.7,1)</f>
        <v/>
      </c>
      <c r="G88">
        <f>$E$88/$F$88</f>
        <v/>
      </c>
      <c r="H88" t="n">
        <v>0.6</v>
      </c>
      <c r="I88" t="n">
        <v>2</v>
      </c>
      <c r="J88" t="b">
        <v>0</v>
      </c>
      <c r="K88" t="inlineStr"/>
      <c r="L88">
        <f>IF(ISNUMBER($H$88),AND(NOT($J$88),OR($G$88&lt;$H$88,$G$88&gt;$I$88)),FALSE)</f>
        <v/>
      </c>
      <c r="M88" t="inlineStr"/>
      <c r="N88" t="inlineStr">
        <is>
          <t>R_balance;R_full_weapon_audit;W_wikipedia_nsv_machine_gun</t>
        </is>
      </c>
      <c r="O88" t="inlineStr">
        <is>
          <t>nhịp pháo boss so với hệ thống thật (định nghĩa như 01_chien_dau/Vu_khi_so_sanh_that)</t>
        </is>
      </c>
      <c r="P88" t="inlineStr">
        <is>
          <t>p26_bastion_close_boss_hmg</t>
        </is>
      </c>
      <c r="Q88" t="inlineStr">
        <is>
          <t>Tools/balance/full_weapon_audit.py (bảng REAL) qua input_nhip_that / input_ty_le_nhip</t>
        </is>
      </c>
      <c r="R88" t="inlineStr"/>
    </row>
    <row r="89">
      <c r="A89" t="inlineStr">
        <is>
          <t>monster/p26_bastion_direct_b100/nhip</t>
        </is>
      </c>
      <c r="B89" t="inlineStr">
        <is>
          <t>monster</t>
        </is>
      </c>
      <c r="C89" t="inlineStr">
        <is>
          <t>khe_mot_nong_mot_vien</t>
        </is>
      </c>
      <c r="D89" t="inlineStr">
        <is>
          <t>s</t>
        </is>
      </c>
      <c r="E89" t="n">
        <v>8.599995917999999</v>
      </c>
      <c r="F89">
        <f>60/INDEX(boss_input_nhip_that!$B$2:$B$74,MATCH($P$89,boss_input_nhip_that!$A$2:$A$74,0))/IF(INDEX(boss_input_nhip_that!$C$2:$C$74,MATCH($P$89,boss_input_nhip_that!$A$2:$A$74,0))="gun",0.7,1)</f>
        <v/>
      </c>
      <c r="G89">
        <f>$E$89/$F$89</f>
        <v/>
      </c>
      <c r="H89" t="n">
        <v>0.6</v>
      </c>
      <c r="I89" t="n">
        <v>2</v>
      </c>
      <c r="J89" t="b">
        <v>0</v>
      </c>
      <c r="K89" t="inlineStr"/>
      <c r="L89">
        <f>IF(ISNUMBER($H$89),AND(NOT($J$89),OR($G$89&lt;$H$89,$G$89&gt;$I$89)),FALSE)</f>
        <v/>
      </c>
      <c r="M89" t="inlineStr"/>
      <c r="N89" t="inlineStr">
        <is>
          <t>R_balance;R_full_weapon_audit;W_wikipedia_d_10_tank_gun</t>
        </is>
      </c>
      <c r="O89" t="inlineStr">
        <is>
          <t>nhịp pháo boss so với hệ thống thật (định nghĩa như 01_chien_dau/Vu_khi_so_sanh_that)</t>
        </is>
      </c>
      <c r="P89" t="inlineStr">
        <is>
          <t>p26_bastion_direct_b100</t>
        </is>
      </c>
      <c r="Q89" t="inlineStr">
        <is>
          <t>Tools/balance/full_weapon_audit.py (bảng REAL) qua input_nhip_that / input_ty_le_nhip</t>
        </is>
      </c>
      <c r="R89" t="inlineStr"/>
    </row>
    <row r="90">
      <c r="A90" t="inlineStr">
        <is>
          <t>monster/p26_bastion_main_b155/nhip</t>
        </is>
      </c>
      <c r="B90" t="inlineStr">
        <is>
          <t>monster</t>
        </is>
      </c>
      <c r="C90" t="inlineStr">
        <is>
          <t>khe_mot_nong_mot_vien</t>
        </is>
      </c>
      <c r="D90" t="inlineStr">
        <is>
          <t>s</t>
        </is>
      </c>
      <c r="E90" t="n">
        <v>15</v>
      </c>
      <c r="F90">
        <f>60/INDEX(boss_input_nhip_that!$B$2:$B$74,MATCH($P$90,boss_input_nhip_that!$A$2:$A$74,0))/IF(INDEX(boss_input_nhip_that!$C$2:$C$74,MATCH($P$90,boss_input_nhip_that!$A$2:$A$74,0))="gun",0.7,1)</f>
        <v/>
      </c>
      <c r="G90">
        <f>$E$90/$F$90</f>
        <v/>
      </c>
      <c r="H90" t="n">
        <v>0.6</v>
      </c>
      <c r="I90" t="n">
        <v>2</v>
      </c>
      <c r="J90" t="b">
        <v>0</v>
      </c>
      <c r="K90" t="inlineStr"/>
      <c r="L90">
        <f>IF(ISNUMBER($H$90),AND(NOT($J$90),OR($G$90&lt;$H$90,$G$90&gt;$I$90)),FALSE)</f>
        <v/>
      </c>
      <c r="M90" t="inlineStr"/>
      <c r="N90" t="inlineStr">
        <is>
          <t>R_balance;R_full_weapon_audit;D_us_army_m109a7_fact_file</t>
        </is>
      </c>
      <c r="O90" t="inlineStr">
        <is>
          <t>nhịp pháo boss so với hệ thống thật (định nghĩa như 01_chien_dau/Vu_khi_so_sanh_that)</t>
        </is>
      </c>
      <c r="P90" t="inlineStr">
        <is>
          <t>p26_bastion_main_b155</t>
        </is>
      </c>
      <c r="Q90" t="inlineStr">
        <is>
          <t>Tools/balance/full_weapon_audit.py (bảng REAL) qua input_nhip_that / input_ty_le_nhip</t>
        </is>
      </c>
      <c r="R90" t="inlineStr"/>
    </row>
    <row r="91">
      <c r="A91" t="inlineStr">
        <is>
          <t>monster/p26_bastion_sec_b240/nhip</t>
        </is>
      </c>
      <c r="B91" t="inlineStr">
        <is>
          <t>monster</t>
        </is>
      </c>
      <c r="C91" t="inlineStr">
        <is>
          <t>khe_mot_nong_mot_vien</t>
        </is>
      </c>
      <c r="D91" t="inlineStr">
        <is>
          <t>s</t>
        </is>
      </c>
      <c r="E91" t="n">
        <v>60</v>
      </c>
      <c r="F91">
        <f>60/INDEX(boss_input_nhip_that!$B$2:$B$74,MATCH($P$91,boss_input_nhip_that!$A$2:$A$74,0))/IF(INDEX(boss_input_nhip_that!$C$2:$C$74,MATCH($P$91,boss_input_nhip_that!$A$2:$A$74,0))="gun",0.7,1)</f>
        <v/>
      </c>
      <c r="G91">
        <f>$E$91/$F$91</f>
        <v/>
      </c>
      <c r="H91" t="n">
        <v>0.6</v>
      </c>
      <c r="I91" t="n">
        <v>2</v>
      </c>
      <c r="J91" t="b">
        <v>0</v>
      </c>
      <c r="K91" t="inlineStr"/>
      <c r="L91">
        <f>IF(ISNUMBER($H$91),AND(NOT($J$91),OR($G$91&lt;$H$91,$G$91&gt;$I$91)),FALSE)</f>
        <v/>
      </c>
      <c r="M91" t="inlineStr"/>
      <c r="N91" t="inlineStr">
        <is>
          <t>R_balance;R_full_weapon_audit;W_wikipedia_2s4_tyulpan</t>
        </is>
      </c>
      <c r="O91" t="inlineStr">
        <is>
          <t>nhịp pháo boss so với hệ thống thật (định nghĩa như 01_chien_dau/Vu_khi_so_sanh_that)</t>
        </is>
      </c>
      <c r="P91" t="inlineStr">
        <is>
          <t>p26_bastion_sec_b240</t>
        </is>
      </c>
      <c r="Q91" t="inlineStr">
        <is>
          <t>Tools/balance/full_weapon_audit.py (bảng REAL) qua input_nhip_that / input_ty_le_nhip</t>
        </is>
      </c>
      <c r="R91" t="inlineStr"/>
    </row>
    <row r="92">
      <c r="A92" t="inlineStr">
        <is>
          <t>monster/p26_bastion_tiny_autocannon_40/nhip</t>
        </is>
      </c>
      <c r="B92" t="inlineStr">
        <is>
          <t>monster</t>
        </is>
      </c>
      <c r="C92" t="inlineStr">
        <is>
          <t>khe_mot_nong_mot_vien</t>
        </is>
      </c>
      <c r="D92" t="inlineStr">
        <is>
          <t>s</t>
        </is>
      </c>
      <c r="E92" t="n">
        <v>0.332</v>
      </c>
      <c r="F92">
        <f>60/INDEX(boss_input_nhip_that!$B$2:$B$74,MATCH($P$92,boss_input_nhip_that!$A$2:$A$74,0))/IF(INDEX(boss_input_nhip_that!$C$2:$C$74,MATCH($P$92,boss_input_nhip_that!$A$2:$A$74,0))="gun",0.7,1)</f>
        <v/>
      </c>
      <c r="G92">
        <f>$E$92/$F$92</f>
        <v/>
      </c>
      <c r="H92" t="n">
        <v>0.6</v>
      </c>
      <c r="I92" t="n">
        <v>2</v>
      </c>
      <c r="J92" t="b">
        <v>0</v>
      </c>
      <c r="K92" t="inlineStr"/>
      <c r="L92">
        <f>IF(ISNUMBER($H$92),AND(NOT($J$92),OR($G$92&lt;$H$92,$G$92&gt;$I$92)),FALSE)</f>
        <v/>
      </c>
      <c r="M92" t="inlineStr"/>
      <c r="N92" t="inlineStr">
        <is>
          <t>R_balance;R_full_weapon_audit;W_wikipedia_bofors_40_mm_l_70</t>
        </is>
      </c>
      <c r="O92" t="inlineStr">
        <is>
          <t>nhịp pháo boss so với hệ thống thật (định nghĩa như 01_chien_dau/Vu_khi_so_sanh_that)</t>
        </is>
      </c>
      <c r="P92" t="inlineStr">
        <is>
          <t>p26_bastion_tiny_autocannon_40</t>
        </is>
      </c>
      <c r="Q92" t="inlineStr">
        <is>
          <t>Tools/balance/full_weapon_audit.py (bảng REAL) qua input_nhip_that / input_ty_le_nhip</t>
        </is>
      </c>
      <c r="R92" t="inlineStr"/>
    </row>
    <row r="93">
      <c r="A93" t="inlineStr">
        <is>
          <t>monster/p26_bastion_tiny_kornet_twin/nhip</t>
        </is>
      </c>
      <c r="B93" t="inlineStr">
        <is>
          <t>monster</t>
        </is>
      </c>
      <c r="C93" t="inlineStr">
        <is>
          <t>khe_mot_nong_mot_vien</t>
        </is>
      </c>
      <c r="D93" t="inlineStr">
        <is>
          <t>s</t>
        </is>
      </c>
      <c r="E93" t="n">
        <v>20</v>
      </c>
      <c r="F93">
        <f>60/INDEX(boss_input_nhip_that!$B$2:$B$74,MATCH($P$93,boss_input_nhip_that!$A$2:$A$74,0))/IF(INDEX(boss_input_nhip_that!$C$2:$C$74,MATCH($P$93,boss_input_nhip_that!$A$2:$A$74,0))="gun",0.7,1)</f>
        <v/>
      </c>
      <c r="G93">
        <f>$E$93/$F$93</f>
        <v/>
      </c>
      <c r="H93" t="n">
        <v>0.6</v>
      </c>
      <c r="I93" t="n">
        <v>2</v>
      </c>
      <c r="J93" t="b">
        <v>0</v>
      </c>
      <c r="K93" t="inlineStr"/>
      <c r="L93">
        <f>IF(ISNUMBER($H$93),AND(NOT($J$93),OR($G$93&lt;$H$93,$G$93&gt;$I$93)),FALSE)</f>
        <v/>
      </c>
      <c r="M93" t="inlineStr"/>
      <c r="N93" t="inlineStr">
        <is>
          <t>R_balance;R_full_weapon_audit;W_wikipedia_9m133_kornet;W_wikipedia_bai_cua_tung_ten_lua_bang_warhead</t>
        </is>
      </c>
      <c r="O93" t="inlineStr">
        <is>
          <t>nhịp pháo boss so với hệ thống thật (định nghĩa như 01_chien_dau/Vu_khi_so_sanh_that)</t>
        </is>
      </c>
      <c r="P93" t="inlineStr">
        <is>
          <t>p26_bastion_tiny_kornet_twin</t>
        </is>
      </c>
      <c r="Q93" t="inlineStr">
        <is>
          <t>Tools/balance/full_weapon_audit.py (bảng REAL) qua input_nhip_that / input_ty_le_nhip</t>
        </is>
      </c>
      <c r="R93" t="inlineStr"/>
    </row>
    <row r="94">
      <c r="A94" t="inlineStr">
        <is>
          <t>monster/p26_bastion_tiny_zu23/nhip</t>
        </is>
      </c>
      <c r="B94" t="inlineStr">
        <is>
          <t>monster</t>
        </is>
      </c>
      <c r="C94" t="inlineStr">
        <is>
          <t>khe_mot_nong_mot_vien</t>
        </is>
      </c>
      <c r="D94" t="inlineStr">
        <is>
          <t>s</t>
        </is>
      </c>
      <c r="E94" t="n">
        <v>0.09919997999999999</v>
      </c>
      <c r="F94">
        <f>60/INDEX(boss_input_nhip_that!$B$2:$B$74,MATCH($P$94,boss_input_nhip_that!$A$2:$A$74,0))/IF(INDEX(boss_input_nhip_that!$C$2:$C$74,MATCH($P$94,boss_input_nhip_that!$A$2:$A$74,0))="gun",0.7,1)</f>
        <v/>
      </c>
      <c r="G94">
        <f>$E$94/$F$94</f>
        <v/>
      </c>
      <c r="H94" t="n">
        <v>0.6</v>
      </c>
      <c r="I94" t="n">
        <v>2</v>
      </c>
      <c r="J94" t="b">
        <v>0</v>
      </c>
      <c r="K94" t="inlineStr"/>
      <c r="L94">
        <f>IF(ISNUMBER($H$94),AND(NOT($J$94),OR($G$94&lt;$H$94,$G$94&gt;$I$94)),FALSE)</f>
        <v/>
      </c>
      <c r="M94" t="inlineStr"/>
      <c r="N94" t="inlineStr">
        <is>
          <t>R_balance;R_full_weapon_audit;W_wikipedia_zu_23_2</t>
        </is>
      </c>
      <c r="O94" t="inlineStr">
        <is>
          <t>nhịp pháo boss so với hệ thống thật (định nghĩa như 01_chien_dau/Vu_khi_so_sanh_that)</t>
        </is>
      </c>
      <c r="P94" t="inlineStr">
        <is>
          <t>p26_bastion_tiny_zu23</t>
        </is>
      </c>
      <c r="Q94" t="inlineStr">
        <is>
          <t>Tools/balance/full_weapon_audit.py (bảng REAL) qua input_nhip_that / input_ty_le_nhip</t>
        </is>
      </c>
      <c r="R94" t="inlineStr"/>
    </row>
    <row r="95">
      <c r="A95" t="inlineStr">
        <is>
          <t>nuke_train/p26_nemesis_close_boss_flak/nhip</t>
        </is>
      </c>
      <c r="B95" t="inlineStr">
        <is>
          <t>nuke_train</t>
        </is>
      </c>
      <c r="C95" t="inlineStr">
        <is>
          <t>khe_mot_nong_mot_vien</t>
        </is>
      </c>
      <c r="D95" t="inlineStr">
        <is>
          <t>s</t>
        </is>
      </c>
      <c r="E95" t="n">
        <v>0.262439018</v>
      </c>
      <c r="F95">
        <f>60/INDEX(boss_input_nhip_that!$B$2:$B$74,MATCH($P$95,boss_input_nhip_that!$A$2:$A$74,0))/IF(INDEX(boss_input_nhip_that!$C$2:$C$74,MATCH($P$95,boss_input_nhip_that!$A$2:$A$74,0))="gun",0.7,1)</f>
        <v/>
      </c>
      <c r="G95">
        <f>$E$95/$F$95</f>
        <v/>
      </c>
      <c r="H95" t="n">
        <v>0.6</v>
      </c>
      <c r="I95" t="n">
        <v>2</v>
      </c>
      <c r="J95" t="b">
        <v>1</v>
      </c>
      <c r="K95" t="inlineStr">
        <is>
          <t>fix_weapon_reasons.json: wave 1 boss_flak: 41 rounds at 1,200 rpm, changed in 3.38 s (twin Oerlikon GDF 2 x 550 rpm)</t>
        </is>
      </c>
      <c r="L95">
        <f>IF(ISNUMBER($H$95),AND(NOT($J$95),OR($G$95&lt;$H$95,$G$95&gt;$I$95)),FALSE)</f>
        <v/>
      </c>
      <c r="M95" t="inlineStr"/>
      <c r="N95" t="inlineStr">
        <is>
          <t>R_balance;R_full_weapon_audit;W_wikipedia_oerlikon_gdf</t>
        </is>
      </c>
      <c r="O95" t="inlineStr">
        <is>
          <t>nhịp pháo boss so với hệ thống thật (định nghĩa như 01_chien_dau/Vu_khi_so_sanh_that)</t>
        </is>
      </c>
      <c r="P95" t="inlineStr">
        <is>
          <t>p26_nemesis_close_boss_flak</t>
        </is>
      </c>
      <c r="Q95" t="inlineStr">
        <is>
          <t>Tools/balance/full_weapon_audit.py (bảng REAL) qua input_nhip_that / input_ty_le_nhip</t>
        </is>
      </c>
      <c r="R95" t="inlineStr"/>
    </row>
    <row r="96">
      <c r="A96" t="inlineStr">
        <is>
          <t>nuke_train/p26_nemesis_direct_ne125/nhip</t>
        </is>
      </c>
      <c r="B96" t="inlineStr">
        <is>
          <t>nuke_train</t>
        </is>
      </c>
      <c r="C96" t="inlineStr">
        <is>
          <t>khe_mot_nong_mot_vien</t>
        </is>
      </c>
      <c r="D96" t="inlineStr">
        <is>
          <t>s</t>
        </is>
      </c>
      <c r="E96" t="n">
        <v>7.5</v>
      </c>
      <c r="F96">
        <f>60/INDEX(boss_input_nhip_that!$B$2:$B$74,MATCH($P$96,boss_input_nhip_that!$A$2:$A$74,0))/IF(INDEX(boss_input_nhip_that!$C$2:$C$74,MATCH($P$96,boss_input_nhip_that!$A$2:$A$74,0))="gun",0.7,1)</f>
        <v/>
      </c>
      <c r="G96">
        <f>$E$96/$F$96</f>
        <v/>
      </c>
      <c r="H96" t="n">
        <v>0.6</v>
      </c>
      <c r="I96" t="n">
        <v>2</v>
      </c>
      <c r="J96" t="b">
        <v>0</v>
      </c>
      <c r="K96" t="inlineStr"/>
      <c r="L96">
        <f>IF(ISNUMBER($H$96),AND(NOT($J$96),OR($G$96&lt;$H$96,$G$96&gt;$I$96)),FALSE)</f>
        <v/>
      </c>
      <c r="M96" t="inlineStr"/>
      <c r="N96" t="inlineStr">
        <is>
          <t>R_balance;R_full_weapon_audit;W_wikipedia_2a46</t>
        </is>
      </c>
      <c r="O96" t="inlineStr">
        <is>
          <t>nhịp pháo boss so với hệ thống thật (định nghĩa như 01_chien_dau/Vu_khi_so_sanh_that)</t>
        </is>
      </c>
      <c r="P96" t="inlineStr">
        <is>
          <t>p26_nemesis_direct_ne125</t>
        </is>
      </c>
      <c r="Q96" t="inlineStr">
        <is>
          <t>Tools/balance/full_weapon_audit.py (bảng REAL) qua input_nhip_that / input_ty_le_nhip</t>
        </is>
      </c>
      <c r="R96" t="inlineStr"/>
    </row>
    <row r="97">
      <c r="A97" t="inlineStr">
        <is>
          <t>nuke_train/p26_nemesis_main_ne152/nhip</t>
        </is>
      </c>
      <c r="B97" t="inlineStr">
        <is>
          <t>nuke_train</t>
        </is>
      </c>
      <c r="C97" t="inlineStr">
        <is>
          <t>khe_mot_nong_mot_vien</t>
        </is>
      </c>
      <c r="D97" t="inlineStr">
        <is>
          <t>s</t>
        </is>
      </c>
      <c r="E97" t="n">
        <v>7.5</v>
      </c>
      <c r="F97">
        <f>60/INDEX(boss_input_nhip_that!$B$2:$B$74,MATCH($P$97,boss_input_nhip_that!$A$2:$A$74,0))/IF(INDEX(boss_input_nhip_that!$C$2:$C$74,MATCH($P$97,boss_input_nhip_that!$A$2:$A$74,0))="gun",0.7,1)</f>
        <v/>
      </c>
      <c r="G97">
        <f>$E$97/$F$97</f>
        <v/>
      </c>
      <c r="H97" t="n">
        <v>0.6</v>
      </c>
      <c r="I97" t="n">
        <v>2</v>
      </c>
      <c r="J97" t="b">
        <v>0</v>
      </c>
      <c r="K97" t="inlineStr"/>
      <c r="L97">
        <f>IF(ISNUMBER($H$97),AND(NOT($J$97),OR($G$97&lt;$H$97,$G$97&gt;$I$97)),FALSE)</f>
        <v/>
      </c>
      <c r="M97" t="inlineStr"/>
      <c r="N97" t="inlineStr">
        <is>
          <t>R_balance;R_full_weapon_audit</t>
        </is>
      </c>
      <c r="O97" t="inlineStr">
        <is>
          <t>nhịp pháo boss so với hệ thống thật (định nghĩa như 01_chien_dau/Vu_khi_so_sanh_that)</t>
        </is>
      </c>
      <c r="P97" t="inlineStr">
        <is>
          <t>p26_nemesis_main_ne152</t>
        </is>
      </c>
      <c r="Q97" t="inlineStr">
        <is>
          <t>Tools/balance/full_weapon_audit.py (bảng REAL) qua input_nhip_that / input_ty_le_nhip</t>
        </is>
      </c>
      <c r="R97" t="inlineStr"/>
    </row>
    <row r="98">
      <c r="A98" t="inlineStr">
        <is>
          <t>nuke_train/p26_nemesis_sec_boss_rockets/nhip</t>
        </is>
      </c>
      <c r="B98" t="inlineStr">
        <is>
          <t>nuke_train</t>
        </is>
      </c>
      <c r="C98" t="inlineStr">
        <is>
          <t>khe_mot_nong_mot_vien</t>
        </is>
      </c>
      <c r="D98" t="inlineStr">
        <is>
          <t>s</t>
        </is>
      </c>
      <c r="E98" t="n">
        <v>0.5</v>
      </c>
      <c r="F98">
        <f>60/INDEX(boss_input_nhip_that!$B$2:$B$74,MATCH($P$98,boss_input_nhip_that!$A$2:$A$74,0))/IF(INDEX(boss_input_nhip_that!$C$2:$C$74,MATCH($P$98,boss_input_nhip_that!$A$2:$A$74,0))="gun",0.7,1)</f>
        <v/>
      </c>
      <c r="G98">
        <f>$E$98/$F$98</f>
        <v/>
      </c>
      <c r="H98" t="n">
        <v>0.6</v>
      </c>
      <c r="I98" t="n">
        <v>2</v>
      </c>
      <c r="J98" t="b">
        <v>0</v>
      </c>
      <c r="K98" t="inlineStr"/>
      <c r="L98">
        <f>IF(ISNUMBER($H$98),AND(NOT($J$98),OR($G$98&lt;$H$98,$G$98&gt;$I$98)),FALSE)</f>
        <v/>
      </c>
      <c r="M98" t="inlineStr"/>
      <c r="N98" t="inlineStr">
        <is>
          <t>R_balance;R_full_weapon_audit;W_wikipedia_bm_21_grad</t>
        </is>
      </c>
      <c r="O98" t="inlineStr">
        <is>
          <t>nhịp pháo boss so với hệ thống thật (định nghĩa như 01_chien_dau/Vu_khi_so_sanh_that)</t>
        </is>
      </c>
      <c r="P98" t="inlineStr">
        <is>
          <t>p26_nemesis_sec_boss_rockets</t>
        </is>
      </c>
      <c r="Q98" t="inlineStr">
        <is>
          <t>Tools/balance/full_weapon_audit.py (bảng REAL) qua input_nhip_that / input_ty_le_nhip</t>
        </is>
      </c>
      <c r="R98" t="inlineStr"/>
    </row>
    <row r="99">
      <c r="A99" t="inlineStr">
        <is>
          <t>nuke_train/sam_battery/nhip</t>
        </is>
      </c>
      <c r="B99" t="inlineStr">
        <is>
          <t>nuke_train</t>
        </is>
      </c>
      <c r="C99" t="inlineStr">
        <is>
          <t>khe_mot_nong_mot_vien</t>
        </is>
      </c>
      <c r="D99" t="inlineStr">
        <is>
          <t>s</t>
        </is>
      </c>
      <c r="E99" t="n">
        <v>5.499999</v>
      </c>
      <c r="F99">
        <f>60/INDEX(boss_input_nhip_that!$B$2:$B$74,MATCH($P$99,boss_input_nhip_that!$A$2:$A$74,0))/IF(INDEX(boss_input_nhip_that!$C$2:$C$74,MATCH($P$99,boss_input_nhip_that!$A$2:$A$74,0))="gun",0.7,1)</f>
        <v/>
      </c>
      <c r="G99">
        <f>$E$99/$F$99</f>
        <v/>
      </c>
      <c r="H99" t="n">
        <v>0.6</v>
      </c>
      <c r="I99" t="n">
        <v>2</v>
      </c>
      <c r="J99" t="b">
        <v>0</v>
      </c>
      <c r="K99" t="inlineStr"/>
      <c r="L99">
        <f>IF(ISNUMBER($H$99),AND(NOT($J$99),OR($G$99&lt;$H$99,$G$99&gt;$I$99)),FALSE)</f>
        <v/>
      </c>
      <c r="M99" t="inlineStr"/>
      <c r="N99" t="inlineStr">
        <is>
          <t>R_balance;R_full_weapon_audit;W_wikipedia_mim_104_patriot;R_machine_brigade_can_bang</t>
        </is>
      </c>
      <c r="O99" t="inlineStr">
        <is>
          <t>nhịp pháo boss so với hệ thống thật (định nghĩa như 01_chien_dau/Vu_khi_so_sanh_that)</t>
        </is>
      </c>
      <c r="P99" t="inlineStr">
        <is>
          <t>sam_battery</t>
        </is>
      </c>
      <c r="Q99" t="inlineStr">
        <is>
          <t>Tools/balance/full_weapon_audit.py (bảng REAL) qua input_nhip_that / input_ty_le_nhip</t>
        </is>
      </c>
      <c r="R99" t="inlineStr"/>
    </row>
    <row r="100">
      <c r="A100" t="inlineStr">
        <is>
          <t>nyx/nyx_tomahawk/nhip</t>
        </is>
      </c>
      <c r="B100" t="inlineStr">
        <is>
          <t>nyx</t>
        </is>
      </c>
      <c r="C100" t="inlineStr">
        <is>
          <t>khe_mot_nong_mot_vien</t>
        </is>
      </c>
      <c r="D100" t="inlineStr">
        <is>
          <t>s</t>
        </is>
      </c>
      <c r="E100" t="n">
        <v>27</v>
      </c>
      <c r="F100">
        <f>60/INDEX(boss_input_nhip_that!$B$2:$B$74,MATCH($P$100,boss_input_nhip_that!$A$2:$A$74,0))/IF(INDEX(boss_input_nhip_that!$C$2:$C$74,MATCH($P$100,boss_input_nhip_that!$A$2:$A$74,0))="gun",0.7,1)</f>
        <v/>
      </c>
      <c r="G100">
        <f>$E$100/$F$100</f>
        <v/>
      </c>
      <c r="H100" t="n">
        <v>0.6</v>
      </c>
      <c r="I100" t="n">
        <v>2</v>
      </c>
      <c r="J100" t="b">
        <v>0</v>
      </c>
      <c r="K100" t="inlineStr"/>
      <c r="L100">
        <f>IF(ISNUMBER($H$100),AND(NOT($J$100),OR($G$100&lt;$H$100,$G$100&gt;$I$100)),FALSE)</f>
        <v/>
      </c>
      <c r="M100" t="inlineStr">
        <is>
          <t>TC0110</t>
        </is>
      </c>
      <c r="N100" t="inlineStr">
        <is>
          <t>R_balance;R_full_weapon_audit</t>
        </is>
      </c>
      <c r="O100" t="inlineStr">
        <is>
          <t>nhịp pháo boss so với hệ thống thật (định nghĩa như 01_chien_dau/Vu_khi_so_sanh_that)</t>
        </is>
      </c>
      <c r="P100" t="inlineStr">
        <is>
          <t>nyx_tomahawk</t>
        </is>
      </c>
      <c r="Q100" t="inlineStr">
        <is>
          <t>Tools/balance/full_weapon_audit.py (bảng REAL) qua input_nhip_that / input_ty_le_nhip</t>
        </is>
      </c>
      <c r="R100" t="inlineStr"/>
    </row>
    <row r="101">
      <c r="A101" t="inlineStr">
        <is>
          <t>nyx/p26_leviathan_direct_lev127/nhip</t>
        </is>
      </c>
      <c r="B101" t="inlineStr">
        <is>
          <t>nyx</t>
        </is>
      </c>
      <c r="C101" t="inlineStr">
        <is>
          <t>khe_mot_nong_mot_vien</t>
        </is>
      </c>
      <c r="D101" t="inlineStr">
        <is>
          <t>s</t>
        </is>
      </c>
      <c r="E101" t="n">
        <v>3</v>
      </c>
      <c r="F101">
        <f>60/INDEX(boss_input_nhip_that!$B$2:$B$74,MATCH($P$101,boss_input_nhip_that!$A$2:$A$74,0))/IF(INDEX(boss_input_nhip_that!$C$2:$C$74,MATCH($P$101,boss_input_nhip_that!$A$2:$A$74,0))="gun",0.7,1)</f>
        <v/>
      </c>
      <c r="G101">
        <f>$E$101/$F$101</f>
        <v/>
      </c>
      <c r="H101" t="n">
        <v>0.6</v>
      </c>
      <c r="I101" t="n">
        <v>2</v>
      </c>
      <c r="J101" t="b">
        <v>0</v>
      </c>
      <c r="K101" t="inlineStr"/>
      <c r="L101">
        <f>IF(ISNUMBER($H$101),AND(NOT($J$101),OR($G$101&lt;$H$101,$G$101&gt;$I$101)),FALSE)</f>
        <v/>
      </c>
      <c r="M101" t="inlineStr"/>
      <c r="N101" t="inlineStr">
        <is>
          <t>R_balance;R_full_weapon_audit;W_wikipedia_a_192</t>
        </is>
      </c>
      <c r="O101" t="inlineStr">
        <is>
          <t>nhịp pháo boss so với hệ thống thật (định nghĩa như 01_chien_dau/Vu_khi_so_sanh_that)</t>
        </is>
      </c>
      <c r="P101" t="inlineStr">
        <is>
          <t>p26_leviathan_direct_lev127</t>
        </is>
      </c>
      <c r="Q101" t="inlineStr">
        <is>
          <t>Tools/balance/full_weapon_audit.py (bảng REAL) qua input_nhip_that / input_ty_le_nhip</t>
        </is>
      </c>
      <c r="R101" t="inlineStr"/>
    </row>
    <row r="102">
      <c r="A102" t="inlineStr">
        <is>
          <t>scylla/naval_130_twin/nhip</t>
        </is>
      </c>
      <c r="B102" t="inlineStr">
        <is>
          <t>scylla</t>
        </is>
      </c>
      <c r="C102" t="inlineStr">
        <is>
          <t>khe_mot_nong_mot_vien</t>
        </is>
      </c>
      <c r="D102" t="inlineStr">
        <is>
          <t>s</t>
        </is>
      </c>
      <c r="E102" t="n">
        <v>4.285999286</v>
      </c>
      <c r="F102">
        <f>60/INDEX(boss_input_nhip_that!$B$2:$B$74,MATCH($P$102,boss_input_nhip_that!$A$2:$A$74,0))/IF(INDEX(boss_input_nhip_that!$C$2:$C$74,MATCH($P$102,boss_input_nhip_that!$A$2:$A$74,0))="gun",0.7,1)</f>
        <v/>
      </c>
      <c r="G102">
        <f>$E$102/$F$102</f>
        <v/>
      </c>
      <c r="H102" t="n">
        <v>0.6</v>
      </c>
      <c r="I102" t="n">
        <v>2</v>
      </c>
      <c r="J102" t="b">
        <v>1</v>
      </c>
      <c r="K102" t="inlineStr">
        <is>
          <t>fix_weapon_reasons.json: real AK-130 10-40 rpm a barrel: 20 rpm (3 s), practical; 4.75 s was too slow</t>
        </is>
      </c>
      <c r="L102">
        <f>IF(ISNUMBER($H$102),AND(NOT($J$102),OR($G$102&lt;$H$102,$G$102&gt;$I$102)),FALSE)</f>
        <v/>
      </c>
      <c r="M102" t="inlineStr"/>
      <c r="N102" t="inlineStr">
        <is>
          <t>R_balance;R_full_weapon_audit;W_wikipedia_ak_130</t>
        </is>
      </c>
      <c r="O102" t="inlineStr">
        <is>
          <t>nhịp pháo boss so với hệ thống thật (định nghĩa như 01_chien_dau/Vu_khi_so_sanh_that)</t>
        </is>
      </c>
      <c r="P102" t="inlineStr">
        <is>
          <t>naval_130_twin</t>
        </is>
      </c>
      <c r="Q102" t="inlineStr">
        <is>
          <t>Tools/balance/full_weapon_audit.py (bảng REAL) qua input_nhip_that / input_ty_le_nhip</t>
        </is>
      </c>
      <c r="R102" t="inlineStr"/>
    </row>
    <row r="103">
      <c r="A103" t="inlineStr">
        <is>
          <t>scylla/p26_leviathan_direct_lev127/nhip</t>
        </is>
      </c>
      <c r="B103" t="inlineStr">
        <is>
          <t>scylla</t>
        </is>
      </c>
      <c r="C103" t="inlineStr">
        <is>
          <t>khe_mot_nong_mot_vien</t>
        </is>
      </c>
      <c r="D103" t="inlineStr">
        <is>
          <t>s</t>
        </is>
      </c>
      <c r="E103" t="n">
        <v>3</v>
      </c>
      <c r="F103">
        <f>60/INDEX(boss_input_nhip_that!$B$2:$B$74,MATCH($P$103,boss_input_nhip_that!$A$2:$A$74,0))/IF(INDEX(boss_input_nhip_that!$C$2:$C$74,MATCH($P$103,boss_input_nhip_that!$A$2:$A$74,0))="gun",0.7,1)</f>
        <v/>
      </c>
      <c r="G103">
        <f>$E$103/$F$103</f>
        <v/>
      </c>
      <c r="H103" t="n">
        <v>0.6</v>
      </c>
      <c r="I103" t="n">
        <v>2</v>
      </c>
      <c r="J103" t="b">
        <v>0</v>
      </c>
      <c r="K103" t="inlineStr"/>
      <c r="L103">
        <f>IF(ISNUMBER($H$103),AND(NOT($J$103),OR($G$103&lt;$H$103,$G$103&gt;$I$103)),FALSE)</f>
        <v/>
      </c>
      <c r="M103" t="inlineStr"/>
      <c r="N103" t="inlineStr">
        <is>
          <t>R_balance;R_full_weapon_audit;W_wikipedia_a_192</t>
        </is>
      </c>
      <c r="O103" t="inlineStr">
        <is>
          <t>nhịp pháo boss so với hệ thống thật (định nghĩa như 01_chien_dau/Vu_khi_so_sanh_that)</t>
        </is>
      </c>
      <c r="P103" t="inlineStr">
        <is>
          <t>p26_leviathan_direct_lev127</t>
        </is>
      </c>
      <c r="Q103" t="inlineStr">
        <is>
          <t>Tools/balance/full_weapon_audit.py (bảng REAL) qua input_nhip_that / input_ty_le_nhip</t>
        </is>
      </c>
      <c r="R103" t="inlineStr"/>
    </row>
    <row r="104">
      <c r="A104" t="inlineStr">
        <is>
          <t>silver_bug/p26_icarus_close_autocannon_40/nhip</t>
        </is>
      </c>
      <c r="B104" t="inlineStr">
        <is>
          <t>silver_bug</t>
        </is>
      </c>
      <c r="C104" t="inlineStr">
        <is>
          <t>khe_mot_nong_mot_vien</t>
        </is>
      </c>
      <c r="D104" t="inlineStr">
        <is>
          <t>s</t>
        </is>
      </c>
      <c r="E104" t="n">
        <v>0.332</v>
      </c>
      <c r="F104">
        <f>60/INDEX(boss_input_nhip_that!$B$2:$B$74,MATCH($P$104,boss_input_nhip_that!$A$2:$A$74,0))/IF(INDEX(boss_input_nhip_that!$C$2:$C$74,MATCH($P$104,boss_input_nhip_that!$A$2:$A$74,0))="gun",0.7,1)</f>
        <v/>
      </c>
      <c r="G104">
        <f>$E$104/$F$104</f>
        <v/>
      </c>
      <c r="H104" t="n">
        <v>0.6</v>
      </c>
      <c r="I104" t="n">
        <v>2</v>
      </c>
      <c r="J104" t="b">
        <v>0</v>
      </c>
      <c r="K104" t="inlineStr"/>
      <c r="L104">
        <f>IF(ISNUMBER($H$104),AND(NOT($J$104),OR($G$104&lt;$H$104,$G$104&gt;$I$104)),FALSE)</f>
        <v/>
      </c>
      <c r="M104" t="inlineStr"/>
      <c r="N104" t="inlineStr">
        <is>
          <t>R_balance;R_full_weapon_audit;W_wikipedia_bofors_40_mm_l_70</t>
        </is>
      </c>
      <c r="O104" t="inlineStr">
        <is>
          <t>nhịp pháo boss so với hệ thống thật (định nghĩa như 01_chien_dau/Vu_khi_so_sanh_that)</t>
        </is>
      </c>
      <c r="P104" t="inlineStr">
        <is>
          <t>p26_icarus_close_autocannon_40</t>
        </is>
      </c>
      <c r="Q104" t="inlineStr">
        <is>
          <t>Tools/balance/full_weapon_audit.py (bảng REAL) qua input_nhip_that / input_ty_le_nhip</t>
        </is>
      </c>
      <c r="R104" t="inlineStr"/>
    </row>
    <row r="105">
      <c r="A105" t="inlineStr">
        <is>
          <t>silver_bug/pt14_sb_v105/nhip</t>
        </is>
      </c>
      <c r="B105" t="inlineStr">
        <is>
          <t>silver_bug</t>
        </is>
      </c>
      <c r="C105" t="inlineStr">
        <is>
          <t>khe_mot_nong_mot_vien</t>
        </is>
      </c>
      <c r="D105" t="inlineStr">
        <is>
          <t>s</t>
        </is>
      </c>
      <c r="E105" t="n">
        <v>6</v>
      </c>
      <c r="F105">
        <f>60/INDEX(boss_input_nhip_that!$B$2:$B$74,MATCH($P$105,boss_input_nhip_that!$A$2:$A$74,0))/IF(INDEX(boss_input_nhip_that!$C$2:$C$74,MATCH($P$105,boss_input_nhip_that!$A$2:$A$74,0))="gun",0.7,1)</f>
        <v/>
      </c>
      <c r="G105">
        <f>$E$105/$F$105</f>
        <v/>
      </c>
      <c r="H105" t="n">
        <v>0.6</v>
      </c>
      <c r="I105" t="n">
        <v>2</v>
      </c>
      <c r="J105" t="b">
        <v>0</v>
      </c>
      <c r="K105" t="inlineStr"/>
      <c r="L105">
        <f>IF(ISNUMBER($H$105),AND(NOT($J$105),OR($G$105&lt;$H$105,$G$105&gt;$I$105)),FALSE)</f>
        <v/>
      </c>
      <c r="M105" t="inlineStr"/>
      <c r="N105" t="inlineStr">
        <is>
          <t>R_balance;R_full_weapon_audit;W_wikipedia_m102_howitzer;R_machine_brigade_can_bang</t>
        </is>
      </c>
      <c r="O105" t="inlineStr">
        <is>
          <t>nhịp pháo boss so với hệ thống thật (định nghĩa như 01_chien_dau/Vu_khi_so_sanh_that)</t>
        </is>
      </c>
      <c r="P105" t="inlineStr">
        <is>
          <t>pt14_sb_v105</t>
        </is>
      </c>
      <c r="Q105" t="inlineStr">
        <is>
          <t>Tools/balance/full_weapon_audit.py (bảng REAL) qua input_nhip_that / input_ty_le_nhip</t>
        </is>
      </c>
      <c r="R105" t="inlineStr"/>
    </row>
    <row r="106">
      <c r="A106" t="inlineStr">
        <is>
          <t>theia/pt14_th_v35/nhip</t>
        </is>
      </c>
      <c r="B106" t="inlineStr">
        <is>
          <t>theia</t>
        </is>
      </c>
      <c r="C106" t="inlineStr">
        <is>
          <t>khe_mot_nong_mot_vien</t>
        </is>
      </c>
      <c r="D106" t="inlineStr">
        <is>
          <t>s</t>
        </is>
      </c>
      <c r="E106" t="n">
        <v>0.69375</v>
      </c>
      <c r="F106">
        <f>60/INDEX(boss_input_nhip_that!$B$2:$B$74,MATCH($P$106,boss_input_nhip_that!$A$2:$A$74,0))/IF(INDEX(boss_input_nhip_that!$C$2:$C$74,MATCH($P$106,boss_input_nhip_that!$A$2:$A$74,0))="gun",0.7,1)</f>
        <v/>
      </c>
      <c r="G106">
        <f>$E$106/$F$106</f>
        <v/>
      </c>
      <c r="H106" t="n">
        <v>0.6</v>
      </c>
      <c r="I106" t="n">
        <v>2</v>
      </c>
      <c r="J106" t="b">
        <v>0</v>
      </c>
      <c r="K106" t="inlineStr"/>
      <c r="L106">
        <f>IF(ISNUMBER($H$106),AND(NOT($J$106),OR($G$106&lt;$H$106,$G$106&gt;$I$106)),FALSE)</f>
        <v/>
      </c>
      <c r="M106" t="inlineStr">
        <is>
          <t>TC0111</t>
        </is>
      </c>
      <c r="N106" t="inlineStr">
        <is>
          <t>R_balance;R_full_weapon_audit;W_wikipedia_oerlikon_gdf</t>
        </is>
      </c>
      <c r="O106" t="inlineStr">
        <is>
          <t>nhịp pháo boss so với hệ thống thật (định nghĩa như 01_chien_dau/Vu_khi_so_sanh_that)</t>
        </is>
      </c>
      <c r="P106" t="inlineStr">
        <is>
          <t>pt14_th_v35</t>
        </is>
      </c>
      <c r="Q106" t="inlineStr">
        <is>
          <t>Tools/balance/full_weapon_audit.py (bảng REAL) qua input_nhip_that / input_ty_le_nhip</t>
        </is>
      </c>
      <c r="R106" t="inlineStr"/>
    </row>
    <row r="107">
      <c r="A107" t="inlineStr">
        <is>
          <t>typhon/p26_typhon_direct_ty100/nhip</t>
        </is>
      </c>
      <c r="B107" t="inlineStr">
        <is>
          <t>typhon</t>
        </is>
      </c>
      <c r="C107" t="inlineStr">
        <is>
          <t>khe_mot_nong_mot_vien</t>
        </is>
      </c>
      <c r="D107" t="inlineStr">
        <is>
          <t>s</t>
        </is>
      </c>
      <c r="E107" t="n">
        <v>1.75</v>
      </c>
      <c r="F107">
        <f>60/INDEX(boss_input_nhip_that!$B$2:$B$74,MATCH($P$107,boss_input_nhip_that!$A$2:$A$74,0))/IF(INDEX(boss_input_nhip_that!$C$2:$C$74,MATCH($P$107,boss_input_nhip_that!$A$2:$A$74,0))="gun",0.7,1)</f>
        <v/>
      </c>
      <c r="G107">
        <f>$E$107/$F$107</f>
        <v/>
      </c>
      <c r="H107" t="n">
        <v>0.6</v>
      </c>
      <c r="I107" t="n">
        <v>2</v>
      </c>
      <c r="J107" t="b">
        <v>0</v>
      </c>
      <c r="K107" t="inlineStr"/>
      <c r="L107">
        <f>IF(ISNUMBER($H$107),AND(NOT($J$107),OR($G$107&lt;$H$107,$G$107&gt;$I$107)),FALSE)</f>
        <v/>
      </c>
      <c r="M107" t="inlineStr"/>
      <c r="N107" t="inlineStr">
        <is>
          <t>R_balance;R_full_weapon_audit;W_wikipedia_ak_100_naval_gun</t>
        </is>
      </c>
      <c r="O107" t="inlineStr">
        <is>
          <t>nhịp pháo boss so với hệ thống thật (định nghĩa như 01_chien_dau/Vu_khi_so_sanh_that)</t>
        </is>
      </c>
      <c r="P107" t="inlineStr">
        <is>
          <t>p26_typhon_direct_ty100</t>
        </is>
      </c>
      <c r="Q107" t="inlineStr">
        <is>
          <t>Tools/balance/full_weapon_audit.py (bảng REAL) qua input_nhip_that / input_ty_le_nhip</t>
        </is>
      </c>
      <c r="R107" t="inlineStr"/>
    </row>
    <row r="108">
      <c r="A108" t="inlineStr">
        <is>
          <t>typhon/p26_typhon_sec_ty57/nhip</t>
        </is>
      </c>
      <c r="B108" t="inlineStr">
        <is>
          <t>typhon</t>
        </is>
      </c>
      <c r="C108" t="inlineStr">
        <is>
          <t>khe_mot_nong_mot_vien</t>
        </is>
      </c>
      <c r="D108" t="inlineStr">
        <is>
          <t>s</t>
        </is>
      </c>
      <c r="E108" t="n">
        <v>1.0725</v>
      </c>
      <c r="F108">
        <f>60/INDEX(boss_input_nhip_that!$B$2:$B$74,MATCH($P$108,boss_input_nhip_that!$A$2:$A$74,0))/IF(INDEX(boss_input_nhip_that!$C$2:$C$74,MATCH($P$108,boss_input_nhip_that!$A$2:$A$74,0))="gun",0.7,1)</f>
        <v/>
      </c>
      <c r="G108">
        <f>$E$108/$F$108</f>
        <v/>
      </c>
      <c r="H108" t="n">
        <v>0.6</v>
      </c>
      <c r="I108" t="n">
        <v>2</v>
      </c>
      <c r="J108" t="b">
        <v>1</v>
      </c>
      <c r="K108" t="inlineStr">
        <is>
          <t>fix_weapon_reasons.json: wave 1 mothership_cannon: 4 rounds 0.5 s apart every 4.29 s (AU-220M 120 rpm); made up: a twin 57 mm deck mount (as the real AK-725 twin 57 mm)</t>
        </is>
      </c>
      <c r="L108">
        <f>IF(ISNUMBER($H$108),AND(NOT($J$108),OR($G$108&lt;$H$108,$G$108&gt;$I$108)),FALSE)</f>
        <v/>
      </c>
      <c r="M108" t="inlineStr"/>
      <c r="N108" t="inlineStr">
        <is>
          <t>R_balance;R_full_weapon_audit;W_wikipedia_au_220m</t>
        </is>
      </c>
      <c r="O108" t="inlineStr">
        <is>
          <t>nhịp pháo boss so với hệ thống thật (định nghĩa như 01_chien_dau/Vu_khi_so_sanh_that)</t>
        </is>
      </c>
      <c r="P108" t="inlineStr">
        <is>
          <t>p26_typhon_sec_ty57</t>
        </is>
      </c>
      <c r="Q108" t="inlineStr">
        <is>
          <t>Tools/balance/full_weapon_audit.py (bảng REAL) qua input_nhip_that / input_ty_le_nhip</t>
        </is>
      </c>
      <c r="R108" t="inlineStr"/>
    </row>
    <row r="109">
      <c r="A109" t="inlineStr">
        <is>
          <t>typhon/sam_post/nhip</t>
        </is>
      </c>
      <c r="B109" t="inlineStr">
        <is>
          <t>typhon</t>
        </is>
      </c>
      <c r="C109" t="inlineStr">
        <is>
          <t>khe_mot_nong_mot_vien</t>
        </is>
      </c>
      <c r="D109" t="inlineStr">
        <is>
          <t>s</t>
        </is>
      </c>
      <c r="E109" t="n">
        <v>2.2</v>
      </c>
      <c r="F109">
        <f>60/INDEX(boss_input_nhip_that!$B$2:$B$74,MATCH($P$109,boss_input_nhip_that!$A$2:$A$74,0))/IF(INDEX(boss_input_nhip_that!$C$2:$C$74,MATCH($P$109,boss_input_nhip_that!$A$2:$A$74,0))="gun",0.7,1)</f>
        <v/>
      </c>
      <c r="G109">
        <f>$E$109/$F$109</f>
        <v/>
      </c>
      <c r="H109" t="n">
        <v>0.6</v>
      </c>
      <c r="I109" t="n">
        <v>2</v>
      </c>
      <c r="J109" t="b">
        <v>0</v>
      </c>
      <c r="K109" t="inlineStr"/>
      <c r="L109">
        <f>IF(ISNUMBER($H$109),AND(NOT($J$109),OR($G$109&lt;$H$109,$G$109&gt;$I$109)),FALSE)</f>
        <v/>
      </c>
      <c r="M109" t="inlineStr">
        <is>
          <t>TC0112</t>
        </is>
      </c>
      <c r="N109" t="inlineStr">
        <is>
          <t>R_balance;R_full_weapon_audit;W_wikipedia_buk_missile_system;R_machine_brigade_can_bang</t>
        </is>
      </c>
      <c r="O109" t="inlineStr">
        <is>
          <t>nhịp pháo boss so với hệ thống thật (định nghĩa như 01_chien_dau/Vu_khi_so_sanh_that)</t>
        </is>
      </c>
      <c r="P109" t="inlineStr">
        <is>
          <t>sam_post</t>
        </is>
      </c>
      <c r="Q109" t="inlineStr">
        <is>
          <t>Tools/balance/full_weapon_audit.py (bảng REAL) qua input_nhip_that / input_ty_le_nhip</t>
        </is>
      </c>
      <c r="R109" t="inlineStr"/>
    </row>
  </sheetData>
  <autoFilter ref="A1:R109"/>
  <pageMargins left="0.75" right="0.75" top="1" bottom="1" header="0.5" footer="0.5"/>
</worksheet>
</file>

<file path=xl/worksheets/sheet44.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8" customWidth="1" min="2" max="2"/>
    <col width="16" customWidth="1" min="3" max="3"/>
    <col width="60" customWidth="1" min="4" max="4"/>
    <col width="60" customWidth="1" min="5" max="5"/>
    <col width="10" customWidth="1" min="6" max="6"/>
  </cols>
  <sheetData>
    <row r="1">
      <c r="A1" s="1" t="inlineStr">
        <is>
          <t>id</t>
        </is>
      </c>
      <c r="B1" s="1" t="inlineStr">
        <is>
          <t>ngoai_doi_phat_phut_toi_da</t>
        </is>
      </c>
      <c r="C1" s="1" t="inlineStr">
        <is>
          <t>ngoai_doi_loai</t>
        </is>
      </c>
      <c r="D1" s="1" t="inlineStr">
        <is>
          <t>ngoai_doi_nguon</t>
        </is>
      </c>
      <c r="E1" s="1" t="inlineStr">
        <is>
          <t>nguon</t>
        </is>
      </c>
      <c r="F1" s="1" t="inlineStr">
        <is>
          <t>raw_json</t>
        </is>
      </c>
    </row>
    <row r="2">
      <c r="A2" t="inlineStr">
        <is>
          <t>aa_25_triple</t>
        </is>
      </c>
      <c r="B2" t="n">
        <v>260</v>
      </c>
      <c r="C2" t="inlineStr">
        <is>
          <t>aa</t>
        </is>
      </c>
      <c r="D2" t="inlineStr">
        <is>
          <t>Wikipedia 'Type 96 25 mm AT/AA gun': 220-260 rpm a barrel</t>
        </is>
      </c>
      <c r="E2" t="inlineStr">
        <is>
          <t>01_chien_dau/Vu_khi (id aa_25_triple)</t>
        </is>
      </c>
      <c r="F2" t="inlineStr"/>
    </row>
    <row r="3">
      <c r="A3" t="inlineStr">
        <is>
          <t>borer_cannon</t>
        </is>
      </c>
      <c r="B3" t="n">
        <v>10</v>
      </c>
      <c r="C3" t="inlineStr">
        <is>
          <t>gun</t>
        </is>
      </c>
      <c r="D3" t="inlineStr">
        <is>
          <t>Wikipedia '2A70': 10 rpm (100 mm), BMP-3</t>
        </is>
      </c>
      <c r="E3" t="inlineStr">
        <is>
          <t>01_chien_dau/Vu_khi (id borer_cannon)</t>
        </is>
      </c>
      <c r="F3" t="inlineStr"/>
    </row>
    <row r="4">
      <c r="A4" t="inlineStr">
        <is>
          <t>boss_flak</t>
        </is>
      </c>
      <c r="B4" t="n">
        <v>550</v>
      </c>
      <c r="C4" t="inlineStr">
        <is>
          <t>aa</t>
        </is>
      </c>
      <c r="D4" t="inlineStr">
        <is>
          <t>Wikipedia 'Oerlikon GDF': 550 rpm a gun (the twin: 1,100)</t>
        </is>
      </c>
      <c r="E4" t="inlineStr">
        <is>
          <t>01_chien_dau/Vu_khi (id boss_flak)</t>
        </is>
      </c>
      <c r="F4" t="inlineStr"/>
    </row>
    <row r="5">
      <c r="A5" t="inlineStr">
        <is>
          <t>boss_heli_gun</t>
        </is>
      </c>
      <c r="B5" t="n">
        <v>625</v>
      </c>
      <c r="C5" t="inlineStr">
        <is>
          <t>ac</t>
        </is>
      </c>
      <c r="D5" t="inlineStr">
        <is>
          <t>Wikipedia 'M230 chain gun': 625 rpm</t>
        </is>
      </c>
      <c r="E5" t="inlineStr">
        <is>
          <t>01_chien_dau/Vu_khi (id boss_heli_gun)</t>
        </is>
      </c>
      <c r="F5" t="inlineStr"/>
    </row>
    <row r="6">
      <c r="A6" t="inlineStr">
        <is>
          <t>boss_hmg</t>
        </is>
      </c>
      <c r="B6" t="n">
        <v>800</v>
      </c>
      <c r="C6" t="inlineStr">
        <is>
          <t>mg</t>
        </is>
      </c>
      <c r="D6" t="inlineStr">
        <is>
          <t>Wikipedia 'NSV machine gun': 700-800 cyclic, 100 practical</t>
        </is>
      </c>
      <c r="E6" t="inlineStr">
        <is>
          <t>01_chien_dau/Vu_khi (id boss_hmg)</t>
        </is>
      </c>
      <c r="F6" t="inlineStr"/>
    </row>
    <row r="7">
      <c r="A7" t="inlineStr">
        <is>
          <t>boss_minigun</t>
        </is>
      </c>
      <c r="B7" t="n">
        <v>6000</v>
      </c>
      <c r="C7" t="inlineStr">
        <is>
          <t>mg</t>
        </is>
      </c>
      <c r="D7" t="inlineStr">
        <is>
          <t>Wikipedia 'GShG-7.62': 3,500 / 6,000 rpm</t>
        </is>
      </c>
      <c r="E7" t="inlineStr">
        <is>
          <t>01_chien_dau/Vu_khi (id boss_minigun)</t>
        </is>
      </c>
      <c r="F7" t="inlineStr"/>
    </row>
    <row r="8">
      <c r="A8" t="inlineStr">
        <is>
          <t>boss_thermo</t>
        </is>
      </c>
      <c r="B8" t="n">
        <v>8</v>
      </c>
      <c r="C8" t="inlineStr">
        <is>
          <t>gun</t>
        </is>
      </c>
      <c r="D8" t="inlineStr">
        <is>
          <t>Wikipedia '2A46': 7-8 rpm with the autoloader</t>
        </is>
      </c>
      <c r="E8" t="inlineStr">
        <is>
          <t>01_chien_dau/Vu_khi (id boss_thermo)</t>
        </is>
      </c>
      <c r="F8" t="inlineStr"/>
    </row>
    <row r="9">
      <c r="A9" t="inlineStr">
        <is>
          <t>ciws_aa</t>
        </is>
      </c>
      <c r="B9" t="n">
        <v>5000</v>
      </c>
      <c r="C9" t="inlineStr">
        <is>
          <t>aa</t>
        </is>
      </c>
      <c r="D9" t="inlineStr">
        <is>
          <t>Wikipedia 'AK-630': 4,000-5,000 rpm, 2,000-round belt</t>
        </is>
      </c>
      <c r="E9" t="inlineStr">
        <is>
          <t>01_chien_dau/Vu_khi (id ciws_aa)</t>
        </is>
      </c>
      <c r="F9" t="inlineStr"/>
    </row>
    <row r="10">
      <c r="A10" t="inlineStr">
        <is>
          <t>gunship_rockets</t>
        </is>
      </c>
      <c r="B10" t="n">
        <v>900</v>
      </c>
      <c r="C10" t="inlineStr">
        <is>
          <t>rocket</t>
        </is>
      </c>
      <c r="D10" t="inlineStr">
        <is>
          <t>rocket pods: ripples of 0.05-0.12 s (DECISIONS 19R)</t>
        </is>
      </c>
      <c r="E10" t="inlineStr">
        <is>
          <t>01_chien_dau/Vu_khi (id gunship_rockets)</t>
        </is>
      </c>
      <c r="F10" t="inlineStr"/>
    </row>
    <row r="11">
      <c r="A11" t="inlineStr">
        <is>
          <t>hover_ciws</t>
        </is>
      </c>
      <c r="B11" t="n">
        <v>5000</v>
      </c>
      <c r="C11" t="inlineStr">
        <is>
          <t>aa</t>
        </is>
      </c>
      <c r="D11" t="inlineStr">
        <is>
          <t>Wikipedia 'AK-630': 4,000-5,000 rpm, 2,000-round belt</t>
        </is>
      </c>
      <c r="E11" t="inlineStr">
        <is>
          <t>01_chien_dau/Vu_khi (id hover_ciws)</t>
        </is>
      </c>
      <c r="F11" t="inlineStr"/>
    </row>
    <row r="12">
      <c r="A12" t="inlineStr">
        <is>
          <t>hover_rockets</t>
        </is>
      </c>
      <c r="B12" t="n">
        <v>120</v>
      </c>
      <c r="C12" t="inlineStr">
        <is>
          <t>rocket</t>
        </is>
      </c>
      <c r="D12" t="inlineStr">
        <is>
          <t>A-22 Ogon 140 mm (Zubr hovercraft), est. 0.5 s a rocket</t>
        </is>
      </c>
      <c r="E12" t="inlineStr">
        <is>
          <t>01_chien_dau/Vu_khi (id hover_rockets)</t>
        </is>
      </c>
      <c r="F12" t="inlineStr"/>
    </row>
    <row r="13">
      <c r="A13" t="inlineStr">
        <is>
          <t>naval_130_twin</t>
        </is>
      </c>
      <c r="B13" t="n">
        <v>40</v>
      </c>
      <c r="C13" t="inlineStr">
        <is>
          <t>gun</t>
        </is>
      </c>
      <c r="D13" t="inlineStr">
        <is>
          <t>Wikipedia 'AK-130': 10-40 rpm a barrel</t>
        </is>
      </c>
      <c r="E13" t="inlineStr">
        <is>
          <t>01_chien_dau/Vu_khi (id naval_130_twin)</t>
        </is>
      </c>
      <c r="F13" t="inlineStr"/>
    </row>
    <row r="14">
      <c r="A14" t="inlineStr">
        <is>
          <t>nyx_tomahawk</t>
        </is>
      </c>
      <c r="B14" t="n">
        <v>20</v>
      </c>
      <c r="C14" t="inlineStr">
        <is>
          <t>missile</t>
        </is>
      </c>
      <c r="D14" t="inlineStr">
        <is>
          <t>cruise missiles: ~3 s between launches (est.)</t>
        </is>
      </c>
      <c r="E14" t="inlineStr">
        <is>
          <t>01_chien_dau/Vu_khi (id nyx_tomahawk)</t>
        </is>
      </c>
      <c r="F14" t="inlineStr"/>
    </row>
    <row r="15">
      <c r="A15" t="inlineStr">
        <is>
          <t>p26_bastion_close_boss_hmg</t>
        </is>
      </c>
      <c r="B15" t="n">
        <v>800</v>
      </c>
      <c r="C15" t="inlineStr">
        <is>
          <t>mg</t>
        </is>
      </c>
      <c r="D15" t="inlineStr">
        <is>
          <t>Wikipedia 'NSV machine gun': 700-800 cyclic, 100 practical</t>
        </is>
      </c>
      <c r="E15" t="inlineStr">
        <is>
          <t>01_chien_dau/Vu_khi (id p26_bastion_close_boss_hmg)</t>
        </is>
      </c>
      <c r="F15" t="inlineStr"/>
    </row>
    <row r="16">
      <c r="A16" t="inlineStr">
        <is>
          <t>p26_bastion_direct_b100</t>
        </is>
      </c>
      <c r="B16" t="n">
        <v>7</v>
      </c>
      <c r="C16" t="inlineStr">
        <is>
          <t>gun</t>
        </is>
      </c>
      <c r="D16" t="inlineStr">
        <is>
          <t>Wikipedia 'D-10 tank gun' (T-55): 4-7 rpm</t>
        </is>
      </c>
      <c r="E16" t="inlineStr">
        <is>
          <t>01_chien_dau/Vu_khi (id p26_bastion_direct_b100)</t>
        </is>
      </c>
      <c r="F16" t="inlineStr"/>
    </row>
    <row r="17">
      <c r="A17" t="inlineStr">
        <is>
          <t>p26_bastion_main_b155</t>
        </is>
      </c>
      <c r="B17" t="n">
        <v>4</v>
      </c>
      <c r="C17" t="inlineStr">
        <is>
          <t>gun</t>
        </is>
      </c>
      <c r="D17" t="inlineStr">
        <is>
          <t>US Army M109A7 fact file: 4 rpm for 3 min, 1 rpm sustained</t>
        </is>
      </c>
      <c r="E17" t="inlineStr">
        <is>
          <t>01_chien_dau/Vu_khi (id p26_bastion_main_b155)</t>
        </is>
      </c>
      <c r="F17" t="inlineStr"/>
    </row>
    <row r="18">
      <c r="A18" t="inlineStr">
        <is>
          <t>p26_bastion_sec_b240</t>
        </is>
      </c>
      <c r="B18" t="n">
        <v>1</v>
      </c>
      <c r="C18" t="inlineStr">
        <is>
          <t>gun</t>
        </is>
      </c>
      <c r="D18" t="inlineStr">
        <is>
          <t>Wikipedia '2S4 Tyulpan': ~1 rpm</t>
        </is>
      </c>
      <c r="E18" t="inlineStr">
        <is>
          <t>01_chien_dau/Vu_khi (id p26_bastion_sec_b240)</t>
        </is>
      </c>
      <c r="F18" t="inlineStr"/>
    </row>
    <row r="19">
      <c r="A19" t="inlineStr">
        <is>
          <t>p26_bastion_tiny_autocannon_40</t>
        </is>
      </c>
      <c r="B19" t="n">
        <v>330</v>
      </c>
      <c r="C19" t="inlineStr">
        <is>
          <t>aa</t>
        </is>
      </c>
      <c r="D19" t="inlineStr">
        <is>
          <t>Wikipedia 'Bofors 40 mm L/70': 240-330 rpm</t>
        </is>
      </c>
      <c r="E19" t="inlineStr">
        <is>
          <t>01_chien_dau/Vu_khi (id p26_bastion_tiny_autocannon_40)</t>
        </is>
      </c>
      <c r="F19" t="inlineStr"/>
    </row>
    <row r="20">
      <c r="A20" t="inlineStr">
        <is>
          <t>p26_bastion_tiny_kornet_twin</t>
        </is>
      </c>
      <c r="B20" t="n">
        <v>3</v>
      </c>
      <c r="C20" t="inlineStr">
        <is>
          <t>atgm</t>
        </is>
      </c>
      <c r="D20" t="inlineStr">
        <is>
          <t>Wikipedia '9M133 Kornet': 2-3 rpm</t>
        </is>
      </c>
      <c r="E20" t="inlineStr">
        <is>
          <t>01_chien_dau/Vu_khi (id p26_bastion_tiny_kornet_twin)</t>
        </is>
      </c>
      <c r="F20" t="inlineStr"/>
    </row>
    <row r="21">
      <c r="A21" t="inlineStr">
        <is>
          <t>p26_bastion_tiny_zu23</t>
        </is>
      </c>
      <c r="B21" t="n">
        <v>1000</v>
      </c>
      <c r="C21" t="inlineStr">
        <is>
          <t>aa</t>
        </is>
      </c>
      <c r="D21" t="inlineStr">
        <is>
          <t>Wikipedia 'ZU-23-2': 2 x 800-1,000 rpm</t>
        </is>
      </c>
      <c r="E21" t="inlineStr">
        <is>
          <t>01_chien_dau/Vu_khi (id p26_bastion_tiny_zu23)</t>
        </is>
      </c>
      <c r="F21" t="inlineStr"/>
    </row>
    <row r="22">
      <c r="A22" t="inlineStr">
        <is>
          <t>p26_behemoth_close_boss_flak</t>
        </is>
      </c>
      <c r="B22" t="n">
        <v>550</v>
      </c>
      <c r="C22" t="inlineStr">
        <is>
          <t>aa</t>
        </is>
      </c>
      <c r="D22" t="inlineStr">
        <is>
          <t>Wikipedia 'Oerlikon GDF': 550 rpm a gun (the twin: 1,100)</t>
        </is>
      </c>
      <c r="E22" t="inlineStr">
        <is>
          <t>01_chien_dau/Vu_khi (id p26_behemoth_close_boss_flak)</t>
        </is>
      </c>
      <c r="F22" t="inlineStr"/>
    </row>
    <row r="23">
      <c r="A23" t="inlineStr">
        <is>
          <t>p26_behemoth_direct_be120</t>
        </is>
      </c>
      <c r="B23" t="n">
        <v>8</v>
      </c>
      <c r="C23" t="inlineStr">
        <is>
          <t>gun</t>
        </is>
      </c>
      <c r="D23" t="inlineStr">
        <is>
          <t>the sheet's 'Ngoài đời': Rh-120 6-8 rpm with a loader (Wikipedia 'Rheinmetall 120 mm gun')</t>
        </is>
      </c>
      <c r="E23" t="inlineStr">
        <is>
          <t>01_chien_dau/Vu_khi (id p26_behemoth_direct_be120)</t>
        </is>
      </c>
      <c r="F23" t="inlineStr"/>
    </row>
    <row r="24">
      <c r="A24" t="inlineStr">
        <is>
          <t>p26_behemoth_main_be152</t>
        </is>
      </c>
      <c r="B24" t="n">
        <v>8</v>
      </c>
      <c r="C24" t="inlineStr">
        <is>
          <t>gun</t>
        </is>
      </c>
      <c r="D24" t="inlineStr">
        <is>
          <t>Wikipedia '2A65 Msta-B': 7-8 rpm</t>
        </is>
      </c>
      <c r="E24" t="inlineStr">
        <is>
          <t>01_chien_dau/Vu_khi (id p26_behemoth_main_be152)</t>
        </is>
      </c>
      <c r="F24" t="inlineStr"/>
    </row>
    <row r="25">
      <c r="A25" t="inlineStr">
        <is>
          <t>p26_behemoth_sec_be_rockets</t>
        </is>
      </c>
      <c r="B25" t="n">
        <v>120</v>
      </c>
      <c r="C25" t="inlineStr">
        <is>
          <t>rocket</t>
        </is>
      </c>
      <c r="D25" t="inlineStr">
        <is>
          <t>Wikipedia 'BM-21 Grad': 40 rockets in 20 s</t>
        </is>
      </c>
      <c r="E25" t="inlineStr">
        <is>
          <t>01_chien_dau/Vu_khi (id p26_behemoth_sec_be_rockets)</t>
        </is>
      </c>
      <c r="F25" t="inlineStr"/>
    </row>
    <row r="26">
      <c r="A26" t="inlineStr">
        <is>
          <t>p26_behemoth_tiny_be120</t>
        </is>
      </c>
      <c r="B26" t="n">
        <v>8</v>
      </c>
      <c r="C26" t="inlineStr">
        <is>
          <t>gun</t>
        </is>
      </c>
      <c r="D26" t="inlineStr">
        <is>
          <t>the sheet's 'Ngoài đời': Rh-120 6-8 rpm with a loader (Wikipedia 'Rheinmetall 120 mm gun')</t>
        </is>
      </c>
      <c r="E26" t="inlineStr">
        <is>
          <t>01_chien_dau/Vu_khi (id p26_behemoth_tiny_be120)</t>
        </is>
      </c>
      <c r="F26" t="inlineStr"/>
    </row>
    <row r="27">
      <c r="A27" t="inlineStr">
        <is>
          <t>p26_behemoth_tiny_boss_missiles</t>
        </is>
      </c>
      <c r="B27" t="n">
        <v>3</v>
      </c>
      <c r="C27" t="inlineStr">
        <is>
          <t>atgm</t>
        </is>
      </c>
      <c r="D27" t="inlineStr">
        <is>
          <t>Wikipedia '9M133 Kornet': 2-3 rpm</t>
        </is>
      </c>
      <c r="E27" t="inlineStr">
        <is>
          <t>01_chien_dau/Vu_khi (id p26_behemoth_tiny_boss_missiles)</t>
        </is>
      </c>
      <c r="F27" t="inlineStr"/>
    </row>
    <row r="28">
      <c r="A28" t="inlineStr">
        <is>
          <t>p26_behemoth_tiny_kornet_twin</t>
        </is>
      </c>
      <c r="B28" t="n">
        <v>8</v>
      </c>
      <c r="C28" t="inlineStr">
        <is>
          <t>gun</t>
        </is>
      </c>
      <c r="D28" t="inlineStr">
        <is>
          <t>the sheet's 'Ngoài đời': Rh-120 6-8 rpm with a loader (Wikipedia 'Rheinmetall 120 mm gun')</t>
        </is>
      </c>
      <c r="E28" t="inlineStr">
        <is>
          <t>01_chien_dau/Vu_khi (id p26_behemoth_tiny_kornet_twin)</t>
        </is>
      </c>
      <c r="F28" t="inlineStr"/>
    </row>
    <row r="29">
      <c r="A29" t="inlineStr">
        <is>
          <t>p26_icarus_close_autocannon_40</t>
        </is>
      </c>
      <c r="B29" t="n">
        <v>330</v>
      </c>
      <c r="C29" t="inlineStr">
        <is>
          <t>aa</t>
        </is>
      </c>
      <c r="D29" t="inlineStr">
        <is>
          <t>Wikipedia 'Bofors 40 mm L/70': 240-330 rpm</t>
        </is>
      </c>
      <c r="E29" t="inlineStr">
        <is>
          <t>01_chien_dau/Vu_khi (id p26_icarus_close_autocannon_40)</t>
        </is>
      </c>
      <c r="F29" t="inlineStr"/>
    </row>
    <row r="30">
      <c r="A30" t="inlineStr">
        <is>
          <t>p26_ixion_125</t>
        </is>
      </c>
      <c r="B30" t="n">
        <v>8</v>
      </c>
      <c r="C30" t="inlineStr">
        <is>
          <t>gun</t>
        </is>
      </c>
      <c r="D30" t="inlineStr">
        <is>
          <t>Wikipedia '2A46': 7-8 rpm with the autoloader</t>
        </is>
      </c>
      <c r="E30" t="inlineStr">
        <is>
          <t>01_chien_dau/Vu_khi (id p26_ixion_125)</t>
        </is>
      </c>
      <c r="F30" t="inlineStr"/>
    </row>
    <row r="31">
      <c r="A31" t="inlineStr">
        <is>
          <t>p26_ixion_mg</t>
        </is>
      </c>
      <c r="B31" t="n">
        <v>800</v>
      </c>
      <c r="C31" t="inlineStr">
        <is>
          <t>mg</t>
        </is>
      </c>
      <c r="D31" t="inlineStr">
        <is>
          <t>Wikipedia 'NSV machine gun': 700-800 cyclic, 100 practical</t>
        </is>
      </c>
      <c r="E31" t="inlineStr">
        <is>
          <t>01_chien_dau/Vu_khi (id p26_ixion_mg)</t>
        </is>
      </c>
      <c r="F31" t="inlineStr"/>
    </row>
    <row r="32">
      <c r="A32" t="inlineStr">
        <is>
          <t>p26_jotunn_close_boss_flak</t>
        </is>
      </c>
      <c r="B32" t="n">
        <v>550</v>
      </c>
      <c r="C32" t="inlineStr">
        <is>
          <t>aa</t>
        </is>
      </c>
      <c r="D32" t="inlineStr">
        <is>
          <t>Wikipedia 'Oerlikon GDF': 550 rpm a gun (the twin: 1,100)</t>
        </is>
      </c>
      <c r="E32" t="inlineStr">
        <is>
          <t>01_chien_dau/Vu_khi (id p26_jotunn_close_boss_flak)</t>
        </is>
      </c>
      <c r="F32" t="inlineStr"/>
    </row>
    <row r="33">
      <c r="A33" t="inlineStr">
        <is>
          <t>p26_jotunn_direct_jo125</t>
        </is>
      </c>
      <c r="B33" t="n">
        <v>8</v>
      </c>
      <c r="C33" t="inlineStr">
        <is>
          <t>gun</t>
        </is>
      </c>
      <c r="D33" t="inlineStr">
        <is>
          <t>Wikipedia '2A46': 7-8 rpm with the autoloader</t>
        </is>
      </c>
      <c r="E33" t="inlineStr">
        <is>
          <t>01_chien_dau/Vu_khi (id p26_jotunn_direct_jo125)</t>
        </is>
      </c>
      <c r="F33" t="inlineStr"/>
    </row>
    <row r="34">
      <c r="A34" t="inlineStr">
        <is>
          <t>p26_jotunn_jo203</t>
        </is>
      </c>
      <c r="B34" t="n">
        <v>2.5</v>
      </c>
      <c r="C34" t="inlineStr">
        <is>
          <t>gun</t>
        </is>
      </c>
      <c r="D34" t="inlineStr">
        <is>
          <t>Wikipedia '2S7 Pion': 1.5 rpm (2S7M Malka 2.5)</t>
        </is>
      </c>
      <c r="E34" t="inlineStr">
        <is>
          <t>01_chien_dau/Vu_khi (id p26_jotunn_jo203)</t>
        </is>
      </c>
      <c r="F34" t="inlineStr"/>
    </row>
    <row r="35">
      <c r="A35" t="inlineStr">
        <is>
          <t>p26_jotunn_sec_jo_rockets</t>
        </is>
      </c>
      <c r="B35" t="n">
        <v>19</v>
      </c>
      <c r="C35" t="inlineStr">
        <is>
          <t>rocket</t>
        </is>
      </c>
      <c r="D35" t="inlineStr">
        <is>
          <t>Wikipedia 'BM-30 Smerch': 12 rockets in 38 s</t>
        </is>
      </c>
      <c r="E35" t="inlineStr">
        <is>
          <t>01_chien_dau/Vu_khi (id p26_jotunn_sec_jo_rockets)</t>
        </is>
      </c>
      <c r="F35" t="inlineStr"/>
    </row>
    <row r="36">
      <c r="A36" t="inlineStr">
        <is>
          <t>p26_jotunn_tiny_twin_30_flak</t>
        </is>
      </c>
      <c r="B36" t="n">
        <v>2500</v>
      </c>
      <c r="C36" t="inlineStr">
        <is>
          <t>aa</t>
        </is>
      </c>
      <c r="D36" t="inlineStr">
        <is>
          <t>Wikipedia '2A38': 4,060-5,000 rpm the twin mount</t>
        </is>
      </c>
      <c r="E36" t="inlineStr">
        <is>
          <t>01_chien_dau/Vu_khi (id p26_jotunn_tiny_twin_30_flak)</t>
        </is>
      </c>
      <c r="F36" t="inlineStr"/>
    </row>
    <row r="37">
      <c r="A37" t="inlineStr">
        <is>
          <t>p26_leviathan_direct_lev127</t>
        </is>
      </c>
      <c r="B37" t="n">
        <v>30</v>
      </c>
      <c r="C37" t="inlineStr">
        <is>
          <t>gun</t>
        </is>
      </c>
      <c r="D37" t="inlineStr">
        <is>
          <t>the A-192 'Armat' 130 mm class, 30 rpm (Wikipedia 'A-192')</t>
        </is>
      </c>
      <c r="E37" t="inlineStr">
        <is>
          <t>01_chien_dau/Vu_khi (id p26_leviathan_direct_lev127)</t>
        </is>
      </c>
      <c r="F37" t="inlineStr"/>
    </row>
    <row r="38">
      <c r="A38" t="inlineStr">
        <is>
          <t>p26_leviathan_lev406</t>
        </is>
      </c>
      <c r="B38" t="n">
        <v>2</v>
      </c>
      <c r="C38" t="inlineStr">
        <is>
          <t>gun</t>
        </is>
      </c>
      <c r="D38" t="inlineStr">
        <is>
          <t>Wikipedia '16"/50 caliber Mark 7': 2 rpm a gun</t>
        </is>
      </c>
      <c r="E38" t="inlineStr">
        <is>
          <t>01_chien_dau/Vu_khi (id p26_leviathan_lev406)</t>
        </is>
      </c>
      <c r="F38" t="inlineStr"/>
    </row>
    <row r="39">
      <c r="A39" t="inlineStr">
        <is>
          <t>p26_leviathan_sec_lev155</t>
        </is>
      </c>
      <c r="B39" t="n">
        <v>5</v>
      </c>
      <c r="C39" t="inlineStr">
        <is>
          <t>gun</t>
        </is>
      </c>
      <c r="D39" t="inlineStr">
        <is>
          <t>Wikipedia '15.5 cm/60 3rd Year Type' (Mogami): ~5 rpm a gun</t>
        </is>
      </c>
      <c r="E39" t="inlineStr">
        <is>
          <t>01_chien_dau/Vu_khi (id p26_leviathan_sec_lev155)</t>
        </is>
      </c>
      <c r="F39" t="inlineStr"/>
    </row>
    <row r="40">
      <c r="A40" t="inlineStr">
        <is>
          <t>p26_matriarch_close_boss_flak</t>
        </is>
      </c>
      <c r="B40" t="n">
        <v>550</v>
      </c>
      <c r="C40" t="inlineStr">
        <is>
          <t>aa</t>
        </is>
      </c>
      <c r="D40" t="inlineStr">
        <is>
          <t>Wikipedia 'Oerlikon GDF': 550 rpm a gun (the twin: 1,100)</t>
        </is>
      </c>
      <c r="E40" t="inlineStr">
        <is>
          <t>01_chien_dau/Vu_khi (id p26_matriarch_close_boss_flak)</t>
        </is>
      </c>
      <c r="F40" t="inlineStr"/>
    </row>
    <row r="41">
      <c r="A41" t="inlineStr">
        <is>
          <t>p26_matriarch_direct_ma_atgm</t>
        </is>
      </c>
      <c r="B41" t="n">
        <v>3</v>
      </c>
      <c r="C41" t="inlineStr">
        <is>
          <t>atgm</t>
        </is>
      </c>
      <c r="D41" t="inlineStr">
        <is>
          <t>Wikipedia '9M133 Kornet': 2-3 rpm</t>
        </is>
      </c>
      <c r="E41" t="inlineStr">
        <is>
          <t>01_chien_dau/Vu_khi (id p26_matriarch_direct_ma_atgm)</t>
        </is>
      </c>
      <c r="F41" t="inlineStr"/>
    </row>
    <row r="42">
      <c r="A42" t="inlineStr">
        <is>
          <t>p26_matriarch_sec_autocannon_30</t>
        </is>
      </c>
      <c r="B42" t="n">
        <v>800</v>
      </c>
      <c r="C42" t="inlineStr">
        <is>
          <t>ac</t>
        </is>
      </c>
      <c r="D42" t="inlineStr">
        <is>
          <t>Wikipedia '2A42': 550-800 high, 200-300 low rpm</t>
        </is>
      </c>
      <c r="E42" t="inlineStr">
        <is>
          <t>01_chien_dau/Vu_khi (id p26_matriarch_sec_autocannon_30)</t>
        </is>
      </c>
      <c r="F42" t="inlineStr"/>
    </row>
    <row r="43">
      <c r="A43" t="inlineStr">
        <is>
          <t>p26_matriarch_tiny_mothership_cannon</t>
        </is>
      </c>
      <c r="B43" t="n">
        <v>120</v>
      </c>
      <c r="C43" t="inlineStr">
        <is>
          <t>ac</t>
        </is>
      </c>
      <c r="D43" t="inlineStr">
        <is>
          <t>Wikipedia 'AU-220M': 80-120 rpm</t>
        </is>
      </c>
      <c r="E43" t="inlineStr">
        <is>
          <t>01_chien_dau/Vu_khi (id p26_matriarch_tiny_mothership_cannon)</t>
        </is>
      </c>
      <c r="F43" t="inlineStr"/>
    </row>
    <row r="44">
      <c r="A44" t="inlineStr">
        <is>
          <t>p26_moloch_close_boss_flak</t>
        </is>
      </c>
      <c r="B44" t="n">
        <v>550</v>
      </c>
      <c r="C44" t="inlineStr">
        <is>
          <t>aa</t>
        </is>
      </c>
      <c r="D44" t="inlineStr">
        <is>
          <t>Wikipedia 'Oerlikon GDF': 550 rpm a gun (the twin: 1,100)</t>
        </is>
      </c>
      <c r="E44" t="inlineStr">
        <is>
          <t>01_chien_dau/Vu_khi (id p26_moloch_close_boss_flak)</t>
        </is>
      </c>
      <c r="F44" t="inlineStr"/>
    </row>
    <row r="45">
      <c r="A45" t="inlineStr">
        <is>
          <t>p26_moloch_direct_mo120ap</t>
        </is>
      </c>
      <c r="B45" t="n">
        <v>8</v>
      </c>
      <c r="C45" t="inlineStr">
        <is>
          <t>gun</t>
        </is>
      </c>
      <c r="D45" t="inlineStr">
        <is>
          <t>the sheet's 'Ngoài đời': Rh-120 6-8 rpm with a loader (Wikipedia 'Rheinmetall 120 mm gun')</t>
        </is>
      </c>
      <c r="E45" t="inlineStr">
        <is>
          <t>01_chien_dau/Vu_khi (id p26_moloch_direct_mo120ap)</t>
        </is>
      </c>
      <c r="F45" t="inlineStr"/>
    </row>
    <row r="46">
      <c r="A46" t="inlineStr">
        <is>
          <t>p26_moloch_main_mo120</t>
        </is>
      </c>
      <c r="B46" t="n">
        <v>8</v>
      </c>
      <c r="C46" t="inlineStr">
        <is>
          <t>gun</t>
        </is>
      </c>
      <c r="D46" t="inlineStr">
        <is>
          <t>the sheet's 'Ngoài đời': Rh-120 6-8 rpm with a loader (Wikipedia 'Rheinmetall 120 mm gun')</t>
        </is>
      </c>
      <c r="E46" t="inlineStr">
        <is>
          <t>01_chien_dau/Vu_khi (id p26_moloch_main_mo120)</t>
        </is>
      </c>
      <c r="F46" t="inlineStr"/>
    </row>
    <row r="47">
      <c r="A47" t="inlineStr">
        <is>
          <t>p26_moloch_tiny_zu23</t>
        </is>
      </c>
      <c r="B47" t="n">
        <v>1000</v>
      </c>
      <c r="C47" t="inlineStr">
        <is>
          <t>aa</t>
        </is>
      </c>
      <c r="D47" t="inlineStr">
        <is>
          <t>Wikipedia 'ZU-23-2': 2 x 800-1,000 rpm</t>
        </is>
      </c>
      <c r="E47" t="inlineStr">
        <is>
          <t>01_chien_dau/Vu_khi (id p26_moloch_tiny_zu23)</t>
        </is>
      </c>
      <c r="F47" t="inlineStr"/>
    </row>
    <row r="48">
      <c r="A48" t="inlineStr">
        <is>
          <t>p26_nemesis_close_boss_flak</t>
        </is>
      </c>
      <c r="B48" t="n">
        <v>550</v>
      </c>
      <c r="C48" t="inlineStr">
        <is>
          <t>aa</t>
        </is>
      </c>
      <c r="D48" t="inlineStr">
        <is>
          <t>Wikipedia 'Oerlikon GDF': 550 rpm a gun (the twin: 1,100)</t>
        </is>
      </c>
      <c r="E48" t="inlineStr">
        <is>
          <t>01_chien_dau/Vu_khi (id p26_nemesis_close_boss_flak)</t>
        </is>
      </c>
      <c r="F48" t="inlineStr"/>
    </row>
    <row r="49">
      <c r="A49" t="inlineStr">
        <is>
          <t>p26_nemesis_direct_ne125</t>
        </is>
      </c>
      <c r="B49" t="n">
        <v>8</v>
      </c>
      <c r="C49" t="inlineStr">
        <is>
          <t>gun</t>
        </is>
      </c>
      <c r="D49" t="inlineStr">
        <is>
          <t>Wikipedia '2A46': 7-8 rpm with the autoloader</t>
        </is>
      </c>
      <c r="E49" t="inlineStr">
        <is>
          <t>01_chien_dau/Vu_khi (id p26_nemesis_direct_ne125)</t>
        </is>
      </c>
      <c r="F49" t="inlineStr"/>
    </row>
    <row r="50">
      <c r="A50" t="inlineStr">
        <is>
          <t>p26_nemesis_main_ne152</t>
        </is>
      </c>
      <c r="B50" t="n">
        <v>8</v>
      </c>
      <c r="C50" t="inlineStr">
        <is>
          <t>gun</t>
        </is>
      </c>
      <c r="D50" t="inlineStr">
        <is>
          <t>a 152 mm railway mount of the 2A65 class, est. 7-8 rpm</t>
        </is>
      </c>
      <c r="E50" t="inlineStr">
        <is>
          <t>01_chien_dau/Vu_khi (id p26_nemesis_main_ne152)</t>
        </is>
      </c>
      <c r="F50" t="inlineStr"/>
    </row>
    <row r="51">
      <c r="A51" t="inlineStr">
        <is>
          <t>p26_nemesis_sec_boss_rockets</t>
        </is>
      </c>
      <c r="B51" t="n">
        <v>120</v>
      </c>
      <c r="C51" t="inlineStr">
        <is>
          <t>rocket</t>
        </is>
      </c>
      <c r="D51" t="inlineStr">
        <is>
          <t>Wikipedia 'BM-21 Grad': 40 rockets in 20 s</t>
        </is>
      </c>
      <c r="E51" t="inlineStr">
        <is>
          <t>01_chien_dau/Vu_khi (id p26_nemesis_sec_boss_rockets)</t>
        </is>
      </c>
      <c r="F51" t="inlineStr"/>
    </row>
    <row r="52">
      <c r="A52" t="inlineStr">
        <is>
          <t>p26_roc_close_twin_30_bmpt</t>
        </is>
      </c>
      <c r="B52" t="n">
        <v>800</v>
      </c>
      <c r="C52" t="inlineStr">
        <is>
          <t>ac</t>
        </is>
      </c>
      <c r="D52" t="inlineStr">
        <is>
          <t>Wikipedia '2A42': 550-800 high, 200-300 low rpm</t>
        </is>
      </c>
      <c r="E52" t="inlineStr">
        <is>
          <t>01_chien_dau/Vu_khi (id p26_roc_close_twin_30_bmpt)</t>
        </is>
      </c>
      <c r="F52" t="inlineStr"/>
    </row>
    <row r="53">
      <c r="A53" t="inlineStr">
        <is>
          <t>p26_roc_direct_roc_atgm</t>
        </is>
      </c>
      <c r="B53" t="n">
        <v>3</v>
      </c>
      <c r="C53" t="inlineStr">
        <is>
          <t>atgm</t>
        </is>
      </c>
      <c r="D53" t="inlineStr">
        <is>
          <t>Wikipedia '9M133 Kornet': 2-3 rpm</t>
        </is>
      </c>
      <c r="E53" t="inlineStr">
        <is>
          <t>01_chien_dau/Vu_khi (id p26_roc_direct_roc_atgm)</t>
        </is>
      </c>
      <c r="F53" t="inlineStr"/>
    </row>
    <row r="54">
      <c r="A54" t="inlineStr">
        <is>
          <t>p26_roc_main_roc_bombs</t>
        </is>
      </c>
      <c r="B54" t="n">
        <v>600</v>
      </c>
      <c r="C54" t="inlineStr">
        <is>
          <t>bomb</t>
        </is>
      </c>
      <c r="D54" t="inlineStr">
        <is>
          <t>a stick's release, 0.1 s and up (est.)</t>
        </is>
      </c>
      <c r="E54" t="inlineStr">
        <is>
          <t>01_chien_dau/Vu_khi (id p26_roc_main_roc_bombs)</t>
        </is>
      </c>
      <c r="F54" t="inlineStr"/>
    </row>
    <row r="55">
      <c r="A55" t="inlineStr">
        <is>
          <t>p26_roc_roc105</t>
        </is>
      </c>
      <c r="B55" t="n">
        <v>10</v>
      </c>
      <c r="C55" t="inlineStr">
        <is>
          <t>gun</t>
        </is>
      </c>
      <c r="D55" t="inlineStr">
        <is>
          <t>the sheet's 'Ngoài đời': M102 10 rpm (Wikipedia 'M102 howitzer')</t>
        </is>
      </c>
      <c r="E55" t="inlineStr">
        <is>
          <t>01_chien_dau/Vu_khi (id p26_roc_roc105)</t>
        </is>
      </c>
      <c r="F55" t="inlineStr"/>
    </row>
    <row r="56">
      <c r="A56" t="inlineStr">
        <is>
          <t>p26_typhon_direct_ty100</t>
        </is>
      </c>
      <c r="B56" t="n">
        <v>60</v>
      </c>
      <c r="C56" t="inlineStr">
        <is>
          <t>gun</t>
        </is>
      </c>
      <c r="D56" t="inlineStr">
        <is>
          <t>Wikipedia 'AK-100 (naval gun)': 60 rpm</t>
        </is>
      </c>
      <c r="E56" t="inlineStr">
        <is>
          <t>01_chien_dau/Vu_khi (id p26_typhon_direct_ty100)</t>
        </is>
      </c>
      <c r="F56" t="inlineStr"/>
    </row>
    <row r="57">
      <c r="A57" t="inlineStr">
        <is>
          <t>p26_typhon_sec_ty57</t>
        </is>
      </c>
      <c r="B57" t="n">
        <v>120</v>
      </c>
      <c r="C57" t="inlineStr">
        <is>
          <t>ac</t>
        </is>
      </c>
      <c r="D57" t="inlineStr">
        <is>
          <t>Wikipedia 'AU-220M': 80-120 rpm</t>
        </is>
      </c>
      <c r="E57" t="inlineStr">
        <is>
          <t>01_chien_dau/Vu_khi (id p26_typhon_sec_ty57)</t>
        </is>
      </c>
      <c r="F57" t="inlineStr"/>
    </row>
    <row r="58">
      <c r="A58" t="inlineStr">
        <is>
          <t>pt14_co_203</t>
        </is>
      </c>
      <c r="B58" t="n">
        <v>12</v>
      </c>
      <c r="C58" t="inlineStr">
        <is>
          <t>gun</t>
        </is>
      </c>
      <c r="D58" t="inlineStr">
        <is>
          <t>Wikipedia '8"/55 caliber Mark 71': 12 rpm</t>
        </is>
      </c>
      <c r="E58" t="inlineStr">
        <is>
          <t>01_chien_dau/Vu_khi (id pt14_co_203)</t>
        </is>
      </c>
      <c r="F58" t="inlineStr"/>
    </row>
    <row r="59">
      <c r="A59" t="inlineStr">
        <is>
          <t>pt14_co_v76</t>
        </is>
      </c>
      <c r="B59" t="n">
        <v>120</v>
      </c>
      <c r="C59" t="inlineStr">
        <is>
          <t>gun</t>
        </is>
      </c>
      <c r="D59" t="inlineStr">
        <is>
          <t>Wikipedia 'OTO Melara 76 mm': 80-120 rpm (Super Rapid)</t>
        </is>
      </c>
      <c r="E59" t="inlineStr">
        <is>
          <t>01_chien_dau/Vu_khi (id pt14_co_v76)</t>
        </is>
      </c>
      <c r="F59" t="inlineStr"/>
    </row>
    <row r="60">
      <c r="A60" t="inlineStr">
        <is>
          <t>pt14_dd_v25</t>
        </is>
      </c>
      <c r="B60" t="n">
        <v>4200</v>
      </c>
      <c r="C60" t="inlineStr">
        <is>
          <t>ac</t>
        </is>
      </c>
      <c r="D60" t="inlineStr">
        <is>
          <t>Wikipedia 'GAU-12 Equalizer': 3,600-4,200 rpm (1,800 on the AC-130U)</t>
        </is>
      </c>
      <c r="E60" t="inlineStr">
        <is>
          <t>01_chien_dau/Vu_khi (id pt14_dd_v25)</t>
        </is>
      </c>
      <c r="F60" t="inlineStr"/>
    </row>
    <row r="61">
      <c r="A61" t="inlineStr">
        <is>
          <t>pt14_dd_v57</t>
        </is>
      </c>
      <c r="B61" t="n">
        <v>120</v>
      </c>
      <c r="C61" t="inlineStr">
        <is>
          <t>ac</t>
        </is>
      </c>
      <c r="D61" t="inlineStr">
        <is>
          <t>Wikipedia 'AU-220M': 80-120 rpm</t>
        </is>
      </c>
      <c r="E61" t="inlineStr">
        <is>
          <t>01_chien_dau/Vu_khi (id pt14_dd_v57)</t>
        </is>
      </c>
      <c r="F61" t="inlineStr"/>
    </row>
    <row r="62">
      <c r="A62" t="inlineStr">
        <is>
          <t>pt14_hp_155</t>
        </is>
      </c>
      <c r="B62" t="n">
        <v>5</v>
      </c>
      <c r="C62" t="inlineStr">
        <is>
          <t>gun</t>
        </is>
      </c>
      <c r="D62" t="inlineStr">
        <is>
          <t>Wikipedia '15.5 cm/60 3rd Year Type' (Mogami): ~5 rpm a gun</t>
        </is>
      </c>
      <c r="E62" t="inlineStr">
        <is>
          <t>01_chien_dau/Vu_khi (id pt14_hp_155)</t>
        </is>
      </c>
      <c r="F62" t="inlineStr"/>
    </row>
    <row r="63">
      <c r="A63" t="inlineStr">
        <is>
          <t>pt14_hp_nsm</t>
        </is>
      </c>
      <c r="B63" t="n">
        <v>20</v>
      </c>
      <c r="C63" t="inlineStr">
        <is>
          <t>missile</t>
        </is>
      </c>
      <c r="D63" t="inlineStr">
        <is>
          <t>cruise missiles: ~3 s between launches (est.)</t>
        </is>
      </c>
      <c r="E63" t="inlineStr">
        <is>
          <t>01_chien_dau/Vu_khi (id pt14_hp_nsm)</t>
        </is>
      </c>
      <c r="F63" t="inlineStr"/>
    </row>
    <row r="64">
      <c r="A64" t="inlineStr">
        <is>
          <t>pt14_hp_v127</t>
        </is>
      </c>
      <c r="B64" t="n">
        <v>20</v>
      </c>
      <c r="C64" t="inlineStr">
        <is>
          <t>gun</t>
        </is>
      </c>
      <c r="D64" t="inlineStr">
        <is>
          <t>Wikipedia '5"/54 caliber Mark 45': 16-20 rpm</t>
        </is>
      </c>
      <c r="E64" t="inlineStr">
        <is>
          <t>01_chien_dau/Vu_khi (id pt14_hp_v127)</t>
        </is>
      </c>
      <c r="F64" t="inlineStr"/>
    </row>
    <row r="65">
      <c r="A65" t="inlineStr">
        <is>
          <t>pt14_ixion_30</t>
        </is>
      </c>
      <c r="B65" t="n">
        <v>800</v>
      </c>
      <c r="C65" t="inlineStr">
        <is>
          <t>ac</t>
        </is>
      </c>
      <c r="D65" t="inlineStr">
        <is>
          <t>Wikipedia '2A42': 550-800 high, 200-300 low rpm</t>
        </is>
      </c>
      <c r="E65" t="inlineStr">
        <is>
          <t>01_chien_dau/Vu_khi (id pt14_ixion_30)</t>
        </is>
      </c>
      <c r="F65" t="inlineStr"/>
    </row>
    <row r="66">
      <c r="A66" t="inlineStr">
        <is>
          <t>pt14_ixion_grad</t>
        </is>
      </c>
      <c r="B66" t="n">
        <v>120</v>
      </c>
      <c r="C66" t="inlineStr">
        <is>
          <t>rocket</t>
        </is>
      </c>
      <c r="D66" t="inlineStr">
        <is>
          <t>Wikipedia 'BM-21 Grad': 40 rockets in 20 s</t>
        </is>
      </c>
      <c r="E66" t="inlineStr">
        <is>
          <t>01_chien_dau/Vu_khi (id pt14_ixion_grad)</t>
        </is>
      </c>
      <c r="F66" t="inlineStr"/>
    </row>
    <row r="67">
      <c r="A67" t="inlineStr">
        <is>
          <t>pt14_ixion_kornet</t>
        </is>
      </c>
      <c r="B67" t="n">
        <v>3</v>
      </c>
      <c r="C67" t="inlineStr">
        <is>
          <t>atgm</t>
        </is>
      </c>
      <c r="D67" t="inlineStr">
        <is>
          <t>Wikipedia '9M133 Kornet': 2-3 rpm</t>
        </is>
      </c>
      <c r="E67" t="inlineStr">
        <is>
          <t>01_chien_dau/Vu_khi (id pt14_ixion_kornet)</t>
        </is>
      </c>
      <c r="F67" t="inlineStr"/>
    </row>
    <row r="68">
      <c r="A68" t="inlineStr">
        <is>
          <t>pt14_mk0_v40</t>
        </is>
      </c>
      <c r="B68" t="n">
        <v>120</v>
      </c>
      <c r="C68" t="inlineStr">
        <is>
          <t>aa</t>
        </is>
      </c>
      <c r="D68" t="inlineStr">
        <is>
          <t>Wikipedia 'Bofors 40 mm L/60': 120 rpm</t>
        </is>
      </c>
      <c r="E68" t="inlineStr">
        <is>
          <t>01_chien_dau/Vu_khi (id pt14_mk0_v40)</t>
        </is>
      </c>
      <c r="F68" t="inlineStr"/>
    </row>
    <row r="69">
      <c r="A69" t="inlineStr">
        <is>
          <t>pt14_sb_v105</t>
        </is>
      </c>
      <c r="B69" t="n">
        <v>10</v>
      </c>
      <c r="C69" t="inlineStr">
        <is>
          <t>gun</t>
        </is>
      </c>
      <c r="D69" t="inlineStr">
        <is>
          <t>the sheet's 'Ngoài đời': M102 10 rpm (Wikipedia 'M102 howitzer')</t>
        </is>
      </c>
      <c r="E69" t="inlineStr">
        <is>
          <t>01_chien_dau/Vu_khi (id pt14_sb_v105)</t>
        </is>
      </c>
      <c r="F69" t="inlineStr"/>
    </row>
    <row r="70">
      <c r="A70" t="inlineStr">
        <is>
          <t>pt14_th_v35</t>
        </is>
      </c>
      <c r="B70" t="n">
        <v>550</v>
      </c>
      <c r="C70" t="inlineStr">
        <is>
          <t>aa</t>
        </is>
      </c>
      <c r="D70" t="inlineStr">
        <is>
          <t>Wikipedia 'Oerlikon GDF' / 'Gepard': 2 x 550 rpm</t>
        </is>
      </c>
      <c r="E70" t="inlineStr">
        <is>
          <t>01_chien_dau/Vu_khi (id pt14_th_v35)</t>
        </is>
      </c>
      <c r="F70" t="inlineStr"/>
    </row>
    <row r="71">
      <c r="A71" t="inlineStr">
        <is>
          <t>pt14_train_grad</t>
        </is>
      </c>
      <c r="B71" t="n">
        <v>120</v>
      </c>
      <c r="C71" t="inlineStr">
        <is>
          <t>rocket</t>
        </is>
      </c>
      <c r="D71" t="inlineStr">
        <is>
          <t>Wikipedia 'BM-21 Grad': 40 rockets in 20 s</t>
        </is>
      </c>
      <c r="E71" t="inlineStr">
        <is>
          <t>01_chien_dau/Vu_khi (id pt14_train_grad)</t>
        </is>
      </c>
      <c r="F71" t="inlineStr"/>
    </row>
    <row r="72">
      <c r="A72" t="inlineStr">
        <is>
          <t>sam_battery</t>
        </is>
      </c>
      <c r="B72" t="n">
        <v>20</v>
      </c>
      <c r="C72" t="inlineStr">
        <is>
          <t>missile</t>
        </is>
      </c>
      <c r="D72" t="inlineStr">
        <is>
          <t>Wikipedia 'MIM-104 Patriot': ripples a few seconds apart (est. 3 s)</t>
        </is>
      </c>
      <c r="E72" t="inlineStr">
        <is>
          <t>01_chien_dau/Vu_khi (id sam_battery)</t>
        </is>
      </c>
      <c r="F72" t="inlineStr"/>
    </row>
    <row r="73">
      <c r="A73" t="inlineStr">
        <is>
          <t>sam_post</t>
        </is>
      </c>
      <c r="B73" t="n">
        <v>15</v>
      </c>
      <c r="C73" t="inlineStr">
        <is>
          <t>missile</t>
        </is>
      </c>
      <c r="D73" t="inlineStr">
        <is>
          <t>Wikipedia 'Buk missile system': 4 s between launches</t>
        </is>
      </c>
      <c r="E73" t="inlineStr">
        <is>
          <t>01_chien_dau/Vu_khi (id sam_post)</t>
        </is>
      </c>
      <c r="F73" t="inlineStr"/>
    </row>
    <row r="74">
      <c r="A74" t="inlineStr">
        <is>
          <t>train_gun</t>
        </is>
      </c>
      <c r="B74" t="n">
        <v>7.5</v>
      </c>
      <c r="C74" t="inlineStr">
        <is>
          <t>gun</t>
        </is>
      </c>
      <c r="D74" t="inlineStr">
        <is>
          <t>Wikipedia '15.2 cm/57 B-38': 5-7.5 rpm</t>
        </is>
      </c>
      <c r="E74" t="inlineStr">
        <is>
          <t>01_chien_dau/Vu_khi (id train_gun)</t>
        </is>
      </c>
      <c r="F74" t="inlineStr"/>
    </row>
  </sheetData>
  <autoFilter ref="A1:F74"/>
  <pageMargins left="0.75" right="0.75" top="1" bottom="1" header="0.5" footer="0.5"/>
</worksheet>
</file>

<file path=xl/worksheets/sheet45.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31" customWidth="1" min="2" max="2"/>
    <col width="21" customWidth="1" min="3" max="3"/>
    <col width="60" customWidth="1" min="4" max="4"/>
    <col width="10" customWidth="1" min="5" max="5"/>
  </cols>
  <sheetData>
    <row r="1">
      <c r="A1" s="1" t="inlineStr">
        <is>
          <t>id</t>
        </is>
      </c>
      <c r="B1" s="1" t="inlineStr">
        <is>
          <t>ty_le_chu_ky_so_voi_ngoai_doi</t>
        </is>
      </c>
      <c r="C1" s="1" t="inlineStr">
        <is>
          <t>ghi_chu_lech</t>
        </is>
      </c>
      <c r="D1" s="1" t="inlineStr">
        <is>
          <t>nguon</t>
        </is>
      </c>
      <c r="E1" s="1" t="inlineStr">
        <is>
          <t>raw_json</t>
        </is>
      </c>
    </row>
    <row r="2">
      <c r="A2" t="inlineStr">
        <is>
          <t>aa_25_triple</t>
        </is>
      </c>
      <c r="B2" t="n">
        <v>2.686667</v>
      </c>
      <c r="C2" t="inlineStr">
        <is>
          <t>ok</t>
        </is>
      </c>
      <c r="D2" t="inlineStr">
        <is>
          <t>01_chien_dau/Vu_khi_suy_ra (id aa_25_triple)</t>
        </is>
      </c>
      <c r="E2" t="inlineStr"/>
    </row>
    <row r="3">
      <c r="A3" t="inlineStr">
        <is>
          <t>borer_cannon</t>
        </is>
      </c>
      <c r="B3" t="n">
        <v>0.7</v>
      </c>
      <c r="C3" t="inlineStr">
        <is>
          <t>ok</t>
        </is>
      </c>
      <c r="D3" t="inlineStr">
        <is>
          <t>01_chien_dau/Vu_khi_suy_ra (id borer_cannon)</t>
        </is>
      </c>
      <c r="E3" t="inlineStr"/>
    </row>
    <row r="4">
      <c r="A4" t="inlineStr">
        <is>
          <t>boss_flak</t>
        </is>
      </c>
      <c r="B4" t="n">
        <v>2.405691</v>
      </c>
      <c r="C4" t="inlineStr">
        <is>
          <t>ok</t>
        </is>
      </c>
      <c r="D4" t="inlineStr">
        <is>
          <t>01_chien_dau/Vu_khi_suy_ra (id boss_flak)</t>
        </is>
      </c>
      <c r="E4" t="inlineStr"/>
    </row>
    <row r="5">
      <c r="A5" t="inlineStr">
        <is>
          <t>boss_heli_gun</t>
        </is>
      </c>
      <c r="B5" t="n">
        <v>2.517786</v>
      </c>
      <c r="C5" t="inlineStr">
        <is>
          <t>ok</t>
        </is>
      </c>
      <c r="D5" t="inlineStr">
        <is>
          <t>01_chien_dau/Vu_khi_suy_ra (id boss_heli_gun)</t>
        </is>
      </c>
      <c r="E5" t="inlineStr"/>
    </row>
    <row r="6">
      <c r="A6" t="inlineStr">
        <is>
          <t>boss_hmg</t>
        </is>
      </c>
      <c r="B6" t="n">
        <v>1.766227</v>
      </c>
      <c r="C6" t="inlineStr">
        <is>
          <t>ok</t>
        </is>
      </c>
      <c r="D6" t="inlineStr">
        <is>
          <t>01_chien_dau/Vu_khi_suy_ra (id boss_hmg)</t>
        </is>
      </c>
      <c r="E6" t="inlineStr"/>
    </row>
    <row r="7">
      <c r="A7" t="inlineStr">
        <is>
          <t>boss_minigun</t>
        </is>
      </c>
      <c r="B7" t="n">
        <v>16.902</v>
      </c>
      <c r="C7" t="inlineStr">
        <is>
          <t>ok</t>
        </is>
      </c>
      <c r="D7" t="inlineStr">
        <is>
          <t>01_chien_dau/Vu_khi_suy_ra (id boss_minigun)</t>
        </is>
      </c>
      <c r="E7" t="inlineStr"/>
    </row>
    <row r="8">
      <c r="A8" t="inlineStr">
        <is>
          <t>boss_thermo</t>
        </is>
      </c>
      <c r="B8" t="n">
        <v>0.5838</v>
      </c>
      <c r="C8" t="inlineStr">
        <is>
          <t>NHANH_QUA;LECH_DOT_1</t>
        </is>
      </c>
      <c r="D8" t="inlineStr">
        <is>
          <t>01_chien_dau/Vu_khi_suy_ra (id boss_thermo)</t>
        </is>
      </c>
      <c r="E8" t="inlineStr"/>
    </row>
    <row r="9">
      <c r="A9" t="inlineStr">
        <is>
          <t>ciws_aa</t>
        </is>
      </c>
      <c r="B9" t="n">
        <v>8.336111000000001</v>
      </c>
      <c r="C9" t="inlineStr">
        <is>
          <t>ok</t>
        </is>
      </c>
      <c r="D9" t="inlineStr">
        <is>
          <t>01_chien_dau/Vu_khi_suy_ra (id ciws_aa)</t>
        </is>
      </c>
      <c r="E9" t="inlineStr"/>
    </row>
    <row r="10">
      <c r="A10" t="inlineStr">
        <is>
          <t>gunship_rockets</t>
        </is>
      </c>
      <c r="B10" t="n">
        <v>1.5</v>
      </c>
      <c r="C10" t="inlineStr">
        <is>
          <t>ok</t>
        </is>
      </c>
      <c r="D10" t="inlineStr">
        <is>
          <t>01_chien_dau/Vu_khi_suy_ra (id gunship_rockets)</t>
        </is>
      </c>
      <c r="E10" t="inlineStr"/>
    </row>
    <row r="11">
      <c r="A11" t="inlineStr">
        <is>
          <t>hover_ciws</t>
        </is>
      </c>
      <c r="B11" t="n">
        <v>8.336111000000001</v>
      </c>
      <c r="C11" t="inlineStr">
        <is>
          <t>ok</t>
        </is>
      </c>
      <c r="D11" t="inlineStr">
        <is>
          <t>01_chien_dau/Vu_khi_suy_ra (id hover_ciws)</t>
        </is>
      </c>
      <c r="E11" t="inlineStr"/>
    </row>
    <row r="12">
      <c r="A12" t="inlineStr">
        <is>
          <t>hover_rockets</t>
        </is>
      </c>
      <c r="B12" t="n">
        <v>1</v>
      </c>
      <c r="C12" t="inlineStr">
        <is>
          <t>ok</t>
        </is>
      </c>
      <c r="D12" t="inlineStr">
        <is>
          <t>01_chien_dau/Vu_khi_suy_ra (id hover_rockets)</t>
        </is>
      </c>
      <c r="E12" t="inlineStr"/>
    </row>
    <row r="13">
      <c r="A13" t="inlineStr">
        <is>
          <t>naval_130_twin</t>
        </is>
      </c>
      <c r="B13" t="n">
        <v>2.000133</v>
      </c>
      <c r="C13" t="inlineStr">
        <is>
          <t>CHAM_QUA</t>
        </is>
      </c>
      <c r="D13" t="inlineStr">
        <is>
          <t>01_chien_dau/Vu_khi_suy_ra (id naval_130_twin)</t>
        </is>
      </c>
      <c r="E13" t="inlineStr"/>
    </row>
    <row r="14">
      <c r="A14" t="inlineStr">
        <is>
          <t>nyx_tomahawk</t>
        </is>
      </c>
      <c r="B14" t="n">
        <v>9</v>
      </c>
      <c r="C14" t="inlineStr">
        <is>
          <t>CHAM_QUA</t>
        </is>
      </c>
      <c r="D14" t="inlineStr">
        <is>
          <t>01_chien_dau/Vu_khi_suy_ra (id nyx_tomahawk)</t>
        </is>
      </c>
      <c r="E14" t="inlineStr"/>
    </row>
    <row r="15">
      <c r="A15" t="inlineStr">
        <is>
          <t>p26_bastion_close_boss_hmg</t>
        </is>
      </c>
      <c r="B15" t="n">
        <v>1.766227</v>
      </c>
      <c r="C15" t="inlineStr">
        <is>
          <t>ok</t>
        </is>
      </c>
      <c r="D15" t="inlineStr">
        <is>
          <t>01_chien_dau/Vu_khi_suy_ra (id p26_bastion_close_boss_hmg)</t>
        </is>
      </c>
      <c r="E15" t="inlineStr"/>
    </row>
    <row r="16">
      <c r="A16" t="inlineStr">
        <is>
          <t>p26_bastion_direct_b100</t>
        </is>
      </c>
      <c r="B16" t="n">
        <v>0.702333</v>
      </c>
      <c r="C16" t="inlineStr">
        <is>
          <t>ok</t>
        </is>
      </c>
      <c r="D16" t="inlineStr">
        <is>
          <t>01_chien_dau/Vu_khi_suy_ra (id p26_bastion_direct_b100)</t>
        </is>
      </c>
      <c r="E16" t="inlineStr"/>
    </row>
    <row r="17">
      <c r="A17" t="inlineStr">
        <is>
          <t>p26_bastion_main_b155</t>
        </is>
      </c>
      <c r="B17" t="n">
        <v>0.7</v>
      </c>
      <c r="C17" t="inlineStr">
        <is>
          <t>ok</t>
        </is>
      </c>
      <c r="D17" t="inlineStr">
        <is>
          <t>01_chien_dau/Vu_khi_suy_ra (id p26_bastion_main_b155)</t>
        </is>
      </c>
      <c r="E17" t="inlineStr"/>
    </row>
    <row r="18">
      <c r="A18" t="inlineStr">
        <is>
          <t>p26_bastion_sec_b240</t>
        </is>
      </c>
      <c r="B18" t="n">
        <v>0.7</v>
      </c>
      <c r="C18" t="inlineStr">
        <is>
          <t>ok</t>
        </is>
      </c>
      <c r="D18" t="inlineStr">
        <is>
          <t>01_chien_dau/Vu_khi_suy_ra (id p26_bastion_sec_b240)</t>
        </is>
      </c>
      <c r="E18" t="inlineStr"/>
    </row>
    <row r="19">
      <c r="A19" t="inlineStr">
        <is>
          <t>p26_bastion_tiny_autocannon_40</t>
        </is>
      </c>
      <c r="B19" t="n">
        <v>1.826</v>
      </c>
      <c r="C19" t="inlineStr">
        <is>
          <t>ok</t>
        </is>
      </c>
      <c r="D19" t="inlineStr">
        <is>
          <t>01_chien_dau/Vu_khi_suy_ra (id p26_bastion_tiny_autocannon_40)</t>
        </is>
      </c>
      <c r="E19" t="inlineStr"/>
    </row>
    <row r="20">
      <c r="A20" t="inlineStr">
        <is>
          <t>p26_bastion_tiny_kornet_twin</t>
        </is>
      </c>
      <c r="B20" t="n">
        <v>1</v>
      </c>
      <c r="C20" t="inlineStr">
        <is>
          <t>ok</t>
        </is>
      </c>
      <c r="D20" t="inlineStr">
        <is>
          <t>01_chien_dau/Vu_khi_suy_ra (id p26_bastion_tiny_kornet_twin)</t>
        </is>
      </c>
      <c r="E20" t="inlineStr"/>
    </row>
    <row r="21">
      <c r="A21" t="inlineStr">
        <is>
          <t>p26_bastion_tiny_zu23</t>
        </is>
      </c>
      <c r="B21" t="n">
        <v>1.653333</v>
      </c>
      <c r="C21" t="inlineStr">
        <is>
          <t>ok</t>
        </is>
      </c>
      <c r="D21" t="inlineStr">
        <is>
          <t>01_chien_dau/Vu_khi_suy_ra (id p26_bastion_tiny_zu23)</t>
        </is>
      </c>
      <c r="E21" t="inlineStr"/>
    </row>
    <row r="22">
      <c r="A22" t="inlineStr">
        <is>
          <t>p26_behemoth_close_boss_flak</t>
        </is>
      </c>
      <c r="B22" t="n">
        <v>2.405691</v>
      </c>
      <c r="C22" t="inlineStr">
        <is>
          <t>ok</t>
        </is>
      </c>
      <c r="D22" t="inlineStr">
        <is>
          <t>01_chien_dau/Vu_khi_suy_ra (id p26_behemoth_close_boss_flak)</t>
        </is>
      </c>
      <c r="E22" t="inlineStr"/>
    </row>
    <row r="23">
      <c r="A23" t="inlineStr">
        <is>
          <t>p26_behemoth_direct_be120</t>
        </is>
      </c>
      <c r="B23" t="n">
        <v>0.7</v>
      </c>
      <c r="C23" t="inlineStr">
        <is>
          <t>LECH_HO</t>
        </is>
      </c>
      <c r="D23" t="inlineStr">
        <is>
          <t>01_chien_dau/Vu_khi_suy_ra (id p26_behemoth_direct_be120)</t>
        </is>
      </c>
      <c r="E23" t="inlineStr"/>
    </row>
    <row r="24">
      <c r="A24" t="inlineStr">
        <is>
          <t>p26_behemoth_main_be152</t>
        </is>
      </c>
      <c r="B24" t="n">
        <v>0.838133</v>
      </c>
      <c r="C24" t="inlineStr">
        <is>
          <t>ok</t>
        </is>
      </c>
      <c r="D24" t="inlineStr">
        <is>
          <t>01_chien_dau/Vu_khi_suy_ra (id p26_behemoth_main_be152)</t>
        </is>
      </c>
      <c r="E24" t="inlineStr"/>
    </row>
    <row r="25">
      <c r="A25" t="inlineStr">
        <is>
          <t>p26_behemoth_sec_be_rockets</t>
        </is>
      </c>
      <c r="B25" t="n">
        <v>1</v>
      </c>
      <c r="C25" t="inlineStr">
        <is>
          <t>LECH_HO</t>
        </is>
      </c>
      <c r="D25" t="inlineStr">
        <is>
          <t>01_chien_dau/Vu_khi_suy_ra (id p26_behemoth_sec_be_rockets)</t>
        </is>
      </c>
      <c r="E25" t="inlineStr"/>
    </row>
    <row r="26">
      <c r="A26" t="inlineStr">
        <is>
          <t>p26_behemoth_tiny_be120</t>
        </is>
      </c>
      <c r="B26" t="n">
        <v>0.7</v>
      </c>
      <c r="C26" t="inlineStr">
        <is>
          <t>LECH_HO</t>
        </is>
      </c>
      <c r="D26" t="inlineStr">
        <is>
          <t>01_chien_dau/Vu_khi_suy_ra (id p26_behemoth_tiny_be120)</t>
        </is>
      </c>
      <c r="E26" t="inlineStr"/>
    </row>
    <row r="27">
      <c r="A27" t="inlineStr">
        <is>
          <t>p26_behemoth_tiny_boss_missiles</t>
        </is>
      </c>
      <c r="B27" t="n">
        <v>1</v>
      </c>
      <c r="C27" t="inlineStr">
        <is>
          <t>ok</t>
        </is>
      </c>
      <c r="D27" t="inlineStr">
        <is>
          <t>01_chien_dau/Vu_khi_suy_ra (id p26_behemoth_tiny_boss_missiles)</t>
        </is>
      </c>
      <c r="E27" t="inlineStr"/>
    </row>
    <row r="28">
      <c r="A28" t="inlineStr">
        <is>
          <t>p26_behemoth_tiny_kornet_twin</t>
        </is>
      </c>
      <c r="B28" t="n">
        <v>0.9053330000000001</v>
      </c>
      <c r="C28" t="inlineStr">
        <is>
          <t>LECH_HO</t>
        </is>
      </c>
      <c r="D28" t="inlineStr">
        <is>
          <t>01_chien_dau/Vu_khi_suy_ra (id p26_behemoth_tiny_kornet_twin)</t>
        </is>
      </c>
      <c r="E28" t="inlineStr"/>
    </row>
    <row r="29">
      <c r="A29" t="inlineStr">
        <is>
          <t>p26_icarus_close_autocannon_40</t>
        </is>
      </c>
      <c r="B29" t="n">
        <v>1.826</v>
      </c>
      <c r="C29" t="inlineStr">
        <is>
          <t>ok</t>
        </is>
      </c>
      <c r="D29" t="inlineStr">
        <is>
          <t>01_chien_dau/Vu_khi_suy_ra (id p26_icarus_close_autocannon_40)</t>
        </is>
      </c>
      <c r="E29" t="inlineStr"/>
    </row>
    <row r="30">
      <c r="A30" t="inlineStr">
        <is>
          <t>p26_ixion_125</t>
        </is>
      </c>
      <c r="B30" t="n">
        <v>0.7</v>
      </c>
      <c r="C30" t="inlineStr">
        <is>
          <t>ok</t>
        </is>
      </c>
      <c r="D30" t="inlineStr">
        <is>
          <t>01_chien_dau/Vu_khi_suy_ra (id p26_ixion_125)</t>
        </is>
      </c>
      <c r="E30" t="inlineStr"/>
    </row>
    <row r="31">
      <c r="A31" t="inlineStr">
        <is>
          <t>p26_ixion_mg</t>
        </is>
      </c>
      <c r="B31" t="n">
        <v>1.766227</v>
      </c>
      <c r="C31" t="inlineStr">
        <is>
          <t>ok</t>
        </is>
      </c>
      <c r="D31" t="inlineStr">
        <is>
          <t>01_chien_dau/Vu_khi_suy_ra (id p26_ixion_mg)</t>
        </is>
      </c>
      <c r="E31" t="inlineStr"/>
    </row>
    <row r="32">
      <c r="A32" t="inlineStr">
        <is>
          <t>p26_jotunn_close_boss_flak</t>
        </is>
      </c>
      <c r="B32" t="n">
        <v>2.405691</v>
      </c>
      <c r="C32" t="inlineStr">
        <is>
          <t>ok</t>
        </is>
      </c>
      <c r="D32" t="inlineStr">
        <is>
          <t>01_chien_dau/Vu_khi_suy_ra (id p26_jotunn_close_boss_flak)</t>
        </is>
      </c>
      <c r="E32" t="inlineStr"/>
    </row>
    <row r="33">
      <c r="A33" t="inlineStr">
        <is>
          <t>p26_jotunn_direct_jo125</t>
        </is>
      </c>
      <c r="B33" t="n">
        <v>0.7</v>
      </c>
      <c r="C33" t="inlineStr">
        <is>
          <t>ok</t>
        </is>
      </c>
      <c r="D33" t="inlineStr">
        <is>
          <t>01_chien_dau/Vu_khi_suy_ra (id p26_jotunn_direct_jo125)</t>
        </is>
      </c>
      <c r="E33" t="inlineStr"/>
    </row>
    <row r="34">
      <c r="A34" t="inlineStr">
        <is>
          <t>p26_jotunn_jo203</t>
        </is>
      </c>
      <c r="B34" t="n">
        <v>0.7</v>
      </c>
      <c r="C34" t="inlineStr">
        <is>
          <t>ok</t>
        </is>
      </c>
      <c r="D34" t="inlineStr">
        <is>
          <t>01_chien_dau/Vu_khi_suy_ra (id p26_jotunn_jo203)</t>
        </is>
      </c>
      <c r="E34" t="inlineStr"/>
    </row>
    <row r="35">
      <c r="A35" t="inlineStr">
        <is>
          <t>p26_jotunn_sec_jo_rockets</t>
        </is>
      </c>
      <c r="B35" t="n">
        <v>1.003833</v>
      </c>
      <c r="C35" t="inlineStr">
        <is>
          <t>ok</t>
        </is>
      </c>
      <c r="D35" t="inlineStr">
        <is>
          <t>01_chien_dau/Vu_khi_suy_ra (id p26_jotunn_sec_jo_rockets)</t>
        </is>
      </c>
      <c r="E35" t="inlineStr"/>
    </row>
    <row r="36">
      <c r="A36" t="inlineStr">
        <is>
          <t>p26_jotunn_tiny_twin_30_flak</t>
        </is>
      </c>
      <c r="B36" t="n">
        <v>3.632812</v>
      </c>
      <c r="C36" t="inlineStr">
        <is>
          <t>ok</t>
        </is>
      </c>
      <c r="D36" t="inlineStr">
        <is>
          <t>01_chien_dau/Vu_khi_suy_ra (id p26_jotunn_tiny_twin_30_flak)</t>
        </is>
      </c>
      <c r="E36" t="inlineStr"/>
    </row>
    <row r="37">
      <c r="A37" t="inlineStr">
        <is>
          <t>p26_leviathan_direct_lev127</t>
        </is>
      </c>
      <c r="B37" t="n">
        <v>1.05</v>
      </c>
      <c r="C37" t="inlineStr">
        <is>
          <t>ok</t>
        </is>
      </c>
      <c r="D37" t="inlineStr">
        <is>
          <t>01_chien_dau/Vu_khi_suy_ra (id p26_leviathan_direct_lev127)</t>
        </is>
      </c>
      <c r="E37" t="inlineStr"/>
    </row>
    <row r="38">
      <c r="A38" t="inlineStr">
        <is>
          <t>p26_leviathan_lev406</t>
        </is>
      </c>
      <c r="B38" t="n">
        <v>1.4</v>
      </c>
      <c r="C38" t="inlineStr">
        <is>
          <t>ok</t>
        </is>
      </c>
      <c r="D38" t="inlineStr">
        <is>
          <t>01_chien_dau/Vu_khi_suy_ra (id p26_leviathan_lev406)</t>
        </is>
      </c>
      <c r="E38" t="inlineStr"/>
    </row>
    <row r="39">
      <c r="A39" t="inlineStr">
        <is>
          <t>p26_leviathan_sec_lev155</t>
        </is>
      </c>
      <c r="B39" t="n">
        <v>0.6125</v>
      </c>
      <c r="C39" t="inlineStr">
        <is>
          <t>LECH_HO</t>
        </is>
      </c>
      <c r="D39" t="inlineStr">
        <is>
          <t>01_chien_dau/Vu_khi_suy_ra (id p26_leviathan_sec_lev155)</t>
        </is>
      </c>
      <c r="E39" t="inlineStr"/>
    </row>
    <row r="40">
      <c r="A40" t="inlineStr">
        <is>
          <t>p26_matriarch_close_boss_flak</t>
        </is>
      </c>
      <c r="B40" t="n">
        <v>2.405691</v>
      </c>
      <c r="C40" t="inlineStr">
        <is>
          <t>ok</t>
        </is>
      </c>
      <c r="D40" t="inlineStr">
        <is>
          <t>01_chien_dau/Vu_khi_suy_ra (id p26_matriarch_close_boss_flak)</t>
        </is>
      </c>
      <c r="E40" t="inlineStr"/>
    </row>
    <row r="41">
      <c r="A41" t="inlineStr">
        <is>
          <t>p26_matriarch_direct_ma_atgm</t>
        </is>
      </c>
      <c r="B41" t="n">
        <v>1</v>
      </c>
      <c r="C41" t="inlineStr">
        <is>
          <t>ok</t>
        </is>
      </c>
      <c r="D41" t="inlineStr">
        <is>
          <t>01_chien_dau/Vu_khi_suy_ra (id p26_matriarch_direct_ma_atgm)</t>
        </is>
      </c>
      <c r="E41" t="inlineStr"/>
    </row>
    <row r="42">
      <c r="A42" t="inlineStr">
        <is>
          <t>p26_matriarch_sec_autocannon_30</t>
        </is>
      </c>
      <c r="B42" t="n">
        <v>3.3332</v>
      </c>
      <c r="C42" t="inlineStr">
        <is>
          <t>ok</t>
        </is>
      </c>
      <c r="D42" t="inlineStr">
        <is>
          <t>01_chien_dau/Vu_khi_suy_ra (id p26_matriarch_sec_autocannon_30)</t>
        </is>
      </c>
      <c r="E42" t="inlineStr"/>
    </row>
    <row r="43">
      <c r="A43" t="inlineStr">
        <is>
          <t>p26_matriarch_tiny_mothership_cannon</t>
        </is>
      </c>
      <c r="B43" t="n">
        <v>2.145</v>
      </c>
      <c r="C43" t="inlineStr">
        <is>
          <t>ok</t>
        </is>
      </c>
      <c r="D43" t="inlineStr">
        <is>
          <t>01_chien_dau/Vu_khi_suy_ra (id p26_matriarch_tiny_mothership_cannon)</t>
        </is>
      </c>
      <c r="E43" t="inlineStr"/>
    </row>
    <row r="44">
      <c r="A44" t="inlineStr">
        <is>
          <t>p26_moloch_close_boss_flak</t>
        </is>
      </c>
      <c r="B44" t="n">
        <v>2.405691</v>
      </c>
      <c r="C44" t="inlineStr">
        <is>
          <t>ok</t>
        </is>
      </c>
      <c r="D44" t="inlineStr">
        <is>
          <t>01_chien_dau/Vu_khi_suy_ra (id p26_moloch_close_boss_flak)</t>
        </is>
      </c>
      <c r="E44" t="inlineStr"/>
    </row>
    <row r="45">
      <c r="A45" t="inlineStr">
        <is>
          <t>p26_moloch_direct_mo120ap</t>
        </is>
      </c>
      <c r="B45" t="n">
        <v>0.7</v>
      </c>
      <c r="C45" t="inlineStr">
        <is>
          <t>ok</t>
        </is>
      </c>
      <c r="D45" t="inlineStr">
        <is>
          <t>01_chien_dau/Vu_khi_suy_ra (id p26_moloch_direct_mo120ap)</t>
        </is>
      </c>
      <c r="E45" t="inlineStr"/>
    </row>
    <row r="46">
      <c r="A46" t="inlineStr">
        <is>
          <t>p26_moloch_main_mo120</t>
        </is>
      </c>
      <c r="B46" t="n">
        <v>0.7</v>
      </c>
      <c r="C46" t="inlineStr">
        <is>
          <t>ok</t>
        </is>
      </c>
      <c r="D46" t="inlineStr">
        <is>
          <t>01_chien_dau/Vu_khi_suy_ra (id p26_moloch_main_mo120)</t>
        </is>
      </c>
      <c r="E46" t="inlineStr"/>
    </row>
    <row r="47">
      <c r="A47" t="inlineStr">
        <is>
          <t>p26_moloch_tiny_zu23</t>
        </is>
      </c>
      <c r="B47" t="n">
        <v>1.653333</v>
      </c>
      <c r="C47" t="inlineStr">
        <is>
          <t>ok</t>
        </is>
      </c>
      <c r="D47" t="inlineStr">
        <is>
          <t>01_chien_dau/Vu_khi_suy_ra (id p26_moloch_tiny_zu23)</t>
        </is>
      </c>
      <c r="E47" t="inlineStr"/>
    </row>
    <row r="48">
      <c r="A48" t="inlineStr">
        <is>
          <t>p26_nemesis_close_boss_flak</t>
        </is>
      </c>
      <c r="B48" t="n">
        <v>2.405691</v>
      </c>
      <c r="C48" t="inlineStr">
        <is>
          <t>ok</t>
        </is>
      </c>
      <c r="D48" t="inlineStr">
        <is>
          <t>01_chien_dau/Vu_khi_suy_ra (id p26_nemesis_close_boss_flak)</t>
        </is>
      </c>
      <c r="E48" t="inlineStr"/>
    </row>
    <row r="49">
      <c r="A49" t="inlineStr">
        <is>
          <t>p26_nemesis_direct_ne125</t>
        </is>
      </c>
      <c r="B49" t="n">
        <v>0.7</v>
      </c>
      <c r="C49" t="inlineStr">
        <is>
          <t>ok</t>
        </is>
      </c>
      <c r="D49" t="inlineStr">
        <is>
          <t>01_chien_dau/Vu_khi_suy_ra (id p26_nemesis_direct_ne125)</t>
        </is>
      </c>
      <c r="E49" t="inlineStr"/>
    </row>
    <row r="50">
      <c r="A50" t="inlineStr">
        <is>
          <t>p26_nemesis_main_ne152</t>
        </is>
      </c>
      <c r="B50" t="n">
        <v>0.7</v>
      </c>
      <c r="C50" t="inlineStr">
        <is>
          <t>ok</t>
        </is>
      </c>
      <c r="D50" t="inlineStr">
        <is>
          <t>01_chien_dau/Vu_khi_suy_ra (id p26_nemesis_main_ne152)</t>
        </is>
      </c>
      <c r="E50" t="inlineStr"/>
    </row>
    <row r="51">
      <c r="A51" t="inlineStr">
        <is>
          <t>p26_nemesis_sec_boss_rockets</t>
        </is>
      </c>
      <c r="B51" t="n">
        <v>1</v>
      </c>
      <c r="C51" t="inlineStr">
        <is>
          <t>LECH_HO</t>
        </is>
      </c>
      <c r="D51" t="inlineStr">
        <is>
          <t>01_chien_dau/Vu_khi_suy_ra (id p26_nemesis_sec_boss_rockets)</t>
        </is>
      </c>
      <c r="E51" t="inlineStr"/>
    </row>
    <row r="52">
      <c r="A52" t="inlineStr">
        <is>
          <t>p26_roc_close_twin_30_bmpt</t>
        </is>
      </c>
      <c r="B52" t="n">
        <v>5.258444</v>
      </c>
      <c r="C52" t="inlineStr">
        <is>
          <t>ok</t>
        </is>
      </c>
      <c r="D52" t="inlineStr">
        <is>
          <t>01_chien_dau/Vu_khi_suy_ra (id p26_roc_close_twin_30_bmpt)</t>
        </is>
      </c>
      <c r="E52" t="inlineStr"/>
    </row>
    <row r="53">
      <c r="A53" t="inlineStr">
        <is>
          <t>p26_roc_direct_roc_atgm</t>
        </is>
      </c>
      <c r="B53" t="n">
        <v>1</v>
      </c>
      <c r="C53" t="inlineStr">
        <is>
          <t>ok</t>
        </is>
      </c>
      <c r="D53" t="inlineStr">
        <is>
          <t>01_chien_dau/Vu_khi_suy_ra (id p26_roc_direct_roc_atgm)</t>
        </is>
      </c>
      <c r="E53" t="inlineStr"/>
    </row>
    <row r="54">
      <c r="A54" t="inlineStr">
        <is>
          <t>p26_roc_main_roc_bombs</t>
        </is>
      </c>
      <c r="B54" t="n">
        <v>3</v>
      </c>
      <c r="C54" t="inlineStr">
        <is>
          <t>ok</t>
        </is>
      </c>
      <c r="D54" t="inlineStr">
        <is>
          <t>01_chien_dau/Vu_khi_suy_ra (id p26_roc_main_roc_bombs)</t>
        </is>
      </c>
      <c r="E54" t="inlineStr"/>
    </row>
    <row r="55">
      <c r="A55" t="inlineStr">
        <is>
          <t>p26_roc_roc105</t>
        </is>
      </c>
      <c r="B55" t="n">
        <v>0.7</v>
      </c>
      <c r="C55" t="inlineStr">
        <is>
          <t>ok</t>
        </is>
      </c>
      <c r="D55" t="inlineStr">
        <is>
          <t>01_chien_dau/Vu_khi_suy_ra (id p26_roc_roc105)</t>
        </is>
      </c>
      <c r="E55" t="inlineStr"/>
    </row>
    <row r="56">
      <c r="A56" t="inlineStr">
        <is>
          <t>p26_typhon_direct_ty100</t>
        </is>
      </c>
      <c r="B56" t="n">
        <v>1.225</v>
      </c>
      <c r="C56" t="inlineStr">
        <is>
          <t>ok</t>
        </is>
      </c>
      <c r="D56" t="inlineStr">
        <is>
          <t>01_chien_dau/Vu_khi_suy_ra (id p26_typhon_direct_ty100)</t>
        </is>
      </c>
      <c r="E56" t="inlineStr"/>
    </row>
    <row r="57">
      <c r="A57" t="inlineStr">
        <is>
          <t>p26_typhon_sec_ty57</t>
        </is>
      </c>
      <c r="B57" t="n">
        <v>2.145</v>
      </c>
      <c r="C57" t="inlineStr">
        <is>
          <t>ok</t>
        </is>
      </c>
      <c r="D57" t="inlineStr">
        <is>
          <t>01_chien_dau/Vu_khi_suy_ra (id p26_typhon_sec_ty57)</t>
        </is>
      </c>
      <c r="E57" t="inlineStr"/>
    </row>
    <row r="58">
      <c r="A58" t="inlineStr">
        <is>
          <t>pt14_co_203</t>
        </is>
      </c>
      <c r="B58" t="n">
        <v>2.94</v>
      </c>
      <c r="C58" t="inlineStr">
        <is>
          <t>CHAM_QUA;LECH_DOT_1</t>
        </is>
      </c>
      <c r="D58" t="inlineStr">
        <is>
          <t>01_chien_dau/Vu_khi_suy_ra (id pt14_co_203)</t>
        </is>
      </c>
      <c r="E58" t="inlineStr"/>
    </row>
    <row r="59">
      <c r="A59" t="inlineStr">
        <is>
          <t>pt14_co_v76</t>
        </is>
      </c>
      <c r="B59" t="n">
        <v>2.87</v>
      </c>
      <c r="C59" t="inlineStr">
        <is>
          <t>CHAM_QUA;LECH_DOT_1</t>
        </is>
      </c>
      <c r="D59" t="inlineStr">
        <is>
          <t>01_chien_dau/Vu_khi_suy_ra (id pt14_co_v76)</t>
        </is>
      </c>
      <c r="E59" t="inlineStr"/>
    </row>
    <row r="60">
      <c r="A60" t="inlineStr">
        <is>
          <t>pt14_dd_v25</t>
        </is>
      </c>
      <c r="B60" t="n">
        <v>14.25</v>
      </c>
      <c r="C60" t="inlineStr">
        <is>
          <t>LECH_DOT_1</t>
        </is>
      </c>
      <c r="D60" t="inlineStr">
        <is>
          <t>01_chien_dau/Vu_khi_suy_ra (id pt14_dd_v25)</t>
        </is>
      </c>
      <c r="E60" t="inlineStr"/>
    </row>
    <row r="61">
      <c r="A61" t="inlineStr">
        <is>
          <t>pt14_dd_v57</t>
        </is>
      </c>
      <c r="B61" t="n">
        <v>2.145</v>
      </c>
      <c r="C61" t="inlineStr">
        <is>
          <t>ok</t>
        </is>
      </c>
      <c r="D61" t="inlineStr">
        <is>
          <t>01_chien_dau/Vu_khi_suy_ra (id pt14_dd_v57)</t>
        </is>
      </c>
      <c r="E61" t="inlineStr"/>
    </row>
    <row r="62">
      <c r="A62" t="inlineStr">
        <is>
          <t>pt14_hp_155</t>
        </is>
      </c>
      <c r="B62" t="n">
        <v>0.810833</v>
      </c>
      <c r="C62" t="inlineStr">
        <is>
          <t>LECH_DOT_1;LECH_HO</t>
        </is>
      </c>
      <c r="D62" t="inlineStr">
        <is>
          <t>01_chien_dau/Vu_khi_suy_ra (id pt14_hp_155)</t>
        </is>
      </c>
      <c r="E62" t="inlineStr"/>
    </row>
    <row r="63">
      <c r="A63" t="inlineStr">
        <is>
          <t>pt14_hp_nsm</t>
        </is>
      </c>
      <c r="B63" t="n">
        <v>2.433333</v>
      </c>
      <c r="C63" t="inlineStr">
        <is>
          <t>NHANH_QUA</t>
        </is>
      </c>
      <c r="D63" t="inlineStr">
        <is>
          <t>01_chien_dau/Vu_khi_suy_ra (id pt14_hp_nsm)</t>
        </is>
      </c>
      <c r="E63" t="inlineStr"/>
    </row>
    <row r="64">
      <c r="A64" t="inlineStr">
        <is>
          <t>pt14_hp_v127</t>
        </is>
      </c>
      <c r="B64" t="n">
        <v>0.583333</v>
      </c>
      <c r="C64" t="inlineStr">
        <is>
          <t>NHANH_QUA;LECH_DOT_1</t>
        </is>
      </c>
      <c r="D64" t="inlineStr">
        <is>
          <t>01_chien_dau/Vu_khi_suy_ra (id pt14_hp_v127)</t>
        </is>
      </c>
      <c r="E64" t="inlineStr"/>
    </row>
    <row r="65">
      <c r="A65" t="inlineStr">
        <is>
          <t>pt14_ixion_30</t>
        </is>
      </c>
      <c r="B65" t="n">
        <v>7.1295</v>
      </c>
      <c r="C65" t="inlineStr">
        <is>
          <t>CHAM_QUA;LECH_DOT_1</t>
        </is>
      </c>
      <c r="D65" t="inlineStr">
        <is>
          <t>01_chien_dau/Vu_khi_suy_ra (id pt14_ixion_30)</t>
        </is>
      </c>
      <c r="E65" t="inlineStr"/>
    </row>
    <row r="66">
      <c r="A66" t="inlineStr">
        <is>
          <t>pt14_ixion_grad</t>
        </is>
      </c>
      <c r="B66" t="n">
        <v>1</v>
      </c>
      <c r="C66" t="inlineStr">
        <is>
          <t>ok</t>
        </is>
      </c>
      <c r="D66" t="inlineStr">
        <is>
          <t>01_chien_dau/Vu_khi_suy_ra (id pt14_ixion_grad)</t>
        </is>
      </c>
      <c r="E66" t="inlineStr"/>
    </row>
    <row r="67">
      <c r="A67" t="inlineStr">
        <is>
          <t>pt14_ixion_kornet</t>
        </is>
      </c>
      <c r="B67" t="n">
        <v>1.2</v>
      </c>
      <c r="C67" t="inlineStr">
        <is>
          <t>LECH_DOT_1</t>
        </is>
      </c>
      <c r="D67" t="inlineStr">
        <is>
          <t>01_chien_dau/Vu_khi_suy_ra (id pt14_ixion_kornet)</t>
        </is>
      </c>
      <c r="E67" t="inlineStr"/>
    </row>
    <row r="68">
      <c r="A68" t="inlineStr">
        <is>
          <t>pt14_mk0_v40</t>
        </is>
      </c>
      <c r="B68" t="n">
        <v>1.075</v>
      </c>
      <c r="C68" t="inlineStr">
        <is>
          <t>LECH_DOT_1</t>
        </is>
      </c>
      <c r="D68" t="inlineStr">
        <is>
          <t>01_chien_dau/Vu_khi_suy_ra (id pt14_mk0_v40)</t>
        </is>
      </c>
      <c r="E68" t="inlineStr"/>
    </row>
    <row r="69">
      <c r="A69" t="inlineStr">
        <is>
          <t>pt14_sb_v105</t>
        </is>
      </c>
      <c r="B69" t="n">
        <v>0.7</v>
      </c>
      <c r="C69" t="inlineStr">
        <is>
          <t>LECH_DOT_1</t>
        </is>
      </c>
      <c r="D69" t="inlineStr">
        <is>
          <t>01_chien_dau/Vu_khi_suy_ra (id pt14_sb_v105)</t>
        </is>
      </c>
      <c r="E69" t="inlineStr"/>
    </row>
    <row r="70">
      <c r="A70" t="inlineStr">
        <is>
          <t>pt14_th_v35</t>
        </is>
      </c>
      <c r="B70" t="n">
        <v>6.359375</v>
      </c>
      <c r="C70" t="inlineStr">
        <is>
          <t>CHAM_QUA;LECH_DOT_1</t>
        </is>
      </c>
      <c r="D70" t="inlineStr">
        <is>
          <t>01_chien_dau/Vu_khi_suy_ra (id pt14_th_v35)</t>
        </is>
      </c>
      <c r="E70" t="inlineStr"/>
    </row>
    <row r="71">
      <c r="A71" t="inlineStr">
        <is>
          <t>pt14_train_grad</t>
        </is>
      </c>
      <c r="B71" t="n">
        <v>1</v>
      </c>
      <c r="C71" t="inlineStr">
        <is>
          <t>LECH_HO</t>
        </is>
      </c>
      <c r="D71" t="inlineStr">
        <is>
          <t>01_chien_dau/Vu_khi_suy_ra (id pt14_train_grad)</t>
        </is>
      </c>
      <c r="E71" t="inlineStr"/>
    </row>
    <row r="72">
      <c r="A72" t="inlineStr">
        <is>
          <t>sam_battery</t>
        </is>
      </c>
      <c r="B72" t="n">
        <v>1.833333</v>
      </c>
      <c r="C72" t="inlineStr">
        <is>
          <t>ok</t>
        </is>
      </c>
      <c r="D72" t="inlineStr">
        <is>
          <t>01_chien_dau/Vu_khi_suy_ra (id sam_battery)</t>
        </is>
      </c>
      <c r="E72" t="inlineStr"/>
    </row>
    <row r="73">
      <c r="A73" t="inlineStr">
        <is>
          <t>sam_post</t>
        </is>
      </c>
      <c r="B73" t="n">
        <v>0.55</v>
      </c>
      <c r="C73" t="inlineStr">
        <is>
          <t>NHANH_QUA</t>
        </is>
      </c>
      <c r="D73" t="inlineStr">
        <is>
          <t>01_chien_dau/Vu_khi_suy_ra (id sam_post)</t>
        </is>
      </c>
      <c r="E73" t="inlineStr"/>
    </row>
    <row r="74">
      <c r="A74" t="inlineStr">
        <is>
          <t>train_gun</t>
        </is>
      </c>
      <c r="B74" t="n">
        <v>0.7</v>
      </c>
      <c r="C74" t="inlineStr">
        <is>
          <t>ok</t>
        </is>
      </c>
      <c r="D74" t="inlineStr">
        <is>
          <t>01_chien_dau/Vu_khi_suy_ra (id train_gun)</t>
        </is>
      </c>
      <c r="E74" t="inlineStr"/>
    </row>
  </sheetData>
  <autoFilter ref="A1:E74"/>
  <pageMargins left="0.75" right="0.75" top="1" bottom="1" header="0.5" footer="0.5"/>
</worksheet>
</file>

<file path=xl/worksheets/sheet46.xml><?xml version="1.0" encoding="utf-8"?>
<worksheet xmlns="http://schemas.openxmlformats.org/spreadsheetml/2006/main">
  <sheetPr>
    <outlinePr summaryBelow="1" summaryRight="1"/>
    <pageSetUpPr/>
  </sheetPr>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14" customWidth="1" min="2" max="2"/>
    <col width="17" customWidth="1" min="3" max="3"/>
    <col width="12" customWidth="1" min="4" max="4"/>
    <col width="13" customWidth="1" min="5" max="5"/>
    <col width="8" customWidth="1" min="6" max="6"/>
    <col width="18" customWidth="1" min="7" max="7"/>
    <col width="16" customWidth="1" min="8" max="8"/>
    <col width="29" customWidth="1" min="9" max="9"/>
    <col width="60" customWidth="1" min="10" max="10"/>
    <col width="60" customWidth="1" min="11" max="11"/>
  </cols>
  <sheetData>
    <row r="1">
      <c r="A1" s="1" t="inlineStr">
        <is>
          <t>id</t>
        </is>
      </c>
      <c r="B1" s="1" t="inlineStr">
        <is>
          <t>nhom</t>
        </is>
      </c>
      <c r="C1" s="1" t="inlineStr">
        <is>
          <t>khoa</t>
        </is>
      </c>
      <c r="D1" s="1" t="inlineStr">
        <is>
          <t>gia_tri_so</t>
        </is>
      </c>
      <c r="E1" s="1" t="inlineStr">
        <is>
          <t>gia_tri_chu</t>
        </is>
      </c>
      <c r="F1" s="1" t="inlineStr">
        <is>
          <t>don_vi</t>
        </is>
      </c>
      <c r="G1" s="1" t="inlineStr">
        <is>
          <t>nhom_quet</t>
        </is>
      </c>
      <c r="H1" s="1" t="inlineStr">
        <is>
          <t>linh_vuc_ma_cu</t>
        </is>
      </c>
      <c r="I1" s="1" t="inlineStr">
        <is>
          <t>ma_nguon</t>
        </is>
      </c>
      <c r="J1" s="1" t="inlineStr">
        <is>
          <t>nguon</t>
        </is>
      </c>
      <c r="K1" s="1" t="inlineStr">
        <is>
          <t>raw_json</t>
        </is>
      </c>
    </row>
    <row r="2">
      <c r="A2" t="inlineStr">
        <is>
          <t>bosses.bossHunt.airDefenceMains</t>
        </is>
      </c>
      <c r="B2" t="inlineStr">
        <is>
          <t>bossHunt</t>
        </is>
      </c>
      <c r="C2" t="inlineStr">
        <is>
          <t>airDefenceMains</t>
        </is>
      </c>
      <c r="D2" t="n">
        <v>1</v>
      </c>
      <c r="F2" t="inlineStr">
        <is>
          <t>count</t>
        </is>
      </c>
      <c r="G2" t="inlineStr">
        <is>
          <t>gioi_han_thuc_the</t>
        </is>
      </c>
      <c r="H2" t="inlineStr">
        <is>
          <t>03</t>
        </is>
      </c>
      <c r="I2" t="inlineStr">
        <is>
          <t>BossHunt.AirDefenceMains</t>
        </is>
      </c>
      <c r="J2" t="inlineStr">
        <is>
          <t>Assets/MachineBrigade/Resources/Data/tunables.json: bosses.bossHunt.airDefenceMains</t>
        </is>
      </c>
      <c r="K2" t="inlineStr">
        <is>
          <t>{"value":1,"unit":"count","kind":"gioi_han_thuc_the","linh_vuc":"03","code":"BossHunt.AirDefenceMains"}</t>
        </is>
      </c>
    </row>
    <row r="3">
      <c r="A3" t="inlineStr">
        <is>
          <t>bosses.bossHunt.airDefenceMinis</t>
        </is>
      </c>
      <c r="B3" t="inlineStr">
        <is>
          <t>bossHunt</t>
        </is>
      </c>
      <c r="C3" t="inlineStr">
        <is>
          <t>airDefenceMinis</t>
        </is>
      </c>
      <c r="D3" t="n">
        <v>3</v>
      </c>
      <c r="F3" t="inlineStr">
        <is>
          <t>count</t>
        </is>
      </c>
      <c r="G3" t="inlineStr">
        <is>
          <t>gioi_han_thuc_the</t>
        </is>
      </c>
      <c r="H3" t="inlineStr">
        <is>
          <t>03</t>
        </is>
      </c>
      <c r="I3" t="inlineStr">
        <is>
          <t>BossHunt.AirDefenceMinis</t>
        </is>
      </c>
      <c r="J3" t="inlineStr">
        <is>
          <t>Assets/MachineBrigade/Resources/Data/tunables.json: bosses.bossHunt.airDefenceMinis</t>
        </is>
      </c>
      <c r="K3" t="inlineStr">
        <is>
          <t>{"value":3,"unit":"count","kind":"gioi_han_thuc_the","linh_vuc":"03","code":"BossHunt.AirDefenceMinis"}</t>
        </is>
      </c>
    </row>
    <row r="4">
      <c r="A4" t="inlineStr">
        <is>
          <t>bosses.bossHunt.fullFrom</t>
        </is>
      </c>
      <c r="B4" t="inlineStr">
        <is>
          <t>bossHunt</t>
        </is>
      </c>
      <c r="C4" t="inlineStr">
        <is>
          <t>fullFrom</t>
        </is>
      </c>
      <c r="D4" t="n">
        <v>0.8</v>
      </c>
      <c r="F4" t="inlineStr">
        <is>
          <t>x</t>
        </is>
      </c>
      <c r="G4" t="inlineStr">
        <is>
          <t>sat_thuong</t>
        </is>
      </c>
      <c r="H4" t="inlineStr">
        <is>
          <t>03</t>
        </is>
      </c>
      <c r="I4" t="inlineStr">
        <is>
          <t>BossHunt.FullFrom</t>
        </is>
      </c>
      <c r="J4" t="inlineStr">
        <is>
          <t>Assets/MachineBrigade/Resources/Data/tunables.json: bosses.bossHunt.fullFrom</t>
        </is>
      </c>
      <c r="K4" t="inlineStr">
        <is>
          <t>{"value":0.8,"unit":"x","kind":"sat_thuong","linh_vuc":"03","code":"BossHunt.FullFrom"}</t>
        </is>
      </c>
    </row>
    <row r="5">
      <c r="A5" t="inlineStr">
        <is>
          <t>bosses.bossHunt.fullTo</t>
        </is>
      </c>
      <c r="B5" t="inlineStr">
        <is>
          <t>bossHunt</t>
        </is>
      </c>
      <c r="C5" t="inlineStr">
        <is>
          <t>fullTo</t>
        </is>
      </c>
      <c r="D5" t="n">
        <v>1.3</v>
      </c>
      <c r="F5" t="inlineStr">
        <is>
          <t>x</t>
        </is>
      </c>
      <c r="G5" t="inlineStr">
        <is>
          <t>sat_thuong</t>
        </is>
      </c>
      <c r="H5" t="inlineStr">
        <is>
          <t>03</t>
        </is>
      </c>
      <c r="I5" t="inlineStr">
        <is>
          <t>BossHunt.FullTo</t>
        </is>
      </c>
      <c r="J5" t="inlineStr">
        <is>
          <t>Assets/MachineBrigade/Resources/Data/tunables.json: bosses.bossHunt.fullTo</t>
        </is>
      </c>
      <c r="K5" t="inlineStr">
        <is>
          <t>{"value":1.3,"unit":"x","kind":"sat_thuong","linh_vuc":"03","code":"BossHunt.FullTo"}</t>
        </is>
      </c>
    </row>
    <row r="6">
      <c r="A6" t="inlineStr">
        <is>
          <t>bosses.bossHunt.weeklyMains</t>
        </is>
      </c>
      <c r="B6" t="inlineStr">
        <is>
          <t>bossHunt</t>
        </is>
      </c>
      <c r="C6" t="inlineStr">
        <is>
          <t>weeklyMains</t>
        </is>
      </c>
      <c r="D6" t="n">
        <v>3</v>
      </c>
      <c r="F6" t="inlineStr">
        <is>
          <t>count</t>
        </is>
      </c>
      <c r="G6" t="inlineStr">
        <is>
          <t>gioi_han_thuc_the</t>
        </is>
      </c>
      <c r="H6" t="inlineStr">
        <is>
          <t>03</t>
        </is>
      </c>
      <c r="I6" t="inlineStr">
        <is>
          <t>BossHunt.WeeklyMains</t>
        </is>
      </c>
      <c r="J6" t="inlineStr">
        <is>
          <t>Assets/MachineBrigade/Resources/Data/tunables.json: bosses.bossHunt.weeklyMains</t>
        </is>
      </c>
      <c r="K6" t="inlineStr">
        <is>
          <t>{"value":3,"unit":"count","kind":"gioi_han_thuc_the","linh_vuc":"03","code":"BossHunt.WeeklyMains"}</t>
        </is>
      </c>
    </row>
    <row r="7">
      <c r="A7" t="inlineStr">
        <is>
          <t>bosses.bossHunt.weeklyMinis</t>
        </is>
      </c>
      <c r="B7" t="inlineStr">
        <is>
          <t>bossHunt</t>
        </is>
      </c>
      <c r="C7" t="inlineStr">
        <is>
          <t>weeklyMinis</t>
        </is>
      </c>
      <c r="D7" t="n">
        <v>7</v>
      </c>
      <c r="F7" t="inlineStr">
        <is>
          <t>count</t>
        </is>
      </c>
      <c r="G7" t="inlineStr">
        <is>
          <t>gioi_han_thuc_the</t>
        </is>
      </c>
      <c r="H7" t="inlineStr">
        <is>
          <t>03</t>
        </is>
      </c>
      <c r="I7" t="inlineStr">
        <is>
          <t>BossHunt.WeeklyMinis</t>
        </is>
      </c>
      <c r="J7" t="inlineStr">
        <is>
          <t>Assets/MachineBrigade/Resources/Data/tunables.json: bosses.bossHunt.weeklyMinis</t>
        </is>
      </c>
      <c r="K7" t="inlineStr">
        <is>
          <t>{"value":7,"unit":"count","kind":"gioi_han_thuc_the","linh_vuc":"03","code":"BossHunt.WeeklyMinis"}</t>
        </is>
      </c>
    </row>
    <row r="8">
      <c r="A8" t="inlineStr">
        <is>
          <t>bosses.bossHunt.weeklyStep</t>
        </is>
      </c>
      <c r="B8" t="inlineStr">
        <is>
          <t>bossHunt</t>
        </is>
      </c>
      <c r="C8" t="inlineStr">
        <is>
          <t>weeklyStep</t>
        </is>
      </c>
      <c r="D8" t="n">
        <v>0.06</v>
      </c>
      <c r="F8" t="inlineStr">
        <is>
          <t>x</t>
        </is>
      </c>
      <c r="G8" t="inlineStr">
        <is>
          <t>sat_thuong</t>
        </is>
      </c>
      <c r="H8" t="inlineStr">
        <is>
          <t>03</t>
        </is>
      </c>
      <c r="I8" t="inlineStr">
        <is>
          <t>BossHunt.WeeklyStep</t>
        </is>
      </c>
      <c r="J8" t="inlineStr">
        <is>
          <t>Assets/MachineBrigade/Resources/Data/tunables.json: bosses.bossHunt.weeklyStep</t>
        </is>
      </c>
      <c r="K8" t="inlineStr">
        <is>
          <t>{"value":0.06,"unit":"x","kind":"sat_thuong","linh_vuc":"03","code":"BossHunt.WeeklyStep"}</t>
        </is>
      </c>
    </row>
    <row r="9">
      <c r="A9" t="inlineStr">
        <is>
          <t>bosses.bossHunts.weeklyMinutes</t>
        </is>
      </c>
      <c r="B9" t="inlineStr">
        <is>
          <t>bossHunts</t>
        </is>
      </c>
      <c r="C9" t="inlineStr">
        <is>
          <t>weeklyMinutes</t>
        </is>
      </c>
      <c r="D9" t="n">
        <v>30</v>
      </c>
      <c r="F9" t="inlineStr">
        <is>
          <t>min</t>
        </is>
      </c>
      <c r="G9" t="inlineStr">
        <is>
          <t>thoi_gian</t>
        </is>
      </c>
      <c r="H9" t="inlineStr">
        <is>
          <t>03</t>
        </is>
      </c>
      <c r="I9" t="inlineStr">
        <is>
          <t>BossHunts.WeeklyMinutes</t>
        </is>
      </c>
      <c r="J9" t="inlineStr">
        <is>
          <t>Assets/MachineBrigade/Resources/Data/tunables.json: bosses.bossHunts.weeklyMinutes</t>
        </is>
      </c>
      <c r="K9" t="inlineStr">
        <is>
          <t>{"value":30.0,"unit":"min","kind":"thoi_gian","linh_vuc":"03","code":"BossHunts.WeeklyMinutes"}</t>
        </is>
      </c>
    </row>
    <row r="10">
      <c r="A10" t="inlineStr">
        <is>
          <t>bosses.bossRushRules.fullMainSeconds</t>
        </is>
      </c>
      <c r="B10" t="inlineStr">
        <is>
          <t>bossRushRules</t>
        </is>
      </c>
      <c r="C10" t="inlineStr">
        <is>
          <t>fullMainSeconds</t>
        </is>
      </c>
      <c r="D10" t="n">
        <v>150</v>
      </c>
      <c r="F10" t="inlineStr">
        <is>
          <t>s</t>
        </is>
      </c>
      <c r="G10" t="inlineStr">
        <is>
          <t>thoi_gian</t>
        </is>
      </c>
      <c r="H10" t="inlineStr">
        <is>
          <t>03</t>
        </is>
      </c>
      <c r="I10" t="inlineStr">
        <is>
          <t>BossHuntSession (full hunt)</t>
        </is>
      </c>
      <c r="J10" t="inlineStr">
        <is>
          <t>Assets/MachineBrigade/Resources/Data/tunables.json: bosses.bossRushRules.fullMainSeconds</t>
        </is>
      </c>
      <c r="K10" t="inlineStr">
        <is>
          <t>{"value":150.0,"unit":"s","kind":"thoi_gian","linh_vuc":"03","code":"BossHuntSession (full hunt)"}</t>
        </is>
      </c>
    </row>
    <row r="11">
      <c r="A11" t="inlineStr">
        <is>
          <t>bosses.bossRushRules.fullMiniSeconds</t>
        </is>
      </c>
      <c r="B11" t="inlineStr">
        <is>
          <t>bossRushRules</t>
        </is>
      </c>
      <c r="C11" t="inlineStr">
        <is>
          <t>fullMiniSeconds</t>
        </is>
      </c>
      <c r="D11" t="n">
        <v>60</v>
      </c>
      <c r="F11" t="inlineStr">
        <is>
          <t>s</t>
        </is>
      </c>
      <c r="G11" t="inlineStr">
        <is>
          <t>thoi_gian</t>
        </is>
      </c>
      <c r="H11" t="inlineStr">
        <is>
          <t>03</t>
        </is>
      </c>
      <c r="I11" t="inlineStr">
        <is>
          <t>BossHuntSession (full hunt)</t>
        </is>
      </c>
      <c r="J11" t="inlineStr">
        <is>
          <t>Assets/MachineBrigade/Resources/Data/tunables.json: bosses.bossRushRules.fullMiniSeconds</t>
        </is>
      </c>
      <c r="K11" t="inlineStr">
        <is>
          <t>{"value":60.0,"unit":"s","kind":"thoi_gian","linh_vuc":"03","code":"BossHuntSession (full hunt)"}</t>
        </is>
      </c>
    </row>
    <row r="12">
      <c r="A12" t="inlineStr">
        <is>
          <t>bosses.bossRushRules.hpShare</t>
        </is>
      </c>
      <c r="B12" t="inlineStr">
        <is>
          <t>bossRushRules</t>
        </is>
      </c>
      <c r="C12" t="inlineStr">
        <is>
          <t>hpShare</t>
        </is>
      </c>
      <c r="D12" t="n">
        <v>0.6</v>
      </c>
      <c r="F12" t="inlineStr">
        <is>
          <t>share</t>
        </is>
      </c>
      <c r="G12" t="inlineStr">
        <is>
          <t>sat_thuong</t>
        </is>
      </c>
      <c r="H12" t="inlineStr">
        <is>
          <t>03</t>
        </is>
      </c>
      <c r="I12" t="inlineStr">
        <is>
          <t>BossRushRules.HpShare</t>
        </is>
      </c>
      <c r="J12" t="inlineStr">
        <is>
          <t>Assets/MachineBrigade/Resources/Data/tunables.json: bosses.bossRushRules.hpShare</t>
        </is>
      </c>
      <c r="K12" t="inlineStr">
        <is>
          <t>{"value":0.6,"unit":"share","kind":"sat_thuong","linh_vuc":"03","code":"BossRushRules.HpShare"}</t>
        </is>
      </c>
    </row>
    <row r="13">
      <c r="A13" t="inlineStr">
        <is>
          <t>bosses.bossRushRules.mainSeconds</t>
        </is>
      </c>
      <c r="B13" t="inlineStr">
        <is>
          <t>bossRushRules</t>
        </is>
      </c>
      <c r="C13" t="inlineStr">
        <is>
          <t>mainSeconds</t>
        </is>
      </c>
      <c r="D13" t="n">
        <v>168</v>
      </c>
      <c r="F13" t="inlineStr">
        <is>
          <t>s</t>
        </is>
      </c>
      <c r="G13" t="inlineStr">
        <is>
          <t>thoi_gian</t>
        </is>
      </c>
      <c r="H13" t="inlineStr">
        <is>
          <t>03</t>
        </is>
      </c>
      <c r="I13" t="inlineStr">
        <is>
          <t>BossRushRules.MainSeconds</t>
        </is>
      </c>
      <c r="J13" t="inlineStr">
        <is>
          <t>Assets/MachineBrigade/Resources/Data/tunables.json: bosses.bossRushRules.mainSeconds</t>
        </is>
      </c>
      <c r="K13" t="inlineStr">
        <is>
          <t>{"value":168.0,"unit":"s","kind":"thoi_gian","linh_vuc":"03","code":"BossRushRules.MainSeconds"}</t>
        </is>
      </c>
    </row>
    <row r="14">
      <c r="A14" t="inlineStr">
        <is>
          <t>bosses.bossRushRules.miniSeconds</t>
        </is>
      </c>
      <c r="B14" t="inlineStr">
        <is>
          <t>bossRushRules</t>
        </is>
      </c>
      <c r="C14" t="inlineStr">
        <is>
          <t>miniSeconds</t>
        </is>
      </c>
      <c r="D14" t="n">
        <v>66</v>
      </c>
      <c r="F14" t="inlineStr">
        <is>
          <t>s</t>
        </is>
      </c>
      <c r="G14" t="inlineStr">
        <is>
          <t>thoi_gian</t>
        </is>
      </c>
      <c r="H14" t="inlineStr">
        <is>
          <t>03</t>
        </is>
      </c>
      <c r="I14" t="inlineStr">
        <is>
          <t>BossRushRules.MiniSeconds</t>
        </is>
      </c>
      <c r="J14" t="inlineStr">
        <is>
          <t>Assets/MachineBrigade/Resources/Data/tunables.json: bosses.bossRushRules.miniSeconds</t>
        </is>
      </c>
      <c r="K14" t="inlineStr">
        <is>
          <t>{"value":66.0,"unit":"s","kind":"thoi_gian","linh_vuc":"03","code":"BossRushRules.MiniSeconds"}</t>
        </is>
      </c>
    </row>
    <row r="15">
      <c r="A15" t="inlineStr">
        <is>
          <t>bosses.bossSystem.bodyShare</t>
        </is>
      </c>
      <c r="B15" t="inlineStr">
        <is>
          <t>bossSystem</t>
        </is>
      </c>
      <c r="C15" t="inlineStr">
        <is>
          <t>bodyShare</t>
        </is>
      </c>
      <c r="D15" t="n">
        <v>0.4</v>
      </c>
      <c r="F15" t="inlineStr">
        <is>
          <t>share</t>
        </is>
      </c>
      <c r="G15" t="inlineStr">
        <is>
          <t>nguong</t>
        </is>
      </c>
      <c r="H15" t="inlineStr">
        <is>
          <t>03</t>
        </is>
      </c>
      <c r="I15" t="inlineStr">
        <is>
          <t>BossSystem.BodyShare</t>
        </is>
      </c>
      <c r="J15" t="inlineStr">
        <is>
          <t>Assets/MachineBrigade/Resources/Data/tunables.json: bosses.bossSystem.bodyShare</t>
        </is>
      </c>
      <c r="K15" t="inlineStr">
        <is>
          <t>{"value":0.4,"unit":"share","kind":"nguong","linh_vuc":"03","code":"BossSystem.BodyShare"}</t>
        </is>
      </c>
    </row>
    <row r="16">
      <c r="A16" t="inlineStr">
        <is>
          <t>bosses.bossSystem.escortTicks</t>
        </is>
      </c>
      <c r="B16" t="inlineStr">
        <is>
          <t>bossSystem</t>
        </is>
      </c>
      <c r="C16" t="inlineStr">
        <is>
          <t>escortTicks</t>
        </is>
      </c>
      <c r="D16" t="n">
        <v>10</v>
      </c>
      <c r="F16" t="inlineStr">
        <is>
          <t>ticks</t>
        </is>
      </c>
      <c r="G16" t="inlineStr">
        <is>
          <t>thoi_gian</t>
        </is>
      </c>
      <c r="H16" t="inlineStr">
        <is>
          <t>03</t>
        </is>
      </c>
      <c r="I16" t="inlineStr">
        <is>
          <t>BossSystem.EscortTicks</t>
        </is>
      </c>
      <c r="J16" t="inlineStr">
        <is>
          <t>Assets/MachineBrigade/Resources/Data/tunables.json: bosses.bossSystem.escortTicks</t>
        </is>
      </c>
      <c r="K16" t="inlineStr">
        <is>
          <t>{"value":10,"unit":"ticks","kind":"thoi_gian","linh_vuc":"03","code":"BossSystem.EscortTicks"}</t>
        </is>
      </c>
    </row>
    <row r="17">
      <c r="A17" t="inlineStr">
        <is>
          <t>bosses.bossSystem.flyerTicks</t>
        </is>
      </c>
      <c r="B17" t="inlineStr">
        <is>
          <t>bossSystem</t>
        </is>
      </c>
      <c r="C17" t="inlineStr">
        <is>
          <t>flyerTicks</t>
        </is>
      </c>
      <c r="D17" t="n">
        <v>5</v>
      </c>
      <c r="F17" t="inlineStr">
        <is>
          <t>ticks</t>
        </is>
      </c>
      <c r="G17" t="inlineStr">
        <is>
          <t>thoi_gian</t>
        </is>
      </c>
      <c r="H17" t="inlineStr">
        <is>
          <t>03</t>
        </is>
      </c>
      <c r="I17" t="inlineStr">
        <is>
          <t>BossSystem.FlyerTicks</t>
        </is>
      </c>
      <c r="J17" t="inlineStr">
        <is>
          <t>Assets/MachineBrigade/Resources/Data/tunables.json: bosses.bossSystem.flyerTicks</t>
        </is>
      </c>
      <c r="K17" t="inlineStr">
        <is>
          <t>{"value":5,"unit":"ticks","kind":"thoi_gian","linh_vuc":"03","code":"BossSystem.FlyerTicks"}</t>
        </is>
      </c>
    </row>
    <row r="18">
      <c r="A18" t="inlineStr">
        <is>
          <t>bosses.bossSystem.missileTopSpeed</t>
        </is>
      </c>
      <c r="B18" t="inlineStr">
        <is>
          <t>bossSystem</t>
        </is>
      </c>
      <c r="C18" t="inlineStr">
        <is>
          <t>missileTopSpeed</t>
        </is>
      </c>
      <c r="D18" t="n">
        <v>24</v>
      </c>
      <c r="F18" t="inlineStr">
        <is>
          <t>m/s</t>
        </is>
      </c>
      <c r="G18" t="inlineStr">
        <is>
          <t>tan_suat</t>
        </is>
      </c>
      <c r="H18" t="inlineStr">
        <is>
          <t>03</t>
        </is>
      </c>
      <c r="I18" t="inlineStr">
        <is>
          <t>BossSystem.MissileTopSpeed</t>
        </is>
      </c>
      <c r="J18" t="inlineStr">
        <is>
          <t>Assets/MachineBrigade/Resources/Data/tunables.json: bosses.bossSystem.missileTopSpeed</t>
        </is>
      </c>
      <c r="K18" t="inlineStr">
        <is>
          <t>{"value":24.0,"unit":"m/s","kind":"tan_suat","linh_vuc":"03","code":"BossSystem.MissileTopSpeed"}</t>
        </is>
      </c>
    </row>
    <row r="19">
      <c r="A19" t="inlineStr">
        <is>
          <t>bosses.huntSupports.cap</t>
        </is>
      </c>
      <c r="B19" t="inlineStr">
        <is>
          <t>huntSupports</t>
        </is>
      </c>
      <c r="C19" t="inlineStr">
        <is>
          <t>cap</t>
        </is>
      </c>
      <c r="D19" t="n">
        <v>0.4</v>
      </c>
      <c r="F19" t="inlineStr">
        <is>
          <t>share</t>
        </is>
      </c>
      <c r="G19" t="inlineStr">
        <is>
          <t>tran</t>
        </is>
      </c>
      <c r="H19" t="inlineStr">
        <is>
          <t>03</t>
        </is>
      </c>
      <c r="I19" t="inlineStr">
        <is>
          <t>HuntSupports.Cap</t>
        </is>
      </c>
      <c r="J19" t="inlineStr">
        <is>
          <t>Assets/MachineBrigade/Resources/Data/tunables.json: bosses.huntSupports.cap</t>
        </is>
      </c>
      <c r="K19" t="inlineStr">
        <is>
          <t>{"value":0.4,"unit":"share","kind":"tran","linh_vuc":"03","code":"HuntSupports.Cap"}</t>
        </is>
      </c>
    </row>
    <row r="20">
      <c r="A20" t="inlineStr">
        <is>
          <t>bosses.navalSystem.bigShipLength</t>
        </is>
      </c>
      <c r="B20" t="inlineStr">
        <is>
          <t>navalSystem</t>
        </is>
      </c>
      <c r="C20" t="inlineStr">
        <is>
          <t>bigShipLength</t>
        </is>
      </c>
      <c r="D20" t="n">
        <v>25</v>
      </c>
      <c r="F20" t="inlineStr">
        <is>
          <t>m</t>
        </is>
      </c>
      <c r="G20" t="inlineStr">
        <is>
          <t>ban_kinh</t>
        </is>
      </c>
      <c r="H20" t="inlineStr">
        <is>
          <t>03</t>
        </is>
      </c>
      <c r="I20" t="inlineStr">
        <is>
          <t>NavalSystem.BigShipLength</t>
        </is>
      </c>
      <c r="J20" t="inlineStr">
        <is>
          <t>Assets/MachineBrigade/Resources/Data/tunables.json: bosses.navalSystem.bigShipLength</t>
        </is>
      </c>
      <c r="K20" t="inlineStr">
        <is>
          <t>{"value":25.0,"unit":"m","kind":"ban_kinh","linh_vuc":"03","code":"NavalSystem.BigShipLength"}</t>
        </is>
      </c>
    </row>
    <row r="21">
      <c r="A21" t="inlineStr">
        <is>
          <t>bosses.navalSystem.captureRadius</t>
        </is>
      </c>
      <c r="B21" t="inlineStr">
        <is>
          <t>navalSystem</t>
        </is>
      </c>
      <c r="C21" t="inlineStr">
        <is>
          <t>captureRadius</t>
        </is>
      </c>
      <c r="D21" t="n">
        <v>11</v>
      </c>
      <c r="F21" t="inlineStr">
        <is>
          <t>m</t>
        </is>
      </c>
      <c r="G21" t="inlineStr">
        <is>
          <t>ban_kinh</t>
        </is>
      </c>
      <c r="H21" t="inlineStr">
        <is>
          <t>03</t>
        </is>
      </c>
      <c r="I21" t="inlineStr">
        <is>
          <t>NavalSystem.CaptureRadius</t>
        </is>
      </c>
      <c r="J21" t="inlineStr">
        <is>
          <t>Assets/MachineBrigade/Resources/Data/tunables.json: bosses.navalSystem.captureRadius</t>
        </is>
      </c>
      <c r="K21" t="inlineStr">
        <is>
          <t>{"value":11.0,"unit":"m","kind":"ban_kinh","linh_vuc":"03","code":"NavalSystem.CaptureRadius"}</t>
        </is>
      </c>
    </row>
    <row r="22">
      <c r="A22" t="inlineStr">
        <is>
          <t>bosses.navalSystem.closeRate</t>
        </is>
      </c>
      <c r="B22" t="inlineStr">
        <is>
          <t>navalSystem</t>
        </is>
      </c>
      <c r="C22" t="inlineStr">
        <is>
          <t>closeRate</t>
        </is>
      </c>
      <c r="D22" t="n">
        <v>0.25</v>
      </c>
      <c r="F22" t="inlineStr">
        <is>
          <t>share/s</t>
        </is>
      </c>
      <c r="G22" t="inlineStr">
        <is>
          <t>tan_suat</t>
        </is>
      </c>
      <c r="H22" t="inlineStr">
        <is>
          <t>03</t>
        </is>
      </c>
      <c r="I22" t="inlineStr">
        <is>
          <t>NavalSystem.CloseRate</t>
        </is>
      </c>
      <c r="J22" t="inlineStr">
        <is>
          <t>Assets/MachineBrigade/Resources/Data/tunables.json: bosses.navalSystem.closeRate</t>
        </is>
      </c>
      <c r="K22" t="inlineStr">
        <is>
          <t>{"value":0.25,"unit":"share/s","kind":"tan_suat","linh_vuc":"03","code":"NavalSystem.CloseRate"}</t>
        </is>
      </c>
    </row>
    <row r="23">
      <c r="A23" t="inlineStr">
        <is>
          <t>bosses.navalSystem.gapExtra</t>
        </is>
      </c>
      <c r="B23" t="inlineStr">
        <is>
          <t>navalSystem</t>
        </is>
      </c>
      <c r="C23" t="inlineStr">
        <is>
          <t>gapExtra</t>
        </is>
      </c>
      <c r="D23" t="n">
        <v>10</v>
      </c>
      <c r="F23" t="inlineStr">
        <is>
          <t>m</t>
        </is>
      </c>
      <c r="G23" t="inlineStr">
        <is>
          <t>ban_kinh</t>
        </is>
      </c>
      <c r="H23" t="inlineStr">
        <is>
          <t>03</t>
        </is>
      </c>
      <c r="I23" t="inlineStr">
        <is>
          <t>NavalSystem.GapExtra</t>
        </is>
      </c>
      <c r="J23" t="inlineStr">
        <is>
          <t>Assets/MachineBrigade/Resources/Data/tunables.json: bosses.navalSystem.gapExtra</t>
        </is>
      </c>
      <c r="K23" t="inlineStr">
        <is>
          <t>{"value":10.0,"unit":"m","kind":"ban_kinh","linh_vuc":"03","code":"NavalSystem.GapExtra"}</t>
        </is>
      </c>
    </row>
    <row r="24">
      <c r="A24" t="inlineStr">
        <is>
          <t>bosses.navalSystem.holdAfterTicks</t>
        </is>
      </c>
      <c r="B24" t="inlineStr">
        <is>
          <t>navalSystem</t>
        </is>
      </c>
      <c r="C24" t="inlineStr">
        <is>
          <t>holdAfterTicks</t>
        </is>
      </c>
      <c r="D24" t="n">
        <v>60</v>
      </c>
      <c r="F24" t="inlineStr">
        <is>
          <t>ticks</t>
        </is>
      </c>
      <c r="G24" t="inlineStr">
        <is>
          <t>thoi_gian</t>
        </is>
      </c>
      <c r="H24" t="inlineStr">
        <is>
          <t>03</t>
        </is>
      </c>
      <c r="I24" t="inlineStr">
        <is>
          <t>NavalSystem.HoldAfterTicks</t>
        </is>
      </c>
      <c r="J24" t="inlineStr">
        <is>
          <t>Assets/MachineBrigade/Resources/Data/tunables.json: bosses.navalSystem.holdAfterTicks</t>
        </is>
      </c>
      <c r="K24" t="inlineStr">
        <is>
          <t>{"value":60,"unit":"ticks","kind":"thoi_gian","linh_vuc":"03","code":"NavalSystem.HoldAfterTicks"}</t>
        </is>
      </c>
    </row>
    <row r="25">
      <c r="A25" t="inlineStr">
        <is>
          <t>bosses.navalSystem.holdMinTicks</t>
        </is>
      </c>
      <c r="B25" t="inlineStr">
        <is>
          <t>navalSystem</t>
        </is>
      </c>
      <c r="C25" t="inlineStr">
        <is>
          <t>holdMinTicks</t>
        </is>
      </c>
      <c r="D25" t="n">
        <v>40</v>
      </c>
      <c r="F25" t="inlineStr">
        <is>
          <t>ticks</t>
        </is>
      </c>
      <c r="G25" t="inlineStr">
        <is>
          <t>thoi_gian</t>
        </is>
      </c>
      <c r="H25" t="inlineStr">
        <is>
          <t>03</t>
        </is>
      </c>
      <c r="I25" t="inlineStr">
        <is>
          <t>NavalSystem.HoldMinTicks</t>
        </is>
      </c>
      <c r="J25" t="inlineStr">
        <is>
          <t>Assets/MachineBrigade/Resources/Data/tunables.json: bosses.navalSystem.holdMinTicks</t>
        </is>
      </c>
      <c r="K25" t="inlineStr">
        <is>
          <t>{"value":40,"unit":"ticks","kind":"thoi_gian","linh_vuc":"03","code":"NavalSystem.HoldMinTicks"}</t>
        </is>
      </c>
    </row>
    <row r="26">
      <c r="A26" t="inlineStr">
        <is>
          <t>bosses.navalSystem.lighthouseRadius</t>
        </is>
      </c>
      <c r="B26" t="inlineStr">
        <is>
          <t>navalSystem</t>
        </is>
      </c>
      <c r="C26" t="inlineStr">
        <is>
          <t>lighthouseRadius</t>
        </is>
      </c>
      <c r="D26" t="n">
        <v>14</v>
      </c>
      <c r="F26" t="inlineStr">
        <is>
          <t>m</t>
        </is>
      </c>
      <c r="G26" t="inlineStr">
        <is>
          <t>ban_kinh</t>
        </is>
      </c>
      <c r="H26" t="inlineStr">
        <is>
          <t>03</t>
        </is>
      </c>
      <c r="I26" t="inlineStr">
        <is>
          <t>NavalSystem.LighthouseRadius</t>
        </is>
      </c>
      <c r="J26" t="inlineStr">
        <is>
          <t>Assets/MachineBrigade/Resources/Data/tunables.json: bosses.navalSystem.lighthouseRadius</t>
        </is>
      </c>
      <c r="K26" t="inlineStr">
        <is>
          <t>{"value":14.0,"unit":"m","kind":"ban_kinh","linh_vuc":"03","code":"NavalSystem.LighthouseRadius"}</t>
        </is>
      </c>
    </row>
    <row r="27">
      <c r="A27" t="inlineStr">
        <is>
          <t>bosses.navalSystem.slotSample</t>
        </is>
      </c>
      <c r="B27" t="inlineStr">
        <is>
          <t>navalSystem</t>
        </is>
      </c>
      <c r="C27" t="inlineStr">
        <is>
          <t>slotSample</t>
        </is>
      </c>
      <c r="D27" t="n">
        <v>8</v>
      </c>
      <c r="F27" t="inlineStr">
        <is>
          <t>m</t>
        </is>
      </c>
      <c r="G27" t="inlineStr">
        <is>
          <t>ban_kinh</t>
        </is>
      </c>
      <c r="H27" t="inlineStr">
        <is>
          <t>03</t>
        </is>
      </c>
      <c r="I27" t="inlineStr">
        <is>
          <t>NavalSystem.SlotSample</t>
        </is>
      </c>
      <c r="J27" t="inlineStr">
        <is>
          <t>Assets/MachineBrigade/Resources/Data/tunables.json: bosses.navalSystem.slotSample</t>
        </is>
      </c>
      <c r="K27" t="inlineStr">
        <is>
          <t>{"value":8.0,"unit":"m","kind":"ban_kinh","linh_vuc":"03","code":"NavalSystem.SlotSample"}</t>
        </is>
      </c>
    </row>
    <row r="28">
      <c r="A28" t="inlineStr">
        <is>
          <t>bosses.navalSystem.slotSlack</t>
        </is>
      </c>
      <c r="B28" t="inlineStr">
        <is>
          <t>navalSystem</t>
        </is>
      </c>
      <c r="C28" t="inlineStr">
        <is>
          <t>slotSlack</t>
        </is>
      </c>
      <c r="D28" t="n">
        <v>4</v>
      </c>
      <c r="F28" t="inlineStr">
        <is>
          <t>m</t>
        </is>
      </c>
      <c r="G28" t="inlineStr">
        <is>
          <t>ban_kinh</t>
        </is>
      </c>
      <c r="H28" t="inlineStr">
        <is>
          <t>03</t>
        </is>
      </c>
      <c r="I28" t="inlineStr">
        <is>
          <t>NavalSystem.SlotSlack</t>
        </is>
      </c>
      <c r="J28" t="inlineStr">
        <is>
          <t>Assets/MachineBrigade/Resources/Data/tunables.json: bosses.navalSystem.slotSlack</t>
        </is>
      </c>
      <c r="K28" t="inlineStr">
        <is>
          <t>{"value":4.0,"unit":"m","kind":"ban_kinh","linh_vuc":"03","code":"NavalSystem.SlotSlack"}</t>
        </is>
      </c>
    </row>
    <row r="29">
      <c r="A29" t="inlineStr">
        <is>
          <t>bosses.navalSystem.turnWarn</t>
        </is>
      </c>
      <c r="B29" t="inlineStr">
        <is>
          <t>navalSystem</t>
        </is>
      </c>
      <c r="C29" t="inlineStr">
        <is>
          <t>turnWarn</t>
        </is>
      </c>
      <c r="D29" t="n">
        <v>45</v>
      </c>
      <c r="F29" t="inlineStr">
        <is>
          <t>deg</t>
        </is>
      </c>
      <c r="G29" t="inlineStr">
        <is>
          <t>thoi_gian</t>
        </is>
      </c>
      <c r="H29" t="inlineStr">
        <is>
          <t>03</t>
        </is>
      </c>
      <c r="I29" t="inlineStr">
        <is>
          <t>NavalSystem.TurnWarn</t>
        </is>
      </c>
      <c r="J29" t="inlineStr">
        <is>
          <t>Assets/MachineBrigade/Resources/Data/tunables.json: bosses.navalSystem.turnWarn</t>
        </is>
      </c>
      <c r="K29" t="inlineStr">
        <is>
          <t>{"value":45.0,"unit":"deg","kind":"thoi_gian","linh_vuc":"03","code":"NavalSystem.TurnWarn"}</t>
        </is>
      </c>
    </row>
  </sheetData>
  <autoFilter ref="A1:K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Tools/export</dc:creator>
  <dcterms:created xsi:type="dcterms:W3CDTF">2000-01-01T00:00:00Z</dcterms:created>
  <dcterms:modified xsi:type="dcterms:W3CDTF">2000-01-01T00:00:00Z</dcterms:modified>
</cp:coreProperties>
</file>