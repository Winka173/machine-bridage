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bo_phan_thu_vien" sheetId="11" state="visible" r:id="rId11"/>
    <sheet name="Boss_khung" sheetId="12" state="visible" r:id="rId12"/>
    <sheet name="Boss_hang" sheetId="13" state="visible" r:id="rId13"/>
    <sheet name="Boss_sieu_vu_khi" sheetId="14" state="visible" r:id="rId14"/>
    <sheet name="Boss_sieu_vu_khi_don" sheetId="15" state="visible" r:id="rId15"/>
    <sheet name="Boss_sieu_vu_khi_luat" sheetId="16" state="visible" r:id="rId16"/>
    <sheet name="Boss_ho_tong" sheetId="17" state="visible" r:id="rId17"/>
    <sheet name="Boss_ho_tong_den" sheetId="18" state="visible" r:id="rId18"/>
    <sheet name="Boss_ho_tong_pha" sheetId="19" state="visible" r:id="rId19"/>
    <sheet name="Boss_ho_tong_phase" sheetId="20" state="visible" r:id="rId20"/>
    <sheet name="Boss_ho_tong_phases" sheetId="21" state="visible" r:id="rId21"/>
    <sheet name="Boss_ho_tong_phases_units" sheetId="22" state="visible" r:id="rId22"/>
    <sheet name="Boss_ho_tong_mau" sheetId="23" state="visible" r:id="rId23"/>
    <sheet name="Boss_ho_tong_mau_den" sheetId="24" state="visible" r:id="rId24"/>
    <sheet name="Boss_ho_tong_mau_pha" sheetId="25" state="visible" r:id="rId25"/>
    <sheet name="Boss_ho_tong_mau_phases" sheetId="26" state="visible" r:id="rId26"/>
    <sheet name="Boss_ho_tong_mau_phases_units" sheetId="27" state="visible" r:id="rId27"/>
    <sheet name="Boss_ho_tong_luat" sheetId="28" state="visible" r:id="rId28"/>
    <sheet name="Sanhunt" sheetId="29" state="visible" r:id="rId29"/>
    <sheet name="boss_input_vu_khi" sheetId="30" state="visible" r:id="rId30"/>
    <sheet name="boss_input_vu_khi_suy_ra" sheetId="31" state="visible" r:id="rId31"/>
    <sheet name="boss_input_bang_xuyen_giap" sheetId="32" state="visible" r:id="rId32"/>
    <sheet name="input_xe_tham_chieu" sheetId="33" state="visible" r:id="rId33"/>
    <sheet name="Boss_dps" sheetId="34" state="visible" r:id="rId34"/>
    <sheet name="Boss_hieu_qua" sheetId="35" state="visible" r:id="rId35"/>
    <sheet name="Sanhunt_chua_xep" sheetId="36" state="visible" r:id="rId36"/>
    <sheet name="Sanhunt_ho_tro" sheetId="37" state="visible" r:id="rId37"/>
    <sheet name="boss_input_kich_thuoc_that" sheetId="38" state="visible" r:id="rId38"/>
    <sheet name="Boss_tham_chieu" sheetId="39" state="visible" r:id="rId39"/>
    <sheet name="Boss_so_sanh_that" sheetId="40" state="visible" r:id="rId40"/>
    <sheet name="boss_input_nhip_that" sheetId="41" state="visible" r:id="rId41"/>
    <sheet name="boss_input_ty_le_nhip" sheetId="42" state="visible" r:id="rId42"/>
    <sheet name="Hang_so_boss" sheetId="43" state="visible" r:id="rId43"/>
  </sheets>
  <definedNames>
    <definedName name="_xlnm._FilterDatabase" localSheetId="0" hidden="1">'Boss'!$A$1:$KI$32</definedName>
    <definedName name="_xlnm._FilterDatabase" localSheetId="1" hidden="1">'Boss_be_goc'!$A$1:$K$87</definedName>
    <definedName name="_xlnm._FilterDatabase" localSheetId="2" hidden="1">'Boss_bo_phan'!$A$1:$AA$154</definedName>
    <definedName name="_xlnm._FilterDatabase" localSheetId="3" hidden="1">'Boss_phase'!$A$1:$K$7</definedName>
    <definedName name="_xlnm._FilterDatabase" localSheetId="4" hidden="1">'Boss_bien_the_chinh'!$A$1:$M$57</definedName>
    <definedName name="_xlnm._FilterDatabase" localSheetId="5" hidden="1">'Boss_ham_doi'!$A$1:$I$9</definedName>
    <definedName name="_xlnm._FilterDatabase" localSheetId="6" hidden="1">'Boss_tiers_schedule'!$A$1:$E$11</definedName>
    <definedName name="_xlnm._FilterDatabase" localSheetId="7" hidden="1">'Boss_tiers_schedule_steps'!$A$1:$G$17</definedName>
    <definedName name="_xlnm._FilterDatabase" localSheetId="8" hidden="1">'Boss_air'!$A$1:$G$2</definedName>
    <definedName name="_xlnm._FilterDatabase" localSheetId="9" hidden="1">'Boss_vu_khi'!$A$1:$V$181</definedName>
    <definedName name="_xlnm._FilterDatabase" localSheetId="10" hidden="1">'Boss_bo_phan_thu_vien'!$A$1:$Q$20</definedName>
    <definedName name="_xlnm._FilterDatabase" localSheetId="11" hidden="1">'Boss_khung'!$A$1:$Y$9</definedName>
    <definedName name="_xlnm._FilterDatabase" localSheetId="12" hidden="1">'Boss_hang'!$A$1:$H$43</definedName>
    <definedName name="_xlnm._FilterDatabase" localSheetId="13" hidden="1">'Boss_sieu_vu_khi'!$A$1:$R$16</definedName>
    <definedName name="_xlnm._FilterDatabase" localSheetId="14" hidden="1">'Boss_sieu_vu_khi_don'!$A$1:$AH$17</definedName>
    <definedName name="_xlnm._FilterDatabase" localSheetId="15" hidden="1">'Boss_sieu_vu_khi_luat'!$A$1:$H$35</definedName>
    <definedName name="_xlnm._FilterDatabase" localSheetId="16" hidden="1">'Boss_ho_tong'!$A$1:$I$14</definedName>
    <definedName name="_xlnm._FilterDatabase" localSheetId="17" hidden="1">'Boss_ho_tong_den'!$A$1:$G$49</definedName>
    <definedName name="_xlnm._FilterDatabase" localSheetId="18" hidden="1">'Boss_ho_tong_pha'!$A$1:$G$9</definedName>
    <definedName name="_xlnm._FilterDatabase" localSheetId="19" hidden="1">'Boss_ho_tong_phase'!$A$1:$H$18</definedName>
    <definedName name="_xlnm._FilterDatabase" localSheetId="20" hidden="1">'Boss_ho_tong_phases'!$A$1:$E$3</definedName>
    <definedName name="_xlnm._FilterDatabase" localSheetId="21" hidden="1">'Boss_ho_tong_phases_units'!$A$1:$G$5</definedName>
    <definedName name="_xlnm._FilterDatabase" localSheetId="22" hidden="1">'Boss_ho_tong_mau'!$A$1:$C$9</definedName>
    <definedName name="_xlnm._FilterDatabase" localSheetId="23" hidden="1">'Boss_ho_tong_mau_den'!$A$1:$G$33</definedName>
    <definedName name="_xlnm._FilterDatabase" localSheetId="24" hidden="1">'Boss_ho_tong_mau_pha'!$A$1:$H$15</definedName>
    <definedName name="_xlnm._FilterDatabase" localSheetId="25" hidden="1">'Boss_ho_tong_mau_phases'!$A$1:$E$3</definedName>
    <definedName name="_xlnm._FilterDatabase" localSheetId="26" hidden="1">'Boss_ho_tong_mau_phases_units'!$A$1:$G$5</definedName>
    <definedName name="_xlnm._FilterDatabase" localSheetId="27" hidden="1">'Boss_ho_tong_luat'!$A$1:$H$43</definedName>
    <definedName name="_xlnm._FilterDatabase" localSheetId="28" hidden="1">'Sanhunt'!$A$1:$I$32</definedName>
    <definedName name="_xlnm._FilterDatabase" localSheetId="29" hidden="1">'boss_input_vu_khi'!$A$1:$G$71</definedName>
    <definedName name="_xlnm._FilterDatabase" localSheetId="30" hidden="1">'boss_input_vu_khi_suy_ra'!$A$1:$J$71</definedName>
    <definedName name="_xlnm._FilterDatabase" localSheetId="31" hidden="1">'boss_input_bang_xuyen_giap'!$A$1:$D$7</definedName>
    <definedName name="_xlnm._FilterDatabase" localSheetId="32" hidden="1">'input_xe_tham_chieu'!$A$1:$I$6</definedName>
    <definedName name="_xlnm._FilterDatabase" localSheetId="33" hidden="1">'Boss_dps'!$A$1:$L$32</definedName>
    <definedName name="_xlnm._FilterDatabase" localSheetId="34" hidden="1">'Boss_hieu_qua'!$A$1:$T$156</definedName>
    <definedName name="_xlnm._FilterDatabase" localSheetId="35" hidden="1">'Sanhunt_chua_xep'!$A$1:$D$7</definedName>
    <definedName name="_xlnm._FilterDatabase" localSheetId="36" hidden="1">'Sanhunt_ho_tro'!$A$1:$H$13</definedName>
    <definedName name="_xlnm._FilterDatabase" localSheetId="37" hidden="1">'boss_input_kich_thuoc_that'!$A$1:$I$20</definedName>
    <definedName name="_xlnm._FilterDatabase" localSheetId="38" hidden="1">'Boss_tham_chieu'!$A$1:$AH$32</definedName>
    <definedName name="_xlnm._FilterDatabase" localSheetId="39" hidden="1">'Boss_so_sanh_that'!$A$1:$R$96</definedName>
    <definedName name="_xlnm._FilterDatabase" localSheetId="40" hidden="1">'boss_input_nhip_that'!$A$1:$F$61</definedName>
    <definedName name="_xlnm._FilterDatabase" localSheetId="41" hidden="1">'boss_input_ty_le_nhip'!$A$1:$E$61</definedName>
    <definedName name="_xlnm._FilterDatabase" localSheetId="42"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18" customWidth="1" min="57" max="57"/>
    <col width="16"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14" customWidth="1" min="115" max="115"/>
    <col width="17" customWidth="1" min="116" max="116"/>
    <col width="15" customWidth="1" min="117" max="117"/>
    <col width="22" customWidth="1" min="118" max="118"/>
    <col width="17" customWidth="1" min="119" max="119"/>
    <col width="18" customWidth="1" min="120" max="120"/>
    <col width="11" customWidth="1" min="121" max="121"/>
    <col width="17" customWidth="1" min="122" max="122"/>
    <col width="15" customWidth="1" min="123" max="123"/>
    <col width="17" customWidth="1" min="124" max="124"/>
    <col width="24" customWidth="1" min="125" max="125"/>
    <col width="25" customWidth="1" min="126" max="126"/>
    <col width="26" customWidth="1" min="127" max="127"/>
    <col width="22" customWidth="1" min="128" max="128"/>
    <col width="19" customWidth="1" min="129" max="129"/>
    <col width="14" customWidth="1" min="130" max="130"/>
    <col width="13" customWidth="1" min="131" max="131"/>
    <col width="15" customWidth="1" min="132" max="132"/>
    <col width="17" customWidth="1" min="133" max="133"/>
    <col width="15" customWidth="1" min="134" max="134"/>
    <col width="14" customWidth="1" min="135" max="135"/>
    <col width="13" customWidth="1" min="136" max="136"/>
    <col width="13" customWidth="1" min="137" max="137"/>
    <col width="60" customWidth="1" min="138" max="138"/>
    <col width="16" customWidth="1" min="139" max="139"/>
    <col width="20" customWidth="1" min="140" max="140"/>
    <col width="21" customWidth="1" min="141" max="141"/>
    <col width="22" customWidth="1" min="142" max="142"/>
    <col width="20" customWidth="1" min="143" max="143"/>
    <col width="8" customWidth="1" min="144" max="144"/>
    <col width="11" customWidth="1" min="145" max="145"/>
    <col width="9" customWidth="1" min="146" max="146"/>
    <col width="8" customWidth="1" min="147" max="147"/>
    <col width="13" customWidth="1" min="148" max="148"/>
    <col width="14" customWidth="1" min="149" max="149"/>
    <col width="15" customWidth="1" min="150" max="150"/>
    <col width="13" customWidth="1" min="151" max="151"/>
    <col width="16" customWidth="1" min="152" max="152"/>
    <col width="8" customWidth="1" min="153" max="153"/>
    <col width="17" customWidth="1" min="154" max="154"/>
    <col width="15" customWidth="1" min="155" max="155"/>
    <col width="18" customWidth="1" min="156" max="156"/>
    <col width="13" customWidth="1" min="157" max="157"/>
    <col width="13" customWidth="1" min="158" max="158"/>
    <col width="14" customWidth="1" min="159" max="159"/>
    <col width="14" customWidth="1" min="160" max="160"/>
    <col width="60" customWidth="1" min="161" max="161"/>
    <col width="10" customWidth="1" min="162" max="162"/>
    <col width="10" customWidth="1" min="163" max="163"/>
    <col width="12" customWidth="1" min="164" max="164"/>
    <col width="11" customWidth="1" min="165" max="165"/>
    <col width="14" customWidth="1" min="166" max="166"/>
    <col width="18" customWidth="1" min="167" max="167"/>
    <col width="12" customWidth="1" min="168" max="168"/>
    <col width="11" customWidth="1" min="169" max="169"/>
    <col width="16" customWidth="1" min="170" max="170"/>
    <col width="12" customWidth="1" min="171" max="171"/>
    <col width="15" customWidth="1" min="172" max="172"/>
    <col width="18" customWidth="1" min="173" max="173"/>
    <col width="10" customWidth="1" min="174" max="174"/>
    <col width="21" customWidth="1" min="175" max="175"/>
    <col width="21" customWidth="1" min="176" max="176"/>
    <col width="20" customWidth="1" min="177" max="177"/>
    <col width="37" customWidth="1" min="178" max="178"/>
    <col width="28" customWidth="1" min="179" max="179"/>
    <col width="22" customWidth="1" min="180" max="180"/>
    <col width="30" customWidth="1" min="181" max="181"/>
    <col width="31" customWidth="1" min="182" max="182"/>
    <col width="37" customWidth="1" min="183" max="183"/>
    <col width="32" customWidth="1" min="184" max="184"/>
    <col width="32" customWidth="1" min="185" max="185"/>
    <col width="32" customWidth="1" min="186" max="186"/>
    <col width="29" customWidth="1" min="187" max="187"/>
    <col width="28" customWidth="1" min="188" max="188"/>
    <col width="20" customWidth="1" min="189" max="189"/>
    <col width="24" customWidth="1" min="190" max="190"/>
    <col width="13" customWidth="1" min="191" max="191"/>
    <col width="12" customWidth="1" min="192" max="192"/>
    <col width="22" customWidth="1" min="193" max="193"/>
    <col width="11" customWidth="1" min="194" max="194"/>
    <col width="17" customWidth="1" min="195" max="195"/>
    <col width="16" customWidth="1" min="196" max="196"/>
    <col width="12" customWidth="1" min="197" max="197"/>
    <col width="13" customWidth="1" min="198" max="198"/>
    <col width="21" customWidth="1" min="199" max="199"/>
    <col width="14" customWidth="1" min="200" max="200"/>
    <col width="11" customWidth="1" min="201" max="201"/>
    <col width="12" customWidth="1" min="202" max="202"/>
    <col width="10" customWidth="1" min="203" max="203"/>
    <col width="10" customWidth="1" min="204" max="204"/>
    <col width="15" customWidth="1" min="205" max="205"/>
    <col width="14" customWidth="1" min="206" max="206"/>
    <col width="15" customWidth="1" min="207" max="207"/>
    <col width="13" customWidth="1" min="208" max="208"/>
    <col width="13" customWidth="1" min="209" max="209"/>
    <col width="15" customWidth="1" min="210" max="210"/>
    <col width="11" customWidth="1" min="211" max="211"/>
    <col width="60" customWidth="1" min="212" max="212"/>
    <col width="14" customWidth="1" min="213" max="213"/>
    <col width="25" customWidth="1" min="214" max="214"/>
    <col width="10" customWidth="1" min="215" max="215"/>
    <col width="8" customWidth="1" min="216" max="216"/>
    <col width="8" customWidth="1" min="217" max="217"/>
    <col width="8" customWidth="1" min="218" max="218"/>
    <col width="21" customWidth="1" min="219" max="219"/>
    <col width="14" customWidth="1" min="220" max="220"/>
    <col width="14" customWidth="1" min="221" max="221"/>
    <col width="15" customWidth="1" min="222" max="222"/>
    <col width="13" customWidth="1" min="223" max="223"/>
    <col width="16" customWidth="1" min="224" max="224"/>
    <col width="15" customWidth="1" min="225" max="225"/>
    <col width="14" customWidth="1" min="226" max="226"/>
    <col width="14" customWidth="1" min="227" max="227"/>
    <col width="13" customWidth="1" min="228" max="228"/>
    <col width="14" customWidth="1" min="229" max="229"/>
    <col width="21" customWidth="1" min="230" max="230"/>
    <col width="8" customWidth="1" min="231" max="231"/>
    <col width="11" customWidth="1" min="232" max="232"/>
    <col width="11" customWidth="1" min="233" max="233"/>
    <col width="13" customWidth="1" min="234" max="234"/>
    <col width="11" customWidth="1" min="235" max="235"/>
    <col width="8" customWidth="1" min="236" max="236"/>
    <col width="48" customWidth="1" min="237" max="237"/>
    <col width="11" customWidth="1" min="238" max="238"/>
    <col width="11" customWidth="1" min="239" max="239"/>
    <col width="9" customWidth="1" min="240" max="240"/>
    <col width="20" customWidth="1" min="241" max="241"/>
    <col width="23" customWidth="1" min="242" max="242"/>
    <col width="19" customWidth="1" min="243" max="243"/>
    <col width="13" customWidth="1" min="244" max="244"/>
    <col width="16" customWidth="1" min="245" max="245"/>
    <col width="20" customWidth="1" min="246" max="246"/>
    <col width="20" customWidth="1" min="247" max="247"/>
    <col width="60" customWidth="1" min="248" max="248"/>
    <col width="18" customWidth="1" min="249" max="249"/>
    <col width="18" customWidth="1" min="250" max="250"/>
    <col width="18" customWidth="1" min="251" max="251"/>
    <col width="22" customWidth="1" min="252" max="252"/>
    <col width="21" customWidth="1" min="253" max="253"/>
    <col width="19" customWidth="1" min="254" max="254"/>
    <col width="18" customWidth="1" min="255" max="255"/>
    <col width="20" customWidth="1" min="256" max="256"/>
    <col width="19" customWidth="1" min="257" max="257"/>
    <col width="21" customWidth="1" min="258" max="258"/>
    <col width="14" customWidth="1" min="259" max="259"/>
    <col width="27" customWidth="1" min="260" max="260"/>
    <col width="22" customWidth="1" min="261" max="261"/>
    <col width="20" customWidth="1" min="262" max="262"/>
    <col width="24" customWidth="1" min="263" max="263"/>
    <col width="21" customWidth="1" min="264" max="264"/>
    <col width="13" customWidth="1" min="265" max="265"/>
    <col width="15" customWidth="1" min="266" max="266"/>
    <col width="23" customWidth="1" min="267" max="267"/>
    <col width="22" customWidth="1" min="268" max="268"/>
    <col width="29" customWidth="1" min="269" max="269"/>
    <col width="21" customWidth="1" min="270" max="270"/>
    <col width="23" customWidth="1" min="271" max="271"/>
    <col width="25" customWidth="1" min="272" max="272"/>
    <col width="30" customWidth="1" min="273" max="273"/>
    <col width="28" customWidth="1" min="274" max="274"/>
    <col width="13" customWidth="1" min="275" max="275"/>
    <col width="17" customWidth="1" min="276" max="276"/>
    <col width="24" customWidth="1" min="277" max="277"/>
    <col width="37" customWidth="1" min="278" max="278"/>
    <col width="42" customWidth="1" min="279" max="279"/>
    <col width="14" customWidth="1" min="280" max="280"/>
    <col width="14" customWidth="1" min="281" max="281"/>
    <col width="17" customWidth="1" min="282" max="282"/>
    <col width="14" customWidth="1" min="283" max="283"/>
    <col width="16" customWidth="1" min="284" max="284"/>
    <col width="16" customWidth="1" min="285" max="285"/>
    <col width="16" customWidth="1" min="286" max="286"/>
    <col width="10" customWidth="1" min="287" max="287"/>
    <col width="8" customWidth="1" min="288" max="288"/>
    <col width="13" customWidth="1" min="289" max="289"/>
    <col width="12" customWidth="1" min="290" max="290"/>
    <col width="18" customWidth="1" min="291" max="291"/>
    <col width="15" customWidth="1" min="292" max="292"/>
    <col width="9" customWidth="1" min="293" max="293"/>
    <col width="60" customWidth="1" min="294" max="294"/>
    <col width="60" customWidth="1" min="295" max="295"/>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cruise_phase</t>
        </is>
      </c>
      <c r="DL1" s="1" t="inlineStr">
        <is>
          <t>cruise_radius_m</t>
        </is>
      </c>
      <c r="DM1" s="1" t="inlineStr">
        <is>
          <t>cruise_warn_s</t>
        </is>
      </c>
      <c r="DN1" s="1" t="inlineStr">
        <is>
          <t>cruise_warning</t>
        </is>
      </c>
      <c r="DO1" s="1" t="inlineStr">
        <is>
          <t>cruise_weapon</t>
        </is>
      </c>
      <c r="DP1" s="1" t="inlineStr">
        <is>
          <t>crush_armour_cut</t>
        </is>
      </c>
      <c r="DQ1" s="1" t="inlineStr">
        <is>
          <t>crush_dps</t>
        </is>
      </c>
      <c r="DR1" s="1" t="inlineStr">
        <is>
          <t>crush_min_speed</t>
        </is>
      </c>
      <c r="DS1" s="1" t="inlineStr">
        <is>
          <t>crush_reach_m</t>
        </is>
      </c>
      <c r="DT1" s="1" t="inlineStr">
        <is>
          <t>crush_structure</t>
        </is>
      </c>
      <c r="DU1" s="1" t="inlineStr">
        <is>
          <t>death_explosion_damage</t>
        </is>
      </c>
      <c r="DV1" s="1" t="inlineStr">
        <is>
          <t>death_explosion_delay_s</t>
        </is>
      </c>
      <c r="DW1" s="1" t="inlineStr">
        <is>
          <t>death_explosion_radius_m</t>
        </is>
      </c>
      <c r="DX1" s="1" t="inlineStr">
        <is>
          <t>death_explosion_tier</t>
        </is>
      </c>
      <c r="DY1" s="1" t="inlineStr">
        <is>
          <t>drop_parts</t>
        </is>
      </c>
      <c r="DZ1" s="1" t="inlineStr">
        <is>
          <t>duel_escorts</t>
        </is>
      </c>
      <c r="EA1" s="1" t="inlineStr">
        <is>
          <t>factory_cap</t>
        </is>
      </c>
      <c r="EB1" s="1" t="inlineStr">
        <is>
          <t>factory_doors</t>
        </is>
      </c>
      <c r="EC1" s="1" t="inlineStr">
        <is>
          <t>factory_every_s</t>
        </is>
      </c>
      <c r="ED1" s="1" t="inlineStr">
        <is>
          <t>factory_first</t>
        </is>
      </c>
      <c r="EE1" s="1" t="inlineStr">
        <is>
          <t>factory_grow</t>
        </is>
      </c>
      <c r="EF1" s="1" t="inlineStr">
        <is>
          <t>factory_max</t>
        </is>
      </c>
      <c r="EG1" s="1" t="inlineStr">
        <is>
          <t>factory_min</t>
        </is>
      </c>
      <c r="EH1" s="1" t="inlineStr">
        <is>
          <t>factory_units</t>
        </is>
      </c>
      <c r="EI1" s="1" t="inlineStr">
        <is>
          <t>fire_trail_dps</t>
        </is>
      </c>
      <c r="EJ1" s="1" t="inlineStr">
        <is>
          <t>fire_trail_every_s</t>
        </is>
      </c>
      <c r="EK1" s="1" t="inlineStr">
        <is>
          <t>fire_trail_radius_m</t>
        </is>
      </c>
      <c r="EL1" s="1" t="inlineStr">
        <is>
          <t>fire_trail_seconds_s</t>
        </is>
      </c>
      <c r="EM1" s="1" t="inlineStr">
        <is>
          <t>fires_while_moving</t>
        </is>
      </c>
      <c r="EN1" s="1" t="inlineStr">
        <is>
          <t>flying</t>
        </is>
      </c>
      <c r="EO1" s="1" t="inlineStr">
        <is>
          <t>frame</t>
        </is>
      </c>
      <c r="EP1" s="1" t="inlineStr">
        <is>
          <t>general</t>
        </is>
      </c>
      <c r="EQ1" s="1" t="inlineStr">
        <is>
          <t>guard</t>
        </is>
      </c>
      <c r="ER1" s="1" t="inlineStr">
        <is>
          <t>guard_count</t>
        </is>
      </c>
      <c r="ES1" s="1" t="inlineStr">
        <is>
          <t>guard_damage</t>
        </is>
      </c>
      <c r="ET1" s="1" t="inlineStr">
        <is>
          <t>guard_every_s</t>
        </is>
      </c>
      <c r="EU1" s="1" t="inlineStr">
        <is>
          <t>guard_pad_m</t>
        </is>
      </c>
      <c r="EV1" s="1" t="inlineStr">
        <is>
          <t>guard_radius_m</t>
        </is>
      </c>
      <c r="EW1" s="1" t="inlineStr">
        <is>
          <t>hp</t>
        </is>
      </c>
      <c r="EX1" s="1" t="inlineStr">
        <is>
          <t>landing_every_s</t>
        </is>
      </c>
      <c r="EY1" s="1" t="inlineStr">
        <is>
          <t>landing_first</t>
        </is>
      </c>
      <c r="EZ1" s="1" t="inlineStr">
        <is>
          <t>landing_landings</t>
        </is>
      </c>
      <c r="FA1" s="1" t="inlineStr">
        <is>
          <t>landing_max</t>
        </is>
      </c>
      <c r="FB1" s="1" t="inlineStr">
        <is>
          <t>landing_min</t>
        </is>
      </c>
      <c r="FC1" s="1" t="inlineStr">
        <is>
          <t>landing_ramp</t>
        </is>
      </c>
      <c r="FD1" s="1" t="inlineStr">
        <is>
          <t>landing_stop</t>
        </is>
      </c>
      <c r="FE1" s="1" t="inlineStr">
        <is>
          <t>landing_units</t>
        </is>
      </c>
      <c r="FF1" s="1" t="inlineStr">
        <is>
          <t>length_m</t>
        </is>
      </c>
      <c r="FG1" s="1" t="inlineStr">
        <is>
          <t>main_aim</t>
        </is>
      </c>
      <c r="FH1" s="1" t="inlineStr">
        <is>
          <t>main_model</t>
        </is>
      </c>
      <c r="FI1" s="1" t="inlineStr">
        <is>
          <t>main_slot</t>
        </is>
      </c>
      <c r="FJ1" s="1" t="inlineStr">
        <is>
          <t>mines_damage</t>
        </is>
      </c>
      <c r="FK1" s="1" t="inlineStr">
        <is>
          <t>mines_interval_s</t>
        </is>
      </c>
      <c r="FL1" s="1" t="inlineStr">
        <is>
          <t>mines_life</t>
        </is>
      </c>
      <c r="FM1" s="1" t="inlineStr">
        <is>
          <t>mines_max</t>
        </is>
      </c>
      <c r="FN1" s="1" t="inlineStr">
        <is>
          <t>mines_radius_m</t>
        </is>
      </c>
      <c r="FO1" s="1" t="inlineStr">
        <is>
          <t>mines_tier</t>
        </is>
      </c>
      <c r="FP1" s="1" t="inlineStr">
        <is>
          <t>mines_trigger</t>
        </is>
      </c>
      <c r="FQ1" s="1" t="inlineStr">
        <is>
          <t>mines_turn_strip</t>
        </is>
      </c>
      <c r="FR1" s="1" t="inlineStr">
        <is>
          <t>model</t>
        </is>
      </c>
      <c r="FS1" s="1" t="inlineStr">
        <is>
          <t>model_size_height_m</t>
        </is>
      </c>
      <c r="FT1" s="1" t="inlineStr">
        <is>
          <t>model_size_length_m</t>
        </is>
      </c>
      <c r="FU1" s="1" t="inlineStr">
        <is>
          <t>model_size_width_m</t>
        </is>
      </c>
      <c r="FV1" s="1" t="inlineStr">
        <is>
          <t>mount_weapons_0</t>
        </is>
      </c>
      <c r="FW1" s="1" t="inlineStr">
        <is>
          <t>mount_weapons_1</t>
        </is>
      </c>
      <c r="FX1" s="1" t="inlineStr">
        <is>
          <t>mount_weapons_10</t>
        </is>
      </c>
      <c r="FY1" s="1" t="inlineStr">
        <is>
          <t>mount_weapons_2</t>
        </is>
      </c>
      <c r="FZ1" s="1" t="inlineStr">
        <is>
          <t>mount_weapons_3</t>
        </is>
      </c>
      <c r="GA1" s="1" t="inlineStr">
        <is>
          <t>mount_weapons_4</t>
        </is>
      </c>
      <c r="GB1" s="1" t="inlineStr">
        <is>
          <t>mount_weapons_5</t>
        </is>
      </c>
      <c r="GC1" s="1" t="inlineStr">
        <is>
          <t>mount_weapons_6</t>
        </is>
      </c>
      <c r="GD1" s="1" t="inlineStr">
        <is>
          <t>mount_weapons_7</t>
        </is>
      </c>
      <c r="GE1" s="1" t="inlineStr">
        <is>
          <t>mount_weapons_8</t>
        </is>
      </c>
      <c r="GF1" s="1" t="inlineStr">
        <is>
          <t>mount_weapons_9</t>
        </is>
      </c>
      <c r="GG1" s="1" t="inlineStr">
        <is>
          <t>naval_escape_phase</t>
        </is>
      </c>
      <c r="GH1" s="1" t="inlineStr">
        <is>
          <t>naval_escape_speed_m_s</t>
        </is>
      </c>
      <c r="GI1" s="1" t="inlineStr">
        <is>
          <t>naval_lanes</t>
        </is>
      </c>
      <c r="GJ1" s="1" t="inlineStr">
        <is>
          <t>naval_role</t>
        </is>
      </c>
      <c r="GK1" s="1" t="inlineStr">
        <is>
          <t>outgoing_damage_mult</t>
        </is>
      </c>
      <c r="GL1" s="1" t="inlineStr">
        <is>
          <t>part_lock</t>
        </is>
      </c>
      <c r="GM1" s="1" t="inlineStr">
        <is>
          <t>part_lock_count</t>
        </is>
      </c>
      <c r="GN1" s="1" t="inlineStr">
        <is>
          <t>part_lock_kind</t>
        </is>
      </c>
      <c r="GO1" s="1" t="inlineStr">
        <is>
          <t>pods_count</t>
        </is>
      </c>
      <c r="GP1" s="1" t="inlineStr">
        <is>
          <t>pods_damage</t>
        </is>
      </c>
      <c r="GQ1" s="1" t="inlineStr">
        <is>
          <t>pods_every_by_phase</t>
        </is>
      </c>
      <c r="GR1" s="1" t="inlineStr">
        <is>
          <t>pods_every_s</t>
        </is>
      </c>
      <c r="GS1" s="1" t="inlineStr">
        <is>
          <t>pods_fall</t>
        </is>
      </c>
      <c r="GT1" s="1" t="inlineStr">
        <is>
          <t>pods_first</t>
        </is>
      </c>
      <c r="GU1" s="1" t="inlineStr">
        <is>
          <t>pods_max</t>
        </is>
      </c>
      <c r="GV1" s="1" t="inlineStr">
        <is>
          <t>pods_min</t>
        </is>
      </c>
      <c r="GW1" s="1" t="inlineStr">
        <is>
          <t>pods_offset_m</t>
        </is>
      </c>
      <c r="GX1" s="1" t="inlineStr">
        <is>
          <t>pods_per_pod</t>
        </is>
      </c>
      <c r="GY1" s="1" t="inlineStr">
        <is>
          <t>pods_radius_m</t>
        </is>
      </c>
      <c r="GZ1" s="1" t="inlineStr">
        <is>
          <t>pods_spread</t>
        </is>
      </c>
      <c r="HA1" s="1" t="inlineStr">
        <is>
          <t>pods_stun_s</t>
        </is>
      </c>
      <c r="HB1" s="1" t="inlineStr">
        <is>
          <t>pods_tiers</t>
        </is>
      </c>
      <c r="HC1" s="1" t="inlineStr">
        <is>
          <t>pods_unit</t>
        </is>
      </c>
      <c r="HD1" s="1" t="inlineStr">
        <is>
          <t>pods_units</t>
        </is>
      </c>
      <c r="HE1" s="1" t="inlineStr">
        <is>
          <t>pods_warning</t>
        </is>
      </c>
      <c r="HF1" s="1" t="inlineStr">
        <is>
          <t>radio_spawn</t>
        </is>
      </c>
      <c r="HG1" s="1" t="inlineStr">
        <is>
          <t>radius_m</t>
        </is>
      </c>
      <c r="HH1" s="1" t="inlineStr">
        <is>
          <t>rank</t>
        </is>
      </c>
      <c r="HI1" s="1" t="inlineStr">
        <is>
          <t>route</t>
        </is>
      </c>
      <c r="HJ1" s="1" t="inlineStr">
        <is>
          <t>salvo</t>
        </is>
      </c>
      <c r="HK1" s="1" t="inlineStr">
        <is>
          <t>salvo_blind_scatter</t>
        </is>
      </c>
      <c r="HL1" s="1" t="inlineStr">
        <is>
          <t>salvo_damage</t>
        </is>
      </c>
      <c r="HM1" s="1" t="inlineStr">
        <is>
          <t>salvo_edge_m</t>
        </is>
      </c>
      <c r="HN1" s="1" t="inlineStr">
        <is>
          <t>salvo_every_s</t>
        </is>
      </c>
      <c r="HO1" s="1" t="inlineStr">
        <is>
          <t>salvo_first</t>
        </is>
      </c>
      <c r="HP1" s="1" t="inlineStr">
        <is>
          <t>salvo_radius_m</t>
        </is>
      </c>
      <c r="HQ1" s="1" t="inlineStr">
        <is>
          <t>salvo_range_m</t>
        </is>
      </c>
      <c r="HR1" s="1" t="inlineStr">
        <is>
          <t>salvo_shells</t>
        </is>
      </c>
      <c r="HS1" s="1" t="inlineStr">
        <is>
          <t>salvo_spread</t>
        </is>
      </c>
      <c r="HT1" s="1" t="inlineStr">
        <is>
          <t>salvo_sweep</t>
        </is>
      </c>
      <c r="HU1" s="1" t="inlineStr">
        <is>
          <t>salvo_warn_s</t>
        </is>
      </c>
      <c r="HV1" s="1" t="inlineStr">
        <is>
          <t>salvo_weapon</t>
        </is>
      </c>
      <c r="HW1" s="1" t="inlineStr">
        <is>
          <t>scale</t>
        </is>
      </c>
      <c r="HX1" s="1" t="inlineStr">
        <is>
          <t>scoot_max</t>
        </is>
      </c>
      <c r="HY1" s="1" t="inlineStr">
        <is>
          <t>scoot_min</t>
        </is>
      </c>
      <c r="HZ1" s="1" t="inlineStr">
        <is>
          <t>scoot_shots</t>
        </is>
      </c>
      <c r="IA1" s="1" t="inlineStr">
        <is>
          <t>secondary</t>
        </is>
      </c>
      <c r="IB1" s="1" t="inlineStr">
        <is>
          <t>size</t>
        </is>
      </c>
      <c r="IC1" s="1" t="inlineStr">
        <is>
          <t>skills</t>
        </is>
      </c>
      <c r="ID1" s="1" t="inlineStr">
        <is>
          <t>speed_m_s</t>
        </is>
      </c>
      <c r="IE1" s="1" t="inlineStr">
        <is>
          <t>spot_aura</t>
        </is>
      </c>
      <c r="IF1" s="1" t="inlineStr">
        <is>
          <t>stealth</t>
        </is>
      </c>
      <c r="IG1" s="1" t="inlineStr">
        <is>
          <t>tiers_armour_belly</t>
        </is>
      </c>
      <c r="IH1" s="1" t="inlineStr">
        <is>
          <t>tiers_armour_grounded</t>
        </is>
      </c>
      <c r="II1" s="1" t="inlineStr">
        <is>
          <t>tiers_armour_hull</t>
        </is>
      </c>
      <c r="IJ1" s="1" t="inlineStr">
        <is>
          <t>tiers_crash</t>
        </is>
      </c>
      <c r="IK1" s="1" t="inlineStr">
        <is>
          <t>tiers_crash_at</t>
        </is>
      </c>
      <c r="IL1" s="1" t="inlineStr">
        <is>
          <t>tiers_crash_damage</t>
        </is>
      </c>
      <c r="IM1" s="1" t="inlineStr">
        <is>
          <t>tiers_crash_debris</t>
        </is>
      </c>
      <c r="IN1" s="1" t="inlineStr">
        <is>
          <t>tiers_crash_debris_at</t>
        </is>
      </c>
      <c r="IO1" s="1" t="inlineStr">
        <is>
          <t>tiers_crash_fall</t>
        </is>
      </c>
      <c r="IP1" s="1" t="inlineStr">
        <is>
          <t>tiers_crash_form</t>
        </is>
      </c>
      <c r="IQ1" s="1" t="inlineStr">
        <is>
          <t>tiers_crash_guns</t>
        </is>
      </c>
      <c r="IR1" s="1" t="inlineStr">
        <is>
          <t>tiers_crash_radius_m</t>
        </is>
      </c>
      <c r="IS1" s="1" t="inlineStr">
        <is>
          <t>tiers_crash_warning</t>
        </is>
      </c>
      <c r="IT1" s="1" t="inlineStr">
        <is>
          <t>tiers_descend_m_s</t>
        </is>
      </c>
      <c r="IU1" s="1" t="inlineStr">
        <is>
          <t>tiers_halt_phase</t>
        </is>
      </c>
      <c r="IV1" s="1" t="inlineStr">
        <is>
          <t>tiers_heights_high</t>
        </is>
      </c>
      <c r="IW1" s="1" t="inlineStr">
        <is>
          <t>tiers_heights_low</t>
        </is>
      </c>
      <c r="IX1" s="1" t="inlineStr">
        <is>
          <t>tiers_heights_orbit</t>
        </is>
      </c>
      <c r="IY1" s="1" t="inlineStr">
        <is>
          <t>tiers_hijack</t>
        </is>
      </c>
      <c r="IZ1" s="1" t="inlineStr">
        <is>
          <t>tiers_hijack_difficulties</t>
        </is>
      </c>
      <c r="JA1" s="1" t="inlineStr">
        <is>
          <t>tiers_hijack_every_s</t>
        </is>
      </c>
      <c r="JB1" s="1" t="inlineStr">
        <is>
          <t>tiers_hijack_first</t>
        </is>
      </c>
      <c r="JC1" s="1" t="inlineStr">
        <is>
          <t>tiers_hijack_seconds_s</t>
        </is>
      </c>
      <c r="JD1" s="1" t="inlineStr">
        <is>
          <t>tiers_hijack_warn_s</t>
        </is>
      </c>
      <c r="JE1" s="1" t="inlineStr">
        <is>
          <t>tiers_marks</t>
        </is>
      </c>
      <c r="JF1" s="1" t="inlineStr">
        <is>
          <t>tiers_opening</t>
        </is>
      </c>
      <c r="JG1" s="1" t="inlineStr">
        <is>
          <t>tiers_radio_appear</t>
        </is>
      </c>
      <c r="JH1" s="1" t="inlineStr">
        <is>
          <t>tiers_radio_crash</t>
        </is>
      </c>
      <c r="JI1" s="1" t="inlineStr">
        <is>
          <t>tiers_radio_descend_m_s</t>
        </is>
      </c>
      <c r="JJ1" s="1" t="inlineStr">
        <is>
          <t>tiers_radio_down</t>
        </is>
      </c>
      <c r="JK1" s="1" t="inlineStr">
        <is>
          <t>tiers_radio_hijack</t>
        </is>
      </c>
      <c r="JL1" s="1" t="inlineStr">
        <is>
          <t>tiers_radio_hijack_warn</t>
        </is>
      </c>
      <c r="JM1" s="1" t="inlineStr">
        <is>
          <t>tiers_radio_phase2</t>
        </is>
      </c>
      <c r="JN1" s="1" t="inlineStr">
        <is>
          <t>tiers_radio_phase3</t>
        </is>
      </c>
      <c r="JO1" s="1" t="inlineStr">
        <is>
          <t>tiers_shift</t>
        </is>
      </c>
      <c r="JP1" s="1" t="inlineStr">
        <is>
          <t>turn_rate_deg_s</t>
        </is>
      </c>
      <c r="JQ1" s="1" t="inlineStr">
        <is>
          <t>turret_turn_rate_deg_s</t>
        </is>
      </c>
      <c r="JR1" s="1" t="inlineStr">
        <is>
          <t>variant_drop</t>
        </is>
      </c>
      <c r="JS1" s="1" t="inlineStr">
        <is>
          <t>variant_keep</t>
        </is>
      </c>
      <c r="JT1" s="1" t="inlineStr">
        <is>
          <t>variant_mark</t>
        </is>
      </c>
      <c r="JU1" s="1" t="inlineStr">
        <is>
          <t>variant_name</t>
        </is>
      </c>
      <c r="JV1" s="1" t="inlineStr">
        <is>
          <t>variant_of</t>
        </is>
      </c>
      <c r="JW1" s="1" t="inlineStr">
        <is>
          <t>variant_size</t>
        </is>
      </c>
      <c r="JX1" s="1" t="inlineStr">
        <is>
          <t>variant_tint_b</t>
        </is>
      </c>
      <c r="JY1" s="1" t="inlineStr">
        <is>
          <t>variant_tint_g</t>
        </is>
      </c>
      <c r="JZ1" s="1" t="inlineStr">
        <is>
          <t>variant_tint_r</t>
        </is>
      </c>
      <c r="KA1" s="1" t="inlineStr">
        <is>
          <t>vision_m</t>
        </is>
      </c>
      <c r="KB1" s="1" t="inlineStr">
        <is>
          <t>wake</t>
        </is>
      </c>
      <c r="KC1" s="1" t="inlineStr">
        <is>
          <t>wake_mounts</t>
        </is>
      </c>
      <c r="KD1" s="1" t="inlineStr">
        <is>
          <t>wake_phase</t>
        </is>
      </c>
      <c r="KE1" s="1" t="inlineStr">
        <is>
          <t>weapon</t>
        </is>
      </c>
      <c r="KF1" s="1" t="inlineStr">
        <is>
          <t>weapon_damage</t>
        </is>
      </c>
      <c r="KG1" s="1" t="inlineStr">
        <is>
          <t>width_m</t>
        </is>
      </c>
      <c r="KH1" s="1" t="inlineStr">
        <is>
          <t>nguon</t>
        </is>
      </c>
      <c r="KI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16</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P2" t="inlineStr">
        <is>
          <t>quaden</t>
        </is>
      </c>
      <c r="EW2" t="n">
        <v>94850</v>
      </c>
      <c r="HF2" t="inlineStr">
        <is>
          <t>radio.quaden.argus</t>
        </is>
      </c>
      <c r="IC2" t="inlineStr"/>
      <c r="IE2" t="n">
        <v>0.5</v>
      </c>
      <c r="JS2" t="inlineStr">
        <is>
          <t>radar;engine_fl;engine_fr</t>
        </is>
      </c>
      <c r="JT2" t="inlineStr">
        <is>
          <t>argus</t>
        </is>
      </c>
      <c r="JV2" t="inlineStr">
        <is>
          <t>command_airship</t>
        </is>
      </c>
      <c r="JW2" t="n">
        <v>0.4375</v>
      </c>
      <c r="JX2" t="n">
        <v>0.8</v>
      </c>
      <c r="JY2" t="n">
        <v>0.9</v>
      </c>
      <c r="JZ2" t="n">
        <v>0.92</v>
      </c>
      <c r="KF2" t="n">
        <v>1.44</v>
      </c>
      <c r="KH2" t="inlineStr">
        <is>
          <t>Assets/MachineBrigade/Resources/Data/balance.json: vehicles[169]</t>
        </is>
      </c>
      <c r="KI2" t="inlineStr">
        <is>
          <t>{"id":"argus","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28.819</v>
      </c>
      <c r="W3" t="n">
        <v>3.91</v>
      </c>
      <c r="X3" t="b">
        <v>0</v>
      </c>
      <c r="Y3" t="n">
        <v>0</v>
      </c>
      <c r="Z3" t="b">
        <v>0</v>
      </c>
      <c r="AA3" t="b">
        <v>1</v>
      </c>
      <c r="AB3" t="n">
        <v>0</v>
      </c>
      <c r="AC3" t="n">
        <v>3.5</v>
      </c>
      <c r="AD3" t="n">
        <v>0.8319</v>
      </c>
      <c r="AE3" t="inlineStr">
        <is>
          <t>train_gun</t>
        </is>
      </c>
      <c r="AF3" t="inlineStr">
        <is>
          <t>boss_rockets;boss_hmg;boss_flak;train_gun;boss_flak</t>
        </is>
      </c>
      <c r="AG3" t="inlineStr">
        <is>
          <t>train_smoke;train_patch</t>
        </is>
      </c>
      <c r="AH3" t="inlineStr">
        <is>
          <t>none</t>
        </is>
      </c>
      <c r="AI3" t="inlineStr"/>
      <c r="AJ3" t="inlineStr"/>
      <c r="AK3" t="inlineStr">
        <is>
          <t>armored_train</t>
        </is>
      </c>
      <c r="AL3" t="inlineStr">
        <is>
          <t>doi</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U3" t="n">
        <v>380</v>
      </c>
      <c r="DV3" t="n">
        <v>2.6</v>
      </c>
      <c r="DW3" t="n">
        <v>16</v>
      </c>
      <c r="DX3" t="inlineStr">
        <is>
          <t>Ultimate</t>
        </is>
      </c>
      <c r="DY3" t="inlineStr">
        <is>
          <t>mortar_car</t>
        </is>
      </c>
      <c r="EM3" t="b">
        <v>1</v>
      </c>
      <c r="EO3" t="inlineStr">
        <is>
          <t>train</t>
        </is>
      </c>
      <c r="EP3" t="inlineStr">
        <is>
          <t>kessler</t>
        </is>
      </c>
      <c r="EW3" t="n">
        <v>37750</v>
      </c>
      <c r="FF3" t="n">
        <v>25.06</v>
      </c>
      <c r="GK3" t="n">
        <v>0.8319</v>
      </c>
      <c r="HF3" t="inlineStr">
        <is>
          <t>radio.kessler.juggernaut</t>
        </is>
      </c>
      <c r="HG3" t="n">
        <v>3.6</v>
      </c>
      <c r="HH3" t="inlineStr">
        <is>
          <t>mini</t>
        </is>
      </c>
      <c r="HI3" t="inlineStr">
        <is>
          <t>rail</t>
        </is>
      </c>
      <c r="HW3" t="n">
        <v>1.15</v>
      </c>
      <c r="IB3" t="n">
        <v>0.85</v>
      </c>
      <c r="IC3" t="inlineStr">
        <is>
          <t>train_smoke;train_patch</t>
        </is>
      </c>
      <c r="ID3" t="n">
        <v>0.32</v>
      </c>
      <c r="JP3" t="n">
        <v>30</v>
      </c>
      <c r="JQ3" t="n">
        <v>45</v>
      </c>
      <c r="KA3" t="n">
        <v>50</v>
      </c>
      <c r="KE3" t="inlineStr">
        <is>
          <t>train_gun</t>
        </is>
      </c>
      <c r="KF3" t="n">
        <v>1.859</v>
      </c>
      <c r="KG3" t="n">
        <v>3.4</v>
      </c>
      <c r="KH3" t="inlineStr">
        <is>
          <t>Assets/MachineBrigade/Resources/Data/balance.json: vehicles[140]</t>
        </is>
      </c>
      <c r="KI3" t="inlineStr">
        <is>
          <t>{"id":"armored_train","outgoingDamageMult":0.8319,"weaponDamage":1.859,"frame":"train","arena":"ironport","route":"rail","rank":"mini","general":"kessler","size":0.85,"dropParts":["mortar_car"],"radioSpawn":"radio.kessler.juggernaut","scale":1.15,"armour":[4,3,3,2],"hp":37750,"speed":0.32,"turnRate":30,"turretTurnRate":45,"radius":3.6,"length":25.06,"width":3.4,"cp":0,"vision":50,"firesWhileMoving":true,"weapon":"train_gun","captureRate":0,"boss":true,"skills":["train_smoke","train_patch"],"secondary":[{"weapon":"boss_rockets","slot":"rocket","aim":"Free"},{"weapon":"boss_hmg","slot":"mg","aim":"Free"},{"weapon":"boss_flak","slot":"mg","aim":"Free"},{"weapon":"train_gun","slot":"main","aim":"Free"},{"weapon":"train_mortar","slot":"mortar","aim":"Free"},{"weapon":"boss_flak","slot":"mg","aim":"Free"}],"parts":[{"id":"locomotive","kind":"locomotive","hp":0.12,"armour":4,"wreck":"wreck_stump","at":[0,7.5,2.5],"radius":3.5,"speed":0.5,"radio":"radio.part.locomotive"},{"id":"gun_car_front","kind":"maingun","hp":0.12,"armour":3,"node":"Main_cannon|Muzzle_brake","wreck":"wreck_barrel","at":[0,-3.2,3.7],"radius":3.0,"mounts":[0],"radio":"radio.part.maingun"},{"id":"gun_car_rear","kind":"maingun","hp":0.12,"armour":3,"wreck":"wreck_stump","at":[0,2.0,3.0],"radius":2.5,"mounts":[4]},{"id":"rocket_car","kind":"rockets","hp":0.1,"armour":2,"node":"Mount_rocket","wreck":"wreck_launcher","at":[0,-8.3,3.0],"radius":2.2,"mounts":[1]},{"id":"flak_car","kind":"flak","hp":0.1,"armour":2,"wreck":"wreck_stump","at":[0,-6.35,3.2],"radius":2.0,"mounts":[3]},{"id":"mortar_car","kind":"mortar","hp":0.1,"armour":2,"node":"Part_mortar","wreck":"wreck_launcher","at":[0,-12.5,2.6]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P4" t="inlineStr">
        <is>
          <t>brandt</t>
        </is>
      </c>
      <c r="EW4" t="n">
        <v>19250</v>
      </c>
      <c r="GK4" t="n">
        <v>1.4708</v>
      </c>
      <c r="HF4" t="inlineStr">
        <is>
          <t>radio.brandt.bastion_mk0</t>
        </is>
      </c>
      <c r="ID4" t="n">
        <v>1.1</v>
      </c>
      <c r="JS4" t="inlineStr">
        <is>
          <t>mortar;turret_fl;turret_fr</t>
        </is>
      </c>
      <c r="JT4" t="inlineStr">
        <is>
          <t>mk0</t>
        </is>
      </c>
      <c r="JU4" t="inlineStr">
        <is>
          <t>mk0</t>
        </is>
      </c>
      <c r="JV4" t="inlineStr">
        <is>
          <t>fortress_bastion</t>
        </is>
      </c>
      <c r="JW4" t="n">
        <v>0.6</v>
      </c>
      <c r="JX4" t="n">
        <v>0.72</v>
      </c>
      <c r="JY4" t="n">
        <v>0.86</v>
      </c>
      <c r="JZ4" t="n">
        <v>0.8</v>
      </c>
      <c r="KF4" t="n">
        <v>1.51</v>
      </c>
      <c r="KH4" t="inlineStr">
        <is>
          <t>Assets/MachineBrigade/Resources/Data/balance.json: vehicles[163]</t>
        </is>
      </c>
      <c r="KI4" t="inlineStr">
        <is>
          <t>{"id":"bastion_mk0","outgoingDamageMult":1.4708,"guard":null,"armour":[4,4,4,3],"variantOf":"fortress_bastion","hp":19250,"weaponDamage":1.51,"general":"brandt","radioSpawn":"radio.brandt.bastion_mk0","speed":1.1,"variant":{"size":0.6,"keep":["mortar","turret_fl","turret_fr"],"tint":[0.8,0.86,0.72],"mark":"mk0","name":"mk0","tune":{"mortar":{"hp":0.15},"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33550</v>
      </c>
      <c r="K5" t="n">
        <v>28517.5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giong</t>
        </is>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U5" t="n">
        <v>400</v>
      </c>
      <c r="DV5" t="n">
        <v>2.6</v>
      </c>
      <c r="DW5" t="n">
        <v>18</v>
      </c>
      <c r="DX5" t="inlineStr">
        <is>
          <t>Ultimate</t>
        </is>
      </c>
      <c r="EM5" t="b">
        <v>1</v>
      </c>
      <c r="EO5" t="inlineStr">
        <is>
          <t>tracked</t>
        </is>
      </c>
      <c r="EP5" t="inlineStr">
        <is>
          <t>varga</t>
        </is>
      </c>
      <c r="ER5" t="n">
        <v>4</v>
      </c>
      <c r="ES5" t="n">
        <v>160</v>
      </c>
      <c r="ET5" t="n">
        <v>5</v>
      </c>
      <c r="EU5" t="n">
        <v>6</v>
      </c>
      <c r="EV5" t="n">
        <v>15</v>
      </c>
      <c r="EW5" t="n">
        <v>33550</v>
      </c>
      <c r="FF5" t="n">
        <v>12.59</v>
      </c>
      <c r="FV5" t="inlineStr">
        <is>
          <t>p26_behemoth_main_be152</t>
        </is>
      </c>
      <c r="FW5" t="inlineStr">
        <is>
          <t>p26_behemoth_tiny_be120</t>
        </is>
      </c>
      <c r="FY5" t="inlineStr">
        <is>
          <t>p26_behemoth_close_boss_flak</t>
        </is>
      </c>
      <c r="FZ5" t="inlineStr">
        <is>
          <t>p26_behemoth_close_boss_flak</t>
        </is>
      </c>
      <c r="GA5" t="inlineStr">
        <is>
          <t>p26_behemoth_tiny_boss_missiles</t>
        </is>
      </c>
      <c r="GB5" t="inlineStr">
        <is>
          <t>p26_behemoth_tiny_boss_missiles</t>
        </is>
      </c>
      <c r="GC5" t="inlineStr">
        <is>
          <t>p26_behemoth_tiny_kornet_twin</t>
        </is>
      </c>
      <c r="GD5" t="inlineStr">
        <is>
          <t>p26_behemoth_direct_be120</t>
        </is>
      </c>
      <c r="GE5" t="inlineStr">
        <is>
          <t>p26_behemoth_direct_be120</t>
        </is>
      </c>
      <c r="GF5" t="inlineStr">
        <is>
          <t>p26_behemoth_sec_be_rockets</t>
        </is>
      </c>
      <c r="HF5" t="inlineStr">
        <is>
          <t>radio.varga.behemoth</t>
        </is>
      </c>
      <c r="HG5" t="n">
        <v>6.4</v>
      </c>
      <c r="HH5" t="inlineStr">
        <is>
          <t>main</t>
        </is>
      </c>
      <c r="HW5" t="n">
        <v>1.2</v>
      </c>
      <c r="IB5" t="n">
        <v>1.5712</v>
      </c>
      <c r="IC5" t="inlineStr">
        <is>
          <t>boss_rage;boss_bulwark</t>
        </is>
      </c>
      <c r="ID5" t="n">
        <v>2.4</v>
      </c>
      <c r="JP5" t="n">
        <v>25</v>
      </c>
      <c r="JQ5" t="n">
        <v>30</v>
      </c>
      <c r="KA5" t="n">
        <v>50</v>
      </c>
      <c r="KC5" t="inlineStr">
        <is>
          <t>9</t>
        </is>
      </c>
      <c r="KD5" t="n">
        <v>1</v>
      </c>
      <c r="KE5" t="inlineStr">
        <is>
          <t>gun_behemoth</t>
        </is>
      </c>
      <c r="KF5" t="n">
        <v>1</v>
      </c>
      <c r="KG5" t="n">
        <v>6.5</v>
      </c>
      <c r="KH5" t="inlineStr">
        <is>
          <t>Assets/MachineBrigade/Resources/Data/balance.json: vehicles[138]</t>
        </is>
      </c>
      <c r="KI5" t="inlineStr">
        <is>
          <t>{"id":"behemoth","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33550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boss_rage;train_smoke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U6" t="n">
        <v>420</v>
      </c>
      <c r="DV6" t="n">
        <v>2.6</v>
      </c>
      <c r="DW6" t="n">
        <v>19</v>
      </c>
      <c r="DX6" t="inlineStr">
        <is>
          <t>Ultimate</t>
        </is>
      </c>
      <c r="DY6" t="inlineStr">
        <is>
          <t>flak</t>
        </is>
      </c>
      <c r="EI6" t="n">
        <v>18</v>
      </c>
      <c r="EJ6" t="n">
        <v>4</v>
      </c>
      <c r="EK6" t="n">
        <v>3.5</v>
      </c>
      <c r="EL6" t="n">
        <v>10</v>
      </c>
      <c r="EM6" t="b">
        <v>1</v>
      </c>
      <c r="EO6" t="inlineStr">
        <is>
          <t>tracked</t>
        </is>
      </c>
      <c r="EP6" t="inlineStr">
        <is>
          <t>varga</t>
        </is>
      </c>
      <c r="EW6" t="n">
        <v>24600</v>
      </c>
      <c r="FF6" t="n">
        <v>12.59</v>
      </c>
      <c r="HF6" t="inlineStr">
        <is>
          <t>radio.varga.inferno</t>
        </is>
      </c>
      <c r="HG6" t="n">
        <v>6.4</v>
      </c>
      <c r="HH6" t="inlineStr">
        <is>
          <t>mini</t>
        </is>
      </c>
      <c r="HW6" t="n">
        <v>1.2</v>
      </c>
      <c r="IB6" t="n">
        <v>1.1252</v>
      </c>
      <c r="IC6" t="inlineStr">
        <is>
          <t>boss_rage;train_smoke</t>
        </is>
      </c>
      <c r="ID6" t="n">
        <v>2.9</v>
      </c>
      <c r="JP6" t="n">
        <v>28</v>
      </c>
      <c r="JQ6" t="n">
        <v>40</v>
      </c>
      <c r="KA6" t="n">
        <v>46</v>
      </c>
      <c r="KE6" t="inlineStr">
        <is>
          <t>boss_flamer</t>
        </is>
      </c>
      <c r="KF6" t="n">
        <v>1.962</v>
      </c>
      <c r="KG6" t="n">
        <v>6.5</v>
      </c>
      <c r="KH6" t="inlineStr">
        <is>
          <t>Assets/MachineBrigade/Resources/Data/balance.json: vehicles[146]</t>
        </is>
      </c>
      <c r="KI6" t="inlineStr">
        <is>
          <t>{"id":"behemoth_inferno","frame":"tracked","rank":"mini","general":"varga","size":1.1252,"dropParts":["flak"],"radioSpawn":"radio.varga.inferno","scale":1.2,"armour":[4,3,2,2],"hp":24600,"weaponDamage":1.962,"speed":2.9,"turnRate":28,"turretTurnRate":40,"radius":6.4,"length":12.59,"width":6.5,"cp":0,"vision":46,"firesWhileMoving":true,"weapon":"boss_flamer","captureRate":0,"boss":true,"skills":["boss_rage","train_smok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P7" t="inlineStr">
        <is>
          <t>varga</t>
        </is>
      </c>
      <c r="EW7" t="n">
        <v>33900</v>
      </c>
      <c r="HF7" t="inlineStr">
        <is>
          <t>radio.varga.behemoth_mk0</t>
        </is>
      </c>
      <c r="IC7" t="inlineStr">
        <is>
          <t>boss_bulwark</t>
        </is>
      </c>
      <c r="ID7" t="n">
        <v>2.2</v>
      </c>
      <c r="JS7" t="inlineStr">
        <is>
          <t>main_gun;side_gun_l;side_gun_r;rocket_pod</t>
        </is>
      </c>
      <c r="JT7" t="inlineStr">
        <is>
          <t>mk0</t>
        </is>
      </c>
      <c r="JU7" t="inlineStr">
        <is>
          <t>mk0</t>
        </is>
      </c>
      <c r="JV7" t="inlineStr">
        <is>
          <t>behemoth</t>
        </is>
      </c>
      <c r="JW7" t="n">
        <v>0.6538</v>
      </c>
      <c r="JX7" t="n">
        <v>0.66</v>
      </c>
      <c r="JY7" t="n">
        <v>0.82</v>
      </c>
      <c r="JZ7" t="n">
        <v>0.9399999999999999</v>
      </c>
      <c r="KF7" t="n">
        <v>0.884</v>
      </c>
      <c r="KH7" t="inlineStr">
        <is>
          <t>Assets/MachineBrigade/Resources/Data/balance.json: vehicles[170]</t>
        </is>
      </c>
      <c r="KI7" t="inlineStr">
        <is>
          <t>{"id":"behemoth_mk0","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P8" t="inlineStr">
        <is>
          <t>varga</t>
        </is>
      </c>
      <c r="EW8" t="n">
        <v>53500</v>
      </c>
      <c r="HF8" t="inlineStr">
        <is>
          <t>radio.varga.behemoth_mk2</t>
        </is>
      </c>
      <c r="JS8" t="inlineStr">
        <is>
          <t>main_gun;flak_r;flak_l;aps</t>
        </is>
      </c>
      <c r="JT8" t="inlineStr">
        <is>
          <t>mk2</t>
        </is>
      </c>
      <c r="JU8" t="inlineStr">
        <is>
          <t>mk2</t>
        </is>
      </c>
      <c r="JV8" t="inlineStr">
        <is>
          <t>behemoth</t>
        </is>
      </c>
      <c r="JW8" t="n">
        <v>0.6923</v>
      </c>
      <c r="JX8" t="n">
        <v>1.1</v>
      </c>
      <c r="JY8" t="n">
        <v>0.93</v>
      </c>
      <c r="JZ8" t="n">
        <v>0.82</v>
      </c>
      <c r="KF8" t="n">
        <v>1.928</v>
      </c>
      <c r="KH8" t="inlineStr">
        <is>
          <t>Assets/MachineBrigade/Resources/Data/balance.json: vehicles[167]</t>
        </is>
      </c>
      <c r="KI8" t="inlineStr">
        <is>
          <t>{"id":"behemoth_mk2","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U9" t="n">
        <v>400</v>
      </c>
      <c r="DV9" t="n">
        <v>2.6</v>
      </c>
      <c r="DW9" t="n">
        <v>18</v>
      </c>
      <c r="DX9" t="inlineStr">
        <is>
          <t>Ultimate</t>
        </is>
      </c>
      <c r="EM9" t="b">
        <v>1</v>
      </c>
      <c r="EO9" t="inlineStr">
        <is>
          <t>tracked</t>
        </is>
      </c>
      <c r="EP9" t="inlineStr">
        <is>
          <t>kessler</t>
        </is>
      </c>
      <c r="EW9" t="n">
        <v>37750</v>
      </c>
      <c r="FF9" t="n">
        <v>15.84</v>
      </c>
      <c r="HF9" t="inlineStr">
        <is>
          <t>radio.kessler.tempest</t>
        </is>
      </c>
      <c r="HG9" t="n">
        <v>6.4</v>
      </c>
      <c r="HH9" t="inlineStr">
        <is>
          <t>mini</t>
        </is>
      </c>
      <c r="HW9" t="n">
        <v>1.2</v>
      </c>
      <c r="IB9" t="n">
        <v>0.8944</v>
      </c>
      <c r="IC9" t="inlineStr">
        <is>
          <t>mothership_shield;boss_bulwark;boss_emp</t>
        </is>
      </c>
      <c r="ID9" t="n">
        <v>2.6</v>
      </c>
      <c r="JP9" t="n">
        <v>25</v>
      </c>
      <c r="JQ9" t="n">
        <v>28</v>
      </c>
      <c r="KA9" t="n">
        <v>70</v>
      </c>
      <c r="KE9" t="inlineStr">
        <is>
          <t>boss_railgun</t>
        </is>
      </c>
      <c r="KF9" t="n">
        <v>1.74</v>
      </c>
      <c r="KG9" t="n">
        <v>6.5</v>
      </c>
      <c r="KH9" t="inlineStr">
        <is>
          <t>Assets/MachineBrigade/Resources/Data/balance.json: vehicles[147]</t>
        </is>
      </c>
      <c r="KI9" t="inlineStr">
        <is>
          <t>{"id":"behemoth_tempest","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command_airship</t>
        </is>
      </c>
      <c r="B10" t="inlineStr">
        <is>
          <t>main</t>
        </is>
      </c>
      <c r="C10" t="inlineStr">
        <is>
          <t>Roc · Flying Headquarters</t>
        </is>
      </c>
      <c r="D10" t="inlineStr">
        <is>
          <t>Roc · Khí cầu chỉ huy</t>
        </is>
      </c>
      <c r="E10" t="inlineStr">
        <is>
          <t>Roc</t>
        </is>
      </c>
      <c r="F10" t="inlineStr"/>
      <c r="G10" t="inlineStr"/>
      <c r="H10" t="inlineStr"/>
      <c r="I10" t="n">
        <v>0</v>
      </c>
      <c r="J10" t="n">
        <v>137250</v>
      </c>
      <c r="K10" t="n">
        <v>116662.5</v>
      </c>
      <c r="L10" t="n">
        <v>2</v>
      </c>
      <c r="M10" t="n">
        <v>2</v>
      </c>
      <c r="N10" t="n">
        <v>2</v>
      </c>
      <c r="O10" t="n">
        <v>2</v>
      </c>
      <c r="P10" t="b">
        <v>0</v>
      </c>
      <c r="Q10" t="n">
        <v>4.5</v>
      </c>
      <c r="R10" t="n">
        <v>16</v>
      </c>
      <c r="S10" t="n">
        <v>90</v>
      </c>
      <c r="T10" t="n">
        <v>80</v>
      </c>
      <c r="U10" t="n">
        <v>18</v>
      </c>
      <c r="V10" t="inlineStr"/>
      <c r="W10" t="inlineStr"/>
      <c r="X10" t="b">
        <v>1</v>
      </c>
      <c r="Y10" t="n">
        <v>30</v>
      </c>
      <c r="Z10" t="b">
        <v>0</v>
      </c>
      <c r="AA10" t="b">
        <v>1</v>
      </c>
      <c r="AB10" t="n">
        <v>0</v>
      </c>
      <c r="AC10" t="n">
        <v>3.5</v>
      </c>
      <c r="AD10" t="n">
        <v>1.7892</v>
      </c>
      <c r="AE10" t="inlineStr">
        <is>
          <t>p26_roc_main_roc_bombs</t>
        </is>
      </c>
      <c r="AF10" t="inlineStr">
        <is>
          <t>p26_roc_main_roc_bombs;p26_roc_direct_roc_atgm;p26_roc_direct_roc_atgm;p26_roc_close_twin_30_bmpt;p26_roc_close_twin_30_bmpt;p26_roc_roc105;p26_roc_roc105</t>
        </is>
      </c>
      <c r="AG10" t="inlineStr">
        <is>
          <t>airship_launch_l;airship_launch_r</t>
        </is>
      </c>
      <c r="AH10" t="inlineStr">
        <is>
          <t>none</t>
        </is>
      </c>
      <c r="AI10" t="inlineStr"/>
      <c r="AJ10" t="inlineStr"/>
      <c r="AK10" t="inlineStr">
        <is>
          <t>command_airship</t>
        </is>
      </c>
      <c r="AL10" t="inlineStr">
        <is>
          <t>doi</t>
        </is>
      </c>
      <c r="BG10" t="n">
        <v>1</v>
      </c>
      <c r="BH10" t="n">
        <v>1.7892</v>
      </c>
      <c r="BI10" t="inlineStr">
        <is>
          <t>aircraft</t>
        </is>
      </c>
      <c r="BJ10" t="inlineStr">
        <is>
          <t>aircraft</t>
        </is>
      </c>
      <c r="BK10" t="inlineStr">
        <is>
          <t>quaden</t>
        </is>
      </c>
      <c r="BL10" t="inlineStr"/>
      <c r="BM10" t="n">
        <v>8</v>
      </c>
      <c r="BN10" t="n">
        <v>8</v>
      </c>
      <c r="BO10" t="inlineStr">
        <is>
          <t>airship_carpet</t>
        </is>
      </c>
      <c r="BP10" t="n">
        <v>50</v>
      </c>
      <c r="BQ10" t="inlineStr">
        <is>
          <t>group</t>
        </is>
      </c>
      <c r="BR10" t="b">
        <v>1</v>
      </c>
      <c r="BS10" t="inlineStr">
        <is>
          <t>10</t>
        </is>
      </c>
      <c r="BT10" t="inlineStr">
        <is>
          <t>c10m08</t>
        </is>
      </c>
      <c r="BU10" t="inlineStr">
        <is>
          <t>tuan:168;day_du:150</t>
        </is>
      </c>
      <c r="BW10" t="n">
        <v>30</v>
      </c>
      <c r="BY10" t="n">
        <v>2</v>
      </c>
      <c r="CD10" t="inlineStr">
        <is>
          <t>airship_carpet</t>
        </is>
      </c>
      <c r="CH10" t="b">
        <v>1</v>
      </c>
      <c r="CW10" t="n">
        <v>0</v>
      </c>
      <c r="CX10" t="n">
        <v>0</v>
      </c>
      <c r="DU10" t="n">
        <v>400</v>
      </c>
      <c r="DV10" t="n">
        <v>2.6</v>
      </c>
      <c r="DW10" t="n">
        <v>18</v>
      </c>
      <c r="DX10" t="inlineStr">
        <is>
          <t>Ultimate</t>
        </is>
      </c>
      <c r="EM10" t="b">
        <v>1</v>
      </c>
      <c r="EN10" t="b">
        <v>1</v>
      </c>
      <c r="EO10" t="inlineStr">
        <is>
          <t>aircraft</t>
        </is>
      </c>
      <c r="EP10" t="inlineStr">
        <is>
          <t>quaden</t>
        </is>
      </c>
      <c r="EW10" t="n">
        <v>137250</v>
      </c>
      <c r="FG10" t="inlineStr">
        <is>
          <t>Free</t>
        </is>
      </c>
      <c r="FI10" t="inlineStr">
        <is>
          <t>gun</t>
        </is>
      </c>
      <c r="FV10" t="inlineStr">
        <is>
          <t>p26_roc_main_roc_bombs</t>
        </is>
      </c>
      <c r="FW10" t="inlineStr">
        <is>
          <t>p26_roc_main_roc_bombs</t>
        </is>
      </c>
      <c r="FY10" t="inlineStr">
        <is>
          <t>p26_roc_direct_roc_atgm</t>
        </is>
      </c>
      <c r="FZ10" t="inlineStr">
        <is>
          <t>p26_roc_direct_roc_atgm</t>
        </is>
      </c>
      <c r="GA10" t="inlineStr">
        <is>
          <t>p26_roc_close_twin_30_bmpt</t>
        </is>
      </c>
      <c r="GB10" t="inlineStr">
        <is>
          <t>p26_roc_close_twin_30_bmpt</t>
        </is>
      </c>
      <c r="GC10" t="inlineStr">
        <is>
          <t>p26_roc_roc105</t>
        </is>
      </c>
      <c r="GD10" t="inlineStr">
        <is>
          <t>p26_roc_roc105</t>
        </is>
      </c>
      <c r="GK10" t="n">
        <v>1.7892</v>
      </c>
      <c r="GM10" t="n">
        <v>2</v>
      </c>
      <c r="GN10" t="inlineStr">
        <is>
          <t>engine</t>
        </is>
      </c>
      <c r="HF10" t="inlineStr">
        <is>
          <t>radio.quaden.airship</t>
        </is>
      </c>
      <c r="HG10" t="n">
        <v>18</v>
      </c>
      <c r="HH10" t="inlineStr">
        <is>
          <t>main</t>
        </is>
      </c>
      <c r="HW10" t="n">
        <v>1</v>
      </c>
      <c r="IB10" t="n">
        <v>1.7564</v>
      </c>
      <c r="IC10" t="inlineStr">
        <is>
          <t>airship_launch_l;airship_launch_r</t>
        </is>
      </c>
      <c r="ID10" t="n">
        <v>4.5</v>
      </c>
      <c r="JP10" t="n">
        <v>16</v>
      </c>
      <c r="JQ10" t="n">
        <v>90</v>
      </c>
      <c r="KA10" t="n">
        <v>80</v>
      </c>
      <c r="KC10" t="inlineStr">
        <is>
          <t>6;7</t>
        </is>
      </c>
      <c r="KD10" t="n">
        <v>1</v>
      </c>
      <c r="KE10" t="inlineStr">
        <is>
          <t>airship_flak</t>
        </is>
      </c>
      <c r="KF10" t="n">
        <v>1</v>
      </c>
      <c r="KH10" t="inlineStr">
        <is>
          <t>Assets/MachineBrigade/Resources/Data/balance.json: vehicles[151]</t>
        </is>
      </c>
      <c r="KI10" t="inlineStr">
        <is>
          <t>{"id":"command_airship","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137250,"weaponDamage":1,"speed":4.5,"turnRate":16,"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1">
      <c r="A11" t="inlineStr">
        <is>
          <t>daedalus</t>
        </is>
      </c>
      <c r="B11" t="inlineStr">
        <is>
          <t>main</t>
        </is>
      </c>
      <c r="C11" t="inlineStr">
        <is>
          <t>Daedalus · Orbital Lander</t>
        </is>
      </c>
      <c r="D11" t="inlineStr">
        <is>
          <t>Daedalus · Tàu đổ bộ quỹ đạo</t>
        </is>
      </c>
      <c r="E11" t="inlineStr">
        <is>
          <t>Daedalus</t>
        </is>
      </c>
      <c r="F11" t="inlineStr"/>
      <c r="G11" t="inlineStr"/>
      <c r="H11" t="inlineStr"/>
      <c r="I11" t="n">
        <v>0</v>
      </c>
      <c r="J11" t="n">
        <v>156900</v>
      </c>
      <c r="K11" t="n">
        <v>133365</v>
      </c>
      <c r="L11" t="n">
        <v>3</v>
      </c>
      <c r="M11" t="n">
        <v>2</v>
      </c>
      <c r="N11" t="n">
        <v>1</v>
      </c>
      <c r="O11" t="n">
        <v>1</v>
      </c>
      <c r="P11" t="b">
        <v>0</v>
      </c>
      <c r="Q11" t="n">
        <v>4.5</v>
      </c>
      <c r="R11" t="n">
        <v>26</v>
      </c>
      <c r="S11" t="n">
        <v>120</v>
      </c>
      <c r="T11" t="n">
        <v>80</v>
      </c>
      <c r="U11" t="n">
        <v>10</v>
      </c>
      <c r="V11" t="n">
        <v>36</v>
      </c>
      <c r="W11" t="n">
        <v>20</v>
      </c>
      <c r="X11" t="b">
        <v>0</v>
      </c>
      <c r="Y11" t="n">
        <v>0</v>
      </c>
      <c r="Z11" t="b">
        <v>0</v>
      </c>
      <c r="AA11" t="b">
        <v>1</v>
      </c>
      <c r="AB11" t="n">
        <v>1</v>
      </c>
      <c r="AC11" t="n">
        <v>3.5</v>
      </c>
      <c r="AD11" t="n">
        <v>1</v>
      </c>
      <c r="AE11" t="inlineStr">
        <is>
          <t>p26_daedalus_direct_dae_laser</t>
        </is>
      </c>
      <c r="AF11" t="inlineStr">
        <is>
          <t>p26_daedalus_sec_dae57;p26_daedalus_sec_dae57;p26_daedalus_direct_dae_laser</t>
        </is>
      </c>
      <c r="AG11" t="inlineStr">
        <is>
          <t>boss_rage</t>
        </is>
      </c>
      <c r="AH11" t="inlineStr">
        <is>
          <t>aps</t>
        </is>
      </c>
      <c r="AI11" t="n">
        <v>2</v>
      </c>
      <c r="AJ11" t="n">
        <v>1.6</v>
      </c>
      <c r="AK11" t="inlineStr">
        <is>
          <t>daedalus</t>
        </is>
      </c>
      <c r="AL11" t="inlineStr">
        <is>
          <t>giong</t>
        </is>
      </c>
      <c r="BI11" t="inlineStr">
        <is>
          <t>spacecraft</t>
        </is>
      </c>
      <c r="BJ11" t="inlineStr">
        <is>
          <t>spacecraft</t>
        </is>
      </c>
      <c r="BK11" t="inlineStr">
        <is>
          <t>aurel</t>
        </is>
      </c>
      <c r="BL11" t="inlineStr"/>
      <c r="BM11" t="n">
        <v>4</v>
      </c>
      <c r="BN11" t="n">
        <v>6</v>
      </c>
      <c r="BO11" t="inlineStr">
        <is>
          <t>daedalus_mass_drop</t>
        </is>
      </c>
      <c r="BP11" t="n">
        <v>50</v>
      </c>
      <c r="BQ11" t="inlineStr">
        <is>
          <t>group</t>
        </is>
      </c>
      <c r="BR11" t="b">
        <v>0</v>
      </c>
      <c r="BS11" t="inlineStr">
        <is>
          <t>11</t>
        </is>
      </c>
      <c r="BT11" t="inlineStr"/>
      <c r="BU11" t="inlineStr">
        <is>
          <t>tuan:168;day_du:150</t>
        </is>
      </c>
      <c r="BY11" t="n">
        <v>3</v>
      </c>
      <c r="CD11" t="inlineStr">
        <is>
          <t>daedalus_mass_drop</t>
        </is>
      </c>
      <c r="CH11" t="b">
        <v>1</v>
      </c>
      <c r="DU11" t="n">
        <v>420</v>
      </c>
      <c r="DV11" t="n">
        <v>2.6</v>
      </c>
      <c r="DW11" t="n">
        <v>18</v>
      </c>
      <c r="DX11" t="inlineStr">
        <is>
          <t>Ultimate</t>
        </is>
      </c>
      <c r="EO11" t="inlineStr">
        <is>
          <t>spacecraft</t>
        </is>
      </c>
      <c r="EP11" t="inlineStr">
        <is>
          <t>aurel</t>
        </is>
      </c>
      <c r="EW11" t="n">
        <v>156900</v>
      </c>
      <c r="FF11" t="n">
        <v>36</v>
      </c>
      <c r="FI11" t="inlineStr">
        <is>
          <t>gun</t>
        </is>
      </c>
      <c r="FR11" t="inlineStr">
        <is>
          <t>daedalus</t>
        </is>
      </c>
      <c r="FV11" t="inlineStr">
        <is>
          <t>p26_daedalus_direct_dae_laser</t>
        </is>
      </c>
      <c r="FW11" t="inlineStr">
        <is>
          <t>p26_daedalus_sec_dae57</t>
        </is>
      </c>
      <c r="FY11" t="inlineStr">
        <is>
          <t>p26_daedalus_sec_dae57</t>
        </is>
      </c>
      <c r="FZ11" t="inlineStr">
        <is>
          <t>p26_daedalus_direct_dae_laser</t>
        </is>
      </c>
      <c r="GO11" t="n">
        <v>3</v>
      </c>
      <c r="GP11" t="n">
        <v>1125</v>
      </c>
      <c r="GQ11" t="inlineStr">
        <is>
          <t>8;6.5;5</t>
        </is>
      </c>
      <c r="GR11" t="n">
        <v>12</v>
      </c>
      <c r="GS11" t="n">
        <v>6</v>
      </c>
      <c r="GT11" t="n">
        <v>6</v>
      </c>
      <c r="GU11" t="n">
        <v>8</v>
      </c>
      <c r="GV11" t="n">
        <v>1</v>
      </c>
      <c r="GW11" t="n">
        <v>30</v>
      </c>
      <c r="GX11" t="n">
        <v>2</v>
      </c>
      <c r="GY11" t="n">
        <v>6</v>
      </c>
      <c r="GZ11" t="n">
        <v>12</v>
      </c>
      <c r="HA11" t="n">
        <v>1</v>
      </c>
      <c r="HB11" t="inlineStr">
        <is>
          <t>orbit;high;low</t>
        </is>
      </c>
      <c r="HC11" t="inlineStr">
        <is>
          <t>drop_pod</t>
        </is>
      </c>
      <c r="HD11" t="inlineStr">
        <is>
          <t>main_battle_tank;ifv;heavy_tank;armored_car;main_battle_tank;ifv;tank_destroyer</t>
        </is>
      </c>
      <c r="HE11" t="inlineStr">
        <is>
          <t>pod_drop</t>
        </is>
      </c>
      <c r="HF11" t="inlineStr">
        <is>
          <t>radio.aurel.daedalus</t>
        </is>
      </c>
      <c r="HG11" t="n">
        <v>10</v>
      </c>
      <c r="HH11" t="inlineStr">
        <is>
          <t>main</t>
        </is>
      </c>
      <c r="IB11" t="n">
        <v>1.6183</v>
      </c>
      <c r="IC11" t="inlineStr">
        <is>
          <t>boss_rage</t>
        </is>
      </c>
      <c r="ID11" t="n">
        <v>4.5</v>
      </c>
      <c r="IG11" t="n">
        <v>2</v>
      </c>
      <c r="IH11" t="n">
        <v>3</v>
      </c>
      <c r="II11" t="n">
        <v>3</v>
      </c>
      <c r="IU11" t="n">
        <v>2</v>
      </c>
      <c r="JE11" t="inlineStr">
        <is>
          <t>0.6;0.25</t>
        </is>
      </c>
      <c r="JF11" t="n">
        <v>10</v>
      </c>
      <c r="JI11" t="inlineStr">
        <is>
          <t>radio.aurel.daedalus.descend</t>
        </is>
      </c>
      <c r="JM11" t="inlineStr">
        <is>
          <t>radio.aurel.daedalus.phase2</t>
        </is>
      </c>
      <c r="JN11" t="inlineStr">
        <is>
          <t>radio.aurel.daedalus.phase3</t>
        </is>
      </c>
      <c r="JP11" t="n">
        <v>26</v>
      </c>
      <c r="JQ11" t="n">
        <v>120</v>
      </c>
      <c r="KA11" t="n">
        <v>80</v>
      </c>
      <c r="KE11" t="inlineStr">
        <is>
          <t>autocannon_30</t>
        </is>
      </c>
      <c r="KF11" t="n">
        <v>1</v>
      </c>
      <c r="KG11" t="n">
        <v>20</v>
      </c>
      <c r="KH11" t="inlineStr">
        <is>
          <t>Assets/MachineBrigade/Resources/Data/balance.json: vehicles[160]</t>
        </is>
      </c>
      <c r="KI11" t="inlineStr">
        <is>
          <t>{"id":"daedalus","mountWeapons":{"0":"p26_daedalus_direct_dae_laser","1":"p26_daedalus_sec_dae57","2":"p26_daedalus_sec_dae57","3":"p26_daedalus_direct_dae_laser"},"frame":"spacecraft","size":1.6183,"rank":"main","general":"aurel","boss":true,"bigAttack":"daedalus_mass_drop","radioSpawn":"radio.aurel.daedalus","model":"daedalus","armour":3,"hp":156900,"weaponDamage":1,"speed":4.5,"turnRate":26,"turretTurnRate":120,"radius":10,"length":36,"width":20,"vision":80,"weapon":"autocannon_30","secondary":[{"weapon":"gun_57mm","slot":"gun","aim":"Free"},{"weapon":"gun_57mm","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-1.6],"radius":1.6,"mounts":[0]},{"use":"gun_30","id":"gun_r","hp":0.08,"node":"Mount_gun.001","at":[2.4,6.0,-1.6]},{"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2">
      <c r="A12" t="inlineStr">
        <is>
          <t>drone_mothership</t>
        </is>
      </c>
      <c r="B12" t="inlineStr">
        <is>
          <t>main</t>
        </is>
      </c>
      <c r="C12" t="inlineStr">
        <is>
          <t>Matriarch · Drone Mothership</t>
        </is>
      </c>
      <c r="D12" t="inlineStr">
        <is>
          <t>Matriarch · Tàu mẹ drone</t>
        </is>
      </c>
      <c r="E12" t="inlineStr">
        <is>
          <t>Matriarch</t>
        </is>
      </c>
      <c r="F12" t="inlineStr"/>
      <c r="G12" t="inlineStr"/>
      <c r="H12" t="inlineStr"/>
      <c r="I12" t="n">
        <v>0</v>
      </c>
      <c r="J12" t="n">
        <v>63100</v>
      </c>
      <c r="K12" t="n">
        <v>53635</v>
      </c>
      <c r="L12" t="n">
        <v>2</v>
      </c>
      <c r="M12" t="n">
        <v>2</v>
      </c>
      <c r="N12" t="n">
        <v>2</v>
      </c>
      <c r="O12" t="n">
        <v>2</v>
      </c>
      <c r="P12" t="b">
        <v>0</v>
      </c>
      <c r="Q12" t="n">
        <v>3.5</v>
      </c>
      <c r="R12" t="n">
        <v>20</v>
      </c>
      <c r="S12" t="n">
        <v>90</v>
      </c>
      <c r="T12" t="n">
        <v>70</v>
      </c>
      <c r="U12" t="n">
        <v>9</v>
      </c>
      <c r="V12" t="inlineStr"/>
      <c r="W12" t="inlineStr"/>
      <c r="X12" t="b">
        <v>1</v>
      </c>
      <c r="Y12" t="n">
        <v>26</v>
      </c>
      <c r="Z12" t="b">
        <v>0</v>
      </c>
      <c r="AA12" t="b">
        <v>1</v>
      </c>
      <c r="AB12" t="n">
        <v>0</v>
      </c>
      <c r="AC12" t="n">
        <v>3.5</v>
      </c>
      <c r="AD12" t="n">
        <v>1</v>
      </c>
      <c r="AE12" t="inlineStr">
        <is>
          <t>p26_matriarch_tiny_mothership_cannon</t>
        </is>
      </c>
      <c r="AF12" t="inlineStr">
        <is>
          <t>p26_matriarch_ma_drones;p26_matriarch_close_boss_flak;p26_matriarch_close_boss_flak;p26_matriarch_tiny_mothership_cannon;p26_matriarch_direct_ma_atgm;p26_matriarch_sec_autocannon_30;p26_matriarch_sec_autocannon_30;p26_matriarch_direct_ma_atgm</t>
        </is>
      </c>
      <c r="AG12" t="inlineStr">
        <is>
          <t>mothership_launch;boss_flares;mothership_shield</t>
        </is>
      </c>
      <c r="AH12" t="inlineStr">
        <is>
          <t>none</t>
        </is>
      </c>
      <c r="AI12" t="inlineStr"/>
      <c r="AJ12" t="inlineStr"/>
      <c r="AK12" t="inlineStr">
        <is>
          <t>drone_mothership</t>
        </is>
      </c>
      <c r="AL12" t="inlineStr">
        <is>
          <t>giong</t>
        </is>
      </c>
      <c r="BI12" t="inlineStr">
        <is>
          <t>aircraft</t>
        </is>
      </c>
      <c r="BJ12" t="inlineStr">
        <is>
          <t>aircraft</t>
        </is>
      </c>
      <c r="BK12" t="inlineStr">
        <is>
          <t>sen</t>
        </is>
      </c>
      <c r="BL12" t="inlineStr"/>
      <c r="BM12" t="n">
        <v>9</v>
      </c>
      <c r="BN12" t="n">
        <v>9</v>
      </c>
      <c r="BO12" t="inlineStr">
        <is>
          <t>carrier_heavy_bomb</t>
        </is>
      </c>
      <c r="BP12" t="n">
        <v>45</v>
      </c>
      <c r="BQ12" t="inlineStr">
        <is>
          <t>group</t>
        </is>
      </c>
      <c r="BR12" t="b">
        <v>1</v>
      </c>
      <c r="BS12" t="inlineStr">
        <is>
          <t>5</t>
        </is>
      </c>
      <c r="BT12" t="inlineStr">
        <is>
          <t>c5m05</t>
        </is>
      </c>
      <c r="BU12" t="inlineStr">
        <is>
          <t>tuan:168;day_du:150</t>
        </is>
      </c>
      <c r="BW12" t="n">
        <v>26</v>
      </c>
      <c r="BY12" t="n">
        <v>2</v>
      </c>
      <c r="CD12" t="inlineStr">
        <is>
          <t>carrier_heavy_bomb</t>
        </is>
      </c>
      <c r="CH12" t="b">
        <v>1</v>
      </c>
      <c r="CW12" t="n">
        <v>0</v>
      </c>
      <c r="CX12" t="n">
        <v>0</v>
      </c>
      <c r="DU12" t="n">
        <v>300</v>
      </c>
      <c r="DV12" t="n">
        <v>2.6</v>
      </c>
      <c r="DW12" t="n">
        <v>14</v>
      </c>
      <c r="DX12" t="inlineStr">
        <is>
          <t>Ultimate</t>
        </is>
      </c>
      <c r="EM12" t="b">
        <v>1</v>
      </c>
      <c r="EN12" t="b">
        <v>1</v>
      </c>
      <c r="EO12" t="inlineStr">
        <is>
          <t>aircraft</t>
        </is>
      </c>
      <c r="EP12" t="inlineStr">
        <is>
          <t>sen</t>
        </is>
      </c>
      <c r="EW12" t="n">
        <v>63100</v>
      </c>
      <c r="FV12" t="inlineStr">
        <is>
          <t>p26_matriarch_tiny_mothership_cannon</t>
        </is>
      </c>
      <c r="FW12" t="inlineStr">
        <is>
          <t>p26_matriarch_ma_drones</t>
        </is>
      </c>
      <c r="FY12" t="inlineStr">
        <is>
          <t>p26_matriarch_close_boss_flak</t>
        </is>
      </c>
      <c r="FZ12" t="inlineStr">
        <is>
          <t>p26_matriarch_close_boss_flak</t>
        </is>
      </c>
      <c r="GA12" t="inlineStr">
        <is>
          <t>p26_matriarch_tiny_mothership_cannon</t>
        </is>
      </c>
      <c r="GB12" t="inlineStr">
        <is>
          <t>p26_matriarch_direct_ma_atgm</t>
        </is>
      </c>
      <c r="GC12" t="inlineStr">
        <is>
          <t>p26_matriarch_sec_autocannon_30</t>
        </is>
      </c>
      <c r="GD12" t="inlineStr">
        <is>
          <t>p26_matriarch_sec_autocannon_30</t>
        </is>
      </c>
      <c r="GE12" t="inlineStr">
        <is>
          <t>p26_matriarch_direct_ma_atgm</t>
        </is>
      </c>
      <c r="HF12" t="inlineStr">
        <is>
          <t>radio.sen.matriarch</t>
        </is>
      </c>
      <c r="HG12" t="n">
        <v>9</v>
      </c>
      <c r="HH12" t="inlineStr">
        <is>
          <t>main</t>
        </is>
      </c>
      <c r="HW12" t="n">
        <v>1.15</v>
      </c>
      <c r="IB12" t="n">
        <v>1.6903</v>
      </c>
      <c r="IC12" t="inlineStr">
        <is>
          <t>mothership_launch;boss_flares;mothership_shield</t>
        </is>
      </c>
      <c r="ID12" t="n">
        <v>3.5</v>
      </c>
      <c r="JP12" t="n">
        <v>20</v>
      </c>
      <c r="JQ12" t="n">
        <v>90</v>
      </c>
      <c r="KA12" t="n">
        <v>70</v>
      </c>
      <c r="KC12" t="inlineStr">
        <is>
          <t>4;6;7</t>
        </is>
      </c>
      <c r="KD12" t="n">
        <v>1</v>
      </c>
      <c r="KE12" t="inlineStr">
        <is>
          <t>mothership_cannon</t>
        </is>
      </c>
      <c r="KF12" t="n">
        <v>1</v>
      </c>
      <c r="KH12" t="inlineStr">
        <is>
          <t>Assets/MachineBrigade/Resources/Data/balance.json: vehicles[142]</t>
        </is>
      </c>
      <c r="KI12" t="inlineStr">
        <is>
          <t>{"id":"drone_mothership","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63100,"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3">
      <c r="A13" t="inlineStr">
        <is>
          <t>earth_borer</t>
        </is>
      </c>
      <c r="B13" t="inlineStr">
        <is>
          <t>mini</t>
        </is>
      </c>
      <c r="C13" t="inlineStr">
        <is>
          <t>Tartarus · Tunnelling Machine</t>
        </is>
      </c>
      <c r="D13" t="inlineStr">
        <is>
          <t>Tartarus · Máy khoan</t>
        </is>
      </c>
      <c r="E13" t="inlineStr">
        <is>
          <t>Tartarus</t>
        </is>
      </c>
      <c r="F13" t="inlineStr"/>
      <c r="G13" t="inlineStr"/>
      <c r="H13" t="inlineStr"/>
      <c r="I13" t="n">
        <v>0</v>
      </c>
      <c r="J13" t="n">
        <v>72000</v>
      </c>
      <c r="K13" t="n">
        <v>61200</v>
      </c>
      <c r="L13" t="n">
        <v>4</v>
      </c>
      <c r="M13" t="n">
        <v>3</v>
      </c>
      <c r="N13" t="n">
        <v>2</v>
      </c>
      <c r="O13" t="n">
        <v>2</v>
      </c>
      <c r="P13" t="b">
        <v>0</v>
      </c>
      <c r="Q13" t="n">
        <v>3.2</v>
      </c>
      <c r="R13" t="n">
        <v>22</v>
      </c>
      <c r="S13" t="n">
        <v>40</v>
      </c>
      <c r="T13" t="n">
        <v>55</v>
      </c>
      <c r="U13" t="n">
        <v>6</v>
      </c>
      <c r="V13" t="n">
        <v>23.5</v>
      </c>
      <c r="W13" t="n">
        <v>5.8</v>
      </c>
      <c r="X13" t="b">
        <v>0</v>
      </c>
      <c r="Y13" t="n">
        <v>0</v>
      </c>
      <c r="Z13" t="b">
        <v>0</v>
      </c>
      <c r="AA13" t="b">
        <v>1</v>
      </c>
      <c r="AB13" t="n">
        <v>0</v>
      </c>
      <c r="AC13" t="n">
        <v>3.5</v>
      </c>
      <c r="AD13" t="n">
        <v>1.0854</v>
      </c>
      <c r="AE13" t="inlineStr">
        <is>
          <t>borer_drill</t>
        </is>
      </c>
      <c r="AF13" t="inlineStr">
        <is>
          <t>borer_cannon;borer_cannon</t>
        </is>
      </c>
      <c r="AG13" t="inlineStr">
        <is>
          <t>boss_rage</t>
        </is>
      </c>
      <c r="AH13" t="inlineStr">
        <is>
          <t>none</t>
        </is>
      </c>
      <c r="AI13" t="inlineStr"/>
      <c r="AJ13" t="inlineStr"/>
      <c r="AK13" t="inlineStr">
        <is>
          <t>earth_borer</t>
        </is>
      </c>
      <c r="AL13" t="inlineStr">
        <is>
          <t>doi</t>
        </is>
      </c>
      <c r="BG13" t="n">
        <v>1</v>
      </c>
      <c r="BH13" t="n">
        <v>1.0854</v>
      </c>
      <c r="BI13" t="inlineStr">
        <is>
          <t>tracked</t>
        </is>
      </c>
      <c r="BJ13" t="inlineStr">
        <is>
          <t>tracked</t>
        </is>
      </c>
      <c r="BK13" t="inlineStr">
        <is>
          <t>hung</t>
        </is>
      </c>
      <c r="BL13" t="inlineStr"/>
      <c r="BM13" t="n">
        <v>3</v>
      </c>
      <c r="BN13" t="n">
        <v>3</v>
      </c>
      <c r="BO13" t="inlineStr"/>
      <c r="BP13" t="inlineStr"/>
      <c r="BQ13" t="inlineStr"/>
      <c r="BR13" t="b">
        <v>1</v>
      </c>
      <c r="BS13" t="inlineStr">
        <is>
          <t>8</t>
        </is>
      </c>
      <c r="BT13" t="inlineStr">
        <is>
          <t>c8m05</t>
        </is>
      </c>
      <c r="BU13" t="inlineStr">
        <is>
          <t>tuan:66;day_du:60</t>
        </is>
      </c>
      <c r="BY13" t="n">
        <v>4</v>
      </c>
      <c r="CH13" t="b">
        <v>1</v>
      </c>
      <c r="CI13" t="n">
        <v>350</v>
      </c>
      <c r="CJ13" t="n">
        <v>2</v>
      </c>
      <c r="CK13" t="n">
        <v>6</v>
      </c>
      <c r="CL13" t="n">
        <v>1.5</v>
      </c>
      <c r="CM13" t="n">
        <v>14</v>
      </c>
      <c r="CN13" t="n">
        <v>6</v>
      </c>
      <c r="CO13" t="n">
        <v>14</v>
      </c>
      <c r="CQ13" t="n">
        <v>3</v>
      </c>
      <c r="CR13" t="n">
        <v>22</v>
      </c>
      <c r="CV13" t="n">
        <v>2</v>
      </c>
      <c r="CW13" t="n">
        <v>0</v>
      </c>
      <c r="CX13" t="n">
        <v>0</v>
      </c>
      <c r="DU13" t="n">
        <v>420</v>
      </c>
      <c r="DV13" t="n">
        <v>2.6</v>
      </c>
      <c r="DW13" t="n">
        <v>18</v>
      </c>
      <c r="DX13" t="inlineStr">
        <is>
          <t>Ultimate</t>
        </is>
      </c>
      <c r="EM13" t="b">
        <v>1</v>
      </c>
      <c r="EO13" t="inlineStr">
        <is>
          <t>tracked</t>
        </is>
      </c>
      <c r="EP13" t="inlineStr">
        <is>
          <t>hung</t>
        </is>
      </c>
      <c r="EW13" t="n">
        <v>72000</v>
      </c>
      <c r="FF13" t="n">
        <v>23.5</v>
      </c>
      <c r="FG13" t="inlineStr">
        <is>
          <t>Hull</t>
        </is>
      </c>
      <c r="GK13" t="n">
        <v>1.0854</v>
      </c>
      <c r="HF13" t="inlineStr">
        <is>
          <t>radio.hung.borer</t>
        </is>
      </c>
      <c r="HG13" t="n">
        <v>6</v>
      </c>
      <c r="HH13" t="inlineStr">
        <is>
          <t>mini</t>
        </is>
      </c>
      <c r="HW13" t="n">
        <v>1</v>
      </c>
      <c r="IB13" t="n">
        <v>0.85</v>
      </c>
      <c r="IC13" t="inlineStr">
        <is>
          <t>boss_rage</t>
        </is>
      </c>
      <c r="ID13" t="n">
        <v>3.2</v>
      </c>
      <c r="JP13" t="n">
        <v>22</v>
      </c>
      <c r="JQ13" t="n">
        <v>40</v>
      </c>
      <c r="KA13" t="n">
        <v>55</v>
      </c>
      <c r="KE13" t="inlineStr">
        <is>
          <t>borer_drill</t>
        </is>
      </c>
      <c r="KF13" t="n">
        <v>2.874</v>
      </c>
      <c r="KG13" t="n">
        <v>5.8</v>
      </c>
      <c r="KH13" t="inlineStr">
        <is>
          <t>Assets/MachineBrigade/Resources/Data/balance.json: vehicles[150]</t>
        </is>
      </c>
      <c r="KI13" t="inlineStr">
        <is>
          <t>{"id":"earth_borer","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4">
      <c r="A14" t="inlineStr">
        <is>
          <t>fenrir</t>
        </is>
      </c>
      <c r="B14" t="inlineStr">
        <is>
          <t>mini</t>
        </is>
      </c>
      <c r="C14" t="inlineStr">
        <is>
          <t>Fenrir · Vanguard</t>
        </is>
      </c>
      <c r="D14" t="inlineStr">
        <is>
          <t>Fenrir · Xe tiên phong</t>
        </is>
      </c>
      <c r="E14" t="inlineStr">
        <is>
          <t>Fenrir</t>
        </is>
      </c>
      <c r="F14" t="inlineStr"/>
      <c r="G14" t="inlineStr"/>
      <c r="H14" t="inlineStr"/>
      <c r="I14" t="n">
        <v>0</v>
      </c>
      <c r="J14" t="n">
        <v>29950</v>
      </c>
      <c r="K14" t="n">
        <v>25457.5</v>
      </c>
      <c r="L14" t="n">
        <v>4</v>
      </c>
      <c r="M14" t="n">
        <v>4</v>
      </c>
      <c r="N14" t="n">
        <v>3</v>
      </c>
      <c r="O14" t="n">
        <v>2</v>
      </c>
      <c r="P14" t="b">
        <v>0</v>
      </c>
      <c r="Q14" t="n">
        <v>4.4</v>
      </c>
      <c r="R14" t="n">
        <v>34</v>
      </c>
      <c r="S14" t="n">
        <v>25</v>
      </c>
      <c r="T14" t="n">
        <v>60</v>
      </c>
      <c r="U14" t="n">
        <v>7.5</v>
      </c>
      <c r="V14" t="n">
        <v>19.308</v>
      </c>
      <c r="W14" t="n">
        <v>10.92</v>
      </c>
      <c r="X14" t="b">
        <v>0</v>
      </c>
      <c r="Y14" t="n">
        <v>0</v>
      </c>
      <c r="Z14" t="b">
        <v>0</v>
      </c>
      <c r="AA14" t="b">
        <v>1</v>
      </c>
      <c r="AB14" t="n">
        <v>0</v>
      </c>
      <c r="AC14" t="n">
        <v>3.5</v>
      </c>
      <c r="AD14" t="n">
        <v>0.9508</v>
      </c>
      <c r="AE14" t="inlineStr">
        <is>
          <t>p26_jotunn_sec_jo_rockets</t>
        </is>
      </c>
      <c r="AF14" t="inlineStr">
        <is>
          <t>p26_jotunn_sec_jo_rockets;p26_jotunn_close_boss_flak</t>
        </is>
      </c>
      <c r="AG14" t="inlineStr">
        <is>
          <t>fortress_barrage;boss_emp</t>
        </is>
      </c>
      <c r="AH14" t="inlineStr">
        <is>
          <t>none</t>
        </is>
      </c>
      <c r="AI14" t="inlineStr"/>
      <c r="AJ14" t="inlineStr"/>
      <c r="AK14" t="inlineStr">
        <is>
          <t>fenrir</t>
        </is>
      </c>
      <c r="AL14" t="inlineStr">
        <is>
          <t>doi</t>
        </is>
      </c>
      <c r="BG14" t="n">
        <v>1</v>
      </c>
      <c r="BH14" t="n">
        <v>0.9508</v>
      </c>
      <c r="BI14" t="inlineStr">
        <is>
          <t>tracked</t>
        </is>
      </c>
      <c r="BJ14" t="inlineStr">
        <is>
          <t>tracked</t>
        </is>
      </c>
      <c r="BK14" t="inlineStr">
        <is>
          <t>orlov</t>
        </is>
      </c>
      <c r="BL14" t="inlineStr">
        <is>
          <t>mobile_fortress</t>
        </is>
      </c>
      <c r="BM14" t="n">
        <v>3</v>
      </c>
      <c r="BN14" t="n">
        <v>3</v>
      </c>
      <c r="BO14" t="inlineStr"/>
      <c r="BP14" t="inlineStr"/>
      <c r="BQ14" t="inlineStr"/>
      <c r="BR14" t="b">
        <v>0</v>
      </c>
      <c r="BS14" t="inlineStr">
        <is>
          <t>3</t>
        </is>
      </c>
      <c r="BT14" t="inlineStr">
        <is>
          <t>c3s2</t>
        </is>
      </c>
      <c r="BU14" t="inlineStr">
        <is>
          <t>tuan:66;day_du:60</t>
        </is>
      </c>
      <c r="BZ14" t="n">
        <v>4</v>
      </c>
      <c r="CA14" t="n">
        <v>3</v>
      </c>
      <c r="CB14" t="n">
        <v>4</v>
      </c>
      <c r="CC14" t="n">
        <v>2</v>
      </c>
      <c r="EP14" t="inlineStr">
        <is>
          <t>orlov</t>
        </is>
      </c>
      <c r="EW14" t="n">
        <v>29950</v>
      </c>
      <c r="HF14" t="inlineStr">
        <is>
          <t>radio.orlov.fenrir</t>
        </is>
      </c>
      <c r="HX14" t="n">
        <v>35</v>
      </c>
      <c r="HY14" t="n">
        <v>25</v>
      </c>
      <c r="HZ14" t="n">
        <v>6</v>
      </c>
      <c r="ID14" t="n">
        <v>4.4</v>
      </c>
      <c r="JP14" t="n">
        <v>34</v>
      </c>
      <c r="JS14" t="inlineStr">
        <is>
          <t>rockets_l;rockets_r;flak_l</t>
        </is>
      </c>
      <c r="JT14" t="inlineStr">
        <is>
          <t>frost</t>
        </is>
      </c>
      <c r="JV14" t="inlineStr">
        <is>
          <t>mobile_fortress</t>
        </is>
      </c>
      <c r="JW14" t="n">
        <v>0.5051</v>
      </c>
      <c r="JX14" t="n">
        <v>1.06</v>
      </c>
      <c r="JY14" t="n">
        <v>0.9399999999999999</v>
      </c>
      <c r="JZ14" t="n">
        <v>0.86</v>
      </c>
      <c r="KF14" t="n">
        <v>2.222</v>
      </c>
      <c r="KH14" t="inlineStr">
        <is>
          <t>Assets/MachineBrigade/Resources/Data/balance.json: vehicles[164]</t>
        </is>
      </c>
      <c r="KI14" t="inlineStr">
        <is>
          <t>{"id":"fenrir","guard":null,"wake":null,"armour":[4,4,3,2],"variantOf":"mobile_fortress","hp":29950,"weaponDamage":2.222,"general":"orlov","radioSpawn":"radio.orlov.fenrir","speed":4.4,"turnRate":34,"scoot":{"shots":6,"min":25,"max":35},"variant":{"size":0.5051,"keep":["rockets_l","rockets_r","flak_l"],"tint":[0.86,0.94,1.06],"mark":"frost","tune":{"rockets_l":{"hp":0.13},"rockets_r":{"hp":0.13},"flak_l":{"hp":0.1}}}}</t>
        </is>
      </c>
    </row>
    <row r="15">
      <c r="A15" t="inlineStr">
        <is>
          <t>fortress_bastion</t>
        </is>
      </c>
      <c r="B15" t="inlineStr">
        <is>
          <t>main</t>
        </is>
      </c>
      <c r="C15" t="inlineStr">
        <is>
          <t>Bastion · Fortress</t>
        </is>
      </c>
      <c r="D15" t="inlineStr">
        <is>
          <t>Bastion · Pháo đài</t>
        </is>
      </c>
      <c r="E15" t="inlineStr">
        <is>
          <t>Bastion</t>
        </is>
      </c>
      <c r="F15" t="inlineStr"/>
      <c r="G15" t="inlineStr"/>
      <c r="H15" t="inlineStr"/>
      <c r="I15" t="n">
        <v>0</v>
      </c>
      <c r="J15" t="n">
        <v>25900</v>
      </c>
      <c r="K15" t="n">
        <v>22015</v>
      </c>
      <c r="L15" t="n">
        <v>5</v>
      </c>
      <c r="M15" t="n">
        <v>3</v>
      </c>
      <c r="N15" t="n">
        <v>2</v>
      </c>
      <c r="O15" t="n">
        <v>3</v>
      </c>
      <c r="P15" t="b">
        <v>0</v>
      </c>
      <c r="Q15" t="n">
        <v>1.5</v>
      </c>
      <c r="R15" t="n">
        <v>18</v>
      </c>
      <c r="S15" t="n">
        <v>22</v>
      </c>
      <c r="T15" t="n">
        <v>64</v>
      </c>
      <c r="U15" t="n">
        <v>7.5</v>
      </c>
      <c r="V15" t="n">
        <v>19.884</v>
      </c>
      <c r="W15" t="n">
        <v>10.92</v>
      </c>
      <c r="X15" t="b">
        <v>0</v>
      </c>
      <c r="Y15" t="n">
        <v>0</v>
      </c>
      <c r="Z15" t="b">
        <v>0</v>
      </c>
      <c r="AA15" t="b">
        <v>1</v>
      </c>
      <c r="AB15" t="n">
        <v>0</v>
      </c>
      <c r="AC15" t="n">
        <v>3.5</v>
      </c>
      <c r="AD15" t="n">
        <v>1</v>
      </c>
      <c r="AE15" t="inlineStr">
        <is>
          <t>p26_bastion_sec_b240</t>
        </is>
      </c>
      <c r="AF15" t="inlineStr">
        <is>
          <t>p26_bastion_direct_b100;p26_bastion_direct_b100;p26_bastion_tiny_autocannon_40;p26_bastion_tiny_autocannon_40;p26_bastion_tiny_kornet_twin;p26_bastion_close_boss_hmg;p26_bastion_close_boss_hmg;p26_bastion_main_b155;p26_bastion_tiny_zu23;p26_bastion_tiny_zu23</t>
        </is>
      </c>
      <c r="AG15" t="inlineStr">
        <is>
          <t>train_patch;boss_bulwark;fortress_barrage</t>
        </is>
      </c>
      <c r="AH15" t="inlineStr">
        <is>
          <t>none</t>
        </is>
      </c>
      <c r="AI15" t="inlineStr"/>
      <c r="AJ15" t="inlineStr"/>
      <c r="AK15" t="inlineStr">
        <is>
          <t>fortress_bastion</t>
        </is>
      </c>
      <c r="AL15" t="inlineStr">
        <is>
          <t>giong</t>
        </is>
      </c>
      <c r="BI15" t="inlineStr">
        <is>
          <t>tracked</t>
        </is>
      </c>
      <c r="BJ15" t="inlineStr">
        <is>
          <t>tracked</t>
        </is>
      </c>
      <c r="BK15" t="inlineStr">
        <is>
          <t>brandt</t>
        </is>
      </c>
      <c r="BL15" t="inlineStr"/>
      <c r="BM15" t="n">
        <v>11</v>
      </c>
      <c r="BN15" t="n">
        <v>15</v>
      </c>
      <c r="BO15" t="inlineStr">
        <is>
          <t>bastion_420_shell</t>
        </is>
      </c>
      <c r="BP15" t="n">
        <v>45</v>
      </c>
      <c r="BQ15" t="inlineStr">
        <is>
          <t>group</t>
        </is>
      </c>
      <c r="BR15" t="b">
        <v>1</v>
      </c>
      <c r="BS15" t="inlineStr">
        <is>
          <t>1</t>
        </is>
      </c>
      <c r="BT15" t="inlineStr"/>
      <c r="BU15" t="inlineStr">
        <is>
          <t>tuan:168;day_du:150</t>
        </is>
      </c>
      <c r="BZ15" t="n">
        <v>5</v>
      </c>
      <c r="CA15" t="n">
        <v>2</v>
      </c>
      <c r="CB15" t="n">
        <v>3</v>
      </c>
      <c r="CC15" t="n">
        <v>3</v>
      </c>
      <c r="CD15" t="inlineStr">
        <is>
          <t>bastion_420_shell</t>
        </is>
      </c>
      <c r="CH15" t="b">
        <v>1</v>
      </c>
      <c r="CW15" t="n">
        <v>0</v>
      </c>
      <c r="CX15" t="n">
        <v>0</v>
      </c>
      <c r="DU15" t="n">
        <v>500</v>
      </c>
      <c r="DV15" t="n">
        <v>2.6</v>
      </c>
      <c r="DW15" t="n">
        <v>21</v>
      </c>
      <c r="DX15" t="inlineStr">
        <is>
          <t>Ultimate</t>
        </is>
      </c>
      <c r="EM15" t="b">
        <v>1</v>
      </c>
      <c r="EO15" t="inlineStr">
        <is>
          <t>tracked</t>
        </is>
      </c>
      <c r="EP15" t="inlineStr">
        <is>
          <t>brandt</t>
        </is>
      </c>
      <c r="ER15" t="n">
        <v>4</v>
      </c>
      <c r="ES15" t="n">
        <v>150</v>
      </c>
      <c r="ET15" t="n">
        <v>5</v>
      </c>
      <c r="EU15" t="n">
        <v>6</v>
      </c>
      <c r="EV15" t="n">
        <v>15</v>
      </c>
      <c r="EW15" t="n">
        <v>25900</v>
      </c>
      <c r="FF15" t="n">
        <v>16.57</v>
      </c>
      <c r="FV15" t="inlineStr">
        <is>
          <t>p26_bastion_sec_b240</t>
        </is>
      </c>
      <c r="FW15" t="inlineStr">
        <is>
          <t>p26_bastion_direct_b100</t>
        </is>
      </c>
      <c r="FX15" t="inlineStr">
        <is>
          <t>p26_bastion_tiny_zu23</t>
        </is>
      </c>
      <c r="FY15" t="inlineStr">
        <is>
          <t>p26_bastion_direct_b100</t>
        </is>
      </c>
      <c r="FZ15" t="inlineStr">
        <is>
          <t>p26_bastion_tiny_autocannon_40</t>
        </is>
      </c>
      <c r="GA15" t="inlineStr">
        <is>
          <t>p26_bastion_tiny_autocannon_40</t>
        </is>
      </c>
      <c r="GB15" t="inlineStr">
        <is>
          <t>p26_bastion_tiny_kornet_twin</t>
        </is>
      </c>
      <c r="GC15" t="inlineStr">
        <is>
          <t>p26_bastion_close_boss_hmg</t>
        </is>
      </c>
      <c r="GD15" t="inlineStr">
        <is>
          <t>p26_bastion_close_boss_hmg</t>
        </is>
      </c>
      <c r="GE15" t="inlineStr">
        <is>
          <t>p26_bastion_main_b155</t>
        </is>
      </c>
      <c r="GF15" t="inlineStr">
        <is>
          <t>p26_bastion_tiny_zu23</t>
        </is>
      </c>
      <c r="HF15" t="inlineStr">
        <is>
          <t>radio.brandt.bastion</t>
        </is>
      </c>
      <c r="HG15" t="n">
        <v>7.5</v>
      </c>
      <c r="HH15" t="inlineStr">
        <is>
          <t>main</t>
        </is>
      </c>
      <c r="HW15" t="n">
        <v>1.2</v>
      </c>
      <c r="IB15" t="n">
        <v>1.51</v>
      </c>
      <c r="IC15" t="inlineStr">
        <is>
          <t>train_patch;boss_bulwark;fortress_barrage</t>
        </is>
      </c>
      <c r="ID15" t="n">
        <v>1.5</v>
      </c>
      <c r="JP15" t="n">
        <v>18</v>
      </c>
      <c r="JQ15" t="n">
        <v>22</v>
      </c>
      <c r="KA15" t="n">
        <v>64</v>
      </c>
      <c r="KE15" t="inlineStr">
        <is>
          <t>boss_mortar</t>
        </is>
      </c>
      <c r="KF15" t="n">
        <v>1</v>
      </c>
      <c r="KG15" t="n">
        <v>9.1</v>
      </c>
      <c r="KH15" t="inlineStr">
        <is>
          <t>Assets/MachineBrigade/Resources/Data/balance.json: vehicles[148]</t>
        </is>
      </c>
      <c r="KI15" t="inlineStr">
        <is>
          <t>{"id":"fortress_bastion","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-3.2,6.0,4.7],"radius":1.8,"mounts":[1]},{"id":"turret_fr","kind":"turret","hp":0.07,"armour":3,"node":"Mount_gun.001","wreck":"wreck_turret","at":[3.2,6.0,4.7],"radius":1.8,"mounts":[2]},{"id":"turret_rl","kind":"turret","hp":0.07,"armour":3,"node":"Mount_gun.002","wreck":"wreck_turret","at":[-2.6,-6.25,4.7],"radius":1.8,"mounts":[3,6]},{"id":"turret_rr","kind":"turret","hp":0.07,"armour":3,"node":"Mount_gun.003","wreck":"wreck_turret","at":[2.6,-6.25,4.7],"radius":1.8,"mounts":[4,7]},{"id":"kornet","kind":"missiles","hp":0.07,"armour":2,"node":"Part_missile","wreck":"wreck_launcher","at":[-0.85,-3.75,6.3],"radius":1.8,"mounts":[5]},{"use":"casemate_155","id":"casemate","node":"Mount_gun.004","at":[0,7.6,3.2]},{"use":"zu23","id":"zu23_l","node":"Mount_mg","at":[-3.9,-1.5,5.2]},{"use":"zu23","id":"zu23_r","node":"Mount_mg.001","at":[3.9,-1.5,5.2]}],"deathExplosion":{"damage":500,"radius":21,"delay":2.6,"tier":"Ultimate"}}</t>
        </is>
      </c>
    </row>
    <row r="16">
      <c r="A16" t="inlineStr">
        <is>
          <t>hydra</t>
        </is>
      </c>
      <c r="B16" t="inlineStr">
        <is>
          <t>mini</t>
        </is>
      </c>
      <c r="C16" t="inlineStr">
        <is>
          <t>Hydra · Drone Submarine</t>
        </is>
      </c>
      <c r="D16" t="inlineStr">
        <is>
          <t>Hydra · Tàu ngầm mang drone</t>
        </is>
      </c>
      <c r="E16" t="inlineStr">
        <is>
          <t>Hydra</t>
        </is>
      </c>
      <c r="F16" t="inlineStr"/>
      <c r="G16" t="inlineStr"/>
      <c r="H16" t="inlineStr"/>
      <c r="I16" t="n">
        <v>0</v>
      </c>
      <c r="J16" t="n">
        <v>81300</v>
      </c>
      <c r="K16" t="n">
        <v>69105</v>
      </c>
      <c r="L16" t="n">
        <v>4</v>
      </c>
      <c r="M16" t="n">
        <v>3</v>
      </c>
      <c r="N16" t="n">
        <v>2</v>
      </c>
      <c r="O16" t="n">
        <v>2</v>
      </c>
      <c r="P16" t="b">
        <v>0</v>
      </c>
      <c r="Q16" t="n">
        <v>4.5</v>
      </c>
      <c r="R16" t="n">
        <v>8</v>
      </c>
      <c r="S16" t="n">
        <v>40</v>
      </c>
      <c r="T16" t="n">
        <v>110</v>
      </c>
      <c r="U16" t="n">
        <v>11</v>
      </c>
      <c r="V16" t="n">
        <v>58</v>
      </c>
      <c r="W16" t="n">
        <v>12</v>
      </c>
      <c r="X16" t="b">
        <v>0</v>
      </c>
      <c r="Y16" t="n">
        <v>0</v>
      </c>
      <c r="Z16" t="b">
        <v>0</v>
      </c>
      <c r="AA16" t="b">
        <v>1</v>
      </c>
      <c r="AB16" t="n">
        <v>1</v>
      </c>
      <c r="AC16" t="n">
        <v>3.5</v>
      </c>
      <c r="AD16" t="n">
        <v>1</v>
      </c>
      <c r="AE16" t="inlineStr">
        <is>
          <t>p26_typhon_sec_ty57</t>
        </is>
      </c>
      <c r="AF16" t="inlineStr">
        <is>
          <t>p26_typhon_sec_ty57;p26_typhon_direct_ty100</t>
        </is>
      </c>
      <c r="AG16" t="inlineStr"/>
      <c r="AH16" t="inlineStr">
        <is>
          <t>none</t>
        </is>
      </c>
      <c r="AI16" t="inlineStr"/>
      <c r="AJ16" t="inlineStr"/>
      <c r="AK16" t="inlineStr">
        <is>
          <t>hydra_sub</t>
        </is>
      </c>
      <c r="AL16" t="inlineStr">
        <is>
          <t>giong</t>
        </is>
      </c>
      <c r="BI16" t="inlineStr">
        <is>
          <t>submarine</t>
        </is>
      </c>
      <c r="BJ16" t="inlineStr">
        <is>
          <t>submarine</t>
        </is>
      </c>
      <c r="BK16" t="inlineStr">
        <is>
          <t>hung</t>
        </is>
      </c>
      <c r="BL16" t="inlineStr">
        <is>
          <t>typhon</t>
        </is>
      </c>
      <c r="BM16" t="n">
        <v>3</v>
      </c>
      <c r="BN16" t="n">
        <v>5</v>
      </c>
      <c r="BO16" t="inlineStr"/>
      <c r="BP16" t="inlineStr"/>
      <c r="BQ16" t="inlineStr"/>
      <c r="BR16" t="b">
        <v>0</v>
      </c>
      <c r="BS16" t="inlineStr"/>
      <c r="BT16" t="inlineStr"/>
      <c r="BU16" t="inlineStr">
        <is>
          <t>tuan:66;day_du:60</t>
        </is>
      </c>
      <c r="BZ16" t="n">
        <v>4</v>
      </c>
      <c r="CA16" t="n">
        <v>2</v>
      </c>
      <c r="CB16" t="n">
        <v>3</v>
      </c>
      <c r="CC16" t="n">
        <v>2</v>
      </c>
      <c r="CM16" t="n">
        <v>12</v>
      </c>
      <c r="CR16" t="n">
        <v>16</v>
      </c>
      <c r="CS16" t="inlineStr">
        <is>
          <t>16;14</t>
        </is>
      </c>
      <c r="CT16" t="n">
        <v>10</v>
      </c>
      <c r="CU16" t="inlineStr">
        <is>
          <t>10;12</t>
        </is>
      </c>
      <c r="DG16" t="n">
        <v>240</v>
      </c>
      <c r="DH16" t="n">
        <v>16</v>
      </c>
      <c r="EP16" t="inlineStr">
        <is>
          <t>hung</t>
        </is>
      </c>
      <c r="EW16" t="n">
        <v>81300</v>
      </c>
      <c r="FR16" t="inlineStr">
        <is>
          <t>hydra_sub</t>
        </is>
      </c>
      <c r="FS16" t="n">
        <v>8</v>
      </c>
      <c r="FT16" t="n">
        <v>34.8</v>
      </c>
      <c r="FU16" t="n">
        <v>7.2</v>
      </c>
      <c r="HF16" t="inlineStr">
        <is>
          <t>radio.hung.hydra</t>
        </is>
      </c>
      <c r="ID16" t="n">
        <v>4.5</v>
      </c>
      <c r="JS16" t="inlineStr">
        <is>
          <t>doors_l;doors_r;deck_gun;rudder</t>
        </is>
      </c>
      <c r="JT16" t="inlineStr">
        <is>
          <t>hydra</t>
        </is>
      </c>
      <c r="JV16" t="inlineStr">
        <is>
          <t>typhon</t>
        </is>
      </c>
      <c r="JW16" t="n">
        <v>0.5057</v>
      </c>
      <c r="KF16" t="n">
        <v>1.292</v>
      </c>
      <c r="KH16" t="inlineStr">
        <is>
          <t>Assets/MachineBrigade/Resources/Data/balance.json: vehicles[175]</t>
        </is>
      </c>
      <c r="KI16" t="inlineStr">
        <is>
          <t>{"id":"hydra","armour":[4,3,2,2],"variantOf":"typhon","model":"hydra_sub","general":"hung","radioSpawn":"radio.hung.hydra","hp":81300,"weaponDamage":1.292,"speed":4.5,"modelSize":[34.8,7.2,8],"burrow":{"surface":16,"under":10,"first":12,"surfaceByPhase":[16,14],"underByPhase":[10,12]},"cruise":{"every":16,"damage":240},"fleet":[{"unit":"missile_boat","count":1}],"wake":null,"variant":{"size":0.5057,"keep":["doors_l","doors_r","deck_gun","rudder"],"mark":"hydra","tune":{"doors_l":{"hp":0.12},"doors_r":{"hp":0.12},"deck_gun":{"hp":0.12},"rudder":{"hp":0.1}}}}</t>
        </is>
      </c>
    </row>
    <row r="17">
      <c r="A17" t="inlineStr">
        <is>
          <t>hyperion</t>
        </is>
      </c>
      <c r="B17" t="inlineStr">
        <is>
          <t>main</t>
        </is>
      </c>
      <c r="C17" t="inlineStr">
        <is>
          <t>Hyperion · Orbital Mirror Station</t>
        </is>
      </c>
      <c r="D17" t="inlineStr">
        <is>
          <t>Hyperion · Trạm gương quỹ đạo</t>
        </is>
      </c>
      <c r="E17" t="inlineStr">
        <is>
          <t>Hyperion</t>
        </is>
      </c>
      <c r="F17" t="inlineStr"/>
      <c r="G17" t="inlineStr"/>
      <c r="H17" t="inlineStr"/>
      <c r="I17" t="n">
        <v>0</v>
      </c>
      <c r="J17" t="n">
        <v>176450</v>
      </c>
      <c r="K17" t="n">
        <v>149982.5</v>
      </c>
      <c r="L17" t="n">
        <v>4</v>
      </c>
      <c r="M17" t="n">
        <v>4</v>
      </c>
      <c r="N17" t="n">
        <v>4</v>
      </c>
      <c r="O17" t="n">
        <v>4</v>
      </c>
      <c r="P17" t="b">
        <v>0</v>
      </c>
      <c r="Q17" t="n">
        <v>3.5</v>
      </c>
      <c r="R17" t="n">
        <v>30</v>
      </c>
      <c r="S17" t="n">
        <v>120</v>
      </c>
      <c r="T17" t="n">
        <v>80</v>
      </c>
      <c r="U17" t="n">
        <v>10</v>
      </c>
      <c r="V17" t="n">
        <v>34</v>
      </c>
      <c r="W17" t="n">
        <v>22</v>
      </c>
      <c r="X17" t="b">
        <v>1</v>
      </c>
      <c r="Y17" t="n">
        <v>22</v>
      </c>
      <c r="Z17" t="b">
        <v>0</v>
      </c>
      <c r="AA17" t="b">
        <v>1</v>
      </c>
      <c r="AB17" t="n">
        <v>0</v>
      </c>
      <c r="AC17" t="n">
        <v>3.5</v>
      </c>
      <c r="AD17" t="n">
        <v>1</v>
      </c>
      <c r="AE17" t="inlineStr">
        <is>
          <t>p26_icarus_sec_orbital_laser</t>
        </is>
      </c>
      <c r="AF17" t="inlineStr">
        <is>
          <t>p26_icarus_main_ic_coil;p26_icarus_main_ic_coil;p26_icarus_direct_ic_laser;p26_icarus_direct_ic_laser</t>
        </is>
      </c>
      <c r="AG17" t="inlineStr">
        <is>
          <t>boss_rage</t>
        </is>
      </c>
      <c r="AH17" t="inlineStr">
        <is>
          <t>aps</t>
        </is>
      </c>
      <c r="AI17" t="n">
        <v>3</v>
      </c>
      <c r="AJ17" t="n">
        <v>1.4</v>
      </c>
      <c r="AK17" t="inlineStr">
        <is>
          <t>hyperion</t>
        </is>
      </c>
      <c r="AL17" t="inlineStr">
        <is>
          <t>giong</t>
        </is>
      </c>
      <c r="BI17" t="inlineStr">
        <is>
          <t>spacecraft</t>
        </is>
      </c>
      <c r="BJ17" t="inlineStr">
        <is>
          <t>spacecraft</t>
        </is>
      </c>
      <c r="BK17" t="inlineStr">
        <is>
          <t>aurel</t>
        </is>
      </c>
      <c r="BL17" t="inlineStr">
        <is>
          <t>silver_bug</t>
        </is>
      </c>
      <c r="BM17" t="n">
        <v>5</v>
      </c>
      <c r="BN17" t="n">
        <v>5</v>
      </c>
      <c r="BO17" t="inlineStr">
        <is>
          <t>hyperion_sun_beam</t>
        </is>
      </c>
      <c r="BP17" t="n">
        <v>50</v>
      </c>
      <c r="BQ17" t="inlineStr">
        <is>
          <t>group</t>
        </is>
      </c>
      <c r="BR17" t="b">
        <v>0</v>
      </c>
      <c r="BS17" t="inlineStr"/>
      <c r="BT17" t="inlineStr"/>
      <c r="BU17" t="inlineStr">
        <is>
          <t>tuan:168;day_du:150</t>
        </is>
      </c>
      <c r="CD17" t="inlineStr">
        <is>
          <t>hyperion_sun_beam</t>
        </is>
      </c>
      <c r="EP17" t="inlineStr">
        <is>
          <t>aurel</t>
        </is>
      </c>
      <c r="EW17" t="n">
        <v>176450</v>
      </c>
      <c r="FR17" t="inlineStr">
        <is>
          <t>hyperion</t>
        </is>
      </c>
      <c r="FS17" t="n">
        <v>20</v>
      </c>
      <c r="FT17" t="n">
        <v>67.2</v>
      </c>
      <c r="FU17" t="n">
        <v>43.7</v>
      </c>
      <c r="GO17" t="n">
        <v>2</v>
      </c>
      <c r="GR17" t="n">
        <v>60</v>
      </c>
      <c r="GT17" t="n">
        <v>10</v>
      </c>
      <c r="GU17" t="n">
        <v>4</v>
      </c>
      <c r="HF17" t="inlineStr">
        <is>
          <t>radio.aurel.hyperion</t>
        </is>
      </c>
      <c r="HH17" t="inlineStr">
        <is>
          <t>main</t>
        </is>
      </c>
      <c r="ID17" t="n">
        <v>3.5</v>
      </c>
      <c r="JM17" t="inlineStr">
        <is>
          <t>radio.aurel.hyperion.phase2</t>
        </is>
      </c>
      <c r="JN17" t="inlineStr">
        <is>
          <t>radio.aurel.hyperion.phase3</t>
        </is>
      </c>
      <c r="JR17" t="inlineStr">
        <is>
          <t>crash_turret_l;crash_turret_r;uplink</t>
        </is>
      </c>
      <c r="JT17" t="inlineStr">
        <is>
          <t>hyperion</t>
        </is>
      </c>
      <c r="JV17" t="inlineStr">
        <is>
          <t>silver_bug</t>
        </is>
      </c>
      <c r="JW17" t="n">
        <v>1.2</v>
      </c>
      <c r="KF17" t="n">
        <v>1.111</v>
      </c>
      <c r="KH17" t="inlineStr">
        <is>
          <t>Assets/MachineBrigade/Resources/Data/balance.json: vehicles[173]</t>
        </is>
      </c>
      <c r="KI17" t="inlineStr">
        <is>
          <t>{"id":"hyperion","variantOf":"silver_bug","model":"hyperion","rank":"main","general":"aurel","radioSpawn":"radio.aurel.hyperion","hp":176450,"weaponDamage":1.111,"speed":3.5,"bigAttack":"hyperion_sun_beam","arena":null,"modelSize":[67.2,43.7,20],"tiers":{"crash":null,"hijack":null,"schedule":[{"steps":[{"tier":"high","seconds":60}]},{"steps":[{"tier":"high","seconds":60}]},{"steps":[{"tier":"high","seconds":60}]}],"radio":{"phase2":"radio.aurel.hyperion.phase2","phase3":"radio.aurel.hyperion.phase3"}},"pods":{"first":10,"every":60,"count":2,"max":4},"variant":{"size":1.2,"drop":["crash_turret_l","crash_turret_r","uplink"],"mark":"hyperion","tune":{"main_laser":{"hp":0.07,"at":[0,0,1.92]},"main_engine":{"hp":0.07,"at":[0,-3.83,7.83]},"thruster_fl":{"hp":0.07,"at":[-8.36,14.47,9.17]},"thruster_fr":{"hp":0.07,"at":[8.36,14.47,9.17]},"thruster_rl":{"hp":0.07,"at":[-8.36,-14.47,9.17]},"thruster_rr":{"hp":0.07,"at":[8.36,-14.47,9.17]},"pd_laser_l":{"hp":0.07,"at":[-12.17,7,9]},"pd_laser_r":{"hp":0.07,"at":[12.17,7,9]},"pod_bay":{"hp":0.07,"at":[0,-7.5,3.67]}}}}</t>
        </is>
      </c>
    </row>
    <row r="18">
      <c r="A18" t="inlineStr">
        <is>
          <t>icarus_mk0</t>
        </is>
      </c>
      <c r="B18" t="inlineStr">
        <is>
          <t>mini</t>
        </is>
      </c>
      <c r="C18" t="inlineStr">
        <is>
          <t>Icarus Mk.0 · Prototype Spacecraft</t>
        </is>
      </c>
      <c r="D18" t="inlineStr">
        <is>
          <t>Icarus Mk.0 · Phi thuyền nguyên mẫu</t>
        </is>
      </c>
      <c r="E18" t="inlineStr">
        <is>
          <t>Icarus Mk.0</t>
        </is>
      </c>
      <c r="F18" t="inlineStr"/>
      <c r="G18" t="inlineStr"/>
      <c r="H18" t="inlineStr"/>
      <c r="I18" t="n">
        <v>0</v>
      </c>
      <c r="J18" t="n">
        <v>94850</v>
      </c>
      <c r="K18" t="n">
        <v>80622.5</v>
      </c>
      <c r="L18" t="n">
        <v>4</v>
      </c>
      <c r="M18" t="n">
        <v>4</v>
      </c>
      <c r="N18" t="n">
        <v>4</v>
      </c>
      <c r="O18" t="n">
        <v>4</v>
      </c>
      <c r="P18" t="b">
        <v>0</v>
      </c>
      <c r="Q18" t="n">
        <v>5</v>
      </c>
      <c r="R18" t="n">
        <v>30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c r="AG18" t="inlineStr">
        <is>
          <t>boss_rage</t>
        </is>
      </c>
      <c r="AH18" t="inlineStr">
        <is>
          <t>aps</t>
        </is>
      </c>
      <c r="AI18" t="n">
        <v>3</v>
      </c>
      <c r="AJ18" t="n">
        <v>1.4</v>
      </c>
      <c r="AK18" t="inlineStr">
        <is>
          <t>icarus_mk0</t>
        </is>
      </c>
      <c r="AL18" t="inlineStr">
        <is>
          <t>giong</t>
        </is>
      </c>
      <c r="BI18" t="inlineStr">
        <is>
          <t>spacecraft</t>
        </is>
      </c>
      <c r="BJ18" t="inlineStr">
        <is>
          <t>spacecraft</t>
        </is>
      </c>
      <c r="BK18" t="inlineStr">
        <is>
          <t>aurel</t>
        </is>
      </c>
      <c r="BL18" t="inlineStr">
        <is>
          <t>silver_bug</t>
        </is>
      </c>
      <c r="BM18" t="n">
        <v>1</v>
      </c>
      <c r="BN18" t="n">
        <v>1</v>
      </c>
      <c r="BO18" t="inlineStr"/>
      <c r="BP18" t="inlineStr"/>
      <c r="BQ18" t="inlineStr"/>
      <c r="BR18" t="b">
        <v>0</v>
      </c>
      <c r="BS18" t="inlineStr">
        <is>
          <t>10</t>
        </is>
      </c>
      <c r="BT18" t="inlineStr">
        <is>
          <t>c10m05</t>
        </is>
      </c>
      <c r="BU18" t="inlineStr">
        <is>
          <t>tuan:66;day_du:60</t>
        </is>
      </c>
      <c r="EP18" t="inlineStr">
        <is>
          <t>aurel</t>
        </is>
      </c>
      <c r="EW18" t="n">
        <v>94850</v>
      </c>
      <c r="GO18" t="n">
        <v>1</v>
      </c>
      <c r="GR18" t="n">
        <v>18</v>
      </c>
      <c r="GU18" t="n">
        <v>4</v>
      </c>
      <c r="HF18" t="inlineStr">
        <is>
          <t>radio.aurel.icarus_mk0</t>
        </is>
      </c>
      <c r="IA18" t="inlineStr"/>
      <c r="JE18" t="inlineStr">
        <is>
          <t>0.45</t>
        </is>
      </c>
      <c r="JF18" t="n">
        <v>0</v>
      </c>
      <c r="JM18" t="inlineStr">
        <is>
          <t>radio.aurel.icarus_mk0.phase2</t>
        </is>
      </c>
      <c r="JS18" t="inlineStr">
        <is>
          <t>main_laser;pod_bay;pd_laser_l</t>
        </is>
      </c>
      <c r="JT18" t="inlineStr">
        <is>
          <t>mk0</t>
        </is>
      </c>
      <c r="JU18" t="inlineStr">
        <is>
          <t>mk0</t>
        </is>
      </c>
      <c r="JV18" t="inlineStr">
        <is>
          <t>silver_bug</t>
        </is>
      </c>
      <c r="JW18" t="n">
        <v>0.4</v>
      </c>
      <c r="JX18" t="n">
        <v>0.96</v>
      </c>
      <c r="JY18" t="n">
        <v>0.86</v>
      </c>
      <c r="JZ18" t="n">
        <v>0.86</v>
      </c>
      <c r="KF18" t="n">
        <v>2.275</v>
      </c>
      <c r="KH18" t="inlineStr">
        <is>
          <t>Assets/MachineBrigade/Resources/Data/balance.json: vehicles[168]</t>
        </is>
      </c>
      <c r="KI18" t="inlineStr">
        <is>
          <t>{"id":"icarus_mk0","interceptionMode":"PointDefense","variantOf":"silver_bug","hp":94850,"weaponDamage":2.275,"general":"aurel","radioSpawn":"radio.aurel.icarus_mk0","secondary":[],"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19">
      <c r="A19" t="inlineStr">
        <is>
          <t>ixion</t>
        </is>
      </c>
      <c r="B19" t="inlineStr">
        <is>
          <t>mini</t>
        </is>
      </c>
      <c r="C19" t="inlineStr">
        <is>
          <t>Ixion · Armoured Mine Truck</t>
        </is>
      </c>
      <c r="D19" t="inlineStr">
        <is>
          <t>Ixion · Xe tải mỏ bọc thép</t>
        </is>
      </c>
      <c r="E19" t="inlineStr">
        <is>
          <t>Ixion</t>
        </is>
      </c>
      <c r="F19" t="inlineStr"/>
      <c r="G19" t="inlineStr"/>
      <c r="H19" t="inlineStr"/>
      <c r="I19" t="n">
        <v>0</v>
      </c>
      <c r="J19" t="n">
        <v>72000</v>
      </c>
      <c r="K19" t="n">
        <v>61200</v>
      </c>
      <c r="L19" t="n">
        <v>4</v>
      </c>
      <c r="M19" t="n">
        <v>3</v>
      </c>
      <c r="N19" t="n">
        <v>2</v>
      </c>
      <c r="O19" t="n">
        <v>2</v>
      </c>
      <c r="P19" t="b">
        <v>0</v>
      </c>
      <c r="Q19" t="n">
        <v>7</v>
      </c>
      <c r="R19" t="n">
        <v>6</v>
      </c>
      <c r="S19" t="n">
        <v>90</v>
      </c>
      <c r="T19" t="n">
        <v>50</v>
      </c>
      <c r="U19" t="n">
        <v>11</v>
      </c>
      <c r="V19" t="n">
        <v>26</v>
      </c>
      <c r="W19" t="n">
        <v>12</v>
      </c>
      <c r="X19" t="b">
        <v>0</v>
      </c>
      <c r="Y19" t="n">
        <v>0</v>
      </c>
      <c r="Z19" t="b">
        <v>0</v>
      </c>
      <c r="AA19" t="b">
        <v>1</v>
      </c>
      <c r="AB19" t="n">
        <v>1</v>
      </c>
      <c r="AC19" t="n">
        <v>3.5</v>
      </c>
      <c r="AD19" t="n">
        <v>1.7571</v>
      </c>
      <c r="AE19" t="inlineStr">
        <is>
          <t>p26_ixion_125</t>
        </is>
      </c>
      <c r="AF19" t="inlineStr">
        <is>
          <t>p26_ixion_mg;p26_ixion_mg</t>
        </is>
      </c>
      <c r="AG19" t="inlineStr"/>
      <c r="AH19" t="inlineStr">
        <is>
          <t>none</t>
        </is>
      </c>
      <c r="AI19" t="inlineStr"/>
      <c r="AJ19" t="inlineStr"/>
      <c r="AK19" t="inlineStr">
        <is>
          <t>ixion</t>
        </is>
      </c>
      <c r="AL19" t="inlineStr">
        <is>
          <t>doi</t>
        </is>
      </c>
      <c r="BG19" t="n">
        <v>1</v>
      </c>
      <c r="BH19" t="n">
        <v>1.7571</v>
      </c>
      <c r="BI19" t="inlineStr">
        <is>
          <t>wheeled</t>
        </is>
      </c>
      <c r="BJ19" t="inlineStr">
        <is>
          <t>wheeled</t>
        </is>
      </c>
      <c r="BK19" t="inlineStr">
        <is>
          <t>hung</t>
        </is>
      </c>
      <c r="BL19" t="inlineStr"/>
      <c r="BM19" t="n">
        <v>3</v>
      </c>
      <c r="BN19" t="n">
        <v>3</v>
      </c>
      <c r="BO19" t="inlineStr">
        <is>
          <t>ixion_crush_charge</t>
        </is>
      </c>
      <c r="BP19" t="n">
        <v>10</v>
      </c>
      <c r="BQ19" t="inlineStr">
        <is>
          <t>group</t>
        </is>
      </c>
      <c r="BR19" t="b">
        <v>0</v>
      </c>
      <c r="BS19" t="inlineStr">
        <is>
          <t>8</t>
        </is>
      </c>
      <c r="BT19" t="inlineStr">
        <is>
          <t>c8m07</t>
        </is>
      </c>
      <c r="BU19" t="inlineStr">
        <is>
          <t>tuan:66;day_du:60</t>
        </is>
      </c>
      <c r="BZ19" t="n">
        <v>4</v>
      </c>
      <c r="CA19" t="n">
        <v>2</v>
      </c>
      <c r="CB19" t="n">
        <v>3</v>
      </c>
      <c r="CC19" t="n">
        <v>2</v>
      </c>
      <c r="CD19" t="inlineStr">
        <is>
          <t>ixion_crush_charge</t>
        </is>
      </c>
      <c r="CE19" t="n">
        <v>1</v>
      </c>
      <c r="CF19" t="n">
        <v>1</v>
      </c>
      <c r="CG19" t="n">
        <v>0</v>
      </c>
      <c r="CH19" t="b">
        <v>1</v>
      </c>
      <c r="DP19" t="n">
        <v>0.2</v>
      </c>
      <c r="DQ19" t="n">
        <v>700</v>
      </c>
      <c r="DR19" t="n">
        <v>2</v>
      </c>
      <c r="DS19" t="n">
        <v>3</v>
      </c>
      <c r="DT19" t="n">
        <v>1.5</v>
      </c>
      <c r="DU19" t="n">
        <v>320</v>
      </c>
      <c r="DV19" t="n">
        <v>2.2</v>
      </c>
      <c r="DW19" t="n">
        <v>14</v>
      </c>
      <c r="DX19" t="inlineStr">
        <is>
          <t>Ultimate</t>
        </is>
      </c>
      <c r="EO19" t="inlineStr">
        <is>
          <t>wheeled</t>
        </is>
      </c>
      <c r="EP19" t="inlineStr">
        <is>
          <t>hung</t>
        </is>
      </c>
      <c r="EW19" t="n">
        <v>72000</v>
      </c>
      <c r="FF19" t="n">
        <v>26</v>
      </c>
      <c r="FJ19" t="n">
        <v>380</v>
      </c>
      <c r="FK19" t="n">
        <v>8</v>
      </c>
      <c r="FL19" t="n">
        <v>20</v>
      </c>
      <c r="FM19" t="n">
        <v>6</v>
      </c>
      <c r="FN19" t="n">
        <v>4</v>
      </c>
      <c r="FO19" t="inlineStr">
        <is>
          <t>Large</t>
        </is>
      </c>
      <c r="FP19" t="n">
        <v>2.2</v>
      </c>
      <c r="FQ19" t="n">
        <v>15</v>
      </c>
      <c r="FR19" t="inlineStr">
        <is>
          <t>ixion</t>
        </is>
      </c>
      <c r="FS19" t="n">
        <v>10</v>
      </c>
      <c r="FT19" t="n">
        <v>26</v>
      </c>
      <c r="FU19" t="n">
        <v>12</v>
      </c>
      <c r="FV19" t="inlineStr">
        <is>
          <t>p26_ixion_125</t>
        </is>
      </c>
      <c r="FW19" t="inlineStr">
        <is>
          <t>p26_ixion_mg</t>
        </is>
      </c>
      <c r="FY19" t="inlineStr">
        <is>
          <t>p26_ixion_mg</t>
        </is>
      </c>
      <c r="GK19" t="n">
        <v>1.7571</v>
      </c>
      <c r="HF19" t="inlineStr">
        <is>
          <t>radio.hung.ixion</t>
        </is>
      </c>
      <c r="HG19" t="n">
        <v>11</v>
      </c>
      <c r="HH19" t="inlineStr">
        <is>
          <t>mini</t>
        </is>
      </c>
      <c r="ID19" t="n">
        <v>7</v>
      </c>
      <c r="JP19" t="n">
        <v>6</v>
      </c>
      <c r="JQ19" t="n">
        <v>90</v>
      </c>
      <c r="KA19" t="n">
        <v>50</v>
      </c>
      <c r="KE19" t="inlineStr">
        <is>
          <t>p26_ixion_125</t>
        </is>
      </c>
      <c r="KF19" t="n">
        <v>1</v>
      </c>
      <c r="KG19" t="n">
        <v>12</v>
      </c>
      <c r="KH19" t="inlineStr">
        <is>
          <t>Assets/MachineBrigade/Resources/Data/balance.json: vehicles[162]</t>
        </is>
      </c>
      <c r="KI19" t="inlineStr">
        <is>
          <t>{"id":"ixion","outgoingDamageMult":1.7571,"mines":{"interval":8,"max":6,"damage":380,"radius":4,"tier":"Large","trigger":2.2,"life":20,"turnStrip":15},"bigAttackScale":{"damage":1,"cooldown":1,"warn":0},"bigAttack":"ixion_crush_charge","mountWeapons":{"0":"p26_ixion_125","1":"p26_ixion_mg","2":"p26_ixion_mg"},"modelSize":[26,12,10],"frame":"wheeled","rank":"mini","general":"hung","boss":true,"radioSpawn":"radio.hung.ixion","model":"ixion","armour":[4,3,2,2],"hp":72000,"weaponDamage":1,"speed":7,"turnRate":6,"turretTurnRate":90,"radius":11,"length":26,"width":12,"vision":50,"weapon":"p26_ixion_125","secondary":[{"weapon":"p26_ixion_mg","slot":"mg","aim":"Free"},{"weapon":"p26_ixion_mg","slot":"mg","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0">
      <c r="A20" t="inlineStr">
        <is>
          <t>kraken</t>
        </is>
      </c>
      <c r="B20" t="inlineStr">
        <is>
          <t>main</t>
        </is>
      </c>
      <c r="C20" t="inlineStr">
        <is>
          <t>Kraken · Aircraft Carrier</t>
        </is>
      </c>
      <c r="D20" t="inlineStr">
        <is>
          <t>Kraken · Tàu sân bay</t>
        </is>
      </c>
      <c r="E20" t="inlineStr">
        <is>
          <t>Kraken</t>
        </is>
      </c>
      <c r="F20" t="inlineStr"/>
      <c r="G20" t="inlineStr"/>
      <c r="H20" t="inlineStr"/>
      <c r="I20" t="n">
        <v>0</v>
      </c>
      <c r="J20" t="n">
        <v>117650</v>
      </c>
      <c r="K20" t="n">
        <v>100002.5</v>
      </c>
      <c r="L20" t="n">
        <v>5</v>
      </c>
      <c r="M20" t="n">
        <v>3</v>
      </c>
      <c r="N20" t="n">
        <v>2</v>
      </c>
      <c r="O20" t="n">
        <v>2</v>
      </c>
      <c r="P20" t="b">
        <v>0</v>
      </c>
      <c r="Q20" t="n">
        <v>2.6</v>
      </c>
      <c r="R20" t="n">
        <v>8</v>
      </c>
      <c r="S20" t="n">
        <v>36</v>
      </c>
      <c r="T20" t="n">
        <v>120</v>
      </c>
      <c r="U20" t="n">
        <v>11.2</v>
      </c>
      <c r="V20" t="n">
        <v>86</v>
      </c>
      <c r="W20" t="n">
        <v>14.4</v>
      </c>
      <c r="X20" t="b">
        <v>0</v>
      </c>
      <c r="Y20" t="n">
        <v>0</v>
      </c>
      <c r="Z20" t="b">
        <v>0</v>
      </c>
      <c r="AA20" t="b">
        <v>1</v>
      </c>
      <c r="AB20" t="n">
        <v>0</v>
      </c>
      <c r="AC20" t="n">
        <v>3.5</v>
      </c>
      <c r="AD20" t="n">
        <v>0.9678</v>
      </c>
      <c r="AE20" t="inlineStr">
        <is>
          <t>p26_leviathan_lev406</t>
        </is>
      </c>
      <c r="AF20" t="inlineStr">
        <is>
          <t>p26_leviathan_lev406;p26_leviathan_lev406;p26_leviathan_sec_lev155;p26_leviathan_sec_lev155;p26_leviathan_direct_lev127;p26_leviathan_direct_lev127;aa_25_triple;aa_25_triple;aa_25_triple;aa_25_triple;aa_25_triple;aa_25_triple;aa_25_triple;aa_25_triple;sam_post</t>
        </is>
      </c>
      <c r="AG20" t="inlineStr">
        <is>
          <t>leviathan_helos</t>
        </is>
      </c>
      <c r="AH20" t="inlineStr">
        <is>
          <t>aps</t>
        </is>
      </c>
      <c r="AI20" t="n">
        <v>3</v>
      </c>
      <c r="AJ20" t="n">
        <v>2.2</v>
      </c>
      <c r="AK20" t="inlineStr">
        <is>
          <t>kraken</t>
        </is>
      </c>
      <c r="AL20" t="inlineStr">
        <is>
          <t>doi</t>
        </is>
      </c>
      <c r="BG20" t="n">
        <v>1</v>
      </c>
      <c r="BH20" t="n">
        <v>0.9678</v>
      </c>
      <c r="BI20" t="inlineStr">
        <is>
          <t>ship</t>
        </is>
      </c>
      <c r="BJ20" t="inlineStr">
        <is>
          <t>ship</t>
        </is>
      </c>
      <c r="BK20" t="inlineStr">
        <is>
          <t>kessler</t>
        </is>
      </c>
      <c r="BL20" t="inlineStr">
        <is>
          <t>leviathan</t>
        </is>
      </c>
      <c r="BM20" t="n">
        <v>16</v>
      </c>
      <c r="BN20" t="n">
        <v>26</v>
      </c>
      <c r="BO20" t="inlineStr">
        <is>
          <t>kraken_air_raid</t>
        </is>
      </c>
      <c r="BP20" t="n">
        <v>50</v>
      </c>
      <c r="BQ20" t="inlineStr">
        <is>
          <t>group</t>
        </is>
      </c>
      <c r="BR20" t="b">
        <v>0</v>
      </c>
      <c r="BS20" t="inlineStr"/>
      <c r="BT20" t="inlineStr"/>
      <c r="BU20" t="inlineStr">
        <is>
          <t>tuan:168;day_du:150</t>
        </is>
      </c>
      <c r="BZ20" t="n">
        <v>5</v>
      </c>
      <c r="CA20" t="n">
        <v>2</v>
      </c>
      <c r="CB20" t="n">
        <v>3</v>
      </c>
      <c r="CC20" t="n">
        <v>2</v>
      </c>
      <c r="CD20" t="inlineStr">
        <is>
          <t>kraken_air_raid</t>
        </is>
      </c>
      <c r="EP20" t="inlineStr">
        <is>
          <t>kessler</t>
        </is>
      </c>
      <c r="EW20" t="n">
        <v>117650</v>
      </c>
      <c r="FR20" t="inlineStr">
        <is>
          <t>kraken</t>
        </is>
      </c>
      <c r="FS20" t="n">
        <v>24</v>
      </c>
      <c r="FT20" t="n">
        <v>110</v>
      </c>
      <c r="FU20" t="n">
        <v>18.4</v>
      </c>
      <c r="GK20" t="n">
        <v>0.9678</v>
      </c>
      <c r="HF20" t="inlineStr">
        <is>
          <t>radio.kessler.kraken</t>
        </is>
      </c>
      <c r="HH20" t="inlineStr">
        <is>
          <t>main</t>
        </is>
      </c>
      <c r="JT20" t="inlineStr">
        <is>
          <t>kraken</t>
        </is>
      </c>
      <c r="JV20" t="inlineStr">
        <is>
          <t>leviathan</t>
        </is>
      </c>
      <c r="JW20" t="n">
        <v>1.14</v>
      </c>
      <c r="KF20" t="n">
        <v>2.318</v>
      </c>
      <c r="KH20" t="inlineStr">
        <is>
          <t>Assets/MachineBrigade/Resources/Data/balance.json: vehicles[171]</t>
        </is>
      </c>
      <c r="KI20" t="inlineStr">
        <is>
          <t>{"id":"kraken","outgoingDamageMult":0.9678,"armour":[5,3,2,2],"variantOf":"leviathan","model":"kraken","rank":"main","general":"kessler","radioSpawn":"radio.kessler.kraken","hp":117650,"weaponDamage":2.318,"bigAttack":"kraken_air_raid","modelSize":[110,18.4,24],"variant":{"size":1.14,"mark":"kraken","tune":{"turret_fore":{"at":[0,26.32,7.89]},"turret_super":{"at":[0,17.11,7.89]},"turret_aft":{"at":[4.74,-26.32,7.89]},"sec_fore":{"at":[6.67,28.95,6.49]},"sec_aft":{"at":[-6.67,-41.23,6.49]},"vls":{"at":[4.04,-9.65,7.89]},"aa_port":{"at":[-6.93,-3.51,5.96]},"aa_starboard":{"at":[6.93,-21.05,5.96]},"ciws_fore":{"at":[7.02,13.6,7.89]},"ciws_aft":{"at":[-6.49,-45.18,7.89]},"radar":{"at":[6.49,2.63,16.14]},"flight_deck":{"at":[-1.93,-35.09,7.89]},"well_deck":{"at":[0,-47.72,2.28]},"machinery":{"at":[6.49,-4.04,13.42]}}}}</t>
        </is>
      </c>
    </row>
    <row r="21">
      <c r="A21" t="inlineStr">
        <is>
          <t>landing_hovercraft</t>
        </is>
      </c>
      <c r="B21" t="inlineStr">
        <is>
          <t>mini</t>
        </is>
      </c>
      <c r="C21" t="inlineStr">
        <is>
          <t>Charybdis · Assault Hovercraft</t>
        </is>
      </c>
      <c r="D21" t="inlineStr">
        <is>
          <t>Charybdis · Tàu đệm khí đổ bộ</t>
        </is>
      </c>
      <c r="E21" t="inlineStr">
        <is>
          <t>Charybdis</t>
        </is>
      </c>
      <c r="F21" t="inlineStr"/>
      <c r="G21" t="inlineStr"/>
      <c r="H21" t="inlineStr"/>
      <c r="I21" t="n">
        <v>0</v>
      </c>
      <c r="J21" t="n">
        <v>53500</v>
      </c>
      <c r="K21" t="n">
        <v>45475</v>
      </c>
      <c r="L21" t="n">
        <v>3</v>
      </c>
      <c r="M21" t="n">
        <v>2</v>
      </c>
      <c r="N21" t="n">
        <v>1</v>
      </c>
      <c r="O21" t="n">
        <v>1</v>
      </c>
      <c r="P21" t="b">
        <v>0</v>
      </c>
      <c r="Q21" t="n">
        <v>5.5</v>
      </c>
      <c r="R21" t="n">
        <v>26</v>
      </c>
      <c r="S21" t="n">
        <v>200</v>
      </c>
      <c r="T21" t="n">
        <v>60</v>
      </c>
      <c r="U21" t="n">
        <v>9</v>
      </c>
      <c r="V21" t="n">
        <v>29.3</v>
      </c>
      <c r="W21" t="n">
        <v>15.9</v>
      </c>
      <c r="X21" t="b">
        <v>0</v>
      </c>
      <c r="Y21" t="n">
        <v>0</v>
      </c>
      <c r="Z21" t="b">
        <v>0</v>
      </c>
      <c r="AA21" t="b">
        <v>1</v>
      </c>
      <c r="AB21" t="n">
        <v>0</v>
      </c>
      <c r="AC21" t="n">
        <v>3.5</v>
      </c>
      <c r="AD21" t="n">
        <v>1</v>
      </c>
      <c r="AE21" t="inlineStr">
        <is>
          <t>hover_ciws</t>
        </is>
      </c>
      <c r="AF21" t="inlineStr">
        <is>
          <t>hover_ciws;ciws_aa;hover_rockets;hover_rockets</t>
        </is>
      </c>
      <c r="AG21" t="inlineStr"/>
      <c r="AH21" t="inlineStr">
        <is>
          <t>aps</t>
        </is>
      </c>
      <c r="AI21" t="n">
        <v>2</v>
      </c>
      <c r="AJ21" t="n">
        <v>3</v>
      </c>
      <c r="AK21" t="inlineStr">
        <is>
          <t>landing_hovercraft</t>
        </is>
      </c>
      <c r="AL21" t="inlineStr">
        <is>
          <t>giong</t>
        </is>
      </c>
      <c r="BI21" t="inlineStr">
        <is>
          <t>hovercraft</t>
        </is>
      </c>
      <c r="BJ21" t="inlineStr">
        <is>
          <t>wheeled</t>
        </is>
      </c>
      <c r="BK21" t="inlineStr">
        <is>
          <t>kessler</t>
        </is>
      </c>
      <c r="BL21" t="inlineStr"/>
      <c r="BM21" t="n">
        <v>5</v>
      </c>
      <c r="BN21" t="n">
        <v>5</v>
      </c>
      <c r="BO21" t="inlineStr"/>
      <c r="BP21" t="inlineStr"/>
      <c r="BQ21" t="inlineStr"/>
      <c r="BR21" t="b">
        <v>1</v>
      </c>
      <c r="BS21" t="inlineStr">
        <is>
          <t>6;9</t>
        </is>
      </c>
      <c r="BT21" t="inlineStr">
        <is>
          <t>c6m08;c9m05</t>
        </is>
      </c>
      <c r="BU21" t="inlineStr">
        <is>
          <t>tuan:66;day_du:60</t>
        </is>
      </c>
      <c r="BY21" t="n">
        <v>3</v>
      </c>
      <c r="CH21" t="b">
        <v>1</v>
      </c>
      <c r="CW21" t="n">
        <v>0</v>
      </c>
      <c r="CX21" t="n">
        <v>0</v>
      </c>
      <c r="DU21" t="n">
        <v>420</v>
      </c>
      <c r="DV21" t="n">
        <v>2.6</v>
      </c>
      <c r="DW21" t="n">
        <v>18</v>
      </c>
      <c r="DX21" t="inlineStr">
        <is>
          <t>Ultimate</t>
        </is>
      </c>
      <c r="DY21" t="inlineStr">
        <is>
          <t>ciws_l</t>
        </is>
      </c>
      <c r="EM21" t="b">
        <v>1</v>
      </c>
      <c r="EO21" t="inlineStr">
        <is>
          <t>hovercraft</t>
        </is>
      </c>
      <c r="EP21" t="inlineStr">
        <is>
          <t>kessler</t>
        </is>
      </c>
      <c r="EW21" t="n">
        <v>53500</v>
      </c>
      <c r="EX21" t="n">
        <v>35</v>
      </c>
      <c r="EY21" t="n">
        <v>15</v>
      </c>
      <c r="EZ21" t="n">
        <v>5</v>
      </c>
      <c r="FA21" t="n">
        <v>4</v>
      </c>
      <c r="FB21" t="n">
        <v>3</v>
      </c>
      <c r="FC21" t="inlineStr">
        <is>
          <t>0;16</t>
        </is>
      </c>
      <c r="FD21" t="n">
        <v>6</v>
      </c>
      <c r="FE21" t="inlineStr">
        <is>
          <t>main_battle_tank;ifv;armored_car;fpv_carrier;aa_vehicle;main_battle_tank;ifv</t>
        </is>
      </c>
      <c r="FF21" t="n">
        <v>29.3</v>
      </c>
      <c r="FG21" t="inlineStr">
        <is>
          <t>Free</t>
        </is>
      </c>
      <c r="FI21" t="inlineStr">
        <is>
          <t>gun</t>
        </is>
      </c>
      <c r="HF21" t="inlineStr">
        <is>
          <t>radio.kessler.hovercraft</t>
        </is>
      </c>
      <c r="HG21" t="n">
        <v>9</v>
      </c>
      <c r="HH21" t="inlineStr">
        <is>
          <t>mini</t>
        </is>
      </c>
      <c r="HW21" t="n">
        <v>1</v>
      </c>
      <c r="IB21" t="n">
        <v>0.85</v>
      </c>
      <c r="ID21" t="n">
        <v>5.5</v>
      </c>
      <c r="JP21" t="n">
        <v>26</v>
      </c>
      <c r="JQ21" t="n">
        <v>200</v>
      </c>
      <c r="KA21" t="n">
        <v>60</v>
      </c>
      <c r="KE21" t="inlineStr">
        <is>
          <t>hover_ciws</t>
        </is>
      </c>
      <c r="KF21" t="n">
        <v>4.303</v>
      </c>
      <c r="KG21" t="n">
        <v>15.9</v>
      </c>
      <c r="KH21" t="inlineStr">
        <is>
          <t>Assets/MachineBrigade/Resources/Data/balance.json: vehicles[152]</t>
        </is>
      </c>
      <c r="KI21" t="inlineStr">
        <is>
          <t>{"id":"landing_hovercraft","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2">
      <c r="A22" t="inlineStr">
        <is>
          <t>leviathan</t>
        </is>
      </c>
      <c r="B22" t="inlineStr">
        <is>
          <t>main</t>
        </is>
      </c>
      <c r="C22" t="inlineStr">
        <is>
          <t>Leviathan · Battleship</t>
        </is>
      </c>
      <c r="D22" t="inlineStr">
        <is>
          <t>Leviathan · Thiết giáp hạm</t>
        </is>
      </c>
      <c r="E22" t="inlineStr">
        <is>
          <t>Leviathan</t>
        </is>
      </c>
      <c r="F22" t="inlineStr"/>
      <c r="G22" t="inlineStr"/>
      <c r="H22" t="inlineStr"/>
      <c r="I22" t="n">
        <v>0</v>
      </c>
      <c r="J22" t="n">
        <v>52200</v>
      </c>
      <c r="K22" t="n">
        <v>44370</v>
      </c>
      <c r="L22" t="n">
        <v>5</v>
      </c>
      <c r="M22" t="n">
        <v>3</v>
      </c>
      <c r="N22" t="n">
        <v>2</v>
      </c>
      <c r="O22" t="n">
        <v>2</v>
      </c>
      <c r="P22" t="b">
        <v>0</v>
      </c>
      <c r="Q22" t="n">
        <v>2.6</v>
      </c>
      <c r="R22" t="n">
        <v>8</v>
      </c>
      <c r="S22" t="n">
        <v>36</v>
      </c>
      <c r="T22" t="n">
        <v>120</v>
      </c>
      <c r="U22" t="n">
        <v>11.2</v>
      </c>
      <c r="V22" t="n">
        <v>86</v>
      </c>
      <c r="W22" t="n">
        <v>14.4</v>
      </c>
      <c r="X22" t="b">
        <v>0</v>
      </c>
      <c r="Y22" t="n">
        <v>0</v>
      </c>
      <c r="Z22" t="b">
        <v>0</v>
      </c>
      <c r="AA22" t="b">
        <v>1</v>
      </c>
      <c r="AB22" t="n">
        <v>0</v>
      </c>
      <c r="AC22" t="n">
        <v>3.5</v>
      </c>
      <c r="AD22" t="n">
        <v>0.9678</v>
      </c>
      <c r="AE22" t="inlineStr">
        <is>
          <t>p26_leviathan_lev406</t>
        </is>
      </c>
      <c r="AF22" t="inlineStr">
        <is>
          <t>p26_leviathan_lev406;p26_leviathan_lev406;p26_leviathan_sec_lev155;p26_leviathan_sec_lev155;p26_leviathan_direct_lev127;p26_leviathan_direct_lev127;aa_25_triple;aa_25_triple;aa_25_triple;aa_25_triple;aa_25_triple;aa_25_triple;aa_25_triple;aa_25_triple;sam_post</t>
        </is>
      </c>
      <c r="AG22" t="inlineStr">
        <is>
          <t>leviathan_helos</t>
        </is>
      </c>
      <c r="AH22" t="inlineStr">
        <is>
          <t>aps</t>
        </is>
      </c>
      <c r="AI22" t="n">
        <v>3</v>
      </c>
      <c r="AJ22" t="n">
        <v>2.2</v>
      </c>
      <c r="AK22" t="inlineStr">
        <is>
          <t>leviathan</t>
        </is>
      </c>
      <c r="AL22" t="inlineStr">
        <is>
          <t>doi</t>
        </is>
      </c>
      <c r="BG22" t="n">
        <v>1</v>
      </c>
      <c r="BH22" t="n">
        <v>0.9678</v>
      </c>
      <c r="BI22" t="inlineStr">
        <is>
          <t>ship</t>
        </is>
      </c>
      <c r="BJ22" t="inlineStr">
        <is>
          <t>ship</t>
        </is>
      </c>
      <c r="BK22" t="inlineStr">
        <is>
          <t>kessler</t>
        </is>
      </c>
      <c r="BL22" t="inlineStr"/>
      <c r="BM22" t="n">
        <v>16</v>
      </c>
      <c r="BN22" t="n">
        <v>26</v>
      </c>
      <c r="BO22" t="inlineStr">
        <is>
          <t>leviathan_volley</t>
        </is>
      </c>
      <c r="BP22" t="n">
        <v>50</v>
      </c>
      <c r="BQ22" t="inlineStr">
        <is>
          <t>base</t>
        </is>
      </c>
      <c r="BR22" t="b">
        <v>0</v>
      </c>
      <c r="BS22" t="inlineStr">
        <is>
          <t>4</t>
        </is>
      </c>
      <c r="BT22" t="inlineStr"/>
      <c r="BU22" t="inlineStr">
        <is>
          <t>tuan:168;day_du:150</t>
        </is>
      </c>
      <c r="BZ22" t="n">
        <v>5</v>
      </c>
      <c r="CA22" t="n">
        <v>2</v>
      </c>
      <c r="CB22" t="n">
        <v>3</v>
      </c>
      <c r="CC22" t="n">
        <v>2</v>
      </c>
      <c r="CD22" t="inlineStr">
        <is>
          <t>leviathan_volley</t>
        </is>
      </c>
      <c r="CH22" t="b">
        <v>1</v>
      </c>
      <c r="CW22" t="n">
        <v>0</v>
      </c>
      <c r="CX22" t="n">
        <v>0</v>
      </c>
      <c r="CZ22" t="inlineStr">
        <is>
          <t>main_battle_tank;ifv;main_battle_tank;tank_destroyer</t>
        </is>
      </c>
      <c r="DA22" t="n">
        <v>40</v>
      </c>
      <c r="DB22" t="n">
        <v>5</v>
      </c>
      <c r="DC22" t="n">
        <v>3</v>
      </c>
      <c r="DD22" t="n">
        <v>2</v>
      </c>
      <c r="DE22" t="n">
        <v>1</v>
      </c>
      <c r="DF22" t="inlineStr">
        <is>
          <t>landing_craft</t>
        </is>
      </c>
      <c r="DG22" t="n">
        <v>520</v>
      </c>
      <c r="DH22" t="n">
        <v>50</v>
      </c>
      <c r="DI22" t="n">
        <v>4</v>
      </c>
      <c r="DJ22" t="n">
        <v>20</v>
      </c>
      <c r="DK22" t="n">
        <v>1</v>
      </c>
      <c r="DL22" t="n">
        <v>10</v>
      </c>
      <c r="DM22" t="n">
        <v>5</v>
      </c>
      <c r="DN22" t="inlineStr">
        <is>
          <t>leviathan_cruise_mark</t>
        </is>
      </c>
      <c r="DO22" t="inlineStr">
        <is>
          <t>leviathan_cruise</t>
        </is>
      </c>
      <c r="DU22" t="n">
        <v>550</v>
      </c>
      <c r="DV22" t="n">
        <v>3.8</v>
      </c>
      <c r="DW22" t="n">
        <v>24</v>
      </c>
      <c r="DX22" t="inlineStr">
        <is>
          <t>Ultimate</t>
        </is>
      </c>
      <c r="EM22" t="b">
        <v>1</v>
      </c>
      <c r="EO22" t="inlineStr">
        <is>
          <t>ship</t>
        </is>
      </c>
      <c r="EP22" t="inlineStr">
        <is>
          <t>kessler</t>
        </is>
      </c>
      <c r="EW22" t="n">
        <v>52200</v>
      </c>
      <c r="FF22" t="n">
        <v>86</v>
      </c>
      <c r="FG22" t="inlineStr">
        <is>
          <t>Free</t>
        </is>
      </c>
      <c r="FI22" t="inlineStr">
        <is>
          <t>gun</t>
        </is>
      </c>
      <c r="FV22" t="inlineStr">
        <is>
          <t>p26_leviathan_lev406</t>
        </is>
      </c>
      <c r="FW22" t="inlineStr">
        <is>
          <t>p26_leviathan_lev406</t>
        </is>
      </c>
      <c r="FY22" t="inlineStr">
        <is>
          <t>p26_leviathan_lev406</t>
        </is>
      </c>
      <c r="FZ22" t="inlineStr">
        <is>
          <t>p26_leviathan_sec_lev155</t>
        </is>
      </c>
      <c r="GA22" t="inlineStr">
        <is>
          <t>p26_leviathan_sec_lev155</t>
        </is>
      </c>
      <c r="GB22" t="inlineStr">
        <is>
          <t>p26_leviathan_direct_lev127</t>
        </is>
      </c>
      <c r="GC22" t="inlineStr">
        <is>
          <t>p26_leviathan_direct_lev127</t>
        </is>
      </c>
      <c r="GG22" t="n">
        <v>2</v>
      </c>
      <c r="GH22" t="n">
        <v>0.75</v>
      </c>
      <c r="GI22" t="inlineStr">
        <is>
          <t>far;near;far</t>
        </is>
      </c>
      <c r="GJ22" t="inlineStr">
        <is>
          <t>Flagship</t>
        </is>
      </c>
      <c r="GK22" t="n">
        <v>0.9678</v>
      </c>
      <c r="HF22" t="inlineStr">
        <is>
          <t>radio.kessler.leviathan</t>
        </is>
      </c>
      <c r="HG22" t="n">
        <v>11.2</v>
      </c>
      <c r="HH22" t="inlineStr">
        <is>
          <t>main</t>
        </is>
      </c>
      <c r="HK22" t="n">
        <v>2.2</v>
      </c>
      <c r="HL22" t="n">
        <v>2400</v>
      </c>
      <c r="HM22" t="n">
        <v>24</v>
      </c>
      <c r="HN22" t="n">
        <v>60</v>
      </c>
      <c r="HO22" t="n">
        <v>8</v>
      </c>
      <c r="HP22" t="n">
        <v>14</v>
      </c>
      <c r="HQ22" t="n">
        <v>160</v>
      </c>
      <c r="HR22" t="n">
        <v>3</v>
      </c>
      <c r="HS22" t="n">
        <v>22</v>
      </c>
      <c r="HT22" t="n">
        <v>18</v>
      </c>
      <c r="HU22" t="n">
        <v>3.7</v>
      </c>
      <c r="HV22" t="inlineStr">
        <is>
          <t>p26_leviathan_lev406</t>
        </is>
      </c>
      <c r="HW22" t="n">
        <v>1</v>
      </c>
      <c r="IB22" t="n">
        <v>1.12</v>
      </c>
      <c r="IC22" t="inlineStr">
        <is>
          <t>leviathan_helos</t>
        </is>
      </c>
      <c r="ID22" t="n">
        <v>2.6</v>
      </c>
      <c r="JP22" t="n">
        <v>8</v>
      </c>
      <c r="JQ22" t="n">
        <v>36</v>
      </c>
      <c r="KA22" t="n">
        <v>120</v>
      </c>
      <c r="KC22" t="inlineStr">
        <is>
          <t>3;4</t>
        </is>
      </c>
      <c r="KD22" t="n">
        <v>1</v>
      </c>
      <c r="KE22" t="inlineStr">
        <is>
          <t>leviathan_460</t>
        </is>
      </c>
      <c r="KF22" t="n">
        <v>1</v>
      </c>
      <c r="KG22" t="n">
        <v>14.4</v>
      </c>
      <c r="KH22" t="inlineStr">
        <is>
          <t>Assets/MachineBrigade/Resources/Data/balance.json: vehicles[153]</t>
        </is>
      </c>
      <c r="KI22" t="inlineStr">
        <is>
          <t>{"id":"leviathan","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52200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[0,7.2,10.5]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-2.1,-16.5,6.9],"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3">
      <c r="A23" t="inlineStr">
        <is>
          <t>locust</t>
        </is>
      </c>
      <c r="B23" t="inlineStr">
        <is>
          <t>mini</t>
        </is>
      </c>
      <c r="C23" t="inlineStr">
        <is>
          <t>Locust · Drone Tender</t>
        </is>
      </c>
      <c r="D23" t="inlineStr">
        <is>
          <t>Locust · Tàu con drone</t>
        </is>
      </c>
      <c r="E23" t="inlineStr">
        <is>
          <t>Locust</t>
        </is>
      </c>
      <c r="F23" t="inlineStr"/>
      <c r="G23" t="inlineStr"/>
      <c r="H23" t="inlineStr"/>
      <c r="I23" t="n">
        <v>0</v>
      </c>
      <c r="J23" t="n">
        <v>45650</v>
      </c>
      <c r="K23" t="n">
        <v>38802.5</v>
      </c>
      <c r="L23" t="n">
        <v>1</v>
      </c>
      <c r="M23" t="n">
        <v>1</v>
      </c>
      <c r="N23" t="n">
        <v>1</v>
      </c>
      <c r="O23" t="n">
        <v>1</v>
      </c>
      <c r="P23" t="b">
        <v>0</v>
      </c>
      <c r="Q23" t="n">
        <v>5.2</v>
      </c>
      <c r="R23" t="n">
        <v>20</v>
      </c>
      <c r="S23" t="n">
        <v>90</v>
      </c>
      <c r="T23" t="n">
        <v>70</v>
      </c>
      <c r="U23" t="n">
        <v>9</v>
      </c>
      <c r="V23" t="inlineStr"/>
      <c r="W23" t="inlineStr"/>
      <c r="X23" t="b">
        <v>1</v>
      </c>
      <c r="Y23" t="n">
        <v>26</v>
      </c>
      <c r="Z23" t="b">
        <v>0</v>
      </c>
      <c r="AA23" t="b">
        <v>1</v>
      </c>
      <c r="AB23" t="n">
        <v>0</v>
      </c>
      <c r="AC23" t="n">
        <v>3.5</v>
      </c>
      <c r="AD23" t="n">
        <v>1</v>
      </c>
      <c r="AE23" t="inlineStr">
        <is>
          <t>locust_drones</t>
        </is>
      </c>
      <c r="AF23" t="inlineStr">
        <is>
          <t>p26_matriarch_close_boss_flak</t>
        </is>
      </c>
      <c r="AG23" t="inlineStr">
        <is>
          <t>mothership_launch;boss_flares;mothership_shield</t>
        </is>
      </c>
      <c r="AH23" t="inlineStr">
        <is>
          <t>none</t>
        </is>
      </c>
      <c r="AI23" t="inlineStr"/>
      <c r="AJ23" t="inlineStr"/>
      <c r="AK23" t="inlineStr">
        <is>
          <t>locust</t>
        </is>
      </c>
      <c r="AL23" t="inlineStr">
        <is>
          <t>doi</t>
        </is>
      </c>
      <c r="BC23" t="inlineStr">
        <is>
          <t>p26_matriarch_ma_drones</t>
        </is>
      </c>
      <c r="BD23" t="inlineStr">
        <is>
          <t>locust_drones</t>
        </is>
      </c>
      <c r="BI23" t="inlineStr">
        <is>
          <t>aircraft</t>
        </is>
      </c>
      <c r="BJ23" t="inlineStr">
        <is>
          <t>aircraft</t>
        </is>
      </c>
      <c r="BK23" t="inlineStr">
        <is>
          <t>sen</t>
        </is>
      </c>
      <c r="BL23" t="inlineStr">
        <is>
          <t>drone_mothership</t>
        </is>
      </c>
      <c r="BM23" t="n">
        <v>2</v>
      </c>
      <c r="BN23" t="n">
        <v>2</v>
      </c>
      <c r="BO23" t="inlineStr"/>
      <c r="BP23" t="inlineStr"/>
      <c r="BQ23" t="inlineStr"/>
      <c r="BR23" t="b">
        <v>0</v>
      </c>
      <c r="BS23" t="inlineStr">
        <is>
          <t>5;14;11;12</t>
        </is>
      </c>
      <c r="BT23" t="inlineStr">
        <is>
          <t>c11m07;c11m12;c12m05;c5m08;i2m02;i2m04</t>
        </is>
      </c>
      <c r="BU23" t="inlineStr">
        <is>
          <t>tuan:66;day_du:60</t>
        </is>
      </c>
      <c r="BY23" t="n">
        <v>1</v>
      </c>
      <c r="EP23" t="inlineStr">
        <is>
          <t>sen</t>
        </is>
      </c>
      <c r="EW23" t="n">
        <v>45650</v>
      </c>
      <c r="FV23" t="inlineStr">
        <is>
          <t>locust_drones</t>
        </is>
      </c>
      <c r="HF23" t="inlineStr">
        <is>
          <t>radio.sen.locust</t>
        </is>
      </c>
      <c r="ID23" t="n">
        <v>5.2</v>
      </c>
      <c r="JS23" t="inlineStr">
        <is>
          <t>drone_bay;flak_top</t>
        </is>
      </c>
      <c r="JT23" t="inlineStr">
        <is>
          <t>locust</t>
        </is>
      </c>
      <c r="JV23" t="inlineStr">
        <is>
          <t>drone_mothership</t>
        </is>
      </c>
      <c r="JW23" t="n">
        <v>0.4615</v>
      </c>
      <c r="JX23" t="n">
        <v>0.72</v>
      </c>
      <c r="JY23" t="n">
        <v>0.92</v>
      </c>
      <c r="JZ23" t="n">
        <v>1.04</v>
      </c>
      <c r="KF23" t="n">
        <v>1.297</v>
      </c>
      <c r="KH23" t="inlineStr">
        <is>
          <t>Assets/MachineBrigade/Resources/Data/balance.json: vehicles[166]</t>
        </is>
      </c>
      <c r="KI23" t="inlineStr">
        <is>
          <t>{"id":"locust","wake":null,"variantOf":"drone_mothership","mountWeapons":{"0":"locust_drones"},"general":"sen","radioSpawn":"radio.sen.locust","hp":45650,"weaponDamage":1.297,"armour":1,"speed":5.2,"variant":{"size":0.4615,"keep":["drone_bay","flak_top"],"tint":[1.04,0.92,0.72],"mark":"locust","tune":{"drone_bay":{"hp":0.15},"flak_top":{"hp":0.15}}}}</t>
        </is>
      </c>
    </row>
    <row r="24">
      <c r="A24" t="inlineStr">
        <is>
          <t>mega_gunship</t>
        </is>
      </c>
      <c r="B24" t="inlineStr">
        <is>
          <t>mini</t>
        </is>
      </c>
      <c r="C24" t="inlineStr">
        <is>
          <t>Harpy · Giant Helicopter</t>
        </is>
      </c>
      <c r="D24" t="inlineStr">
        <is>
          <t>Harpy · Trực thăng khổng lồ</t>
        </is>
      </c>
      <c r="E24" t="inlineStr">
        <is>
          <t>Harpy</t>
        </is>
      </c>
      <c r="F24" t="inlineStr"/>
      <c r="G24" t="inlineStr"/>
      <c r="H24" t="inlineStr"/>
      <c r="I24" t="n">
        <v>0</v>
      </c>
      <c r="J24" t="n">
        <v>29950</v>
      </c>
      <c r="K24" t="n">
        <v>25457.5</v>
      </c>
      <c r="L24" t="n">
        <v>2</v>
      </c>
      <c r="M24" t="n">
        <v>2</v>
      </c>
      <c r="N24" t="n">
        <v>2</v>
      </c>
      <c r="O24" t="n">
        <v>2</v>
      </c>
      <c r="P24" t="b">
        <v>0</v>
      </c>
      <c r="Q24" t="n">
        <v>6</v>
      </c>
      <c r="R24" t="n">
        <v>50</v>
      </c>
      <c r="S24" t="n">
        <v>360</v>
      </c>
      <c r="T24" t="n">
        <v>55</v>
      </c>
      <c r="U24" t="n">
        <v>7</v>
      </c>
      <c r="V24" t="inlineStr"/>
      <c r="W24" t="inlineStr"/>
      <c r="X24" t="b">
        <v>1</v>
      </c>
      <c r="Y24" t="n">
        <v>20</v>
      </c>
      <c r="Z24" t="b">
        <v>0</v>
      </c>
      <c r="AA24" t="b">
        <v>1</v>
      </c>
      <c r="AB24" t="n">
        <v>0</v>
      </c>
      <c r="AC24" t="n">
        <v>3.5</v>
      </c>
      <c r="AD24" t="n">
        <v>1</v>
      </c>
      <c r="AE24" t="inlineStr">
        <is>
          <t>gunship_rockets</t>
        </is>
      </c>
      <c r="AF24" t="inlineStr">
        <is>
          <t>boss_heli_gun;boss_heli_gun;boss_minigun;gunship_rockets;boss_hmg;boss_hmg</t>
        </is>
      </c>
      <c r="AG24" t="inlineStr">
        <is>
          <t>boss_flares;boss_rage</t>
        </is>
      </c>
      <c r="AH24" t="inlineStr">
        <is>
          <t>none</t>
        </is>
      </c>
      <c r="AI24" t="inlineStr"/>
      <c r="AJ24" t="inlineStr"/>
      <c r="AK24" t="inlineStr">
        <is>
          <t>mega_gunship</t>
        </is>
      </c>
      <c r="AL24" t="inlineStr">
        <is>
          <t>giong</t>
        </is>
      </c>
      <c r="BI24" t="inlineStr">
        <is>
          <t>aircraft</t>
        </is>
      </c>
      <c r="BJ24" t="inlineStr">
        <is>
          <t>aircraft</t>
        </is>
      </c>
      <c r="BK24" t="inlineStr">
        <is>
          <t>quaden</t>
        </is>
      </c>
      <c r="BL24" t="inlineStr"/>
      <c r="BM24" t="n">
        <v>7</v>
      </c>
      <c r="BN24" t="n">
        <v>7</v>
      </c>
      <c r="BO24" t="inlineStr"/>
      <c r="BP24" t="inlineStr"/>
      <c r="BQ24" t="inlineStr"/>
      <c r="BR24" t="b">
        <v>1</v>
      </c>
      <c r="BS24" t="inlineStr">
        <is>
          <t>3;15;10</t>
        </is>
      </c>
      <c r="BT24" t="inlineStr">
        <is>
          <t>c10m12;c3m05;i3m02</t>
        </is>
      </c>
      <c r="BU24" t="inlineStr">
        <is>
          <t>tuan:66;day_du:60</t>
        </is>
      </c>
      <c r="BW24" t="n">
        <v>20</v>
      </c>
      <c r="BY24" t="n">
        <v>2</v>
      </c>
      <c r="CH24" t="b">
        <v>1</v>
      </c>
      <c r="CW24" t="n">
        <v>0</v>
      </c>
      <c r="CX24" t="n">
        <v>0</v>
      </c>
      <c r="DU24" t="n">
        <v>350</v>
      </c>
      <c r="DV24" t="n">
        <v>2.6</v>
      </c>
      <c r="DW24" t="n">
        <v>15</v>
      </c>
      <c r="DX24" t="inlineStr">
        <is>
          <t>Ultimate</t>
        </is>
      </c>
      <c r="DY24" t="inlineStr">
        <is>
          <t>minigun_l;missiles</t>
        </is>
      </c>
      <c r="DZ24" t="b">
        <v>0</v>
      </c>
      <c r="EM24" t="b">
        <v>1</v>
      </c>
      <c r="EN24" t="b">
        <v>1</v>
      </c>
      <c r="EO24" t="inlineStr">
        <is>
          <t>aircraft</t>
        </is>
      </c>
      <c r="EP24" t="inlineStr">
        <is>
          <t>quaden</t>
        </is>
      </c>
      <c r="EW24" t="n">
        <v>29950</v>
      </c>
      <c r="FH24" t="inlineStr">
        <is>
          <t>hydra</t>
        </is>
      </c>
      <c r="FI24" t="inlineStr">
        <is>
          <t>rocket</t>
        </is>
      </c>
      <c r="HF24" t="inlineStr">
        <is>
          <t>radio.quaden.harpy</t>
        </is>
      </c>
      <c r="HG24" t="n">
        <v>7</v>
      </c>
      <c r="HH24" t="inlineStr">
        <is>
          <t>mini</t>
        </is>
      </c>
      <c r="HW24" t="n">
        <v>1.35</v>
      </c>
      <c r="IB24" t="n">
        <v>0.85</v>
      </c>
      <c r="IC24" t="inlineStr">
        <is>
          <t>boss_flares;boss_rage</t>
        </is>
      </c>
      <c r="ID24" t="n">
        <v>6</v>
      </c>
      <c r="JP24" t="n">
        <v>50</v>
      </c>
      <c r="JQ24" t="n">
        <v>360</v>
      </c>
      <c r="KA24" t="n">
        <v>55</v>
      </c>
      <c r="KE24" t="inlineStr">
        <is>
          <t>gunship_rockets</t>
        </is>
      </c>
      <c r="KF24" t="n">
        <v>2.496</v>
      </c>
      <c r="KH24" t="inlineStr">
        <is>
          <t>Assets/MachineBrigade/Resources/Data/balance.json: vehicles[141]</t>
        </is>
      </c>
      <c r="KI24" t="inlineStr">
        <is>
          <t>{"id":"mega_gunship","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weapon":"boss_heli_gun","slot":"gun","aim":"Free"},{"weapon":"boss_missiles","slot":"missile","aim":"Hull"},{"weapon":"boss_minigun","slot":"mg","aim":"Free"},{"weapon":"boss_minigun","slot":"mg","aim":"Free"},{"weapon":"gunship_rockets","slot":"rocket","model":"hydra","aim":"Hull"},{"weapon":"boss_hmg","slot":"mg","aim":"Free"},{"weapon":"boss_hmg","slot":"mg","aim":"Free"}],"parts":[{"id":"gun_l","kind":"gun","hp":0.08,"armour":2,"node":"Mount_gun","wreck":"wreck_turret","at":[-0.56,7.1,1.1],"radius":1.5,"mounts":[1]},{"id":"gun_r","kind":"gun","hp":0.08,"armour":2,"node":"Mount_gun.001","wreck":"wreck_turret","at":[0.56,7.1,1.1],"radius":1.5,"mounts":[2]},{"id":"minigun_l","kind":"minigun","hp":0.08,"armour":2,"node":"Mount_mg","wreck":"wreck_turret","at":[-1.52,4.6,1.9],"radius":1.5,"mounts":[4]},{"id":"minigun_r","kind":"minigun","hp":0.08,"armour":2,"node":"Mount_mg.001","wreck":"wreck_turret","at":[1.52,4.6,1.9],"radius":1.5,"mounts":[5]},{"id":"pod_l","kind":"rockets","hp":0.08,"armour":2,"wreck":"wreck_launcher","at":[-2.67,1.3,1.4],"radius":1.6,"mounts":[0]},{"id":"pod_r","kind":"rockets","hp":0.08,"armour":2,"wreck":"wreck_launcher","at":[2.67,1.3,1.4],"radius":1.6,"mounts":[6]},{"id":"missiles","kind":"missiles","hp":0.08,"armour":2,"wreck":"wreck_launcher","at":[0,1.25,1.5],"radius":1.4,"mounts":[3]},{"id":"rotor_rear","kind":"rotor","hp":0.1,"armour":1,"node":"Rotor_rear","wreck":"wreck_stump","at":[0,-6.7,5.7],"radius":3.0,"turn":0.5}],"deathExplosion":{"damage":350,"radius":15,"delay":2.6,"tier":"Ultimate"}}</t>
        </is>
      </c>
    </row>
    <row r="25">
      <c r="A25" t="inlineStr">
        <is>
          <t>mobile_fortress</t>
        </is>
      </c>
      <c r="B25" t="inlineStr">
        <is>
          <t>main</t>
        </is>
      </c>
      <c r="C25" t="inlineStr">
        <is>
          <t>Jötunn · Mobile Fortress</t>
        </is>
      </c>
      <c r="D25" t="inlineStr">
        <is>
          <t>Jötunn · Pháo đài di động</t>
        </is>
      </c>
      <c r="E25" t="inlineStr">
        <is>
          <t>Jötunn</t>
        </is>
      </c>
      <c r="F25" t="inlineStr"/>
      <c r="G25" t="inlineStr"/>
      <c r="H25" t="inlineStr"/>
      <c r="I25" t="n">
        <v>0</v>
      </c>
      <c r="J25" t="n">
        <v>41200</v>
      </c>
      <c r="K25" t="n">
        <v>35020</v>
      </c>
      <c r="L25" t="n">
        <v>5</v>
      </c>
      <c r="M25" t="n">
        <v>3</v>
      </c>
      <c r="N25" t="n">
        <v>2</v>
      </c>
      <c r="O25" t="n">
        <v>2</v>
      </c>
      <c r="P25" t="b">
        <v>0</v>
      </c>
      <c r="Q25" t="n">
        <v>1.8</v>
      </c>
      <c r="R25" t="n">
        <v>20</v>
      </c>
      <c r="S25" t="n">
        <v>25</v>
      </c>
      <c r="T25" t="n">
        <v>60</v>
      </c>
      <c r="U25" t="n">
        <v>7.5</v>
      </c>
      <c r="V25" t="n">
        <v>19.308</v>
      </c>
      <c r="W25" t="n">
        <v>10.92</v>
      </c>
      <c r="X25" t="b">
        <v>0</v>
      </c>
      <c r="Y25" t="n">
        <v>0</v>
      </c>
      <c r="Z25" t="b">
        <v>0</v>
      </c>
      <c r="AA25" t="b">
        <v>1</v>
      </c>
      <c r="AB25" t="n">
        <v>0</v>
      </c>
      <c r="AC25" t="n">
        <v>3.5</v>
      </c>
      <c r="AD25" t="n">
        <v>0.9508</v>
      </c>
      <c r="AE25" t="inlineStr">
        <is>
          <t>p26_jotunn_jo203</t>
        </is>
      </c>
      <c r="AF25" t="inlineStr">
        <is>
          <t>p26_jotunn_sec_jo_rockets;p26_jotunn_sec_jo_rockets;p26_jotunn_close_boss_flak;p26_jotunn_close_boss_flak;p26_jotunn_direct_jo125;p26_jotunn_tiny_twin_30_flak;p26_jotunn_jo203;sam_post</t>
        </is>
      </c>
      <c r="AG25" t="inlineStr">
        <is>
          <t>fortress_barrage;boss_emp</t>
        </is>
      </c>
      <c r="AH25" t="inlineStr">
        <is>
          <t>none</t>
        </is>
      </c>
      <c r="AI25" t="inlineStr"/>
      <c r="AJ25" t="inlineStr"/>
      <c r="AK25" t="inlineStr">
        <is>
          <t>mobile_fortress</t>
        </is>
      </c>
      <c r="AL25" t="inlineStr">
        <is>
          <t>doi</t>
        </is>
      </c>
      <c r="BG25" t="n">
        <v>1</v>
      </c>
      <c r="BH25" t="n">
        <v>0.9508</v>
      </c>
      <c r="BI25" t="inlineStr">
        <is>
          <t>tracked</t>
        </is>
      </c>
      <c r="BJ25" t="inlineStr">
        <is>
          <t>tracked</t>
        </is>
      </c>
      <c r="BK25" t="inlineStr">
        <is>
          <t>orlov</t>
        </is>
      </c>
      <c r="BL25" t="inlineStr"/>
      <c r="BM25" t="n">
        <v>9</v>
      </c>
      <c r="BN25" t="n">
        <v>9</v>
      </c>
      <c r="BO25" t="inlineStr">
        <is>
          <t>fortress_203_barrage</t>
        </is>
      </c>
      <c r="BP25" t="n">
        <v>50</v>
      </c>
      <c r="BQ25" t="inlineStr">
        <is>
          <t>group</t>
        </is>
      </c>
      <c r="BR25" t="b">
        <v>1</v>
      </c>
      <c r="BS25" t="inlineStr">
        <is>
          <t>3</t>
        </is>
      </c>
      <c r="BT25" t="inlineStr"/>
      <c r="BU25" t="inlineStr">
        <is>
          <t>tuan:168;day_du:150</t>
        </is>
      </c>
      <c r="BZ25" t="n">
        <v>5</v>
      </c>
      <c r="CA25" t="n">
        <v>2</v>
      </c>
      <c r="CB25" t="n">
        <v>3</v>
      </c>
      <c r="CC25" t="n">
        <v>2</v>
      </c>
      <c r="CD25" t="inlineStr">
        <is>
          <t>fortress_203_barrage</t>
        </is>
      </c>
      <c r="CH25" t="b">
        <v>1</v>
      </c>
      <c r="CW25" t="n">
        <v>0</v>
      </c>
      <c r="CX25" t="n">
        <v>0</v>
      </c>
      <c r="DU25" t="n">
        <v>450</v>
      </c>
      <c r="DV25" t="n">
        <v>2.6</v>
      </c>
      <c r="DW25" t="n">
        <v>20</v>
      </c>
      <c r="DX25" t="inlineStr">
        <is>
          <t>Ultimate</t>
        </is>
      </c>
      <c r="EM25" t="b">
        <v>1</v>
      </c>
      <c r="EO25" t="inlineStr">
        <is>
          <t>tracked</t>
        </is>
      </c>
      <c r="EP25" t="inlineStr">
        <is>
          <t>orlov</t>
        </is>
      </c>
      <c r="ER25" t="n">
        <v>4</v>
      </c>
      <c r="ES25" t="n">
        <v>180</v>
      </c>
      <c r="ET25" t="n">
        <v>5</v>
      </c>
      <c r="EU25" t="n">
        <v>6</v>
      </c>
      <c r="EV25" t="n">
        <v>15</v>
      </c>
      <c r="EW25" t="n">
        <v>41200</v>
      </c>
      <c r="FF25" t="n">
        <v>16.09</v>
      </c>
      <c r="FV25" t="inlineStr">
        <is>
          <t>p26_jotunn_jo203</t>
        </is>
      </c>
      <c r="FW25" t="inlineStr">
        <is>
          <t>p26_jotunn_sec_jo_rockets</t>
        </is>
      </c>
      <c r="FY25" t="inlineStr">
        <is>
          <t>p26_jotunn_sec_jo_rockets</t>
        </is>
      </c>
      <c r="FZ25" t="inlineStr">
        <is>
          <t>p26_jotunn_close_boss_flak</t>
        </is>
      </c>
      <c r="GA25" t="inlineStr">
        <is>
          <t>p26_jotunn_close_boss_flak</t>
        </is>
      </c>
      <c r="GB25" t="inlineStr">
        <is>
          <t>p26_jotunn_direct_jo125</t>
        </is>
      </c>
      <c r="GC25" t="inlineStr">
        <is>
          <t>p26_jotunn_tiny_twin_30_flak</t>
        </is>
      </c>
      <c r="GD25" t="inlineStr">
        <is>
          <t>p26_jotunn_jo203</t>
        </is>
      </c>
      <c r="GK25" t="n">
        <v>0.9508</v>
      </c>
      <c r="HF25" t="inlineStr">
        <is>
          <t>radio.orlov.fortress</t>
        </is>
      </c>
      <c r="HG25" t="n">
        <v>7.5</v>
      </c>
      <c r="HH25" t="inlineStr">
        <is>
          <t>main</t>
        </is>
      </c>
      <c r="HW25" t="n">
        <v>1.2</v>
      </c>
      <c r="IB25" t="n">
        <v>1.657</v>
      </c>
      <c r="IC25" t="inlineStr">
        <is>
          <t>fortress_barrage;boss_emp</t>
        </is>
      </c>
      <c r="ID25" t="n">
        <v>1.8</v>
      </c>
      <c r="JP25" t="n">
        <v>20</v>
      </c>
      <c r="JQ25" t="n">
        <v>25</v>
      </c>
      <c r="KA25" t="n">
        <v>60</v>
      </c>
      <c r="KC25" t="inlineStr">
        <is>
          <t>1;2</t>
        </is>
      </c>
      <c r="KD25" t="n">
        <v>1</v>
      </c>
      <c r="KE25" t="inlineStr">
        <is>
          <t>boss_howitzer</t>
        </is>
      </c>
      <c r="KF25" t="n">
        <v>1</v>
      </c>
      <c r="KG25" t="n">
        <v>9.1</v>
      </c>
      <c r="KH25" t="inlineStr">
        <is>
          <t>Assets/MachineBrigade/Resources/Data/balance.json: vehicles[139]</t>
        </is>
      </c>
      <c r="KI25" t="inlineStr">
        <is>
          <t>{"id":"mobile_fortress","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41200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[0,3.0,7.1],"radius":3.0,"mounts":[0],"skills":["fortress_barrage"],"radio":"radio.part.maingun"},{"id":"rockets_l","kind":"rockets","hp":0.07,"armour":2,"node":"Mount_rocket","wreck":"wreck_launcher","at":[-1.9,-6.0,4.6],"radius":1.8,"mounts":[1]},{"id":"rockets_r","kind":"rockets","hp":0.07,"armour":2,"node":"Mount_rocket.001","wreck":"wreck_launcher","at":[1.9,-6.0,4.6],"radius":1.8,"mounts":[2]},{"id":"flak_l","kind":"flak","hp":0.07,"armour":2,"node":"Mount_mg","wreck":"wreck_turret","at":[-3.2,6.0,4.6],"radius":1.8,"mounts":[3]},{"id":"flak_r","kind":"flak","hp":0.07,"armour":2,"node":"Mount_mg.001","wreck":"wreck_turret","at":[3.2,6.0,4.6],"radius":1.8,"mounts":[4,6]},{"id":"missiles","kind":"missiles","hp":0.07,"armour":2,"wreck":"wreck_launcher","at":[0,-6.05,4.6],"radius":1.8,"mounts":[5]},{"id":"emp","kind":"emp","hp":0.07,"armour":1,"node":"Radar","wreck":"wreck_stump","at":[0,-4.2,7.7],"radius":2.0,"skills":["boss_emp"]},{"use":"howitzer_203","id":"howitzer_2","node":"Mount_gun","at":[0,-2.0,7.4]},{"use":"sam_medium","id":"sam","node":"Mount_missile.001","at":[2.6,-4.4,5.6]}],"deathExplosion":{"damage":450,"radius":20,"delay":2.6,"tier":"Ultimate"}}</t>
        </is>
      </c>
    </row>
    <row r="26">
      <c r="A26" t="inlineStr">
        <is>
          <t>moloch</t>
        </is>
      </c>
      <c r="B26" t="inlineStr">
        <is>
          <t>main</t>
        </is>
      </c>
      <c r="C26" t="inlineStr">
        <is>
          <t>Moloch · Mobile Factory</t>
        </is>
      </c>
      <c r="D26" t="inlineStr">
        <is>
          <t>Moloch · Nhà máy di động</t>
        </is>
      </c>
      <c r="E26" t="inlineStr">
        <is>
          <t>Moloch</t>
        </is>
      </c>
      <c r="F26" t="inlineStr"/>
      <c r="G26" t="inlineStr"/>
      <c r="H26" t="inlineStr"/>
      <c r="I26" t="n">
        <v>0</v>
      </c>
      <c r="J26" t="n">
        <v>74100</v>
      </c>
      <c r="K26" t="n">
        <v>62985</v>
      </c>
      <c r="L26" t="n">
        <v>5</v>
      </c>
      <c r="M26" t="n">
        <v>3</v>
      </c>
      <c r="N26" t="n">
        <v>2</v>
      </c>
      <c r="O26" t="n">
        <v>2</v>
      </c>
      <c r="P26" t="b">
        <v>0</v>
      </c>
      <c r="Q26" t="n">
        <v>1.2</v>
      </c>
      <c r="R26" t="n">
        <v>14</v>
      </c>
      <c r="S26" t="n">
        <v>30</v>
      </c>
      <c r="T26" t="n">
        <v>60</v>
      </c>
      <c r="U26" t="n">
        <v>11</v>
      </c>
      <c r="V26" t="n">
        <v>24</v>
      </c>
      <c r="W26" t="n">
        <v>13</v>
      </c>
      <c r="X26" t="b">
        <v>0</v>
      </c>
      <c r="Y26" t="n">
        <v>0</v>
      </c>
      <c r="Z26" t="b">
        <v>0</v>
      </c>
      <c r="AA26" t="b">
        <v>1</v>
      </c>
      <c r="AB26" t="n">
        <v>1</v>
      </c>
      <c r="AC26" t="n">
        <v>3.5</v>
      </c>
      <c r="AD26" t="n">
        <v>1.6957</v>
      </c>
      <c r="AE26" t="inlineStr">
        <is>
          <t>p26_moloch_main_mo120</t>
        </is>
      </c>
      <c r="AF26" t="inlineStr">
        <is>
          <t>p26_moloch_tiny_zu23;p26_moloch_tiny_zu23;p26_moloch_main_mo120;p26_moloch_direct_mo120ap;p26_moloch_direct_mo120ap;p26_moloch_close_boss_flak</t>
        </is>
      </c>
      <c r="AG26" t="inlineStr">
        <is>
          <t>boss_bulwark</t>
        </is>
      </c>
      <c r="AH26" t="inlineStr">
        <is>
          <t>none</t>
        </is>
      </c>
      <c r="AI26" t="inlineStr"/>
      <c r="AJ26" t="inlineStr"/>
      <c r="AK26" t="inlineStr">
        <is>
          <t>moloch</t>
        </is>
      </c>
      <c r="AL26" t="inlineStr">
        <is>
          <t>doi</t>
        </is>
      </c>
      <c r="BG26" t="n">
        <v>1</v>
      </c>
      <c r="BH26" t="n">
        <v>1.6957</v>
      </c>
      <c r="BI26" t="inlineStr">
        <is>
          <t>tracked</t>
        </is>
      </c>
      <c r="BJ26" t="inlineStr">
        <is>
          <t>tracked</t>
        </is>
      </c>
      <c r="BK26" t="inlineStr">
        <is>
          <t>varga</t>
        </is>
      </c>
      <c r="BL26" t="inlineStr"/>
      <c r="BM26" t="n">
        <v>7</v>
      </c>
      <c r="BN26" t="n">
        <v>13</v>
      </c>
      <c r="BO26" t="inlineStr">
        <is>
          <t>moloch_factory_dump</t>
        </is>
      </c>
      <c r="BP26" t="n">
        <v>50</v>
      </c>
      <c r="BQ26" t="inlineStr">
        <is>
          <t>group</t>
        </is>
      </c>
      <c r="BR26" t="b">
        <v>0</v>
      </c>
      <c r="BS26" t="inlineStr">
        <is>
          <t>6;8</t>
        </is>
      </c>
      <c r="BT26" t="inlineStr"/>
      <c r="BU26" t="inlineStr">
        <is>
          <t>tuan:168;day_du:150</t>
        </is>
      </c>
      <c r="BZ26" t="n">
        <v>5</v>
      </c>
      <c r="CA26" t="n">
        <v>2</v>
      </c>
      <c r="CB26" t="n">
        <v>3</v>
      </c>
      <c r="CC26" t="n">
        <v>2</v>
      </c>
      <c r="CD26" t="inlineStr">
        <is>
          <t>moloch_factory_dump</t>
        </is>
      </c>
      <c r="CH26" t="b">
        <v>1</v>
      </c>
      <c r="DU26" t="n">
        <v>480</v>
      </c>
      <c r="DV26" t="n">
        <v>2.6</v>
      </c>
      <c r="DW26" t="n">
        <v>22</v>
      </c>
      <c r="DX26" t="inlineStr">
        <is>
          <t>Ultimate</t>
        </is>
      </c>
      <c r="EA26" t="n">
        <v>6</v>
      </c>
      <c r="EB26" t="inlineStr">
        <is>
          <t>door_l;door_r</t>
        </is>
      </c>
      <c r="EC26" t="n">
        <v>20</v>
      </c>
      <c r="ED26" t="n">
        <v>12</v>
      </c>
      <c r="EE26" t="n">
        <v>60</v>
      </c>
      <c r="EF26" t="n">
        <v>2</v>
      </c>
      <c r="EG26" t="n">
        <v>1</v>
      </c>
      <c r="EH26" t="inlineStr">
        <is>
          <t>light_tank,ifv,armored_car;main_battle_tank,ifv,light_tank;main_battle_tank,heavy_tank,ifv</t>
        </is>
      </c>
      <c r="EO26" t="inlineStr">
        <is>
          <t>tracked</t>
        </is>
      </c>
      <c r="EP26" t="inlineStr">
        <is>
          <t>varga</t>
        </is>
      </c>
      <c r="ER26" t="n">
        <v>4</v>
      </c>
      <c r="ES26" t="n">
        <v>250</v>
      </c>
      <c r="ET26" t="n">
        <v>5</v>
      </c>
      <c r="EU26" t="n">
        <v>6</v>
      </c>
      <c r="EV26" t="n">
        <v>15</v>
      </c>
      <c r="EW26" t="n">
        <v>74100</v>
      </c>
      <c r="FF26" t="n">
        <v>24</v>
      </c>
      <c r="FR26" t="inlineStr">
        <is>
          <t>moloch</t>
        </is>
      </c>
      <c r="FV26" t="inlineStr">
        <is>
          <t>p26_moloch_main_mo120</t>
        </is>
      </c>
      <c r="FW26" t="inlineStr">
        <is>
          <t>p26_moloch_tiny_zu23</t>
        </is>
      </c>
      <c r="FY26" t="inlineStr">
        <is>
          <t>p26_moloch_tiny_zu23</t>
        </is>
      </c>
      <c r="FZ26" t="inlineStr">
        <is>
          <t>p26_moloch_main_mo120</t>
        </is>
      </c>
      <c r="GA26" t="inlineStr">
        <is>
          <t>p26_moloch_direct_mo120ap</t>
        </is>
      </c>
      <c r="GB26" t="inlineStr">
        <is>
          <t>p26_moloch_direct_mo120ap</t>
        </is>
      </c>
      <c r="GC26" t="inlineStr">
        <is>
          <t>p26_moloch_close_boss_flak</t>
        </is>
      </c>
      <c r="GK26" t="n">
        <v>1.6957</v>
      </c>
      <c r="HF26" t="inlineStr">
        <is>
          <t>radio.varga.moloch</t>
        </is>
      </c>
      <c r="HG26" t="n">
        <v>11</v>
      </c>
      <c r="HH26" t="inlineStr">
        <is>
          <t>main</t>
        </is>
      </c>
      <c r="IB26" t="n">
        <v>1.5103</v>
      </c>
      <c r="IC26" t="inlineStr">
        <is>
          <t>boss_bulwark</t>
        </is>
      </c>
      <c r="ID26" t="n">
        <v>1.2</v>
      </c>
      <c r="JP26" t="n">
        <v>14</v>
      </c>
      <c r="JQ26" t="n">
        <v>30</v>
      </c>
      <c r="KA26" t="n">
        <v>60</v>
      </c>
      <c r="KE26" t="inlineStr">
        <is>
          <t>gun_120mm</t>
        </is>
      </c>
      <c r="KF26" t="n">
        <v>1</v>
      </c>
      <c r="KG26" t="n">
        <v>13</v>
      </c>
      <c r="KH26" t="inlineStr">
        <is>
          <t>Assets/MachineBrigade/Resources/Data/balance.json: vehicles[159]</t>
        </is>
      </c>
      <c r="KI26" t="inlineStr">
        <is>
          <t>{"id":"moloch","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74100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7">
      <c r="A27" t="inlineStr">
        <is>
          <t>monster</t>
        </is>
      </c>
      <c r="B27" t="inlineStr">
        <is>
          <t>main</t>
        </is>
      </c>
      <c r="C27" t="inlineStr">
        <is>
          <t>Monster · 800 mm Self-Propelled Gun</t>
        </is>
      </c>
      <c r="D27" t="inlineStr">
        <is>
          <t>Monster · Pháo tự hành 800 mm</t>
        </is>
      </c>
      <c r="E27" t="inlineStr">
        <is>
          <t>Monster</t>
        </is>
      </c>
      <c r="F27" t="inlineStr"/>
      <c r="G27" t="inlineStr"/>
      <c r="H27" t="inlineStr"/>
      <c r="I27" t="n">
        <v>0</v>
      </c>
      <c r="J27" t="n">
        <v>103100</v>
      </c>
      <c r="K27" t="n">
        <v>87635</v>
      </c>
      <c r="L27" t="n">
        <v>5</v>
      </c>
      <c r="M27" t="n">
        <v>3</v>
      </c>
      <c r="N27" t="n">
        <v>2</v>
      </c>
      <c r="O27" t="n">
        <v>3</v>
      </c>
      <c r="P27" t="b">
        <v>0</v>
      </c>
      <c r="Q27" t="n">
        <v>0.8</v>
      </c>
      <c r="R27" t="n">
        <v>18</v>
      </c>
      <c r="S27" t="n">
        <v>22</v>
      </c>
      <c r="T27" t="n">
        <v>64</v>
      </c>
      <c r="U27" t="n">
        <v>7.5</v>
      </c>
      <c r="V27" t="n">
        <v>19.884</v>
      </c>
      <c r="W27" t="n">
        <v>10.92</v>
      </c>
      <c r="X27" t="b">
        <v>0</v>
      </c>
      <c r="Y27" t="n">
        <v>0</v>
      </c>
      <c r="Z27" t="b">
        <v>0</v>
      </c>
      <c r="AA27" t="b">
        <v>1</v>
      </c>
      <c r="AB27" t="n">
        <v>0</v>
      </c>
      <c r="AC27" t="n">
        <v>3.5</v>
      </c>
      <c r="AD27" t="n">
        <v>1</v>
      </c>
      <c r="AE27" t="inlineStr">
        <is>
          <t>p26_bastion_sec_b240</t>
        </is>
      </c>
      <c r="AF27" t="inlineStr">
        <is>
          <t>p26_bastion_direct_b100;p26_bastion_direct_b100;p26_bastion_tiny_autocannon_40;p26_bastion_tiny_autocannon_40;p26_bastion_tiny_kornet_twin;p26_bastion_close_boss_hmg;p26_bastion_close_boss_hmg;p26_bastion_main_b155;p26_bastion_tiny_zu23;p26_bastion_tiny_zu23</t>
        </is>
      </c>
      <c r="AG27" t="inlineStr">
        <is>
          <t>train_patch;boss_bulwark;fortress_barrage</t>
        </is>
      </c>
      <c r="AH27" t="inlineStr">
        <is>
          <t>none</t>
        </is>
      </c>
      <c r="AI27" t="inlineStr"/>
      <c r="AJ27" t="inlineStr"/>
      <c r="AK27" t="inlineStr">
        <is>
          <t>monster</t>
        </is>
      </c>
      <c r="AL27" t="inlineStr">
        <is>
          <t>giong</t>
        </is>
      </c>
      <c r="BI27" t="inlineStr">
        <is>
          <t>tracked</t>
        </is>
      </c>
      <c r="BJ27" t="inlineStr">
        <is>
          <t>tracked</t>
        </is>
      </c>
      <c r="BK27" t="inlineStr">
        <is>
          <t>orlov</t>
        </is>
      </c>
      <c r="BL27" t="inlineStr">
        <is>
          <t>fortress_bastion</t>
        </is>
      </c>
      <c r="BM27" t="n">
        <v>11</v>
      </c>
      <c r="BN27" t="n">
        <v>15</v>
      </c>
      <c r="BO27" t="inlineStr">
        <is>
          <t>monster_800_shell</t>
        </is>
      </c>
      <c r="BP27" t="n">
        <v>50</v>
      </c>
      <c r="BQ27" t="inlineStr">
        <is>
          <t>group</t>
        </is>
      </c>
      <c r="BR27" t="b">
        <v>0</v>
      </c>
      <c r="BS27" t="inlineStr">
        <is>
          <t>11</t>
        </is>
      </c>
      <c r="BT27" t="inlineStr">
        <is>
          <t>c11m05</t>
        </is>
      </c>
      <c r="BU27" t="inlineStr">
        <is>
          <t>tuan:168;day_du:150</t>
        </is>
      </c>
      <c r="BZ27" t="n">
        <v>5</v>
      </c>
      <c r="CA27" t="n">
        <v>2</v>
      </c>
      <c r="CB27" t="n">
        <v>3</v>
      </c>
      <c r="CC27" t="n">
        <v>3</v>
      </c>
      <c r="CD27" t="inlineStr">
        <is>
          <t>monster_800_shell</t>
        </is>
      </c>
      <c r="EP27" t="inlineStr">
        <is>
          <t>orlov</t>
        </is>
      </c>
      <c r="EW27" t="n">
        <v>103100</v>
      </c>
      <c r="FR27" t="inlineStr">
        <is>
          <t>monster</t>
        </is>
      </c>
      <c r="FS27" t="n">
        <v>13</v>
      </c>
      <c r="FT27" t="n">
        <v>40.3</v>
      </c>
      <c r="FU27" t="n">
        <v>22.1</v>
      </c>
      <c r="HF27" t="inlineStr">
        <is>
          <t>radio.orlov.monster</t>
        </is>
      </c>
      <c r="HH27" t="inlineStr">
        <is>
          <t>main</t>
        </is>
      </c>
      <c r="ID27" t="n">
        <v>0.8</v>
      </c>
      <c r="JT27" t="inlineStr">
        <is>
          <t>monster</t>
        </is>
      </c>
      <c r="JV27" t="inlineStr">
        <is>
          <t>fortress_bastion</t>
        </is>
      </c>
      <c r="JW27" t="n">
        <v>1.05</v>
      </c>
      <c r="KF27" t="n">
        <v>1.997</v>
      </c>
      <c r="KH27" t="inlineStr">
        <is>
          <t>Assets/MachineBrigade/Resources/Data/balance.json: vehicles[172]</t>
        </is>
      </c>
      <c r="KI27" t="inlineStr">
        <is>
          <t>{"id":"monster","armour":[5,3,2,3],"variantOf":"fortress_bastion","model":"monster","rank":"main","general":"orlov","radioSpawn":"radio.orlov.monster","hp":103100,"weaponDamage":1.997,"speed":0.8,"bigAttack":"monster_800_shell","modelSize":[40.3,22.1,13],"variant":{"size":1.05,"mark":"monster"}}</t>
        </is>
      </c>
    </row>
    <row r="28">
      <c r="A28" t="inlineStr">
        <is>
          <t>nuke_train</t>
        </is>
      </c>
      <c r="B28" t="inlineStr">
        <is>
          <t>main</t>
        </is>
      </c>
      <c r="C28" t="inlineStr">
        <is>
          <t>Nemesis · Missile Train</t>
        </is>
      </c>
      <c r="D28" t="inlineStr">
        <is>
          <t>Nemesis · Đoàn tàu tên lửa</t>
        </is>
      </c>
      <c r="E28" t="inlineStr">
        <is>
          <t>Nemesis</t>
        </is>
      </c>
      <c r="F28" t="inlineStr"/>
      <c r="G28" t="inlineStr"/>
      <c r="H28" t="inlineStr"/>
      <c r="I28" t="n">
        <v>0</v>
      </c>
      <c r="J28" t="n">
        <v>88650</v>
      </c>
      <c r="K28" t="n">
        <v>75352.5</v>
      </c>
      <c r="L28" t="n">
        <v>5</v>
      </c>
      <c r="M28" t="n">
        <v>3</v>
      </c>
      <c r="N28" t="n">
        <v>2</v>
      </c>
      <c r="O28" t="n">
        <v>2</v>
      </c>
      <c r="P28" t="b">
        <v>0</v>
      </c>
      <c r="Q28" t="n">
        <v>0.35</v>
      </c>
      <c r="R28" t="n">
        <v>30</v>
      </c>
      <c r="S28" t="n">
        <v>90</v>
      </c>
      <c r="T28" t="n">
        <v>55</v>
      </c>
      <c r="U28" t="n">
        <v>3.8</v>
      </c>
      <c r="V28" t="n">
        <v>47.84</v>
      </c>
      <c r="W28" t="n">
        <v>3.956</v>
      </c>
      <c r="X28" t="b">
        <v>0</v>
      </c>
      <c r="Y28" t="n">
        <v>0</v>
      </c>
      <c r="Z28" t="b">
        <v>0</v>
      </c>
      <c r="AA28" t="b">
        <v>1</v>
      </c>
      <c r="AB28" t="n">
        <v>0</v>
      </c>
      <c r="AC28" t="n">
        <v>3.5</v>
      </c>
      <c r="AD28" t="n">
        <v>1.3092</v>
      </c>
      <c r="AE28" t="inlineStr">
        <is>
          <t>p26_nemesis_main_ne152</t>
        </is>
      </c>
      <c r="AF28" t="inlineStr">
        <is>
          <t>p26_nemesis_close_boss_flak;p26_nemesis_close_boss_flak;p26_nemesis_sec_boss_rockets;sam_battery;p26_nemesis_direct_ne125;p26_nemesis_close_boss_flak</t>
        </is>
      </c>
      <c r="AG28" t="inlineStr">
        <is>
          <t>train_smoke</t>
        </is>
      </c>
      <c r="AH28" t="inlineStr">
        <is>
          <t>none</t>
        </is>
      </c>
      <c r="AI28" t="inlineStr"/>
      <c r="AJ28" t="inlineStr"/>
      <c r="AK28" t="inlineStr">
        <is>
          <t>nuke_train</t>
        </is>
      </c>
      <c r="AL28" t="inlineStr">
        <is>
          <t>doi</t>
        </is>
      </c>
      <c r="BG28" t="n">
        <v>1</v>
      </c>
      <c r="BH28" t="n">
        <v>1.3092</v>
      </c>
      <c r="BI28" t="inlineStr">
        <is>
          <t>train</t>
        </is>
      </c>
      <c r="BJ28" t="inlineStr">
        <is>
          <t>rail</t>
        </is>
      </c>
      <c r="BK28" t="inlineStr">
        <is>
          <t>hung</t>
        </is>
      </c>
      <c r="BL28" t="inlineStr"/>
      <c r="BM28" t="n">
        <v>7</v>
      </c>
      <c r="BN28" t="n">
        <v>7</v>
      </c>
      <c r="BO28" t="inlineStr">
        <is>
          <t>doomsday_missile</t>
        </is>
      </c>
      <c r="BP28" t="n">
        <v>50</v>
      </c>
      <c r="BQ28" t="inlineStr">
        <is>
          <t>hq</t>
        </is>
      </c>
      <c r="BR28" t="b">
        <v>1</v>
      </c>
      <c r="BS28" t="inlineStr">
        <is>
          <t>7</t>
        </is>
      </c>
      <c r="BT28" t="inlineStr"/>
      <c r="BU28" t="inlineStr">
        <is>
          <t>tuan:168;day_du:150</t>
        </is>
      </c>
      <c r="BX28" t="inlineStr">
        <is>
          <t>metrocity</t>
        </is>
      </c>
      <c r="BZ28" t="n">
        <v>5</v>
      </c>
      <c r="CA28" t="n">
        <v>2</v>
      </c>
      <c r="CB28" t="n">
        <v>3</v>
      </c>
      <c r="CC28" t="n">
        <v>2</v>
      </c>
      <c r="CD28" t="inlineStr">
        <is>
          <t>doomsday_missile</t>
        </is>
      </c>
      <c r="CH28" t="b">
        <v>1</v>
      </c>
      <c r="CW28" t="n">
        <v>0</v>
      </c>
      <c r="CX28" t="n">
        <v>0</v>
      </c>
      <c r="DU28" t="n">
        <v>400</v>
      </c>
      <c r="DV28" t="n">
        <v>2.6</v>
      </c>
      <c r="DW28" t="n">
        <v>18</v>
      </c>
      <c r="DX28" t="inlineStr">
        <is>
          <t>Ultimate</t>
        </is>
      </c>
      <c r="EM28" t="b">
        <v>1</v>
      </c>
      <c r="EO28" t="inlineStr">
        <is>
          <t>train</t>
        </is>
      </c>
      <c r="EP28" t="inlineStr">
        <is>
          <t>hung</t>
        </is>
      </c>
      <c r="ER28" t="n">
        <v>4</v>
      </c>
      <c r="ES28" t="n">
        <v>280</v>
      </c>
      <c r="ET28" t="n">
        <v>5</v>
      </c>
      <c r="EU28" t="n">
        <v>6</v>
      </c>
      <c r="EV28" t="n">
        <v>15</v>
      </c>
      <c r="EW28" t="n">
        <v>88650</v>
      </c>
      <c r="FF28" t="n">
        <v>41.6</v>
      </c>
      <c r="FV28" t="inlineStr">
        <is>
          <t>p26_nemesis_main_ne152</t>
        </is>
      </c>
      <c r="FW28" t="inlineStr">
        <is>
          <t>p26_nemesis_close_boss_flak</t>
        </is>
      </c>
      <c r="FY28" t="inlineStr">
        <is>
          <t>p26_nemesis_close_boss_flak</t>
        </is>
      </c>
      <c r="FZ28" t="inlineStr">
        <is>
          <t>p26_nemesis_sec_boss_rockets</t>
        </is>
      </c>
      <c r="GB28" t="inlineStr">
        <is>
          <t>p26_nemesis_direct_ne125</t>
        </is>
      </c>
      <c r="GC28" t="inlineStr">
        <is>
          <t>p26_nemesis_close_boss_flak</t>
        </is>
      </c>
      <c r="GK28" t="n">
        <v>1.3092</v>
      </c>
      <c r="HF28" t="inlineStr">
        <is>
          <t>radio.hung.nemesis</t>
        </is>
      </c>
      <c r="HG28" t="n">
        <v>3.8</v>
      </c>
      <c r="HH28" t="inlineStr">
        <is>
          <t>main</t>
        </is>
      </c>
      <c r="HI28" t="inlineStr">
        <is>
          <t>rail</t>
        </is>
      </c>
      <c r="HW28" t="n">
        <v>1.15</v>
      </c>
      <c r="IB28" t="n">
        <v>1.4763</v>
      </c>
      <c r="IC28" t="inlineStr">
        <is>
          <t>train_smoke</t>
        </is>
      </c>
      <c r="ID28" t="n">
        <v>0.35</v>
      </c>
      <c r="JP28" t="n">
        <v>30</v>
      </c>
      <c r="JQ28" t="n">
        <v>90</v>
      </c>
      <c r="KA28" t="n">
        <v>55</v>
      </c>
      <c r="KC28" t="inlineStr">
        <is>
          <t>3</t>
        </is>
      </c>
      <c r="KD28" t="n">
        <v>1</v>
      </c>
      <c r="KE28" t="inlineStr">
        <is>
          <t>gun_behemoth</t>
        </is>
      </c>
      <c r="KF28" t="n">
        <v>1</v>
      </c>
      <c r="KG28" t="n">
        <v>3.44</v>
      </c>
      <c r="KH28" t="inlineStr">
        <is>
          <t>Assets/MachineBrigade/Resources/Data/balance.json: vehicles[143]</t>
        </is>
      </c>
      <c r="KI28" t="inlineStr">
        <is>
          <t>{"id":"nuke_train","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88650,"weaponDamage":1,"speed":0.35,"turnRate":30,"turretTurnRate":90,"radius":3.8,"length":41.6,"width":3.44,"cp":0,"vision":55,"firesWhileMoving":true,"weapon":"gun_behemoth","captureRate":0,"skills":["train_smoke"],"secondary":[{"weapon":"boss_flak","slot":"mg","aim":"Free"},{"weapon":"boss_flak","slot":"mg","aim":"Free"},{"weapon":"boss_rockets","slot":"rocket","aim":"Free"},{"weapon":"sam_battery","slot":"missile","aim":"Free"}],"parts":[{"id":"locomotive","kind":"locomotive","hp":0.08,"armour":4,"wreck":"wreck_stump","at":[0,-8.5,2.5],"radius":3.5,"speed":0.5,"radio":"radio.part.locomotive"},{"id":"twin_gun","kind":"maingun","hp":0.09,"armour":3,"node":"Main_cannon|Main_cannon_2|Muzzle_brake|Muzzle_brake_2","wreck":"wreck_barrel","at":[0,5.5,3.9],"radius":3.0,"mounts":[0],"radio":"radio.part.maingun"},{"id":"flak_front","kind":"flak","hp":0.07,"armour":2,"node":"Mount_mg","wreck":"wreck_turret","at":[-0.45,8.3,3.5],"radius":2.0,"mounts":[1]},{"id":"flak_rear","kind":"flak","hp":0.07,"armour":2,"node":"Mount_mg.001","wreck":"wreck_turret","at":[0.45,0.28,3.5],"radius":2.0,"mounts":[2]},{"id":"rocket_car","kind":"rockets","hp":0.07,"armour":2,"node":"Part_rocket","wreck":"wreck_launcher","at":[0,-13.4,2.6],"radius":2.4,"mounts":[3]},{"id":"sam_car","kind":"sam","hp":0.07,"armour":2,"node":"Part_missile","wreck":"wreck_launcher","at":[0,-18.2,2.8],"radius":2.4,"mounts":[4]},{"id":"erector","kind":"erector","hp":0.07,"armour":2,"wreck":"wreck_launcher","at":[0,-4.5,3.6],"radius":2.6,"radio":"radio.part.erector"},{"use":"gun_152_car","id":"gun_car_152","kind":"gun","node":"Part_gun152","at":[0,-23.2,3.4]},{"use":"flak_35","id":"aa_car","node":"Part_aa","at":[0,-28.2,3.2]}],"deathExplosion":{"damage":400,"radius":18,"delay":2.6,"tier":"Ultimate"}}</t>
        </is>
      </c>
    </row>
    <row r="29">
      <c r="A29" t="inlineStr">
        <is>
          <t>nyx</t>
        </is>
      </c>
      <c r="B29" t="inlineStr">
        <is>
          <t>mini</t>
        </is>
      </c>
      <c r="C29" t="inlineStr">
        <is>
          <t>Nyx · Stealth Destroyer</t>
        </is>
      </c>
      <c r="D29" t="inlineStr">
        <is>
          <t>Nyx · Tàu khu trục tàng hình</t>
        </is>
      </c>
      <c r="E29" t="inlineStr">
        <is>
          <t>Nyx</t>
        </is>
      </c>
      <c r="F29" t="inlineStr"/>
      <c r="G29" t="inlineStr"/>
      <c r="H29" t="inlineStr"/>
      <c r="I29" t="n">
        <v>0</v>
      </c>
      <c r="J29" t="n">
        <v>37750</v>
      </c>
      <c r="K29" t="n">
        <v>32087.5</v>
      </c>
      <c r="L29" t="n">
        <v>4</v>
      </c>
      <c r="M29" t="n">
        <v>4</v>
      </c>
      <c r="N29" t="n">
        <v>3</v>
      </c>
      <c r="O29" t="n">
        <v>2</v>
      </c>
      <c r="P29" t="b">
        <v>0</v>
      </c>
      <c r="Q29" t="n">
        <v>5</v>
      </c>
      <c r="R29" t="n">
        <v>8</v>
      </c>
      <c r="S29" t="n">
        <v>36</v>
      </c>
      <c r="T29" t="n">
        <v>120</v>
      </c>
      <c r="U29" t="n">
        <v>11.2</v>
      </c>
      <c r="V29" t="n">
        <v>86</v>
      </c>
      <c r="W29" t="n">
        <v>14.4</v>
      </c>
      <c r="X29" t="b">
        <v>0</v>
      </c>
      <c r="Y29" t="n">
        <v>0</v>
      </c>
      <c r="Z29" t="b">
        <v>0</v>
      </c>
      <c r="AA29" t="b">
        <v>1</v>
      </c>
      <c r="AB29" t="n">
        <v>0</v>
      </c>
      <c r="AC29" t="n">
        <v>3.5</v>
      </c>
      <c r="AD29" t="n">
        <v>0.8362000000000001</v>
      </c>
      <c r="AE29" t="inlineStr">
        <is>
          <t>boss_railgun</t>
        </is>
      </c>
      <c r="AF29" t="inlineStr">
        <is>
          <t>p26_leviathan_direct_lev127;p26_leviathan_direct_lev127</t>
        </is>
      </c>
      <c r="AG29" t="inlineStr">
        <is>
          <t>leviathan_helos</t>
        </is>
      </c>
      <c r="AH29" t="inlineStr">
        <is>
          <t>aps</t>
        </is>
      </c>
      <c r="AI29" t="n">
        <v>3</v>
      </c>
      <c r="AJ29" t="n">
        <v>2.2</v>
      </c>
      <c r="AK29" t="inlineStr">
        <is>
          <t>nyx</t>
        </is>
      </c>
      <c r="AL29" t="inlineStr">
        <is>
          <t>doi</t>
        </is>
      </c>
      <c r="BG29" t="n">
        <v>1</v>
      </c>
      <c r="BH29" t="n">
        <v>0.8362000000000001</v>
      </c>
      <c r="BI29" t="inlineStr">
        <is>
          <t>ship</t>
        </is>
      </c>
      <c r="BJ29" t="inlineStr">
        <is>
          <t>ship</t>
        </is>
      </c>
      <c r="BK29" t="inlineStr">
        <is>
          <t>kessler</t>
        </is>
      </c>
      <c r="BL29" t="inlineStr">
        <is>
          <t>leviathan</t>
        </is>
      </c>
      <c r="BM29" t="n">
        <v>3</v>
      </c>
      <c r="BN29" t="n">
        <v>3</v>
      </c>
      <c r="BO29" t="inlineStr"/>
      <c r="BP29" t="inlineStr"/>
      <c r="BQ29" t="inlineStr"/>
      <c r="BR29" t="b">
        <v>0</v>
      </c>
      <c r="BS29" t="inlineStr"/>
      <c r="BT29" t="inlineStr"/>
      <c r="BU29" t="inlineStr">
        <is>
          <t>tuan:66;day_du:60</t>
        </is>
      </c>
      <c r="BV29" t="inlineStr"/>
      <c r="BZ29" t="n">
        <v>4</v>
      </c>
      <c r="CA29" t="n">
        <v>3</v>
      </c>
      <c r="CB29" t="n">
        <v>4</v>
      </c>
      <c r="CC29" t="n">
        <v>2</v>
      </c>
      <c r="DG29" t="n">
        <v>400</v>
      </c>
      <c r="DH29" t="n">
        <v>18</v>
      </c>
      <c r="DI29" t="n">
        <v>0</v>
      </c>
      <c r="DK29" t="n">
        <v>0</v>
      </c>
      <c r="EP29" t="inlineStr">
        <is>
          <t>kessler</t>
        </is>
      </c>
      <c r="EW29" t="n">
        <v>37750</v>
      </c>
      <c r="FR29" t="inlineStr">
        <is>
          <t>nyx</t>
        </is>
      </c>
      <c r="FS29" t="n">
        <v>11</v>
      </c>
      <c r="FT29" t="n">
        <v>53</v>
      </c>
      <c r="FU29" t="n">
        <v>8.9</v>
      </c>
      <c r="GG29" t="n">
        <v>-1</v>
      </c>
      <c r="GI29" t="inlineStr">
        <is>
          <t>near</t>
        </is>
      </c>
      <c r="GK29" t="n">
        <v>0.8362000000000001</v>
      </c>
      <c r="HF29" t="inlineStr">
        <is>
          <t>radio.kessler.nyx</t>
        </is>
      </c>
      <c r="ID29" t="n">
        <v>5</v>
      </c>
      <c r="IF29" t="b">
        <v>1</v>
      </c>
      <c r="JS29" t="inlineStr">
        <is>
          <t>turret_fore;vls;ciws_fore;ciws_aft</t>
        </is>
      </c>
      <c r="JT29" t="inlineStr">
        <is>
          <t>nyx</t>
        </is>
      </c>
      <c r="JV29" t="inlineStr">
        <is>
          <t>leviathan</t>
        </is>
      </c>
      <c r="JW29" t="n">
        <v>0.55</v>
      </c>
      <c r="KE29" t="inlineStr">
        <is>
          <t>boss_railgun</t>
        </is>
      </c>
      <c r="KF29" t="n">
        <v>1.865</v>
      </c>
      <c r="KH29" t="inlineStr">
        <is>
          <t>Assets/MachineBrigade/Resources/Data/balance.json: vehicles[174]</t>
        </is>
      </c>
      <c r="KI29" t="inlineStr">
        <is>
          <t>{"id":"nyx","outgoingDamageMult":0.8362,"wake":null,"variantOf":"leviathan","model":"nyx","general":"kessler","radioSpawn":"radio.kessler.nyx","hp":37750,"weaponDamage":1.865,"armour":[4,4,3,2],"weapon":"boss_railgun","stealth":true,"speed":5,"modelSize":[53,8.9,11],"naval":{"lanes":["near"],"escapePhase":-1},"craft":null,"air":[],"cruise":{"phase":0,"damage":400,"final":0,"every":18},"fleet":[{"unit":"missile_boat","count":1}],"salvo":null,"variant":{"size":0.55,"keep":["turret_fore","vls","ciws_fore","ciws_aft"],"mark":"nyx","tune":{"turret_fore":{"hp":0.12},"vls":{"hp":0.12},"ciws_fore":{"hp":0.11},"ciws_aft":{"hp":0.11}}}}</t>
        </is>
      </c>
    </row>
    <row r="30">
      <c r="A30" t="inlineStr">
        <is>
          <t>scylla</t>
        </is>
      </c>
      <c r="B30" t="inlineStr">
        <is>
          <t>mini</t>
        </is>
      </c>
      <c r="C30" t="inlineStr">
        <is>
          <t>Scylla · Destroyer</t>
        </is>
      </c>
      <c r="D30" t="inlineStr">
        <is>
          <t>Scylla · Tàu khu trục</t>
        </is>
      </c>
      <c r="E30" t="inlineStr">
        <is>
          <t>Scylla</t>
        </is>
      </c>
      <c r="F30" t="inlineStr"/>
      <c r="G30" t="inlineStr"/>
      <c r="H30" t="inlineStr"/>
      <c r="I30" t="n">
        <v>0</v>
      </c>
      <c r="J30" t="n">
        <v>37750</v>
      </c>
      <c r="K30" t="n">
        <v>32087.5</v>
      </c>
      <c r="L30" t="n">
        <v>4</v>
      </c>
      <c r="M30" t="n">
        <v>4</v>
      </c>
      <c r="N30" t="n">
        <v>3</v>
      </c>
      <c r="O30" t="n">
        <v>2</v>
      </c>
      <c r="P30" t="b">
        <v>0</v>
      </c>
      <c r="Q30" t="n">
        <v>4.6</v>
      </c>
      <c r="R30" t="n">
        <v>14</v>
      </c>
      <c r="S30" t="n">
        <v>36</v>
      </c>
      <c r="T30" t="n">
        <v>120</v>
      </c>
      <c r="U30" t="n">
        <v>11.2</v>
      </c>
      <c r="V30" t="n">
        <v>86</v>
      </c>
      <c r="W30" t="n">
        <v>14.4</v>
      </c>
      <c r="X30" t="b">
        <v>0</v>
      </c>
      <c r="Y30" t="n">
        <v>0</v>
      </c>
      <c r="Z30" t="b">
        <v>0</v>
      </c>
      <c r="AA30" t="b">
        <v>1</v>
      </c>
      <c r="AB30" t="n">
        <v>0</v>
      </c>
      <c r="AC30" t="n">
        <v>3.5</v>
      </c>
      <c r="AD30" t="n">
        <v>0.7389</v>
      </c>
      <c r="AE30" t="inlineStr">
        <is>
          <t>naval_130_twin</t>
        </is>
      </c>
      <c r="AF30" t="inlineStr">
        <is>
          <t>p26_leviathan_direct_lev127</t>
        </is>
      </c>
      <c r="AG30" t="inlineStr">
        <is>
          <t>leviathan_helos</t>
        </is>
      </c>
      <c r="AH30" t="inlineStr">
        <is>
          <t>aps</t>
        </is>
      </c>
      <c r="AI30" t="n">
        <v>3</v>
      </c>
      <c r="AJ30" t="n">
        <v>2.2</v>
      </c>
      <c r="AK30" t="inlineStr">
        <is>
          <t>scylla</t>
        </is>
      </c>
      <c r="AL30" t="inlineStr">
        <is>
          <t>doi</t>
        </is>
      </c>
      <c r="BG30" t="n">
        <v>1</v>
      </c>
      <c r="BH30" t="n">
        <v>0.7389</v>
      </c>
      <c r="BI30" t="inlineStr">
        <is>
          <t>ship</t>
        </is>
      </c>
      <c r="BJ30" t="inlineStr">
        <is>
          <t>ship</t>
        </is>
      </c>
      <c r="BK30" t="inlineStr">
        <is>
          <t>kessler</t>
        </is>
      </c>
      <c r="BL30" t="inlineStr">
        <is>
          <t>leviathan</t>
        </is>
      </c>
      <c r="BM30" t="n">
        <v>2</v>
      </c>
      <c r="BN30" t="n">
        <v>3</v>
      </c>
      <c r="BO30" t="inlineStr"/>
      <c r="BP30" t="inlineStr"/>
      <c r="BQ30" t="inlineStr"/>
      <c r="BR30" t="b">
        <v>0</v>
      </c>
      <c r="BS30" t="inlineStr">
        <is>
          <t>4;9;12</t>
        </is>
      </c>
      <c r="BT30" t="inlineStr">
        <is>
          <t>c12m02;c4m06;c9m08</t>
        </is>
      </c>
      <c r="BU30" t="inlineStr">
        <is>
          <t>tuan:66;day_du:60</t>
        </is>
      </c>
      <c r="BV30" t="inlineStr"/>
      <c r="BZ30" t="n">
        <v>4</v>
      </c>
      <c r="CA30" t="n">
        <v>3</v>
      </c>
      <c r="CB30" t="n">
        <v>4</v>
      </c>
      <c r="CC30" t="n">
        <v>2</v>
      </c>
      <c r="DG30" t="n">
        <v>450</v>
      </c>
      <c r="DH30" t="n">
        <v>15</v>
      </c>
      <c r="DI30" t="n">
        <v>0</v>
      </c>
      <c r="DK30" t="n">
        <v>0</v>
      </c>
      <c r="EP30" t="inlineStr">
        <is>
          <t>kessler</t>
        </is>
      </c>
      <c r="EW30" t="n">
        <v>37750</v>
      </c>
      <c r="GG30" t="n">
        <v>-1</v>
      </c>
      <c r="GI30" t="inlineStr">
        <is>
          <t>near</t>
        </is>
      </c>
      <c r="GK30" t="n">
        <v>0.7389</v>
      </c>
      <c r="HF30" t="inlineStr">
        <is>
          <t>radio.kessler.scylla</t>
        </is>
      </c>
      <c r="ID30" t="n">
        <v>4.6</v>
      </c>
      <c r="JP30" t="n">
        <v>14</v>
      </c>
      <c r="JS30" t="inlineStr">
        <is>
          <t>turret_fore;vls;ciws_fore</t>
        </is>
      </c>
      <c r="JT30" t="inlineStr">
        <is>
          <t>scylla</t>
        </is>
      </c>
      <c r="JV30" t="inlineStr">
        <is>
          <t>leviathan</t>
        </is>
      </c>
      <c r="JW30" t="n">
        <v>0.5</v>
      </c>
      <c r="JX30" t="n">
        <v>1.02</v>
      </c>
      <c r="JY30" t="n">
        <v>0.95</v>
      </c>
      <c r="JZ30" t="n">
        <v>0.9</v>
      </c>
      <c r="KE30" t="inlineStr">
        <is>
          <t>naval_130_twin</t>
        </is>
      </c>
      <c r="KF30" t="n">
        <v>2.195</v>
      </c>
      <c r="KH30" t="inlineStr">
        <is>
          <t>Assets/MachineBrigade/Resources/Data/balance.json: vehicles[165]</t>
        </is>
      </c>
      <c r="KI30" t="inlineStr">
        <is>
          <t>{"id":"scylla","outgoingDamageMult":0.7389,"wake":null,"armour":[4,4,3,2],"variantOf":"leviathan","hp":37750,"weaponDamage":2.195,"general":"kessler","radioSpawn":"radio.kessler.scylla","weapon":"naval_130_twin","speed":4.6,"turnRate":14,"naval":{"lanes":["near"],"escapePhase":-1},"craft":null,"air":[],"cruise":{"phase":0,"damage":450,"final":0,"every":15},"fleet":[{"unit":"missile_boat","count":2}],"salvo":null,"variant":{"size":0.5,"keep":["turret_fore","vls","ciws_fore"],"tint":[0.9,0.95,1.02],"mark":"scylla","tune":{"turret_fore":{"hp":0.14},"vls":{"hp":0.12},"ciws_fore":{"hp":0.1}}}}</t>
        </is>
      </c>
    </row>
    <row r="31">
      <c r="A31" t="inlineStr">
        <is>
          <t>silver_bug</t>
        </is>
      </c>
      <c r="B31" t="inlineStr">
        <is>
          <t>main</t>
        </is>
      </c>
      <c r="C31" t="inlineStr">
        <is>
          <t>Icarus · Orbital Spacecraft</t>
        </is>
      </c>
      <c r="D31" t="inlineStr">
        <is>
          <t>Icarus · Phi thuyền quỹ đạo</t>
        </is>
      </c>
      <c r="E31" t="inlineStr">
        <is>
          <t>Icarus</t>
        </is>
      </c>
      <c r="F31" t="inlineStr"/>
      <c r="G31" t="inlineStr"/>
      <c r="H31" t="inlineStr"/>
      <c r="I31" t="n">
        <v>0</v>
      </c>
      <c r="J31" t="n">
        <v>176450</v>
      </c>
      <c r="K31" t="n">
        <v>149982.5</v>
      </c>
      <c r="L31" t="n">
        <v>4</v>
      </c>
      <c r="M31" t="n">
        <v>4</v>
      </c>
      <c r="N31" t="n">
        <v>4</v>
      </c>
      <c r="O31" t="n">
        <v>4</v>
      </c>
      <c r="P31" t="b">
        <v>0</v>
      </c>
      <c r="Q31" t="n">
        <v>5</v>
      </c>
      <c r="R31" t="n">
        <v>30</v>
      </c>
      <c r="S31" t="n">
        <v>120</v>
      </c>
      <c r="T31" t="n">
        <v>80</v>
      </c>
      <c r="U31" t="n">
        <v>10</v>
      </c>
      <c r="V31" t="n">
        <v>34</v>
      </c>
      <c r="W31" t="n">
        <v>22</v>
      </c>
      <c r="X31" t="b">
        <v>1</v>
      </c>
      <c r="Y31" t="n">
        <v>22</v>
      </c>
      <c r="Z31" t="b">
        <v>0</v>
      </c>
      <c r="AA31" t="b">
        <v>1</v>
      </c>
      <c r="AB31" t="n">
        <v>0</v>
      </c>
      <c r="AC31" t="n">
        <v>3.5</v>
      </c>
      <c r="AD31" t="n">
        <v>1</v>
      </c>
      <c r="AE31" t="inlineStr">
        <is>
          <t>p26_icarus_sec_orbital_laser</t>
        </is>
      </c>
      <c r="AF31" t="inlineStr">
        <is>
          <t>p26_icarus_main_ic_coil;p26_icarus_main_ic_coil;p26_icarus_direct_ic_laser;p26_icarus_direct_ic_laser;p26_icarus_close_autocannon_40;p26_icarus_close_autocannon_40</t>
        </is>
      </c>
      <c r="AG31" t="inlineStr">
        <is>
          <t>boss_rage</t>
        </is>
      </c>
      <c r="AH31" t="inlineStr">
        <is>
          <t>aps</t>
        </is>
      </c>
      <c r="AI31" t="n">
        <v>3</v>
      </c>
      <c r="AJ31" t="n">
        <v>1.4</v>
      </c>
      <c r="AK31" t="inlineStr">
        <is>
          <t>silver_bug</t>
        </is>
      </c>
      <c r="AL31" t="inlineStr">
        <is>
          <t>giong</t>
        </is>
      </c>
      <c r="BI31" t="inlineStr">
        <is>
          <t>spacecraft</t>
        </is>
      </c>
      <c r="BJ31" t="inlineStr">
        <is>
          <t>spacecraft</t>
        </is>
      </c>
      <c r="BK31" t="inlineStr">
        <is>
          <t>aurel</t>
        </is>
      </c>
      <c r="BL31" t="inlineStr"/>
      <c r="BM31" t="n">
        <v>7</v>
      </c>
      <c r="BN31" t="n">
        <v>7</v>
      </c>
      <c r="BO31" t="inlineStr">
        <is>
          <t>bug_rod_rain</t>
        </is>
      </c>
      <c r="BP31" t="n">
        <v>45</v>
      </c>
      <c r="BQ31" t="inlineStr">
        <is>
          <t>group</t>
        </is>
      </c>
      <c r="BR31" t="b">
        <v>1</v>
      </c>
      <c r="BS31" t="inlineStr">
        <is>
          <t>12</t>
        </is>
      </c>
      <c r="BT31" t="inlineStr"/>
      <c r="BU31" t="inlineStr">
        <is>
          <t>tuan:168;day_du:150</t>
        </is>
      </c>
      <c r="BW31" t="n">
        <v>22</v>
      </c>
      <c r="BX31" t="inlineStr">
        <is>
          <t>launchsite</t>
        </is>
      </c>
      <c r="BY31" t="n">
        <v>4</v>
      </c>
      <c r="CD31" t="inlineStr">
        <is>
          <t>bug_rod_rain</t>
        </is>
      </c>
      <c r="CH31" t="b">
        <v>1</v>
      </c>
      <c r="CW31" t="n">
        <v>0</v>
      </c>
      <c r="CX31" t="n">
        <v>0</v>
      </c>
      <c r="DU31" t="n">
        <v>420</v>
      </c>
      <c r="DV31" t="n">
        <v>2.6</v>
      </c>
      <c r="DW31" t="n">
        <v>18</v>
      </c>
      <c r="DX31" t="inlineStr">
        <is>
          <t>Ultimate</t>
        </is>
      </c>
      <c r="EM31" t="b">
        <v>1</v>
      </c>
      <c r="EN31" t="b">
        <v>1</v>
      </c>
      <c r="EO31" t="inlineStr">
        <is>
          <t>spacecraft</t>
        </is>
      </c>
      <c r="EP31" t="inlineStr">
        <is>
          <t>aurel</t>
        </is>
      </c>
      <c r="EW31" t="n">
        <v>176450</v>
      </c>
      <c r="FF31" t="n">
        <v>34</v>
      </c>
      <c r="FV31" t="inlineStr">
        <is>
          <t>p26_icarus_sec_orbital_laser</t>
        </is>
      </c>
      <c r="FW31" t="inlineStr">
        <is>
          <t>p26_icarus_main_ic_coil</t>
        </is>
      </c>
      <c r="FY31" t="inlineStr">
        <is>
          <t>p26_icarus_main_ic_coil</t>
        </is>
      </c>
      <c r="FZ31" t="inlineStr">
        <is>
          <t>p26_icarus_direct_ic_laser</t>
        </is>
      </c>
      <c r="GA31" t="inlineStr">
        <is>
          <t>p26_icarus_direct_ic_laser</t>
        </is>
      </c>
      <c r="GB31" t="inlineStr">
        <is>
          <t>p26_icarus_close_autocannon_40</t>
        </is>
      </c>
      <c r="GC31" t="inlineStr">
        <is>
          <t>p26_icarus_close_autocannon_40</t>
        </is>
      </c>
      <c r="GO31" t="n">
        <v>2</v>
      </c>
      <c r="GR31" t="n">
        <v>14</v>
      </c>
      <c r="GS31" t="n">
        <v>6</v>
      </c>
      <c r="GT31" t="n">
        <v>4</v>
      </c>
      <c r="GU31" t="n">
        <v>6</v>
      </c>
      <c r="GV31" t="n">
        <v>1</v>
      </c>
      <c r="GW31" t="n">
        <v>30</v>
      </c>
      <c r="GX31" t="n">
        <v>2</v>
      </c>
      <c r="GZ31" t="n">
        <v>12</v>
      </c>
      <c r="HB31" t="inlineStr">
        <is>
          <t>orbit;high</t>
        </is>
      </c>
      <c r="HC31" t="inlineStr">
        <is>
          <t>drop_pod</t>
        </is>
      </c>
      <c r="HD31" t="inlineStr">
        <is>
          <t>main_battle_tank;ifv;heavy_tank;armored_car;main_battle_tank;ifv;armored_car</t>
        </is>
      </c>
      <c r="HE31" t="inlineStr">
        <is>
          <t>pod_drop</t>
        </is>
      </c>
      <c r="HG31" t="n">
        <v>10</v>
      </c>
      <c r="HH31" t="inlineStr">
        <is>
          <t>main</t>
        </is>
      </c>
      <c r="IB31" t="n">
        <v>2.4777</v>
      </c>
      <c r="IC31" t="inlineStr">
        <is>
          <t>boss_rage</t>
        </is>
      </c>
      <c r="ID31" t="n">
        <v>5</v>
      </c>
      <c r="IG31" t="n">
        <v>2</v>
      </c>
      <c r="IH31" t="n">
        <v>3</v>
      </c>
      <c r="II31" t="n">
        <v>4</v>
      </c>
      <c r="IK31" t="inlineStr">
        <is>
          <t>0;0</t>
        </is>
      </c>
      <c r="IL31" t="n">
        <v>500</v>
      </c>
      <c r="IM31" t="inlineStr">
        <is>
          <t>crash_debris</t>
        </is>
      </c>
      <c r="IN31" t="inlineStr">
        <is>
          <t>-23.1,16.5;24.8,9.9;-28.1,-13.2;21.5,-23.1;0,36.3;-6.6,-39.6</t>
        </is>
      </c>
      <c r="IO31" t="n">
        <v>6</v>
      </c>
      <c r="IP31" t="inlineStr">
        <is>
          <t>silver_bug_wreck</t>
        </is>
      </c>
      <c r="IQ31" t="inlineStr">
        <is>
          <t>3;4;5;6</t>
        </is>
      </c>
      <c r="IR31" t="n">
        <v>20.6</v>
      </c>
      <c r="IS31" t="inlineStr">
        <is>
          <t>bug_crash</t>
        </is>
      </c>
      <c r="IT31" t="n">
        <v>4</v>
      </c>
      <c r="IV31" t="n">
        <v>60</v>
      </c>
      <c r="IW31" t="n">
        <v>22</v>
      </c>
      <c r="IX31" t="n">
        <v>150</v>
      </c>
      <c r="IZ31" t="inlineStr">
        <is>
          <t>VeryHard;Heroic;Iron</t>
        </is>
      </c>
      <c r="JA31" t="n">
        <v>40</v>
      </c>
      <c r="JB31" t="n">
        <v>10</v>
      </c>
      <c r="JC31" t="n">
        <v>6</v>
      </c>
      <c r="JD31" t="n">
        <v>4</v>
      </c>
      <c r="JE31" t="inlineStr">
        <is>
          <t>0.6;0.25</t>
        </is>
      </c>
      <c r="JF31" t="n">
        <v>0.5</v>
      </c>
      <c r="JG31" t="inlineStr">
        <is>
          <t>radio.aurel.bug.appear</t>
        </is>
      </c>
      <c r="JH31" t="inlineStr">
        <is>
          <t>radio.aurel.bug.crash</t>
        </is>
      </c>
      <c r="JI31" t="inlineStr">
        <is>
          <t>radio.aurel.bug.descend</t>
        </is>
      </c>
      <c r="JJ31" t="inlineStr">
        <is>
          <t>radio.aurel.bug.down</t>
        </is>
      </c>
      <c r="JK31" t="inlineStr">
        <is>
          <t>radio.aurel.bug.hijack</t>
        </is>
      </c>
      <c r="JL31" t="inlineStr">
        <is>
          <t>radio.hq.bug.hijack</t>
        </is>
      </c>
      <c r="JM31" t="inlineStr">
        <is>
          <t>radio.aurel.bug.phase2</t>
        </is>
      </c>
      <c r="JN31" t="inlineStr">
        <is>
          <t>radio.aurel.bug.phase3</t>
        </is>
      </c>
      <c r="JO31" t="n">
        <v>3.5</v>
      </c>
      <c r="JP31" t="n">
        <v>30</v>
      </c>
      <c r="JQ31" t="n">
        <v>120</v>
      </c>
      <c r="KA31" t="n">
        <v>80</v>
      </c>
      <c r="KE31" t="inlineStr">
        <is>
          <t>orbital_laser</t>
        </is>
      </c>
      <c r="KF31" t="n">
        <v>1</v>
      </c>
      <c r="KG31" t="n">
        <v>22</v>
      </c>
      <c r="KH31" t="inlineStr">
        <is>
          <t>Assets/MachineBrigade/Resources/Data/balance.json: vehicles[144]</t>
        </is>
      </c>
      <c r="KI31" t="inlineStr">
        <is>
          <t>{"id":"silver_bug","mountWeapons":{"0":"p26_icarus_sec_orbital_laser","1":"p26_icarus_main_ic_coil","2":"p26_icarus_main_ic_coil","3":"p26_icarus_direct_ic_laser","4":"p26_icarus_direct_ic_laser","5":"p26_icarus_close_autocannon_40","6":"p26_icarus_close_autocannon_40"},"frame":"spacecraft","size":2.4777,"rank":"main","general":"aurel","boss":true,"bigAttack":"bug_rod_rain","arena":"launchsite","armour":4,"hp":176450,"weaponDamage":1,"speed":5,"turnRate":30,"turretTurnRate":120,"radius":10,"length":34,"width":22,"cp":0,"vision":80,"firesWhileMoving":true,"weapon":"orbital_laser","flying":true,"altitude":22,"captureRate":0,"skills":["boss_rage"],"aps":{"radius":49.6,"charges":3,"recharge":1.4,"rockets":true,"laser":true},"secondary":[{"weapon":"coilgun","slot":"gun","aim":"Free"},{"weapon":"coilgun","slot":"gun","aim":"Free"},{"weapon":"autocannon_40","slot":"gun","aim":"Free"},{"weapon":"autocannon_40","slot":"gun","aim":"Free"}],"tiers":{"opening":0.5,"descend":4,"shift":3.5,"heights":{"orbit":150,"high":60,"low":22},"marks":[0.6,0.25],"schedule":[{"steps":[{"tier":"high","seconds":25},{"tier":"low","seconds":10}]},{"steps":[{"tier":"high","seconds":15},{"tier":"low","seconds":20}]}],"armour":{"hull":4,"belly":2,"grounded":3},"crash":{"fall":6,"at":[0,0],"damage":500,"radius":20.6,"form":"silver_bug_wreck","warning":"bug_crash","guns":[3,4,5,6],"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-3.2,5,3.2],"radius":1.6,"stops":["aps"],"fx":"energy"},{"id":"pd_laser_r","kind":"pdlaser","hp":0.06,"armour":2,"node":"Pd_laser_r","wreck":"wreck_turret","at":[3.2,5,3.2],"radius":1.6,"stops":["aps"],"fx":"energy"},{"id":"pod_bay","kind":"podbay","hp":0.06,"armour":2,"node":"Pod_bay","wreck":"wreck_stump","at":[0,-4,-2.6],"radius":2.8,"stops":["pods"],"radio":"radio.part.podbay"},{"id":"uplink","kind":"uplink","hp":0.06,"armour":1,"node":"Uplink","wreck":"wreck_stump","at":[0,-3,4.2],"radius":2.0,"radio":"radio.part.uplink","fx":"energy"},{"use":"gun_40","id":"crash_turret_l","node":"Mount_gun.002","at":[-6.5,-6.0,2.2]},{"use":"gun_40","id":"crash_turret_r","node":"Mount_gun.003","at":[6.5,-6.0,2.2]}],"deathExplosion":{"damage":420,"radius":18,"delay":2.6,"tier":"Ultimate"}}</t>
        </is>
      </c>
    </row>
    <row r="32">
      <c r="A32" t="inlineStr">
        <is>
          <t>typhon</t>
        </is>
      </c>
      <c r="B32" t="inlineStr">
        <is>
          <t>main</t>
        </is>
      </c>
      <c r="C32" t="inlineStr">
        <is>
          <t>Typhon · Missile Submarine</t>
        </is>
      </c>
      <c r="D32" t="inlineStr">
        <is>
          <t>Typhon · Tàu ngầm tên lửa</t>
        </is>
      </c>
      <c r="E32" t="inlineStr">
        <is>
          <t>Typhon</t>
        </is>
      </c>
      <c r="F32" t="inlineStr"/>
      <c r="G32" t="inlineStr"/>
      <c r="H32" t="inlineStr"/>
      <c r="I32" t="n">
        <v>0</v>
      </c>
      <c r="J32" t="n">
        <v>117650</v>
      </c>
      <c r="K32" t="n">
        <v>100002.5</v>
      </c>
      <c r="L32" t="n">
        <v>5</v>
      </c>
      <c r="M32" t="n">
        <v>3</v>
      </c>
      <c r="N32" t="n">
        <v>2</v>
      </c>
      <c r="O32" t="n">
        <v>2</v>
      </c>
      <c r="P32" t="b">
        <v>0</v>
      </c>
      <c r="Q32" t="n">
        <v>3</v>
      </c>
      <c r="R32" t="n">
        <v>8</v>
      </c>
      <c r="S32" t="n">
        <v>40</v>
      </c>
      <c r="T32" t="n">
        <v>110</v>
      </c>
      <c r="U32" t="n">
        <v>11</v>
      </c>
      <c r="V32" t="n">
        <v>58</v>
      </c>
      <c r="W32" t="n">
        <v>12</v>
      </c>
      <c r="X32" t="b">
        <v>0</v>
      </c>
      <c r="Y32" t="n">
        <v>0</v>
      </c>
      <c r="Z32" t="b">
        <v>0</v>
      </c>
      <c r="AA32" t="b">
        <v>1</v>
      </c>
      <c r="AB32" t="n">
        <v>1</v>
      </c>
      <c r="AC32" t="n">
        <v>3.5</v>
      </c>
      <c r="AD32" t="n">
        <v>1</v>
      </c>
      <c r="AE32" t="inlineStr">
        <is>
          <t>sam_post</t>
        </is>
      </c>
      <c r="AF32" t="inlineStr">
        <is>
          <t>p26_typhon_sec_ty57;p26_typhon_sec_ty57;p26_typhon_direct_ty100</t>
        </is>
      </c>
      <c r="AG32" t="inlineStr"/>
      <c r="AH32" t="inlineStr">
        <is>
          <t>none</t>
        </is>
      </c>
      <c r="AI32" t="inlineStr"/>
      <c r="AJ32" t="inlineStr"/>
      <c r="AK32" t="inlineStr">
        <is>
          <t>typhon</t>
        </is>
      </c>
      <c r="AL32" t="inlineStr">
        <is>
          <t>giong</t>
        </is>
      </c>
      <c r="BI32" t="inlineStr">
        <is>
          <t>submarine</t>
        </is>
      </c>
      <c r="BJ32" t="inlineStr">
        <is>
          <t>submarine</t>
        </is>
      </c>
      <c r="BK32" t="inlineStr">
        <is>
          <t>hung</t>
        </is>
      </c>
      <c r="BL32" t="inlineStr"/>
      <c r="BM32" t="n">
        <v>4</v>
      </c>
      <c r="BN32" t="n">
        <v>6</v>
      </c>
      <c r="BO32" t="inlineStr">
        <is>
          <t>typhon_underwater_launch</t>
        </is>
      </c>
      <c r="BP32" t="n">
        <v>50</v>
      </c>
      <c r="BQ32" t="inlineStr">
        <is>
          <t>base</t>
        </is>
      </c>
      <c r="BR32" t="b">
        <v>0</v>
      </c>
      <c r="BS32" t="inlineStr">
        <is>
          <t>9</t>
        </is>
      </c>
      <c r="BT32" t="inlineStr"/>
      <c r="BU32" t="inlineStr">
        <is>
          <t>tuan:168;day_du:150</t>
        </is>
      </c>
      <c r="BZ32" t="n">
        <v>5</v>
      </c>
      <c r="CA32" t="n">
        <v>2</v>
      </c>
      <c r="CB32" t="n">
        <v>3</v>
      </c>
      <c r="CC32" t="n">
        <v>2</v>
      </c>
      <c r="CD32" t="inlineStr">
        <is>
          <t>typhon_underwater_launch</t>
        </is>
      </c>
      <c r="CH32" t="b">
        <v>1</v>
      </c>
      <c r="CM32" t="n">
        <v>18</v>
      </c>
      <c r="CP32" t="n">
        <v>2</v>
      </c>
      <c r="CR32" t="n">
        <v>22</v>
      </c>
      <c r="CS32" t="inlineStr">
        <is>
          <t>22;18</t>
        </is>
      </c>
      <c r="CT32" t="n">
        <v>14</v>
      </c>
      <c r="CU32" t="inlineStr">
        <is>
          <t>14;18</t>
        </is>
      </c>
      <c r="DG32" t="n">
        <v>1460</v>
      </c>
      <c r="DH32" t="n">
        <v>2.5</v>
      </c>
      <c r="DI32" t="n">
        <v>0</v>
      </c>
      <c r="DJ32" t="n">
        <v>16</v>
      </c>
      <c r="DK32" t="n">
        <v>0</v>
      </c>
      <c r="DL32" t="n">
        <v>10</v>
      </c>
      <c r="DM32" t="n">
        <v>4</v>
      </c>
      <c r="DN32" t="inlineStr">
        <is>
          <t>leviathan_cruise_mark</t>
        </is>
      </c>
      <c r="DO32" t="inlineStr">
        <is>
          <t>leviathan_cruise</t>
        </is>
      </c>
      <c r="DU32" t="n">
        <v>460</v>
      </c>
      <c r="DV32" t="n">
        <v>3</v>
      </c>
      <c r="DW32" t="n">
        <v>20</v>
      </c>
      <c r="DX32" t="inlineStr">
        <is>
          <t>Ultimate</t>
        </is>
      </c>
      <c r="EO32" t="inlineStr">
        <is>
          <t>submarine</t>
        </is>
      </c>
      <c r="EP32" t="inlineStr">
        <is>
          <t>hung</t>
        </is>
      </c>
      <c r="EW32" t="n">
        <v>117650</v>
      </c>
      <c r="FF32" t="n">
        <v>58</v>
      </c>
      <c r="FI32" t="inlineStr">
        <is>
          <t>missile</t>
        </is>
      </c>
      <c r="FR32" t="inlineStr">
        <is>
          <t>typhon</t>
        </is>
      </c>
      <c r="FW32" t="inlineStr">
        <is>
          <t>p26_typhon_sec_ty57</t>
        </is>
      </c>
      <c r="FY32" t="inlineStr">
        <is>
          <t>p26_typhon_sec_ty57</t>
        </is>
      </c>
      <c r="FZ32" t="inlineStr">
        <is>
          <t>p26_typhon_direct_ty100</t>
        </is>
      </c>
      <c r="GG32" t="n">
        <v>-1</v>
      </c>
      <c r="GI32" t="inlineStr">
        <is>
          <t>far;mid;near</t>
        </is>
      </c>
      <c r="HF32" t="inlineStr">
        <is>
          <t>radio.hung.typhon</t>
        </is>
      </c>
      <c r="HG32" t="n">
        <v>11</v>
      </c>
      <c r="HH32" t="inlineStr">
        <is>
          <t>main</t>
        </is>
      </c>
      <c r="IB32" t="n">
        <v>1.1864</v>
      </c>
      <c r="ID32" t="n">
        <v>3</v>
      </c>
      <c r="JP32" t="n">
        <v>8</v>
      </c>
      <c r="JQ32" t="n">
        <v>40</v>
      </c>
      <c r="KA32" t="n">
        <v>110</v>
      </c>
      <c r="KC32" t="inlineStr">
        <is>
          <t>3</t>
        </is>
      </c>
      <c r="KD32" t="n">
        <v>2</v>
      </c>
      <c r="KE32" t="inlineStr">
        <is>
          <t>sam_post</t>
        </is>
      </c>
      <c r="KF32" t="n">
        <v>1</v>
      </c>
      <c r="KG32" t="n">
        <v>12</v>
      </c>
      <c r="KH32" t="inlineStr">
        <is>
          <t>Assets/MachineBrigade/Resources/Data/balance.json: vehicles[161]</t>
        </is>
      </c>
      <c r="KI32" t="inlineStr">
        <is>
          <t>{"id":"typhon","size":1.1864,"mountWeapons":{"1":"p26_typhon_sec_ty57","2":"p26_typhon_sec_ty57","3":"p26_typhon_direct_ty100"},"secondary":[{"weapon":"p26_typhon_ty57","slot":"gun","aim":"Free"},{"weapon":"p26_typhon_ty57","slot":"gun","aim":"Free"}],"frame":"submarine","rank":"main","general":"hung","boss":true,"bigAttack":"typhon_underwater_launch","radioSpawn":"radio.hung.typhon","model":"typhon","armour":[5,3,2,2],"hp":117650,"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[0,6.0,7.0],"radius":3.0,"spread":2,"affects":[0],"radio":"radio.part.sail"},{"id":"doors_l","kind":"launchdoors","hp":0.08,"armour":2,"node":"Part_doors_l","wreck":"wreck_launcher","at":[-2.2,-6.0,3.6],"radius":3.0,"stops":["cruise"],"radio":"radio.part.launchdoors"},{"id":"doors_r","kind":"launchdoors","hp":0.08,"armour":2,"node":"Part_doors_r","wreck":"wreck_launcher","at":[2.2,-6.0,3.6],"radius":3.0,"stops":["cruise"]},{"id":"rudder","kind":"rudder","hp":0.08,"armour":2,"node":"Part_rudder","wreck":"wreck_stump","at":[0,-27.0,2.6],"radius":2.6,"turn":0.5,"speed":0.9},{"id":"sonar","kind":"sonar","hp":0.08,"armour":1,"node":"Part_sonar","wreck":"wreck_stump","at":[0,26.0,2.4],"radius":2.4,"stops":["radar"],"fx":"energy"},{"id":"sam","kind":"sam","hp":0.08,"armour":2,"node":"Mount_missile","wreck":"wreck_launcher","at":[0,3.0,9.0],"radius":1.8,"mounts":[0]},{"use":"deck_gun_100","id":"deck_gun","node":"Mount_gun","at":[0,16.0,4.2]}],"deathExplosion":{"damage":460,"radius":20,"delay":3.0,"tier":"Ultimate"}}</t>
        </is>
      </c>
    </row>
  </sheetData>
  <autoFilter ref="A1:KI32"/>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boss_rockets</t>
        </is>
      </c>
      <c r="E2" t="inlineStr">
        <is>
          <t>Free</t>
        </is>
      </c>
      <c r="I2" t="inlineStr">
        <is>
          <t>rocket</t>
        </is>
      </c>
      <c r="J2" t="inlineStr">
        <is>
          <t>Assets/MachineBrigade/Resources/Data/balance.json: vehicles[140].secondary[0]</t>
        </is>
      </c>
      <c r="K2" t="inlineStr">
        <is>
          <t>{"weapon":"boss_rockets","slot":"rocket","aim":"Free"}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command_airship/0</t>
        </is>
      </c>
      <c r="B19" t="inlineStr">
        <is>
          <t>command_airship</t>
        </is>
      </c>
      <c r="C19" t="n">
        <v>0</v>
      </c>
      <c r="D19" t="inlineStr">
        <is>
          <t>airship_flak</t>
        </is>
      </c>
      <c r="E19" t="inlineStr">
        <is>
          <t>Free</t>
        </is>
      </c>
      <c r="I19" t="inlineStr">
        <is>
          <t>gun</t>
        </is>
      </c>
      <c r="J19" t="inlineStr">
        <is>
          <t>Assets/MachineBrigade/Resources/Data/balance.json: vehicles[151].secondary[0]</t>
        </is>
      </c>
      <c r="K19" t="inlineStr">
        <is>
          <t>{"weapon":"airship_flak","slot":"gun","aim":"Free"}</t>
        </is>
      </c>
    </row>
    <row r="20">
      <c r="A20" t="inlineStr">
        <is>
          <t>command_airship/1</t>
        </is>
      </c>
      <c r="B20" t="inlineStr">
        <is>
          <t>command_airship</t>
        </is>
      </c>
      <c r="C20" t="n">
        <v>1</v>
      </c>
      <c r="D20" t="inlineStr">
        <is>
          <t>airship_drones</t>
        </is>
      </c>
      <c r="E20" t="inlineStr">
        <is>
          <t>Free</t>
        </is>
      </c>
      <c r="I20" t="inlineStr">
        <is>
          <t>door_l</t>
        </is>
      </c>
      <c r="J20" t="inlineStr">
        <is>
          <t>Assets/MachineBrigade/Resources/Data/balance.json: vehicles[151].secondary[1]</t>
        </is>
      </c>
      <c r="K20" t="inlineStr">
        <is>
          <t>{"weapon":"airship_drones","slot":"door_l","aim":"Free"}</t>
        </is>
      </c>
    </row>
    <row r="21">
      <c r="A21" t="inlineStr">
        <is>
          <t>command_airship/2</t>
        </is>
      </c>
      <c r="B21" t="inlineStr">
        <is>
          <t>command_airship</t>
        </is>
      </c>
      <c r="C21" t="n">
        <v>2</v>
      </c>
      <c r="D21" t="inlineStr">
        <is>
          <t>airship_drones</t>
        </is>
      </c>
      <c r="E21" t="inlineStr">
        <is>
          <t>Free</t>
        </is>
      </c>
      <c r="I21" t="inlineStr">
        <is>
          <t>door_r</t>
        </is>
      </c>
      <c r="J21" t="inlineStr">
        <is>
          <t>Assets/MachineBrigade/Resources/Data/balance.json: vehicles[151].secondary[2]</t>
        </is>
      </c>
      <c r="K21" t="inlineStr">
        <is>
          <t>{"weapon":"airship_drones","slot":"door_r","aim":"Free"}</t>
        </is>
      </c>
    </row>
    <row r="22">
      <c r="A22" t="inlineStr">
        <is>
          <t>command_airship/3</t>
        </is>
      </c>
      <c r="B22" t="inlineStr">
        <is>
          <t>command_airship</t>
        </is>
      </c>
      <c r="C22" t="n">
        <v>3</v>
      </c>
      <c r="D22" t="inlineStr">
        <is>
          <t>twin_30_bmpt</t>
        </is>
      </c>
      <c r="E22" t="inlineStr">
        <is>
          <t>Free</t>
        </is>
      </c>
      <c r="I22" t="inlineStr">
        <is>
          <t>gun</t>
        </is>
      </c>
      <c r="J22" t="inlineStr">
        <is>
          <t>Assets/MachineBrigade/Resources/Data/balance.json: vehicles[151].secondary[3]</t>
        </is>
      </c>
      <c r="K22" t="inlineStr">
        <is>
          <t>{"weapon":"twin_30_bmpt","slot":"gun","aim":"Free"}</t>
        </is>
      </c>
    </row>
    <row r="23">
      <c r="A23" t="inlineStr">
        <is>
          <t>command_airship/4</t>
        </is>
      </c>
      <c r="B23" t="inlineStr">
        <is>
          <t>command_airship</t>
        </is>
      </c>
      <c r="C23" t="n">
        <v>4</v>
      </c>
      <c r="D23" t="inlineStr">
        <is>
          <t>twin_30_bmpt</t>
        </is>
      </c>
      <c r="E23" t="inlineStr">
        <is>
          <t>Free</t>
        </is>
      </c>
      <c r="I23" t="inlineStr">
        <is>
          <t>gun</t>
        </is>
      </c>
      <c r="J23" t="inlineStr">
        <is>
          <t>Assets/MachineBrigade/Resources/Data/balance.json: vehicles[151].secondary[4]</t>
        </is>
      </c>
      <c r="K23" t="inlineStr">
        <is>
          <t>{"weapon":"twin_30_bmpt","slot":"gun","aim":"Free"}</t>
        </is>
      </c>
    </row>
    <row r="24">
      <c r="A24" t="inlineStr">
        <is>
          <t>daedalus/0</t>
        </is>
      </c>
      <c r="B24" t="inlineStr">
        <is>
          <t>daedalus</t>
        </is>
      </c>
      <c r="C24" t="n">
        <v>0</v>
      </c>
      <c r="D24" t="inlineStr">
        <is>
          <t>gun_57mm</t>
        </is>
      </c>
      <c r="E24" t="inlineStr">
        <is>
          <t>Free</t>
        </is>
      </c>
      <c r="I24" t="inlineStr">
        <is>
          <t>gun</t>
        </is>
      </c>
      <c r="J24" t="inlineStr">
        <is>
          <t>Assets/MachineBrigade/Resources/Data/balance.json: vehicles[160].secondary[0]</t>
        </is>
      </c>
      <c r="K24" t="inlineStr">
        <is>
          <t>{"weapon":"gun_57mm","slot":"gun","aim":"Free"}</t>
        </is>
      </c>
    </row>
    <row r="25">
      <c r="A25" t="inlineStr">
        <is>
          <t>daedalus/1</t>
        </is>
      </c>
      <c r="B25" t="inlineStr">
        <is>
          <t>daedalus</t>
        </is>
      </c>
      <c r="C25" t="n">
        <v>1</v>
      </c>
      <c r="D25" t="inlineStr">
        <is>
          <t>gun_57mm</t>
        </is>
      </c>
      <c r="E25" t="inlineStr">
        <is>
          <t>Free</t>
        </is>
      </c>
      <c r="I25" t="inlineStr">
        <is>
          <t>gun</t>
        </is>
      </c>
      <c r="J25" t="inlineStr">
        <is>
          <t>Assets/MachineBrigade/Resources/Data/balance.json: vehicles[160].secondary[1]</t>
        </is>
      </c>
      <c r="K25" t="inlineStr">
        <is>
          <t>{"weapon":"gun_57mm","slot":"gun","aim":"Free"}</t>
        </is>
      </c>
    </row>
    <row r="26">
      <c r="A26" t="inlineStr">
        <is>
          <t>drone_mothership/0</t>
        </is>
      </c>
      <c r="B26" t="inlineStr">
        <is>
          <t>drone_mothership</t>
        </is>
      </c>
      <c r="C26" t="n">
        <v>0</v>
      </c>
      <c r="D26" t="inlineStr">
        <is>
          <t>mothership_drones</t>
        </is>
      </c>
      <c r="E26" t="inlineStr">
        <is>
          <t>Free</t>
        </is>
      </c>
      <c r="I26" t="inlineStr">
        <is>
          <t>missile</t>
        </is>
      </c>
      <c r="J26" t="inlineStr">
        <is>
          <t>Assets/MachineBrigade/Resources/Data/balance.json: vehicles[142].secondary[0]</t>
        </is>
      </c>
      <c r="K26" t="inlineStr">
        <is>
          <t>{"weapon":"mothership_drones","slot":"missile","aim":"Free"}</t>
        </is>
      </c>
    </row>
    <row r="27">
      <c r="A27" t="inlineStr">
        <is>
          <t>drone_mothership/1</t>
        </is>
      </c>
      <c r="B27" t="inlineStr">
        <is>
          <t>drone_mothership</t>
        </is>
      </c>
      <c r="C27" t="n">
        <v>1</v>
      </c>
      <c r="D27" t="inlineStr">
        <is>
          <t>boss_flak</t>
        </is>
      </c>
      <c r="E27" t="inlineStr">
        <is>
          <t>Free</t>
        </is>
      </c>
      <c r="I27" t="inlineStr">
        <is>
          <t>mg</t>
        </is>
      </c>
      <c r="J27" t="inlineStr">
        <is>
          <t>Assets/MachineBrigade/Resources/Data/balance.json: vehicles[142].secondary[1]</t>
        </is>
      </c>
      <c r="K27" t="inlineStr">
        <is>
          <t>{"weapon":"boss_flak","slot":"mg","aim":"Free"}</t>
        </is>
      </c>
    </row>
    <row r="28">
      <c r="A28" t="inlineStr">
        <is>
          <t>drone_mothership/2</t>
        </is>
      </c>
      <c r="B28" t="inlineStr">
        <is>
          <t>drone_mothership</t>
        </is>
      </c>
      <c r="C28" t="n">
        <v>2</v>
      </c>
      <c r="D28" t="inlineStr">
        <is>
          <t>boss_flak</t>
        </is>
      </c>
      <c r="E28" t="inlineStr">
        <is>
          <t>Free</t>
        </is>
      </c>
      <c r="I28" t="inlineStr">
        <is>
          <t>mg</t>
        </is>
      </c>
      <c r="J28" t="inlineStr">
        <is>
          <t>Assets/MachineBrigade/Resources/Data/balance.json: vehicles[142].secondary[2]</t>
        </is>
      </c>
      <c r="K28" t="inlineStr">
        <is>
          <t>{"weapon":"boss_flak","slot":"mg","aim":"Free"}</t>
        </is>
      </c>
    </row>
    <row r="29">
      <c r="A29" t="inlineStr">
        <is>
          <t>drone_mothership/3</t>
        </is>
      </c>
      <c r="B29" t="inlineStr">
        <is>
          <t>drone_mothership</t>
        </is>
      </c>
      <c r="C29" t="n">
        <v>3</v>
      </c>
      <c r="D29" t="inlineStr">
        <is>
          <t>mothership_cannon</t>
        </is>
      </c>
      <c r="E29" t="inlineStr">
        <is>
          <t>Free</t>
        </is>
      </c>
      <c r="I29" t="inlineStr">
        <is>
          <t>main</t>
        </is>
      </c>
      <c r="J29" t="inlineStr">
        <is>
          <t>Assets/MachineBrigade/Resources/Data/balance.json: vehicles[142].secondary[3]</t>
        </is>
      </c>
      <c r="K29" t="inlineStr">
        <is>
          <t>{"weapon":"mothership_cannon","slot":"main","aim":"Free"}</t>
        </is>
      </c>
    </row>
    <row r="30">
      <c r="A30" t="inlineStr">
        <is>
          <t>drone_mothership/4</t>
        </is>
      </c>
      <c r="B30" t="inlineStr">
        <is>
          <t>drone_mothership</t>
        </is>
      </c>
      <c r="C30" t="n">
        <v>4</v>
      </c>
      <c r="D30" t="inlineStr">
        <is>
          <t>mothership_drones</t>
        </is>
      </c>
      <c r="E30" t="inlineStr">
        <is>
          <t>Free</t>
        </is>
      </c>
      <c r="I30" t="inlineStr">
        <is>
          <t>missile</t>
        </is>
      </c>
      <c r="J30" t="inlineStr">
        <is>
          <t>Assets/MachineBrigade/Resources/Data/balance.json: vehicles[142].secondary[4]</t>
        </is>
      </c>
      <c r="K30" t="inlineStr">
        <is>
          <t>{"weapon":"mothership_drones","slot":"missile","aim":"Free"}</t>
        </is>
      </c>
    </row>
    <row r="31">
      <c r="A31" t="inlineStr">
        <is>
          <t>earth_borer/0</t>
        </is>
      </c>
      <c r="B31" t="inlineStr">
        <is>
          <t>earth_borer</t>
        </is>
      </c>
      <c r="C31" t="n">
        <v>0</v>
      </c>
      <c r="D31" t="inlineStr">
        <is>
          <t>borer_cannon</t>
        </is>
      </c>
      <c r="E31" t="inlineStr">
        <is>
          <t>Free</t>
        </is>
      </c>
      <c r="I31" t="inlineStr">
        <is>
          <t>gun</t>
        </is>
      </c>
      <c r="J31" t="inlineStr">
        <is>
          <t>Assets/MachineBrigade/Resources/Data/balance.json: vehicles[150].secondary[0]</t>
        </is>
      </c>
      <c r="K31" t="inlineStr">
        <is>
          <t>{"weapon":"borer_cannon","slot":"gun","aim":"Free"}</t>
        </is>
      </c>
    </row>
    <row r="32">
      <c r="A32" t="inlineStr">
        <is>
          <t>earth_borer/1</t>
        </is>
      </c>
      <c r="B32" t="inlineStr">
        <is>
          <t>earth_borer</t>
        </is>
      </c>
      <c r="C32" t="n">
        <v>1</v>
      </c>
      <c r="D32" t="inlineStr">
        <is>
          <t>borer_cannon</t>
        </is>
      </c>
      <c r="E32" t="inlineStr">
        <is>
          <t>Free</t>
        </is>
      </c>
      <c r="I32" t="inlineStr">
        <is>
          <t>gun</t>
        </is>
      </c>
      <c r="J32" t="inlineStr">
        <is>
          <t>Assets/MachineBrigade/Resources/Data/balance.json: vehicles[150].secondary[1]</t>
        </is>
      </c>
      <c r="K32" t="inlineStr">
        <is>
          <t>{"weapon":"borer_cannon","slot":"gun","aim":"Free"}</t>
        </is>
      </c>
    </row>
    <row r="33">
      <c r="A33" t="inlineStr">
        <is>
          <t>fortress_bastion/0</t>
        </is>
      </c>
      <c r="B33" t="inlineStr">
        <is>
          <t>fortress_bastion</t>
        </is>
      </c>
      <c r="C33" t="n">
        <v>0</v>
      </c>
      <c r="D33" t="inlineStr">
        <is>
          <t>autocannon_40</t>
        </is>
      </c>
      <c r="E33" t="inlineStr">
        <is>
          <t>Free</t>
        </is>
      </c>
      <c r="F33" t="n">
        <v>-45</v>
      </c>
      <c r="G33" t="n">
        <v>80</v>
      </c>
      <c r="I33" t="inlineStr">
        <is>
          <t>gun</t>
        </is>
      </c>
      <c r="J33" t="inlineStr">
        <is>
          <t>Assets/MachineBrigade/Resources/Data/balance.json: vehicles[148].secondary[0]</t>
        </is>
      </c>
      <c r="K33" t="inlineStr">
        <is>
          <t>{"weapon":"autocannon_40","slot":"gun","aim":"Free","arc":[-45,80]}</t>
        </is>
      </c>
    </row>
    <row r="34">
      <c r="A34" t="inlineStr">
        <is>
          <t>fortress_bastion/1</t>
        </is>
      </c>
      <c r="B34" t="inlineStr">
        <is>
          <t>fortress_bastion</t>
        </is>
      </c>
      <c r="C34" t="n">
        <v>1</v>
      </c>
      <c r="D34" t="inlineStr">
        <is>
          <t>autocannon_40</t>
        </is>
      </c>
      <c r="E34" t="inlineStr">
        <is>
          <t>Free</t>
        </is>
      </c>
      <c r="F34" t="n">
        <v>45</v>
      </c>
      <c r="G34" t="n">
        <v>80</v>
      </c>
      <c r="I34" t="inlineStr">
        <is>
          <t>gun</t>
        </is>
      </c>
      <c r="J34" t="inlineStr">
        <is>
          <t>Assets/MachineBrigade/Resources/Data/balance.json: vehicles[148].secondary[1]</t>
        </is>
      </c>
      <c r="K34" t="inlineStr">
        <is>
          <t>{"weapon":"autocannon_40","slot":"gun","aim":"Free","arc":[45,80]}</t>
        </is>
      </c>
    </row>
    <row r="35">
      <c r="A35" t="inlineStr">
        <is>
          <t>fortress_bastion/2</t>
        </is>
      </c>
      <c r="B35" t="inlineStr">
        <is>
          <t>fortress_bastion</t>
        </is>
      </c>
      <c r="C35" t="n">
        <v>2</v>
      </c>
      <c r="D35" t="inlineStr">
        <is>
          <t>autocannon_40</t>
        </is>
      </c>
      <c r="E35" t="inlineStr">
        <is>
          <t>Free</t>
        </is>
      </c>
      <c r="F35" t="n">
        <v>-135</v>
      </c>
      <c r="G35" t="n">
        <v>80</v>
      </c>
      <c r="I35" t="inlineStr">
        <is>
          <t>gun</t>
        </is>
      </c>
      <c r="J35" t="inlineStr">
        <is>
          <t>Assets/MachineBrigade/Resources/Data/balance.json: vehicles[148].secondary[2]</t>
        </is>
      </c>
      <c r="K35" t="inlineStr">
        <is>
          <t>{"weapon":"autocannon_40","slot":"gun","aim":"Free","arc":[-135,80]}</t>
        </is>
      </c>
    </row>
    <row r="36">
      <c r="A36" t="inlineStr">
        <is>
          <t>fortress_bastion/3</t>
        </is>
      </c>
      <c r="B36" t="inlineStr">
        <is>
          <t>fortress_bastion</t>
        </is>
      </c>
      <c r="C36" t="n">
        <v>3</v>
      </c>
      <c r="D36" t="inlineStr">
        <is>
          <t>autocannon_40</t>
        </is>
      </c>
      <c r="E36" t="inlineStr">
        <is>
          <t>Free</t>
        </is>
      </c>
      <c r="F36" t="n">
        <v>135</v>
      </c>
      <c r="G36" t="n">
        <v>80</v>
      </c>
      <c r="I36" t="inlineStr">
        <is>
          <t>gun</t>
        </is>
      </c>
      <c r="J36" t="inlineStr">
        <is>
          <t>Assets/MachineBrigade/Resources/Data/balance.json: vehicles[148].secondary[3]</t>
        </is>
      </c>
      <c r="K36" t="inlineStr">
        <is>
          <t>{"weapon":"autocannon_40","slot":"gun","aim":"Free","arc":[135,80]}</t>
        </is>
      </c>
    </row>
    <row r="37">
      <c r="A37" t="inlineStr">
        <is>
          <t>fortress_bastion/4</t>
        </is>
      </c>
      <c r="B37" t="inlineStr">
        <is>
          <t>fortress_bastion</t>
        </is>
      </c>
      <c r="C37" t="n">
        <v>4</v>
      </c>
      <c r="D37" t="inlineStr">
        <is>
          <t>kornet_twin</t>
        </is>
      </c>
      <c r="E37" t="inlineStr">
        <is>
          <t>Free</t>
        </is>
      </c>
      <c r="I37" t="inlineStr">
        <is>
          <t>missile</t>
        </is>
      </c>
      <c r="J37" t="inlineStr">
        <is>
          <t>Assets/MachineBrigade/Resources/Data/balance.json: vehicles[148].secondary[4]</t>
        </is>
      </c>
      <c r="K37" t="inlineStr">
        <is>
          <t>{"weapon":"kornet_twin","slot":"missile","aim":"Free"}</t>
        </is>
      </c>
    </row>
    <row r="38">
      <c r="A38" t="inlineStr">
        <is>
          <t>fortress_bastion/5</t>
        </is>
      </c>
      <c r="B38" t="inlineStr">
        <is>
          <t>fortress_bastion</t>
        </is>
      </c>
      <c r="C38" t="n">
        <v>5</v>
      </c>
      <c r="D38" t="inlineStr">
        <is>
          <t>boss_hmg</t>
        </is>
      </c>
      <c r="E38" t="inlineStr">
        <is>
          <t>Free</t>
        </is>
      </c>
      <c r="I38" t="inlineStr">
        <is>
          <t>mg</t>
        </is>
      </c>
      <c r="J38" t="inlineStr">
        <is>
          <t>Assets/MachineBrigade/Resources/Data/balance.json: vehicles[148].secondary[5]</t>
        </is>
      </c>
      <c r="K38" t="inlineStr">
        <is>
          <t>{"weapon":"boss_hmg","slot":"mg","aim":"Free"}</t>
        </is>
      </c>
    </row>
    <row r="39">
      <c r="A39" t="inlineStr">
        <is>
          <t>fortress_bastion/6</t>
        </is>
      </c>
      <c r="B39" t="inlineStr">
        <is>
          <t>fortress_bastion</t>
        </is>
      </c>
      <c r="C39" t="n">
        <v>6</v>
      </c>
      <c r="D39" t="inlineStr">
        <is>
          <t>boss_hmg</t>
        </is>
      </c>
      <c r="E39" t="inlineStr">
        <is>
          <t>Free</t>
        </is>
      </c>
      <c r="I39" t="inlineStr">
        <is>
          <t>mg</t>
        </is>
      </c>
      <c r="J39" t="inlineStr">
        <is>
          <t>Assets/MachineBrigade/Resources/Data/balance.json: vehicles[148].secondary[6]</t>
        </is>
      </c>
      <c r="K39" t="inlineStr">
        <is>
          <t>{"weapon":"boss_hmg","slot":"mg","aim":"Free"}</t>
        </is>
      </c>
    </row>
    <row r="40">
      <c r="A40" t="inlineStr">
        <is>
          <t>ixion/0</t>
        </is>
      </c>
      <c r="B40" t="inlineStr">
        <is>
          <t>ixion</t>
        </is>
      </c>
      <c r="C40" t="n">
        <v>0</v>
      </c>
      <c r="D40" t="inlineStr">
        <is>
          <t>p26_ixion_mg</t>
        </is>
      </c>
      <c r="E40" t="inlineStr">
        <is>
          <t>Free</t>
        </is>
      </c>
      <c r="I40" t="inlineStr">
        <is>
          <t>mg</t>
        </is>
      </c>
      <c r="J40" t="inlineStr">
        <is>
          <t>Assets/MachineBrigade/Resources/Data/balance.json: vehicles[162].secondary[0]</t>
        </is>
      </c>
      <c r="K40" t="inlineStr">
        <is>
          <t>{"weapon":"p26_ixion_mg","slot":"mg","aim":"Free"}</t>
        </is>
      </c>
    </row>
    <row r="41">
      <c r="A41" t="inlineStr">
        <is>
          <t>ixion/1</t>
        </is>
      </c>
      <c r="B41" t="inlineStr">
        <is>
          <t>ixion</t>
        </is>
      </c>
      <c r="C41" t="n">
        <v>1</v>
      </c>
      <c r="D41" t="inlineStr">
        <is>
          <t>p26_ixion_mg</t>
        </is>
      </c>
      <c r="E41" t="inlineStr">
        <is>
          <t>Free</t>
        </is>
      </c>
      <c r="I41" t="inlineStr">
        <is>
          <t>mg</t>
        </is>
      </c>
      <c r="J41" t="inlineStr">
        <is>
          <t>Assets/MachineBrigade/Resources/Data/balance.json: vehicles[162].secondary[1]</t>
        </is>
      </c>
      <c r="K41" t="inlineStr">
        <is>
          <t>{"weapon":"p26_ixion_mg","slot":"mg","aim":"Free"}</t>
        </is>
      </c>
    </row>
    <row r="42">
      <c r="A42" t="inlineStr">
        <is>
          <t>landing_hovercraft/0</t>
        </is>
      </c>
      <c r="B42" t="inlineStr">
        <is>
          <t>landing_hovercraft</t>
        </is>
      </c>
      <c r="C42" t="n">
        <v>0</v>
      </c>
      <c r="D42" t="inlineStr">
        <is>
          <t>hover_ciws</t>
        </is>
      </c>
      <c r="E42" t="inlineStr">
        <is>
          <t>Free</t>
        </is>
      </c>
      <c r="I42" t="inlineStr">
        <is>
          <t>gun</t>
        </is>
      </c>
      <c r="J42" t="inlineStr">
        <is>
          <t>Assets/MachineBrigade/Resources/Data/balance.json: vehicles[152].secondary[0]</t>
        </is>
      </c>
      <c r="K42" t="inlineStr">
        <is>
          <t>{"weapon":"hover_ciws","slot":"gun","aim":"Free"}</t>
        </is>
      </c>
    </row>
    <row r="43">
      <c r="A43" t="inlineStr">
        <is>
          <t>landing_hovercraft/1</t>
        </is>
      </c>
      <c r="B43" t="inlineStr">
        <is>
          <t>landing_hovercraft</t>
        </is>
      </c>
      <c r="C43" t="n">
        <v>1</v>
      </c>
      <c r="D43" t="inlineStr">
        <is>
          <t>ciws_aa</t>
        </is>
      </c>
      <c r="E43" t="inlineStr">
        <is>
          <t>Free</t>
        </is>
      </c>
      <c r="I43" t="inlineStr">
        <is>
          <t>mg</t>
        </is>
      </c>
      <c r="J43" t="inlineStr">
        <is>
          <t>Assets/MachineBrigade/Resources/Data/balance.json: vehicles[152].secondary[1]</t>
        </is>
      </c>
      <c r="K43" t="inlineStr">
        <is>
          <t>{"weapon":"ciws_aa","slot":"mg","aim":"Free"}</t>
        </is>
      </c>
    </row>
    <row r="44">
      <c r="A44" t="inlineStr">
        <is>
          <t>landing_hovercraft/2</t>
        </is>
      </c>
      <c r="B44" t="inlineStr">
        <is>
          <t>landing_hovercraft</t>
        </is>
      </c>
      <c r="C44" t="n">
        <v>2</v>
      </c>
      <c r="D44" t="inlineStr">
        <is>
          <t>ciws_aa</t>
        </is>
      </c>
      <c r="E44" t="inlineStr">
        <is>
          <t>Free</t>
        </is>
      </c>
      <c r="I44" t="inlineStr">
        <is>
          <t>mg</t>
        </is>
      </c>
      <c r="J44" t="inlineStr">
        <is>
          <t>Assets/MachineBrigade/Resources/Data/balance.json: vehicles[152].secondary[2]</t>
        </is>
      </c>
      <c r="K44" t="inlineStr">
        <is>
          <t>{"weapon":"ciws_aa","slot":"mg","aim":"Free"}</t>
        </is>
      </c>
    </row>
    <row r="45">
      <c r="A45" t="inlineStr">
        <is>
          <t>landing_hovercraft/3</t>
        </is>
      </c>
      <c r="B45" t="inlineStr">
        <is>
          <t>landing_hovercraft</t>
        </is>
      </c>
      <c r="C45" t="n">
        <v>3</v>
      </c>
      <c r="D45" t="inlineStr">
        <is>
          <t>hover_rockets</t>
        </is>
      </c>
      <c r="E45" t="inlineStr">
        <is>
          <t>Free</t>
        </is>
      </c>
      <c r="I45" t="inlineStr">
        <is>
          <t>rocket</t>
        </is>
      </c>
      <c r="J45" t="inlineStr">
        <is>
          <t>Assets/MachineBrigade/Resources/Data/balance.json: vehicles[152].secondary[3]</t>
        </is>
      </c>
      <c r="K45" t="inlineStr">
        <is>
          <t>{"weapon":"hover_rockets","slot":"rocket","aim":"Free"}</t>
        </is>
      </c>
    </row>
    <row r="46">
      <c r="A46" t="inlineStr">
        <is>
          <t>landing_hovercraft/4</t>
        </is>
      </c>
      <c r="B46" t="inlineStr">
        <is>
          <t>landing_hovercraft</t>
        </is>
      </c>
      <c r="C46" t="n">
        <v>4</v>
      </c>
      <c r="D46" t="inlineStr">
        <is>
          <t>hover_rockets</t>
        </is>
      </c>
      <c r="E46" t="inlineStr">
        <is>
          <t>Free</t>
        </is>
      </c>
      <c r="I46" t="inlineStr">
        <is>
          <t>rocket</t>
        </is>
      </c>
      <c r="J46" t="inlineStr">
        <is>
          <t>Assets/MachineBrigade/Resources/Data/balance.json: vehicles[152].secondary[4]</t>
        </is>
      </c>
      <c r="K46" t="inlineStr">
        <is>
          <t>{"weapon":"hover_rockets","slot":"rocket","aim":"Free"}</t>
        </is>
      </c>
    </row>
    <row r="47">
      <c r="A47" t="inlineStr">
        <is>
          <t>leviathan/0</t>
        </is>
      </c>
      <c r="B47" t="inlineStr">
        <is>
          <t>leviathan</t>
        </is>
      </c>
      <c r="C47" t="n">
        <v>0</v>
      </c>
      <c r="D47" t="inlineStr">
        <is>
          <t>leviathan_460</t>
        </is>
      </c>
      <c r="E47" t="inlineStr">
        <is>
          <t>Free</t>
        </is>
      </c>
      <c r="I47" t="inlineStr">
        <is>
          <t>gun</t>
        </is>
      </c>
      <c r="J47" t="inlineStr">
        <is>
          <t>Assets/MachineBrigade/Resources/Data/balance.json: vehicles[153].secondary[0]</t>
        </is>
      </c>
      <c r="K47" t="inlineStr">
        <is>
          <t>{"weapon":"leviathan_460","slot":"gun","aim":"Free"}</t>
        </is>
      </c>
    </row>
    <row r="48">
      <c r="A48" t="inlineStr">
        <is>
          <t>leviathan/1</t>
        </is>
      </c>
      <c r="B48" t="inlineStr">
        <is>
          <t>leviathan</t>
        </is>
      </c>
      <c r="C48" t="n">
        <v>1</v>
      </c>
      <c r="D48" t="inlineStr">
        <is>
          <t>leviathan_460</t>
        </is>
      </c>
      <c r="E48" t="inlineStr">
        <is>
          <t>Free</t>
        </is>
      </c>
      <c r="F48" t="n">
        <v>180</v>
      </c>
      <c r="G48" t="n">
        <v>150</v>
      </c>
      <c r="I48" t="inlineStr">
        <is>
          <t>gun</t>
        </is>
      </c>
      <c r="J48" t="inlineStr">
        <is>
          <t>Assets/MachineBrigade/Resources/Data/balance.json: vehicles[153].secondary[1]</t>
        </is>
      </c>
      <c r="K48" t="inlineStr">
        <is>
          <t>{"weapon":"leviathan_460","slot":"gun","aim":"Free","arc":[180,150]}</t>
        </is>
      </c>
    </row>
    <row r="49">
      <c r="A49" t="inlineStr">
        <is>
          <t>leviathan/2</t>
        </is>
      </c>
      <c r="B49" t="inlineStr">
        <is>
          <t>leviathan</t>
        </is>
      </c>
      <c r="C49" t="n">
        <v>2</v>
      </c>
      <c r="D49" t="inlineStr">
        <is>
          <t>naval_155_triple</t>
        </is>
      </c>
      <c r="E49" t="inlineStr">
        <is>
          <t>Free</t>
        </is>
      </c>
      <c r="F49" t="n">
        <v>0</v>
      </c>
      <c r="G49" t="n">
        <v>135</v>
      </c>
      <c r="I49" t="inlineStr">
        <is>
          <t>gun</t>
        </is>
      </c>
      <c r="J49" t="inlineStr">
        <is>
          <t>Assets/MachineBrigade/Resources/Data/balance.json: vehicles[153].secondary[2]</t>
        </is>
      </c>
      <c r="K49" t="inlineStr">
        <is>
          <t>{"weapon":"naval_155_triple","slot":"gun","aim":"Free","arc":[0,135]}</t>
        </is>
      </c>
    </row>
    <row r="50">
      <c r="A50" t="inlineStr">
        <is>
          <t>leviathan/3</t>
        </is>
      </c>
      <c r="B50" t="inlineStr">
        <is>
          <t>leviathan</t>
        </is>
      </c>
      <c r="C50" t="n">
        <v>3</v>
      </c>
      <c r="D50" t="inlineStr">
        <is>
          <t>naval_155_triple</t>
        </is>
      </c>
      <c r="E50" t="inlineStr">
        <is>
          <t>Free</t>
        </is>
      </c>
      <c r="F50" t="n">
        <v>180</v>
      </c>
      <c r="G50" t="n">
        <v>135</v>
      </c>
      <c r="I50" t="inlineStr">
        <is>
          <t>gun</t>
        </is>
      </c>
      <c r="J50" t="inlineStr">
        <is>
          <t>Assets/MachineBrigade/Resources/Data/balance.json: vehicles[153].secondary[3]</t>
        </is>
      </c>
      <c r="K50" t="inlineStr">
        <is>
          <t>{"weapon":"naval_155_triple","slot":"gun","aim":"Free","arc":[180,135]}</t>
        </is>
      </c>
    </row>
    <row r="51">
      <c r="A51" t="inlineStr">
        <is>
          <t>leviathan/4</t>
        </is>
      </c>
      <c r="B51" t="inlineStr">
        <is>
          <t>leviathan</t>
        </is>
      </c>
      <c r="C51" t="n">
        <v>4</v>
      </c>
      <c r="D51" t="inlineStr">
        <is>
          <t>hover_ciws</t>
        </is>
      </c>
      <c r="E51" t="inlineStr">
        <is>
          <t>Free</t>
        </is>
      </c>
      <c r="I51" t="inlineStr">
        <is>
          <t>mg</t>
        </is>
      </c>
      <c r="J51" t="inlineStr">
        <is>
          <t>Assets/MachineBrigade/Resources/Data/balance.json: vehicles[153].secondary[4]</t>
        </is>
      </c>
      <c r="K51" t="inlineStr">
        <is>
          <t>{"weapon":"hover_ciws","slot":"mg","aim":"Free"}</t>
        </is>
      </c>
    </row>
    <row r="52">
      <c r="A52" t="inlineStr">
        <is>
          <t>leviathan/5</t>
        </is>
      </c>
      <c r="B52" t="inlineStr">
        <is>
          <t>leviathan</t>
        </is>
      </c>
      <c r="C52" t="n">
        <v>5</v>
      </c>
      <c r="D52" t="inlineStr">
        <is>
          <t>hover_ciws</t>
        </is>
      </c>
      <c r="E52" t="inlineStr">
        <is>
          <t>Free</t>
        </is>
      </c>
      <c r="I52" t="inlineStr">
        <is>
          <t>mg</t>
        </is>
      </c>
      <c r="J52" t="inlineStr">
        <is>
          <t>Assets/MachineBrigade/Resources/Data/balance.json: vehicles[153].secondary[5]</t>
        </is>
      </c>
      <c r="K52" t="inlineStr">
        <is>
          <t>{"weapon":"hover_ciws","slot":"mg","aim":"Free"}</t>
        </is>
      </c>
    </row>
    <row r="53">
      <c r="A53" t="inlineStr">
        <is>
          <t>leviathan/6</t>
        </is>
      </c>
      <c r="B53" t="inlineStr">
        <is>
          <t>leviathan</t>
        </is>
      </c>
      <c r="C53" t="n">
        <v>6</v>
      </c>
      <c r="D53" t="inlineStr">
        <is>
          <t>aa_25_triple</t>
        </is>
      </c>
      <c r="E53" t="inlineStr">
        <is>
          <t>Free</t>
        </is>
      </c>
      <c r="I53" t="inlineStr">
        <is>
          <t>mg</t>
        </is>
      </c>
      <c r="J53" t="inlineStr">
        <is>
          <t>Assets/MachineBrigade/Resources/Data/balance.json: vehicles[153].secondary[6]</t>
        </is>
      </c>
      <c r="K53" t="inlineStr">
        <is>
          <t>{"weapon":"aa_25_triple","slot":"mg","aim":"Free"}</t>
        </is>
      </c>
    </row>
    <row r="54">
      <c r="A54" t="inlineStr">
        <is>
          <t>leviathan/7</t>
        </is>
      </c>
      <c r="B54" t="inlineStr">
        <is>
          <t>leviathan</t>
        </is>
      </c>
      <c r="C54" t="n">
        <v>7</v>
      </c>
      <c r="D54" t="inlineStr">
        <is>
          <t>aa_25_triple</t>
        </is>
      </c>
      <c r="E54" t="inlineStr">
        <is>
          <t>Free</t>
        </is>
      </c>
      <c r="I54" t="inlineStr">
        <is>
          <t>mg</t>
        </is>
      </c>
      <c r="J54" t="inlineStr">
        <is>
          <t>Assets/MachineBrigade/Resources/Data/balance.json: vehicles[153].secondary[7]</t>
        </is>
      </c>
      <c r="K54" t="inlineStr">
        <is>
          <t>{"weapon":"aa_25_triple","slot":"mg","aim":"Free"}</t>
        </is>
      </c>
    </row>
    <row r="55">
      <c r="A55" t="inlineStr">
        <is>
          <t>leviathan/8</t>
        </is>
      </c>
      <c r="B55" t="inlineStr">
        <is>
          <t>leviathan</t>
        </is>
      </c>
      <c r="C55" t="n">
        <v>8</v>
      </c>
      <c r="D55" t="inlineStr">
        <is>
          <t>aa_25_triple</t>
        </is>
      </c>
      <c r="E55" t="inlineStr">
        <is>
          <t>Free</t>
        </is>
      </c>
      <c r="I55" t="inlineStr">
        <is>
          <t>mg</t>
        </is>
      </c>
      <c r="J55" t="inlineStr">
        <is>
          <t>Assets/MachineBrigade/Resources/Data/balance.json: vehicles[153].secondary[8]</t>
        </is>
      </c>
      <c r="K55" t="inlineStr">
        <is>
          <t>{"weapon":"aa_25_triple","slot":"mg","aim":"Free"}</t>
        </is>
      </c>
    </row>
    <row r="56">
      <c r="A56" t="inlineStr">
        <is>
          <t>leviathan/9</t>
        </is>
      </c>
      <c r="B56" t="inlineStr">
        <is>
          <t>leviathan</t>
        </is>
      </c>
      <c r="C56" t="n">
        <v>9</v>
      </c>
      <c r="D56" t="inlineStr">
        <is>
          <t>aa_25_triple</t>
        </is>
      </c>
      <c r="E56" t="inlineStr">
        <is>
          <t>Free</t>
        </is>
      </c>
      <c r="I56" t="inlineStr">
        <is>
          <t>mg</t>
        </is>
      </c>
      <c r="J56" t="inlineStr">
        <is>
          <t>Assets/MachineBrigade/Resources/Data/balance.json: vehicles[153].secondary[9]</t>
        </is>
      </c>
      <c r="K56" t="inlineStr">
        <is>
          <t>{"weapon":"aa_25_triple","slot":"mg","aim":"Free"}</t>
        </is>
      </c>
    </row>
    <row r="57">
      <c r="A57" t="inlineStr">
        <is>
          <t>leviathan/10</t>
        </is>
      </c>
      <c r="B57" t="inlineStr">
        <is>
          <t>leviathan</t>
        </is>
      </c>
      <c r="C57" t="n">
        <v>10</v>
      </c>
      <c r="D57" t="inlineStr">
        <is>
          <t>aa_25_triple</t>
        </is>
      </c>
      <c r="E57" t="inlineStr">
        <is>
          <t>Free</t>
        </is>
      </c>
      <c r="I57" t="inlineStr">
        <is>
          <t>mg</t>
        </is>
      </c>
      <c r="J57" t="inlineStr">
        <is>
          <t>Assets/MachineBrigade/Resources/Data/balance.json: vehicles[153].secondary[10]</t>
        </is>
      </c>
      <c r="K57" t="inlineStr">
        <is>
          <t>{"weapon":"aa_25_triple","slot":"mg","aim":"Free"}</t>
        </is>
      </c>
    </row>
    <row r="58">
      <c r="A58" t="inlineStr">
        <is>
          <t>leviathan/11</t>
        </is>
      </c>
      <c r="B58" t="inlineStr">
        <is>
          <t>leviathan</t>
        </is>
      </c>
      <c r="C58" t="n">
        <v>11</v>
      </c>
      <c r="D58" t="inlineStr">
        <is>
          <t>aa_25_triple</t>
        </is>
      </c>
      <c r="E58" t="inlineStr">
        <is>
          <t>Free</t>
        </is>
      </c>
      <c r="I58" t="inlineStr">
        <is>
          <t>mg</t>
        </is>
      </c>
      <c r="J58" t="inlineStr">
        <is>
          <t>Assets/MachineBrigade/Resources/Data/balance.json: vehicles[153].secondary[11]</t>
        </is>
      </c>
      <c r="K58" t="inlineStr">
        <is>
          <t>{"weapon":"aa_25_triple","slot":"mg","aim":"Free"}</t>
        </is>
      </c>
    </row>
    <row r="59">
      <c r="A59" t="inlineStr">
        <is>
          <t>leviathan/12</t>
        </is>
      </c>
      <c r="B59" t="inlineStr">
        <is>
          <t>leviathan</t>
        </is>
      </c>
      <c r="C59" t="n">
        <v>12</v>
      </c>
      <c r="D59" t="inlineStr">
        <is>
          <t>aa_25_triple</t>
        </is>
      </c>
      <c r="E59" t="inlineStr">
        <is>
          <t>Free</t>
        </is>
      </c>
      <c r="I59" t="inlineStr">
        <is>
          <t>mg</t>
        </is>
      </c>
      <c r="J59" t="inlineStr">
        <is>
          <t>Assets/MachineBrigade/Resources/Data/balance.json: vehicles[153].secondary[12]</t>
        </is>
      </c>
      <c r="K59" t="inlineStr">
        <is>
          <t>{"weapon":"aa_25_triple","slot":"mg","aim":"Free"}</t>
        </is>
      </c>
    </row>
    <row r="60">
      <c r="A60" t="inlineStr">
        <is>
          <t>leviathan/13</t>
        </is>
      </c>
      <c r="B60" t="inlineStr">
        <is>
          <t>leviathan</t>
        </is>
      </c>
      <c r="C60" t="n">
        <v>13</v>
      </c>
      <c r="D60" t="inlineStr">
        <is>
          <t>aa_25_triple</t>
        </is>
      </c>
      <c r="E60" t="inlineStr">
        <is>
          <t>Free</t>
        </is>
      </c>
      <c r="I60" t="inlineStr">
        <is>
          <t>mg</t>
        </is>
      </c>
      <c r="J60" t="inlineStr">
        <is>
          <t>Assets/MachineBrigade/Resources/Data/balance.json: vehicles[153].secondary[13]</t>
        </is>
      </c>
      <c r="K60" t="inlineStr">
        <is>
          <t>{"weapon":"aa_25_triple","slot":"mg","aim":"Free"}</t>
        </is>
      </c>
    </row>
    <row r="61">
      <c r="A61" t="inlineStr">
        <is>
          <t>leviathan/14</t>
        </is>
      </c>
      <c r="B61" t="inlineStr">
        <is>
          <t>leviathan</t>
        </is>
      </c>
      <c r="C61" t="n">
        <v>14</v>
      </c>
      <c r="D61" t="inlineStr">
        <is>
          <t>sam_post</t>
        </is>
      </c>
      <c r="E61" t="inlineStr">
        <is>
          <t>Free</t>
        </is>
      </c>
      <c r="I61" t="inlineStr">
        <is>
          <t>missile</t>
        </is>
      </c>
      <c r="J61" t="inlineStr">
        <is>
          <t>Assets/MachineBrigade/Resources/Data/balance.json: vehicles[153].secondary[14]</t>
        </is>
      </c>
      <c r="K61" t="inlineStr">
        <is>
          <t>{"weapon":"sam_post","slot":"missile","aim":"Free"}</t>
        </is>
      </c>
    </row>
    <row r="62">
      <c r="A62" t="inlineStr">
        <is>
          <t>mega_gunship/0</t>
        </is>
      </c>
      <c r="B62" t="inlineStr">
        <is>
          <t>mega_gunship</t>
        </is>
      </c>
      <c r="C62" t="n">
        <v>0</v>
      </c>
      <c r="D62" t="inlineStr">
        <is>
          <t>boss_heli_gun</t>
        </is>
      </c>
      <c r="E62" t="inlineStr">
        <is>
          <t>Free</t>
        </is>
      </c>
      <c r="I62" t="inlineStr">
        <is>
          <t>gun</t>
        </is>
      </c>
      <c r="J62" t="inlineStr">
        <is>
          <t>Assets/MachineBrigade/Resources/Data/balance.json: vehicles[141].secondary[0]</t>
        </is>
      </c>
      <c r="K62" t="inlineStr">
        <is>
          <t>{"weapon":"boss_heli_gun","slot":"gun","aim":"Free"}</t>
        </is>
      </c>
    </row>
    <row r="63">
      <c r="A63" t="inlineStr">
        <is>
          <t>mega_gunship/1</t>
        </is>
      </c>
      <c r="B63" t="inlineStr">
        <is>
          <t>mega_gunship</t>
        </is>
      </c>
      <c r="C63" t="n">
        <v>1</v>
      </c>
      <c r="D63" t="inlineStr">
        <is>
          <t>boss_heli_gun</t>
        </is>
      </c>
      <c r="E63" t="inlineStr">
        <is>
          <t>Free</t>
        </is>
      </c>
      <c r="I63" t="inlineStr">
        <is>
          <t>gun</t>
        </is>
      </c>
      <c r="J63" t="inlineStr">
        <is>
          <t>Assets/MachineBrigade/Resources/Data/balance.json: vehicles[141].secondary[1]</t>
        </is>
      </c>
      <c r="K63" t="inlineStr">
        <is>
          <t>{"weapon":"boss_heli_gun","slot":"gun","aim":"Free"}</t>
        </is>
      </c>
    </row>
    <row r="64">
      <c r="A64" t="inlineStr">
        <is>
          <t>mega_gunship/2</t>
        </is>
      </c>
      <c r="B64" t="inlineStr">
        <is>
          <t>mega_gunship</t>
        </is>
      </c>
      <c r="C64" t="n">
        <v>2</v>
      </c>
      <c r="D64" t="inlineStr">
        <is>
          <t>boss_missiles</t>
        </is>
      </c>
      <c r="E64" t="inlineStr">
        <is>
          <t>Hull</t>
        </is>
      </c>
      <c r="I64" t="inlineStr">
        <is>
          <t>missile</t>
        </is>
      </c>
      <c r="J64" t="inlineStr">
        <is>
          <t>Assets/MachineBrigade/Resources/Data/balance.json: vehicles[141].secondary[2]</t>
        </is>
      </c>
      <c r="K64" t="inlineStr">
        <is>
          <t>{"weapon":"boss_missiles","slot":"missile","aim":"Hull"}</t>
        </is>
      </c>
    </row>
    <row r="65">
      <c r="A65" t="inlineStr">
        <is>
          <t>mega_gunship/3</t>
        </is>
      </c>
      <c r="B65" t="inlineStr">
        <is>
          <t>mega_gunship</t>
        </is>
      </c>
      <c r="C65" t="n">
        <v>3</v>
      </c>
      <c r="D65" t="inlineStr">
        <is>
          <t>boss_minigun</t>
        </is>
      </c>
      <c r="E65" t="inlineStr">
        <is>
          <t>Free</t>
        </is>
      </c>
      <c r="I65" t="inlineStr">
        <is>
          <t>mg</t>
        </is>
      </c>
      <c r="J65" t="inlineStr">
        <is>
          <t>Assets/MachineBrigade/Resources/Data/balance.json: vehicles[141].secondary[3]</t>
        </is>
      </c>
      <c r="K65" t="inlineStr">
        <is>
          <t>{"weapon":"boss_minigun","slot":"mg","aim":"Free"}</t>
        </is>
      </c>
    </row>
    <row r="66">
      <c r="A66" t="inlineStr">
        <is>
          <t>mega_gunship/4</t>
        </is>
      </c>
      <c r="B66" t="inlineStr">
        <is>
          <t>mega_gunship</t>
        </is>
      </c>
      <c r="C66" t="n">
        <v>4</v>
      </c>
      <c r="D66" t="inlineStr">
        <is>
          <t>boss_minigun</t>
        </is>
      </c>
      <c r="E66" t="inlineStr">
        <is>
          <t>Free</t>
        </is>
      </c>
      <c r="I66" t="inlineStr">
        <is>
          <t>mg</t>
        </is>
      </c>
      <c r="J66" t="inlineStr">
        <is>
          <t>Assets/MachineBrigade/Resources/Data/balance.json: vehicles[141].secondary[4]</t>
        </is>
      </c>
      <c r="K66" t="inlineStr">
        <is>
          <t>{"weapon":"boss_minigun","slot":"mg","aim":"Free"}</t>
        </is>
      </c>
    </row>
    <row r="67">
      <c r="A67" t="inlineStr">
        <is>
          <t>mega_gunship/5</t>
        </is>
      </c>
      <c r="B67" t="inlineStr">
        <is>
          <t>mega_gunship</t>
        </is>
      </c>
      <c r="C67" t="n">
        <v>5</v>
      </c>
      <c r="D67" t="inlineStr">
        <is>
          <t>gunship_rockets</t>
        </is>
      </c>
      <c r="E67" t="inlineStr">
        <is>
          <t>Hull</t>
        </is>
      </c>
      <c r="H67" t="inlineStr">
        <is>
          <t>hydra</t>
        </is>
      </c>
      <c r="I67" t="inlineStr">
        <is>
          <t>rocket</t>
        </is>
      </c>
      <c r="J67" t="inlineStr">
        <is>
          <t>Assets/MachineBrigade/Resources/Data/balance.json: vehicles[141].secondary[5]</t>
        </is>
      </c>
      <c r="K67" t="inlineStr">
        <is>
          <t>{"weapon":"gunship_rockets","slot":"rocket","model":"hydra","aim":"Hull"}</t>
        </is>
      </c>
    </row>
    <row r="68">
      <c r="A68" t="inlineStr">
        <is>
          <t>mega_gunship/6</t>
        </is>
      </c>
      <c r="B68" t="inlineStr">
        <is>
          <t>mega_gunship</t>
        </is>
      </c>
      <c r="C68" t="n">
        <v>6</v>
      </c>
      <c r="D68" t="inlineStr">
        <is>
          <t>boss_hmg</t>
        </is>
      </c>
      <c r="E68" t="inlineStr">
        <is>
          <t>Free</t>
        </is>
      </c>
      <c r="I68" t="inlineStr">
        <is>
          <t>mg</t>
        </is>
      </c>
      <c r="J68" t="inlineStr">
        <is>
          <t>Assets/MachineBrigade/Resources/Data/balance.json: vehicles[141].secondary[6]</t>
        </is>
      </c>
      <c r="K68" t="inlineStr">
        <is>
          <t>{"weapon":"boss_hmg","slot":"mg","aim":"Free"}</t>
        </is>
      </c>
    </row>
    <row r="69">
      <c r="A69" t="inlineStr">
        <is>
          <t>mega_gunship/7</t>
        </is>
      </c>
      <c r="B69" t="inlineStr">
        <is>
          <t>mega_gunship</t>
        </is>
      </c>
      <c r="C69" t="n">
        <v>7</v>
      </c>
      <c r="D69" t="inlineStr">
        <is>
          <t>boss_hmg</t>
        </is>
      </c>
      <c r="E69" t="inlineStr">
        <is>
          <t>Free</t>
        </is>
      </c>
      <c r="I69" t="inlineStr">
        <is>
          <t>mg</t>
        </is>
      </c>
      <c r="J69" t="inlineStr">
        <is>
          <t>Assets/MachineBrigade/Resources/Data/balance.json: vehicles[141].secondary[7]</t>
        </is>
      </c>
      <c r="K69" t="inlineStr">
        <is>
          <t>{"weapon":"boss_hmg","slot":"mg","aim":"Free"}</t>
        </is>
      </c>
    </row>
    <row r="70">
      <c r="A70" t="inlineStr">
        <is>
          <t>mobile_fortress/0</t>
        </is>
      </c>
      <c r="B70" t="inlineStr">
        <is>
          <t>mobile_fortress</t>
        </is>
      </c>
      <c r="C70" t="n">
        <v>0</v>
      </c>
      <c r="D70" t="inlineStr">
        <is>
          <t>boss_rockets</t>
        </is>
      </c>
      <c r="E70" t="inlineStr">
        <is>
          <t>Free</t>
        </is>
      </c>
      <c r="I70" t="inlineStr">
        <is>
          <t>rocket</t>
        </is>
      </c>
      <c r="J70" t="inlineStr">
        <is>
          <t>Assets/MachineBrigade/Resources/Data/balance.json: vehicles[139].secondary[0]</t>
        </is>
      </c>
      <c r="K70" t="inlineStr">
        <is>
          <t>{"weapon":"boss_rockets","slot":"rocket","aim":"Free"}</t>
        </is>
      </c>
    </row>
    <row r="71">
      <c r="A71" t="inlineStr">
        <is>
          <t>mobile_fortress/1</t>
        </is>
      </c>
      <c r="B71" t="inlineStr">
        <is>
          <t>mobile_fortress</t>
        </is>
      </c>
      <c r="C71" t="n">
        <v>1</v>
      </c>
      <c r="D71" t="inlineStr">
        <is>
          <t>boss_rockets</t>
        </is>
      </c>
      <c r="E71" t="inlineStr">
        <is>
          <t>Free</t>
        </is>
      </c>
      <c r="I71" t="inlineStr">
        <is>
          <t>rocket</t>
        </is>
      </c>
      <c r="J71" t="inlineStr">
        <is>
          <t>Assets/MachineBrigade/Resources/Data/balance.json: vehicles[139].secondary[1]</t>
        </is>
      </c>
      <c r="K71" t="inlineStr">
        <is>
          <t>{"weapon":"boss_rockets","slot":"rocket","aim":"Free"}</t>
        </is>
      </c>
    </row>
    <row r="72">
      <c r="A72" t="inlineStr">
        <is>
          <t>mobile_fortress/2</t>
        </is>
      </c>
      <c r="B72" t="inlineStr">
        <is>
          <t>mobile_fortress</t>
        </is>
      </c>
      <c r="C72" t="n">
        <v>2</v>
      </c>
      <c r="D72" t="inlineStr">
        <is>
          <t>boss_flak</t>
        </is>
      </c>
      <c r="E72" t="inlineStr">
        <is>
          <t>Free</t>
        </is>
      </c>
      <c r="I72" t="inlineStr">
        <is>
          <t>mg</t>
        </is>
      </c>
      <c r="J72" t="inlineStr">
        <is>
          <t>Assets/MachineBrigade/Resources/Data/balance.json: vehicles[139].secondary[2]</t>
        </is>
      </c>
      <c r="K72" t="inlineStr">
        <is>
          <t>{"weapon":"boss_flak","slot":"mg","aim":"Free"}</t>
        </is>
      </c>
    </row>
    <row r="73">
      <c r="A73" t="inlineStr">
        <is>
          <t>mobile_fortress/3</t>
        </is>
      </c>
      <c r="B73" t="inlineStr">
        <is>
          <t>mobile_fortress</t>
        </is>
      </c>
      <c r="C73" t="n">
        <v>3</v>
      </c>
      <c r="D73" t="inlineStr">
        <is>
          <t>boss_flak</t>
        </is>
      </c>
      <c r="E73" t="inlineStr">
        <is>
          <t>Free</t>
        </is>
      </c>
      <c r="I73" t="inlineStr">
        <is>
          <t>mg</t>
        </is>
      </c>
      <c r="J73" t="inlineStr">
        <is>
          <t>Assets/MachineBrigade/Resources/Data/balance.json: vehicles[139].secondary[3]</t>
        </is>
      </c>
      <c r="K73" t="inlineStr">
        <is>
          <t>{"weapon":"boss_flak","slot":"mg","aim":"Free"}</t>
        </is>
      </c>
    </row>
    <row r="74">
      <c r="A74" t="inlineStr">
        <is>
          <t>mobile_fortress/4</t>
        </is>
      </c>
      <c r="B74" t="inlineStr">
        <is>
          <t>mobile_fortress</t>
        </is>
      </c>
      <c r="C74" t="n">
        <v>4</v>
      </c>
      <c r="D74" t="inlineStr">
        <is>
          <t>boss_missiles</t>
        </is>
      </c>
      <c r="E74" t="inlineStr">
        <is>
          <t>Hull</t>
        </is>
      </c>
      <c r="I74" t="inlineStr">
        <is>
          <t>missile</t>
        </is>
      </c>
      <c r="J74" t="inlineStr">
        <is>
          <t>Assets/MachineBrigade/Resources/Data/balance.json: vehicles[139].secondary[4]</t>
        </is>
      </c>
      <c r="K74" t="inlineStr">
        <is>
          <t>{"weapon":"boss_missiles","slot":"missile","aim":"Hull"}</t>
        </is>
      </c>
    </row>
    <row r="75">
      <c r="A75" t="inlineStr">
        <is>
          <t>mobile_fortress/5</t>
        </is>
      </c>
      <c r="B75" t="inlineStr">
        <is>
          <t>mobile_fortress</t>
        </is>
      </c>
      <c r="C75" t="n">
        <v>5</v>
      </c>
      <c r="D75" t="inlineStr">
        <is>
          <t>twin_30_flak</t>
        </is>
      </c>
      <c r="E75" t="inlineStr">
        <is>
          <t>Free</t>
        </is>
      </c>
      <c r="I75" t="inlineStr">
        <is>
          <t>mg</t>
        </is>
      </c>
      <c r="J75" t="inlineStr">
        <is>
          <t>Assets/MachineBrigade/Resources/Data/balance.json: vehicles[139].secondary[5]</t>
        </is>
      </c>
      <c r="K75" t="inlineStr">
        <is>
          <t>{"weapon":"twin_30_flak","slot":"mg","aim":"Free"}</t>
        </is>
      </c>
    </row>
    <row r="76">
      <c r="A76" t="inlineStr">
        <is>
          <t>moloch/0</t>
        </is>
      </c>
      <c r="B76" t="inlineStr">
        <is>
          <t>moloch</t>
        </is>
      </c>
      <c r="C76" t="n">
        <v>0</v>
      </c>
      <c r="D76" t="inlineStr">
        <is>
          <t>zu23</t>
        </is>
      </c>
      <c r="E76" t="inlineStr">
        <is>
          <t>Free</t>
        </is>
      </c>
      <c r="I76" t="inlineStr">
        <is>
          <t>mg</t>
        </is>
      </c>
      <c r="J76" t="inlineStr">
        <is>
          <t>Assets/MachineBrigade/Resources/Data/balance.json: vehicles[159].secondary[0]</t>
        </is>
      </c>
      <c r="K76" t="inlineStr">
        <is>
          <t>{"weapon":"zu23","slot":"mg","aim":"Free"}</t>
        </is>
      </c>
    </row>
    <row r="77">
      <c r="A77" t="inlineStr">
        <is>
          <t>moloch/1</t>
        </is>
      </c>
      <c r="B77" t="inlineStr">
        <is>
          <t>moloch</t>
        </is>
      </c>
      <c r="C77" t="n">
        <v>1</v>
      </c>
      <c r="D77" t="inlineStr">
        <is>
          <t>zu23</t>
        </is>
      </c>
      <c r="E77" t="inlineStr">
        <is>
          <t>Free</t>
        </is>
      </c>
      <c r="I77" t="inlineStr">
        <is>
          <t>mg</t>
        </is>
      </c>
      <c r="J77" t="inlineStr">
        <is>
          <t>Assets/MachineBrigade/Resources/Data/balance.json: vehicles[159].secondary[1]</t>
        </is>
      </c>
      <c r="K77" t="inlineStr">
        <is>
          <t>{"weapon":"zu23","slot":"mg","aim":"Free"}</t>
        </is>
      </c>
    </row>
    <row r="78">
      <c r="A78" t="inlineStr">
        <is>
          <t>nuke_train/0</t>
        </is>
      </c>
      <c r="B78" t="inlineStr">
        <is>
          <t>nuke_train</t>
        </is>
      </c>
      <c r="C78" t="n">
        <v>0</v>
      </c>
      <c r="D78" t="inlineStr">
        <is>
          <t>boss_flak</t>
        </is>
      </c>
      <c r="E78" t="inlineStr">
        <is>
          <t>Free</t>
        </is>
      </c>
      <c r="I78" t="inlineStr">
        <is>
          <t>mg</t>
        </is>
      </c>
      <c r="J78" t="inlineStr">
        <is>
          <t>Assets/MachineBrigade/Resources/Data/balance.json: vehicles[143].secondary[0]</t>
        </is>
      </c>
      <c r="K78" t="inlineStr">
        <is>
          <t>{"weapon":"boss_flak","slot":"mg","aim":"Free"}</t>
        </is>
      </c>
    </row>
    <row r="79">
      <c r="A79" t="inlineStr">
        <is>
          <t>nuke_train/1</t>
        </is>
      </c>
      <c r="B79" t="inlineStr">
        <is>
          <t>nuke_train</t>
        </is>
      </c>
      <c r="C79" t="n">
        <v>1</v>
      </c>
      <c r="D79" t="inlineStr">
        <is>
          <t>boss_flak</t>
        </is>
      </c>
      <c r="E79" t="inlineStr">
        <is>
          <t>Free</t>
        </is>
      </c>
      <c r="I79" t="inlineStr">
        <is>
          <t>mg</t>
        </is>
      </c>
      <c r="J79" t="inlineStr">
        <is>
          <t>Assets/MachineBrigade/Resources/Data/balance.json: vehicles[143].secondary[1]</t>
        </is>
      </c>
      <c r="K79" t="inlineStr">
        <is>
          <t>{"weapon":"boss_flak","slot":"mg","aim":"Free"}</t>
        </is>
      </c>
    </row>
    <row r="80">
      <c r="A80" t="inlineStr">
        <is>
          <t>nuke_train/2</t>
        </is>
      </c>
      <c r="B80" t="inlineStr">
        <is>
          <t>nuke_train</t>
        </is>
      </c>
      <c r="C80" t="n">
        <v>2</v>
      </c>
      <c r="D80" t="inlineStr">
        <is>
          <t>boss_rockets</t>
        </is>
      </c>
      <c r="E80" t="inlineStr">
        <is>
          <t>Free</t>
        </is>
      </c>
      <c r="I80" t="inlineStr">
        <is>
          <t>rocket</t>
        </is>
      </c>
      <c r="J80" t="inlineStr">
        <is>
          <t>Assets/MachineBrigade/Resources/Data/balance.json: vehicles[143].secondary[2]</t>
        </is>
      </c>
      <c r="K80" t="inlineStr">
        <is>
          <t>{"weapon":"boss_rockets","slot":"rocket","aim":"Free"}</t>
        </is>
      </c>
    </row>
    <row r="81">
      <c r="A81" t="inlineStr">
        <is>
          <t>nuke_train/3</t>
        </is>
      </c>
      <c r="B81" t="inlineStr">
        <is>
          <t>nuke_train</t>
        </is>
      </c>
      <c r="C81" t="n">
        <v>3</v>
      </c>
      <c r="D81" t="inlineStr">
        <is>
          <t>sam_battery</t>
        </is>
      </c>
      <c r="E81" t="inlineStr">
        <is>
          <t>Free</t>
        </is>
      </c>
      <c r="I81" t="inlineStr">
        <is>
          <t>missile</t>
        </is>
      </c>
      <c r="J81" t="inlineStr">
        <is>
          <t>Assets/MachineBrigade/Resources/Data/balance.json: vehicles[143].secondary[3]</t>
        </is>
      </c>
      <c r="K81" t="inlineStr">
        <is>
          <t>{"weapon":"sam_battery","slot":"missile","aim":"Free"}</t>
        </is>
      </c>
    </row>
    <row r="82">
      <c r="A82" t="inlineStr">
        <is>
          <t>silver_bug/0</t>
        </is>
      </c>
      <c r="B82" t="inlineStr">
        <is>
          <t>silver_bug</t>
        </is>
      </c>
      <c r="C82" t="n">
        <v>0</v>
      </c>
      <c r="D82" t="inlineStr">
        <is>
          <t>coilgun</t>
        </is>
      </c>
      <c r="E82" t="inlineStr">
        <is>
          <t>Free</t>
        </is>
      </c>
      <c r="I82" t="inlineStr">
        <is>
          <t>gun</t>
        </is>
      </c>
      <c r="J82" t="inlineStr">
        <is>
          <t>Assets/MachineBrigade/Resources/Data/balance.json: vehicles[144].secondary[0]</t>
        </is>
      </c>
      <c r="K82" t="inlineStr">
        <is>
          <t>{"weapon":"coilgun","slot":"gun","aim":"Free"}</t>
        </is>
      </c>
    </row>
    <row r="83">
      <c r="A83" t="inlineStr">
        <is>
          <t>silver_bug/1</t>
        </is>
      </c>
      <c r="B83" t="inlineStr">
        <is>
          <t>silver_bug</t>
        </is>
      </c>
      <c r="C83" t="n">
        <v>1</v>
      </c>
      <c r="D83" t="inlineStr">
        <is>
          <t>coilgun</t>
        </is>
      </c>
      <c r="E83" t="inlineStr">
        <is>
          <t>Free</t>
        </is>
      </c>
      <c r="I83" t="inlineStr">
        <is>
          <t>gun</t>
        </is>
      </c>
      <c r="J83" t="inlineStr">
        <is>
          <t>Assets/MachineBrigade/Resources/Data/balance.json: vehicles[144].secondary[1]</t>
        </is>
      </c>
      <c r="K83" t="inlineStr">
        <is>
          <t>{"weapon":"coilgun","slot":"gun","aim":"Free"}</t>
        </is>
      </c>
    </row>
    <row r="84">
      <c r="A84" t="inlineStr">
        <is>
          <t>silver_bug/2</t>
        </is>
      </c>
      <c r="B84" t="inlineStr">
        <is>
          <t>silver_bug</t>
        </is>
      </c>
      <c r="C84" t="n">
        <v>2</v>
      </c>
      <c r="D84" t="inlineStr">
        <is>
          <t>autocannon_40</t>
        </is>
      </c>
      <c r="E84" t="inlineStr">
        <is>
          <t>Free</t>
        </is>
      </c>
      <c r="I84" t="inlineStr">
        <is>
          <t>gun</t>
        </is>
      </c>
      <c r="J84" t="inlineStr">
        <is>
          <t>Assets/MachineBrigade/Resources/Data/balance.json: vehicles[144].secondary[2]</t>
        </is>
      </c>
      <c r="K84" t="inlineStr">
        <is>
          <t>{"weapon":"autocannon_40","slot":"gun","aim":"Free"}</t>
        </is>
      </c>
    </row>
    <row r="85">
      <c r="A85" t="inlineStr">
        <is>
          <t>silver_bug/3</t>
        </is>
      </c>
      <c r="B85" t="inlineStr">
        <is>
          <t>silver_bug</t>
        </is>
      </c>
      <c r="C85" t="n">
        <v>3</v>
      </c>
      <c r="D85" t="inlineStr">
        <is>
          <t>autocannon_40</t>
        </is>
      </c>
      <c r="E85" t="inlineStr">
        <is>
          <t>Free</t>
        </is>
      </c>
      <c r="I85" t="inlineStr">
        <is>
          <t>gun</t>
        </is>
      </c>
      <c r="J85" t="inlineStr">
        <is>
          <t>Assets/MachineBrigade/Resources/Data/balance.json: vehicles[144].secondary[3]</t>
        </is>
      </c>
      <c r="K85" t="inlineStr">
        <is>
          <t>{"weapon":"autocannon_40","slot":"gun","aim":"Free"}</t>
        </is>
      </c>
    </row>
    <row r="86">
      <c r="A86" t="inlineStr">
        <is>
          <t>typhon/0</t>
        </is>
      </c>
      <c r="B86" t="inlineStr">
        <is>
          <t>typhon</t>
        </is>
      </c>
      <c r="C86" t="n">
        <v>0</v>
      </c>
      <c r="D86" t="inlineStr">
        <is>
          <t>p26_typhon_ty57</t>
        </is>
      </c>
      <c r="E86" t="inlineStr">
        <is>
          <t>Free</t>
        </is>
      </c>
      <c r="I86" t="inlineStr">
        <is>
          <t>gun</t>
        </is>
      </c>
      <c r="J86" t="inlineStr">
        <is>
          <t>Assets/MachineBrigade/Resources/Data/balance.json: vehicles[161].secondary[0]</t>
        </is>
      </c>
      <c r="K86" t="inlineStr">
        <is>
          <t>{"weapon":"p26_typhon_ty57","slot":"gun","aim":"Free"}</t>
        </is>
      </c>
    </row>
    <row r="87">
      <c r="A87" t="inlineStr">
        <is>
          <t>typhon/1</t>
        </is>
      </c>
      <c r="B87" t="inlineStr">
        <is>
          <t>typhon</t>
        </is>
      </c>
      <c r="C87" t="n">
        <v>1</v>
      </c>
      <c r="D87" t="inlineStr">
        <is>
          <t>p26_typhon_ty57</t>
        </is>
      </c>
      <c r="E87" t="inlineStr">
        <is>
          <t>Free</t>
        </is>
      </c>
      <c r="I87" t="inlineStr">
        <is>
          <t>gun</t>
        </is>
      </c>
      <c r="J87" t="inlineStr">
        <is>
          <t>Assets/MachineBrigade/Resources/Data/balance.json: vehicles[161].secondary[1]</t>
        </is>
      </c>
      <c r="K87" t="inlineStr">
        <is>
          <t>{"weapon":"p26_typhon_ty57","slot":"gun","aim":"Free"}</t>
        </is>
      </c>
    </row>
  </sheetData>
  <autoFilter ref="A1:K87"/>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8" customWidth="1" min="6" max="6"/>
    <col width="8" customWidth="1" min="7" max="7"/>
    <col width="8" customWidth="1" min="8" max="8"/>
    <col width="8" customWidth="1" min="9" max="9"/>
    <col width="14" customWidth="1" min="10" max="10"/>
    <col width="8" customWidth="1" min="11" max="11"/>
    <col width="8" customWidth="1" min="12" max="12"/>
    <col width="8" customWidth="1" min="13" max="13"/>
    <col width="15" customWidth="1" min="14" max="14"/>
    <col width="12" customWidth="1" min="15" max="15"/>
    <col width="12" customWidth="1" min="16" max="16"/>
    <col width="60" customWidth="1" min="17" max="17"/>
    <col width="23" customWidth="1" min="18" max="18"/>
    <col width="10" customWidth="1" min="19" max="19"/>
    <col width="31" customWidth="1" min="20" max="20"/>
    <col width="11" customWidth="1" min="21" max="21"/>
    <col width="8" customWidth="1" min="22" max="22"/>
    <col width="8" customWidth="1" min="23" max="23"/>
    <col width="8" customWidth="1" min="24" max="24"/>
    <col width="15" customWidth="1" min="25" max="25"/>
    <col width="60" customWidth="1" min="26" max="26"/>
    <col width="60" customWidth="1" min="27" max="27"/>
  </cols>
  <sheetData>
    <row r="1">
      <c r="A1" s="1" t="inlineStr">
        <is>
          <t>id</t>
        </is>
      </c>
      <c r="B1" s="1" t="inlineStr">
        <is>
          <t>boss_id</t>
        </is>
      </c>
      <c r="C1" s="1" t="inlineStr">
        <is>
          <t>thu_tu</t>
        </is>
      </c>
      <c r="D1" s="1" t="inlineStr">
        <is>
          <t>use</t>
        </is>
      </c>
      <c r="E1" s="1" t="inlineStr">
        <is>
          <t>affects</t>
        </is>
      </c>
      <c r="F1" s="1" t="inlineStr">
        <is>
          <t>armour</t>
        </is>
      </c>
      <c r="G1" s="1" t="inlineStr">
        <is>
          <t>at_x_m</t>
        </is>
      </c>
      <c r="H1" s="1" t="inlineStr">
        <is>
          <t>at_y_m</t>
        </is>
      </c>
      <c r="I1" s="1" t="inlineStr">
        <is>
          <t>at_z_m</t>
        </is>
      </c>
      <c r="J1" s="1" t="inlineStr">
        <is>
          <t>break_damage</t>
        </is>
      </c>
      <c r="K1" s="1" t="inlineStr">
        <is>
          <t>fail</t>
        </is>
      </c>
      <c r="L1" s="1" t="inlineStr">
        <is>
          <t>fx</t>
        </is>
      </c>
      <c r="M1" s="1" t="inlineStr">
        <is>
          <t>hp</t>
        </is>
      </c>
      <c r="N1" s="1" t="inlineStr">
        <is>
          <t>id_goc</t>
        </is>
      </c>
      <c r="O1" s="1" t="inlineStr">
        <is>
          <t>kind</t>
        </is>
      </c>
      <c r="P1" s="1" t="inlineStr">
        <is>
          <t>mounts</t>
        </is>
      </c>
      <c r="Q1" s="1" t="inlineStr">
        <is>
          <t>node</t>
        </is>
      </c>
      <c r="R1" s="1" t="inlineStr">
        <is>
          <t>radio</t>
        </is>
      </c>
      <c r="S1" s="1" t="inlineStr">
        <is>
          <t>radius_m</t>
        </is>
      </c>
      <c r="T1" s="1" t="inlineStr">
        <is>
          <t>skills</t>
        </is>
      </c>
      <c r="U1" s="1" t="inlineStr">
        <is>
          <t>speed_m_s</t>
        </is>
      </c>
      <c r="V1" s="1" t="inlineStr">
        <is>
          <t>spread</t>
        </is>
      </c>
      <c r="W1" s="1" t="inlineStr">
        <is>
          <t>stops</t>
        </is>
      </c>
      <c r="X1" s="1" t="inlineStr">
        <is>
          <t>turn</t>
        </is>
      </c>
      <c r="Y1" s="1" t="inlineStr">
        <is>
          <t>wreck</t>
        </is>
      </c>
      <c r="Z1" s="1" t="inlineStr">
        <is>
          <t>nguon</t>
        </is>
      </c>
      <c r="AA1" s="1" t="inlineStr">
        <is>
          <t>raw_json</t>
        </is>
      </c>
    </row>
    <row r="2">
      <c r="A2" t="inlineStr">
        <is>
          <t>armored_train/flak_car</t>
        </is>
      </c>
      <c r="B2" t="inlineStr">
        <is>
          <t>armored_train</t>
        </is>
      </c>
      <c r="C2" t="n">
        <v>4</v>
      </c>
      <c r="F2" t="n">
        <v>2</v>
      </c>
      <c r="G2" t="n">
        <v>0</v>
      </c>
      <c r="H2" t="n">
        <v>-6.35</v>
      </c>
      <c r="I2" t="n">
        <v>3.2</v>
      </c>
      <c r="M2" t="n">
        <v>0.1</v>
      </c>
      <c r="N2" t="inlineStr">
        <is>
          <t>flak_car</t>
        </is>
      </c>
      <c r="O2" t="inlineStr">
        <is>
          <t>flak</t>
        </is>
      </c>
      <c r="P2" t="inlineStr">
        <is>
          <t>3</t>
        </is>
      </c>
      <c r="S2" t="n">
        <v>2</v>
      </c>
      <c r="Y2" t="inlineStr">
        <is>
          <t>wreck_stump</t>
        </is>
      </c>
      <c r="Z2" t="inlineStr">
        <is>
          <t>Assets/MachineBrigade/Resources/Data/balance.json: vehicles[140].parts[4]</t>
        </is>
      </c>
      <c r="AA2" t="inlineStr">
        <is>
          <t>{"id":"flak_car","kind":"flak","hp":0.1,"armour":2,"wreck":"wreck_stump","at":[0,-6.35,3.2],"radius":2.0,"mounts":[3]}</t>
        </is>
      </c>
    </row>
    <row r="3">
      <c r="A3" t="inlineStr">
        <is>
          <t>armored_train/gun_car_front</t>
        </is>
      </c>
      <c r="B3" t="inlineStr">
        <is>
          <t>armored_train</t>
        </is>
      </c>
      <c r="C3" t="n">
        <v>1</v>
      </c>
      <c r="F3" t="n">
        <v>3</v>
      </c>
      <c r="G3" t="n">
        <v>0</v>
      </c>
      <c r="H3" t="n">
        <v>-3.2</v>
      </c>
      <c r="I3" t="n">
        <v>3.7</v>
      </c>
      <c r="M3" t="n">
        <v>0.12</v>
      </c>
      <c r="N3" t="inlineStr">
        <is>
          <t>gun_car_front</t>
        </is>
      </c>
      <c r="O3" t="inlineStr">
        <is>
          <t>maingun</t>
        </is>
      </c>
      <c r="P3" t="inlineStr">
        <is>
          <t>0</t>
        </is>
      </c>
      <c r="Q3" t="inlineStr">
        <is>
          <t>Main_cannon|Muzzle_brake</t>
        </is>
      </c>
      <c r="R3" t="inlineStr">
        <is>
          <t>radio.part.maingun</t>
        </is>
      </c>
      <c r="S3" t="n">
        <v>3</v>
      </c>
      <c r="Y3" t="inlineStr">
        <is>
          <t>wreck_barrel</t>
        </is>
      </c>
      <c r="Z3" t="inlineStr">
        <is>
          <t>Assets/MachineBrigade/Resources/Data/balance.json: vehicles[140].parts[1]</t>
        </is>
      </c>
      <c r="AA3" t="inlineStr">
        <is>
          <t>{"id":"gun_car_front","kind":"maingun","hp":0.12,"armour":3,"node":"Main_cannon|Muzzle_brake","wreck":"wreck_barrel","at":[0,-3.2,3.7],"radius":3.0,"mounts":[0],"radio":"radio.part.maingun"}</t>
        </is>
      </c>
    </row>
    <row r="4">
      <c r="A4" t="inlineStr">
        <is>
          <t>armored_train/gun_car_rear</t>
        </is>
      </c>
      <c r="B4" t="inlineStr">
        <is>
          <t>armored_train</t>
        </is>
      </c>
      <c r="C4" t="n">
        <v>2</v>
      </c>
      <c r="F4" t="n">
        <v>3</v>
      </c>
      <c r="G4" t="n">
        <v>0</v>
      </c>
      <c r="H4" t="n">
        <v>2</v>
      </c>
      <c r="I4" t="n">
        <v>3</v>
      </c>
      <c r="M4" t="n">
        <v>0.12</v>
      </c>
      <c r="N4" t="inlineStr">
        <is>
          <t>gun_car_rear</t>
        </is>
      </c>
      <c r="O4" t="inlineStr">
        <is>
          <t>maingun</t>
        </is>
      </c>
      <c r="P4" t="inlineStr">
        <is>
          <t>4</t>
        </is>
      </c>
      <c r="S4" t="n">
        <v>2.5</v>
      </c>
      <c r="Y4" t="inlineStr">
        <is>
          <t>wreck_stump</t>
        </is>
      </c>
      <c r="Z4" t="inlineStr">
        <is>
          <t>Assets/MachineBrigade/Resources/Data/balance.json: vehicles[140].parts[2]</t>
        </is>
      </c>
      <c r="AA4" t="inlineStr">
        <is>
          <t>{"id":"gun_car_rear","kind":"maingun","hp":0.12,"armour":3,"wreck":"wreck_stump","at":[0,2.0,3.0],"radius":2.5,"mounts":[4]}</t>
        </is>
      </c>
    </row>
    <row r="5">
      <c r="A5" t="inlineStr">
        <is>
          <t>armored_train/locomotive</t>
        </is>
      </c>
      <c r="B5" t="inlineStr">
        <is>
          <t>armored_train</t>
        </is>
      </c>
      <c r="C5" t="n">
        <v>0</v>
      </c>
      <c r="F5" t="n">
        <v>4</v>
      </c>
      <c r="G5" t="n">
        <v>0</v>
      </c>
      <c r="H5" t="n">
        <v>7.5</v>
      </c>
      <c r="I5" t="n">
        <v>2.5</v>
      </c>
      <c r="M5" t="n">
        <v>0.12</v>
      </c>
      <c r="N5" t="inlineStr">
        <is>
          <t>locomotive</t>
        </is>
      </c>
      <c r="O5" t="inlineStr">
        <is>
          <t>locomotive</t>
        </is>
      </c>
      <c r="R5" t="inlineStr">
        <is>
          <t>radio.part.locomotive</t>
        </is>
      </c>
      <c r="S5" t="n">
        <v>3.5</v>
      </c>
      <c r="U5" t="n">
        <v>0.5</v>
      </c>
      <c r="Y5" t="inlineStr">
        <is>
          <t>wreck_stump</t>
        </is>
      </c>
      <c r="Z5" t="inlineStr">
        <is>
          <t>Assets/MachineBrigade/Resources/Data/balance.json: vehicles[140].parts[0]</t>
        </is>
      </c>
      <c r="AA5" t="inlineStr">
        <is>
          <t>{"id":"locomotive","kind":"locomotive","hp":0.12,"armour":4,"wreck":"wreck_stump","at":[0,7.5,2.5],"radius":3.5,"speed":0.5,"radio":"radio.part.locomotive"}</t>
        </is>
      </c>
    </row>
    <row r="6">
      <c r="A6" t="inlineStr">
        <is>
          <t>armored_train/mortar_car</t>
        </is>
      </c>
      <c r="B6" t="inlineStr">
        <is>
          <t>armored_train</t>
        </is>
      </c>
      <c r="C6" t="n">
        <v>5</v>
      </c>
      <c r="F6" t="n">
        <v>2</v>
      </c>
      <c r="G6" t="n">
        <v>0</v>
      </c>
      <c r="H6" t="n">
        <v>-12.5</v>
      </c>
      <c r="I6" t="n">
        <v>2.6</v>
      </c>
      <c r="M6" t="n">
        <v>0.1</v>
      </c>
      <c r="N6" t="inlineStr">
        <is>
          <t>mortar_car</t>
        </is>
      </c>
      <c r="O6" t="inlineStr">
        <is>
          <t>mortar</t>
        </is>
      </c>
      <c r="P6" t="inlineStr">
        <is>
          <t>5</t>
        </is>
      </c>
      <c r="Q6" t="inlineStr">
        <is>
          <t>Part_mortar</t>
        </is>
      </c>
      <c r="S6" t="n">
        <v>2.4</v>
      </c>
      <c r="Y6" t="inlineStr">
        <is>
          <t>wreck_launcher</t>
        </is>
      </c>
      <c r="Z6" t="inlineStr">
        <is>
          <t>Assets/MachineBrigade/Resources/Data/balance.json: vehicles[140].parts[5]</t>
        </is>
      </c>
      <c r="AA6" t="inlineStr">
        <is>
          <t>{"id":"mortar_car","kind":"mortar","hp":0.1,"armour":2,"node":"Part_mortar","wreck":"wreck_launcher","at":[0,-12.5,2.6],"radius":2.4,"mounts":[5]}</t>
        </is>
      </c>
    </row>
    <row r="7">
      <c r="A7" t="inlineStr">
        <is>
          <t>armored_train/rocket_car</t>
        </is>
      </c>
      <c r="B7" t="inlineStr">
        <is>
          <t>armored_train</t>
        </is>
      </c>
      <c r="C7" t="n">
        <v>3</v>
      </c>
      <c r="F7" t="n">
        <v>2</v>
      </c>
      <c r="G7" t="n">
        <v>0</v>
      </c>
      <c r="H7" t="n">
        <v>-8.300000000000001</v>
      </c>
      <c r="I7" t="n">
        <v>3</v>
      </c>
      <c r="M7" t="n">
        <v>0.1</v>
      </c>
      <c r="N7" t="inlineStr">
        <is>
          <t>rocket_car</t>
        </is>
      </c>
      <c r="O7" t="inlineStr">
        <is>
          <t>rockets</t>
        </is>
      </c>
      <c r="P7" t="inlineStr">
        <is>
          <t>1</t>
        </is>
      </c>
      <c r="Q7" t="inlineStr">
        <is>
          <t>Mount_rocket</t>
        </is>
      </c>
      <c r="S7" t="n">
        <v>2.2</v>
      </c>
      <c r="Y7" t="inlineStr">
        <is>
          <t>wreck_launcher</t>
        </is>
      </c>
      <c r="Z7" t="inlineStr">
        <is>
          <t>Assets/MachineBrigade/Resources/Data/balance.json: vehicles[140].parts[3]</t>
        </is>
      </c>
      <c r="AA7" t="inlineStr">
        <is>
          <t>{"id":"rocket_car","kind":"rockets","hp":0.1,"armour":2,"node":"Mount_rocket","wreck":"wreck_launcher","at":[0,-8.3,3.0],"radius":2.2,"mounts":[1]}</t>
        </is>
      </c>
    </row>
    <row r="8">
      <c r="A8" t="inlineStr">
        <is>
          <t>behemoth/aps</t>
        </is>
      </c>
      <c r="B8" t="inlineStr">
        <is>
          <t>behemoth</t>
        </is>
      </c>
      <c r="C8" t="n">
        <v>6</v>
      </c>
      <c r="F8" t="n">
        <v>1</v>
      </c>
      <c r="G8" t="n">
        <v>0</v>
      </c>
      <c r="H8" t="n">
        <v>0.6</v>
      </c>
      <c r="I8" t="n">
        <v>5.2</v>
      </c>
      <c r="M8" t="n">
        <v>0.07000000000000001</v>
      </c>
      <c r="N8" t="inlineStr">
        <is>
          <t>aps</t>
        </is>
      </c>
      <c r="O8" t="inlineStr">
        <is>
          <t>aps</t>
        </is>
      </c>
      <c r="S8" t="n">
        <v>1.6</v>
      </c>
      <c r="W8" t="inlineStr">
        <is>
          <t>aps</t>
        </is>
      </c>
      <c r="Y8" t="inlineStr">
        <is>
          <t>wreck_stump</t>
        </is>
      </c>
      <c r="Z8" t="inlineStr">
        <is>
          <t>Assets/MachineBrigade/Resources/Data/balance.json: vehicles[138].parts[6]</t>
        </is>
      </c>
      <c r="AA8" t="inlineStr">
        <is>
          <t>{"id":"aps","kind":"aps","hp":0.07,"armour":1,"wreck":"wreck_stump","at":[0,0.6,5.2],"radius":1.6,"stops":["aps"]}</t>
        </is>
      </c>
    </row>
    <row r="9">
      <c r="A9" t="inlineStr">
        <is>
          <t>behemoth/flak_l</t>
        </is>
      </c>
      <c r="B9" t="inlineStr">
        <is>
          <t>behemoth</t>
        </is>
      </c>
      <c r="C9" t="n">
        <v>3</v>
      </c>
      <c r="F9" t="n">
        <v>2</v>
      </c>
      <c r="G9" t="n">
        <v>-0.9</v>
      </c>
      <c r="H9" t="n">
        <v>-1.15</v>
      </c>
      <c r="I9" t="n">
        <v>4.8</v>
      </c>
      <c r="M9" t="n">
        <v>0.07000000000000001</v>
      </c>
      <c r="N9" t="inlineStr">
        <is>
          <t>flak_l</t>
        </is>
      </c>
      <c r="O9" t="inlineStr">
        <is>
          <t>flak</t>
        </is>
      </c>
      <c r="P9" t="inlineStr">
        <is>
          <t>3</t>
        </is>
      </c>
      <c r="Q9" t="inlineStr">
        <is>
          <t>Mount_mg.001</t>
        </is>
      </c>
      <c r="S9" t="n">
        <v>1.8</v>
      </c>
      <c r="Y9" t="inlineStr">
        <is>
          <t>wreck_turret</t>
        </is>
      </c>
      <c r="Z9" t="inlineStr">
        <is>
          <t>Assets/MachineBrigade/Resources/Data/balance.json: vehicles[138].parts[3]</t>
        </is>
      </c>
      <c r="AA9" t="inlineStr">
        <is>
          <t>{"id":"flak_l","kind":"flak","hp":0.07,"armour":2,"node":"Mount_mg.001","wreck":"wreck_turret","at":[-0.9,-1.15,4.8],"radius":1.8,"mounts":[3]}</t>
        </is>
      </c>
    </row>
    <row r="10">
      <c r="A10" t="inlineStr">
        <is>
          <t>behemoth/flak_r</t>
        </is>
      </c>
      <c r="B10" t="inlineStr">
        <is>
          <t>behemoth</t>
        </is>
      </c>
      <c r="C10" t="n">
        <v>2</v>
      </c>
      <c r="F10" t="n">
        <v>2</v>
      </c>
      <c r="G10" t="n">
        <v>0.9</v>
      </c>
      <c r="H10" t="n">
        <v>-1.15</v>
      </c>
      <c r="I10" t="n">
        <v>4.8</v>
      </c>
      <c r="M10" t="n">
        <v>0.07000000000000001</v>
      </c>
      <c r="N10" t="inlineStr">
        <is>
          <t>flak_r</t>
        </is>
      </c>
      <c r="O10" t="inlineStr">
        <is>
          <t>flak</t>
        </is>
      </c>
      <c r="P10" t="inlineStr">
        <is>
          <t>2</t>
        </is>
      </c>
      <c r="Q10" t="inlineStr">
        <is>
          <t>Mount_mg</t>
        </is>
      </c>
      <c r="S10" t="n">
        <v>1.8</v>
      </c>
      <c r="Y10" t="inlineStr">
        <is>
          <t>wreck_turret</t>
        </is>
      </c>
      <c r="Z10" t="inlineStr">
        <is>
          <t>Assets/MachineBrigade/Resources/Data/balance.json: vehicles[138].parts[2]</t>
        </is>
      </c>
      <c r="AA10" t="inlineStr">
        <is>
          <t>{"id":"flak_r","kind":"flak","hp":0.07,"armour":2,"node":"Mount_mg","wreck":"wreck_turret","at":[0.9,-1.15,4.8],"radius":1.8,"mounts":[2]}</t>
        </is>
      </c>
    </row>
    <row r="11">
      <c r="A11" t="inlineStr">
        <is>
          <t>behemoth/gun_120</t>
        </is>
      </c>
      <c r="B11" t="inlineStr">
        <is>
          <t>behemoth</t>
        </is>
      </c>
      <c r="C11" t="n">
        <v>1</v>
      </c>
      <c r="F11" t="n">
        <v>3</v>
      </c>
      <c r="G11" t="n">
        <v>0</v>
      </c>
      <c r="H11" t="n">
        <v>3.45</v>
      </c>
      <c r="I11" t="n">
        <v>2.8</v>
      </c>
      <c r="M11" t="n">
        <v>0.07000000000000001</v>
      </c>
      <c r="N11" t="inlineStr">
        <is>
          <t>gun_120</t>
        </is>
      </c>
      <c r="O11" t="inlineStr">
        <is>
          <t>gun</t>
        </is>
      </c>
      <c r="P11" t="inlineStr">
        <is>
          <t>1;6</t>
        </is>
      </c>
      <c r="Q11" t="inlineStr">
        <is>
          <t>Mount_gun</t>
        </is>
      </c>
      <c r="S11" t="n">
        <v>2.2</v>
      </c>
      <c r="Y11" t="inlineStr">
        <is>
          <t>wreck_turret</t>
        </is>
      </c>
      <c r="Z11" t="inlineStr">
        <is>
          <t>Assets/MachineBrigade/Resources/Data/balance.json: vehicles[138].parts[1]</t>
        </is>
      </c>
      <c r="AA11" t="inlineStr">
        <is>
          <t>{"id":"gun_120","kind":"gun","hp":0.07,"armour":3,"node":"Mount_gun","wreck":"wreck_turret","at":[0,3.45,2.8],"radius":2.2,"mounts":[1,6]}</t>
        </is>
      </c>
    </row>
    <row r="12">
      <c r="A12" t="inlineStr">
        <is>
          <t>behemoth/main_gun</t>
        </is>
      </c>
      <c r="B12" t="inlineStr">
        <is>
          <t>behemoth</t>
        </is>
      </c>
      <c r="C12" t="n">
        <v>0</v>
      </c>
      <c r="F12" t="n">
        <v>3</v>
      </c>
      <c r="G12" t="n">
        <v>0</v>
      </c>
      <c r="H12" t="n">
        <v>3.5</v>
      </c>
      <c r="I12" t="n">
        <v>4.1</v>
      </c>
      <c r="M12" t="n">
        <v>0.07000000000000001</v>
      </c>
      <c r="N12" t="inlineStr">
        <is>
          <t>main_gun</t>
        </is>
      </c>
      <c r="O12" t="inlineStr">
        <is>
          <t>maingun</t>
        </is>
      </c>
      <c r="P12" t="inlineStr">
        <is>
          <t>0</t>
        </is>
      </c>
      <c r="Q12" t="inlineStr">
        <is>
          <t>Main_cannon|Main_cannon_2|Muzzle_brake|Muzzle_brake_2</t>
        </is>
      </c>
      <c r="R12" t="inlineStr">
        <is>
          <t>radio.part.maingun</t>
        </is>
      </c>
      <c r="S12" t="n">
        <v>3.2</v>
      </c>
      <c r="Y12" t="inlineStr">
        <is>
          <t>wreck_barrel</t>
        </is>
      </c>
      <c r="Z12" t="inlineStr">
        <is>
          <t>Assets/MachineBrigade/Resources/Data/balance.json: vehicles[138].parts[0]</t>
        </is>
      </c>
      <c r="AA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F13" t="n">
        <v>2</v>
      </c>
      <c r="G13" t="n">
        <v>-2.6</v>
      </c>
      <c r="H13" t="n">
        <v>-2.5</v>
      </c>
      <c r="I13" t="n">
        <v>2.3</v>
      </c>
      <c r="M13" t="n">
        <v>0.07000000000000001</v>
      </c>
      <c r="N13" t="inlineStr">
        <is>
          <t>missiles_l</t>
        </is>
      </c>
      <c r="O13" t="inlineStr">
        <is>
          <t>missiles</t>
        </is>
      </c>
      <c r="P13" t="inlineStr">
        <is>
          <t>5</t>
        </is>
      </c>
      <c r="S13" t="n">
        <v>2</v>
      </c>
      <c r="Y13" t="inlineStr">
        <is>
          <t>wreck_launcher</t>
        </is>
      </c>
      <c r="Z13" t="inlineStr">
        <is>
          <t>Assets/MachineBrigade/Resources/Data/balance.json: vehicles[138].parts[5]</t>
        </is>
      </c>
      <c r="AA13" t="inlineStr">
        <is>
          <t>{"id":"missiles_l","kind":"missiles","hp":0.07,"armour":2,"wreck":"wreck_launcher","at":[-2.6,-2.5,2.3],"radius":2.0,"mounts":[5]}</t>
        </is>
      </c>
    </row>
    <row r="14">
      <c r="A14" t="inlineStr">
        <is>
          <t>behemoth/missiles_r</t>
        </is>
      </c>
      <c r="B14" t="inlineStr">
        <is>
          <t>behemoth</t>
        </is>
      </c>
      <c r="C14" t="n">
        <v>4</v>
      </c>
      <c r="F14" t="n">
        <v>2</v>
      </c>
      <c r="G14" t="n">
        <v>2.6</v>
      </c>
      <c r="H14" t="n">
        <v>-2.5</v>
      </c>
      <c r="I14" t="n">
        <v>2.3</v>
      </c>
      <c r="M14" t="n">
        <v>0.07000000000000001</v>
      </c>
      <c r="N14" t="inlineStr">
        <is>
          <t>missiles_r</t>
        </is>
      </c>
      <c r="O14" t="inlineStr">
        <is>
          <t>missiles</t>
        </is>
      </c>
      <c r="P14" t="inlineStr">
        <is>
          <t>4</t>
        </is>
      </c>
      <c r="S14" t="n">
        <v>2</v>
      </c>
      <c r="Y14" t="inlineStr">
        <is>
          <t>wreck_launcher</t>
        </is>
      </c>
      <c r="Z14" t="inlineStr">
        <is>
          <t>Assets/MachineBrigade/Resources/Data/balance.json: vehicles[138].parts[4]</t>
        </is>
      </c>
      <c r="AA14" t="inlineStr">
        <is>
          <t>{"id":"missiles_r","kind":"missiles","hp":0.07,"armour":2,"wreck":"wreck_launcher","at":[2.6,-2.5,2.3],"radius":2.0,"mounts":[4]}</t>
        </is>
      </c>
    </row>
    <row r="15">
      <c r="A15" t="inlineStr">
        <is>
          <t>behemoth/rocket_pod</t>
        </is>
      </c>
      <c r="B15" t="inlineStr">
        <is>
          <t>behemoth</t>
        </is>
      </c>
      <c r="C15" t="n">
        <v>9</v>
      </c>
      <c r="D15" t="inlineStr">
        <is>
          <t>rocket_pod</t>
        </is>
      </c>
      <c r="G15" t="n">
        <v>0</v>
      </c>
      <c r="H15" t="n">
        <v>-3.8</v>
      </c>
      <c r="I15" t="n">
        <v>4.4</v>
      </c>
      <c r="N15" t="inlineStr">
        <is>
          <t>rocket_pod</t>
        </is>
      </c>
      <c r="Q15" t="inlineStr">
        <is>
          <t>Mount_rocket</t>
        </is>
      </c>
      <c r="Z15" t="inlineStr">
        <is>
          <t>Assets/MachineBrigade/Resources/Data/balance.json: vehicles[138].parts[9]</t>
        </is>
      </c>
      <c r="AA15" t="inlineStr">
        <is>
          <t>{"use":"rocket_pod","id":"rocket_pod","node":"Mount_rocket","at":[0,-3.8,4.4]}</t>
        </is>
      </c>
    </row>
    <row r="16">
      <c r="A16" t="inlineStr">
        <is>
          <t>behemoth/side_gun_l</t>
        </is>
      </c>
      <c r="B16" t="inlineStr">
        <is>
          <t>behemoth</t>
        </is>
      </c>
      <c r="C16" t="n">
        <v>7</v>
      </c>
      <c r="D16" t="inlineStr">
        <is>
          <t>side_gun_120</t>
        </is>
      </c>
      <c r="G16" t="n">
        <v>-3.4</v>
      </c>
      <c r="H16" t="n">
        <v>1</v>
      </c>
      <c r="I16" t="n">
        <v>2.6</v>
      </c>
      <c r="N16" t="inlineStr">
        <is>
          <t>side_gun_l</t>
        </is>
      </c>
      <c r="Q16" t="inlineStr">
        <is>
          <t>Mount_gun.001</t>
        </is>
      </c>
      <c r="Z16" t="inlineStr">
        <is>
          <t>Assets/MachineBrigade/Resources/Data/balance.json: vehicles[138].parts[7]</t>
        </is>
      </c>
      <c r="AA16" t="inlineStr">
        <is>
          <t>{"use":"side_gun_120","id":"side_gun_l","node":"Mount_gun.001","at":[-3.4,1.0,2.6]}</t>
        </is>
      </c>
    </row>
    <row r="17">
      <c r="A17" t="inlineStr">
        <is>
          <t>behemoth/side_gun_r</t>
        </is>
      </c>
      <c r="B17" t="inlineStr">
        <is>
          <t>behemoth</t>
        </is>
      </c>
      <c r="C17" t="n">
        <v>8</v>
      </c>
      <c r="D17" t="inlineStr">
        <is>
          <t>side_gun_120</t>
        </is>
      </c>
      <c r="G17" t="n">
        <v>3.4</v>
      </c>
      <c r="H17" t="n">
        <v>1</v>
      </c>
      <c r="I17" t="n">
        <v>2.6</v>
      </c>
      <c r="N17" t="inlineStr">
        <is>
          <t>side_gun_r</t>
        </is>
      </c>
      <c r="Q17" t="inlineStr">
        <is>
          <t>Mount_gun.002</t>
        </is>
      </c>
      <c r="Z17" t="inlineStr">
        <is>
          <t>Assets/MachineBrigade/Resources/Data/balance.json: vehicles[138].parts[8]</t>
        </is>
      </c>
      <c r="AA17" t="inlineStr">
        <is>
          <t>{"use":"side_gun_120","id":"side_gun_r","node":"Mount_gun.002","at":[3.4,1.0,2.6]}</t>
        </is>
      </c>
    </row>
    <row r="18">
      <c r="A18" t="inlineStr">
        <is>
          <t>behemoth_inferno/flak</t>
        </is>
      </c>
      <c r="B18" t="inlineStr">
        <is>
          <t>behemoth_inferno</t>
        </is>
      </c>
      <c r="C18" t="n">
        <v>3</v>
      </c>
      <c r="F18" t="n">
        <v>2</v>
      </c>
      <c r="G18" t="n">
        <v>0.9</v>
      </c>
      <c r="H18" t="n">
        <v>-1.15</v>
      </c>
      <c r="I18" t="n">
        <v>4.8</v>
      </c>
      <c r="M18" t="n">
        <v>0.1</v>
      </c>
      <c r="N18" t="inlineStr">
        <is>
          <t>flak</t>
        </is>
      </c>
      <c r="O18" t="inlineStr">
        <is>
          <t>flak</t>
        </is>
      </c>
      <c r="P18" t="inlineStr">
        <is>
          <t>2</t>
        </is>
      </c>
      <c r="Q18" t="inlineStr">
        <is>
          <t>Mount_mg</t>
        </is>
      </c>
      <c r="S18" t="n">
        <v>1.8</v>
      </c>
      <c r="Y18" t="inlineStr">
        <is>
          <t>wreck_turret</t>
        </is>
      </c>
      <c r="Z18" t="inlineStr">
        <is>
          <t>Assets/MachineBrigade/Resources/Data/balance.json: vehicles[146].parts[3]</t>
        </is>
      </c>
      <c r="AA18" t="inlineStr">
        <is>
          <t>{"id":"flak","kind":"flak","hp":0.1,"armour":2,"node":"Mount_mg","wreck":"wreck_turret","at":[0.9,-1.15,4.8],"radius":1.8,"mounts":[2]}</t>
        </is>
      </c>
    </row>
    <row r="19">
      <c r="A19" t="inlineStr">
        <is>
          <t>behemoth_inferno/flamer_l</t>
        </is>
      </c>
      <c r="B19" t="inlineStr">
        <is>
          <t>behemoth_inferno</t>
        </is>
      </c>
      <c r="C19" t="n">
        <v>1</v>
      </c>
      <c r="F19" t="n">
        <v>2</v>
      </c>
      <c r="G19" t="n">
        <v>-0.62</v>
      </c>
      <c r="H19" t="n">
        <v>3.4</v>
      </c>
      <c r="I19" t="n">
        <v>4.1</v>
      </c>
      <c r="M19" t="n">
        <v>0.12</v>
      </c>
      <c r="N19" t="inlineStr">
        <is>
          <t>flamer_l</t>
        </is>
      </c>
      <c r="O19" t="inlineStr">
        <is>
          <t>flamer</t>
        </is>
      </c>
      <c r="P19" t="inlineStr">
        <is>
          <t>3</t>
        </is>
      </c>
      <c r="Q19" t="inlineStr">
        <is>
          <t>Main_cannon_2|Main_cannon_2_hose|Main_cannon_2_jacket|Muzzle_brake_2|Muzzle_brake_2_glow|Muzzle_brake_2_pilot</t>
        </is>
      </c>
      <c r="S19" t="n">
        <v>2.2</v>
      </c>
      <c r="Y19" t="inlineStr">
        <is>
          <t>wreck_barrel</t>
        </is>
      </c>
      <c r="Z19" t="inlineStr">
        <is>
          <t>Assets/MachineBrigade/Resources/Data/balance.json: vehicles[146].parts[1]</t>
        </is>
      </c>
      <c r="AA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F20" t="n">
        <v>2</v>
      </c>
      <c r="G20" t="n">
        <v>0.62</v>
      </c>
      <c r="H20" t="n">
        <v>3.4</v>
      </c>
      <c r="I20" t="n">
        <v>4.1</v>
      </c>
      <c r="M20" t="n">
        <v>0.12</v>
      </c>
      <c r="N20" t="inlineStr">
        <is>
          <t>flamer_r</t>
        </is>
      </c>
      <c r="O20" t="inlineStr">
        <is>
          <t>flamer</t>
        </is>
      </c>
      <c r="P20" t="inlineStr">
        <is>
          <t>0</t>
        </is>
      </c>
      <c r="Q20" t="inlineStr">
        <is>
          <t>Main_cannon|Main_cannon_hose|Main_cannon_jacket|Muzzle_brake|Muzzle_brake_glow|Muzzle_brake_pilot</t>
        </is>
      </c>
      <c r="R20" t="inlineStr">
        <is>
          <t>radio.part.maingun</t>
        </is>
      </c>
      <c r="S20" t="n">
        <v>2.2</v>
      </c>
      <c r="Y20" t="inlineStr">
        <is>
          <t>wreck_barrel</t>
        </is>
      </c>
      <c r="Z20" t="inlineStr">
        <is>
          <t>Assets/MachineBrigade/Resources/Data/balance.json: vehicles[146].parts[0]</t>
        </is>
      </c>
      <c r="AA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F21" t="n">
        <v>1</v>
      </c>
      <c r="G21" t="n">
        <v>0</v>
      </c>
      <c r="H21" t="n">
        <v>-4.6</v>
      </c>
      <c r="I21" t="n">
        <v>2.6</v>
      </c>
      <c r="M21" t="n">
        <v>0.08</v>
      </c>
      <c r="N21" t="inlineStr">
        <is>
          <t>fuel</t>
        </is>
      </c>
      <c r="O21" t="inlineStr">
        <is>
          <t>fuel</t>
        </is>
      </c>
      <c r="Q21" t="inlineStr">
        <is>
          <t>Fuel_tanks|Tank_straps|Tank_hazard</t>
        </is>
      </c>
      <c r="S21" t="n">
        <v>2.6</v>
      </c>
      <c r="W21" t="inlineStr">
        <is>
          <t>trail</t>
        </is>
      </c>
      <c r="Y21" t="inlineStr">
        <is>
          <t>wreck_stump</t>
        </is>
      </c>
      <c r="Z21" t="inlineStr">
        <is>
          <t>Assets/MachineBrigade/Resources/Data/balance.json: vehicles[146].parts[4]</t>
        </is>
      </c>
      <c r="AA21" t="inlineStr">
        <is>
          <t>{"id":"fuel","kind":"fuel","hp":0.08,"armour":1,"node":"Fuel_tanks|Tank_straps|Tank_hazard","wreck":"wreck_stump","at":[0,-4.6,2.6],"radius":2.6,"stops":["trail"]}</t>
        </is>
      </c>
    </row>
    <row r="22">
      <c r="A22" t="inlineStr">
        <is>
          <t>behemoth_inferno/thermo</t>
        </is>
      </c>
      <c r="B22" t="inlineStr">
        <is>
          <t>behemoth_inferno</t>
        </is>
      </c>
      <c r="C22" t="n">
        <v>2</v>
      </c>
      <c r="F22" t="n">
        <v>2</v>
      </c>
      <c r="G22" t="n">
        <v>0</v>
      </c>
      <c r="H22" t="n">
        <v>3.45</v>
      </c>
      <c r="I22" t="n">
        <v>2.8</v>
      </c>
      <c r="M22" t="n">
        <v>0.12</v>
      </c>
      <c r="N22" t="inlineStr">
        <is>
          <t>thermo</t>
        </is>
      </c>
      <c r="O22" t="inlineStr">
        <is>
          <t>thermo</t>
        </is>
      </c>
      <c r="P22" t="inlineStr">
        <is>
          <t>1</t>
        </is>
      </c>
      <c r="Q22" t="inlineStr">
        <is>
          <t>Mount_rocket</t>
        </is>
      </c>
      <c r="S22" t="n">
        <v>2.2</v>
      </c>
      <c r="Y22" t="inlineStr">
        <is>
          <t>wreck_turret</t>
        </is>
      </c>
      <c r="Z22" t="inlineStr">
        <is>
          <t>Assets/MachineBrigade/Resources/Data/balance.json: vehicles[146].parts[2]</t>
        </is>
      </c>
      <c r="AA22" t="inlineStr">
        <is>
          <t>{"id":"thermo","kind":"thermo","hp":0.12,"armour":2,"node":"Mount_rocket","wreck":"wreck_turret","at":[0,3.45,2.8],"radius":2.2,"mounts":[1]}</t>
        </is>
      </c>
    </row>
    <row r="23">
      <c r="A23" t="inlineStr">
        <is>
          <t>behemoth_tempest/coil_l</t>
        </is>
      </c>
      <c r="B23" t="inlineStr">
        <is>
          <t>behemoth_tempest</t>
        </is>
      </c>
      <c r="C23" t="n">
        <v>1</v>
      </c>
      <c r="F23" t="n">
        <v>3</v>
      </c>
      <c r="G23" t="n">
        <v>-0.9</v>
      </c>
      <c r="H23" t="n">
        <v>3.3</v>
      </c>
      <c r="I23" t="n">
        <v>2.9</v>
      </c>
      <c r="M23" t="n">
        <v>0.1</v>
      </c>
      <c r="N23" t="inlineStr">
        <is>
          <t>coil_l</t>
        </is>
      </c>
      <c r="O23" t="inlineStr">
        <is>
          <t>coilgun</t>
        </is>
      </c>
      <c r="P23" t="inlineStr">
        <is>
          <t>1</t>
        </is>
      </c>
      <c r="Q23" t="inlineStr">
        <is>
          <t>Mount_gun</t>
        </is>
      </c>
      <c r="S23" t="n">
        <v>1.8</v>
      </c>
      <c r="Y23" t="inlineStr">
        <is>
          <t>wreck_turret</t>
        </is>
      </c>
      <c r="Z23" t="inlineStr">
        <is>
          <t>Assets/MachineBrigade/Resources/Data/balance.json: vehicles[147].parts[1]</t>
        </is>
      </c>
      <c r="AA23" t="inlineStr">
        <is>
          <t>{"id":"coil_l","kind":"coilgun","hp":0.1,"armour":3,"node":"Mount_gun","wreck":"wreck_turret","at":[-0.9,3.3,2.9],"radius":1.8,"mounts":[1]}</t>
        </is>
      </c>
    </row>
    <row r="24">
      <c r="A24" t="inlineStr">
        <is>
          <t>behemoth_tempest/coil_r</t>
        </is>
      </c>
      <c r="B24" t="inlineStr">
        <is>
          <t>behemoth_tempest</t>
        </is>
      </c>
      <c r="C24" t="n">
        <v>2</v>
      </c>
      <c r="F24" t="n">
        <v>3</v>
      </c>
      <c r="G24" t="n">
        <v>0.9</v>
      </c>
      <c r="H24" t="n">
        <v>3.3</v>
      </c>
      <c r="I24" t="n">
        <v>2.9</v>
      </c>
      <c r="M24" t="n">
        <v>0.1</v>
      </c>
      <c r="N24" t="inlineStr">
        <is>
          <t>coil_r</t>
        </is>
      </c>
      <c r="O24" t="inlineStr">
        <is>
          <t>coilgun</t>
        </is>
      </c>
      <c r="P24" t="inlineStr">
        <is>
          <t>2</t>
        </is>
      </c>
      <c r="Q24" t="inlineStr">
        <is>
          <t>Mount_gun.001</t>
        </is>
      </c>
      <c r="S24" t="n">
        <v>1.8</v>
      </c>
      <c r="Y24" t="inlineStr">
        <is>
          <t>wreck_turret</t>
        </is>
      </c>
      <c r="Z24" t="inlineStr">
        <is>
          <t>Assets/MachineBrigade/Resources/Data/balance.json: vehicles[147].parts[2]</t>
        </is>
      </c>
      <c r="AA24" t="inlineStr">
        <is>
          <t>{"id":"coil_r","kind":"coilgun","hp":0.1,"armour":3,"node":"Mount_gun.001","wreck":"wreck_turret","at":[0.9,3.3,2.9],"radius":1.8,"mounts":[2]}</t>
        </is>
      </c>
    </row>
    <row r="25">
      <c r="A25" t="inlineStr">
        <is>
          <t>behemoth_tempest/interceptor</t>
        </is>
      </c>
      <c r="B25" t="inlineStr">
        <is>
          <t>behemoth_tempest</t>
        </is>
      </c>
      <c r="C25" t="n">
        <v>4</v>
      </c>
      <c r="F25" t="n">
        <v>1</v>
      </c>
      <c r="G25" t="n">
        <v>0</v>
      </c>
      <c r="H25" t="n">
        <v>-0.4</v>
      </c>
      <c r="I25" t="n">
        <v>4.4</v>
      </c>
      <c r="L25" t="inlineStr">
        <is>
          <t>energy</t>
        </is>
      </c>
      <c r="M25" t="n">
        <v>0.08</v>
      </c>
      <c r="N25" t="inlineStr">
        <is>
          <t>interceptor</t>
        </is>
      </c>
      <c r="O25" t="inlineStr">
        <is>
          <t>laser</t>
        </is>
      </c>
      <c r="Q25" t="inlineStr">
        <is>
          <t>Aps_faces|Aps_tubes|Aps_tubes_bore</t>
        </is>
      </c>
      <c r="S25" t="n">
        <v>2.4</v>
      </c>
      <c r="W25" t="inlineStr">
        <is>
          <t>aps</t>
        </is>
      </c>
      <c r="Y25" t="inlineStr">
        <is>
          <t>wreck_stump</t>
        </is>
      </c>
      <c r="Z25" t="inlineStr">
        <is>
          <t>Assets/MachineBrigade/Resources/Data/balance.json: vehicles[147].parts[4]</t>
        </is>
      </c>
      <c r="AA25" t="inlineStr">
        <is>
          <t>{"id":"interceptor","kind":"laser","hp":0.08,"armour":1,"node":"Aps_faces|Aps_tubes|Aps_tubes_bore","wreck":"wreck_stump","at":[0,-0.4,4.4],"radius":2.4,"stops":["aps"],"fx":"energy"}</t>
        </is>
      </c>
    </row>
    <row r="26">
      <c r="A26" t="inlineStr">
        <is>
          <t>behemoth_tempest/railgun</t>
        </is>
      </c>
      <c r="B26" t="inlineStr">
        <is>
          <t>behemoth_tempest</t>
        </is>
      </c>
      <c r="C26" t="n">
        <v>0</v>
      </c>
      <c r="F26" t="n">
        <v>3</v>
      </c>
      <c r="G26" t="n">
        <v>0</v>
      </c>
      <c r="H26" t="n">
        <v>5.5</v>
      </c>
      <c r="I26" t="n">
        <v>4.1</v>
      </c>
      <c r="M26" t="n">
        <v>0.15</v>
      </c>
      <c r="N26" t="inlineStr">
        <is>
          <t>railgun</t>
        </is>
      </c>
      <c r="O26" t="inlineStr">
        <is>
          <t>railgun</t>
        </is>
      </c>
      <c r="P26" t="inlineStr">
        <is>
          <t>0</t>
        </is>
      </c>
      <c r="Q26" t="inlineStr">
        <is>
          <t>Main_cannon*</t>
        </is>
      </c>
      <c r="R26" t="inlineStr">
        <is>
          <t>radio.part.maingun</t>
        </is>
      </c>
      <c r="S26" t="n">
        <v>3.2</v>
      </c>
      <c r="Y26" t="inlineStr">
        <is>
          <t>wreck_barrel</t>
        </is>
      </c>
      <c r="Z26" t="inlineStr">
        <is>
          <t>Assets/MachineBrigade/Resources/Data/balance.json: vehicles[147].parts[0]</t>
        </is>
      </c>
      <c r="AA26" t="inlineStr">
        <is>
          <t>{"id":"railgun","kind":"railgun","hp":0.15,"armour":3,"node":"Main_cannon*","wreck":"wreck_barrel","at":[0,5.5,4.1],"radius":3.2,"mounts":[0],"radio":"radio.part.maingun"}</t>
        </is>
      </c>
    </row>
    <row r="27">
      <c r="A27" t="inlineStr">
        <is>
          <t>behemoth_tempest/shield</t>
        </is>
      </c>
      <c r="B27" t="inlineStr">
        <is>
          <t>behemoth_tempest</t>
        </is>
      </c>
      <c r="C27" t="n">
        <v>3</v>
      </c>
      <c r="F27" t="n">
        <v>2</v>
      </c>
      <c r="G27" t="n">
        <v>0</v>
      </c>
      <c r="H27" t="n">
        <v>-3.3</v>
      </c>
      <c r="I27" t="n">
        <v>5.9</v>
      </c>
      <c r="M27" t="n">
        <v>0.12</v>
      </c>
      <c r="N27" t="inlineStr">
        <is>
          <t>shield</t>
        </is>
      </c>
      <c r="O27" t="inlineStr">
        <is>
          <t>shield</t>
        </is>
      </c>
      <c r="Q27" t="inlineStr">
        <is>
          <t>Radar</t>
        </is>
      </c>
      <c r="R27" t="inlineStr">
        <is>
          <t>radio.part.shield</t>
        </is>
      </c>
      <c r="S27" t="n">
        <v>2</v>
      </c>
      <c r="T27" t="inlineStr">
        <is>
          <t>mothership_shield;boss_bulwark</t>
        </is>
      </c>
      <c r="Y27" t="inlineStr">
        <is>
          <t>wreck_stump</t>
        </is>
      </c>
      <c r="Z27" t="inlineStr">
        <is>
          <t>Assets/MachineBrigade/Resources/Data/balance.json: vehicles[147].parts[3]</t>
        </is>
      </c>
      <c r="AA27" t="inlineStr">
        <is>
          <t>{"id":"shield","kind":"shield","hp":0.12,"armour":2,"node":"Radar","wreck":"wreck_stump","at":[0,-3.3,5.9],"radius":2.0,"skills":["mothership_shield","boss_bulwark"],"radio":"radio.part.shield"}</t>
        </is>
      </c>
    </row>
    <row r="28">
      <c r="A28" t="inlineStr">
        <is>
          <t>command_airship/bomb_bay</t>
        </is>
      </c>
      <c r="B28" t="inlineStr">
        <is>
          <t>command_airship</t>
        </is>
      </c>
      <c r="C28" t="n">
        <v>7</v>
      </c>
      <c r="F28" t="n">
        <v>2</v>
      </c>
      <c r="G28" t="n">
        <v>0</v>
      </c>
      <c r="H28" t="n">
        <v>8.5</v>
      </c>
      <c r="I28" t="n">
        <v>-3</v>
      </c>
      <c r="J28" t="n">
        <v>0</v>
      </c>
      <c r="M28" t="n">
        <v>0.07000000000000001</v>
      </c>
      <c r="N28" t="inlineStr">
        <is>
          <t>bomb_bay</t>
        </is>
      </c>
      <c r="O28" t="inlineStr">
        <is>
          <t>bombbay</t>
        </is>
      </c>
      <c r="P28" t="inlineStr">
        <is>
          <t>4;5</t>
        </is>
      </c>
      <c r="R28" t="inlineStr">
        <is>
          <t>radio.part.bombbay</t>
        </is>
      </c>
      <c r="S28" t="n">
        <v>3.2</v>
      </c>
      <c r="Y28" t="inlineStr">
        <is>
          <t>wreck_stump</t>
        </is>
      </c>
      <c r="Z28" t="inlineStr">
        <is>
          <t>Assets/MachineBrigade/Resources/Data/balance.json: vehicles[151].parts[7]</t>
        </is>
      </c>
      <c r="AA28" t="inlineStr">
        <is>
          <t>{"id":"bomb_bay","mounts":[4,5],"breakDamage":0,"kind":"bombbay","hp":0.07,"armour":2,"wreck":"wreck_stump","at":[0,8.5,-3.0],"radius":3.2,"radio":"radio.part.bombbay"}</t>
        </is>
      </c>
    </row>
    <row r="29">
      <c r="A29" t="inlineStr">
        <is>
          <t>command_airship/engine_fl</t>
        </is>
      </c>
      <c r="B29" t="inlineStr">
        <is>
          <t>command_airship</t>
        </is>
      </c>
      <c r="C29" t="n">
        <v>0</v>
      </c>
      <c r="F29" t="n">
        <v>2</v>
      </c>
      <c r="G29" t="n">
        <v>-14.3</v>
      </c>
      <c r="H29" t="n">
        <v>9</v>
      </c>
      <c r="I29" t="n">
        <v>1</v>
      </c>
      <c r="J29" t="n">
        <v>0</v>
      </c>
      <c r="M29" t="n">
        <v>0.07000000000000001</v>
      </c>
      <c r="N29" t="inlineStr">
        <is>
          <t>engine_fl</t>
        </is>
      </c>
      <c r="O29" t="inlineStr">
        <is>
          <t>engine</t>
        </is>
      </c>
      <c r="Q29" t="inlineStr">
        <is>
          <t>Part_engine</t>
        </is>
      </c>
      <c r="S29" t="n">
        <v>3.6</v>
      </c>
      <c r="U29" t="n">
        <v>0.85</v>
      </c>
      <c r="Y29" t="inlineStr">
        <is>
          <t>wreck_engine</t>
        </is>
      </c>
      <c r="Z29" t="inlineStr">
        <is>
          <t>Assets/MachineBrigade/Resources/Data/balance.json: vehicles[151].parts[0]</t>
        </is>
      </c>
      <c r="AA29" t="inlineStr">
        <is>
          <t>{"id":"engine_fl","breakDamage":0,"kind":"engine","hp":0.07,"armour":2,"node":"Part_engine","wreck":"wreck_engine","at":[-14.3,9,1],"radius":3.6,"speed":0.85}</t>
        </is>
      </c>
    </row>
    <row r="30">
      <c r="A30" t="inlineStr">
        <is>
          <t>command_airship/engine_fr</t>
        </is>
      </c>
      <c r="B30" t="inlineStr">
        <is>
          <t>command_airship</t>
        </is>
      </c>
      <c r="C30" t="n">
        <v>1</v>
      </c>
      <c r="F30" t="n">
        <v>2</v>
      </c>
      <c r="G30" t="n">
        <v>14.3</v>
      </c>
      <c r="H30" t="n">
        <v>9</v>
      </c>
      <c r="I30" t="n">
        <v>1</v>
      </c>
      <c r="J30" t="n">
        <v>0</v>
      </c>
      <c r="M30" t="n">
        <v>0.07000000000000001</v>
      </c>
      <c r="N30" t="inlineStr">
        <is>
          <t>engine_fr</t>
        </is>
      </c>
      <c r="O30" t="inlineStr">
        <is>
          <t>engine</t>
        </is>
      </c>
      <c r="Q30" t="inlineStr">
        <is>
          <t>Part_engine.001</t>
        </is>
      </c>
      <c r="S30" t="n">
        <v>3.6</v>
      </c>
      <c r="U30" t="n">
        <v>0.85</v>
      </c>
      <c r="Y30" t="inlineStr">
        <is>
          <t>wreck_engine</t>
        </is>
      </c>
      <c r="Z30" t="inlineStr">
        <is>
          <t>Assets/MachineBrigade/Resources/Data/balance.json: vehicles[151].parts[1]</t>
        </is>
      </c>
      <c r="AA30" t="inlineStr">
        <is>
          <t>{"id":"engine_fr","breakDamage":0,"kind":"engine","hp":0.07,"armour":2,"node":"Part_engine.001","wreck":"wreck_engine","at":[14.3,9,1],"radius":3.6,"speed":0.85}</t>
        </is>
      </c>
    </row>
    <row r="31">
      <c r="A31" t="inlineStr">
        <is>
          <t>command_airship/engine_rl</t>
        </is>
      </c>
      <c r="B31" t="inlineStr">
        <is>
          <t>command_airship</t>
        </is>
      </c>
      <c r="C31" t="n">
        <v>2</v>
      </c>
      <c r="F31" t="n">
        <v>2</v>
      </c>
      <c r="G31" t="n">
        <v>-14.3</v>
      </c>
      <c r="H31" t="n">
        <v>-8</v>
      </c>
      <c r="I31" t="n">
        <v>1</v>
      </c>
      <c r="J31" t="n">
        <v>0</v>
      </c>
      <c r="M31" t="n">
        <v>0.07000000000000001</v>
      </c>
      <c r="N31" t="inlineStr">
        <is>
          <t>engine_rl</t>
        </is>
      </c>
      <c r="O31" t="inlineStr">
        <is>
          <t>engine</t>
        </is>
      </c>
      <c r="Q31" t="inlineStr">
        <is>
          <t>Part_engine.002</t>
        </is>
      </c>
      <c r="S31" t="n">
        <v>3.6</v>
      </c>
      <c r="U31" t="n">
        <v>0.85</v>
      </c>
      <c r="Y31" t="inlineStr">
        <is>
          <t>wreck_engine</t>
        </is>
      </c>
      <c r="Z31" t="inlineStr">
        <is>
          <t>Assets/MachineBrigade/Resources/Data/balance.json: vehicles[151].parts[2]</t>
        </is>
      </c>
      <c r="AA31" t="inlineStr">
        <is>
          <t>{"id":"engine_rl","breakDamage":0,"kind":"engine","hp":0.07,"armour":2,"node":"Part_engine.002","wreck":"wreck_engine","at":[-14.3,-8,1],"radius":3.6,"speed":0.85}</t>
        </is>
      </c>
    </row>
    <row r="32">
      <c r="A32" t="inlineStr">
        <is>
          <t>command_airship/engine_rr</t>
        </is>
      </c>
      <c r="B32" t="inlineStr">
        <is>
          <t>command_airship</t>
        </is>
      </c>
      <c r="C32" t="n">
        <v>3</v>
      </c>
      <c r="F32" t="n">
        <v>2</v>
      </c>
      <c r="G32" t="n">
        <v>14.3</v>
      </c>
      <c r="H32" t="n">
        <v>-8</v>
      </c>
      <c r="I32" t="n">
        <v>1</v>
      </c>
      <c r="J32" t="n">
        <v>0</v>
      </c>
      <c r="M32" t="n">
        <v>0.07000000000000001</v>
      </c>
      <c r="N32" t="inlineStr">
        <is>
          <t>engine_rr</t>
        </is>
      </c>
      <c r="O32" t="inlineStr">
        <is>
          <t>engine</t>
        </is>
      </c>
      <c r="Q32" t="inlineStr">
        <is>
          <t>Part_engine.003</t>
        </is>
      </c>
      <c r="S32" t="n">
        <v>3.6</v>
      </c>
      <c r="U32" t="n">
        <v>0.85</v>
      </c>
      <c r="Y32" t="inlineStr">
        <is>
          <t>wreck_engine</t>
        </is>
      </c>
      <c r="Z32" t="inlineStr">
        <is>
          <t>Assets/MachineBrigade/Resources/Data/balance.json: vehicles[151].parts[3]</t>
        </is>
      </c>
      <c r="AA32" t="inlineStr">
        <is>
          <t>{"id":"engine_rr","breakDamage":0,"kind":"engine","hp":0.07,"armour":2,"node":"Part_engine.003","wreck":"wreck_engine","at":[14.3,-8,1],"radius":3.6,"speed":0.85}</t>
        </is>
      </c>
    </row>
    <row r="33">
      <c r="A33" t="inlineStr">
        <is>
          <t>command_airship/hangar_l</t>
        </is>
      </c>
      <c r="B33" t="inlineStr">
        <is>
          <t>command_airship</t>
        </is>
      </c>
      <c r="C33" t="n">
        <v>4</v>
      </c>
      <c r="F33" t="n">
        <v>2</v>
      </c>
      <c r="G33" t="n">
        <v>-1.3</v>
      </c>
      <c r="H33" t="n">
        <v>-3</v>
      </c>
      <c r="I33" t="n">
        <v>-2.2</v>
      </c>
      <c r="J33" t="n">
        <v>0</v>
      </c>
      <c r="M33" t="n">
        <v>0.07000000000000001</v>
      </c>
      <c r="N33" t="inlineStr">
        <is>
          <t>hangar_l</t>
        </is>
      </c>
      <c r="O33" t="inlineStr">
        <is>
          <t>hangar</t>
        </is>
      </c>
      <c r="P33" t="inlineStr">
        <is>
          <t>2</t>
        </is>
      </c>
      <c r="Q33" t="inlineStr">
        <is>
          <t>Part_hangar</t>
        </is>
      </c>
      <c r="R33" t="inlineStr">
        <is>
          <t>radio.part.bay</t>
        </is>
      </c>
      <c r="S33" t="n">
        <v>3.2</v>
      </c>
      <c r="T33" t="inlineStr">
        <is>
          <t>airship_launch_l</t>
        </is>
      </c>
      <c r="Y33" t="inlineStr">
        <is>
          <t>wreck_launcher</t>
        </is>
      </c>
      <c r="Z33" t="inlineStr">
        <is>
          <t>Assets/MachineBrigade/Resources/Data/balance.json: vehicles[151].parts[4]</t>
        </is>
      </c>
      <c r="AA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F34" t="n">
        <v>2</v>
      </c>
      <c r="G34" t="n">
        <v>1.3</v>
      </c>
      <c r="H34" t="n">
        <v>-3</v>
      </c>
      <c r="I34" t="n">
        <v>-2.2</v>
      </c>
      <c r="J34" t="n">
        <v>0</v>
      </c>
      <c r="M34" t="n">
        <v>0.07000000000000001</v>
      </c>
      <c r="N34" t="inlineStr">
        <is>
          <t>hangar_r</t>
        </is>
      </c>
      <c r="O34" t="inlineStr">
        <is>
          <t>hangar</t>
        </is>
      </c>
      <c r="P34" t="inlineStr">
        <is>
          <t>3</t>
        </is>
      </c>
      <c r="Q34" t="inlineStr">
        <is>
          <t>Part_hangar.001</t>
        </is>
      </c>
      <c r="R34" t="inlineStr">
        <is>
          <t>radio.part.bay</t>
        </is>
      </c>
      <c r="S34" t="n">
        <v>3.2</v>
      </c>
      <c r="T34" t="inlineStr">
        <is>
          <t>airship_launch_r</t>
        </is>
      </c>
      <c r="Y34" t="inlineStr">
        <is>
          <t>wreck_launcher</t>
        </is>
      </c>
      <c r="Z34" t="inlineStr">
        <is>
          <t>Assets/MachineBrigade/Resources/Data/balance.json: vehicles[151].parts[5]</t>
        </is>
      </c>
      <c r="AA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G35" t="n">
        <v>-7.5</v>
      </c>
      <c r="H35" t="n">
        <v>0</v>
      </c>
      <c r="I35" t="n">
        <v>-3</v>
      </c>
      <c r="J35" t="n">
        <v>0</v>
      </c>
      <c r="N35" t="inlineStr">
        <is>
          <t>pod_105_l</t>
        </is>
      </c>
      <c r="Q35" t="inlineStr">
        <is>
          <t>Mount_gun.002</t>
        </is>
      </c>
      <c r="Z35" t="inlineStr">
        <is>
          <t>Assets/MachineBrigade/Resources/Data/balance.json: vehicles[151].parts[8]</t>
        </is>
      </c>
      <c r="AA35" t="inlineStr">
        <is>
          <t>{"use":"pod_105","id":"pod_105_l","breakDamage":0,"node":"Mount_gun.002","at":[-7.5,0,-3.0]}</t>
        </is>
      </c>
    </row>
    <row r="36">
      <c r="A36" t="inlineStr">
        <is>
          <t>command_airship/pod_105_r</t>
        </is>
      </c>
      <c r="B36" t="inlineStr">
        <is>
          <t>command_airship</t>
        </is>
      </c>
      <c r="C36" t="n">
        <v>9</v>
      </c>
      <c r="D36" t="inlineStr">
        <is>
          <t>pod_105</t>
        </is>
      </c>
      <c r="G36" t="n">
        <v>7.5</v>
      </c>
      <c r="H36" t="n">
        <v>0</v>
      </c>
      <c r="I36" t="n">
        <v>-3</v>
      </c>
      <c r="J36" t="n">
        <v>0</v>
      </c>
      <c r="N36" t="inlineStr">
        <is>
          <t>pod_105_r</t>
        </is>
      </c>
      <c r="Q36" t="inlineStr">
        <is>
          <t>Mount_gun.003</t>
        </is>
      </c>
      <c r="Z36" t="inlineStr">
        <is>
          <t>Assets/MachineBrigade/Resources/Data/balance.json: vehicles[151].parts[9]</t>
        </is>
      </c>
      <c r="AA36" t="inlineStr">
        <is>
          <t>{"use":"pod_105","id":"pod_105_r","breakDamage":0,"node":"Mount_gun.003","at":[7.5,0,-3.0]}</t>
        </is>
      </c>
    </row>
    <row r="37">
      <c r="A37" t="inlineStr">
        <is>
          <t>command_airship/radar</t>
        </is>
      </c>
      <c r="B37" t="inlineStr">
        <is>
          <t>command_airship</t>
        </is>
      </c>
      <c r="C37" t="n">
        <v>6</v>
      </c>
      <c r="E37" t="inlineStr">
        <is>
          <t>0;1</t>
        </is>
      </c>
      <c r="F37" t="n">
        <v>1</v>
      </c>
      <c r="G37" t="n">
        <v>0</v>
      </c>
      <c r="H37" t="n">
        <v>3.2</v>
      </c>
      <c r="I37" t="n">
        <v>6.7</v>
      </c>
      <c r="J37" t="n">
        <v>0</v>
      </c>
      <c r="K37" t="n">
        <v>0.5</v>
      </c>
      <c r="M37" t="n">
        <v>0.07000000000000001</v>
      </c>
      <c r="N37" t="inlineStr">
        <is>
          <t>radar</t>
        </is>
      </c>
      <c r="O37" t="inlineStr">
        <is>
          <t>radar</t>
        </is>
      </c>
      <c r="Q37" t="inlineStr">
        <is>
          <t>Part_radar</t>
        </is>
      </c>
      <c r="S37" t="n">
        <v>2.6</v>
      </c>
      <c r="V37" t="n">
        <v>3</v>
      </c>
      <c r="Y37" t="inlineStr">
        <is>
          <t>wreck_stump</t>
        </is>
      </c>
      <c r="Z37" t="inlineStr">
        <is>
          <t>Assets/MachineBrigade/Resources/Data/balance.json: vehicles[151].parts[6]</t>
        </is>
      </c>
      <c r="AA37" t="inlineStr">
        <is>
          <t>{"id":"radar","breakDamage":0,"kind":"radar","hp":0.07,"armour":1,"node":"Part_radar","wreck":"wreck_stump","at":[0,3.2,6.7],"radius":2.6,"spread":3,"fail":0.5,"affects":[0,1]}</t>
        </is>
      </c>
    </row>
    <row r="38">
      <c r="A38" t="inlineStr">
        <is>
          <t>daedalus/engine</t>
        </is>
      </c>
      <c r="B38" t="inlineStr">
        <is>
          <t>daedalus</t>
        </is>
      </c>
      <c r="C38" t="n">
        <v>4</v>
      </c>
      <c r="F38" t="n">
        <v>2</v>
      </c>
      <c r="G38" t="n">
        <v>0</v>
      </c>
      <c r="H38" t="n">
        <v>-16.5</v>
      </c>
      <c r="I38" t="n">
        <v>0.8</v>
      </c>
      <c r="M38" t="n">
        <v>0.08</v>
      </c>
      <c r="N38" t="inlineStr">
        <is>
          <t>engine</t>
        </is>
      </c>
      <c r="O38" t="inlineStr">
        <is>
          <t>thruster</t>
        </is>
      </c>
      <c r="Q38" t="inlineStr">
        <is>
          <t>Thruster_main</t>
        </is>
      </c>
      <c r="R38" t="inlineStr">
        <is>
          <t>radio.part.mainengine</t>
        </is>
      </c>
      <c r="S38" t="n">
        <v>3.2</v>
      </c>
      <c r="U38" t="n">
        <v>0.8</v>
      </c>
      <c r="Y38" t="inlineStr">
        <is>
          <t>wreck_stump</t>
        </is>
      </c>
      <c r="Z38" t="inlineStr">
        <is>
          <t>Assets/MachineBrigade/Resources/Data/balance.json: vehicles[160].parts[4]</t>
        </is>
      </c>
      <c r="AA38" t="inlineStr">
        <is>
          <t>{"id":"engine","kind":"thruster","hp":0.08,"armour":2,"node":"Thruster_main","wreck":"wreck_stump","at":[0,-16.5,0.8],"radius":3.2,"speed":0.8,"radio":"radio.part.mainengine"}</t>
        </is>
      </c>
    </row>
    <row r="39">
      <c r="A39" t="inlineStr">
        <is>
          <t>daedalus/gun_l</t>
        </is>
      </c>
      <c r="B39" t="inlineStr">
        <is>
          <t>daedalus</t>
        </is>
      </c>
      <c r="C39" t="n">
        <v>0</v>
      </c>
      <c r="F39" t="n">
        <v>2</v>
      </c>
      <c r="G39" t="n">
        <v>-2.4</v>
      </c>
      <c r="H39" t="n">
        <v>6</v>
      </c>
      <c r="I39" t="n">
        <v>-1.6</v>
      </c>
      <c r="M39" t="n">
        <v>0.08</v>
      </c>
      <c r="N39" t="inlineStr">
        <is>
          <t>gun_l</t>
        </is>
      </c>
      <c r="O39" t="inlineStr">
        <is>
          <t>gun</t>
        </is>
      </c>
      <c r="P39" t="inlineStr">
        <is>
          <t>0</t>
        </is>
      </c>
      <c r="Q39" t="inlineStr">
        <is>
          <t>Mount_gun</t>
        </is>
      </c>
      <c r="S39" t="n">
        <v>1.6</v>
      </c>
      <c r="Y39" t="inlineStr">
        <is>
          <t>wreck_turret</t>
        </is>
      </c>
      <c r="Z39" t="inlineStr">
        <is>
          <t>Assets/MachineBrigade/Resources/Data/balance.json: vehicles[160].parts[0]</t>
        </is>
      </c>
      <c r="AA39" t="inlineStr">
        <is>
          <t>{"id":"gun_l","kind":"gun","hp":0.08,"armour":2,"node":"Mount_gun","wreck":"wreck_turret","at":[-2.4,6.0,-1.6],"radius":1.6,"mounts":[0]}</t>
        </is>
      </c>
    </row>
    <row r="40">
      <c r="A40" t="inlineStr">
        <is>
          <t>daedalus/gun_r</t>
        </is>
      </c>
      <c r="B40" t="inlineStr">
        <is>
          <t>daedalus</t>
        </is>
      </c>
      <c r="C40" t="n">
        <v>1</v>
      </c>
      <c r="D40" t="inlineStr">
        <is>
          <t>gun_30</t>
        </is>
      </c>
      <c r="G40" t="n">
        <v>2.4</v>
      </c>
      <c r="H40" t="n">
        <v>6</v>
      </c>
      <c r="I40" t="n">
        <v>-1.6</v>
      </c>
      <c r="M40" t="n">
        <v>0.08</v>
      </c>
      <c r="N40" t="inlineStr">
        <is>
          <t>gun_r</t>
        </is>
      </c>
      <c r="Q40" t="inlineStr">
        <is>
          <t>Mount_gun.001</t>
        </is>
      </c>
      <c r="Z40" t="inlineStr">
        <is>
          <t>Assets/MachineBrigade/Resources/Data/balance.json: vehicles[160].parts[1]</t>
        </is>
      </c>
      <c r="AA40" t="inlineStr">
        <is>
          <t>{"use":"gun_30","id":"gun_r","hp":0.08,"node":"Mount_gun.001","at":[2.4,6.0,-1.6]}</t>
        </is>
      </c>
    </row>
    <row r="41">
      <c r="A41" t="inlineStr">
        <is>
          <t>daedalus/pd_laser_l</t>
        </is>
      </c>
      <c r="B41" t="inlineStr">
        <is>
          <t>daedalus</t>
        </is>
      </c>
      <c r="C41" t="n">
        <v>2</v>
      </c>
      <c r="D41" t="inlineStr">
        <is>
          <t>pd_laser</t>
        </is>
      </c>
      <c r="G41" t="n">
        <v>-3.4</v>
      </c>
      <c r="H41" t="n">
        <v>4</v>
      </c>
      <c r="I41" t="n">
        <v>2.8</v>
      </c>
      <c r="N41" t="inlineStr">
        <is>
          <t>pd_laser_l</t>
        </is>
      </c>
      <c r="Q41" t="inlineStr">
        <is>
          <t>Pd_laser_l</t>
        </is>
      </c>
      <c r="Z41" t="inlineStr">
        <is>
          <t>Assets/MachineBrigade/Resources/Data/balance.json: vehicles[160].parts[2]</t>
        </is>
      </c>
      <c r="AA41" t="inlineStr">
        <is>
          <t>{"use":"pd_laser","id":"pd_laser_l","node":"Pd_laser_l","at":[-3.4,4.0,2.8]}</t>
        </is>
      </c>
    </row>
    <row r="42">
      <c r="A42" t="inlineStr">
        <is>
          <t>daedalus/pd_laser_r</t>
        </is>
      </c>
      <c r="B42" t="inlineStr">
        <is>
          <t>daedalus</t>
        </is>
      </c>
      <c r="C42" t="n">
        <v>3</v>
      </c>
      <c r="D42" t="inlineStr">
        <is>
          <t>pd_laser</t>
        </is>
      </c>
      <c r="G42" t="n">
        <v>3.4</v>
      </c>
      <c r="H42" t="n">
        <v>4</v>
      </c>
      <c r="I42" t="n">
        <v>2.8</v>
      </c>
      <c r="N42" t="inlineStr">
        <is>
          <t>pd_laser_r</t>
        </is>
      </c>
      <c r="Q42" t="inlineStr">
        <is>
          <t>Pd_laser_r</t>
        </is>
      </c>
      <c r="Z42" t="inlineStr">
        <is>
          <t>Assets/MachineBrigade/Resources/Data/balance.json: vehicles[160].parts[3]</t>
        </is>
      </c>
      <c r="AA42" t="inlineStr">
        <is>
          <t>{"use":"pd_laser","id":"pd_laser_r","node":"Pd_laser_r","at":[3.4,4.0,2.8]}</t>
        </is>
      </c>
    </row>
    <row r="43">
      <c r="A43" t="inlineStr">
        <is>
          <t>daedalus/pod_bay_1</t>
        </is>
      </c>
      <c r="B43" t="inlineStr">
        <is>
          <t>daedalus</t>
        </is>
      </c>
      <c r="C43" t="n">
        <v>5</v>
      </c>
      <c r="D43" t="inlineStr">
        <is>
          <t>pod_bay</t>
        </is>
      </c>
      <c r="G43" t="n">
        <v>-4</v>
      </c>
      <c r="H43" t="n">
        <v>-2</v>
      </c>
      <c r="I43" t="n">
        <v>-2.2</v>
      </c>
      <c r="N43" t="inlineStr">
        <is>
          <t>pod_bay_1</t>
        </is>
      </c>
      <c r="Q43" t="inlineStr">
        <is>
          <t>Pod_bay_1</t>
        </is>
      </c>
      <c r="Z43" t="inlineStr">
        <is>
          <t>Assets/MachineBrigade/Resources/Data/balance.json: vehicles[160].parts[5]</t>
        </is>
      </c>
      <c r="AA43" t="inlineStr">
        <is>
          <t>{"use":"pod_bay","id":"pod_bay_1","node":"Pod_bay_1","at":[-4.0,-2.0,-2.2]}</t>
        </is>
      </c>
    </row>
    <row r="44">
      <c r="A44" t="inlineStr">
        <is>
          <t>daedalus/pod_bay_2</t>
        </is>
      </c>
      <c r="B44" t="inlineStr">
        <is>
          <t>daedalus</t>
        </is>
      </c>
      <c r="C44" t="n">
        <v>6</v>
      </c>
      <c r="D44" t="inlineStr">
        <is>
          <t>pod_bay</t>
        </is>
      </c>
      <c r="G44" t="n">
        <v>0</v>
      </c>
      <c r="H44" t="n">
        <v>-5</v>
      </c>
      <c r="I44" t="n">
        <v>-2.4</v>
      </c>
      <c r="N44" t="inlineStr">
        <is>
          <t>pod_bay_2</t>
        </is>
      </c>
      <c r="Q44" t="inlineStr">
        <is>
          <t>Pod_bay_2</t>
        </is>
      </c>
      <c r="Z44" t="inlineStr">
        <is>
          <t>Assets/MachineBrigade/Resources/Data/balance.json: vehicles[160].parts[6]</t>
        </is>
      </c>
      <c r="AA44" t="inlineStr">
        <is>
          <t>{"use":"pod_bay","id":"pod_bay_2","node":"Pod_bay_2","at":[0,-5.0,-2.4]}</t>
        </is>
      </c>
    </row>
    <row r="45">
      <c r="A45" t="inlineStr">
        <is>
          <t>daedalus/pod_bay_3</t>
        </is>
      </c>
      <c r="B45" t="inlineStr">
        <is>
          <t>daedalus</t>
        </is>
      </c>
      <c r="C45" t="n">
        <v>7</v>
      </c>
      <c r="D45" t="inlineStr">
        <is>
          <t>pod_bay</t>
        </is>
      </c>
      <c r="G45" t="n">
        <v>4</v>
      </c>
      <c r="H45" t="n">
        <v>-2</v>
      </c>
      <c r="I45" t="n">
        <v>-2.2</v>
      </c>
      <c r="N45" t="inlineStr">
        <is>
          <t>pod_bay_3</t>
        </is>
      </c>
      <c r="Q45" t="inlineStr">
        <is>
          <t>Pod_bay_3</t>
        </is>
      </c>
      <c r="Z45" t="inlineStr">
        <is>
          <t>Assets/MachineBrigade/Resources/Data/balance.json: vehicles[160].parts[7]</t>
        </is>
      </c>
      <c r="AA45" t="inlineStr">
        <is>
          <t>{"use":"pod_bay","id":"pod_bay_3","node":"Pod_bay_3","at":[4.0,-2.0,-2.2]}</t>
        </is>
      </c>
    </row>
    <row r="46">
      <c r="A46" t="inlineStr">
        <is>
          <t>drone_mothership/belly_gun_l</t>
        </is>
      </c>
      <c r="B46" t="inlineStr">
        <is>
          <t>drone_mothership</t>
        </is>
      </c>
      <c r="C46" t="n">
        <v>8</v>
      </c>
      <c r="D46" t="inlineStr">
        <is>
          <t>gun_30</t>
        </is>
      </c>
      <c r="G46" t="n">
        <v>-2.2</v>
      </c>
      <c r="H46" t="n">
        <v>6</v>
      </c>
      <c r="I46" t="n">
        <v>-5.8</v>
      </c>
      <c r="N46" t="inlineStr">
        <is>
          <t>belly_gun_l</t>
        </is>
      </c>
      <c r="Q46" t="inlineStr">
        <is>
          <t>Mount_gun</t>
        </is>
      </c>
      <c r="Z46" t="inlineStr">
        <is>
          <t>Assets/MachineBrigade/Resources/Data/balance.json: vehicles[142].parts[8]</t>
        </is>
      </c>
      <c r="AA46" t="inlineStr">
        <is>
          <t>{"use":"gun_30","id":"belly_gun_l","node":"Mount_gun","at":[-2.2,6.0,-5.8]}</t>
        </is>
      </c>
    </row>
    <row r="47">
      <c r="A47" t="inlineStr">
        <is>
          <t>drone_mothership/belly_gun_r</t>
        </is>
      </c>
      <c r="B47" t="inlineStr">
        <is>
          <t>drone_mothership</t>
        </is>
      </c>
      <c r="C47" t="n">
        <v>9</v>
      </c>
      <c r="D47" t="inlineStr">
        <is>
          <t>gun_30</t>
        </is>
      </c>
      <c r="G47" t="n">
        <v>2.2</v>
      </c>
      <c r="H47" t="n">
        <v>6</v>
      </c>
      <c r="I47" t="n">
        <v>-5.8</v>
      </c>
      <c r="N47" t="inlineStr">
        <is>
          <t>belly_gun_r</t>
        </is>
      </c>
      <c r="Q47" t="inlineStr">
        <is>
          <t>Mount_gun.001</t>
        </is>
      </c>
      <c r="Z47" t="inlineStr">
        <is>
          <t>Assets/MachineBrigade/Resources/Data/balance.json: vehicles[142].parts[9]</t>
        </is>
      </c>
      <c r="AA47" t="inlineStr">
        <is>
          <t>{"use":"gun_30","id":"belly_gun_r","node":"Mount_gun.001","at":[2.2,6.0,-5.8]}</t>
        </is>
      </c>
    </row>
    <row r="48">
      <c r="A48" t="inlineStr">
        <is>
          <t>drone_mothership/bomb_bay</t>
        </is>
      </c>
      <c r="B48" t="inlineStr">
        <is>
          <t>drone_mothership</t>
        </is>
      </c>
      <c r="C48" t="n">
        <v>7</v>
      </c>
      <c r="F48" t="n">
        <v>2</v>
      </c>
      <c r="G48" t="n">
        <v>0</v>
      </c>
      <c r="H48" t="n">
        <v>5.5</v>
      </c>
      <c r="I48" t="n">
        <v>-4.8</v>
      </c>
      <c r="M48" t="n">
        <v>0.06</v>
      </c>
      <c r="N48" t="inlineStr">
        <is>
          <t>bomb_bay</t>
        </is>
      </c>
      <c r="O48" t="inlineStr">
        <is>
          <t>bombbay</t>
        </is>
      </c>
      <c r="R48" t="inlineStr">
        <is>
          <t>radio.part.bombbay</t>
        </is>
      </c>
      <c r="S48" t="n">
        <v>2.8</v>
      </c>
      <c r="Y48" t="inlineStr">
        <is>
          <t>wreck_stump</t>
        </is>
      </c>
      <c r="Z48" t="inlineStr">
        <is>
          <t>Assets/MachineBrigade/Resources/Data/balance.json: vehicles[142].parts[7]</t>
        </is>
      </c>
      <c r="AA48" t="inlineStr">
        <is>
          <t>{"id":"bomb_bay","kind":"bombbay","hp":0.06,"armour":2,"wreck":"wreck_stump","at":[0,5.5,-4.8],"radius":2.8,"radio":"radio.part.bombbay"}</t>
        </is>
      </c>
    </row>
    <row r="49">
      <c r="A49" t="inlineStr">
        <is>
          <t>drone_mothership/cannon_bow</t>
        </is>
      </c>
      <c r="B49" t="inlineStr">
        <is>
          <t>drone_mothership</t>
        </is>
      </c>
      <c r="C49" t="n">
        <v>0</v>
      </c>
      <c r="F49" t="n">
        <v>2</v>
      </c>
      <c r="G49" t="n">
        <v>0</v>
      </c>
      <c r="H49" t="n">
        <v>10.8</v>
      </c>
      <c r="I49" t="n">
        <v>-3.6</v>
      </c>
      <c r="M49" t="n">
        <v>0.06</v>
      </c>
      <c r="N49" t="inlineStr">
        <is>
          <t>cannon_bow</t>
        </is>
      </c>
      <c r="O49" t="inlineStr">
        <is>
          <t>maingun</t>
        </is>
      </c>
      <c r="P49" t="inlineStr">
        <is>
          <t>0</t>
        </is>
      </c>
      <c r="Q49" t="inlineStr">
        <is>
          <t>Turret</t>
        </is>
      </c>
      <c r="R49" t="inlineStr">
        <is>
          <t>radio.part.maingun</t>
        </is>
      </c>
      <c r="S49" t="n">
        <v>2</v>
      </c>
      <c r="Y49" t="inlineStr">
        <is>
          <t>wreck_turret</t>
        </is>
      </c>
      <c r="Z49" t="inlineStr">
        <is>
          <t>Assets/MachineBrigade/Resources/Data/balance.json: vehicles[142].parts[0]</t>
        </is>
      </c>
      <c r="AA49" t="inlineStr">
        <is>
          <t>{"id":"cannon_bow","kind":"maingun","hp":0.06,"armour":2,"node":"Turret","wreck":"wreck_turret","at":[0,10.8,-3.6],"radius":2.0,"mounts":[0],"radio":"radio.part.maingun"}</t>
        </is>
      </c>
    </row>
    <row r="50">
      <c r="A50" t="inlineStr">
        <is>
          <t>drone_mothership/cannon_gondola</t>
        </is>
      </c>
      <c r="B50" t="inlineStr">
        <is>
          <t>drone_mothership</t>
        </is>
      </c>
      <c r="C50" t="n">
        <v>1</v>
      </c>
      <c r="F50" t="n">
        <v>2</v>
      </c>
      <c r="G50" t="n">
        <v>0</v>
      </c>
      <c r="H50" t="n">
        <v>2.2</v>
      </c>
      <c r="I50" t="n">
        <v>-5.4</v>
      </c>
      <c r="M50" t="n">
        <v>0.06</v>
      </c>
      <c r="N50" t="inlineStr">
        <is>
          <t>cannon_gondola</t>
        </is>
      </c>
      <c r="O50" t="inlineStr">
        <is>
          <t>gun</t>
        </is>
      </c>
      <c r="P50" t="inlineStr">
        <is>
          <t>4</t>
        </is>
      </c>
      <c r="Q50" t="inlineStr">
        <is>
          <t>Mount_main.001</t>
        </is>
      </c>
      <c r="S50" t="n">
        <v>2</v>
      </c>
      <c r="Y50" t="inlineStr">
        <is>
          <t>wreck_turret</t>
        </is>
      </c>
      <c r="Z50" t="inlineStr">
        <is>
          <t>Assets/MachineBrigade/Resources/Data/balance.json: vehicles[142].parts[1]</t>
        </is>
      </c>
      <c r="AA50" t="inlineStr">
        <is>
          <t>{"id":"cannon_gondola","kind":"gun","hp":0.06,"armour":2,"node":"Mount_main.001","wreck":"wreck_turret","at":[0,2.2,-5.4],"radius":2.0,"mounts":[4]}</t>
        </is>
      </c>
    </row>
    <row r="51">
      <c r="A51" t="inlineStr">
        <is>
          <t>drone_mothership/drone_bay</t>
        </is>
      </c>
      <c r="B51" t="inlineStr">
        <is>
          <t>drone_mothership</t>
        </is>
      </c>
      <c r="C51" t="n">
        <v>2</v>
      </c>
      <c r="F51" t="n">
        <v>2</v>
      </c>
      <c r="G51" t="n">
        <v>0</v>
      </c>
      <c r="H51" t="n">
        <v>-2.3</v>
      </c>
      <c r="I51" t="n">
        <v>-4.6</v>
      </c>
      <c r="M51" t="n">
        <v>0.06</v>
      </c>
      <c r="N51" t="inlineStr">
        <is>
          <t>drone_bay</t>
        </is>
      </c>
      <c r="O51" t="inlineStr">
        <is>
          <t>bay</t>
        </is>
      </c>
      <c r="P51" t="inlineStr">
        <is>
          <t>1</t>
        </is>
      </c>
      <c r="R51" t="inlineStr">
        <is>
          <t>radio.part.bay</t>
        </is>
      </c>
      <c r="S51" t="n">
        <v>3</v>
      </c>
      <c r="Y51" t="inlineStr">
        <is>
          <t>wreck_stump</t>
        </is>
      </c>
      <c r="Z51" t="inlineStr">
        <is>
          <t>Assets/MachineBrigade/Resources/Data/balance.json: vehicles[142].parts[2]</t>
        </is>
      </c>
      <c r="AA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G52" t="n">
        <v>0</v>
      </c>
      <c r="H52" t="n">
        <v>-6</v>
      </c>
      <c r="I52" t="n">
        <v>-4.4</v>
      </c>
      <c r="N52" t="inlineStr">
        <is>
          <t>drone_bay_2</t>
        </is>
      </c>
      <c r="Q52" t="inlineStr">
        <is>
          <t>Mount_missile.001</t>
        </is>
      </c>
      <c r="Z52" t="inlineStr">
        <is>
          <t>Assets/MachineBrigade/Resources/Data/balance.json: vehicles[142].parts[10]</t>
        </is>
      </c>
      <c r="AA52" t="inlineStr">
        <is>
          <t>{"use":"drone_bay","id":"drone_bay_2","node":"Mount_missile.001","at":[0,-6.0,-4.4]}</t>
        </is>
      </c>
    </row>
    <row r="53">
      <c r="A53" t="inlineStr">
        <is>
          <t>drone_mothership/flak_rear</t>
        </is>
      </c>
      <c r="B53" t="inlineStr">
        <is>
          <t>drone_mothership</t>
        </is>
      </c>
      <c r="C53" t="n">
        <v>5</v>
      </c>
      <c r="F53" t="n">
        <v>2</v>
      </c>
      <c r="G53" t="n">
        <v>0</v>
      </c>
      <c r="H53" t="n">
        <v>-3.4</v>
      </c>
      <c r="I53" t="n">
        <v>3.9</v>
      </c>
      <c r="M53" t="n">
        <v>0.06</v>
      </c>
      <c r="N53" t="inlineStr">
        <is>
          <t>flak_rear</t>
        </is>
      </c>
      <c r="O53" t="inlineStr">
        <is>
          <t>flak</t>
        </is>
      </c>
      <c r="P53" t="inlineStr">
        <is>
          <t>3</t>
        </is>
      </c>
      <c r="Q53" t="inlineStr">
        <is>
          <t>Mount_mg.001</t>
        </is>
      </c>
      <c r="S53" t="n">
        <v>1.8</v>
      </c>
      <c r="Y53" t="inlineStr">
        <is>
          <t>wreck_turret</t>
        </is>
      </c>
      <c r="Z53" t="inlineStr">
        <is>
          <t>Assets/MachineBrigade/Resources/Data/balance.json: vehicles[142].parts[5]</t>
        </is>
      </c>
      <c r="AA53" t="inlineStr">
        <is>
          <t>{"id":"flak_rear","kind":"flak","hp":0.06,"armour":2,"node":"Mount_mg.001","wreck":"wreck_turret","at":[0,-3.4,3.9],"radius":1.8,"mounts":[3]}</t>
        </is>
      </c>
    </row>
    <row r="54">
      <c r="A54" t="inlineStr">
        <is>
          <t>drone_mothership/flak_top</t>
        </is>
      </c>
      <c r="B54" t="inlineStr">
        <is>
          <t>drone_mothership</t>
        </is>
      </c>
      <c r="C54" t="n">
        <v>4</v>
      </c>
      <c r="F54" t="n">
        <v>2</v>
      </c>
      <c r="G54" t="n">
        <v>0</v>
      </c>
      <c r="H54" t="n">
        <v>4.8</v>
      </c>
      <c r="I54" t="n">
        <v>4.1</v>
      </c>
      <c r="M54" t="n">
        <v>0.06</v>
      </c>
      <c r="N54" t="inlineStr">
        <is>
          <t>flak_top</t>
        </is>
      </c>
      <c r="O54" t="inlineStr">
        <is>
          <t>flak</t>
        </is>
      </c>
      <c r="P54" t="inlineStr">
        <is>
          <t>2</t>
        </is>
      </c>
      <c r="Q54" t="inlineStr">
        <is>
          <t>Mount_mg</t>
        </is>
      </c>
      <c r="S54" t="n">
        <v>1.8</v>
      </c>
      <c r="Y54" t="inlineStr">
        <is>
          <t>wreck_turret</t>
        </is>
      </c>
      <c r="Z54" t="inlineStr">
        <is>
          <t>Assets/MachineBrigade/Resources/Data/balance.json: vehicles[142].parts[4]</t>
        </is>
      </c>
      <c r="AA54" t="inlineStr">
        <is>
          <t>{"id":"flak_top","kind":"flak","hp":0.06,"armour":2,"node":"Mount_mg","wreck":"wreck_turret","at":[0,4.8,4.1],"radius":1.8,"mounts":[2]}</t>
        </is>
      </c>
    </row>
    <row r="55">
      <c r="A55" t="inlineStr">
        <is>
          <t>drone_mothership/shield</t>
        </is>
      </c>
      <c r="B55" t="inlineStr">
        <is>
          <t>drone_mothership</t>
        </is>
      </c>
      <c r="C55" t="n">
        <v>6</v>
      </c>
      <c r="F55" t="n">
        <v>2</v>
      </c>
      <c r="G55" t="n">
        <v>0</v>
      </c>
      <c r="H55" t="n">
        <v>-2.35</v>
      </c>
      <c r="I55" t="n">
        <v>5.2</v>
      </c>
      <c r="M55" t="n">
        <v>0.06</v>
      </c>
      <c r="N55" t="inlineStr">
        <is>
          <t>shield</t>
        </is>
      </c>
      <c r="O55" t="inlineStr">
        <is>
          <t>shield</t>
        </is>
      </c>
      <c r="R55" t="inlineStr">
        <is>
          <t>radio.part.shield</t>
        </is>
      </c>
      <c r="S55" t="n">
        <v>2.5</v>
      </c>
      <c r="T55" t="inlineStr">
        <is>
          <t>mothership_shield</t>
        </is>
      </c>
      <c r="Y55" t="inlineStr">
        <is>
          <t>wreck_stump</t>
        </is>
      </c>
      <c r="Z55" t="inlineStr">
        <is>
          <t>Assets/MachineBrigade/Resources/Data/balance.json: vehicles[142].parts[6]</t>
        </is>
      </c>
      <c r="AA55" t="inlineStr">
        <is>
          <t>{"id":"shield","kind":"shield","hp":0.06,"armour":2,"wreck":"wreck_stump","at":[0,-2.35,5.2],"radius":2.5,"skills":["mothership_shield"],"radio":"radio.part.shield"}</t>
        </is>
      </c>
    </row>
    <row r="56">
      <c r="A56" t="inlineStr">
        <is>
          <t>drone_mothership/uav_bay</t>
        </is>
      </c>
      <c r="B56" t="inlineStr">
        <is>
          <t>drone_mothership</t>
        </is>
      </c>
      <c r="C56" t="n">
        <v>3</v>
      </c>
      <c r="F56" t="n">
        <v>1</v>
      </c>
      <c r="G56" t="n">
        <v>0</v>
      </c>
      <c r="H56" t="n">
        <v>-8.5</v>
      </c>
      <c r="I56" t="n">
        <v>-3.5</v>
      </c>
      <c r="M56" t="n">
        <v>0.06</v>
      </c>
      <c r="N56" t="inlineStr">
        <is>
          <t>uav_bay</t>
        </is>
      </c>
      <c r="O56" t="inlineStr">
        <is>
          <t>uav</t>
        </is>
      </c>
      <c r="P56" t="inlineStr">
        <is>
          <t>5</t>
        </is>
      </c>
      <c r="S56" t="n">
        <v>2.5</v>
      </c>
      <c r="T56" t="inlineStr">
        <is>
          <t>mothership_launch</t>
        </is>
      </c>
      <c r="Y56" t="inlineStr">
        <is>
          <t>wreck_stump</t>
        </is>
      </c>
      <c r="Z56" t="inlineStr">
        <is>
          <t>Assets/MachineBrigade/Resources/Data/balance.json: vehicles[142].parts[3]</t>
        </is>
      </c>
      <c r="AA56" t="inlineStr">
        <is>
          <t>{"id":"uav_bay","mounts":[5],"kind":"uav","hp":0.06,"armour":1,"wreck":"wreck_stump","at":[0,-8.5,-3.5],"radius":2.5,"skills":["mothership_launch"]}</t>
        </is>
      </c>
    </row>
    <row r="57">
      <c r="A57" t="inlineStr">
        <is>
          <t>earth_borer/drill</t>
        </is>
      </c>
      <c r="B57" t="inlineStr">
        <is>
          <t>earth_borer</t>
        </is>
      </c>
      <c r="C57" t="n">
        <v>0</v>
      </c>
      <c r="F57" t="n">
        <v>4</v>
      </c>
      <c r="G57" t="n">
        <v>0</v>
      </c>
      <c r="H57" t="n">
        <v>6.8</v>
      </c>
      <c r="I57" t="n">
        <v>3.3</v>
      </c>
      <c r="M57" t="n">
        <v>0.14</v>
      </c>
      <c r="N57" t="inlineStr">
        <is>
          <t>drill</t>
        </is>
      </c>
      <c r="O57" t="inlineStr">
        <is>
          <t>drill</t>
        </is>
      </c>
      <c r="P57" t="inlineStr">
        <is>
          <t>0</t>
        </is>
      </c>
      <c r="Q57" t="inlineStr">
        <is>
          <t>Part_drill</t>
        </is>
      </c>
      <c r="R57" t="inlineStr">
        <is>
          <t>radio.part.drill</t>
        </is>
      </c>
      <c r="S57" t="n">
        <v>3</v>
      </c>
      <c r="W57" t="inlineStr">
        <is>
          <t>burrow</t>
        </is>
      </c>
      <c r="Y57" t="inlineStr">
        <is>
          <t>wreck_stump</t>
        </is>
      </c>
      <c r="Z57" t="inlineStr">
        <is>
          <t>Assets/MachineBrigade/Resources/Data/balance.json: vehicles[150].parts[0]</t>
        </is>
      </c>
      <c r="AA57" t="inlineStr">
        <is>
          <t>{"id":"drill","kind":"drill","hp":0.14,"armour":4,"node":"Part_drill","wreck":"wreck_stump","at":[0,6.8,3.3],"radius":3.0,"mounts":[0],"stops":["burrow"],"radio":"radio.part.drill"}</t>
        </is>
      </c>
    </row>
    <row r="58">
      <c r="A58" t="inlineStr">
        <is>
          <t>earth_borer/engine</t>
        </is>
      </c>
      <c r="B58" t="inlineStr">
        <is>
          <t>earth_borer</t>
        </is>
      </c>
      <c r="C58" t="n">
        <v>3</v>
      </c>
      <c r="F58" t="n">
        <v>3</v>
      </c>
      <c r="G58" t="n">
        <v>0</v>
      </c>
      <c r="H58" t="n">
        <v>-7.3</v>
      </c>
      <c r="I58" t="n">
        <v>4.9</v>
      </c>
      <c r="M58" t="n">
        <v>0.1</v>
      </c>
      <c r="N58" t="inlineStr">
        <is>
          <t>engine</t>
        </is>
      </c>
      <c r="O58" t="inlineStr">
        <is>
          <t>engine</t>
        </is>
      </c>
      <c r="Q58" t="inlineStr">
        <is>
          <t>Part_engine</t>
        </is>
      </c>
      <c r="S58" t="n">
        <v>2.5</v>
      </c>
      <c r="U58" t="n">
        <v>0.7</v>
      </c>
      <c r="Y58" t="inlineStr">
        <is>
          <t>wreck_engine</t>
        </is>
      </c>
      <c r="Z58" t="inlineStr">
        <is>
          <t>Assets/MachineBrigade/Resources/Data/balance.json: vehicles[150].parts[3]</t>
        </is>
      </c>
      <c r="AA58" t="inlineStr">
        <is>
          <t>{"id":"engine","kind":"engine","hp":0.1,"armour":3,"node":"Part_engine","wreck":"wreck_engine","at":[0,-7.3,4.9],"radius":2.5,"speed":0.7}</t>
        </is>
      </c>
    </row>
    <row r="59">
      <c r="A59" t="inlineStr">
        <is>
          <t>earth_borer/gun_l</t>
        </is>
      </c>
      <c r="B59" t="inlineStr">
        <is>
          <t>earth_borer</t>
        </is>
      </c>
      <c r="C59" t="n">
        <v>1</v>
      </c>
      <c r="F59" t="n">
        <v>3</v>
      </c>
      <c r="G59" t="n">
        <v>-1.3</v>
      </c>
      <c r="H59" t="n">
        <v>0.2</v>
      </c>
      <c r="I59" t="n">
        <v>5.6</v>
      </c>
      <c r="M59" t="n">
        <v>0.1</v>
      </c>
      <c r="N59" t="inlineStr">
        <is>
          <t>gun_l</t>
        </is>
      </c>
      <c r="O59" t="inlineStr">
        <is>
          <t>gun</t>
        </is>
      </c>
      <c r="P59" t="inlineStr">
        <is>
          <t>1</t>
        </is>
      </c>
      <c r="Q59" t="inlineStr">
        <is>
          <t>Part_gun</t>
        </is>
      </c>
      <c r="S59" t="n">
        <v>1.8</v>
      </c>
      <c r="Y59" t="inlineStr">
        <is>
          <t>wreck_turret</t>
        </is>
      </c>
      <c r="Z59" t="inlineStr">
        <is>
          <t>Assets/MachineBrigade/Resources/Data/balance.json: vehicles[150].parts[1]</t>
        </is>
      </c>
      <c r="AA59" t="inlineStr">
        <is>
          <t>{"id":"gun_l","kind":"gun","hp":0.1,"armour":3,"node":"Part_gun","wreck":"wreck_turret","at":[-1.3,0.2,5.6],"radius":1.8,"mounts":[1]}</t>
        </is>
      </c>
    </row>
    <row r="60">
      <c r="A60" t="inlineStr">
        <is>
          <t>earth_borer/gun_r</t>
        </is>
      </c>
      <c r="B60" t="inlineStr">
        <is>
          <t>earth_borer</t>
        </is>
      </c>
      <c r="C60" t="n">
        <v>2</v>
      </c>
      <c r="F60" t="n">
        <v>3</v>
      </c>
      <c r="G60" t="n">
        <v>1.3</v>
      </c>
      <c r="H60" t="n">
        <v>-3.2</v>
      </c>
      <c r="I60" t="n">
        <v>5.6</v>
      </c>
      <c r="M60" t="n">
        <v>0.1</v>
      </c>
      <c r="N60" t="inlineStr">
        <is>
          <t>gun_r</t>
        </is>
      </c>
      <c r="O60" t="inlineStr">
        <is>
          <t>gun</t>
        </is>
      </c>
      <c r="P60" t="inlineStr">
        <is>
          <t>2</t>
        </is>
      </c>
      <c r="Q60" t="inlineStr">
        <is>
          <t>Part_gun.001</t>
        </is>
      </c>
      <c r="S60" t="n">
        <v>1.8</v>
      </c>
      <c r="Y60" t="inlineStr">
        <is>
          <t>wreck_turret</t>
        </is>
      </c>
      <c r="Z60" t="inlineStr">
        <is>
          <t>Assets/MachineBrigade/Resources/Data/balance.json: vehicles[150].parts[2]</t>
        </is>
      </c>
      <c r="AA60" t="inlineStr">
        <is>
          <t>{"id":"gun_r","kind":"gun","hp":0.1,"armour":3,"node":"Part_gun.001","wreck":"wreck_turret","at":[1.3,-3.2,5.6],"radius":1.8,"mounts":[2]}</t>
        </is>
      </c>
    </row>
    <row r="61">
      <c r="A61" t="inlineStr">
        <is>
          <t>fortress_bastion/casemate</t>
        </is>
      </c>
      <c r="B61" t="inlineStr">
        <is>
          <t>fortress_bastion</t>
        </is>
      </c>
      <c r="C61" t="n">
        <v>6</v>
      </c>
      <c r="D61" t="inlineStr">
        <is>
          <t>casemate_155</t>
        </is>
      </c>
      <c r="G61" t="n">
        <v>0</v>
      </c>
      <c r="H61" t="n">
        <v>7.6</v>
      </c>
      <c r="I61" t="n">
        <v>3.2</v>
      </c>
      <c r="N61" t="inlineStr">
        <is>
          <t>casemate</t>
        </is>
      </c>
      <c r="Q61" t="inlineStr">
        <is>
          <t>Mount_gun.004</t>
        </is>
      </c>
      <c r="Z61" t="inlineStr">
        <is>
          <t>Assets/MachineBrigade/Resources/Data/balance.json: vehicles[148].parts[6]</t>
        </is>
      </c>
      <c r="AA61" t="inlineStr">
        <is>
          <t>{"use":"casemate_155","id":"casemate","node":"Mount_gun.004","at":[0,7.6,3.2]}</t>
        </is>
      </c>
    </row>
    <row r="62">
      <c r="A62" t="inlineStr">
        <is>
          <t>fortress_bastion/kornet</t>
        </is>
      </c>
      <c r="B62" t="inlineStr">
        <is>
          <t>fortress_bastion</t>
        </is>
      </c>
      <c r="C62" t="n">
        <v>5</v>
      </c>
      <c r="F62" t="n">
        <v>2</v>
      </c>
      <c r="G62" t="n">
        <v>-0.85</v>
      </c>
      <c r="H62" t="n">
        <v>-3.75</v>
      </c>
      <c r="I62" t="n">
        <v>6.3</v>
      </c>
      <c r="M62" t="n">
        <v>0.07000000000000001</v>
      </c>
      <c r="N62" t="inlineStr">
        <is>
          <t>kornet</t>
        </is>
      </c>
      <c r="O62" t="inlineStr">
        <is>
          <t>missiles</t>
        </is>
      </c>
      <c r="P62" t="inlineStr">
        <is>
          <t>5</t>
        </is>
      </c>
      <c r="Q62" t="inlineStr">
        <is>
          <t>Part_missile</t>
        </is>
      </c>
      <c r="S62" t="n">
        <v>1.8</v>
      </c>
      <c r="Y62" t="inlineStr">
        <is>
          <t>wreck_launcher</t>
        </is>
      </c>
      <c r="Z62" t="inlineStr">
        <is>
          <t>Assets/MachineBrigade/Resources/Data/balance.json: vehicles[148].parts[5]</t>
        </is>
      </c>
      <c r="AA62" t="inlineStr">
        <is>
          <t>{"id":"kornet","kind":"missiles","hp":0.07,"armour":2,"node":"Part_missile","wreck":"wreck_launcher","at":[-0.85,-3.75,6.3],"radius":1.8,"mounts":[5]}</t>
        </is>
      </c>
    </row>
    <row r="63">
      <c r="A63" t="inlineStr">
        <is>
          <t>fortress_bastion/mortar</t>
        </is>
      </c>
      <c r="B63" t="inlineStr">
        <is>
          <t>fortress_bastion</t>
        </is>
      </c>
      <c r="C63" t="n">
        <v>0</v>
      </c>
      <c r="F63" t="n">
        <v>3</v>
      </c>
      <c r="G63" t="n">
        <v>0</v>
      </c>
      <c r="H63" t="n">
        <v>-0.5</v>
      </c>
      <c r="I63" t="n">
        <v>7.5</v>
      </c>
      <c r="M63" t="n">
        <v>0.1</v>
      </c>
      <c r="N63" t="inlineStr">
        <is>
          <t>mortar</t>
        </is>
      </c>
      <c r="O63" t="inlineStr">
        <is>
          <t>mortar</t>
        </is>
      </c>
      <c r="P63" t="inlineStr">
        <is>
          <t>0</t>
        </is>
      </c>
      <c r="Q63" t="inlineStr">
        <is>
          <t>Main_cannon*</t>
        </is>
      </c>
      <c r="R63" t="inlineStr">
        <is>
          <t>radio.part.maingun</t>
        </is>
      </c>
      <c r="S63" t="n">
        <v>2.8</v>
      </c>
      <c r="T63" t="inlineStr">
        <is>
          <t>fortress_barrage</t>
        </is>
      </c>
      <c r="Y63" t="inlineStr">
        <is>
          <t>wreck_barrel</t>
        </is>
      </c>
      <c r="Z63" t="inlineStr">
        <is>
          <t>Assets/MachineBrigade/Resources/Data/balance.json: vehicles[148].parts[0]</t>
        </is>
      </c>
      <c r="AA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F64" t="n">
        <v>3</v>
      </c>
      <c r="G64" t="n">
        <v>-3.2</v>
      </c>
      <c r="H64" t="n">
        <v>6</v>
      </c>
      <c r="I64" t="n">
        <v>4.7</v>
      </c>
      <c r="M64" t="n">
        <v>0.07000000000000001</v>
      </c>
      <c r="N64" t="inlineStr">
        <is>
          <t>turret_fl</t>
        </is>
      </c>
      <c r="O64" t="inlineStr">
        <is>
          <t>turret</t>
        </is>
      </c>
      <c r="P64" t="inlineStr">
        <is>
          <t>1</t>
        </is>
      </c>
      <c r="Q64" t="inlineStr">
        <is>
          <t>Mount_gun</t>
        </is>
      </c>
      <c r="S64" t="n">
        <v>1.8</v>
      </c>
      <c r="Y64" t="inlineStr">
        <is>
          <t>wreck_turret</t>
        </is>
      </c>
      <c r="Z64" t="inlineStr">
        <is>
          <t>Assets/MachineBrigade/Resources/Data/balance.json: vehicles[148].parts[1]</t>
        </is>
      </c>
      <c r="AA64" t="inlineStr">
        <is>
          <t>{"id":"turret_fl","kind":"turret","hp":0.07,"armour":3,"node":"Mount_gun","wreck":"wreck_turret","at":[-3.2,6.0,4.7],"radius":1.8,"mounts":[1]}</t>
        </is>
      </c>
    </row>
    <row r="65">
      <c r="A65" t="inlineStr">
        <is>
          <t>fortress_bastion/turret_fr</t>
        </is>
      </c>
      <c r="B65" t="inlineStr">
        <is>
          <t>fortress_bastion</t>
        </is>
      </c>
      <c r="C65" t="n">
        <v>2</v>
      </c>
      <c r="F65" t="n">
        <v>3</v>
      </c>
      <c r="G65" t="n">
        <v>3.2</v>
      </c>
      <c r="H65" t="n">
        <v>6</v>
      </c>
      <c r="I65" t="n">
        <v>4.7</v>
      </c>
      <c r="M65" t="n">
        <v>0.07000000000000001</v>
      </c>
      <c r="N65" t="inlineStr">
        <is>
          <t>turret_fr</t>
        </is>
      </c>
      <c r="O65" t="inlineStr">
        <is>
          <t>turret</t>
        </is>
      </c>
      <c r="P65" t="inlineStr">
        <is>
          <t>2</t>
        </is>
      </c>
      <c r="Q65" t="inlineStr">
        <is>
          <t>Mount_gun.001</t>
        </is>
      </c>
      <c r="S65" t="n">
        <v>1.8</v>
      </c>
      <c r="Y65" t="inlineStr">
        <is>
          <t>wreck_turret</t>
        </is>
      </c>
      <c r="Z65" t="inlineStr">
        <is>
          <t>Assets/MachineBrigade/Resources/Data/balance.json: vehicles[148].parts[2]</t>
        </is>
      </c>
      <c r="AA65" t="inlineStr">
        <is>
          <t>{"id":"turret_fr","kind":"turret","hp":0.07,"armour":3,"node":"Mount_gun.001","wreck":"wreck_turret","at":[3.2,6.0,4.7],"radius":1.8,"mounts":[2]}</t>
        </is>
      </c>
    </row>
    <row r="66">
      <c r="A66" t="inlineStr">
        <is>
          <t>fortress_bastion/turret_rl</t>
        </is>
      </c>
      <c r="B66" t="inlineStr">
        <is>
          <t>fortress_bastion</t>
        </is>
      </c>
      <c r="C66" t="n">
        <v>3</v>
      </c>
      <c r="F66" t="n">
        <v>3</v>
      </c>
      <c r="G66" t="n">
        <v>-2.6</v>
      </c>
      <c r="H66" t="n">
        <v>-6.25</v>
      </c>
      <c r="I66" t="n">
        <v>4.7</v>
      </c>
      <c r="M66" t="n">
        <v>0.07000000000000001</v>
      </c>
      <c r="N66" t="inlineStr">
        <is>
          <t>turret_rl</t>
        </is>
      </c>
      <c r="O66" t="inlineStr">
        <is>
          <t>turret</t>
        </is>
      </c>
      <c r="P66" t="inlineStr">
        <is>
          <t>3;6</t>
        </is>
      </c>
      <c r="Q66" t="inlineStr">
        <is>
          <t>Mount_gun.002</t>
        </is>
      </c>
      <c r="S66" t="n">
        <v>1.8</v>
      </c>
      <c r="Y66" t="inlineStr">
        <is>
          <t>wreck_turret</t>
        </is>
      </c>
      <c r="Z66" t="inlineStr">
        <is>
          <t>Assets/MachineBrigade/Resources/Data/balance.json: vehicles[148].parts[3]</t>
        </is>
      </c>
      <c r="AA66" t="inlineStr">
        <is>
          <t>{"id":"turret_rl","kind":"turret","hp":0.07,"armour":3,"node":"Mount_gun.002","wreck":"wreck_turret","at":[-2.6,-6.25,4.7],"radius":1.8,"mounts":[3,6]}</t>
        </is>
      </c>
    </row>
    <row r="67">
      <c r="A67" t="inlineStr">
        <is>
          <t>fortress_bastion/turret_rr</t>
        </is>
      </c>
      <c r="B67" t="inlineStr">
        <is>
          <t>fortress_bastion</t>
        </is>
      </c>
      <c r="C67" t="n">
        <v>4</v>
      </c>
      <c r="F67" t="n">
        <v>3</v>
      </c>
      <c r="G67" t="n">
        <v>2.6</v>
      </c>
      <c r="H67" t="n">
        <v>-6.25</v>
      </c>
      <c r="I67" t="n">
        <v>4.7</v>
      </c>
      <c r="M67" t="n">
        <v>0.07000000000000001</v>
      </c>
      <c r="N67" t="inlineStr">
        <is>
          <t>turret_rr</t>
        </is>
      </c>
      <c r="O67" t="inlineStr">
        <is>
          <t>turret</t>
        </is>
      </c>
      <c r="P67" t="inlineStr">
        <is>
          <t>4;7</t>
        </is>
      </c>
      <c r="Q67" t="inlineStr">
        <is>
          <t>Mount_gun.003</t>
        </is>
      </c>
      <c r="S67" t="n">
        <v>1.8</v>
      </c>
      <c r="Y67" t="inlineStr">
        <is>
          <t>wreck_turret</t>
        </is>
      </c>
      <c r="Z67" t="inlineStr">
        <is>
          <t>Assets/MachineBrigade/Resources/Data/balance.json: vehicles[148].parts[4]</t>
        </is>
      </c>
      <c r="AA67" t="inlineStr">
        <is>
          <t>{"id":"turret_rr","kind":"turret","hp":0.07,"armour":3,"node":"Mount_gun.003","wreck":"wreck_turret","at":[2.6,-6.25,4.7],"radius":1.8,"mounts":[4,7]}</t>
        </is>
      </c>
    </row>
    <row r="68">
      <c r="A68" t="inlineStr">
        <is>
          <t>fortress_bastion/zu23_l</t>
        </is>
      </c>
      <c r="B68" t="inlineStr">
        <is>
          <t>fortress_bastion</t>
        </is>
      </c>
      <c r="C68" t="n">
        <v>7</v>
      </c>
      <c r="D68" t="inlineStr">
        <is>
          <t>zu23</t>
        </is>
      </c>
      <c r="G68" t="n">
        <v>-3.9</v>
      </c>
      <c r="H68" t="n">
        <v>-1.5</v>
      </c>
      <c r="I68" t="n">
        <v>5.2</v>
      </c>
      <c r="N68" t="inlineStr">
        <is>
          <t>zu23_l</t>
        </is>
      </c>
      <c r="Q68" t="inlineStr">
        <is>
          <t>Mount_mg</t>
        </is>
      </c>
      <c r="Z68" t="inlineStr">
        <is>
          <t>Assets/MachineBrigade/Resources/Data/balance.json: vehicles[148].parts[7]</t>
        </is>
      </c>
      <c r="AA68" t="inlineStr">
        <is>
          <t>{"use":"zu23","id":"zu23_l","node":"Mount_mg","at":[-3.9,-1.5,5.2]}</t>
        </is>
      </c>
    </row>
    <row r="69">
      <c r="A69" t="inlineStr">
        <is>
          <t>fortress_bastion/zu23_r</t>
        </is>
      </c>
      <c r="B69" t="inlineStr">
        <is>
          <t>fortress_bastion</t>
        </is>
      </c>
      <c r="C69" t="n">
        <v>8</v>
      </c>
      <c r="D69" t="inlineStr">
        <is>
          <t>zu23</t>
        </is>
      </c>
      <c r="G69" t="n">
        <v>3.9</v>
      </c>
      <c r="H69" t="n">
        <v>-1.5</v>
      </c>
      <c r="I69" t="n">
        <v>5.2</v>
      </c>
      <c r="N69" t="inlineStr">
        <is>
          <t>zu23_r</t>
        </is>
      </c>
      <c r="Q69" t="inlineStr">
        <is>
          <t>Mount_mg.001</t>
        </is>
      </c>
      <c r="Z69" t="inlineStr">
        <is>
          <t>Assets/MachineBrigade/Resources/Data/balance.json: vehicles[148].parts[8]</t>
        </is>
      </c>
      <c r="AA69" t="inlineStr">
        <is>
          <t>{"use":"zu23","id":"zu23_r","node":"Mount_mg.001","at":[3.9,-1.5,5.2]}</t>
        </is>
      </c>
    </row>
    <row r="70">
      <c r="A70" t="inlineStr">
        <is>
          <t>ixion/cab</t>
        </is>
      </c>
      <c r="B70" t="inlineStr">
        <is>
          <t>ixion</t>
        </is>
      </c>
      <c r="C70" t="n">
        <v>7</v>
      </c>
      <c r="F70" t="n">
        <v>2</v>
      </c>
      <c r="G70" t="n">
        <v>-3.6</v>
      </c>
      <c r="H70" t="n">
        <v>9.5</v>
      </c>
      <c r="I70" t="n">
        <v>5</v>
      </c>
      <c r="M70" t="n">
        <v>0.08</v>
      </c>
      <c r="N70" t="inlineStr">
        <is>
          <t>cab</t>
        </is>
      </c>
      <c r="O70" t="inlineStr">
        <is>
          <t>cab</t>
        </is>
      </c>
      <c r="P70" t="inlineStr">
        <is>
          <t>1;2</t>
        </is>
      </c>
      <c r="Q70" t="inlineStr">
        <is>
          <t>Part_cab</t>
        </is>
      </c>
      <c r="S70" t="n">
        <v>3</v>
      </c>
      <c r="Y70" t="inlineStr">
        <is>
          <t>wreck_stump</t>
        </is>
      </c>
      <c r="Z70" t="inlineStr">
        <is>
          <t>Assets/MachineBrigade/Resources/Data/balance.json: vehicles[162].parts[7]</t>
        </is>
      </c>
      <c r="AA70" t="inlineStr">
        <is>
          <t>{"id":"cab","kind":"cab","node":"Part_cab","hp":0.08,"armour":2,"wreck":"wreck_stump","at":[-3.6,9.5,5],"radius":3,"mounts":[1,2]}</t>
        </is>
      </c>
    </row>
    <row r="71">
      <c r="A71" t="inlineStr">
        <is>
          <t>ixion/gun</t>
        </is>
      </c>
      <c r="B71" t="inlineStr">
        <is>
          <t>ixion</t>
        </is>
      </c>
      <c r="C71" t="n">
        <v>6</v>
      </c>
      <c r="F71" t="n">
        <v>3</v>
      </c>
      <c r="G71" t="n">
        <v>0</v>
      </c>
      <c r="H71" t="n">
        <v>-1.5</v>
      </c>
      <c r="I71" t="n">
        <v>6.5</v>
      </c>
      <c r="M71" t="n">
        <v>0.12</v>
      </c>
      <c r="N71" t="inlineStr">
        <is>
          <t>gun</t>
        </is>
      </c>
      <c r="O71" t="inlineStr">
        <is>
          <t>hulltower</t>
        </is>
      </c>
      <c r="P71" t="inlineStr">
        <is>
          <t>0</t>
        </is>
      </c>
      <c r="Q71" t="inlineStr">
        <is>
          <t>Turret</t>
        </is>
      </c>
      <c r="S71" t="n">
        <v>3.2</v>
      </c>
      <c r="Y71" t="inlineStr">
        <is>
          <t>wreck_turret</t>
        </is>
      </c>
      <c r="Z71" t="inlineStr">
        <is>
          <t>Assets/MachineBrigade/Resources/Data/balance.json: vehicles[162].parts[6]</t>
        </is>
      </c>
      <c r="AA71" t="inlineStr">
        <is>
          <t>{"id":"gun","kind":"hulltower","hp":0.12,"armour":3,"node":"Turret","wreck":"wreck_turret","at":[0,-1.5,6.5],"radius":3.2,"mounts":[0]}</t>
        </is>
      </c>
    </row>
    <row r="72">
      <c r="A72" t="inlineStr">
        <is>
          <t>ixion/rear_l1</t>
        </is>
      </c>
      <c r="B72" t="inlineStr">
        <is>
          <t>ixion</t>
        </is>
      </c>
      <c r="C72" t="n">
        <v>2</v>
      </c>
      <c r="F72" t="n">
        <v>1</v>
      </c>
      <c r="G72" t="n">
        <v>-5.4</v>
      </c>
      <c r="H72" t="n">
        <v>-3</v>
      </c>
      <c r="I72" t="n">
        <v>1.8</v>
      </c>
      <c r="M72" t="n">
        <v>0.035</v>
      </c>
      <c r="N72" t="inlineStr">
        <is>
          <t>rear_l1</t>
        </is>
      </c>
      <c r="O72" t="inlineStr">
        <is>
          <t>reartyre</t>
        </is>
      </c>
      <c r="Q72" t="inlineStr">
        <is>
          <t>Part_tyre</t>
        </is>
      </c>
      <c r="S72" t="n">
        <v>2.6</v>
      </c>
      <c r="U72" t="n">
        <v>0.9</v>
      </c>
      <c r="X72" t="n">
        <v>0.9</v>
      </c>
      <c r="Y72" t="inlineStr">
        <is>
          <t>wreck_stump</t>
        </is>
      </c>
      <c r="Z72" t="inlineStr">
        <is>
          <t>Assets/MachineBrigade/Resources/Data/balance.json: vehicles[162].parts[2]</t>
        </is>
      </c>
      <c r="AA72" t="inlineStr">
        <is>
          <t>{"id":"rear_l1","kind":"reartyre","node":"Part_tyre","hp":0.035,"armour":1,"wreck":"wreck_stump","at":[-5.4,-3,1.8],"radius":2.6,"speed":0.9,"turn":0.9}</t>
        </is>
      </c>
    </row>
    <row r="73">
      <c r="A73" t="inlineStr">
        <is>
          <t>ixion/rear_l2</t>
        </is>
      </c>
      <c r="B73" t="inlineStr">
        <is>
          <t>ixion</t>
        </is>
      </c>
      <c r="C73" t="n">
        <v>4</v>
      </c>
      <c r="F73" t="n">
        <v>1</v>
      </c>
      <c r="G73" t="n">
        <v>-5.4</v>
      </c>
      <c r="H73" t="n">
        <v>-9</v>
      </c>
      <c r="I73" t="n">
        <v>1.8</v>
      </c>
      <c r="M73" t="n">
        <v>0.035</v>
      </c>
      <c r="N73" t="inlineStr">
        <is>
          <t>rear_l2</t>
        </is>
      </c>
      <c r="O73" t="inlineStr">
        <is>
          <t>reartyre</t>
        </is>
      </c>
      <c r="Q73" t="inlineStr">
        <is>
          <t>Part_tyre.002</t>
        </is>
      </c>
      <c r="S73" t="n">
        <v>2.6</v>
      </c>
      <c r="U73" t="n">
        <v>0.9</v>
      </c>
      <c r="X73" t="n">
        <v>0.9</v>
      </c>
      <c r="Y73" t="inlineStr">
        <is>
          <t>wreck_stump</t>
        </is>
      </c>
      <c r="Z73" t="inlineStr">
        <is>
          <t>Assets/MachineBrigade/Resources/Data/balance.json: vehicles[162].parts[4]</t>
        </is>
      </c>
      <c r="AA73" t="inlineStr">
        <is>
          <t>{"id":"rear_l2","kind":"reartyre","node":"Part_tyre.002","hp":0.035,"armour":1,"wreck":"wreck_stump","at":[-5.4,-9,1.8],"radius":2.6,"speed":0.9,"turn":0.9}</t>
        </is>
      </c>
    </row>
    <row r="74">
      <c r="A74" t="inlineStr">
        <is>
          <t>ixion/rear_r1</t>
        </is>
      </c>
      <c r="B74" t="inlineStr">
        <is>
          <t>ixion</t>
        </is>
      </c>
      <c r="C74" t="n">
        <v>3</v>
      </c>
      <c r="F74" t="n">
        <v>1</v>
      </c>
      <c r="G74" t="n">
        <v>5.4</v>
      </c>
      <c r="H74" t="n">
        <v>-3</v>
      </c>
      <c r="I74" t="n">
        <v>1.8</v>
      </c>
      <c r="M74" t="n">
        <v>0.035</v>
      </c>
      <c r="N74" t="inlineStr">
        <is>
          <t>rear_r1</t>
        </is>
      </c>
      <c r="O74" t="inlineStr">
        <is>
          <t>reartyre</t>
        </is>
      </c>
      <c r="Q74" t="inlineStr">
        <is>
          <t>Part_tyre.001</t>
        </is>
      </c>
      <c r="S74" t="n">
        <v>2.6</v>
      </c>
      <c r="U74" t="n">
        <v>0.9</v>
      </c>
      <c r="X74" t="n">
        <v>0.9</v>
      </c>
      <c r="Y74" t="inlineStr">
        <is>
          <t>wreck_stump</t>
        </is>
      </c>
      <c r="Z74" t="inlineStr">
        <is>
          <t>Assets/MachineBrigade/Resources/Data/balance.json: vehicles[162].parts[3]</t>
        </is>
      </c>
      <c r="AA74" t="inlineStr">
        <is>
          <t>{"id":"rear_r1","kind":"reartyre","node":"Part_tyre.001","hp":0.035,"armour":1,"wreck":"wreck_stump","at":[5.4,-3,1.8],"radius":2.6,"speed":0.9,"turn":0.9}</t>
        </is>
      </c>
    </row>
    <row r="75">
      <c r="A75" t="inlineStr">
        <is>
          <t>ixion/rear_r2</t>
        </is>
      </c>
      <c r="B75" t="inlineStr">
        <is>
          <t>ixion</t>
        </is>
      </c>
      <c r="C75" t="n">
        <v>5</v>
      </c>
      <c r="F75" t="n">
        <v>1</v>
      </c>
      <c r="G75" t="n">
        <v>5.4</v>
      </c>
      <c r="H75" t="n">
        <v>-9</v>
      </c>
      <c r="I75" t="n">
        <v>1.8</v>
      </c>
      <c r="M75" t="n">
        <v>0.035</v>
      </c>
      <c r="N75" t="inlineStr">
        <is>
          <t>rear_r2</t>
        </is>
      </c>
      <c r="O75" t="inlineStr">
        <is>
          <t>reartyre</t>
        </is>
      </c>
      <c r="Q75" t="inlineStr">
        <is>
          <t>Part_tyre.003</t>
        </is>
      </c>
      <c r="S75" t="n">
        <v>2.6</v>
      </c>
      <c r="U75" t="n">
        <v>0.9</v>
      </c>
      <c r="X75" t="n">
        <v>0.9</v>
      </c>
      <c r="Y75" t="inlineStr">
        <is>
          <t>wreck_stump</t>
        </is>
      </c>
      <c r="Z75" t="inlineStr">
        <is>
          <t>Assets/MachineBrigade/Resources/Data/balance.json: vehicles[162].parts[5]</t>
        </is>
      </c>
      <c r="AA75" t="inlineStr">
        <is>
          <t>{"id":"rear_r2","kind":"reartyre","node":"Part_tyre.003","hp":0.035,"armour":1,"wreck":"wreck_stump","at":[5.4,-9,1.8],"radius":2.6,"speed":0.9,"turn":0.9}</t>
        </is>
      </c>
    </row>
    <row r="76">
      <c r="A76" t="inlineStr">
        <is>
          <t>ixion/wheel_l</t>
        </is>
      </c>
      <c r="B76" t="inlineStr">
        <is>
          <t>ixion</t>
        </is>
      </c>
      <c r="C76" t="n">
        <v>0</v>
      </c>
      <c r="F76" t="n">
        <v>3</v>
      </c>
      <c r="G76" t="n">
        <v>-5.4</v>
      </c>
      <c r="H76" t="n">
        <v>8.5</v>
      </c>
      <c r="I76" t="n">
        <v>1.8</v>
      </c>
      <c r="M76" t="n">
        <v>0.07000000000000001</v>
      </c>
      <c r="N76" t="inlineStr">
        <is>
          <t>wheel_l</t>
        </is>
      </c>
      <c r="O76" t="inlineStr">
        <is>
          <t>wheel</t>
        </is>
      </c>
      <c r="Q76" t="inlineStr">
        <is>
          <t>Part_wheel</t>
        </is>
      </c>
      <c r="R76" t="inlineStr">
        <is>
          <t>radio.part.wheel</t>
        </is>
      </c>
      <c r="S76" t="n">
        <v>2.8</v>
      </c>
      <c r="U76" t="n">
        <v>0.6</v>
      </c>
      <c r="X76" t="n">
        <v>0.5</v>
      </c>
      <c r="Y76" t="inlineStr">
        <is>
          <t>wreck_engine</t>
        </is>
      </c>
      <c r="Z76" t="inlineStr">
        <is>
          <t>Assets/MachineBrigade/Resources/Data/balance.json: vehicles[162].parts[0]</t>
        </is>
      </c>
      <c r="AA76" t="inlineStr">
        <is>
          <t>{"id":"wheel_l","kind":"wheel","node":"Part_wheel","hp":0.07,"armour":3,"wreck":"wreck_engine","at":[-5.4,8.5,1.8],"radius":2.8,"speed":0.6,"turn":0.5,"radio":"radio.part.wheel"}</t>
        </is>
      </c>
    </row>
    <row r="77">
      <c r="A77" t="inlineStr">
        <is>
          <t>ixion/wheel_r</t>
        </is>
      </c>
      <c r="B77" t="inlineStr">
        <is>
          <t>ixion</t>
        </is>
      </c>
      <c r="C77" t="n">
        <v>1</v>
      </c>
      <c r="F77" t="n">
        <v>3</v>
      </c>
      <c r="G77" t="n">
        <v>5.4</v>
      </c>
      <c r="H77" t="n">
        <v>8.5</v>
      </c>
      <c r="I77" t="n">
        <v>1.8</v>
      </c>
      <c r="M77" t="n">
        <v>0.07000000000000001</v>
      </c>
      <c r="N77" t="inlineStr">
        <is>
          <t>wheel_r</t>
        </is>
      </c>
      <c r="O77" t="inlineStr">
        <is>
          <t>wheel</t>
        </is>
      </c>
      <c r="Q77" t="inlineStr">
        <is>
          <t>Part_wheel.001</t>
        </is>
      </c>
      <c r="R77" t="inlineStr">
        <is>
          <t>radio.part.wheel</t>
        </is>
      </c>
      <c r="S77" t="n">
        <v>2.8</v>
      </c>
      <c r="U77" t="n">
        <v>0.6</v>
      </c>
      <c r="X77" t="n">
        <v>0.5</v>
      </c>
      <c r="Y77" t="inlineStr">
        <is>
          <t>wreck_engine</t>
        </is>
      </c>
      <c r="Z77" t="inlineStr">
        <is>
          <t>Assets/MachineBrigade/Resources/Data/balance.json: vehicles[162].parts[1]</t>
        </is>
      </c>
      <c r="AA77" t="inlineStr">
        <is>
          <t>{"id":"wheel_r","kind":"wheel","node":"Part_wheel.001","hp":0.07,"armour":3,"wreck":"wreck_engine","at":[5.4,8.5,1.8],"radius":2.8,"speed":0.6,"turn":0.5,"radio":"radio.part.wheel"}</t>
        </is>
      </c>
    </row>
    <row r="78">
      <c r="A78" t="inlineStr">
        <is>
          <t>landing_hovercraft/ciws_l</t>
        </is>
      </c>
      <c r="B78" t="inlineStr">
        <is>
          <t>landing_hovercraft</t>
        </is>
      </c>
      <c r="C78" t="n">
        <v>5</v>
      </c>
      <c r="F78" t="n">
        <v>2</v>
      </c>
      <c r="G78" t="n">
        <v>-5.3</v>
      </c>
      <c r="H78" t="n">
        <v>-3.7</v>
      </c>
      <c r="I78" t="n">
        <v>4.8</v>
      </c>
      <c r="M78" t="n">
        <v>0.07000000000000001</v>
      </c>
      <c r="N78" t="inlineStr">
        <is>
          <t>ciws_l</t>
        </is>
      </c>
      <c r="O78" t="inlineStr">
        <is>
          <t>ciws</t>
        </is>
      </c>
      <c r="P78" t="inlineStr">
        <is>
          <t>2</t>
        </is>
      </c>
      <c r="Q78" t="inlineStr">
        <is>
          <t>Part_mg</t>
        </is>
      </c>
      <c r="S78" t="n">
        <v>1.8</v>
      </c>
      <c r="W78" t="inlineStr">
        <is>
          <t>aps</t>
        </is>
      </c>
      <c r="Y78" t="inlineStr">
        <is>
          <t>wreck_turret</t>
        </is>
      </c>
      <c r="Z78" t="inlineStr">
        <is>
          <t>Assets/MachineBrigade/Resources/Data/balance.json: vehicles[152].parts[5]</t>
        </is>
      </c>
      <c r="AA78" t="inlineStr">
        <is>
          <t>{"id":"ciws_l","kind":"ciws","hp":0.07,"armour":2,"node":"Part_mg","wreck":"wreck_turret","at":[-5.3,-3.7,4.8],"radius":1.8,"mounts":[2],"stops":["aps"]}</t>
        </is>
      </c>
    </row>
    <row r="79">
      <c r="A79" t="inlineStr">
        <is>
          <t>landing_hovercraft/ciws_r</t>
        </is>
      </c>
      <c r="B79" t="inlineStr">
        <is>
          <t>landing_hovercraft</t>
        </is>
      </c>
      <c r="C79" t="n">
        <v>6</v>
      </c>
      <c r="F79" t="n">
        <v>2</v>
      </c>
      <c r="G79" t="n">
        <v>5.3</v>
      </c>
      <c r="H79" t="n">
        <v>-3.7</v>
      </c>
      <c r="I79" t="n">
        <v>4.8</v>
      </c>
      <c r="M79" t="n">
        <v>0.07000000000000001</v>
      </c>
      <c r="N79" t="inlineStr">
        <is>
          <t>ciws_r</t>
        </is>
      </c>
      <c r="O79" t="inlineStr">
        <is>
          <t>ciws</t>
        </is>
      </c>
      <c r="P79" t="inlineStr">
        <is>
          <t>3</t>
        </is>
      </c>
      <c r="Q79" t="inlineStr">
        <is>
          <t>Part_mg.001</t>
        </is>
      </c>
      <c r="S79" t="n">
        <v>1.8</v>
      </c>
      <c r="W79" t="inlineStr">
        <is>
          <t>aps</t>
        </is>
      </c>
      <c r="Y79" t="inlineStr">
        <is>
          <t>wreck_turret</t>
        </is>
      </c>
      <c r="Z79" t="inlineStr">
        <is>
          <t>Assets/MachineBrigade/Resources/Data/balance.json: vehicles[152].parts[6]</t>
        </is>
      </c>
      <c r="AA79" t="inlineStr">
        <is>
          <t>{"id":"ciws_r","kind":"ciws","hp":0.07,"armour":2,"node":"Part_mg.001","wreck":"wreck_turret","at":[5.3,-3.7,4.8],"radius":1.8,"mounts":[3],"stops":["aps"]}</t>
        </is>
      </c>
    </row>
    <row r="80">
      <c r="A80" t="inlineStr">
        <is>
          <t>landing_hovercraft/fan_l</t>
        </is>
      </c>
      <c r="B80" t="inlineStr">
        <is>
          <t>landing_hovercraft</t>
        </is>
      </c>
      <c r="C80" t="n">
        <v>1</v>
      </c>
      <c r="F80" t="n">
        <v>1</v>
      </c>
      <c r="G80" t="n">
        <v>-5.3</v>
      </c>
      <c r="H80" t="n">
        <v>-10.9</v>
      </c>
      <c r="I80" t="n">
        <v>6.5</v>
      </c>
      <c r="M80" t="n">
        <v>0.07000000000000001</v>
      </c>
      <c r="N80" t="inlineStr">
        <is>
          <t>fan_l</t>
        </is>
      </c>
      <c r="O80" t="inlineStr">
        <is>
          <t>fan</t>
        </is>
      </c>
      <c r="Q80" t="inlineStr">
        <is>
          <t>Part_fan</t>
        </is>
      </c>
      <c r="S80" t="n">
        <v>3</v>
      </c>
      <c r="U80" t="n">
        <v>0.7</v>
      </c>
      <c r="Y80" t="inlineStr">
        <is>
          <t>wreck_engine</t>
        </is>
      </c>
      <c r="Z80" t="inlineStr">
        <is>
          <t>Assets/MachineBrigade/Resources/Data/balance.json: vehicles[152].parts[1]</t>
        </is>
      </c>
      <c r="AA80" t="inlineStr">
        <is>
          <t>{"id":"fan_l","kind":"fan","hp":0.07,"armour":1,"node":"Part_fan","wreck":"wreck_engine","at":[-5.3,-10.9,6.5],"radius":3.0,"speed":0.7}</t>
        </is>
      </c>
    </row>
    <row r="81">
      <c r="A81" t="inlineStr">
        <is>
          <t>landing_hovercraft/fan_r</t>
        </is>
      </c>
      <c r="B81" t="inlineStr">
        <is>
          <t>landing_hovercraft</t>
        </is>
      </c>
      <c r="C81" t="n">
        <v>2</v>
      </c>
      <c r="F81" t="n">
        <v>1</v>
      </c>
      <c r="G81" t="n">
        <v>5.3</v>
      </c>
      <c r="H81" t="n">
        <v>-10.9</v>
      </c>
      <c r="I81" t="n">
        <v>6.5</v>
      </c>
      <c r="M81" t="n">
        <v>0.07000000000000001</v>
      </c>
      <c r="N81" t="inlineStr">
        <is>
          <t>fan_r</t>
        </is>
      </c>
      <c r="O81" t="inlineStr">
        <is>
          <t>fan</t>
        </is>
      </c>
      <c r="Q81" t="inlineStr">
        <is>
          <t>Part_fan.001</t>
        </is>
      </c>
      <c r="S81" t="n">
        <v>3</v>
      </c>
      <c r="U81" t="n">
        <v>0.7</v>
      </c>
      <c r="Y81" t="inlineStr">
        <is>
          <t>wreck_engine</t>
        </is>
      </c>
      <c r="Z81" t="inlineStr">
        <is>
          <t>Assets/MachineBrigade/Resources/Data/balance.json: vehicles[152].parts[2]</t>
        </is>
      </c>
      <c r="AA81" t="inlineStr">
        <is>
          <t>{"id":"fan_r","kind":"fan","hp":0.07,"armour":1,"node":"Part_fan.001","wreck":"wreck_engine","at":[5.3,-10.9,6.5],"radius":3.0,"speed":0.7}</t>
        </is>
      </c>
    </row>
    <row r="82">
      <c r="A82" t="inlineStr">
        <is>
          <t>landing_hovercraft/gun_l</t>
        </is>
      </c>
      <c r="B82" t="inlineStr">
        <is>
          <t>landing_hovercraft</t>
        </is>
      </c>
      <c r="C82" t="n">
        <v>3</v>
      </c>
      <c r="F82" t="n">
        <v>3</v>
      </c>
      <c r="G82" t="n">
        <v>-5.3</v>
      </c>
      <c r="H82" t="n">
        <v>6.4</v>
      </c>
      <c r="I82" t="n">
        <v>4.3</v>
      </c>
      <c r="M82" t="n">
        <v>0.07000000000000001</v>
      </c>
      <c r="N82" t="inlineStr">
        <is>
          <t>gun_l</t>
        </is>
      </c>
      <c r="O82" t="inlineStr">
        <is>
          <t>gun</t>
        </is>
      </c>
      <c r="P82" t="inlineStr">
        <is>
          <t>0</t>
        </is>
      </c>
      <c r="Q82" t="inlineStr">
        <is>
          <t>Part_gun</t>
        </is>
      </c>
      <c r="S82" t="n">
        <v>1.8</v>
      </c>
      <c r="Y82" t="inlineStr">
        <is>
          <t>wreck_turret</t>
        </is>
      </c>
      <c r="Z82" t="inlineStr">
        <is>
          <t>Assets/MachineBrigade/Resources/Data/balance.json: vehicles[152].parts[3]</t>
        </is>
      </c>
      <c r="AA82" t="inlineStr">
        <is>
          <t>{"id":"gun_l","kind":"gun","hp":0.07,"armour":3,"node":"Part_gun","wreck":"wreck_turret","at":[-5.3,6.4,4.3],"radius":1.8,"mounts":[0]}</t>
        </is>
      </c>
    </row>
    <row r="83">
      <c r="A83" t="inlineStr">
        <is>
          <t>landing_hovercraft/gun_r</t>
        </is>
      </c>
      <c r="B83" t="inlineStr">
        <is>
          <t>landing_hovercraft</t>
        </is>
      </c>
      <c r="C83" t="n">
        <v>4</v>
      </c>
      <c r="F83" t="n">
        <v>3</v>
      </c>
      <c r="G83" t="n">
        <v>5.3</v>
      </c>
      <c r="H83" t="n">
        <v>3</v>
      </c>
      <c r="I83" t="n">
        <v>4.3</v>
      </c>
      <c r="M83" t="n">
        <v>0.07000000000000001</v>
      </c>
      <c r="N83" t="inlineStr">
        <is>
          <t>gun_r</t>
        </is>
      </c>
      <c r="O83" t="inlineStr">
        <is>
          <t>gun</t>
        </is>
      </c>
      <c r="P83" t="inlineStr">
        <is>
          <t>1</t>
        </is>
      </c>
      <c r="Q83" t="inlineStr">
        <is>
          <t>Part_gun.001</t>
        </is>
      </c>
      <c r="S83" t="n">
        <v>1.8</v>
      </c>
      <c r="Y83" t="inlineStr">
        <is>
          <t>wreck_turret</t>
        </is>
      </c>
      <c r="Z83" t="inlineStr">
        <is>
          <t>Assets/MachineBrigade/Resources/Data/balance.json: vehicles[152].parts[4]</t>
        </is>
      </c>
      <c r="AA83" t="inlineStr">
        <is>
          <t>{"id":"gun_r","kind":"gun","hp":0.07,"armour":3,"node":"Part_gun.001","wreck":"wreck_turret","at":[5.3,3.0,4.3],"radius":1.8,"mounts":[1]}</t>
        </is>
      </c>
    </row>
    <row r="84">
      <c r="A84" t="inlineStr">
        <is>
          <t>landing_hovercraft/ramp</t>
        </is>
      </c>
      <c r="B84" t="inlineStr">
        <is>
          <t>landing_hovercraft</t>
        </is>
      </c>
      <c r="C84" t="n">
        <v>0</v>
      </c>
      <c r="F84" t="n">
        <v>3</v>
      </c>
      <c r="G84" t="n">
        <v>0</v>
      </c>
      <c r="H84" t="n">
        <v>12.5</v>
      </c>
      <c r="I84" t="n">
        <v>2.3</v>
      </c>
      <c r="M84" t="n">
        <v>0.12</v>
      </c>
      <c r="N84" t="inlineStr">
        <is>
          <t>ramp</t>
        </is>
      </c>
      <c r="O84" t="inlineStr">
        <is>
          <t>ramp</t>
        </is>
      </c>
      <c r="Q84" t="inlineStr">
        <is>
          <t>Part_ramp</t>
        </is>
      </c>
      <c r="R84" t="inlineStr">
        <is>
          <t>radio.part.ramp</t>
        </is>
      </c>
      <c r="S84" t="n">
        <v>3</v>
      </c>
      <c r="W84" t="inlineStr">
        <is>
          <t>landing</t>
        </is>
      </c>
      <c r="Y84" t="inlineStr">
        <is>
          <t>wreck_stump</t>
        </is>
      </c>
      <c r="Z84" t="inlineStr">
        <is>
          <t>Assets/MachineBrigade/Resources/Data/balance.json: vehicles[152].parts[0]</t>
        </is>
      </c>
      <c r="AA84" t="inlineStr">
        <is>
          <t>{"id":"ramp","kind":"ramp","hp":0.12,"armour":3,"node":"Part_ramp","wreck":"wreck_stump","at":[0,12.5,2.3],"radius":3.0,"stops":["landing"],"radio":"radio.part.ramp"}</t>
        </is>
      </c>
    </row>
    <row r="85">
      <c r="A85" t="inlineStr">
        <is>
          <t>landing_hovercraft/rockets_l</t>
        </is>
      </c>
      <c r="B85" t="inlineStr">
        <is>
          <t>landing_hovercraft</t>
        </is>
      </c>
      <c r="C85" t="n">
        <v>7</v>
      </c>
      <c r="F85" t="n">
        <v>2</v>
      </c>
      <c r="G85" t="n">
        <v>-5.3</v>
      </c>
      <c r="H85" t="n">
        <v>11.2</v>
      </c>
      <c r="I85" t="n">
        <v>4.6</v>
      </c>
      <c r="M85" t="n">
        <v>0.07000000000000001</v>
      </c>
      <c r="N85" t="inlineStr">
        <is>
          <t>rockets_l</t>
        </is>
      </c>
      <c r="O85" t="inlineStr">
        <is>
          <t>rockets</t>
        </is>
      </c>
      <c r="P85" t="inlineStr">
        <is>
          <t>4</t>
        </is>
      </c>
      <c r="Q85" t="inlineStr">
        <is>
          <t>Part_rocket</t>
        </is>
      </c>
      <c r="S85" t="n">
        <v>1.8</v>
      </c>
      <c r="Y85" t="inlineStr">
        <is>
          <t>wreck_launcher</t>
        </is>
      </c>
      <c r="Z85" t="inlineStr">
        <is>
          <t>Assets/MachineBrigade/Resources/Data/balance.json: vehicles[152].parts[7]</t>
        </is>
      </c>
      <c r="AA85" t="inlineStr">
        <is>
          <t>{"id":"rockets_l","kind":"rockets","hp":0.07,"armour":2,"node":"Part_rocket","wreck":"wreck_launcher","at":[-5.3,11.2,4.6],"radius":1.8,"mounts":[4]}</t>
        </is>
      </c>
    </row>
    <row r="86">
      <c r="A86" t="inlineStr">
        <is>
          <t>landing_hovercraft/rockets_r</t>
        </is>
      </c>
      <c r="B86" t="inlineStr">
        <is>
          <t>landing_hovercraft</t>
        </is>
      </c>
      <c r="C86" t="n">
        <v>8</v>
      </c>
      <c r="F86" t="n">
        <v>2</v>
      </c>
      <c r="G86" t="n">
        <v>5.3</v>
      </c>
      <c r="H86" t="n">
        <v>11.2</v>
      </c>
      <c r="I86" t="n">
        <v>4.6</v>
      </c>
      <c r="M86" t="n">
        <v>0.07000000000000001</v>
      </c>
      <c r="N86" t="inlineStr">
        <is>
          <t>rockets_r</t>
        </is>
      </c>
      <c r="O86" t="inlineStr">
        <is>
          <t>rockets</t>
        </is>
      </c>
      <c r="P86" t="inlineStr">
        <is>
          <t>5</t>
        </is>
      </c>
      <c r="Q86" t="inlineStr">
        <is>
          <t>Part_rocket.001</t>
        </is>
      </c>
      <c r="S86" t="n">
        <v>1.8</v>
      </c>
      <c r="Y86" t="inlineStr">
        <is>
          <t>wreck_launcher</t>
        </is>
      </c>
      <c r="Z86" t="inlineStr">
        <is>
          <t>Assets/MachineBrigade/Resources/Data/balance.json: vehicles[152].parts[8]</t>
        </is>
      </c>
      <c r="AA86" t="inlineStr">
        <is>
          <t>{"id":"rockets_r","kind":"rockets","hp":0.07,"armour":2,"node":"Part_rocket.001","wreck":"wreck_launcher","at":[5.3,11.2,4.6],"radius":1.8,"mounts":[5]}</t>
        </is>
      </c>
    </row>
    <row r="87">
      <c r="A87" t="inlineStr">
        <is>
          <t>leviathan/aa_port</t>
        </is>
      </c>
      <c r="B87" t="inlineStr">
        <is>
          <t>leviathan</t>
        </is>
      </c>
      <c r="C87" t="n">
        <v>6</v>
      </c>
      <c r="F87" t="n">
        <v>1</v>
      </c>
      <c r="G87" t="n">
        <v>-6.1</v>
      </c>
      <c r="H87" t="n">
        <v>-4.5</v>
      </c>
      <c r="I87" t="n">
        <v>4.6</v>
      </c>
      <c r="M87" t="n">
        <v>0.05</v>
      </c>
      <c r="N87" t="inlineStr">
        <is>
          <t>aa_port</t>
        </is>
      </c>
      <c r="O87" t="inlineStr">
        <is>
          <t>flak</t>
        </is>
      </c>
      <c r="P87" t="inlineStr">
        <is>
          <t>7;8;9;10</t>
        </is>
      </c>
      <c r="Q87" t="inlineStr">
        <is>
          <t>Part_aa_l</t>
        </is>
      </c>
      <c r="S87" t="n">
        <v>5</v>
      </c>
      <c r="Y87" t="inlineStr">
        <is>
          <t>wreck_turret</t>
        </is>
      </c>
      <c r="Z87" t="inlineStr">
        <is>
          <t>Assets/MachineBrigade/Resources/Data/balance.json: vehicles[153].parts[6]</t>
        </is>
      </c>
      <c r="AA87" t="inlineStr">
        <is>
          <t>{"id":"aa_port","kind":"flak","hp":0.05,"armour":1,"node":"Part_aa_l","wreck":"wreck_turret","at":[-6.1,-4.5,4.6],"radius":5.0,"mounts":[7,8,9,10]}</t>
        </is>
      </c>
    </row>
    <row r="88">
      <c r="A88" t="inlineStr">
        <is>
          <t>leviathan/aa_starboard</t>
        </is>
      </c>
      <c r="B88" t="inlineStr">
        <is>
          <t>leviathan</t>
        </is>
      </c>
      <c r="C88" t="n">
        <v>7</v>
      </c>
      <c r="F88" t="n">
        <v>1</v>
      </c>
      <c r="G88" t="n">
        <v>6.1</v>
      </c>
      <c r="H88" t="n">
        <v>-4.5</v>
      </c>
      <c r="I88" t="n">
        <v>4.6</v>
      </c>
      <c r="M88" t="n">
        <v>0.05</v>
      </c>
      <c r="N88" t="inlineStr">
        <is>
          <t>aa_starboard</t>
        </is>
      </c>
      <c r="O88" t="inlineStr">
        <is>
          <t>flak</t>
        </is>
      </c>
      <c r="P88" t="inlineStr">
        <is>
          <t>11;12;13;14</t>
        </is>
      </c>
      <c r="Q88" t="inlineStr">
        <is>
          <t>Part_aa_r</t>
        </is>
      </c>
      <c r="S88" t="n">
        <v>5</v>
      </c>
      <c r="Y88" t="inlineStr">
        <is>
          <t>wreck_turret</t>
        </is>
      </c>
      <c r="Z88" t="inlineStr">
        <is>
          <t>Assets/MachineBrigade/Resources/Data/balance.json: vehicles[153].parts[7]</t>
        </is>
      </c>
      <c r="AA88" t="inlineStr">
        <is>
          <t>{"id":"aa_starboard","kind":"flak","hp":0.05,"armour":1,"node":"Part_aa_r","wreck":"wreck_turret","at":[6.1,-4.5,4.6],"radius":5.0,"mounts":[11,12,13,14]}</t>
        </is>
      </c>
    </row>
    <row r="89">
      <c r="A89" t="inlineStr">
        <is>
          <t>leviathan/ciws_aft</t>
        </is>
      </c>
      <c r="B89" t="inlineStr">
        <is>
          <t>leviathan</t>
        </is>
      </c>
      <c r="C89" t="n">
        <v>9</v>
      </c>
      <c r="F89" t="n">
        <v>2</v>
      </c>
      <c r="G89" t="n">
        <v>-2.1</v>
      </c>
      <c r="H89" t="n">
        <v>-16.5</v>
      </c>
      <c r="I89" t="n">
        <v>6.9</v>
      </c>
      <c r="M89" t="n">
        <v>0.05</v>
      </c>
      <c r="N89" t="inlineStr">
        <is>
          <t>ciws_aft</t>
        </is>
      </c>
      <c r="O89" t="inlineStr">
        <is>
          <t>ciws</t>
        </is>
      </c>
      <c r="P89" t="inlineStr">
        <is>
          <t>6</t>
        </is>
      </c>
      <c r="Q89" t="inlineStr">
        <is>
          <t>Part_mg.001</t>
        </is>
      </c>
      <c r="R89" t="inlineStr">
        <is>
          <t>radio.part.ciws</t>
        </is>
      </c>
      <c r="S89" t="n">
        <v>1.8</v>
      </c>
      <c r="W89" t="inlineStr">
        <is>
          <t>aps</t>
        </is>
      </c>
      <c r="Y89" t="inlineStr">
        <is>
          <t>wreck_turret</t>
        </is>
      </c>
      <c r="Z89" t="inlineStr">
        <is>
          <t>Assets/MachineBrigade/Resources/Data/balance.json: vehicles[153].parts[9]</t>
        </is>
      </c>
      <c r="AA89" t="inlineStr">
        <is>
          <t>{"id":"ciws_aft","kind":"ciws","hp":0.05,"armour":2,"node":"Part_mg.001","wreck":"wreck_turret","at":[-2.1,-16.5,6.9],"radius":1.8,"mounts":[6],"stops":["aps"],"radio":"radio.part.ciws"}</t>
        </is>
      </c>
    </row>
    <row r="90">
      <c r="A90" t="inlineStr">
        <is>
          <t>leviathan/ciws_fore</t>
        </is>
      </c>
      <c r="B90" t="inlineStr">
        <is>
          <t>leviathan</t>
        </is>
      </c>
      <c r="C90" t="n">
        <v>8</v>
      </c>
      <c r="F90" t="n">
        <v>2</v>
      </c>
      <c r="G90" t="n">
        <v>3.4</v>
      </c>
      <c r="H90" t="n">
        <v>3.4</v>
      </c>
      <c r="I90" t="n">
        <v>9.9</v>
      </c>
      <c r="M90" t="n">
        <v>0.05</v>
      </c>
      <c r="N90" t="inlineStr">
        <is>
          <t>ciws_fore</t>
        </is>
      </c>
      <c r="O90" t="inlineStr">
        <is>
          <t>ciws</t>
        </is>
      </c>
      <c r="P90" t="inlineStr">
        <is>
          <t>5</t>
        </is>
      </c>
      <c r="Q90" t="inlineStr">
        <is>
          <t>Part_mg</t>
        </is>
      </c>
      <c r="S90" t="n">
        <v>1.8</v>
      </c>
      <c r="W90" t="inlineStr">
        <is>
          <t>aps</t>
        </is>
      </c>
      <c r="Y90" t="inlineStr">
        <is>
          <t>wreck_turret</t>
        </is>
      </c>
      <c r="Z90" t="inlineStr">
        <is>
          <t>Assets/MachineBrigade/Resources/Data/balance.json: vehicles[153].parts[8]</t>
        </is>
      </c>
      <c r="AA90" t="inlineStr">
        <is>
          <t>{"id":"ciws_fore","kind":"ciws","hp":0.05,"armour":2,"node":"Part_mg","wreck":"wreck_turret","at":[3.4,3.4,9.9],"radius":1.8,"mounts":[5],"stops":["aps"]}</t>
        </is>
      </c>
    </row>
    <row r="91">
      <c r="A91" t="inlineStr">
        <is>
          <t>leviathan/flight_deck</t>
        </is>
      </c>
      <c r="B91" t="inlineStr">
        <is>
          <t>leviathan</t>
        </is>
      </c>
      <c r="C91" t="n">
        <v>11</v>
      </c>
      <c r="F91" t="n">
        <v>2</v>
      </c>
      <c r="G91" t="n">
        <v>0</v>
      </c>
      <c r="H91" t="n">
        <v>-36</v>
      </c>
      <c r="I91" t="n">
        <v>3.9</v>
      </c>
      <c r="M91" t="n">
        <v>0.05</v>
      </c>
      <c r="N91" t="inlineStr">
        <is>
          <t>flight_deck</t>
        </is>
      </c>
      <c r="O91" t="inlineStr">
        <is>
          <t>flightdeck</t>
        </is>
      </c>
      <c r="Q91" t="inlineStr">
        <is>
          <t>Part_deck</t>
        </is>
      </c>
      <c r="R91" t="inlineStr">
        <is>
          <t>radio.part.flightdeck</t>
        </is>
      </c>
      <c r="S91" t="n">
        <v>5.5</v>
      </c>
      <c r="T91" t="inlineStr">
        <is>
          <t>leviathan_helos</t>
        </is>
      </c>
      <c r="Y91" t="inlineStr">
        <is>
          <t>wreck_stump</t>
        </is>
      </c>
      <c r="Z91" t="inlineStr">
        <is>
          <t>Assets/MachineBrigade/Resources/Data/balance.json: vehicles[153].parts[11]</t>
        </is>
      </c>
      <c r="AA91" t="inlineStr">
        <is>
          <t>{"id":"flight_deck","kind":"flightdeck","hp":0.05,"armour":2,"node":"Part_deck","wreck":"wreck_stump","at":[0,-36.0,3.9],"radius":5.5,"skills":["leviathan_helos"],"radio":"radio.part.flightdeck"}</t>
        </is>
      </c>
    </row>
    <row r="92">
      <c r="A92" t="inlineStr">
        <is>
          <t>leviathan/machinery</t>
        </is>
      </c>
      <c r="B92" t="inlineStr">
        <is>
          <t>leviathan</t>
        </is>
      </c>
      <c r="C92" t="n">
        <v>13</v>
      </c>
      <c r="F92" t="n">
        <v>3</v>
      </c>
      <c r="G92" t="n">
        <v>0</v>
      </c>
      <c r="H92" t="n">
        <v>-8.5</v>
      </c>
      <c r="I92" t="n">
        <v>11.5</v>
      </c>
      <c r="M92" t="n">
        <v>0.05</v>
      </c>
      <c r="N92" t="inlineStr">
        <is>
          <t>machinery</t>
        </is>
      </c>
      <c r="O92" t="inlineStr">
        <is>
          <t>engine</t>
        </is>
      </c>
      <c r="Q92" t="inlineStr">
        <is>
          <t>Part_engine</t>
        </is>
      </c>
      <c r="R92" t="inlineStr">
        <is>
          <t>radio.part.machinery</t>
        </is>
      </c>
      <c r="S92" t="n">
        <v>3.2</v>
      </c>
      <c r="U92" t="n">
        <v>0.65</v>
      </c>
      <c r="Y92" t="inlineStr">
        <is>
          <t>wreck_engine</t>
        </is>
      </c>
      <c r="Z92" t="inlineStr">
        <is>
          <t>Assets/MachineBrigade/Resources/Data/balance.json: vehicles[153].parts[13]</t>
        </is>
      </c>
      <c r="AA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F93" t="n">
        <v>1</v>
      </c>
      <c r="G93" t="n">
        <v>0</v>
      </c>
      <c r="H93" t="n">
        <v>1</v>
      </c>
      <c r="I93" t="n">
        <v>19.5</v>
      </c>
      <c r="L93" t="inlineStr">
        <is>
          <t>energy</t>
        </is>
      </c>
      <c r="M93" t="n">
        <v>0.05</v>
      </c>
      <c r="N93" t="inlineStr">
        <is>
          <t>radar</t>
        </is>
      </c>
      <c r="O93" t="inlineStr">
        <is>
          <t>radar</t>
        </is>
      </c>
      <c r="P93" t="inlineStr">
        <is>
          <t>15</t>
        </is>
      </c>
      <c r="Q93" t="inlineStr">
        <is>
          <t>Part_radar</t>
        </is>
      </c>
      <c r="R93" t="inlineStr">
        <is>
          <t>radio.part.radar</t>
        </is>
      </c>
      <c r="S93" t="n">
        <v>2.6</v>
      </c>
      <c r="V93" t="n">
        <v>2</v>
      </c>
      <c r="W93" t="inlineStr">
        <is>
          <t>radar</t>
        </is>
      </c>
      <c r="Y93" t="inlineStr">
        <is>
          <t>wreck_stump</t>
        </is>
      </c>
      <c r="Z93" t="inlineStr">
        <is>
          <t>Assets/MachineBrigade/Resources/Data/balance.json: vehicles[153].parts[10]</t>
        </is>
      </c>
      <c r="AA93" t="inlineStr">
        <is>
          <t>{"id":"radar","mounts":[15],"kind":"radar","hp":0.05,"armour":1,"node":"Part_radar","wreck":"wreck_stump","at":[0,1.0,19.5],"radius":2.6,"stops":["radar"],"spread":2,"affects":[5,6],"fx":"energy","radio":"radio.part.radar"}</t>
        </is>
      </c>
    </row>
    <row r="94">
      <c r="A94" t="inlineStr">
        <is>
          <t>leviathan/sec_aft</t>
        </is>
      </c>
      <c r="B94" t="inlineStr">
        <is>
          <t>leviathan</t>
        </is>
      </c>
      <c r="C94" t="n">
        <v>4</v>
      </c>
      <c r="F94" t="n">
        <v>2</v>
      </c>
      <c r="G94" t="n">
        <v>0</v>
      </c>
      <c r="H94" t="n">
        <v>-19.8</v>
      </c>
      <c r="I94" t="n">
        <v>7.7</v>
      </c>
      <c r="M94" t="n">
        <v>0.05</v>
      </c>
      <c r="N94" t="inlineStr">
        <is>
          <t>sec_aft</t>
        </is>
      </c>
      <c r="O94" t="inlineStr">
        <is>
          <t>gun</t>
        </is>
      </c>
      <c r="P94" t="inlineStr">
        <is>
          <t>4</t>
        </is>
      </c>
      <c r="Q94" t="inlineStr">
        <is>
          <t>Part_sec_a</t>
        </is>
      </c>
      <c r="S94" t="n">
        <v>2.4</v>
      </c>
      <c r="Y94" t="inlineStr">
        <is>
          <t>wreck_turret</t>
        </is>
      </c>
      <c r="Z94" t="inlineStr">
        <is>
          <t>Assets/MachineBrigade/Resources/Data/balance.json: vehicles[153].parts[4]</t>
        </is>
      </c>
      <c r="AA94" t="inlineStr">
        <is>
          <t>{"id":"sec_aft","kind":"gun","hp":0.05,"armour":2,"node":"Part_sec_a","wreck":"wreck_turret","at":[0,-19.8,7.7],"radius":2.4,"mounts":[4]}</t>
        </is>
      </c>
    </row>
    <row r="95">
      <c r="A95" t="inlineStr">
        <is>
          <t>leviathan/sec_fore</t>
        </is>
      </c>
      <c r="B95" t="inlineStr">
        <is>
          <t>leviathan</t>
        </is>
      </c>
      <c r="C95" t="n">
        <v>3</v>
      </c>
      <c r="F95" t="n">
        <v>2</v>
      </c>
      <c r="G95" t="n">
        <v>0</v>
      </c>
      <c r="H95" t="n">
        <v>7.2</v>
      </c>
      <c r="I95" t="n">
        <v>10.5</v>
      </c>
      <c r="M95" t="n">
        <v>0.05</v>
      </c>
      <c r="N95" t="inlineStr">
        <is>
          <t>sec_fore</t>
        </is>
      </c>
      <c r="O95" t="inlineStr">
        <is>
          <t>gun</t>
        </is>
      </c>
      <c r="P95" t="inlineStr">
        <is>
          <t>3</t>
        </is>
      </c>
      <c r="Q95" t="inlineStr">
        <is>
          <t>Part_sec_f</t>
        </is>
      </c>
      <c r="S95" t="n">
        <v>2.4</v>
      </c>
      <c r="Y95" t="inlineStr">
        <is>
          <t>wreck_turret</t>
        </is>
      </c>
      <c r="Z95" t="inlineStr">
        <is>
          <t>Assets/MachineBrigade/Resources/Data/balance.json: vehicles[153].parts[3]</t>
        </is>
      </c>
      <c r="AA95" t="inlineStr">
        <is>
          <t>{"id":"sec_fore","kind":"gun","hp":0.05,"armour":2,"node":"Part_sec_f","wreck":"wreck_turret","at":[0,7.2,10.5],"radius":2.4,"mounts":[3]}</t>
        </is>
      </c>
    </row>
    <row r="96">
      <c r="A96" t="inlineStr">
        <is>
          <t>leviathan/turret_aft</t>
        </is>
      </c>
      <c r="B96" t="inlineStr">
        <is>
          <t>leviathan</t>
        </is>
      </c>
      <c r="C96" t="n">
        <v>2</v>
      </c>
      <c r="F96" t="n">
        <v>4</v>
      </c>
      <c r="G96" t="n">
        <v>0</v>
      </c>
      <c r="H96" t="n">
        <v>-25.6</v>
      </c>
      <c r="I96" t="n">
        <v>5.8</v>
      </c>
      <c r="M96" t="n">
        <v>0.05</v>
      </c>
      <c r="N96" t="inlineStr">
        <is>
          <t>turret_aft</t>
        </is>
      </c>
      <c r="O96" t="inlineStr">
        <is>
          <t>maingun</t>
        </is>
      </c>
      <c r="P96" t="inlineStr">
        <is>
          <t>2</t>
        </is>
      </c>
      <c r="Q96" t="inlineStr">
        <is>
          <t>Part_gun.002</t>
        </is>
      </c>
      <c r="S96" t="n">
        <v>3.8</v>
      </c>
      <c r="Y96" t="inlineStr">
        <is>
          <t>wreck_turret</t>
        </is>
      </c>
      <c r="Z96" t="inlineStr">
        <is>
          <t>Assets/MachineBrigade/Resources/Data/balance.json: vehicles[153].parts[2]</t>
        </is>
      </c>
      <c r="AA96" t="inlineStr">
        <is>
          <t>{"id":"turret_aft","kind":"maingun","hp":0.05,"armour":4,"node":"Part_gun.002","wreck":"wreck_turret","at":[0,-25.6,5.8],"radius":3.8,"mounts":[2]}</t>
        </is>
      </c>
    </row>
    <row r="97">
      <c r="A97" t="inlineStr">
        <is>
          <t>leviathan/turret_fore</t>
        </is>
      </c>
      <c r="B97" t="inlineStr">
        <is>
          <t>leviathan</t>
        </is>
      </c>
      <c r="C97" t="n">
        <v>0</v>
      </c>
      <c r="F97" t="n">
        <v>4</v>
      </c>
      <c r="G97" t="n">
        <v>0</v>
      </c>
      <c r="H97" t="n">
        <v>21.4</v>
      </c>
      <c r="I97" t="n">
        <v>6.4</v>
      </c>
      <c r="M97" t="n">
        <v>0.05</v>
      </c>
      <c r="N97" t="inlineStr">
        <is>
          <t>turret_fore</t>
        </is>
      </c>
      <c r="O97" t="inlineStr">
        <is>
          <t>maingun</t>
        </is>
      </c>
      <c r="P97" t="inlineStr">
        <is>
          <t>0</t>
        </is>
      </c>
      <c r="Q97" t="inlineStr">
        <is>
          <t>Part_gun</t>
        </is>
      </c>
      <c r="R97" t="inlineStr">
        <is>
          <t>radio.part.maingun</t>
        </is>
      </c>
      <c r="S97" t="n">
        <v>3.8</v>
      </c>
      <c r="Y97" t="inlineStr">
        <is>
          <t>wreck_turret</t>
        </is>
      </c>
      <c r="Z97" t="inlineStr">
        <is>
          <t>Assets/MachineBrigade/Resources/Data/balance.json: vehicles[153].parts[0]</t>
        </is>
      </c>
      <c r="AA97" t="inlineStr">
        <is>
          <t>{"id":"turret_fore","kind":"maingun","hp":0.05,"armour":4,"node":"Part_gun","wreck":"wreck_turret","at":[0,21.4,6.4],"radius":3.8,"mounts":[0],"radio":"radio.part.maingun"}</t>
        </is>
      </c>
    </row>
    <row r="98">
      <c r="A98" t="inlineStr">
        <is>
          <t>leviathan/turret_super</t>
        </is>
      </c>
      <c r="B98" t="inlineStr">
        <is>
          <t>leviathan</t>
        </is>
      </c>
      <c r="C98" t="n">
        <v>1</v>
      </c>
      <c r="F98" t="n">
        <v>4</v>
      </c>
      <c r="G98" t="n">
        <v>0</v>
      </c>
      <c r="H98" t="n">
        <v>13</v>
      </c>
      <c r="I98" t="n">
        <v>8.199999999999999</v>
      </c>
      <c r="M98" t="n">
        <v>0.05</v>
      </c>
      <c r="N98" t="inlineStr">
        <is>
          <t>turret_super</t>
        </is>
      </c>
      <c r="O98" t="inlineStr">
        <is>
          <t>maingun</t>
        </is>
      </c>
      <c r="P98" t="inlineStr">
        <is>
          <t>1</t>
        </is>
      </c>
      <c r="Q98" t="inlineStr">
        <is>
          <t>Part_gun.001</t>
        </is>
      </c>
      <c r="S98" t="n">
        <v>3.8</v>
      </c>
      <c r="Y98" t="inlineStr">
        <is>
          <t>wreck_turret</t>
        </is>
      </c>
      <c r="Z98" t="inlineStr">
        <is>
          <t>Assets/MachineBrigade/Resources/Data/balance.json: vehicles[153].parts[1]</t>
        </is>
      </c>
      <c r="AA98" t="inlineStr">
        <is>
          <t>{"id":"turret_super","kind":"maingun","hp":0.05,"armour":4,"node":"Part_gun.001","wreck":"wreck_turret","at":[0,13.0,8.2],"radius":3.8,"mounts":[1]}</t>
        </is>
      </c>
    </row>
    <row r="99">
      <c r="A99" t="inlineStr">
        <is>
          <t>leviathan/vls</t>
        </is>
      </c>
      <c r="B99" t="inlineStr">
        <is>
          <t>leviathan</t>
        </is>
      </c>
      <c r="C99" t="n">
        <v>5</v>
      </c>
      <c r="F99" t="n">
        <v>2</v>
      </c>
      <c r="G99" t="n">
        <v>0</v>
      </c>
      <c r="H99" t="n">
        <v>-5.6</v>
      </c>
      <c r="I99" t="n">
        <v>7.8</v>
      </c>
      <c r="M99" t="n">
        <v>0.05</v>
      </c>
      <c r="N99" t="inlineStr">
        <is>
          <t>vls</t>
        </is>
      </c>
      <c r="O99" t="inlineStr">
        <is>
          <t>vls</t>
        </is>
      </c>
      <c r="Q99" t="inlineStr">
        <is>
          <t>Part_vls</t>
        </is>
      </c>
      <c r="R99" t="inlineStr">
        <is>
          <t>radio.part.vls</t>
        </is>
      </c>
      <c r="S99" t="n">
        <v>3.8</v>
      </c>
      <c r="W99" t="inlineStr">
        <is>
          <t>cruise</t>
        </is>
      </c>
      <c r="Y99" t="inlineStr">
        <is>
          <t>wreck_launcher</t>
        </is>
      </c>
      <c r="Z99" t="inlineStr">
        <is>
          <t>Assets/MachineBrigade/Resources/Data/balance.json: vehicles[153].parts[5]</t>
        </is>
      </c>
      <c r="AA99" t="inlineStr">
        <is>
          <t>{"id":"vls","kind":"vls","hp":0.05,"armour":2,"node":"Part_vls","wreck":"wreck_launcher","at":[0,-5.6,7.8],"radius":3.8,"stops":["cruise"],"radio":"radio.part.vls"}</t>
        </is>
      </c>
    </row>
    <row r="100">
      <c r="A100" t="inlineStr">
        <is>
          <t>leviathan/well_deck</t>
        </is>
      </c>
      <c r="B100" t="inlineStr">
        <is>
          <t>leviathan</t>
        </is>
      </c>
      <c r="C100" t="n">
        <v>12</v>
      </c>
      <c r="F100" t="n">
        <v>2</v>
      </c>
      <c r="G100" t="n">
        <v>0</v>
      </c>
      <c r="H100" t="n">
        <v>-42.75</v>
      </c>
      <c r="I100" t="n">
        <v>1.9</v>
      </c>
      <c r="M100" t="n">
        <v>0.05</v>
      </c>
      <c r="N100" t="inlineStr">
        <is>
          <t>well_deck</t>
        </is>
      </c>
      <c r="O100" t="inlineStr">
        <is>
          <t>welldeck</t>
        </is>
      </c>
      <c r="Q100" t="inlineStr">
        <is>
          <t>Part_welldeck</t>
        </is>
      </c>
      <c r="R100" t="inlineStr">
        <is>
          <t>radio.part.welldeck</t>
        </is>
      </c>
      <c r="S100" t="n">
        <v>3</v>
      </c>
      <c r="W100" t="inlineStr">
        <is>
          <t>craft</t>
        </is>
      </c>
      <c r="Y100" t="inlineStr">
        <is>
          <t>wreck_stump</t>
        </is>
      </c>
      <c r="Z100" t="inlineStr">
        <is>
          <t>Assets/MachineBrigade/Resources/Data/balance.json: vehicles[153].parts[12]</t>
        </is>
      </c>
      <c r="AA100" t="inlineStr">
        <is>
          <t>{"id":"well_deck","kind":"welldeck","hp":0.05,"armour":2,"node":"Part_welldeck","wreck":"wreck_stump","at":[0,-42.75,1.9],"radius":3.0,"stops":["craft"],"radio":"radio.part.welldeck"}</t>
        </is>
      </c>
    </row>
    <row r="101">
      <c r="A101" t="inlineStr">
        <is>
          <t>mega_gunship/gun_l</t>
        </is>
      </c>
      <c r="B101" t="inlineStr">
        <is>
          <t>mega_gunship</t>
        </is>
      </c>
      <c r="C101" t="n">
        <v>0</v>
      </c>
      <c r="F101" t="n">
        <v>2</v>
      </c>
      <c r="G101" t="n">
        <v>-0.5600000000000001</v>
      </c>
      <c r="H101" t="n">
        <v>7.1</v>
      </c>
      <c r="I101" t="n">
        <v>1.1</v>
      </c>
      <c r="M101" t="n">
        <v>0.08</v>
      </c>
      <c r="N101" t="inlineStr">
        <is>
          <t>gun_l</t>
        </is>
      </c>
      <c r="O101" t="inlineStr">
        <is>
          <t>gun</t>
        </is>
      </c>
      <c r="P101" t="inlineStr">
        <is>
          <t>1</t>
        </is>
      </c>
      <c r="Q101" t="inlineStr">
        <is>
          <t>Mount_gun</t>
        </is>
      </c>
      <c r="S101" t="n">
        <v>1.5</v>
      </c>
      <c r="Y101" t="inlineStr">
        <is>
          <t>wreck_turret</t>
        </is>
      </c>
      <c r="Z101" t="inlineStr">
        <is>
          <t>Assets/MachineBrigade/Resources/Data/balance.json: vehicles[141].parts[0]</t>
        </is>
      </c>
      <c r="AA101" t="inlineStr">
        <is>
          <t>{"id":"gun_l","kind":"gun","hp":0.08,"armour":2,"node":"Mount_gun","wreck":"wreck_turret","at":[-0.56,7.1,1.1],"radius":1.5,"mounts":[1]}</t>
        </is>
      </c>
    </row>
    <row r="102">
      <c r="A102" t="inlineStr">
        <is>
          <t>mega_gunship/gun_r</t>
        </is>
      </c>
      <c r="B102" t="inlineStr">
        <is>
          <t>mega_gunship</t>
        </is>
      </c>
      <c r="C102" t="n">
        <v>1</v>
      </c>
      <c r="F102" t="n">
        <v>2</v>
      </c>
      <c r="G102" t="n">
        <v>0.5600000000000001</v>
      </c>
      <c r="H102" t="n">
        <v>7.1</v>
      </c>
      <c r="I102" t="n">
        <v>1.1</v>
      </c>
      <c r="M102" t="n">
        <v>0.08</v>
      </c>
      <c r="N102" t="inlineStr">
        <is>
          <t>gun_r</t>
        </is>
      </c>
      <c r="O102" t="inlineStr">
        <is>
          <t>gun</t>
        </is>
      </c>
      <c r="P102" t="inlineStr">
        <is>
          <t>2</t>
        </is>
      </c>
      <c r="Q102" t="inlineStr">
        <is>
          <t>Mount_gun.001</t>
        </is>
      </c>
      <c r="S102" t="n">
        <v>1.5</v>
      </c>
      <c r="Y102" t="inlineStr">
        <is>
          <t>wreck_turret</t>
        </is>
      </c>
      <c r="Z102" t="inlineStr">
        <is>
          <t>Assets/MachineBrigade/Resources/Data/balance.json: vehicles[141].parts[1]</t>
        </is>
      </c>
      <c r="AA102" t="inlineStr">
        <is>
          <t>{"id":"gun_r","kind":"gun","hp":0.08,"armour":2,"node":"Mount_gun.001","wreck":"wreck_turret","at":[0.56,7.1,1.1],"radius":1.5,"mounts":[2]}</t>
        </is>
      </c>
    </row>
    <row r="103">
      <c r="A103" t="inlineStr">
        <is>
          <t>mega_gunship/minigun_l</t>
        </is>
      </c>
      <c r="B103" t="inlineStr">
        <is>
          <t>mega_gunship</t>
        </is>
      </c>
      <c r="C103" t="n">
        <v>2</v>
      </c>
      <c r="F103" t="n">
        <v>2</v>
      </c>
      <c r="G103" t="n">
        <v>-1.52</v>
      </c>
      <c r="H103" t="n">
        <v>4.6</v>
      </c>
      <c r="I103" t="n">
        <v>1.9</v>
      </c>
      <c r="M103" t="n">
        <v>0.08</v>
      </c>
      <c r="N103" t="inlineStr">
        <is>
          <t>minigun_l</t>
        </is>
      </c>
      <c r="O103" t="inlineStr">
        <is>
          <t>minigun</t>
        </is>
      </c>
      <c r="P103" t="inlineStr">
        <is>
          <t>4</t>
        </is>
      </c>
      <c r="Q103" t="inlineStr">
        <is>
          <t>Mount_mg</t>
        </is>
      </c>
      <c r="S103" t="n">
        <v>1.5</v>
      </c>
      <c r="Y103" t="inlineStr">
        <is>
          <t>wreck_turret</t>
        </is>
      </c>
      <c r="Z103" t="inlineStr">
        <is>
          <t>Assets/MachineBrigade/Resources/Data/balance.json: vehicles[141].parts[2]</t>
        </is>
      </c>
      <c r="AA103" t="inlineStr">
        <is>
          <t>{"id":"minigun_l","kind":"minigun","hp":0.08,"armour":2,"node":"Mount_mg","wreck":"wreck_turret","at":[-1.52,4.6,1.9],"radius":1.5,"mounts":[4]}</t>
        </is>
      </c>
    </row>
    <row r="104">
      <c r="A104" t="inlineStr">
        <is>
          <t>mega_gunship/minigun_r</t>
        </is>
      </c>
      <c r="B104" t="inlineStr">
        <is>
          <t>mega_gunship</t>
        </is>
      </c>
      <c r="C104" t="n">
        <v>3</v>
      </c>
      <c r="F104" t="n">
        <v>2</v>
      </c>
      <c r="G104" t="n">
        <v>1.52</v>
      </c>
      <c r="H104" t="n">
        <v>4.6</v>
      </c>
      <c r="I104" t="n">
        <v>1.9</v>
      </c>
      <c r="M104" t="n">
        <v>0.08</v>
      </c>
      <c r="N104" t="inlineStr">
        <is>
          <t>minigun_r</t>
        </is>
      </c>
      <c r="O104" t="inlineStr">
        <is>
          <t>minigun</t>
        </is>
      </c>
      <c r="P104" t="inlineStr">
        <is>
          <t>5</t>
        </is>
      </c>
      <c r="Q104" t="inlineStr">
        <is>
          <t>Mount_mg.001</t>
        </is>
      </c>
      <c r="S104" t="n">
        <v>1.5</v>
      </c>
      <c r="Y104" t="inlineStr">
        <is>
          <t>wreck_turret</t>
        </is>
      </c>
      <c r="Z104" t="inlineStr">
        <is>
          <t>Assets/MachineBrigade/Resources/Data/balance.json: vehicles[141].parts[3]</t>
        </is>
      </c>
      <c r="AA104" t="inlineStr">
        <is>
          <t>{"id":"minigun_r","kind":"minigun","hp":0.08,"armour":2,"node":"Mount_mg.001","wreck":"wreck_turret","at":[1.52,4.6,1.9],"radius":1.5,"mounts":[5]}</t>
        </is>
      </c>
    </row>
    <row r="105">
      <c r="A105" t="inlineStr">
        <is>
          <t>mega_gunship/missiles</t>
        </is>
      </c>
      <c r="B105" t="inlineStr">
        <is>
          <t>mega_gunship</t>
        </is>
      </c>
      <c r="C105" t="n">
        <v>6</v>
      </c>
      <c r="F105" t="n">
        <v>2</v>
      </c>
      <c r="G105" t="n">
        <v>0</v>
      </c>
      <c r="H105" t="n">
        <v>1.25</v>
      </c>
      <c r="I105" t="n">
        <v>1.5</v>
      </c>
      <c r="M105" t="n">
        <v>0.08</v>
      </c>
      <c r="N105" t="inlineStr">
        <is>
          <t>missiles</t>
        </is>
      </c>
      <c r="O105" t="inlineStr">
        <is>
          <t>missiles</t>
        </is>
      </c>
      <c r="P105" t="inlineStr">
        <is>
          <t>3</t>
        </is>
      </c>
      <c r="S105" t="n">
        <v>1.4</v>
      </c>
      <c r="Y105" t="inlineStr">
        <is>
          <t>wreck_launcher</t>
        </is>
      </c>
      <c r="Z105" t="inlineStr">
        <is>
          <t>Assets/MachineBrigade/Resources/Data/balance.json: vehicles[141].parts[6]</t>
        </is>
      </c>
      <c r="AA105" t="inlineStr">
        <is>
          <t>{"id":"missiles","kind":"missiles","hp":0.08,"armour":2,"wreck":"wreck_launcher","at":[0,1.25,1.5],"radius":1.4,"mounts":[3]}</t>
        </is>
      </c>
    </row>
    <row r="106">
      <c r="A106" t="inlineStr">
        <is>
          <t>mega_gunship/pod_l</t>
        </is>
      </c>
      <c r="B106" t="inlineStr">
        <is>
          <t>mega_gunship</t>
        </is>
      </c>
      <c r="C106" t="n">
        <v>4</v>
      </c>
      <c r="F106" t="n">
        <v>2</v>
      </c>
      <c r="G106" t="n">
        <v>-2.67</v>
      </c>
      <c r="H106" t="n">
        <v>1.3</v>
      </c>
      <c r="I106" t="n">
        <v>1.4</v>
      </c>
      <c r="M106" t="n">
        <v>0.08</v>
      </c>
      <c r="N106" t="inlineStr">
        <is>
          <t>pod_l</t>
        </is>
      </c>
      <c r="O106" t="inlineStr">
        <is>
          <t>rockets</t>
        </is>
      </c>
      <c r="P106" t="inlineStr">
        <is>
          <t>0</t>
        </is>
      </c>
      <c r="S106" t="n">
        <v>1.6</v>
      </c>
      <c r="Y106" t="inlineStr">
        <is>
          <t>wreck_launcher</t>
        </is>
      </c>
      <c r="Z106" t="inlineStr">
        <is>
          <t>Assets/MachineBrigade/Resources/Data/balance.json: vehicles[141].parts[4]</t>
        </is>
      </c>
      <c r="AA106" t="inlineStr">
        <is>
          <t>{"id":"pod_l","kind":"rockets","hp":0.08,"armour":2,"wreck":"wreck_launcher","at":[-2.67,1.3,1.4],"radius":1.6,"mounts":[0]}</t>
        </is>
      </c>
    </row>
    <row r="107">
      <c r="A107" t="inlineStr">
        <is>
          <t>mega_gunship/pod_r</t>
        </is>
      </c>
      <c r="B107" t="inlineStr">
        <is>
          <t>mega_gunship</t>
        </is>
      </c>
      <c r="C107" t="n">
        <v>5</v>
      </c>
      <c r="F107" t="n">
        <v>2</v>
      </c>
      <c r="G107" t="n">
        <v>2.67</v>
      </c>
      <c r="H107" t="n">
        <v>1.3</v>
      </c>
      <c r="I107" t="n">
        <v>1.4</v>
      </c>
      <c r="M107" t="n">
        <v>0.08</v>
      </c>
      <c r="N107" t="inlineStr">
        <is>
          <t>pod_r</t>
        </is>
      </c>
      <c r="O107" t="inlineStr">
        <is>
          <t>rockets</t>
        </is>
      </c>
      <c r="P107" t="inlineStr">
        <is>
          <t>6</t>
        </is>
      </c>
      <c r="S107" t="n">
        <v>1.6</v>
      </c>
      <c r="Y107" t="inlineStr">
        <is>
          <t>wreck_launcher</t>
        </is>
      </c>
      <c r="Z107" t="inlineStr">
        <is>
          <t>Assets/MachineBrigade/Resources/Data/balance.json: vehicles[141].parts[5]</t>
        </is>
      </c>
      <c r="AA107" t="inlineStr">
        <is>
          <t>{"id":"pod_r","kind":"rockets","hp":0.08,"armour":2,"wreck":"wreck_launcher","at":[2.67,1.3,1.4],"radius":1.6,"mounts":[6]}</t>
        </is>
      </c>
    </row>
    <row r="108">
      <c r="A108" t="inlineStr">
        <is>
          <t>mega_gunship/rotor_rear</t>
        </is>
      </c>
      <c r="B108" t="inlineStr">
        <is>
          <t>mega_gunship</t>
        </is>
      </c>
      <c r="C108" t="n">
        <v>7</v>
      </c>
      <c r="F108" t="n">
        <v>1</v>
      </c>
      <c r="G108" t="n">
        <v>0</v>
      </c>
      <c r="H108" t="n">
        <v>-6.7</v>
      </c>
      <c r="I108" t="n">
        <v>5.7</v>
      </c>
      <c r="M108" t="n">
        <v>0.1</v>
      </c>
      <c r="N108" t="inlineStr">
        <is>
          <t>rotor_rear</t>
        </is>
      </c>
      <c r="O108" t="inlineStr">
        <is>
          <t>rotor</t>
        </is>
      </c>
      <c r="Q108" t="inlineStr">
        <is>
          <t>Rotor_rear</t>
        </is>
      </c>
      <c r="S108" t="n">
        <v>3</v>
      </c>
      <c r="X108" t="n">
        <v>0.5</v>
      </c>
      <c r="Y108" t="inlineStr">
        <is>
          <t>wreck_stump</t>
        </is>
      </c>
      <c r="Z108" t="inlineStr">
        <is>
          <t>Assets/MachineBrigade/Resources/Data/balance.json: vehicles[141].parts[7]</t>
        </is>
      </c>
      <c r="AA108" t="inlineStr">
        <is>
          <t>{"id":"rotor_rear","kind":"rotor","hp":0.1,"armour":1,"node":"Rotor_rear","wreck":"wreck_stump","at":[0,-6.7,5.7],"radius":3.0,"turn":0.5}</t>
        </is>
      </c>
    </row>
    <row r="109">
      <c r="A109" t="inlineStr">
        <is>
          <t>mobile_fortress/emp</t>
        </is>
      </c>
      <c r="B109" t="inlineStr">
        <is>
          <t>mobile_fortress</t>
        </is>
      </c>
      <c r="C109" t="n">
        <v>6</v>
      </c>
      <c r="F109" t="n">
        <v>1</v>
      </c>
      <c r="G109" t="n">
        <v>0</v>
      </c>
      <c r="H109" t="n">
        <v>-4.2</v>
      </c>
      <c r="I109" t="n">
        <v>7.7</v>
      </c>
      <c r="M109" t="n">
        <v>0.07000000000000001</v>
      </c>
      <c r="N109" t="inlineStr">
        <is>
          <t>emp</t>
        </is>
      </c>
      <c r="O109" t="inlineStr">
        <is>
          <t>emp</t>
        </is>
      </c>
      <c r="Q109" t="inlineStr">
        <is>
          <t>Radar</t>
        </is>
      </c>
      <c r="S109" t="n">
        <v>2</v>
      </c>
      <c r="T109" t="inlineStr">
        <is>
          <t>boss_emp</t>
        </is>
      </c>
      <c r="Y109" t="inlineStr">
        <is>
          <t>wreck_stump</t>
        </is>
      </c>
      <c r="Z109" t="inlineStr">
        <is>
          <t>Assets/MachineBrigade/Resources/Data/balance.json: vehicles[139].parts[6]</t>
        </is>
      </c>
      <c r="AA109" t="inlineStr">
        <is>
          <t>{"id":"emp","kind":"emp","hp":0.07,"armour":1,"node":"Radar","wreck":"wreck_stump","at":[0,-4.2,7.7],"radius":2.0,"skills":["boss_emp"]}</t>
        </is>
      </c>
    </row>
    <row r="110">
      <c r="A110" t="inlineStr">
        <is>
          <t>mobile_fortress/flak_l</t>
        </is>
      </c>
      <c r="B110" t="inlineStr">
        <is>
          <t>mobile_fortress</t>
        </is>
      </c>
      <c r="C110" t="n">
        <v>3</v>
      </c>
      <c r="F110" t="n">
        <v>2</v>
      </c>
      <c r="G110" t="n">
        <v>-3.2</v>
      </c>
      <c r="H110" t="n">
        <v>6</v>
      </c>
      <c r="I110" t="n">
        <v>4.6</v>
      </c>
      <c r="M110" t="n">
        <v>0.07000000000000001</v>
      </c>
      <c r="N110" t="inlineStr">
        <is>
          <t>flak_l</t>
        </is>
      </c>
      <c r="O110" t="inlineStr">
        <is>
          <t>flak</t>
        </is>
      </c>
      <c r="P110" t="inlineStr">
        <is>
          <t>3</t>
        </is>
      </c>
      <c r="Q110" t="inlineStr">
        <is>
          <t>Mount_mg</t>
        </is>
      </c>
      <c r="S110" t="n">
        <v>1.8</v>
      </c>
      <c r="Y110" t="inlineStr">
        <is>
          <t>wreck_turret</t>
        </is>
      </c>
      <c r="Z110" t="inlineStr">
        <is>
          <t>Assets/MachineBrigade/Resources/Data/balance.json: vehicles[139].parts[3]</t>
        </is>
      </c>
      <c r="AA110" t="inlineStr">
        <is>
          <t>{"id":"flak_l","kind":"flak","hp":0.07,"armour":2,"node":"Mount_mg","wreck":"wreck_turret","at":[-3.2,6.0,4.6],"radius":1.8,"mounts":[3]}</t>
        </is>
      </c>
    </row>
    <row r="111">
      <c r="A111" t="inlineStr">
        <is>
          <t>mobile_fortress/flak_r</t>
        </is>
      </c>
      <c r="B111" t="inlineStr">
        <is>
          <t>mobile_fortress</t>
        </is>
      </c>
      <c r="C111" t="n">
        <v>4</v>
      </c>
      <c r="F111" t="n">
        <v>2</v>
      </c>
      <c r="G111" t="n">
        <v>3.2</v>
      </c>
      <c r="H111" t="n">
        <v>6</v>
      </c>
      <c r="I111" t="n">
        <v>4.6</v>
      </c>
      <c r="M111" t="n">
        <v>0.07000000000000001</v>
      </c>
      <c r="N111" t="inlineStr">
        <is>
          <t>flak_r</t>
        </is>
      </c>
      <c r="O111" t="inlineStr">
        <is>
          <t>flak</t>
        </is>
      </c>
      <c r="P111" t="inlineStr">
        <is>
          <t>4;6</t>
        </is>
      </c>
      <c r="Q111" t="inlineStr">
        <is>
          <t>Mount_mg.001</t>
        </is>
      </c>
      <c r="S111" t="n">
        <v>1.8</v>
      </c>
      <c r="Y111" t="inlineStr">
        <is>
          <t>wreck_turret</t>
        </is>
      </c>
      <c r="Z111" t="inlineStr">
        <is>
          <t>Assets/MachineBrigade/Resources/Data/balance.json: vehicles[139].parts[4]</t>
        </is>
      </c>
      <c r="AA111" t="inlineStr">
        <is>
          <t>{"id":"flak_r","kind":"flak","hp":0.07,"armour":2,"node":"Mount_mg.001","wreck":"wreck_turret","at":[3.2,6.0,4.6],"radius":1.8,"mounts":[4,6]}</t>
        </is>
      </c>
    </row>
    <row r="112">
      <c r="A112" t="inlineStr">
        <is>
          <t>mobile_fortress/howitzer</t>
        </is>
      </c>
      <c r="B112" t="inlineStr">
        <is>
          <t>mobile_fortress</t>
        </is>
      </c>
      <c r="C112" t="n">
        <v>0</v>
      </c>
      <c r="F112" t="n">
        <v>3</v>
      </c>
      <c r="G112" t="n">
        <v>0</v>
      </c>
      <c r="H112" t="n">
        <v>3</v>
      </c>
      <c r="I112" t="n">
        <v>7.1</v>
      </c>
      <c r="M112" t="n">
        <v>0.09</v>
      </c>
      <c r="N112" t="inlineStr">
        <is>
          <t>howitzer</t>
        </is>
      </c>
      <c r="O112" t="inlineStr">
        <is>
          <t>howitzer</t>
        </is>
      </c>
      <c r="P112" t="inlineStr">
        <is>
          <t>0</t>
        </is>
      </c>
      <c r="Q112" t="inlineStr">
        <is>
          <t>Main_cannon|Muzzle_brake</t>
        </is>
      </c>
      <c r="R112" t="inlineStr">
        <is>
          <t>radio.part.maingun</t>
        </is>
      </c>
      <c r="S112" t="n">
        <v>3</v>
      </c>
      <c r="T112" t="inlineStr">
        <is>
          <t>fortress_barrage</t>
        </is>
      </c>
      <c r="Y112" t="inlineStr">
        <is>
          <t>wreck_barrel</t>
        </is>
      </c>
      <c r="Z112" t="inlineStr">
        <is>
          <t>Assets/MachineBrigade/Resources/Data/balance.json: vehicles[139].parts[0]</t>
        </is>
      </c>
      <c r="AA112" t="inlineStr">
        <is>
          <t>{"id":"howitzer","kind":"howitzer","hp":0.09,"armour":3,"node":"Main_cannon|Muzzle_brake","wreck":"wreck_barrel","at":[0,3.0,7.1],"radius":3.0,"mounts":[0],"skills":["fortress_barrage"],"radio":"radio.part.maingun"}</t>
        </is>
      </c>
    </row>
    <row r="113">
      <c r="A113" t="inlineStr">
        <is>
          <t>mobile_fortress/howitzer_2</t>
        </is>
      </c>
      <c r="B113" t="inlineStr">
        <is>
          <t>mobile_fortress</t>
        </is>
      </c>
      <c r="C113" t="n">
        <v>7</v>
      </c>
      <c r="D113" t="inlineStr">
        <is>
          <t>howitzer_203</t>
        </is>
      </c>
      <c r="G113" t="n">
        <v>0</v>
      </c>
      <c r="H113" t="n">
        <v>-2</v>
      </c>
      <c r="I113" t="n">
        <v>7.4</v>
      </c>
      <c r="N113" t="inlineStr">
        <is>
          <t>howitzer_2</t>
        </is>
      </c>
      <c r="Q113" t="inlineStr">
        <is>
          <t>Mount_gun</t>
        </is>
      </c>
      <c r="Z113" t="inlineStr">
        <is>
          <t>Assets/MachineBrigade/Resources/Data/balance.json: vehicles[139].parts[7]</t>
        </is>
      </c>
      <c r="AA113" t="inlineStr">
        <is>
          <t>{"use":"howitzer_203","id":"howitzer_2","node":"Mount_gun","at":[0,-2.0,7.4]}</t>
        </is>
      </c>
    </row>
    <row r="114">
      <c r="A114" t="inlineStr">
        <is>
          <t>mobile_fortress/missiles</t>
        </is>
      </c>
      <c r="B114" t="inlineStr">
        <is>
          <t>mobile_fortress</t>
        </is>
      </c>
      <c r="C114" t="n">
        <v>5</v>
      </c>
      <c r="F114" t="n">
        <v>2</v>
      </c>
      <c r="G114" t="n">
        <v>0</v>
      </c>
      <c r="H114" t="n">
        <v>-6.05</v>
      </c>
      <c r="I114" t="n">
        <v>4.6</v>
      </c>
      <c r="M114" t="n">
        <v>0.07000000000000001</v>
      </c>
      <c r="N114" t="inlineStr">
        <is>
          <t>missiles</t>
        </is>
      </c>
      <c r="O114" t="inlineStr">
        <is>
          <t>missiles</t>
        </is>
      </c>
      <c r="P114" t="inlineStr">
        <is>
          <t>5</t>
        </is>
      </c>
      <c r="S114" t="n">
        <v>1.8</v>
      </c>
      <c r="Y114" t="inlineStr">
        <is>
          <t>wreck_launcher</t>
        </is>
      </c>
      <c r="Z114" t="inlineStr">
        <is>
          <t>Assets/MachineBrigade/Resources/Data/balance.json: vehicles[139].parts[5]</t>
        </is>
      </c>
      <c r="AA114" t="inlineStr">
        <is>
          <t>{"id":"missiles","kind":"missiles","hp":0.07,"armour":2,"wreck":"wreck_launcher","at":[0,-6.05,4.6],"radius":1.8,"mounts":[5]}</t>
        </is>
      </c>
    </row>
    <row r="115">
      <c r="A115" t="inlineStr">
        <is>
          <t>mobile_fortress/rockets_l</t>
        </is>
      </c>
      <c r="B115" t="inlineStr">
        <is>
          <t>mobile_fortress</t>
        </is>
      </c>
      <c r="C115" t="n">
        <v>1</v>
      </c>
      <c r="F115" t="n">
        <v>2</v>
      </c>
      <c r="G115" t="n">
        <v>-1.9</v>
      </c>
      <c r="H115" t="n">
        <v>-6</v>
      </c>
      <c r="I115" t="n">
        <v>4.6</v>
      </c>
      <c r="M115" t="n">
        <v>0.07000000000000001</v>
      </c>
      <c r="N115" t="inlineStr">
        <is>
          <t>rockets_l</t>
        </is>
      </c>
      <c r="O115" t="inlineStr">
        <is>
          <t>rockets</t>
        </is>
      </c>
      <c r="P115" t="inlineStr">
        <is>
          <t>1</t>
        </is>
      </c>
      <c r="Q115" t="inlineStr">
        <is>
          <t>Mount_rocket</t>
        </is>
      </c>
      <c r="S115" t="n">
        <v>1.8</v>
      </c>
      <c r="Y115" t="inlineStr">
        <is>
          <t>wreck_launcher</t>
        </is>
      </c>
      <c r="Z115" t="inlineStr">
        <is>
          <t>Assets/MachineBrigade/Resources/Data/balance.json: vehicles[139].parts[1]</t>
        </is>
      </c>
      <c r="AA115" t="inlineStr">
        <is>
          <t>{"id":"rockets_l","kind":"rockets","hp":0.07,"armour":2,"node":"Mount_rocket","wreck":"wreck_launcher","at":[-1.9,-6.0,4.6],"radius":1.8,"mounts":[1]}</t>
        </is>
      </c>
    </row>
    <row r="116">
      <c r="A116" t="inlineStr">
        <is>
          <t>mobile_fortress/rockets_r</t>
        </is>
      </c>
      <c r="B116" t="inlineStr">
        <is>
          <t>mobile_fortress</t>
        </is>
      </c>
      <c r="C116" t="n">
        <v>2</v>
      </c>
      <c r="F116" t="n">
        <v>2</v>
      </c>
      <c r="G116" t="n">
        <v>1.9</v>
      </c>
      <c r="H116" t="n">
        <v>-6</v>
      </c>
      <c r="I116" t="n">
        <v>4.6</v>
      </c>
      <c r="M116" t="n">
        <v>0.07000000000000001</v>
      </c>
      <c r="N116" t="inlineStr">
        <is>
          <t>rockets_r</t>
        </is>
      </c>
      <c r="O116" t="inlineStr">
        <is>
          <t>rockets</t>
        </is>
      </c>
      <c r="P116" t="inlineStr">
        <is>
          <t>2</t>
        </is>
      </c>
      <c r="Q116" t="inlineStr">
        <is>
          <t>Mount_rocket.001</t>
        </is>
      </c>
      <c r="S116" t="n">
        <v>1.8</v>
      </c>
      <c r="Y116" t="inlineStr">
        <is>
          <t>wreck_launcher</t>
        </is>
      </c>
      <c r="Z116" t="inlineStr">
        <is>
          <t>Assets/MachineBrigade/Resources/Data/balance.json: vehicles[139].parts[2]</t>
        </is>
      </c>
      <c r="AA116" t="inlineStr">
        <is>
          <t>{"id":"rockets_r","kind":"rockets","hp":0.07,"armour":2,"node":"Mount_rocket.001","wreck":"wreck_launcher","at":[1.9,-6.0,4.6],"radius":1.8,"mounts":[2]}</t>
        </is>
      </c>
    </row>
    <row r="117">
      <c r="A117" t="inlineStr">
        <is>
          <t>mobile_fortress/sam</t>
        </is>
      </c>
      <c r="B117" t="inlineStr">
        <is>
          <t>mobile_fortress</t>
        </is>
      </c>
      <c r="C117" t="n">
        <v>8</v>
      </c>
      <c r="D117" t="inlineStr">
        <is>
          <t>sam_medium</t>
        </is>
      </c>
      <c r="G117" t="n">
        <v>2.6</v>
      </c>
      <c r="H117" t="n">
        <v>-4.4</v>
      </c>
      <c r="I117" t="n">
        <v>5.6</v>
      </c>
      <c r="N117" t="inlineStr">
        <is>
          <t>sam</t>
        </is>
      </c>
      <c r="Q117" t="inlineStr">
        <is>
          <t>Mount_missile.001</t>
        </is>
      </c>
      <c r="Z117" t="inlineStr">
        <is>
          <t>Assets/MachineBrigade/Resources/Data/balance.json: vehicles[139].parts[8]</t>
        </is>
      </c>
      <c r="AA117" t="inlineStr">
        <is>
          <t>{"use":"sam_medium","id":"sam","node":"Mount_missile.001","at":[2.6,-4.4,5.6]}</t>
        </is>
      </c>
    </row>
    <row r="118">
      <c r="A118" t="inlineStr">
        <is>
          <t>moloch/door_l</t>
        </is>
      </c>
      <c r="B118" t="inlineStr">
        <is>
          <t>moloch</t>
        </is>
      </c>
      <c r="C118" t="n">
        <v>5</v>
      </c>
      <c r="D118" t="inlineStr">
        <is>
          <t>workshop_door</t>
        </is>
      </c>
      <c r="G118" t="n">
        <v>-3</v>
      </c>
      <c r="H118" t="n">
        <v>-11.8</v>
      </c>
      <c r="I118" t="n">
        <v>2.8</v>
      </c>
      <c r="N118" t="inlineStr">
        <is>
          <t>door_l</t>
        </is>
      </c>
      <c r="Q118" t="inlineStr">
        <is>
          <t>Part_door_l</t>
        </is>
      </c>
      <c r="Z118" t="inlineStr">
        <is>
          <t>Assets/MachineBrigade/Resources/Data/balance.json: vehicles[159].parts[5]</t>
        </is>
      </c>
      <c r="AA118" t="inlineStr">
        <is>
          <t>{"use":"workshop_door","id":"door_l","node":"Part_door_l","at":[-3.0,-11.8,2.8]}</t>
        </is>
      </c>
    </row>
    <row r="119">
      <c r="A119" t="inlineStr">
        <is>
          <t>moloch/door_r</t>
        </is>
      </c>
      <c r="B119" t="inlineStr">
        <is>
          <t>moloch</t>
        </is>
      </c>
      <c r="C119" t="n">
        <v>6</v>
      </c>
      <c r="D119" t="inlineStr">
        <is>
          <t>workshop_door</t>
        </is>
      </c>
      <c r="G119" t="n">
        <v>3</v>
      </c>
      <c r="H119" t="n">
        <v>-11.8</v>
      </c>
      <c r="I119" t="n">
        <v>2.8</v>
      </c>
      <c r="N119" t="inlineStr">
        <is>
          <t>door_r</t>
        </is>
      </c>
      <c r="Q119" t="inlineStr">
        <is>
          <t>Part_door_r</t>
        </is>
      </c>
      <c r="Z119" t="inlineStr">
        <is>
          <t>Assets/MachineBrigade/Resources/Data/balance.json: vehicles[159].parts[6]</t>
        </is>
      </c>
      <c r="AA119" t="inlineStr">
        <is>
          <t>{"use":"workshop_door","id":"door_r","node":"Part_door_r","at":[3.0,-11.8,2.8]}</t>
        </is>
      </c>
    </row>
    <row r="120">
      <c r="A120" t="inlineStr">
        <is>
          <t>moloch/flak</t>
        </is>
      </c>
      <c r="B120" t="inlineStr">
        <is>
          <t>moloch</t>
        </is>
      </c>
      <c r="C120" t="n">
        <v>4</v>
      </c>
      <c r="D120" t="inlineStr">
        <is>
          <t>flak_35</t>
        </is>
      </c>
      <c r="G120" t="n">
        <v>0</v>
      </c>
      <c r="H120" t="n">
        <v>1.4</v>
      </c>
      <c r="I120" t="n">
        <v>9.4</v>
      </c>
      <c r="N120" t="inlineStr">
        <is>
          <t>flak</t>
        </is>
      </c>
      <c r="Q120" t="inlineStr">
        <is>
          <t>Mount_mg</t>
        </is>
      </c>
      <c r="Z120" t="inlineStr">
        <is>
          <t>Assets/MachineBrigade/Resources/Data/balance.json: vehicles[159].parts[4]</t>
        </is>
      </c>
      <c r="AA120" t="inlineStr">
        <is>
          <t>{"use":"flak_35","id":"flak","node":"Mount_mg","at":[0,1.4,9.4]}</t>
        </is>
      </c>
    </row>
    <row r="121">
      <c r="A121" t="inlineStr">
        <is>
          <t>moloch/track_l</t>
        </is>
      </c>
      <c r="B121" t="inlineStr">
        <is>
          <t>moloch</t>
        </is>
      </c>
      <c r="C121" t="n">
        <v>7</v>
      </c>
      <c r="D121" t="inlineStr">
        <is>
          <t>tracks</t>
        </is>
      </c>
      <c r="G121" t="n">
        <v>-6</v>
      </c>
      <c r="H121" t="n">
        <v>0</v>
      </c>
      <c r="I121" t="n">
        <v>1.4</v>
      </c>
      <c r="N121" t="inlineStr">
        <is>
          <t>track_l</t>
        </is>
      </c>
      <c r="Q121" t="inlineStr">
        <is>
          <t>Part_track_l</t>
        </is>
      </c>
      <c r="U121" t="n">
        <v>0.8</v>
      </c>
      <c r="Z121" t="inlineStr">
        <is>
          <t>Assets/MachineBrigade/Resources/Data/balance.json: vehicles[159].parts[7]</t>
        </is>
      </c>
      <c r="AA121" t="inlineStr">
        <is>
          <t>{"use":"tracks","id":"track_l","node":"Part_track_l","at":[-6.0,0,1.4],"speed":0.8}</t>
        </is>
      </c>
    </row>
    <row r="122">
      <c r="A122" t="inlineStr">
        <is>
          <t>moloch/track_r</t>
        </is>
      </c>
      <c r="B122" t="inlineStr">
        <is>
          <t>moloch</t>
        </is>
      </c>
      <c r="C122" t="n">
        <v>8</v>
      </c>
      <c r="D122" t="inlineStr">
        <is>
          <t>tracks</t>
        </is>
      </c>
      <c r="G122" t="n">
        <v>6</v>
      </c>
      <c r="H122" t="n">
        <v>0</v>
      </c>
      <c r="I122" t="n">
        <v>1.4</v>
      </c>
      <c r="N122" t="inlineStr">
        <is>
          <t>track_r</t>
        </is>
      </c>
      <c r="Q122" t="inlineStr">
        <is>
          <t>Part_track_r</t>
        </is>
      </c>
      <c r="U122" t="n">
        <v>0.8</v>
      </c>
      <c r="Z122" t="inlineStr">
        <is>
          <t>Assets/MachineBrigade/Resources/Data/balance.json: vehicles[159].parts[8]</t>
        </is>
      </c>
      <c r="AA122" t="inlineStr">
        <is>
          <t>{"use":"tracks","id":"track_r","node":"Part_track_r","at":[6.0,0,1.4],"speed":0.8}</t>
        </is>
      </c>
    </row>
    <row r="123">
      <c r="A123" t="inlineStr">
        <is>
          <t>moloch/turret_fl</t>
        </is>
      </c>
      <c r="B123" t="inlineStr">
        <is>
          <t>moloch</t>
        </is>
      </c>
      <c r="C123" t="n">
        <v>0</v>
      </c>
      <c r="D123" t="inlineStr">
        <is>
          <t>turret_120</t>
        </is>
      </c>
      <c r="G123" t="n">
        <v>-4.4</v>
      </c>
      <c r="H123" t="n">
        <v>7.6</v>
      </c>
      <c r="I123" t="n">
        <v>7.4</v>
      </c>
      <c r="N123" t="inlineStr">
        <is>
          <t>turret_fl</t>
        </is>
      </c>
      <c r="P123" t="inlineStr">
        <is>
          <t>0</t>
        </is>
      </c>
      <c r="Q123" t="inlineStr">
        <is>
          <t>Turret</t>
        </is>
      </c>
      <c r="R123" t="inlineStr">
        <is>
          <t>radio.part.maingun</t>
        </is>
      </c>
      <c r="Z123" t="inlineStr">
        <is>
          <t>Assets/MachineBrigade/Resources/Data/balance.json: vehicles[159].parts[0]</t>
        </is>
      </c>
      <c r="AA123" t="inlineStr">
        <is>
          <t>{"use":"turret_120","id":"turret_fl","mounts":[0],"node":"Turret","at":[-4.4,7.6,7.4],"radio":"radio.part.maingun"}</t>
        </is>
      </c>
    </row>
    <row r="124">
      <c r="A124" t="inlineStr">
        <is>
          <t>moloch/turret_fr</t>
        </is>
      </c>
      <c r="B124" t="inlineStr">
        <is>
          <t>moloch</t>
        </is>
      </c>
      <c r="C124" t="n">
        <v>1</v>
      </c>
      <c r="D124" t="inlineStr">
        <is>
          <t>turret_120</t>
        </is>
      </c>
      <c r="G124" t="n">
        <v>4.4</v>
      </c>
      <c r="H124" t="n">
        <v>7.6</v>
      </c>
      <c r="I124" t="n">
        <v>7.4</v>
      </c>
      <c r="N124" t="inlineStr">
        <is>
          <t>turret_fr</t>
        </is>
      </c>
      <c r="Q124" t="inlineStr">
        <is>
          <t>Mount_gun</t>
        </is>
      </c>
      <c r="Z124" t="inlineStr">
        <is>
          <t>Assets/MachineBrigade/Resources/Data/balance.json: vehicles[159].parts[1]</t>
        </is>
      </c>
      <c r="AA124" t="inlineStr">
        <is>
          <t>{"use":"turret_120","id":"turret_fr","node":"Mount_gun","at":[4.4,7.6,7.4]}</t>
        </is>
      </c>
    </row>
    <row r="125">
      <c r="A125" t="inlineStr">
        <is>
          <t>moloch/turret_rl</t>
        </is>
      </c>
      <c r="B125" t="inlineStr">
        <is>
          <t>moloch</t>
        </is>
      </c>
      <c r="C125" t="n">
        <v>2</v>
      </c>
      <c r="D125" t="inlineStr">
        <is>
          <t>turret_120</t>
        </is>
      </c>
      <c r="G125" t="n">
        <v>-4.4</v>
      </c>
      <c r="H125" t="n">
        <v>-4.6</v>
      </c>
      <c r="I125" t="n">
        <v>7.4</v>
      </c>
      <c r="N125" t="inlineStr">
        <is>
          <t>turret_rl</t>
        </is>
      </c>
      <c r="Q125" t="inlineStr">
        <is>
          <t>Mount_gun.001</t>
        </is>
      </c>
      <c r="Z125" t="inlineStr">
        <is>
          <t>Assets/MachineBrigade/Resources/Data/balance.json: vehicles[159].parts[2]</t>
        </is>
      </c>
      <c r="AA125" t="inlineStr">
        <is>
          <t>{"use":"turret_120","id":"turret_rl","node":"Mount_gun.001","at":[-4.4,-4.6,7.4]}</t>
        </is>
      </c>
    </row>
    <row r="126">
      <c r="A126" t="inlineStr">
        <is>
          <t>moloch/turret_rr</t>
        </is>
      </c>
      <c r="B126" t="inlineStr">
        <is>
          <t>moloch</t>
        </is>
      </c>
      <c r="C126" t="n">
        <v>3</v>
      </c>
      <c r="D126" t="inlineStr">
        <is>
          <t>turret_120</t>
        </is>
      </c>
      <c r="G126" t="n">
        <v>4.4</v>
      </c>
      <c r="H126" t="n">
        <v>-4.6</v>
      </c>
      <c r="I126" t="n">
        <v>7.4</v>
      </c>
      <c r="N126" t="inlineStr">
        <is>
          <t>turret_rr</t>
        </is>
      </c>
      <c r="Q126" t="inlineStr">
        <is>
          <t>Mount_gun.002</t>
        </is>
      </c>
      <c r="Z126" t="inlineStr">
        <is>
          <t>Assets/MachineBrigade/Resources/Data/balance.json: vehicles[159].parts[3]</t>
        </is>
      </c>
      <c r="AA126" t="inlineStr">
        <is>
          <t>{"use":"turret_120","id":"turret_rr","node":"Mount_gun.002","at":[4.4,-4.6,7.4]}</t>
        </is>
      </c>
    </row>
    <row r="127">
      <c r="A127" t="inlineStr">
        <is>
          <t>nuke_train/aa_car</t>
        </is>
      </c>
      <c r="B127" t="inlineStr">
        <is>
          <t>nuke_train</t>
        </is>
      </c>
      <c r="C127" t="n">
        <v>8</v>
      </c>
      <c r="D127" t="inlineStr">
        <is>
          <t>flak_35</t>
        </is>
      </c>
      <c r="G127" t="n">
        <v>0</v>
      </c>
      <c r="H127" t="n">
        <v>-28.2</v>
      </c>
      <c r="I127" t="n">
        <v>3.2</v>
      </c>
      <c r="N127" t="inlineStr">
        <is>
          <t>aa_car</t>
        </is>
      </c>
      <c r="Q127" t="inlineStr">
        <is>
          <t>Part_aa</t>
        </is>
      </c>
      <c r="Z127" t="inlineStr">
        <is>
          <t>Assets/MachineBrigade/Resources/Data/balance.json: vehicles[143].parts[8]</t>
        </is>
      </c>
      <c r="AA127" t="inlineStr">
        <is>
          <t>{"use":"flak_35","id":"aa_car","node":"Part_aa","at":[0,-28.2,3.2]}</t>
        </is>
      </c>
    </row>
    <row r="128">
      <c r="A128" t="inlineStr">
        <is>
          <t>nuke_train/erector</t>
        </is>
      </c>
      <c r="B128" t="inlineStr">
        <is>
          <t>nuke_train</t>
        </is>
      </c>
      <c r="C128" t="n">
        <v>6</v>
      </c>
      <c r="F128" t="n">
        <v>2</v>
      </c>
      <c r="G128" t="n">
        <v>0</v>
      </c>
      <c r="H128" t="n">
        <v>-4.5</v>
      </c>
      <c r="I128" t="n">
        <v>3.6</v>
      </c>
      <c r="M128" t="n">
        <v>0.07000000000000001</v>
      </c>
      <c r="N128" t="inlineStr">
        <is>
          <t>erector</t>
        </is>
      </c>
      <c r="O128" t="inlineStr">
        <is>
          <t>erector</t>
        </is>
      </c>
      <c r="R128" t="inlineStr">
        <is>
          <t>radio.part.erector</t>
        </is>
      </c>
      <c r="S128" t="n">
        <v>2.6</v>
      </c>
      <c r="Y128" t="inlineStr">
        <is>
          <t>wreck_launcher</t>
        </is>
      </c>
      <c r="Z128" t="inlineStr">
        <is>
          <t>Assets/MachineBrigade/Resources/Data/balance.json: vehicles[143].parts[6]</t>
        </is>
      </c>
      <c r="AA128" t="inlineStr">
        <is>
          <t>{"id":"erector","kind":"erector","hp":0.07,"armour":2,"wreck":"wreck_launcher","at":[0,-4.5,3.6],"radius":2.6,"radio":"radio.part.erector"}</t>
        </is>
      </c>
    </row>
    <row r="129">
      <c r="A129" t="inlineStr">
        <is>
          <t>nuke_train/flak_front</t>
        </is>
      </c>
      <c r="B129" t="inlineStr">
        <is>
          <t>nuke_train</t>
        </is>
      </c>
      <c r="C129" t="n">
        <v>2</v>
      </c>
      <c r="F129" t="n">
        <v>2</v>
      </c>
      <c r="G129" t="n">
        <v>-0.45</v>
      </c>
      <c r="H129" t="n">
        <v>8.300000000000001</v>
      </c>
      <c r="I129" t="n">
        <v>3.5</v>
      </c>
      <c r="M129" t="n">
        <v>0.07000000000000001</v>
      </c>
      <c r="N129" t="inlineStr">
        <is>
          <t>flak_front</t>
        </is>
      </c>
      <c r="O129" t="inlineStr">
        <is>
          <t>flak</t>
        </is>
      </c>
      <c r="P129" t="inlineStr">
        <is>
          <t>1</t>
        </is>
      </c>
      <c r="Q129" t="inlineStr">
        <is>
          <t>Mount_mg</t>
        </is>
      </c>
      <c r="S129" t="n">
        <v>2</v>
      </c>
      <c r="Y129" t="inlineStr">
        <is>
          <t>wreck_turret</t>
        </is>
      </c>
      <c r="Z129" t="inlineStr">
        <is>
          <t>Assets/MachineBrigade/Resources/Data/balance.json: vehicles[143].parts[2]</t>
        </is>
      </c>
      <c r="AA129" t="inlineStr">
        <is>
          <t>{"id":"flak_front","kind":"flak","hp":0.07,"armour":2,"node":"Mount_mg","wreck":"wreck_turret","at":[-0.45,8.3,3.5],"radius":2.0,"mounts":[1]}</t>
        </is>
      </c>
    </row>
    <row r="130">
      <c r="A130" t="inlineStr">
        <is>
          <t>nuke_train/flak_rear</t>
        </is>
      </c>
      <c r="B130" t="inlineStr">
        <is>
          <t>nuke_train</t>
        </is>
      </c>
      <c r="C130" t="n">
        <v>3</v>
      </c>
      <c r="F130" t="n">
        <v>2</v>
      </c>
      <c r="G130" t="n">
        <v>0.45</v>
      </c>
      <c r="H130" t="n">
        <v>0.28</v>
      </c>
      <c r="I130" t="n">
        <v>3.5</v>
      </c>
      <c r="M130" t="n">
        <v>0.07000000000000001</v>
      </c>
      <c r="N130" t="inlineStr">
        <is>
          <t>flak_rear</t>
        </is>
      </c>
      <c r="O130" t="inlineStr">
        <is>
          <t>flak</t>
        </is>
      </c>
      <c r="P130" t="inlineStr">
        <is>
          <t>2</t>
        </is>
      </c>
      <c r="Q130" t="inlineStr">
        <is>
          <t>Mount_mg.001</t>
        </is>
      </c>
      <c r="S130" t="n">
        <v>2</v>
      </c>
      <c r="Y130" t="inlineStr">
        <is>
          <t>wreck_turret</t>
        </is>
      </c>
      <c r="Z130" t="inlineStr">
        <is>
          <t>Assets/MachineBrigade/Resources/Data/balance.json: vehicles[143].parts[3]</t>
        </is>
      </c>
      <c r="AA130" t="inlineStr">
        <is>
          <t>{"id":"flak_rear","kind":"flak","hp":0.07,"armour":2,"node":"Mount_mg.001","wreck":"wreck_turret","at":[0.45,0.28,3.5],"radius":2.0,"mounts":[2]}</t>
        </is>
      </c>
    </row>
    <row r="131">
      <c r="A131" t="inlineStr">
        <is>
          <t>nuke_train/gun_car_152</t>
        </is>
      </c>
      <c r="B131" t="inlineStr">
        <is>
          <t>nuke_train</t>
        </is>
      </c>
      <c r="C131" t="n">
        <v>7</v>
      </c>
      <c r="D131" t="inlineStr">
        <is>
          <t>gun_152_car</t>
        </is>
      </c>
      <c r="G131" t="n">
        <v>0</v>
      </c>
      <c r="H131" t="n">
        <v>-23.2</v>
      </c>
      <c r="I131" t="n">
        <v>3.4</v>
      </c>
      <c r="N131" t="inlineStr">
        <is>
          <t>gun_car_152</t>
        </is>
      </c>
      <c r="O131" t="inlineStr">
        <is>
          <t>gun</t>
        </is>
      </c>
      <c r="Q131" t="inlineStr">
        <is>
          <t>Part_gun152</t>
        </is>
      </c>
      <c r="Z131" t="inlineStr">
        <is>
          <t>Assets/MachineBrigade/Resources/Data/balance.json: vehicles[143].parts[7]</t>
        </is>
      </c>
      <c r="AA131" t="inlineStr">
        <is>
          <t>{"use":"gun_152_car","id":"gun_car_152","kind":"gun","node":"Part_gun152","at":[0,-23.2,3.4]}</t>
        </is>
      </c>
    </row>
    <row r="132">
      <c r="A132" t="inlineStr">
        <is>
          <t>nuke_train/locomotive</t>
        </is>
      </c>
      <c r="B132" t="inlineStr">
        <is>
          <t>nuke_train</t>
        </is>
      </c>
      <c r="C132" t="n">
        <v>0</v>
      </c>
      <c r="F132" t="n">
        <v>4</v>
      </c>
      <c r="G132" t="n">
        <v>0</v>
      </c>
      <c r="H132" t="n">
        <v>-8.5</v>
      </c>
      <c r="I132" t="n">
        <v>2.5</v>
      </c>
      <c r="M132" t="n">
        <v>0.08</v>
      </c>
      <c r="N132" t="inlineStr">
        <is>
          <t>locomotive</t>
        </is>
      </c>
      <c r="O132" t="inlineStr">
        <is>
          <t>locomotive</t>
        </is>
      </c>
      <c r="R132" t="inlineStr">
        <is>
          <t>radio.part.locomotive</t>
        </is>
      </c>
      <c r="S132" t="n">
        <v>3.5</v>
      </c>
      <c r="U132" t="n">
        <v>0.5</v>
      </c>
      <c r="Y132" t="inlineStr">
        <is>
          <t>wreck_stump</t>
        </is>
      </c>
      <c r="Z132" t="inlineStr">
        <is>
          <t>Assets/MachineBrigade/Resources/Data/balance.json: vehicles[143].parts[0]</t>
        </is>
      </c>
      <c r="AA132" t="inlineStr">
        <is>
          <t>{"id":"locomotive","kind":"locomotive","hp":0.08,"armour":4,"wreck":"wreck_stump","at":[0,-8.5,2.5],"radius":3.5,"speed":0.5,"radio":"radio.part.locomotive"}</t>
        </is>
      </c>
    </row>
    <row r="133">
      <c r="A133" t="inlineStr">
        <is>
          <t>nuke_train/rocket_car</t>
        </is>
      </c>
      <c r="B133" t="inlineStr">
        <is>
          <t>nuke_train</t>
        </is>
      </c>
      <c r="C133" t="n">
        <v>4</v>
      </c>
      <c r="F133" t="n">
        <v>2</v>
      </c>
      <c r="G133" t="n">
        <v>0</v>
      </c>
      <c r="H133" t="n">
        <v>-13.4</v>
      </c>
      <c r="I133" t="n">
        <v>2.6</v>
      </c>
      <c r="M133" t="n">
        <v>0.07000000000000001</v>
      </c>
      <c r="N133" t="inlineStr">
        <is>
          <t>rocket_car</t>
        </is>
      </c>
      <c r="O133" t="inlineStr">
        <is>
          <t>rockets</t>
        </is>
      </c>
      <c r="P133" t="inlineStr">
        <is>
          <t>3</t>
        </is>
      </c>
      <c r="Q133" t="inlineStr">
        <is>
          <t>Part_rocket</t>
        </is>
      </c>
      <c r="S133" t="n">
        <v>2.4</v>
      </c>
      <c r="Y133" t="inlineStr">
        <is>
          <t>wreck_launcher</t>
        </is>
      </c>
      <c r="Z133" t="inlineStr">
        <is>
          <t>Assets/MachineBrigade/Resources/Data/balance.json: vehicles[143].parts[4]</t>
        </is>
      </c>
      <c r="AA133" t="inlineStr">
        <is>
          <t>{"id":"rocket_car","kind":"rockets","hp":0.07,"armour":2,"node":"Part_rocket","wreck":"wreck_launcher","at":[0,-13.4,2.6],"radius":2.4,"mounts":[3]}</t>
        </is>
      </c>
    </row>
    <row r="134">
      <c r="A134" t="inlineStr">
        <is>
          <t>nuke_train/sam_car</t>
        </is>
      </c>
      <c r="B134" t="inlineStr">
        <is>
          <t>nuke_train</t>
        </is>
      </c>
      <c r="C134" t="n">
        <v>5</v>
      </c>
      <c r="F134" t="n">
        <v>2</v>
      </c>
      <c r="G134" t="n">
        <v>0</v>
      </c>
      <c r="H134" t="n">
        <v>-18.2</v>
      </c>
      <c r="I134" t="n">
        <v>2.8</v>
      </c>
      <c r="M134" t="n">
        <v>0.07000000000000001</v>
      </c>
      <c r="N134" t="inlineStr">
        <is>
          <t>sam_car</t>
        </is>
      </c>
      <c r="O134" t="inlineStr">
        <is>
          <t>sam</t>
        </is>
      </c>
      <c r="P134" t="inlineStr">
        <is>
          <t>4</t>
        </is>
      </c>
      <c r="Q134" t="inlineStr">
        <is>
          <t>Part_missile</t>
        </is>
      </c>
      <c r="S134" t="n">
        <v>2.4</v>
      </c>
      <c r="Y134" t="inlineStr">
        <is>
          <t>wreck_launcher</t>
        </is>
      </c>
      <c r="Z134" t="inlineStr">
        <is>
          <t>Assets/MachineBrigade/Resources/Data/balance.json: vehicles[143].parts[5]</t>
        </is>
      </c>
      <c r="AA134" t="inlineStr">
        <is>
          <t>{"id":"sam_car","kind":"sam","hp":0.07,"armour":2,"node":"Part_missile","wreck":"wreck_launcher","at":[0,-18.2,2.8],"radius":2.4,"mounts":[4]}</t>
        </is>
      </c>
    </row>
    <row r="135">
      <c r="A135" t="inlineStr">
        <is>
          <t>nuke_train/twin_gun</t>
        </is>
      </c>
      <c r="B135" t="inlineStr">
        <is>
          <t>nuke_train</t>
        </is>
      </c>
      <c r="C135" t="n">
        <v>1</v>
      </c>
      <c r="F135" t="n">
        <v>3</v>
      </c>
      <c r="G135" t="n">
        <v>0</v>
      </c>
      <c r="H135" t="n">
        <v>5.5</v>
      </c>
      <c r="I135" t="n">
        <v>3.9</v>
      </c>
      <c r="M135" t="n">
        <v>0.09</v>
      </c>
      <c r="N135" t="inlineStr">
        <is>
          <t>twin_gun</t>
        </is>
      </c>
      <c r="O135" t="inlineStr">
        <is>
          <t>maingun</t>
        </is>
      </c>
      <c r="P135" t="inlineStr">
        <is>
          <t>0</t>
        </is>
      </c>
      <c r="Q135" t="inlineStr">
        <is>
          <t>Main_cannon|Main_cannon_2|Muzzle_brake|Muzzle_brake_2</t>
        </is>
      </c>
      <c r="R135" t="inlineStr">
        <is>
          <t>radio.part.maingun</t>
        </is>
      </c>
      <c r="S135" t="n">
        <v>3</v>
      </c>
      <c r="Y135" t="inlineStr">
        <is>
          <t>wreck_barrel</t>
        </is>
      </c>
      <c r="Z135" t="inlineStr">
        <is>
          <t>Assets/MachineBrigade/Resources/Data/balance.json: vehicles[143].parts[1]</t>
        </is>
      </c>
      <c r="AA135" t="inlineStr">
        <is>
          <t>{"id":"twin_gun","kind":"maingun","hp":0.09,"armour":3,"node":"Main_cannon|Main_cannon_2|Muzzle_brake|Muzzle_brake_2","wreck":"wreck_barrel","at":[0,5.5,3.9],"radius":3.0,"mounts":[0],"radio":"radio.part.maingun"}</t>
        </is>
      </c>
    </row>
    <row r="136">
      <c r="A136" t="inlineStr">
        <is>
          <t>silver_bug/crash_turret_l</t>
        </is>
      </c>
      <c r="B136" t="inlineStr">
        <is>
          <t>silver_bug</t>
        </is>
      </c>
      <c r="C136" t="n">
        <v>10</v>
      </c>
      <c r="D136" t="inlineStr">
        <is>
          <t>gun_40</t>
        </is>
      </c>
      <c r="G136" t="n">
        <v>-6.5</v>
      </c>
      <c r="H136" t="n">
        <v>-6</v>
      </c>
      <c r="I136" t="n">
        <v>2.2</v>
      </c>
      <c r="N136" t="inlineStr">
        <is>
          <t>crash_turret_l</t>
        </is>
      </c>
      <c r="Q136" t="inlineStr">
        <is>
          <t>Mount_gun.002</t>
        </is>
      </c>
      <c r="Z136" t="inlineStr">
        <is>
          <t>Assets/MachineBrigade/Resources/Data/balance.json: vehicles[144].parts[10]</t>
        </is>
      </c>
      <c r="AA136" t="inlineStr">
        <is>
          <t>{"use":"gun_40","id":"crash_turret_l","node":"Mount_gun.002","at":[-6.5,-6.0,2.2]}</t>
        </is>
      </c>
    </row>
    <row r="137">
      <c r="A137" t="inlineStr">
        <is>
          <t>silver_bug/crash_turret_r</t>
        </is>
      </c>
      <c r="B137" t="inlineStr">
        <is>
          <t>silver_bug</t>
        </is>
      </c>
      <c r="C137" t="n">
        <v>11</v>
      </c>
      <c r="D137" t="inlineStr">
        <is>
          <t>gun_40</t>
        </is>
      </c>
      <c r="G137" t="n">
        <v>6.5</v>
      </c>
      <c r="H137" t="n">
        <v>-6</v>
      </c>
      <c r="I137" t="n">
        <v>2.2</v>
      </c>
      <c r="N137" t="inlineStr">
        <is>
          <t>crash_turret_r</t>
        </is>
      </c>
      <c r="Q137" t="inlineStr">
        <is>
          <t>Mount_gun.003</t>
        </is>
      </c>
      <c r="Z137" t="inlineStr">
        <is>
          <t>Assets/MachineBrigade/Resources/Data/balance.json: vehicles[144].parts[11]</t>
        </is>
      </c>
      <c r="AA137" t="inlineStr">
        <is>
          <t>{"use":"gun_40","id":"crash_turret_r","node":"Mount_gun.003","at":[6.5,-6.0,2.2]}</t>
        </is>
      </c>
    </row>
    <row r="138">
      <c r="A138" t="inlineStr">
        <is>
          <t>silver_bug/main_engine</t>
        </is>
      </c>
      <c r="B138" t="inlineStr">
        <is>
          <t>silver_bug</t>
        </is>
      </c>
      <c r="C138" t="n">
        <v>1</v>
      </c>
      <c r="F138" t="n">
        <v>2</v>
      </c>
      <c r="G138" t="n">
        <v>0</v>
      </c>
      <c r="H138" t="n">
        <v>-15.5</v>
      </c>
      <c r="I138" t="n">
        <v>0.6</v>
      </c>
      <c r="M138" t="n">
        <v>0.06</v>
      </c>
      <c r="N138" t="inlineStr">
        <is>
          <t>main_engine</t>
        </is>
      </c>
      <c r="O138" t="inlineStr">
        <is>
          <t>mainengine</t>
        </is>
      </c>
      <c r="Q138" t="inlineStr">
        <is>
          <t>Thruster_main</t>
        </is>
      </c>
      <c r="R138" t="inlineStr">
        <is>
          <t>radio.part.mainengine</t>
        </is>
      </c>
      <c r="S138" t="n">
        <v>3.4</v>
      </c>
      <c r="W138" t="inlineStr">
        <is>
          <t>thrust</t>
        </is>
      </c>
      <c r="Y138" t="inlineStr">
        <is>
          <t>wreck_stump</t>
        </is>
      </c>
      <c r="Z138" t="inlineStr">
        <is>
          <t>Assets/MachineBrigade/Resources/Data/balance.json: vehicles[144].parts[1]</t>
        </is>
      </c>
      <c r="AA138" t="inlineStr">
        <is>
          <t>{"id":"main_engine","kind":"mainengine","hp":0.06,"armour":2,"node":"Thruster_main","wreck":"wreck_stump","at":[0,-15.5,0.6],"radius":3.4,"stops":["thrust"],"radio":"radio.part.mainengine"}</t>
        </is>
      </c>
    </row>
    <row r="139">
      <c r="A139" t="inlineStr">
        <is>
          <t>silver_bug/main_laser</t>
        </is>
      </c>
      <c r="B139" t="inlineStr">
        <is>
          <t>silver_bug</t>
        </is>
      </c>
      <c r="C139" t="n">
        <v>0</v>
      </c>
      <c r="F139" t="n">
        <v>3</v>
      </c>
      <c r="G139" t="n">
        <v>0</v>
      </c>
      <c r="H139" t="n">
        <v>7</v>
      </c>
      <c r="I139" t="n">
        <v>-2.8</v>
      </c>
      <c r="L139" t="inlineStr">
        <is>
          <t>energy</t>
        </is>
      </c>
      <c r="M139" t="n">
        <v>0.06</v>
      </c>
      <c r="N139" t="inlineStr">
        <is>
          <t>main_laser</t>
        </is>
      </c>
      <c r="O139" t="inlineStr">
        <is>
          <t>laser</t>
        </is>
      </c>
      <c r="P139" t="inlineStr">
        <is>
          <t>0</t>
        </is>
      </c>
      <c r="Q139" t="inlineStr">
        <is>
          <t>Turret</t>
        </is>
      </c>
      <c r="R139" t="inlineStr">
        <is>
          <t>radio.part.maingun</t>
        </is>
      </c>
      <c r="S139" t="n">
        <v>2.4</v>
      </c>
      <c r="Y139" t="inlineStr">
        <is>
          <t>wreck_stump</t>
        </is>
      </c>
      <c r="Z139" t="inlineStr">
        <is>
          <t>Assets/MachineBrigade/Resources/Data/balance.json: vehicles[144].parts[0]</t>
        </is>
      </c>
      <c r="AA139" t="inlineStr">
        <is>
          <t>{"id":"main_laser","kind":"laser","hp":0.06,"armour":3,"node":"Turret","wreck":"wreck_stump","at":[0,7,-2.8],"radius":2.4,"mounts":[0],"radio":"radio.part.maingun","fx":"energy"}</t>
        </is>
      </c>
    </row>
    <row r="140">
      <c r="A140" t="inlineStr">
        <is>
          <t>silver_bug/pd_laser_l</t>
        </is>
      </c>
      <c r="B140" t="inlineStr">
        <is>
          <t>silver_bug</t>
        </is>
      </c>
      <c r="C140" t="n">
        <v>6</v>
      </c>
      <c r="F140" t="n">
        <v>2</v>
      </c>
      <c r="G140" t="n">
        <v>-3.2</v>
      </c>
      <c r="H140" t="n">
        <v>5</v>
      </c>
      <c r="I140" t="n">
        <v>3.2</v>
      </c>
      <c r="L140" t="inlineStr">
        <is>
          <t>energy</t>
        </is>
      </c>
      <c r="M140" t="n">
        <v>0.06</v>
      </c>
      <c r="N140" t="inlineStr">
        <is>
          <t>pd_laser_l</t>
        </is>
      </c>
      <c r="O140" t="inlineStr">
        <is>
          <t>pdlaser</t>
        </is>
      </c>
      <c r="Q140" t="inlineStr">
        <is>
          <t>Pd_laser_l</t>
        </is>
      </c>
      <c r="S140" t="n">
        <v>1.6</v>
      </c>
      <c r="W140" t="inlineStr">
        <is>
          <t>aps</t>
        </is>
      </c>
      <c r="Y140" t="inlineStr">
        <is>
          <t>wreck_turret</t>
        </is>
      </c>
      <c r="Z140" t="inlineStr">
        <is>
          <t>Assets/MachineBrigade/Resources/Data/balance.json: vehicles[144].parts[6]</t>
        </is>
      </c>
      <c r="AA140" t="inlineStr">
        <is>
          <t>{"id":"pd_laser_l","kind":"pdlaser","hp":0.06,"armour":2,"node":"Pd_laser_l","wreck":"wreck_turret","at":[-3.2,5,3.2],"radius":1.6,"stops":["aps"],"fx":"energy"}</t>
        </is>
      </c>
    </row>
    <row r="141">
      <c r="A141" t="inlineStr">
        <is>
          <t>silver_bug/pd_laser_r</t>
        </is>
      </c>
      <c r="B141" t="inlineStr">
        <is>
          <t>silver_bug</t>
        </is>
      </c>
      <c r="C141" t="n">
        <v>7</v>
      </c>
      <c r="F141" t="n">
        <v>2</v>
      </c>
      <c r="G141" t="n">
        <v>3.2</v>
      </c>
      <c r="H141" t="n">
        <v>5</v>
      </c>
      <c r="I141" t="n">
        <v>3.2</v>
      </c>
      <c r="L141" t="inlineStr">
        <is>
          <t>energy</t>
        </is>
      </c>
      <c r="M141" t="n">
        <v>0.06</v>
      </c>
      <c r="N141" t="inlineStr">
        <is>
          <t>pd_laser_r</t>
        </is>
      </c>
      <c r="O141" t="inlineStr">
        <is>
          <t>pdlaser</t>
        </is>
      </c>
      <c r="Q141" t="inlineStr">
        <is>
          <t>Pd_laser_r</t>
        </is>
      </c>
      <c r="S141" t="n">
        <v>1.6</v>
      </c>
      <c r="W141" t="inlineStr">
        <is>
          <t>aps</t>
        </is>
      </c>
      <c r="Y141" t="inlineStr">
        <is>
          <t>wreck_turret</t>
        </is>
      </c>
      <c r="Z141" t="inlineStr">
        <is>
          <t>Assets/MachineBrigade/Resources/Data/balance.json: vehicles[144].parts[7]</t>
        </is>
      </c>
      <c r="AA141" t="inlineStr">
        <is>
          <t>{"id":"pd_laser_r","kind":"pdlaser","hp":0.06,"armour":2,"node":"Pd_laser_r","wreck":"wreck_turret","at":[3.2,5,3.2],"radius":1.6,"stops":["aps"],"fx":"energy"}</t>
        </is>
      </c>
    </row>
    <row r="142">
      <c r="A142" t="inlineStr">
        <is>
          <t>silver_bug/pod_bay</t>
        </is>
      </c>
      <c r="B142" t="inlineStr">
        <is>
          <t>silver_bug</t>
        </is>
      </c>
      <c r="C142" t="n">
        <v>8</v>
      </c>
      <c r="F142" t="n">
        <v>2</v>
      </c>
      <c r="G142" t="n">
        <v>0</v>
      </c>
      <c r="H142" t="n">
        <v>-4</v>
      </c>
      <c r="I142" t="n">
        <v>-2.6</v>
      </c>
      <c r="M142" t="n">
        <v>0.06</v>
      </c>
      <c r="N142" t="inlineStr">
        <is>
          <t>pod_bay</t>
        </is>
      </c>
      <c r="O142" t="inlineStr">
        <is>
          <t>podbay</t>
        </is>
      </c>
      <c r="Q142" t="inlineStr">
        <is>
          <t>Pod_bay</t>
        </is>
      </c>
      <c r="R142" t="inlineStr">
        <is>
          <t>radio.part.podbay</t>
        </is>
      </c>
      <c r="S142" t="n">
        <v>2.8</v>
      </c>
      <c r="W142" t="inlineStr">
        <is>
          <t>pods</t>
        </is>
      </c>
      <c r="Y142" t="inlineStr">
        <is>
          <t>wreck_stump</t>
        </is>
      </c>
      <c r="Z142" t="inlineStr">
        <is>
          <t>Assets/MachineBrigade/Resources/Data/balance.json: vehicles[144].parts[8]</t>
        </is>
      </c>
      <c r="AA142" t="inlineStr">
        <is>
          <t>{"id":"pod_bay","kind":"podbay","hp":0.06,"armour":2,"node":"Pod_bay","wreck":"wreck_stump","at":[0,-4,-2.6],"radius":2.8,"stops":["pods"],"radio":"radio.part.podbay"}</t>
        </is>
      </c>
    </row>
    <row r="143">
      <c r="A143" t="inlineStr">
        <is>
          <t>silver_bug/thruster_fl</t>
        </is>
      </c>
      <c r="B143" t="inlineStr">
        <is>
          <t>silver_bug</t>
        </is>
      </c>
      <c r="C143" t="n">
        <v>2</v>
      </c>
      <c r="F143" t="n">
        <v>1</v>
      </c>
      <c r="G143" t="n">
        <v>-4.5</v>
      </c>
      <c r="H143" t="n">
        <v>11</v>
      </c>
      <c r="I143" t="n">
        <v>0.8</v>
      </c>
      <c r="M143" t="n">
        <v>0.06</v>
      </c>
      <c r="N143" t="inlineStr">
        <is>
          <t>thruster_fl</t>
        </is>
      </c>
      <c r="O143" t="inlineStr">
        <is>
          <t>thruster</t>
        </is>
      </c>
      <c r="Q143" t="inlineStr">
        <is>
          <t>Thruster_fl</t>
        </is>
      </c>
      <c r="S143" t="n">
        <v>1.6</v>
      </c>
      <c r="U143" t="n">
        <v>0.88</v>
      </c>
      <c r="Y143" t="inlineStr">
        <is>
          <t>wreck_stump</t>
        </is>
      </c>
      <c r="Z143" t="inlineStr">
        <is>
          <t>Assets/MachineBrigade/Resources/Data/balance.json: vehicles[144].parts[2]</t>
        </is>
      </c>
      <c r="AA143" t="inlineStr">
        <is>
          <t>{"id":"thruster_fl","kind":"thruster","hp":0.06,"armour":1,"node":"Thruster_fl","wreck":"wreck_stump","at":[-4.5,11,0.8],"radius":1.6,"speed":0.88}</t>
        </is>
      </c>
    </row>
    <row r="144">
      <c r="A144" t="inlineStr">
        <is>
          <t>silver_bug/thruster_fr</t>
        </is>
      </c>
      <c r="B144" t="inlineStr">
        <is>
          <t>silver_bug</t>
        </is>
      </c>
      <c r="C144" t="n">
        <v>3</v>
      </c>
      <c r="F144" t="n">
        <v>1</v>
      </c>
      <c r="G144" t="n">
        <v>4.5</v>
      </c>
      <c r="H144" t="n">
        <v>11</v>
      </c>
      <c r="I144" t="n">
        <v>0.8</v>
      </c>
      <c r="M144" t="n">
        <v>0.06</v>
      </c>
      <c r="N144" t="inlineStr">
        <is>
          <t>thruster_fr</t>
        </is>
      </c>
      <c r="O144" t="inlineStr">
        <is>
          <t>thruster</t>
        </is>
      </c>
      <c r="Q144" t="inlineStr">
        <is>
          <t>Thruster_fr</t>
        </is>
      </c>
      <c r="S144" t="n">
        <v>1.6</v>
      </c>
      <c r="U144" t="n">
        <v>0.88</v>
      </c>
      <c r="Y144" t="inlineStr">
        <is>
          <t>wreck_stump</t>
        </is>
      </c>
      <c r="Z144" t="inlineStr">
        <is>
          <t>Assets/MachineBrigade/Resources/Data/balance.json: vehicles[144].parts[3]</t>
        </is>
      </c>
      <c r="AA144" t="inlineStr">
        <is>
          <t>{"id":"thruster_fr","kind":"thruster","hp":0.06,"armour":1,"node":"Thruster_fr","wreck":"wreck_stump","at":[4.5,11,0.8],"radius":1.6,"speed":0.88}</t>
        </is>
      </c>
    </row>
    <row r="145">
      <c r="A145" t="inlineStr">
        <is>
          <t>silver_bug/thruster_rl</t>
        </is>
      </c>
      <c r="B145" t="inlineStr">
        <is>
          <t>silver_bug</t>
        </is>
      </c>
      <c r="C145" t="n">
        <v>4</v>
      </c>
      <c r="F145" t="n">
        <v>1</v>
      </c>
      <c r="G145" t="n">
        <v>-8</v>
      </c>
      <c r="H145" t="n">
        <v>-11</v>
      </c>
      <c r="I145" t="n">
        <v>0.4</v>
      </c>
      <c r="M145" t="n">
        <v>0.06</v>
      </c>
      <c r="N145" t="inlineStr">
        <is>
          <t>thruster_rl</t>
        </is>
      </c>
      <c r="O145" t="inlineStr">
        <is>
          <t>thruster</t>
        </is>
      </c>
      <c r="Q145" t="inlineStr">
        <is>
          <t>Thruster_rl</t>
        </is>
      </c>
      <c r="S145" t="n">
        <v>1.6</v>
      </c>
      <c r="U145" t="n">
        <v>0.88</v>
      </c>
      <c r="Y145" t="inlineStr">
        <is>
          <t>wreck_stump</t>
        </is>
      </c>
      <c r="Z145" t="inlineStr">
        <is>
          <t>Assets/MachineBrigade/Resources/Data/balance.json: vehicles[144].parts[4]</t>
        </is>
      </c>
      <c r="AA145" t="inlineStr">
        <is>
          <t>{"id":"thruster_rl","kind":"thruster","hp":0.06,"armour":1,"node":"Thruster_rl","wreck":"wreck_stump","at":[-8,-11,0.4],"radius":1.6,"speed":0.88}</t>
        </is>
      </c>
    </row>
    <row r="146">
      <c r="A146" t="inlineStr">
        <is>
          <t>silver_bug/thruster_rr</t>
        </is>
      </c>
      <c r="B146" t="inlineStr">
        <is>
          <t>silver_bug</t>
        </is>
      </c>
      <c r="C146" t="n">
        <v>5</v>
      </c>
      <c r="F146" t="n">
        <v>1</v>
      </c>
      <c r="G146" t="n">
        <v>8</v>
      </c>
      <c r="H146" t="n">
        <v>-11</v>
      </c>
      <c r="I146" t="n">
        <v>0.4</v>
      </c>
      <c r="M146" t="n">
        <v>0.06</v>
      </c>
      <c r="N146" t="inlineStr">
        <is>
          <t>thruster_rr</t>
        </is>
      </c>
      <c r="O146" t="inlineStr">
        <is>
          <t>thruster</t>
        </is>
      </c>
      <c r="Q146" t="inlineStr">
        <is>
          <t>Thruster_rr</t>
        </is>
      </c>
      <c r="S146" t="n">
        <v>1.6</v>
      </c>
      <c r="U146" t="n">
        <v>0.88</v>
      </c>
      <c r="Y146" t="inlineStr">
        <is>
          <t>wreck_stump</t>
        </is>
      </c>
      <c r="Z146" t="inlineStr">
        <is>
          <t>Assets/MachineBrigade/Resources/Data/balance.json: vehicles[144].parts[5]</t>
        </is>
      </c>
      <c r="AA146" t="inlineStr">
        <is>
          <t>{"id":"thruster_rr","kind":"thruster","hp":0.06,"armour":1,"node":"Thruster_rr","wreck":"wreck_stump","at":[8,-11,0.4],"radius":1.6,"speed":0.88}</t>
        </is>
      </c>
    </row>
    <row r="147">
      <c r="A147" t="inlineStr">
        <is>
          <t>silver_bug/uplink</t>
        </is>
      </c>
      <c r="B147" t="inlineStr">
        <is>
          <t>silver_bug</t>
        </is>
      </c>
      <c r="C147" t="n">
        <v>9</v>
      </c>
      <c r="F147" t="n">
        <v>1</v>
      </c>
      <c r="G147" t="n">
        <v>0</v>
      </c>
      <c r="H147" t="n">
        <v>-3</v>
      </c>
      <c r="I147" t="n">
        <v>4.2</v>
      </c>
      <c r="L147" t="inlineStr">
        <is>
          <t>energy</t>
        </is>
      </c>
      <c r="M147" t="n">
        <v>0.06</v>
      </c>
      <c r="N147" t="inlineStr">
        <is>
          <t>uplink</t>
        </is>
      </c>
      <c r="O147" t="inlineStr">
        <is>
          <t>uplink</t>
        </is>
      </c>
      <c r="Q147" t="inlineStr">
        <is>
          <t>Uplink</t>
        </is>
      </c>
      <c r="R147" t="inlineStr">
        <is>
          <t>radio.part.uplink</t>
        </is>
      </c>
      <c r="S147" t="n">
        <v>2</v>
      </c>
      <c r="Y147" t="inlineStr">
        <is>
          <t>wreck_stump</t>
        </is>
      </c>
      <c r="Z147" t="inlineStr">
        <is>
          <t>Assets/MachineBrigade/Resources/Data/balance.json: vehicles[144].parts[9]</t>
        </is>
      </c>
      <c r="AA147" t="inlineStr">
        <is>
          <t>{"id":"uplink","kind":"uplink","hp":0.06,"armour":1,"node":"Uplink","wreck":"wreck_stump","at":[0,-3,4.2],"radius":2.0,"radio":"radio.part.uplink","fx":"energy"}</t>
        </is>
      </c>
    </row>
    <row r="148">
      <c r="A148" t="inlineStr">
        <is>
          <t>typhon/deck_gun</t>
        </is>
      </c>
      <c r="B148" t="inlineStr">
        <is>
          <t>typhon</t>
        </is>
      </c>
      <c r="C148" t="n">
        <v>6</v>
      </c>
      <c r="D148" t="inlineStr">
        <is>
          <t>deck_gun_100</t>
        </is>
      </c>
      <c r="G148" t="n">
        <v>0</v>
      </c>
      <c r="H148" t="n">
        <v>16</v>
      </c>
      <c r="I148" t="n">
        <v>4.2</v>
      </c>
      <c r="N148" t="inlineStr">
        <is>
          <t>deck_gun</t>
        </is>
      </c>
      <c r="Q148" t="inlineStr">
        <is>
          <t>Mount_gun</t>
        </is>
      </c>
      <c r="Z148" t="inlineStr">
        <is>
          <t>Assets/MachineBrigade/Resources/Data/balance.json: vehicles[161].parts[6]</t>
        </is>
      </c>
      <c r="AA148" t="inlineStr">
        <is>
          <t>{"use":"deck_gun_100","id":"deck_gun","node":"Mount_gun","at":[0,16.0,4.2]}</t>
        </is>
      </c>
    </row>
    <row r="149">
      <c r="A149" t="inlineStr">
        <is>
          <t>typhon/doors_l</t>
        </is>
      </c>
      <c r="B149" t="inlineStr">
        <is>
          <t>typhon</t>
        </is>
      </c>
      <c r="C149" t="n">
        <v>1</v>
      </c>
      <c r="F149" t="n">
        <v>2</v>
      </c>
      <c r="G149" t="n">
        <v>-2.2</v>
      </c>
      <c r="H149" t="n">
        <v>-6</v>
      </c>
      <c r="I149" t="n">
        <v>3.6</v>
      </c>
      <c r="M149" t="n">
        <v>0.08</v>
      </c>
      <c r="N149" t="inlineStr">
        <is>
          <t>doors_l</t>
        </is>
      </c>
      <c r="O149" t="inlineStr">
        <is>
          <t>launchdoors</t>
        </is>
      </c>
      <c r="Q149" t="inlineStr">
        <is>
          <t>Part_doors_l</t>
        </is>
      </c>
      <c r="R149" t="inlineStr">
        <is>
          <t>radio.part.launchdoors</t>
        </is>
      </c>
      <c r="S149" t="n">
        <v>3</v>
      </c>
      <c r="W149" t="inlineStr">
        <is>
          <t>cruise</t>
        </is>
      </c>
      <c r="Y149" t="inlineStr">
        <is>
          <t>wreck_launcher</t>
        </is>
      </c>
      <c r="Z149" t="inlineStr">
        <is>
          <t>Assets/MachineBrigade/Resources/Data/balance.json: vehicles[161].parts[1]</t>
        </is>
      </c>
      <c r="AA149" t="inlineStr">
        <is>
          <t>{"id":"doors_l","kind":"launchdoors","hp":0.08,"armour":2,"node":"Part_doors_l","wreck":"wreck_launcher","at":[-2.2,-6.0,3.6],"radius":3.0,"stops":["cruise"],"radio":"radio.part.launchdoors"}</t>
        </is>
      </c>
    </row>
    <row r="150">
      <c r="A150" t="inlineStr">
        <is>
          <t>typhon/doors_r</t>
        </is>
      </c>
      <c r="B150" t="inlineStr">
        <is>
          <t>typhon</t>
        </is>
      </c>
      <c r="C150" t="n">
        <v>2</v>
      </c>
      <c r="F150" t="n">
        <v>2</v>
      </c>
      <c r="G150" t="n">
        <v>2.2</v>
      </c>
      <c r="H150" t="n">
        <v>-6</v>
      </c>
      <c r="I150" t="n">
        <v>3.6</v>
      </c>
      <c r="M150" t="n">
        <v>0.08</v>
      </c>
      <c r="N150" t="inlineStr">
        <is>
          <t>doors_r</t>
        </is>
      </c>
      <c r="O150" t="inlineStr">
        <is>
          <t>launchdoors</t>
        </is>
      </c>
      <c r="Q150" t="inlineStr">
        <is>
          <t>Part_doors_r</t>
        </is>
      </c>
      <c r="S150" t="n">
        <v>3</v>
      </c>
      <c r="W150" t="inlineStr">
        <is>
          <t>cruise</t>
        </is>
      </c>
      <c r="Y150" t="inlineStr">
        <is>
          <t>wreck_launcher</t>
        </is>
      </c>
      <c r="Z150" t="inlineStr">
        <is>
          <t>Assets/MachineBrigade/Resources/Data/balance.json: vehicles[161].parts[2]</t>
        </is>
      </c>
      <c r="AA150" t="inlineStr">
        <is>
          <t>{"id":"doors_r","kind":"launchdoors","hp":0.08,"armour":2,"node":"Part_doors_r","wreck":"wreck_launcher","at":[2.2,-6.0,3.6],"radius":3.0,"stops":["cruise"]}</t>
        </is>
      </c>
    </row>
    <row r="151">
      <c r="A151" t="inlineStr">
        <is>
          <t>typhon/rudder</t>
        </is>
      </c>
      <c r="B151" t="inlineStr">
        <is>
          <t>typhon</t>
        </is>
      </c>
      <c r="C151" t="n">
        <v>3</v>
      </c>
      <c r="F151" t="n">
        <v>2</v>
      </c>
      <c r="G151" t="n">
        <v>0</v>
      </c>
      <c r="H151" t="n">
        <v>-27</v>
      </c>
      <c r="I151" t="n">
        <v>2.6</v>
      </c>
      <c r="M151" t="n">
        <v>0.08</v>
      </c>
      <c r="N151" t="inlineStr">
        <is>
          <t>rudder</t>
        </is>
      </c>
      <c r="O151" t="inlineStr">
        <is>
          <t>rudder</t>
        </is>
      </c>
      <c r="Q151" t="inlineStr">
        <is>
          <t>Part_rudder</t>
        </is>
      </c>
      <c r="S151" t="n">
        <v>2.6</v>
      </c>
      <c r="U151" t="n">
        <v>0.9</v>
      </c>
      <c r="X151" t="n">
        <v>0.5</v>
      </c>
      <c r="Y151" t="inlineStr">
        <is>
          <t>wreck_stump</t>
        </is>
      </c>
      <c r="Z151" t="inlineStr">
        <is>
          <t>Assets/MachineBrigade/Resources/Data/balance.json: vehicles[161].parts[3]</t>
        </is>
      </c>
      <c r="AA151" t="inlineStr">
        <is>
          <t>{"id":"rudder","kind":"rudder","hp":0.08,"armour":2,"node":"Part_rudder","wreck":"wreck_stump","at":[0,-27.0,2.6],"radius":2.6,"turn":0.5,"speed":0.9}</t>
        </is>
      </c>
    </row>
    <row r="152">
      <c r="A152" t="inlineStr">
        <is>
          <t>typhon/sail</t>
        </is>
      </c>
      <c r="B152" t="inlineStr">
        <is>
          <t>typhon</t>
        </is>
      </c>
      <c r="C152" t="n">
        <v>0</v>
      </c>
      <c r="E152" t="inlineStr">
        <is>
          <t>0</t>
        </is>
      </c>
      <c r="F152" t="n">
        <v>2</v>
      </c>
      <c r="G152" t="n">
        <v>0</v>
      </c>
      <c r="H152" t="n">
        <v>6</v>
      </c>
      <c r="I152" t="n">
        <v>7</v>
      </c>
      <c r="M152" t="n">
        <v>0.08</v>
      </c>
      <c r="N152" t="inlineStr">
        <is>
          <t>sail</t>
        </is>
      </c>
      <c r="O152" t="inlineStr">
        <is>
          <t>sail</t>
        </is>
      </c>
      <c r="Q152" t="inlineStr">
        <is>
          <t>Part_sail</t>
        </is>
      </c>
      <c r="R152" t="inlineStr">
        <is>
          <t>radio.part.sail</t>
        </is>
      </c>
      <c r="S152" t="n">
        <v>3</v>
      </c>
      <c r="V152" t="n">
        <v>2</v>
      </c>
      <c r="Y152" t="inlineStr">
        <is>
          <t>wreck_stump</t>
        </is>
      </c>
      <c r="Z152" t="inlineStr">
        <is>
          <t>Assets/MachineBrigade/Resources/Data/balance.json: vehicles[161].parts[0]</t>
        </is>
      </c>
      <c r="AA152" t="inlineStr">
        <is>
          <t>{"id":"sail","kind":"sail","hp":0.08,"armour":2,"node":"Part_sail","wreck":"wreck_stump","at":[0,6.0,7.0],"radius":3.0,"spread":2,"affects":[0],"radio":"radio.part.sail"}</t>
        </is>
      </c>
    </row>
    <row r="153">
      <c r="A153" t="inlineStr">
        <is>
          <t>typhon/sam</t>
        </is>
      </c>
      <c r="B153" t="inlineStr">
        <is>
          <t>typhon</t>
        </is>
      </c>
      <c r="C153" t="n">
        <v>5</v>
      </c>
      <c r="F153" t="n">
        <v>2</v>
      </c>
      <c r="G153" t="n">
        <v>0</v>
      </c>
      <c r="H153" t="n">
        <v>3</v>
      </c>
      <c r="I153" t="n">
        <v>9</v>
      </c>
      <c r="M153" t="n">
        <v>0.08</v>
      </c>
      <c r="N153" t="inlineStr">
        <is>
          <t>sam</t>
        </is>
      </c>
      <c r="O153" t="inlineStr">
        <is>
          <t>sam</t>
        </is>
      </c>
      <c r="P153" t="inlineStr">
        <is>
          <t>0</t>
        </is>
      </c>
      <c r="Q153" t="inlineStr">
        <is>
          <t>Mount_missile</t>
        </is>
      </c>
      <c r="S153" t="n">
        <v>1.8</v>
      </c>
      <c r="Y153" t="inlineStr">
        <is>
          <t>wreck_launcher</t>
        </is>
      </c>
      <c r="Z153" t="inlineStr">
        <is>
          <t>Assets/MachineBrigade/Resources/Data/balance.json: vehicles[161].parts[5]</t>
        </is>
      </c>
      <c r="AA153" t="inlineStr">
        <is>
          <t>{"id":"sam","kind":"sam","hp":0.08,"armour":2,"node":"Mount_missile","wreck":"wreck_launcher","at":[0,3.0,9.0],"radius":1.8,"mounts":[0]}</t>
        </is>
      </c>
    </row>
    <row r="154">
      <c r="A154" t="inlineStr">
        <is>
          <t>typhon/sonar</t>
        </is>
      </c>
      <c r="B154" t="inlineStr">
        <is>
          <t>typhon</t>
        </is>
      </c>
      <c r="C154" t="n">
        <v>4</v>
      </c>
      <c r="F154" t="n">
        <v>1</v>
      </c>
      <c r="G154" t="n">
        <v>0</v>
      </c>
      <c r="H154" t="n">
        <v>26</v>
      </c>
      <c r="I154" t="n">
        <v>2.4</v>
      </c>
      <c r="L154" t="inlineStr">
        <is>
          <t>energy</t>
        </is>
      </c>
      <c r="M154" t="n">
        <v>0.08</v>
      </c>
      <c r="N154" t="inlineStr">
        <is>
          <t>sonar</t>
        </is>
      </c>
      <c r="O154" t="inlineStr">
        <is>
          <t>sonar</t>
        </is>
      </c>
      <c r="Q154" t="inlineStr">
        <is>
          <t>Part_sonar</t>
        </is>
      </c>
      <c r="S154" t="n">
        <v>2.4</v>
      </c>
      <c r="W154" t="inlineStr">
        <is>
          <t>radar</t>
        </is>
      </c>
      <c r="Y154" t="inlineStr">
        <is>
          <t>wreck_stump</t>
        </is>
      </c>
      <c r="Z154" t="inlineStr">
        <is>
          <t>Assets/MachineBrigade/Resources/Data/balance.json: vehicles[161].parts[4]</t>
        </is>
      </c>
      <c r="AA154" t="inlineStr">
        <is>
          <t>{"id":"sonar","kind":"sonar","hp":0.08,"armour":1,"node":"Part_sonar","wreck":"wreck_stump","at":[0,26.0,2.4],"radius":2.4,"stops":["radar"],"fx":"energy"}</t>
        </is>
      </c>
    </row>
  </sheetData>
  <autoFilter ref="A1:AA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17" customWidth="1" min="10" max="10"/>
    <col width="9" customWidth="1" min="11" max="11"/>
    <col width="60" customWidth="1" min="12" max="12"/>
    <col width="60" customWidth="1" min="13" max="13"/>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radio</t>
        </is>
      </c>
      <c r="K1" s="1" t="inlineStr">
        <is>
          <t>stops</t>
        </is>
      </c>
      <c r="L1" s="1" t="inlineStr">
        <is>
          <t>nguon</t>
        </is>
      </c>
      <c r="M1" s="1" t="inlineStr">
        <is>
          <t>raw_json</t>
        </is>
      </c>
    </row>
    <row r="2">
      <c r="A2" t="inlineStr">
        <is>
          <t>argus/engine_fl</t>
        </is>
      </c>
      <c r="B2" t="inlineStr">
        <is>
          <t>argus</t>
        </is>
      </c>
      <c r="C2" t="n">
        <v>1</v>
      </c>
      <c r="D2" t="inlineStr">
        <is>
          <t>engine_fl</t>
        </is>
      </c>
      <c r="H2" t="n">
        <v>0.3</v>
      </c>
      <c r="I2" t="n">
        <v>0.1</v>
      </c>
      <c r="L2" t="inlineStr">
        <is>
          <t>Assets/MachineBrigade/Resources/Data/balance.json: vehicles.169.variant.tune.engine_fl</t>
        </is>
      </c>
      <c r="M2" t="inlineStr">
        <is>
          <t>{"hp":0.1,"breakDamage":0.3}</t>
        </is>
      </c>
    </row>
    <row r="3">
      <c r="A3" t="inlineStr">
        <is>
          <t>argus/engine_fr</t>
        </is>
      </c>
      <c r="B3" t="inlineStr">
        <is>
          <t>argus</t>
        </is>
      </c>
      <c r="C3" t="n">
        <v>2</v>
      </c>
      <c r="D3" t="inlineStr">
        <is>
          <t>engine_fr</t>
        </is>
      </c>
      <c r="H3" t="n">
        <v>0.3</v>
      </c>
      <c r="I3" t="n">
        <v>0.1</v>
      </c>
      <c r="L3" t="inlineStr">
        <is>
          <t>Assets/MachineBrigade/Resources/Data/balance.json: vehicles.169.variant.tune.engine_fr</t>
        </is>
      </c>
      <c r="M3" t="inlineStr">
        <is>
          <t>{"hp":0.1,"breakDamage":0.3}</t>
        </is>
      </c>
    </row>
    <row r="4">
      <c r="A4" t="inlineStr">
        <is>
          <t>argus/radar</t>
        </is>
      </c>
      <c r="B4" t="inlineStr">
        <is>
          <t>argus</t>
        </is>
      </c>
      <c r="C4" t="n">
        <v>0</v>
      </c>
      <c r="D4" t="inlineStr">
        <is>
          <t>radar</t>
        </is>
      </c>
      <c r="H4" t="n">
        <v>0.3</v>
      </c>
      <c r="I4" t="n">
        <v>0.14</v>
      </c>
      <c r="J4" t="inlineStr">
        <is>
          <t>radio.part.radar</t>
        </is>
      </c>
      <c r="K4" t="inlineStr">
        <is>
          <t>spotaura</t>
        </is>
      </c>
      <c r="L4" t="inlineStr">
        <is>
          <t>Assets/MachineBrigade/Resources/Data/balance.json: vehicles.169.variant.tune.radar</t>
        </is>
      </c>
      <c r="M4" t="inlineStr">
        <is>
          <t>{"hp":0.14,"stops":["spotaura"],"radio":"radio.part.radar","breakDamage":0.3}</t>
        </is>
      </c>
    </row>
    <row r="5">
      <c r="A5" t="inlineStr">
        <is>
          <t>bastion_mk0/mortar</t>
        </is>
      </c>
      <c r="B5" t="inlineStr">
        <is>
          <t>bastion_mk0</t>
        </is>
      </c>
      <c r="C5" t="n">
        <v>0</v>
      </c>
      <c r="D5" t="inlineStr">
        <is>
          <t>mortar</t>
        </is>
      </c>
      <c r="I5" t="n">
        <v>0.15</v>
      </c>
      <c r="L5" t="inlineStr">
        <is>
          <t>Assets/MachineBrigade/Resources/Data/balance.json: vehicles.163.variant.tune.mortar</t>
        </is>
      </c>
      <c r="M5" t="inlineStr">
        <is>
          <t>{"hp":0.15}</t>
        </is>
      </c>
    </row>
    <row r="6">
      <c r="A6" t="inlineStr">
        <is>
          <t>bastion_mk0/turret_fl</t>
        </is>
      </c>
      <c r="B6" t="inlineStr">
        <is>
          <t>bastion_mk0</t>
        </is>
      </c>
      <c r="C6" t="n">
        <v>1</v>
      </c>
      <c r="D6" t="inlineStr">
        <is>
          <t>turret_fl</t>
        </is>
      </c>
      <c r="I6" t="n">
        <v>0.1</v>
      </c>
      <c r="L6" t="inlineStr">
        <is>
          <t>Assets/MachineBrigade/Resources/Data/balance.json: vehicles.163.variant.tune.turret_fl</t>
        </is>
      </c>
      <c r="M6" t="inlineStr">
        <is>
          <t>{"hp":0.1}</t>
        </is>
      </c>
    </row>
    <row r="7">
      <c r="A7" t="inlineStr">
        <is>
          <t>bastion_mk0/turret_fr</t>
        </is>
      </c>
      <c r="B7" t="inlineStr">
        <is>
          <t>bastion_mk0</t>
        </is>
      </c>
      <c r="C7" t="n">
        <v>2</v>
      </c>
      <c r="D7" t="inlineStr">
        <is>
          <t>turret_fr</t>
        </is>
      </c>
      <c r="I7" t="n">
        <v>0.1</v>
      </c>
      <c r="L7" t="inlineStr">
        <is>
          <t>Assets/MachineBrigade/Resources/Data/balance.json: vehicles.163.variant.tune.turret_fr</t>
        </is>
      </c>
      <c r="M7" t="inlineStr">
        <is>
          <t>{"hp":0.1}</t>
        </is>
      </c>
    </row>
    <row r="8">
      <c r="A8" t="inlineStr">
        <is>
          <t>behemoth_mk0/main_gun</t>
        </is>
      </c>
      <c r="B8" t="inlineStr">
        <is>
          <t>behemoth_mk0</t>
        </is>
      </c>
      <c r="C8" t="n">
        <v>0</v>
      </c>
      <c r="D8" t="inlineStr">
        <is>
          <t>main_gun</t>
        </is>
      </c>
      <c r="I8" t="n">
        <v>0.14</v>
      </c>
      <c r="L8" t="inlineStr">
        <is>
          <t>Assets/MachineBrigade/Resources/Data/balance.json: vehicles.170.variant.tune.main_gun</t>
        </is>
      </c>
      <c r="M8" t="inlineStr">
        <is>
          <t>{"hp":0.14}</t>
        </is>
      </c>
    </row>
    <row r="9">
      <c r="A9" t="inlineStr">
        <is>
          <t>behemoth_mk0/rocket_pod</t>
        </is>
      </c>
      <c r="B9" t="inlineStr">
        <is>
          <t>behemoth_mk0</t>
        </is>
      </c>
      <c r="C9" t="n">
        <v>3</v>
      </c>
      <c r="D9" t="inlineStr">
        <is>
          <t>rocket_pod</t>
        </is>
      </c>
      <c r="I9" t="n">
        <v>0.12</v>
      </c>
      <c r="L9" t="inlineStr">
        <is>
          <t>Assets/MachineBrigade/Resources/Data/balance.json: vehicles.170.variant.tune.rocket_pod</t>
        </is>
      </c>
      <c r="M9" t="inlineStr">
        <is>
          <t>{"hp":0.12}</t>
        </is>
      </c>
    </row>
    <row r="10">
      <c r="A10" t="inlineStr">
        <is>
          <t>behemoth_mk0/side_gun_l</t>
        </is>
      </c>
      <c r="B10" t="inlineStr">
        <is>
          <t>behemoth_mk0</t>
        </is>
      </c>
      <c r="C10" t="n">
        <v>1</v>
      </c>
      <c r="D10" t="inlineStr">
        <is>
          <t>side_gun_l</t>
        </is>
      </c>
      <c r="I10" t="n">
        <v>0.12</v>
      </c>
      <c r="L10" t="inlineStr">
        <is>
          <t>Assets/MachineBrigade/Resources/Data/balance.json: vehicles.170.variant.tune.side_gun_l</t>
        </is>
      </c>
      <c r="M10" t="inlineStr">
        <is>
          <t>{"hp":0.12}</t>
        </is>
      </c>
    </row>
    <row r="11">
      <c r="A11" t="inlineStr">
        <is>
          <t>behemoth_mk0/side_gun_r</t>
        </is>
      </c>
      <c r="B11" t="inlineStr">
        <is>
          <t>behemoth_mk0</t>
        </is>
      </c>
      <c r="C11" t="n">
        <v>2</v>
      </c>
      <c r="D11" t="inlineStr">
        <is>
          <t>side_gun_r</t>
        </is>
      </c>
      <c r="I11" t="n">
        <v>0.12</v>
      </c>
      <c r="L11" t="inlineStr">
        <is>
          <t>Assets/MachineBrigade/Resources/Data/balance.json: vehicles.170.variant.tune.side_gun_r</t>
        </is>
      </c>
      <c r="M11" t="inlineStr">
        <is>
          <t>{"hp":0.12}</t>
        </is>
      </c>
    </row>
    <row r="12">
      <c r="A12" t="inlineStr">
        <is>
          <t>behemoth_mk2/aps</t>
        </is>
      </c>
      <c r="B12" t="inlineStr">
        <is>
          <t>behemoth_mk2</t>
        </is>
      </c>
      <c r="C12" t="n">
        <v>3</v>
      </c>
      <c r="D12" t="inlineStr">
        <is>
          <t>aps</t>
        </is>
      </c>
      <c r="I12" t="n">
        <v>0.08</v>
      </c>
      <c r="L12" t="inlineStr">
        <is>
          <t>Assets/MachineBrigade/Resources/Data/balance.json: vehicles.167.variant.tune.aps</t>
        </is>
      </c>
      <c r="M12" t="inlineStr">
        <is>
          <t>{"hp":0.08}</t>
        </is>
      </c>
    </row>
    <row r="13">
      <c r="A13" t="inlineStr">
        <is>
          <t>behemoth_mk2/flak_l</t>
        </is>
      </c>
      <c r="B13" t="inlineStr">
        <is>
          <t>behemoth_mk2</t>
        </is>
      </c>
      <c r="C13" t="n">
        <v>2</v>
      </c>
      <c r="D13" t="inlineStr">
        <is>
          <t>flak_l</t>
        </is>
      </c>
      <c r="I13" t="n">
        <v>0.09</v>
      </c>
      <c r="L13" t="inlineStr">
        <is>
          <t>Assets/MachineBrigade/Resources/Data/balance.json: vehicles.167.variant.tune.flak_l</t>
        </is>
      </c>
      <c r="M13" t="inlineStr">
        <is>
          <t>{"hp":0.09}</t>
        </is>
      </c>
    </row>
    <row r="14">
      <c r="A14" t="inlineStr">
        <is>
          <t>behemoth_mk2/flak_r</t>
        </is>
      </c>
      <c r="B14" t="inlineStr">
        <is>
          <t>behemoth_mk2</t>
        </is>
      </c>
      <c r="C14" t="n">
        <v>1</v>
      </c>
      <c r="D14" t="inlineStr">
        <is>
          <t>flak_r</t>
        </is>
      </c>
      <c r="I14" t="n">
        <v>0.09</v>
      </c>
      <c r="L14" t="inlineStr">
        <is>
          <t>Assets/MachineBrigade/Resources/Data/balance.json: vehicles.167.variant.tune.flak_r</t>
        </is>
      </c>
      <c r="M14" t="inlineStr">
        <is>
          <t>{"hp":0.09}</t>
        </is>
      </c>
    </row>
    <row r="15">
      <c r="A15" t="inlineStr">
        <is>
          <t>behemoth_mk2/main_gun</t>
        </is>
      </c>
      <c r="B15" t="inlineStr">
        <is>
          <t>behemoth_mk2</t>
        </is>
      </c>
      <c r="C15" t="n">
        <v>0</v>
      </c>
      <c r="D15" t="inlineStr">
        <is>
          <t>main_gun</t>
        </is>
      </c>
      <c r="I15" t="n">
        <v>0.13</v>
      </c>
      <c r="L15" t="inlineStr">
        <is>
          <t>Assets/MachineBrigade/Resources/Data/balance.json: vehicles.167.variant.tune.main_gun</t>
        </is>
      </c>
      <c r="M15" t="inlineStr">
        <is>
          <t>{"hp":0.13}</t>
        </is>
      </c>
    </row>
    <row r="16">
      <c r="A16" t="inlineStr">
        <is>
          <t>fenrir/flak_l</t>
        </is>
      </c>
      <c r="B16" t="inlineStr">
        <is>
          <t>fenrir</t>
        </is>
      </c>
      <c r="C16" t="n">
        <v>2</v>
      </c>
      <c r="D16" t="inlineStr">
        <is>
          <t>flak_l</t>
        </is>
      </c>
      <c r="I16" t="n">
        <v>0.1</v>
      </c>
      <c r="L16" t="inlineStr">
        <is>
          <t>Assets/MachineBrigade/Resources/Data/balance.json: vehicles.164.variant.tune.flak_l</t>
        </is>
      </c>
      <c r="M16" t="inlineStr">
        <is>
          <t>{"hp":0.1}</t>
        </is>
      </c>
    </row>
    <row r="17">
      <c r="A17" t="inlineStr">
        <is>
          <t>fenrir/rockets_l</t>
        </is>
      </c>
      <c r="B17" t="inlineStr">
        <is>
          <t>fenrir</t>
        </is>
      </c>
      <c r="C17" t="n">
        <v>0</v>
      </c>
      <c r="D17" t="inlineStr">
        <is>
          <t>rockets_l</t>
        </is>
      </c>
      <c r="I17" t="n">
        <v>0.13</v>
      </c>
      <c r="L17" t="inlineStr">
        <is>
          <t>Assets/MachineBrigade/Resources/Data/balance.json: vehicles.164.variant.tune.rockets_l</t>
        </is>
      </c>
      <c r="M17" t="inlineStr">
        <is>
          <t>{"hp":0.13}</t>
        </is>
      </c>
    </row>
    <row r="18">
      <c r="A18" t="inlineStr">
        <is>
          <t>fenrir/rockets_r</t>
        </is>
      </c>
      <c r="B18" t="inlineStr">
        <is>
          <t>fenrir</t>
        </is>
      </c>
      <c r="C18" t="n">
        <v>1</v>
      </c>
      <c r="D18" t="inlineStr">
        <is>
          <t>rockets_r</t>
        </is>
      </c>
      <c r="I18" t="n">
        <v>0.13</v>
      </c>
      <c r="L18" t="inlineStr">
        <is>
          <t>Assets/MachineBrigade/Resources/Data/balance.json: vehicles.164.variant.tune.rockets_r</t>
        </is>
      </c>
      <c r="M18" t="inlineStr">
        <is>
          <t>{"hp":0.13}</t>
        </is>
      </c>
    </row>
    <row r="19">
      <c r="A19" t="inlineStr">
        <is>
          <t>hydra/deck_gun</t>
        </is>
      </c>
      <c r="B19" t="inlineStr">
        <is>
          <t>hydra</t>
        </is>
      </c>
      <c r="C19" t="n">
        <v>2</v>
      </c>
      <c r="D19" t="inlineStr">
        <is>
          <t>deck_gun</t>
        </is>
      </c>
      <c r="I19" t="n">
        <v>0.12</v>
      </c>
      <c r="L19" t="inlineStr">
        <is>
          <t>Assets/MachineBrigade/Resources/Data/balance.json: vehicles.175.variant.tune.deck_gun</t>
        </is>
      </c>
      <c r="M19" t="inlineStr">
        <is>
          <t>{"hp":0.12}</t>
        </is>
      </c>
    </row>
    <row r="20">
      <c r="A20" t="inlineStr">
        <is>
          <t>hydra/doors_l</t>
        </is>
      </c>
      <c r="B20" t="inlineStr">
        <is>
          <t>hydra</t>
        </is>
      </c>
      <c r="C20" t="n">
        <v>0</v>
      </c>
      <c r="D20" t="inlineStr">
        <is>
          <t>doors_l</t>
        </is>
      </c>
      <c r="I20" t="n">
        <v>0.12</v>
      </c>
      <c r="L20" t="inlineStr">
        <is>
          <t>Assets/MachineBrigade/Resources/Data/balance.json: vehicles.175.variant.tune.doors_l</t>
        </is>
      </c>
      <c r="M20" t="inlineStr">
        <is>
          <t>{"hp":0.12}</t>
        </is>
      </c>
    </row>
    <row r="21">
      <c r="A21" t="inlineStr">
        <is>
          <t>hydra/doors_r</t>
        </is>
      </c>
      <c r="B21" t="inlineStr">
        <is>
          <t>hydra</t>
        </is>
      </c>
      <c r="C21" t="n">
        <v>1</v>
      </c>
      <c r="D21" t="inlineStr">
        <is>
          <t>doors_r</t>
        </is>
      </c>
      <c r="I21" t="n">
        <v>0.12</v>
      </c>
      <c r="L21" t="inlineStr">
        <is>
          <t>Assets/MachineBrigade/Resources/Data/balance.json: vehicles.175.variant.tune.doors_r</t>
        </is>
      </c>
      <c r="M21" t="inlineStr">
        <is>
          <t>{"hp":0.12}</t>
        </is>
      </c>
    </row>
    <row r="22">
      <c r="A22" t="inlineStr">
        <is>
          <t>hydra/rudder</t>
        </is>
      </c>
      <c r="B22" t="inlineStr">
        <is>
          <t>hydra</t>
        </is>
      </c>
      <c r="C22" t="n">
        <v>3</v>
      </c>
      <c r="D22" t="inlineStr">
        <is>
          <t>rudder</t>
        </is>
      </c>
      <c r="I22" t="n">
        <v>0.1</v>
      </c>
      <c r="L22" t="inlineStr">
        <is>
          <t>Assets/MachineBrigade/Resources/Data/balance.json: vehicles.175.variant.tune.rudder</t>
        </is>
      </c>
      <c r="M22" t="inlineStr">
        <is>
          <t>{"hp":0.1}</t>
        </is>
      </c>
    </row>
    <row r="23">
      <c r="A23" t="inlineStr">
        <is>
          <t>hyperion/main_engine</t>
        </is>
      </c>
      <c r="B23" t="inlineStr">
        <is>
          <t>hyperion</t>
        </is>
      </c>
      <c r="C23" t="n">
        <v>1</v>
      </c>
      <c r="D23" t="inlineStr">
        <is>
          <t>main_engine</t>
        </is>
      </c>
      <c r="E23" t="n">
        <v>0</v>
      </c>
      <c r="F23" t="n">
        <v>-3.83</v>
      </c>
      <c r="G23" t="n">
        <v>7.83</v>
      </c>
      <c r="I23" t="n">
        <v>0.07000000000000001</v>
      </c>
      <c r="L23" t="inlineStr">
        <is>
          <t>Assets/MachineBrigade/Resources/Data/balance.json: vehicles.173.variant.tune.main_engine</t>
        </is>
      </c>
      <c r="M23" t="inlineStr">
        <is>
          <t>{"hp":0.07,"at":[0,-3.83,7.83]}</t>
        </is>
      </c>
    </row>
    <row r="24">
      <c r="A24" t="inlineStr">
        <is>
          <t>hyperion/main_laser</t>
        </is>
      </c>
      <c r="B24" t="inlineStr">
        <is>
          <t>hyperion</t>
        </is>
      </c>
      <c r="C24" t="n">
        <v>0</v>
      </c>
      <c r="D24" t="inlineStr">
        <is>
          <t>main_laser</t>
        </is>
      </c>
      <c r="E24" t="n">
        <v>0</v>
      </c>
      <c r="F24" t="n">
        <v>0</v>
      </c>
      <c r="G24" t="n">
        <v>1.92</v>
      </c>
      <c r="I24" t="n">
        <v>0.07000000000000001</v>
      </c>
      <c r="L24" t="inlineStr">
        <is>
          <t>Assets/MachineBrigade/Resources/Data/balance.json: vehicles.173.variant.tune.main_laser</t>
        </is>
      </c>
      <c r="M24" t="inlineStr">
        <is>
          <t>{"hp":0.07,"at":[0,0,1.92]}</t>
        </is>
      </c>
    </row>
    <row r="25">
      <c r="A25" t="inlineStr">
        <is>
          <t>hyperion/pd_laser_l</t>
        </is>
      </c>
      <c r="B25" t="inlineStr">
        <is>
          <t>hyperion</t>
        </is>
      </c>
      <c r="C25" t="n">
        <v>6</v>
      </c>
      <c r="D25" t="inlineStr">
        <is>
          <t>pd_laser_l</t>
        </is>
      </c>
      <c r="E25" t="n">
        <v>-12.17</v>
      </c>
      <c r="F25" t="n">
        <v>7</v>
      </c>
      <c r="G25" t="n">
        <v>9</v>
      </c>
      <c r="I25" t="n">
        <v>0.07000000000000001</v>
      </c>
      <c r="L25" t="inlineStr">
        <is>
          <t>Assets/MachineBrigade/Resources/Data/balance.json: vehicles.173.variant.tune.pd_laser_l</t>
        </is>
      </c>
      <c r="M25" t="inlineStr">
        <is>
          <t>{"hp":0.07,"at":[-12.17,7,9]}</t>
        </is>
      </c>
    </row>
    <row r="26">
      <c r="A26" t="inlineStr">
        <is>
          <t>hyperion/pd_laser_r</t>
        </is>
      </c>
      <c r="B26" t="inlineStr">
        <is>
          <t>hyperion</t>
        </is>
      </c>
      <c r="C26" t="n">
        <v>7</v>
      </c>
      <c r="D26" t="inlineStr">
        <is>
          <t>pd_laser_r</t>
        </is>
      </c>
      <c r="E26" t="n">
        <v>12.17</v>
      </c>
      <c r="F26" t="n">
        <v>7</v>
      </c>
      <c r="G26" t="n">
        <v>9</v>
      </c>
      <c r="I26" t="n">
        <v>0.07000000000000001</v>
      </c>
      <c r="L26" t="inlineStr">
        <is>
          <t>Assets/MachineBrigade/Resources/Data/balance.json: vehicles.173.variant.tune.pd_laser_r</t>
        </is>
      </c>
      <c r="M26" t="inlineStr">
        <is>
          <t>{"hp":0.07,"at":[12.17,7,9]}</t>
        </is>
      </c>
    </row>
    <row r="27">
      <c r="A27" t="inlineStr">
        <is>
          <t>hyperion/pod_bay</t>
        </is>
      </c>
      <c r="B27" t="inlineStr">
        <is>
          <t>hyperion</t>
        </is>
      </c>
      <c r="C27" t="n">
        <v>8</v>
      </c>
      <c r="D27" t="inlineStr">
        <is>
          <t>pod_bay</t>
        </is>
      </c>
      <c r="E27" t="n">
        <v>0</v>
      </c>
      <c r="F27" t="n">
        <v>-7.5</v>
      </c>
      <c r="G27" t="n">
        <v>3.67</v>
      </c>
      <c r="I27" t="n">
        <v>0.07000000000000001</v>
      </c>
      <c r="L27" t="inlineStr">
        <is>
          <t>Assets/MachineBrigade/Resources/Data/balance.json: vehicles.173.variant.tune.pod_bay</t>
        </is>
      </c>
      <c r="M27" t="inlineStr">
        <is>
          <t>{"hp":0.07,"at":[0,-7.5,3.67]}</t>
        </is>
      </c>
    </row>
    <row r="28">
      <c r="A28" t="inlineStr">
        <is>
          <t>hyperion/thruster_fl</t>
        </is>
      </c>
      <c r="B28" t="inlineStr">
        <is>
          <t>hyperion</t>
        </is>
      </c>
      <c r="C28" t="n">
        <v>2</v>
      </c>
      <c r="D28" t="inlineStr">
        <is>
          <t>thruster_fl</t>
        </is>
      </c>
      <c r="E28" t="n">
        <v>-8.359999999999999</v>
      </c>
      <c r="F28" t="n">
        <v>14.47</v>
      </c>
      <c r="G28" t="n">
        <v>9.17</v>
      </c>
      <c r="I28" t="n">
        <v>0.07000000000000001</v>
      </c>
      <c r="L28" t="inlineStr">
        <is>
          <t>Assets/MachineBrigade/Resources/Data/balance.json: vehicles.173.variant.tune.thruster_fl</t>
        </is>
      </c>
      <c r="M28" t="inlineStr">
        <is>
          <t>{"hp":0.07,"at":[-8.36,14.47,9.17]}</t>
        </is>
      </c>
    </row>
    <row r="29">
      <c r="A29" t="inlineStr">
        <is>
          <t>hyperion/thruster_fr</t>
        </is>
      </c>
      <c r="B29" t="inlineStr">
        <is>
          <t>hyperion</t>
        </is>
      </c>
      <c r="C29" t="n">
        <v>3</v>
      </c>
      <c r="D29" t="inlineStr">
        <is>
          <t>thruster_fr</t>
        </is>
      </c>
      <c r="E29" t="n">
        <v>8.359999999999999</v>
      </c>
      <c r="F29" t="n">
        <v>14.47</v>
      </c>
      <c r="G29" t="n">
        <v>9.17</v>
      </c>
      <c r="I29" t="n">
        <v>0.07000000000000001</v>
      </c>
      <c r="L29" t="inlineStr">
        <is>
          <t>Assets/MachineBrigade/Resources/Data/balance.json: vehicles.173.variant.tune.thruster_fr</t>
        </is>
      </c>
      <c r="M29" t="inlineStr">
        <is>
          <t>{"hp":0.07,"at":[8.36,14.47,9.17]}</t>
        </is>
      </c>
    </row>
    <row r="30">
      <c r="A30" t="inlineStr">
        <is>
          <t>hyperion/thruster_rl</t>
        </is>
      </c>
      <c r="B30" t="inlineStr">
        <is>
          <t>hyperion</t>
        </is>
      </c>
      <c r="C30" t="n">
        <v>4</v>
      </c>
      <c r="D30" t="inlineStr">
        <is>
          <t>thruster_rl</t>
        </is>
      </c>
      <c r="E30" t="n">
        <v>-8.359999999999999</v>
      </c>
      <c r="F30" t="n">
        <v>-14.47</v>
      </c>
      <c r="G30" t="n">
        <v>9.17</v>
      </c>
      <c r="I30" t="n">
        <v>0.07000000000000001</v>
      </c>
      <c r="L30" t="inlineStr">
        <is>
          <t>Assets/MachineBrigade/Resources/Data/balance.json: vehicles.173.variant.tune.thruster_rl</t>
        </is>
      </c>
      <c r="M30" t="inlineStr">
        <is>
          <t>{"hp":0.07,"at":[-8.36,-14.47,9.17]}</t>
        </is>
      </c>
    </row>
    <row r="31">
      <c r="A31" t="inlineStr">
        <is>
          <t>hyperion/thruster_rr</t>
        </is>
      </c>
      <c r="B31" t="inlineStr">
        <is>
          <t>hyperion</t>
        </is>
      </c>
      <c r="C31" t="n">
        <v>5</v>
      </c>
      <c r="D31" t="inlineStr">
        <is>
          <t>thruster_rr</t>
        </is>
      </c>
      <c r="E31" t="n">
        <v>8.359999999999999</v>
      </c>
      <c r="F31" t="n">
        <v>-14.47</v>
      </c>
      <c r="G31" t="n">
        <v>9.17</v>
      </c>
      <c r="I31" t="n">
        <v>0.07000000000000001</v>
      </c>
      <c r="L31" t="inlineStr">
        <is>
          <t>Assets/MachineBrigade/Resources/Data/balance.json: vehicles.173.variant.tune.thruster_rr</t>
        </is>
      </c>
      <c r="M31" t="inlineStr">
        <is>
          <t>{"hp":0.07,"at":[8.36,-14.47,9.17]}</t>
        </is>
      </c>
    </row>
    <row r="32">
      <c r="A32" t="inlineStr">
        <is>
          <t>icarus_mk0/main_laser</t>
        </is>
      </c>
      <c r="B32" t="inlineStr">
        <is>
          <t>icarus_mk0</t>
        </is>
      </c>
      <c r="C32" t="n">
        <v>0</v>
      </c>
      <c r="D32" t="inlineStr">
        <is>
          <t>main_laser</t>
        </is>
      </c>
      <c r="I32" t="n">
        <v>0.12</v>
      </c>
      <c r="L32" t="inlineStr">
        <is>
          <t>Assets/MachineBrigade/Resources/Data/balance.json: vehicles.168.variant.tune.main_laser</t>
        </is>
      </c>
      <c r="M32" t="inlineStr">
        <is>
          <t>{"hp":0.12}</t>
        </is>
      </c>
    </row>
    <row r="33">
      <c r="A33" t="inlineStr">
        <is>
          <t>icarus_mk0/pd_laser_l</t>
        </is>
      </c>
      <c r="B33" t="inlineStr">
        <is>
          <t>icarus_mk0</t>
        </is>
      </c>
      <c r="C33" t="n">
        <v>2</v>
      </c>
      <c r="D33" t="inlineStr">
        <is>
          <t>pd_laser_l</t>
        </is>
      </c>
      <c r="I33" t="n">
        <v>0.12</v>
      </c>
      <c r="L33" t="inlineStr">
        <is>
          <t>Assets/MachineBrigade/Resources/Data/balance.json: vehicles.168.variant.tune.pd_laser_l</t>
        </is>
      </c>
      <c r="M33" t="inlineStr">
        <is>
          <t>{"hp":0.12}</t>
        </is>
      </c>
    </row>
    <row r="34">
      <c r="A34" t="inlineStr">
        <is>
          <t>icarus_mk0/pod_bay</t>
        </is>
      </c>
      <c r="B34" t="inlineStr">
        <is>
          <t>icarus_mk0</t>
        </is>
      </c>
      <c r="C34" t="n">
        <v>1</v>
      </c>
      <c r="D34" t="inlineStr">
        <is>
          <t>pod_bay</t>
        </is>
      </c>
      <c r="I34" t="n">
        <v>0.12</v>
      </c>
      <c r="L34" t="inlineStr">
        <is>
          <t>Assets/MachineBrigade/Resources/Data/balance.json: vehicles.168.variant.tune.pod_bay</t>
        </is>
      </c>
      <c r="M34" t="inlineStr">
        <is>
          <t>{"hp":0.12}</t>
        </is>
      </c>
    </row>
    <row r="35">
      <c r="A35" t="inlineStr">
        <is>
          <t>kraken/aa_port</t>
        </is>
      </c>
      <c r="B35" t="inlineStr">
        <is>
          <t>kraken</t>
        </is>
      </c>
      <c r="C35" t="n">
        <v>6</v>
      </c>
      <c r="D35" t="inlineStr">
        <is>
          <t>aa_port</t>
        </is>
      </c>
      <c r="E35" t="n">
        <v>-6.93</v>
      </c>
      <c r="F35" t="n">
        <v>-3.51</v>
      </c>
      <c r="G35" t="n">
        <v>5.96</v>
      </c>
      <c r="L35" t="inlineStr">
        <is>
          <t>Assets/MachineBrigade/Resources/Data/balance.json: vehicles.171.variant.tune.aa_port</t>
        </is>
      </c>
      <c r="M35" t="inlineStr">
        <is>
          <t>{"at":[-6.93,-3.51,5.96]}</t>
        </is>
      </c>
    </row>
    <row r="36">
      <c r="A36" t="inlineStr">
        <is>
          <t>kraken/aa_starboard</t>
        </is>
      </c>
      <c r="B36" t="inlineStr">
        <is>
          <t>kraken</t>
        </is>
      </c>
      <c r="C36" t="n">
        <v>7</v>
      </c>
      <c r="D36" t="inlineStr">
        <is>
          <t>aa_starboard</t>
        </is>
      </c>
      <c r="E36" t="n">
        <v>6.93</v>
      </c>
      <c r="F36" t="n">
        <v>-21.05</v>
      </c>
      <c r="G36" t="n">
        <v>5.96</v>
      </c>
      <c r="L36" t="inlineStr">
        <is>
          <t>Assets/MachineBrigade/Resources/Data/balance.json: vehicles.171.variant.tune.aa_starboard</t>
        </is>
      </c>
      <c r="M36" t="inlineStr">
        <is>
          <t>{"at":[6.93,-21.05,5.96]}</t>
        </is>
      </c>
    </row>
    <row r="37">
      <c r="A37" t="inlineStr">
        <is>
          <t>kraken/ciws_aft</t>
        </is>
      </c>
      <c r="B37" t="inlineStr">
        <is>
          <t>kraken</t>
        </is>
      </c>
      <c r="C37" t="n">
        <v>9</v>
      </c>
      <c r="D37" t="inlineStr">
        <is>
          <t>ciws_aft</t>
        </is>
      </c>
      <c r="E37" t="n">
        <v>-6.49</v>
      </c>
      <c r="F37" t="n">
        <v>-45.18</v>
      </c>
      <c r="G37" t="n">
        <v>7.89</v>
      </c>
      <c r="L37" t="inlineStr">
        <is>
          <t>Assets/MachineBrigade/Resources/Data/balance.json: vehicles.171.variant.tune.ciws_aft</t>
        </is>
      </c>
      <c r="M37" t="inlineStr">
        <is>
          <t>{"at":[-6.49,-45.18,7.89]}</t>
        </is>
      </c>
    </row>
    <row r="38">
      <c r="A38" t="inlineStr">
        <is>
          <t>kraken/ciws_fore</t>
        </is>
      </c>
      <c r="B38" t="inlineStr">
        <is>
          <t>kraken</t>
        </is>
      </c>
      <c r="C38" t="n">
        <v>8</v>
      </c>
      <c r="D38" t="inlineStr">
        <is>
          <t>ciws_fore</t>
        </is>
      </c>
      <c r="E38" t="n">
        <v>7.02</v>
      </c>
      <c r="F38" t="n">
        <v>13.6</v>
      </c>
      <c r="G38" t="n">
        <v>7.89</v>
      </c>
      <c r="L38" t="inlineStr">
        <is>
          <t>Assets/MachineBrigade/Resources/Data/balance.json: vehicles.171.variant.tune.ciws_fore</t>
        </is>
      </c>
      <c r="M38" t="inlineStr">
        <is>
          <t>{"at":[7.02,13.6,7.89]}</t>
        </is>
      </c>
    </row>
    <row r="39">
      <c r="A39" t="inlineStr">
        <is>
          <t>kraken/flight_deck</t>
        </is>
      </c>
      <c r="B39" t="inlineStr">
        <is>
          <t>kraken</t>
        </is>
      </c>
      <c r="C39" t="n">
        <v>11</v>
      </c>
      <c r="D39" t="inlineStr">
        <is>
          <t>flight_deck</t>
        </is>
      </c>
      <c r="E39" t="n">
        <v>-1.93</v>
      </c>
      <c r="F39" t="n">
        <v>-35.09</v>
      </c>
      <c r="G39" t="n">
        <v>7.89</v>
      </c>
      <c r="L39" t="inlineStr">
        <is>
          <t>Assets/MachineBrigade/Resources/Data/balance.json: vehicles.171.variant.tune.flight_deck</t>
        </is>
      </c>
      <c r="M39" t="inlineStr">
        <is>
          <t>{"at":[-1.93,-35.09,7.89]}</t>
        </is>
      </c>
    </row>
    <row r="40">
      <c r="A40" t="inlineStr">
        <is>
          <t>kraken/machinery</t>
        </is>
      </c>
      <c r="B40" t="inlineStr">
        <is>
          <t>kraken</t>
        </is>
      </c>
      <c r="C40" t="n">
        <v>13</v>
      </c>
      <c r="D40" t="inlineStr">
        <is>
          <t>machinery</t>
        </is>
      </c>
      <c r="E40" t="n">
        <v>6.49</v>
      </c>
      <c r="F40" t="n">
        <v>-4.04</v>
      </c>
      <c r="G40" t="n">
        <v>13.42</v>
      </c>
      <c r="L40" t="inlineStr">
        <is>
          <t>Assets/MachineBrigade/Resources/Data/balance.json: vehicles.171.variant.tune.machinery</t>
        </is>
      </c>
      <c r="M40" t="inlineStr">
        <is>
          <t>{"at":[6.49,-4.04,13.42]}</t>
        </is>
      </c>
    </row>
    <row r="41">
      <c r="A41" t="inlineStr">
        <is>
          <t>kraken/radar</t>
        </is>
      </c>
      <c r="B41" t="inlineStr">
        <is>
          <t>kraken</t>
        </is>
      </c>
      <c r="C41" t="n">
        <v>10</v>
      </c>
      <c r="D41" t="inlineStr">
        <is>
          <t>radar</t>
        </is>
      </c>
      <c r="E41" t="n">
        <v>6.49</v>
      </c>
      <c r="F41" t="n">
        <v>2.63</v>
      </c>
      <c r="G41" t="n">
        <v>16.14</v>
      </c>
      <c r="L41" t="inlineStr">
        <is>
          <t>Assets/MachineBrigade/Resources/Data/balance.json: vehicles.171.variant.tune.radar</t>
        </is>
      </c>
      <c r="M41" t="inlineStr">
        <is>
          <t>{"at":[6.49,2.63,16.14]}</t>
        </is>
      </c>
    </row>
    <row r="42">
      <c r="A42" t="inlineStr">
        <is>
          <t>kraken/sec_aft</t>
        </is>
      </c>
      <c r="B42" t="inlineStr">
        <is>
          <t>kraken</t>
        </is>
      </c>
      <c r="C42" t="n">
        <v>4</v>
      </c>
      <c r="D42" t="inlineStr">
        <is>
          <t>sec_aft</t>
        </is>
      </c>
      <c r="E42" t="n">
        <v>-6.67</v>
      </c>
      <c r="F42" t="n">
        <v>-41.23</v>
      </c>
      <c r="G42" t="n">
        <v>6.49</v>
      </c>
      <c r="L42" t="inlineStr">
        <is>
          <t>Assets/MachineBrigade/Resources/Data/balance.json: vehicles.171.variant.tune.sec_aft</t>
        </is>
      </c>
      <c r="M42" t="inlineStr">
        <is>
          <t>{"at":[-6.67,-41.23,6.49]}</t>
        </is>
      </c>
    </row>
    <row r="43">
      <c r="A43" t="inlineStr">
        <is>
          <t>kraken/sec_fore</t>
        </is>
      </c>
      <c r="B43" t="inlineStr">
        <is>
          <t>kraken</t>
        </is>
      </c>
      <c r="C43" t="n">
        <v>3</v>
      </c>
      <c r="D43" t="inlineStr">
        <is>
          <t>sec_fore</t>
        </is>
      </c>
      <c r="E43" t="n">
        <v>6.67</v>
      </c>
      <c r="F43" t="n">
        <v>28.95</v>
      </c>
      <c r="G43" t="n">
        <v>6.49</v>
      </c>
      <c r="L43" t="inlineStr">
        <is>
          <t>Assets/MachineBrigade/Resources/Data/balance.json: vehicles.171.variant.tune.sec_fore</t>
        </is>
      </c>
      <c r="M43" t="inlineStr">
        <is>
          <t>{"at":[6.67,28.95,6.49]}</t>
        </is>
      </c>
    </row>
    <row r="44">
      <c r="A44" t="inlineStr">
        <is>
          <t>kraken/turret_aft</t>
        </is>
      </c>
      <c r="B44" t="inlineStr">
        <is>
          <t>kraken</t>
        </is>
      </c>
      <c r="C44" t="n">
        <v>2</v>
      </c>
      <c r="D44" t="inlineStr">
        <is>
          <t>turret_aft</t>
        </is>
      </c>
      <c r="E44" t="n">
        <v>4.74</v>
      </c>
      <c r="F44" t="n">
        <v>-26.32</v>
      </c>
      <c r="G44" t="n">
        <v>7.89</v>
      </c>
      <c r="L44" t="inlineStr">
        <is>
          <t>Assets/MachineBrigade/Resources/Data/balance.json: vehicles.171.variant.tune.turret_aft</t>
        </is>
      </c>
      <c r="M44" t="inlineStr">
        <is>
          <t>{"at":[4.74,-26.32,7.89]}</t>
        </is>
      </c>
    </row>
    <row r="45">
      <c r="A45" t="inlineStr">
        <is>
          <t>kraken/turret_fore</t>
        </is>
      </c>
      <c r="B45" t="inlineStr">
        <is>
          <t>kraken</t>
        </is>
      </c>
      <c r="C45" t="n">
        <v>0</v>
      </c>
      <c r="D45" t="inlineStr">
        <is>
          <t>turret_fore</t>
        </is>
      </c>
      <c r="E45" t="n">
        <v>0</v>
      </c>
      <c r="F45" t="n">
        <v>26.32</v>
      </c>
      <c r="G45" t="n">
        <v>7.89</v>
      </c>
      <c r="L45" t="inlineStr">
        <is>
          <t>Assets/MachineBrigade/Resources/Data/balance.json: vehicles.171.variant.tune.turret_fore</t>
        </is>
      </c>
      <c r="M45" t="inlineStr">
        <is>
          <t>{"at":[0,26.32,7.89]}</t>
        </is>
      </c>
    </row>
    <row r="46">
      <c r="A46" t="inlineStr">
        <is>
          <t>kraken/turret_super</t>
        </is>
      </c>
      <c r="B46" t="inlineStr">
        <is>
          <t>kraken</t>
        </is>
      </c>
      <c r="C46" t="n">
        <v>1</v>
      </c>
      <c r="D46" t="inlineStr">
        <is>
          <t>turret_super</t>
        </is>
      </c>
      <c r="E46" t="n">
        <v>0</v>
      </c>
      <c r="F46" t="n">
        <v>17.11</v>
      </c>
      <c r="G46" t="n">
        <v>7.89</v>
      </c>
      <c r="L46" t="inlineStr">
        <is>
          <t>Assets/MachineBrigade/Resources/Data/balance.json: vehicles.171.variant.tune.turret_super</t>
        </is>
      </c>
      <c r="M46" t="inlineStr">
        <is>
          <t>{"at":[0,17.11,7.89]}</t>
        </is>
      </c>
    </row>
    <row r="47">
      <c r="A47" t="inlineStr">
        <is>
          <t>kraken/vls</t>
        </is>
      </c>
      <c r="B47" t="inlineStr">
        <is>
          <t>kraken</t>
        </is>
      </c>
      <c r="C47" t="n">
        <v>5</v>
      </c>
      <c r="D47" t="inlineStr">
        <is>
          <t>vls</t>
        </is>
      </c>
      <c r="E47" t="n">
        <v>4.04</v>
      </c>
      <c r="F47" t="n">
        <v>-9.65</v>
      </c>
      <c r="G47" t="n">
        <v>7.89</v>
      </c>
      <c r="L47" t="inlineStr">
        <is>
          <t>Assets/MachineBrigade/Resources/Data/balance.json: vehicles.171.variant.tune.vls</t>
        </is>
      </c>
      <c r="M47" t="inlineStr">
        <is>
          <t>{"at":[4.04,-9.65,7.89]}</t>
        </is>
      </c>
    </row>
    <row r="48">
      <c r="A48" t="inlineStr">
        <is>
          <t>kraken/well_deck</t>
        </is>
      </c>
      <c r="B48" t="inlineStr">
        <is>
          <t>kraken</t>
        </is>
      </c>
      <c r="C48" t="n">
        <v>12</v>
      </c>
      <c r="D48" t="inlineStr">
        <is>
          <t>well_deck</t>
        </is>
      </c>
      <c r="E48" t="n">
        <v>0</v>
      </c>
      <c r="F48" t="n">
        <v>-47.72</v>
      </c>
      <c r="G48" t="n">
        <v>2.28</v>
      </c>
      <c r="L48" t="inlineStr">
        <is>
          <t>Assets/MachineBrigade/Resources/Data/balance.json: vehicles.171.variant.tune.well_deck</t>
        </is>
      </c>
      <c r="M48" t="inlineStr">
        <is>
          <t>{"at":[0,-47.72,2.28]}</t>
        </is>
      </c>
    </row>
    <row r="49">
      <c r="A49" t="inlineStr">
        <is>
          <t>locust/drone_bay</t>
        </is>
      </c>
      <c r="B49" t="inlineStr">
        <is>
          <t>locust</t>
        </is>
      </c>
      <c r="C49" t="n">
        <v>0</v>
      </c>
      <c r="D49" t="inlineStr">
        <is>
          <t>drone_bay</t>
        </is>
      </c>
      <c r="I49" t="n">
        <v>0.15</v>
      </c>
      <c r="L49" t="inlineStr">
        <is>
          <t>Assets/MachineBrigade/Resources/Data/balance.json: vehicles.166.variant.tune.drone_bay</t>
        </is>
      </c>
      <c r="M49" t="inlineStr">
        <is>
          <t>{"hp":0.15}</t>
        </is>
      </c>
    </row>
    <row r="50">
      <c r="A50" t="inlineStr">
        <is>
          <t>locust/flak_top</t>
        </is>
      </c>
      <c r="B50" t="inlineStr">
        <is>
          <t>locust</t>
        </is>
      </c>
      <c r="C50" t="n">
        <v>1</v>
      </c>
      <c r="D50" t="inlineStr">
        <is>
          <t>flak_top</t>
        </is>
      </c>
      <c r="I50" t="n">
        <v>0.15</v>
      </c>
      <c r="L50" t="inlineStr">
        <is>
          <t>Assets/MachineBrigade/Resources/Data/balance.json: vehicles.166.variant.tune.flak_top</t>
        </is>
      </c>
      <c r="M50" t="inlineStr">
        <is>
          <t>{"hp":0.15}</t>
        </is>
      </c>
    </row>
    <row r="51">
      <c r="A51" t="inlineStr">
        <is>
          <t>nyx/ciws_aft</t>
        </is>
      </c>
      <c r="B51" t="inlineStr">
        <is>
          <t>nyx</t>
        </is>
      </c>
      <c r="C51" t="n">
        <v>3</v>
      </c>
      <c r="D51" t="inlineStr">
        <is>
          <t>ciws_aft</t>
        </is>
      </c>
      <c r="I51" t="n">
        <v>0.11</v>
      </c>
      <c r="L51" t="inlineStr">
        <is>
          <t>Assets/MachineBrigade/Resources/Data/balance.json: vehicles.174.variant.tune.ciws_aft</t>
        </is>
      </c>
      <c r="M51" t="inlineStr">
        <is>
          <t>{"hp":0.11}</t>
        </is>
      </c>
    </row>
    <row r="52">
      <c r="A52" t="inlineStr">
        <is>
          <t>nyx/ciws_fore</t>
        </is>
      </c>
      <c r="B52" t="inlineStr">
        <is>
          <t>nyx</t>
        </is>
      </c>
      <c r="C52" t="n">
        <v>2</v>
      </c>
      <c r="D52" t="inlineStr">
        <is>
          <t>ciws_fore</t>
        </is>
      </c>
      <c r="I52" t="n">
        <v>0.11</v>
      </c>
      <c r="L52" t="inlineStr">
        <is>
          <t>Assets/MachineBrigade/Resources/Data/balance.json: vehicles.174.variant.tune.ciws_fore</t>
        </is>
      </c>
      <c r="M52" t="inlineStr">
        <is>
          <t>{"hp":0.11}</t>
        </is>
      </c>
    </row>
    <row r="53">
      <c r="A53" t="inlineStr">
        <is>
          <t>nyx/turret_fore</t>
        </is>
      </c>
      <c r="B53" t="inlineStr">
        <is>
          <t>nyx</t>
        </is>
      </c>
      <c r="C53" t="n">
        <v>0</v>
      </c>
      <c r="D53" t="inlineStr">
        <is>
          <t>turret_fore</t>
        </is>
      </c>
      <c r="I53" t="n">
        <v>0.12</v>
      </c>
      <c r="L53" t="inlineStr">
        <is>
          <t>Assets/MachineBrigade/Resources/Data/balance.json: vehicles.174.variant.tune.turret_fore</t>
        </is>
      </c>
      <c r="M53" t="inlineStr">
        <is>
          <t>{"hp":0.12}</t>
        </is>
      </c>
    </row>
    <row r="54">
      <c r="A54" t="inlineStr">
        <is>
          <t>nyx/vls</t>
        </is>
      </c>
      <c r="B54" t="inlineStr">
        <is>
          <t>nyx</t>
        </is>
      </c>
      <c r="C54" t="n">
        <v>1</v>
      </c>
      <c r="D54" t="inlineStr">
        <is>
          <t>vls</t>
        </is>
      </c>
      <c r="I54" t="n">
        <v>0.12</v>
      </c>
      <c r="L54" t="inlineStr">
        <is>
          <t>Assets/MachineBrigade/Resources/Data/balance.json: vehicles.174.variant.tune.vls</t>
        </is>
      </c>
      <c r="M54" t="inlineStr">
        <is>
          <t>{"hp":0.12}</t>
        </is>
      </c>
    </row>
    <row r="55">
      <c r="A55" t="inlineStr">
        <is>
          <t>scylla/ciws_fore</t>
        </is>
      </c>
      <c r="B55" t="inlineStr">
        <is>
          <t>scylla</t>
        </is>
      </c>
      <c r="C55" t="n">
        <v>2</v>
      </c>
      <c r="D55" t="inlineStr">
        <is>
          <t>ciws_fore</t>
        </is>
      </c>
      <c r="I55" t="n">
        <v>0.1</v>
      </c>
      <c r="L55" t="inlineStr">
        <is>
          <t>Assets/MachineBrigade/Resources/Data/balance.json: vehicles.165.variant.tune.ciws_fore</t>
        </is>
      </c>
      <c r="M55" t="inlineStr">
        <is>
          <t>{"hp":0.1}</t>
        </is>
      </c>
    </row>
    <row r="56">
      <c r="A56" t="inlineStr">
        <is>
          <t>scylla/turret_fore</t>
        </is>
      </c>
      <c r="B56" t="inlineStr">
        <is>
          <t>scylla</t>
        </is>
      </c>
      <c r="C56" t="n">
        <v>0</v>
      </c>
      <c r="D56" t="inlineStr">
        <is>
          <t>turret_fore</t>
        </is>
      </c>
      <c r="I56" t="n">
        <v>0.14</v>
      </c>
      <c r="L56" t="inlineStr">
        <is>
          <t>Assets/MachineBrigade/Resources/Data/balance.json: vehicles.165.variant.tune.turret_fore</t>
        </is>
      </c>
      <c r="M56" t="inlineStr">
        <is>
          <t>{"hp":0.14}</t>
        </is>
      </c>
    </row>
    <row r="57">
      <c r="A57" t="inlineStr">
        <is>
          <t>scylla/vls</t>
        </is>
      </c>
      <c r="B57" t="inlineStr">
        <is>
          <t>scylla</t>
        </is>
      </c>
      <c r="C57" t="n">
        <v>1</v>
      </c>
      <c r="D57" t="inlineStr">
        <is>
          <t>vls</t>
        </is>
      </c>
      <c r="I57" t="n">
        <v>0.12</v>
      </c>
      <c r="L57" t="inlineStr">
        <is>
          <t>Assets/MachineBrigade/Resources/Data/balance.json: vehicles.165.variant.tune.vls</t>
        </is>
      </c>
      <c r="M57" t="inlineStr">
        <is>
          <t>{"hp":0.12}</t>
        </is>
      </c>
    </row>
  </sheetData>
  <autoFilter ref="A1:M5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vehicles[175].fleet[0]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vehicles[174].fleet[0]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daedalus/0</t>
        </is>
      </c>
      <c r="B2" t="inlineStr">
        <is>
          <t>daedalus</t>
        </is>
      </c>
      <c r="C2" t="n">
        <v>0</v>
      </c>
      <c r="D2" t="inlineStr">
        <is>
          <t>Assets/MachineBrigade/Resources/Data/balance.json: vehicles[160].tiers.schedule[0]</t>
        </is>
      </c>
      <c r="E2" t="inlineStr">
        <is>
          <t>{"steps":[{"tier":"high","seconds":20},{"tier":"low","seconds":14}]}</t>
        </is>
      </c>
    </row>
    <row r="3">
      <c r="A3" t="inlineStr">
        <is>
          <t>daedalus/1</t>
        </is>
      </c>
      <c r="B3" t="inlineStr">
        <is>
          <t>daedalus</t>
        </is>
      </c>
      <c r="C3" t="n">
        <v>1</v>
      </c>
      <c r="D3" t="inlineStr">
        <is>
          <t>Assets/MachineBrigade/Resources/Data/balance.json: vehicles[160].tiers.schedule[1]</t>
        </is>
      </c>
      <c r="E3" t="inlineStr">
        <is>
          <t>{"steps":[{"tier":"high","seconds":14},{"tier":"low","seconds":20}]}</t>
        </is>
      </c>
    </row>
    <row r="4">
      <c r="A4" t="inlineStr">
        <is>
          <t>daedalus/2</t>
        </is>
      </c>
      <c r="B4" t="inlineStr">
        <is>
          <t>daedalus</t>
        </is>
      </c>
      <c r="C4" t="n">
        <v>2</v>
      </c>
      <c r="D4" t="inlineStr">
        <is>
          <t>Assets/MachineBrigade/Resources/Data/balance.json: vehicles[160].tiers.schedule[2]</t>
        </is>
      </c>
      <c r="E4" t="inlineStr">
        <is>
          <t>{"steps":[{"tier":"low","seconds":60}]}</t>
        </is>
      </c>
    </row>
    <row r="5">
      <c r="A5" t="inlineStr">
        <is>
          <t>hyperion/0</t>
        </is>
      </c>
      <c r="B5" t="inlineStr">
        <is>
          <t>hyperion</t>
        </is>
      </c>
      <c r="C5" t="n">
        <v>0</v>
      </c>
      <c r="D5" t="inlineStr">
        <is>
          <t>Assets/MachineBrigade/Resources/Data/balance.json: vehicles[173].tiers.schedule[0]</t>
        </is>
      </c>
      <c r="E5" t="inlineStr">
        <is>
          <t>{"steps":[{"tier":"high","seconds":60}]}</t>
        </is>
      </c>
    </row>
    <row r="6">
      <c r="A6" t="inlineStr">
        <is>
          <t>hyperion/1</t>
        </is>
      </c>
      <c r="B6" t="inlineStr">
        <is>
          <t>hyperion</t>
        </is>
      </c>
      <c r="C6" t="n">
        <v>1</v>
      </c>
      <c r="D6" t="inlineStr">
        <is>
          <t>Assets/MachineBrigade/Resources/Data/balance.json: vehicles[173].tiers.schedule[1]</t>
        </is>
      </c>
      <c r="E6" t="inlineStr">
        <is>
          <t>{"steps":[{"tier":"high","seconds":60}]}</t>
        </is>
      </c>
    </row>
    <row r="7">
      <c r="A7" t="inlineStr">
        <is>
          <t>hyperion/2</t>
        </is>
      </c>
      <c r="B7" t="inlineStr">
        <is>
          <t>hyperion</t>
        </is>
      </c>
      <c r="C7" t="n">
        <v>2</v>
      </c>
      <c r="D7" t="inlineStr">
        <is>
          <t>Assets/MachineBrigade/Resources/Data/balance.json: vehicles[173].tiers.schedule[2]</t>
        </is>
      </c>
      <c r="E7" t="inlineStr">
        <is>
          <t>{"steps":[{"tier":"high","seconds":60}]}</t>
        </is>
      </c>
    </row>
    <row r="8">
      <c r="A8" t="inlineStr">
        <is>
          <t>icarus_mk0/0</t>
        </is>
      </c>
      <c r="B8" t="inlineStr">
        <is>
          <t>icarus_mk0</t>
        </is>
      </c>
      <c r="C8" t="n">
        <v>0</v>
      </c>
      <c r="D8" t="inlineStr">
        <is>
          <t>Assets/MachineBrigade/Resources/Data/balance.json: vehicles[168].tiers.schedule[0]</t>
        </is>
      </c>
      <c r="E8" t="inlineStr">
        <is>
          <t>{"steps":[{"tier":"high","seconds":18},{"tier":"low","seconds":12}]}</t>
        </is>
      </c>
    </row>
    <row r="9">
      <c r="A9" t="inlineStr">
        <is>
          <t>icarus_mk0/1</t>
        </is>
      </c>
      <c r="B9" t="inlineStr">
        <is>
          <t>icarus_mk0</t>
        </is>
      </c>
      <c r="C9" t="n">
        <v>1</v>
      </c>
      <c r="D9" t="inlineStr">
        <is>
          <t>Assets/MachineBrigade/Resources/Data/balance.json: vehicles[168].tiers.schedule[1]</t>
        </is>
      </c>
      <c r="E9" t="inlineStr">
        <is>
          <t>{"steps":[{"tier":"high","seconds":12},{"tier":"low","seconds":18}]}</t>
        </is>
      </c>
    </row>
    <row r="10">
      <c r="A10" t="inlineStr">
        <is>
          <t>silver_bug/0</t>
        </is>
      </c>
      <c r="B10" t="inlineStr">
        <is>
          <t>silver_bug</t>
        </is>
      </c>
      <c r="C10" t="n">
        <v>0</v>
      </c>
      <c r="D10" t="inlineStr">
        <is>
          <t>Assets/MachineBrigade/Resources/Data/balance.json: vehicles[144].tiers.schedule[0]</t>
        </is>
      </c>
      <c r="E10" t="inlineStr">
        <is>
          <t>{"steps":[{"tier":"high","seconds":25},{"tier":"low","seconds":10}]}</t>
        </is>
      </c>
    </row>
    <row r="11">
      <c r="A11" t="inlineStr">
        <is>
          <t>silver_bug/1</t>
        </is>
      </c>
      <c r="B11" t="inlineStr">
        <is>
          <t>silver_bug</t>
        </is>
      </c>
      <c r="C11" t="n">
        <v>1</v>
      </c>
      <c r="D11" t="inlineStr">
        <is>
          <t>Assets/MachineBrigade/Resources/Data/balance.json: vehicles[144].tiers.schedule[1]</t>
        </is>
      </c>
      <c r="E11" t="inlineStr">
        <is>
          <t>{"steps":[{"tier":"high","seconds":15},{"tier":"low","seconds":20}]}</t>
        </is>
      </c>
    </row>
  </sheetData>
  <autoFilter ref="A1:E11"/>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daedalus/0/0</t>
        </is>
      </c>
      <c r="B2" t="inlineStr">
        <is>
          <t>daedalus/0</t>
        </is>
      </c>
      <c r="C2" t="n">
        <v>0</v>
      </c>
      <c r="D2" t="n">
        <v>20</v>
      </c>
      <c r="E2" t="inlineStr">
        <is>
          <t>high</t>
        </is>
      </c>
      <c r="F2" t="inlineStr">
        <is>
          <t>Assets/MachineBrigade/Resources/Data/balance.json: vehicles[160].tiers.schedule[0].steps[0]</t>
        </is>
      </c>
      <c r="G2" t="inlineStr">
        <is>
          <t>{"tier":"high","seconds":20}</t>
        </is>
      </c>
    </row>
    <row r="3">
      <c r="A3" t="inlineStr">
        <is>
          <t>daedalus/0/1</t>
        </is>
      </c>
      <c r="B3" t="inlineStr">
        <is>
          <t>daedalus/0</t>
        </is>
      </c>
      <c r="C3" t="n">
        <v>1</v>
      </c>
      <c r="D3" t="n">
        <v>14</v>
      </c>
      <c r="E3" t="inlineStr">
        <is>
          <t>low</t>
        </is>
      </c>
      <c r="F3" t="inlineStr">
        <is>
          <t>Assets/MachineBrigade/Resources/Data/balance.json: vehicles[160].tiers.schedule[0].steps[1]</t>
        </is>
      </c>
      <c r="G3" t="inlineStr">
        <is>
          <t>{"tier":"low","seconds":14}</t>
        </is>
      </c>
    </row>
    <row r="4">
      <c r="A4" t="inlineStr">
        <is>
          <t>daedalus/1/0</t>
        </is>
      </c>
      <c r="B4" t="inlineStr">
        <is>
          <t>daedalus/1</t>
        </is>
      </c>
      <c r="C4" t="n">
        <v>0</v>
      </c>
      <c r="D4" t="n">
        <v>14</v>
      </c>
      <c r="E4" t="inlineStr">
        <is>
          <t>high</t>
        </is>
      </c>
      <c r="F4" t="inlineStr">
        <is>
          <t>Assets/MachineBrigade/Resources/Data/balance.json: vehicles[160].tiers.schedule[1].steps[0]</t>
        </is>
      </c>
      <c r="G4" t="inlineStr">
        <is>
          <t>{"tier":"high","seconds":14}</t>
        </is>
      </c>
    </row>
    <row r="5">
      <c r="A5" t="inlineStr">
        <is>
          <t>daedalus/1/1</t>
        </is>
      </c>
      <c r="B5" t="inlineStr">
        <is>
          <t>daedalus/1</t>
        </is>
      </c>
      <c r="C5" t="n">
        <v>1</v>
      </c>
      <c r="D5" t="n">
        <v>20</v>
      </c>
      <c r="E5" t="inlineStr">
        <is>
          <t>low</t>
        </is>
      </c>
      <c r="F5" t="inlineStr">
        <is>
          <t>Assets/MachineBrigade/Resources/Data/balance.json: vehicles[160].tiers.schedule[1].steps[1]</t>
        </is>
      </c>
      <c r="G5" t="inlineStr">
        <is>
          <t>{"tier":"low","seconds":20}</t>
        </is>
      </c>
    </row>
    <row r="6">
      <c r="A6" t="inlineStr">
        <is>
          <t>daedalus/2/0</t>
        </is>
      </c>
      <c r="B6" t="inlineStr">
        <is>
          <t>daedalus/2</t>
        </is>
      </c>
      <c r="C6" t="n">
        <v>0</v>
      </c>
      <c r="D6" t="n">
        <v>60</v>
      </c>
      <c r="E6" t="inlineStr">
        <is>
          <t>low</t>
        </is>
      </c>
      <c r="F6" t="inlineStr">
        <is>
          <t>Assets/MachineBrigade/Resources/Data/balance.json: vehicles[160].tiers.schedule[2].steps[0]</t>
        </is>
      </c>
      <c r="G6" t="inlineStr">
        <is>
          <t>{"tier":"low","seconds":60}</t>
        </is>
      </c>
    </row>
    <row r="7">
      <c r="A7" t="inlineStr">
        <is>
          <t>hyperion/0/0</t>
        </is>
      </c>
      <c r="B7" t="inlineStr">
        <is>
          <t>hyperion/0</t>
        </is>
      </c>
      <c r="C7" t="n">
        <v>0</v>
      </c>
      <c r="D7" t="n">
        <v>60</v>
      </c>
      <c r="E7" t="inlineStr">
        <is>
          <t>high</t>
        </is>
      </c>
      <c r="F7" t="inlineStr">
        <is>
          <t>Assets/MachineBrigade/Resources/Data/balance.json: vehicles[173].tiers.schedule[0].steps[0]</t>
        </is>
      </c>
      <c r="G7" t="inlineStr">
        <is>
          <t>{"tier":"high","seconds":60}</t>
        </is>
      </c>
    </row>
    <row r="8">
      <c r="A8" t="inlineStr">
        <is>
          <t>hyperion/1/0</t>
        </is>
      </c>
      <c r="B8" t="inlineStr">
        <is>
          <t>hyperion/1</t>
        </is>
      </c>
      <c r="C8" t="n">
        <v>0</v>
      </c>
      <c r="D8" t="n">
        <v>60</v>
      </c>
      <c r="E8" t="inlineStr">
        <is>
          <t>high</t>
        </is>
      </c>
      <c r="F8" t="inlineStr">
        <is>
          <t>Assets/MachineBrigade/Resources/Data/balance.json: vehicles[173].tiers.schedule[1].steps[0]</t>
        </is>
      </c>
      <c r="G8" t="inlineStr">
        <is>
          <t>{"tier":"high","seconds":60}</t>
        </is>
      </c>
    </row>
    <row r="9">
      <c r="A9" t="inlineStr">
        <is>
          <t>hyperion/2/0</t>
        </is>
      </c>
      <c r="B9" t="inlineStr">
        <is>
          <t>hyperion/2</t>
        </is>
      </c>
      <c r="C9" t="n">
        <v>0</v>
      </c>
      <c r="D9" t="n">
        <v>60</v>
      </c>
      <c r="E9" t="inlineStr">
        <is>
          <t>high</t>
        </is>
      </c>
      <c r="F9" t="inlineStr">
        <is>
          <t>Assets/MachineBrigade/Resources/Data/balance.json: vehicles[173].tiers.schedule[2].steps[0]</t>
        </is>
      </c>
      <c r="G9" t="inlineStr">
        <is>
          <t>{"tier":"high","seconds":60}</t>
        </is>
      </c>
    </row>
    <row r="10">
      <c r="A10" t="inlineStr">
        <is>
          <t>icarus_mk0/0/0</t>
        </is>
      </c>
      <c r="B10" t="inlineStr">
        <is>
          <t>icarus_mk0/0</t>
        </is>
      </c>
      <c r="C10" t="n">
        <v>0</v>
      </c>
      <c r="D10" t="n">
        <v>18</v>
      </c>
      <c r="E10" t="inlineStr">
        <is>
          <t>high</t>
        </is>
      </c>
      <c r="F10" t="inlineStr">
        <is>
          <t>Assets/MachineBrigade/Resources/Data/balance.json: vehicles[168].tiers.schedule[0].steps[0]</t>
        </is>
      </c>
      <c r="G10" t="inlineStr">
        <is>
          <t>{"tier":"high","seconds":18}</t>
        </is>
      </c>
    </row>
    <row r="11">
      <c r="A11" t="inlineStr">
        <is>
          <t>icarus_mk0/0/1</t>
        </is>
      </c>
      <c r="B11" t="inlineStr">
        <is>
          <t>icarus_mk0/0</t>
        </is>
      </c>
      <c r="C11" t="n">
        <v>1</v>
      </c>
      <c r="D11" t="n">
        <v>12</v>
      </c>
      <c r="E11" t="inlineStr">
        <is>
          <t>low</t>
        </is>
      </c>
      <c r="F11" t="inlineStr">
        <is>
          <t>Assets/MachineBrigade/Resources/Data/balance.json: vehicles[168].tiers.schedule[0].steps[1]</t>
        </is>
      </c>
      <c r="G11" t="inlineStr">
        <is>
          <t>{"tier":"low","seconds":12}</t>
        </is>
      </c>
    </row>
    <row r="12">
      <c r="A12" t="inlineStr">
        <is>
          <t>icarus_mk0/1/0</t>
        </is>
      </c>
      <c r="B12" t="inlineStr">
        <is>
          <t>icarus_mk0/1</t>
        </is>
      </c>
      <c r="C12" t="n">
        <v>0</v>
      </c>
      <c r="D12" t="n">
        <v>12</v>
      </c>
      <c r="E12" t="inlineStr">
        <is>
          <t>high</t>
        </is>
      </c>
      <c r="F12" t="inlineStr">
        <is>
          <t>Assets/MachineBrigade/Resources/Data/balance.json: vehicles[168].tiers.schedule[1].steps[0]</t>
        </is>
      </c>
      <c r="G12" t="inlineStr">
        <is>
          <t>{"tier":"high","seconds":12}</t>
        </is>
      </c>
    </row>
    <row r="13">
      <c r="A13" t="inlineStr">
        <is>
          <t>icarus_mk0/1/1</t>
        </is>
      </c>
      <c r="B13" t="inlineStr">
        <is>
          <t>icarus_mk0/1</t>
        </is>
      </c>
      <c r="C13" t="n">
        <v>1</v>
      </c>
      <c r="D13" t="n">
        <v>18</v>
      </c>
      <c r="E13" t="inlineStr">
        <is>
          <t>low</t>
        </is>
      </c>
      <c r="F13" t="inlineStr">
        <is>
          <t>Assets/MachineBrigade/Resources/Data/balance.json: vehicles[168].tiers.schedule[1].steps[1]</t>
        </is>
      </c>
      <c r="G13" t="inlineStr">
        <is>
          <t>{"tier":"low","seconds":18}</t>
        </is>
      </c>
    </row>
    <row r="14">
      <c r="A14" t="inlineStr">
        <is>
          <t>silver_bug/0/0</t>
        </is>
      </c>
      <c r="B14" t="inlineStr">
        <is>
          <t>silver_bug/0</t>
        </is>
      </c>
      <c r="C14" t="n">
        <v>0</v>
      </c>
      <c r="D14" t="n">
        <v>25</v>
      </c>
      <c r="E14" t="inlineStr">
        <is>
          <t>high</t>
        </is>
      </c>
      <c r="F14" t="inlineStr">
        <is>
          <t>Assets/MachineBrigade/Resources/Data/balance.json: vehicles[144].tiers.schedule[0].steps[0]</t>
        </is>
      </c>
      <c r="G14" t="inlineStr">
        <is>
          <t>{"tier":"high","seconds":25}</t>
        </is>
      </c>
    </row>
    <row r="15">
      <c r="A15" t="inlineStr">
        <is>
          <t>silver_bug/0/1</t>
        </is>
      </c>
      <c r="B15" t="inlineStr">
        <is>
          <t>silver_bug/0</t>
        </is>
      </c>
      <c r="C15" t="n">
        <v>1</v>
      </c>
      <c r="D15" t="n">
        <v>10</v>
      </c>
      <c r="E15" t="inlineStr">
        <is>
          <t>low</t>
        </is>
      </c>
      <c r="F15" t="inlineStr">
        <is>
          <t>Assets/MachineBrigade/Resources/Data/balance.json: vehicles[144].tiers.schedule[0].steps[1]</t>
        </is>
      </c>
      <c r="G15" t="inlineStr">
        <is>
          <t>{"tier":"low","seconds":10}</t>
        </is>
      </c>
    </row>
    <row r="16">
      <c r="A16" t="inlineStr">
        <is>
          <t>silver_bug/1/0</t>
        </is>
      </c>
      <c r="B16" t="inlineStr">
        <is>
          <t>silver_bug/1</t>
        </is>
      </c>
      <c r="C16" t="n">
        <v>0</v>
      </c>
      <c r="D16" t="n">
        <v>15</v>
      </c>
      <c r="E16" t="inlineStr">
        <is>
          <t>high</t>
        </is>
      </c>
      <c r="F16" t="inlineStr">
        <is>
          <t>Assets/MachineBrigade/Resources/Data/balance.json: vehicles[144].tiers.schedule[1].steps[0]</t>
        </is>
      </c>
      <c r="G16" t="inlineStr">
        <is>
          <t>{"tier":"high","seconds":15}</t>
        </is>
      </c>
    </row>
    <row r="17">
      <c r="A17" t="inlineStr">
        <is>
          <t>silver_bug/1/1</t>
        </is>
      </c>
      <c r="B17" t="inlineStr">
        <is>
          <t>silver_bug/1</t>
        </is>
      </c>
      <c r="C17" t="n">
        <v>1</v>
      </c>
      <c r="D17" t="n">
        <v>20</v>
      </c>
      <c r="E17" t="inlineStr">
        <is>
          <t>low</t>
        </is>
      </c>
      <c r="F17" t="inlineStr">
        <is>
          <t>Assets/MachineBrigade/Resources/Data/balance.json: vehicles[144].tiers.schedule[1].steps[1]</t>
        </is>
      </c>
      <c r="G17" t="inlineStr">
        <is>
          <t>{"tier":"low","seconds":20}</t>
        </is>
      </c>
    </row>
  </sheetData>
  <autoFilter ref="A1:G17"/>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24" customWidth="1" min="16" max="16"/>
    <col width="14"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INDEX(boss_input_vu_khi_suy_ra!$C$2:$C$71,MATCH($D$2,boss_input_vu_khi_suy_ra!$A$2:$A$71,0))</f>
        <v/>
      </c>
      <c r="O2" t="inlineStr">
        <is>
          <t>giong</t>
        </is>
      </c>
      <c r="R2" t="n">
        <v>35.44</v>
      </c>
      <c r="S2">
        <f>IF($D$2="",0,INDEX(boss_input_vu_khi_suy_ra!$B$2:$B$71,MATCH($D$2,boss_input_vu_khi_suy_ra!$A$2:$A$71,0))*IF(INDEX(boss_input_vu_khi!$D$2:$D$71,MATCH($D$2,boss_input_vu_khi!$A$2:$A$71,0)),1,Boss_dps!$B$2)*Boss_dps!$C$2)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INDEX(boss_input_vu_khi_suy_ra!$C$2:$C$71,MATCH($D$3,boss_input_vu_khi_suy_ra!$A$2:$A$71,0))</f>
        <v/>
      </c>
      <c r="O3" t="inlineStr">
        <is>
          <t>giong</t>
        </is>
      </c>
      <c r="R3" t="n">
        <v>35.44</v>
      </c>
      <c r="S3">
        <f>IF($D$3="",0,INDEX(boss_input_vu_khi_suy_ra!$B$2:$B$71,MATCH($D$3,boss_input_vu_khi_suy_ra!$A$2:$A$71,0))*IF(INDEX(boss_input_vu_khi!$D$2:$D$71,MATCH($D$3,boss_input_vu_khi!$A$2:$A$71,0)),1,Boss_dps!$B$2)*Boss_dps!$C$2)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INDEX(boss_input_vu_khi_suy_ra!$C$2:$C$71,MATCH($D$4,boss_input_vu_khi_suy_ra!$A$2:$A$71,0))</f>
        <v/>
      </c>
      <c r="O4" t="inlineStr">
        <is>
          <t>giong</t>
        </is>
      </c>
      <c r="R4" t="n">
        <v>8</v>
      </c>
      <c r="S4">
        <f>IF($D$4="",0,INDEX(boss_input_vu_khi_suy_ra!$B$2:$B$71,MATCH($D$4,boss_input_vu_khi_suy_ra!$A$2:$A$71,0))*IF(INDEX(boss_input_vu_khi!$D$2:$D$71,MATCH($D$4,boss_input_vu_khi!$A$2:$A$71,0)),1,Boss_dps!$B$3)*Boss_dps!$C$3)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boss_rockets</t>
        </is>
      </c>
      <c r="E5" t="inlineStr">
        <is>
          <t>rocket</t>
        </is>
      </c>
      <c r="F5" t="inlineStr">
        <is>
          <t>Free</t>
        </is>
      </c>
      <c r="G5" t="inlineStr">
        <is>
          <t>rocket_car</t>
        </is>
      </c>
      <c r="H5" t="n">
        <v>1</v>
      </c>
      <c r="I5" t="n">
        <v>200</v>
      </c>
      <c r="J5" t="n">
        <v>2.44</v>
      </c>
      <c r="K5" t="n">
        <v>4.5</v>
      </c>
      <c r="L5" t="n">
        <v>9</v>
      </c>
      <c r="M5" t="n">
        <v>0</v>
      </c>
      <c r="N5">
        <f>INDEX(boss_input_vu_khi_suy_ra!$C$2:$C$71,MATCH($D$5,boss_input_vu_khi_suy_ra!$A$2:$A$71,0))</f>
        <v/>
      </c>
      <c r="O5" t="inlineStr">
        <is>
          <t>giong</t>
        </is>
      </c>
      <c r="R5" t="n">
        <v>8.44</v>
      </c>
      <c r="S5">
        <f>IF($D$5="",0,INDEX(boss_input_vu_khi_suy_ra!$B$2:$B$71,MATCH($D$5,boss_input_vu_khi_suy_ra!$A$2:$A$71,0))*IF(INDEX(boss_input_vu_khi!$D$2:$D$71,MATCH($D$5,boss_input_vu_khi!$A$2:$A$71,0)),1,Boss_dps!$B$3)*Boss_dps!$C$3)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INDEX(boss_input_vu_khi_suy_ra!$C$2:$C$71,MATCH($D$6,boss_input_vu_khi_suy_ra!$A$2:$A$71,0))</f>
        <v/>
      </c>
      <c r="O6" t="inlineStr">
        <is>
          <t>giong</t>
        </is>
      </c>
      <c r="R6" t="n">
        <v>13.2467</v>
      </c>
      <c r="S6">
        <f>IF($D$6="",0,INDEX(boss_input_vu_khi_suy_ra!$B$2:$B$71,MATCH($D$6,boss_input_vu_khi_suy_ra!$A$2:$A$71,0))*IF(INDEX(boss_input_vu_khi!$D$2:$D$71,MATCH($D$6,boss_input_vu_khi!$A$2:$A$71,0)),1,Boss_dps!$B$3)*Boss_dps!$C$3)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INDEX(boss_input_vu_khi_suy_ra!$C$2:$C$71,MATCH($D$7,boss_input_vu_khi_suy_ra!$A$2:$A$71,0))</f>
        <v/>
      </c>
      <c r="O7" t="inlineStr">
        <is>
          <t>giong</t>
        </is>
      </c>
      <c r="R7" t="n">
        <v>5.38</v>
      </c>
      <c r="S7">
        <f>IF($D$7="",0,INDEX(boss_input_vu_khi_suy_ra!$B$2:$B$71,MATCH($D$7,boss_input_vu_khi_suy_ra!$A$2:$A$71,0))*IF(INDEX(boss_input_vu_khi!$D$2:$D$71,MATCH($D$7,boss_input_vu_khi!$A$2:$A$71,0)),1,Boss_dps!$B$3)*Boss_dps!$C$3)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INDEX(boss_input_vu_khi_suy_ra!$C$2:$C$71,MATCH($D$8,boss_input_vu_khi_suy_ra!$A$2:$A$71,0))</f>
        <v/>
      </c>
      <c r="O8" t="inlineStr">
        <is>
          <t>giong</t>
        </is>
      </c>
      <c r="R8" t="n">
        <v>8</v>
      </c>
      <c r="S8">
        <f>IF($D$8="",0,INDEX(boss_input_vu_khi_suy_ra!$B$2:$B$71,MATCH($D$8,boss_input_vu_khi_suy_ra!$A$2:$A$71,0))*IF(INDEX(boss_input_vu_khi!$D$2:$D$71,MATCH($D$8,boss_input_vu_khi!$A$2:$A$71,0)),1,Boss_dps!$B$3)*Boss_dps!$C$3)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INDEX(boss_input_vu_khi_suy_ra!$C$2:$C$71,MATCH($D$9,boss_input_vu_khi_suy_ra!$A$2:$A$71,0))</f>
        <v/>
      </c>
      <c r="O9" t="inlineStr">
        <is>
          <t>giong</t>
        </is>
      </c>
      <c r="R9" t="n">
        <v>5.38</v>
      </c>
      <c r="S9">
        <f>IF($D$9="",0,INDEX(boss_input_vu_khi_suy_ra!$B$2:$B$71,MATCH($D$9,boss_input_vu_khi_suy_ra!$A$2:$A$71,0))*IF(INDEX(boss_input_vu_khi!$D$2:$D$71,MATCH($D$9,boss_input_vu_khi!$A$2:$A$71,0)),1,Boss_dps!$B$3)*Boss_dps!$C$3)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INDEX(boss_input_vu_khi_suy_ra!$C$2:$C$71,MATCH($D$10,boss_input_vu_khi_suy_ra!$A$2:$A$71,0))</f>
        <v/>
      </c>
      <c r="O10" t="inlineStr">
        <is>
          <t>giong</t>
        </is>
      </c>
      <c r="R10" t="n">
        <v>60</v>
      </c>
      <c r="S10">
        <f>IF($D$10="",0,INDEX(boss_input_vu_khi_suy_ra!$B$2:$B$71,MATCH($D$10,boss_input_vu_khi_suy_ra!$A$2:$A$71,0))*IF(INDEX(boss_input_vu_khi!$D$2:$D$71,MATCH($D$10,boss_input_vu_khi!$A$2:$A$71,0)),1,Boss_dps!$B$4)*Boss_dps!$C$4)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INDEX(boss_input_vu_khi_suy_ra!$C$2:$C$71,MATCH($D$11,boss_input_vu_khi_suy_ra!$A$2:$A$71,0))</f>
        <v/>
      </c>
      <c r="O11" t="inlineStr">
        <is>
          <t>giong</t>
        </is>
      </c>
      <c r="R11" t="n">
        <v>8.6</v>
      </c>
      <c r="S11">
        <f>IF($D$11="",0,INDEX(boss_input_vu_khi_suy_ra!$B$2:$B$71,MATCH($D$11,boss_input_vu_khi_suy_ra!$A$2:$A$71,0))*IF(INDEX(boss_input_vu_khi!$D$2:$D$71,MATCH($D$11,boss_input_vu_khi!$A$2:$A$71,0)),1,Boss_dps!$B$4)*Boss_dps!$C$4)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INDEX(boss_input_vu_khi_suy_ra!$C$2:$C$71,MATCH($D$12,boss_input_vu_khi_suy_ra!$A$2:$A$71,0))</f>
        <v/>
      </c>
      <c r="O12" t="inlineStr">
        <is>
          <t>giong</t>
        </is>
      </c>
      <c r="R12" t="n">
        <v>8.6</v>
      </c>
      <c r="S12">
        <f>IF($D$12="",0,INDEX(boss_input_vu_khi_suy_ra!$B$2:$B$71,MATCH($D$12,boss_input_vu_khi_suy_ra!$A$2:$A$71,0))*IF(INDEX(boss_input_vu_khi!$D$2:$D$71,MATCH($D$12,boss_input_vu_khi!$A$2:$A$71,0)),1,Boss_dps!$B$4)*Boss_dps!$C$4)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INDEX(boss_input_vu_khi_suy_ra!$C$2:$C$71,MATCH($D$13,boss_input_vu_khi_suy_ra!$A$2:$A$71,0))</f>
        <v/>
      </c>
      <c r="O13" t="inlineStr">
        <is>
          <t>giong</t>
        </is>
      </c>
      <c r="R13" t="n">
        <v>8.98</v>
      </c>
      <c r="S13">
        <f>IF($D$13="",0,INDEX(boss_input_vu_khi_suy_ra!$B$2:$B$71,MATCH($D$13,boss_input_vu_khi_suy_ra!$A$2:$A$71,0))*IF(INDEX(boss_input_vu_khi!$D$2:$D$71,MATCH($D$13,boss_input_vu_khi!$A$2:$A$71,0)),1,Boss_dps!$B$5)*Boss_dps!$C$5)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INDEX(boss_input_vu_khi_suy_ra!$C$2:$C$71,MATCH($D$14,boss_input_vu_khi_suy_ra!$A$2:$A$71,0))</f>
        <v/>
      </c>
      <c r="O14" t="inlineStr">
        <is>
          <t>giong</t>
        </is>
      </c>
      <c r="R14" t="n">
        <v>7.5</v>
      </c>
      <c r="S14">
        <f>IF($D$14="",0,INDEX(boss_input_vu_khi_suy_ra!$B$2:$B$71,MATCH($D$14,boss_input_vu_khi_suy_ra!$A$2:$A$71,0))*IF(INDEX(boss_input_vu_khi!$D$2:$D$71,MATCH($D$14,boss_input_vu_khi!$A$2:$A$71,0)),1,Boss_dps!$B$5)*Boss_dps!$C$5)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INDEX(boss_input_vu_khi_suy_ra!$C$2:$C$71,MATCH($D$15,boss_input_vu_khi_suy_ra!$A$2:$A$71,0))</f>
        <v/>
      </c>
      <c r="O15" t="inlineStr">
        <is>
          <t>giong</t>
        </is>
      </c>
      <c r="R15" t="n">
        <v>5.38</v>
      </c>
      <c r="S15">
        <f>IF($D$15="",0,INDEX(boss_input_vu_khi_suy_ra!$B$2:$B$71,MATCH($D$15,boss_input_vu_khi_suy_ra!$A$2:$A$71,0))*IF(INDEX(boss_input_vu_khi!$D$2:$D$71,MATCH($D$15,boss_input_vu_khi!$A$2:$A$71,0)),1,Boss_dps!$B$5)*Boss_dps!$C$5)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INDEX(boss_input_vu_khi_suy_ra!$C$2:$C$71,MATCH($D$16,boss_input_vu_khi_suy_ra!$A$2:$A$71,0))</f>
        <v/>
      </c>
      <c r="O16" t="inlineStr">
        <is>
          <t>giong</t>
        </is>
      </c>
      <c r="R16" t="n">
        <v>5.38</v>
      </c>
      <c r="S16">
        <f>IF($D$16="",0,INDEX(boss_input_vu_khi_suy_ra!$B$2:$B$71,MATCH($D$16,boss_input_vu_khi_suy_ra!$A$2:$A$71,0))*IF(INDEX(boss_input_vu_khi!$D$2:$D$71,MATCH($D$16,boss_input_vu_khi!$A$2:$A$71,0)),1,Boss_dps!$B$5)*Boss_dps!$C$5)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INDEX(boss_input_vu_khi_suy_ra!$C$2:$C$71,MATCH($D$17,boss_input_vu_khi_suy_ra!$A$2:$A$71,0))</f>
        <v/>
      </c>
      <c r="O17" t="inlineStr">
        <is>
          <t>giong</t>
        </is>
      </c>
      <c r="R17" t="n">
        <v>20</v>
      </c>
      <c r="S17">
        <f>IF($D$17="",0,INDEX(boss_input_vu_khi_suy_ra!$B$2:$B$71,MATCH($D$17,boss_input_vu_khi_suy_ra!$A$2:$A$71,0))*IF(INDEX(boss_input_vu_khi!$D$2:$D$71,MATCH($D$17,boss_input_vu_khi!$A$2:$A$71,0)),1,Boss_dps!$B$5)*Boss_dps!$C$5)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INDEX(boss_input_vu_khi_suy_ra!$C$2:$C$71,MATCH($D$18,boss_input_vu_khi_suy_ra!$A$2:$A$71,0))</f>
        <v/>
      </c>
      <c r="O18" t="inlineStr">
        <is>
          <t>giong</t>
        </is>
      </c>
      <c r="R18" t="n">
        <v>20</v>
      </c>
      <c r="S18">
        <f>IF($D$18="",0,INDEX(boss_input_vu_khi_suy_ra!$B$2:$B$71,MATCH($D$18,boss_input_vu_khi_suy_ra!$A$2:$A$71,0))*IF(INDEX(boss_input_vu_khi!$D$2:$D$71,MATCH($D$18,boss_input_vu_khi!$A$2:$A$71,0)),1,Boss_dps!$B$5)*Boss_dps!$C$5)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INDEX(boss_input_vu_khi_suy_ra!$C$2:$C$71,MATCH($D$19,boss_input_vu_khi_suy_ra!$A$2:$A$71,0))</f>
        <v/>
      </c>
      <c r="O19" t="inlineStr">
        <is>
          <t>giong</t>
        </is>
      </c>
      <c r="R19" t="n">
        <v>9.699999999999999</v>
      </c>
      <c r="S19">
        <f>IF($D$19="",0,INDEX(boss_input_vu_khi_suy_ra!$B$2:$B$71,MATCH($D$19,boss_input_vu_khi_suy_ra!$A$2:$A$71,0))*IF(INDEX(boss_input_vu_khi!$D$2:$D$71,MATCH($D$19,boss_input_vu_khi!$A$2:$A$71,0)),1,Boss_dps!$B$5)*Boss_dps!$C$5)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INDEX(boss_input_vu_khi_suy_ra!$C$2:$C$71,MATCH($D$20,boss_input_vu_khi_suy_ra!$A$2:$A$71,0))</f>
        <v/>
      </c>
      <c r="O20" t="inlineStr">
        <is>
          <t>giong</t>
        </is>
      </c>
      <c r="R20" t="n">
        <v>7.5</v>
      </c>
      <c r="S20">
        <f>IF($D$20="",0,INDEX(boss_input_vu_khi_suy_ra!$B$2:$B$71,MATCH($D$20,boss_input_vu_khi_suy_ra!$A$2:$A$71,0))*IF(INDEX(boss_input_vu_khi!$D$2:$D$71,MATCH($D$20,boss_input_vu_khi!$A$2:$A$71,0)),1,Boss_dps!$B$5)*Boss_dps!$C$5)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INDEX(boss_input_vu_khi_suy_ra!$C$2:$C$71,MATCH($D$21,boss_input_vu_khi_suy_ra!$A$2:$A$71,0))</f>
        <v/>
      </c>
      <c r="O21" t="inlineStr">
        <is>
          <t>giong</t>
        </is>
      </c>
      <c r="R21" t="n">
        <v>7.5</v>
      </c>
      <c r="S21">
        <f>IF($D$21="",0,INDEX(boss_input_vu_khi_suy_ra!$B$2:$B$71,MATCH($D$21,boss_input_vu_khi_suy_ra!$A$2:$A$71,0))*IF(INDEX(boss_input_vu_khi!$D$2:$D$71,MATCH($D$21,boss_input_vu_khi!$A$2:$A$71,0)),1,Boss_dps!$B$5)*Boss_dps!$C$5)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INDEX(boss_input_vu_khi_suy_ra!$C$2:$C$71,MATCH($D$22,boss_input_vu_khi_suy_ra!$A$2:$A$71,0))</f>
        <v/>
      </c>
      <c r="O22" t="inlineStr">
        <is>
          <t>giong</t>
        </is>
      </c>
      <c r="R22" t="n">
        <v>21.94</v>
      </c>
      <c r="S22">
        <f>IF($D$22="",0,INDEX(boss_input_vu_khi_suy_ra!$B$2:$B$71,MATCH($D$22,boss_input_vu_khi_suy_ra!$A$2:$A$71,0))*IF(INDEX(boss_input_vu_khi!$D$2:$D$71,MATCH($D$22,boss_input_vu_khi!$A$2:$A$71,0)),1,Boss_dps!$B$5)*Boss_dps!$C$5)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INDEX(boss_input_vu_khi_suy_ra!$C$2:$C$71,MATCH($D$23,boss_input_vu_khi_suy_ra!$A$2:$A$71,0))</f>
        <v/>
      </c>
      <c r="O23" t="inlineStr">
        <is>
          <t>giong</t>
        </is>
      </c>
      <c r="R23" t="n">
        <v>0.25</v>
      </c>
      <c r="S23">
        <f>IF($D$23="",0,INDEX(boss_input_vu_khi_suy_ra!$B$2:$B$71,MATCH($D$23,boss_input_vu_khi_suy_ra!$A$2:$A$71,0))*IF(INDEX(boss_input_vu_khi!$D$2:$D$71,MATCH($D$23,boss_input_vu_khi!$A$2:$A$71,0)),1,Boss_dps!$B$6)*Boss_dps!$C$6)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INDEX(boss_input_vu_khi_suy_ra!$C$2:$C$71,MATCH($D$24,boss_input_vu_khi_suy_ra!$A$2:$A$71,0))</f>
        <v/>
      </c>
      <c r="O24" t="inlineStr">
        <is>
          <t>giong</t>
        </is>
      </c>
      <c r="R24" t="n">
        <v>6.255</v>
      </c>
      <c r="S24">
        <f>IF($D$24="",0,INDEX(boss_input_vu_khi_suy_ra!$B$2:$B$71,MATCH($D$24,boss_input_vu_khi_suy_ra!$A$2:$A$71,0))*IF(INDEX(boss_input_vu_khi!$D$2:$D$71,MATCH($D$24,boss_input_vu_khi!$A$2:$A$71,0)),1,Boss_dps!$B$6)*Boss_dps!$C$6)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INDEX(boss_input_vu_khi_suy_ra!$C$2:$C$71,MATCH($D$25,boss_input_vu_khi_suy_ra!$A$2:$A$71,0))</f>
        <v/>
      </c>
      <c r="O25" t="inlineStr">
        <is>
          <t>giong</t>
        </is>
      </c>
      <c r="R25" t="n">
        <v>0.25</v>
      </c>
      <c r="S25">
        <f>IF($D$25="",0,INDEX(boss_input_vu_khi_suy_ra!$B$2:$B$71,MATCH($D$25,boss_input_vu_khi_suy_ra!$A$2:$A$71,0))*IF(INDEX(boss_input_vu_khi!$D$2:$D$71,MATCH($D$25,boss_input_vu_khi!$A$2:$A$71,0)),1,Boss_dps!$B$6)*Boss_dps!$C$6)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INDEX(boss_input_vu_khi_suy_ra!$C$2:$C$71,MATCH($D$26,boss_input_vu_khi_suy_ra!$A$2:$A$71,0))</f>
        <v/>
      </c>
      <c r="O26" t="inlineStr">
        <is>
          <t>giong</t>
        </is>
      </c>
      <c r="R26" t="n">
        <v>8.98</v>
      </c>
      <c r="S26">
        <f>IF($D$26="",0,INDEX(boss_input_vu_khi_suy_ra!$B$2:$B$71,MATCH($D$26,boss_input_vu_khi_suy_ra!$A$2:$A$71,0))*IF(INDEX(boss_input_vu_khi!$D$2:$D$71,MATCH($D$26,boss_input_vu_khi!$A$2:$A$71,0)),1,Boss_dps!$B$7)*Boss_dps!$C$7)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INDEX(boss_input_vu_khi_suy_ra!$C$2:$C$71,MATCH($D$27,boss_input_vu_khi_suy_ra!$A$2:$A$71,0))</f>
        <v/>
      </c>
      <c r="O27" t="inlineStr">
        <is>
          <t>giong</t>
        </is>
      </c>
      <c r="R27" t="n">
        <v>7.5</v>
      </c>
      <c r="S27">
        <f>IF($D$27="",0,INDEX(boss_input_vu_khi_suy_ra!$B$2:$B$71,MATCH($D$27,boss_input_vu_khi_suy_ra!$A$2:$A$71,0))*IF(INDEX(boss_input_vu_khi!$D$2:$D$71,MATCH($D$27,boss_input_vu_khi!$A$2:$A$71,0)),1,Boss_dps!$B$7)*Boss_dps!$C$7)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INDEX(boss_input_vu_khi_suy_ra!$C$2:$C$71,MATCH($D$28,boss_input_vu_khi_suy_ra!$A$2:$A$71,0))</f>
        <v/>
      </c>
      <c r="O28" t="inlineStr">
        <is>
          <t>giong</t>
        </is>
      </c>
      <c r="R28" t="n">
        <v>7.5</v>
      </c>
      <c r="S28">
        <f>IF($D$28="",0,INDEX(boss_input_vu_khi_suy_ra!$B$2:$B$71,MATCH($D$28,boss_input_vu_khi_suy_ra!$A$2:$A$71,0))*IF(INDEX(boss_input_vu_khi!$D$2:$D$71,MATCH($D$28,boss_input_vu_khi!$A$2:$A$71,0)),1,Boss_dps!$B$7)*Boss_dps!$C$7)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INDEX(boss_input_vu_khi_suy_ra!$C$2:$C$71,MATCH($D$29,boss_input_vu_khi_suy_ra!$A$2:$A$71,0))</f>
        <v/>
      </c>
      <c r="O29" t="inlineStr">
        <is>
          <t>giong</t>
        </is>
      </c>
      <c r="R29" t="n">
        <v>21.94</v>
      </c>
      <c r="S29">
        <f>IF($D$29="",0,INDEX(boss_input_vu_khi_suy_ra!$B$2:$B$71,MATCH($D$29,boss_input_vu_khi_suy_ra!$A$2:$A$71,0))*IF(INDEX(boss_input_vu_khi!$D$2:$D$71,MATCH($D$29,boss_input_vu_khi!$A$2:$A$71,0)),1,Boss_dps!$B$7)*Boss_dps!$C$7)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INDEX(boss_input_vu_khi_suy_ra!$C$2:$C$71,MATCH($D$30,boss_input_vu_khi_suy_ra!$A$2:$A$71,0))</f>
        <v/>
      </c>
      <c r="O30" t="inlineStr">
        <is>
          <t>giong</t>
        </is>
      </c>
      <c r="R30" t="n">
        <v>8.98</v>
      </c>
      <c r="S30">
        <f>IF($D$30="",0,INDEX(boss_input_vu_khi_suy_ra!$B$2:$B$71,MATCH($D$30,boss_input_vu_khi_suy_ra!$A$2:$A$71,0))*IF(INDEX(boss_input_vu_khi!$D$2:$D$71,MATCH($D$30,boss_input_vu_khi!$A$2:$A$71,0)),1,Boss_dps!$B$8)*Boss_dps!$C$8)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INDEX(boss_input_vu_khi_suy_ra!$C$2:$C$71,MATCH($D$31,boss_input_vu_khi_suy_ra!$A$2:$A$71,0))</f>
        <v/>
      </c>
      <c r="O31" t="inlineStr">
        <is>
          <t>giong</t>
        </is>
      </c>
      <c r="R31" t="n">
        <v>5.38</v>
      </c>
      <c r="S31">
        <f>IF($D$31="",0,INDEX(boss_input_vu_khi_suy_ra!$B$2:$B$71,MATCH($D$31,boss_input_vu_khi_suy_ra!$A$2:$A$71,0))*IF(INDEX(boss_input_vu_khi!$D$2:$D$71,MATCH($D$31,boss_input_vu_khi!$A$2:$A$71,0)),1,Boss_dps!$B$8)*Boss_dps!$C$8)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INDEX(boss_input_vu_khi_suy_ra!$C$2:$C$71,MATCH($D$32,boss_input_vu_khi_suy_ra!$A$2:$A$71,0))</f>
        <v/>
      </c>
      <c r="O32" t="inlineStr">
        <is>
          <t>giong</t>
        </is>
      </c>
      <c r="R32" t="n">
        <v>5.38</v>
      </c>
      <c r="S32">
        <f>IF($D$32="",0,INDEX(boss_input_vu_khi_suy_ra!$B$2:$B$71,MATCH($D$32,boss_input_vu_khi_suy_ra!$A$2:$A$71,0))*IF(INDEX(boss_input_vu_khi!$D$2:$D$71,MATCH($D$32,boss_input_vu_khi!$A$2:$A$71,0)),1,Boss_dps!$B$8)*Boss_dps!$C$8)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INDEX(boss_input_vu_khi_suy_ra!$C$2:$C$71,MATCH($D$33,boss_input_vu_khi_suy_ra!$A$2:$A$71,0))</f>
        <v/>
      </c>
      <c r="O33" t="inlineStr">
        <is>
          <t>giong</t>
        </is>
      </c>
      <c r="R33" t="n">
        <v>8</v>
      </c>
      <c r="S33">
        <f>IF($D$33="",0,INDEX(boss_input_vu_khi_suy_ra!$B$2:$B$71,MATCH($D$33,boss_input_vu_khi_suy_ra!$A$2:$A$71,0))*IF(INDEX(boss_input_vu_khi!$D$2:$D$71,MATCH($D$33,boss_input_vu_khi!$A$2:$A$71,0)),1,Boss_dps!$B$9)*Boss_dps!$C$9)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INDEX(boss_input_vu_khi_suy_ra!$C$2:$C$71,MATCH($D$34,boss_input_vu_khi_suy_ra!$A$2:$A$71,0))</f>
        <v/>
      </c>
      <c r="O34" t="inlineStr">
        <is>
          <t>giong</t>
        </is>
      </c>
      <c r="R34" t="n">
        <v>4.79</v>
      </c>
      <c r="S34">
        <f>IF($D$34="",0,INDEX(boss_input_vu_khi_suy_ra!$B$2:$B$71,MATCH($D$34,boss_input_vu_khi_suy_ra!$A$2:$A$71,0))*IF(INDEX(boss_input_vu_khi!$D$2:$D$71,MATCH($D$34,boss_input_vu_khi!$A$2:$A$71,0)),1,Boss_dps!$B$9)*Boss_dps!$C$9)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INDEX(boss_input_vu_khi_suy_ra!$C$2:$C$71,MATCH($D$35,boss_input_vu_khi_suy_ra!$A$2:$A$71,0))</f>
        <v/>
      </c>
      <c r="O35" t="inlineStr">
        <is>
          <t>giong</t>
        </is>
      </c>
      <c r="R35" t="n">
        <v>4.79</v>
      </c>
      <c r="S35">
        <f>IF($D$35="",0,INDEX(boss_input_vu_khi_suy_ra!$B$2:$B$71,MATCH($D$35,boss_input_vu_khi_suy_ra!$A$2:$A$71,0))*IF(INDEX(boss_input_vu_khi!$D$2:$D$71,MATCH($D$35,boss_input_vu_khi!$A$2:$A$71,0)),1,Boss_dps!$B$9)*Boss_dps!$C$9)</f>
        <v/>
      </c>
      <c r="T35" t="n">
        <v>181.6283924843424</v>
      </c>
      <c r="U35" t="inlineStr">
        <is>
          <t>Assets/MachineBrigade/Resources/Data/balance.json: vehicles[id=behemoth_tempest] dựng bởi Tools/balance/p26_ab.expand</t>
        </is>
      </c>
      <c r="V35" t="inlineStr"/>
    </row>
    <row r="36">
      <c r="A36" t="inlineStr">
        <is>
          <t>command_airship/0</t>
        </is>
      </c>
      <c r="B36" t="inlineStr">
        <is>
          <t>command_airship</t>
        </is>
      </c>
      <c r="C36" t="n">
        <v>0</v>
      </c>
      <c r="D36" t="inlineStr">
        <is>
          <t>p26_roc_main_roc_bombs</t>
        </is>
      </c>
      <c r="E36" t="inlineStr">
        <is>
          <t>gun</t>
        </is>
      </c>
      <c r="F36" t="inlineStr">
        <is>
          <t>Free</t>
        </is>
      </c>
      <c r="G36" t="inlineStr"/>
      <c r="H36" t="n">
        <v>1</v>
      </c>
      <c r="I36" t="n">
        <v>700</v>
      </c>
      <c r="J36" t="n">
        <v>33.34</v>
      </c>
      <c r="K36" t="n">
        <v>10</v>
      </c>
      <c r="L36" t="n">
        <v>20</v>
      </c>
      <c r="M36" t="n">
        <v>2.722222222222222</v>
      </c>
      <c r="N36">
        <f>INDEX(boss_input_vu_khi_suy_ra!$C$2:$C$71,MATCH($D$36,boss_input_vu_khi_suy_ra!$A$2:$A$71,0))</f>
        <v/>
      </c>
      <c r="O36" t="inlineStr">
        <is>
          <t>giong</t>
        </is>
      </c>
      <c r="R36" t="n">
        <v>35.44</v>
      </c>
      <c r="S36">
        <f>IF($D$36="",0,INDEX(boss_input_vu_khi_suy_ra!$B$2:$B$71,MATCH($D$36,boss_input_vu_khi_suy_ra!$A$2:$A$71,0))*IF(INDEX(boss_input_vu_khi!$D$2:$D$71,MATCH($D$36,boss_input_vu_khi!$A$2:$A$71,0)),1,Boss_dps!$B$10)*Boss_dps!$C$10)</f>
        <v/>
      </c>
      <c r="T36" t="n">
        <v>282.7178329571105</v>
      </c>
      <c r="U36" t="inlineStr">
        <is>
          <t>Assets/MachineBrigade/Resources/Data/balance.json: vehicles[id=command_airship] dựng bởi Tools/balance/p26_ab.expand</t>
        </is>
      </c>
      <c r="V36" t="inlineStr"/>
    </row>
    <row r="37">
      <c r="A37" t="inlineStr">
        <is>
          <t>command_airship/1</t>
        </is>
      </c>
      <c r="B37" t="inlineStr">
        <is>
          <t>command_airship</t>
        </is>
      </c>
      <c r="C37" t="n">
        <v>1</v>
      </c>
      <c r="D37" t="inlineStr">
        <is>
          <t>p26_roc_main_roc_bombs</t>
        </is>
      </c>
      <c r="E37" t="inlineStr">
        <is>
          <t>gun</t>
        </is>
      </c>
      <c r="F37" t="inlineStr">
        <is>
          <t>Free</t>
        </is>
      </c>
      <c r="G37" t="inlineStr"/>
      <c r="H37" t="n">
        <v>1</v>
      </c>
      <c r="I37" t="n">
        <v>700</v>
      </c>
      <c r="J37" t="n">
        <v>33.34</v>
      </c>
      <c r="K37" t="n">
        <v>10</v>
      </c>
      <c r="L37" t="n">
        <v>20</v>
      </c>
      <c r="M37" t="n">
        <v>2.722222222222222</v>
      </c>
      <c r="N37">
        <f>INDEX(boss_input_vu_khi_suy_ra!$C$2:$C$71,MATCH($D$37,boss_input_vu_khi_suy_ra!$A$2:$A$71,0))</f>
        <v/>
      </c>
      <c r="O37" t="inlineStr">
        <is>
          <t>giong</t>
        </is>
      </c>
      <c r="R37" t="n">
        <v>35.44</v>
      </c>
      <c r="S37">
        <f>IF($D$37="",0,INDEX(boss_input_vu_khi_suy_ra!$B$2:$B$71,MATCH($D$37,boss_input_vu_khi_suy_ra!$A$2:$A$71,0))*IF(INDEX(boss_input_vu_khi!$D$2:$D$71,MATCH($D$37,boss_input_vu_khi!$A$2:$A$71,0)),1,Boss_dps!$B$10)*Boss_dps!$C$10)</f>
        <v/>
      </c>
      <c r="T37" t="n">
        <v>282.7178329571105</v>
      </c>
      <c r="U37" t="inlineStr">
        <is>
          <t>Assets/MachineBrigade/Resources/Data/balance.json: vehicles[id=command_airship] dựng bởi Tools/balance/p26_ab.expand</t>
        </is>
      </c>
      <c r="V37" t="inlineStr"/>
    </row>
    <row r="38">
      <c r="A38" t="inlineStr">
        <is>
          <t>command_airship/2</t>
        </is>
      </c>
      <c r="B38" t="inlineStr">
        <is>
          <t>command_airship</t>
        </is>
      </c>
      <c r="C38" t="n">
        <v>2</v>
      </c>
      <c r="D38" t="inlineStr">
        <is>
          <t>p26_roc_direct_roc_atgm</t>
        </is>
      </c>
      <c r="E38" t="inlineStr">
        <is>
          <t>door_l</t>
        </is>
      </c>
      <c r="F38" t="inlineStr">
        <is>
          <t>Free</t>
        </is>
      </c>
      <c r="G38" t="inlineStr">
        <is>
          <t>hangar_l</t>
        </is>
      </c>
      <c r="H38" t="n">
        <v>1</v>
      </c>
      <c r="I38" t="n">
        <v>230</v>
      </c>
      <c r="J38" t="n">
        <v>19.4</v>
      </c>
      <c r="K38" t="n">
        <v>0</v>
      </c>
      <c r="L38" t="n">
        <v>0</v>
      </c>
      <c r="M38" t="n">
        <v>0</v>
      </c>
      <c r="N38">
        <f>INDEX(boss_input_vu_khi_suy_ra!$C$2:$C$71,MATCH($D$38,boss_input_vu_khi_suy_ra!$A$2:$A$71,0))</f>
        <v/>
      </c>
      <c r="O38" t="inlineStr">
        <is>
          <t>giong</t>
        </is>
      </c>
      <c r="R38" t="n">
        <v>20</v>
      </c>
      <c r="S38">
        <f>IF($D$38="",0,INDEX(boss_input_vu_khi_suy_ra!$B$2:$B$71,MATCH($D$38,boss_input_vu_khi_suy_ra!$A$2:$A$71,0))*IF(INDEX(boss_input_vu_khi!$D$2:$D$71,MATCH($D$38,boss_input_vu_khi!$A$2:$A$71,0)),1,Boss_dps!$B$10)*Boss_dps!$C$10)</f>
        <v/>
      </c>
      <c r="T38" t="n">
        <v>41.15159999999999</v>
      </c>
      <c r="U38" t="inlineStr">
        <is>
          <t>Assets/MachineBrigade/Resources/Data/balance.json: vehicles[id=command_airship] dựng bởi Tools/balance/p26_ab.expand</t>
        </is>
      </c>
      <c r="V38" t="inlineStr"/>
    </row>
    <row r="39">
      <c r="A39" t="inlineStr">
        <is>
          <t>command_airship/3</t>
        </is>
      </c>
      <c r="B39" t="inlineStr">
        <is>
          <t>command_airship</t>
        </is>
      </c>
      <c r="C39" t="n">
        <v>3</v>
      </c>
      <c r="D39" t="inlineStr">
        <is>
          <t>p26_roc_direct_roc_atgm</t>
        </is>
      </c>
      <c r="E39" t="inlineStr">
        <is>
          <t>door_r</t>
        </is>
      </c>
      <c r="F39" t="inlineStr">
        <is>
          <t>Free</t>
        </is>
      </c>
      <c r="G39" t="inlineStr">
        <is>
          <t>hangar_r</t>
        </is>
      </c>
      <c r="H39" t="n">
        <v>1</v>
      </c>
      <c r="I39" t="n">
        <v>230</v>
      </c>
      <c r="J39" t="n">
        <v>19.4</v>
      </c>
      <c r="K39" t="n">
        <v>0</v>
      </c>
      <c r="L39" t="n">
        <v>0</v>
      </c>
      <c r="M39" t="n">
        <v>0</v>
      </c>
      <c r="N39">
        <f>INDEX(boss_input_vu_khi_suy_ra!$C$2:$C$71,MATCH($D$39,boss_input_vu_khi_suy_ra!$A$2:$A$71,0))</f>
        <v/>
      </c>
      <c r="O39" t="inlineStr">
        <is>
          <t>giong</t>
        </is>
      </c>
      <c r="R39" t="n">
        <v>20</v>
      </c>
      <c r="S39">
        <f>IF($D$39="",0,INDEX(boss_input_vu_khi_suy_ra!$B$2:$B$71,MATCH($D$39,boss_input_vu_khi_suy_ra!$A$2:$A$71,0))*IF(INDEX(boss_input_vu_khi!$D$2:$D$71,MATCH($D$39,boss_input_vu_khi!$A$2:$A$71,0)),1,Boss_dps!$B$10)*Boss_dps!$C$10)</f>
        <v/>
      </c>
      <c r="T39" t="n">
        <v>41.15159999999999</v>
      </c>
      <c r="U39" t="inlineStr">
        <is>
          <t>Assets/MachineBrigade/Resources/Data/balance.json: vehicles[id=command_airship] dựng bởi Tools/balance/p26_ab.expand</t>
        </is>
      </c>
      <c r="V39" t="inlineStr"/>
    </row>
    <row r="40">
      <c r="A40" t="inlineStr">
        <is>
          <t>command_airship/4</t>
        </is>
      </c>
      <c r="B40" t="inlineStr">
        <is>
          <t>command_airship</t>
        </is>
      </c>
      <c r="C40" t="n">
        <v>4</v>
      </c>
      <c r="D40" t="inlineStr">
        <is>
          <t>p26_roc_close_twin_30_bmpt</t>
        </is>
      </c>
      <c r="E40" t="inlineStr">
        <is>
          <t>gun</t>
        </is>
      </c>
      <c r="F40" t="inlineStr">
        <is>
          <t>Free</t>
        </is>
      </c>
      <c r="G40" t="inlineStr">
        <is>
          <t>bomb_bay</t>
        </is>
      </c>
      <c r="H40" t="n">
        <v>1</v>
      </c>
      <c r="I40" t="n">
        <v>22</v>
      </c>
      <c r="J40" t="n">
        <v>1.45</v>
      </c>
      <c r="K40" t="n">
        <v>0</v>
      </c>
      <c r="L40" t="n">
        <v>0</v>
      </c>
      <c r="M40" t="n">
        <v>0</v>
      </c>
      <c r="N40">
        <f>INDEX(boss_input_vu_khi_suy_ra!$C$2:$C$71,MATCH($D$40,boss_input_vu_khi_suy_ra!$A$2:$A$71,0))</f>
        <v/>
      </c>
      <c r="O40" t="inlineStr">
        <is>
          <t>giong</t>
        </is>
      </c>
      <c r="R40" t="n">
        <v>2.3663</v>
      </c>
      <c r="S40">
        <f>IF($D$40="",0,INDEX(boss_input_vu_khi_suy_ra!$B$2:$B$71,MATCH($D$40,boss_input_vu_khi_suy_ra!$A$2:$A$71,0))*IF(INDEX(boss_input_vu_khi!$D$2:$D$71,MATCH($D$40,boss_input_vu_khi!$A$2:$A$71,0)),1,Boss_dps!$B$10)*Boss_dps!$C$10)</f>
        <v/>
      </c>
      <c r="T40" t="n">
        <v>199.6149262561806</v>
      </c>
      <c r="U40" t="inlineStr">
        <is>
          <t>Assets/MachineBrigade/Resources/Data/balance.json: vehicles[id=command_airship] dựng bởi Tools/balance/p26_ab.expand</t>
        </is>
      </c>
      <c r="V40" t="inlineStr"/>
    </row>
    <row r="41">
      <c r="A41" t="inlineStr">
        <is>
          <t>command_airship/5</t>
        </is>
      </c>
      <c r="B41" t="inlineStr">
        <is>
          <t>command_airship</t>
        </is>
      </c>
      <c r="C41" t="n">
        <v>5</v>
      </c>
      <c r="D41" t="inlineStr">
        <is>
          <t>p26_roc_close_twin_30_bmpt</t>
        </is>
      </c>
      <c r="E41" t="inlineStr">
        <is>
          <t>gun</t>
        </is>
      </c>
      <c r="F41" t="inlineStr">
        <is>
          <t>Free</t>
        </is>
      </c>
      <c r="G41" t="inlineStr">
        <is>
          <t>bomb_bay</t>
        </is>
      </c>
      <c r="H41" t="n">
        <v>1</v>
      </c>
      <c r="I41" t="n">
        <v>22</v>
      </c>
      <c r="J41" t="n">
        <v>1.45</v>
      </c>
      <c r="K41" t="n">
        <v>0</v>
      </c>
      <c r="L41" t="n">
        <v>0</v>
      </c>
      <c r="M41" t="n">
        <v>0</v>
      </c>
      <c r="N41">
        <f>INDEX(boss_input_vu_khi_suy_ra!$C$2:$C$71,MATCH($D$41,boss_input_vu_khi_suy_ra!$A$2:$A$71,0))</f>
        <v/>
      </c>
      <c r="O41" t="inlineStr">
        <is>
          <t>giong</t>
        </is>
      </c>
      <c r="R41" t="n">
        <v>2.3663</v>
      </c>
      <c r="S41">
        <f>IF($D$41="",0,INDEX(boss_input_vu_khi_suy_ra!$B$2:$B$71,MATCH($D$41,boss_input_vu_khi_suy_ra!$A$2:$A$71,0))*IF(INDEX(boss_input_vu_khi!$D$2:$D$71,MATCH($D$41,boss_input_vu_khi!$A$2:$A$71,0)),1,Boss_dps!$B$10)*Boss_dps!$C$10)</f>
        <v/>
      </c>
      <c r="T41" t="n">
        <v>199.6149262561806</v>
      </c>
      <c r="U41" t="inlineStr">
        <is>
          <t>Assets/MachineBrigade/Resources/Data/balance.json: vehicles[id=command_airship] dựng bởi Tools/balance/p26_ab.expand</t>
        </is>
      </c>
      <c r="V41" t="inlineStr"/>
    </row>
    <row r="42">
      <c r="A42" t="inlineStr">
        <is>
          <t>command_airship/6</t>
        </is>
      </c>
      <c r="B42" t="inlineStr">
        <is>
          <t>command_airship</t>
        </is>
      </c>
      <c r="C42" t="n">
        <v>6</v>
      </c>
      <c r="D42" t="inlineStr">
        <is>
          <t>p26_roc_roc105</t>
        </is>
      </c>
      <c r="E42" t="inlineStr">
        <is>
          <t>gun</t>
        </is>
      </c>
      <c r="F42" t="inlineStr">
        <is>
          <t>Free</t>
        </is>
      </c>
      <c r="G42" t="inlineStr">
        <is>
          <t>pod_105_l</t>
        </is>
      </c>
      <c r="H42" t="n">
        <v>1</v>
      </c>
      <c r="I42" t="n">
        <v>300</v>
      </c>
      <c r="J42" t="n">
        <v>6</v>
      </c>
      <c r="K42" t="n">
        <v>5</v>
      </c>
      <c r="L42" t="n">
        <v>10</v>
      </c>
      <c r="M42" t="n">
        <v>0</v>
      </c>
      <c r="N42">
        <f>INDEX(boss_input_vu_khi_suy_ra!$C$2:$C$71,MATCH($D$42,boss_input_vu_khi_suy_ra!$A$2:$A$71,0))</f>
        <v/>
      </c>
      <c r="O42" t="inlineStr">
        <is>
          <t>giong</t>
        </is>
      </c>
      <c r="R42" t="n">
        <v>6</v>
      </c>
      <c r="S42">
        <f>IF($D$42="",0,INDEX(boss_input_vu_khi_suy_ra!$B$2:$B$71,MATCH($D$42,boss_input_vu_khi_suy_ra!$A$2:$A$71,0))*IF(INDEX(boss_input_vu_khi!$D$2:$D$71,MATCH($D$42,boss_input_vu_khi!$A$2:$A$71,0)),1,Boss_dps!$B$10)*Boss_dps!$C$10)</f>
        <v/>
      </c>
      <c r="T42" t="n">
        <v>89.45999999999999</v>
      </c>
      <c r="U42" t="inlineStr">
        <is>
          <t>Assets/MachineBrigade/Resources/Data/balance.json: vehicles[id=command_airship] dựng bởi Tools/balance/p26_ab.expand</t>
        </is>
      </c>
      <c r="V42" t="inlineStr"/>
    </row>
    <row r="43">
      <c r="A43" t="inlineStr">
        <is>
          <t>command_airship/7</t>
        </is>
      </c>
      <c r="B43" t="inlineStr">
        <is>
          <t>command_airship</t>
        </is>
      </c>
      <c r="C43" t="n">
        <v>7</v>
      </c>
      <c r="D43" t="inlineStr">
        <is>
          <t>p26_roc_roc105</t>
        </is>
      </c>
      <c r="E43" t="inlineStr">
        <is>
          <t>gun</t>
        </is>
      </c>
      <c r="F43" t="inlineStr">
        <is>
          <t>Free</t>
        </is>
      </c>
      <c r="G43" t="inlineStr">
        <is>
          <t>pod_105_r</t>
        </is>
      </c>
      <c r="H43" t="n">
        <v>1</v>
      </c>
      <c r="I43" t="n">
        <v>300</v>
      </c>
      <c r="J43" t="n">
        <v>6</v>
      </c>
      <c r="K43" t="n">
        <v>5</v>
      </c>
      <c r="L43" t="n">
        <v>10</v>
      </c>
      <c r="M43" t="n">
        <v>0</v>
      </c>
      <c r="N43">
        <f>INDEX(boss_input_vu_khi_suy_ra!$C$2:$C$71,MATCH($D$43,boss_input_vu_khi_suy_ra!$A$2:$A$71,0))</f>
        <v/>
      </c>
      <c r="O43" t="inlineStr">
        <is>
          <t>giong</t>
        </is>
      </c>
      <c r="R43" t="n">
        <v>6</v>
      </c>
      <c r="S43">
        <f>IF($D$43="",0,INDEX(boss_input_vu_khi_suy_ra!$B$2:$B$71,MATCH($D$43,boss_input_vu_khi_suy_ra!$A$2:$A$71,0))*IF(INDEX(boss_input_vu_khi!$D$2:$D$71,MATCH($D$43,boss_input_vu_khi!$A$2:$A$71,0)),1,Boss_dps!$B$10)*Boss_dps!$C$10)</f>
        <v/>
      </c>
      <c r="T43" t="n">
        <v>89.45999999999999</v>
      </c>
      <c r="U43" t="inlineStr">
        <is>
          <t>Assets/MachineBrigade/Resources/Data/balance.json: vehicles[id=command_airship] dựng bởi Tools/balance/p26_ab.expand</t>
        </is>
      </c>
      <c r="V43" t="inlineStr"/>
    </row>
    <row r="44">
      <c r="A44" t="inlineStr">
        <is>
          <t>daedalus/0</t>
        </is>
      </c>
      <c r="B44" t="inlineStr">
        <is>
          <t>daedalus</t>
        </is>
      </c>
      <c r="C44" t="n">
        <v>0</v>
      </c>
      <c r="D44" t="inlineStr">
        <is>
          <t>p26_daedalus_direct_dae_laser</t>
        </is>
      </c>
      <c r="E44" t="inlineStr">
        <is>
          <t>gun</t>
        </is>
      </c>
      <c r="F44" t="inlineStr"/>
      <c r="G44" t="inlineStr">
        <is>
          <t>gun_l</t>
        </is>
      </c>
      <c r="H44" t="n">
        <v>1</v>
      </c>
      <c r="I44" t="n">
        <v>16.5</v>
      </c>
      <c r="J44" t="n">
        <v>0.1</v>
      </c>
      <c r="K44" t="n">
        <v>1.5</v>
      </c>
      <c r="L44" t="n">
        <v>0</v>
      </c>
      <c r="M44" t="n">
        <v>0</v>
      </c>
      <c r="N44">
        <f>INDEX(boss_input_vu_khi_suy_ra!$C$2:$C$71,MATCH($D$44,boss_input_vu_khi_suy_ra!$A$2:$A$71,0))</f>
        <v/>
      </c>
      <c r="O44" t="inlineStr">
        <is>
          <t>giong</t>
        </is>
      </c>
      <c r="R44" t="n">
        <v>0.1</v>
      </c>
      <c r="S44">
        <f>IF($D$44="",0,INDEX(boss_input_vu_khi_suy_ra!$B$2:$B$71,MATCH($D$44,boss_input_vu_khi_suy_ra!$A$2:$A$71,0))*IF(INDEX(boss_input_vu_khi!$D$2:$D$71,MATCH($D$44,boss_input_vu_khi!$A$2:$A$71,0)),1,Boss_dps!$B$11)*Boss_dps!$C$11)</f>
        <v/>
      </c>
      <c r="T44" t="n">
        <v>165</v>
      </c>
      <c r="U44" t="inlineStr">
        <is>
          <t>Assets/MachineBrigade/Resources/Data/balance.json: vehicles[id=daedalus] dựng bởi Tools/balance/p26_ab.expand</t>
        </is>
      </c>
      <c r="V44" t="inlineStr"/>
    </row>
    <row r="45">
      <c r="A45" t="inlineStr">
        <is>
          <t>daedalus/1</t>
        </is>
      </c>
      <c r="B45" t="inlineStr">
        <is>
          <t>daedalus</t>
        </is>
      </c>
      <c r="C45" t="n">
        <v>1</v>
      </c>
      <c r="D45" t="inlineStr">
        <is>
          <t>p26_daedalus_sec_dae57</t>
        </is>
      </c>
      <c r="E45" t="inlineStr">
        <is>
          <t>gun</t>
        </is>
      </c>
      <c r="F45" t="inlineStr">
        <is>
          <t>Free</t>
        </is>
      </c>
      <c r="G45" t="inlineStr"/>
      <c r="H45" t="n">
        <v>2</v>
      </c>
      <c r="I45" t="n">
        <v>120</v>
      </c>
      <c r="J45" t="n">
        <v>2.79</v>
      </c>
      <c r="K45" t="n">
        <v>3</v>
      </c>
      <c r="L45" t="n">
        <v>6</v>
      </c>
      <c r="M45" t="n">
        <v>0</v>
      </c>
      <c r="N45">
        <f>INDEX(boss_input_vu_khi_suy_ra!$C$2:$C$71,MATCH($D$45,boss_input_vu_khi_suy_ra!$A$2:$A$71,0))</f>
        <v/>
      </c>
      <c r="O45" t="inlineStr">
        <is>
          <t>giong</t>
        </is>
      </c>
      <c r="R45" t="n">
        <v>4.29</v>
      </c>
      <c r="S45">
        <f>IF($D$45="",0,INDEX(boss_input_vu_khi_suy_ra!$B$2:$B$71,MATCH($D$45,boss_input_vu_khi_suy_ra!$A$2:$A$71,0))*IF(INDEX(boss_input_vu_khi!$D$2:$D$71,MATCH($D$45,boss_input_vu_khi!$A$2:$A$71,0)),1,Boss_dps!$B$11)*Boss_dps!$C$11)</f>
        <v/>
      </c>
      <c r="T45" t="n">
        <v>223.7762237762238</v>
      </c>
      <c r="U45" t="inlineStr">
        <is>
          <t>Assets/MachineBrigade/Resources/Data/balance.json: vehicles[id=daedalus] dựng bởi Tools/balance/p26_ab.expand</t>
        </is>
      </c>
      <c r="V45" t="inlineStr"/>
    </row>
    <row r="46">
      <c r="A46" t="inlineStr">
        <is>
          <t>daedalus/2</t>
        </is>
      </c>
      <c r="B46" t="inlineStr">
        <is>
          <t>daedalus</t>
        </is>
      </c>
      <c r="C46" t="n">
        <v>2</v>
      </c>
      <c r="D46" t="inlineStr">
        <is>
          <t>p26_daedalus_sec_dae57</t>
        </is>
      </c>
      <c r="E46" t="inlineStr">
        <is>
          <t>gun</t>
        </is>
      </c>
      <c r="F46" t="inlineStr">
        <is>
          <t>Free</t>
        </is>
      </c>
      <c r="G46" t="inlineStr"/>
      <c r="H46" t="n">
        <v>2</v>
      </c>
      <c r="I46" t="n">
        <v>120</v>
      </c>
      <c r="J46" t="n">
        <v>2.79</v>
      </c>
      <c r="K46" t="n">
        <v>3</v>
      </c>
      <c r="L46" t="n">
        <v>6</v>
      </c>
      <c r="M46" t="n">
        <v>0</v>
      </c>
      <c r="N46">
        <f>INDEX(boss_input_vu_khi_suy_ra!$C$2:$C$71,MATCH($D$46,boss_input_vu_khi_suy_ra!$A$2:$A$71,0))</f>
        <v/>
      </c>
      <c r="O46" t="inlineStr">
        <is>
          <t>giong</t>
        </is>
      </c>
      <c r="R46" t="n">
        <v>4.29</v>
      </c>
      <c r="S46">
        <f>IF($D$46="",0,INDEX(boss_input_vu_khi_suy_ra!$B$2:$B$71,MATCH($D$46,boss_input_vu_khi_suy_ra!$A$2:$A$71,0))*IF(INDEX(boss_input_vu_khi!$D$2:$D$71,MATCH($D$46,boss_input_vu_khi!$A$2:$A$71,0)),1,Boss_dps!$B$11)*Boss_dps!$C$11)</f>
        <v/>
      </c>
      <c r="T46" t="n">
        <v>223.7762237762238</v>
      </c>
      <c r="U46" t="inlineStr">
        <is>
          <t>Assets/MachineBrigade/Resources/Data/balance.json: vehicles[id=daedalus] dựng bởi Tools/balance/p26_ab.expand</t>
        </is>
      </c>
      <c r="V46" t="inlineStr"/>
    </row>
    <row r="47">
      <c r="A47" t="inlineStr">
        <is>
          <t>daedalus/3</t>
        </is>
      </c>
      <c r="B47" t="inlineStr">
        <is>
          <t>daedalus</t>
        </is>
      </c>
      <c r="C47" t="n">
        <v>3</v>
      </c>
      <c r="D47" t="inlineStr">
        <is>
          <t>p26_daedalus_direct_dae_laser</t>
        </is>
      </c>
      <c r="E47" t="inlineStr">
        <is>
          <t>gun</t>
        </is>
      </c>
      <c r="F47" t="inlineStr">
        <is>
          <t>Free</t>
        </is>
      </c>
      <c r="G47" t="inlineStr">
        <is>
          <t>gun_r</t>
        </is>
      </c>
      <c r="H47" t="n">
        <v>1</v>
      </c>
      <c r="I47" t="n">
        <v>16.5</v>
      </c>
      <c r="J47" t="n">
        <v>0.1</v>
      </c>
      <c r="K47" t="n">
        <v>1.5</v>
      </c>
      <c r="L47" t="n">
        <v>0</v>
      </c>
      <c r="M47" t="n">
        <v>0</v>
      </c>
      <c r="N47">
        <f>INDEX(boss_input_vu_khi_suy_ra!$C$2:$C$71,MATCH($D$47,boss_input_vu_khi_suy_ra!$A$2:$A$71,0))</f>
        <v/>
      </c>
      <c r="O47" t="inlineStr">
        <is>
          <t>giong</t>
        </is>
      </c>
      <c r="R47" t="n">
        <v>0.1</v>
      </c>
      <c r="S47">
        <f>IF($D$47="",0,INDEX(boss_input_vu_khi_suy_ra!$B$2:$B$71,MATCH($D$47,boss_input_vu_khi_suy_ra!$A$2:$A$71,0))*IF(INDEX(boss_input_vu_khi!$D$2:$D$71,MATCH($D$47,boss_input_vu_khi!$A$2:$A$71,0)),1,Boss_dps!$B$11)*Boss_dps!$C$11)</f>
        <v/>
      </c>
      <c r="T47" t="n">
        <v>165</v>
      </c>
      <c r="U47" t="inlineStr">
        <is>
          <t>Assets/MachineBrigade/Resources/Data/balance.json: vehicles[id=daedalus] dựng bởi Tools/balance/p26_ab.expand</t>
        </is>
      </c>
      <c r="V47" t="inlineStr"/>
    </row>
    <row r="48">
      <c r="A48" t="inlineStr">
        <is>
          <t>drone_mothership/0</t>
        </is>
      </c>
      <c r="B48" t="inlineStr">
        <is>
          <t>drone_mothership</t>
        </is>
      </c>
      <c r="C48" t="n">
        <v>0</v>
      </c>
      <c r="D48" t="inlineStr">
        <is>
          <t>p26_matriarch_tiny_mothership_cannon</t>
        </is>
      </c>
      <c r="E48" t="inlineStr">
        <is>
          <t>main</t>
        </is>
      </c>
      <c r="F48" t="inlineStr"/>
      <c r="G48" t="inlineStr">
        <is>
          <t>cannon_bow</t>
        </is>
      </c>
      <c r="H48" t="n">
        <v>1</v>
      </c>
      <c r="I48" t="n">
        <v>120</v>
      </c>
      <c r="J48" t="n">
        <v>2.79</v>
      </c>
      <c r="K48" t="n">
        <v>3</v>
      </c>
      <c r="L48" t="n">
        <v>6</v>
      </c>
      <c r="M48" t="n">
        <v>0</v>
      </c>
      <c r="N48">
        <f>INDEX(boss_input_vu_khi_suy_ra!$C$2:$C$71,MATCH($D$48,boss_input_vu_khi_suy_ra!$A$2:$A$71,0))</f>
        <v/>
      </c>
      <c r="O48" t="inlineStr">
        <is>
          <t>giong</t>
        </is>
      </c>
      <c r="R48" t="n">
        <v>4.29</v>
      </c>
      <c r="S48">
        <f>IF($D$48="",0,INDEX(boss_input_vu_khi_suy_ra!$B$2:$B$71,MATCH($D$48,boss_input_vu_khi_suy_ra!$A$2:$A$71,0))*IF(INDEX(boss_input_vu_khi!$D$2:$D$71,MATCH($D$48,boss_input_vu_khi!$A$2:$A$71,0)),1,Boss_dps!$B$12)*Boss_dps!$C$12)</f>
        <v/>
      </c>
      <c r="T48" t="n">
        <v>111.8881118881119</v>
      </c>
      <c r="U48" t="inlineStr">
        <is>
          <t>Assets/MachineBrigade/Resources/Data/balance.json: vehicles[id=drone_mothership] dựng bởi Tools/balance/p26_ab.expand</t>
        </is>
      </c>
      <c r="V48" t="inlineStr"/>
    </row>
    <row r="49">
      <c r="A49" t="inlineStr">
        <is>
          <t>drone_mothership/1</t>
        </is>
      </c>
      <c r="B49" t="inlineStr">
        <is>
          <t>drone_mothership</t>
        </is>
      </c>
      <c r="C49" t="n">
        <v>1</v>
      </c>
      <c r="D49" t="inlineStr">
        <is>
          <t>p26_matriarch_ma_drones</t>
        </is>
      </c>
      <c r="E49" t="inlineStr">
        <is>
          <t>missile</t>
        </is>
      </c>
      <c r="F49" t="inlineStr">
        <is>
          <t>Free</t>
        </is>
      </c>
      <c r="G49" t="inlineStr">
        <is>
          <t>drone_bay</t>
        </is>
      </c>
      <c r="H49" t="n">
        <v>1</v>
      </c>
      <c r="I49" t="n">
        <v>320</v>
      </c>
      <c r="J49" t="n">
        <v>4</v>
      </c>
      <c r="K49" t="n">
        <v>3</v>
      </c>
      <c r="L49" t="n">
        <v>6</v>
      </c>
      <c r="M49" t="n">
        <v>0</v>
      </c>
      <c r="N49">
        <f>INDEX(boss_input_vu_khi_suy_ra!$C$2:$C$71,MATCH($D$49,boss_input_vu_khi_suy_ra!$A$2:$A$71,0))</f>
        <v/>
      </c>
      <c r="O49" t="inlineStr">
        <is>
          <t>giong</t>
        </is>
      </c>
      <c r="R49" t="n">
        <v>5</v>
      </c>
      <c r="S49">
        <f>IF($D$49="",0,INDEX(boss_input_vu_khi_suy_ra!$B$2:$B$71,MATCH($D$49,boss_input_vu_khi_suy_ra!$A$2:$A$71,0))*IF(INDEX(boss_input_vu_khi!$D$2:$D$71,MATCH($D$49,boss_input_vu_khi!$A$2:$A$71,0)),1,Boss_dps!$B$12)*Boss_dps!$C$12)</f>
        <v/>
      </c>
      <c r="T49" t="n">
        <v>384</v>
      </c>
      <c r="U49" t="inlineStr">
        <is>
          <t>Assets/MachineBrigade/Resources/Data/balance.json: vehicles[id=drone_mothership] dựng bởi Tools/balance/p26_ab.expand</t>
        </is>
      </c>
      <c r="V49" t="inlineStr"/>
    </row>
    <row r="50">
      <c r="A50" t="inlineStr">
        <is>
          <t>drone_mothership/2</t>
        </is>
      </c>
      <c r="B50" t="inlineStr">
        <is>
          <t>drone_mothership</t>
        </is>
      </c>
      <c r="C50" t="n">
        <v>2</v>
      </c>
      <c r="D50" t="inlineStr">
        <is>
          <t>p26_matriarch_close_boss_flak</t>
        </is>
      </c>
      <c r="E50" t="inlineStr">
        <is>
          <t>mg</t>
        </is>
      </c>
      <c r="F50" t="inlineStr">
        <is>
          <t>Free</t>
        </is>
      </c>
      <c r="G50" t="inlineStr">
        <is>
          <t>flak_top</t>
        </is>
      </c>
      <c r="H50" t="n">
        <v>1</v>
      </c>
      <c r="I50" t="n">
        <v>25</v>
      </c>
      <c r="J50" t="n">
        <v>0.05</v>
      </c>
      <c r="K50" t="n">
        <v>2.5</v>
      </c>
      <c r="L50" t="n">
        <v>0</v>
      </c>
      <c r="M50" t="n">
        <v>0</v>
      </c>
      <c r="N50">
        <f>INDEX(boss_input_vu_khi_suy_ra!$C$2:$C$71,MATCH($D$50,boss_input_vu_khi_suy_ra!$A$2:$A$71,0))</f>
        <v/>
      </c>
      <c r="O50" t="inlineStr">
        <is>
          <t>giong</t>
        </is>
      </c>
      <c r="R50" t="n">
        <v>5.38</v>
      </c>
      <c r="S50">
        <f>IF($D$50="",0,INDEX(boss_input_vu_khi_suy_ra!$B$2:$B$71,MATCH($D$50,boss_input_vu_khi_suy_ra!$A$2:$A$71,0))*IF(INDEX(boss_input_vu_khi!$D$2:$D$71,MATCH($D$50,boss_input_vu_khi!$A$2:$A$71,0)),1,Boss_dps!$B$12)*Boss_dps!$C$12)</f>
        <v/>
      </c>
      <c r="T50" t="n">
        <v>190.5204460966543</v>
      </c>
      <c r="U50" t="inlineStr">
        <is>
          <t>Assets/MachineBrigade/Resources/Data/balance.json: vehicles[id=drone_mothership] dựng bởi Tools/balance/p26_ab.expand</t>
        </is>
      </c>
      <c r="V50" t="inlineStr"/>
    </row>
    <row r="51">
      <c r="A51" t="inlineStr">
        <is>
          <t>drone_mothership/3</t>
        </is>
      </c>
      <c r="B51" t="inlineStr">
        <is>
          <t>drone_mothership</t>
        </is>
      </c>
      <c r="C51" t="n">
        <v>3</v>
      </c>
      <c r="D51" t="inlineStr">
        <is>
          <t>p26_matriarch_close_boss_flak</t>
        </is>
      </c>
      <c r="E51" t="inlineStr">
        <is>
          <t>mg</t>
        </is>
      </c>
      <c r="F51" t="inlineStr">
        <is>
          <t>Free</t>
        </is>
      </c>
      <c r="G51" t="inlineStr">
        <is>
          <t>flak_rear</t>
        </is>
      </c>
      <c r="H51" t="n">
        <v>1</v>
      </c>
      <c r="I51" t="n">
        <v>25</v>
      </c>
      <c r="J51" t="n">
        <v>0.05</v>
      </c>
      <c r="K51" t="n">
        <v>2.5</v>
      </c>
      <c r="L51" t="n">
        <v>0</v>
      </c>
      <c r="M51" t="n">
        <v>0</v>
      </c>
      <c r="N51">
        <f>INDEX(boss_input_vu_khi_suy_ra!$C$2:$C$71,MATCH($D$51,boss_input_vu_khi_suy_ra!$A$2:$A$71,0))</f>
        <v/>
      </c>
      <c r="O51" t="inlineStr">
        <is>
          <t>giong</t>
        </is>
      </c>
      <c r="R51" t="n">
        <v>5.38</v>
      </c>
      <c r="S51">
        <f>IF($D$51="",0,INDEX(boss_input_vu_khi_suy_ra!$B$2:$B$71,MATCH($D$51,boss_input_vu_khi_suy_ra!$A$2:$A$71,0))*IF(INDEX(boss_input_vu_khi!$D$2:$D$71,MATCH($D$51,boss_input_vu_khi!$A$2:$A$71,0)),1,Boss_dps!$B$12)*Boss_dps!$C$12)</f>
        <v/>
      </c>
      <c r="T51" t="n">
        <v>190.5204460966543</v>
      </c>
      <c r="U51" t="inlineStr">
        <is>
          <t>Assets/MachineBrigade/Resources/Data/balance.json: vehicles[id=drone_mothership] dựng bởi Tools/balance/p26_ab.expand</t>
        </is>
      </c>
      <c r="V51" t="inlineStr"/>
    </row>
    <row r="52">
      <c r="A52" t="inlineStr">
        <is>
          <t>drone_mothership/4</t>
        </is>
      </c>
      <c r="B52" t="inlineStr">
        <is>
          <t>drone_mothership</t>
        </is>
      </c>
      <c r="C52" t="n">
        <v>4</v>
      </c>
      <c r="D52" t="inlineStr">
        <is>
          <t>p26_matriarch_tiny_mothership_cannon</t>
        </is>
      </c>
      <c r="E52" t="inlineStr">
        <is>
          <t>main</t>
        </is>
      </c>
      <c r="F52" t="inlineStr">
        <is>
          <t>Free</t>
        </is>
      </c>
      <c r="G52" t="inlineStr">
        <is>
          <t>cannon_gondola</t>
        </is>
      </c>
      <c r="H52" t="n">
        <v>1</v>
      </c>
      <c r="I52" t="n">
        <v>120</v>
      </c>
      <c r="J52" t="n">
        <v>2.79</v>
      </c>
      <c r="K52" t="n">
        <v>3</v>
      </c>
      <c r="L52" t="n">
        <v>6</v>
      </c>
      <c r="M52" t="n">
        <v>0</v>
      </c>
      <c r="N52">
        <f>INDEX(boss_input_vu_khi_suy_ra!$C$2:$C$71,MATCH($D$52,boss_input_vu_khi_suy_ra!$A$2:$A$71,0))</f>
        <v/>
      </c>
      <c r="O52" t="inlineStr">
        <is>
          <t>giong</t>
        </is>
      </c>
      <c r="R52" t="n">
        <v>4.29</v>
      </c>
      <c r="S52">
        <f>IF($D$52="",0,INDEX(boss_input_vu_khi_suy_ra!$B$2:$B$71,MATCH($D$52,boss_input_vu_khi_suy_ra!$A$2:$A$71,0))*IF(INDEX(boss_input_vu_khi!$D$2:$D$71,MATCH($D$52,boss_input_vu_khi!$A$2:$A$71,0)),1,Boss_dps!$B$12)*Boss_dps!$C$12)</f>
        <v/>
      </c>
      <c r="T52" t="n">
        <v>111.8881118881119</v>
      </c>
      <c r="U52" t="inlineStr">
        <is>
          <t>Assets/MachineBrigade/Resources/Data/balance.json: vehicles[id=drone_mothership] dựng bởi Tools/balance/p26_ab.expand</t>
        </is>
      </c>
      <c r="V52" t="inlineStr"/>
    </row>
    <row r="53">
      <c r="A53" t="inlineStr">
        <is>
          <t>drone_mothership/5</t>
        </is>
      </c>
      <c r="B53" t="inlineStr">
        <is>
          <t>drone_mothership</t>
        </is>
      </c>
      <c r="C53" t="n">
        <v>5</v>
      </c>
      <c r="D53" t="inlineStr">
        <is>
          <t>p26_matriarch_direct_ma_atgm</t>
        </is>
      </c>
      <c r="E53" t="inlineStr">
        <is>
          <t>missile</t>
        </is>
      </c>
      <c r="F53" t="inlineStr">
        <is>
          <t>Free</t>
        </is>
      </c>
      <c r="G53" t="inlineStr">
        <is>
          <t>uav_bay</t>
        </is>
      </c>
      <c r="H53" t="n">
        <v>1</v>
      </c>
      <c r="I53" t="n">
        <v>230</v>
      </c>
      <c r="J53" t="n">
        <v>20</v>
      </c>
      <c r="K53" t="n">
        <v>0</v>
      </c>
      <c r="L53" t="n">
        <v>0</v>
      </c>
      <c r="M53" t="n">
        <v>0</v>
      </c>
      <c r="N53">
        <f>INDEX(boss_input_vu_khi_suy_ra!$C$2:$C$71,MATCH($D$53,boss_input_vu_khi_suy_ra!$A$2:$A$71,0))</f>
        <v/>
      </c>
      <c r="O53" t="inlineStr">
        <is>
          <t>giong</t>
        </is>
      </c>
      <c r="R53" t="n">
        <v>20</v>
      </c>
      <c r="S53">
        <f>IF($D$53="",0,INDEX(boss_input_vu_khi_suy_ra!$B$2:$B$71,MATCH($D$53,boss_input_vu_khi_suy_ra!$A$2:$A$71,0))*IF(INDEX(boss_input_vu_khi!$D$2:$D$71,MATCH($D$53,boss_input_vu_khi!$A$2:$A$71,0)),1,Boss_dps!$B$12)*Boss_dps!$C$12)</f>
        <v/>
      </c>
      <c r="T53" t="n">
        <v>11.5</v>
      </c>
      <c r="U53" t="inlineStr">
        <is>
          <t>Assets/MachineBrigade/Resources/Data/balance.json: vehicles[id=drone_mothership] dựng bởi Tools/balance/p26_ab.expand</t>
        </is>
      </c>
      <c r="V53" t="inlineStr"/>
    </row>
    <row r="54">
      <c r="A54" t="inlineStr">
        <is>
          <t>drone_mothership/6</t>
        </is>
      </c>
      <c r="B54" t="inlineStr">
        <is>
          <t>drone_mothership</t>
        </is>
      </c>
      <c r="C54" t="n">
        <v>6</v>
      </c>
      <c r="D54" t="inlineStr">
        <is>
          <t>p26_matriarch_sec_autocannon_30</t>
        </is>
      </c>
      <c r="E54" t="inlineStr">
        <is>
          <t>gun</t>
        </is>
      </c>
      <c r="F54" t="inlineStr">
        <is>
          <t>Free</t>
        </is>
      </c>
      <c r="G54" t="inlineStr">
        <is>
          <t>belly_gun_l</t>
        </is>
      </c>
      <c r="H54" t="n">
        <v>1</v>
      </c>
      <c r="I54" t="n">
        <v>22</v>
      </c>
      <c r="J54" t="n">
        <v>1.5</v>
      </c>
      <c r="K54" t="n">
        <v>0</v>
      </c>
      <c r="L54" t="n">
        <v>0</v>
      </c>
      <c r="M54" t="n">
        <v>0</v>
      </c>
      <c r="N54">
        <f>INDEX(boss_input_vu_khi_suy_ra!$C$2:$C$71,MATCH($D$54,boss_input_vu_khi_suy_ra!$A$2:$A$71,0))</f>
        <v/>
      </c>
      <c r="O54" t="inlineStr">
        <is>
          <t>giong</t>
        </is>
      </c>
      <c r="R54" t="n">
        <v>2.4999</v>
      </c>
      <c r="S54">
        <f>IF($D$54="",0,INDEX(boss_input_vu_khi_suy_ra!$B$2:$B$71,MATCH($D$54,boss_input_vu_khi_suy_ra!$A$2:$A$71,0))*IF(INDEX(boss_input_vu_khi!$D$2:$D$71,MATCH($D$54,boss_input_vu_khi!$A$2:$A$71,0)),1,Boss_dps!$B$12)*Boss_dps!$C$12)</f>
        <v/>
      </c>
      <c r="T54" t="n">
        <v>88.00352014080562</v>
      </c>
      <c r="U54" t="inlineStr">
        <is>
          <t>Assets/MachineBrigade/Resources/Data/balance.json: vehicles[id=drone_mothership] dựng bởi Tools/balance/p26_ab.expand</t>
        </is>
      </c>
      <c r="V54" t="inlineStr"/>
    </row>
    <row r="55">
      <c r="A55" t="inlineStr">
        <is>
          <t>drone_mothership/7</t>
        </is>
      </c>
      <c r="B55" t="inlineStr">
        <is>
          <t>drone_mothership</t>
        </is>
      </c>
      <c r="C55" t="n">
        <v>7</v>
      </c>
      <c r="D55" t="inlineStr">
        <is>
          <t>p26_matriarch_sec_autocannon_30</t>
        </is>
      </c>
      <c r="E55" t="inlineStr">
        <is>
          <t>gun</t>
        </is>
      </c>
      <c r="F55" t="inlineStr">
        <is>
          <t>Free</t>
        </is>
      </c>
      <c r="G55" t="inlineStr">
        <is>
          <t>belly_gun_r</t>
        </is>
      </c>
      <c r="H55" t="n">
        <v>1</v>
      </c>
      <c r="I55" t="n">
        <v>22</v>
      </c>
      <c r="J55" t="n">
        <v>1.5</v>
      </c>
      <c r="K55" t="n">
        <v>0</v>
      </c>
      <c r="L55" t="n">
        <v>0</v>
      </c>
      <c r="M55" t="n">
        <v>0</v>
      </c>
      <c r="N55">
        <f>INDEX(boss_input_vu_khi_suy_ra!$C$2:$C$71,MATCH($D$55,boss_input_vu_khi_suy_ra!$A$2:$A$71,0))</f>
        <v/>
      </c>
      <c r="O55" t="inlineStr">
        <is>
          <t>giong</t>
        </is>
      </c>
      <c r="R55" t="n">
        <v>2.4999</v>
      </c>
      <c r="S55">
        <f>IF($D$55="",0,INDEX(boss_input_vu_khi_suy_ra!$B$2:$B$71,MATCH($D$55,boss_input_vu_khi_suy_ra!$A$2:$A$71,0))*IF(INDEX(boss_input_vu_khi!$D$2:$D$71,MATCH($D$55,boss_input_vu_khi!$A$2:$A$71,0)),1,Boss_dps!$B$12)*Boss_dps!$C$12)</f>
        <v/>
      </c>
      <c r="T55" t="n">
        <v>88.00352014080562</v>
      </c>
      <c r="U55" t="inlineStr">
        <is>
          <t>Assets/MachineBrigade/Resources/Data/balance.json: vehicles[id=drone_mothership] dựng bởi Tools/balance/p26_ab.expand</t>
        </is>
      </c>
      <c r="V55" t="inlineStr"/>
    </row>
    <row r="56">
      <c r="A56" t="inlineStr">
        <is>
          <t>drone_mothership/8</t>
        </is>
      </c>
      <c r="B56" t="inlineStr">
        <is>
          <t>drone_mothership</t>
        </is>
      </c>
      <c r="C56" t="n">
        <v>8</v>
      </c>
      <c r="D56" t="inlineStr">
        <is>
          <t>p26_matriarch_direct_ma_atgm</t>
        </is>
      </c>
      <c r="E56" t="inlineStr">
        <is>
          <t>missile</t>
        </is>
      </c>
      <c r="F56" t="inlineStr">
        <is>
          <t>Free</t>
        </is>
      </c>
      <c r="G56" t="inlineStr">
        <is>
          <t>drone_bay_2</t>
        </is>
      </c>
      <c r="H56" t="n">
        <v>1</v>
      </c>
      <c r="I56" t="n">
        <v>230</v>
      </c>
      <c r="J56" t="n">
        <v>20</v>
      </c>
      <c r="K56" t="n">
        <v>0</v>
      </c>
      <c r="L56" t="n">
        <v>0</v>
      </c>
      <c r="M56" t="n">
        <v>0</v>
      </c>
      <c r="N56">
        <f>INDEX(boss_input_vu_khi_suy_ra!$C$2:$C$71,MATCH($D$56,boss_input_vu_khi_suy_ra!$A$2:$A$71,0))</f>
        <v/>
      </c>
      <c r="O56" t="inlineStr">
        <is>
          <t>giong</t>
        </is>
      </c>
      <c r="R56" t="n">
        <v>20</v>
      </c>
      <c r="S56">
        <f>IF($D$56="",0,INDEX(boss_input_vu_khi_suy_ra!$B$2:$B$71,MATCH($D$56,boss_input_vu_khi_suy_ra!$A$2:$A$71,0))*IF(INDEX(boss_input_vu_khi!$D$2:$D$71,MATCH($D$56,boss_input_vu_khi!$A$2:$A$71,0)),1,Boss_dps!$B$12)*Boss_dps!$C$12)</f>
        <v/>
      </c>
      <c r="T56" t="n">
        <v>11.5</v>
      </c>
      <c r="U56" t="inlineStr">
        <is>
          <t>Assets/MachineBrigade/Resources/Data/balance.json: vehicles[id=drone_mothership] dựng bởi Tools/balance/p26_ab.expand</t>
        </is>
      </c>
      <c r="V56" t="inlineStr"/>
    </row>
    <row r="57">
      <c r="A57" t="inlineStr">
        <is>
          <t>earth_borer/0</t>
        </is>
      </c>
      <c r="B57" t="inlineStr">
        <is>
          <t>earth_borer</t>
        </is>
      </c>
      <c r="C57" t="n">
        <v>0</v>
      </c>
      <c r="D57" t="inlineStr">
        <is>
          <t>borer_drill</t>
        </is>
      </c>
      <c r="E57" t="inlineStr">
        <is>
          <t>main</t>
        </is>
      </c>
      <c r="F57" t="inlineStr">
        <is>
          <t>Hull</t>
        </is>
      </c>
      <c r="G57" t="inlineStr">
        <is>
          <t>drill</t>
        </is>
      </c>
      <c r="H57" t="n">
        <v>1</v>
      </c>
      <c r="I57" t="n">
        <v>260</v>
      </c>
      <c r="J57" t="n">
        <v>1.5</v>
      </c>
      <c r="K57" t="n">
        <v>0</v>
      </c>
      <c r="L57" t="n">
        <v>0</v>
      </c>
      <c r="M57" t="n">
        <v>0</v>
      </c>
      <c r="N57">
        <f>INDEX(boss_input_vu_khi_suy_ra!$C$2:$C$71,MATCH($D$57,boss_input_vu_khi_suy_ra!$A$2:$A$71,0))</f>
        <v/>
      </c>
      <c r="O57" t="inlineStr">
        <is>
          <t>giong</t>
        </is>
      </c>
      <c r="R57" t="n">
        <v>1.5</v>
      </c>
      <c r="S57">
        <f>IF($D$57="",0,INDEX(boss_input_vu_khi_suy_ra!$B$2:$B$71,MATCH($D$57,boss_input_vu_khi_suy_ra!$A$2:$A$71,0))*IF(INDEX(boss_input_vu_khi!$D$2:$D$71,MATCH($D$57,boss_input_vu_khi!$A$2:$A$71,0)),1,Boss_dps!$B$13)*Boss_dps!$C$13)</f>
        <v/>
      </c>
      <c r="T57" t="n">
        <v>540.702864</v>
      </c>
      <c r="U57" t="inlineStr">
        <is>
          <t>Assets/MachineBrigade/Resources/Data/balance.json: vehicles[id=earth_borer] dựng bởi Tools/balance/p26_ab.expand</t>
        </is>
      </c>
      <c r="V57" t="inlineStr"/>
    </row>
    <row r="58">
      <c r="A58" t="inlineStr">
        <is>
          <t>earth_borer/1</t>
        </is>
      </c>
      <c r="B58" t="inlineStr">
        <is>
          <t>earth_borer</t>
        </is>
      </c>
      <c r="C58" t="n">
        <v>1</v>
      </c>
      <c r="D58" t="inlineStr">
        <is>
          <t>borer_cannon</t>
        </is>
      </c>
      <c r="E58" t="inlineStr">
        <is>
          <t>gun</t>
        </is>
      </c>
      <c r="F58" t="inlineStr">
        <is>
          <t>Free</t>
        </is>
      </c>
      <c r="G58" t="inlineStr">
        <is>
          <t>gun_l</t>
        </is>
      </c>
      <c r="H58" t="n">
        <v>1</v>
      </c>
      <c r="I58" t="n">
        <v>120</v>
      </c>
      <c r="J58" t="n">
        <v>6</v>
      </c>
      <c r="K58" t="n">
        <v>1.5</v>
      </c>
      <c r="L58" t="n">
        <v>0</v>
      </c>
      <c r="M58" t="n">
        <v>0</v>
      </c>
      <c r="N58">
        <f>INDEX(boss_input_vu_khi_suy_ra!$C$2:$C$71,MATCH($D$58,boss_input_vu_khi_suy_ra!$A$2:$A$71,0))</f>
        <v/>
      </c>
      <c r="O58" t="inlineStr">
        <is>
          <t>giong</t>
        </is>
      </c>
      <c r="R58" t="n">
        <v>6</v>
      </c>
      <c r="S58">
        <f>IF($D$58="",0,INDEX(boss_input_vu_khi_suy_ra!$B$2:$B$71,MATCH($D$58,boss_input_vu_khi_suy_ra!$A$2:$A$71,0))*IF(INDEX(boss_input_vu_khi!$D$2:$D$71,MATCH($D$58,boss_input_vu_khi!$A$2:$A$71,0)),1,Boss_dps!$B$13)*Boss_dps!$C$13)</f>
        <v/>
      </c>
      <c r="T58" t="n">
        <v>62.388792</v>
      </c>
      <c r="U58" t="inlineStr">
        <is>
          <t>Assets/MachineBrigade/Resources/Data/balance.json: vehicles[id=earth_borer] dựng bởi Tools/balance/p26_ab.expand</t>
        </is>
      </c>
      <c r="V58" t="inlineStr"/>
    </row>
    <row r="59">
      <c r="A59" t="inlineStr">
        <is>
          <t>earth_borer/2</t>
        </is>
      </c>
      <c r="B59" t="inlineStr">
        <is>
          <t>earth_borer</t>
        </is>
      </c>
      <c r="C59" t="n">
        <v>2</v>
      </c>
      <c r="D59" t="inlineStr">
        <is>
          <t>borer_cannon</t>
        </is>
      </c>
      <c r="E59" t="inlineStr">
        <is>
          <t>gun</t>
        </is>
      </c>
      <c r="F59" t="inlineStr">
        <is>
          <t>Free</t>
        </is>
      </c>
      <c r="G59" t="inlineStr">
        <is>
          <t>gun_r</t>
        </is>
      </c>
      <c r="H59" t="n">
        <v>1</v>
      </c>
      <c r="I59" t="n">
        <v>120</v>
      </c>
      <c r="J59" t="n">
        <v>6</v>
      </c>
      <c r="K59" t="n">
        <v>1.5</v>
      </c>
      <c r="L59" t="n">
        <v>0</v>
      </c>
      <c r="M59" t="n">
        <v>0</v>
      </c>
      <c r="N59">
        <f>INDEX(boss_input_vu_khi_suy_ra!$C$2:$C$71,MATCH($D$59,boss_input_vu_khi_suy_ra!$A$2:$A$71,0))</f>
        <v/>
      </c>
      <c r="O59" t="inlineStr">
        <is>
          <t>giong</t>
        </is>
      </c>
      <c r="R59" t="n">
        <v>6</v>
      </c>
      <c r="S59">
        <f>IF($D$59="",0,INDEX(boss_input_vu_khi_suy_ra!$B$2:$B$71,MATCH($D$59,boss_input_vu_khi_suy_ra!$A$2:$A$71,0))*IF(INDEX(boss_input_vu_khi!$D$2:$D$71,MATCH($D$59,boss_input_vu_khi!$A$2:$A$71,0)),1,Boss_dps!$B$13)*Boss_dps!$C$13)</f>
        <v/>
      </c>
      <c r="T59" t="n">
        <v>62.388792</v>
      </c>
      <c r="U59" t="inlineStr">
        <is>
          <t>Assets/MachineBrigade/Resources/Data/balance.json: vehicles[id=earth_borer] dựng bởi Tools/balance/p26_ab.expand</t>
        </is>
      </c>
      <c r="V59" t="inlineStr"/>
    </row>
    <row r="60">
      <c r="A60" t="inlineStr">
        <is>
          <t>fenrir/0</t>
        </is>
      </c>
      <c r="B60" t="inlineStr">
        <is>
          <t>fenrir</t>
        </is>
      </c>
      <c r="C60" t="n">
        <v>0</v>
      </c>
      <c r="D60" t="inlineStr">
        <is>
          <t>p26_jotunn_sec_jo_rockets</t>
        </is>
      </c>
      <c r="E60" t="inlineStr">
        <is>
          <t>main</t>
        </is>
      </c>
      <c r="F60" t="inlineStr"/>
      <c r="G60" t="inlineStr">
        <is>
          <t>rockets_l</t>
        </is>
      </c>
      <c r="H60" t="n">
        <v>1</v>
      </c>
      <c r="I60" t="n">
        <v>450</v>
      </c>
      <c r="J60" t="n">
        <v>15.76</v>
      </c>
      <c r="K60" t="n">
        <v>8</v>
      </c>
      <c r="L60" t="n">
        <v>16</v>
      </c>
      <c r="M60" t="n">
        <v>2.5</v>
      </c>
      <c r="N60">
        <f>INDEX(boss_input_vu_khi_suy_ra!$C$2:$C$71,MATCH($D$60,boss_input_vu_khi_suy_ra!$A$2:$A$71,0))</f>
        <v/>
      </c>
      <c r="O60" t="inlineStr">
        <is>
          <t>giong</t>
        </is>
      </c>
      <c r="R60" t="n">
        <v>37.95</v>
      </c>
      <c r="S60">
        <f>IF($D$60="",0,INDEX(boss_input_vu_khi_suy_ra!$B$2:$B$71,MATCH($D$60,boss_input_vu_khi_suy_ra!$A$2:$A$71,0))*IF(INDEX(boss_input_vu_khi!$D$2:$D$71,MATCH($D$60,boss_input_vu_khi!$A$2:$A$71,0)),1,Boss_dps!$B$14)*Boss_dps!$C$14)</f>
        <v/>
      </c>
      <c r="T60" t="n">
        <v>200.4121043478261</v>
      </c>
      <c r="U60" t="inlineStr">
        <is>
          <t>Assets/MachineBrigade/Resources/Data/balance.json: vehicles[id=fenrir] dựng bởi Tools/balance/p26_ab.expand</t>
        </is>
      </c>
      <c r="V60" t="inlineStr"/>
    </row>
    <row r="61">
      <c r="A61" t="inlineStr">
        <is>
          <t>fenrir/1</t>
        </is>
      </c>
      <c r="B61" t="inlineStr">
        <is>
          <t>fenrir</t>
        </is>
      </c>
      <c r="C61" t="n">
        <v>1</v>
      </c>
      <c r="D61" t="inlineStr">
        <is>
          <t>p26_jotunn_sec_jo_rockets</t>
        </is>
      </c>
      <c r="E61" t="inlineStr">
        <is>
          <t>rocket</t>
        </is>
      </c>
      <c r="F61" t="inlineStr">
        <is>
          <t>Free</t>
        </is>
      </c>
      <c r="G61" t="inlineStr">
        <is>
          <t>rockets_r</t>
        </is>
      </c>
      <c r="H61" t="n">
        <v>1</v>
      </c>
      <c r="I61" t="n">
        <v>450</v>
      </c>
      <c r="J61" t="n">
        <v>15.76</v>
      </c>
      <c r="K61" t="n">
        <v>8</v>
      </c>
      <c r="L61" t="n">
        <v>16</v>
      </c>
      <c r="M61" t="n">
        <v>2.5</v>
      </c>
      <c r="N61">
        <f>INDEX(boss_input_vu_khi_suy_ra!$C$2:$C$71,MATCH($D$61,boss_input_vu_khi_suy_ra!$A$2:$A$71,0))</f>
        <v/>
      </c>
      <c r="O61" t="inlineStr">
        <is>
          <t>giong</t>
        </is>
      </c>
      <c r="R61" t="n">
        <v>37.95</v>
      </c>
      <c r="S61">
        <f>IF($D$61="",0,INDEX(boss_input_vu_khi_suy_ra!$B$2:$B$71,MATCH($D$61,boss_input_vu_khi_suy_ra!$A$2:$A$71,0))*IF(INDEX(boss_input_vu_khi!$D$2:$D$71,MATCH($D$61,boss_input_vu_khi!$A$2:$A$71,0)),1,Boss_dps!$B$14)*Boss_dps!$C$14)</f>
        <v/>
      </c>
      <c r="T61" t="n">
        <v>200.4121043478261</v>
      </c>
      <c r="U61" t="inlineStr">
        <is>
          <t>Assets/MachineBrigade/Resources/Data/balance.json: vehicles[id=fenrir] dựng bởi Tools/balance/p26_ab.expand</t>
        </is>
      </c>
      <c r="V61" t="inlineStr"/>
    </row>
    <row r="62">
      <c r="A62" t="inlineStr">
        <is>
          <t>fenrir/2</t>
        </is>
      </c>
      <c r="B62" t="inlineStr">
        <is>
          <t>fenrir</t>
        </is>
      </c>
      <c r="C62" t="n">
        <v>2</v>
      </c>
      <c r="D62" t="inlineStr">
        <is>
          <t>p26_jotunn_close_boss_flak</t>
        </is>
      </c>
      <c r="E62" t="inlineStr">
        <is>
          <t>mg</t>
        </is>
      </c>
      <c r="F62" t="inlineStr">
        <is>
          <t>Free</t>
        </is>
      </c>
      <c r="G62" t="inlineStr">
        <is>
          <t>flak_l</t>
        </is>
      </c>
      <c r="H62" t="n">
        <v>1</v>
      </c>
      <c r="I62" t="n">
        <v>25</v>
      </c>
      <c r="J62" t="n">
        <v>0.05</v>
      </c>
      <c r="K62" t="n">
        <v>2.5</v>
      </c>
      <c r="L62" t="n">
        <v>0</v>
      </c>
      <c r="M62" t="n">
        <v>0</v>
      </c>
      <c r="N62">
        <f>INDEX(boss_input_vu_khi_suy_ra!$C$2:$C$71,MATCH($D$62,boss_input_vu_khi_suy_ra!$A$2:$A$71,0))</f>
        <v/>
      </c>
      <c r="O62" t="inlineStr">
        <is>
          <t>giong</t>
        </is>
      </c>
      <c r="R62" t="n">
        <v>5.38</v>
      </c>
      <c r="S62">
        <f>IF($D$62="",0,INDEX(boss_input_vu_khi_suy_ra!$B$2:$B$71,MATCH($D$62,boss_input_vu_khi_suy_ra!$A$2:$A$71,0))*IF(INDEX(boss_input_vu_khi!$D$2:$D$71,MATCH($D$62,boss_input_vu_khi!$A$2:$A$71,0)),1,Boss_dps!$B$14)*Boss_dps!$C$14)</f>
        <v/>
      </c>
      <c r="T62" t="n">
        <v>402.5082788104089</v>
      </c>
      <c r="U62" t="inlineStr">
        <is>
          <t>Assets/MachineBrigade/Resources/Data/balance.json: vehicles[id=fenrir] dựng bởi Tools/balance/p26_ab.expand</t>
        </is>
      </c>
      <c r="V62" t="inlineStr"/>
    </row>
    <row r="63">
      <c r="A63" t="inlineStr">
        <is>
          <t>fortress_bastion/0</t>
        </is>
      </c>
      <c r="B63" t="inlineStr">
        <is>
          <t>fortress_bastion</t>
        </is>
      </c>
      <c r="C63" t="n">
        <v>0</v>
      </c>
      <c r="D63" t="inlineStr">
        <is>
          <t>p26_bastion_sec_b240</t>
        </is>
      </c>
      <c r="E63" t="inlineStr">
        <is>
          <t>main</t>
        </is>
      </c>
      <c r="F63" t="inlineStr"/>
      <c r="G63" t="inlineStr">
        <is>
          <t>mortar</t>
        </is>
      </c>
      <c r="H63" t="n">
        <v>1</v>
      </c>
      <c r="I63" t="n">
        <v>1100</v>
      </c>
      <c r="J63" t="n">
        <v>60</v>
      </c>
      <c r="K63" t="n">
        <v>10</v>
      </c>
      <c r="L63" t="n">
        <v>20</v>
      </c>
      <c r="M63" t="n">
        <v>2.722222222222222</v>
      </c>
      <c r="N63">
        <f>INDEX(boss_input_vu_khi_suy_ra!$C$2:$C$71,MATCH($D$63,boss_input_vu_khi_suy_ra!$A$2:$A$71,0))</f>
        <v/>
      </c>
      <c r="O63" t="inlineStr">
        <is>
          <t>giong</t>
        </is>
      </c>
      <c r="R63" t="n">
        <v>60</v>
      </c>
      <c r="S63">
        <f>IF($D$63="",0,INDEX(boss_input_vu_khi_suy_ra!$B$2:$B$71,MATCH($D$63,boss_input_vu_khi_suy_ra!$A$2:$A$71,0))*IF(INDEX(boss_input_vu_khi!$D$2:$D$71,MATCH($D$63,boss_input_vu_khi!$A$2:$A$71,0)),1,Boss_dps!$B$15)*Boss_dps!$C$15)</f>
        <v/>
      </c>
      <c r="T63" t="n">
        <v>18.33333333333333</v>
      </c>
      <c r="U63" t="inlineStr">
        <is>
          <t>Assets/MachineBrigade/Resources/Data/balance.json: vehicles[id=fortress_bastion] dựng bởi Tools/balance/p26_ab.expand</t>
        </is>
      </c>
      <c r="V63" t="inlineStr"/>
    </row>
    <row r="64">
      <c r="A64" t="inlineStr">
        <is>
          <t>fortress_bastion/1</t>
        </is>
      </c>
      <c r="B64" t="inlineStr">
        <is>
          <t>fortress_bastion</t>
        </is>
      </c>
      <c r="C64" t="n">
        <v>1</v>
      </c>
      <c r="D64" t="inlineStr">
        <is>
          <t>p26_bastion_direct_b100</t>
        </is>
      </c>
      <c r="E64" t="inlineStr">
        <is>
          <t>gun</t>
        </is>
      </c>
      <c r="F64" t="inlineStr">
        <is>
          <t>Free</t>
        </is>
      </c>
      <c r="G64" t="inlineStr">
        <is>
          <t>turret_fl</t>
        </is>
      </c>
      <c r="H64" t="n">
        <v>2</v>
      </c>
      <c r="I64" t="n">
        <v>240</v>
      </c>
      <c r="J64" t="n">
        <v>8.6</v>
      </c>
      <c r="K64" t="n">
        <v>0</v>
      </c>
      <c r="L64" t="n">
        <v>0</v>
      </c>
      <c r="M64" t="n">
        <v>0</v>
      </c>
      <c r="N64">
        <f>INDEX(boss_input_vu_khi_suy_ra!$C$2:$C$71,MATCH($D$64,boss_input_vu_khi_suy_ra!$A$2:$A$71,0))</f>
        <v/>
      </c>
      <c r="O64" t="inlineStr">
        <is>
          <t>giong</t>
        </is>
      </c>
      <c r="R64" t="n">
        <v>8.6</v>
      </c>
      <c r="S64">
        <f>IF($D$64="",0,INDEX(boss_input_vu_khi_suy_ra!$B$2:$B$71,MATCH($D$64,boss_input_vu_khi_suy_ra!$A$2:$A$71,0))*IF(INDEX(boss_input_vu_khi!$D$2:$D$71,MATCH($D$64,boss_input_vu_khi!$A$2:$A$71,0)),1,Boss_dps!$B$15)*Boss_dps!$C$15)</f>
        <v/>
      </c>
      <c r="T64" t="n">
        <v>55.81395348837209</v>
      </c>
      <c r="U64" t="inlineStr">
        <is>
          <t>Assets/MachineBrigade/Resources/Data/balance.json: vehicles[id=fortress_bastion] dựng bởi Tools/balance/p26_ab.expand</t>
        </is>
      </c>
      <c r="V64" t="inlineStr"/>
    </row>
    <row r="65">
      <c r="A65" t="inlineStr">
        <is>
          <t>fortress_bastion/2</t>
        </is>
      </c>
      <c r="B65" t="inlineStr">
        <is>
          <t>fortress_bastion</t>
        </is>
      </c>
      <c r="C65" t="n">
        <v>2</v>
      </c>
      <c r="D65" t="inlineStr">
        <is>
          <t>p26_bastion_direct_b100</t>
        </is>
      </c>
      <c r="E65" t="inlineStr">
        <is>
          <t>gun</t>
        </is>
      </c>
      <c r="F65" t="inlineStr">
        <is>
          <t>Free</t>
        </is>
      </c>
      <c r="G65" t="inlineStr">
        <is>
          <t>turret_fr</t>
        </is>
      </c>
      <c r="H65" t="n">
        <v>2</v>
      </c>
      <c r="I65" t="n">
        <v>240</v>
      </c>
      <c r="J65" t="n">
        <v>8.6</v>
      </c>
      <c r="K65" t="n">
        <v>0</v>
      </c>
      <c r="L65" t="n">
        <v>0</v>
      </c>
      <c r="M65" t="n">
        <v>0</v>
      </c>
      <c r="N65">
        <f>INDEX(boss_input_vu_khi_suy_ra!$C$2:$C$71,MATCH($D$65,boss_input_vu_khi_suy_ra!$A$2:$A$71,0))</f>
        <v/>
      </c>
      <c r="O65" t="inlineStr">
        <is>
          <t>giong</t>
        </is>
      </c>
      <c r="R65" t="n">
        <v>8.6</v>
      </c>
      <c r="S65">
        <f>IF($D$65="",0,INDEX(boss_input_vu_khi_suy_ra!$B$2:$B$71,MATCH($D$65,boss_input_vu_khi_suy_ra!$A$2:$A$71,0))*IF(INDEX(boss_input_vu_khi!$D$2:$D$71,MATCH($D$65,boss_input_vu_khi!$A$2:$A$71,0)),1,Boss_dps!$B$15)*Boss_dps!$C$15)</f>
        <v/>
      </c>
      <c r="T65" t="n">
        <v>55.81395348837209</v>
      </c>
      <c r="U65" t="inlineStr">
        <is>
          <t>Assets/MachineBrigade/Resources/Data/balance.json: vehicles[id=fortress_bastion] dựng bởi Tools/balance/p26_ab.expand</t>
        </is>
      </c>
      <c r="V65" t="inlineStr"/>
    </row>
    <row r="66">
      <c r="A66" t="inlineStr">
        <is>
          <t>fortress_bastion/3</t>
        </is>
      </c>
      <c r="B66" t="inlineStr">
        <is>
          <t>fortress_bastion</t>
        </is>
      </c>
      <c r="C66" t="n">
        <v>3</v>
      </c>
      <c r="D66" t="inlineStr">
        <is>
          <t>p26_bastion_tiny_autocannon_40</t>
        </is>
      </c>
      <c r="E66" t="inlineStr">
        <is>
          <t>gun</t>
        </is>
      </c>
      <c r="F66" t="inlineStr">
        <is>
          <t>Free</t>
        </is>
      </c>
      <c r="G66" t="inlineStr">
        <is>
          <t>turret_rl</t>
        </is>
      </c>
      <c r="H66" t="n">
        <v>1</v>
      </c>
      <c r="I66" t="n">
        <v>30</v>
      </c>
      <c r="J66" t="n">
        <v>0.2</v>
      </c>
      <c r="K66" t="n">
        <v>0</v>
      </c>
      <c r="L66" t="n">
        <v>0</v>
      </c>
      <c r="M66" t="n">
        <v>0</v>
      </c>
      <c r="N66">
        <f>INDEX(boss_input_vu_khi_suy_ra!$C$2:$C$71,MATCH($D$66,boss_input_vu_khi_suy_ra!$A$2:$A$71,0))</f>
        <v/>
      </c>
      <c r="O66" t="inlineStr">
        <is>
          <t>giong</t>
        </is>
      </c>
      <c r="R66" t="n">
        <v>3.32</v>
      </c>
      <c r="S66">
        <f>IF($D$66="",0,INDEX(boss_input_vu_khi_suy_ra!$B$2:$B$71,MATCH($D$66,boss_input_vu_khi_suy_ra!$A$2:$A$71,0))*IF(INDEX(boss_input_vu_khi!$D$2:$D$71,MATCH($D$66,boss_input_vu_khi!$A$2:$A$71,0)),1,Boss_dps!$B$15)*Boss_dps!$C$15)</f>
        <v/>
      </c>
      <c r="T66" t="n">
        <v>90.36144578313252</v>
      </c>
      <c r="U66" t="inlineStr">
        <is>
          <t>Assets/MachineBrigade/Resources/Data/balance.json: vehicles[id=fortress_bastion] dựng bởi Tools/balance/p26_ab.expand</t>
        </is>
      </c>
      <c r="V66" t="inlineStr"/>
    </row>
    <row r="67">
      <c r="A67" t="inlineStr">
        <is>
          <t>fortress_bastion/4</t>
        </is>
      </c>
      <c r="B67" t="inlineStr">
        <is>
          <t>fortress_bastion</t>
        </is>
      </c>
      <c r="C67" t="n">
        <v>4</v>
      </c>
      <c r="D67" t="inlineStr">
        <is>
          <t>p26_bastion_tiny_autocannon_40</t>
        </is>
      </c>
      <c r="E67" t="inlineStr">
        <is>
          <t>gun</t>
        </is>
      </c>
      <c r="F67" t="inlineStr">
        <is>
          <t>Free</t>
        </is>
      </c>
      <c r="G67" t="inlineStr">
        <is>
          <t>turret_rr</t>
        </is>
      </c>
      <c r="H67" t="n">
        <v>1</v>
      </c>
      <c r="I67" t="n">
        <v>30</v>
      </c>
      <c r="J67" t="n">
        <v>0.2</v>
      </c>
      <c r="K67" t="n">
        <v>0</v>
      </c>
      <c r="L67" t="n">
        <v>0</v>
      </c>
      <c r="M67" t="n">
        <v>0</v>
      </c>
      <c r="N67">
        <f>INDEX(boss_input_vu_khi_suy_ra!$C$2:$C$71,MATCH($D$67,boss_input_vu_khi_suy_ra!$A$2:$A$71,0))</f>
        <v/>
      </c>
      <c r="O67" t="inlineStr">
        <is>
          <t>giong</t>
        </is>
      </c>
      <c r="R67" t="n">
        <v>3.32</v>
      </c>
      <c r="S67">
        <f>IF($D$67="",0,INDEX(boss_input_vu_khi_suy_ra!$B$2:$B$71,MATCH($D$67,boss_input_vu_khi_suy_ra!$A$2:$A$71,0))*IF(INDEX(boss_input_vu_khi!$D$2:$D$71,MATCH($D$67,boss_input_vu_khi!$A$2:$A$71,0)),1,Boss_dps!$B$15)*Boss_dps!$C$15)</f>
        <v/>
      </c>
      <c r="T67" t="n">
        <v>90.36144578313252</v>
      </c>
      <c r="U67" t="inlineStr">
        <is>
          <t>Assets/MachineBrigade/Resources/Data/balance.json: vehicles[id=fortress_bastion] dựng bởi Tools/balance/p26_ab.expand</t>
        </is>
      </c>
      <c r="V67" t="inlineStr"/>
    </row>
    <row r="68">
      <c r="A68" t="inlineStr">
        <is>
          <t>fortress_bastion/5</t>
        </is>
      </c>
      <c r="B68" t="inlineStr">
        <is>
          <t>fortress_bastion</t>
        </is>
      </c>
      <c r="C68" t="n">
        <v>5</v>
      </c>
      <c r="D68" t="inlineStr">
        <is>
          <t>p26_bastion_tiny_kornet_twin</t>
        </is>
      </c>
      <c r="E68" t="inlineStr">
        <is>
          <t>missile</t>
        </is>
      </c>
      <c r="F68" t="inlineStr">
        <is>
          <t>Free</t>
        </is>
      </c>
      <c r="G68" t="inlineStr">
        <is>
          <t>kornet</t>
        </is>
      </c>
      <c r="H68" t="n">
        <v>1</v>
      </c>
      <c r="I68" t="n">
        <v>230</v>
      </c>
      <c r="J68" t="n">
        <v>19.4</v>
      </c>
      <c r="K68" t="n">
        <v>0</v>
      </c>
      <c r="L68" t="n">
        <v>0</v>
      </c>
      <c r="M68" t="n">
        <v>0</v>
      </c>
      <c r="N68">
        <f>INDEX(boss_input_vu_khi_suy_ra!$C$2:$C$71,MATCH($D$68,boss_input_vu_khi_suy_ra!$A$2:$A$71,0))</f>
        <v/>
      </c>
      <c r="O68" t="inlineStr">
        <is>
          <t>giong</t>
        </is>
      </c>
      <c r="R68" t="n">
        <v>20</v>
      </c>
      <c r="S68">
        <f>IF($D$68="",0,INDEX(boss_input_vu_khi_suy_ra!$B$2:$B$71,MATCH($D$68,boss_input_vu_khi_suy_ra!$A$2:$A$71,0))*IF(INDEX(boss_input_vu_khi!$D$2:$D$71,MATCH($D$68,boss_input_vu_khi!$A$2:$A$71,0)),1,Boss_dps!$B$15)*Boss_dps!$C$15)</f>
        <v/>
      </c>
      <c r="T68" t="n">
        <v>23</v>
      </c>
      <c r="U68" t="inlineStr">
        <is>
          <t>Assets/MachineBrigade/Resources/Data/balance.json: vehicles[id=fortress_bastion] dựng bởi Tools/balance/p26_ab.expand</t>
        </is>
      </c>
      <c r="V68" t="inlineStr"/>
    </row>
    <row r="69">
      <c r="A69" t="inlineStr">
        <is>
          <t>fortress_bastion/6</t>
        </is>
      </c>
      <c r="B69" t="inlineStr">
        <is>
          <t>fortress_bastion</t>
        </is>
      </c>
      <c r="C69" t="n">
        <v>6</v>
      </c>
      <c r="D69" t="inlineStr">
        <is>
          <t>p26_bastion_close_boss_hmg</t>
        </is>
      </c>
      <c r="E69" t="inlineStr">
        <is>
          <t>mg</t>
        </is>
      </c>
      <c r="F69" t="inlineStr">
        <is>
          <t>Free</t>
        </is>
      </c>
      <c r="G69" t="inlineStr">
        <is>
          <t>turret_rl</t>
        </is>
      </c>
      <c r="H69" t="n">
        <v>1</v>
      </c>
      <c r="I69" t="n">
        <v>15</v>
      </c>
      <c r="J69" t="n">
        <v>0.0833</v>
      </c>
      <c r="K69" t="n">
        <v>0</v>
      </c>
      <c r="L69" t="n">
        <v>0</v>
      </c>
      <c r="M69" t="n">
        <v>0</v>
      </c>
      <c r="N69">
        <f>INDEX(boss_input_vu_khi_suy_ra!$C$2:$C$71,MATCH($D$69,boss_input_vu_khi_suy_ra!$A$2:$A$71,0))</f>
        <v/>
      </c>
      <c r="O69" t="inlineStr">
        <is>
          <t>giong</t>
        </is>
      </c>
      <c r="R69" t="n">
        <v>13.2467</v>
      </c>
      <c r="S69">
        <f>IF($D$69="",0,INDEX(boss_input_vu_khi_suy_ra!$B$2:$B$71,MATCH($D$69,boss_input_vu_khi_suy_ra!$A$2:$A$71,0))*IF(INDEX(boss_input_vu_khi!$D$2:$D$71,MATCH($D$69,boss_input_vu_khi!$A$2:$A$71,0)),1,Boss_dps!$B$15)*Boss_dps!$C$15)</f>
        <v/>
      </c>
      <c r="T69" t="n">
        <v>113.235749280953</v>
      </c>
      <c r="U69" t="inlineStr">
        <is>
          <t>Assets/MachineBrigade/Resources/Data/balance.json: vehicles[id=fortress_bastion] dựng bởi Tools/balance/p26_ab.expand</t>
        </is>
      </c>
      <c r="V69" t="inlineStr"/>
    </row>
    <row r="70">
      <c r="A70" t="inlineStr">
        <is>
          <t>fortress_bastion/7</t>
        </is>
      </c>
      <c r="B70" t="inlineStr">
        <is>
          <t>fortress_bastion</t>
        </is>
      </c>
      <c r="C70" t="n">
        <v>7</v>
      </c>
      <c r="D70" t="inlineStr">
        <is>
          <t>p26_bastion_close_boss_hmg</t>
        </is>
      </c>
      <c r="E70" t="inlineStr">
        <is>
          <t>mg</t>
        </is>
      </c>
      <c r="F70" t="inlineStr">
        <is>
          <t>Free</t>
        </is>
      </c>
      <c r="G70" t="inlineStr">
        <is>
          <t>turret_rr</t>
        </is>
      </c>
      <c r="H70" t="n">
        <v>1</v>
      </c>
      <c r="I70" t="n">
        <v>15</v>
      </c>
      <c r="J70" t="n">
        <v>0.0833</v>
      </c>
      <c r="K70" t="n">
        <v>0</v>
      </c>
      <c r="L70" t="n">
        <v>0</v>
      </c>
      <c r="M70" t="n">
        <v>0</v>
      </c>
      <c r="N70">
        <f>INDEX(boss_input_vu_khi_suy_ra!$C$2:$C$71,MATCH($D$70,boss_input_vu_khi_suy_ra!$A$2:$A$71,0))</f>
        <v/>
      </c>
      <c r="O70" t="inlineStr">
        <is>
          <t>giong</t>
        </is>
      </c>
      <c r="R70" t="n">
        <v>13.2467</v>
      </c>
      <c r="S70">
        <f>IF($D$70="",0,INDEX(boss_input_vu_khi_suy_ra!$B$2:$B$71,MATCH($D$70,boss_input_vu_khi_suy_ra!$A$2:$A$71,0))*IF(INDEX(boss_input_vu_khi!$D$2:$D$71,MATCH($D$70,boss_input_vu_khi!$A$2:$A$71,0)),1,Boss_dps!$B$15)*Boss_dps!$C$15)</f>
        <v/>
      </c>
      <c r="T70" t="n">
        <v>113.235749280953</v>
      </c>
      <c r="U70" t="inlineStr">
        <is>
          <t>Assets/MachineBrigade/Resources/Data/balance.json: vehicles[id=fortress_bastion] dựng bởi Tools/balance/p26_ab.expand</t>
        </is>
      </c>
      <c r="V70" t="inlineStr"/>
    </row>
    <row r="71">
      <c r="A71" t="inlineStr">
        <is>
          <t>fortress_bastion/8</t>
        </is>
      </c>
      <c r="B71" t="inlineStr">
        <is>
          <t>fortress_bastion</t>
        </is>
      </c>
      <c r="C71" t="n">
        <v>8</v>
      </c>
      <c r="D71" t="inlineStr">
        <is>
          <t>p26_bastion_main_b155</t>
        </is>
      </c>
      <c r="E71" t="inlineStr">
        <is>
          <t>gun</t>
        </is>
      </c>
      <c r="F71" t="inlineStr">
        <is>
          <t>Free</t>
        </is>
      </c>
      <c r="G71" t="inlineStr">
        <is>
          <t>casemate</t>
        </is>
      </c>
      <c r="H71" t="n">
        <v>1</v>
      </c>
      <c r="I71" t="n">
        <v>600</v>
      </c>
      <c r="J71" t="n">
        <v>15</v>
      </c>
      <c r="K71" t="n">
        <v>7</v>
      </c>
      <c r="L71" t="n">
        <v>14</v>
      </c>
      <c r="M71" t="n">
        <v>0</v>
      </c>
      <c r="N71">
        <f>INDEX(boss_input_vu_khi_suy_ra!$C$2:$C$71,MATCH($D$71,boss_input_vu_khi_suy_ra!$A$2:$A$71,0))</f>
        <v/>
      </c>
      <c r="O71" t="inlineStr">
        <is>
          <t>giong</t>
        </is>
      </c>
      <c r="R71" t="n">
        <v>15</v>
      </c>
      <c r="S71">
        <f>IF($D$71="",0,INDEX(boss_input_vu_khi_suy_ra!$B$2:$B$71,MATCH($D$71,boss_input_vu_khi_suy_ra!$A$2:$A$71,0))*IF(INDEX(boss_input_vu_khi!$D$2:$D$71,MATCH($D$71,boss_input_vu_khi!$A$2:$A$71,0)),1,Boss_dps!$B$15)*Boss_dps!$C$15)</f>
        <v/>
      </c>
      <c r="T71" t="n">
        <v>40</v>
      </c>
      <c r="U71" t="inlineStr">
        <is>
          <t>Assets/MachineBrigade/Resources/Data/balance.json: vehicles[id=fortress_bastion] dựng bởi Tools/balance/p26_ab.expand</t>
        </is>
      </c>
      <c r="V71" t="inlineStr"/>
    </row>
    <row r="72">
      <c r="A72" t="inlineStr">
        <is>
          <t>fortress_bastion/9</t>
        </is>
      </c>
      <c r="B72" t="inlineStr">
        <is>
          <t>fortress_bastion</t>
        </is>
      </c>
      <c r="C72" t="n">
        <v>9</v>
      </c>
      <c r="D72" t="inlineStr">
        <is>
          <t>p26_bastion_tiny_zu23</t>
        </is>
      </c>
      <c r="E72" t="inlineStr">
        <is>
          <t>mg</t>
        </is>
      </c>
      <c r="F72" t="inlineStr">
        <is>
          <t>Free</t>
        </is>
      </c>
      <c r="G72" t="inlineStr">
        <is>
          <t>zu23_l</t>
        </is>
      </c>
      <c r="H72" t="n">
        <v>2</v>
      </c>
      <c r="I72" t="n">
        <v>3.5</v>
      </c>
      <c r="J72" t="n">
        <v>0.02</v>
      </c>
      <c r="K72" t="n">
        <v>0</v>
      </c>
      <c r="L72" t="n">
        <v>0</v>
      </c>
      <c r="M72" t="n">
        <v>0</v>
      </c>
      <c r="N72">
        <f>INDEX(boss_input_vu_khi_suy_ra!$C$2:$C$71,MATCH($D$72,boss_input_vu_khi_suy_ra!$A$2:$A$71,0))</f>
        <v/>
      </c>
      <c r="O72" t="inlineStr">
        <is>
          <t>giong</t>
        </is>
      </c>
      <c r="R72" t="n">
        <v>4.96</v>
      </c>
      <c r="S72">
        <f>IF($D$72="",0,INDEX(boss_input_vu_khi_suy_ra!$B$2:$B$71,MATCH($D$72,boss_input_vu_khi_suy_ra!$A$2:$A$71,0))*IF(INDEX(boss_input_vu_khi!$D$2:$D$71,MATCH($D$72,boss_input_vu_khi!$A$2:$A$71,0)),1,Boss_dps!$B$15)*Boss_dps!$C$15)</f>
        <v/>
      </c>
      <c r="T72" t="n">
        <v>70.56451612903226</v>
      </c>
      <c r="U72" t="inlineStr">
        <is>
          <t>Assets/MachineBrigade/Resources/Data/balance.json: vehicles[id=fortress_bastion] dựng bởi Tools/balance/p26_ab.expand</t>
        </is>
      </c>
      <c r="V72" t="inlineStr"/>
    </row>
    <row r="73">
      <c r="A73" t="inlineStr">
        <is>
          <t>fortress_bastion/10</t>
        </is>
      </c>
      <c r="B73" t="inlineStr">
        <is>
          <t>fortress_bastion</t>
        </is>
      </c>
      <c r="C73" t="n">
        <v>10</v>
      </c>
      <c r="D73" t="inlineStr">
        <is>
          <t>p26_bastion_tiny_zu23</t>
        </is>
      </c>
      <c r="E73" t="inlineStr">
        <is>
          <t>mg</t>
        </is>
      </c>
      <c r="F73" t="inlineStr">
        <is>
          <t>Free</t>
        </is>
      </c>
      <c r="G73" t="inlineStr">
        <is>
          <t>zu23_r</t>
        </is>
      </c>
      <c r="H73" t="n">
        <v>2</v>
      </c>
      <c r="I73" t="n">
        <v>3.5</v>
      </c>
      <c r="J73" t="n">
        <v>0.02</v>
      </c>
      <c r="K73" t="n">
        <v>0</v>
      </c>
      <c r="L73" t="n">
        <v>0</v>
      </c>
      <c r="M73" t="n">
        <v>0</v>
      </c>
      <c r="N73">
        <f>INDEX(boss_input_vu_khi_suy_ra!$C$2:$C$71,MATCH($D$73,boss_input_vu_khi_suy_ra!$A$2:$A$71,0))</f>
        <v/>
      </c>
      <c r="O73" t="inlineStr">
        <is>
          <t>giong</t>
        </is>
      </c>
      <c r="R73" t="n">
        <v>4.96</v>
      </c>
      <c r="S73">
        <f>IF($D$73="",0,INDEX(boss_input_vu_khi_suy_ra!$B$2:$B$71,MATCH($D$73,boss_input_vu_khi_suy_ra!$A$2:$A$71,0))*IF(INDEX(boss_input_vu_khi!$D$2:$D$71,MATCH($D$73,boss_input_vu_khi!$A$2:$A$71,0)),1,Boss_dps!$B$15)*Boss_dps!$C$15)</f>
        <v/>
      </c>
      <c r="T73" t="n">
        <v>70.56451612903226</v>
      </c>
      <c r="U73" t="inlineStr">
        <is>
          <t>Assets/MachineBrigade/Resources/Data/balance.json: vehicles[id=fortress_bastion] dựng bởi Tools/balance/p26_ab.expand</t>
        </is>
      </c>
      <c r="V73" t="inlineStr"/>
    </row>
    <row r="74">
      <c r="A74" t="inlineStr">
        <is>
          <t>hydra/0</t>
        </is>
      </c>
      <c r="B74" t="inlineStr">
        <is>
          <t>hydra</t>
        </is>
      </c>
      <c r="C74" t="n">
        <v>0</v>
      </c>
      <c r="D74" t="inlineStr">
        <is>
          <t>p26_typhon_sec_ty57</t>
        </is>
      </c>
      <c r="E74" t="inlineStr">
        <is>
          <t>missile</t>
        </is>
      </c>
      <c r="F74" t="inlineStr"/>
      <c r="G74" t="inlineStr"/>
      <c r="H74" t="n">
        <v>2</v>
      </c>
      <c r="I74" t="n">
        <v>120</v>
      </c>
      <c r="J74" t="n">
        <v>2.79</v>
      </c>
      <c r="K74" t="n">
        <v>3</v>
      </c>
      <c r="L74" t="n">
        <v>6</v>
      </c>
      <c r="M74" t="n">
        <v>0</v>
      </c>
      <c r="N74">
        <f>INDEX(boss_input_vu_khi_suy_ra!$C$2:$C$71,MATCH($D$74,boss_input_vu_khi_suy_ra!$A$2:$A$71,0))</f>
        <v/>
      </c>
      <c r="O74" t="inlineStr">
        <is>
          <t>giong</t>
        </is>
      </c>
      <c r="R74" t="n">
        <v>4.29</v>
      </c>
      <c r="S74">
        <f>IF($D$74="",0,INDEX(boss_input_vu_khi_suy_ra!$B$2:$B$71,MATCH($D$74,boss_input_vu_khi_suy_ra!$A$2:$A$71,0))*IF(INDEX(boss_input_vu_khi!$D$2:$D$71,MATCH($D$74,boss_input_vu_khi!$A$2:$A$71,0)),1,Boss_dps!$B$16)*Boss_dps!$C$16)</f>
        <v/>
      </c>
      <c r="T74" t="n">
        <v>289.1188811188811</v>
      </c>
      <c r="U74" t="inlineStr">
        <is>
          <t>Assets/MachineBrigade/Resources/Data/balance.json: vehicles[id=hydra] dựng bởi Tools/balance/p26_ab.expand</t>
        </is>
      </c>
      <c r="V74" t="inlineStr"/>
    </row>
    <row r="75">
      <c r="A75" t="inlineStr">
        <is>
          <t>hydra/1</t>
        </is>
      </c>
      <c r="B75" t="inlineStr">
        <is>
          <t>hydra</t>
        </is>
      </c>
      <c r="C75" t="n">
        <v>1</v>
      </c>
      <c r="D75" t="inlineStr">
        <is>
          <t>p26_typhon_sec_ty57</t>
        </is>
      </c>
      <c r="E75" t="inlineStr">
        <is>
          <t>gun</t>
        </is>
      </c>
      <c r="F75" t="inlineStr">
        <is>
          <t>Free</t>
        </is>
      </c>
      <c r="G75" t="inlineStr"/>
      <c r="H75" t="n">
        <v>2</v>
      </c>
      <c r="I75" t="n">
        <v>120</v>
      </c>
      <c r="J75" t="n">
        <v>2.79</v>
      </c>
      <c r="K75" t="n">
        <v>3</v>
      </c>
      <c r="L75" t="n">
        <v>6</v>
      </c>
      <c r="M75" t="n">
        <v>0</v>
      </c>
      <c r="N75">
        <f>INDEX(boss_input_vu_khi_suy_ra!$C$2:$C$71,MATCH($D$75,boss_input_vu_khi_suy_ra!$A$2:$A$71,0))</f>
        <v/>
      </c>
      <c r="O75" t="inlineStr">
        <is>
          <t>giong</t>
        </is>
      </c>
      <c r="R75" t="n">
        <v>4.29</v>
      </c>
      <c r="S75">
        <f>IF($D$75="",0,INDEX(boss_input_vu_khi_suy_ra!$B$2:$B$71,MATCH($D$75,boss_input_vu_khi_suy_ra!$A$2:$A$71,0))*IF(INDEX(boss_input_vu_khi!$D$2:$D$71,MATCH($D$75,boss_input_vu_khi!$A$2:$A$71,0)),1,Boss_dps!$B$16)*Boss_dps!$C$16)</f>
        <v/>
      </c>
      <c r="T75" t="n">
        <v>289.1188811188811</v>
      </c>
      <c r="U75" t="inlineStr">
        <is>
          <t>Assets/MachineBrigade/Resources/Data/balance.json: vehicles[id=hydra] dựng bởi Tools/balance/p26_ab.expand</t>
        </is>
      </c>
      <c r="V75" t="inlineStr"/>
    </row>
    <row r="76">
      <c r="A76" t="inlineStr">
        <is>
          <t>hydra/2</t>
        </is>
      </c>
      <c r="B76" t="inlineStr">
        <is>
          <t>hydra</t>
        </is>
      </c>
      <c r="C76" t="n">
        <v>2</v>
      </c>
      <c r="D76" t="inlineStr">
        <is>
          <t>p26_typhon_direct_ty100</t>
        </is>
      </c>
      <c r="E76" t="inlineStr">
        <is>
          <t>gun</t>
        </is>
      </c>
      <c r="F76" t="inlineStr">
        <is>
          <t>Free</t>
        </is>
      </c>
      <c r="G76" t="inlineStr">
        <is>
          <t>deck_gun</t>
        </is>
      </c>
      <c r="H76" t="n">
        <v>1</v>
      </c>
      <c r="I76" t="n">
        <v>300</v>
      </c>
      <c r="J76" t="n">
        <v>2.5</v>
      </c>
      <c r="K76" t="n">
        <v>5</v>
      </c>
      <c r="L76" t="n">
        <v>10</v>
      </c>
      <c r="M76" t="n">
        <v>0</v>
      </c>
      <c r="N76">
        <f>INDEX(boss_input_vu_khi_suy_ra!$C$2:$C$71,MATCH($D$76,boss_input_vu_khi_suy_ra!$A$2:$A$71,0))</f>
        <v/>
      </c>
      <c r="O76" t="inlineStr">
        <is>
          <t>giong</t>
        </is>
      </c>
      <c r="R76" t="n">
        <v>3.5</v>
      </c>
      <c r="S76">
        <f>IF($D$76="",0,INDEX(boss_input_vu_khi_suy_ra!$B$2:$B$71,MATCH($D$76,boss_input_vu_khi_suy_ra!$A$2:$A$71,0))*IF(INDEX(boss_input_vu_khi!$D$2:$D$71,MATCH($D$76,boss_input_vu_khi!$A$2:$A$71,0)),1,Boss_dps!$B$16)*Boss_dps!$C$16)</f>
        <v/>
      </c>
      <c r="T76" t="n">
        <v>221.4857142857143</v>
      </c>
      <c r="U76" t="inlineStr">
        <is>
          <t>Assets/MachineBrigade/Resources/Data/balance.json: vehicles[id=hydra] dựng bởi Tools/balance/p26_ab.expand</t>
        </is>
      </c>
      <c r="V76" t="inlineStr"/>
    </row>
    <row r="77">
      <c r="A77" t="inlineStr">
        <is>
          <t>hyperion/0</t>
        </is>
      </c>
      <c r="B77" t="inlineStr">
        <is>
          <t>hyperion</t>
        </is>
      </c>
      <c r="C77" t="n">
        <v>0</v>
      </c>
      <c r="D77" t="inlineStr">
        <is>
          <t>p26_icarus_sec_orbital_laser</t>
        </is>
      </c>
      <c r="E77" t="inlineStr">
        <is>
          <t>main</t>
        </is>
      </c>
      <c r="F77" t="inlineStr"/>
      <c r="G77" t="inlineStr">
        <is>
          <t>main_laser</t>
        </is>
      </c>
      <c r="H77" t="n">
        <v>1</v>
      </c>
      <c r="I77" t="n">
        <v>40</v>
      </c>
      <c r="J77" t="n">
        <v>0.1</v>
      </c>
      <c r="K77" t="n">
        <v>1.5</v>
      </c>
      <c r="L77" t="n">
        <v>0</v>
      </c>
      <c r="M77" t="n">
        <v>0</v>
      </c>
      <c r="N77">
        <f>INDEX(boss_input_vu_khi_suy_ra!$C$2:$C$71,MATCH($D$77,boss_input_vu_khi_suy_ra!$A$2:$A$71,0))</f>
        <v/>
      </c>
      <c r="O77" t="inlineStr">
        <is>
          <t>giong</t>
        </is>
      </c>
      <c r="R77" t="n">
        <v>0.1</v>
      </c>
      <c r="S77">
        <f>IF($D$77="",0,INDEX(boss_input_vu_khi_suy_ra!$B$2:$B$71,MATCH($D$77,boss_input_vu_khi_suy_ra!$A$2:$A$71,0))*IF(INDEX(boss_input_vu_khi!$D$2:$D$71,MATCH($D$77,boss_input_vu_khi!$A$2:$A$71,0)),1,Boss_dps!$B$17)*Boss_dps!$C$17)</f>
        <v/>
      </c>
      <c r="T77" t="n">
        <v>444.4</v>
      </c>
      <c r="U77" t="inlineStr">
        <is>
          <t>Assets/MachineBrigade/Resources/Data/balance.json: vehicles[id=hyperion] dựng bởi Tools/balance/p26_ab.expand</t>
        </is>
      </c>
      <c r="V77" t="inlineStr"/>
    </row>
    <row r="78">
      <c r="A78" t="inlineStr">
        <is>
          <t>hyperion/1</t>
        </is>
      </c>
      <c r="B78" t="inlineStr">
        <is>
          <t>hyperion</t>
        </is>
      </c>
      <c r="C78" t="n">
        <v>1</v>
      </c>
      <c r="D78" t="inlineStr">
        <is>
          <t>p26_icarus_main_ic_coil</t>
        </is>
      </c>
      <c r="E78" t="inlineStr">
        <is>
          <t>gun</t>
        </is>
      </c>
      <c r="F78" t="inlineStr">
        <is>
          <t>Free</t>
        </is>
      </c>
      <c r="G78" t="inlineStr"/>
      <c r="H78" t="n">
        <v>1</v>
      </c>
      <c r="I78" t="n">
        <v>1500</v>
      </c>
      <c r="J78" t="n">
        <v>5</v>
      </c>
      <c r="K78" t="n">
        <v>0</v>
      </c>
      <c r="L78" t="n">
        <v>0</v>
      </c>
      <c r="M78" t="n">
        <v>0</v>
      </c>
      <c r="N78">
        <f>INDEX(boss_input_vu_khi_suy_ra!$C$2:$C$71,MATCH($D$78,boss_input_vu_khi_suy_ra!$A$2:$A$71,0))</f>
        <v/>
      </c>
      <c r="O78" t="inlineStr">
        <is>
          <t>giong</t>
        </is>
      </c>
      <c r="R78" t="n">
        <v>5</v>
      </c>
      <c r="S78">
        <f>IF($D$78="",0,INDEX(boss_input_vu_khi_suy_ra!$B$2:$B$71,MATCH($D$78,boss_input_vu_khi_suy_ra!$A$2:$A$71,0))*IF(INDEX(boss_input_vu_khi!$D$2:$D$71,MATCH($D$78,boss_input_vu_khi!$A$2:$A$71,0)),1,Boss_dps!$B$17)*Boss_dps!$C$17)</f>
        <v/>
      </c>
      <c r="T78" t="n">
        <v>333.3</v>
      </c>
      <c r="U78" t="inlineStr">
        <is>
          <t>Assets/MachineBrigade/Resources/Data/balance.json: vehicles[id=hyperion] dựng bởi Tools/balance/p26_ab.expand</t>
        </is>
      </c>
      <c r="V78" t="inlineStr"/>
    </row>
    <row r="79">
      <c r="A79" t="inlineStr">
        <is>
          <t>hyperion/2</t>
        </is>
      </c>
      <c r="B79" t="inlineStr">
        <is>
          <t>hyperion</t>
        </is>
      </c>
      <c r="C79" t="n">
        <v>2</v>
      </c>
      <c r="D79" t="inlineStr">
        <is>
          <t>p26_icarus_main_ic_coil</t>
        </is>
      </c>
      <c r="E79" t="inlineStr">
        <is>
          <t>gun</t>
        </is>
      </c>
      <c r="F79" t="inlineStr">
        <is>
          <t>Free</t>
        </is>
      </c>
      <c r="G79" t="inlineStr"/>
      <c r="H79" t="n">
        <v>1</v>
      </c>
      <c r="I79" t="n">
        <v>1500</v>
      </c>
      <c r="J79" t="n">
        <v>5</v>
      </c>
      <c r="K79" t="n">
        <v>0</v>
      </c>
      <c r="L79" t="n">
        <v>0</v>
      </c>
      <c r="M79" t="n">
        <v>0</v>
      </c>
      <c r="N79">
        <f>INDEX(boss_input_vu_khi_suy_ra!$C$2:$C$71,MATCH($D$79,boss_input_vu_khi_suy_ra!$A$2:$A$71,0))</f>
        <v/>
      </c>
      <c r="O79" t="inlineStr">
        <is>
          <t>giong</t>
        </is>
      </c>
      <c r="R79" t="n">
        <v>5</v>
      </c>
      <c r="S79">
        <f>IF($D$79="",0,INDEX(boss_input_vu_khi_suy_ra!$B$2:$B$71,MATCH($D$79,boss_input_vu_khi_suy_ra!$A$2:$A$71,0))*IF(INDEX(boss_input_vu_khi!$D$2:$D$71,MATCH($D$79,boss_input_vu_khi!$A$2:$A$71,0)),1,Boss_dps!$B$17)*Boss_dps!$C$17)</f>
        <v/>
      </c>
      <c r="T79" t="n">
        <v>333.3</v>
      </c>
      <c r="U79" t="inlineStr">
        <is>
          <t>Assets/MachineBrigade/Resources/Data/balance.json: vehicles[id=hyperion] dựng bởi Tools/balance/p26_ab.expand</t>
        </is>
      </c>
      <c r="V79" t="inlineStr"/>
    </row>
    <row r="80">
      <c r="A80" t="inlineStr">
        <is>
          <t>hyperion/3</t>
        </is>
      </c>
      <c r="B80" t="inlineStr">
        <is>
          <t>hyperion</t>
        </is>
      </c>
      <c r="C80" t="n">
        <v>3</v>
      </c>
      <c r="D80" t="inlineStr">
        <is>
          <t>p26_icarus_direct_ic_laser</t>
        </is>
      </c>
      <c r="E80" t="inlineStr">
        <is>
          <t>gun</t>
        </is>
      </c>
      <c r="F80" t="inlineStr">
        <is>
          <t>Free</t>
        </is>
      </c>
      <c r="G80" t="inlineStr"/>
      <c r="H80" t="n">
        <v>1</v>
      </c>
      <c r="I80" t="n">
        <v>16</v>
      </c>
      <c r="J80" t="n">
        <v>0.1</v>
      </c>
      <c r="K80" t="n">
        <v>1.5</v>
      </c>
      <c r="L80" t="n">
        <v>0</v>
      </c>
      <c r="M80" t="n">
        <v>0</v>
      </c>
      <c r="N80">
        <f>INDEX(boss_input_vu_khi_suy_ra!$C$2:$C$71,MATCH($D$80,boss_input_vu_khi_suy_ra!$A$2:$A$71,0))</f>
        <v/>
      </c>
      <c r="O80" t="inlineStr">
        <is>
          <t>giong</t>
        </is>
      </c>
      <c r="R80" t="n">
        <v>0.1</v>
      </c>
      <c r="S80">
        <f>IF($D$80="",0,INDEX(boss_input_vu_khi_suy_ra!$B$2:$B$71,MATCH($D$80,boss_input_vu_khi_suy_ra!$A$2:$A$71,0))*IF(INDEX(boss_input_vu_khi!$D$2:$D$71,MATCH($D$80,boss_input_vu_khi!$A$2:$A$71,0)),1,Boss_dps!$B$17)*Boss_dps!$C$17)</f>
        <v/>
      </c>
      <c r="T80" t="n">
        <v>177.76</v>
      </c>
      <c r="U80" t="inlineStr">
        <is>
          <t>Assets/MachineBrigade/Resources/Data/balance.json: vehicles[id=hyperion] dựng bởi Tools/balance/p26_ab.expand</t>
        </is>
      </c>
      <c r="V80" t="inlineStr"/>
    </row>
    <row r="81">
      <c r="A81" t="inlineStr">
        <is>
          <t>hyperion/4</t>
        </is>
      </c>
      <c r="B81" t="inlineStr">
        <is>
          <t>hyperion</t>
        </is>
      </c>
      <c r="C81" t="n">
        <v>4</v>
      </c>
      <c r="D81" t="inlineStr">
        <is>
          <t>p26_icarus_direct_ic_laser</t>
        </is>
      </c>
      <c r="E81" t="inlineStr">
        <is>
          <t>gun</t>
        </is>
      </c>
      <c r="F81" t="inlineStr">
        <is>
          <t>Free</t>
        </is>
      </c>
      <c r="G81" t="inlineStr"/>
      <c r="H81" t="n">
        <v>1</v>
      </c>
      <c r="I81" t="n">
        <v>16</v>
      </c>
      <c r="J81" t="n">
        <v>0.1</v>
      </c>
      <c r="K81" t="n">
        <v>1.5</v>
      </c>
      <c r="L81" t="n">
        <v>0</v>
      </c>
      <c r="M81" t="n">
        <v>0</v>
      </c>
      <c r="N81">
        <f>INDEX(boss_input_vu_khi_suy_ra!$C$2:$C$71,MATCH($D$81,boss_input_vu_khi_suy_ra!$A$2:$A$71,0))</f>
        <v/>
      </c>
      <c r="O81" t="inlineStr">
        <is>
          <t>giong</t>
        </is>
      </c>
      <c r="R81" t="n">
        <v>0.1</v>
      </c>
      <c r="S81">
        <f>IF($D$81="",0,INDEX(boss_input_vu_khi_suy_ra!$B$2:$B$71,MATCH($D$81,boss_input_vu_khi_suy_ra!$A$2:$A$71,0))*IF(INDEX(boss_input_vu_khi!$D$2:$D$71,MATCH($D$81,boss_input_vu_khi!$A$2:$A$71,0)),1,Boss_dps!$B$17)*Boss_dps!$C$17)</f>
        <v/>
      </c>
      <c r="T81" t="n">
        <v>177.76</v>
      </c>
      <c r="U81" t="inlineStr">
        <is>
          <t>Assets/MachineBrigade/Resources/Data/balance.json: vehicles[id=hyperion] dựng bởi Tools/balance/p26_ab.expand</t>
        </is>
      </c>
      <c r="V81" t="inlineStr"/>
    </row>
    <row r="82">
      <c r="A82" t="inlineStr">
        <is>
          <t>icarus_mk0/0</t>
        </is>
      </c>
      <c r="B82" t="inlineStr">
        <is>
          <t>icarus_mk0</t>
        </is>
      </c>
      <c r="C82" t="n">
        <v>0</v>
      </c>
      <c r="D82" t="inlineStr">
        <is>
          <t>p26_icarus_sec_orbital_laser</t>
        </is>
      </c>
      <c r="E82" t="inlineStr">
        <is>
          <t>main</t>
        </is>
      </c>
      <c r="F82" t="inlineStr"/>
      <c r="G82" t="inlineStr">
        <is>
          <t>main_laser</t>
        </is>
      </c>
      <c r="H82" t="n">
        <v>1</v>
      </c>
      <c r="I82" t="n">
        <v>40</v>
      </c>
      <c r="J82" t="n">
        <v>0.1</v>
      </c>
      <c r="K82" t="n">
        <v>1.5</v>
      </c>
      <c r="L82" t="n">
        <v>0</v>
      </c>
      <c r="M82" t="n">
        <v>0</v>
      </c>
      <c r="N82">
        <f>INDEX(boss_input_vu_khi_suy_ra!$C$2:$C$71,MATCH($D$82,boss_input_vu_khi_suy_ra!$A$2:$A$71,0))</f>
        <v/>
      </c>
      <c r="O82" t="inlineStr">
        <is>
          <t>giong</t>
        </is>
      </c>
      <c r="R82" t="n">
        <v>0.1</v>
      </c>
      <c r="S82">
        <f>IF($D$82="",0,INDEX(boss_input_vu_khi_suy_ra!$B$2:$B$71,MATCH($D$82,boss_input_vu_khi_suy_ra!$A$2:$A$71,0))*IF(INDEX(boss_input_vu_khi!$D$2:$D$71,MATCH($D$82,boss_input_vu_khi!$A$2:$A$71,0)),1,Boss_dps!$B$18)*Boss_dps!$C$18)</f>
        <v/>
      </c>
      <c r="T82" t="n">
        <v>910</v>
      </c>
      <c r="U82" t="inlineStr">
        <is>
          <t>Assets/MachineBrigade/Resources/Data/balance.json: vehicles[id=icarus_mk0] dựng bởi Tools/balance/p26_ab.expand</t>
        </is>
      </c>
      <c r="V82" t="inlineStr"/>
    </row>
    <row r="83">
      <c r="A83" t="inlineStr">
        <is>
          <t>ixion/0</t>
        </is>
      </c>
      <c r="B83" t="inlineStr">
        <is>
          <t>ixion</t>
        </is>
      </c>
      <c r="C83" t="n">
        <v>0</v>
      </c>
      <c r="D83" t="inlineStr">
        <is>
          <t>p26_ixion_125</t>
        </is>
      </c>
      <c r="E83" t="inlineStr">
        <is>
          <t>main</t>
        </is>
      </c>
      <c r="F83" t="inlineStr"/>
      <c r="G83" t="inlineStr">
        <is>
          <t>gun</t>
        </is>
      </c>
      <c r="H83" t="n">
        <v>1</v>
      </c>
      <c r="I83" t="n">
        <v>400</v>
      </c>
      <c r="J83" t="n">
        <v>7.5</v>
      </c>
      <c r="K83" t="n">
        <v>0</v>
      </c>
      <c r="L83" t="n">
        <v>0</v>
      </c>
      <c r="M83" t="n">
        <v>0</v>
      </c>
      <c r="N83">
        <f>INDEX(boss_input_vu_khi_suy_ra!$C$2:$C$71,MATCH($D$83,boss_input_vu_khi_suy_ra!$A$2:$A$71,0))</f>
        <v/>
      </c>
      <c r="O83" t="inlineStr">
        <is>
          <t>giong</t>
        </is>
      </c>
      <c r="R83" t="n">
        <v>7.5</v>
      </c>
      <c r="S83">
        <f>IF($D$83="",0,INDEX(boss_input_vu_khi_suy_ra!$B$2:$B$71,MATCH($D$83,boss_input_vu_khi_suy_ra!$A$2:$A$71,0))*IF(INDEX(boss_input_vu_khi!$D$2:$D$71,MATCH($D$83,boss_input_vu_khi!$A$2:$A$71,0)),1,Boss_dps!$B$19)*Boss_dps!$C$19)</f>
        <v/>
      </c>
      <c r="T83" t="n">
        <v>93.712</v>
      </c>
      <c r="U83" t="inlineStr">
        <is>
          <t>Assets/MachineBrigade/Resources/Data/balance.json: vehicles[id=ixion] dựng bởi Tools/balance/p26_ab.expand</t>
        </is>
      </c>
      <c r="V83" t="inlineStr"/>
    </row>
    <row r="84">
      <c r="A84" t="inlineStr">
        <is>
          <t>ixion/1</t>
        </is>
      </c>
      <c r="B84" t="inlineStr">
        <is>
          <t>ixion</t>
        </is>
      </c>
      <c r="C84" t="n">
        <v>1</v>
      </c>
      <c r="D84" t="inlineStr">
        <is>
          <t>p26_ixion_mg</t>
        </is>
      </c>
      <c r="E84" t="inlineStr">
        <is>
          <t>mg</t>
        </is>
      </c>
      <c r="F84" t="inlineStr">
        <is>
          <t>Free</t>
        </is>
      </c>
      <c r="G84" t="inlineStr">
        <is>
          <t>cab</t>
        </is>
      </c>
      <c r="H84" t="n">
        <v>1</v>
      </c>
      <c r="I84" t="n">
        <v>15</v>
      </c>
      <c r="J84" t="n">
        <v>0.0833</v>
      </c>
      <c r="K84" t="n">
        <v>0</v>
      </c>
      <c r="L84" t="n">
        <v>0</v>
      </c>
      <c r="M84" t="n">
        <v>0</v>
      </c>
      <c r="N84">
        <f>INDEX(boss_input_vu_khi_suy_ra!$C$2:$C$71,MATCH($D$84,boss_input_vu_khi_suy_ra!$A$2:$A$71,0))</f>
        <v/>
      </c>
      <c r="O84" t="inlineStr">
        <is>
          <t>giong</t>
        </is>
      </c>
      <c r="R84" t="n">
        <v>13.2467</v>
      </c>
      <c r="S84">
        <f>IF($D$84="",0,INDEX(boss_input_vu_khi_suy_ra!$B$2:$B$71,MATCH($D$84,boss_input_vu_khi_suy_ra!$A$2:$A$71,0))*IF(INDEX(boss_input_vu_khi!$D$2:$D$71,MATCH($D$84,boss_input_vu_khi!$A$2:$A$71,0)),1,Boss_dps!$B$19)*Boss_dps!$C$19)</f>
        <v/>
      </c>
      <c r="T84" t="n">
        <v>198.9665350615625</v>
      </c>
      <c r="U84" t="inlineStr">
        <is>
          <t>Assets/MachineBrigade/Resources/Data/balance.json: vehicles[id=ixion] dựng bởi Tools/balance/p26_ab.expand</t>
        </is>
      </c>
      <c r="V84" t="inlineStr"/>
    </row>
    <row r="85">
      <c r="A85" t="inlineStr">
        <is>
          <t>ixion/2</t>
        </is>
      </c>
      <c r="B85" t="inlineStr">
        <is>
          <t>ixion</t>
        </is>
      </c>
      <c r="C85" t="n">
        <v>2</v>
      </c>
      <c r="D85" t="inlineStr">
        <is>
          <t>p26_ixion_mg</t>
        </is>
      </c>
      <c r="E85" t="inlineStr">
        <is>
          <t>mg</t>
        </is>
      </c>
      <c r="F85" t="inlineStr">
        <is>
          <t>Free</t>
        </is>
      </c>
      <c r="G85" t="inlineStr">
        <is>
          <t>cab</t>
        </is>
      </c>
      <c r="H85" t="n">
        <v>1</v>
      </c>
      <c r="I85" t="n">
        <v>15</v>
      </c>
      <c r="J85" t="n">
        <v>0.0833</v>
      </c>
      <c r="K85" t="n">
        <v>0</v>
      </c>
      <c r="L85" t="n">
        <v>0</v>
      </c>
      <c r="M85" t="n">
        <v>0</v>
      </c>
      <c r="N85">
        <f>INDEX(boss_input_vu_khi_suy_ra!$C$2:$C$71,MATCH($D$85,boss_input_vu_khi_suy_ra!$A$2:$A$71,0))</f>
        <v/>
      </c>
      <c r="O85" t="inlineStr">
        <is>
          <t>giong</t>
        </is>
      </c>
      <c r="R85" t="n">
        <v>13.2467</v>
      </c>
      <c r="S85">
        <f>IF($D$85="",0,INDEX(boss_input_vu_khi_suy_ra!$B$2:$B$71,MATCH($D$85,boss_input_vu_khi_suy_ra!$A$2:$A$71,0))*IF(INDEX(boss_input_vu_khi!$D$2:$D$71,MATCH($D$85,boss_input_vu_khi!$A$2:$A$71,0)),1,Boss_dps!$B$19)*Boss_dps!$C$19)</f>
        <v/>
      </c>
      <c r="T85" t="n">
        <v>198.9665350615625</v>
      </c>
      <c r="U85" t="inlineStr">
        <is>
          <t>Assets/MachineBrigade/Resources/Data/balance.json: vehicles[id=ixion] dựng bởi Tools/balance/p26_ab.expand</t>
        </is>
      </c>
      <c r="V85" t="inlineStr"/>
    </row>
    <row r="86">
      <c r="A86" t="inlineStr">
        <is>
          <t>kraken/0</t>
        </is>
      </c>
      <c r="B86" t="inlineStr">
        <is>
          <t>kraken</t>
        </is>
      </c>
      <c r="C86" t="n">
        <v>0</v>
      </c>
      <c r="D86" t="inlineStr">
        <is>
          <t>p26_leviathan_lev406</t>
        </is>
      </c>
      <c r="E86" t="inlineStr">
        <is>
          <t>gun</t>
        </is>
      </c>
      <c r="F86" t="inlineStr">
        <is>
          <t>Free</t>
        </is>
      </c>
      <c r="G86" t="inlineStr">
        <is>
          <t>turret_fore</t>
        </is>
      </c>
      <c r="H86" t="n">
        <v>3</v>
      </c>
      <c r="I86" t="n">
        <v>2400</v>
      </c>
      <c r="J86" t="n">
        <v>60</v>
      </c>
      <c r="K86" t="n">
        <v>14</v>
      </c>
      <c r="L86" t="n">
        <v>24</v>
      </c>
      <c r="M86" t="n">
        <v>3.611111111111111</v>
      </c>
      <c r="N86">
        <f>INDEX(boss_input_vu_khi_suy_ra!$C$2:$C$71,MATCH($D$86,boss_input_vu_khi_suy_ra!$A$2:$A$71,0))</f>
        <v/>
      </c>
      <c r="O86" t="inlineStr">
        <is>
          <t>giong</t>
        </is>
      </c>
      <c r="R86" t="n">
        <v>60</v>
      </c>
      <c r="S86">
        <f>IF($D$86="",0,INDEX(boss_input_vu_khi_suy_ra!$B$2:$B$71,MATCH($D$86,boss_input_vu_khi_suy_ra!$A$2:$A$71,0))*IF(INDEX(boss_input_vu_khi!$D$2:$D$71,MATCH($D$86,boss_input_vu_khi!$A$2:$A$71,0)),1,Boss_dps!$B$20)*Boss_dps!$C$20)</f>
        <v/>
      </c>
      <c r="T86" t="n">
        <v>116.136</v>
      </c>
      <c r="U86" t="inlineStr">
        <is>
          <t>Assets/MachineBrigade/Resources/Data/balance.json: vehicles[id=kraken] dựng bởi Tools/balance/p26_ab.expand</t>
        </is>
      </c>
      <c r="V86" t="inlineStr"/>
    </row>
    <row r="87">
      <c r="A87" t="inlineStr">
        <is>
          <t>kraken/1</t>
        </is>
      </c>
      <c r="B87" t="inlineStr">
        <is>
          <t>kraken</t>
        </is>
      </c>
      <c r="C87" t="n">
        <v>1</v>
      </c>
      <c r="D87" t="inlineStr">
        <is>
          <t>p26_leviathan_lev406</t>
        </is>
      </c>
      <c r="E87" t="inlineStr">
        <is>
          <t>gun</t>
        </is>
      </c>
      <c r="F87" t="inlineStr">
        <is>
          <t>Free</t>
        </is>
      </c>
      <c r="G87" t="inlineStr">
        <is>
          <t>turret_super</t>
        </is>
      </c>
      <c r="H87" t="n">
        <v>3</v>
      </c>
      <c r="I87" t="n">
        <v>2400</v>
      </c>
      <c r="J87" t="n">
        <v>60</v>
      </c>
      <c r="K87" t="n">
        <v>14</v>
      </c>
      <c r="L87" t="n">
        <v>24</v>
      </c>
      <c r="M87" t="n">
        <v>3.611111111111111</v>
      </c>
      <c r="N87">
        <f>INDEX(boss_input_vu_khi_suy_ra!$C$2:$C$71,MATCH($D$87,boss_input_vu_khi_suy_ra!$A$2:$A$71,0))</f>
        <v/>
      </c>
      <c r="O87" t="inlineStr">
        <is>
          <t>giong</t>
        </is>
      </c>
      <c r="R87" t="n">
        <v>60</v>
      </c>
      <c r="S87">
        <f>IF($D$87="",0,INDEX(boss_input_vu_khi_suy_ra!$B$2:$B$71,MATCH($D$87,boss_input_vu_khi_suy_ra!$A$2:$A$71,0))*IF(INDEX(boss_input_vu_khi!$D$2:$D$71,MATCH($D$87,boss_input_vu_khi!$A$2:$A$71,0)),1,Boss_dps!$B$20)*Boss_dps!$C$20)</f>
        <v/>
      </c>
      <c r="T87" t="n">
        <v>116.136</v>
      </c>
      <c r="U87" t="inlineStr">
        <is>
          <t>Assets/MachineBrigade/Resources/Data/balance.json: vehicles[id=kraken] dựng bởi Tools/balance/p26_ab.expand</t>
        </is>
      </c>
      <c r="V87" t="inlineStr"/>
    </row>
    <row r="88">
      <c r="A88" t="inlineStr">
        <is>
          <t>kraken/2</t>
        </is>
      </c>
      <c r="B88" t="inlineStr">
        <is>
          <t>kraken</t>
        </is>
      </c>
      <c r="C88" t="n">
        <v>2</v>
      </c>
      <c r="D88" t="inlineStr">
        <is>
          <t>p26_leviathan_lev406</t>
        </is>
      </c>
      <c r="E88" t="inlineStr">
        <is>
          <t>gun</t>
        </is>
      </c>
      <c r="F88" t="inlineStr">
        <is>
          <t>Free</t>
        </is>
      </c>
      <c r="G88" t="inlineStr">
        <is>
          <t>turret_aft</t>
        </is>
      </c>
      <c r="H88" t="n">
        <v>3</v>
      </c>
      <c r="I88" t="n">
        <v>2400</v>
      </c>
      <c r="J88" t="n">
        <v>60</v>
      </c>
      <c r="K88" t="n">
        <v>14</v>
      </c>
      <c r="L88" t="n">
        <v>24</v>
      </c>
      <c r="M88" t="n">
        <v>3.611111111111111</v>
      </c>
      <c r="N88">
        <f>INDEX(boss_input_vu_khi_suy_ra!$C$2:$C$71,MATCH($D$88,boss_input_vu_khi_suy_ra!$A$2:$A$71,0))</f>
        <v/>
      </c>
      <c r="O88" t="inlineStr">
        <is>
          <t>giong</t>
        </is>
      </c>
      <c r="R88" t="n">
        <v>60</v>
      </c>
      <c r="S88">
        <f>IF($D$88="",0,INDEX(boss_input_vu_khi_suy_ra!$B$2:$B$71,MATCH($D$88,boss_input_vu_khi_suy_ra!$A$2:$A$71,0))*IF(INDEX(boss_input_vu_khi!$D$2:$D$71,MATCH($D$88,boss_input_vu_khi!$A$2:$A$71,0)),1,Boss_dps!$B$20)*Boss_dps!$C$20)</f>
        <v/>
      </c>
      <c r="T88" t="n">
        <v>116.136</v>
      </c>
      <c r="U88" t="inlineStr">
        <is>
          <t>Assets/MachineBrigade/Resources/Data/balance.json: vehicles[id=kraken] dựng bởi Tools/balance/p26_ab.expand</t>
        </is>
      </c>
      <c r="V88" t="inlineStr"/>
    </row>
    <row r="89">
      <c r="A89" t="inlineStr">
        <is>
          <t>kraken/3</t>
        </is>
      </c>
      <c r="B89" t="inlineStr">
        <is>
          <t>kraken</t>
        </is>
      </c>
      <c r="C89" t="n">
        <v>3</v>
      </c>
      <c r="D89" t="inlineStr">
        <is>
          <t>p26_leviathan_sec_lev155</t>
        </is>
      </c>
      <c r="E89" t="inlineStr">
        <is>
          <t>gun</t>
        </is>
      </c>
      <c r="F89" t="inlineStr">
        <is>
          <t>Free</t>
        </is>
      </c>
      <c r="G89" t="inlineStr">
        <is>
          <t>sec_fore</t>
        </is>
      </c>
      <c r="H89" t="n">
        <v>3</v>
      </c>
      <c r="I89" t="n">
        <v>600</v>
      </c>
      <c r="J89" t="n">
        <v>10.5</v>
      </c>
      <c r="K89" t="n">
        <v>7</v>
      </c>
      <c r="L89" t="n">
        <v>14</v>
      </c>
      <c r="M89" t="n">
        <v>0</v>
      </c>
      <c r="N89">
        <f>INDEX(boss_input_vu_khi_suy_ra!$C$2:$C$71,MATCH($D$89,boss_input_vu_khi_suy_ra!$A$2:$A$71,0))</f>
        <v/>
      </c>
      <c r="O89" t="inlineStr">
        <is>
          <t>giong</t>
        </is>
      </c>
      <c r="R89" t="n">
        <v>10.5</v>
      </c>
      <c r="S89">
        <f>IF($D$89="",0,INDEX(boss_input_vu_khi_suy_ra!$B$2:$B$71,MATCH($D$89,boss_input_vu_khi_suy_ra!$A$2:$A$71,0))*IF(INDEX(boss_input_vu_khi!$D$2:$D$71,MATCH($D$89,boss_input_vu_khi!$A$2:$A$71,0)),1,Boss_dps!$B$20)*Boss_dps!$C$20)</f>
        <v/>
      </c>
      <c r="T89" t="n">
        <v>384.5760685714286</v>
      </c>
      <c r="U89" t="inlineStr">
        <is>
          <t>Assets/MachineBrigade/Resources/Data/balance.json: vehicles[id=kraken] dựng bởi Tools/balance/p26_ab.expand</t>
        </is>
      </c>
      <c r="V89" t="inlineStr"/>
    </row>
    <row r="90">
      <c r="A90" t="inlineStr">
        <is>
          <t>kraken/4</t>
        </is>
      </c>
      <c r="B90" t="inlineStr">
        <is>
          <t>kraken</t>
        </is>
      </c>
      <c r="C90" t="n">
        <v>4</v>
      </c>
      <c r="D90" t="inlineStr">
        <is>
          <t>p26_leviathan_sec_lev155</t>
        </is>
      </c>
      <c r="E90" t="inlineStr">
        <is>
          <t>gun</t>
        </is>
      </c>
      <c r="F90" t="inlineStr">
        <is>
          <t>Free</t>
        </is>
      </c>
      <c r="G90" t="inlineStr">
        <is>
          <t>sec_aft</t>
        </is>
      </c>
      <c r="H90" t="n">
        <v>3</v>
      </c>
      <c r="I90" t="n">
        <v>600</v>
      </c>
      <c r="J90" t="n">
        <v>10.5</v>
      </c>
      <c r="K90" t="n">
        <v>7</v>
      </c>
      <c r="L90" t="n">
        <v>14</v>
      </c>
      <c r="M90" t="n">
        <v>0</v>
      </c>
      <c r="N90">
        <f>INDEX(boss_input_vu_khi_suy_ra!$C$2:$C$71,MATCH($D$90,boss_input_vu_khi_suy_ra!$A$2:$A$71,0))</f>
        <v/>
      </c>
      <c r="O90" t="inlineStr">
        <is>
          <t>giong</t>
        </is>
      </c>
      <c r="R90" t="n">
        <v>10.5</v>
      </c>
      <c r="S90">
        <f>IF($D$90="",0,INDEX(boss_input_vu_khi_suy_ra!$B$2:$B$71,MATCH($D$90,boss_input_vu_khi_suy_ra!$A$2:$A$71,0))*IF(INDEX(boss_input_vu_khi!$D$2:$D$71,MATCH($D$90,boss_input_vu_khi!$A$2:$A$71,0)),1,Boss_dps!$B$20)*Boss_dps!$C$20)</f>
        <v/>
      </c>
      <c r="T90" t="n">
        <v>384.5760685714286</v>
      </c>
      <c r="U90" t="inlineStr">
        <is>
          <t>Assets/MachineBrigade/Resources/Data/balance.json: vehicles[id=kraken] dựng bởi Tools/balance/p26_ab.expand</t>
        </is>
      </c>
      <c r="V90" t="inlineStr"/>
    </row>
    <row r="91">
      <c r="A91" t="inlineStr">
        <is>
          <t>kraken/5</t>
        </is>
      </c>
      <c r="B91" t="inlineStr">
        <is>
          <t>kraken</t>
        </is>
      </c>
      <c r="C91" t="n">
        <v>5</v>
      </c>
      <c r="D91" t="inlineStr">
        <is>
          <t>p26_leviathan_direct_lev127</t>
        </is>
      </c>
      <c r="E91" t="inlineStr">
        <is>
          <t>mg</t>
        </is>
      </c>
      <c r="F91" t="inlineStr">
        <is>
          <t>Free</t>
        </is>
      </c>
      <c r="G91" t="inlineStr">
        <is>
          <t>ciws_fore</t>
        </is>
      </c>
      <c r="H91" t="n">
        <v>1</v>
      </c>
      <c r="I91" t="n">
        <v>380</v>
      </c>
      <c r="J91" t="n">
        <v>3</v>
      </c>
      <c r="K91" t="n">
        <v>0</v>
      </c>
      <c r="L91" t="n">
        <v>0</v>
      </c>
      <c r="M91" t="n">
        <v>0</v>
      </c>
      <c r="N91">
        <f>INDEX(boss_input_vu_khi_suy_ra!$C$2:$C$71,MATCH($D$91,boss_input_vu_khi_suy_ra!$A$2:$A$71,0))</f>
        <v/>
      </c>
      <c r="O91" t="inlineStr">
        <is>
          <t>giong</t>
        </is>
      </c>
      <c r="R91" t="n">
        <v>3</v>
      </c>
      <c r="S91">
        <f>IF($D$91="",0,INDEX(boss_input_vu_khi_suy_ra!$B$2:$B$71,MATCH($D$91,boss_input_vu_khi_suy_ra!$A$2:$A$71,0))*IF(INDEX(boss_input_vu_khi!$D$2:$D$71,MATCH($D$91,boss_input_vu_khi!$A$2:$A$71,0)),1,Boss_dps!$B$20)*Boss_dps!$C$20)</f>
        <v/>
      </c>
      <c r="T91" t="n">
        <v>284.158984</v>
      </c>
      <c r="U91" t="inlineStr">
        <is>
          <t>Assets/MachineBrigade/Resources/Data/balance.json: vehicles[id=kraken] dựng bởi Tools/balance/p26_ab.expand</t>
        </is>
      </c>
      <c r="V91" t="inlineStr"/>
    </row>
    <row r="92">
      <c r="A92" t="inlineStr">
        <is>
          <t>kraken/6</t>
        </is>
      </c>
      <c r="B92" t="inlineStr">
        <is>
          <t>kraken</t>
        </is>
      </c>
      <c r="C92" t="n">
        <v>6</v>
      </c>
      <c r="D92" t="inlineStr">
        <is>
          <t>p26_leviathan_direct_lev127</t>
        </is>
      </c>
      <c r="E92" t="inlineStr">
        <is>
          <t>mg</t>
        </is>
      </c>
      <c r="F92" t="inlineStr">
        <is>
          <t>Free</t>
        </is>
      </c>
      <c r="G92" t="inlineStr">
        <is>
          <t>ciws_aft</t>
        </is>
      </c>
      <c r="H92" t="n">
        <v>1</v>
      </c>
      <c r="I92" t="n">
        <v>380</v>
      </c>
      <c r="J92" t="n">
        <v>3</v>
      </c>
      <c r="K92" t="n">
        <v>0</v>
      </c>
      <c r="L92" t="n">
        <v>0</v>
      </c>
      <c r="M92" t="n">
        <v>0</v>
      </c>
      <c r="N92">
        <f>INDEX(boss_input_vu_khi_suy_ra!$C$2:$C$71,MATCH($D$92,boss_input_vu_khi_suy_ra!$A$2:$A$71,0))</f>
        <v/>
      </c>
      <c r="O92" t="inlineStr">
        <is>
          <t>giong</t>
        </is>
      </c>
      <c r="R92" t="n">
        <v>3</v>
      </c>
      <c r="S92">
        <f>IF($D$92="",0,INDEX(boss_input_vu_khi_suy_ra!$B$2:$B$71,MATCH($D$92,boss_input_vu_khi_suy_ra!$A$2:$A$71,0))*IF(INDEX(boss_input_vu_khi!$D$2:$D$71,MATCH($D$92,boss_input_vu_khi!$A$2:$A$71,0)),1,Boss_dps!$B$20)*Boss_dps!$C$20)</f>
        <v/>
      </c>
      <c r="T92" t="n">
        <v>284.158984</v>
      </c>
      <c r="U92" t="inlineStr">
        <is>
          <t>Assets/MachineBrigade/Resources/Data/balance.json: vehicles[id=kraken] dựng bởi Tools/balance/p26_ab.expand</t>
        </is>
      </c>
      <c r="V92" t="inlineStr"/>
    </row>
    <row r="93">
      <c r="A93" t="inlineStr">
        <is>
          <t>kraken/7</t>
        </is>
      </c>
      <c r="B93" t="inlineStr">
        <is>
          <t>kraken</t>
        </is>
      </c>
      <c r="C93" t="n">
        <v>7</v>
      </c>
      <c r="D93" t="inlineStr">
        <is>
          <t>aa_25_triple</t>
        </is>
      </c>
      <c r="E93" t="inlineStr">
        <is>
          <t>mg</t>
        </is>
      </c>
      <c r="F93" t="inlineStr">
        <is>
          <t>Free</t>
        </is>
      </c>
      <c r="G93" t="inlineStr">
        <is>
          <t>aa_port</t>
        </is>
      </c>
      <c r="H93" t="n">
        <v>1</v>
      </c>
      <c r="I93" t="n">
        <v>17</v>
      </c>
      <c r="J93" t="n">
        <v>0.05</v>
      </c>
      <c r="K93" t="n">
        <v>0</v>
      </c>
      <c r="L93" t="n">
        <v>0</v>
      </c>
      <c r="M93" t="n">
        <v>0</v>
      </c>
      <c r="N93">
        <f>INDEX(boss_input_vu_khi_suy_ra!$C$2:$C$71,MATCH($D$93,boss_input_vu_khi_suy_ra!$A$2:$A$71,0))</f>
        <v/>
      </c>
      <c r="O93" t="inlineStr">
        <is>
          <t>giong</t>
        </is>
      </c>
      <c r="R93" t="n">
        <v>3.1</v>
      </c>
      <c r="S93">
        <f>IF($D$93="",0,INDEX(boss_input_vu_khi_suy_ra!$B$2:$B$71,MATCH($D$93,boss_input_vu_khi_suy_ra!$A$2:$A$71,0))*IF(INDEX(boss_input_vu_khi!$D$2:$D$71,MATCH($D$93,boss_input_vu_khi!$A$2:$A$71,0)),1,Boss_dps!$B$20)*Boss_dps!$C$20)</f>
        <v/>
      </c>
      <c r="T93" t="n">
        <v>184.534484516129</v>
      </c>
      <c r="U93" t="inlineStr">
        <is>
          <t>Assets/MachineBrigade/Resources/Data/balance.json: vehicles[id=kraken] dựng bởi Tools/balance/p26_ab.expand</t>
        </is>
      </c>
      <c r="V93" t="inlineStr"/>
    </row>
    <row r="94">
      <c r="A94" t="inlineStr">
        <is>
          <t>kraken/8</t>
        </is>
      </c>
      <c r="B94" t="inlineStr">
        <is>
          <t>kraken</t>
        </is>
      </c>
      <c r="C94" t="n">
        <v>8</v>
      </c>
      <c r="D94" t="inlineStr">
        <is>
          <t>aa_25_triple</t>
        </is>
      </c>
      <c r="E94" t="inlineStr">
        <is>
          <t>mg</t>
        </is>
      </c>
      <c r="F94" t="inlineStr">
        <is>
          <t>Free</t>
        </is>
      </c>
      <c r="G94" t="inlineStr">
        <is>
          <t>aa_port</t>
        </is>
      </c>
      <c r="H94" t="n">
        <v>1</v>
      </c>
      <c r="I94" t="n">
        <v>17</v>
      </c>
      <c r="J94" t="n">
        <v>0.05</v>
      </c>
      <c r="K94" t="n">
        <v>0</v>
      </c>
      <c r="L94" t="n">
        <v>0</v>
      </c>
      <c r="M94" t="n">
        <v>0</v>
      </c>
      <c r="N94">
        <f>INDEX(boss_input_vu_khi_suy_ra!$C$2:$C$71,MATCH($D$94,boss_input_vu_khi_suy_ra!$A$2:$A$71,0))</f>
        <v/>
      </c>
      <c r="O94" t="inlineStr">
        <is>
          <t>giong</t>
        </is>
      </c>
      <c r="R94" t="n">
        <v>3.1</v>
      </c>
      <c r="S94">
        <f>IF($D$94="",0,INDEX(boss_input_vu_khi_suy_ra!$B$2:$B$71,MATCH($D$94,boss_input_vu_khi_suy_ra!$A$2:$A$71,0))*IF(INDEX(boss_input_vu_khi!$D$2:$D$71,MATCH($D$94,boss_input_vu_khi!$A$2:$A$71,0)),1,Boss_dps!$B$20)*Boss_dps!$C$20)</f>
        <v/>
      </c>
      <c r="T94" t="n">
        <v>184.534484516129</v>
      </c>
      <c r="U94" t="inlineStr">
        <is>
          <t>Assets/MachineBrigade/Resources/Data/balance.json: vehicles[id=kraken] dựng bởi Tools/balance/p26_ab.expand</t>
        </is>
      </c>
      <c r="V94" t="inlineStr"/>
    </row>
    <row r="95">
      <c r="A95" t="inlineStr">
        <is>
          <t>kraken/9</t>
        </is>
      </c>
      <c r="B95" t="inlineStr">
        <is>
          <t>kraken</t>
        </is>
      </c>
      <c r="C95" t="n">
        <v>9</v>
      </c>
      <c r="D95" t="inlineStr">
        <is>
          <t>aa_25_triple</t>
        </is>
      </c>
      <c r="E95" t="inlineStr">
        <is>
          <t>mg</t>
        </is>
      </c>
      <c r="F95" t="inlineStr">
        <is>
          <t>Free</t>
        </is>
      </c>
      <c r="G95" t="inlineStr">
        <is>
          <t>aa_port</t>
        </is>
      </c>
      <c r="H95" t="n">
        <v>1</v>
      </c>
      <c r="I95" t="n">
        <v>17</v>
      </c>
      <c r="J95" t="n">
        <v>0.05</v>
      </c>
      <c r="K95" t="n">
        <v>0</v>
      </c>
      <c r="L95" t="n">
        <v>0</v>
      </c>
      <c r="M95" t="n">
        <v>0</v>
      </c>
      <c r="N95">
        <f>INDEX(boss_input_vu_khi_suy_ra!$C$2:$C$71,MATCH($D$95,boss_input_vu_khi_suy_ra!$A$2:$A$71,0))</f>
        <v/>
      </c>
      <c r="O95" t="inlineStr">
        <is>
          <t>giong</t>
        </is>
      </c>
      <c r="R95" t="n">
        <v>3.1</v>
      </c>
      <c r="S95">
        <f>IF($D$95="",0,INDEX(boss_input_vu_khi_suy_ra!$B$2:$B$71,MATCH($D$95,boss_input_vu_khi_suy_ra!$A$2:$A$71,0))*IF(INDEX(boss_input_vu_khi!$D$2:$D$71,MATCH($D$95,boss_input_vu_khi!$A$2:$A$71,0)),1,Boss_dps!$B$20)*Boss_dps!$C$20)</f>
        <v/>
      </c>
      <c r="T95" t="n">
        <v>184.534484516129</v>
      </c>
      <c r="U95" t="inlineStr">
        <is>
          <t>Assets/MachineBrigade/Resources/Data/balance.json: vehicles[id=kraken] dựng bởi Tools/balance/p26_ab.expand</t>
        </is>
      </c>
      <c r="V95" t="inlineStr"/>
    </row>
    <row r="96">
      <c r="A96" t="inlineStr">
        <is>
          <t>kraken/10</t>
        </is>
      </c>
      <c r="B96" t="inlineStr">
        <is>
          <t>kraken</t>
        </is>
      </c>
      <c r="C96" t="n">
        <v>10</v>
      </c>
      <c r="D96" t="inlineStr">
        <is>
          <t>aa_25_triple</t>
        </is>
      </c>
      <c r="E96" t="inlineStr">
        <is>
          <t>mg</t>
        </is>
      </c>
      <c r="F96" t="inlineStr">
        <is>
          <t>Free</t>
        </is>
      </c>
      <c r="G96" t="inlineStr">
        <is>
          <t>aa_port</t>
        </is>
      </c>
      <c r="H96" t="n">
        <v>1</v>
      </c>
      <c r="I96" t="n">
        <v>17</v>
      </c>
      <c r="J96" t="n">
        <v>0.05</v>
      </c>
      <c r="K96" t="n">
        <v>0</v>
      </c>
      <c r="L96" t="n">
        <v>0</v>
      </c>
      <c r="M96" t="n">
        <v>0</v>
      </c>
      <c r="N96">
        <f>INDEX(boss_input_vu_khi_suy_ra!$C$2:$C$71,MATCH($D$96,boss_input_vu_khi_suy_ra!$A$2:$A$71,0))</f>
        <v/>
      </c>
      <c r="O96" t="inlineStr">
        <is>
          <t>giong</t>
        </is>
      </c>
      <c r="R96" t="n">
        <v>3.1</v>
      </c>
      <c r="S96">
        <f>IF($D$96="",0,INDEX(boss_input_vu_khi_suy_ra!$B$2:$B$71,MATCH($D$96,boss_input_vu_khi_suy_ra!$A$2:$A$71,0))*IF(INDEX(boss_input_vu_khi!$D$2:$D$71,MATCH($D$96,boss_input_vu_khi!$A$2:$A$71,0)),1,Boss_dps!$B$20)*Boss_dps!$C$20)</f>
        <v/>
      </c>
      <c r="T96" t="n">
        <v>184.534484516129</v>
      </c>
      <c r="U96" t="inlineStr">
        <is>
          <t>Assets/MachineBrigade/Resources/Data/balance.json: vehicles[id=kraken] dựng bởi Tools/balance/p26_ab.expand</t>
        </is>
      </c>
      <c r="V96" t="inlineStr"/>
    </row>
    <row r="97">
      <c r="A97" t="inlineStr">
        <is>
          <t>kraken/11</t>
        </is>
      </c>
      <c r="B97" t="inlineStr">
        <is>
          <t>kraken</t>
        </is>
      </c>
      <c r="C97" t="n">
        <v>11</v>
      </c>
      <c r="D97" t="inlineStr">
        <is>
          <t>aa_25_triple</t>
        </is>
      </c>
      <c r="E97" t="inlineStr">
        <is>
          <t>mg</t>
        </is>
      </c>
      <c r="F97" t="inlineStr">
        <is>
          <t>Free</t>
        </is>
      </c>
      <c r="G97" t="inlineStr">
        <is>
          <t>aa_starboard</t>
        </is>
      </c>
      <c r="H97" t="n">
        <v>1</v>
      </c>
      <c r="I97" t="n">
        <v>17</v>
      </c>
      <c r="J97" t="n">
        <v>0.05</v>
      </c>
      <c r="K97" t="n">
        <v>0</v>
      </c>
      <c r="L97" t="n">
        <v>0</v>
      </c>
      <c r="M97" t="n">
        <v>0</v>
      </c>
      <c r="N97">
        <f>INDEX(boss_input_vu_khi_suy_ra!$C$2:$C$71,MATCH($D$97,boss_input_vu_khi_suy_ra!$A$2:$A$71,0))</f>
        <v/>
      </c>
      <c r="O97" t="inlineStr">
        <is>
          <t>giong</t>
        </is>
      </c>
      <c r="R97" t="n">
        <v>3.1</v>
      </c>
      <c r="S97">
        <f>IF($D$97="",0,INDEX(boss_input_vu_khi_suy_ra!$B$2:$B$71,MATCH($D$97,boss_input_vu_khi_suy_ra!$A$2:$A$71,0))*IF(INDEX(boss_input_vu_khi!$D$2:$D$71,MATCH($D$97,boss_input_vu_khi!$A$2:$A$71,0)),1,Boss_dps!$B$20)*Boss_dps!$C$20)</f>
        <v/>
      </c>
      <c r="T97" t="n">
        <v>184.534484516129</v>
      </c>
      <c r="U97" t="inlineStr">
        <is>
          <t>Assets/MachineBrigade/Resources/Data/balance.json: vehicles[id=kraken] dựng bởi Tools/balance/p26_ab.expand</t>
        </is>
      </c>
      <c r="V97" t="inlineStr"/>
    </row>
    <row r="98">
      <c r="A98" t="inlineStr">
        <is>
          <t>kraken/12</t>
        </is>
      </c>
      <c r="B98" t="inlineStr">
        <is>
          <t>kraken</t>
        </is>
      </c>
      <c r="C98" t="n">
        <v>12</v>
      </c>
      <c r="D98" t="inlineStr">
        <is>
          <t>aa_25_triple</t>
        </is>
      </c>
      <c r="E98" t="inlineStr">
        <is>
          <t>mg</t>
        </is>
      </c>
      <c r="F98" t="inlineStr">
        <is>
          <t>Free</t>
        </is>
      </c>
      <c r="G98" t="inlineStr">
        <is>
          <t>aa_starboard</t>
        </is>
      </c>
      <c r="H98" t="n">
        <v>1</v>
      </c>
      <c r="I98" t="n">
        <v>17</v>
      </c>
      <c r="J98" t="n">
        <v>0.05</v>
      </c>
      <c r="K98" t="n">
        <v>0</v>
      </c>
      <c r="L98" t="n">
        <v>0</v>
      </c>
      <c r="M98" t="n">
        <v>0</v>
      </c>
      <c r="N98">
        <f>INDEX(boss_input_vu_khi_suy_ra!$C$2:$C$71,MATCH($D$98,boss_input_vu_khi_suy_ra!$A$2:$A$71,0))</f>
        <v/>
      </c>
      <c r="O98" t="inlineStr">
        <is>
          <t>giong</t>
        </is>
      </c>
      <c r="R98" t="n">
        <v>3.1</v>
      </c>
      <c r="S98">
        <f>IF($D$98="",0,INDEX(boss_input_vu_khi_suy_ra!$B$2:$B$71,MATCH($D$98,boss_input_vu_khi_suy_ra!$A$2:$A$71,0))*IF(INDEX(boss_input_vu_khi!$D$2:$D$71,MATCH($D$98,boss_input_vu_khi!$A$2:$A$71,0)),1,Boss_dps!$B$20)*Boss_dps!$C$20)</f>
        <v/>
      </c>
      <c r="T98" t="n">
        <v>184.534484516129</v>
      </c>
      <c r="U98" t="inlineStr">
        <is>
          <t>Assets/MachineBrigade/Resources/Data/balance.json: vehicles[id=kraken] dựng bởi Tools/balance/p26_ab.expand</t>
        </is>
      </c>
      <c r="V98" t="inlineStr"/>
    </row>
    <row r="99">
      <c r="A99" t="inlineStr">
        <is>
          <t>kraken/13</t>
        </is>
      </c>
      <c r="B99" t="inlineStr">
        <is>
          <t>kraken</t>
        </is>
      </c>
      <c r="C99" t="n">
        <v>13</v>
      </c>
      <c r="D99" t="inlineStr">
        <is>
          <t>aa_25_triple</t>
        </is>
      </c>
      <c r="E99" t="inlineStr">
        <is>
          <t>mg</t>
        </is>
      </c>
      <c r="F99" t="inlineStr">
        <is>
          <t>Free</t>
        </is>
      </c>
      <c r="G99" t="inlineStr">
        <is>
          <t>aa_starboard</t>
        </is>
      </c>
      <c r="H99" t="n">
        <v>1</v>
      </c>
      <c r="I99" t="n">
        <v>17</v>
      </c>
      <c r="J99" t="n">
        <v>0.05</v>
      </c>
      <c r="K99" t="n">
        <v>0</v>
      </c>
      <c r="L99" t="n">
        <v>0</v>
      </c>
      <c r="M99" t="n">
        <v>0</v>
      </c>
      <c r="N99">
        <f>INDEX(boss_input_vu_khi_suy_ra!$C$2:$C$71,MATCH($D$99,boss_input_vu_khi_suy_ra!$A$2:$A$71,0))</f>
        <v/>
      </c>
      <c r="O99" t="inlineStr">
        <is>
          <t>giong</t>
        </is>
      </c>
      <c r="R99" t="n">
        <v>3.1</v>
      </c>
      <c r="S99">
        <f>IF($D$99="",0,INDEX(boss_input_vu_khi_suy_ra!$B$2:$B$71,MATCH($D$99,boss_input_vu_khi_suy_ra!$A$2:$A$71,0))*IF(INDEX(boss_input_vu_khi!$D$2:$D$71,MATCH($D$99,boss_input_vu_khi!$A$2:$A$71,0)),1,Boss_dps!$B$20)*Boss_dps!$C$20)</f>
        <v/>
      </c>
      <c r="T99" t="n">
        <v>184.534484516129</v>
      </c>
      <c r="U99" t="inlineStr">
        <is>
          <t>Assets/MachineBrigade/Resources/Data/balance.json: vehicles[id=kraken] dựng bởi Tools/balance/p26_ab.expand</t>
        </is>
      </c>
      <c r="V99" t="inlineStr"/>
    </row>
    <row r="100">
      <c r="A100" t="inlineStr">
        <is>
          <t>kraken/14</t>
        </is>
      </c>
      <c r="B100" t="inlineStr">
        <is>
          <t>kraken</t>
        </is>
      </c>
      <c r="C100" t="n">
        <v>14</v>
      </c>
      <c r="D100" t="inlineStr">
        <is>
          <t>aa_25_triple</t>
        </is>
      </c>
      <c r="E100" t="inlineStr">
        <is>
          <t>mg</t>
        </is>
      </c>
      <c r="F100" t="inlineStr">
        <is>
          <t>Free</t>
        </is>
      </c>
      <c r="G100" t="inlineStr">
        <is>
          <t>aa_starboard</t>
        </is>
      </c>
      <c r="H100" t="n">
        <v>1</v>
      </c>
      <c r="I100" t="n">
        <v>17</v>
      </c>
      <c r="J100" t="n">
        <v>0.05</v>
      </c>
      <c r="K100" t="n">
        <v>0</v>
      </c>
      <c r="L100" t="n">
        <v>0</v>
      </c>
      <c r="M100" t="n">
        <v>0</v>
      </c>
      <c r="N100">
        <f>INDEX(boss_input_vu_khi_suy_ra!$C$2:$C$71,MATCH($D$100,boss_input_vu_khi_suy_ra!$A$2:$A$71,0))</f>
        <v/>
      </c>
      <c r="O100" t="inlineStr">
        <is>
          <t>giong</t>
        </is>
      </c>
      <c r="R100" t="n">
        <v>3.1</v>
      </c>
      <c r="S100">
        <f>IF($D$100="",0,INDEX(boss_input_vu_khi_suy_ra!$B$2:$B$71,MATCH($D$100,boss_input_vu_khi_suy_ra!$A$2:$A$71,0))*IF(INDEX(boss_input_vu_khi!$D$2:$D$71,MATCH($D$100,boss_input_vu_khi!$A$2:$A$71,0)),1,Boss_dps!$B$20)*Boss_dps!$C$20)</f>
        <v/>
      </c>
      <c r="T100" t="n">
        <v>184.534484516129</v>
      </c>
      <c r="U100" t="inlineStr">
        <is>
          <t>Assets/MachineBrigade/Resources/Data/balance.json: vehicles[id=kraken] dựng bởi Tools/balance/p26_ab.expand</t>
        </is>
      </c>
      <c r="V100" t="inlineStr"/>
    </row>
    <row r="101">
      <c r="A101" t="inlineStr">
        <is>
          <t>kraken/15</t>
        </is>
      </c>
      <c r="B101" t="inlineStr">
        <is>
          <t>kraken</t>
        </is>
      </c>
      <c r="C101" t="n">
        <v>15</v>
      </c>
      <c r="D101" t="inlineStr">
        <is>
          <t>sam_post</t>
        </is>
      </c>
      <c r="E101" t="inlineStr">
        <is>
          <t>missile</t>
        </is>
      </c>
      <c r="F101" t="inlineStr">
        <is>
          <t>Free</t>
        </is>
      </c>
      <c r="G101" t="inlineStr">
        <is>
          <t>radar</t>
        </is>
      </c>
      <c r="H101" t="n">
        <v>1</v>
      </c>
      <c r="I101" t="n">
        <v>320</v>
      </c>
      <c r="J101" t="n">
        <v>3.9</v>
      </c>
      <c r="K101" t="n">
        <v>2</v>
      </c>
      <c r="L101" t="n">
        <v>0</v>
      </c>
      <c r="M101" t="n">
        <v>0</v>
      </c>
      <c r="N101">
        <f>INDEX(boss_input_vu_khi_suy_ra!$C$2:$C$71,MATCH($D$101,boss_input_vu_khi_suy_ra!$A$2:$A$71,0))</f>
        <v/>
      </c>
      <c r="O101" t="inlineStr">
        <is>
          <t>giong</t>
        </is>
      </c>
      <c r="R101" t="n">
        <v>4.4</v>
      </c>
      <c r="S101">
        <f>IF($D$101="",0,INDEX(boss_input_vu_khi_suy_ra!$B$2:$B$71,MATCH($D$101,boss_input_vu_khi_suy_ra!$A$2:$A$71,0))*IF(INDEX(boss_input_vu_khi!$D$2:$D$71,MATCH($D$101,boss_input_vu_khi!$A$2:$A$71,0)),1,Boss_dps!$B$20)*Boss_dps!$C$20)</f>
        <v/>
      </c>
      <c r="T101" t="n">
        <v>326.3069672727273</v>
      </c>
      <c r="U101" t="inlineStr">
        <is>
          <t>Assets/MachineBrigade/Resources/Data/balance.json: vehicles[id=kraken] dựng bởi Tools/balance/p26_ab.expand</t>
        </is>
      </c>
      <c r="V101" t="inlineStr"/>
    </row>
    <row r="102">
      <c r="A102" t="inlineStr">
        <is>
          <t>landing_hovercraft/0</t>
        </is>
      </c>
      <c r="B102" t="inlineStr">
        <is>
          <t>landing_hovercraft</t>
        </is>
      </c>
      <c r="C102" t="n">
        <v>0</v>
      </c>
      <c r="D102" t="inlineStr">
        <is>
          <t>hover_ciws</t>
        </is>
      </c>
      <c r="E102" t="inlineStr">
        <is>
          <t>gun</t>
        </is>
      </c>
      <c r="F102" t="inlineStr">
        <is>
          <t>Free</t>
        </is>
      </c>
      <c r="G102" t="inlineStr">
        <is>
          <t>gun_l</t>
        </is>
      </c>
      <c r="H102" t="n">
        <v>1</v>
      </c>
      <c r="I102" t="n">
        <v>12</v>
      </c>
      <c r="J102" t="n">
        <v>0.0167</v>
      </c>
      <c r="K102" t="n">
        <v>0</v>
      </c>
      <c r="L102" t="n">
        <v>0</v>
      </c>
      <c r="M102" t="n">
        <v>0</v>
      </c>
      <c r="N102">
        <f>INDEX(boss_input_vu_khi_suy_ra!$C$2:$C$71,MATCH($D$102,boss_input_vu_khi_suy_ra!$A$2:$A$71,0))</f>
        <v/>
      </c>
      <c r="O102" t="inlineStr">
        <is>
          <t>giong</t>
        </is>
      </c>
      <c r="R102" t="n">
        <v>6.002</v>
      </c>
      <c r="S102">
        <f>IF($D$102="",0,INDEX(boss_input_vu_khi_suy_ra!$B$2:$B$71,MATCH($D$102,boss_input_vu_khi_suy_ra!$A$2:$A$71,0))*IF(INDEX(boss_input_vu_khi!$D$2:$D$71,MATCH($D$102,boss_input_vu_khi!$A$2:$A$71,0)),1,Boss_dps!$B$21)*Boss_dps!$C$21)</f>
        <v/>
      </c>
      <c r="T102" t="n">
        <v>516.1879373542153</v>
      </c>
      <c r="U102" t="inlineStr">
        <is>
          <t>Assets/MachineBrigade/Resources/Data/balance.json: vehicles[id=landing_hovercraft] dựng bởi Tools/balance/p26_ab.expand</t>
        </is>
      </c>
      <c r="V102" t="inlineStr"/>
    </row>
    <row r="103">
      <c r="A103" t="inlineStr">
        <is>
          <t>landing_hovercraft/1</t>
        </is>
      </c>
      <c r="B103" t="inlineStr">
        <is>
          <t>landing_hovercraft</t>
        </is>
      </c>
      <c r="C103" t="n">
        <v>1</v>
      </c>
      <c r="D103" t="inlineStr">
        <is>
          <t>hover_ciws</t>
        </is>
      </c>
      <c r="E103" t="inlineStr">
        <is>
          <t>gun</t>
        </is>
      </c>
      <c r="F103" t="inlineStr">
        <is>
          <t>Free</t>
        </is>
      </c>
      <c r="G103" t="inlineStr">
        <is>
          <t>gun_r</t>
        </is>
      </c>
      <c r="H103" t="n">
        <v>1</v>
      </c>
      <c r="I103" t="n">
        <v>12</v>
      </c>
      <c r="J103" t="n">
        <v>0.0167</v>
      </c>
      <c r="K103" t="n">
        <v>0</v>
      </c>
      <c r="L103" t="n">
        <v>0</v>
      </c>
      <c r="M103" t="n">
        <v>0</v>
      </c>
      <c r="N103">
        <f>INDEX(boss_input_vu_khi_suy_ra!$C$2:$C$71,MATCH($D$103,boss_input_vu_khi_suy_ra!$A$2:$A$71,0))</f>
        <v/>
      </c>
      <c r="O103" t="inlineStr">
        <is>
          <t>giong</t>
        </is>
      </c>
      <c r="R103" t="n">
        <v>6.002</v>
      </c>
      <c r="S103">
        <f>IF($D$103="",0,INDEX(boss_input_vu_khi_suy_ra!$B$2:$B$71,MATCH($D$103,boss_input_vu_khi_suy_ra!$A$2:$A$71,0))*IF(INDEX(boss_input_vu_khi!$D$2:$D$71,MATCH($D$103,boss_input_vu_khi!$A$2:$A$71,0)),1,Boss_dps!$B$21)*Boss_dps!$C$21)</f>
        <v/>
      </c>
      <c r="T103" t="n">
        <v>516.1879373542153</v>
      </c>
      <c r="U103" t="inlineStr">
        <is>
          <t>Assets/MachineBrigade/Resources/Data/balance.json: vehicles[id=landing_hovercraft] dựng bởi Tools/balance/p26_ab.expand</t>
        </is>
      </c>
      <c r="V103" t="inlineStr"/>
    </row>
    <row r="104">
      <c r="A104" t="inlineStr">
        <is>
          <t>landing_hovercraft/2</t>
        </is>
      </c>
      <c r="B104" t="inlineStr">
        <is>
          <t>landing_hovercraft</t>
        </is>
      </c>
      <c r="C104" t="n">
        <v>2</v>
      </c>
      <c r="D104" t="inlineStr">
        <is>
          <t>ciws_aa</t>
        </is>
      </c>
      <c r="E104" t="inlineStr">
        <is>
          <t>mg</t>
        </is>
      </c>
      <c r="F104" t="inlineStr">
        <is>
          <t>Free</t>
        </is>
      </c>
      <c r="G104" t="inlineStr">
        <is>
          <t>ciws_r</t>
        </is>
      </c>
      <c r="H104" t="n">
        <v>1</v>
      </c>
      <c r="I104" t="n">
        <v>12</v>
      </c>
      <c r="J104" t="n">
        <v>0.0167</v>
      </c>
      <c r="K104" t="n">
        <v>0</v>
      </c>
      <c r="L104" t="n">
        <v>0</v>
      </c>
      <c r="M104" t="n">
        <v>0</v>
      </c>
      <c r="N104">
        <f>INDEX(boss_input_vu_khi_suy_ra!$C$2:$C$71,MATCH($D$104,boss_input_vu_khi_suy_ra!$A$2:$A$71,0))</f>
        <v/>
      </c>
      <c r="O104" t="inlineStr">
        <is>
          <t>giong</t>
        </is>
      </c>
      <c r="R104" t="n">
        <v>6.002</v>
      </c>
      <c r="S104">
        <f>IF($D$104="",0,INDEX(boss_input_vu_khi_suy_ra!$B$2:$B$71,MATCH($D$104,boss_input_vu_khi_suy_ra!$A$2:$A$71,0))*IF(INDEX(boss_input_vu_khi!$D$2:$D$71,MATCH($D$104,boss_input_vu_khi!$A$2:$A$71,0)),1,Boss_dps!$B$21)*Boss_dps!$C$21)</f>
        <v/>
      </c>
      <c r="T104" t="n">
        <v>516.1879373542153</v>
      </c>
      <c r="U104" t="inlineStr">
        <is>
          <t>Assets/MachineBrigade/Resources/Data/balance.json: vehicles[id=landing_hovercraft] dựng bởi Tools/balance/p26_ab.expand</t>
        </is>
      </c>
      <c r="V104" t="inlineStr"/>
    </row>
    <row r="105">
      <c r="A105" t="inlineStr">
        <is>
          <t>landing_hovercraft/3</t>
        </is>
      </c>
      <c r="B105" t="inlineStr">
        <is>
          <t>landing_hovercraft</t>
        </is>
      </c>
      <c r="C105" t="n">
        <v>3</v>
      </c>
      <c r="D105" t="inlineStr">
        <is>
          <t>hover_rockets</t>
        </is>
      </c>
      <c r="E105" t="inlineStr">
        <is>
          <t>rocket</t>
        </is>
      </c>
      <c r="F105" t="inlineStr">
        <is>
          <t>Free</t>
        </is>
      </c>
      <c r="G105" t="inlineStr">
        <is>
          <t>rockets_l</t>
        </is>
      </c>
      <c r="H105" t="n">
        <v>1</v>
      </c>
      <c r="I105" t="n">
        <v>65</v>
      </c>
      <c r="J105" t="n">
        <v>22</v>
      </c>
      <c r="K105" t="n">
        <v>4</v>
      </c>
      <c r="L105" t="n">
        <v>8</v>
      </c>
      <c r="M105" t="n">
        <v>0</v>
      </c>
      <c r="N105">
        <f>INDEX(boss_input_vu_khi_suy_ra!$C$2:$C$71,MATCH($D$105,boss_input_vu_khi_suy_ra!$A$2:$A$71,0))</f>
        <v/>
      </c>
      <c r="O105" t="inlineStr">
        <is>
          <t>giong</t>
        </is>
      </c>
      <c r="R105" t="n">
        <v>27</v>
      </c>
      <c r="S105">
        <f>IF($D$105="",0,INDEX(boss_input_vu_khi_suy_ra!$B$2:$B$71,MATCH($D$105,boss_input_vu_khi_suy_ra!$A$2:$A$71,0))*IF(INDEX(boss_input_vu_khi!$D$2:$D$71,MATCH($D$105,boss_input_vu_khi!$A$2:$A$71,0)),1,Boss_dps!$B$21)*Boss_dps!$C$21)</f>
        <v/>
      </c>
      <c r="T105" t="n">
        <v>113.9498148148148</v>
      </c>
      <c r="U105" t="inlineStr">
        <is>
          <t>Assets/MachineBrigade/Resources/Data/balance.json: vehicles[id=landing_hovercraft] dựng bởi Tools/balance/p26_ab.expand</t>
        </is>
      </c>
      <c r="V105" t="inlineStr"/>
    </row>
    <row r="106">
      <c r="A106" t="inlineStr">
        <is>
          <t>landing_hovercraft/4</t>
        </is>
      </c>
      <c r="B106" t="inlineStr">
        <is>
          <t>landing_hovercraft</t>
        </is>
      </c>
      <c r="C106" t="n">
        <v>4</v>
      </c>
      <c r="D106" t="inlineStr">
        <is>
          <t>hover_rockets</t>
        </is>
      </c>
      <c r="E106" t="inlineStr">
        <is>
          <t>rocket</t>
        </is>
      </c>
      <c r="F106" t="inlineStr">
        <is>
          <t>Free</t>
        </is>
      </c>
      <c r="G106" t="inlineStr">
        <is>
          <t>rockets_r</t>
        </is>
      </c>
      <c r="H106" t="n">
        <v>1</v>
      </c>
      <c r="I106" t="n">
        <v>65</v>
      </c>
      <c r="J106" t="n">
        <v>22</v>
      </c>
      <c r="K106" t="n">
        <v>4</v>
      </c>
      <c r="L106" t="n">
        <v>8</v>
      </c>
      <c r="M106" t="n">
        <v>0</v>
      </c>
      <c r="N106">
        <f>INDEX(boss_input_vu_khi_suy_ra!$C$2:$C$71,MATCH($D$106,boss_input_vu_khi_suy_ra!$A$2:$A$71,0))</f>
        <v/>
      </c>
      <c r="O106" t="inlineStr">
        <is>
          <t>giong</t>
        </is>
      </c>
      <c r="R106" t="n">
        <v>27</v>
      </c>
      <c r="S106">
        <f>IF($D$106="",0,INDEX(boss_input_vu_khi_suy_ra!$B$2:$B$71,MATCH($D$106,boss_input_vu_khi_suy_ra!$A$2:$A$71,0))*IF(INDEX(boss_input_vu_khi!$D$2:$D$71,MATCH($D$106,boss_input_vu_khi!$A$2:$A$71,0)),1,Boss_dps!$B$21)*Boss_dps!$C$21)</f>
        <v/>
      </c>
      <c r="T106" t="n">
        <v>113.9498148148148</v>
      </c>
      <c r="U106" t="inlineStr">
        <is>
          <t>Assets/MachineBrigade/Resources/Data/balance.json: vehicles[id=landing_hovercraft] dựng bởi Tools/balance/p26_ab.expand</t>
        </is>
      </c>
      <c r="V106" t="inlineStr"/>
    </row>
    <row r="107">
      <c r="A107" t="inlineStr">
        <is>
          <t>leviathan/0</t>
        </is>
      </c>
      <c r="B107" t="inlineStr">
        <is>
          <t>leviathan</t>
        </is>
      </c>
      <c r="C107" t="n">
        <v>0</v>
      </c>
      <c r="D107" t="inlineStr">
        <is>
          <t>p26_leviathan_lev406</t>
        </is>
      </c>
      <c r="E107" t="inlineStr">
        <is>
          <t>gun</t>
        </is>
      </c>
      <c r="F107" t="inlineStr">
        <is>
          <t>Free</t>
        </is>
      </c>
      <c r="G107" t="inlineStr">
        <is>
          <t>turret_fore</t>
        </is>
      </c>
      <c r="H107" t="n">
        <v>3</v>
      </c>
      <c r="I107" t="n">
        <v>2400</v>
      </c>
      <c r="J107" t="n">
        <v>60</v>
      </c>
      <c r="K107" t="n">
        <v>14</v>
      </c>
      <c r="L107" t="n">
        <v>24</v>
      </c>
      <c r="M107" t="n">
        <v>3.611111111111111</v>
      </c>
      <c r="N107">
        <f>INDEX(boss_input_vu_khi_suy_ra!$C$2:$C$71,MATCH($D$107,boss_input_vu_khi_suy_ra!$A$2:$A$71,0))</f>
        <v/>
      </c>
      <c r="O107" t="inlineStr">
        <is>
          <t>giong</t>
        </is>
      </c>
      <c r="R107" t="n">
        <v>60</v>
      </c>
      <c r="S107">
        <f>IF($D$107="",0,INDEX(boss_input_vu_khi_suy_ra!$B$2:$B$71,MATCH($D$107,boss_input_vu_khi_suy_ra!$A$2:$A$71,0))*IF(INDEX(boss_input_vu_khi!$D$2:$D$71,MATCH($D$107,boss_input_vu_khi!$A$2:$A$71,0)),1,Boss_dps!$B$22)*Boss_dps!$C$22)</f>
        <v/>
      </c>
      <c r="T107" t="n">
        <v>116.136</v>
      </c>
      <c r="U107" t="inlineStr">
        <is>
          <t>Assets/MachineBrigade/Resources/Data/balance.json: vehicles[id=leviathan] dựng bởi Tools/balance/p26_ab.expand</t>
        </is>
      </c>
      <c r="V107" t="inlineStr"/>
    </row>
    <row r="108">
      <c r="A108" t="inlineStr">
        <is>
          <t>leviathan/1</t>
        </is>
      </c>
      <c r="B108" t="inlineStr">
        <is>
          <t>leviathan</t>
        </is>
      </c>
      <c r="C108" t="n">
        <v>1</v>
      </c>
      <c r="D108" t="inlineStr">
        <is>
          <t>p26_leviathan_lev406</t>
        </is>
      </c>
      <c r="E108" t="inlineStr">
        <is>
          <t>gun</t>
        </is>
      </c>
      <c r="F108" t="inlineStr">
        <is>
          <t>Free</t>
        </is>
      </c>
      <c r="G108" t="inlineStr">
        <is>
          <t>turret_super</t>
        </is>
      </c>
      <c r="H108" t="n">
        <v>3</v>
      </c>
      <c r="I108" t="n">
        <v>2400</v>
      </c>
      <c r="J108" t="n">
        <v>60</v>
      </c>
      <c r="K108" t="n">
        <v>14</v>
      </c>
      <c r="L108" t="n">
        <v>24</v>
      </c>
      <c r="M108" t="n">
        <v>3.611111111111111</v>
      </c>
      <c r="N108">
        <f>INDEX(boss_input_vu_khi_suy_ra!$C$2:$C$71,MATCH($D$108,boss_input_vu_khi_suy_ra!$A$2:$A$71,0))</f>
        <v/>
      </c>
      <c r="O108" t="inlineStr">
        <is>
          <t>giong</t>
        </is>
      </c>
      <c r="R108" t="n">
        <v>60</v>
      </c>
      <c r="S108">
        <f>IF($D$108="",0,INDEX(boss_input_vu_khi_suy_ra!$B$2:$B$71,MATCH($D$108,boss_input_vu_khi_suy_ra!$A$2:$A$71,0))*IF(INDEX(boss_input_vu_khi!$D$2:$D$71,MATCH($D$108,boss_input_vu_khi!$A$2:$A$71,0)),1,Boss_dps!$B$22)*Boss_dps!$C$22)</f>
        <v/>
      </c>
      <c r="T108" t="n">
        <v>116.136</v>
      </c>
      <c r="U108" t="inlineStr">
        <is>
          <t>Assets/MachineBrigade/Resources/Data/balance.json: vehicles[id=leviathan] dựng bởi Tools/balance/p26_ab.expand</t>
        </is>
      </c>
      <c r="V108" t="inlineStr"/>
    </row>
    <row r="109">
      <c r="A109" t="inlineStr">
        <is>
          <t>leviathan/2</t>
        </is>
      </c>
      <c r="B109" t="inlineStr">
        <is>
          <t>leviathan</t>
        </is>
      </c>
      <c r="C109" t="n">
        <v>2</v>
      </c>
      <c r="D109" t="inlineStr">
        <is>
          <t>p26_leviathan_lev406</t>
        </is>
      </c>
      <c r="E109" t="inlineStr">
        <is>
          <t>gun</t>
        </is>
      </c>
      <c r="F109" t="inlineStr">
        <is>
          <t>Free</t>
        </is>
      </c>
      <c r="G109" t="inlineStr">
        <is>
          <t>turret_aft</t>
        </is>
      </c>
      <c r="H109" t="n">
        <v>3</v>
      </c>
      <c r="I109" t="n">
        <v>2400</v>
      </c>
      <c r="J109" t="n">
        <v>60</v>
      </c>
      <c r="K109" t="n">
        <v>14</v>
      </c>
      <c r="L109" t="n">
        <v>24</v>
      </c>
      <c r="M109" t="n">
        <v>3.611111111111111</v>
      </c>
      <c r="N109">
        <f>INDEX(boss_input_vu_khi_suy_ra!$C$2:$C$71,MATCH($D$109,boss_input_vu_khi_suy_ra!$A$2:$A$71,0))</f>
        <v/>
      </c>
      <c r="O109" t="inlineStr">
        <is>
          <t>giong</t>
        </is>
      </c>
      <c r="R109" t="n">
        <v>60</v>
      </c>
      <c r="S109">
        <f>IF($D$109="",0,INDEX(boss_input_vu_khi_suy_ra!$B$2:$B$71,MATCH($D$109,boss_input_vu_khi_suy_ra!$A$2:$A$71,0))*IF(INDEX(boss_input_vu_khi!$D$2:$D$71,MATCH($D$109,boss_input_vu_khi!$A$2:$A$71,0)),1,Boss_dps!$B$22)*Boss_dps!$C$22)</f>
        <v/>
      </c>
      <c r="T109" t="n">
        <v>116.136</v>
      </c>
      <c r="U109" t="inlineStr">
        <is>
          <t>Assets/MachineBrigade/Resources/Data/balance.json: vehicles[id=leviathan] dựng bởi Tools/balance/p26_ab.expand</t>
        </is>
      </c>
      <c r="V109" t="inlineStr"/>
    </row>
    <row r="110">
      <c r="A110" t="inlineStr">
        <is>
          <t>leviathan/3</t>
        </is>
      </c>
      <c r="B110" t="inlineStr">
        <is>
          <t>leviathan</t>
        </is>
      </c>
      <c r="C110" t="n">
        <v>3</v>
      </c>
      <c r="D110" t="inlineStr">
        <is>
          <t>p26_leviathan_sec_lev155</t>
        </is>
      </c>
      <c r="E110" t="inlineStr">
        <is>
          <t>gun</t>
        </is>
      </c>
      <c r="F110" t="inlineStr">
        <is>
          <t>Free</t>
        </is>
      </c>
      <c r="G110" t="inlineStr">
        <is>
          <t>sec_fore</t>
        </is>
      </c>
      <c r="H110" t="n">
        <v>3</v>
      </c>
      <c r="I110" t="n">
        <v>600</v>
      </c>
      <c r="J110" t="n">
        <v>10.5</v>
      </c>
      <c r="K110" t="n">
        <v>7</v>
      </c>
      <c r="L110" t="n">
        <v>14</v>
      </c>
      <c r="M110" t="n">
        <v>0</v>
      </c>
      <c r="N110">
        <f>INDEX(boss_input_vu_khi_suy_ra!$C$2:$C$71,MATCH($D$110,boss_input_vu_khi_suy_ra!$A$2:$A$71,0))</f>
        <v/>
      </c>
      <c r="O110" t="inlineStr">
        <is>
          <t>giong</t>
        </is>
      </c>
      <c r="R110" t="n">
        <v>10.5</v>
      </c>
      <c r="S110">
        <f>IF($D$110="",0,INDEX(boss_input_vu_khi_suy_ra!$B$2:$B$71,MATCH($D$110,boss_input_vu_khi_suy_ra!$A$2:$A$71,0))*IF(INDEX(boss_input_vu_khi!$D$2:$D$71,MATCH($D$110,boss_input_vu_khi!$A$2:$A$71,0)),1,Boss_dps!$B$22)*Boss_dps!$C$22)</f>
        <v/>
      </c>
      <c r="T110" t="n">
        <v>165.9085714285714</v>
      </c>
      <c r="U110" t="inlineStr">
        <is>
          <t>Assets/MachineBrigade/Resources/Data/balance.json: vehicles[id=leviathan] dựng bởi Tools/balance/p26_ab.expand</t>
        </is>
      </c>
      <c r="V110" t="inlineStr"/>
    </row>
    <row r="111">
      <c r="A111" t="inlineStr">
        <is>
          <t>leviathan/4</t>
        </is>
      </c>
      <c r="B111" t="inlineStr">
        <is>
          <t>leviathan</t>
        </is>
      </c>
      <c r="C111" t="n">
        <v>4</v>
      </c>
      <c r="D111" t="inlineStr">
        <is>
          <t>p26_leviathan_sec_lev155</t>
        </is>
      </c>
      <c r="E111" t="inlineStr">
        <is>
          <t>gun</t>
        </is>
      </c>
      <c r="F111" t="inlineStr">
        <is>
          <t>Free</t>
        </is>
      </c>
      <c r="G111" t="inlineStr">
        <is>
          <t>sec_aft</t>
        </is>
      </c>
      <c r="H111" t="n">
        <v>3</v>
      </c>
      <c r="I111" t="n">
        <v>600</v>
      </c>
      <c r="J111" t="n">
        <v>10.5</v>
      </c>
      <c r="K111" t="n">
        <v>7</v>
      </c>
      <c r="L111" t="n">
        <v>14</v>
      </c>
      <c r="M111" t="n">
        <v>0</v>
      </c>
      <c r="N111">
        <f>INDEX(boss_input_vu_khi_suy_ra!$C$2:$C$71,MATCH($D$111,boss_input_vu_khi_suy_ra!$A$2:$A$71,0))</f>
        <v/>
      </c>
      <c r="O111" t="inlineStr">
        <is>
          <t>giong</t>
        </is>
      </c>
      <c r="R111" t="n">
        <v>10.5</v>
      </c>
      <c r="S111">
        <f>IF($D$111="",0,INDEX(boss_input_vu_khi_suy_ra!$B$2:$B$71,MATCH($D$111,boss_input_vu_khi_suy_ra!$A$2:$A$71,0))*IF(INDEX(boss_input_vu_khi!$D$2:$D$71,MATCH($D$111,boss_input_vu_khi!$A$2:$A$71,0)),1,Boss_dps!$B$22)*Boss_dps!$C$22)</f>
        <v/>
      </c>
      <c r="T111" t="n">
        <v>165.9085714285714</v>
      </c>
      <c r="U111" t="inlineStr">
        <is>
          <t>Assets/MachineBrigade/Resources/Data/balance.json: vehicles[id=leviathan] dựng bởi Tools/balance/p26_ab.expand</t>
        </is>
      </c>
      <c r="V111" t="inlineStr"/>
    </row>
    <row r="112">
      <c r="A112" t="inlineStr">
        <is>
          <t>leviathan/5</t>
        </is>
      </c>
      <c r="B112" t="inlineStr">
        <is>
          <t>leviathan</t>
        </is>
      </c>
      <c r="C112" t="n">
        <v>5</v>
      </c>
      <c r="D112" t="inlineStr">
        <is>
          <t>p26_leviathan_direct_lev127</t>
        </is>
      </c>
      <c r="E112" t="inlineStr">
        <is>
          <t>mg</t>
        </is>
      </c>
      <c r="F112" t="inlineStr">
        <is>
          <t>Free</t>
        </is>
      </c>
      <c r="G112" t="inlineStr">
        <is>
          <t>ciws_fore</t>
        </is>
      </c>
      <c r="H112" t="n">
        <v>1</v>
      </c>
      <c r="I112" t="n">
        <v>380</v>
      </c>
      <c r="J112" t="n">
        <v>3</v>
      </c>
      <c r="K112" t="n">
        <v>0</v>
      </c>
      <c r="L112" t="n">
        <v>0</v>
      </c>
      <c r="M112" t="n">
        <v>0</v>
      </c>
      <c r="N112">
        <f>INDEX(boss_input_vu_khi_suy_ra!$C$2:$C$71,MATCH($D$112,boss_input_vu_khi_suy_ra!$A$2:$A$71,0))</f>
        <v/>
      </c>
      <c r="O112" t="inlineStr">
        <is>
          <t>giong</t>
        </is>
      </c>
      <c r="R112" t="n">
        <v>3</v>
      </c>
      <c r="S112">
        <f>IF($D$112="",0,INDEX(boss_input_vu_khi_suy_ra!$B$2:$B$71,MATCH($D$112,boss_input_vu_khi_suy_ra!$A$2:$A$71,0))*IF(INDEX(boss_input_vu_khi!$D$2:$D$71,MATCH($D$112,boss_input_vu_khi!$A$2:$A$71,0)),1,Boss_dps!$B$22)*Boss_dps!$C$22)</f>
        <v/>
      </c>
      <c r="T112" t="n">
        <v>122.588</v>
      </c>
      <c r="U112" t="inlineStr">
        <is>
          <t>Assets/MachineBrigade/Resources/Data/balance.json: vehicles[id=leviathan] dựng bởi Tools/balance/p26_ab.expand</t>
        </is>
      </c>
      <c r="V112" t="inlineStr"/>
    </row>
    <row r="113">
      <c r="A113" t="inlineStr">
        <is>
          <t>leviathan/6</t>
        </is>
      </c>
      <c r="B113" t="inlineStr">
        <is>
          <t>leviathan</t>
        </is>
      </c>
      <c r="C113" t="n">
        <v>6</v>
      </c>
      <c r="D113" t="inlineStr">
        <is>
          <t>p26_leviathan_direct_lev127</t>
        </is>
      </c>
      <c r="E113" t="inlineStr">
        <is>
          <t>mg</t>
        </is>
      </c>
      <c r="F113" t="inlineStr">
        <is>
          <t>Free</t>
        </is>
      </c>
      <c r="G113" t="inlineStr">
        <is>
          <t>ciws_aft</t>
        </is>
      </c>
      <c r="H113" t="n">
        <v>1</v>
      </c>
      <c r="I113" t="n">
        <v>380</v>
      </c>
      <c r="J113" t="n">
        <v>3</v>
      </c>
      <c r="K113" t="n">
        <v>0</v>
      </c>
      <c r="L113" t="n">
        <v>0</v>
      </c>
      <c r="M113" t="n">
        <v>0</v>
      </c>
      <c r="N113">
        <f>INDEX(boss_input_vu_khi_suy_ra!$C$2:$C$71,MATCH($D$113,boss_input_vu_khi_suy_ra!$A$2:$A$71,0))</f>
        <v/>
      </c>
      <c r="O113" t="inlineStr">
        <is>
          <t>giong</t>
        </is>
      </c>
      <c r="R113" t="n">
        <v>3</v>
      </c>
      <c r="S113">
        <f>IF($D$113="",0,INDEX(boss_input_vu_khi_suy_ra!$B$2:$B$71,MATCH($D$113,boss_input_vu_khi_suy_ra!$A$2:$A$71,0))*IF(INDEX(boss_input_vu_khi!$D$2:$D$71,MATCH($D$113,boss_input_vu_khi!$A$2:$A$71,0)),1,Boss_dps!$B$22)*Boss_dps!$C$22)</f>
        <v/>
      </c>
      <c r="T113" t="n">
        <v>122.588</v>
      </c>
      <c r="U113" t="inlineStr">
        <is>
          <t>Assets/MachineBrigade/Resources/Data/balance.json: vehicles[id=leviathan] dựng bởi Tools/balance/p26_ab.expand</t>
        </is>
      </c>
      <c r="V113" t="inlineStr"/>
    </row>
    <row r="114">
      <c r="A114" t="inlineStr">
        <is>
          <t>leviathan/7</t>
        </is>
      </c>
      <c r="B114" t="inlineStr">
        <is>
          <t>leviathan</t>
        </is>
      </c>
      <c r="C114" t="n">
        <v>7</v>
      </c>
      <c r="D114" t="inlineStr">
        <is>
          <t>aa_25_triple</t>
        </is>
      </c>
      <c r="E114" t="inlineStr">
        <is>
          <t>mg</t>
        </is>
      </c>
      <c r="F114" t="inlineStr">
        <is>
          <t>Free</t>
        </is>
      </c>
      <c r="G114" t="inlineStr">
        <is>
          <t>aa_port</t>
        </is>
      </c>
      <c r="H114" t="n">
        <v>1</v>
      </c>
      <c r="I114" t="n">
        <v>17</v>
      </c>
      <c r="J114" t="n">
        <v>0.05</v>
      </c>
      <c r="K114" t="n">
        <v>0</v>
      </c>
      <c r="L114" t="n">
        <v>0</v>
      </c>
      <c r="M114" t="n">
        <v>0</v>
      </c>
      <c r="N114">
        <f>INDEX(boss_input_vu_khi_suy_ra!$C$2:$C$71,MATCH($D$114,boss_input_vu_khi_suy_ra!$A$2:$A$71,0))</f>
        <v/>
      </c>
      <c r="O114" t="inlineStr">
        <is>
          <t>giong</t>
        </is>
      </c>
      <c r="R114" t="n">
        <v>3.1</v>
      </c>
      <c r="S114">
        <f>IF($D$114="",0,INDEX(boss_input_vu_khi_suy_ra!$B$2:$B$71,MATCH($D$114,boss_input_vu_khi_suy_ra!$A$2:$A$71,0))*IF(INDEX(boss_input_vu_khi!$D$2:$D$71,MATCH($D$114,boss_input_vu_khi!$A$2:$A$71,0)),1,Boss_dps!$B$22)*Boss_dps!$C$22)</f>
        <v/>
      </c>
      <c r="T114" t="n">
        <v>79.60935483870966</v>
      </c>
      <c r="U114" t="inlineStr">
        <is>
          <t>Assets/MachineBrigade/Resources/Data/balance.json: vehicles[id=leviathan] dựng bởi Tools/balance/p26_ab.expand</t>
        </is>
      </c>
      <c r="V114" t="inlineStr"/>
    </row>
    <row r="115">
      <c r="A115" t="inlineStr">
        <is>
          <t>leviathan/8</t>
        </is>
      </c>
      <c r="B115" t="inlineStr">
        <is>
          <t>leviathan</t>
        </is>
      </c>
      <c r="C115" t="n">
        <v>8</v>
      </c>
      <c r="D115" t="inlineStr">
        <is>
          <t>aa_25_triple</t>
        </is>
      </c>
      <c r="E115" t="inlineStr">
        <is>
          <t>mg</t>
        </is>
      </c>
      <c r="F115" t="inlineStr">
        <is>
          <t>Free</t>
        </is>
      </c>
      <c r="G115" t="inlineStr">
        <is>
          <t>aa_port</t>
        </is>
      </c>
      <c r="H115" t="n">
        <v>1</v>
      </c>
      <c r="I115" t="n">
        <v>17</v>
      </c>
      <c r="J115" t="n">
        <v>0.05</v>
      </c>
      <c r="K115" t="n">
        <v>0</v>
      </c>
      <c r="L115" t="n">
        <v>0</v>
      </c>
      <c r="M115" t="n">
        <v>0</v>
      </c>
      <c r="N115">
        <f>INDEX(boss_input_vu_khi_suy_ra!$C$2:$C$71,MATCH($D$115,boss_input_vu_khi_suy_ra!$A$2:$A$71,0))</f>
        <v/>
      </c>
      <c r="O115" t="inlineStr">
        <is>
          <t>giong</t>
        </is>
      </c>
      <c r="R115" t="n">
        <v>3.1</v>
      </c>
      <c r="S115">
        <f>IF($D$115="",0,INDEX(boss_input_vu_khi_suy_ra!$B$2:$B$71,MATCH($D$115,boss_input_vu_khi_suy_ra!$A$2:$A$71,0))*IF(INDEX(boss_input_vu_khi!$D$2:$D$71,MATCH($D$115,boss_input_vu_khi!$A$2:$A$71,0)),1,Boss_dps!$B$22)*Boss_dps!$C$22)</f>
        <v/>
      </c>
      <c r="T115" t="n">
        <v>79.60935483870966</v>
      </c>
      <c r="U115" t="inlineStr">
        <is>
          <t>Assets/MachineBrigade/Resources/Data/balance.json: vehicles[id=leviathan] dựng bởi Tools/balance/p26_ab.expand</t>
        </is>
      </c>
      <c r="V115" t="inlineStr"/>
    </row>
    <row r="116">
      <c r="A116" t="inlineStr">
        <is>
          <t>leviathan/9</t>
        </is>
      </c>
      <c r="B116" t="inlineStr">
        <is>
          <t>leviathan</t>
        </is>
      </c>
      <c r="C116" t="n">
        <v>9</v>
      </c>
      <c r="D116" t="inlineStr">
        <is>
          <t>aa_25_triple</t>
        </is>
      </c>
      <c r="E116" t="inlineStr">
        <is>
          <t>mg</t>
        </is>
      </c>
      <c r="F116" t="inlineStr">
        <is>
          <t>Free</t>
        </is>
      </c>
      <c r="G116" t="inlineStr">
        <is>
          <t>aa_port</t>
        </is>
      </c>
      <c r="H116" t="n">
        <v>1</v>
      </c>
      <c r="I116" t="n">
        <v>17</v>
      </c>
      <c r="J116" t="n">
        <v>0.05</v>
      </c>
      <c r="K116" t="n">
        <v>0</v>
      </c>
      <c r="L116" t="n">
        <v>0</v>
      </c>
      <c r="M116" t="n">
        <v>0</v>
      </c>
      <c r="N116">
        <f>INDEX(boss_input_vu_khi_suy_ra!$C$2:$C$71,MATCH($D$116,boss_input_vu_khi_suy_ra!$A$2:$A$71,0))</f>
        <v/>
      </c>
      <c r="O116" t="inlineStr">
        <is>
          <t>giong</t>
        </is>
      </c>
      <c r="R116" t="n">
        <v>3.1</v>
      </c>
      <c r="S116">
        <f>IF($D$116="",0,INDEX(boss_input_vu_khi_suy_ra!$B$2:$B$71,MATCH($D$116,boss_input_vu_khi_suy_ra!$A$2:$A$71,0))*IF(INDEX(boss_input_vu_khi!$D$2:$D$71,MATCH($D$116,boss_input_vu_khi!$A$2:$A$71,0)),1,Boss_dps!$B$22)*Boss_dps!$C$22)</f>
        <v/>
      </c>
      <c r="T116" t="n">
        <v>79.60935483870966</v>
      </c>
      <c r="U116" t="inlineStr">
        <is>
          <t>Assets/MachineBrigade/Resources/Data/balance.json: vehicles[id=leviathan] dựng bởi Tools/balance/p26_ab.expand</t>
        </is>
      </c>
      <c r="V116" t="inlineStr"/>
    </row>
    <row r="117">
      <c r="A117" t="inlineStr">
        <is>
          <t>leviathan/10</t>
        </is>
      </c>
      <c r="B117" t="inlineStr">
        <is>
          <t>leviathan</t>
        </is>
      </c>
      <c r="C117" t="n">
        <v>10</v>
      </c>
      <c r="D117" t="inlineStr">
        <is>
          <t>aa_25_triple</t>
        </is>
      </c>
      <c r="E117" t="inlineStr">
        <is>
          <t>mg</t>
        </is>
      </c>
      <c r="F117" t="inlineStr">
        <is>
          <t>Free</t>
        </is>
      </c>
      <c r="G117" t="inlineStr">
        <is>
          <t>aa_port</t>
        </is>
      </c>
      <c r="H117" t="n">
        <v>1</v>
      </c>
      <c r="I117" t="n">
        <v>17</v>
      </c>
      <c r="J117" t="n">
        <v>0.05</v>
      </c>
      <c r="K117" t="n">
        <v>0</v>
      </c>
      <c r="L117" t="n">
        <v>0</v>
      </c>
      <c r="M117" t="n">
        <v>0</v>
      </c>
      <c r="N117">
        <f>INDEX(boss_input_vu_khi_suy_ra!$C$2:$C$71,MATCH($D$117,boss_input_vu_khi_suy_ra!$A$2:$A$71,0))</f>
        <v/>
      </c>
      <c r="O117" t="inlineStr">
        <is>
          <t>giong</t>
        </is>
      </c>
      <c r="R117" t="n">
        <v>3.1</v>
      </c>
      <c r="S117">
        <f>IF($D$117="",0,INDEX(boss_input_vu_khi_suy_ra!$B$2:$B$71,MATCH($D$117,boss_input_vu_khi_suy_ra!$A$2:$A$71,0))*IF(INDEX(boss_input_vu_khi!$D$2:$D$71,MATCH($D$117,boss_input_vu_khi!$A$2:$A$71,0)),1,Boss_dps!$B$22)*Boss_dps!$C$22)</f>
        <v/>
      </c>
      <c r="T117" t="n">
        <v>79.60935483870966</v>
      </c>
      <c r="U117" t="inlineStr">
        <is>
          <t>Assets/MachineBrigade/Resources/Data/balance.json: vehicles[id=leviathan] dựng bởi Tools/balance/p26_ab.expand</t>
        </is>
      </c>
      <c r="V117" t="inlineStr"/>
    </row>
    <row r="118">
      <c r="A118" t="inlineStr">
        <is>
          <t>leviathan/11</t>
        </is>
      </c>
      <c r="B118" t="inlineStr">
        <is>
          <t>leviathan</t>
        </is>
      </c>
      <c r="C118" t="n">
        <v>11</v>
      </c>
      <c r="D118" t="inlineStr">
        <is>
          <t>aa_25_triple</t>
        </is>
      </c>
      <c r="E118" t="inlineStr">
        <is>
          <t>mg</t>
        </is>
      </c>
      <c r="F118" t="inlineStr">
        <is>
          <t>Free</t>
        </is>
      </c>
      <c r="G118" t="inlineStr">
        <is>
          <t>aa_starboard</t>
        </is>
      </c>
      <c r="H118" t="n">
        <v>1</v>
      </c>
      <c r="I118" t="n">
        <v>17</v>
      </c>
      <c r="J118" t="n">
        <v>0.05</v>
      </c>
      <c r="K118" t="n">
        <v>0</v>
      </c>
      <c r="L118" t="n">
        <v>0</v>
      </c>
      <c r="M118" t="n">
        <v>0</v>
      </c>
      <c r="N118">
        <f>INDEX(boss_input_vu_khi_suy_ra!$C$2:$C$71,MATCH($D$118,boss_input_vu_khi_suy_ra!$A$2:$A$71,0))</f>
        <v/>
      </c>
      <c r="O118" t="inlineStr">
        <is>
          <t>giong</t>
        </is>
      </c>
      <c r="R118" t="n">
        <v>3.1</v>
      </c>
      <c r="S118">
        <f>IF($D$118="",0,INDEX(boss_input_vu_khi_suy_ra!$B$2:$B$71,MATCH($D$118,boss_input_vu_khi_suy_ra!$A$2:$A$71,0))*IF(INDEX(boss_input_vu_khi!$D$2:$D$71,MATCH($D$118,boss_input_vu_khi!$A$2:$A$71,0)),1,Boss_dps!$B$22)*Boss_dps!$C$22)</f>
        <v/>
      </c>
      <c r="T118" t="n">
        <v>79.60935483870966</v>
      </c>
      <c r="U118" t="inlineStr">
        <is>
          <t>Assets/MachineBrigade/Resources/Data/balance.json: vehicles[id=leviathan] dựng bởi Tools/balance/p26_ab.expand</t>
        </is>
      </c>
      <c r="V118" t="inlineStr"/>
    </row>
    <row r="119">
      <c r="A119" t="inlineStr">
        <is>
          <t>leviathan/12</t>
        </is>
      </c>
      <c r="B119" t="inlineStr">
        <is>
          <t>leviathan</t>
        </is>
      </c>
      <c r="C119" t="n">
        <v>12</v>
      </c>
      <c r="D119" t="inlineStr">
        <is>
          <t>aa_25_triple</t>
        </is>
      </c>
      <c r="E119" t="inlineStr">
        <is>
          <t>mg</t>
        </is>
      </c>
      <c r="F119" t="inlineStr">
        <is>
          <t>Free</t>
        </is>
      </c>
      <c r="G119" t="inlineStr">
        <is>
          <t>aa_starboard</t>
        </is>
      </c>
      <c r="H119" t="n">
        <v>1</v>
      </c>
      <c r="I119" t="n">
        <v>17</v>
      </c>
      <c r="J119" t="n">
        <v>0.05</v>
      </c>
      <c r="K119" t="n">
        <v>0</v>
      </c>
      <c r="L119" t="n">
        <v>0</v>
      </c>
      <c r="M119" t="n">
        <v>0</v>
      </c>
      <c r="N119">
        <f>INDEX(boss_input_vu_khi_suy_ra!$C$2:$C$71,MATCH($D$119,boss_input_vu_khi_suy_ra!$A$2:$A$71,0))</f>
        <v/>
      </c>
      <c r="O119" t="inlineStr">
        <is>
          <t>giong</t>
        </is>
      </c>
      <c r="R119" t="n">
        <v>3.1</v>
      </c>
      <c r="S119">
        <f>IF($D$119="",0,INDEX(boss_input_vu_khi_suy_ra!$B$2:$B$71,MATCH($D$119,boss_input_vu_khi_suy_ra!$A$2:$A$71,0))*IF(INDEX(boss_input_vu_khi!$D$2:$D$71,MATCH($D$119,boss_input_vu_khi!$A$2:$A$71,0)),1,Boss_dps!$B$22)*Boss_dps!$C$22)</f>
        <v/>
      </c>
      <c r="T119" t="n">
        <v>79.60935483870966</v>
      </c>
      <c r="U119" t="inlineStr">
        <is>
          <t>Assets/MachineBrigade/Resources/Data/balance.json: vehicles[id=leviathan] dựng bởi Tools/balance/p26_ab.expand</t>
        </is>
      </c>
      <c r="V119" t="inlineStr"/>
    </row>
    <row r="120">
      <c r="A120" t="inlineStr">
        <is>
          <t>leviathan/13</t>
        </is>
      </c>
      <c r="B120" t="inlineStr">
        <is>
          <t>leviathan</t>
        </is>
      </c>
      <c r="C120" t="n">
        <v>13</v>
      </c>
      <c r="D120" t="inlineStr">
        <is>
          <t>aa_25_triple</t>
        </is>
      </c>
      <c r="E120" t="inlineStr">
        <is>
          <t>mg</t>
        </is>
      </c>
      <c r="F120" t="inlineStr">
        <is>
          <t>Free</t>
        </is>
      </c>
      <c r="G120" t="inlineStr">
        <is>
          <t>aa_starboard</t>
        </is>
      </c>
      <c r="H120" t="n">
        <v>1</v>
      </c>
      <c r="I120" t="n">
        <v>17</v>
      </c>
      <c r="J120" t="n">
        <v>0.05</v>
      </c>
      <c r="K120" t="n">
        <v>0</v>
      </c>
      <c r="L120" t="n">
        <v>0</v>
      </c>
      <c r="M120" t="n">
        <v>0</v>
      </c>
      <c r="N120">
        <f>INDEX(boss_input_vu_khi_suy_ra!$C$2:$C$71,MATCH($D$120,boss_input_vu_khi_suy_ra!$A$2:$A$71,0))</f>
        <v/>
      </c>
      <c r="O120" t="inlineStr">
        <is>
          <t>giong</t>
        </is>
      </c>
      <c r="R120" t="n">
        <v>3.1</v>
      </c>
      <c r="S120">
        <f>IF($D$120="",0,INDEX(boss_input_vu_khi_suy_ra!$B$2:$B$71,MATCH($D$120,boss_input_vu_khi_suy_ra!$A$2:$A$71,0))*IF(INDEX(boss_input_vu_khi!$D$2:$D$71,MATCH($D$120,boss_input_vu_khi!$A$2:$A$71,0)),1,Boss_dps!$B$22)*Boss_dps!$C$22)</f>
        <v/>
      </c>
      <c r="T120" t="n">
        <v>79.60935483870966</v>
      </c>
      <c r="U120" t="inlineStr">
        <is>
          <t>Assets/MachineBrigade/Resources/Data/balance.json: vehicles[id=leviathan] dựng bởi Tools/balance/p26_ab.expand</t>
        </is>
      </c>
      <c r="V120" t="inlineStr"/>
    </row>
    <row r="121">
      <c r="A121" t="inlineStr">
        <is>
          <t>leviathan/14</t>
        </is>
      </c>
      <c r="B121" t="inlineStr">
        <is>
          <t>leviathan</t>
        </is>
      </c>
      <c r="C121" t="n">
        <v>14</v>
      </c>
      <c r="D121" t="inlineStr">
        <is>
          <t>aa_25_triple</t>
        </is>
      </c>
      <c r="E121" t="inlineStr">
        <is>
          <t>mg</t>
        </is>
      </c>
      <c r="F121" t="inlineStr">
        <is>
          <t>Free</t>
        </is>
      </c>
      <c r="G121" t="inlineStr">
        <is>
          <t>aa_starboard</t>
        </is>
      </c>
      <c r="H121" t="n">
        <v>1</v>
      </c>
      <c r="I121" t="n">
        <v>17</v>
      </c>
      <c r="J121" t="n">
        <v>0.05</v>
      </c>
      <c r="K121" t="n">
        <v>0</v>
      </c>
      <c r="L121" t="n">
        <v>0</v>
      </c>
      <c r="M121" t="n">
        <v>0</v>
      </c>
      <c r="N121">
        <f>INDEX(boss_input_vu_khi_suy_ra!$C$2:$C$71,MATCH($D$121,boss_input_vu_khi_suy_ra!$A$2:$A$71,0))</f>
        <v/>
      </c>
      <c r="O121" t="inlineStr">
        <is>
          <t>giong</t>
        </is>
      </c>
      <c r="R121" t="n">
        <v>3.1</v>
      </c>
      <c r="S121">
        <f>IF($D$121="",0,INDEX(boss_input_vu_khi_suy_ra!$B$2:$B$71,MATCH($D$121,boss_input_vu_khi_suy_ra!$A$2:$A$71,0))*IF(INDEX(boss_input_vu_khi!$D$2:$D$71,MATCH($D$121,boss_input_vu_khi!$A$2:$A$71,0)),1,Boss_dps!$B$22)*Boss_dps!$C$22)</f>
        <v/>
      </c>
      <c r="T121" t="n">
        <v>79.60935483870966</v>
      </c>
      <c r="U121" t="inlineStr">
        <is>
          <t>Assets/MachineBrigade/Resources/Data/balance.json: vehicles[id=leviathan] dựng bởi Tools/balance/p26_ab.expand</t>
        </is>
      </c>
      <c r="V121" t="inlineStr"/>
    </row>
    <row r="122">
      <c r="A122" t="inlineStr">
        <is>
          <t>leviathan/15</t>
        </is>
      </c>
      <c r="B122" t="inlineStr">
        <is>
          <t>leviathan</t>
        </is>
      </c>
      <c r="C122" t="n">
        <v>15</v>
      </c>
      <c r="D122" t="inlineStr">
        <is>
          <t>sam_post</t>
        </is>
      </c>
      <c r="E122" t="inlineStr">
        <is>
          <t>missile</t>
        </is>
      </c>
      <c r="F122" t="inlineStr">
        <is>
          <t>Free</t>
        </is>
      </c>
      <c r="G122" t="inlineStr">
        <is>
          <t>radar</t>
        </is>
      </c>
      <c r="H122" t="n">
        <v>1</v>
      </c>
      <c r="I122" t="n">
        <v>320</v>
      </c>
      <c r="J122" t="n">
        <v>3.9</v>
      </c>
      <c r="K122" t="n">
        <v>2</v>
      </c>
      <c r="L122" t="n">
        <v>0</v>
      </c>
      <c r="M122" t="n">
        <v>0</v>
      </c>
      <c r="N122">
        <f>INDEX(boss_input_vu_khi_suy_ra!$C$2:$C$71,MATCH($D$122,boss_input_vu_khi_suy_ra!$A$2:$A$71,0))</f>
        <v/>
      </c>
      <c r="O122" t="inlineStr">
        <is>
          <t>giong</t>
        </is>
      </c>
      <c r="R122" t="n">
        <v>4.4</v>
      </c>
      <c r="S122">
        <f>IF($D$122="",0,INDEX(boss_input_vu_khi_suy_ra!$B$2:$B$71,MATCH($D$122,boss_input_vu_khi_suy_ra!$A$2:$A$71,0))*IF(INDEX(boss_input_vu_khi!$D$2:$D$71,MATCH($D$122,boss_input_vu_khi!$A$2:$A$71,0)),1,Boss_dps!$B$22)*Boss_dps!$C$22)</f>
        <v/>
      </c>
      <c r="T122" t="n">
        <v>140.7709090909091</v>
      </c>
      <c r="U122" t="inlineStr">
        <is>
          <t>Assets/MachineBrigade/Resources/Data/balance.json: vehicles[id=leviathan] dựng bởi Tools/balance/p26_ab.expand</t>
        </is>
      </c>
      <c r="V122" t="inlineStr"/>
    </row>
    <row r="123">
      <c r="A123" t="inlineStr">
        <is>
          <t>locust/0</t>
        </is>
      </c>
      <c r="B123" t="inlineStr">
        <is>
          <t>locust</t>
        </is>
      </c>
      <c r="C123" t="n">
        <v>0</v>
      </c>
      <c r="D123" t="inlineStr">
        <is>
          <t>locust_drones</t>
        </is>
      </c>
      <c r="E123" t="inlineStr">
        <is>
          <t>main</t>
        </is>
      </c>
      <c r="F123" t="inlineStr"/>
      <c r="G123" t="inlineStr">
        <is>
          <t>drone_bay</t>
        </is>
      </c>
      <c r="H123" t="n">
        <v>1</v>
      </c>
      <c r="I123" t="n">
        <v>320</v>
      </c>
      <c r="J123" t="n">
        <v>2</v>
      </c>
      <c r="K123" t="n">
        <v>3</v>
      </c>
      <c r="L123" t="n">
        <v>6</v>
      </c>
      <c r="M123" t="n">
        <v>0</v>
      </c>
      <c r="N123">
        <f>INDEX(boss_input_vu_khi_suy_ra!$C$2:$C$71,MATCH($D$123,boss_input_vu_khi_suy_ra!$A$2:$A$71,0))</f>
        <v/>
      </c>
      <c r="O123" t="inlineStr">
        <is>
          <t>doi</t>
        </is>
      </c>
      <c r="P123" t="inlineStr">
        <is>
          <t>p26_matriarch_ma_drones</t>
        </is>
      </c>
      <c r="Q123" t="inlineStr">
        <is>
          <t>locust_drones</t>
        </is>
      </c>
      <c r="R123" t="n">
        <v>2</v>
      </c>
      <c r="S123">
        <f>IF($D$123="",0,INDEX(boss_input_vu_khi_suy_ra!$B$2:$B$71,MATCH($D$123,boss_input_vu_khi_suy_ra!$A$2:$A$71,0))*IF(INDEX(boss_input_vu_khi!$D$2:$D$71,MATCH($D$123,boss_input_vu_khi!$A$2:$A$71,0)),1,Boss_dps!$B$23)*Boss_dps!$C$23)</f>
        <v/>
      </c>
      <c r="T123" t="n">
        <v>207.52</v>
      </c>
      <c r="U123" t="inlineStr">
        <is>
          <t>Assets/MachineBrigade/Resources/Data/balance.json: vehicles[id=locust] dựng bởi Tools/balance/p26_ab.expand</t>
        </is>
      </c>
      <c r="V123" t="inlineStr"/>
    </row>
    <row r="124">
      <c r="A124" t="inlineStr">
        <is>
          <t>locust/1</t>
        </is>
      </c>
      <c r="B124" t="inlineStr">
        <is>
          <t>locust</t>
        </is>
      </c>
      <c r="C124" t="n">
        <v>1</v>
      </c>
      <c r="D124" t="inlineStr">
        <is>
          <t>p26_matriarch_close_boss_flak</t>
        </is>
      </c>
      <c r="E124" t="inlineStr">
        <is>
          <t>mg</t>
        </is>
      </c>
      <c r="F124" t="inlineStr">
        <is>
          <t>Free</t>
        </is>
      </c>
      <c r="G124" t="inlineStr">
        <is>
          <t>flak_top</t>
        </is>
      </c>
      <c r="H124" t="n">
        <v>1</v>
      </c>
      <c r="I124" t="n">
        <v>25</v>
      </c>
      <c r="J124" t="n">
        <v>0.05</v>
      </c>
      <c r="K124" t="n">
        <v>2.5</v>
      </c>
      <c r="L124" t="n">
        <v>0</v>
      </c>
      <c r="M124" t="n">
        <v>0</v>
      </c>
      <c r="N124">
        <f>INDEX(boss_input_vu_khi_suy_ra!$C$2:$C$71,MATCH($D$124,boss_input_vu_khi_suy_ra!$A$2:$A$71,0))</f>
        <v/>
      </c>
      <c r="O124" t="inlineStr">
        <is>
          <t>giong</t>
        </is>
      </c>
      <c r="R124" t="n">
        <v>5.38</v>
      </c>
      <c r="S124">
        <f>IF($D$124="",0,INDEX(boss_input_vu_khi_suy_ra!$B$2:$B$71,MATCH($D$124,boss_input_vu_khi_suy_ra!$A$2:$A$71,0))*IF(INDEX(boss_input_vu_khi!$D$2:$D$71,MATCH($D$124,boss_input_vu_khi!$A$2:$A$71,0)),1,Boss_dps!$B$23)*Boss_dps!$C$23)</f>
        <v/>
      </c>
      <c r="T124" t="n">
        <v>247.1050185873606</v>
      </c>
      <c r="U124" t="inlineStr">
        <is>
          <t>Assets/MachineBrigade/Resources/Data/balance.json: vehicles[id=locust] dựng bởi Tools/balance/p26_ab.expand</t>
        </is>
      </c>
      <c r="V124" t="inlineStr"/>
    </row>
    <row r="125">
      <c r="A125" t="inlineStr">
        <is>
          <t>mega_gunship/0</t>
        </is>
      </c>
      <c r="B125" t="inlineStr">
        <is>
          <t>mega_gunship</t>
        </is>
      </c>
      <c r="C125" t="n">
        <v>0</v>
      </c>
      <c r="D125" t="inlineStr">
        <is>
          <t>gunship_rockets</t>
        </is>
      </c>
      <c r="E125" t="inlineStr">
        <is>
          <t>rocket</t>
        </is>
      </c>
      <c r="F125" t="inlineStr"/>
      <c r="G125" t="inlineStr">
        <is>
          <t>pod_l</t>
        </is>
      </c>
      <c r="H125" t="n">
        <v>1</v>
      </c>
      <c r="I125" t="n">
        <v>32</v>
      </c>
      <c r="J125" t="n">
        <v>8.271000000000001</v>
      </c>
      <c r="K125" t="n">
        <v>3</v>
      </c>
      <c r="L125" t="n">
        <v>6</v>
      </c>
      <c r="M125" t="n">
        <v>0</v>
      </c>
      <c r="N125">
        <f>INDEX(boss_input_vu_khi_suy_ra!$C$2:$C$71,MATCH($D$125,boss_input_vu_khi_suy_ra!$A$2:$A$71,0))</f>
        <v/>
      </c>
      <c r="O125" t="inlineStr">
        <is>
          <t>giong</t>
        </is>
      </c>
      <c r="R125" t="n">
        <v>9.771000000000001</v>
      </c>
      <c r="S125">
        <f>IF($D$125="",0,INDEX(boss_input_vu_khi_suy_ra!$B$2:$B$71,MATCH($D$125,boss_input_vu_khi_suy_ra!$A$2:$A$71,0))*IF(INDEX(boss_input_vu_khi!$D$2:$D$71,MATCH($D$125,boss_input_vu_khi!$A$2:$A$71,0)),1,Boss_dps!$B$24)*Boss_dps!$C$24)</f>
        <v/>
      </c>
      <c r="T125" t="n">
        <v>130.7902978200798</v>
      </c>
      <c r="U125" t="inlineStr">
        <is>
          <t>Assets/MachineBrigade/Resources/Data/balance.json: vehicles[id=mega_gunship] dựng bởi Tools/balance/p26_ab.expand</t>
        </is>
      </c>
      <c r="V125" t="inlineStr"/>
    </row>
    <row r="126">
      <c r="A126" t="inlineStr">
        <is>
          <t>mega_gunship/1</t>
        </is>
      </c>
      <c r="B126" t="inlineStr">
        <is>
          <t>mega_gunship</t>
        </is>
      </c>
      <c r="C126" t="n">
        <v>1</v>
      </c>
      <c r="D126" t="inlineStr">
        <is>
          <t>boss_heli_gun</t>
        </is>
      </c>
      <c r="E126" t="inlineStr">
        <is>
          <t>gun</t>
        </is>
      </c>
      <c r="F126" t="inlineStr">
        <is>
          <t>Free</t>
        </is>
      </c>
      <c r="G126" t="inlineStr">
        <is>
          <t>gun_l</t>
        </is>
      </c>
      <c r="H126" t="n">
        <v>1</v>
      </c>
      <c r="I126" t="n">
        <v>22</v>
      </c>
      <c r="J126" t="n">
        <v>0.1667</v>
      </c>
      <c r="K126" t="n">
        <v>0</v>
      </c>
      <c r="L126" t="n">
        <v>0</v>
      </c>
      <c r="M126" t="n">
        <v>0</v>
      </c>
      <c r="N126">
        <f>INDEX(boss_input_vu_khi_suy_ra!$C$2:$C$71,MATCH($D$126,boss_input_vu_khi_suy_ra!$A$2:$A$71,0))</f>
        <v/>
      </c>
      <c r="O126" t="inlineStr">
        <is>
          <t>giong</t>
        </is>
      </c>
      <c r="R126" t="n">
        <v>9.668299999999999</v>
      </c>
      <c r="S126">
        <f>IF($D$126="",0,INDEX(boss_input_vu_khi_suy_ra!$B$2:$B$71,MATCH($D$126,boss_input_vu_khi_suy_ra!$A$2:$A$71,0))*IF(INDEX(boss_input_vu_khi!$D$2:$D$71,MATCH($D$126,boss_input_vu_khi!$A$2:$A$71,0)),1,Boss_dps!$B$24)*Boss_dps!$C$24)</f>
        <v/>
      </c>
      <c r="T126" t="n">
        <v>227.1836827570514</v>
      </c>
      <c r="U126" t="inlineStr">
        <is>
          <t>Assets/MachineBrigade/Resources/Data/balance.json: vehicles[id=mega_gunship] dựng bởi Tools/balance/p26_ab.expand</t>
        </is>
      </c>
      <c r="V126" t="inlineStr"/>
    </row>
    <row r="127">
      <c r="A127" t="inlineStr">
        <is>
          <t>mega_gunship/2</t>
        </is>
      </c>
      <c r="B127" t="inlineStr">
        <is>
          <t>mega_gunship</t>
        </is>
      </c>
      <c r="C127" t="n">
        <v>2</v>
      </c>
      <c r="D127" t="inlineStr">
        <is>
          <t>boss_heli_gun</t>
        </is>
      </c>
      <c r="E127" t="inlineStr">
        <is>
          <t>gun</t>
        </is>
      </c>
      <c r="F127" t="inlineStr">
        <is>
          <t>Free</t>
        </is>
      </c>
      <c r="G127" t="inlineStr">
        <is>
          <t>gun_r</t>
        </is>
      </c>
      <c r="H127" t="n">
        <v>1</v>
      </c>
      <c r="I127" t="n">
        <v>22</v>
      </c>
      <c r="J127" t="n">
        <v>0.1667</v>
      </c>
      <c r="K127" t="n">
        <v>0</v>
      </c>
      <c r="L127" t="n">
        <v>0</v>
      </c>
      <c r="M127" t="n">
        <v>0</v>
      </c>
      <c r="N127">
        <f>INDEX(boss_input_vu_khi_suy_ra!$C$2:$C$71,MATCH($D$127,boss_input_vu_khi_suy_ra!$A$2:$A$71,0))</f>
        <v/>
      </c>
      <c r="O127" t="inlineStr">
        <is>
          <t>giong</t>
        </is>
      </c>
      <c r="R127" t="n">
        <v>9.668299999999999</v>
      </c>
      <c r="S127">
        <f>IF($D$127="",0,INDEX(boss_input_vu_khi_suy_ra!$B$2:$B$71,MATCH($D$127,boss_input_vu_khi_suy_ra!$A$2:$A$71,0))*IF(INDEX(boss_input_vu_khi!$D$2:$D$71,MATCH($D$127,boss_input_vu_khi!$A$2:$A$71,0)),1,Boss_dps!$B$24)*Boss_dps!$C$24)</f>
        <v/>
      </c>
      <c r="T127" t="n">
        <v>227.1836827570514</v>
      </c>
      <c r="U127" t="inlineStr">
        <is>
          <t>Assets/MachineBrigade/Resources/Data/balance.json: vehicles[id=mega_gunship] dựng bởi Tools/balance/p26_ab.expand</t>
        </is>
      </c>
      <c r="V127" t="inlineStr"/>
    </row>
    <row r="128">
      <c r="A128" t="inlineStr">
        <is>
          <t>mega_gunship/3</t>
        </is>
      </c>
      <c r="B128" t="inlineStr">
        <is>
          <t>mega_gunship</t>
        </is>
      </c>
      <c r="C128" t="n">
        <v>3</v>
      </c>
      <c r="D128" t="inlineStr">
        <is>
          <t>boss_minigun</t>
        </is>
      </c>
      <c r="E128" t="inlineStr">
        <is>
          <t>mg</t>
        </is>
      </c>
      <c r="F128" t="inlineStr">
        <is>
          <t>Free</t>
        </is>
      </c>
      <c r="G128" t="inlineStr">
        <is>
          <t>minigun_r</t>
        </is>
      </c>
      <c r="H128" t="n">
        <v>1</v>
      </c>
      <c r="I128" t="n">
        <v>5.5</v>
      </c>
      <c r="J128" t="n">
        <v>0.0172</v>
      </c>
      <c r="K128" t="n">
        <v>0</v>
      </c>
      <c r="L128" t="n">
        <v>0</v>
      </c>
      <c r="M128" t="n">
        <v>0</v>
      </c>
      <c r="N128">
        <f>INDEX(boss_input_vu_khi_suy_ra!$C$2:$C$71,MATCH($D$128,boss_input_vu_khi_suy_ra!$A$2:$A$71,0))</f>
        <v/>
      </c>
      <c r="O128" t="inlineStr">
        <is>
          <t>giong</t>
        </is>
      </c>
      <c r="R128" t="n">
        <v>6.7608</v>
      </c>
      <c r="S128">
        <f>IF($D$128="",0,INDEX(boss_input_vu_khi_suy_ra!$B$2:$B$71,MATCH($D$128,boss_input_vu_khi_suy_ra!$A$2:$A$71,0))*IF(INDEX(boss_input_vu_khi!$D$2:$D$71,MATCH($D$128,boss_input_vu_khi!$A$2:$A$71,0)),1,Boss_dps!$B$24)*Boss_dps!$C$24)</f>
        <v/>
      </c>
      <c r="T128" t="n">
        <v>81.22115725949591</v>
      </c>
      <c r="U128" t="inlineStr">
        <is>
          <t>Assets/MachineBrigade/Resources/Data/balance.json: vehicles[id=mega_gunship] dựng bởi Tools/balance/p26_ab.expand</t>
        </is>
      </c>
      <c r="V128" t="inlineStr"/>
    </row>
    <row r="129">
      <c r="A129" t="inlineStr">
        <is>
          <t>mega_gunship/4</t>
        </is>
      </c>
      <c r="B129" t="inlineStr">
        <is>
          <t>mega_gunship</t>
        </is>
      </c>
      <c r="C129" t="n">
        <v>4</v>
      </c>
      <c r="D129" t="inlineStr">
        <is>
          <t>gunship_rockets</t>
        </is>
      </c>
      <c r="E129" t="inlineStr">
        <is>
          <t>rocket</t>
        </is>
      </c>
      <c r="F129" t="inlineStr">
        <is>
          <t>Hull</t>
        </is>
      </c>
      <c r="G129" t="inlineStr">
        <is>
          <t>pod_r</t>
        </is>
      </c>
      <c r="H129" t="n">
        <v>1</v>
      </c>
      <c r="I129" t="n">
        <v>32</v>
      </c>
      <c r="J129" t="n">
        <v>8.271000000000001</v>
      </c>
      <c r="K129" t="n">
        <v>3</v>
      </c>
      <c r="L129" t="n">
        <v>6</v>
      </c>
      <c r="M129" t="n">
        <v>0</v>
      </c>
      <c r="N129">
        <f>INDEX(boss_input_vu_khi_suy_ra!$C$2:$C$71,MATCH($D$129,boss_input_vu_khi_suy_ra!$A$2:$A$71,0))</f>
        <v/>
      </c>
      <c r="O129" t="inlineStr">
        <is>
          <t>giong</t>
        </is>
      </c>
      <c r="R129" t="n">
        <v>9.771000000000001</v>
      </c>
      <c r="S129">
        <f>IF($D$129="",0,INDEX(boss_input_vu_khi_suy_ra!$B$2:$B$71,MATCH($D$129,boss_input_vu_khi_suy_ra!$A$2:$A$71,0))*IF(INDEX(boss_input_vu_khi!$D$2:$D$71,MATCH($D$129,boss_input_vu_khi!$A$2:$A$71,0)),1,Boss_dps!$B$24)*Boss_dps!$C$24)</f>
        <v/>
      </c>
      <c r="T129" t="n">
        <v>130.7902978200798</v>
      </c>
      <c r="U129" t="inlineStr">
        <is>
          <t>Assets/MachineBrigade/Resources/Data/balance.json: vehicles[id=mega_gunship] dựng bởi Tools/balance/p26_ab.expand</t>
        </is>
      </c>
      <c r="V129" t="inlineStr"/>
    </row>
    <row r="130">
      <c r="A130" t="inlineStr">
        <is>
          <t>mega_gunship/5</t>
        </is>
      </c>
      <c r="B130" t="inlineStr">
        <is>
          <t>mega_gunship</t>
        </is>
      </c>
      <c r="C130" t="n">
        <v>5</v>
      </c>
      <c r="D130" t="inlineStr">
        <is>
          <t>boss_hmg</t>
        </is>
      </c>
      <c r="E130" t="inlineStr">
        <is>
          <t>mg</t>
        </is>
      </c>
      <c r="F130" t="inlineStr">
        <is>
          <t>Free</t>
        </is>
      </c>
      <c r="G130" t="inlineStr"/>
      <c r="H130" t="n">
        <v>1</v>
      </c>
      <c r="I130" t="n">
        <v>15</v>
      </c>
      <c r="J130" t="n">
        <v>0.0833</v>
      </c>
      <c r="K130" t="n">
        <v>0</v>
      </c>
      <c r="L130" t="n">
        <v>0</v>
      </c>
      <c r="M130" t="n">
        <v>0</v>
      </c>
      <c r="N130">
        <f>INDEX(boss_input_vu_khi_suy_ra!$C$2:$C$71,MATCH($D$130,boss_input_vu_khi_suy_ra!$A$2:$A$71,0))</f>
        <v/>
      </c>
      <c r="O130" t="inlineStr">
        <is>
          <t>giong</t>
        </is>
      </c>
      <c r="R130" t="n">
        <v>13.2467</v>
      </c>
      <c r="S130">
        <f>IF($D$130="",0,INDEX(boss_input_vu_khi_suy_ra!$B$2:$B$71,MATCH($D$130,boss_input_vu_khi_suy_ra!$A$2:$A$71,0))*IF(INDEX(boss_input_vu_khi!$D$2:$D$71,MATCH($D$130,boss_input_vu_khi!$A$2:$A$71,0)),1,Boss_dps!$B$24)*Boss_dps!$C$24)</f>
        <v/>
      </c>
      <c r="T130" t="n">
        <v>282.6364302052586</v>
      </c>
      <c r="U130" t="inlineStr">
        <is>
          <t>Assets/MachineBrigade/Resources/Data/balance.json: vehicles[id=mega_gunship] dựng bởi Tools/balance/p26_ab.expand</t>
        </is>
      </c>
      <c r="V130" t="inlineStr"/>
    </row>
    <row r="131">
      <c r="A131" t="inlineStr">
        <is>
          <t>mega_gunship/6</t>
        </is>
      </c>
      <c r="B131" t="inlineStr">
        <is>
          <t>mega_gunship</t>
        </is>
      </c>
      <c r="C131" t="n">
        <v>6</v>
      </c>
      <c r="D131" t="inlineStr">
        <is>
          <t>boss_hmg</t>
        </is>
      </c>
      <c r="E131" t="inlineStr">
        <is>
          <t>mg</t>
        </is>
      </c>
      <c r="F131" t="inlineStr">
        <is>
          <t>Free</t>
        </is>
      </c>
      <c r="G131" t="inlineStr"/>
      <c r="H131" t="n">
        <v>1</v>
      </c>
      <c r="I131" t="n">
        <v>15</v>
      </c>
      <c r="J131" t="n">
        <v>0.0833</v>
      </c>
      <c r="K131" t="n">
        <v>0</v>
      </c>
      <c r="L131" t="n">
        <v>0</v>
      </c>
      <c r="M131" t="n">
        <v>0</v>
      </c>
      <c r="N131">
        <f>INDEX(boss_input_vu_khi_suy_ra!$C$2:$C$71,MATCH($D$131,boss_input_vu_khi_suy_ra!$A$2:$A$71,0))</f>
        <v/>
      </c>
      <c r="O131" t="inlineStr">
        <is>
          <t>giong</t>
        </is>
      </c>
      <c r="R131" t="n">
        <v>13.2467</v>
      </c>
      <c r="S131">
        <f>IF($D$131="",0,INDEX(boss_input_vu_khi_suy_ra!$B$2:$B$71,MATCH($D$131,boss_input_vu_khi_suy_ra!$A$2:$A$71,0))*IF(INDEX(boss_input_vu_khi!$D$2:$D$71,MATCH($D$131,boss_input_vu_khi!$A$2:$A$71,0)),1,Boss_dps!$B$24)*Boss_dps!$C$24)</f>
        <v/>
      </c>
      <c r="T131" t="n">
        <v>282.6364302052586</v>
      </c>
      <c r="U131" t="inlineStr">
        <is>
          <t>Assets/MachineBrigade/Resources/Data/balance.json: vehicles[id=mega_gunship] dựng bởi Tools/balance/p26_ab.expand</t>
        </is>
      </c>
      <c r="V131" t="inlineStr"/>
    </row>
    <row r="132">
      <c r="A132" t="inlineStr">
        <is>
          <t>mobile_fortress/0</t>
        </is>
      </c>
      <c r="B132" t="inlineStr">
        <is>
          <t>mobile_fortress</t>
        </is>
      </c>
      <c r="C132" t="n">
        <v>0</v>
      </c>
      <c r="D132" t="inlineStr">
        <is>
          <t>p26_jotunn_jo203</t>
        </is>
      </c>
      <c r="E132" t="inlineStr">
        <is>
          <t>main</t>
        </is>
      </c>
      <c r="F132" t="inlineStr"/>
      <c r="G132" t="inlineStr">
        <is>
          <t>howitzer</t>
        </is>
      </c>
      <c r="H132" t="n">
        <v>1</v>
      </c>
      <c r="I132" t="n">
        <v>900</v>
      </c>
      <c r="J132" t="n">
        <v>24</v>
      </c>
      <c r="K132" t="n">
        <v>8.5</v>
      </c>
      <c r="L132" t="n">
        <v>17</v>
      </c>
      <c r="M132" t="n">
        <v>2.5</v>
      </c>
      <c r="N132">
        <f>INDEX(boss_input_vu_khi_suy_ra!$C$2:$C$71,MATCH($D$132,boss_input_vu_khi_suy_ra!$A$2:$A$71,0))</f>
        <v/>
      </c>
      <c r="O132" t="inlineStr">
        <is>
          <t>giong</t>
        </is>
      </c>
      <c r="R132" t="n">
        <v>24</v>
      </c>
      <c r="S132">
        <f>IF($D$132="",0,INDEX(boss_input_vu_khi_suy_ra!$B$2:$B$71,MATCH($D$132,boss_input_vu_khi_suy_ra!$A$2:$A$71,0))*IF(INDEX(boss_input_vu_khi!$D$2:$D$71,MATCH($D$132,boss_input_vu_khi!$A$2:$A$71,0)),1,Boss_dps!$B$25)*Boss_dps!$C$25)</f>
        <v/>
      </c>
      <c r="T132" t="n">
        <v>35.655</v>
      </c>
      <c r="U132" t="inlineStr">
        <is>
          <t>Assets/MachineBrigade/Resources/Data/balance.json: vehicles[id=mobile_fortress] dựng bởi Tools/balance/p26_ab.expand</t>
        </is>
      </c>
      <c r="V132" t="inlineStr"/>
    </row>
    <row r="133">
      <c r="A133" t="inlineStr">
        <is>
          <t>mobile_fortress/1</t>
        </is>
      </c>
      <c r="B133" t="inlineStr">
        <is>
          <t>mobile_fortress</t>
        </is>
      </c>
      <c r="C133" t="n">
        <v>1</v>
      </c>
      <c r="D133" t="inlineStr">
        <is>
          <t>p26_jotunn_sec_jo_rockets</t>
        </is>
      </c>
      <c r="E133" t="inlineStr">
        <is>
          <t>rocket</t>
        </is>
      </c>
      <c r="F133" t="inlineStr">
        <is>
          <t>Free</t>
        </is>
      </c>
      <c r="G133" t="inlineStr">
        <is>
          <t>rockets_l</t>
        </is>
      </c>
      <c r="H133" t="n">
        <v>1</v>
      </c>
      <c r="I133" t="n">
        <v>450</v>
      </c>
      <c r="J133" t="n">
        <v>15.76</v>
      </c>
      <c r="K133" t="n">
        <v>8</v>
      </c>
      <c r="L133" t="n">
        <v>16</v>
      </c>
      <c r="M133" t="n">
        <v>2.5</v>
      </c>
      <c r="N133">
        <f>INDEX(boss_input_vu_khi_suy_ra!$C$2:$C$71,MATCH($D$133,boss_input_vu_khi_suy_ra!$A$2:$A$71,0))</f>
        <v/>
      </c>
      <c r="O133" t="inlineStr">
        <is>
          <t>giong</t>
        </is>
      </c>
      <c r="R133" t="n">
        <v>37.95</v>
      </c>
      <c r="S133">
        <f>IF($D$133="",0,INDEX(boss_input_vu_khi_suy_ra!$B$2:$B$71,MATCH($D$133,boss_input_vu_khi_suy_ra!$A$2:$A$71,0))*IF(INDEX(boss_input_vu_khi!$D$2:$D$71,MATCH($D$133,boss_input_vu_khi!$A$2:$A$71,0)),1,Boss_dps!$B$25)*Boss_dps!$C$25)</f>
        <v/>
      </c>
      <c r="T133" t="n">
        <v>90.19446640316205</v>
      </c>
      <c r="U133" t="inlineStr">
        <is>
          <t>Assets/MachineBrigade/Resources/Data/balance.json: vehicles[id=mobile_fortress] dựng bởi Tools/balance/p26_ab.expand</t>
        </is>
      </c>
      <c r="V133" t="inlineStr"/>
    </row>
    <row r="134">
      <c r="A134" t="inlineStr">
        <is>
          <t>mobile_fortress/2</t>
        </is>
      </c>
      <c r="B134" t="inlineStr">
        <is>
          <t>mobile_fortress</t>
        </is>
      </c>
      <c r="C134" t="n">
        <v>2</v>
      </c>
      <c r="D134" t="inlineStr">
        <is>
          <t>p26_jotunn_sec_jo_rockets</t>
        </is>
      </c>
      <c r="E134" t="inlineStr">
        <is>
          <t>rocket</t>
        </is>
      </c>
      <c r="F134" t="inlineStr">
        <is>
          <t>Free</t>
        </is>
      </c>
      <c r="G134" t="inlineStr">
        <is>
          <t>rockets_r</t>
        </is>
      </c>
      <c r="H134" t="n">
        <v>1</v>
      </c>
      <c r="I134" t="n">
        <v>450</v>
      </c>
      <c r="J134" t="n">
        <v>15.76</v>
      </c>
      <c r="K134" t="n">
        <v>8</v>
      </c>
      <c r="L134" t="n">
        <v>16</v>
      </c>
      <c r="M134" t="n">
        <v>2.5</v>
      </c>
      <c r="N134">
        <f>INDEX(boss_input_vu_khi_suy_ra!$C$2:$C$71,MATCH($D$134,boss_input_vu_khi_suy_ra!$A$2:$A$71,0))</f>
        <v/>
      </c>
      <c r="O134" t="inlineStr">
        <is>
          <t>giong</t>
        </is>
      </c>
      <c r="R134" t="n">
        <v>37.95</v>
      </c>
      <c r="S134">
        <f>IF($D$134="",0,INDEX(boss_input_vu_khi_suy_ra!$B$2:$B$71,MATCH($D$134,boss_input_vu_khi_suy_ra!$A$2:$A$71,0))*IF(INDEX(boss_input_vu_khi!$D$2:$D$71,MATCH($D$134,boss_input_vu_khi!$A$2:$A$71,0)),1,Boss_dps!$B$25)*Boss_dps!$C$25)</f>
        <v/>
      </c>
      <c r="T134" t="n">
        <v>90.19446640316205</v>
      </c>
      <c r="U134" t="inlineStr">
        <is>
          <t>Assets/MachineBrigade/Resources/Data/balance.json: vehicles[id=mobile_fortress] dựng bởi Tools/balance/p26_ab.expand</t>
        </is>
      </c>
      <c r="V134" t="inlineStr"/>
    </row>
    <row r="135">
      <c r="A135" t="inlineStr">
        <is>
          <t>mobile_fortress/3</t>
        </is>
      </c>
      <c r="B135" t="inlineStr">
        <is>
          <t>mobile_fortress</t>
        </is>
      </c>
      <c r="C135" t="n">
        <v>3</v>
      </c>
      <c r="D135" t="inlineStr">
        <is>
          <t>p26_jotunn_close_boss_flak</t>
        </is>
      </c>
      <c r="E135" t="inlineStr">
        <is>
          <t>mg</t>
        </is>
      </c>
      <c r="F135" t="inlineStr">
        <is>
          <t>Free</t>
        </is>
      </c>
      <c r="G135" t="inlineStr">
        <is>
          <t>flak_l</t>
        </is>
      </c>
      <c r="H135" t="n">
        <v>1</v>
      </c>
      <c r="I135" t="n">
        <v>25</v>
      </c>
      <c r="J135" t="n">
        <v>0.05</v>
      </c>
      <c r="K135" t="n">
        <v>2.5</v>
      </c>
      <c r="L135" t="n">
        <v>0</v>
      </c>
      <c r="M135" t="n">
        <v>0</v>
      </c>
      <c r="N135">
        <f>INDEX(boss_input_vu_khi_suy_ra!$C$2:$C$71,MATCH($D$135,boss_input_vu_khi_suy_ra!$A$2:$A$71,0))</f>
        <v/>
      </c>
      <c r="O135" t="inlineStr">
        <is>
          <t>giong</t>
        </is>
      </c>
      <c r="R135" t="n">
        <v>5.38</v>
      </c>
      <c r="S135">
        <f>IF($D$135="",0,INDEX(boss_input_vu_khi_suy_ra!$B$2:$B$71,MATCH($D$135,boss_input_vu_khi_suy_ra!$A$2:$A$71,0))*IF(INDEX(boss_input_vu_khi!$D$2:$D$71,MATCH($D$135,boss_input_vu_khi!$A$2:$A$71,0)),1,Boss_dps!$B$25)*Boss_dps!$C$25)</f>
        <v/>
      </c>
      <c r="T135" t="n">
        <v>181.1468401486989</v>
      </c>
      <c r="U135" t="inlineStr">
        <is>
          <t>Assets/MachineBrigade/Resources/Data/balance.json: vehicles[id=mobile_fortress] dựng bởi Tools/balance/p26_ab.expand</t>
        </is>
      </c>
      <c r="V135" t="inlineStr"/>
    </row>
    <row r="136">
      <c r="A136" t="inlineStr">
        <is>
          <t>mobile_fortress/4</t>
        </is>
      </c>
      <c r="B136" t="inlineStr">
        <is>
          <t>mobile_fortress</t>
        </is>
      </c>
      <c r="C136" t="n">
        <v>4</v>
      </c>
      <c r="D136" t="inlineStr">
        <is>
          <t>p26_jotunn_close_boss_flak</t>
        </is>
      </c>
      <c r="E136" t="inlineStr">
        <is>
          <t>mg</t>
        </is>
      </c>
      <c r="F136" t="inlineStr">
        <is>
          <t>Free</t>
        </is>
      </c>
      <c r="G136" t="inlineStr">
        <is>
          <t>flak_r</t>
        </is>
      </c>
      <c r="H136" t="n">
        <v>1</v>
      </c>
      <c r="I136" t="n">
        <v>25</v>
      </c>
      <c r="J136" t="n">
        <v>0.05</v>
      </c>
      <c r="K136" t="n">
        <v>2.5</v>
      </c>
      <c r="L136" t="n">
        <v>0</v>
      </c>
      <c r="M136" t="n">
        <v>0</v>
      </c>
      <c r="N136">
        <f>INDEX(boss_input_vu_khi_suy_ra!$C$2:$C$71,MATCH($D$136,boss_input_vu_khi_suy_ra!$A$2:$A$71,0))</f>
        <v/>
      </c>
      <c r="O136" t="inlineStr">
        <is>
          <t>giong</t>
        </is>
      </c>
      <c r="R136" t="n">
        <v>5.38</v>
      </c>
      <c r="S136">
        <f>IF($D$136="",0,INDEX(boss_input_vu_khi_suy_ra!$B$2:$B$71,MATCH($D$136,boss_input_vu_khi_suy_ra!$A$2:$A$71,0))*IF(INDEX(boss_input_vu_khi!$D$2:$D$71,MATCH($D$136,boss_input_vu_khi!$A$2:$A$71,0)),1,Boss_dps!$B$25)*Boss_dps!$C$25)</f>
        <v/>
      </c>
      <c r="T136" t="n">
        <v>181.1468401486989</v>
      </c>
      <c r="U136" t="inlineStr">
        <is>
          <t>Assets/MachineBrigade/Resources/Data/balance.json: vehicles[id=mobile_fortress] dựng bởi Tools/balance/p26_ab.expand</t>
        </is>
      </c>
      <c r="V136" t="inlineStr"/>
    </row>
    <row r="137">
      <c r="A137" t="inlineStr">
        <is>
          <t>mobile_fortress/5</t>
        </is>
      </c>
      <c r="B137" t="inlineStr">
        <is>
          <t>mobile_fortress</t>
        </is>
      </c>
      <c r="C137" t="n">
        <v>5</v>
      </c>
      <c r="D137" t="inlineStr">
        <is>
          <t>p26_jotunn_direct_jo125</t>
        </is>
      </c>
      <c r="E137" t="inlineStr">
        <is>
          <t>missile</t>
        </is>
      </c>
      <c r="F137" t="inlineStr">
        <is>
          <t>Hull</t>
        </is>
      </c>
      <c r="G137" t="inlineStr">
        <is>
          <t>missiles</t>
        </is>
      </c>
      <c r="H137" t="n">
        <v>1</v>
      </c>
      <c r="I137" t="n">
        <v>400</v>
      </c>
      <c r="J137" t="n">
        <v>7.5</v>
      </c>
      <c r="K137" t="n">
        <v>0</v>
      </c>
      <c r="L137" t="n">
        <v>0</v>
      </c>
      <c r="M137" t="n">
        <v>0</v>
      </c>
      <c r="N137">
        <f>INDEX(boss_input_vu_khi_suy_ra!$C$2:$C$71,MATCH($D$137,boss_input_vu_khi_suy_ra!$A$2:$A$71,0))</f>
        <v/>
      </c>
      <c r="O137" t="inlineStr">
        <is>
          <t>giong</t>
        </is>
      </c>
      <c r="R137" t="n">
        <v>7.5</v>
      </c>
      <c r="S137">
        <f>IF($D$137="",0,INDEX(boss_input_vu_khi_suy_ra!$B$2:$B$71,MATCH($D$137,boss_input_vu_khi_suy_ra!$A$2:$A$71,0))*IF(INDEX(boss_input_vu_khi!$D$2:$D$71,MATCH($D$137,boss_input_vu_khi!$A$2:$A$71,0)),1,Boss_dps!$B$25)*Boss_dps!$C$25)</f>
        <v/>
      </c>
      <c r="T137" t="n">
        <v>50.70933333333333</v>
      </c>
      <c r="U137" t="inlineStr">
        <is>
          <t>Assets/MachineBrigade/Resources/Data/balance.json: vehicles[id=mobile_fortress] dựng bởi Tools/balance/p26_ab.expand</t>
        </is>
      </c>
      <c r="V137" t="inlineStr"/>
    </row>
    <row r="138">
      <c r="A138" t="inlineStr">
        <is>
          <t>mobile_fortress/6</t>
        </is>
      </c>
      <c r="B138" t="inlineStr">
        <is>
          <t>mobile_fortress</t>
        </is>
      </c>
      <c r="C138" t="n">
        <v>6</v>
      </c>
      <c r="D138" t="inlineStr">
        <is>
          <t>p26_jotunn_tiny_twin_30_flak</t>
        </is>
      </c>
      <c r="E138" t="inlineStr">
        <is>
          <t>mg</t>
        </is>
      </c>
      <c r="F138" t="inlineStr">
        <is>
          <t>Free</t>
        </is>
      </c>
      <c r="G138" t="inlineStr">
        <is>
          <t>flak_r</t>
        </is>
      </c>
      <c r="H138" t="n">
        <v>1</v>
      </c>
      <c r="I138" t="n">
        <v>22</v>
      </c>
      <c r="J138" t="n">
        <v>0.025</v>
      </c>
      <c r="K138" t="n">
        <v>2.5</v>
      </c>
      <c r="L138" t="n">
        <v>0</v>
      </c>
      <c r="M138" t="n">
        <v>0</v>
      </c>
      <c r="N138">
        <f>INDEX(boss_input_vu_khi_suy_ra!$C$2:$C$71,MATCH($D$138,boss_input_vu_khi_suy_ra!$A$2:$A$71,0))</f>
        <v/>
      </c>
      <c r="O138" t="inlineStr">
        <is>
          <t>giong</t>
        </is>
      </c>
      <c r="R138" t="n">
        <v>6.975</v>
      </c>
      <c r="S138">
        <f>IF($D$138="",0,INDEX(boss_input_vu_khi_suy_ra!$B$2:$B$71,MATCH($D$138,boss_input_vu_khi_suy_ra!$A$2:$A$71,0))*IF(INDEX(boss_input_vu_khi!$D$2:$D$71,MATCH($D$138,boss_input_vu_khi!$A$2:$A$71,0)),1,Boss_dps!$B$25)*Boss_dps!$C$25)</f>
        <v/>
      </c>
      <c r="T138" t="n">
        <v>479.8302508960574</v>
      </c>
      <c r="U138" t="inlineStr">
        <is>
          <t>Assets/MachineBrigade/Resources/Data/balance.json: vehicles[id=mobile_fortress] dựng bởi Tools/balance/p26_ab.expand</t>
        </is>
      </c>
      <c r="V138" t="inlineStr"/>
    </row>
    <row r="139">
      <c r="A139" t="inlineStr">
        <is>
          <t>mobile_fortress/7</t>
        </is>
      </c>
      <c r="B139" t="inlineStr">
        <is>
          <t>mobile_fortress</t>
        </is>
      </c>
      <c r="C139" t="n">
        <v>7</v>
      </c>
      <c r="D139" t="inlineStr">
        <is>
          <t>p26_jotunn_jo203</t>
        </is>
      </c>
      <c r="E139" t="inlineStr">
        <is>
          <t>gun</t>
        </is>
      </c>
      <c r="F139" t="inlineStr">
        <is>
          <t>Free</t>
        </is>
      </c>
      <c r="G139" t="inlineStr">
        <is>
          <t>howitzer_2</t>
        </is>
      </c>
      <c r="H139" t="n">
        <v>1</v>
      </c>
      <c r="I139" t="n">
        <v>900</v>
      </c>
      <c r="J139" t="n">
        <v>24</v>
      </c>
      <c r="K139" t="n">
        <v>8.5</v>
      </c>
      <c r="L139" t="n">
        <v>17</v>
      </c>
      <c r="M139" t="n">
        <v>2.5</v>
      </c>
      <c r="N139">
        <f>INDEX(boss_input_vu_khi_suy_ra!$C$2:$C$71,MATCH($D$139,boss_input_vu_khi_suy_ra!$A$2:$A$71,0))</f>
        <v/>
      </c>
      <c r="O139" t="inlineStr">
        <is>
          <t>giong</t>
        </is>
      </c>
      <c r="R139" t="n">
        <v>24</v>
      </c>
      <c r="S139">
        <f>IF($D$139="",0,INDEX(boss_input_vu_khi_suy_ra!$B$2:$B$71,MATCH($D$139,boss_input_vu_khi_suy_ra!$A$2:$A$71,0))*IF(INDEX(boss_input_vu_khi!$D$2:$D$71,MATCH($D$139,boss_input_vu_khi!$A$2:$A$71,0)),1,Boss_dps!$B$25)*Boss_dps!$C$25)</f>
        <v/>
      </c>
      <c r="T139" t="n">
        <v>35.655</v>
      </c>
      <c r="U139" t="inlineStr">
        <is>
          <t>Assets/MachineBrigade/Resources/Data/balance.json: vehicles[id=mobile_fortress] dựng bởi Tools/balance/p26_ab.expand</t>
        </is>
      </c>
      <c r="V139" t="inlineStr"/>
    </row>
    <row r="140">
      <c r="A140" t="inlineStr">
        <is>
          <t>mobile_fortress/8</t>
        </is>
      </c>
      <c r="B140" t="inlineStr">
        <is>
          <t>mobile_fortress</t>
        </is>
      </c>
      <c r="C140" t="n">
        <v>8</v>
      </c>
      <c r="D140" t="inlineStr">
        <is>
          <t>sam_post</t>
        </is>
      </c>
      <c r="E140" t="inlineStr">
        <is>
          <t>missile</t>
        </is>
      </c>
      <c r="F140" t="inlineStr">
        <is>
          <t>Free</t>
        </is>
      </c>
      <c r="G140" t="inlineStr">
        <is>
          <t>sam</t>
        </is>
      </c>
      <c r="H140" t="n">
        <v>1</v>
      </c>
      <c r="I140" t="n">
        <v>320</v>
      </c>
      <c r="J140" t="n">
        <v>3.9</v>
      </c>
      <c r="K140" t="n">
        <v>2</v>
      </c>
      <c r="L140" t="n">
        <v>0</v>
      </c>
      <c r="M140" t="n">
        <v>0</v>
      </c>
      <c r="N140">
        <f>INDEX(boss_input_vu_khi_suy_ra!$C$2:$C$71,MATCH($D$140,boss_input_vu_khi_suy_ra!$A$2:$A$71,0))</f>
        <v/>
      </c>
      <c r="O140" t="inlineStr">
        <is>
          <t>giong</t>
        </is>
      </c>
      <c r="R140" t="n">
        <v>4.4</v>
      </c>
      <c r="S140">
        <f>IF($D$140="",0,INDEX(boss_input_vu_khi_suy_ra!$B$2:$B$71,MATCH($D$140,boss_input_vu_khi_suy_ra!$A$2:$A$71,0))*IF(INDEX(boss_input_vu_khi!$D$2:$D$71,MATCH($D$140,boss_input_vu_khi!$A$2:$A$71,0)),1,Boss_dps!$B$25)*Boss_dps!$C$25)</f>
        <v/>
      </c>
      <c r="T140" t="n">
        <v>138.2981818181818</v>
      </c>
      <c r="U140" t="inlineStr">
        <is>
          <t>Assets/MachineBrigade/Resources/Data/balance.json: vehicles[id=mobile_fortress] dựng bởi Tools/balance/p26_ab.expand</t>
        </is>
      </c>
      <c r="V140" t="inlineStr"/>
    </row>
    <row r="141">
      <c r="A141" t="inlineStr">
        <is>
          <t>moloch/0</t>
        </is>
      </c>
      <c r="B141" t="inlineStr">
        <is>
          <t>moloch</t>
        </is>
      </c>
      <c r="C141" t="n">
        <v>0</v>
      </c>
      <c r="D141" t="inlineStr">
        <is>
          <t>p26_moloch_main_mo120</t>
        </is>
      </c>
      <c r="E141" t="inlineStr">
        <is>
          <t>main</t>
        </is>
      </c>
      <c r="F141" t="inlineStr"/>
      <c r="G141" t="inlineStr">
        <is>
          <t>turret_fl</t>
        </is>
      </c>
      <c r="H141" t="n">
        <v>2</v>
      </c>
      <c r="I141" t="n">
        <v>340</v>
      </c>
      <c r="J141" t="n">
        <v>7.5</v>
      </c>
      <c r="K141" t="n">
        <v>5</v>
      </c>
      <c r="L141" t="n">
        <v>10</v>
      </c>
      <c r="M141" t="n">
        <v>0</v>
      </c>
      <c r="N141">
        <f>INDEX(boss_input_vu_khi_suy_ra!$C$2:$C$71,MATCH($D$141,boss_input_vu_khi_suy_ra!$A$2:$A$71,0))</f>
        <v/>
      </c>
      <c r="O141" t="inlineStr">
        <is>
          <t>giong</t>
        </is>
      </c>
      <c r="R141" t="n">
        <v>7.5</v>
      </c>
      <c r="S141">
        <f>IF($D$141="",0,INDEX(boss_input_vu_khi_suy_ra!$B$2:$B$71,MATCH($D$141,boss_input_vu_khi_suy_ra!$A$2:$A$71,0))*IF(INDEX(boss_input_vu_khi!$D$2:$D$71,MATCH($D$141,boss_input_vu_khi!$A$2:$A$71,0)),1,Boss_dps!$B$26)*Boss_dps!$C$26)</f>
        <v/>
      </c>
      <c r="T141" t="n">
        <v>153.7434666666667</v>
      </c>
      <c r="U141" t="inlineStr">
        <is>
          <t>Assets/MachineBrigade/Resources/Data/balance.json: vehicles[id=moloch] dựng bởi Tools/balance/p26_ab.expand</t>
        </is>
      </c>
      <c r="V141" t="inlineStr"/>
    </row>
    <row r="142">
      <c r="A142" t="inlineStr">
        <is>
          <t>moloch/1</t>
        </is>
      </c>
      <c r="B142" t="inlineStr">
        <is>
          <t>moloch</t>
        </is>
      </c>
      <c r="C142" t="n">
        <v>1</v>
      </c>
      <c r="D142" t="inlineStr">
        <is>
          <t>p26_moloch_tiny_zu23</t>
        </is>
      </c>
      <c r="E142" t="inlineStr">
        <is>
          <t>mg</t>
        </is>
      </c>
      <c r="F142" t="inlineStr">
        <is>
          <t>Free</t>
        </is>
      </c>
      <c r="G142" t="inlineStr"/>
      <c r="H142" t="n">
        <v>2</v>
      </c>
      <c r="I142" t="n">
        <v>3.5</v>
      </c>
      <c r="J142" t="n">
        <v>0.02</v>
      </c>
      <c r="K142" t="n">
        <v>0</v>
      </c>
      <c r="L142" t="n">
        <v>0</v>
      </c>
      <c r="M142" t="n">
        <v>0</v>
      </c>
      <c r="N142">
        <f>INDEX(boss_input_vu_khi_suy_ra!$C$2:$C$71,MATCH($D$142,boss_input_vu_khi_suy_ra!$A$2:$A$71,0))</f>
        <v/>
      </c>
      <c r="O142" t="inlineStr">
        <is>
          <t>giong</t>
        </is>
      </c>
      <c r="R142" t="n">
        <v>4.96</v>
      </c>
      <c r="S142">
        <f>IF($D$142="",0,INDEX(boss_input_vu_khi_suy_ra!$B$2:$B$71,MATCH($D$142,boss_input_vu_khi_suy_ra!$A$2:$A$71,0))*IF(INDEX(boss_input_vu_khi!$D$2:$D$71,MATCH($D$142,boss_input_vu_khi!$A$2:$A$71,0)),1,Boss_dps!$B$26)*Boss_dps!$C$26)</f>
        <v/>
      </c>
      <c r="T142" t="n">
        <v>119.65625</v>
      </c>
      <c r="U142" t="inlineStr">
        <is>
          <t>Assets/MachineBrigade/Resources/Data/balance.json: vehicles[id=moloch] dựng bởi Tools/balance/p26_ab.expand</t>
        </is>
      </c>
      <c r="V142" t="inlineStr"/>
    </row>
    <row r="143">
      <c r="A143" t="inlineStr">
        <is>
          <t>moloch/2</t>
        </is>
      </c>
      <c r="B143" t="inlineStr">
        <is>
          <t>moloch</t>
        </is>
      </c>
      <c r="C143" t="n">
        <v>2</v>
      </c>
      <c r="D143" t="inlineStr">
        <is>
          <t>p26_moloch_tiny_zu23</t>
        </is>
      </c>
      <c r="E143" t="inlineStr">
        <is>
          <t>mg</t>
        </is>
      </c>
      <c r="F143" t="inlineStr">
        <is>
          <t>Free</t>
        </is>
      </c>
      <c r="G143" t="inlineStr"/>
      <c r="H143" t="n">
        <v>2</v>
      </c>
      <c r="I143" t="n">
        <v>3.5</v>
      </c>
      <c r="J143" t="n">
        <v>0.02</v>
      </c>
      <c r="K143" t="n">
        <v>0</v>
      </c>
      <c r="L143" t="n">
        <v>0</v>
      </c>
      <c r="M143" t="n">
        <v>0</v>
      </c>
      <c r="N143">
        <f>INDEX(boss_input_vu_khi_suy_ra!$C$2:$C$71,MATCH($D$143,boss_input_vu_khi_suy_ra!$A$2:$A$71,0))</f>
        <v/>
      </c>
      <c r="O143" t="inlineStr">
        <is>
          <t>giong</t>
        </is>
      </c>
      <c r="R143" t="n">
        <v>4.96</v>
      </c>
      <c r="S143">
        <f>IF($D$143="",0,INDEX(boss_input_vu_khi_suy_ra!$B$2:$B$71,MATCH($D$143,boss_input_vu_khi_suy_ra!$A$2:$A$71,0))*IF(INDEX(boss_input_vu_khi!$D$2:$D$71,MATCH($D$143,boss_input_vu_khi!$A$2:$A$71,0)),1,Boss_dps!$B$26)*Boss_dps!$C$26)</f>
        <v/>
      </c>
      <c r="T143" t="n">
        <v>119.65625</v>
      </c>
      <c r="U143" t="inlineStr">
        <is>
          <t>Assets/MachineBrigade/Resources/Data/balance.json: vehicles[id=moloch] dựng bởi Tools/balance/p26_ab.expand</t>
        </is>
      </c>
      <c r="V143" t="inlineStr"/>
    </row>
    <row r="144">
      <c r="A144" t="inlineStr">
        <is>
          <t>moloch/3</t>
        </is>
      </c>
      <c r="B144" t="inlineStr">
        <is>
          <t>moloch</t>
        </is>
      </c>
      <c r="C144" t="n">
        <v>3</v>
      </c>
      <c r="D144" t="inlineStr">
        <is>
          <t>p26_moloch_main_mo120</t>
        </is>
      </c>
      <c r="E144" t="inlineStr">
        <is>
          <t>gun</t>
        </is>
      </c>
      <c r="F144" t="inlineStr">
        <is>
          <t>Free</t>
        </is>
      </c>
      <c r="G144" t="inlineStr">
        <is>
          <t>turret_fr</t>
        </is>
      </c>
      <c r="H144" t="n">
        <v>2</v>
      </c>
      <c r="I144" t="n">
        <v>340</v>
      </c>
      <c r="J144" t="n">
        <v>7.5</v>
      </c>
      <c r="K144" t="n">
        <v>5</v>
      </c>
      <c r="L144" t="n">
        <v>10</v>
      </c>
      <c r="M144" t="n">
        <v>0</v>
      </c>
      <c r="N144">
        <f>INDEX(boss_input_vu_khi_suy_ra!$C$2:$C$71,MATCH($D$144,boss_input_vu_khi_suy_ra!$A$2:$A$71,0))</f>
        <v/>
      </c>
      <c r="O144" t="inlineStr">
        <is>
          <t>giong</t>
        </is>
      </c>
      <c r="R144" t="n">
        <v>7.5</v>
      </c>
      <c r="S144">
        <f>IF($D$144="",0,INDEX(boss_input_vu_khi_suy_ra!$B$2:$B$71,MATCH($D$144,boss_input_vu_khi_suy_ra!$A$2:$A$71,0))*IF(INDEX(boss_input_vu_khi!$D$2:$D$71,MATCH($D$144,boss_input_vu_khi!$A$2:$A$71,0)),1,Boss_dps!$B$26)*Boss_dps!$C$26)</f>
        <v/>
      </c>
      <c r="T144" t="n">
        <v>153.7434666666667</v>
      </c>
      <c r="U144" t="inlineStr">
        <is>
          <t>Assets/MachineBrigade/Resources/Data/balance.json: vehicles[id=moloch] dựng bởi Tools/balance/p26_ab.expand</t>
        </is>
      </c>
      <c r="V144" t="inlineStr"/>
    </row>
    <row r="145">
      <c r="A145" t="inlineStr">
        <is>
          <t>moloch/4</t>
        </is>
      </c>
      <c r="B145" t="inlineStr">
        <is>
          <t>moloch</t>
        </is>
      </c>
      <c r="C145" t="n">
        <v>4</v>
      </c>
      <c r="D145" t="inlineStr">
        <is>
          <t>p26_moloch_direct_mo120ap</t>
        </is>
      </c>
      <c r="E145" t="inlineStr">
        <is>
          <t>gun</t>
        </is>
      </c>
      <c r="F145" t="inlineStr">
        <is>
          <t>Free</t>
        </is>
      </c>
      <c r="G145" t="inlineStr">
        <is>
          <t>turret_rl</t>
        </is>
      </c>
      <c r="H145" t="n">
        <v>2</v>
      </c>
      <c r="I145" t="n">
        <v>260</v>
      </c>
      <c r="J145" t="n">
        <v>7.5</v>
      </c>
      <c r="K145" t="n">
        <v>0</v>
      </c>
      <c r="L145" t="n">
        <v>0</v>
      </c>
      <c r="M145" t="n">
        <v>0</v>
      </c>
      <c r="N145">
        <f>INDEX(boss_input_vu_khi_suy_ra!$C$2:$C$71,MATCH($D$145,boss_input_vu_khi_suy_ra!$A$2:$A$71,0))</f>
        <v/>
      </c>
      <c r="O145" t="inlineStr">
        <is>
          <t>giong</t>
        </is>
      </c>
      <c r="R145" t="n">
        <v>7.5</v>
      </c>
      <c r="S145">
        <f>IF($D$145="",0,INDEX(boss_input_vu_khi_suy_ra!$B$2:$B$71,MATCH($D$145,boss_input_vu_khi_suy_ra!$A$2:$A$71,0))*IF(INDEX(boss_input_vu_khi!$D$2:$D$71,MATCH($D$145,boss_input_vu_khi!$A$2:$A$71,0)),1,Boss_dps!$B$26)*Boss_dps!$C$26)</f>
        <v/>
      </c>
      <c r="T145" t="n">
        <v>117.5685333333333</v>
      </c>
      <c r="U145" t="inlineStr">
        <is>
          <t>Assets/MachineBrigade/Resources/Data/balance.json: vehicles[id=moloch] dựng bởi Tools/balance/p26_ab.expand</t>
        </is>
      </c>
      <c r="V145" t="inlineStr"/>
    </row>
    <row r="146">
      <c r="A146" t="inlineStr">
        <is>
          <t>moloch/5</t>
        </is>
      </c>
      <c r="B146" t="inlineStr">
        <is>
          <t>moloch</t>
        </is>
      </c>
      <c r="C146" t="n">
        <v>5</v>
      </c>
      <c r="D146" t="inlineStr">
        <is>
          <t>p26_moloch_direct_mo120ap</t>
        </is>
      </c>
      <c r="E146" t="inlineStr">
        <is>
          <t>gun</t>
        </is>
      </c>
      <c r="F146" t="inlineStr">
        <is>
          <t>Free</t>
        </is>
      </c>
      <c r="G146" t="inlineStr">
        <is>
          <t>turret_rr</t>
        </is>
      </c>
      <c r="H146" t="n">
        <v>2</v>
      </c>
      <c r="I146" t="n">
        <v>260</v>
      </c>
      <c r="J146" t="n">
        <v>7.5</v>
      </c>
      <c r="K146" t="n">
        <v>0</v>
      </c>
      <c r="L146" t="n">
        <v>0</v>
      </c>
      <c r="M146" t="n">
        <v>0</v>
      </c>
      <c r="N146">
        <f>INDEX(boss_input_vu_khi_suy_ra!$C$2:$C$71,MATCH($D$146,boss_input_vu_khi_suy_ra!$A$2:$A$71,0))</f>
        <v/>
      </c>
      <c r="O146" t="inlineStr">
        <is>
          <t>giong</t>
        </is>
      </c>
      <c r="R146" t="n">
        <v>7.5</v>
      </c>
      <c r="S146">
        <f>IF($D$146="",0,INDEX(boss_input_vu_khi_suy_ra!$B$2:$B$71,MATCH($D$146,boss_input_vu_khi_suy_ra!$A$2:$A$71,0))*IF(INDEX(boss_input_vu_khi!$D$2:$D$71,MATCH($D$146,boss_input_vu_khi!$A$2:$A$71,0)),1,Boss_dps!$B$26)*Boss_dps!$C$26)</f>
        <v/>
      </c>
      <c r="T146" t="n">
        <v>117.5685333333333</v>
      </c>
      <c r="U146" t="inlineStr">
        <is>
          <t>Assets/MachineBrigade/Resources/Data/balance.json: vehicles[id=moloch] dựng bởi Tools/balance/p26_ab.expand</t>
        </is>
      </c>
      <c r="V146" t="inlineStr"/>
    </row>
    <row r="147">
      <c r="A147" t="inlineStr">
        <is>
          <t>moloch/6</t>
        </is>
      </c>
      <c r="B147" t="inlineStr">
        <is>
          <t>moloch</t>
        </is>
      </c>
      <c r="C147" t="n">
        <v>6</v>
      </c>
      <c r="D147" t="inlineStr">
        <is>
          <t>p26_moloch_close_boss_flak</t>
        </is>
      </c>
      <c r="E147" t="inlineStr">
        <is>
          <t>mg</t>
        </is>
      </c>
      <c r="F147" t="inlineStr">
        <is>
          <t>Free</t>
        </is>
      </c>
      <c r="G147" t="inlineStr">
        <is>
          <t>flak</t>
        </is>
      </c>
      <c r="H147" t="n">
        <v>1</v>
      </c>
      <c r="I147" t="n">
        <v>25</v>
      </c>
      <c r="J147" t="n">
        <v>0.05</v>
      </c>
      <c r="K147" t="n">
        <v>2.5</v>
      </c>
      <c r="L147" t="n">
        <v>0</v>
      </c>
      <c r="M147" t="n">
        <v>0</v>
      </c>
      <c r="N147">
        <f>INDEX(boss_input_vu_khi_suy_ra!$C$2:$C$71,MATCH($D$147,boss_input_vu_khi_suy_ra!$A$2:$A$71,0))</f>
        <v/>
      </c>
      <c r="O147" t="inlineStr">
        <is>
          <t>giong</t>
        </is>
      </c>
      <c r="R147" t="n">
        <v>5.38</v>
      </c>
      <c r="S147">
        <f>IF($D$147="",0,INDEX(boss_input_vu_khi_suy_ra!$B$2:$B$71,MATCH($D$147,boss_input_vu_khi_suy_ra!$A$2:$A$71,0))*IF(INDEX(boss_input_vu_khi!$D$2:$D$71,MATCH($D$147,boss_input_vu_khi!$A$2:$A$71,0)),1,Boss_dps!$B$26)*Boss_dps!$C$26)</f>
        <v/>
      </c>
      <c r="T147" t="n">
        <v>323.0655204460966</v>
      </c>
      <c r="U147" t="inlineStr">
        <is>
          <t>Assets/MachineBrigade/Resources/Data/balance.json: vehicles[id=moloch] dựng bởi Tools/balance/p26_ab.expand</t>
        </is>
      </c>
      <c r="V147" t="inlineStr"/>
    </row>
    <row r="148">
      <c r="A148" t="inlineStr">
        <is>
          <t>monster/0</t>
        </is>
      </c>
      <c r="B148" t="inlineStr">
        <is>
          <t>monster</t>
        </is>
      </c>
      <c r="C148" t="n">
        <v>0</v>
      </c>
      <c r="D148" t="inlineStr">
        <is>
          <t>p26_bastion_sec_b240</t>
        </is>
      </c>
      <c r="E148" t="inlineStr">
        <is>
          <t>main</t>
        </is>
      </c>
      <c r="F148" t="inlineStr"/>
      <c r="G148" t="inlineStr">
        <is>
          <t>mortar</t>
        </is>
      </c>
      <c r="H148" t="n">
        <v>1</v>
      </c>
      <c r="I148" t="n">
        <v>1100</v>
      </c>
      <c r="J148" t="n">
        <v>60</v>
      </c>
      <c r="K148" t="n">
        <v>10</v>
      </c>
      <c r="L148" t="n">
        <v>20</v>
      </c>
      <c r="M148" t="n">
        <v>2.722222222222222</v>
      </c>
      <c r="N148">
        <f>INDEX(boss_input_vu_khi_suy_ra!$C$2:$C$71,MATCH($D$148,boss_input_vu_khi_suy_ra!$A$2:$A$71,0))</f>
        <v/>
      </c>
      <c r="O148" t="inlineStr">
        <is>
          <t>giong</t>
        </is>
      </c>
      <c r="R148" t="n">
        <v>60</v>
      </c>
      <c r="S148">
        <f>IF($D$148="",0,INDEX(boss_input_vu_khi_suy_ra!$B$2:$B$71,MATCH($D$148,boss_input_vu_khi_suy_ra!$A$2:$A$71,0))*IF(INDEX(boss_input_vu_khi!$D$2:$D$71,MATCH($D$148,boss_input_vu_khi!$A$2:$A$71,0)),1,Boss_dps!$B$27)*Boss_dps!$C$27)</f>
        <v/>
      </c>
      <c r="T148" t="n">
        <v>36.61166666666666</v>
      </c>
      <c r="U148" t="inlineStr">
        <is>
          <t>Assets/MachineBrigade/Resources/Data/balance.json: vehicles[id=monster] dựng bởi Tools/balance/p26_ab.expand</t>
        </is>
      </c>
      <c r="V148" t="inlineStr"/>
    </row>
    <row r="149">
      <c r="A149" t="inlineStr">
        <is>
          <t>monster/1</t>
        </is>
      </c>
      <c r="B149" t="inlineStr">
        <is>
          <t>monster</t>
        </is>
      </c>
      <c r="C149" t="n">
        <v>1</v>
      </c>
      <c r="D149" t="inlineStr">
        <is>
          <t>p26_bastion_direct_b100</t>
        </is>
      </c>
      <c r="E149" t="inlineStr">
        <is>
          <t>gun</t>
        </is>
      </c>
      <c r="F149" t="inlineStr">
        <is>
          <t>Free</t>
        </is>
      </c>
      <c r="G149" t="inlineStr">
        <is>
          <t>turret_fl</t>
        </is>
      </c>
      <c r="H149" t="n">
        <v>2</v>
      </c>
      <c r="I149" t="n">
        <v>240</v>
      </c>
      <c r="J149" t="n">
        <v>8.6</v>
      </c>
      <c r="K149" t="n">
        <v>0</v>
      </c>
      <c r="L149" t="n">
        <v>0</v>
      </c>
      <c r="M149" t="n">
        <v>0</v>
      </c>
      <c r="N149">
        <f>INDEX(boss_input_vu_khi_suy_ra!$C$2:$C$71,MATCH($D$149,boss_input_vu_khi_suy_ra!$A$2:$A$71,0))</f>
        <v/>
      </c>
      <c r="O149" t="inlineStr">
        <is>
          <t>giong</t>
        </is>
      </c>
      <c r="R149" t="n">
        <v>8.6</v>
      </c>
      <c r="S149">
        <f>IF($D$149="",0,INDEX(boss_input_vu_khi_suy_ra!$B$2:$B$71,MATCH($D$149,boss_input_vu_khi_suy_ra!$A$2:$A$71,0))*IF(INDEX(boss_input_vu_khi!$D$2:$D$71,MATCH($D$149,boss_input_vu_khi!$A$2:$A$71,0)),1,Boss_dps!$B$27)*Boss_dps!$C$27)</f>
        <v/>
      </c>
      <c r="T149" t="n">
        <v>111.4604651162791</v>
      </c>
      <c r="U149" t="inlineStr">
        <is>
          <t>Assets/MachineBrigade/Resources/Data/balance.json: vehicles[id=monster] dựng bởi Tools/balance/p26_ab.expand</t>
        </is>
      </c>
      <c r="V149" t="inlineStr"/>
    </row>
    <row r="150">
      <c r="A150" t="inlineStr">
        <is>
          <t>monster/2</t>
        </is>
      </c>
      <c r="B150" t="inlineStr">
        <is>
          <t>monster</t>
        </is>
      </c>
      <c r="C150" t="n">
        <v>2</v>
      </c>
      <c r="D150" t="inlineStr">
        <is>
          <t>p26_bastion_direct_b100</t>
        </is>
      </c>
      <c r="E150" t="inlineStr">
        <is>
          <t>gun</t>
        </is>
      </c>
      <c r="F150" t="inlineStr">
        <is>
          <t>Free</t>
        </is>
      </c>
      <c r="G150" t="inlineStr">
        <is>
          <t>turret_fr</t>
        </is>
      </c>
      <c r="H150" t="n">
        <v>2</v>
      </c>
      <c r="I150" t="n">
        <v>240</v>
      </c>
      <c r="J150" t="n">
        <v>8.6</v>
      </c>
      <c r="K150" t="n">
        <v>0</v>
      </c>
      <c r="L150" t="n">
        <v>0</v>
      </c>
      <c r="M150" t="n">
        <v>0</v>
      </c>
      <c r="N150">
        <f>INDEX(boss_input_vu_khi_suy_ra!$C$2:$C$71,MATCH($D$150,boss_input_vu_khi_suy_ra!$A$2:$A$71,0))</f>
        <v/>
      </c>
      <c r="O150" t="inlineStr">
        <is>
          <t>giong</t>
        </is>
      </c>
      <c r="R150" t="n">
        <v>8.6</v>
      </c>
      <c r="S150">
        <f>IF($D$150="",0,INDEX(boss_input_vu_khi_suy_ra!$B$2:$B$71,MATCH($D$150,boss_input_vu_khi_suy_ra!$A$2:$A$71,0))*IF(INDEX(boss_input_vu_khi!$D$2:$D$71,MATCH($D$150,boss_input_vu_khi!$A$2:$A$71,0)),1,Boss_dps!$B$27)*Boss_dps!$C$27)</f>
        <v/>
      </c>
      <c r="T150" t="n">
        <v>111.4604651162791</v>
      </c>
      <c r="U150" t="inlineStr">
        <is>
          <t>Assets/MachineBrigade/Resources/Data/balance.json: vehicles[id=monster] dựng bởi Tools/balance/p26_ab.expand</t>
        </is>
      </c>
      <c r="V150" t="inlineStr"/>
    </row>
    <row r="151">
      <c r="A151" t="inlineStr">
        <is>
          <t>monster/3</t>
        </is>
      </c>
      <c r="B151" t="inlineStr">
        <is>
          <t>monster</t>
        </is>
      </c>
      <c r="C151" t="n">
        <v>3</v>
      </c>
      <c r="D151" t="inlineStr">
        <is>
          <t>p26_bastion_tiny_autocannon_40</t>
        </is>
      </c>
      <c r="E151" t="inlineStr">
        <is>
          <t>gun</t>
        </is>
      </c>
      <c r="F151" t="inlineStr">
        <is>
          <t>Free</t>
        </is>
      </c>
      <c r="G151" t="inlineStr">
        <is>
          <t>turret_rl</t>
        </is>
      </c>
      <c r="H151" t="n">
        <v>1</v>
      </c>
      <c r="I151" t="n">
        <v>30</v>
      </c>
      <c r="J151" t="n">
        <v>0.2</v>
      </c>
      <c r="K151" t="n">
        <v>0</v>
      </c>
      <c r="L151" t="n">
        <v>0</v>
      </c>
      <c r="M151" t="n">
        <v>0</v>
      </c>
      <c r="N151">
        <f>INDEX(boss_input_vu_khi_suy_ra!$C$2:$C$71,MATCH($D$151,boss_input_vu_khi_suy_ra!$A$2:$A$71,0))</f>
        <v/>
      </c>
      <c r="O151" t="inlineStr">
        <is>
          <t>giong</t>
        </is>
      </c>
      <c r="R151" t="n">
        <v>3.32</v>
      </c>
      <c r="S151">
        <f>IF($D$151="",0,INDEX(boss_input_vu_khi_suy_ra!$B$2:$B$71,MATCH($D$151,boss_input_vu_khi_suy_ra!$A$2:$A$71,0))*IF(INDEX(boss_input_vu_khi!$D$2:$D$71,MATCH($D$151,boss_input_vu_khi!$A$2:$A$71,0)),1,Boss_dps!$B$27)*Boss_dps!$C$27)</f>
        <v/>
      </c>
      <c r="T151" t="n">
        <v>180.4518072289157</v>
      </c>
      <c r="U151" t="inlineStr">
        <is>
          <t>Assets/MachineBrigade/Resources/Data/balance.json: vehicles[id=monster] dựng bởi Tools/balance/p26_ab.expand</t>
        </is>
      </c>
      <c r="V151" t="inlineStr"/>
    </row>
    <row r="152">
      <c r="A152" t="inlineStr">
        <is>
          <t>monster/4</t>
        </is>
      </c>
      <c r="B152" t="inlineStr">
        <is>
          <t>monster</t>
        </is>
      </c>
      <c r="C152" t="n">
        <v>4</v>
      </c>
      <c r="D152" t="inlineStr">
        <is>
          <t>p26_bastion_tiny_autocannon_40</t>
        </is>
      </c>
      <c r="E152" t="inlineStr">
        <is>
          <t>gun</t>
        </is>
      </c>
      <c r="F152" t="inlineStr">
        <is>
          <t>Free</t>
        </is>
      </c>
      <c r="G152" t="inlineStr">
        <is>
          <t>turret_rr</t>
        </is>
      </c>
      <c r="H152" t="n">
        <v>1</v>
      </c>
      <c r="I152" t="n">
        <v>30</v>
      </c>
      <c r="J152" t="n">
        <v>0.2</v>
      </c>
      <c r="K152" t="n">
        <v>0</v>
      </c>
      <c r="L152" t="n">
        <v>0</v>
      </c>
      <c r="M152" t="n">
        <v>0</v>
      </c>
      <c r="N152">
        <f>INDEX(boss_input_vu_khi_suy_ra!$C$2:$C$71,MATCH($D$152,boss_input_vu_khi_suy_ra!$A$2:$A$71,0))</f>
        <v/>
      </c>
      <c r="O152" t="inlineStr">
        <is>
          <t>giong</t>
        </is>
      </c>
      <c r="R152" t="n">
        <v>3.32</v>
      </c>
      <c r="S152">
        <f>IF($D$152="",0,INDEX(boss_input_vu_khi_suy_ra!$B$2:$B$71,MATCH($D$152,boss_input_vu_khi_suy_ra!$A$2:$A$71,0))*IF(INDEX(boss_input_vu_khi!$D$2:$D$71,MATCH($D$152,boss_input_vu_khi!$A$2:$A$71,0)),1,Boss_dps!$B$27)*Boss_dps!$C$27)</f>
        <v/>
      </c>
      <c r="T152" t="n">
        <v>180.4518072289157</v>
      </c>
      <c r="U152" t="inlineStr">
        <is>
          <t>Assets/MachineBrigade/Resources/Data/balance.json: vehicles[id=monster] dựng bởi Tools/balance/p26_ab.expand</t>
        </is>
      </c>
      <c r="V152" t="inlineStr"/>
    </row>
    <row r="153">
      <c r="A153" t="inlineStr">
        <is>
          <t>monster/5</t>
        </is>
      </c>
      <c r="B153" t="inlineStr">
        <is>
          <t>monster</t>
        </is>
      </c>
      <c r="C153" t="n">
        <v>5</v>
      </c>
      <c r="D153" t="inlineStr">
        <is>
          <t>p26_bastion_tiny_kornet_twin</t>
        </is>
      </c>
      <c r="E153" t="inlineStr">
        <is>
          <t>missile</t>
        </is>
      </c>
      <c r="F153" t="inlineStr">
        <is>
          <t>Free</t>
        </is>
      </c>
      <c r="G153" t="inlineStr">
        <is>
          <t>kornet</t>
        </is>
      </c>
      <c r="H153" t="n">
        <v>1</v>
      </c>
      <c r="I153" t="n">
        <v>230</v>
      </c>
      <c r="J153" t="n">
        <v>19.4</v>
      </c>
      <c r="K153" t="n">
        <v>0</v>
      </c>
      <c r="L153" t="n">
        <v>0</v>
      </c>
      <c r="M153" t="n">
        <v>0</v>
      </c>
      <c r="N153">
        <f>INDEX(boss_input_vu_khi_suy_ra!$C$2:$C$71,MATCH($D$153,boss_input_vu_khi_suy_ra!$A$2:$A$71,0))</f>
        <v/>
      </c>
      <c r="O153" t="inlineStr">
        <is>
          <t>giong</t>
        </is>
      </c>
      <c r="R153" t="n">
        <v>20</v>
      </c>
      <c r="S153">
        <f>IF($D$153="",0,INDEX(boss_input_vu_khi_suy_ra!$B$2:$B$71,MATCH($D$153,boss_input_vu_khi_suy_ra!$A$2:$A$71,0))*IF(INDEX(boss_input_vu_khi!$D$2:$D$71,MATCH($D$153,boss_input_vu_khi!$A$2:$A$71,0)),1,Boss_dps!$B$27)*Boss_dps!$C$27)</f>
        <v/>
      </c>
      <c r="T153" t="n">
        <v>45.931</v>
      </c>
      <c r="U153" t="inlineStr">
        <is>
          <t>Assets/MachineBrigade/Resources/Data/balance.json: vehicles[id=monster] dựng bởi Tools/balance/p26_ab.expand</t>
        </is>
      </c>
      <c r="V153" t="inlineStr"/>
    </row>
    <row r="154">
      <c r="A154" t="inlineStr">
        <is>
          <t>monster/6</t>
        </is>
      </c>
      <c r="B154" t="inlineStr">
        <is>
          <t>monster</t>
        </is>
      </c>
      <c r="C154" t="n">
        <v>6</v>
      </c>
      <c r="D154" t="inlineStr">
        <is>
          <t>p26_bastion_close_boss_hmg</t>
        </is>
      </c>
      <c r="E154" t="inlineStr">
        <is>
          <t>mg</t>
        </is>
      </c>
      <c r="F154" t="inlineStr">
        <is>
          <t>Free</t>
        </is>
      </c>
      <c r="G154" t="inlineStr">
        <is>
          <t>turret_rl</t>
        </is>
      </c>
      <c r="H154" t="n">
        <v>1</v>
      </c>
      <c r="I154" t="n">
        <v>15</v>
      </c>
      <c r="J154" t="n">
        <v>0.0833</v>
      </c>
      <c r="K154" t="n">
        <v>0</v>
      </c>
      <c r="L154" t="n">
        <v>0</v>
      </c>
      <c r="M154" t="n">
        <v>0</v>
      </c>
      <c r="N154">
        <f>INDEX(boss_input_vu_khi_suy_ra!$C$2:$C$71,MATCH($D$154,boss_input_vu_khi_suy_ra!$A$2:$A$71,0))</f>
        <v/>
      </c>
      <c r="O154" t="inlineStr">
        <is>
          <t>giong</t>
        </is>
      </c>
      <c r="R154" t="n">
        <v>13.2467</v>
      </c>
      <c r="S154">
        <f>IF($D$154="",0,INDEX(boss_input_vu_khi_suy_ra!$B$2:$B$71,MATCH($D$154,boss_input_vu_khi_suy_ra!$A$2:$A$71,0))*IF(INDEX(boss_input_vu_khi!$D$2:$D$71,MATCH($D$154,boss_input_vu_khi!$A$2:$A$71,0)),1,Boss_dps!$B$27)*Boss_dps!$C$27)</f>
        <v/>
      </c>
      <c r="T154" t="n">
        <v>226.1317913140631</v>
      </c>
      <c r="U154" t="inlineStr">
        <is>
          <t>Assets/MachineBrigade/Resources/Data/balance.json: vehicles[id=monster] dựng bởi Tools/balance/p26_ab.expand</t>
        </is>
      </c>
      <c r="V154" t="inlineStr"/>
    </row>
    <row r="155">
      <c r="A155" t="inlineStr">
        <is>
          <t>monster/7</t>
        </is>
      </c>
      <c r="B155" t="inlineStr">
        <is>
          <t>monster</t>
        </is>
      </c>
      <c r="C155" t="n">
        <v>7</v>
      </c>
      <c r="D155" t="inlineStr">
        <is>
          <t>p26_bastion_close_boss_hmg</t>
        </is>
      </c>
      <c r="E155" t="inlineStr">
        <is>
          <t>mg</t>
        </is>
      </c>
      <c r="F155" t="inlineStr">
        <is>
          <t>Free</t>
        </is>
      </c>
      <c r="G155" t="inlineStr">
        <is>
          <t>turret_rr</t>
        </is>
      </c>
      <c r="H155" t="n">
        <v>1</v>
      </c>
      <c r="I155" t="n">
        <v>15</v>
      </c>
      <c r="J155" t="n">
        <v>0.0833</v>
      </c>
      <c r="K155" t="n">
        <v>0</v>
      </c>
      <c r="L155" t="n">
        <v>0</v>
      </c>
      <c r="M155" t="n">
        <v>0</v>
      </c>
      <c r="N155">
        <f>INDEX(boss_input_vu_khi_suy_ra!$C$2:$C$71,MATCH($D$155,boss_input_vu_khi_suy_ra!$A$2:$A$71,0))</f>
        <v/>
      </c>
      <c r="O155" t="inlineStr">
        <is>
          <t>giong</t>
        </is>
      </c>
      <c r="R155" t="n">
        <v>13.2467</v>
      </c>
      <c r="S155">
        <f>IF($D$155="",0,INDEX(boss_input_vu_khi_suy_ra!$B$2:$B$71,MATCH($D$155,boss_input_vu_khi_suy_ra!$A$2:$A$71,0))*IF(INDEX(boss_input_vu_khi!$D$2:$D$71,MATCH($D$155,boss_input_vu_khi!$A$2:$A$71,0)),1,Boss_dps!$B$27)*Boss_dps!$C$27)</f>
        <v/>
      </c>
      <c r="T155" t="n">
        <v>226.1317913140631</v>
      </c>
      <c r="U155" t="inlineStr">
        <is>
          <t>Assets/MachineBrigade/Resources/Data/balance.json: vehicles[id=monster] dựng bởi Tools/balance/p26_ab.expand</t>
        </is>
      </c>
      <c r="V155" t="inlineStr"/>
    </row>
    <row r="156">
      <c r="A156" t="inlineStr">
        <is>
          <t>monster/8</t>
        </is>
      </c>
      <c r="B156" t="inlineStr">
        <is>
          <t>monster</t>
        </is>
      </c>
      <c r="C156" t="n">
        <v>8</v>
      </c>
      <c r="D156" t="inlineStr">
        <is>
          <t>p26_bastion_main_b155</t>
        </is>
      </c>
      <c r="E156" t="inlineStr">
        <is>
          <t>gun</t>
        </is>
      </c>
      <c r="F156" t="inlineStr">
        <is>
          <t>Free</t>
        </is>
      </c>
      <c r="G156" t="inlineStr">
        <is>
          <t>casemate</t>
        </is>
      </c>
      <c r="H156" t="n">
        <v>1</v>
      </c>
      <c r="I156" t="n">
        <v>600</v>
      </c>
      <c r="J156" t="n">
        <v>15</v>
      </c>
      <c r="K156" t="n">
        <v>7</v>
      </c>
      <c r="L156" t="n">
        <v>14</v>
      </c>
      <c r="M156" t="n">
        <v>0</v>
      </c>
      <c r="N156">
        <f>INDEX(boss_input_vu_khi_suy_ra!$C$2:$C$71,MATCH($D$156,boss_input_vu_khi_suy_ra!$A$2:$A$71,0))</f>
        <v/>
      </c>
      <c r="O156" t="inlineStr">
        <is>
          <t>giong</t>
        </is>
      </c>
      <c r="R156" t="n">
        <v>15</v>
      </c>
      <c r="S156">
        <f>IF($D$156="",0,INDEX(boss_input_vu_khi_suy_ra!$B$2:$B$71,MATCH($D$156,boss_input_vu_khi_suy_ra!$A$2:$A$71,0))*IF(INDEX(boss_input_vu_khi!$D$2:$D$71,MATCH($D$156,boss_input_vu_khi!$A$2:$A$71,0)),1,Boss_dps!$B$27)*Boss_dps!$C$27)</f>
        <v/>
      </c>
      <c r="T156" t="n">
        <v>79.88000000000001</v>
      </c>
      <c r="U156" t="inlineStr">
        <is>
          <t>Assets/MachineBrigade/Resources/Data/balance.json: vehicles[id=monster] dựng bởi Tools/balance/p26_ab.expand</t>
        </is>
      </c>
      <c r="V156" t="inlineStr"/>
    </row>
    <row r="157">
      <c r="A157" t="inlineStr">
        <is>
          <t>monster/9</t>
        </is>
      </c>
      <c r="B157" t="inlineStr">
        <is>
          <t>monster</t>
        </is>
      </c>
      <c r="C157" t="n">
        <v>9</v>
      </c>
      <c r="D157" t="inlineStr">
        <is>
          <t>p26_bastion_tiny_zu23</t>
        </is>
      </c>
      <c r="E157" t="inlineStr">
        <is>
          <t>mg</t>
        </is>
      </c>
      <c r="F157" t="inlineStr">
        <is>
          <t>Free</t>
        </is>
      </c>
      <c r="G157" t="inlineStr">
        <is>
          <t>zu23_l</t>
        </is>
      </c>
      <c r="H157" t="n">
        <v>2</v>
      </c>
      <c r="I157" t="n">
        <v>3.5</v>
      </c>
      <c r="J157" t="n">
        <v>0.02</v>
      </c>
      <c r="K157" t="n">
        <v>0</v>
      </c>
      <c r="L157" t="n">
        <v>0</v>
      </c>
      <c r="M157" t="n">
        <v>0</v>
      </c>
      <c r="N157">
        <f>INDEX(boss_input_vu_khi_suy_ra!$C$2:$C$71,MATCH($D$157,boss_input_vu_khi_suy_ra!$A$2:$A$71,0))</f>
        <v/>
      </c>
      <c r="O157" t="inlineStr">
        <is>
          <t>giong</t>
        </is>
      </c>
      <c r="R157" t="n">
        <v>4.96</v>
      </c>
      <c r="S157">
        <f>IF($D$157="",0,INDEX(boss_input_vu_khi_suy_ra!$B$2:$B$71,MATCH($D$157,boss_input_vu_khi_suy_ra!$A$2:$A$71,0))*IF(INDEX(boss_input_vu_khi!$D$2:$D$71,MATCH($D$157,boss_input_vu_khi!$A$2:$A$71,0)),1,Boss_dps!$B$27)*Boss_dps!$C$27)</f>
        <v/>
      </c>
      <c r="T157" t="n">
        <v>140.9173387096774</v>
      </c>
      <c r="U157" t="inlineStr">
        <is>
          <t>Assets/MachineBrigade/Resources/Data/balance.json: vehicles[id=monster] dựng bởi Tools/balance/p26_ab.expand</t>
        </is>
      </c>
      <c r="V157" t="inlineStr"/>
    </row>
    <row r="158">
      <c r="A158" t="inlineStr">
        <is>
          <t>monster/10</t>
        </is>
      </c>
      <c r="B158" t="inlineStr">
        <is>
          <t>monster</t>
        </is>
      </c>
      <c r="C158" t="n">
        <v>10</v>
      </c>
      <c r="D158" t="inlineStr">
        <is>
          <t>p26_bastion_tiny_zu23</t>
        </is>
      </c>
      <c r="E158" t="inlineStr">
        <is>
          <t>mg</t>
        </is>
      </c>
      <c r="F158" t="inlineStr">
        <is>
          <t>Free</t>
        </is>
      </c>
      <c r="G158" t="inlineStr">
        <is>
          <t>zu23_r</t>
        </is>
      </c>
      <c r="H158" t="n">
        <v>2</v>
      </c>
      <c r="I158" t="n">
        <v>3.5</v>
      </c>
      <c r="J158" t="n">
        <v>0.02</v>
      </c>
      <c r="K158" t="n">
        <v>0</v>
      </c>
      <c r="L158" t="n">
        <v>0</v>
      </c>
      <c r="M158" t="n">
        <v>0</v>
      </c>
      <c r="N158">
        <f>INDEX(boss_input_vu_khi_suy_ra!$C$2:$C$71,MATCH($D$158,boss_input_vu_khi_suy_ra!$A$2:$A$71,0))</f>
        <v/>
      </c>
      <c r="O158" t="inlineStr">
        <is>
          <t>giong</t>
        </is>
      </c>
      <c r="R158" t="n">
        <v>4.96</v>
      </c>
      <c r="S158">
        <f>IF($D$158="",0,INDEX(boss_input_vu_khi_suy_ra!$B$2:$B$71,MATCH($D$158,boss_input_vu_khi_suy_ra!$A$2:$A$71,0))*IF(INDEX(boss_input_vu_khi!$D$2:$D$71,MATCH($D$158,boss_input_vu_khi!$A$2:$A$71,0)),1,Boss_dps!$B$27)*Boss_dps!$C$27)</f>
        <v/>
      </c>
      <c r="T158" t="n">
        <v>140.9173387096774</v>
      </c>
      <c r="U158" t="inlineStr">
        <is>
          <t>Assets/MachineBrigade/Resources/Data/balance.json: vehicles[id=monster] dựng bởi Tools/balance/p26_ab.expand</t>
        </is>
      </c>
      <c r="V158" t="inlineStr"/>
    </row>
    <row r="159">
      <c r="A159" t="inlineStr">
        <is>
          <t>nuke_train/0</t>
        </is>
      </c>
      <c r="B159" t="inlineStr">
        <is>
          <t>nuke_train</t>
        </is>
      </c>
      <c r="C159" t="n">
        <v>0</v>
      </c>
      <c r="D159" t="inlineStr">
        <is>
          <t>p26_nemesis_main_ne152</t>
        </is>
      </c>
      <c r="E159" t="inlineStr">
        <is>
          <t>main</t>
        </is>
      </c>
      <c r="F159" t="inlineStr"/>
      <c r="G159" t="inlineStr">
        <is>
          <t>twin_gun</t>
        </is>
      </c>
      <c r="H159" t="n">
        <v>1</v>
      </c>
      <c r="I159" t="n">
        <v>600</v>
      </c>
      <c r="J159" t="n">
        <v>7.5</v>
      </c>
      <c r="K159" t="n">
        <v>7</v>
      </c>
      <c r="L159" t="n">
        <v>14</v>
      </c>
      <c r="M159" t="n">
        <v>0</v>
      </c>
      <c r="N159">
        <f>INDEX(boss_input_vu_khi_suy_ra!$C$2:$C$71,MATCH($D$159,boss_input_vu_khi_suy_ra!$A$2:$A$71,0))</f>
        <v/>
      </c>
      <c r="O159" t="inlineStr">
        <is>
          <t>giong</t>
        </is>
      </c>
      <c r="R159" t="n">
        <v>7.5</v>
      </c>
      <c r="S159">
        <f>IF($D$159="",0,INDEX(boss_input_vu_khi_suy_ra!$B$2:$B$71,MATCH($D$159,boss_input_vu_khi_suy_ra!$A$2:$A$71,0))*IF(INDEX(boss_input_vu_khi!$D$2:$D$71,MATCH($D$159,boss_input_vu_khi!$A$2:$A$71,0)),1,Boss_dps!$B$28)*Boss_dps!$C$28)</f>
        <v/>
      </c>
      <c r="T159" t="n">
        <v>104.736</v>
      </c>
      <c r="U159" t="inlineStr">
        <is>
          <t>Assets/MachineBrigade/Resources/Data/balance.json: vehicles[id=nuke_train] dựng bởi Tools/balance/p26_ab.expand</t>
        </is>
      </c>
      <c r="V159" t="inlineStr"/>
    </row>
    <row r="160">
      <c r="A160" t="inlineStr">
        <is>
          <t>nuke_train/1</t>
        </is>
      </c>
      <c r="B160" t="inlineStr">
        <is>
          <t>nuke_train</t>
        </is>
      </c>
      <c r="C160" t="n">
        <v>1</v>
      </c>
      <c r="D160" t="inlineStr">
        <is>
          <t>p26_nemesis_close_boss_flak</t>
        </is>
      </c>
      <c r="E160" t="inlineStr">
        <is>
          <t>mg</t>
        </is>
      </c>
      <c r="F160" t="inlineStr">
        <is>
          <t>Free</t>
        </is>
      </c>
      <c r="G160" t="inlineStr">
        <is>
          <t>flak_front</t>
        </is>
      </c>
      <c r="H160" t="n">
        <v>1</v>
      </c>
      <c r="I160" t="n">
        <v>25</v>
      </c>
      <c r="J160" t="n">
        <v>0.05</v>
      </c>
      <c r="K160" t="n">
        <v>2.5</v>
      </c>
      <c r="L160" t="n">
        <v>0</v>
      </c>
      <c r="M160" t="n">
        <v>0</v>
      </c>
      <c r="N160">
        <f>INDEX(boss_input_vu_khi_suy_ra!$C$2:$C$71,MATCH($D$160,boss_input_vu_khi_suy_ra!$A$2:$A$71,0))</f>
        <v/>
      </c>
      <c r="O160" t="inlineStr">
        <is>
          <t>giong</t>
        </is>
      </c>
      <c r="R160" t="n">
        <v>5.38</v>
      </c>
      <c r="S160">
        <f>IF($D$160="",0,INDEX(boss_input_vu_khi_suy_ra!$B$2:$B$71,MATCH($D$160,boss_input_vu_khi_suy_ra!$A$2:$A$71,0))*IF(INDEX(boss_input_vu_khi!$D$2:$D$71,MATCH($D$160,boss_input_vu_khi!$A$2:$A$71,0)),1,Boss_dps!$B$28)*Boss_dps!$C$28)</f>
        <v/>
      </c>
      <c r="T160" t="n">
        <v>249.4293680297397</v>
      </c>
      <c r="U160" t="inlineStr">
        <is>
          <t>Assets/MachineBrigade/Resources/Data/balance.json: vehicles[id=nuke_train] dựng bởi Tools/balance/p26_ab.expand</t>
        </is>
      </c>
      <c r="V160" t="inlineStr"/>
    </row>
    <row r="161">
      <c r="A161" t="inlineStr">
        <is>
          <t>nuke_train/2</t>
        </is>
      </c>
      <c r="B161" t="inlineStr">
        <is>
          <t>nuke_train</t>
        </is>
      </c>
      <c r="C161" t="n">
        <v>2</v>
      </c>
      <c r="D161" t="inlineStr">
        <is>
          <t>p26_nemesis_close_boss_flak</t>
        </is>
      </c>
      <c r="E161" t="inlineStr">
        <is>
          <t>mg</t>
        </is>
      </c>
      <c r="F161" t="inlineStr">
        <is>
          <t>Free</t>
        </is>
      </c>
      <c r="G161" t="inlineStr">
        <is>
          <t>flak_rear</t>
        </is>
      </c>
      <c r="H161" t="n">
        <v>1</v>
      </c>
      <c r="I161" t="n">
        <v>25</v>
      </c>
      <c r="J161" t="n">
        <v>0.05</v>
      </c>
      <c r="K161" t="n">
        <v>2.5</v>
      </c>
      <c r="L161" t="n">
        <v>0</v>
      </c>
      <c r="M161" t="n">
        <v>0</v>
      </c>
      <c r="N161">
        <f>INDEX(boss_input_vu_khi_suy_ra!$C$2:$C$71,MATCH($D$161,boss_input_vu_khi_suy_ra!$A$2:$A$71,0))</f>
        <v/>
      </c>
      <c r="O161" t="inlineStr">
        <is>
          <t>giong</t>
        </is>
      </c>
      <c r="R161" t="n">
        <v>5.38</v>
      </c>
      <c r="S161">
        <f>IF($D$161="",0,INDEX(boss_input_vu_khi_suy_ra!$B$2:$B$71,MATCH($D$161,boss_input_vu_khi_suy_ra!$A$2:$A$71,0))*IF(INDEX(boss_input_vu_khi!$D$2:$D$71,MATCH($D$161,boss_input_vu_khi!$A$2:$A$71,0)),1,Boss_dps!$B$28)*Boss_dps!$C$28)</f>
        <v/>
      </c>
      <c r="T161" t="n">
        <v>249.4293680297397</v>
      </c>
      <c r="U161" t="inlineStr">
        <is>
          <t>Assets/MachineBrigade/Resources/Data/balance.json: vehicles[id=nuke_train] dựng bởi Tools/balance/p26_ab.expand</t>
        </is>
      </c>
      <c r="V161" t="inlineStr"/>
    </row>
    <row r="162">
      <c r="A162" t="inlineStr">
        <is>
          <t>nuke_train/3</t>
        </is>
      </c>
      <c r="B162" t="inlineStr">
        <is>
          <t>nuke_train</t>
        </is>
      </c>
      <c r="C162" t="n">
        <v>3</v>
      </c>
      <c r="D162" t="inlineStr">
        <is>
          <t>p26_nemesis_sec_boss_rockets</t>
        </is>
      </c>
      <c r="E162" t="inlineStr">
        <is>
          <t>rocket</t>
        </is>
      </c>
      <c r="F162" t="inlineStr">
        <is>
          <t>Free</t>
        </is>
      </c>
      <c r="G162" t="inlineStr">
        <is>
          <t>rocket_car</t>
        </is>
      </c>
      <c r="H162" t="n">
        <v>1</v>
      </c>
      <c r="I162" t="n">
        <v>200</v>
      </c>
      <c r="J162" t="n">
        <v>2.44</v>
      </c>
      <c r="K162" t="n">
        <v>4.5</v>
      </c>
      <c r="L162" t="n">
        <v>9</v>
      </c>
      <c r="M162" t="n">
        <v>0</v>
      </c>
      <c r="N162">
        <f>INDEX(boss_input_vu_khi_suy_ra!$C$2:$C$71,MATCH($D$162,boss_input_vu_khi_suy_ra!$A$2:$A$71,0))</f>
        <v/>
      </c>
      <c r="O162" t="inlineStr">
        <is>
          <t>giong</t>
        </is>
      </c>
      <c r="R162" t="n">
        <v>21.94</v>
      </c>
      <c r="S162">
        <f>IF($D$162="",0,INDEX(boss_input_vu_khi_suy_ra!$B$2:$B$71,MATCH($D$162,boss_input_vu_khi_suy_ra!$A$2:$A$71,0))*IF(INDEX(boss_input_vu_khi!$D$2:$D$71,MATCH($D$162,boss_input_vu_khi!$A$2:$A$71,0)),1,Boss_dps!$B$28)*Boss_dps!$C$28)</f>
        <v/>
      </c>
      <c r="T162" t="n">
        <v>477.3746581586143</v>
      </c>
      <c r="U162" t="inlineStr">
        <is>
          <t>Assets/MachineBrigade/Resources/Data/balance.json: vehicles[id=nuke_train] dựng bởi Tools/balance/p26_ab.expand</t>
        </is>
      </c>
      <c r="V162" t="inlineStr"/>
    </row>
    <row r="163">
      <c r="A163" t="inlineStr">
        <is>
          <t>nuke_train/4</t>
        </is>
      </c>
      <c r="B163" t="inlineStr">
        <is>
          <t>nuke_train</t>
        </is>
      </c>
      <c r="C163" t="n">
        <v>4</v>
      </c>
      <c r="D163" t="inlineStr">
        <is>
          <t>sam_battery</t>
        </is>
      </c>
      <c r="E163" t="inlineStr">
        <is>
          <t>missile</t>
        </is>
      </c>
      <c r="F163" t="inlineStr">
        <is>
          <t>Free</t>
        </is>
      </c>
      <c r="G163" t="inlineStr">
        <is>
          <t>sam_car</t>
        </is>
      </c>
      <c r="H163" t="n">
        <v>1</v>
      </c>
      <c r="I163" t="n">
        <v>340</v>
      </c>
      <c r="J163" t="n">
        <v>8</v>
      </c>
      <c r="K163" t="n">
        <v>2.5</v>
      </c>
      <c r="L163" t="n">
        <v>0</v>
      </c>
      <c r="M163" t="n">
        <v>0</v>
      </c>
      <c r="N163">
        <f>INDEX(boss_input_vu_khi_suy_ra!$C$2:$C$71,MATCH($D$163,boss_input_vu_khi_suy_ra!$A$2:$A$71,0))</f>
        <v/>
      </c>
      <c r="O163" t="inlineStr">
        <is>
          <t>giong</t>
        </is>
      </c>
      <c r="R163" t="n">
        <v>11</v>
      </c>
      <c r="S163">
        <f>IF($D$163="",0,INDEX(boss_input_vu_khi_suy_ra!$B$2:$B$71,MATCH($D$163,boss_input_vu_khi_suy_ra!$A$2:$A$71,0))*IF(INDEX(boss_input_vu_khi!$D$2:$D$71,MATCH($D$163,boss_input_vu_khi!$A$2:$A$71,0)),1,Boss_dps!$B$28)*Boss_dps!$C$28)</f>
        <v/>
      </c>
      <c r="T163" t="n">
        <v>80.93236363636363</v>
      </c>
      <c r="U163" t="inlineStr">
        <is>
          <t>Assets/MachineBrigade/Resources/Data/balance.json: vehicles[id=nuke_train] dựng bởi Tools/balance/p26_ab.expand</t>
        </is>
      </c>
      <c r="V163" t="inlineStr"/>
    </row>
    <row r="164">
      <c r="A164" t="inlineStr">
        <is>
          <t>nuke_train/5</t>
        </is>
      </c>
      <c r="B164" t="inlineStr">
        <is>
          <t>nuke_train</t>
        </is>
      </c>
      <c r="C164" t="n">
        <v>5</v>
      </c>
      <c r="D164" t="inlineStr">
        <is>
          <t>p26_nemesis_direct_ne125</t>
        </is>
      </c>
      <c r="E164" t="inlineStr">
        <is>
          <t>gun</t>
        </is>
      </c>
      <c r="F164" t="inlineStr">
        <is>
          <t>Free</t>
        </is>
      </c>
      <c r="G164" t="inlineStr">
        <is>
          <t>gun_car_152</t>
        </is>
      </c>
      <c r="H164" t="n">
        <v>1</v>
      </c>
      <c r="I164" t="n">
        <v>400</v>
      </c>
      <c r="J164" t="n">
        <v>7.5</v>
      </c>
      <c r="K164" t="n">
        <v>0</v>
      </c>
      <c r="L164" t="n">
        <v>0</v>
      </c>
      <c r="M164" t="n">
        <v>0</v>
      </c>
      <c r="N164">
        <f>INDEX(boss_input_vu_khi_suy_ra!$C$2:$C$71,MATCH($D$164,boss_input_vu_khi_suy_ra!$A$2:$A$71,0))</f>
        <v/>
      </c>
      <c r="O164" t="inlineStr">
        <is>
          <t>giong</t>
        </is>
      </c>
      <c r="R164" t="n">
        <v>7.5</v>
      </c>
      <c r="S164">
        <f>IF($D$164="",0,INDEX(boss_input_vu_khi_suy_ra!$B$2:$B$71,MATCH($D$164,boss_input_vu_khi_suy_ra!$A$2:$A$71,0))*IF(INDEX(boss_input_vu_khi!$D$2:$D$71,MATCH($D$164,boss_input_vu_khi!$A$2:$A$71,0)),1,Boss_dps!$B$28)*Boss_dps!$C$28)</f>
        <v/>
      </c>
      <c r="T164" t="n">
        <v>69.824</v>
      </c>
      <c r="U164" t="inlineStr">
        <is>
          <t>Assets/MachineBrigade/Resources/Data/balance.json: vehicles[id=nuke_train] dựng bởi Tools/balance/p26_ab.expand</t>
        </is>
      </c>
      <c r="V164" t="inlineStr"/>
    </row>
    <row r="165">
      <c r="A165" t="inlineStr">
        <is>
          <t>nuke_train/6</t>
        </is>
      </c>
      <c r="B165" t="inlineStr">
        <is>
          <t>nuke_train</t>
        </is>
      </c>
      <c r="C165" t="n">
        <v>6</v>
      </c>
      <c r="D165" t="inlineStr">
        <is>
          <t>p26_nemesis_close_boss_flak</t>
        </is>
      </c>
      <c r="E165" t="inlineStr">
        <is>
          <t>mg</t>
        </is>
      </c>
      <c r="F165" t="inlineStr">
        <is>
          <t>Free</t>
        </is>
      </c>
      <c r="G165" t="inlineStr">
        <is>
          <t>aa_car</t>
        </is>
      </c>
      <c r="H165" t="n">
        <v>1</v>
      </c>
      <c r="I165" t="n">
        <v>25</v>
      </c>
      <c r="J165" t="n">
        <v>0.05</v>
      </c>
      <c r="K165" t="n">
        <v>2.5</v>
      </c>
      <c r="L165" t="n">
        <v>0</v>
      </c>
      <c r="M165" t="n">
        <v>0</v>
      </c>
      <c r="N165">
        <f>INDEX(boss_input_vu_khi_suy_ra!$C$2:$C$71,MATCH($D$165,boss_input_vu_khi_suy_ra!$A$2:$A$71,0))</f>
        <v/>
      </c>
      <c r="O165" t="inlineStr">
        <is>
          <t>giong</t>
        </is>
      </c>
      <c r="R165" t="n">
        <v>5.38</v>
      </c>
      <c r="S165">
        <f>IF($D$165="",0,INDEX(boss_input_vu_khi_suy_ra!$B$2:$B$71,MATCH($D$165,boss_input_vu_khi_suy_ra!$A$2:$A$71,0))*IF(INDEX(boss_input_vu_khi!$D$2:$D$71,MATCH($D$165,boss_input_vu_khi!$A$2:$A$71,0)),1,Boss_dps!$B$28)*Boss_dps!$C$28)</f>
        <v/>
      </c>
      <c r="T165" t="n">
        <v>249.4293680297397</v>
      </c>
      <c r="U165" t="inlineStr">
        <is>
          <t>Assets/MachineBrigade/Resources/Data/balance.json: vehicles[id=nuke_train] dựng bởi Tools/balance/p26_ab.expand</t>
        </is>
      </c>
      <c r="V165" t="inlineStr"/>
    </row>
    <row r="166">
      <c r="A166" t="inlineStr">
        <is>
          <t>nyx/0</t>
        </is>
      </c>
      <c r="B166" t="inlineStr">
        <is>
          <t>nyx</t>
        </is>
      </c>
      <c r="C166" t="n">
        <v>0</v>
      </c>
      <c r="D166" t="inlineStr">
        <is>
          <t>boss_railgun</t>
        </is>
      </c>
      <c r="E166" t="inlineStr">
        <is>
          <t>gun</t>
        </is>
      </c>
      <c r="F166" t="inlineStr">
        <is>
          <t>Free</t>
        </is>
      </c>
      <c r="G166" t="inlineStr">
        <is>
          <t>turret_fore</t>
        </is>
      </c>
      <c r="H166" t="n">
        <v>1</v>
      </c>
      <c r="I166" t="n">
        <v>720</v>
      </c>
      <c r="J166" t="n">
        <v>8</v>
      </c>
      <c r="K166" t="n">
        <v>0</v>
      </c>
      <c r="L166" t="n">
        <v>0</v>
      </c>
      <c r="M166" t="n">
        <v>0</v>
      </c>
      <c r="N166">
        <f>INDEX(boss_input_vu_khi_suy_ra!$C$2:$C$71,MATCH($D$166,boss_input_vu_khi_suy_ra!$A$2:$A$71,0))</f>
        <v/>
      </c>
      <c r="O166" t="inlineStr">
        <is>
          <t>giong</t>
        </is>
      </c>
      <c r="R166" t="n">
        <v>8</v>
      </c>
      <c r="S166">
        <f>IF($D$166="",0,INDEX(boss_input_vu_khi_suy_ra!$B$2:$B$71,MATCH($D$166,boss_input_vu_khi_suy_ra!$A$2:$A$71,0))*IF(INDEX(boss_input_vu_khi!$D$2:$D$71,MATCH($D$166,boss_input_vu_khi!$A$2:$A$71,0)),1,Boss_dps!$B$29)*Boss_dps!$C$29)</f>
        <v/>
      </c>
      <c r="T166" t="n">
        <v>140.35617</v>
      </c>
      <c r="U166" t="inlineStr">
        <is>
          <t>Assets/MachineBrigade/Resources/Data/balance.json: vehicles[id=nyx] dựng bởi Tools/balance/p26_ab.expand</t>
        </is>
      </c>
      <c r="V166" t="inlineStr"/>
    </row>
    <row r="167">
      <c r="A167" t="inlineStr">
        <is>
          <t>nyx/1</t>
        </is>
      </c>
      <c r="B167" t="inlineStr">
        <is>
          <t>nyx</t>
        </is>
      </c>
      <c r="C167" t="n">
        <v>1</v>
      </c>
      <c r="D167" t="inlineStr">
        <is>
          <t>p26_leviathan_direct_lev127</t>
        </is>
      </c>
      <c r="E167" t="inlineStr">
        <is>
          <t>mg</t>
        </is>
      </c>
      <c r="F167" t="inlineStr">
        <is>
          <t>Free</t>
        </is>
      </c>
      <c r="G167" t="inlineStr">
        <is>
          <t>ciws_fore</t>
        </is>
      </c>
      <c r="H167" t="n">
        <v>1</v>
      </c>
      <c r="I167" t="n">
        <v>380</v>
      </c>
      <c r="J167" t="n">
        <v>3</v>
      </c>
      <c r="K167" t="n">
        <v>0</v>
      </c>
      <c r="L167" t="n">
        <v>0</v>
      </c>
      <c r="M167" t="n">
        <v>0</v>
      </c>
      <c r="N167">
        <f>INDEX(boss_input_vu_khi_suy_ra!$C$2:$C$71,MATCH($D$167,boss_input_vu_khi_suy_ra!$A$2:$A$71,0))</f>
        <v/>
      </c>
      <c r="O167" t="inlineStr">
        <is>
          <t>giong</t>
        </is>
      </c>
      <c r="R167" t="n">
        <v>3</v>
      </c>
      <c r="S167">
        <f>IF($D$167="",0,INDEX(boss_input_vu_khi_suy_ra!$B$2:$B$71,MATCH($D$167,boss_input_vu_khi_suy_ra!$A$2:$A$71,0))*IF(INDEX(boss_input_vu_khi!$D$2:$D$71,MATCH($D$167,boss_input_vu_khi!$A$2:$A$71,0)),1,Boss_dps!$B$29)*Boss_dps!$C$29)</f>
        <v/>
      </c>
      <c r="T167" t="n">
        <v>197.5383133333333</v>
      </c>
      <c r="U167" t="inlineStr">
        <is>
          <t>Assets/MachineBrigade/Resources/Data/balance.json: vehicles[id=nyx] dựng bởi Tools/balance/p26_ab.expand</t>
        </is>
      </c>
      <c r="V167" t="inlineStr"/>
    </row>
    <row r="168">
      <c r="A168" t="inlineStr">
        <is>
          <t>nyx/2</t>
        </is>
      </c>
      <c r="B168" t="inlineStr">
        <is>
          <t>nyx</t>
        </is>
      </c>
      <c r="C168" t="n">
        <v>2</v>
      </c>
      <c r="D168" t="inlineStr">
        <is>
          <t>p26_leviathan_direct_lev127</t>
        </is>
      </c>
      <c r="E168" t="inlineStr">
        <is>
          <t>mg</t>
        </is>
      </c>
      <c r="F168" t="inlineStr">
        <is>
          <t>Free</t>
        </is>
      </c>
      <c r="G168" t="inlineStr">
        <is>
          <t>ciws_aft</t>
        </is>
      </c>
      <c r="H168" t="n">
        <v>1</v>
      </c>
      <c r="I168" t="n">
        <v>380</v>
      </c>
      <c r="J168" t="n">
        <v>3</v>
      </c>
      <c r="K168" t="n">
        <v>0</v>
      </c>
      <c r="L168" t="n">
        <v>0</v>
      </c>
      <c r="M168" t="n">
        <v>0</v>
      </c>
      <c r="N168">
        <f>INDEX(boss_input_vu_khi_suy_ra!$C$2:$C$71,MATCH($D$168,boss_input_vu_khi_suy_ra!$A$2:$A$71,0))</f>
        <v/>
      </c>
      <c r="O168" t="inlineStr">
        <is>
          <t>giong</t>
        </is>
      </c>
      <c r="R168" t="n">
        <v>3</v>
      </c>
      <c r="S168">
        <f>IF($D$168="",0,INDEX(boss_input_vu_khi_suy_ra!$B$2:$B$71,MATCH($D$168,boss_input_vu_khi_suy_ra!$A$2:$A$71,0))*IF(INDEX(boss_input_vu_khi!$D$2:$D$71,MATCH($D$168,boss_input_vu_khi!$A$2:$A$71,0)),1,Boss_dps!$B$29)*Boss_dps!$C$29)</f>
        <v/>
      </c>
      <c r="T168" t="n">
        <v>197.5383133333333</v>
      </c>
      <c r="U168" t="inlineStr">
        <is>
          <t>Assets/MachineBrigade/Resources/Data/balance.json: vehicles[id=nyx] dựng bởi Tools/balance/p26_ab.expand</t>
        </is>
      </c>
      <c r="V168" t="inlineStr"/>
    </row>
    <row r="169">
      <c r="A169" t="inlineStr">
        <is>
          <t>scylla/0</t>
        </is>
      </c>
      <c r="B169" t="inlineStr">
        <is>
          <t>scylla</t>
        </is>
      </c>
      <c r="C169" t="n">
        <v>0</v>
      </c>
      <c r="D169" t="inlineStr">
        <is>
          <t>naval_130_twin</t>
        </is>
      </c>
      <c r="E169" t="inlineStr">
        <is>
          <t>gun</t>
        </is>
      </c>
      <c r="F169" t="inlineStr">
        <is>
          <t>Free</t>
        </is>
      </c>
      <c r="G169" t="inlineStr">
        <is>
          <t>turret_fore</t>
        </is>
      </c>
      <c r="H169" t="n">
        <v>2</v>
      </c>
      <c r="I169" t="n">
        <v>380</v>
      </c>
      <c r="J169" t="n">
        <v>3</v>
      </c>
      <c r="K169" t="n">
        <v>5</v>
      </c>
      <c r="L169" t="n">
        <v>10</v>
      </c>
      <c r="M169" t="n">
        <v>0</v>
      </c>
      <c r="N169">
        <f>INDEX(boss_input_vu_khi_suy_ra!$C$2:$C$71,MATCH($D$169,boss_input_vu_khi_suy_ra!$A$2:$A$71,0))</f>
        <v/>
      </c>
      <c r="O169" t="inlineStr">
        <is>
          <t>giong</t>
        </is>
      </c>
      <c r="R169" t="n">
        <v>3</v>
      </c>
      <c r="S169">
        <f>IF($D$169="",0,INDEX(boss_input_vu_khi_suy_ra!$B$2:$B$71,MATCH($D$169,boss_input_vu_khi_suy_ra!$A$2:$A$71,0))*IF(INDEX(boss_input_vu_khi!$D$2:$D$71,MATCH($D$169,boss_input_vu_khi!$A$2:$A$71,0)),1,Boss_dps!$B$30)*Boss_dps!$C$30)</f>
        <v/>
      </c>
      <c r="T169" t="n">
        <v>410.8776599999999</v>
      </c>
      <c r="U169" t="inlineStr">
        <is>
          <t>Assets/MachineBrigade/Resources/Data/balance.json: vehicles[id=scylla] dựng bởi Tools/balance/p26_ab.expand</t>
        </is>
      </c>
      <c r="V169" t="inlineStr"/>
    </row>
    <row r="170">
      <c r="A170" t="inlineStr">
        <is>
          <t>scylla/1</t>
        </is>
      </c>
      <c r="B170" t="inlineStr">
        <is>
          <t>scylla</t>
        </is>
      </c>
      <c r="C170" t="n">
        <v>1</v>
      </c>
      <c r="D170" t="inlineStr">
        <is>
          <t>p26_leviathan_direct_lev127</t>
        </is>
      </c>
      <c r="E170" t="inlineStr">
        <is>
          <t>mg</t>
        </is>
      </c>
      <c r="F170" t="inlineStr">
        <is>
          <t>Free</t>
        </is>
      </c>
      <c r="G170" t="inlineStr">
        <is>
          <t>ciws_fore</t>
        </is>
      </c>
      <c r="H170" t="n">
        <v>1</v>
      </c>
      <c r="I170" t="n">
        <v>380</v>
      </c>
      <c r="J170" t="n">
        <v>3</v>
      </c>
      <c r="K170" t="n">
        <v>0</v>
      </c>
      <c r="L170" t="n">
        <v>0</v>
      </c>
      <c r="M170" t="n">
        <v>0</v>
      </c>
      <c r="N170">
        <f>INDEX(boss_input_vu_khi_suy_ra!$C$2:$C$71,MATCH($D$170,boss_input_vu_khi_suy_ra!$A$2:$A$71,0))</f>
        <v/>
      </c>
      <c r="O170" t="inlineStr">
        <is>
          <t>giong</t>
        </is>
      </c>
      <c r="R170" t="n">
        <v>3</v>
      </c>
      <c r="S170">
        <f>IF($D$170="",0,INDEX(boss_input_vu_khi_suy_ra!$B$2:$B$71,MATCH($D$170,boss_input_vu_khi_suy_ra!$A$2:$A$71,0))*IF(INDEX(boss_input_vu_khi!$D$2:$D$71,MATCH($D$170,boss_input_vu_khi!$A$2:$A$71,0)),1,Boss_dps!$B$30)*Boss_dps!$C$30)</f>
        <v/>
      </c>
      <c r="T170" t="n">
        <v>205.43883</v>
      </c>
      <c r="U170" t="inlineStr">
        <is>
          <t>Assets/MachineBrigade/Resources/Data/balance.json: vehicles[id=scylla] dựng bởi Tools/balance/p26_ab.expand</t>
        </is>
      </c>
      <c r="V170" t="inlineStr"/>
    </row>
    <row r="171">
      <c r="A171" t="inlineStr">
        <is>
          <t>silver_bug/0</t>
        </is>
      </c>
      <c r="B171" t="inlineStr">
        <is>
          <t>silver_bug</t>
        </is>
      </c>
      <c r="C171" t="n">
        <v>0</v>
      </c>
      <c r="D171" t="inlineStr">
        <is>
          <t>p26_icarus_sec_orbital_laser</t>
        </is>
      </c>
      <c r="E171" t="inlineStr">
        <is>
          <t>main</t>
        </is>
      </c>
      <c r="F171" t="inlineStr"/>
      <c r="G171" t="inlineStr">
        <is>
          <t>main_laser</t>
        </is>
      </c>
      <c r="H171" t="n">
        <v>1</v>
      </c>
      <c r="I171" t="n">
        <v>40</v>
      </c>
      <c r="J171" t="n">
        <v>0.1</v>
      </c>
      <c r="K171" t="n">
        <v>1.5</v>
      </c>
      <c r="L171" t="n">
        <v>0</v>
      </c>
      <c r="M171" t="n">
        <v>0</v>
      </c>
      <c r="N171">
        <f>INDEX(boss_input_vu_khi_suy_ra!$C$2:$C$71,MATCH($D$171,boss_input_vu_khi_suy_ra!$A$2:$A$71,0))</f>
        <v/>
      </c>
      <c r="O171" t="inlineStr">
        <is>
          <t>giong</t>
        </is>
      </c>
      <c r="R171" t="n">
        <v>0.1</v>
      </c>
      <c r="S171">
        <f>IF($D$171="",0,INDEX(boss_input_vu_khi_suy_ra!$B$2:$B$71,MATCH($D$171,boss_input_vu_khi_suy_ra!$A$2:$A$71,0))*IF(INDEX(boss_input_vu_khi!$D$2:$D$71,MATCH($D$171,boss_input_vu_khi!$A$2:$A$71,0)),1,Boss_dps!$B$31)*Boss_dps!$C$31)</f>
        <v/>
      </c>
      <c r="T171" t="n">
        <v>400</v>
      </c>
      <c r="U171" t="inlineStr">
        <is>
          <t>Assets/MachineBrigade/Resources/Data/balance.json: vehicles[id=silver_bug] dựng bởi Tools/balance/p26_ab.expand</t>
        </is>
      </c>
      <c r="V171" t="inlineStr"/>
    </row>
    <row r="172">
      <c r="A172" t="inlineStr">
        <is>
          <t>silver_bug/1</t>
        </is>
      </c>
      <c r="B172" t="inlineStr">
        <is>
          <t>silver_bug</t>
        </is>
      </c>
      <c r="C172" t="n">
        <v>1</v>
      </c>
      <c r="D172" t="inlineStr">
        <is>
          <t>p26_icarus_main_ic_coil</t>
        </is>
      </c>
      <c r="E172" t="inlineStr">
        <is>
          <t>gun</t>
        </is>
      </c>
      <c r="F172" t="inlineStr">
        <is>
          <t>Free</t>
        </is>
      </c>
      <c r="G172" t="inlineStr"/>
      <c r="H172" t="n">
        <v>1</v>
      </c>
      <c r="I172" t="n">
        <v>1500</v>
      </c>
      <c r="J172" t="n">
        <v>5</v>
      </c>
      <c r="K172" t="n">
        <v>0</v>
      </c>
      <c r="L172" t="n">
        <v>0</v>
      </c>
      <c r="M172" t="n">
        <v>0</v>
      </c>
      <c r="N172">
        <f>INDEX(boss_input_vu_khi_suy_ra!$C$2:$C$71,MATCH($D$172,boss_input_vu_khi_suy_ra!$A$2:$A$71,0))</f>
        <v/>
      </c>
      <c r="O172" t="inlineStr">
        <is>
          <t>giong</t>
        </is>
      </c>
      <c r="R172" t="n">
        <v>5</v>
      </c>
      <c r="S172">
        <f>IF($D$172="",0,INDEX(boss_input_vu_khi_suy_ra!$B$2:$B$71,MATCH($D$172,boss_input_vu_khi_suy_ra!$A$2:$A$71,0))*IF(INDEX(boss_input_vu_khi!$D$2:$D$71,MATCH($D$172,boss_input_vu_khi!$A$2:$A$71,0)),1,Boss_dps!$B$31)*Boss_dps!$C$31)</f>
        <v/>
      </c>
      <c r="T172" t="n">
        <v>300</v>
      </c>
      <c r="U172" t="inlineStr">
        <is>
          <t>Assets/MachineBrigade/Resources/Data/balance.json: vehicles[id=silver_bug] dựng bởi Tools/balance/p26_ab.expand</t>
        </is>
      </c>
      <c r="V172" t="inlineStr"/>
    </row>
    <row r="173">
      <c r="A173" t="inlineStr">
        <is>
          <t>silver_bug/2</t>
        </is>
      </c>
      <c r="B173" t="inlineStr">
        <is>
          <t>silver_bug</t>
        </is>
      </c>
      <c r="C173" t="n">
        <v>2</v>
      </c>
      <c r="D173" t="inlineStr">
        <is>
          <t>p26_icarus_main_ic_coil</t>
        </is>
      </c>
      <c r="E173" t="inlineStr">
        <is>
          <t>gun</t>
        </is>
      </c>
      <c r="F173" t="inlineStr">
        <is>
          <t>Free</t>
        </is>
      </c>
      <c r="G173" t="inlineStr"/>
      <c r="H173" t="n">
        <v>1</v>
      </c>
      <c r="I173" t="n">
        <v>1500</v>
      </c>
      <c r="J173" t="n">
        <v>5</v>
      </c>
      <c r="K173" t="n">
        <v>0</v>
      </c>
      <c r="L173" t="n">
        <v>0</v>
      </c>
      <c r="M173" t="n">
        <v>0</v>
      </c>
      <c r="N173">
        <f>INDEX(boss_input_vu_khi_suy_ra!$C$2:$C$71,MATCH($D$173,boss_input_vu_khi_suy_ra!$A$2:$A$71,0))</f>
        <v/>
      </c>
      <c r="O173" t="inlineStr">
        <is>
          <t>giong</t>
        </is>
      </c>
      <c r="R173" t="n">
        <v>5</v>
      </c>
      <c r="S173">
        <f>IF($D$173="",0,INDEX(boss_input_vu_khi_suy_ra!$B$2:$B$71,MATCH($D$173,boss_input_vu_khi_suy_ra!$A$2:$A$71,0))*IF(INDEX(boss_input_vu_khi!$D$2:$D$71,MATCH($D$173,boss_input_vu_khi!$A$2:$A$71,0)),1,Boss_dps!$B$31)*Boss_dps!$C$31)</f>
        <v/>
      </c>
      <c r="T173" t="n">
        <v>300</v>
      </c>
      <c r="U173" t="inlineStr">
        <is>
          <t>Assets/MachineBrigade/Resources/Data/balance.json: vehicles[id=silver_bug] dựng bởi Tools/balance/p26_ab.expand</t>
        </is>
      </c>
      <c r="V173" t="inlineStr"/>
    </row>
    <row r="174">
      <c r="A174" t="inlineStr">
        <is>
          <t>silver_bug/3</t>
        </is>
      </c>
      <c r="B174" t="inlineStr">
        <is>
          <t>silver_bug</t>
        </is>
      </c>
      <c r="C174" t="n">
        <v>3</v>
      </c>
      <c r="D174" t="inlineStr">
        <is>
          <t>p26_icarus_direct_ic_laser</t>
        </is>
      </c>
      <c r="E174" t="inlineStr">
        <is>
          <t>gun</t>
        </is>
      </c>
      <c r="F174" t="inlineStr">
        <is>
          <t>Free</t>
        </is>
      </c>
      <c r="G174" t="inlineStr"/>
      <c r="H174" t="n">
        <v>1</v>
      </c>
      <c r="I174" t="n">
        <v>16</v>
      </c>
      <c r="J174" t="n">
        <v>0.1</v>
      </c>
      <c r="K174" t="n">
        <v>1.5</v>
      </c>
      <c r="L174" t="n">
        <v>0</v>
      </c>
      <c r="M174" t="n">
        <v>0</v>
      </c>
      <c r="N174">
        <f>INDEX(boss_input_vu_khi_suy_ra!$C$2:$C$71,MATCH($D$174,boss_input_vu_khi_suy_ra!$A$2:$A$71,0))</f>
        <v/>
      </c>
      <c r="O174" t="inlineStr">
        <is>
          <t>giong</t>
        </is>
      </c>
      <c r="R174" t="n">
        <v>0.1</v>
      </c>
      <c r="S174">
        <f>IF($D$174="",0,INDEX(boss_input_vu_khi_suy_ra!$B$2:$B$71,MATCH($D$174,boss_input_vu_khi_suy_ra!$A$2:$A$71,0))*IF(INDEX(boss_input_vu_khi!$D$2:$D$71,MATCH($D$174,boss_input_vu_khi!$A$2:$A$71,0)),1,Boss_dps!$B$31)*Boss_dps!$C$31)</f>
        <v/>
      </c>
      <c r="T174" t="n">
        <v>160</v>
      </c>
      <c r="U174" t="inlineStr">
        <is>
          <t>Assets/MachineBrigade/Resources/Data/balance.json: vehicles[id=silver_bug] dựng bởi Tools/balance/p26_ab.expand</t>
        </is>
      </c>
      <c r="V174" t="inlineStr"/>
    </row>
    <row r="175">
      <c r="A175" t="inlineStr">
        <is>
          <t>silver_bug/4</t>
        </is>
      </c>
      <c r="B175" t="inlineStr">
        <is>
          <t>silver_bug</t>
        </is>
      </c>
      <c r="C175" t="n">
        <v>4</v>
      </c>
      <c r="D175" t="inlineStr">
        <is>
          <t>p26_icarus_direct_ic_laser</t>
        </is>
      </c>
      <c r="E175" t="inlineStr">
        <is>
          <t>gun</t>
        </is>
      </c>
      <c r="F175" t="inlineStr">
        <is>
          <t>Free</t>
        </is>
      </c>
      <c r="G175" t="inlineStr"/>
      <c r="H175" t="n">
        <v>1</v>
      </c>
      <c r="I175" t="n">
        <v>16</v>
      </c>
      <c r="J175" t="n">
        <v>0.1</v>
      </c>
      <c r="K175" t="n">
        <v>1.5</v>
      </c>
      <c r="L175" t="n">
        <v>0</v>
      </c>
      <c r="M175" t="n">
        <v>0</v>
      </c>
      <c r="N175">
        <f>INDEX(boss_input_vu_khi_suy_ra!$C$2:$C$71,MATCH($D$175,boss_input_vu_khi_suy_ra!$A$2:$A$71,0))</f>
        <v/>
      </c>
      <c r="O175" t="inlineStr">
        <is>
          <t>giong</t>
        </is>
      </c>
      <c r="R175" t="n">
        <v>0.1</v>
      </c>
      <c r="S175">
        <f>IF($D$175="",0,INDEX(boss_input_vu_khi_suy_ra!$B$2:$B$71,MATCH($D$175,boss_input_vu_khi_suy_ra!$A$2:$A$71,0))*IF(INDEX(boss_input_vu_khi!$D$2:$D$71,MATCH($D$175,boss_input_vu_khi!$A$2:$A$71,0)),1,Boss_dps!$B$31)*Boss_dps!$C$31)</f>
        <v/>
      </c>
      <c r="T175" t="n">
        <v>160</v>
      </c>
      <c r="U175" t="inlineStr">
        <is>
          <t>Assets/MachineBrigade/Resources/Data/balance.json: vehicles[id=silver_bug] dựng bởi Tools/balance/p26_ab.expand</t>
        </is>
      </c>
      <c r="V175" t="inlineStr"/>
    </row>
    <row r="176">
      <c r="A176" t="inlineStr">
        <is>
          <t>silver_bug/5</t>
        </is>
      </c>
      <c r="B176" t="inlineStr">
        <is>
          <t>silver_bug</t>
        </is>
      </c>
      <c r="C176" t="n">
        <v>5</v>
      </c>
      <c r="D176" t="inlineStr">
        <is>
          <t>p26_icarus_close_autocannon_40</t>
        </is>
      </c>
      <c r="E176" t="inlineStr">
        <is>
          <t>gun</t>
        </is>
      </c>
      <c r="F176" t="inlineStr">
        <is>
          <t>Free</t>
        </is>
      </c>
      <c r="G176" t="inlineStr">
        <is>
          <t>crash_turret_l</t>
        </is>
      </c>
      <c r="H176" t="n">
        <v>1</v>
      </c>
      <c r="I176" t="n">
        <v>30</v>
      </c>
      <c r="J176" t="n">
        <v>0.2</v>
      </c>
      <c r="K176" t="n">
        <v>0</v>
      </c>
      <c r="L176" t="n">
        <v>0</v>
      </c>
      <c r="M176" t="n">
        <v>0</v>
      </c>
      <c r="N176">
        <f>INDEX(boss_input_vu_khi_suy_ra!$C$2:$C$71,MATCH($D$176,boss_input_vu_khi_suy_ra!$A$2:$A$71,0))</f>
        <v/>
      </c>
      <c r="O176" t="inlineStr">
        <is>
          <t>giong</t>
        </is>
      </c>
      <c r="R176" t="n">
        <v>3.32</v>
      </c>
      <c r="S176">
        <f>IF($D$176="",0,INDEX(boss_input_vu_khi_suy_ra!$B$2:$B$71,MATCH($D$176,boss_input_vu_khi_suy_ra!$A$2:$A$71,0))*IF(INDEX(boss_input_vu_khi!$D$2:$D$71,MATCH($D$176,boss_input_vu_khi!$A$2:$A$71,0)),1,Boss_dps!$B$31)*Boss_dps!$C$31)</f>
        <v/>
      </c>
      <c r="T176" t="n">
        <v>90.36144578313252</v>
      </c>
      <c r="U176" t="inlineStr">
        <is>
          <t>Assets/MachineBrigade/Resources/Data/balance.json: vehicles[id=silver_bug] dựng bởi Tools/balance/p26_ab.expand</t>
        </is>
      </c>
      <c r="V176" t="inlineStr"/>
    </row>
    <row r="177">
      <c r="A177" t="inlineStr">
        <is>
          <t>silver_bug/6</t>
        </is>
      </c>
      <c r="B177" t="inlineStr">
        <is>
          <t>silver_bug</t>
        </is>
      </c>
      <c r="C177" t="n">
        <v>6</v>
      </c>
      <c r="D177" t="inlineStr">
        <is>
          <t>p26_icarus_close_autocannon_40</t>
        </is>
      </c>
      <c r="E177" t="inlineStr">
        <is>
          <t>gun</t>
        </is>
      </c>
      <c r="F177" t="inlineStr">
        <is>
          <t>Free</t>
        </is>
      </c>
      <c r="G177" t="inlineStr">
        <is>
          <t>crash_turret_r</t>
        </is>
      </c>
      <c r="H177" t="n">
        <v>1</v>
      </c>
      <c r="I177" t="n">
        <v>30</v>
      </c>
      <c r="J177" t="n">
        <v>0.2</v>
      </c>
      <c r="K177" t="n">
        <v>0</v>
      </c>
      <c r="L177" t="n">
        <v>0</v>
      </c>
      <c r="M177" t="n">
        <v>0</v>
      </c>
      <c r="N177">
        <f>INDEX(boss_input_vu_khi_suy_ra!$C$2:$C$71,MATCH($D$177,boss_input_vu_khi_suy_ra!$A$2:$A$71,0))</f>
        <v/>
      </c>
      <c r="O177" t="inlineStr">
        <is>
          <t>giong</t>
        </is>
      </c>
      <c r="R177" t="n">
        <v>3.32</v>
      </c>
      <c r="S177">
        <f>IF($D$177="",0,INDEX(boss_input_vu_khi_suy_ra!$B$2:$B$71,MATCH($D$177,boss_input_vu_khi_suy_ra!$A$2:$A$71,0))*IF(INDEX(boss_input_vu_khi!$D$2:$D$71,MATCH($D$177,boss_input_vu_khi!$A$2:$A$71,0)),1,Boss_dps!$B$31)*Boss_dps!$C$31)</f>
        <v/>
      </c>
      <c r="T177" t="n">
        <v>90.36144578313252</v>
      </c>
      <c r="U177" t="inlineStr">
        <is>
          <t>Assets/MachineBrigade/Resources/Data/balance.json: vehicles[id=silver_bug] dựng bởi Tools/balance/p26_ab.expand</t>
        </is>
      </c>
      <c r="V177" t="inlineStr"/>
    </row>
    <row r="178">
      <c r="A178" t="inlineStr">
        <is>
          <t>typhon/0</t>
        </is>
      </c>
      <c r="B178" t="inlineStr">
        <is>
          <t>typhon</t>
        </is>
      </c>
      <c r="C178" t="n">
        <v>0</v>
      </c>
      <c r="D178" t="inlineStr">
        <is>
          <t>sam_post</t>
        </is>
      </c>
      <c r="E178" t="inlineStr">
        <is>
          <t>missile</t>
        </is>
      </c>
      <c r="F178" t="inlineStr"/>
      <c r="G178" t="inlineStr">
        <is>
          <t>sam</t>
        </is>
      </c>
      <c r="H178" t="n">
        <v>1</v>
      </c>
      <c r="I178" t="n">
        <v>320</v>
      </c>
      <c r="J178" t="n">
        <v>3.9</v>
      </c>
      <c r="K178" t="n">
        <v>2</v>
      </c>
      <c r="L178" t="n">
        <v>0</v>
      </c>
      <c r="M178" t="n">
        <v>0</v>
      </c>
      <c r="N178">
        <f>INDEX(boss_input_vu_khi_suy_ra!$C$2:$C$71,MATCH($D$178,boss_input_vu_khi_suy_ra!$A$2:$A$71,0))</f>
        <v/>
      </c>
      <c r="O178" t="inlineStr">
        <is>
          <t>giong</t>
        </is>
      </c>
      <c r="R178" t="n">
        <v>4.4</v>
      </c>
      <c r="S178">
        <f>IF($D$178="",0,INDEX(boss_input_vu_khi_suy_ra!$B$2:$B$71,MATCH($D$178,boss_input_vu_khi_suy_ra!$A$2:$A$71,0))*IF(INDEX(boss_input_vu_khi!$D$2:$D$71,MATCH($D$178,boss_input_vu_khi!$A$2:$A$71,0)),1,Boss_dps!$B$32)*Boss_dps!$C$32)</f>
        <v/>
      </c>
      <c r="T178" t="n">
        <v>145.4545454545454</v>
      </c>
      <c r="U178" t="inlineStr">
        <is>
          <t>Assets/MachineBrigade/Resources/Data/balance.json: vehicles[id=typhon] dựng bởi Tools/balance/p26_ab.expand</t>
        </is>
      </c>
      <c r="V178" t="inlineStr"/>
    </row>
    <row r="179">
      <c r="A179" t="inlineStr">
        <is>
          <t>typhon/1</t>
        </is>
      </c>
      <c r="B179" t="inlineStr">
        <is>
          <t>typhon</t>
        </is>
      </c>
      <c r="C179" t="n">
        <v>1</v>
      </c>
      <c r="D179" t="inlineStr">
        <is>
          <t>p26_typhon_sec_ty57</t>
        </is>
      </c>
      <c r="E179" t="inlineStr">
        <is>
          <t>gun</t>
        </is>
      </c>
      <c r="F179" t="inlineStr">
        <is>
          <t>Free</t>
        </is>
      </c>
      <c r="G179" t="inlineStr"/>
      <c r="H179" t="n">
        <v>2</v>
      </c>
      <c r="I179" t="n">
        <v>120</v>
      </c>
      <c r="J179" t="n">
        <v>2.79</v>
      </c>
      <c r="K179" t="n">
        <v>3</v>
      </c>
      <c r="L179" t="n">
        <v>6</v>
      </c>
      <c r="M179" t="n">
        <v>0</v>
      </c>
      <c r="N179">
        <f>INDEX(boss_input_vu_khi_suy_ra!$C$2:$C$71,MATCH($D$179,boss_input_vu_khi_suy_ra!$A$2:$A$71,0))</f>
        <v/>
      </c>
      <c r="O179" t="inlineStr">
        <is>
          <t>giong</t>
        </is>
      </c>
      <c r="R179" t="n">
        <v>4.29</v>
      </c>
      <c r="S179">
        <f>IF($D$179="",0,INDEX(boss_input_vu_khi_suy_ra!$B$2:$B$71,MATCH($D$179,boss_input_vu_khi_suy_ra!$A$2:$A$71,0))*IF(INDEX(boss_input_vu_khi!$D$2:$D$71,MATCH($D$179,boss_input_vu_khi!$A$2:$A$71,0)),1,Boss_dps!$B$32)*Boss_dps!$C$32)</f>
        <v/>
      </c>
      <c r="T179" t="n">
        <v>223.7762237762238</v>
      </c>
      <c r="U179" t="inlineStr">
        <is>
          <t>Assets/MachineBrigade/Resources/Data/balance.json: vehicles[id=typhon] dựng bởi Tools/balance/p26_ab.expand</t>
        </is>
      </c>
      <c r="V179" t="inlineStr"/>
    </row>
    <row r="180">
      <c r="A180" t="inlineStr">
        <is>
          <t>typhon/2</t>
        </is>
      </c>
      <c r="B180" t="inlineStr">
        <is>
          <t>typhon</t>
        </is>
      </c>
      <c r="C180" t="n">
        <v>2</v>
      </c>
      <c r="D180" t="inlineStr">
        <is>
          <t>p26_typhon_sec_ty57</t>
        </is>
      </c>
      <c r="E180" t="inlineStr">
        <is>
          <t>gun</t>
        </is>
      </c>
      <c r="F180" t="inlineStr">
        <is>
          <t>Free</t>
        </is>
      </c>
      <c r="G180" t="inlineStr"/>
      <c r="H180" t="n">
        <v>2</v>
      </c>
      <c r="I180" t="n">
        <v>120</v>
      </c>
      <c r="J180" t="n">
        <v>2.79</v>
      </c>
      <c r="K180" t="n">
        <v>3</v>
      </c>
      <c r="L180" t="n">
        <v>6</v>
      </c>
      <c r="M180" t="n">
        <v>0</v>
      </c>
      <c r="N180">
        <f>INDEX(boss_input_vu_khi_suy_ra!$C$2:$C$71,MATCH($D$180,boss_input_vu_khi_suy_ra!$A$2:$A$71,0))</f>
        <v/>
      </c>
      <c r="O180" t="inlineStr">
        <is>
          <t>giong</t>
        </is>
      </c>
      <c r="R180" t="n">
        <v>4.29</v>
      </c>
      <c r="S180">
        <f>IF($D$180="",0,INDEX(boss_input_vu_khi_suy_ra!$B$2:$B$71,MATCH($D$180,boss_input_vu_khi_suy_ra!$A$2:$A$71,0))*IF(INDEX(boss_input_vu_khi!$D$2:$D$71,MATCH($D$180,boss_input_vu_khi!$A$2:$A$71,0)),1,Boss_dps!$B$32)*Boss_dps!$C$32)</f>
        <v/>
      </c>
      <c r="T180" t="n">
        <v>223.7762237762238</v>
      </c>
      <c r="U180" t="inlineStr">
        <is>
          <t>Assets/MachineBrigade/Resources/Data/balance.json: vehicles[id=typhon] dựng bởi Tools/balance/p26_ab.expand</t>
        </is>
      </c>
      <c r="V180" t="inlineStr"/>
    </row>
    <row r="181">
      <c r="A181" t="inlineStr">
        <is>
          <t>typhon/3</t>
        </is>
      </c>
      <c r="B181" t="inlineStr">
        <is>
          <t>typhon</t>
        </is>
      </c>
      <c r="C181" t="n">
        <v>3</v>
      </c>
      <c r="D181" t="inlineStr">
        <is>
          <t>p26_typhon_direct_ty100</t>
        </is>
      </c>
      <c r="E181" t="inlineStr">
        <is>
          <t>gun</t>
        </is>
      </c>
      <c r="F181" t="inlineStr">
        <is>
          <t>Free</t>
        </is>
      </c>
      <c r="G181" t="inlineStr">
        <is>
          <t>deck_gun</t>
        </is>
      </c>
      <c r="H181" t="n">
        <v>1</v>
      </c>
      <c r="I181" t="n">
        <v>300</v>
      </c>
      <c r="J181" t="n">
        <v>2.5</v>
      </c>
      <c r="K181" t="n">
        <v>5</v>
      </c>
      <c r="L181" t="n">
        <v>10</v>
      </c>
      <c r="M181" t="n">
        <v>0</v>
      </c>
      <c r="N181">
        <f>INDEX(boss_input_vu_khi_suy_ra!$C$2:$C$71,MATCH($D$181,boss_input_vu_khi_suy_ra!$A$2:$A$71,0))</f>
        <v/>
      </c>
      <c r="O181" t="inlineStr">
        <is>
          <t>giong</t>
        </is>
      </c>
      <c r="R181" t="n">
        <v>3.5</v>
      </c>
      <c r="S181">
        <f>IF($D$181="",0,INDEX(boss_input_vu_khi_suy_ra!$B$2:$B$71,MATCH($D$181,boss_input_vu_khi_suy_ra!$A$2:$A$71,0))*IF(INDEX(boss_input_vu_khi!$D$2:$D$71,MATCH($D$181,boss_input_vu_khi!$A$2:$A$71,0)),1,Boss_dps!$B$32)*Boss_dps!$C$32)</f>
        <v/>
      </c>
      <c r="T181" t="n">
        <v>171.4285714285714</v>
      </c>
      <c r="U181" t="inlineStr">
        <is>
          <t>Assets/MachineBrigade/Resources/Data/balance.json: vehicles[id=typhon] dựng bởi Tools/balance/p26_ab.expand</t>
        </is>
      </c>
      <c r="V181" t="inlineStr"/>
    </row>
  </sheetData>
  <autoFilter ref="A1:V181"/>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10</v>
      </c>
      <c r="F11" t="n">
        <v>6</v>
      </c>
      <c r="I11" t="inlineStr">
        <is>
          <t>barrage</t>
        </is>
      </c>
      <c r="M11" t="n">
        <v>90</v>
      </c>
      <c r="O11" t="inlineStr">
        <is>
          <t>packed</t>
        </is>
      </c>
      <c r="P11" t="n">
        <v>2</v>
      </c>
      <c r="Q11" t="inlineStr">
        <is>
          <t>Assets/MachineBrigade/Resources/Data/balance.json: bigAttacks[4]</t>
        </is>
      </c>
      <c r="R11" t="inlineStr">
        <is>
          <t>{"id":"ixion_crush_charge","icon":"barrage","warn":2,"cooldown":10,"first":6,"aim":"group","reach":90,"target":"packed","strikes":[{"shape":"charge","parts":["wheel_l","wheel_r"],"cut":0,"length":60,"width":10,"duration":4,"damage":900,"type":"Kinetic","pen":4,"stun":1}]}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5/53 tuần: W03#9,W12#9,W13#9,W17#9,W45#9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3,W03#2,W04#5,W05#6,W06#2,W07#6,W08#2,W09#3,W10#6,W11#3,W12#2,W13#5,W14#3,W15#5,W16#2,W17#1,W18#2,W19#3,W20#2,W21#2,W22#5,W23#6,W24#3,W25#3,W26#5,W27#3,W28#6,W29#3,W30#2,W31#5,W32#3,W33#5,W34#2,W35#3,W36#5,W37#2,W38#3,W39#5,W40#3,W41#2,W42#3,W43#3,W44#5,W45#3,W46#5,W47#2,W48#5,W49#5,W50#2,W51#2,W52#6,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25/53 tuần: W01#1,W02#1,W04#1,W05#1,W07#1,W10#1,W13#1,W28#1,W29#1,W30#1,W31#1,W33#1,W36#1,W39#1,W40#1,W43#1,W44#1,W45#1,W46#1,W47#1,W48#1,W49#1,W50#1,W52#1,W53#1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W05#4,W07#4,W10#4,W13#4,W18#4,W22#7,W26#4,W36#4,W40#4,W43#4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23/53 tuần: W02#2,W04#2,W05#2,W06#1,W07#2,W12#1,W14#1,W20#1,W23#1,W24#1,W25#1,W26#1,W28#2,W31#2,W33#2,W35#1,W37#1,W38#1,W40#2,W46#2,W49#2,W51#1,W53#2</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21/53 tuần: W03#1,W05#5,W09#2,W10#5,W11#2,W13#3,W15#3,W19#2,W21#1,W22#3,W23#5,W26#3,W27#2,W28#5,W32#2,W34#1,W42#2,W43#2,W48#3,W52#5,W53#3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6,W02#6,W03#5,W04#8,W05#9,W06#5,W07#9,W08#6,W09#8,W10#8,W11#8,W12#5,W13#6,W14#5,W15#8,W16#6,W17#2,W18#8,W19#6,W20#5,W21#6,W22#9,W23#9,W24#5,W25#8,W26#9,W27#6,W28#9,W29#8,W30#6,W31#6,W32#6,W33#9,W34#5,W35#5,W36#8,W37#8,W38#6,W39#9,W40#6,W41#8,W42#8,W43#6,W44#6,W45#6,W46#8,W47#6,W48#8,W49#6,W50#5,W51#8,W52#9,W53#8</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13/53 tuần: W03#3,W09#5,W12#3,W18#3,W21#3,W25#5,W27#5,W37#3,W41#3,W42#5,W45#5,W52#8,W53#6</t>
        </is>
      </c>
      <c r="H9" t="inlineStr">
        <is>
          <t>Assets/MachineBrigade/Resources/Data/campaign.json: chapters / missions (port Assets/MachineBrigade/Scripts/Game/Match/BossHunts.cs Story)</t>
        </is>
      </c>
      <c r="I9" t="inlineStr"/>
    </row>
    <row r="10">
      <c r="A10" t="inlineStr">
        <is>
          <t>command_airship</t>
        </is>
      </c>
      <c r="B10" t="n">
        <v>26</v>
      </c>
      <c r="C10" t="b">
        <v>1</v>
      </c>
      <c r="D10" t="n">
        <v>10</v>
      </c>
      <c r="E10" t="inlineStr">
        <is>
          <t>slot</t>
        </is>
      </c>
      <c r="F10" t="b">
        <v>0</v>
      </c>
      <c r="G10" t="inlineStr">
        <is>
          <t>14/53 tuần: W01#7,W07#10,W12#10,W17#7,W22#10,W29#4,W30#7,W35#10,W37#10,W40#7,W44#10,W48#10,W52#10,W53#7</t>
        </is>
      </c>
      <c r="H10" t="inlineStr">
        <is>
          <t>Assets/MachineBrigade/Resources/Data/campaign.json: chapters / missions (port Assets/MachineBrigade/Scripts/Game/Match/BossHunts.cs Story)</t>
        </is>
      </c>
      <c r="I10" t="inlineStr"/>
    </row>
    <row r="11">
      <c r="A11" t="inlineStr">
        <is>
          <t>daedalus</t>
        </is>
      </c>
      <c r="B11" t="n">
        <v>29</v>
      </c>
      <c r="C11" t="b">
        <v>1</v>
      </c>
      <c r="D11" t="n">
        <v>11</v>
      </c>
      <c r="E11" t="inlineStr">
        <is>
          <t>slot</t>
        </is>
      </c>
      <c r="F11" t="b">
        <v>0</v>
      </c>
      <c r="G11" t="inlineStr">
        <is>
          <t>12/53 tuần: W03#10,W09#10,W15#10,W21#10,W24#10,W28#10,W31#7,W38#10,W42#10,W50#10,W51#10,W53#10</t>
        </is>
      </c>
      <c r="H11" t="inlineStr">
        <is>
          <t>Assets/MachineBrigade/Resources/Data/campaign.json: chapters / missions (port Assets/MachineBrigade/Scripts/Game/Match/BossHunts.cs Story)</t>
        </is>
      </c>
      <c r="I11" t="inlineStr"/>
    </row>
    <row r="12">
      <c r="A12" t="inlineStr">
        <is>
          <t>drone_mothership</t>
        </is>
      </c>
      <c r="B12" t="n">
        <v>15</v>
      </c>
      <c r="C12" t="b">
        <v>1</v>
      </c>
      <c r="D12" t="n">
        <v>5</v>
      </c>
      <c r="E12" t="inlineStr">
        <is>
          <t>slot</t>
        </is>
      </c>
      <c r="F12" t="b">
        <v>1</v>
      </c>
      <c r="G12" t="inlineStr">
        <is>
          <t>11/53 tuần: W06#4,W07#7,W15#7,W25#4,W32#7,W33#7,W34#7,W38#4,W39#7,W47#4,W48#4</t>
        </is>
      </c>
      <c r="H12" t="inlineStr">
        <is>
          <t>Assets/MachineBrigade/Resources/Data/campaign.json: chapters / missions (port Assets/MachineBrigade/Scripts/Game/Match/BossHunts.cs Story)</t>
        </is>
      </c>
      <c r="I12" t="inlineStr"/>
    </row>
    <row r="13">
      <c r="A13" t="inlineStr">
        <is>
          <t>earth_borer</t>
        </is>
      </c>
      <c r="B13" t="n">
        <v>20</v>
      </c>
      <c r="C13" t="b">
        <v>0</v>
      </c>
      <c r="D13" t="n">
        <v>8</v>
      </c>
      <c r="E13" t="inlineStr">
        <is>
          <t>slot</t>
        </is>
      </c>
      <c r="F13" t="b">
        <v>0</v>
      </c>
      <c r="G13" t="inlineStr">
        <is>
          <t>22/53 tuần: W01#8,W06#8,W12#6,W14#6,W16#8,W17#5,W19#9,W20#8,W21#8,W25#9,W27#8,W31#8,W32#8,W34#8,W37#9,W38#9,W40#8,W41#9,W45#8,W48#9,W49#8,W50#6</t>
        </is>
      </c>
      <c r="H13" t="inlineStr">
        <is>
          <t>Assets/MachineBrigade/Resources/Data/campaign.json: chapters / missions (port Assets/MachineBrigade/Scripts/Game/Match/BossHunts.cs Story)</t>
        </is>
      </c>
      <c r="I13" t="inlineStr"/>
    </row>
    <row r="14">
      <c r="A14" t="inlineStr">
        <is>
          <t>fenrir</t>
        </is>
      </c>
      <c r="B14" t="n">
        <v>7</v>
      </c>
      <c r="C14" t="b">
        <v>0</v>
      </c>
      <c r="D14" t="n">
        <v>3</v>
      </c>
      <c r="E14" t="inlineStr">
        <is>
          <t>slot</t>
        </is>
      </c>
      <c r="F14" t="b">
        <v>0</v>
      </c>
      <c r="G14" t="inlineStr">
        <is>
          <t>25/53 tuần: W01#2,W04#3,W07#5,W10#3,W11#1,W14#2,W15#2,W18#1,W22#2,W23#3,W27#1,W28#3,W29#2,W31#3,W32#1,W33#3,W35#2,W36#3,W38#2,W39#3,W44#3,W45#2,W46#3,W48#2,W52#3</t>
        </is>
      </c>
      <c r="H14" t="inlineStr">
        <is>
          <t>Assets/MachineBrigade/Resources/Data/campaign.json: chapters / missions (port Assets/MachineBrigade/Scripts/Game/Match/BossHunts.cs Story)</t>
        </is>
      </c>
      <c r="I14" t="inlineStr"/>
    </row>
    <row r="15">
      <c r="A15" t="inlineStr">
        <is>
          <t>fortress_bastion</t>
        </is>
      </c>
      <c r="B15" t="n">
        <v>2</v>
      </c>
      <c r="C15" t="b">
        <v>1</v>
      </c>
      <c r="D15" t="n">
        <v>1</v>
      </c>
      <c r="E15" t="inlineStr">
        <is>
          <t>slot</t>
        </is>
      </c>
      <c r="F15" t="b">
        <v>1</v>
      </c>
      <c r="G15" t="inlineStr">
        <is>
          <t>12/53 tuần: W04#4,W08#4,W11#4,W12#4,W20#4,W22#4,W32#4,W33#4,W34#4,W44#4,W45#4,W51#4</t>
        </is>
      </c>
      <c r="H15" t="inlineStr">
        <is>
          <t>Assets/MachineBrigade/Resources/Data/campaign.json: chapters / missions (port Assets/MachineBrigade/Scripts/Game/Match/BossHunts.cs Story)</t>
        </is>
      </c>
      <c r="I15" t="inlineStr"/>
    </row>
    <row r="16">
      <c r="A16" t="inlineStr">
        <is>
          <t>hydra</t>
        </is>
      </c>
      <c r="B16" t="n">
        <v>24</v>
      </c>
      <c r="C16" t="b">
        <v>0</v>
      </c>
      <c r="D16" t="n">
        <v>9</v>
      </c>
      <c r="E16" t="inlineStr">
        <is>
          <t>unslotted</t>
        </is>
      </c>
      <c r="F16" t="b">
        <v>0</v>
      </c>
      <c r="G16" t="inlineStr">
        <is>
          <t>16/53 tuần: W02#8,W06#9,W11#9,W12#8,W13#8,W14#9,W17#8,W20#9,W21#9,W24#9,W27#9,W34#9,W35#9,W43#9,W47#9,W50#8</t>
        </is>
      </c>
      <c r="H16" t="inlineStr">
        <is>
          <t>Assets/MachineBrigade/Resources/Data/campaign.json: chapters / missions (port Assets/MachineBrigade/Scripts/Game/Match/BossHunts.cs Story)</t>
        </is>
      </c>
      <c r="I16" t="inlineStr"/>
    </row>
    <row r="17">
      <c r="A17" t="inlineStr">
        <is>
          <t>hyperion</t>
        </is>
      </c>
      <c r="B17" t="n">
        <v>31</v>
      </c>
      <c r="C17" t="b">
        <v>1</v>
      </c>
      <c r="D17" t="n">
        <v>12</v>
      </c>
      <c r="E17" t="inlineStr">
        <is>
          <t>unslotted</t>
        </is>
      </c>
      <c r="F17" t="b">
        <v>0</v>
      </c>
      <c r="G17" t="inlineStr">
        <is>
          <t>8/53 tuần: W17#10,W23#10,W25#10,W26#10,W31#10,W33#10,W34#10,W36#10</t>
        </is>
      </c>
      <c r="H17" t="inlineStr">
        <is>
          <t>Assets/MachineBrigade/Resources/Data/campaign.json: chapters / missions (port Assets/MachineBrigade/Scripts/Game/Match/BossHunts.cs Story)</t>
        </is>
      </c>
      <c r="I17" t="inlineStr"/>
    </row>
    <row r="18">
      <c r="A18" t="inlineStr">
        <is>
          <t>icarus_mk0</t>
        </is>
      </c>
      <c r="B18" t="n">
        <v>25</v>
      </c>
      <c r="C18" t="b">
        <v>0</v>
      </c>
      <c r="D18" t="n">
        <v>10</v>
      </c>
      <c r="E18" t="inlineStr">
        <is>
          <t>slot</t>
        </is>
      </c>
      <c r="F18" t="b">
        <v>0</v>
      </c>
      <c r="G18" t="inlineStr">
        <is>
          <t>6/53 tuần: W02#9,W04#9,W30#9,W36#9,W40#9,W50#9</t>
        </is>
      </c>
      <c r="H18" t="inlineStr">
        <is>
          <t>Assets/MachineBrigade/Resources/Data/campaign.json: chapters / missions (port Assets/MachineBrigade/Scripts/Game/Match/BossHunts.cs Story)</t>
        </is>
      </c>
      <c r="I18" t="inlineStr"/>
    </row>
    <row r="19">
      <c r="A19" t="inlineStr">
        <is>
          <t>ixion</t>
        </is>
      </c>
      <c r="B19" t="n">
        <v>21</v>
      </c>
      <c r="C19" t="b">
        <v>0</v>
      </c>
      <c r="D19" t="n">
        <v>8</v>
      </c>
      <c r="E19" t="inlineStr">
        <is>
          <t>slot</t>
        </is>
      </c>
      <c r="F19" t="b">
        <v>0</v>
      </c>
      <c r="G19" t="inlineStr">
        <is>
          <t>14/53 tuần: W01#9,W03#8,W08#9,W14#8,W16#9,W17#6,W24#8,W31#9,W32#9,W35#8,W44#9,W47#8,W49#9,W53#9</t>
        </is>
      </c>
      <c r="H19" t="inlineStr">
        <is>
          <t>Assets/MachineBrigade/Resources/Data/campaign.json: chapters / missions (port Assets/MachineBrigade/Scripts/Game/Match/BossHunts.cs Story)</t>
        </is>
      </c>
      <c r="I19" t="inlineStr"/>
    </row>
    <row r="20">
      <c r="A20" t="inlineStr">
        <is>
          <t>kraken</t>
        </is>
      </c>
      <c r="B20" t="n">
        <v>23</v>
      </c>
      <c r="C20" t="b">
        <v>1</v>
      </c>
      <c r="D20" t="n">
        <v>9</v>
      </c>
      <c r="E20" t="inlineStr">
        <is>
          <t>unslotted</t>
        </is>
      </c>
      <c r="F20" t="b">
        <v>0</v>
      </c>
      <c r="G20" t="inlineStr">
        <is>
          <t>10/53 tuần: W02#7,W10#10,W14#7,W19#10,W23#4,W24#7,W36#7,W41#4,W47#10,W52#7</t>
        </is>
      </c>
      <c r="H20" t="inlineStr">
        <is>
          <t>Assets/MachineBrigade/Resources/Data/campaign.json: chapters / missions (port Assets/MachineBrigade/Scripts/Game/Match/BossHunts.cs Story)</t>
        </is>
      </c>
      <c r="I20" t="inlineStr"/>
    </row>
    <row r="21">
      <c r="A21" t="inlineStr">
        <is>
          <t>landing_hovercraft</t>
        </is>
      </c>
      <c r="B21" t="n">
        <v>17</v>
      </c>
      <c r="C21" t="b">
        <v>0</v>
      </c>
      <c r="D21" t="n">
        <v>6</v>
      </c>
      <c r="E21" t="inlineStr">
        <is>
          <t>slot</t>
        </is>
      </c>
      <c r="F21" t="b">
        <v>0</v>
      </c>
      <c r="G21" t="inlineStr">
        <is>
          <t>21/53 tuần: W03#6,W06#6,W08#8,W09#9,W10#9,W15#9,W17#3,W18#9,W19#8,W20#6,W24#6,W29#9,W30#8,W34#6,W35#6,W38#8,W42#9,W43#8,W44#8,W46#9,W51#9</t>
        </is>
      </c>
      <c r="H21" t="inlineStr">
        <is>
          <t>Assets/MachineBrigade/Resources/Data/campaign.json: chapters / missions (port Assets/MachineBrigade/Scripts/Game/Match/BossHunts.cs Story)</t>
        </is>
      </c>
      <c r="I21" t="inlineStr"/>
    </row>
    <row r="22">
      <c r="A22" t="inlineStr">
        <is>
          <t>leviathan</t>
        </is>
      </c>
      <c r="B22" t="n">
        <v>12</v>
      </c>
      <c r="C22" t="b">
        <v>1</v>
      </c>
      <c r="D22" t="n">
        <v>4</v>
      </c>
      <c r="E22" t="inlineStr">
        <is>
          <t>slot</t>
        </is>
      </c>
      <c r="F22" t="b">
        <v>1</v>
      </c>
      <c r="G22" t="inlineStr">
        <is>
          <t>11/53 tuần: W08#7,W16#4,W20#7,W28#4,W39#4,W42#4,W45#7,W46#7,W49#4,W51#7,W53#4</t>
        </is>
      </c>
      <c r="H22" t="inlineStr">
        <is>
          <t>Assets/MachineBrigade/Resources/Data/campaign.json: chapters / missions (port Assets/MachineBrigade/Scripts/Game/Match/BossHunts.cs Story)</t>
        </is>
      </c>
      <c r="I22" t="inlineStr"/>
    </row>
    <row r="23">
      <c r="A23" t="inlineStr">
        <is>
          <t>locust</t>
        </is>
      </c>
      <c r="B23" t="n">
        <v>14</v>
      </c>
      <c r="C23" t="b">
        <v>0</v>
      </c>
      <c r="D23" t="n">
        <v>5</v>
      </c>
      <c r="E23" t="inlineStr">
        <is>
          <t>slot</t>
        </is>
      </c>
      <c r="F23" t="b">
        <v>0</v>
      </c>
      <c r="G23" t="inlineStr">
        <is>
          <t>18/53 tuần: W05#8,W06#3,W07#8,W08#5,W11#6,W15#6,W16#5,W18#6,W22#8,W26#8,W29#6,W30#5,W33#8,W34#3,W37#6,W43#5,W48#6,W51#6</t>
        </is>
      </c>
      <c r="H23" t="inlineStr">
        <is>
          <t>Assets/MachineBrigade/Resources/Data/campaign.json: chapters / missions (port Assets/MachineBrigade/Scripts/Game/Match/BossHunts.cs Story)</t>
        </is>
      </c>
      <c r="I23" t="inlineStr"/>
    </row>
    <row r="24">
      <c r="A24" t="inlineStr">
        <is>
          <t>mega_gunship</t>
        </is>
      </c>
      <c r="B24" t="n">
        <v>5</v>
      </c>
      <c r="C24" t="b">
        <v>0</v>
      </c>
      <c r="D24" t="n">
        <v>3</v>
      </c>
      <c r="E24" t="inlineStr">
        <is>
          <t>slot</t>
        </is>
      </c>
      <c r="F24" t="b">
        <v>0</v>
      </c>
      <c r="G24" t="inlineStr">
        <is>
          <t>21/53 tuần: W05#3,W07#3,W08#1,W09#1,W10#2,W13#2,W15#1,W16#1,W19#1,W22#1,W23#2,W24#2,W25#2,W26#2,W36#2,W39#2,W41#1,W42#1,W44#2,W49#3,W52#2</t>
        </is>
      </c>
      <c r="H24" t="inlineStr">
        <is>
          <t>Assets/MachineBrigade/Resources/Data/campaign.json: chapters / missions (port Assets/MachineBrigade/Scripts/Game/Match/BossHunts.cs Story)</t>
        </is>
      </c>
      <c r="I24" t="inlineStr"/>
    </row>
    <row r="25">
      <c r="A25" t="inlineStr">
        <is>
          <t>mobile_fortress</t>
        </is>
      </c>
      <c r="B25" t="n">
        <v>6</v>
      </c>
      <c r="C25" t="b">
        <v>1</v>
      </c>
      <c r="D25" t="n">
        <v>3</v>
      </c>
      <c r="E25" t="inlineStr">
        <is>
          <t>slot</t>
        </is>
      </c>
      <c r="F25" t="b">
        <v>1</v>
      </c>
      <c r="G25" t="inlineStr">
        <is>
          <t>13/53 tuần: W05#7,W10#7,W15#4,W17#4,W18#7,W19#4,W21#4,W24#4,W27#4,W35#4,W37#4,W46#4,W52#4</t>
        </is>
      </c>
      <c r="H25" t="inlineStr">
        <is>
          <t>Assets/MachineBrigade/Resources/Data/campaign.json: chapters / missions (port Assets/MachineBrigade/Scripts/Game/Match/BossHunts.cs Story)</t>
        </is>
      </c>
      <c r="I25" t="inlineStr"/>
    </row>
    <row r="26">
      <c r="A26" t="inlineStr">
        <is>
          <t>moloch</t>
        </is>
      </c>
      <c r="B26" t="n">
        <v>18</v>
      </c>
      <c r="C26" t="b">
        <v>1</v>
      </c>
      <c r="D26" t="n">
        <v>6</v>
      </c>
      <c r="E26" t="inlineStr">
        <is>
          <t>slot</t>
        </is>
      </c>
      <c r="F26" t="b">
        <v>1</v>
      </c>
      <c r="G26" t="inlineStr">
        <is>
          <t>9/53 tuần: W01#4,W02#4,W08#10,W09#4,W19#7,W20#10,W21#7,W43#7,W45#10</t>
        </is>
      </c>
      <c r="H26" t="inlineStr">
        <is>
          <t>Assets/MachineBrigade/Resources/Data/campaign.json: chapters / missions (port Assets/MachineBrigade/Scripts/Game/Match/BossHunts.cs Story)</t>
        </is>
      </c>
      <c r="I26" t="inlineStr"/>
    </row>
    <row r="27">
      <c r="A27" t="inlineStr">
        <is>
          <t>monster</t>
        </is>
      </c>
      <c r="B27" t="n">
        <v>28</v>
      </c>
      <c r="C27" t="b">
        <v>1</v>
      </c>
      <c r="D27" t="n">
        <v>11</v>
      </c>
      <c r="E27" t="inlineStr">
        <is>
          <t>slot</t>
        </is>
      </c>
      <c r="F27" t="b">
        <v>1</v>
      </c>
      <c r="G27" t="inlineStr">
        <is>
          <t>14/53 tuần: W02#10,W03#7,W06#10,W14#10,W23#7,W27#10,W29#7,W30#10,W32#10,W38#7,W40#10,W41#7,W49#10,W50#7</t>
        </is>
      </c>
      <c r="H27" t="inlineStr">
        <is>
          <t>Assets/MachineBrigade/Resources/Data/campaign.json: chapters / missions (port Assets/MachineBrigade/Scripts/Game/Match/BossHunts.cs Story)</t>
        </is>
      </c>
      <c r="I27" t="inlineStr"/>
    </row>
    <row r="28">
      <c r="A28" t="inlineStr">
        <is>
          <t>nuke_train</t>
        </is>
      </c>
      <c r="B28" t="n">
        <v>19</v>
      </c>
      <c r="C28" t="b">
        <v>1</v>
      </c>
      <c r="D28" t="n">
        <v>7</v>
      </c>
      <c r="E28" t="inlineStr">
        <is>
          <t>slot</t>
        </is>
      </c>
      <c r="F28" t="b">
        <v>1</v>
      </c>
      <c r="G28" t="inlineStr">
        <is>
          <t>9/53 tuần: W04#7,W09#7,W28#7,W31#4,W37#7,W42#7,W46#10,W47#7,W49#7</t>
        </is>
      </c>
      <c r="H28" t="inlineStr">
        <is>
          <t>Assets/MachineBrigade/Resources/Data/campaign.json: chapters / missions (port Assets/MachineBrigade/Scripts/Game/Match/BossHunts.cs Story)</t>
        </is>
      </c>
      <c r="I28" t="inlineStr"/>
    </row>
    <row r="29">
      <c r="A29" t="inlineStr">
        <is>
          <t>nyx</t>
        </is>
      </c>
      <c r="B29" t="n">
        <v>13</v>
      </c>
      <c r="C29" t="b">
        <v>0</v>
      </c>
      <c r="D29" t="n">
        <v>4</v>
      </c>
      <c r="E29" t="inlineStr">
        <is>
          <t>unslotted</t>
        </is>
      </c>
      <c r="F29" t="b">
        <v>0</v>
      </c>
      <c r="G29" t="inlineStr">
        <is>
          <t>17/53 tuần: W02#5,W08#3,W16#3,W20#3,W22#6,W25#6,W29#5,W33#6,W36#6,W37#5,W38#5,W39#8,W40#5,W41#6,W46#6,W47#5,W51#5</t>
        </is>
      </c>
      <c r="H29" t="inlineStr">
        <is>
          <t>Assets/MachineBrigade/Resources/Data/campaign.json: chapters / missions (port Assets/MachineBrigade/Scripts/Game/Match/BossHunts.cs Story)</t>
        </is>
      </c>
      <c r="I29" t="inlineStr"/>
    </row>
    <row r="30">
      <c r="A30" t="inlineStr">
        <is>
          <t>scylla</t>
        </is>
      </c>
      <c r="B30" t="n">
        <v>11</v>
      </c>
      <c r="C30" t="b">
        <v>0</v>
      </c>
      <c r="D30" t="n">
        <v>4</v>
      </c>
      <c r="E30" t="inlineStr">
        <is>
          <t>slot</t>
        </is>
      </c>
      <c r="F30" t="b">
        <v>0</v>
      </c>
      <c r="G30" t="inlineStr">
        <is>
          <t>18/53 tuần: W01#5,W04#6,W09#6,W11#5,W18#5,W19#5,W21#5,W23#8,W26#6,W28#8,W30#3,W32#5,W39#6,W41#5,W42#6,W47#3,W50#3,W51#3</t>
        </is>
      </c>
      <c r="H30" t="inlineStr">
        <is>
          <t>Assets/MachineBrigade/Resources/Data/campaign.json: chapters / missions (port Assets/MachineBrigade/Scripts/Game/Match/BossHunts.cs Story)</t>
        </is>
      </c>
      <c r="I30" t="inlineStr"/>
    </row>
    <row r="31">
      <c r="A31" t="inlineStr">
        <is>
          <t>silver_bug</t>
        </is>
      </c>
      <c r="B31" t="n">
        <v>30</v>
      </c>
      <c r="C31" t="b">
        <v>1</v>
      </c>
      <c r="D31" t="n">
        <v>12</v>
      </c>
      <c r="E31" t="inlineStr">
        <is>
          <t>slot</t>
        </is>
      </c>
      <c r="F31" t="b">
        <v>0</v>
      </c>
      <c r="G31" t="inlineStr">
        <is>
          <t>9/53 tuần: W01#10,W05#10,W11#10,W13#10,W16#10,W26#7,W29#10,W41#10,W43#10</t>
        </is>
      </c>
      <c r="H31" t="inlineStr">
        <is>
          <t>Assets/MachineBrigade/Resources/Data/campaign.json: chapters / missions (port Assets/MachineBrigade/Scripts/Game/Match/BossHunts.cs Story)</t>
        </is>
      </c>
      <c r="I31" t="inlineStr"/>
    </row>
    <row r="32">
      <c r="A32" t="inlineStr">
        <is>
          <t>typhon</t>
        </is>
      </c>
      <c r="B32" t="n">
        <v>22</v>
      </c>
      <c r="C32" t="b">
        <v>1</v>
      </c>
      <c r="D32" t="n">
        <v>9</v>
      </c>
      <c r="E32" t="inlineStr">
        <is>
          <t>slot</t>
        </is>
      </c>
      <c r="F32" t="b">
        <v>0</v>
      </c>
      <c r="G32" t="inlineStr">
        <is>
          <t>17/53 tuần: W03#4,W04#10,W06#7,W11#7,W12#7,W13#7,W14#4,W16#7,W18#10,W25#7,W27#7,W30#4,W35#7,W39#10,W44#7,W48#7,W50#4</t>
        </is>
      </c>
      <c r="H32" t="inlineStr">
        <is>
          <t>Assets/MachineBrigade/Resources/Data/campaign.json: chapters / missions (port Assets/MachineBrigade/Scripts/Game/Match/BossHunts.cs Story)</t>
        </is>
      </c>
      <c r="I32" t="inlineStr"/>
    </row>
  </sheetData>
  <autoFilter ref="A1:I32"/>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60" customWidth="1" min="6" max="6"/>
    <col width="10" customWidth="1" min="7" max="7"/>
  </cols>
  <sheetData>
    <row r="1">
      <c r="A1" s="1" t="inlineStr">
        <is>
          <t>id</t>
        </is>
      </c>
      <c r="B1" s="1" t="inlineStr">
        <is>
          <t>sat_thuong_moi_phat</t>
        </is>
      </c>
      <c r="C1" s="1" t="inlineStr">
        <is>
          <t>xuyen</t>
        </is>
      </c>
      <c r="D1" s="1" t="inlineStr">
        <is>
          <t>dat_boi_boss</t>
        </is>
      </c>
      <c r="E1" s="1" t="inlineStr">
        <is>
          <t>loi_m</t>
        </is>
      </c>
      <c r="F1" s="1" t="inlineStr">
        <is>
          <t>nguon</t>
        </is>
      </c>
      <c r="G1" s="1" t="inlineStr">
        <is>
          <t>raw_json</t>
        </is>
      </c>
    </row>
    <row r="2">
      <c r="A2" t="inlineStr">
        <is>
          <t>aa_25_triple</t>
        </is>
      </c>
      <c r="B2" t="n">
        <v>17</v>
      </c>
      <c r="C2" t="n">
        <v>1</v>
      </c>
      <c r="D2" t="b">
        <v>0</v>
      </c>
      <c r="E2" t="n">
        <v>0</v>
      </c>
      <c r="F2" t="inlineStr">
        <is>
          <t>01_chien_dau/Vu_khi (id aa_25_triple)</t>
        </is>
      </c>
      <c r="G2" t="inlineStr"/>
    </row>
    <row r="3">
      <c r="A3" t="inlineStr">
        <is>
          <t>borer_cannon</t>
        </is>
      </c>
      <c r="B3" t="n">
        <v>120</v>
      </c>
      <c r="C3" t="n">
        <v>3</v>
      </c>
      <c r="D3" t="b">
        <v>0</v>
      </c>
      <c r="E3" t="n">
        <v>1.5</v>
      </c>
      <c r="F3" t="inlineStr">
        <is>
          <t>01_chien_dau/Vu_khi (id borer_cannon)</t>
        </is>
      </c>
      <c r="G3" t="inlineStr"/>
    </row>
    <row r="4">
      <c r="A4" t="inlineStr">
        <is>
          <t>borer_drill</t>
        </is>
      </c>
      <c r="B4" t="n">
        <v>260</v>
      </c>
      <c r="C4" t="n">
        <v>4</v>
      </c>
      <c r="D4" t="b">
        <v>0</v>
      </c>
      <c r="E4" t="n">
        <v>0</v>
      </c>
      <c r="F4" t="inlineStr">
        <is>
          <t>01_chien_dau/Vu_khi (id borer_drill)</t>
        </is>
      </c>
      <c r="G4" t="inlineStr"/>
    </row>
    <row r="5">
      <c r="A5" t="inlineStr">
        <is>
          <t>boss_flak</t>
        </is>
      </c>
      <c r="B5" t="n">
        <v>25</v>
      </c>
      <c r="C5" t="n">
        <v>2</v>
      </c>
      <c r="D5" t="b">
        <v>0</v>
      </c>
      <c r="E5" t="n">
        <v>2.5</v>
      </c>
      <c r="F5" t="inlineStr">
        <is>
          <t>01_chien_dau/Vu_khi (id boss_flak)</t>
        </is>
      </c>
      <c r="G5" t="inlineStr"/>
    </row>
    <row r="6">
      <c r="A6" t="inlineStr">
        <is>
          <t>boss_flamer</t>
        </is>
      </c>
      <c r="B6" t="n">
        <v>30</v>
      </c>
      <c r="C6" t="n">
        <v>2</v>
      </c>
      <c r="D6" t="b">
        <v>0</v>
      </c>
      <c r="E6" t="n">
        <v>3.5</v>
      </c>
      <c r="F6" t="inlineStr">
        <is>
          <t>01_chien_dau/Vu_khi (id boss_flamer)</t>
        </is>
      </c>
      <c r="G6" t="inlineStr"/>
    </row>
    <row r="7">
      <c r="A7" t="inlineStr">
        <is>
          <t>boss_heli_gun</t>
        </is>
      </c>
      <c r="B7" t="n">
        <v>22</v>
      </c>
      <c r="C7" t="n">
        <v>2</v>
      </c>
      <c r="D7" t="b">
        <v>0</v>
      </c>
      <c r="E7" t="n">
        <v>0</v>
      </c>
      <c r="F7" t="inlineStr">
        <is>
          <t>01_chien_dau/Vu_khi (id boss_heli_gun)</t>
        </is>
      </c>
      <c r="G7" t="inlineStr"/>
    </row>
    <row r="8">
      <c r="A8" t="inlineStr">
        <is>
          <t>boss_hmg</t>
        </is>
      </c>
      <c r="B8" t="n">
        <v>15</v>
      </c>
      <c r="C8" t="n">
        <v>1</v>
      </c>
      <c r="D8" t="b">
        <v>0</v>
      </c>
      <c r="E8" t="n">
        <v>0</v>
      </c>
      <c r="F8" t="inlineStr">
        <is>
          <t>01_chien_dau/Vu_khi (id boss_hmg)</t>
        </is>
      </c>
      <c r="G8" t="inlineStr"/>
    </row>
    <row r="9">
      <c r="A9" t="inlineStr">
        <is>
          <t>boss_minigun</t>
        </is>
      </c>
      <c r="B9" t="n">
        <v>5.5</v>
      </c>
      <c r="C9" t="n">
        <v>0</v>
      </c>
      <c r="D9" t="b">
        <v>0</v>
      </c>
      <c r="E9" t="n">
        <v>0</v>
      </c>
      <c r="F9" t="inlineStr">
        <is>
          <t>01_chien_dau/Vu_khi (id boss_minigun)</t>
        </is>
      </c>
      <c r="G9" t="inlineStr"/>
    </row>
    <row r="10">
      <c r="A10" t="inlineStr">
        <is>
          <t>boss_railgun</t>
        </is>
      </c>
      <c r="B10" t="n">
        <v>720</v>
      </c>
      <c r="C10" t="n">
        <v>4</v>
      </c>
      <c r="D10" t="b">
        <v>0</v>
      </c>
      <c r="E10" t="n">
        <v>0</v>
      </c>
      <c r="F10" t="inlineStr">
        <is>
          <t>01_chien_dau/Vu_khi (id boss_railgun)</t>
        </is>
      </c>
      <c r="G10" t="inlineStr"/>
    </row>
    <row r="11">
      <c r="A11" t="inlineStr">
        <is>
          <t>boss_rockets</t>
        </is>
      </c>
      <c r="B11" t="n">
        <v>200</v>
      </c>
      <c r="C11" t="n">
        <v>2</v>
      </c>
      <c r="D11" t="b">
        <v>0</v>
      </c>
      <c r="E11" t="n">
        <v>4.5</v>
      </c>
      <c r="F11" t="inlineStr">
        <is>
          <t>01_chien_dau/Vu_khi (id boss_rockets)</t>
        </is>
      </c>
      <c r="G11" t="inlineStr"/>
    </row>
    <row r="12">
      <c r="A12" t="inlineStr">
        <is>
          <t>boss_thermo</t>
        </is>
      </c>
      <c r="B12" t="n">
        <v>291</v>
      </c>
      <c r="C12" t="n">
        <v>3</v>
      </c>
      <c r="D12" t="b">
        <v>0</v>
      </c>
      <c r="E12" t="n">
        <v>7</v>
      </c>
      <c r="F12" t="inlineStr">
        <is>
          <t>01_chien_dau/Vu_khi (id boss_thermo)</t>
        </is>
      </c>
      <c r="G12" t="inlineStr"/>
    </row>
    <row r="13">
      <c r="A13" t="inlineStr">
        <is>
          <t>ciws_aa</t>
        </is>
      </c>
      <c r="B13" t="n">
        <v>12</v>
      </c>
      <c r="C13" t="n">
        <v>2</v>
      </c>
      <c r="D13" t="b">
        <v>0</v>
      </c>
      <c r="E13" t="n">
        <v>0</v>
      </c>
      <c r="F13" t="inlineStr">
        <is>
          <t>01_chien_dau/Vu_khi (id ciws_aa)</t>
        </is>
      </c>
      <c r="G13" t="inlineStr"/>
    </row>
    <row r="14">
      <c r="A14" t="inlineStr">
        <is>
          <t>coilgun</t>
        </is>
      </c>
      <c r="B14" t="n">
        <v>250</v>
      </c>
      <c r="C14" t="n">
        <v>4</v>
      </c>
      <c r="D14" t="b">
        <v>0</v>
      </c>
      <c r="E14" t="n">
        <v>0</v>
      </c>
      <c r="F14" t="inlineStr">
        <is>
          <t>01_chien_dau/Vu_khi (id coilgun)</t>
        </is>
      </c>
      <c r="G14" t="inlineStr"/>
    </row>
    <row r="15">
      <c r="A15" t="inlineStr">
        <is>
          <t>gunship_rockets</t>
        </is>
      </c>
      <c r="B15" t="n">
        <v>32</v>
      </c>
      <c r="C15" t="n">
        <v>2</v>
      </c>
      <c r="D15" t="b">
        <v>0</v>
      </c>
      <c r="E15" t="n">
        <v>3</v>
      </c>
      <c r="F15" t="inlineStr">
        <is>
          <t>01_chien_dau/Vu_khi (id gunship_rockets)</t>
        </is>
      </c>
      <c r="G15" t="inlineStr"/>
    </row>
    <row r="16">
      <c r="A16" t="inlineStr">
        <is>
          <t>hover_ciws</t>
        </is>
      </c>
      <c r="B16" t="n">
        <v>12</v>
      </c>
      <c r="C16" t="n">
        <v>2</v>
      </c>
      <c r="D16" t="b">
        <v>0</v>
      </c>
      <c r="E16" t="n">
        <v>0</v>
      </c>
      <c r="F16" t="inlineStr">
        <is>
          <t>01_chien_dau/Vu_khi (id hover_ciws)</t>
        </is>
      </c>
      <c r="G16" t="inlineStr"/>
    </row>
    <row r="17">
      <c r="A17" t="inlineStr">
        <is>
          <t>hover_rockets</t>
        </is>
      </c>
      <c r="B17" t="n">
        <v>65</v>
      </c>
      <c r="C17" t="n">
        <v>2</v>
      </c>
      <c r="D17" t="b">
        <v>0</v>
      </c>
      <c r="E17" t="n">
        <v>4</v>
      </c>
      <c r="F17" t="inlineStr">
        <is>
          <t>01_chien_dau/Vu_khi (id hover_rockets)</t>
        </is>
      </c>
      <c r="G17" t="inlineStr"/>
    </row>
    <row r="18">
      <c r="A18" t="inlineStr">
        <is>
          <t>locust_drones</t>
        </is>
      </c>
      <c r="B18" t="n">
        <v>320</v>
      </c>
      <c r="C18" t="n">
        <v>4</v>
      </c>
      <c r="D18" t="b">
        <v>0</v>
      </c>
      <c r="E18" t="n">
        <v>3</v>
      </c>
      <c r="F18" t="inlineStr">
        <is>
          <t>01_chien_dau/Vu_khi (id locust_drones)</t>
        </is>
      </c>
      <c r="G18" t="inlineStr"/>
    </row>
    <row r="19">
      <c r="A19" t="inlineStr">
        <is>
          <t>naval_130_twin</t>
        </is>
      </c>
      <c r="B19" t="n">
        <v>380</v>
      </c>
      <c r="C19" t="n">
        <v>3</v>
      </c>
      <c r="D19" t="b">
        <v>0</v>
      </c>
      <c r="E19" t="n">
        <v>5</v>
      </c>
      <c r="F19" t="inlineStr">
        <is>
          <t>01_chien_dau/Vu_khi (id naval_130_twin)</t>
        </is>
      </c>
      <c r="G19" t="inlineStr"/>
    </row>
    <row r="20">
      <c r="A20" t="inlineStr">
        <is>
          <t>p26_bastion_close_boss_hmg</t>
        </is>
      </c>
      <c r="B20" t="n">
        <v>15</v>
      </c>
      <c r="C20" t="n">
        <v>1</v>
      </c>
      <c r="D20" t="b">
        <v>0</v>
      </c>
      <c r="E20" t="n">
        <v>0</v>
      </c>
      <c r="F20" t="inlineStr">
        <is>
          <t>01_chien_dau/Vu_khi (id p26_bastion_close_boss_hmg)</t>
        </is>
      </c>
      <c r="G20" t="inlineStr"/>
    </row>
    <row r="21">
      <c r="A21" t="inlineStr">
        <is>
          <t>p26_bastion_direct_b100</t>
        </is>
      </c>
      <c r="B21" t="n">
        <v>240</v>
      </c>
      <c r="C21" t="n">
        <v>5</v>
      </c>
      <c r="D21" t="b">
        <v>0</v>
      </c>
      <c r="E21" t="n">
        <v>0</v>
      </c>
      <c r="F21" t="inlineStr">
        <is>
          <t>01_chien_dau/Vu_khi (id p26_bastion_direct_b100)</t>
        </is>
      </c>
      <c r="G21" t="inlineStr"/>
    </row>
    <row r="22">
      <c r="A22" t="inlineStr">
        <is>
          <t>p26_bastion_main_b155</t>
        </is>
      </c>
      <c r="B22" t="n">
        <v>600</v>
      </c>
      <c r="C22" t="n">
        <v>4</v>
      </c>
      <c r="D22" t="b">
        <v>0</v>
      </c>
      <c r="E22" t="n">
        <v>7</v>
      </c>
      <c r="F22" t="inlineStr">
        <is>
          <t>01_chien_dau/Vu_khi (id p26_bastion_main_b155)</t>
        </is>
      </c>
      <c r="G22" t="inlineStr"/>
    </row>
    <row r="23">
      <c r="A23" t="inlineStr">
        <is>
          <t>p26_bastion_sec_b240</t>
        </is>
      </c>
      <c r="B23" t="n">
        <v>1100</v>
      </c>
      <c r="C23" t="n">
        <v>4</v>
      </c>
      <c r="D23" t="b">
        <v>0</v>
      </c>
      <c r="E23" t="n">
        <v>10</v>
      </c>
      <c r="F23" t="inlineStr">
        <is>
          <t>01_chien_dau/Vu_khi (id p26_bastion_sec_b240)</t>
        </is>
      </c>
      <c r="G23" t="inlineStr"/>
    </row>
    <row r="24">
      <c r="A24" t="inlineStr">
        <is>
          <t>p26_bastion_tiny_autocannon_40</t>
        </is>
      </c>
      <c r="B24" t="n">
        <v>30</v>
      </c>
      <c r="C24" t="n">
        <v>2</v>
      </c>
      <c r="D24" t="b">
        <v>0</v>
      </c>
      <c r="E24" t="n">
        <v>0</v>
      </c>
      <c r="F24" t="inlineStr">
        <is>
          <t>01_chien_dau/Vu_khi (id p26_bastion_tiny_autocannon_40)</t>
        </is>
      </c>
      <c r="G24" t="inlineStr"/>
    </row>
    <row r="25">
      <c r="A25" t="inlineStr">
        <is>
          <t>p26_bastion_tiny_kornet_twin</t>
        </is>
      </c>
      <c r="B25" t="n">
        <v>230</v>
      </c>
      <c r="C25" t="n">
        <v>4</v>
      </c>
      <c r="D25" t="b">
        <v>0</v>
      </c>
      <c r="E25" t="n">
        <v>0</v>
      </c>
      <c r="F25" t="inlineStr">
        <is>
          <t>01_chien_dau/Vu_khi (id p26_bastion_tiny_kornet_twin)</t>
        </is>
      </c>
      <c r="G25" t="inlineStr"/>
    </row>
    <row r="26">
      <c r="A26" t="inlineStr">
        <is>
          <t>p26_bastion_tiny_zu23</t>
        </is>
      </c>
      <c r="B26" t="n">
        <v>3.5</v>
      </c>
      <c r="C26" t="n">
        <v>1</v>
      </c>
      <c r="D26" t="b">
        <v>0</v>
      </c>
      <c r="E26" t="n">
        <v>0</v>
      </c>
      <c r="F26" t="inlineStr">
        <is>
          <t>01_chien_dau/Vu_khi (id p26_bastion_tiny_zu23)</t>
        </is>
      </c>
      <c r="G26" t="inlineStr"/>
    </row>
    <row r="27">
      <c r="A27" t="inlineStr">
        <is>
          <t>p26_behemoth_close_boss_flak</t>
        </is>
      </c>
      <c r="B27" t="n">
        <v>25</v>
      </c>
      <c r="C27" t="n">
        <v>2</v>
      </c>
      <c r="D27" t="b">
        <v>0</v>
      </c>
      <c r="E27" t="n">
        <v>2.5</v>
      </c>
      <c r="F27" t="inlineStr">
        <is>
          <t>01_chien_dau/Vu_khi (id p26_behemoth_close_boss_flak)</t>
        </is>
      </c>
      <c r="G27" t="inlineStr"/>
    </row>
    <row r="28">
      <c r="A28" t="inlineStr">
        <is>
          <t>p26_behemoth_direct_be120</t>
        </is>
      </c>
      <c r="B28" t="n">
        <v>260</v>
      </c>
      <c r="C28" t="n">
        <v>5</v>
      </c>
      <c r="D28" t="b">
        <v>0</v>
      </c>
      <c r="E28" t="n">
        <v>0</v>
      </c>
      <c r="F28" t="inlineStr">
        <is>
          <t>01_chien_dau/Vu_khi (id p26_behemoth_direct_be120)</t>
        </is>
      </c>
      <c r="G28" t="inlineStr"/>
    </row>
    <row r="29">
      <c r="A29" t="inlineStr">
        <is>
          <t>p26_behemoth_main_be152</t>
        </is>
      </c>
      <c r="B29" t="n">
        <v>600</v>
      </c>
      <c r="C29" t="n">
        <v>3</v>
      </c>
      <c r="D29" t="b">
        <v>0</v>
      </c>
      <c r="E29" t="n">
        <v>7</v>
      </c>
      <c r="F29" t="inlineStr">
        <is>
          <t>01_chien_dau/Vu_khi (id p26_behemoth_main_be152)</t>
        </is>
      </c>
      <c r="G29" t="inlineStr"/>
    </row>
    <row r="30">
      <c r="A30" t="inlineStr">
        <is>
          <t>p26_behemoth_sec_be_rockets</t>
        </is>
      </c>
      <c r="B30" t="n">
        <v>200</v>
      </c>
      <c r="C30" t="n">
        <v>2</v>
      </c>
      <c r="D30" t="b">
        <v>0</v>
      </c>
      <c r="E30" t="n">
        <v>4.5</v>
      </c>
      <c r="F30" t="inlineStr">
        <is>
          <t>01_chien_dau/Vu_khi (id p26_behemoth_sec_be_rockets)</t>
        </is>
      </c>
      <c r="G30" t="inlineStr"/>
    </row>
    <row r="31">
      <c r="A31" t="inlineStr">
        <is>
          <t>p26_behemoth_tiny_be120</t>
        </is>
      </c>
      <c r="B31" t="n">
        <v>260</v>
      </c>
      <c r="C31" t="n">
        <v>5</v>
      </c>
      <c r="D31" t="b">
        <v>0</v>
      </c>
      <c r="E31" t="n">
        <v>0</v>
      </c>
      <c r="F31" t="inlineStr">
        <is>
          <t>01_chien_dau/Vu_khi (id p26_behemoth_tiny_be120)</t>
        </is>
      </c>
      <c r="G31" t="inlineStr"/>
    </row>
    <row r="32">
      <c r="A32" t="inlineStr">
        <is>
          <t>p26_behemoth_tiny_boss_missiles</t>
        </is>
      </c>
      <c r="B32" t="n">
        <v>230</v>
      </c>
      <c r="C32" t="n">
        <v>4</v>
      </c>
      <c r="D32" t="b">
        <v>0</v>
      </c>
      <c r="E32" t="n">
        <v>0</v>
      </c>
      <c r="F32" t="inlineStr">
        <is>
          <t>01_chien_dau/Vu_khi (id p26_behemoth_tiny_boss_missiles)</t>
        </is>
      </c>
      <c r="G32" t="inlineStr"/>
    </row>
    <row r="33">
      <c r="A33" t="inlineStr">
        <is>
          <t>p26_behemoth_tiny_kornet_twin</t>
        </is>
      </c>
      <c r="B33" t="n">
        <v>230</v>
      </c>
      <c r="C33" t="n">
        <v>5</v>
      </c>
      <c r="D33" t="b">
        <v>0</v>
      </c>
      <c r="E33" t="n">
        <v>0</v>
      </c>
      <c r="F33" t="inlineStr">
        <is>
          <t>01_chien_dau/Vu_khi (id p26_behemoth_tiny_kornet_twin)</t>
        </is>
      </c>
      <c r="G33" t="inlineStr"/>
    </row>
    <row r="34">
      <c r="A34" t="inlineStr">
        <is>
          <t>p26_daedalus_direct_dae_laser</t>
        </is>
      </c>
      <c r="B34" t="n">
        <v>16.5</v>
      </c>
      <c r="C34" t="n">
        <v>4</v>
      </c>
      <c r="D34" t="b">
        <v>0</v>
      </c>
      <c r="E34" t="n">
        <v>1.5</v>
      </c>
      <c r="F34" t="inlineStr">
        <is>
          <t>01_chien_dau/Vu_khi (id p26_daedalus_direct_dae_laser)</t>
        </is>
      </c>
      <c r="G34" t="inlineStr"/>
    </row>
    <row r="35">
      <c r="A35" t="inlineStr">
        <is>
          <t>p26_daedalus_sec_dae57</t>
        </is>
      </c>
      <c r="B35" t="n">
        <v>120</v>
      </c>
      <c r="C35" t="n">
        <v>4</v>
      </c>
      <c r="D35" t="b">
        <v>0</v>
      </c>
      <c r="E35" t="n">
        <v>3</v>
      </c>
      <c r="F35" t="inlineStr">
        <is>
          <t>01_chien_dau/Vu_khi (id p26_daedalus_sec_dae57)</t>
        </is>
      </c>
      <c r="G35" t="inlineStr"/>
    </row>
    <row r="36">
      <c r="A36" t="inlineStr">
        <is>
          <t>p26_icarus_close_autocannon_40</t>
        </is>
      </c>
      <c r="B36" t="n">
        <v>30</v>
      </c>
      <c r="C36" t="n">
        <v>2</v>
      </c>
      <c r="D36" t="b">
        <v>0</v>
      </c>
      <c r="E36" t="n">
        <v>0</v>
      </c>
      <c r="F36" t="inlineStr">
        <is>
          <t>01_chien_dau/Vu_khi (id p26_icarus_close_autocannon_40)</t>
        </is>
      </c>
      <c r="G36" t="inlineStr"/>
    </row>
    <row r="37">
      <c r="A37" t="inlineStr">
        <is>
          <t>p26_icarus_direct_ic_laser</t>
        </is>
      </c>
      <c r="B37" t="n">
        <v>16</v>
      </c>
      <c r="C37" t="n">
        <v>4</v>
      </c>
      <c r="D37" t="b">
        <v>0</v>
      </c>
      <c r="E37" t="n">
        <v>1.5</v>
      </c>
      <c r="F37" t="inlineStr">
        <is>
          <t>01_chien_dau/Vu_khi (id p26_icarus_direct_ic_laser)</t>
        </is>
      </c>
      <c r="G37" t="inlineStr"/>
    </row>
    <row r="38">
      <c r="A38" t="inlineStr">
        <is>
          <t>p26_icarus_main_ic_coil</t>
        </is>
      </c>
      <c r="B38" t="n">
        <v>1500</v>
      </c>
      <c r="C38" t="n">
        <v>5</v>
      </c>
      <c r="D38" t="b">
        <v>0</v>
      </c>
      <c r="E38" t="n">
        <v>0</v>
      </c>
      <c r="F38" t="inlineStr">
        <is>
          <t>01_chien_dau/Vu_khi (id p26_icarus_main_ic_coil)</t>
        </is>
      </c>
      <c r="G38" t="inlineStr"/>
    </row>
    <row r="39">
      <c r="A39" t="inlineStr">
        <is>
          <t>p26_icarus_sec_orbital_laser</t>
        </is>
      </c>
      <c r="B39" t="n">
        <v>40</v>
      </c>
      <c r="C39" t="n">
        <v>4</v>
      </c>
      <c r="D39" t="b">
        <v>0</v>
      </c>
      <c r="E39" t="n">
        <v>1.5</v>
      </c>
      <c r="F39" t="inlineStr">
        <is>
          <t>01_chien_dau/Vu_khi (id p26_icarus_sec_orbital_laser)</t>
        </is>
      </c>
      <c r="G39" t="inlineStr"/>
    </row>
    <row r="40">
      <c r="A40" t="inlineStr">
        <is>
          <t>p26_ixion_125</t>
        </is>
      </c>
      <c r="B40" t="n">
        <v>400</v>
      </c>
      <c r="C40" t="n">
        <v>4</v>
      </c>
      <c r="D40" t="b">
        <v>0</v>
      </c>
      <c r="E40" t="n">
        <v>0</v>
      </c>
      <c r="F40" t="inlineStr">
        <is>
          <t>01_chien_dau/Vu_khi (id p26_ixion_125)</t>
        </is>
      </c>
      <c r="G40" t="inlineStr"/>
    </row>
    <row r="41">
      <c r="A41" t="inlineStr">
        <is>
          <t>p26_ixion_mg</t>
        </is>
      </c>
      <c r="B41" t="n">
        <v>15</v>
      </c>
      <c r="C41" t="n">
        <v>1</v>
      </c>
      <c r="D41" t="b">
        <v>0</v>
      </c>
      <c r="E41" t="n">
        <v>0</v>
      </c>
      <c r="F41" t="inlineStr">
        <is>
          <t>01_chien_dau/Vu_khi (id p26_ixion_mg)</t>
        </is>
      </c>
      <c r="G41" t="inlineStr"/>
    </row>
    <row r="42">
      <c r="A42" t="inlineStr">
        <is>
          <t>p26_jotunn_close_boss_flak</t>
        </is>
      </c>
      <c r="B42" t="n">
        <v>25</v>
      </c>
      <c r="C42" t="n">
        <v>2</v>
      </c>
      <c r="D42" t="b">
        <v>0</v>
      </c>
      <c r="E42" t="n">
        <v>2.5</v>
      </c>
      <c r="F42" t="inlineStr">
        <is>
          <t>01_chien_dau/Vu_khi (id p26_jotunn_close_boss_flak)</t>
        </is>
      </c>
      <c r="G42" t="inlineStr"/>
    </row>
    <row r="43">
      <c r="A43" t="inlineStr">
        <is>
          <t>p26_jotunn_direct_jo125</t>
        </is>
      </c>
      <c r="B43" t="n">
        <v>400</v>
      </c>
      <c r="C43" t="n">
        <v>5</v>
      </c>
      <c r="D43" t="b">
        <v>0</v>
      </c>
      <c r="E43" t="n">
        <v>0</v>
      </c>
      <c r="F43" t="inlineStr">
        <is>
          <t>01_chien_dau/Vu_khi (id p26_jotunn_direct_jo125)</t>
        </is>
      </c>
      <c r="G43" t="inlineStr"/>
    </row>
    <row r="44">
      <c r="A44" t="inlineStr">
        <is>
          <t>p26_jotunn_jo203</t>
        </is>
      </c>
      <c r="B44" t="n">
        <v>900</v>
      </c>
      <c r="C44" t="n">
        <v>4</v>
      </c>
      <c r="D44" t="b">
        <v>0</v>
      </c>
      <c r="E44" t="n">
        <v>8.5</v>
      </c>
      <c r="F44" t="inlineStr">
        <is>
          <t>01_chien_dau/Vu_khi (id p26_jotunn_jo203)</t>
        </is>
      </c>
      <c r="G44" t="inlineStr"/>
    </row>
    <row r="45">
      <c r="A45" t="inlineStr">
        <is>
          <t>p26_jotunn_sec_jo_rockets</t>
        </is>
      </c>
      <c r="B45" t="n">
        <v>450</v>
      </c>
      <c r="C45" t="n">
        <v>2</v>
      </c>
      <c r="D45" t="b">
        <v>0</v>
      </c>
      <c r="E45" t="n">
        <v>8</v>
      </c>
      <c r="F45" t="inlineStr">
        <is>
          <t>01_chien_dau/Vu_khi (id p26_jotunn_sec_jo_rockets)</t>
        </is>
      </c>
      <c r="G45" t="inlineStr"/>
    </row>
    <row r="46">
      <c r="A46" t="inlineStr">
        <is>
          <t>p26_jotunn_tiny_twin_30_flak</t>
        </is>
      </c>
      <c r="B46" t="n">
        <v>22</v>
      </c>
      <c r="C46" t="n">
        <v>2</v>
      </c>
      <c r="D46" t="b">
        <v>0</v>
      </c>
      <c r="E46" t="n">
        <v>2.5</v>
      </c>
      <c r="F46" t="inlineStr">
        <is>
          <t>01_chien_dau/Vu_khi (id p26_jotunn_tiny_twin_30_flak)</t>
        </is>
      </c>
      <c r="G46" t="inlineStr"/>
    </row>
    <row r="47">
      <c r="A47" t="inlineStr">
        <is>
          <t>p26_leviathan_direct_lev127</t>
        </is>
      </c>
      <c r="B47" t="n">
        <v>380</v>
      </c>
      <c r="C47" t="n">
        <v>5</v>
      </c>
      <c r="D47" t="b">
        <v>0</v>
      </c>
      <c r="E47" t="n">
        <v>0</v>
      </c>
      <c r="F47" t="inlineStr">
        <is>
          <t>01_chien_dau/Vu_khi (id p26_leviathan_direct_lev127)</t>
        </is>
      </c>
      <c r="G47" t="inlineStr"/>
    </row>
    <row r="48">
      <c r="A48" t="inlineStr">
        <is>
          <t>p26_leviathan_lev406</t>
        </is>
      </c>
      <c r="B48" t="n">
        <v>2400</v>
      </c>
      <c r="C48" t="n">
        <v>4</v>
      </c>
      <c r="D48" t="b">
        <v>1</v>
      </c>
      <c r="E48" t="n">
        <v>14</v>
      </c>
      <c r="F48" t="inlineStr">
        <is>
          <t>01_chien_dau/Vu_khi (id p26_leviathan_lev406)</t>
        </is>
      </c>
      <c r="G48" t="inlineStr"/>
    </row>
    <row r="49">
      <c r="A49" t="inlineStr">
        <is>
          <t>p26_leviathan_sec_lev155</t>
        </is>
      </c>
      <c r="B49" t="n">
        <v>600</v>
      </c>
      <c r="C49" t="n">
        <v>3</v>
      </c>
      <c r="D49" t="b">
        <v>0</v>
      </c>
      <c r="E49" t="n">
        <v>7</v>
      </c>
      <c r="F49" t="inlineStr">
        <is>
          <t>01_chien_dau/Vu_khi (id p26_leviathan_sec_lev155)</t>
        </is>
      </c>
      <c r="G49" t="inlineStr"/>
    </row>
    <row r="50">
      <c r="A50" t="inlineStr">
        <is>
          <t>p26_matriarch_close_boss_flak</t>
        </is>
      </c>
      <c r="B50" t="n">
        <v>25</v>
      </c>
      <c r="C50" t="n">
        <v>2</v>
      </c>
      <c r="D50" t="b">
        <v>0</v>
      </c>
      <c r="E50" t="n">
        <v>2.5</v>
      </c>
      <c r="F50" t="inlineStr">
        <is>
          <t>01_chien_dau/Vu_khi (id p26_matriarch_close_boss_flak)</t>
        </is>
      </c>
      <c r="G50" t="inlineStr"/>
    </row>
    <row r="51">
      <c r="A51" t="inlineStr">
        <is>
          <t>p26_matriarch_direct_ma_atgm</t>
        </is>
      </c>
      <c r="B51" t="n">
        <v>230</v>
      </c>
      <c r="C51" t="n">
        <v>5</v>
      </c>
      <c r="D51" t="b">
        <v>0</v>
      </c>
      <c r="E51" t="n">
        <v>0</v>
      </c>
      <c r="F51" t="inlineStr">
        <is>
          <t>01_chien_dau/Vu_khi (id p26_matriarch_direct_ma_atgm)</t>
        </is>
      </c>
      <c r="G51" t="inlineStr"/>
    </row>
    <row r="52">
      <c r="A52" t="inlineStr">
        <is>
          <t>p26_matriarch_ma_drones</t>
        </is>
      </c>
      <c r="B52" t="n">
        <v>320</v>
      </c>
      <c r="C52" t="n">
        <v>4</v>
      </c>
      <c r="D52" t="b">
        <v>0</v>
      </c>
      <c r="E52" t="n">
        <v>3</v>
      </c>
      <c r="F52" t="inlineStr">
        <is>
          <t>01_chien_dau/Vu_khi (id p26_matriarch_ma_drones)</t>
        </is>
      </c>
      <c r="G52" t="inlineStr"/>
    </row>
    <row r="53">
      <c r="A53" t="inlineStr">
        <is>
          <t>p26_matriarch_sec_autocannon_30</t>
        </is>
      </c>
      <c r="B53" t="n">
        <v>22</v>
      </c>
      <c r="C53" t="n">
        <v>2</v>
      </c>
      <c r="D53" t="b">
        <v>0</v>
      </c>
      <c r="E53" t="n">
        <v>0</v>
      </c>
      <c r="F53" t="inlineStr">
        <is>
          <t>01_chien_dau/Vu_khi (id p26_matriarch_sec_autocannon_30)</t>
        </is>
      </c>
      <c r="G53" t="inlineStr"/>
    </row>
    <row r="54">
      <c r="A54" t="inlineStr">
        <is>
          <t>p26_matriarch_tiny_mothership_cannon</t>
        </is>
      </c>
      <c r="B54" t="n">
        <v>120</v>
      </c>
      <c r="C54" t="n">
        <v>2</v>
      </c>
      <c r="D54" t="b">
        <v>0</v>
      </c>
      <c r="E54" t="n">
        <v>3</v>
      </c>
      <c r="F54" t="inlineStr">
        <is>
          <t>01_chien_dau/Vu_khi (id p26_matriarch_tiny_mothership_cannon)</t>
        </is>
      </c>
      <c r="G54" t="inlineStr"/>
    </row>
    <row r="55">
      <c r="A55" t="inlineStr">
        <is>
          <t>p26_moloch_close_boss_flak</t>
        </is>
      </c>
      <c r="B55" t="n">
        <v>25</v>
      </c>
      <c r="C55" t="n">
        <v>2</v>
      </c>
      <c r="D55" t="b">
        <v>0</v>
      </c>
      <c r="E55" t="n">
        <v>2.5</v>
      </c>
      <c r="F55" t="inlineStr">
        <is>
          <t>01_chien_dau/Vu_khi (id p26_moloch_close_boss_flak)</t>
        </is>
      </c>
      <c r="G55" t="inlineStr"/>
    </row>
    <row r="56">
      <c r="A56" t="inlineStr">
        <is>
          <t>p26_moloch_direct_mo120ap</t>
        </is>
      </c>
      <c r="B56" t="n">
        <v>260</v>
      </c>
      <c r="C56" t="n">
        <v>5</v>
      </c>
      <c r="D56" t="b">
        <v>0</v>
      </c>
      <c r="E56" t="n">
        <v>0</v>
      </c>
      <c r="F56" t="inlineStr">
        <is>
          <t>01_chien_dau/Vu_khi (id p26_moloch_direct_mo120ap)</t>
        </is>
      </c>
      <c r="G56" t="inlineStr"/>
    </row>
    <row r="57">
      <c r="A57" t="inlineStr">
        <is>
          <t>p26_moloch_main_mo120</t>
        </is>
      </c>
      <c r="B57" t="n">
        <v>340</v>
      </c>
      <c r="C57" t="n">
        <v>4</v>
      </c>
      <c r="D57" t="b">
        <v>0</v>
      </c>
      <c r="E57" t="n">
        <v>5</v>
      </c>
      <c r="F57" t="inlineStr">
        <is>
          <t>01_chien_dau/Vu_khi (id p26_moloch_main_mo120)</t>
        </is>
      </c>
      <c r="G57" t="inlineStr"/>
    </row>
    <row r="58">
      <c r="A58" t="inlineStr">
        <is>
          <t>p26_moloch_tiny_zu23</t>
        </is>
      </c>
      <c r="B58" t="n">
        <v>3.5</v>
      </c>
      <c r="C58" t="n">
        <v>1</v>
      </c>
      <c r="D58" t="b">
        <v>0</v>
      </c>
      <c r="E58" t="n">
        <v>0</v>
      </c>
      <c r="F58" t="inlineStr">
        <is>
          <t>01_chien_dau/Vu_khi (id p26_moloch_tiny_zu23)</t>
        </is>
      </c>
      <c r="G58" t="inlineStr"/>
    </row>
    <row r="59">
      <c r="A59" t="inlineStr">
        <is>
          <t>p26_nemesis_close_boss_flak</t>
        </is>
      </c>
      <c r="B59" t="n">
        <v>25</v>
      </c>
      <c r="C59" t="n">
        <v>2</v>
      </c>
      <c r="D59" t="b">
        <v>0</v>
      </c>
      <c r="E59" t="n">
        <v>2.5</v>
      </c>
      <c r="F59" t="inlineStr">
        <is>
          <t>01_chien_dau/Vu_khi (id p26_nemesis_close_boss_flak)</t>
        </is>
      </c>
      <c r="G59" t="inlineStr"/>
    </row>
    <row r="60">
      <c r="A60" t="inlineStr">
        <is>
          <t>p26_nemesis_direct_ne125</t>
        </is>
      </c>
      <c r="B60" t="n">
        <v>400</v>
      </c>
      <c r="C60" t="n">
        <v>5</v>
      </c>
      <c r="D60" t="b">
        <v>0</v>
      </c>
      <c r="E60" t="n">
        <v>0</v>
      </c>
      <c r="F60" t="inlineStr">
        <is>
          <t>01_chien_dau/Vu_khi (id p26_nemesis_direct_ne125)</t>
        </is>
      </c>
      <c r="G60" t="inlineStr"/>
    </row>
    <row r="61">
      <c r="A61" t="inlineStr">
        <is>
          <t>p26_nemesis_main_ne152</t>
        </is>
      </c>
      <c r="B61" t="n">
        <v>600</v>
      </c>
      <c r="C61" t="n">
        <v>3</v>
      </c>
      <c r="D61" t="b">
        <v>0</v>
      </c>
      <c r="E61" t="n">
        <v>7</v>
      </c>
      <c r="F61" t="inlineStr">
        <is>
          <t>01_chien_dau/Vu_khi (id p26_nemesis_main_ne152)</t>
        </is>
      </c>
      <c r="G61" t="inlineStr"/>
    </row>
    <row r="62">
      <c r="A62" t="inlineStr">
        <is>
          <t>p26_nemesis_sec_boss_rockets</t>
        </is>
      </c>
      <c r="B62" t="n">
        <v>200</v>
      </c>
      <c r="C62" t="n">
        <v>2</v>
      </c>
      <c r="D62" t="b">
        <v>0</v>
      </c>
      <c r="E62" t="n">
        <v>4.5</v>
      </c>
      <c r="F62" t="inlineStr">
        <is>
          <t>01_chien_dau/Vu_khi (id p26_nemesis_sec_boss_rockets)</t>
        </is>
      </c>
      <c r="G62" t="inlineStr"/>
    </row>
    <row r="63">
      <c r="A63" t="inlineStr">
        <is>
          <t>p26_roc_close_twin_30_bmpt</t>
        </is>
      </c>
      <c r="B63" t="n">
        <v>22</v>
      </c>
      <c r="C63" t="n">
        <v>2</v>
      </c>
      <c r="D63" t="b">
        <v>0</v>
      </c>
      <c r="E63" t="n">
        <v>0</v>
      </c>
      <c r="F63" t="inlineStr">
        <is>
          <t>01_chien_dau/Vu_khi (id p26_roc_close_twin_30_bmpt)</t>
        </is>
      </c>
      <c r="G63" t="inlineStr"/>
    </row>
    <row r="64">
      <c r="A64" t="inlineStr">
        <is>
          <t>p26_roc_direct_roc_atgm</t>
        </is>
      </c>
      <c r="B64" t="n">
        <v>230</v>
      </c>
      <c r="C64" t="n">
        <v>5</v>
      </c>
      <c r="D64" t="b">
        <v>0</v>
      </c>
      <c r="E64" t="n">
        <v>0</v>
      </c>
      <c r="F64" t="inlineStr">
        <is>
          <t>01_chien_dau/Vu_khi (id p26_roc_direct_roc_atgm)</t>
        </is>
      </c>
      <c r="G64" t="inlineStr"/>
    </row>
    <row r="65">
      <c r="A65" t="inlineStr">
        <is>
          <t>p26_roc_main_roc_bombs</t>
        </is>
      </c>
      <c r="B65" t="n">
        <v>700</v>
      </c>
      <c r="C65" t="n">
        <v>4</v>
      </c>
      <c r="D65" t="b">
        <v>0</v>
      </c>
      <c r="E65" t="n">
        <v>10</v>
      </c>
      <c r="F65" t="inlineStr">
        <is>
          <t>01_chien_dau/Vu_khi (id p26_roc_main_roc_bombs)</t>
        </is>
      </c>
      <c r="G65" t="inlineStr"/>
    </row>
    <row r="66">
      <c r="A66" t="inlineStr">
        <is>
          <t>p26_roc_roc105</t>
        </is>
      </c>
      <c r="B66" t="n">
        <v>300</v>
      </c>
      <c r="C66" t="n">
        <v>2</v>
      </c>
      <c r="D66" t="b">
        <v>0</v>
      </c>
      <c r="E66" t="n">
        <v>5</v>
      </c>
      <c r="F66" t="inlineStr">
        <is>
          <t>01_chien_dau/Vu_khi (id p26_roc_roc105)</t>
        </is>
      </c>
      <c r="G66" t="inlineStr"/>
    </row>
    <row r="67">
      <c r="A67" t="inlineStr">
        <is>
          <t>p26_typhon_direct_ty100</t>
        </is>
      </c>
      <c r="B67" t="n">
        <v>300</v>
      </c>
      <c r="C67" t="n">
        <v>4</v>
      </c>
      <c r="D67" t="b">
        <v>0</v>
      </c>
      <c r="E67" t="n">
        <v>5</v>
      </c>
      <c r="F67" t="inlineStr">
        <is>
          <t>01_chien_dau/Vu_khi (id p26_typhon_direct_ty100)</t>
        </is>
      </c>
      <c r="G67" t="inlineStr"/>
    </row>
    <row r="68">
      <c r="A68" t="inlineStr">
        <is>
          <t>p26_typhon_sec_ty57</t>
        </is>
      </c>
      <c r="B68" t="n">
        <v>120</v>
      </c>
      <c r="C68" t="n">
        <v>3</v>
      </c>
      <c r="D68" t="b">
        <v>0</v>
      </c>
      <c r="E68" t="n">
        <v>3</v>
      </c>
      <c r="F68" t="inlineStr">
        <is>
          <t>01_chien_dau/Vu_khi (id p26_typhon_sec_ty57)</t>
        </is>
      </c>
      <c r="G68" t="inlineStr"/>
    </row>
    <row r="69">
      <c r="A69" t="inlineStr">
        <is>
          <t>sam_battery</t>
        </is>
      </c>
      <c r="B69" t="n">
        <v>340</v>
      </c>
      <c r="C69" t="n">
        <v>3</v>
      </c>
      <c r="D69" t="b">
        <v>0</v>
      </c>
      <c r="E69" t="n">
        <v>2.5</v>
      </c>
      <c r="F69" t="inlineStr">
        <is>
          <t>01_chien_dau/Vu_khi (id sam_battery)</t>
        </is>
      </c>
      <c r="G69" t="inlineStr"/>
    </row>
    <row r="70">
      <c r="A70" t="inlineStr">
        <is>
          <t>sam_post</t>
        </is>
      </c>
      <c r="B70" t="n">
        <v>320</v>
      </c>
      <c r="C70" t="n">
        <v>3</v>
      </c>
      <c r="D70" t="b">
        <v>0</v>
      </c>
      <c r="E70" t="n">
        <v>2</v>
      </c>
      <c r="F70" t="inlineStr">
        <is>
          <t>01_chien_dau/Vu_khi (id sam_post)</t>
        </is>
      </c>
      <c r="G70" t="inlineStr"/>
    </row>
    <row r="71">
      <c r="A71" t="inlineStr">
        <is>
          <t>train_gun</t>
        </is>
      </c>
      <c r="B71" t="n">
        <v>600</v>
      </c>
      <c r="C71" t="n">
        <v>4</v>
      </c>
      <c r="D71" t="b">
        <v>0</v>
      </c>
      <c r="E71" t="n">
        <v>2.5</v>
      </c>
      <c r="F71" t="inlineStr">
        <is>
          <t>01_chien_dau/Vu_khi (id train_gun)</t>
        </is>
      </c>
      <c r="G71" t="inlineStr"/>
    </row>
  </sheetData>
  <autoFilter ref="A1:G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0.5</v>
      </c>
      <c r="G2" t="n">
        <v>0.1</v>
      </c>
      <c r="H2" t="n">
        <v>0</v>
      </c>
      <c r="I2" t="inlineStr">
        <is>
          <t>01_chien_dau/Vu_khi_suy_ra (id aa_25_triple)</t>
        </is>
      </c>
      <c r="J2" t="inlineStr"/>
    </row>
    <row r="3">
      <c r="A3" t="inlineStr">
        <is>
          <t>borer_cannon</t>
        </is>
      </c>
      <c r="B3" t="n">
        <v>20</v>
      </c>
      <c r="C3" t="n">
        <v>6</v>
      </c>
      <c r="D3" t="b">
        <v>0</v>
      </c>
      <c r="E3" t="b">
        <v>1</v>
      </c>
      <c r="F3" t="n">
        <v>1</v>
      </c>
      <c r="G3" t="n">
        <v>0.6</v>
      </c>
      <c r="H3" t="n">
        <v>0</v>
      </c>
      <c r="I3" t="inlineStr">
        <is>
          <t>01_chien_dau/Vu_khi_suy_ra (id borer_cannon)</t>
        </is>
      </c>
      <c r="J3" t="inlineStr"/>
    </row>
    <row r="4">
      <c r="A4" t="inlineStr">
        <is>
          <t>borer_drill</t>
        </is>
      </c>
      <c r="B4" t="n">
        <v>173.3333333333333</v>
      </c>
      <c r="C4" t="n">
        <v>1.5</v>
      </c>
      <c r="D4" t="b">
        <v>0</v>
      </c>
      <c r="E4" t="b">
        <v>1</v>
      </c>
      <c r="F4" t="n">
        <v>1</v>
      </c>
      <c r="G4" t="n">
        <v>0.6</v>
      </c>
      <c r="H4" t="n">
        <v>0</v>
      </c>
      <c r="I4" t="inlineStr">
        <is>
          <t>01_chien_dau/Vu_khi_suy_ra (id borer_drill)</t>
        </is>
      </c>
      <c r="J4" t="inlineStr"/>
    </row>
    <row r="5">
      <c r="A5" t="inlineStr">
        <is>
          <t>boss_flak</t>
        </is>
      </c>
      <c r="B5" t="n">
        <v>190.5204460966543</v>
      </c>
      <c r="C5" t="n">
        <v>5.38</v>
      </c>
      <c r="D5" t="b">
        <v>0</v>
      </c>
      <c r="E5" t="b">
        <v>1</v>
      </c>
      <c r="F5" t="n">
        <v>0.5</v>
      </c>
      <c r="G5" t="n">
        <v>0.1</v>
      </c>
      <c r="H5" t="n">
        <v>0</v>
      </c>
      <c r="I5" t="inlineStr">
        <is>
          <t>01_chien_dau/Vu_khi_suy_ra (id boss_flak)</t>
        </is>
      </c>
      <c r="J5" t="inlineStr"/>
    </row>
    <row r="6">
      <c r="A6" t="inlineStr">
        <is>
          <t>boss_flamer</t>
        </is>
      </c>
      <c r="B6" t="n">
        <v>120</v>
      </c>
      <c r="C6" t="n">
        <v>0.25</v>
      </c>
      <c r="D6" t="b">
        <v>0</v>
      </c>
      <c r="E6" t="b">
        <v>1</v>
      </c>
      <c r="F6" t="n">
        <v>1.5</v>
      </c>
      <c r="G6" t="n">
        <v>1</v>
      </c>
      <c r="H6" t="n">
        <v>0</v>
      </c>
      <c r="I6" t="inlineStr">
        <is>
          <t>01_chien_dau/Vu_khi_suy_ra (id boss_flamer)</t>
        </is>
      </c>
      <c r="J6" t="inlineStr"/>
    </row>
    <row r="7">
      <c r="A7" t="inlineStr">
        <is>
          <t>boss_heli_gun</t>
        </is>
      </c>
      <c r="B7" t="n">
        <v>91.01910366869048</v>
      </c>
      <c r="C7" t="n">
        <v>9.668299999999999</v>
      </c>
      <c r="D7" t="b">
        <v>0</v>
      </c>
      <c r="E7" t="b">
        <v>1</v>
      </c>
      <c r="F7" t="n">
        <v>1</v>
      </c>
      <c r="G7" t="n">
        <v>0.6</v>
      </c>
      <c r="H7" t="n">
        <v>0</v>
      </c>
      <c r="I7" t="inlineStr">
        <is>
          <t>01_chien_dau/Vu_khi_suy_ra (id boss_heli_gun)</t>
        </is>
      </c>
      <c r="J7" t="inlineStr"/>
    </row>
    <row r="8">
      <c r="A8" t="inlineStr">
        <is>
          <t>boss_hmg</t>
        </is>
      </c>
      <c r="B8" t="n">
        <v>113.235749280953</v>
      </c>
      <c r="C8" t="n">
        <v>13.2467</v>
      </c>
      <c r="D8" t="b">
        <v>0</v>
      </c>
      <c r="E8" t="b">
        <v>1</v>
      </c>
      <c r="F8" t="n">
        <v>1</v>
      </c>
      <c r="G8" t="n">
        <v>0.6</v>
      </c>
      <c r="H8" t="n">
        <v>0</v>
      </c>
      <c r="I8" t="inlineStr">
        <is>
          <t>01_chien_dau/Vu_khi_suy_ra (id boss_hmg)</t>
        </is>
      </c>
      <c r="J8" t="inlineStr"/>
    </row>
    <row r="9">
      <c r="A9" t="inlineStr">
        <is>
          <t>boss_minigun</t>
        </is>
      </c>
      <c r="B9" t="n">
        <v>32.54052774819548</v>
      </c>
      <c r="C9" t="n">
        <v>6.7608</v>
      </c>
      <c r="D9" t="b">
        <v>0</v>
      </c>
      <c r="E9" t="b">
        <v>1</v>
      </c>
      <c r="F9" t="n">
        <v>1</v>
      </c>
      <c r="G9" t="n">
        <v>0.6</v>
      </c>
      <c r="H9" t="n">
        <v>0</v>
      </c>
      <c r="I9" t="inlineStr">
        <is>
          <t>01_chien_dau/Vu_khi_suy_ra (id boss_minigun)</t>
        </is>
      </c>
      <c r="J9" t="inlineStr"/>
    </row>
    <row r="10">
      <c r="A10" t="inlineStr">
        <is>
          <t>boss_railgun</t>
        </is>
      </c>
      <c r="B10" t="n">
        <v>90</v>
      </c>
      <c r="C10" t="n">
        <v>8</v>
      </c>
      <c r="D10" t="b">
        <v>0</v>
      </c>
      <c r="E10" t="b">
        <v>1</v>
      </c>
      <c r="F10" t="n">
        <v>1</v>
      </c>
      <c r="G10" t="n">
        <v>0.6</v>
      </c>
      <c r="H10" t="n">
        <v>0</v>
      </c>
      <c r="I10" t="inlineStr">
        <is>
          <t>01_chien_dau/Vu_khi_suy_ra (id boss_railgun)</t>
        </is>
      </c>
      <c r="J10" t="inlineStr"/>
    </row>
    <row r="11">
      <c r="A11" t="inlineStr">
        <is>
          <t>boss_rockets</t>
        </is>
      </c>
      <c r="B11" t="n">
        <v>308.0568720379147</v>
      </c>
      <c r="C11" t="n">
        <v>8.44</v>
      </c>
      <c r="D11" t="b">
        <v>0</v>
      </c>
      <c r="E11" t="b">
        <v>1</v>
      </c>
      <c r="F11" t="n">
        <v>1</v>
      </c>
      <c r="G11" t="n">
        <v>1.5</v>
      </c>
      <c r="H11" t="n">
        <v>0</v>
      </c>
      <c r="I11" t="inlineStr">
        <is>
          <t>01_chien_dau/Vu_khi_suy_ra (id boss_rockets)</t>
        </is>
      </c>
      <c r="J11" t="inlineStr"/>
    </row>
    <row r="12">
      <c r="A12" t="inlineStr">
        <is>
          <t>boss_thermo</t>
        </is>
      </c>
      <c r="B12" t="n">
        <v>46.52278177458034</v>
      </c>
      <c r="C12" t="n">
        <v>6.255</v>
      </c>
      <c r="D12" t="b">
        <v>0</v>
      </c>
      <c r="E12" t="b">
        <v>1</v>
      </c>
      <c r="F12" t="n">
        <v>1</v>
      </c>
      <c r="G12" t="n">
        <v>2</v>
      </c>
      <c r="H12" t="n">
        <v>0</v>
      </c>
      <c r="I12" t="inlineStr">
        <is>
          <t>01_chien_dau/Vu_khi_suy_ra (id boss_thermo)</t>
        </is>
      </c>
      <c r="J12" t="inlineStr"/>
    </row>
    <row r="13">
      <c r="A13" t="inlineStr">
        <is>
          <t>ciws_aa</t>
        </is>
      </c>
      <c r="B13" t="n">
        <v>119.9600133288904</v>
      </c>
      <c r="C13" t="n">
        <v>6.002</v>
      </c>
      <c r="D13" t="b">
        <v>0</v>
      </c>
      <c r="E13" t="b">
        <v>0</v>
      </c>
      <c r="F13" t="n">
        <v>1</v>
      </c>
      <c r="G13" t="n">
        <v>0.6</v>
      </c>
      <c r="H13" t="n">
        <v>0</v>
      </c>
      <c r="I13" t="inlineStr">
        <is>
          <t>01_chien_dau/Vu_khi_suy_ra (id ciws_aa)</t>
        </is>
      </c>
      <c r="J13" t="inlineStr"/>
    </row>
    <row r="14">
      <c r="A14" t="inlineStr">
        <is>
          <t>coilgun</t>
        </is>
      </c>
      <c r="B14" t="n">
        <v>104.384133611691</v>
      </c>
      <c r="C14" t="n">
        <v>4.79</v>
      </c>
      <c r="D14" t="b">
        <v>0</v>
      </c>
      <c r="E14" t="b">
        <v>1</v>
      </c>
      <c r="F14" t="n">
        <v>1</v>
      </c>
      <c r="G14" t="n">
        <v>0.6</v>
      </c>
      <c r="H14" t="n">
        <v>0</v>
      </c>
      <c r="I14" t="inlineStr">
        <is>
          <t>01_chien_dau/Vu_khi_suy_ra (id coilgun)</t>
        </is>
      </c>
      <c r="J14" t="inlineStr"/>
    </row>
    <row r="15">
      <c r="A15" t="inlineStr">
        <is>
          <t>gunship_rockets</t>
        </is>
      </c>
      <c r="B15" t="n">
        <v>52.39995906253198</v>
      </c>
      <c r="C15" t="n">
        <v>9.771000000000001</v>
      </c>
      <c r="D15" t="b">
        <v>0</v>
      </c>
      <c r="E15" t="b">
        <v>1</v>
      </c>
      <c r="F15" t="n">
        <v>1</v>
      </c>
      <c r="G15" t="n">
        <v>1.5</v>
      </c>
      <c r="H15" t="n">
        <v>0</v>
      </c>
      <c r="I15" t="inlineStr">
        <is>
          <t>01_chien_dau/Vu_khi_suy_ra (id gunship_rockets)</t>
        </is>
      </c>
      <c r="J15" t="inlineStr"/>
    </row>
    <row r="16">
      <c r="A16" t="inlineStr">
        <is>
          <t>hover_ciws</t>
        </is>
      </c>
      <c r="B16" t="n">
        <v>119.9600133288904</v>
      </c>
      <c r="C16" t="n">
        <v>6.002</v>
      </c>
      <c r="D16" t="b">
        <v>0</v>
      </c>
      <c r="E16" t="b">
        <v>1</v>
      </c>
      <c r="F16" t="n">
        <v>1</v>
      </c>
      <c r="G16" t="n">
        <v>0.6</v>
      </c>
      <c r="H16" t="n">
        <v>0</v>
      </c>
      <c r="I16" t="inlineStr">
        <is>
          <t>01_chien_dau/Vu_khi_suy_ra (id hover_ciws)</t>
        </is>
      </c>
      <c r="J16" t="inlineStr"/>
    </row>
    <row r="17">
      <c r="A17" t="inlineStr">
        <is>
          <t>hover_rockets</t>
        </is>
      </c>
      <c r="B17" t="n">
        <v>26.48148148148148</v>
      </c>
      <c r="C17" t="n">
        <v>27</v>
      </c>
      <c r="D17" t="b">
        <v>1</v>
      </c>
      <c r="E17" t="b">
        <v>1</v>
      </c>
      <c r="F17" t="n">
        <v>1</v>
      </c>
      <c r="G17" t="n">
        <v>1.5</v>
      </c>
      <c r="H17" t="n">
        <v>0</v>
      </c>
      <c r="I17" t="inlineStr">
        <is>
          <t>01_chien_dau/Vu_khi_suy_ra (id hover_rockets)</t>
        </is>
      </c>
      <c r="J17" t="inlineStr"/>
    </row>
    <row r="18">
      <c r="A18" t="inlineStr">
        <is>
          <t>locust_drones</t>
        </is>
      </c>
      <c r="B18" t="n">
        <v>160</v>
      </c>
      <c r="C18" t="n">
        <v>2</v>
      </c>
      <c r="D18" t="b">
        <v>1</v>
      </c>
      <c r="E18" t="b">
        <v>1</v>
      </c>
      <c r="F18" t="n">
        <v>1</v>
      </c>
      <c r="G18" t="n">
        <v>0.6</v>
      </c>
      <c r="H18" t="n">
        <v>0</v>
      </c>
      <c r="I18" t="inlineStr">
        <is>
          <t>01_chien_dau/Vu_khi_suy_ra (id locust_drones)</t>
        </is>
      </c>
      <c r="J18" t="inlineStr"/>
    </row>
    <row r="19">
      <c r="A19" t="inlineStr">
        <is>
          <t>naval_130_twin</t>
        </is>
      </c>
      <c r="B19" t="n">
        <v>253.3333333333333</v>
      </c>
      <c r="C19" t="n">
        <v>3</v>
      </c>
      <c r="D19" t="b">
        <v>0</v>
      </c>
      <c r="E19" t="b">
        <v>1</v>
      </c>
      <c r="F19" t="n">
        <v>1</v>
      </c>
      <c r="G19" t="n">
        <v>1.5</v>
      </c>
      <c r="H19" t="n">
        <v>0</v>
      </c>
      <c r="I19" t="inlineStr">
        <is>
          <t>01_chien_dau/Vu_khi_suy_ra (id naval_130_twin)</t>
        </is>
      </c>
      <c r="J19" t="inlineStr"/>
    </row>
    <row r="20">
      <c r="A20" t="inlineStr">
        <is>
          <t>p26_bastion_close_boss_hmg</t>
        </is>
      </c>
      <c r="B20" t="n">
        <v>113.235749280953</v>
      </c>
      <c r="C20" t="n">
        <v>13.2467</v>
      </c>
      <c r="D20" t="b">
        <v>0</v>
      </c>
      <c r="E20" t="b">
        <v>1</v>
      </c>
      <c r="F20" t="n">
        <v>1</v>
      </c>
      <c r="G20" t="n">
        <v>0.6</v>
      </c>
      <c r="H20" t="n">
        <v>0</v>
      </c>
      <c r="I20" t="inlineStr">
        <is>
          <t>01_chien_dau/Vu_khi_suy_ra (id p26_bastion_close_boss_hmg)</t>
        </is>
      </c>
      <c r="J20" t="inlineStr"/>
    </row>
    <row r="21">
      <c r="A21" t="inlineStr">
        <is>
          <t>p26_bastion_direct_b100</t>
        </is>
      </c>
      <c r="B21" t="n">
        <v>55.81395348837209</v>
      </c>
      <c r="C21" t="n">
        <v>8.6</v>
      </c>
      <c r="D21" t="b">
        <v>0</v>
      </c>
      <c r="E21" t="b">
        <v>1</v>
      </c>
      <c r="F21" t="n">
        <v>1</v>
      </c>
      <c r="G21" t="n">
        <v>0.6</v>
      </c>
      <c r="H21" t="n">
        <v>0</v>
      </c>
      <c r="I21" t="inlineStr">
        <is>
          <t>01_chien_dau/Vu_khi_suy_ra (id p26_bastion_direct_b100)</t>
        </is>
      </c>
      <c r="J21" t="inlineStr"/>
    </row>
    <row r="22">
      <c r="A22" t="inlineStr">
        <is>
          <t>p26_bastion_main_b155</t>
        </is>
      </c>
      <c r="B22" t="n">
        <v>40</v>
      </c>
      <c r="C22" t="n">
        <v>15</v>
      </c>
      <c r="D22" t="b">
        <v>1</v>
      </c>
      <c r="E22" t="b">
        <v>1</v>
      </c>
      <c r="F22" t="n">
        <v>1</v>
      </c>
      <c r="G22" t="n">
        <v>1.5</v>
      </c>
      <c r="H22" t="n">
        <v>0</v>
      </c>
      <c r="I22" t="inlineStr">
        <is>
          <t>01_chien_dau/Vu_khi_suy_ra (id p26_bastion_main_b155)</t>
        </is>
      </c>
      <c r="J22" t="inlineStr"/>
    </row>
    <row r="23">
      <c r="A23" t="inlineStr">
        <is>
          <t>p26_bastion_sec_b240</t>
        </is>
      </c>
      <c r="B23" t="n">
        <v>18.33333333333333</v>
      </c>
      <c r="C23" t="n">
        <v>60</v>
      </c>
      <c r="D23" t="b">
        <v>1</v>
      </c>
      <c r="E23" t="b">
        <v>1</v>
      </c>
      <c r="F23" t="n">
        <v>1</v>
      </c>
      <c r="G23" t="n">
        <v>1.5</v>
      </c>
      <c r="H23" t="n">
        <v>2.722222222222222</v>
      </c>
      <c r="I23" t="inlineStr">
        <is>
          <t>01_chien_dau/Vu_khi_suy_ra (id p26_bastion_sec_b240)</t>
        </is>
      </c>
      <c r="J23" t="inlineStr"/>
    </row>
    <row r="24">
      <c r="A24" t="inlineStr">
        <is>
          <t>p26_bastion_tiny_autocannon_40</t>
        </is>
      </c>
      <c r="B24" t="n">
        <v>90.36144578313252</v>
      </c>
      <c r="C24" t="n">
        <v>3.32</v>
      </c>
      <c r="D24" t="b">
        <v>0</v>
      </c>
      <c r="E24" t="b">
        <v>1</v>
      </c>
      <c r="F24" t="n">
        <v>1</v>
      </c>
      <c r="G24" t="n">
        <v>0.6</v>
      </c>
      <c r="H24" t="n">
        <v>0</v>
      </c>
      <c r="I24" t="inlineStr">
        <is>
          <t>01_chien_dau/Vu_khi_suy_ra (id p26_bastion_tiny_autocannon_40)</t>
        </is>
      </c>
      <c r="J24" t="inlineStr"/>
    </row>
    <row r="25">
      <c r="A25" t="inlineStr">
        <is>
          <t>p26_bastion_tiny_kornet_twin</t>
        </is>
      </c>
      <c r="B25" t="n">
        <v>23</v>
      </c>
      <c r="C25" t="n">
        <v>20</v>
      </c>
      <c r="D25" t="b">
        <v>0</v>
      </c>
      <c r="E25" t="b">
        <v>1</v>
      </c>
      <c r="F25" t="n">
        <v>1</v>
      </c>
      <c r="G25" t="n">
        <v>0.6</v>
      </c>
      <c r="H25" t="n">
        <v>0</v>
      </c>
      <c r="I25" t="inlineStr">
        <is>
          <t>01_chien_dau/Vu_khi_suy_ra (id p26_bastion_tiny_kornet_twin)</t>
        </is>
      </c>
      <c r="J25" t="inlineStr"/>
    </row>
    <row r="26">
      <c r="A26" t="inlineStr">
        <is>
          <t>p26_bastion_tiny_zu23</t>
        </is>
      </c>
      <c r="B26" t="n">
        <v>70.56451612903226</v>
      </c>
      <c r="C26" t="n">
        <v>4.96</v>
      </c>
      <c r="D26" t="b">
        <v>0</v>
      </c>
      <c r="E26" t="b">
        <v>1</v>
      </c>
      <c r="F26" t="n">
        <v>0.5</v>
      </c>
      <c r="G26" t="n">
        <v>0.1</v>
      </c>
      <c r="H26" t="n">
        <v>0</v>
      </c>
      <c r="I26" t="inlineStr">
        <is>
          <t>01_chien_dau/Vu_khi_suy_ra (id p26_bastion_tiny_zu23)</t>
        </is>
      </c>
      <c r="J26" t="inlineStr"/>
    </row>
    <row r="27">
      <c r="A27" t="inlineStr">
        <is>
          <t>p26_behemoth_close_boss_flak</t>
        </is>
      </c>
      <c r="B27" t="n">
        <v>190.5204460966543</v>
      </c>
      <c r="C27" t="n">
        <v>5.38</v>
      </c>
      <c r="D27" t="b">
        <v>0</v>
      </c>
      <c r="E27" t="b">
        <v>1</v>
      </c>
      <c r="F27" t="n">
        <v>0.5</v>
      </c>
      <c r="G27" t="n">
        <v>0.1</v>
      </c>
      <c r="H27" t="n">
        <v>0</v>
      </c>
      <c r="I27" t="inlineStr">
        <is>
          <t>01_chien_dau/Vu_khi_suy_ra (id p26_behemoth_close_boss_flak)</t>
        </is>
      </c>
      <c r="J27" t="inlineStr"/>
    </row>
    <row r="28">
      <c r="A28" t="inlineStr">
        <is>
          <t>p26_behemoth_direct_be120</t>
        </is>
      </c>
      <c r="B28" t="n">
        <v>69.33333333333333</v>
      </c>
      <c r="C28" t="n">
        <v>7.5</v>
      </c>
      <c r="D28" t="b">
        <v>0</v>
      </c>
      <c r="E28" t="b">
        <v>1</v>
      </c>
      <c r="F28" t="n">
        <v>1</v>
      </c>
      <c r="G28" t="n">
        <v>0.6</v>
      </c>
      <c r="H28" t="n">
        <v>0</v>
      </c>
      <c r="I28" t="inlineStr">
        <is>
          <t>01_chien_dau/Vu_khi_suy_ra (id p26_behemoth_direct_be120)</t>
        </is>
      </c>
      <c r="J28" t="inlineStr"/>
    </row>
    <row r="29">
      <c r="A29" t="inlineStr">
        <is>
          <t>p26_behemoth_main_be152</t>
        </is>
      </c>
      <c r="B29" t="n">
        <v>133.630289532294</v>
      </c>
      <c r="C29" t="n">
        <v>8.98</v>
      </c>
      <c r="D29" t="b">
        <v>0</v>
      </c>
      <c r="E29" t="b">
        <v>1</v>
      </c>
      <c r="F29" t="n">
        <v>1</v>
      </c>
      <c r="G29" t="n">
        <v>1.5</v>
      </c>
      <c r="H29" t="n">
        <v>0</v>
      </c>
      <c r="I29" t="inlineStr">
        <is>
          <t>01_chien_dau/Vu_khi_suy_ra (id p26_behemoth_main_be152)</t>
        </is>
      </c>
      <c r="J29" t="inlineStr"/>
    </row>
    <row r="30">
      <c r="A30" t="inlineStr">
        <is>
          <t>p26_behemoth_sec_be_rockets</t>
        </is>
      </c>
      <c r="B30" t="n">
        <v>364.6308113035551</v>
      </c>
      <c r="C30" t="n">
        <v>21.94</v>
      </c>
      <c r="D30" t="b">
        <v>0</v>
      </c>
      <c r="E30" t="b">
        <v>1</v>
      </c>
      <c r="F30" t="n">
        <v>1</v>
      </c>
      <c r="G30" t="n">
        <v>1.5</v>
      </c>
      <c r="H30" t="n">
        <v>0</v>
      </c>
      <c r="I30" t="inlineStr">
        <is>
          <t>01_chien_dau/Vu_khi_suy_ra (id p26_behemoth_sec_be_rockets)</t>
        </is>
      </c>
      <c r="J30" t="inlineStr"/>
    </row>
    <row r="31">
      <c r="A31" t="inlineStr">
        <is>
          <t>p26_behemoth_tiny_be120</t>
        </is>
      </c>
      <c r="B31" t="n">
        <v>34.66666666666666</v>
      </c>
      <c r="C31" t="n">
        <v>7.5</v>
      </c>
      <c r="D31" t="b">
        <v>0</v>
      </c>
      <c r="E31" t="b">
        <v>1</v>
      </c>
      <c r="F31" t="n">
        <v>1</v>
      </c>
      <c r="G31" t="n">
        <v>0.6</v>
      </c>
      <c r="H31" t="n">
        <v>0</v>
      </c>
      <c r="I31" t="inlineStr">
        <is>
          <t>01_chien_dau/Vu_khi_suy_ra (id p26_behemoth_tiny_be120)</t>
        </is>
      </c>
      <c r="J31" t="inlineStr"/>
    </row>
    <row r="32">
      <c r="A32" t="inlineStr">
        <is>
          <t>p26_behemoth_tiny_boss_missiles</t>
        </is>
      </c>
      <c r="B32" t="n">
        <v>11.5</v>
      </c>
      <c r="C32" t="n">
        <v>20</v>
      </c>
      <c r="D32" t="b">
        <v>0</v>
      </c>
      <c r="E32" t="b">
        <v>1</v>
      </c>
      <c r="F32" t="n">
        <v>1</v>
      </c>
      <c r="G32" t="n">
        <v>0.6</v>
      </c>
      <c r="H32" t="n">
        <v>0</v>
      </c>
      <c r="I32" t="inlineStr">
        <is>
          <t>01_chien_dau/Vu_khi_suy_ra (id p26_behemoth_tiny_boss_missiles)</t>
        </is>
      </c>
      <c r="J32" t="inlineStr"/>
    </row>
    <row r="33">
      <c r="A33" t="inlineStr">
        <is>
          <t>p26_behemoth_tiny_kornet_twin</t>
        </is>
      </c>
      <c r="B33" t="n">
        <v>23.71134020618557</v>
      </c>
      <c r="C33" t="n">
        <v>9.699999999999999</v>
      </c>
      <c r="D33" t="b">
        <v>0</v>
      </c>
      <c r="E33" t="b">
        <v>1</v>
      </c>
      <c r="F33" t="n">
        <v>1</v>
      </c>
      <c r="G33" t="n">
        <v>0.6</v>
      </c>
      <c r="H33" t="n">
        <v>0</v>
      </c>
      <c r="I33" t="inlineStr">
        <is>
          <t>01_chien_dau/Vu_khi_suy_ra (id p26_behemoth_tiny_kornet_twin)</t>
        </is>
      </c>
      <c r="J33" t="inlineStr"/>
    </row>
    <row r="34">
      <c r="A34" t="inlineStr">
        <is>
          <t>p26_daedalus_direct_dae_laser</t>
        </is>
      </c>
      <c r="B34" t="n">
        <v>165</v>
      </c>
      <c r="C34" t="n">
        <v>0.1</v>
      </c>
      <c r="D34" t="b">
        <v>0</v>
      </c>
      <c r="E34" t="b">
        <v>1</v>
      </c>
      <c r="F34" t="n">
        <v>1</v>
      </c>
      <c r="G34" t="n">
        <v>0.5</v>
      </c>
      <c r="H34" t="n">
        <v>0</v>
      </c>
      <c r="I34" t="inlineStr">
        <is>
          <t>01_chien_dau/Vu_khi_suy_ra (id p26_daedalus_direct_dae_laser)</t>
        </is>
      </c>
      <c r="J34" t="inlineStr"/>
    </row>
    <row r="35">
      <c r="A35" t="inlineStr">
        <is>
          <t>p26_daedalus_sec_dae57</t>
        </is>
      </c>
      <c r="B35" t="n">
        <v>223.7762237762238</v>
      </c>
      <c r="C35" t="n">
        <v>4.29</v>
      </c>
      <c r="D35" t="b">
        <v>0</v>
      </c>
      <c r="E35" t="b">
        <v>1</v>
      </c>
      <c r="F35" t="n">
        <v>1</v>
      </c>
      <c r="G35" t="n">
        <v>1.5</v>
      </c>
      <c r="H35" t="n">
        <v>0</v>
      </c>
      <c r="I35" t="inlineStr">
        <is>
          <t>01_chien_dau/Vu_khi_suy_ra (id p26_daedalus_sec_dae57)</t>
        </is>
      </c>
      <c r="J35" t="inlineStr"/>
    </row>
    <row r="36">
      <c r="A36" t="inlineStr">
        <is>
          <t>p26_icarus_close_autocannon_40</t>
        </is>
      </c>
      <c r="B36" t="n">
        <v>90.36144578313252</v>
      </c>
      <c r="C36" t="n">
        <v>3.32</v>
      </c>
      <c r="D36" t="b">
        <v>0</v>
      </c>
      <c r="E36" t="b">
        <v>1</v>
      </c>
      <c r="F36" t="n">
        <v>1</v>
      </c>
      <c r="G36" t="n">
        <v>0.6</v>
      </c>
      <c r="H36" t="n">
        <v>0</v>
      </c>
      <c r="I36" t="inlineStr">
        <is>
          <t>01_chien_dau/Vu_khi_suy_ra (id p26_icarus_close_autocannon_40)</t>
        </is>
      </c>
      <c r="J36" t="inlineStr"/>
    </row>
    <row r="37">
      <c r="A37" t="inlineStr">
        <is>
          <t>p26_icarus_direct_ic_laser</t>
        </is>
      </c>
      <c r="B37" t="n">
        <v>160</v>
      </c>
      <c r="C37" t="n">
        <v>0.1</v>
      </c>
      <c r="D37" t="b">
        <v>0</v>
      </c>
      <c r="E37" t="b">
        <v>1</v>
      </c>
      <c r="F37" t="n">
        <v>1</v>
      </c>
      <c r="G37" t="n">
        <v>0.5</v>
      </c>
      <c r="H37" t="n">
        <v>0</v>
      </c>
      <c r="I37" t="inlineStr">
        <is>
          <t>01_chien_dau/Vu_khi_suy_ra (id p26_icarus_direct_ic_laser)</t>
        </is>
      </c>
      <c r="J37" t="inlineStr"/>
    </row>
    <row r="38">
      <c r="A38" t="inlineStr">
        <is>
          <t>p26_icarus_main_ic_coil</t>
        </is>
      </c>
      <c r="B38" t="n">
        <v>300</v>
      </c>
      <c r="C38" t="n">
        <v>5</v>
      </c>
      <c r="D38" t="b">
        <v>0</v>
      </c>
      <c r="E38" t="b">
        <v>1</v>
      </c>
      <c r="F38" t="n">
        <v>1</v>
      </c>
      <c r="G38" t="n">
        <v>0.6</v>
      </c>
      <c r="H38" t="n">
        <v>0</v>
      </c>
      <c r="I38" t="inlineStr">
        <is>
          <t>01_chien_dau/Vu_khi_suy_ra (id p26_icarus_main_ic_coil)</t>
        </is>
      </c>
      <c r="J38" t="inlineStr"/>
    </row>
    <row r="39">
      <c r="A39" t="inlineStr">
        <is>
          <t>p26_icarus_sec_orbital_laser</t>
        </is>
      </c>
      <c r="B39" t="n">
        <v>400</v>
      </c>
      <c r="C39" t="n">
        <v>0.1</v>
      </c>
      <c r="D39" t="b">
        <v>0</v>
      </c>
      <c r="E39" t="b">
        <v>1</v>
      </c>
      <c r="F39" t="n">
        <v>1</v>
      </c>
      <c r="G39" t="n">
        <v>0.5</v>
      </c>
      <c r="H39" t="n">
        <v>0</v>
      </c>
      <c r="I39" t="inlineStr">
        <is>
          <t>01_chien_dau/Vu_khi_suy_ra (id p26_icarus_sec_orbital_laser)</t>
        </is>
      </c>
      <c r="J39" t="inlineStr"/>
    </row>
    <row r="40">
      <c r="A40" t="inlineStr">
        <is>
          <t>p26_ixion_125</t>
        </is>
      </c>
      <c r="B40" t="n">
        <v>53.33333333333334</v>
      </c>
      <c r="C40" t="n">
        <v>7.5</v>
      </c>
      <c r="D40" t="b">
        <v>0</v>
      </c>
      <c r="E40" t="b">
        <v>1</v>
      </c>
      <c r="F40" t="n">
        <v>1</v>
      </c>
      <c r="G40" t="n">
        <v>0.6</v>
      </c>
      <c r="H40" t="n">
        <v>0</v>
      </c>
      <c r="I40" t="inlineStr">
        <is>
          <t>01_chien_dau/Vu_khi_suy_ra (id p26_ixion_125)</t>
        </is>
      </c>
      <c r="J40" t="inlineStr"/>
    </row>
    <row r="41">
      <c r="A41" t="inlineStr">
        <is>
          <t>p26_ixion_mg</t>
        </is>
      </c>
      <c r="B41" t="n">
        <v>113.235749280953</v>
      </c>
      <c r="C41" t="n">
        <v>13.2467</v>
      </c>
      <c r="D41" t="b">
        <v>0</v>
      </c>
      <c r="E41" t="b">
        <v>1</v>
      </c>
      <c r="F41" t="n">
        <v>1</v>
      </c>
      <c r="G41" t="n">
        <v>0.6</v>
      </c>
      <c r="H41" t="n">
        <v>0</v>
      </c>
      <c r="I41" t="inlineStr">
        <is>
          <t>01_chien_dau/Vu_khi_suy_ra (id p26_ixion_mg)</t>
        </is>
      </c>
      <c r="J41" t="inlineStr"/>
    </row>
    <row r="42">
      <c r="A42" t="inlineStr">
        <is>
          <t>p26_jotunn_close_boss_flak</t>
        </is>
      </c>
      <c r="B42" t="n">
        <v>190.5204460966543</v>
      </c>
      <c r="C42" t="n">
        <v>5.38</v>
      </c>
      <c r="D42" t="b">
        <v>0</v>
      </c>
      <c r="E42" t="b">
        <v>1</v>
      </c>
      <c r="F42" t="n">
        <v>0.5</v>
      </c>
      <c r="G42" t="n">
        <v>0.1</v>
      </c>
      <c r="H42" t="n">
        <v>0</v>
      </c>
      <c r="I42" t="inlineStr">
        <is>
          <t>01_chien_dau/Vu_khi_suy_ra (id p26_jotunn_close_boss_flak)</t>
        </is>
      </c>
      <c r="J42" t="inlineStr"/>
    </row>
    <row r="43">
      <c r="A43" t="inlineStr">
        <is>
          <t>p26_jotunn_direct_jo125</t>
        </is>
      </c>
      <c r="B43" t="n">
        <v>53.33333333333334</v>
      </c>
      <c r="C43" t="n">
        <v>7.5</v>
      </c>
      <c r="D43" t="b">
        <v>0</v>
      </c>
      <c r="E43" t="b">
        <v>1</v>
      </c>
      <c r="F43" t="n">
        <v>1</v>
      </c>
      <c r="G43" t="n">
        <v>0.6</v>
      </c>
      <c r="H43" t="n">
        <v>0</v>
      </c>
      <c r="I43" t="inlineStr">
        <is>
          <t>01_chien_dau/Vu_khi_suy_ra (id p26_jotunn_direct_jo125)</t>
        </is>
      </c>
      <c r="J43" t="inlineStr"/>
    </row>
    <row r="44">
      <c r="A44" t="inlineStr">
        <is>
          <t>p26_jotunn_jo203</t>
        </is>
      </c>
      <c r="B44" t="n">
        <v>37.5</v>
      </c>
      <c r="C44" t="n">
        <v>24</v>
      </c>
      <c r="D44" t="b">
        <v>0</v>
      </c>
      <c r="E44" t="b">
        <v>1</v>
      </c>
      <c r="F44" t="n">
        <v>1</v>
      </c>
      <c r="G44" t="n">
        <v>1.5</v>
      </c>
      <c r="H44" t="n">
        <v>2.5</v>
      </c>
      <c r="I44" t="inlineStr">
        <is>
          <t>01_chien_dau/Vu_khi_suy_ra (id p26_jotunn_jo203)</t>
        </is>
      </c>
      <c r="J44" t="inlineStr"/>
    </row>
    <row r="45">
      <c r="A45" t="inlineStr">
        <is>
          <t>p26_jotunn_sec_jo_rockets</t>
        </is>
      </c>
      <c r="B45" t="n">
        <v>94.86166007905139</v>
      </c>
      <c r="C45" t="n">
        <v>37.95</v>
      </c>
      <c r="D45" t="b">
        <v>0</v>
      </c>
      <c r="E45" t="b">
        <v>1</v>
      </c>
      <c r="F45" t="n">
        <v>1</v>
      </c>
      <c r="G45" t="n">
        <v>1.5</v>
      </c>
      <c r="H45" t="n">
        <v>2.5</v>
      </c>
      <c r="I45" t="inlineStr">
        <is>
          <t>01_chien_dau/Vu_khi_suy_ra (id p26_jotunn_sec_jo_rockets)</t>
        </is>
      </c>
      <c r="J45" t="inlineStr"/>
    </row>
    <row r="46">
      <c r="A46" t="inlineStr">
        <is>
          <t>p26_jotunn_tiny_twin_30_flak</t>
        </is>
      </c>
      <c r="B46" t="n">
        <v>504.6594982078853</v>
      </c>
      <c r="C46" t="n">
        <v>6.975</v>
      </c>
      <c r="D46" t="b">
        <v>0</v>
      </c>
      <c r="E46" t="b">
        <v>1</v>
      </c>
      <c r="F46" t="n">
        <v>0.5</v>
      </c>
      <c r="G46" t="n">
        <v>0.1</v>
      </c>
      <c r="H46" t="n">
        <v>0</v>
      </c>
      <c r="I46" t="inlineStr">
        <is>
          <t>01_chien_dau/Vu_khi_suy_ra (id p26_jotunn_tiny_twin_30_flak)</t>
        </is>
      </c>
      <c r="J46" t="inlineStr"/>
    </row>
    <row r="47">
      <c r="A47" t="inlineStr">
        <is>
          <t>p26_leviathan_direct_lev127</t>
        </is>
      </c>
      <c r="B47" t="n">
        <v>126.6666666666667</v>
      </c>
      <c r="C47" t="n">
        <v>3</v>
      </c>
      <c r="D47" t="b">
        <v>0</v>
      </c>
      <c r="E47" t="b">
        <v>1</v>
      </c>
      <c r="F47" t="n">
        <v>1</v>
      </c>
      <c r="G47" t="n">
        <v>0.6</v>
      </c>
      <c r="H47" t="n">
        <v>0</v>
      </c>
      <c r="I47" t="inlineStr">
        <is>
          <t>01_chien_dau/Vu_khi_suy_ra (id p26_leviathan_direct_lev127)</t>
        </is>
      </c>
      <c r="J47" t="inlineStr"/>
    </row>
    <row r="48">
      <c r="A48" t="inlineStr">
        <is>
          <t>p26_leviathan_lev406</t>
        </is>
      </c>
      <c r="B48" t="n">
        <v>120</v>
      </c>
      <c r="C48" t="n">
        <v>60</v>
      </c>
      <c r="D48" t="b">
        <v>0</v>
      </c>
      <c r="E48" t="b">
        <v>1</v>
      </c>
      <c r="F48" t="n">
        <v>1</v>
      </c>
      <c r="G48" t="n">
        <v>1.5</v>
      </c>
      <c r="H48" t="n">
        <v>3.611111111111111</v>
      </c>
      <c r="I48" t="inlineStr">
        <is>
          <t>01_chien_dau/Vu_khi_suy_ra (id p26_leviathan_lev406)</t>
        </is>
      </c>
      <c r="J48" t="inlineStr"/>
    </row>
    <row r="49">
      <c r="A49" t="inlineStr">
        <is>
          <t>p26_leviathan_sec_lev155</t>
        </is>
      </c>
      <c r="B49" t="n">
        <v>171.4285714285714</v>
      </c>
      <c r="C49" t="n">
        <v>10.5</v>
      </c>
      <c r="D49" t="b">
        <v>0</v>
      </c>
      <c r="E49" t="b">
        <v>1</v>
      </c>
      <c r="F49" t="n">
        <v>1</v>
      </c>
      <c r="G49" t="n">
        <v>1.5</v>
      </c>
      <c r="H49" t="n">
        <v>0</v>
      </c>
      <c r="I49" t="inlineStr">
        <is>
          <t>01_chien_dau/Vu_khi_suy_ra (id p26_leviathan_sec_lev155)</t>
        </is>
      </c>
      <c r="J49" t="inlineStr"/>
    </row>
    <row r="50">
      <c r="A50" t="inlineStr">
        <is>
          <t>p26_matriarch_close_boss_flak</t>
        </is>
      </c>
      <c r="B50" t="n">
        <v>190.5204460966543</v>
      </c>
      <c r="C50" t="n">
        <v>5.38</v>
      </c>
      <c r="D50" t="b">
        <v>0</v>
      </c>
      <c r="E50" t="b">
        <v>1</v>
      </c>
      <c r="F50" t="n">
        <v>0.5</v>
      </c>
      <c r="G50" t="n">
        <v>0.1</v>
      </c>
      <c r="H50" t="n">
        <v>0</v>
      </c>
      <c r="I50" t="inlineStr">
        <is>
          <t>01_chien_dau/Vu_khi_suy_ra (id p26_matriarch_close_boss_flak)</t>
        </is>
      </c>
      <c r="J50" t="inlineStr"/>
    </row>
    <row r="51">
      <c r="A51" t="inlineStr">
        <is>
          <t>p26_matriarch_direct_ma_atgm</t>
        </is>
      </c>
      <c r="B51" t="n">
        <v>11.5</v>
      </c>
      <c r="C51" t="n">
        <v>20</v>
      </c>
      <c r="D51" t="b">
        <v>0</v>
      </c>
      <c r="E51" t="b">
        <v>1</v>
      </c>
      <c r="F51" t="n">
        <v>1</v>
      </c>
      <c r="G51" t="n">
        <v>0.6</v>
      </c>
      <c r="H51" t="n">
        <v>0</v>
      </c>
      <c r="I51" t="inlineStr">
        <is>
          <t>01_chien_dau/Vu_khi_suy_ra (id p26_matriarch_direct_ma_atgm)</t>
        </is>
      </c>
      <c r="J51" t="inlineStr"/>
    </row>
    <row r="52">
      <c r="A52" t="inlineStr">
        <is>
          <t>p26_matriarch_ma_drones</t>
        </is>
      </c>
      <c r="B52" t="n">
        <v>384</v>
      </c>
      <c r="C52" t="n">
        <v>5</v>
      </c>
      <c r="D52" t="b">
        <v>1</v>
      </c>
      <c r="E52" t="b">
        <v>1</v>
      </c>
      <c r="F52" t="n">
        <v>1</v>
      </c>
      <c r="G52" t="n">
        <v>0.6</v>
      </c>
      <c r="H52" t="n">
        <v>0</v>
      </c>
      <c r="I52" t="inlineStr">
        <is>
          <t>01_chien_dau/Vu_khi_suy_ra (id p26_matriarch_ma_drones)</t>
        </is>
      </c>
      <c r="J52" t="inlineStr"/>
    </row>
    <row r="53">
      <c r="A53" t="inlineStr">
        <is>
          <t>p26_matriarch_sec_autocannon_30</t>
        </is>
      </c>
      <c r="B53" t="n">
        <v>88.00352014080562</v>
      </c>
      <c r="C53" t="n">
        <v>2.4999</v>
      </c>
      <c r="D53" t="b">
        <v>0</v>
      </c>
      <c r="E53" t="b">
        <v>1</v>
      </c>
      <c r="F53" t="n">
        <v>1</v>
      </c>
      <c r="G53" t="n">
        <v>0.6</v>
      </c>
      <c r="H53" t="n">
        <v>0</v>
      </c>
      <c r="I53" t="inlineStr">
        <is>
          <t>01_chien_dau/Vu_khi_suy_ra (id p26_matriarch_sec_autocannon_30)</t>
        </is>
      </c>
      <c r="J53" t="inlineStr"/>
    </row>
    <row r="54">
      <c r="A54" t="inlineStr">
        <is>
          <t>p26_matriarch_tiny_mothership_cannon</t>
        </is>
      </c>
      <c r="B54" t="n">
        <v>111.8881118881119</v>
      </c>
      <c r="C54" t="n">
        <v>4.29</v>
      </c>
      <c r="D54" t="b">
        <v>0</v>
      </c>
      <c r="E54" t="b">
        <v>1</v>
      </c>
      <c r="F54" t="n">
        <v>1</v>
      </c>
      <c r="G54" t="n">
        <v>1.5</v>
      </c>
      <c r="H54" t="n">
        <v>0</v>
      </c>
      <c r="I54" t="inlineStr">
        <is>
          <t>01_chien_dau/Vu_khi_suy_ra (id p26_matriarch_tiny_mothership_cannon)</t>
        </is>
      </c>
      <c r="J54" t="inlineStr"/>
    </row>
    <row r="55">
      <c r="A55" t="inlineStr">
        <is>
          <t>p26_moloch_close_boss_flak</t>
        </is>
      </c>
      <c r="B55" t="n">
        <v>190.5204460966543</v>
      </c>
      <c r="C55" t="n">
        <v>5.38</v>
      </c>
      <c r="D55" t="b">
        <v>0</v>
      </c>
      <c r="E55" t="b">
        <v>1</v>
      </c>
      <c r="F55" t="n">
        <v>0.5</v>
      </c>
      <c r="G55" t="n">
        <v>0.1</v>
      </c>
      <c r="H55" t="n">
        <v>0</v>
      </c>
      <c r="I55" t="inlineStr">
        <is>
          <t>01_chien_dau/Vu_khi_suy_ra (id p26_moloch_close_boss_flak)</t>
        </is>
      </c>
      <c r="J55" t="inlineStr"/>
    </row>
    <row r="56">
      <c r="A56" t="inlineStr">
        <is>
          <t>p26_moloch_direct_mo120ap</t>
        </is>
      </c>
      <c r="B56" t="n">
        <v>69.33333333333333</v>
      </c>
      <c r="C56" t="n">
        <v>7.5</v>
      </c>
      <c r="D56" t="b">
        <v>0</v>
      </c>
      <c r="E56" t="b">
        <v>1</v>
      </c>
      <c r="F56" t="n">
        <v>1</v>
      </c>
      <c r="G56" t="n">
        <v>0.6</v>
      </c>
      <c r="H56" t="n">
        <v>0</v>
      </c>
      <c r="I56" t="inlineStr">
        <is>
          <t>01_chien_dau/Vu_khi_suy_ra (id p26_moloch_direct_mo120ap)</t>
        </is>
      </c>
      <c r="J56" t="inlineStr"/>
    </row>
    <row r="57">
      <c r="A57" t="inlineStr">
        <is>
          <t>p26_moloch_main_mo120</t>
        </is>
      </c>
      <c r="B57" t="n">
        <v>90.66666666666667</v>
      </c>
      <c r="C57" t="n">
        <v>7.5</v>
      </c>
      <c r="D57" t="b">
        <v>0</v>
      </c>
      <c r="E57" t="b">
        <v>1</v>
      </c>
      <c r="F57" t="n">
        <v>1</v>
      </c>
      <c r="G57" t="n">
        <v>1.5</v>
      </c>
      <c r="H57" t="n">
        <v>0</v>
      </c>
      <c r="I57" t="inlineStr">
        <is>
          <t>01_chien_dau/Vu_khi_suy_ra (id p26_moloch_main_mo120)</t>
        </is>
      </c>
      <c r="J57" t="inlineStr"/>
    </row>
    <row r="58">
      <c r="A58" t="inlineStr">
        <is>
          <t>p26_moloch_tiny_zu23</t>
        </is>
      </c>
      <c r="B58" t="n">
        <v>70.56451612903226</v>
      </c>
      <c r="C58" t="n">
        <v>4.96</v>
      </c>
      <c r="D58" t="b">
        <v>0</v>
      </c>
      <c r="E58" t="b">
        <v>1</v>
      </c>
      <c r="F58" t="n">
        <v>0.5</v>
      </c>
      <c r="G58" t="n">
        <v>0.1</v>
      </c>
      <c r="H58" t="n">
        <v>0</v>
      </c>
      <c r="I58" t="inlineStr">
        <is>
          <t>01_chien_dau/Vu_khi_suy_ra (id p26_moloch_tiny_zu23)</t>
        </is>
      </c>
      <c r="J58" t="inlineStr"/>
    </row>
    <row r="59">
      <c r="A59" t="inlineStr">
        <is>
          <t>p26_nemesis_close_boss_flak</t>
        </is>
      </c>
      <c r="B59" t="n">
        <v>190.5204460966543</v>
      </c>
      <c r="C59" t="n">
        <v>5.38</v>
      </c>
      <c r="D59" t="b">
        <v>0</v>
      </c>
      <c r="E59" t="b">
        <v>1</v>
      </c>
      <c r="F59" t="n">
        <v>0.5</v>
      </c>
      <c r="G59" t="n">
        <v>0.1</v>
      </c>
      <c r="H59" t="n">
        <v>0</v>
      </c>
      <c r="I59" t="inlineStr">
        <is>
          <t>01_chien_dau/Vu_khi_suy_ra (id p26_nemesis_close_boss_flak)</t>
        </is>
      </c>
      <c r="J59" t="inlineStr"/>
    </row>
    <row r="60">
      <c r="A60" t="inlineStr">
        <is>
          <t>p26_nemesis_direct_ne125</t>
        </is>
      </c>
      <c r="B60" t="n">
        <v>53.33333333333334</v>
      </c>
      <c r="C60" t="n">
        <v>7.5</v>
      </c>
      <c r="D60" t="b">
        <v>0</v>
      </c>
      <c r="E60" t="b">
        <v>1</v>
      </c>
      <c r="F60" t="n">
        <v>1</v>
      </c>
      <c r="G60" t="n">
        <v>0.6</v>
      </c>
      <c r="H60" t="n">
        <v>0</v>
      </c>
      <c r="I60" t="inlineStr">
        <is>
          <t>01_chien_dau/Vu_khi_suy_ra (id p26_nemesis_direct_ne125)</t>
        </is>
      </c>
      <c r="J60" t="inlineStr"/>
    </row>
    <row r="61">
      <c r="A61" t="inlineStr">
        <is>
          <t>p26_nemesis_main_ne152</t>
        </is>
      </c>
      <c r="B61" t="n">
        <v>80</v>
      </c>
      <c r="C61" t="n">
        <v>7.5</v>
      </c>
      <c r="D61" t="b">
        <v>0</v>
      </c>
      <c r="E61" t="b">
        <v>1</v>
      </c>
      <c r="F61" t="n">
        <v>1</v>
      </c>
      <c r="G61" t="n">
        <v>1.5</v>
      </c>
      <c r="H61" t="n">
        <v>0</v>
      </c>
      <c r="I61" t="inlineStr">
        <is>
          <t>01_chien_dau/Vu_khi_suy_ra (id p26_nemesis_main_ne152)</t>
        </is>
      </c>
      <c r="J61" t="inlineStr"/>
    </row>
    <row r="62">
      <c r="A62" t="inlineStr">
        <is>
          <t>p26_nemesis_sec_boss_rockets</t>
        </is>
      </c>
      <c r="B62" t="n">
        <v>364.6308113035551</v>
      </c>
      <c r="C62" t="n">
        <v>21.94</v>
      </c>
      <c r="D62" t="b">
        <v>0</v>
      </c>
      <c r="E62" t="b">
        <v>1</v>
      </c>
      <c r="F62" t="n">
        <v>1</v>
      </c>
      <c r="G62" t="n">
        <v>1.5</v>
      </c>
      <c r="H62" t="n">
        <v>0</v>
      </c>
      <c r="I62" t="inlineStr">
        <is>
          <t>01_chien_dau/Vu_khi_suy_ra (id p26_nemesis_sec_boss_rockets)</t>
        </is>
      </c>
      <c r="J62" t="inlineStr"/>
    </row>
    <row r="63">
      <c r="A63" t="inlineStr">
        <is>
          <t>p26_roc_close_twin_30_bmpt</t>
        </is>
      </c>
      <c r="B63" t="n">
        <v>111.5665807378608</v>
      </c>
      <c r="C63" t="n">
        <v>2.3663</v>
      </c>
      <c r="D63" t="b">
        <v>0</v>
      </c>
      <c r="E63" t="b">
        <v>1</v>
      </c>
      <c r="F63" t="n">
        <v>1</v>
      </c>
      <c r="G63" t="n">
        <v>0.6</v>
      </c>
      <c r="H63" t="n">
        <v>0</v>
      </c>
      <c r="I63" t="inlineStr">
        <is>
          <t>01_chien_dau/Vu_khi_suy_ra (id p26_roc_close_twin_30_bmpt)</t>
        </is>
      </c>
      <c r="J63" t="inlineStr"/>
    </row>
    <row r="64">
      <c r="A64" t="inlineStr">
        <is>
          <t>p26_roc_direct_roc_atgm</t>
        </is>
      </c>
      <c r="B64" t="n">
        <v>23</v>
      </c>
      <c r="C64" t="n">
        <v>20</v>
      </c>
      <c r="D64" t="b">
        <v>0</v>
      </c>
      <c r="E64" t="b">
        <v>1</v>
      </c>
      <c r="F64" t="n">
        <v>1</v>
      </c>
      <c r="G64" t="n">
        <v>0.6</v>
      </c>
      <c r="H64" t="n">
        <v>0</v>
      </c>
      <c r="I64" t="inlineStr">
        <is>
          <t>01_chien_dau/Vu_khi_suy_ra (id p26_roc_direct_roc_atgm)</t>
        </is>
      </c>
      <c r="J64" t="inlineStr"/>
    </row>
    <row r="65">
      <c r="A65" t="inlineStr">
        <is>
          <t>p26_roc_main_roc_bombs</t>
        </is>
      </c>
      <c r="B65" t="n">
        <v>158.0135440180587</v>
      </c>
      <c r="C65" t="n">
        <v>35.44</v>
      </c>
      <c r="D65" t="b">
        <v>1</v>
      </c>
      <c r="E65" t="b">
        <v>1</v>
      </c>
      <c r="F65" t="n">
        <v>1</v>
      </c>
      <c r="G65" t="n">
        <v>1.5</v>
      </c>
      <c r="H65" t="n">
        <v>2.722222222222222</v>
      </c>
      <c r="I65" t="inlineStr">
        <is>
          <t>01_chien_dau/Vu_khi_suy_ra (id p26_roc_main_roc_bombs)</t>
        </is>
      </c>
      <c r="J65" t="inlineStr"/>
    </row>
    <row r="66">
      <c r="A66" t="inlineStr">
        <is>
          <t>p26_roc_roc105</t>
        </is>
      </c>
      <c r="B66" t="n">
        <v>50</v>
      </c>
      <c r="C66" t="n">
        <v>6</v>
      </c>
      <c r="D66" t="b">
        <v>0</v>
      </c>
      <c r="E66" t="b">
        <v>1</v>
      </c>
      <c r="F66" t="n">
        <v>1</v>
      </c>
      <c r="G66" t="n">
        <v>1.5</v>
      </c>
      <c r="H66" t="n">
        <v>0</v>
      </c>
      <c r="I66" t="inlineStr">
        <is>
          <t>01_chien_dau/Vu_khi_suy_ra (id p26_roc_roc105)</t>
        </is>
      </c>
      <c r="J66" t="inlineStr"/>
    </row>
    <row r="67">
      <c r="A67" t="inlineStr">
        <is>
          <t>p26_typhon_direct_ty100</t>
        </is>
      </c>
      <c r="B67" t="n">
        <v>171.4285714285714</v>
      </c>
      <c r="C67" t="n">
        <v>3.5</v>
      </c>
      <c r="D67" t="b">
        <v>0</v>
      </c>
      <c r="E67" t="b">
        <v>1</v>
      </c>
      <c r="F67" t="n">
        <v>1</v>
      </c>
      <c r="G67" t="n">
        <v>1.5</v>
      </c>
      <c r="H67" t="n">
        <v>0</v>
      </c>
      <c r="I67" t="inlineStr">
        <is>
          <t>01_chien_dau/Vu_khi_suy_ra (id p26_typhon_direct_ty100)</t>
        </is>
      </c>
      <c r="J67" t="inlineStr"/>
    </row>
    <row r="68">
      <c r="A68" t="inlineStr">
        <is>
          <t>p26_typhon_sec_ty57</t>
        </is>
      </c>
      <c r="B68" t="n">
        <v>223.7762237762238</v>
      </c>
      <c r="C68" t="n">
        <v>4.29</v>
      </c>
      <c r="D68" t="b">
        <v>0</v>
      </c>
      <c r="E68" t="b">
        <v>1</v>
      </c>
      <c r="F68" t="n">
        <v>1</v>
      </c>
      <c r="G68" t="n">
        <v>1.5</v>
      </c>
      <c r="H68" t="n">
        <v>0</v>
      </c>
      <c r="I68" t="inlineStr">
        <is>
          <t>01_chien_dau/Vu_khi_suy_ra (id p26_typhon_sec_ty57)</t>
        </is>
      </c>
      <c r="J68" t="inlineStr"/>
    </row>
    <row r="69">
      <c r="A69" t="inlineStr">
        <is>
          <t>sam_battery</t>
        </is>
      </c>
      <c r="B69" t="n">
        <v>61.81818181818182</v>
      </c>
      <c r="C69" t="n">
        <v>11</v>
      </c>
      <c r="D69" t="b">
        <v>1</v>
      </c>
      <c r="E69" t="b">
        <v>0</v>
      </c>
      <c r="F69" t="n">
        <v>0.5</v>
      </c>
      <c r="G69" t="n">
        <v>0.1</v>
      </c>
      <c r="H69" t="n">
        <v>0</v>
      </c>
      <c r="I69" t="inlineStr">
        <is>
          <t>01_chien_dau/Vu_khi_suy_ra (id sam_battery)</t>
        </is>
      </c>
      <c r="J69" t="inlineStr"/>
    </row>
    <row r="70">
      <c r="A70" t="inlineStr">
        <is>
          <t>sam_post</t>
        </is>
      </c>
      <c r="B70" t="n">
        <v>145.4545454545454</v>
      </c>
      <c r="C70" t="n">
        <v>4.4</v>
      </c>
      <c r="D70" t="b">
        <v>0</v>
      </c>
      <c r="E70" t="b">
        <v>0</v>
      </c>
      <c r="F70" t="n">
        <v>0.5</v>
      </c>
      <c r="G70" t="n">
        <v>0.1</v>
      </c>
      <c r="H70" t="n">
        <v>0</v>
      </c>
      <c r="I70" t="inlineStr">
        <is>
          <t>01_chien_dau/Vu_khi_suy_ra (id sam_post)</t>
        </is>
      </c>
      <c r="J70" t="inlineStr"/>
    </row>
    <row r="71">
      <c r="A71" t="inlineStr">
        <is>
          <t>train_gun</t>
        </is>
      </c>
      <c r="B71" t="n">
        <v>75</v>
      </c>
      <c r="C71" t="n">
        <v>8</v>
      </c>
      <c r="D71" t="b">
        <v>0</v>
      </c>
      <c r="E71" t="b">
        <v>1</v>
      </c>
      <c r="F71" t="n">
        <v>1</v>
      </c>
      <c r="G71" t="n">
        <v>0.6</v>
      </c>
      <c r="H71" t="n">
        <v>0</v>
      </c>
      <c r="I71" t="inlineStr">
        <is>
          <t>01_chien_dau/Vu_khi_suy_ra (id train_gun)</t>
        </is>
      </c>
      <c r="J71" t="inlineStr"/>
    </row>
  </sheetData>
  <autoFilter ref="A1:J71"/>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0.5</v>
      </c>
      <c r="C5" t="inlineStr">
        <is>
          <t>01_chien_dau/Bang_xuyen_giap (id buoc_3)</t>
        </is>
      </c>
      <c r="D5" t="inlineStr"/>
    </row>
    <row r="6">
      <c r="A6" t="inlineStr">
        <is>
          <t>buoc_4</t>
        </is>
      </c>
      <c r="B6" t="n">
        <v>0.25</v>
      </c>
      <c r="C6" t="inlineStr">
        <is>
          <t>01_chien_dau/Bang_xuyen_giap (id buoc_4)</t>
        </is>
      </c>
      <c r="D6" t="inlineStr"/>
    </row>
    <row r="7">
      <c r="A7" t="inlineStr">
        <is>
          <t>buoc_5</t>
        </is>
      </c>
      <c r="B7" t="n">
        <v>0.1</v>
      </c>
      <c r="C7" t="inlineStr">
        <is>
          <t>01_chien_dau/Bang_xuyen_giap (id buoc_5)</t>
        </is>
      </c>
      <c r="D7" t="inlineStr"/>
    </row>
  </sheetData>
  <autoFilter ref="A1:D7"/>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command_airship</t>
        </is>
      </c>
      <c r="B10" t="n">
        <v>1</v>
      </c>
      <c r="C10" t="n">
        <v>1.7892</v>
      </c>
      <c r="D10" t="n">
        <v>1.4</v>
      </c>
      <c r="E10" t="n">
        <v>8</v>
      </c>
      <c r="F10" t="n">
        <v>1847.612444967137</v>
      </c>
      <c r="G10">
        <f>SUM(Boss_vu_khi!$S$36,Boss_vu_khi!$S$37,Boss_vu_khi!$S$38,Boss_vu_khi!$S$39,Boss_vu_khi!$S$40,Boss_vu_khi!$S$41,Boss_vu_khi!$S$42,Boss_vu_khi!$S$43)</f>
        <v/>
      </c>
      <c r="H10" t="n">
        <v>1225.888718426582</v>
      </c>
      <c r="I10">
        <f>IF(ISNUMBER($F$10),IF($F$10&gt;0,$G$10/$F$10,""),"")</f>
        <v/>
      </c>
      <c r="J10" t="inlineStr">
        <is>
          <t>KHONG_AP_DUNG</t>
        </is>
      </c>
      <c r="K10" t="inlineStr">
        <is>
          <t>Assets/MachineBrigade/Resources/Data/balance.json: vehicles[id=command_airship] dựng bởi Tools/balance/p26_ab.expand</t>
        </is>
      </c>
      <c r="L10" t="inlineStr"/>
    </row>
    <row r="11">
      <c r="A11" t="inlineStr">
        <is>
          <t>daedalus</t>
        </is>
      </c>
      <c r="B11" t="n">
        <v>1</v>
      </c>
      <c r="C11" t="n">
        <v>1</v>
      </c>
      <c r="D11" t="n">
        <v>1.4</v>
      </c>
      <c r="E11" t="n">
        <v>4</v>
      </c>
      <c r="F11" t="n">
        <v>745.3846153846154</v>
      </c>
      <c r="G11">
        <f>SUM(Boss_vu_khi!$S$44,Boss_vu_khi!$S$45,Boss_vu_khi!$S$46,Boss_vu_khi!$S$47)</f>
        <v/>
      </c>
      <c r="H11" t="n">
        <v>777.5524475524476</v>
      </c>
      <c r="I11">
        <f>IF(ISNUMBER($F$11),IF($F$11&gt;0,$G$11/$F$11,""),"")</f>
        <v/>
      </c>
      <c r="J11" t="inlineStr">
        <is>
          <t>KHONG_AP_DUNG</t>
        </is>
      </c>
      <c r="K11" t="inlineStr">
        <is>
          <t>Assets/MachineBrigade/Resources/Data/balance.json: vehicles[id=daedalus] dựng bởi Tools/balance/p26_ab.expand</t>
        </is>
      </c>
      <c r="L11" t="inlineStr"/>
    </row>
    <row r="12">
      <c r="A12" t="inlineStr">
        <is>
          <t>drone_mothership</t>
        </is>
      </c>
      <c r="B12" t="n">
        <v>1</v>
      </c>
      <c r="C12" t="n">
        <v>1</v>
      </c>
      <c r="D12" t="n">
        <v>1.4</v>
      </c>
      <c r="E12" t="n">
        <v>9</v>
      </c>
      <c r="F12" t="n">
        <v>1302.719032109183</v>
      </c>
      <c r="G12">
        <f>SUM(Boss_vu_khi!$S$48,Boss_vu_khi!$S$49,Boss_vu_khi!$S$50,Boss_vu_khi!$S$51,Boss_vu_khi!$S$52,Boss_vu_khi!$S$53,Boss_vu_khi!$S$54,Boss_vu_khi!$S$55,Boss_vu_khi!$S$56)</f>
        <v/>
      </c>
      <c r="H12" t="n">
        <v>1187.824156251144</v>
      </c>
      <c r="I12">
        <f>IF(ISNUMBER($F$12),IF($F$12&gt;0,$G$12/$F$12,""),"")</f>
        <v/>
      </c>
      <c r="J12" t="inlineStr">
        <is>
          <t>KHONG_AP_DUNG</t>
        </is>
      </c>
      <c r="K12" t="inlineStr">
        <is>
          <t>Assets/MachineBrigade/Resources/Data/balance.json: vehicles[id=drone_mothership] dựng bởi Tools/balance/p26_ab.expand</t>
        </is>
      </c>
      <c r="L12" t="inlineStr"/>
    </row>
    <row r="13">
      <c r="A13" t="inlineStr">
        <is>
          <t>earth_borer</t>
        </is>
      </c>
      <c r="B13" t="n">
        <v>2.874</v>
      </c>
      <c r="C13" t="n">
        <v>1.0854</v>
      </c>
      <c r="D13" t="n">
        <v>1.2</v>
      </c>
      <c r="E13" t="n">
        <v>3</v>
      </c>
      <c r="F13" t="n">
        <v>829.7753846153846</v>
      </c>
      <c r="G13">
        <f>SUM(Boss_vu_khi!$S$57,Boss_vu_khi!$S$58,Boss_vu_khi!$S$59)</f>
        <v/>
      </c>
      <c r="H13" t="n">
        <v>665.4804479999999</v>
      </c>
      <c r="I13">
        <f>IF(ISNUMBER($F$13),IF($F$13&gt;0,$G$13/$F$13,""),"")</f>
        <v/>
      </c>
      <c r="J13" t="inlineStr">
        <is>
          <t>KHONG_AP_DUNG</t>
        </is>
      </c>
      <c r="K13" t="inlineStr">
        <is>
          <t>Assets/MachineBrigade/Resources/Data/balance.json: vehicles[id=earth_borer] dựng bởi Tools/balance/p26_ab.expand</t>
        </is>
      </c>
      <c r="L13" t="inlineStr"/>
    </row>
    <row r="14">
      <c r="A14" t="inlineStr">
        <is>
          <t>fenrir</t>
        </is>
      </c>
      <c r="B14" t="n">
        <v>2.222</v>
      </c>
      <c r="C14" t="n">
        <v>0.9508</v>
      </c>
      <c r="D14" t="n">
        <v>1.2</v>
      </c>
      <c r="E14" t="n">
        <v>3</v>
      </c>
      <c r="F14" t="n">
        <v>1062.467804253763</v>
      </c>
      <c r="G14">
        <f>SUM(Boss_vu_khi!$S$60,Boss_vu_khi!$S$61,Boss_vu_khi!$S$62)</f>
        <v/>
      </c>
      <c r="H14" t="n">
        <v>803.3324875060612</v>
      </c>
      <c r="I14">
        <f>IF(ISNUMBER($F$14),IF($F$14&gt;0,$G$14/$F$14,""),"")</f>
        <v/>
      </c>
      <c r="J14" t="inlineStr">
        <is>
          <t>KHONG_AP_DUNG</t>
        </is>
      </c>
      <c r="K14" t="inlineStr">
        <is>
          <t>Assets/MachineBrigade/Resources/Data/balance.json: vehicles[id=fenrir] dựng bởi Tools/balance/p26_ab.expand</t>
        </is>
      </c>
      <c r="L14" t="inlineStr"/>
    </row>
    <row r="15">
      <c r="A15" t="inlineStr">
        <is>
          <t>fortress_bastion</t>
        </is>
      </c>
      <c r="B15" t="n">
        <v>1</v>
      </c>
      <c r="C15" t="n">
        <v>1</v>
      </c>
      <c r="D15" t="n">
        <v>1.4</v>
      </c>
      <c r="E15" t="n">
        <v>11</v>
      </c>
      <c r="F15" t="n">
        <v>791.9280012397338</v>
      </c>
      <c r="G15">
        <f>SUM(Boss_vu_khi!$S$63,Boss_vu_khi!$S$64,Boss_vu_khi!$S$65,Boss_vu_khi!$S$66,Boss_vu_khi!$S$67,Boss_vu_khi!$S$68,Boss_vu_khi!$S$69,Boss_vu_khi!$S$70,Boss_vu_khi!$S$71,Boss_vu_khi!$S$72,Boss_vu_khi!$S$73)</f>
        <v/>
      </c>
      <c r="H15" t="n">
        <v>741.284662696313</v>
      </c>
      <c r="I15">
        <f>IF(ISNUMBER($F$15),IF($F$15&gt;0,$G$15/$F$15,""),"")</f>
        <v/>
      </c>
      <c r="J15" t="inlineStr">
        <is>
          <t>KHONG_AP_DUNG</t>
        </is>
      </c>
      <c r="K15" t="inlineStr">
        <is>
          <t>Assets/MachineBrigade/Resources/Data/balance.json: vehicles[id=fortress_bastion] dựng bởi Tools/balance/p26_ab.expand</t>
        </is>
      </c>
      <c r="L15" t="inlineStr"/>
    </row>
    <row r="16">
      <c r="A16" t="inlineStr">
        <is>
          <t>hydra</t>
        </is>
      </c>
      <c r="B16" t="n">
        <v>1.292</v>
      </c>
      <c r="C16" t="n">
        <v>1</v>
      </c>
      <c r="D16" t="n">
        <v>1.2</v>
      </c>
      <c r="E16" t="n">
        <v>3</v>
      </c>
      <c r="F16" t="n">
        <v>913.0133333333333</v>
      </c>
      <c r="G16">
        <f>SUM(Boss_vu_khi!$S$74,Boss_vu_khi!$S$75,Boss_vu_khi!$S$76)</f>
        <v/>
      </c>
      <c r="H16" t="n">
        <v>799.7234765234765</v>
      </c>
      <c r="I16">
        <f>IF(ISNUMBER($F$16),IF($F$16&gt;0,$G$16/$F$16,""),"")</f>
        <v/>
      </c>
      <c r="J16" t="inlineStr">
        <is>
          <t>KHONG_AP_DUNG</t>
        </is>
      </c>
      <c r="K16" t="inlineStr">
        <is>
          <t>Assets/MachineBrigade/Resources/Data/balance.json: vehicles[id=hydra] dựng bởi Tools/balance/p26_ab.expand</t>
        </is>
      </c>
      <c r="L16" t="inlineStr"/>
    </row>
    <row r="17">
      <c r="A17" t="inlineStr">
        <is>
          <t>hyperion</t>
        </is>
      </c>
      <c r="B17" t="n">
        <v>1.111</v>
      </c>
      <c r="C17" t="n">
        <v>1</v>
      </c>
      <c r="D17" t="n">
        <v>1.4</v>
      </c>
      <c r="E17" t="n">
        <v>5</v>
      </c>
      <c r="F17" t="n">
        <v>1466.52</v>
      </c>
      <c r="G17">
        <f>SUM(Boss_vu_khi!$S$77,Boss_vu_khi!$S$78,Boss_vu_khi!$S$79,Boss_vu_khi!$S$80,Boss_vu_khi!$S$81)</f>
        <v/>
      </c>
      <c r="H17" t="n">
        <v>1466.52</v>
      </c>
      <c r="I17">
        <f>IF(ISNUMBER($F$17),IF($F$17&gt;0,$G$17/$F$17,""),"")</f>
        <v/>
      </c>
      <c r="J17" t="inlineStr">
        <is>
          <t>KHONG_AP_DUNG</t>
        </is>
      </c>
      <c r="K17" t="inlineStr">
        <is>
          <t>Assets/MachineBrigade/Resources/Data/balance.json: vehicles[id=hyperion] dựng bởi Tools/balance/p26_ab.expand</t>
        </is>
      </c>
      <c r="L17" t="inlineStr"/>
    </row>
    <row r="18">
      <c r="A18" t="inlineStr">
        <is>
          <t>icarus_mk0</t>
        </is>
      </c>
      <c r="B18" t="n">
        <v>2.275</v>
      </c>
      <c r="C18" t="n">
        <v>1</v>
      </c>
      <c r="D18" t="n">
        <v>1.2</v>
      </c>
      <c r="E18" t="n">
        <v>1</v>
      </c>
      <c r="F18" t="n">
        <v>910</v>
      </c>
      <c r="G18">
        <f>SUM(Boss_vu_khi!$S$82)</f>
        <v/>
      </c>
      <c r="H18" t="n">
        <v>910</v>
      </c>
      <c r="I18">
        <f>IF(ISNUMBER($F$18),IF($F$18&gt;0,$G$18/$F$18,""),"")</f>
        <v/>
      </c>
      <c r="J18" t="inlineStr">
        <is>
          <t>KHONG_AP_DUNG</t>
        </is>
      </c>
      <c r="K18" t="inlineStr">
        <is>
          <t>Assets/MachineBrigade/Resources/Data/balance.json: vehicles[id=icarus_mk0] dựng bởi Tools/balance/p26_ab.expand</t>
        </is>
      </c>
      <c r="L18" t="inlineStr"/>
    </row>
    <row r="19">
      <c r="A19" t="inlineStr">
        <is>
          <t>ixion</t>
        </is>
      </c>
      <c r="B19" t="n">
        <v>1</v>
      </c>
      <c r="C19" t="n">
        <v>1.7571</v>
      </c>
      <c r="D19" t="n">
        <v>1.2</v>
      </c>
      <c r="E19" t="n">
        <v>3</v>
      </c>
      <c r="F19" t="n">
        <v>615.0562640660164</v>
      </c>
      <c r="G19">
        <f>SUM(Boss_vu_khi!$S$83,Boss_vu_khi!$S$84,Boss_vu_khi!$S$85)</f>
        <v/>
      </c>
      <c r="H19" t="n">
        <v>491.645070123125</v>
      </c>
      <c r="I19">
        <f>IF(ISNUMBER($F$19),IF($F$19&gt;0,$G$19/$F$19,""),"")</f>
        <v/>
      </c>
      <c r="J19" t="inlineStr">
        <is>
          <t>KHONG_AP_DUNG</t>
        </is>
      </c>
      <c r="K19" t="inlineStr">
        <is>
          <t>Assets/MachineBrigade/Resources/Data/balance.json: vehicles[id=ixion] dựng bởi Tools/balance/p26_ab.expand</t>
        </is>
      </c>
      <c r="L19" t="inlineStr"/>
    </row>
    <row r="20">
      <c r="A20" t="inlineStr">
        <is>
          <t>kraken</t>
        </is>
      </c>
      <c r="B20" t="n">
        <v>2.318</v>
      </c>
      <c r="C20" t="n">
        <v>0.9678</v>
      </c>
      <c r="D20" t="n">
        <v>1.4</v>
      </c>
      <c r="E20" t="n">
        <v>16</v>
      </c>
      <c r="F20" t="n">
        <v>3176.156629195177</v>
      </c>
      <c r="G20">
        <f>SUM(Boss_vu_khi!$S$86,Boss_vu_khi!$S$87,Boss_vu_khi!$S$88,Boss_vu_khi!$S$89,Boss_vu_khi!$S$90,Boss_vu_khi!$S$91,Boss_vu_khi!$S$92,Boss_vu_khi!$S$93,Boss_vu_khi!$S$94,Boss_vu_khi!$S$95,Boss_vu_khi!$S$96,Boss_vu_khi!$S$97,Boss_vu_khi!$S$98,Boss_vu_khi!$S$99,Boss_vu_khi!$S$100,Boss_vu_khi!$S$101)</f>
        <v/>
      </c>
      <c r="H20" t="n">
        <v>3488.460948544616</v>
      </c>
      <c r="I20">
        <f>IF(ISNUMBER($F$20),IF($F$20&gt;0,$G$20/$F$20,""),"")</f>
        <v/>
      </c>
      <c r="J20" t="inlineStr">
        <is>
          <t>KHONG_AP_DUNG</t>
        </is>
      </c>
      <c r="K20" t="inlineStr">
        <is>
          <t>Assets/MachineBrigade/Resources/Data/balance.json: vehicles[id=kraken] dựng bởi Tools/balance/p26_ab.expand</t>
        </is>
      </c>
      <c r="L20" t="inlineStr"/>
    </row>
    <row r="21">
      <c r="A21" t="inlineStr">
        <is>
          <t>landing_hovercraft</t>
        </is>
      </c>
      <c r="B21" t="n">
        <v>4.303</v>
      </c>
      <c r="C21" t="n">
        <v>1</v>
      </c>
      <c r="D21" t="n">
        <v>1.2</v>
      </c>
      <c r="E21" t="n">
        <v>5</v>
      </c>
      <c r="F21" t="n">
        <v>1816.098159888733</v>
      </c>
      <c r="G21">
        <f>SUM(Boss_vu_khi!$S$102,Boss_vu_khi!$S$103,Boss_vu_khi!$S$104,Boss_vu_khi!$S$105,Boss_vu_khi!$S$106)</f>
        <v/>
      </c>
      <c r="H21" t="n">
        <v>1776.463441692275</v>
      </c>
      <c r="I21">
        <f>IF(ISNUMBER($F$21),IF($F$21&gt;0,$G$21/$F$21,""),"")</f>
        <v/>
      </c>
      <c r="J21" t="inlineStr">
        <is>
          <t>KHONG_AP_DUNG</t>
        </is>
      </c>
      <c r="K21" t="inlineStr">
        <is>
          <t>Assets/MachineBrigade/Resources/Data/balance.json: vehicles[id=landing_hovercraft] dựng bởi Tools/balance/p26_ab.expand</t>
        </is>
      </c>
      <c r="L21" t="inlineStr"/>
    </row>
    <row r="22">
      <c r="A22" t="inlineStr">
        <is>
          <t>leviathan</t>
        </is>
      </c>
      <c r="B22" t="n">
        <v>1</v>
      </c>
      <c r="C22" t="n">
        <v>0.9678</v>
      </c>
      <c r="D22" t="n">
        <v>1.4</v>
      </c>
      <c r="E22" t="n">
        <v>16</v>
      </c>
      <c r="F22" t="n">
        <v>1574.907950472467</v>
      </c>
      <c r="G22">
        <f>SUM(Boss_vu_khi!$S$107,Boss_vu_khi!$S$108,Boss_vu_khi!$S$109,Boss_vu_khi!$S$110,Boss_vu_khi!$S$111,Boss_vu_khi!$S$112,Boss_vu_khi!$S$113,Boss_vu_khi!$S$114,Boss_vu_khi!$S$115,Boss_vu_khi!$S$116,Boss_vu_khi!$S$117,Boss_vu_khi!$S$118,Boss_vu_khi!$S$119,Boss_vu_khi!$S$120,Boss_vu_khi!$S$121,Boss_vu_khi!$S$122)</f>
        <v/>
      </c>
      <c r="H22" t="n">
        <v>1703.046890657729</v>
      </c>
      <c r="I22">
        <f>IF(ISNUMBER($F$22),IF($F$22&gt;0,$G$22/$F$22,""),"")</f>
        <v/>
      </c>
      <c r="J22" t="inlineStr">
        <is>
          <t>KHONG_AP_DUNG</t>
        </is>
      </c>
      <c r="K22" t="inlineStr">
        <is>
          <t>Assets/MachineBrigade/Resources/Data/balance.json: vehicles[id=leviathan] dựng bởi Tools/balance/p26_ab.expand</t>
        </is>
      </c>
      <c r="L22" t="inlineStr"/>
    </row>
    <row r="23">
      <c r="A23" t="inlineStr">
        <is>
          <t>locust</t>
        </is>
      </c>
      <c r="B23" t="n">
        <v>1.297</v>
      </c>
      <c r="C23" t="n">
        <v>1</v>
      </c>
      <c r="D23" t="n">
        <v>1.2</v>
      </c>
      <c r="E23" t="n">
        <v>2</v>
      </c>
      <c r="F23" t="n">
        <v>715.5004163568773</v>
      </c>
      <c r="G23">
        <f>SUM(Boss_vu_khi!$S$123,Boss_vu_khi!$S$124)</f>
        <v/>
      </c>
      <c r="H23" t="n">
        <v>454.6250185873606</v>
      </c>
      <c r="I23">
        <f>IF(ISNUMBER($F$23),IF($F$23&gt;0,$G$23/$F$23,""),"")</f>
        <v/>
      </c>
      <c r="J23" t="inlineStr">
        <is>
          <t>KHONG_AP_DUNG</t>
        </is>
      </c>
      <c r="K23" t="inlineStr">
        <is>
          <t>Assets/MachineBrigade/Resources/Data/balance.json: vehicles[id=locust] dựng bởi Tools/balance/p26_ab.expand</t>
        </is>
      </c>
      <c r="L23" t="inlineStr"/>
    </row>
    <row r="24">
      <c r="A24" t="inlineStr">
        <is>
          <t>mega_gunship</t>
        </is>
      </c>
      <c r="B24" t="n">
        <v>2.496</v>
      </c>
      <c r="C24" t="n">
        <v>1</v>
      </c>
      <c r="D24" t="n">
        <v>1.2</v>
      </c>
      <c r="E24" t="n">
        <v>7</v>
      </c>
      <c r="F24" t="n">
        <v>1152.952159760783</v>
      </c>
      <c r="G24">
        <f>SUM(Boss_vu_khi!$S$125,Boss_vu_khi!$S$126,Boss_vu_khi!$S$127,Boss_vu_khi!$S$128,Boss_vu_khi!$S$129,Boss_vu_khi!$S$130,Boss_vu_khi!$S$131)</f>
        <v/>
      </c>
      <c r="H24" t="n">
        <v>1362.441978824276</v>
      </c>
      <c r="I24">
        <f>IF(ISNUMBER($F$24),IF($F$24&gt;0,$G$24/$F$24,""),"")</f>
        <v/>
      </c>
      <c r="J24" t="inlineStr">
        <is>
          <t>KHONG_AP_DUNG</t>
        </is>
      </c>
      <c r="K24" t="inlineStr">
        <is>
          <t>Assets/MachineBrigade/Resources/Data/balance.json: vehicles[id=mega_gunship] dựng bởi Tools/balance/p26_ab.expand</t>
        </is>
      </c>
      <c r="L24" t="inlineStr"/>
    </row>
    <row r="25">
      <c r="A25" t="inlineStr">
        <is>
          <t>mobile_fortress</t>
        </is>
      </c>
      <c r="B25" t="n">
        <v>1</v>
      </c>
      <c r="C25" t="n">
        <v>0.9508</v>
      </c>
      <c r="D25" t="n">
        <v>1.4</v>
      </c>
      <c r="E25" t="n">
        <v>9</v>
      </c>
      <c r="F25" t="n">
        <v>1227.073308676819</v>
      </c>
      <c r="G25">
        <f>SUM(Boss_vu_khi!$S$132,Boss_vu_khi!$S$133,Boss_vu_khi!$S$134,Boss_vu_khi!$S$135,Boss_vu_khi!$S$136,Boss_vu_khi!$S$137,Boss_vu_khi!$S$138,Boss_vu_khi!$S$139,Boss_vu_khi!$S$140)</f>
        <v/>
      </c>
      <c r="H25" t="n">
        <v>1282.830379151294</v>
      </c>
      <c r="I25">
        <f>IF(ISNUMBER($F$25),IF($F$25&gt;0,$G$25/$F$25,""),"")</f>
        <v/>
      </c>
      <c r="J25" t="inlineStr">
        <is>
          <t>KHONG_AP_DUNG</t>
        </is>
      </c>
      <c r="K25" t="inlineStr">
        <is>
          <t>Assets/MachineBrigade/Resources/Data/balance.json: vehicles[id=mobile_fortress] dựng bởi Tools/balance/p26_ab.expand</t>
        </is>
      </c>
      <c r="L25" t="inlineStr"/>
    </row>
    <row r="26">
      <c r="A26" t="inlineStr">
        <is>
          <t>moloch</t>
        </is>
      </c>
      <c r="B26" t="n">
        <v>1</v>
      </c>
      <c r="C26" t="n">
        <v>1.6957</v>
      </c>
      <c r="D26" t="n">
        <v>1.4</v>
      </c>
      <c r="E26" t="n">
        <v>7</v>
      </c>
      <c r="F26" t="n">
        <v>1381.457249070632</v>
      </c>
      <c r="G26">
        <f>SUM(Boss_vu_khi!$S$141,Boss_vu_khi!$S$142,Boss_vu_khi!$S$143,Boss_vu_khi!$S$144,Boss_vu_khi!$S$145,Boss_vu_khi!$S$146,Boss_vu_khi!$S$147)</f>
        <v/>
      </c>
      <c r="H26" t="n">
        <v>1105.002020446097</v>
      </c>
      <c r="I26">
        <f>IF(ISNUMBER($F$26),IF($F$26&gt;0,$G$26/$F$26,""),"")</f>
        <v/>
      </c>
      <c r="J26" t="inlineStr">
        <is>
          <t>KHONG_AP_DUNG</t>
        </is>
      </c>
      <c r="K26" t="inlineStr">
        <is>
          <t>Assets/MachineBrigade/Resources/Data/balance.json: vehicles[id=moloch] dựng bởi Tools/balance/p26_ab.expand</t>
        </is>
      </c>
      <c r="L26" t="inlineStr"/>
    </row>
    <row r="27">
      <c r="A27" t="inlineStr">
        <is>
          <t>monster</t>
        </is>
      </c>
      <c r="B27" t="n">
        <v>1.997</v>
      </c>
      <c r="C27" t="n">
        <v>1</v>
      </c>
      <c r="D27" t="n">
        <v>1.4</v>
      </c>
      <c r="E27" t="n">
        <v>11</v>
      </c>
      <c r="F27" t="n">
        <v>1581.480218475749</v>
      </c>
      <c r="G27">
        <f>SUM(Boss_vu_khi!$S$148,Boss_vu_khi!$S$149,Boss_vu_khi!$S$150,Boss_vu_khi!$S$151,Boss_vu_khi!$S$152,Boss_vu_khi!$S$153,Boss_vu_khi!$S$154,Boss_vu_khi!$S$155,Boss_vu_khi!$S$156,Boss_vu_khi!$S$157,Boss_vu_khi!$S$158)</f>
        <v/>
      </c>
      <c r="H27" t="n">
        <v>1480.345471404537</v>
      </c>
      <c r="I27">
        <f>IF(ISNUMBER($F$27),IF($F$27&gt;0,$G$27/$F$27,""),"")</f>
        <v/>
      </c>
      <c r="J27" t="inlineStr">
        <is>
          <t>KHONG_AP_DUNG</t>
        </is>
      </c>
      <c r="K27" t="inlineStr">
        <is>
          <t>Assets/MachineBrigade/Resources/Data/balance.json: vehicles[id=monster] dựng bởi Tools/balance/p26_ab.expand</t>
        </is>
      </c>
      <c r="L27" t="inlineStr"/>
    </row>
    <row r="28">
      <c r="A28" t="inlineStr">
        <is>
          <t>nuke_train</t>
        </is>
      </c>
      <c r="B28" t="n">
        <v>1</v>
      </c>
      <c r="C28" t="n">
        <v>1.3092</v>
      </c>
      <c r="D28" t="n">
        <v>1.4</v>
      </c>
      <c r="E28" t="n">
        <v>7</v>
      </c>
      <c r="F28" t="n">
        <v>1812.454798918553</v>
      </c>
      <c r="G28">
        <f>SUM(Boss_vu_khi!$S$159,Boss_vu_khi!$S$160,Boss_vu_khi!$S$161,Boss_vu_khi!$S$162,Boss_vu_khi!$S$163,Boss_vu_khi!$S$164,Boss_vu_khi!$S$165)</f>
        <v/>
      </c>
      <c r="H28" t="n">
        <v>1481.155125884197</v>
      </c>
      <c r="I28">
        <f>IF(ISNUMBER($F$28),IF($F$28&gt;0,$G$28/$F$28,""),"")</f>
        <v/>
      </c>
      <c r="J28" t="inlineStr">
        <is>
          <t>KHONG_AP_DUNG</t>
        </is>
      </c>
      <c r="K28" t="inlineStr">
        <is>
          <t>Assets/MachineBrigade/Resources/Data/balance.json: vehicles[id=nuke_train] dựng bởi Tools/balance/p26_ab.expand</t>
        </is>
      </c>
      <c r="L28" t="inlineStr"/>
    </row>
    <row r="29">
      <c r="A29" t="inlineStr">
        <is>
          <t>nyx</t>
        </is>
      </c>
      <c r="B29" t="n">
        <v>1.865</v>
      </c>
      <c r="C29" t="n">
        <v>0.8362000000000001</v>
      </c>
      <c r="D29" t="n">
        <v>1.2</v>
      </c>
      <c r="E29" t="n">
        <v>3</v>
      </c>
      <c r="F29" t="n">
        <v>445.5277777777777</v>
      </c>
      <c r="G29">
        <f>SUM(Boss_vu_khi!$S$166,Boss_vu_khi!$S$167,Boss_vu_khi!$S$168)</f>
        <v/>
      </c>
      <c r="H29" t="n">
        <v>535.4327966666667</v>
      </c>
      <c r="I29">
        <f>IF(ISNUMBER($F$29),IF($F$29&gt;0,$G$29/$F$29,""),"")</f>
        <v/>
      </c>
      <c r="J29" t="inlineStr">
        <is>
          <t>KHONG_AP_DUNG</t>
        </is>
      </c>
      <c r="K29" t="inlineStr">
        <is>
          <t>Assets/MachineBrigade/Resources/Data/balance.json: vehicles[id=nyx] dựng bởi Tools/balance/p26_ab.expand</t>
        </is>
      </c>
      <c r="L29" t="inlineStr"/>
    </row>
    <row r="30">
      <c r="A30" t="inlineStr">
        <is>
          <t>scylla</t>
        </is>
      </c>
      <c r="B30" t="n">
        <v>2.195</v>
      </c>
      <c r="C30" t="n">
        <v>0.7389</v>
      </c>
      <c r="D30" t="n">
        <v>1.2</v>
      </c>
      <c r="E30" t="n">
        <v>2</v>
      </c>
      <c r="F30" t="n">
        <v>514.6055555555555</v>
      </c>
      <c r="G30">
        <f>SUM(Boss_vu_khi!$S$169,Boss_vu_khi!$S$170)</f>
        <v/>
      </c>
      <c r="H30" t="n">
        <v>616.3164899999999</v>
      </c>
      <c r="I30">
        <f>IF(ISNUMBER($F$30),IF($F$30&gt;0,$G$30/$F$30,""),"")</f>
        <v/>
      </c>
      <c r="J30" t="inlineStr">
        <is>
          <t>KHONG_AP_DUNG</t>
        </is>
      </c>
      <c r="K30" t="inlineStr">
        <is>
          <t>Assets/MachineBrigade/Resources/Data/balance.json: vehicles[id=scylla] dựng bởi Tools/balance/p26_ab.expand</t>
        </is>
      </c>
      <c r="L30" t="inlineStr"/>
    </row>
    <row r="31">
      <c r="A31" t="inlineStr">
        <is>
          <t>silver_bug</t>
        </is>
      </c>
      <c r="B31" t="n">
        <v>1</v>
      </c>
      <c r="C31" t="n">
        <v>1</v>
      </c>
      <c r="D31" t="n">
        <v>1.4</v>
      </c>
      <c r="E31" t="n">
        <v>7</v>
      </c>
      <c r="F31" t="n">
        <v>1638.181818181818</v>
      </c>
      <c r="G31">
        <f>SUM(Boss_vu_khi!$S$171,Boss_vu_khi!$S$172,Boss_vu_khi!$S$173,Boss_vu_khi!$S$174,Boss_vu_khi!$S$175,Boss_vu_khi!$S$176,Boss_vu_khi!$S$177)</f>
        <v/>
      </c>
      <c r="H31" t="n">
        <v>1500.722891566265</v>
      </c>
      <c r="I31">
        <f>IF(ISNUMBER($F$31),IF($F$31&gt;0,$G$31/$F$31,""),"")</f>
        <v/>
      </c>
      <c r="J31" t="inlineStr">
        <is>
          <t>KHONG_AP_DUNG</t>
        </is>
      </c>
      <c r="K31" t="inlineStr">
        <is>
          <t>Assets/MachineBrigade/Resources/Data/balance.json: vehicles[id=silver_bug] dựng bởi Tools/balance/p26_ab.expand</t>
        </is>
      </c>
      <c r="L31" t="inlineStr"/>
    </row>
    <row r="32">
      <c r="A32" t="inlineStr">
        <is>
          <t>typhon</t>
        </is>
      </c>
      <c r="B32" t="n">
        <v>1</v>
      </c>
      <c r="C32" t="n">
        <v>1</v>
      </c>
      <c r="D32" t="n">
        <v>1.4</v>
      </c>
      <c r="E32" t="n">
        <v>4</v>
      </c>
      <c r="F32" t="n">
        <v>852.121212121212</v>
      </c>
      <c r="G32">
        <f>SUM(Boss_vu_khi!$S$178,Boss_vu_khi!$S$179,Boss_vu_khi!$S$180,Boss_vu_khi!$S$181)</f>
        <v/>
      </c>
      <c r="H32" t="n">
        <v>764.4355644355645</v>
      </c>
      <c r="I32">
        <f>IF(ISNUMBER($F$32),IF($F$32&gt;0,$G$32/$F$32,""),"")</f>
        <v/>
      </c>
      <c r="J32" t="inlineStr">
        <is>
          <t>KHONG_AP_DUNG</t>
        </is>
      </c>
      <c r="K32" t="inlineStr">
        <is>
          <t>Assets/MachineBrigade/Resources/Data/balance.json: vehicles[id=typhon] dựng bởi Tools/balance/p26_ab.expand</t>
        </is>
      </c>
      <c r="L32" t="inlineStr"/>
    </row>
  </sheetData>
  <autoFilter ref="A1:L32"/>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18"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IF(INDEX(boss_input_vu_khi_suy_ra!$D$2:$D$71,MATCH($C$2,boss_input_vu_khi_suy_ra!$A$2:$A$71,0)),INDEX(input_xe_tham_chieu!$E$2:$E$6,MATCH($D$2,input_xe_tham_chieu!$A$2:$A$6,0)),INDEX(input_xe_tham_chieu!$D$2:$D$6,MATCH($D$2,input_xe_tham_chieu!$A$2:$A$6,0)))</f>
        <v/>
      </c>
      <c r="F2">
        <f>IF(INDEX(boss_input_vu_khi_suy_ra!$E$2:$E$71,MATCH($C$2,boss_input_vu_khi_suy_ra!$A$2:$A$71,0)),INDEX(boss_input_bang_xuyen_giap!$B$2:$B$7,MIN(6,MAX(1,IF(INDEX(boss_input_vu_khi_suy_ra!$D$2:$D$71,MATCH($C$2,boss_input_vu_khi_suy_ra!$A$2:$A$71,0)),MAX(1,2-(INDEX(boss_input_vu_khi!$C$2:$C$71,MATCH($C$2,boss_input_vu_khi!$A$2:$A$71,0))-$E$2)),2-(INDEX(boss_input_vu_khi!$C$2:$C$71,MATCH($C$2,boss_input_vu_khi!$A$2:$A$71,0))-$E$2))+1)))*IF(INDEX(input_xe_tham_chieu!$F$2:$F$6,MATCH($D$2,input_xe_tham_chieu!$A$2:$A$6,0)),INDEX(boss_input_vu_khi_suy_ra!$G$2:$G$71,MATCH($C$2,boss_input_vu_khi_suy_ra!$A$2:$A$71,0)),INDEX(boss_input_vu_khi_suy_ra!$F$2:$F$71,MATCH($C$2,boss_input_vu_khi_suy_ra!$A$2:$A$71,0))),0)</f>
        <v/>
      </c>
      <c r="G2" t="n">
        <v>1</v>
      </c>
      <c r="H2">
        <f>INDEX(boss_input_vu_khi!$B$2:$B$71,MATCH($C$2,boss_input_vu_khi!$A$2:$A$71,0))*INDEX(Boss_dps!$D$2:$D$32,MATCH($B$2,Boss_dps!$A$2:$A$32,0))*IF(INDEX(boss_input_vu_khi!$D$2:$D$71,MATCH($C$2,boss_input_vu_khi!$A$2:$A$71,0)),1,INDEX(Boss_dps!$B$2:$B$32,MATCH($B$2,Boss_dps!$A$2:$A$32,0)))*INDEX(Boss_dps!$C$2:$C$32,MATCH($B$2,Boss_dps!$A$2:$A$32,0))*$F$2</f>
        <v/>
      </c>
      <c r="I2" t="n">
        <v>2164.21632</v>
      </c>
      <c r="J2">
        <f>IF($H$2&gt;0,CEILING(INDEX(input_xe_tham_chieu!$C$2:$C$6,MATCH($D$2,input_xe_tham_chieu!$A$2:$A$6,0))/$H$2,1),"")</f>
        <v/>
      </c>
      <c r="K2">
        <f>IF(Boss_vu_khi!$S$2*$F$2&gt;0,INDEX(input_xe_tham_chieu!$C$2:$C$6,MATCH($D$2,input_xe_tham_chieu!$A$2:$A$6,0))/(Boss_vu_khi!$S$2*INDEX(Boss_dps!$D$2:$D$32,MATCH($B$2,Boss_dps!$A$2:$A$32,0))*$F$2),"")</f>
        <v/>
      </c>
      <c r="L2">
        <f>1+2*MIN(2,FLOOR(INDEX(boss_input_vu_khi!$E$2:$E$71,MATCH($C$2,boss_input_vu_khi!$A$2:$A$71,0))/8,1))</f>
        <v/>
      </c>
      <c r="M2">
        <f>1+2*MIN(2,FLOOR(MAX(INDEX(boss_input_vu_khi!$E$2:$E$71,MATCH($C$2,boss_input_vu_khi!$A$2:$A$71,0)),Boss_vu_khi!$L$2)/8,1))</f>
        <v/>
      </c>
      <c r="N2">
        <f>IF(INDEX(boss_input_vu_khi!$E$2:$E$71,MATCH($C$2,boss_input_vu_khi!$A$2:$A$71,0))&gt;=8,5,1)</f>
        <v/>
      </c>
      <c r="O2">
        <f>IF(MAX(INDEX(boss_input_vu_khi!$E$2:$E$71,MATCH($C$2,boss_input_vu_khi!$A$2:$A$71,0)),Boss_vu_khi!$L$2)&gt;=8,5,1)</f>
        <v/>
      </c>
      <c r="P2">
        <f>INDEX(boss_input_vu_khi_suy_ra!$H$2:$H$71,MATCH($C$2,boss_input_vu_khi_suy_ra!$A$2:$A$71,0))</f>
        <v/>
      </c>
      <c r="Q2">
        <f>IF(AND(INDEX(input_xe_tham_chieu!$G$2:$G$6,MATCH($D$2,input_xe_tham_chieu!$A$2:$A$6,0))&gt;0,INDEX(boss_input_vu_khi!$E$2:$E$71,MATCH($C$2,boss_input_vu_khi!$A$2:$A$71,0))&gt;0),INDEX(boss_input_vu_khi!$E$2:$E$71,MATCH($C$2,boss_input_vu_khi!$A$2:$A$71,0)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IF(INDEX(boss_input_vu_khi_suy_ra!$D$2:$D$71,MATCH($C$3,boss_input_vu_khi_suy_ra!$A$2:$A$71,0)),INDEX(input_xe_tham_chieu!$E$2:$E$6,MATCH($D$3,input_xe_tham_chieu!$A$2:$A$6,0)),INDEX(input_xe_tham_chieu!$D$2:$D$6,MATCH($D$3,input_xe_tham_chieu!$A$2:$A$6,0)))</f>
        <v/>
      </c>
      <c r="F3">
        <f>IF(INDEX(boss_input_vu_khi_suy_ra!$E$2:$E$71,MATCH($C$3,boss_input_vu_khi_suy_ra!$A$2:$A$71,0)),INDEX(boss_input_bang_xuyen_giap!$B$2:$B$7,MIN(6,MAX(1,IF(INDEX(boss_input_vu_khi_suy_ra!$D$2:$D$71,MATCH($C$3,boss_input_vu_khi_suy_ra!$A$2:$A$71,0)),MAX(1,2-(INDEX(boss_input_vu_khi!$C$2:$C$71,MATCH($C$3,boss_input_vu_khi!$A$2:$A$71,0))-$E$3)),2-(INDEX(boss_input_vu_khi!$C$2:$C$71,MATCH($C$3,boss_input_vu_khi!$A$2:$A$71,0))-$E$3))+1)))*IF(INDEX(input_xe_tham_chieu!$F$2:$F$6,MATCH($D$3,input_xe_tham_chieu!$A$2:$A$6,0)),INDEX(boss_input_vu_khi_suy_ra!$G$2:$G$71,MATCH($C$3,boss_input_vu_khi_suy_ra!$A$2:$A$71,0)),INDEX(boss_input_vu_khi_suy_ra!$F$2:$F$71,MATCH($C$3,boss_input_vu_khi_suy_ra!$A$2:$A$71,0))),0)</f>
        <v/>
      </c>
      <c r="G3" t="n">
        <v>1.5</v>
      </c>
      <c r="H3">
        <f>INDEX(boss_input_vu_khi!$B$2:$B$71,MATCH($C$3,boss_input_vu_khi!$A$2:$A$71,0))*INDEX(Boss_dps!$D$2:$D$32,MATCH($B$3,Boss_dps!$A$2:$A$32,0))*IF(INDEX(boss_input_vu_khi!$D$2:$D$71,MATCH($C$3,boss_input_vu_khi!$A$2:$A$71,0)),1,INDEX(Boss_dps!$B$2:$B$32,MATCH($B$3,Boss_dps!$A$2:$A$32,0)))*INDEX(Boss_dps!$C$2:$C$32,MATCH($B$3,Boss_dps!$A$2:$A$32,0))*$F$3</f>
        <v/>
      </c>
      <c r="I3" t="n">
        <v>3246.324479999999</v>
      </c>
      <c r="J3">
        <f>IF($H$3&gt;0,CEILING(INDEX(input_xe_tham_chieu!$C$2:$C$6,MATCH($D$3,input_xe_tham_chieu!$A$2:$A$6,0))/$H$3,1),"")</f>
        <v/>
      </c>
      <c r="K3">
        <f>IF(Boss_vu_khi!$S$2*$F$3&gt;0,INDEX(input_xe_tham_chieu!$C$2:$C$6,MATCH($D$3,input_xe_tham_chieu!$A$2:$A$6,0))/(Boss_vu_khi!$S$2*INDEX(Boss_dps!$D$2:$D$32,MATCH($B$3,Boss_dps!$A$2:$A$32,0))*$F$3),"")</f>
        <v/>
      </c>
      <c r="L3">
        <f>1+2*MIN(2,FLOOR(INDEX(boss_input_vu_khi!$E$2:$E$71,MATCH($C$3,boss_input_vu_khi!$A$2:$A$71,0))/8,1))</f>
        <v/>
      </c>
      <c r="M3">
        <f>1+2*MIN(2,FLOOR(MAX(INDEX(boss_input_vu_khi!$E$2:$E$71,MATCH($C$3,boss_input_vu_khi!$A$2:$A$71,0)),Boss_vu_khi!$L$2)/8,1))</f>
        <v/>
      </c>
      <c r="N3">
        <f>IF(INDEX(boss_input_vu_khi!$E$2:$E$71,MATCH($C$3,boss_input_vu_khi!$A$2:$A$71,0))&gt;=8,5,1)</f>
        <v/>
      </c>
      <c r="O3">
        <f>IF(MAX(INDEX(boss_input_vu_khi!$E$2:$E$71,MATCH($C$3,boss_input_vu_khi!$A$2:$A$71,0)),Boss_vu_khi!$L$2)&gt;=8,5,1)</f>
        <v/>
      </c>
      <c r="P3">
        <f>INDEX(boss_input_vu_khi_suy_ra!$H$2:$H$71,MATCH($C$3,boss_input_vu_khi_suy_ra!$A$2:$A$71,0))</f>
        <v/>
      </c>
      <c r="Q3">
        <f>IF(AND(INDEX(input_xe_tham_chieu!$G$2:$G$6,MATCH($D$3,input_xe_tham_chieu!$A$2:$A$6,0))&gt;0,INDEX(boss_input_vu_khi!$E$2:$E$71,MATCH($C$3,boss_input_vu_khi!$A$2:$A$71,0))&gt;0),INDEX(boss_input_vu_khi!$E$2:$E$71,MATCH($C$3,boss_input_vu_khi!$A$2:$A$71,0)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IF(INDEX(boss_input_vu_khi_suy_ra!$D$2:$D$71,MATCH($C$4,boss_input_vu_khi_suy_ra!$A$2:$A$71,0)),INDEX(input_xe_tham_chieu!$E$2:$E$6,MATCH($D$4,input_xe_tham_chieu!$A$2:$A$6,0)),INDEX(input_xe_tham_chieu!$D$2:$D$6,MATCH($D$4,input_xe_tham_chieu!$A$2:$A$6,0)))</f>
        <v/>
      </c>
      <c r="F4">
        <f>IF(INDEX(boss_input_vu_khi_suy_ra!$E$2:$E$71,MATCH($C$4,boss_input_vu_khi_suy_ra!$A$2:$A$71,0)),INDEX(boss_input_bang_xuyen_giap!$B$2:$B$7,MIN(6,MAX(1,IF(INDEX(boss_input_vu_khi_suy_ra!$D$2:$D$71,MATCH($C$4,boss_input_vu_khi_suy_ra!$A$2:$A$71,0)),MAX(1,2-(INDEX(boss_input_vu_khi!$C$2:$C$71,MATCH($C$4,boss_input_vu_khi!$A$2:$A$71,0))-$E$4)),2-(INDEX(boss_input_vu_khi!$C$2:$C$71,MATCH($C$4,boss_input_vu_khi!$A$2:$A$71,0))-$E$4))+1)))*IF(INDEX(input_xe_tham_chieu!$F$2:$F$6,MATCH($D$4,input_xe_tham_chieu!$A$2:$A$6,0)),INDEX(boss_input_vu_khi_suy_ra!$G$2:$G$71,MATCH($C$4,boss_input_vu_khi_suy_ra!$A$2:$A$71,0)),INDEX(boss_input_vu_khi_suy_ra!$F$2:$F$71,MATCH($C$4,boss_input_vu_khi_suy_ra!$A$2:$A$71,0))),0)</f>
        <v/>
      </c>
      <c r="G4" t="n">
        <v>1</v>
      </c>
      <c r="H4">
        <f>INDEX(boss_input_vu_khi!$B$2:$B$71,MATCH($C$4,boss_input_vu_khi!$A$2:$A$71,0))*INDEX(Boss_dps!$D$2:$D$32,MATCH($B$4,Boss_dps!$A$2:$A$32,0))*IF(INDEX(boss_input_vu_khi!$D$2:$D$71,MATCH($C$4,boss_input_vu_khi!$A$2:$A$71,0)),1,INDEX(Boss_dps!$B$2:$B$32,MATCH($B$4,Boss_dps!$A$2:$A$32,0)))*INDEX(Boss_dps!$C$2:$C$32,MATCH($B$4,Boss_dps!$A$2:$A$32,0))*$F$4</f>
        <v/>
      </c>
      <c r="I4" t="n">
        <v>2164.21632</v>
      </c>
      <c r="J4">
        <f>IF($H$4&gt;0,CEILING(INDEX(input_xe_tham_chieu!$C$2:$C$6,MATCH($D$4,input_xe_tham_chieu!$A$2:$A$6,0))/$H$4,1),"")</f>
        <v/>
      </c>
      <c r="K4">
        <f>IF(Boss_vu_khi!$S$2*$F$4&gt;0,INDEX(input_xe_tham_chieu!$C$2:$C$6,MATCH($D$4,input_xe_tham_chieu!$A$2:$A$6,0))/(Boss_vu_khi!$S$2*INDEX(Boss_dps!$D$2:$D$32,MATCH($B$4,Boss_dps!$A$2:$A$32,0))*$F$4),"")</f>
        <v/>
      </c>
      <c r="L4">
        <f>1+2*MIN(2,FLOOR(INDEX(boss_input_vu_khi!$E$2:$E$71,MATCH($C$4,boss_input_vu_khi!$A$2:$A$71,0))/8,1))</f>
        <v/>
      </c>
      <c r="M4">
        <f>1+2*MIN(2,FLOOR(MAX(INDEX(boss_input_vu_khi!$E$2:$E$71,MATCH($C$4,boss_input_vu_khi!$A$2:$A$71,0)),Boss_vu_khi!$L$2)/8,1))</f>
        <v/>
      </c>
      <c r="N4">
        <f>IF(INDEX(boss_input_vu_khi!$E$2:$E$71,MATCH($C$4,boss_input_vu_khi!$A$2:$A$71,0))&gt;=8,5,1)</f>
        <v/>
      </c>
      <c r="O4">
        <f>IF(MAX(INDEX(boss_input_vu_khi!$E$2:$E$71,MATCH($C$4,boss_input_vu_khi!$A$2:$A$71,0)),Boss_vu_khi!$L$2)&gt;=8,5,1)</f>
        <v/>
      </c>
      <c r="P4">
        <f>INDEX(boss_input_vu_khi_suy_ra!$H$2:$H$71,MATCH($C$4,boss_input_vu_khi_suy_ra!$A$2:$A$71,0))</f>
        <v/>
      </c>
      <c r="Q4">
        <f>IF(AND(INDEX(input_xe_tham_chieu!$G$2:$G$6,MATCH($D$4,input_xe_tham_chieu!$A$2:$A$6,0))&gt;0,INDEX(boss_input_vu_khi!$E$2:$E$71,MATCH($C$4,boss_input_vu_khi!$A$2:$A$71,0))&gt;0),INDEX(boss_input_vu_khi!$E$2:$E$71,MATCH($C$4,boss_input_vu_khi!$A$2:$A$71,0)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IF(INDEX(boss_input_vu_khi_suy_ra!$D$2:$D$71,MATCH($C$5,boss_input_vu_khi_suy_ra!$A$2:$A$71,0)),INDEX(input_xe_tham_chieu!$E$2:$E$6,MATCH($D$5,input_xe_tham_chieu!$A$2:$A$6,0)),INDEX(input_xe_tham_chieu!$D$2:$D$6,MATCH($D$5,input_xe_tham_chieu!$A$2:$A$6,0)))</f>
        <v/>
      </c>
      <c r="F5">
        <f>IF(INDEX(boss_input_vu_khi_suy_ra!$E$2:$E$71,MATCH($C$5,boss_input_vu_khi_suy_ra!$A$2:$A$71,0)),INDEX(boss_input_bang_xuyen_giap!$B$2:$B$7,MIN(6,MAX(1,IF(INDEX(boss_input_vu_khi_suy_ra!$D$2:$D$71,MATCH($C$5,boss_input_vu_khi_suy_ra!$A$2:$A$71,0)),MAX(1,2-(INDEX(boss_input_vu_khi!$C$2:$C$71,MATCH($C$5,boss_input_vu_khi!$A$2:$A$71,0))-$E$5)),2-(INDEX(boss_input_vu_khi!$C$2:$C$71,MATCH($C$5,boss_input_vu_khi!$A$2:$A$71,0))-$E$5))+1)))*IF(INDEX(input_xe_tham_chieu!$F$2:$F$6,MATCH($D$5,input_xe_tham_chieu!$A$2:$A$6,0)),INDEX(boss_input_vu_khi_suy_ra!$G$2:$G$71,MATCH($C$5,boss_input_vu_khi_suy_ra!$A$2:$A$71,0)),INDEX(boss_input_vu_khi_suy_ra!$F$2:$F$71,MATCH($C$5,boss_input_vu_khi_suy_ra!$A$2:$A$71,0))),0)</f>
        <v/>
      </c>
      <c r="G5" t="n">
        <v>1</v>
      </c>
      <c r="H5">
        <f>INDEX(boss_input_vu_khi!$B$2:$B$71,MATCH($C$5,boss_input_vu_khi!$A$2:$A$71,0))*INDEX(Boss_dps!$D$2:$D$32,MATCH($B$5,Boss_dps!$A$2:$A$32,0))*IF(INDEX(boss_input_vu_khi!$D$2:$D$71,MATCH($C$5,boss_input_vu_khi!$A$2:$A$71,0)),1,INDEX(Boss_dps!$B$2:$B$32,MATCH($B$5,Boss_dps!$A$2:$A$32,0)))*INDEX(Boss_dps!$C$2:$C$32,MATCH($B$5,Boss_dps!$A$2:$A$32,0))*$F$5</f>
        <v/>
      </c>
      <c r="I5" t="n">
        <v>2164.21632</v>
      </c>
      <c r="J5">
        <f>IF($H$5&gt;0,CEILING(INDEX(input_xe_tham_chieu!$C$2:$C$6,MATCH($D$5,input_xe_tham_chieu!$A$2:$A$6,0))/$H$5,1),"")</f>
        <v/>
      </c>
      <c r="K5">
        <f>IF(Boss_vu_khi!$S$2*$F$5&gt;0,INDEX(input_xe_tham_chieu!$C$2:$C$6,MATCH($D$5,input_xe_tham_chieu!$A$2:$A$6,0))/(Boss_vu_khi!$S$2*INDEX(Boss_dps!$D$2:$D$32,MATCH($B$5,Boss_dps!$A$2:$A$32,0))*$F$5),"")</f>
        <v/>
      </c>
      <c r="L5">
        <f>1+2*MIN(2,FLOOR(INDEX(boss_input_vu_khi!$E$2:$E$71,MATCH($C$5,boss_input_vu_khi!$A$2:$A$71,0))/8,1))</f>
        <v/>
      </c>
      <c r="M5">
        <f>1+2*MIN(2,FLOOR(MAX(INDEX(boss_input_vu_khi!$E$2:$E$71,MATCH($C$5,boss_input_vu_khi!$A$2:$A$71,0)),Boss_vu_khi!$L$2)/8,1))</f>
        <v/>
      </c>
      <c r="N5">
        <f>IF(INDEX(boss_input_vu_khi!$E$2:$E$71,MATCH($C$5,boss_input_vu_khi!$A$2:$A$71,0))&gt;=8,5,1)</f>
        <v/>
      </c>
      <c r="O5">
        <f>IF(MAX(INDEX(boss_input_vu_khi!$E$2:$E$71,MATCH($C$5,boss_input_vu_khi!$A$2:$A$71,0)),Boss_vu_khi!$L$2)&gt;=8,5,1)</f>
        <v/>
      </c>
      <c r="P5">
        <f>INDEX(boss_input_vu_khi_suy_ra!$H$2:$H$71,MATCH($C$5,boss_input_vu_khi_suy_ra!$A$2:$A$71,0))</f>
        <v/>
      </c>
      <c r="Q5">
        <f>IF(AND(INDEX(input_xe_tham_chieu!$G$2:$G$6,MATCH($D$5,input_xe_tham_chieu!$A$2:$A$6,0))&gt;0,INDEX(boss_input_vu_khi!$E$2:$E$71,MATCH($C$5,boss_input_vu_khi!$A$2:$A$71,0))&gt;0),INDEX(boss_input_vu_khi!$E$2:$E$71,MATCH($C$5,boss_input_vu_khi!$A$2:$A$71,0)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IF(INDEX(boss_input_vu_khi_suy_ra!$D$2:$D$71,MATCH($C$6,boss_input_vu_khi_suy_ra!$A$2:$A$71,0)),INDEX(input_xe_tham_chieu!$E$2:$E$6,MATCH($D$6,input_xe_tham_chieu!$A$2:$A$6,0)),INDEX(input_xe_tham_chieu!$D$2:$D$6,MATCH($D$6,input_xe_tham_chieu!$A$2:$A$6,0)))</f>
        <v/>
      </c>
      <c r="F6">
        <f>IF(INDEX(boss_input_vu_khi_suy_ra!$E$2:$E$71,MATCH($C$6,boss_input_vu_khi_suy_ra!$A$2:$A$71,0)),INDEX(boss_input_bang_xuyen_giap!$B$2:$B$7,MIN(6,MAX(1,IF(INDEX(boss_input_vu_khi_suy_ra!$D$2:$D$71,MATCH($C$6,boss_input_vu_khi_suy_ra!$A$2:$A$71,0)),MAX(1,2-(INDEX(boss_input_vu_khi!$C$2:$C$71,MATCH($C$6,boss_input_vu_khi!$A$2:$A$71,0))-$E$6)),2-(INDEX(boss_input_vu_khi!$C$2:$C$71,MATCH($C$6,boss_input_vu_khi!$A$2:$A$71,0))-$E$6))+1)))*IF(INDEX(input_xe_tham_chieu!$F$2:$F$6,MATCH($D$6,input_xe_tham_chieu!$A$2:$A$6,0)),INDEX(boss_input_vu_khi_suy_ra!$G$2:$G$71,MATCH($C$6,boss_input_vu_khi_suy_ra!$A$2:$A$71,0)),INDEX(boss_input_vu_khi_suy_ra!$F$2:$F$71,MATCH($C$6,boss_input_vu_khi_suy_ra!$A$2:$A$71,0))),0)</f>
        <v/>
      </c>
      <c r="G6" t="n">
        <v>1</v>
      </c>
      <c r="H6">
        <f>INDEX(boss_input_vu_khi!$B$2:$B$71,MATCH($C$6,boss_input_vu_khi!$A$2:$A$71,0))*INDEX(Boss_dps!$D$2:$D$32,MATCH($B$6,Boss_dps!$A$2:$A$32,0))*IF(INDEX(boss_input_vu_khi!$D$2:$D$71,MATCH($C$6,boss_input_vu_khi!$A$2:$A$71,0)),1,INDEX(Boss_dps!$B$2:$B$32,MATCH($B$6,Boss_dps!$A$2:$A$32,0)))*INDEX(Boss_dps!$C$2:$C$32,MATCH($B$6,Boss_dps!$A$2:$A$32,0))*$F$6</f>
        <v/>
      </c>
      <c r="I6" t="n">
        <v>2164.21632</v>
      </c>
      <c r="J6">
        <f>IF($H$6&gt;0,CEILING(INDEX(input_xe_tham_chieu!$C$2:$C$6,MATCH($D$6,input_xe_tham_chieu!$A$2:$A$6,0))/$H$6,1),"")</f>
        <v/>
      </c>
      <c r="K6">
        <f>IF(Boss_vu_khi!$S$2*$F$6&gt;0,INDEX(input_xe_tham_chieu!$C$2:$C$6,MATCH($D$6,input_xe_tham_chieu!$A$2:$A$6,0))/(Boss_vu_khi!$S$2*INDEX(Boss_dps!$D$2:$D$32,MATCH($B$6,Boss_dps!$A$2:$A$32,0))*$F$6),"")</f>
        <v/>
      </c>
      <c r="L6">
        <f>1+2*MIN(2,FLOOR(INDEX(boss_input_vu_khi!$E$2:$E$71,MATCH($C$6,boss_input_vu_khi!$A$2:$A$71,0))/8,1))</f>
        <v/>
      </c>
      <c r="M6">
        <f>1+2*MIN(2,FLOOR(MAX(INDEX(boss_input_vu_khi!$E$2:$E$71,MATCH($C$6,boss_input_vu_khi!$A$2:$A$71,0)),Boss_vu_khi!$L$2)/8,1))</f>
        <v/>
      </c>
      <c r="N6">
        <f>IF(INDEX(boss_input_vu_khi!$E$2:$E$71,MATCH($C$6,boss_input_vu_khi!$A$2:$A$71,0))&gt;=8,5,1)</f>
        <v/>
      </c>
      <c r="O6">
        <f>IF(MAX(INDEX(boss_input_vu_khi!$E$2:$E$71,MATCH($C$6,boss_input_vu_khi!$A$2:$A$71,0)),Boss_vu_khi!$L$2)&gt;=8,5,1)</f>
        <v/>
      </c>
      <c r="P6">
        <f>INDEX(boss_input_vu_khi_suy_ra!$H$2:$H$71,MATCH($C$6,boss_input_vu_khi_suy_ra!$A$2:$A$71,0))</f>
        <v/>
      </c>
      <c r="Q6">
        <f>IF(AND(INDEX(input_xe_tham_chieu!$G$2:$G$6,MATCH($D$6,input_xe_tham_chieu!$A$2:$A$6,0))&gt;0,INDEX(boss_input_vu_khi!$E$2:$E$71,MATCH($C$6,boss_input_vu_khi!$A$2:$A$71,0))&gt;0),INDEX(boss_input_vu_khi!$E$2:$E$71,MATCH($C$6,boss_input_vu_khi!$A$2:$A$71,0)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IF(INDEX(boss_input_vu_khi_suy_ra!$D$2:$D$71,MATCH($C$7,boss_input_vu_khi_suy_ra!$A$2:$A$71,0)),INDEX(input_xe_tham_chieu!$E$2:$E$6,MATCH($D$7,input_xe_tham_chieu!$A$2:$A$6,0)),INDEX(input_xe_tham_chieu!$D$2:$D$6,MATCH($D$7,input_xe_tham_chieu!$A$2:$A$6,0)))</f>
        <v/>
      </c>
      <c r="F7">
        <f>IF(INDEX(boss_input_vu_khi_suy_ra!$E$2:$E$71,MATCH($C$7,boss_input_vu_khi_suy_ra!$A$2:$A$71,0)),INDEX(boss_input_bang_xuyen_giap!$B$2:$B$7,MIN(6,MAX(1,IF(INDEX(boss_input_vu_khi_suy_ra!$D$2:$D$71,MATCH($C$7,boss_input_vu_khi_suy_ra!$A$2:$A$71,0)),MAX(1,2-(INDEX(boss_input_vu_khi!$C$2:$C$71,MATCH($C$7,boss_input_vu_khi!$A$2:$A$71,0))-$E$7)),2-(INDEX(boss_input_vu_khi!$C$2:$C$71,MATCH($C$7,boss_input_vu_khi!$A$2:$A$71,0))-$E$7))+1)))*IF(INDEX(input_xe_tham_chieu!$F$2:$F$6,MATCH($D$7,input_xe_tham_chieu!$A$2:$A$6,0)),INDEX(boss_input_vu_khi_suy_ra!$G$2:$G$71,MATCH($C$7,boss_input_vu_khi_suy_ra!$A$2:$A$71,0)),INDEX(boss_input_vu_khi_suy_ra!$F$2:$F$71,MATCH($C$7,boss_input_vu_khi_suy_ra!$A$2:$A$71,0))),0)</f>
        <v/>
      </c>
      <c r="G7" t="n">
        <v>1.2</v>
      </c>
      <c r="H7">
        <f>INDEX(boss_input_vu_khi!$B$2:$B$71,MATCH($C$7,boss_input_vu_khi!$A$2:$A$71,0))*INDEX(Boss_dps!$D$2:$D$32,MATCH($B$7,Boss_dps!$A$2:$A$32,0))*IF(INDEX(boss_input_vu_khi!$D$2:$D$71,MATCH($C$7,boss_input_vu_khi!$A$2:$A$71,0)),1,INDEX(Boss_dps!$B$2:$B$32,MATCH($B$7,Boss_dps!$A$2:$A$32,0)))*INDEX(Boss_dps!$C$2:$C$32,MATCH($B$7,Boss_dps!$A$2:$A$32,0))*$F$7</f>
        <v/>
      </c>
      <c r="I7" t="n">
        <v>1336.1778144</v>
      </c>
      <c r="J7">
        <f>IF($H$7&gt;0,CEILING(INDEX(input_xe_tham_chieu!$C$2:$C$6,MATCH($D$7,input_xe_tham_chieu!$A$2:$A$6,0))/$H$7,1),"")</f>
        <v/>
      </c>
      <c r="K7">
        <f>IF(Boss_vu_khi!$S$4*$F$7&gt;0,INDEX(input_xe_tham_chieu!$C$2:$C$6,MATCH($D$7,input_xe_tham_chieu!$A$2:$A$6,0))/(Boss_vu_khi!$S$4*INDEX(Boss_dps!$D$2:$D$32,MATCH($B$7,Boss_dps!$A$2:$A$32,0))*$F$7),"")</f>
        <v/>
      </c>
      <c r="L7">
        <f>1+2*MIN(2,FLOOR(INDEX(boss_input_vu_khi!$E$2:$E$71,MATCH($C$7,boss_input_vu_khi!$A$2:$A$71,0))/8,1))</f>
        <v/>
      </c>
      <c r="M7">
        <f>1+2*MIN(2,FLOOR(MAX(INDEX(boss_input_vu_khi!$E$2:$E$71,MATCH($C$7,boss_input_vu_khi!$A$2:$A$71,0)),Boss_vu_khi!$L$4)/8,1))</f>
        <v/>
      </c>
      <c r="N7">
        <f>IF(INDEX(boss_input_vu_khi!$E$2:$E$71,MATCH($C$7,boss_input_vu_khi!$A$2:$A$71,0))&gt;=8,5,1)</f>
        <v/>
      </c>
      <c r="O7">
        <f>IF(MAX(INDEX(boss_input_vu_khi!$E$2:$E$71,MATCH($C$7,boss_input_vu_khi!$A$2:$A$71,0)),Boss_vu_khi!$L$4)&gt;=8,5,1)</f>
        <v/>
      </c>
      <c r="P7">
        <f>INDEX(boss_input_vu_khi_suy_ra!$H$2:$H$71,MATCH($C$7,boss_input_vu_khi_suy_ra!$A$2:$A$71,0))</f>
        <v/>
      </c>
      <c r="Q7">
        <f>IF(AND(INDEX(input_xe_tham_chieu!$G$2:$G$6,MATCH($D$7,input_xe_tham_chieu!$A$2:$A$6,0))&gt;0,INDEX(boss_input_vu_khi!$E$2:$E$71,MATCH($C$7,boss_input_vu_khi!$A$2:$A$71,0))&gt;0),INDEX(boss_input_vu_khi!$E$2:$E$71,MATCH($C$7,boss_input_vu_khi!$A$2:$A$71,0)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IF(INDEX(boss_input_vu_khi_suy_ra!$D$2:$D$71,MATCH($C$8,boss_input_vu_khi_suy_ra!$A$2:$A$71,0)),INDEX(input_xe_tham_chieu!$E$2:$E$6,MATCH($D$8,input_xe_tham_chieu!$A$2:$A$6,0)),INDEX(input_xe_tham_chieu!$D$2:$D$6,MATCH($D$8,input_xe_tham_chieu!$A$2:$A$6,0)))</f>
        <v/>
      </c>
      <c r="F8">
        <f>IF(INDEX(boss_input_vu_khi_suy_ra!$E$2:$E$71,MATCH($C$8,boss_input_vu_khi_suy_ra!$A$2:$A$71,0)),INDEX(boss_input_bang_xuyen_giap!$B$2:$B$7,MIN(6,MAX(1,IF(INDEX(boss_input_vu_khi_suy_ra!$D$2:$D$71,MATCH($C$8,boss_input_vu_khi_suy_ra!$A$2:$A$71,0)),MAX(1,2-(INDEX(boss_input_vu_khi!$C$2:$C$71,MATCH($C$8,boss_input_vu_khi!$A$2:$A$71,0))-$E$8)),2-(INDEX(boss_input_vu_khi!$C$2:$C$71,MATCH($C$8,boss_input_vu_khi!$A$2:$A$71,0))-$E$8))+1)))*IF(INDEX(input_xe_tham_chieu!$F$2:$F$6,MATCH($D$8,input_xe_tham_chieu!$A$2:$A$6,0)),INDEX(boss_input_vu_khi_suy_ra!$G$2:$G$71,MATCH($C$8,boss_input_vu_khi_suy_ra!$A$2:$A$71,0)),INDEX(boss_input_vu_khi_suy_ra!$F$2:$F$71,MATCH($C$8,boss_input_vu_khi_suy_ra!$A$2:$A$71,0))),0)</f>
        <v/>
      </c>
      <c r="G8" t="n">
        <v>0.6</v>
      </c>
      <c r="H8">
        <f>INDEX(boss_input_vu_khi!$B$2:$B$71,MATCH($C$8,boss_input_vu_khi!$A$2:$A$71,0))*INDEX(Boss_dps!$D$2:$D$32,MATCH($B$8,Boss_dps!$A$2:$A$32,0))*IF(INDEX(boss_input_vu_khi!$D$2:$D$71,MATCH($C$8,boss_input_vu_khi!$A$2:$A$71,0)),1,INDEX(Boss_dps!$B$2:$B$32,MATCH($B$8,Boss_dps!$A$2:$A$32,0)))*INDEX(Boss_dps!$C$2:$C$32,MATCH($B$8,Boss_dps!$A$2:$A$32,0))*$F$8</f>
        <v/>
      </c>
      <c r="I8" t="n">
        <v>668.0889072</v>
      </c>
      <c r="J8">
        <f>IF($H$8&gt;0,CEILING(INDEX(input_xe_tham_chieu!$C$2:$C$6,MATCH($D$8,input_xe_tham_chieu!$A$2:$A$6,0))/$H$8,1),"")</f>
        <v/>
      </c>
      <c r="K8">
        <f>IF(Boss_vu_khi!$S$4*$F$8&gt;0,INDEX(input_xe_tham_chieu!$C$2:$C$6,MATCH($D$8,input_xe_tham_chieu!$A$2:$A$6,0))/(Boss_vu_khi!$S$4*INDEX(Boss_dps!$D$2:$D$32,MATCH($B$8,Boss_dps!$A$2:$A$32,0))*$F$8),"")</f>
        <v/>
      </c>
      <c r="L8">
        <f>1+2*MIN(2,FLOOR(INDEX(boss_input_vu_khi!$E$2:$E$71,MATCH($C$8,boss_input_vu_khi!$A$2:$A$71,0))/8,1))</f>
        <v/>
      </c>
      <c r="M8">
        <f>1+2*MIN(2,FLOOR(MAX(INDEX(boss_input_vu_khi!$E$2:$E$71,MATCH($C$8,boss_input_vu_khi!$A$2:$A$71,0)),Boss_vu_khi!$L$4)/8,1))</f>
        <v/>
      </c>
      <c r="N8">
        <f>IF(INDEX(boss_input_vu_khi!$E$2:$E$71,MATCH($C$8,boss_input_vu_khi!$A$2:$A$71,0))&gt;=8,5,1)</f>
        <v/>
      </c>
      <c r="O8">
        <f>IF(MAX(INDEX(boss_input_vu_khi!$E$2:$E$71,MATCH($C$8,boss_input_vu_khi!$A$2:$A$71,0)),Boss_vu_khi!$L$4)&gt;=8,5,1)</f>
        <v/>
      </c>
      <c r="P8">
        <f>INDEX(boss_input_vu_khi_suy_ra!$H$2:$H$71,MATCH($C$8,boss_input_vu_khi_suy_ra!$A$2:$A$71,0))</f>
        <v/>
      </c>
      <c r="Q8">
        <f>IF(AND(INDEX(input_xe_tham_chieu!$G$2:$G$6,MATCH($D$8,input_xe_tham_chieu!$A$2:$A$6,0))&gt;0,INDEX(boss_input_vu_khi!$E$2:$E$71,MATCH($C$8,boss_input_vu_khi!$A$2:$A$71,0))&gt;0),INDEX(boss_input_vu_khi!$E$2:$E$71,MATCH($C$8,boss_input_vu_khi!$A$2:$A$71,0)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IF(INDEX(boss_input_vu_khi_suy_ra!$D$2:$D$71,MATCH($C$9,boss_input_vu_khi_suy_ra!$A$2:$A$71,0)),INDEX(input_xe_tham_chieu!$E$2:$E$6,MATCH($D$9,input_xe_tham_chieu!$A$2:$A$6,0)),INDEX(input_xe_tham_chieu!$D$2:$D$6,MATCH($D$9,input_xe_tham_chieu!$A$2:$A$6,0)))</f>
        <v/>
      </c>
      <c r="F9">
        <f>IF(INDEX(boss_input_vu_khi_suy_ra!$E$2:$E$71,MATCH($C$9,boss_input_vu_khi_suy_ra!$A$2:$A$71,0)),INDEX(boss_input_bang_xuyen_giap!$B$2:$B$7,MIN(6,MAX(1,IF(INDEX(boss_input_vu_khi_suy_ra!$D$2:$D$71,MATCH($C$9,boss_input_vu_khi_suy_ra!$A$2:$A$71,0)),MAX(1,2-(INDEX(boss_input_vu_khi!$C$2:$C$71,MATCH($C$9,boss_input_vu_khi!$A$2:$A$71,0))-$E$9)),2-(INDEX(boss_input_vu_khi!$C$2:$C$71,MATCH($C$9,boss_input_vu_khi!$A$2:$A$71,0))-$E$9))+1)))*IF(INDEX(input_xe_tham_chieu!$F$2:$F$6,MATCH($D$9,input_xe_tham_chieu!$A$2:$A$6,0)),INDEX(boss_input_vu_khi_suy_ra!$G$2:$G$71,MATCH($C$9,boss_input_vu_khi_suy_ra!$A$2:$A$71,0)),INDEX(boss_input_vu_khi_suy_ra!$F$2:$F$71,MATCH($C$9,boss_input_vu_khi_suy_ra!$A$2:$A$71,0))),0)</f>
        <v/>
      </c>
      <c r="G9" t="n">
        <v>0.85</v>
      </c>
      <c r="H9">
        <f>INDEX(boss_input_vu_khi!$B$2:$B$71,MATCH($C$9,boss_input_vu_khi!$A$2:$A$71,0))*INDEX(Boss_dps!$D$2:$D$32,MATCH($B$9,Boss_dps!$A$2:$A$32,0))*IF(INDEX(boss_input_vu_khi!$D$2:$D$71,MATCH($C$9,boss_input_vu_khi!$A$2:$A$71,0)),1,INDEX(Boss_dps!$B$2:$B$32,MATCH($B$9,Boss_dps!$A$2:$A$32,0)))*INDEX(Boss_dps!$C$2:$C$32,MATCH($B$9,Boss_dps!$A$2:$A$32,0))*$F$9</f>
        <v/>
      </c>
      <c r="I9" t="n">
        <v>946.4592852000001</v>
      </c>
      <c r="J9">
        <f>IF($H$9&gt;0,CEILING(INDEX(input_xe_tham_chieu!$C$2:$C$6,MATCH($D$9,input_xe_tham_chieu!$A$2:$A$6,0))/$H$9,1),"")</f>
        <v/>
      </c>
      <c r="K9">
        <f>IF(Boss_vu_khi!$S$4*$F$9&gt;0,INDEX(input_xe_tham_chieu!$C$2:$C$6,MATCH($D$9,input_xe_tham_chieu!$A$2:$A$6,0))/(Boss_vu_khi!$S$4*INDEX(Boss_dps!$D$2:$D$32,MATCH($B$9,Boss_dps!$A$2:$A$32,0))*$F$9),"")</f>
        <v/>
      </c>
      <c r="L9">
        <f>1+2*MIN(2,FLOOR(INDEX(boss_input_vu_khi!$E$2:$E$71,MATCH($C$9,boss_input_vu_khi!$A$2:$A$71,0))/8,1))</f>
        <v/>
      </c>
      <c r="M9">
        <f>1+2*MIN(2,FLOOR(MAX(INDEX(boss_input_vu_khi!$E$2:$E$71,MATCH($C$9,boss_input_vu_khi!$A$2:$A$71,0)),Boss_vu_khi!$L$4)/8,1))</f>
        <v/>
      </c>
      <c r="N9">
        <f>IF(INDEX(boss_input_vu_khi!$E$2:$E$71,MATCH($C$9,boss_input_vu_khi!$A$2:$A$71,0))&gt;=8,5,1)</f>
        <v/>
      </c>
      <c r="O9">
        <f>IF(MAX(INDEX(boss_input_vu_khi!$E$2:$E$71,MATCH($C$9,boss_input_vu_khi!$A$2:$A$71,0)),Boss_vu_khi!$L$4)&gt;=8,5,1)</f>
        <v/>
      </c>
      <c r="P9">
        <f>INDEX(boss_input_vu_khi_suy_ra!$H$2:$H$71,MATCH($C$9,boss_input_vu_khi_suy_ra!$A$2:$A$71,0))</f>
        <v/>
      </c>
      <c r="Q9">
        <f>IF(AND(INDEX(input_xe_tham_chieu!$G$2:$G$6,MATCH($D$9,input_xe_tham_chieu!$A$2:$A$6,0))&gt;0,INDEX(boss_input_vu_khi!$E$2:$E$71,MATCH($C$9,boss_input_vu_khi!$A$2:$A$71,0))&gt;0),INDEX(boss_input_vu_khi!$E$2:$E$71,MATCH($C$9,boss_input_vu_khi!$A$2:$A$71,0)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IF(INDEX(boss_input_vu_khi_suy_ra!$D$2:$D$71,MATCH($C$10,boss_input_vu_khi_suy_ra!$A$2:$A$71,0)),INDEX(input_xe_tham_chieu!$E$2:$E$6,MATCH($D$10,input_xe_tham_chieu!$A$2:$A$6,0)),INDEX(input_xe_tham_chieu!$D$2:$D$6,MATCH($D$10,input_xe_tham_chieu!$A$2:$A$6,0)))</f>
        <v/>
      </c>
      <c r="F10">
        <f>IF(INDEX(boss_input_vu_khi_suy_ra!$E$2:$E$71,MATCH($C$10,boss_input_vu_khi_suy_ra!$A$2:$A$71,0)),INDEX(boss_input_bang_xuyen_giap!$B$2:$B$7,MIN(6,MAX(1,IF(INDEX(boss_input_vu_khi_suy_ra!$D$2:$D$71,MATCH($C$10,boss_input_vu_khi_suy_ra!$A$2:$A$71,0)),MAX(1,2-(INDEX(boss_input_vu_khi!$C$2:$C$71,MATCH($C$10,boss_input_vu_khi!$A$2:$A$71,0))-$E$10)),2-(INDEX(boss_input_vu_khi!$C$2:$C$71,MATCH($C$10,boss_input_vu_khi!$A$2:$A$71,0))-$E$10))+1)))*IF(INDEX(input_xe_tham_chieu!$F$2:$F$6,MATCH($D$10,input_xe_tham_chieu!$A$2:$A$6,0)),INDEX(boss_input_vu_khi_suy_ra!$G$2:$G$71,MATCH($C$10,boss_input_vu_khi_suy_ra!$A$2:$A$71,0)),INDEX(boss_input_vu_khi_suy_ra!$F$2:$F$71,MATCH($C$10,boss_input_vu_khi_suy_ra!$A$2:$A$71,0))),0)</f>
        <v/>
      </c>
      <c r="G10" t="n">
        <v>1.2</v>
      </c>
      <c r="H10">
        <f>INDEX(boss_input_vu_khi!$B$2:$B$71,MATCH($C$10,boss_input_vu_khi!$A$2:$A$71,0))*INDEX(Boss_dps!$D$2:$D$32,MATCH($B$10,Boss_dps!$A$2:$A$32,0))*IF(INDEX(boss_input_vu_khi!$D$2:$D$71,MATCH($C$10,boss_input_vu_khi!$A$2:$A$71,0)),1,INDEX(Boss_dps!$B$2:$B$32,MATCH($B$10,Boss_dps!$A$2:$A$32,0)))*INDEX(Boss_dps!$C$2:$C$32,MATCH($B$10,Boss_dps!$A$2:$A$32,0))*$F$10</f>
        <v/>
      </c>
      <c r="I10" t="n">
        <v>1336.1778144</v>
      </c>
      <c r="J10">
        <f>IF($H$10&gt;0,CEILING(INDEX(input_xe_tham_chieu!$C$2:$C$6,MATCH($D$10,input_xe_tham_chieu!$A$2:$A$6,0))/$H$10,1),"")</f>
        <v/>
      </c>
      <c r="K10">
        <f>IF(Boss_vu_khi!$S$4*$F$10&gt;0,INDEX(input_xe_tham_chieu!$C$2:$C$6,MATCH($D$10,input_xe_tham_chieu!$A$2:$A$6,0))/(Boss_vu_khi!$S$4*INDEX(Boss_dps!$D$2:$D$32,MATCH($B$10,Boss_dps!$A$2:$A$32,0))*$F$10),"")</f>
        <v/>
      </c>
      <c r="L10">
        <f>1+2*MIN(2,FLOOR(INDEX(boss_input_vu_khi!$E$2:$E$71,MATCH($C$10,boss_input_vu_khi!$A$2:$A$71,0))/8,1))</f>
        <v/>
      </c>
      <c r="M10">
        <f>1+2*MIN(2,FLOOR(MAX(INDEX(boss_input_vu_khi!$E$2:$E$71,MATCH($C$10,boss_input_vu_khi!$A$2:$A$71,0)),Boss_vu_khi!$L$4)/8,1))</f>
        <v/>
      </c>
      <c r="N10">
        <f>IF(INDEX(boss_input_vu_khi!$E$2:$E$71,MATCH($C$10,boss_input_vu_khi!$A$2:$A$71,0))&gt;=8,5,1)</f>
        <v/>
      </c>
      <c r="O10">
        <f>IF(MAX(INDEX(boss_input_vu_khi!$E$2:$E$71,MATCH($C$10,boss_input_vu_khi!$A$2:$A$71,0)),Boss_vu_khi!$L$4)&gt;=8,5,1)</f>
        <v/>
      </c>
      <c r="P10">
        <f>INDEX(boss_input_vu_khi_suy_ra!$H$2:$H$71,MATCH($C$10,boss_input_vu_khi_suy_ra!$A$2:$A$71,0))</f>
        <v/>
      </c>
      <c r="Q10">
        <f>IF(AND(INDEX(input_xe_tham_chieu!$G$2:$G$6,MATCH($D$10,input_xe_tham_chieu!$A$2:$A$6,0))&gt;0,INDEX(boss_input_vu_khi!$E$2:$E$71,MATCH($C$10,boss_input_vu_khi!$A$2:$A$71,0))&gt;0),INDEX(boss_input_vu_khi!$E$2:$E$71,MATCH($C$10,boss_input_vu_khi!$A$2:$A$71,0)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IF(INDEX(boss_input_vu_khi_suy_ra!$D$2:$D$71,MATCH($C$11,boss_input_vu_khi_suy_ra!$A$2:$A$71,0)),INDEX(input_xe_tham_chieu!$E$2:$E$6,MATCH($D$11,input_xe_tham_chieu!$A$2:$A$6,0)),INDEX(input_xe_tham_chieu!$D$2:$D$6,MATCH($D$11,input_xe_tham_chieu!$A$2:$A$6,0)))</f>
        <v/>
      </c>
      <c r="F11">
        <f>IF(INDEX(boss_input_vu_khi_suy_ra!$E$2:$E$71,MATCH($C$11,boss_input_vu_khi_suy_ra!$A$2:$A$71,0)),INDEX(boss_input_bang_xuyen_giap!$B$2:$B$7,MIN(6,MAX(1,IF(INDEX(boss_input_vu_khi_suy_ra!$D$2:$D$71,MATCH($C$11,boss_input_vu_khi_suy_ra!$A$2:$A$71,0)),MAX(1,2-(INDEX(boss_input_vu_khi!$C$2:$C$71,MATCH($C$11,boss_input_vu_khi!$A$2:$A$71,0))-$E$11)),2-(INDEX(boss_input_vu_khi!$C$2:$C$71,MATCH($C$11,boss_input_vu_khi!$A$2:$A$71,0))-$E$11))+1)))*IF(INDEX(input_xe_tham_chieu!$F$2:$F$6,MATCH($D$11,input_xe_tham_chieu!$A$2:$A$6,0)),INDEX(boss_input_vu_khi_suy_ra!$G$2:$G$71,MATCH($C$11,boss_input_vu_khi_suy_ra!$A$2:$A$71,0)),INDEX(boss_input_vu_khi_suy_ra!$F$2:$F$71,MATCH($C$11,boss_input_vu_khi_suy_ra!$A$2:$A$71,0))),0)</f>
        <v/>
      </c>
      <c r="G11" t="n">
        <v>0.85</v>
      </c>
      <c r="H11">
        <f>INDEX(boss_input_vu_khi!$B$2:$B$71,MATCH($C$11,boss_input_vu_khi!$A$2:$A$71,0))*INDEX(Boss_dps!$D$2:$D$32,MATCH($B$11,Boss_dps!$A$2:$A$32,0))*IF(INDEX(boss_input_vu_khi!$D$2:$D$71,MATCH($C$11,boss_input_vu_khi!$A$2:$A$71,0)),1,INDEX(Boss_dps!$B$2:$B$32,MATCH($B$11,Boss_dps!$A$2:$A$32,0)))*INDEX(Boss_dps!$C$2:$C$32,MATCH($B$11,Boss_dps!$A$2:$A$32,0))*$F$11</f>
        <v/>
      </c>
      <c r="I11" t="n">
        <v>946.4592852000001</v>
      </c>
      <c r="J11">
        <f>IF($H$11&gt;0,CEILING(INDEX(input_xe_tham_chieu!$C$2:$C$6,MATCH($D$11,input_xe_tham_chieu!$A$2:$A$6,0))/$H$11,1),"")</f>
        <v/>
      </c>
      <c r="K11">
        <f>IF(Boss_vu_khi!$S$4*$F$11&gt;0,INDEX(input_xe_tham_chieu!$C$2:$C$6,MATCH($D$11,input_xe_tham_chieu!$A$2:$A$6,0))/(Boss_vu_khi!$S$4*INDEX(Boss_dps!$D$2:$D$32,MATCH($B$11,Boss_dps!$A$2:$A$32,0))*$F$11),"")</f>
        <v/>
      </c>
      <c r="L11">
        <f>1+2*MIN(2,FLOOR(INDEX(boss_input_vu_khi!$E$2:$E$71,MATCH($C$11,boss_input_vu_khi!$A$2:$A$71,0))/8,1))</f>
        <v/>
      </c>
      <c r="M11">
        <f>1+2*MIN(2,FLOOR(MAX(INDEX(boss_input_vu_khi!$E$2:$E$71,MATCH($C$11,boss_input_vu_khi!$A$2:$A$71,0)),Boss_vu_khi!$L$4)/8,1))</f>
        <v/>
      </c>
      <c r="N11">
        <f>IF(INDEX(boss_input_vu_khi!$E$2:$E$71,MATCH($C$11,boss_input_vu_khi!$A$2:$A$71,0))&gt;=8,5,1)</f>
        <v/>
      </c>
      <c r="O11">
        <f>IF(MAX(INDEX(boss_input_vu_khi!$E$2:$E$71,MATCH($C$11,boss_input_vu_khi!$A$2:$A$71,0)),Boss_vu_khi!$L$4)&gt;=8,5,1)</f>
        <v/>
      </c>
      <c r="P11">
        <f>INDEX(boss_input_vu_khi_suy_ra!$H$2:$H$71,MATCH($C$11,boss_input_vu_khi_suy_ra!$A$2:$A$71,0))</f>
        <v/>
      </c>
      <c r="Q11">
        <f>IF(AND(INDEX(input_xe_tham_chieu!$G$2:$G$6,MATCH($D$11,input_xe_tham_chieu!$A$2:$A$6,0))&gt;0,INDEX(boss_input_vu_khi!$E$2:$E$71,MATCH($C$11,boss_input_vu_khi!$A$2:$A$71,0))&gt;0),INDEX(boss_input_vu_khi!$E$2:$E$71,MATCH($C$11,boss_input_vu_khi!$A$2:$A$71,0)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IF(INDEX(boss_input_vu_khi_suy_ra!$D$2:$D$71,MATCH($C$12,boss_input_vu_khi_suy_ra!$A$2:$A$71,0)),INDEX(input_xe_tham_chieu!$E$2:$E$6,MATCH($D$12,input_xe_tham_chieu!$A$2:$A$6,0)),INDEX(input_xe_tham_chieu!$D$2:$D$6,MATCH($D$12,input_xe_tham_chieu!$A$2:$A$6,0)))</f>
        <v/>
      </c>
      <c r="F12">
        <f>IF(INDEX(boss_input_vu_khi_suy_ra!$E$2:$E$71,MATCH($C$12,boss_input_vu_khi_suy_ra!$A$2:$A$71,0)),INDEX(boss_input_bang_xuyen_giap!$B$2:$B$7,MIN(6,MAX(1,IF(INDEX(boss_input_vu_khi_suy_ra!$D$2:$D$71,MATCH($C$12,boss_input_vu_khi_suy_ra!$A$2:$A$71,0)),MAX(1,2-(INDEX(boss_input_vu_khi!$C$2:$C$71,MATCH($C$12,boss_input_vu_khi!$A$2:$A$71,0))-$E$12)),2-(INDEX(boss_input_vu_khi!$C$2:$C$71,MATCH($C$12,boss_input_vu_khi!$A$2:$A$71,0))-$E$12))+1)))*IF(INDEX(input_xe_tham_chieu!$F$2:$F$6,MATCH($D$12,input_xe_tham_chieu!$A$2:$A$6,0)),INDEX(boss_input_vu_khi_suy_ra!$G$2:$G$71,MATCH($C$12,boss_input_vu_khi_suy_ra!$A$2:$A$71,0)),INDEX(boss_input_vu_khi_suy_ra!$F$2:$F$71,MATCH($C$12,boss_input_vu_khi_suy_ra!$A$2:$A$71,0))),0)</f>
        <v/>
      </c>
      <c r="G12" t="n">
        <v>1</v>
      </c>
      <c r="H12">
        <f>INDEX(boss_input_vu_khi!$B$2:$B$71,MATCH($C$12,boss_input_vu_khi!$A$2:$A$71,0))*INDEX(Boss_dps!$D$2:$D$32,MATCH($B$12,Boss_dps!$A$2:$A$32,0))*IF(INDEX(boss_input_vu_khi!$D$2:$D$71,MATCH($C$12,boss_input_vu_khi!$A$2:$A$71,0)),1,INDEX(Boss_dps!$B$2:$B$32,MATCH($B$12,Boss_dps!$A$2:$A$32,0)))*INDEX(Boss_dps!$C$2:$C$32,MATCH($B$12,Boss_dps!$A$2:$A$32,0))*$F$12</f>
        <v/>
      </c>
      <c r="I12" t="n">
        <v>2931.59856</v>
      </c>
      <c r="J12">
        <f>IF($H$12&gt;0,CEILING(INDEX(input_xe_tham_chieu!$C$2:$C$6,MATCH($D$12,input_xe_tham_chieu!$A$2:$A$6,0))/$H$12,1),"")</f>
        <v/>
      </c>
      <c r="K12">
        <f>IF(Boss_vu_khi!$S$10*$F$12&gt;0,INDEX(input_xe_tham_chieu!$C$2:$C$6,MATCH($D$12,input_xe_tham_chieu!$A$2:$A$6,0))/(Boss_vu_khi!$S$10*INDEX(Boss_dps!$D$2:$D$32,MATCH($B$12,Boss_dps!$A$2:$A$32,0))*$F$12),"")</f>
        <v/>
      </c>
      <c r="L12">
        <f>1+2*MIN(2,FLOOR(INDEX(boss_input_vu_khi!$E$2:$E$71,MATCH($C$12,boss_input_vu_khi!$A$2:$A$71,0))/8,1))</f>
        <v/>
      </c>
      <c r="M12">
        <f>1+2*MIN(2,FLOOR(MAX(INDEX(boss_input_vu_khi!$E$2:$E$71,MATCH($C$12,boss_input_vu_khi!$A$2:$A$71,0)),Boss_vu_khi!$L$10)/8,1))</f>
        <v/>
      </c>
      <c r="N12">
        <f>IF(INDEX(boss_input_vu_khi!$E$2:$E$71,MATCH($C$12,boss_input_vu_khi!$A$2:$A$71,0))&gt;=8,5,1)</f>
        <v/>
      </c>
      <c r="O12">
        <f>IF(MAX(INDEX(boss_input_vu_khi!$E$2:$E$71,MATCH($C$12,boss_input_vu_khi!$A$2:$A$71,0)),Boss_vu_khi!$L$10)&gt;=8,5,1)</f>
        <v/>
      </c>
      <c r="P12">
        <f>INDEX(boss_input_vu_khi_suy_ra!$H$2:$H$71,MATCH($C$12,boss_input_vu_khi_suy_ra!$A$2:$A$71,0))</f>
        <v/>
      </c>
      <c r="Q12">
        <f>IF(AND(INDEX(input_xe_tham_chieu!$G$2:$G$6,MATCH($D$12,input_xe_tham_chieu!$A$2:$A$6,0))&gt;0,INDEX(boss_input_vu_khi!$E$2:$E$71,MATCH($C$12,boss_input_vu_khi!$A$2:$A$71,0))&gt;0),INDEX(boss_input_vu_khi!$E$2:$E$71,MATCH($C$12,boss_input_vu_khi!$A$2:$A$71,0)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IF(INDEX(boss_input_vu_khi_suy_ra!$D$2:$D$71,MATCH($C$13,boss_input_vu_khi_suy_ra!$A$2:$A$71,0)),INDEX(input_xe_tham_chieu!$E$2:$E$6,MATCH($D$13,input_xe_tham_chieu!$A$2:$A$6,0)),INDEX(input_xe_tham_chieu!$D$2:$D$6,MATCH($D$13,input_xe_tham_chieu!$A$2:$A$6,0)))</f>
        <v/>
      </c>
      <c r="F13">
        <f>IF(INDEX(boss_input_vu_khi_suy_ra!$E$2:$E$71,MATCH($C$13,boss_input_vu_khi_suy_ra!$A$2:$A$71,0)),INDEX(boss_input_bang_xuyen_giap!$B$2:$B$7,MIN(6,MAX(1,IF(INDEX(boss_input_vu_khi_suy_ra!$D$2:$D$71,MATCH($C$13,boss_input_vu_khi_suy_ra!$A$2:$A$71,0)),MAX(1,2-(INDEX(boss_input_vu_khi!$C$2:$C$71,MATCH($C$13,boss_input_vu_khi!$A$2:$A$71,0))-$E$13)),2-(INDEX(boss_input_vu_khi!$C$2:$C$71,MATCH($C$13,boss_input_vu_khi!$A$2:$A$71,0))-$E$13))+1)))*IF(INDEX(input_xe_tham_chieu!$F$2:$F$6,MATCH($D$13,input_xe_tham_chieu!$A$2:$A$6,0)),INDEX(boss_input_vu_khi_suy_ra!$G$2:$G$71,MATCH($C$13,boss_input_vu_khi_suy_ra!$A$2:$A$71,0)),INDEX(boss_input_vu_khi_suy_ra!$F$2:$F$71,MATCH($C$13,boss_input_vu_khi_suy_ra!$A$2:$A$71,0))),0)</f>
        <v/>
      </c>
      <c r="G13" t="n">
        <v>1.5</v>
      </c>
      <c r="H13">
        <f>INDEX(boss_input_vu_khi!$B$2:$B$71,MATCH($C$13,boss_input_vu_khi!$A$2:$A$71,0))*INDEX(Boss_dps!$D$2:$D$32,MATCH($B$13,Boss_dps!$A$2:$A$32,0))*IF(INDEX(boss_input_vu_khi!$D$2:$D$71,MATCH($C$13,boss_input_vu_khi!$A$2:$A$71,0)),1,INDEX(Boss_dps!$B$2:$B$32,MATCH($B$13,Boss_dps!$A$2:$A$32,0)))*INDEX(Boss_dps!$C$2:$C$32,MATCH($B$13,Boss_dps!$A$2:$A$32,0))*$F$13</f>
        <v/>
      </c>
      <c r="I13" t="n">
        <v>4397.397840000001</v>
      </c>
      <c r="J13">
        <f>IF($H$13&gt;0,CEILING(INDEX(input_xe_tham_chieu!$C$2:$C$6,MATCH($D$13,input_xe_tham_chieu!$A$2:$A$6,0))/$H$13,1),"")</f>
        <v/>
      </c>
      <c r="K13">
        <f>IF(Boss_vu_khi!$S$10*$F$13&gt;0,INDEX(input_xe_tham_chieu!$C$2:$C$6,MATCH($D$13,input_xe_tham_chieu!$A$2:$A$6,0))/(Boss_vu_khi!$S$10*INDEX(Boss_dps!$D$2:$D$32,MATCH($B$13,Boss_dps!$A$2:$A$32,0))*$F$13),"")</f>
        <v/>
      </c>
      <c r="L13">
        <f>1+2*MIN(2,FLOOR(INDEX(boss_input_vu_khi!$E$2:$E$71,MATCH($C$13,boss_input_vu_khi!$A$2:$A$71,0))/8,1))</f>
        <v/>
      </c>
      <c r="M13">
        <f>1+2*MIN(2,FLOOR(MAX(INDEX(boss_input_vu_khi!$E$2:$E$71,MATCH($C$13,boss_input_vu_khi!$A$2:$A$71,0)),Boss_vu_khi!$L$10)/8,1))</f>
        <v/>
      </c>
      <c r="N13">
        <f>IF(INDEX(boss_input_vu_khi!$E$2:$E$71,MATCH($C$13,boss_input_vu_khi!$A$2:$A$71,0))&gt;=8,5,1)</f>
        <v/>
      </c>
      <c r="O13">
        <f>IF(MAX(INDEX(boss_input_vu_khi!$E$2:$E$71,MATCH($C$13,boss_input_vu_khi!$A$2:$A$71,0)),Boss_vu_khi!$L$10)&gt;=8,5,1)</f>
        <v/>
      </c>
      <c r="P13">
        <f>INDEX(boss_input_vu_khi_suy_ra!$H$2:$H$71,MATCH($C$13,boss_input_vu_khi_suy_ra!$A$2:$A$71,0))</f>
        <v/>
      </c>
      <c r="Q13">
        <f>IF(AND(INDEX(input_xe_tham_chieu!$G$2:$G$6,MATCH($D$13,input_xe_tham_chieu!$A$2:$A$6,0))&gt;0,INDEX(boss_input_vu_khi!$E$2:$E$71,MATCH($C$13,boss_input_vu_khi!$A$2:$A$71,0))&gt;0),INDEX(boss_input_vu_khi!$E$2:$E$71,MATCH($C$13,boss_input_vu_khi!$A$2:$A$71,0)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IF(INDEX(boss_input_vu_khi_suy_ra!$D$2:$D$71,MATCH($C$14,boss_input_vu_khi_suy_ra!$A$2:$A$71,0)),INDEX(input_xe_tham_chieu!$E$2:$E$6,MATCH($D$14,input_xe_tham_chieu!$A$2:$A$6,0)),INDEX(input_xe_tham_chieu!$D$2:$D$6,MATCH($D$14,input_xe_tham_chieu!$A$2:$A$6,0)))</f>
        <v/>
      </c>
      <c r="F14">
        <f>IF(INDEX(boss_input_vu_khi_suy_ra!$E$2:$E$71,MATCH($C$14,boss_input_vu_khi_suy_ra!$A$2:$A$71,0)),INDEX(boss_input_bang_xuyen_giap!$B$2:$B$7,MIN(6,MAX(1,IF(INDEX(boss_input_vu_khi_suy_ra!$D$2:$D$71,MATCH($C$14,boss_input_vu_khi_suy_ra!$A$2:$A$71,0)),MAX(1,2-(INDEX(boss_input_vu_khi!$C$2:$C$71,MATCH($C$14,boss_input_vu_khi!$A$2:$A$71,0))-$E$14)),2-(INDEX(boss_input_vu_khi!$C$2:$C$71,MATCH($C$14,boss_input_vu_khi!$A$2:$A$71,0))-$E$14))+1)))*IF(INDEX(input_xe_tham_chieu!$F$2:$F$6,MATCH($D$14,input_xe_tham_chieu!$A$2:$A$6,0)),INDEX(boss_input_vu_khi_suy_ra!$G$2:$G$71,MATCH($C$14,boss_input_vu_khi_suy_ra!$A$2:$A$71,0)),INDEX(boss_input_vu_khi_suy_ra!$F$2:$F$71,MATCH($C$14,boss_input_vu_khi_suy_ra!$A$2:$A$71,0))),0)</f>
        <v/>
      </c>
      <c r="G14" t="n">
        <v>1</v>
      </c>
      <c r="H14">
        <f>INDEX(boss_input_vu_khi!$B$2:$B$71,MATCH($C$14,boss_input_vu_khi!$A$2:$A$71,0))*INDEX(Boss_dps!$D$2:$D$32,MATCH($B$14,Boss_dps!$A$2:$A$32,0))*IF(INDEX(boss_input_vu_khi!$D$2:$D$71,MATCH($C$14,boss_input_vu_khi!$A$2:$A$71,0)),1,INDEX(Boss_dps!$B$2:$B$32,MATCH($B$14,Boss_dps!$A$2:$A$32,0)))*INDEX(Boss_dps!$C$2:$C$32,MATCH($B$14,Boss_dps!$A$2:$A$32,0))*$F$14</f>
        <v/>
      </c>
      <c r="I14" t="n">
        <v>2931.59856</v>
      </c>
      <c r="J14">
        <f>IF($H$14&gt;0,CEILING(INDEX(input_xe_tham_chieu!$C$2:$C$6,MATCH($D$14,input_xe_tham_chieu!$A$2:$A$6,0))/$H$14,1),"")</f>
        <v/>
      </c>
      <c r="K14">
        <f>IF(Boss_vu_khi!$S$10*$F$14&gt;0,INDEX(input_xe_tham_chieu!$C$2:$C$6,MATCH($D$14,input_xe_tham_chieu!$A$2:$A$6,0))/(Boss_vu_khi!$S$10*INDEX(Boss_dps!$D$2:$D$32,MATCH($B$14,Boss_dps!$A$2:$A$32,0))*$F$14),"")</f>
        <v/>
      </c>
      <c r="L14">
        <f>1+2*MIN(2,FLOOR(INDEX(boss_input_vu_khi!$E$2:$E$71,MATCH($C$14,boss_input_vu_khi!$A$2:$A$71,0))/8,1))</f>
        <v/>
      </c>
      <c r="M14">
        <f>1+2*MIN(2,FLOOR(MAX(INDEX(boss_input_vu_khi!$E$2:$E$71,MATCH($C$14,boss_input_vu_khi!$A$2:$A$71,0)),Boss_vu_khi!$L$10)/8,1))</f>
        <v/>
      </c>
      <c r="N14">
        <f>IF(INDEX(boss_input_vu_khi!$E$2:$E$71,MATCH($C$14,boss_input_vu_khi!$A$2:$A$71,0))&gt;=8,5,1)</f>
        <v/>
      </c>
      <c r="O14">
        <f>IF(MAX(INDEX(boss_input_vu_khi!$E$2:$E$71,MATCH($C$14,boss_input_vu_khi!$A$2:$A$71,0)),Boss_vu_khi!$L$10)&gt;=8,5,1)</f>
        <v/>
      </c>
      <c r="P14">
        <f>INDEX(boss_input_vu_khi_suy_ra!$H$2:$H$71,MATCH($C$14,boss_input_vu_khi_suy_ra!$A$2:$A$71,0))</f>
        <v/>
      </c>
      <c r="Q14">
        <f>IF(AND(INDEX(input_xe_tham_chieu!$G$2:$G$6,MATCH($D$14,input_xe_tham_chieu!$A$2:$A$6,0))&gt;0,INDEX(boss_input_vu_khi!$E$2:$E$71,MATCH($C$14,boss_input_vu_khi!$A$2:$A$71,0))&gt;0),INDEX(boss_input_vu_khi!$E$2:$E$71,MATCH($C$14,boss_input_vu_khi!$A$2:$A$71,0)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IF(INDEX(boss_input_vu_khi_suy_ra!$D$2:$D$71,MATCH($C$15,boss_input_vu_khi_suy_ra!$A$2:$A$71,0)),INDEX(input_xe_tham_chieu!$E$2:$E$6,MATCH($D$15,input_xe_tham_chieu!$A$2:$A$6,0)),INDEX(input_xe_tham_chieu!$D$2:$D$6,MATCH($D$15,input_xe_tham_chieu!$A$2:$A$6,0)))</f>
        <v/>
      </c>
      <c r="F15">
        <f>IF(INDEX(boss_input_vu_khi_suy_ra!$E$2:$E$71,MATCH($C$15,boss_input_vu_khi_suy_ra!$A$2:$A$71,0)),INDEX(boss_input_bang_xuyen_giap!$B$2:$B$7,MIN(6,MAX(1,IF(INDEX(boss_input_vu_khi_suy_ra!$D$2:$D$71,MATCH($C$15,boss_input_vu_khi_suy_ra!$A$2:$A$71,0)),MAX(1,2-(INDEX(boss_input_vu_khi!$C$2:$C$71,MATCH($C$15,boss_input_vu_khi!$A$2:$A$71,0))-$E$15)),2-(INDEX(boss_input_vu_khi!$C$2:$C$71,MATCH($C$15,boss_input_vu_khi!$A$2:$A$71,0))-$E$15))+1)))*IF(INDEX(input_xe_tham_chieu!$F$2:$F$6,MATCH($D$15,input_xe_tham_chieu!$A$2:$A$6,0)),INDEX(boss_input_vu_khi_suy_ra!$G$2:$G$71,MATCH($C$15,boss_input_vu_khi_suy_ra!$A$2:$A$71,0)),INDEX(boss_input_vu_khi_suy_ra!$F$2:$F$71,MATCH($C$15,boss_input_vu_khi_suy_ra!$A$2:$A$71,0))),0)</f>
        <v/>
      </c>
      <c r="G15" t="n">
        <v>1</v>
      </c>
      <c r="H15">
        <f>INDEX(boss_input_vu_khi!$B$2:$B$71,MATCH($C$15,boss_input_vu_khi!$A$2:$A$71,0))*INDEX(Boss_dps!$D$2:$D$32,MATCH($B$15,Boss_dps!$A$2:$A$32,0))*IF(INDEX(boss_input_vu_khi!$D$2:$D$71,MATCH($C$15,boss_input_vu_khi!$A$2:$A$71,0)),1,INDEX(Boss_dps!$B$2:$B$32,MATCH($B$15,Boss_dps!$A$2:$A$32,0)))*INDEX(Boss_dps!$C$2:$C$32,MATCH($B$15,Boss_dps!$A$2:$A$32,0))*$F$15</f>
        <v/>
      </c>
      <c r="I15" t="n">
        <v>2931.59856</v>
      </c>
      <c r="J15">
        <f>IF($H$15&gt;0,CEILING(INDEX(input_xe_tham_chieu!$C$2:$C$6,MATCH($D$15,input_xe_tham_chieu!$A$2:$A$6,0))/$H$15,1),"")</f>
        <v/>
      </c>
      <c r="K15">
        <f>IF(Boss_vu_khi!$S$10*$F$15&gt;0,INDEX(input_xe_tham_chieu!$C$2:$C$6,MATCH($D$15,input_xe_tham_chieu!$A$2:$A$6,0))/(Boss_vu_khi!$S$10*INDEX(Boss_dps!$D$2:$D$32,MATCH($B$15,Boss_dps!$A$2:$A$32,0))*$F$15),"")</f>
        <v/>
      </c>
      <c r="L15">
        <f>1+2*MIN(2,FLOOR(INDEX(boss_input_vu_khi!$E$2:$E$71,MATCH($C$15,boss_input_vu_khi!$A$2:$A$71,0))/8,1))</f>
        <v/>
      </c>
      <c r="M15">
        <f>1+2*MIN(2,FLOOR(MAX(INDEX(boss_input_vu_khi!$E$2:$E$71,MATCH($C$15,boss_input_vu_khi!$A$2:$A$71,0)),Boss_vu_khi!$L$10)/8,1))</f>
        <v/>
      </c>
      <c r="N15">
        <f>IF(INDEX(boss_input_vu_khi!$E$2:$E$71,MATCH($C$15,boss_input_vu_khi!$A$2:$A$71,0))&gt;=8,5,1)</f>
        <v/>
      </c>
      <c r="O15">
        <f>IF(MAX(INDEX(boss_input_vu_khi!$E$2:$E$71,MATCH($C$15,boss_input_vu_khi!$A$2:$A$71,0)),Boss_vu_khi!$L$10)&gt;=8,5,1)</f>
        <v/>
      </c>
      <c r="P15">
        <f>INDEX(boss_input_vu_khi_suy_ra!$H$2:$H$71,MATCH($C$15,boss_input_vu_khi_suy_ra!$A$2:$A$71,0))</f>
        <v/>
      </c>
      <c r="Q15">
        <f>IF(AND(INDEX(input_xe_tham_chieu!$G$2:$G$6,MATCH($D$15,input_xe_tham_chieu!$A$2:$A$6,0))&gt;0,INDEX(boss_input_vu_khi!$E$2:$E$71,MATCH($C$15,boss_input_vu_khi!$A$2:$A$71,0))&gt;0),INDEX(boss_input_vu_khi!$E$2:$E$71,MATCH($C$15,boss_input_vu_khi!$A$2:$A$71,0)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IF(INDEX(boss_input_vu_khi_suy_ra!$D$2:$D$71,MATCH($C$16,boss_input_vu_khi_suy_ra!$A$2:$A$71,0)),INDEX(input_xe_tham_chieu!$E$2:$E$6,MATCH($D$16,input_xe_tham_chieu!$A$2:$A$6,0)),INDEX(input_xe_tham_chieu!$D$2:$D$6,MATCH($D$16,input_xe_tham_chieu!$A$2:$A$6,0)))</f>
        <v/>
      </c>
      <c r="F16">
        <f>IF(INDEX(boss_input_vu_khi_suy_ra!$E$2:$E$71,MATCH($C$16,boss_input_vu_khi_suy_ra!$A$2:$A$71,0)),INDEX(boss_input_bang_xuyen_giap!$B$2:$B$7,MIN(6,MAX(1,IF(INDEX(boss_input_vu_khi_suy_ra!$D$2:$D$71,MATCH($C$16,boss_input_vu_khi_suy_ra!$A$2:$A$71,0)),MAX(1,2-(INDEX(boss_input_vu_khi!$C$2:$C$71,MATCH($C$16,boss_input_vu_khi!$A$2:$A$71,0))-$E$16)),2-(INDEX(boss_input_vu_khi!$C$2:$C$71,MATCH($C$16,boss_input_vu_khi!$A$2:$A$71,0))-$E$16))+1)))*IF(INDEX(input_xe_tham_chieu!$F$2:$F$6,MATCH($D$16,input_xe_tham_chieu!$A$2:$A$6,0)),INDEX(boss_input_vu_khi_suy_ra!$G$2:$G$71,MATCH($C$16,boss_input_vu_khi_suy_ra!$A$2:$A$71,0)),INDEX(boss_input_vu_khi_suy_ra!$F$2:$F$71,MATCH($C$16,boss_input_vu_khi_suy_ra!$A$2:$A$71,0))),0)</f>
        <v/>
      </c>
      <c r="G16" t="n">
        <v>1</v>
      </c>
      <c r="H16">
        <f>INDEX(boss_input_vu_khi!$B$2:$B$71,MATCH($C$16,boss_input_vu_khi!$A$2:$A$71,0))*INDEX(Boss_dps!$D$2:$D$32,MATCH($B$16,Boss_dps!$A$2:$A$32,0))*IF(INDEX(boss_input_vu_khi!$D$2:$D$71,MATCH($C$16,boss_input_vu_khi!$A$2:$A$71,0)),1,INDEX(Boss_dps!$B$2:$B$32,MATCH($B$16,Boss_dps!$A$2:$A$32,0)))*INDEX(Boss_dps!$C$2:$C$32,MATCH($B$16,Boss_dps!$A$2:$A$32,0))*$F$16</f>
        <v/>
      </c>
      <c r="I16" t="n">
        <v>2931.59856</v>
      </c>
      <c r="J16">
        <f>IF($H$16&gt;0,CEILING(INDEX(input_xe_tham_chieu!$C$2:$C$6,MATCH($D$16,input_xe_tham_chieu!$A$2:$A$6,0))/$H$16,1),"")</f>
        <v/>
      </c>
      <c r="K16">
        <f>IF(Boss_vu_khi!$S$10*$F$16&gt;0,INDEX(input_xe_tham_chieu!$C$2:$C$6,MATCH($D$16,input_xe_tham_chieu!$A$2:$A$6,0))/(Boss_vu_khi!$S$10*INDEX(Boss_dps!$D$2:$D$32,MATCH($B$16,Boss_dps!$A$2:$A$32,0))*$F$16),"")</f>
        <v/>
      </c>
      <c r="L16">
        <f>1+2*MIN(2,FLOOR(INDEX(boss_input_vu_khi!$E$2:$E$71,MATCH($C$16,boss_input_vu_khi!$A$2:$A$71,0))/8,1))</f>
        <v/>
      </c>
      <c r="M16">
        <f>1+2*MIN(2,FLOOR(MAX(INDEX(boss_input_vu_khi!$E$2:$E$71,MATCH($C$16,boss_input_vu_khi!$A$2:$A$71,0)),Boss_vu_khi!$L$10)/8,1))</f>
        <v/>
      </c>
      <c r="N16">
        <f>IF(INDEX(boss_input_vu_khi!$E$2:$E$71,MATCH($C$16,boss_input_vu_khi!$A$2:$A$71,0))&gt;=8,5,1)</f>
        <v/>
      </c>
      <c r="O16">
        <f>IF(MAX(INDEX(boss_input_vu_khi!$E$2:$E$71,MATCH($C$16,boss_input_vu_khi!$A$2:$A$71,0)),Boss_vu_khi!$L$10)&gt;=8,5,1)</f>
        <v/>
      </c>
      <c r="P16">
        <f>INDEX(boss_input_vu_khi_suy_ra!$H$2:$H$71,MATCH($C$16,boss_input_vu_khi_suy_ra!$A$2:$A$71,0))</f>
        <v/>
      </c>
      <c r="Q16">
        <f>IF(AND(INDEX(input_xe_tham_chieu!$G$2:$G$6,MATCH($D$16,input_xe_tham_chieu!$A$2:$A$6,0))&gt;0,INDEX(boss_input_vu_khi!$E$2:$E$71,MATCH($C$16,boss_input_vu_khi!$A$2:$A$71,0))&gt;0),INDEX(boss_input_vu_khi!$E$2:$E$71,MATCH($C$16,boss_input_vu_khi!$A$2:$A$71,0)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IF(INDEX(boss_input_vu_khi_suy_ra!$D$2:$D$71,MATCH($C$17,boss_input_vu_khi_suy_ra!$A$2:$A$71,0)),INDEX(input_xe_tham_chieu!$E$2:$E$6,MATCH($D$17,input_xe_tham_chieu!$A$2:$A$6,0)),INDEX(input_xe_tham_chieu!$D$2:$D$6,MATCH($D$17,input_xe_tham_chieu!$A$2:$A$6,0)))</f>
        <v/>
      </c>
      <c r="F17">
        <f>IF(INDEX(boss_input_vu_khi_suy_ra!$E$2:$E$71,MATCH($C$17,boss_input_vu_khi_suy_ra!$A$2:$A$71,0)),INDEX(boss_input_bang_xuyen_giap!$B$2:$B$7,MIN(6,MAX(1,IF(INDEX(boss_input_vu_khi_suy_ra!$D$2:$D$71,MATCH($C$17,boss_input_vu_khi_suy_ra!$A$2:$A$71,0)),MAX(1,2-(INDEX(boss_input_vu_khi!$C$2:$C$71,MATCH($C$17,boss_input_vu_khi!$A$2:$A$71,0))-$E$17)),2-(INDEX(boss_input_vu_khi!$C$2:$C$71,MATCH($C$17,boss_input_vu_khi!$A$2:$A$71,0))-$E$17))+1)))*IF(INDEX(input_xe_tham_chieu!$F$2:$F$6,MATCH($D$17,input_xe_tham_chieu!$A$2:$A$6,0)),INDEX(boss_input_vu_khi_suy_ra!$G$2:$G$71,MATCH($C$17,boss_input_vu_khi_suy_ra!$A$2:$A$71,0)),INDEX(boss_input_vu_khi_suy_ra!$F$2:$F$71,MATCH($C$17,boss_input_vu_khi_suy_ra!$A$2:$A$71,0))),0)</f>
        <v/>
      </c>
      <c r="G17" t="n">
        <v>1.2</v>
      </c>
      <c r="H17">
        <f>INDEX(boss_input_vu_khi!$B$2:$B$71,MATCH($C$17,boss_input_vu_khi!$A$2:$A$71,0))*INDEX(Boss_dps!$D$2:$D$32,MATCH($B$17,Boss_dps!$A$2:$A$32,0))*IF(INDEX(boss_input_vu_khi!$D$2:$D$71,MATCH($C$17,boss_input_vu_khi!$A$2:$A$71,0)),1,INDEX(Boss_dps!$B$2:$B$32,MATCH($B$17,Boss_dps!$A$2:$A$32,0)))*INDEX(Boss_dps!$C$2:$C$32,MATCH($B$17,Boss_dps!$A$2:$A$32,0))*$F$17</f>
        <v/>
      </c>
      <c r="I17" t="n">
        <v>1008</v>
      </c>
      <c r="J17">
        <f>IF($H$17&gt;0,CEILING(INDEX(input_xe_tham_chieu!$C$2:$C$6,MATCH($D$17,input_xe_tham_chieu!$A$2:$A$6,0))/$H$17,1),"")</f>
        <v/>
      </c>
      <c r="K17">
        <f>IF(Boss_vu_khi!$S$13*$F$17&gt;0,INDEX(input_xe_tham_chieu!$C$2:$C$6,MATCH($D$17,input_xe_tham_chieu!$A$2:$A$6,0))/(Boss_vu_khi!$S$13*INDEX(Boss_dps!$D$2:$D$32,MATCH($B$17,Boss_dps!$A$2:$A$32,0))*$F$17),"")</f>
        <v/>
      </c>
      <c r="L17">
        <f>1+2*MIN(2,FLOOR(INDEX(boss_input_vu_khi!$E$2:$E$71,MATCH($C$17,boss_input_vu_khi!$A$2:$A$71,0))/8,1))</f>
        <v/>
      </c>
      <c r="M17">
        <f>1+2*MIN(2,FLOOR(MAX(INDEX(boss_input_vu_khi!$E$2:$E$71,MATCH($C$17,boss_input_vu_khi!$A$2:$A$71,0)),Boss_vu_khi!$L$13)/8,1))</f>
        <v/>
      </c>
      <c r="N17">
        <f>IF(INDEX(boss_input_vu_khi!$E$2:$E$71,MATCH($C$17,boss_input_vu_khi!$A$2:$A$71,0))&gt;=8,5,1)</f>
        <v/>
      </c>
      <c r="O17">
        <f>IF(MAX(INDEX(boss_input_vu_khi!$E$2:$E$71,MATCH($C$17,boss_input_vu_khi!$A$2:$A$71,0)),Boss_vu_khi!$L$13)&gt;=8,5,1)</f>
        <v/>
      </c>
      <c r="P17">
        <f>INDEX(boss_input_vu_khi_suy_ra!$H$2:$H$71,MATCH($C$17,boss_input_vu_khi_suy_ra!$A$2:$A$71,0))</f>
        <v/>
      </c>
      <c r="Q17">
        <f>IF(AND(INDEX(input_xe_tham_chieu!$G$2:$G$6,MATCH($D$17,input_xe_tham_chieu!$A$2:$A$6,0))&gt;0,INDEX(boss_input_vu_khi!$E$2:$E$71,MATCH($C$17,boss_input_vu_khi!$A$2:$A$71,0))&gt;0),INDEX(boss_input_vu_khi!$E$2:$E$71,MATCH($C$17,boss_input_vu_khi!$A$2:$A$71,0)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IF(INDEX(boss_input_vu_khi_suy_ra!$D$2:$D$71,MATCH($C$18,boss_input_vu_khi_suy_ra!$A$2:$A$71,0)),INDEX(input_xe_tham_chieu!$E$2:$E$6,MATCH($D$18,input_xe_tham_chieu!$A$2:$A$6,0)),INDEX(input_xe_tham_chieu!$D$2:$D$6,MATCH($D$18,input_xe_tham_chieu!$A$2:$A$6,0)))</f>
        <v/>
      </c>
      <c r="F18">
        <f>IF(INDEX(boss_input_vu_khi_suy_ra!$E$2:$E$71,MATCH($C$18,boss_input_vu_khi_suy_ra!$A$2:$A$71,0)),INDEX(boss_input_bang_xuyen_giap!$B$2:$B$7,MIN(6,MAX(1,IF(INDEX(boss_input_vu_khi_suy_ra!$D$2:$D$71,MATCH($C$18,boss_input_vu_khi_suy_ra!$A$2:$A$71,0)),MAX(1,2-(INDEX(boss_input_vu_khi!$C$2:$C$71,MATCH($C$18,boss_input_vu_khi!$A$2:$A$71,0))-$E$18)),2-(INDEX(boss_input_vu_khi!$C$2:$C$71,MATCH($C$18,boss_input_vu_khi!$A$2:$A$71,0))-$E$18))+1)))*IF(INDEX(input_xe_tham_chieu!$F$2:$F$6,MATCH($D$18,input_xe_tham_chieu!$A$2:$A$6,0)),INDEX(boss_input_vu_khi_suy_ra!$G$2:$G$71,MATCH($C$18,boss_input_vu_khi_suy_ra!$A$2:$A$71,0)),INDEX(boss_input_vu_khi_suy_ra!$F$2:$F$71,MATCH($C$18,boss_input_vu_khi_suy_ra!$A$2:$A$71,0))),0)</f>
        <v/>
      </c>
      <c r="G18" t="n">
        <v>1.275</v>
      </c>
      <c r="H18">
        <f>INDEX(boss_input_vu_khi!$B$2:$B$71,MATCH($C$18,boss_input_vu_khi!$A$2:$A$71,0))*INDEX(Boss_dps!$D$2:$D$32,MATCH($B$18,Boss_dps!$A$2:$A$32,0))*IF(INDEX(boss_input_vu_khi!$D$2:$D$71,MATCH($C$18,boss_input_vu_khi!$A$2:$A$71,0)),1,INDEX(Boss_dps!$B$2:$B$32,MATCH($B$18,Boss_dps!$A$2:$A$32,0)))*INDEX(Boss_dps!$C$2:$C$32,MATCH($B$18,Boss_dps!$A$2:$A$32,0))*$F$18</f>
        <v/>
      </c>
      <c r="I18" t="n">
        <v>1071</v>
      </c>
      <c r="J18">
        <f>IF($H$18&gt;0,CEILING(INDEX(input_xe_tham_chieu!$C$2:$C$6,MATCH($D$18,input_xe_tham_chieu!$A$2:$A$6,0))/$H$18,1),"")</f>
        <v/>
      </c>
      <c r="K18">
        <f>IF(Boss_vu_khi!$S$13*$F$18&gt;0,INDEX(input_xe_tham_chieu!$C$2:$C$6,MATCH($D$18,input_xe_tham_chieu!$A$2:$A$6,0))/(Boss_vu_khi!$S$13*INDEX(Boss_dps!$D$2:$D$32,MATCH($B$18,Boss_dps!$A$2:$A$32,0))*$F$18),"")</f>
        <v/>
      </c>
      <c r="L18">
        <f>1+2*MIN(2,FLOOR(INDEX(boss_input_vu_khi!$E$2:$E$71,MATCH($C$18,boss_input_vu_khi!$A$2:$A$71,0))/8,1))</f>
        <v/>
      </c>
      <c r="M18">
        <f>1+2*MIN(2,FLOOR(MAX(INDEX(boss_input_vu_khi!$E$2:$E$71,MATCH($C$18,boss_input_vu_khi!$A$2:$A$71,0)),Boss_vu_khi!$L$13)/8,1))</f>
        <v/>
      </c>
      <c r="N18">
        <f>IF(INDEX(boss_input_vu_khi!$E$2:$E$71,MATCH($C$18,boss_input_vu_khi!$A$2:$A$71,0))&gt;=8,5,1)</f>
        <v/>
      </c>
      <c r="O18">
        <f>IF(MAX(INDEX(boss_input_vu_khi!$E$2:$E$71,MATCH($C$18,boss_input_vu_khi!$A$2:$A$71,0)),Boss_vu_khi!$L$13)&gt;=8,5,1)</f>
        <v/>
      </c>
      <c r="P18">
        <f>INDEX(boss_input_vu_khi_suy_ra!$H$2:$H$71,MATCH($C$18,boss_input_vu_khi_suy_ra!$A$2:$A$71,0))</f>
        <v/>
      </c>
      <c r="Q18">
        <f>IF(AND(INDEX(input_xe_tham_chieu!$G$2:$G$6,MATCH($D$18,input_xe_tham_chieu!$A$2:$A$6,0))&gt;0,INDEX(boss_input_vu_khi!$E$2:$E$71,MATCH($C$18,boss_input_vu_khi!$A$2:$A$71,0))&gt;0),INDEX(boss_input_vu_khi!$E$2:$E$71,MATCH($C$18,boss_input_vu_khi!$A$2:$A$71,0)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IF(INDEX(boss_input_vu_khi_suy_ra!$D$2:$D$71,MATCH($C$19,boss_input_vu_khi_suy_ra!$A$2:$A$71,0)),INDEX(input_xe_tham_chieu!$E$2:$E$6,MATCH($D$19,input_xe_tham_chieu!$A$2:$A$6,0)),INDEX(input_xe_tham_chieu!$D$2:$D$6,MATCH($D$19,input_xe_tham_chieu!$A$2:$A$6,0)))</f>
        <v/>
      </c>
      <c r="F19">
        <f>IF(INDEX(boss_input_vu_khi_suy_ra!$E$2:$E$71,MATCH($C$19,boss_input_vu_khi_suy_ra!$A$2:$A$71,0)),INDEX(boss_input_bang_xuyen_giap!$B$2:$B$7,MIN(6,MAX(1,IF(INDEX(boss_input_vu_khi_suy_ra!$D$2:$D$71,MATCH($C$19,boss_input_vu_khi_suy_ra!$A$2:$A$71,0)),MAX(1,2-(INDEX(boss_input_vu_khi!$C$2:$C$71,MATCH($C$19,boss_input_vu_khi!$A$2:$A$71,0))-$E$19)),2-(INDEX(boss_input_vu_khi!$C$2:$C$71,MATCH($C$19,boss_input_vu_khi!$A$2:$A$71,0))-$E$19))+1)))*IF(INDEX(input_xe_tham_chieu!$F$2:$F$6,MATCH($D$19,input_xe_tham_chieu!$A$2:$A$6,0)),INDEX(boss_input_vu_khi_suy_ra!$G$2:$G$71,MATCH($C$19,boss_input_vu_khi_suy_ra!$A$2:$A$71,0)),INDEX(boss_input_vu_khi_suy_ra!$F$2:$F$71,MATCH($C$19,boss_input_vu_khi_suy_ra!$A$2:$A$71,0))),0)</f>
        <v/>
      </c>
      <c r="G19" t="n">
        <v>0.5</v>
      </c>
      <c r="H19">
        <f>INDEX(boss_input_vu_khi!$B$2:$B$71,MATCH($C$19,boss_input_vu_khi!$A$2:$A$71,0))*INDEX(Boss_dps!$D$2:$D$32,MATCH($B$19,Boss_dps!$A$2:$A$32,0))*IF(INDEX(boss_input_vu_khi!$D$2:$D$71,MATCH($C$19,boss_input_vu_khi!$A$2:$A$71,0)),1,INDEX(Boss_dps!$B$2:$B$32,MATCH($B$19,Boss_dps!$A$2:$A$32,0)))*INDEX(Boss_dps!$C$2:$C$32,MATCH($B$19,Boss_dps!$A$2:$A$32,0))*$F$19</f>
        <v/>
      </c>
      <c r="I19" t="n">
        <v>420</v>
      </c>
      <c r="J19">
        <f>IF($H$19&gt;0,CEILING(INDEX(input_xe_tham_chieu!$C$2:$C$6,MATCH($D$19,input_xe_tham_chieu!$A$2:$A$6,0))/$H$19,1),"")</f>
        <v/>
      </c>
      <c r="K19">
        <f>IF(Boss_vu_khi!$S$13*$F$19&gt;0,INDEX(input_xe_tham_chieu!$C$2:$C$6,MATCH($D$19,input_xe_tham_chieu!$A$2:$A$6,0))/(Boss_vu_khi!$S$13*INDEX(Boss_dps!$D$2:$D$32,MATCH($B$19,Boss_dps!$A$2:$A$32,0))*$F$19),"")</f>
        <v/>
      </c>
      <c r="L19">
        <f>1+2*MIN(2,FLOOR(INDEX(boss_input_vu_khi!$E$2:$E$71,MATCH($C$19,boss_input_vu_khi!$A$2:$A$71,0))/8,1))</f>
        <v/>
      </c>
      <c r="M19">
        <f>1+2*MIN(2,FLOOR(MAX(INDEX(boss_input_vu_khi!$E$2:$E$71,MATCH($C$19,boss_input_vu_khi!$A$2:$A$71,0)),Boss_vu_khi!$L$13)/8,1))</f>
        <v/>
      </c>
      <c r="N19">
        <f>IF(INDEX(boss_input_vu_khi!$E$2:$E$71,MATCH($C$19,boss_input_vu_khi!$A$2:$A$71,0))&gt;=8,5,1)</f>
        <v/>
      </c>
      <c r="O19">
        <f>IF(MAX(INDEX(boss_input_vu_khi!$E$2:$E$71,MATCH($C$19,boss_input_vu_khi!$A$2:$A$71,0)),Boss_vu_khi!$L$13)&gt;=8,5,1)</f>
        <v/>
      </c>
      <c r="P19">
        <f>INDEX(boss_input_vu_khi_suy_ra!$H$2:$H$71,MATCH($C$19,boss_input_vu_khi_suy_ra!$A$2:$A$71,0))</f>
        <v/>
      </c>
      <c r="Q19">
        <f>IF(AND(INDEX(input_xe_tham_chieu!$G$2:$G$6,MATCH($D$19,input_xe_tham_chieu!$A$2:$A$6,0))&gt;0,INDEX(boss_input_vu_khi!$E$2:$E$71,MATCH($C$19,boss_input_vu_khi!$A$2:$A$71,0))&gt;0),INDEX(boss_input_vu_khi!$E$2:$E$71,MATCH($C$19,boss_input_vu_khi!$A$2:$A$71,0)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IF(INDEX(boss_input_vu_khi_suy_ra!$D$2:$D$71,MATCH($C$20,boss_input_vu_khi_suy_ra!$A$2:$A$71,0)),INDEX(input_xe_tham_chieu!$E$2:$E$6,MATCH($D$20,input_xe_tham_chieu!$A$2:$A$6,0)),INDEX(input_xe_tham_chieu!$D$2:$D$6,MATCH($D$20,input_xe_tham_chieu!$A$2:$A$6,0)))</f>
        <v/>
      </c>
      <c r="F20">
        <f>IF(INDEX(boss_input_vu_khi_suy_ra!$E$2:$E$71,MATCH($C$20,boss_input_vu_khi_suy_ra!$A$2:$A$71,0)),INDEX(boss_input_bang_xuyen_giap!$B$2:$B$7,MIN(6,MAX(1,IF(INDEX(boss_input_vu_khi_suy_ra!$D$2:$D$71,MATCH($C$20,boss_input_vu_khi_suy_ra!$A$2:$A$71,0)),MAX(1,2-(INDEX(boss_input_vu_khi!$C$2:$C$71,MATCH($C$20,boss_input_vu_khi!$A$2:$A$71,0))-$E$20)),2-(INDEX(boss_input_vu_khi!$C$2:$C$71,MATCH($C$20,boss_input_vu_khi!$A$2:$A$71,0))-$E$20))+1)))*IF(INDEX(input_xe_tham_chieu!$F$2:$F$6,MATCH($D$20,input_xe_tham_chieu!$A$2:$A$6,0)),INDEX(boss_input_vu_khi_suy_ra!$G$2:$G$71,MATCH($C$20,boss_input_vu_khi_suy_ra!$A$2:$A$71,0)),INDEX(boss_input_vu_khi_suy_ra!$F$2:$F$71,MATCH($C$20,boss_input_vu_khi_suy_ra!$A$2:$A$71,0))),0)</f>
        <v/>
      </c>
      <c r="G20" t="n">
        <v>1</v>
      </c>
      <c r="H20">
        <f>INDEX(boss_input_vu_khi!$B$2:$B$71,MATCH($C$20,boss_input_vu_khi!$A$2:$A$71,0))*INDEX(Boss_dps!$D$2:$D$32,MATCH($B$20,Boss_dps!$A$2:$A$32,0))*IF(INDEX(boss_input_vu_khi!$D$2:$D$71,MATCH($C$20,boss_input_vu_khi!$A$2:$A$71,0)),1,INDEX(Boss_dps!$B$2:$B$32,MATCH($B$20,Boss_dps!$A$2:$A$32,0)))*INDEX(Boss_dps!$C$2:$C$32,MATCH($B$20,Boss_dps!$A$2:$A$32,0))*$F$20</f>
        <v/>
      </c>
      <c r="I20" t="n">
        <v>840</v>
      </c>
      <c r="J20">
        <f>IF($H$20&gt;0,CEILING(INDEX(input_xe_tham_chieu!$C$2:$C$6,MATCH($D$20,input_xe_tham_chieu!$A$2:$A$6,0))/$H$20,1),"")</f>
        <v/>
      </c>
      <c r="K20">
        <f>IF(Boss_vu_khi!$S$13*$F$20&gt;0,INDEX(input_xe_tham_chieu!$C$2:$C$6,MATCH($D$20,input_xe_tham_chieu!$A$2:$A$6,0))/(Boss_vu_khi!$S$13*INDEX(Boss_dps!$D$2:$D$32,MATCH($B$20,Boss_dps!$A$2:$A$32,0))*$F$20),"")</f>
        <v/>
      </c>
      <c r="L20">
        <f>1+2*MIN(2,FLOOR(INDEX(boss_input_vu_khi!$E$2:$E$71,MATCH($C$20,boss_input_vu_khi!$A$2:$A$71,0))/8,1))</f>
        <v/>
      </c>
      <c r="M20">
        <f>1+2*MIN(2,FLOOR(MAX(INDEX(boss_input_vu_khi!$E$2:$E$71,MATCH($C$20,boss_input_vu_khi!$A$2:$A$71,0)),Boss_vu_khi!$L$13)/8,1))</f>
        <v/>
      </c>
      <c r="N20">
        <f>IF(INDEX(boss_input_vu_khi!$E$2:$E$71,MATCH($C$20,boss_input_vu_khi!$A$2:$A$71,0))&gt;=8,5,1)</f>
        <v/>
      </c>
      <c r="O20">
        <f>IF(MAX(INDEX(boss_input_vu_khi!$E$2:$E$71,MATCH($C$20,boss_input_vu_khi!$A$2:$A$71,0)),Boss_vu_khi!$L$13)&gt;=8,5,1)</f>
        <v/>
      </c>
      <c r="P20">
        <f>INDEX(boss_input_vu_khi_suy_ra!$H$2:$H$71,MATCH($C$20,boss_input_vu_khi_suy_ra!$A$2:$A$71,0))</f>
        <v/>
      </c>
      <c r="Q20">
        <f>IF(AND(INDEX(input_xe_tham_chieu!$G$2:$G$6,MATCH($D$20,input_xe_tham_chieu!$A$2:$A$6,0))&gt;0,INDEX(boss_input_vu_khi!$E$2:$E$71,MATCH($C$20,boss_input_vu_khi!$A$2:$A$71,0))&gt;0),INDEX(boss_input_vu_khi!$E$2:$E$71,MATCH($C$20,boss_input_vu_khi!$A$2:$A$71,0)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IF(INDEX(boss_input_vu_khi_suy_ra!$D$2:$D$71,MATCH($C$21,boss_input_vu_khi_suy_ra!$A$2:$A$71,0)),INDEX(input_xe_tham_chieu!$E$2:$E$6,MATCH($D$21,input_xe_tham_chieu!$A$2:$A$6,0)),INDEX(input_xe_tham_chieu!$D$2:$D$6,MATCH($D$21,input_xe_tham_chieu!$A$2:$A$6,0)))</f>
        <v/>
      </c>
      <c r="F21">
        <f>IF(INDEX(boss_input_vu_khi_suy_ra!$E$2:$E$71,MATCH($C$21,boss_input_vu_khi_suy_ra!$A$2:$A$71,0)),INDEX(boss_input_bang_xuyen_giap!$B$2:$B$7,MIN(6,MAX(1,IF(INDEX(boss_input_vu_khi_suy_ra!$D$2:$D$71,MATCH($C$21,boss_input_vu_khi_suy_ra!$A$2:$A$71,0)),MAX(1,2-(INDEX(boss_input_vu_khi!$C$2:$C$71,MATCH($C$21,boss_input_vu_khi!$A$2:$A$71,0))-$E$21)),2-(INDEX(boss_input_vu_khi!$C$2:$C$71,MATCH($C$21,boss_input_vu_khi!$A$2:$A$71,0))-$E$21))+1)))*IF(INDEX(input_xe_tham_chieu!$F$2:$F$6,MATCH($D$21,input_xe_tham_chieu!$A$2:$A$6,0)),INDEX(boss_input_vu_khi_suy_ra!$G$2:$G$71,MATCH($C$21,boss_input_vu_khi_suy_ra!$A$2:$A$71,0)),INDEX(boss_input_vu_khi_suy_ra!$F$2:$F$71,MATCH($C$21,boss_input_vu_khi_suy_ra!$A$2:$A$71,0))),0)</f>
        <v/>
      </c>
      <c r="G21" t="n">
        <v>0.5</v>
      </c>
      <c r="H21">
        <f>INDEX(boss_input_vu_khi!$B$2:$B$71,MATCH($C$21,boss_input_vu_khi!$A$2:$A$71,0))*INDEX(Boss_dps!$D$2:$D$32,MATCH($B$21,Boss_dps!$A$2:$A$32,0))*IF(INDEX(boss_input_vu_khi!$D$2:$D$71,MATCH($C$21,boss_input_vu_khi!$A$2:$A$71,0)),1,INDEX(Boss_dps!$B$2:$B$32,MATCH($B$21,Boss_dps!$A$2:$A$32,0)))*INDEX(Boss_dps!$C$2:$C$32,MATCH($B$21,Boss_dps!$A$2:$A$32,0))*$F$21</f>
        <v/>
      </c>
      <c r="I21" t="n">
        <v>420</v>
      </c>
      <c r="J21">
        <f>IF($H$21&gt;0,CEILING(INDEX(input_xe_tham_chieu!$C$2:$C$6,MATCH($D$21,input_xe_tham_chieu!$A$2:$A$6,0))/$H$21,1),"")</f>
        <v/>
      </c>
      <c r="K21">
        <f>IF(Boss_vu_khi!$S$13*$F$21&gt;0,INDEX(input_xe_tham_chieu!$C$2:$C$6,MATCH($D$21,input_xe_tham_chieu!$A$2:$A$6,0))/(Boss_vu_khi!$S$13*INDEX(Boss_dps!$D$2:$D$32,MATCH($B$21,Boss_dps!$A$2:$A$32,0))*$F$21),"")</f>
        <v/>
      </c>
      <c r="L21">
        <f>1+2*MIN(2,FLOOR(INDEX(boss_input_vu_khi!$E$2:$E$71,MATCH($C$21,boss_input_vu_khi!$A$2:$A$71,0))/8,1))</f>
        <v/>
      </c>
      <c r="M21">
        <f>1+2*MIN(2,FLOOR(MAX(INDEX(boss_input_vu_khi!$E$2:$E$71,MATCH($C$21,boss_input_vu_khi!$A$2:$A$71,0)),Boss_vu_khi!$L$13)/8,1))</f>
        <v/>
      </c>
      <c r="N21">
        <f>IF(INDEX(boss_input_vu_khi!$E$2:$E$71,MATCH($C$21,boss_input_vu_khi!$A$2:$A$71,0))&gt;=8,5,1)</f>
        <v/>
      </c>
      <c r="O21">
        <f>IF(MAX(INDEX(boss_input_vu_khi!$E$2:$E$71,MATCH($C$21,boss_input_vu_khi!$A$2:$A$71,0)),Boss_vu_khi!$L$13)&gt;=8,5,1)</f>
        <v/>
      </c>
      <c r="P21">
        <f>INDEX(boss_input_vu_khi_suy_ra!$H$2:$H$71,MATCH($C$21,boss_input_vu_khi_suy_ra!$A$2:$A$71,0))</f>
        <v/>
      </c>
      <c r="Q21">
        <f>IF(AND(INDEX(input_xe_tham_chieu!$G$2:$G$6,MATCH($D$21,input_xe_tham_chieu!$A$2:$A$6,0))&gt;0,INDEX(boss_input_vu_khi!$E$2:$E$71,MATCH($C$21,boss_input_vu_khi!$A$2:$A$71,0))&gt;0),INDEX(boss_input_vu_khi!$E$2:$E$71,MATCH($C$21,boss_input_vu_khi!$A$2:$A$71,0)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IF(INDEX(boss_input_vu_khi_suy_ra!$D$2:$D$71,MATCH($C$22,boss_input_vu_khi_suy_ra!$A$2:$A$71,0)),INDEX(input_xe_tham_chieu!$E$2:$E$6,MATCH($D$22,input_xe_tham_chieu!$A$2:$A$6,0)),INDEX(input_xe_tham_chieu!$D$2:$D$6,MATCH($D$22,input_xe_tham_chieu!$A$2:$A$6,0)))</f>
        <v/>
      </c>
      <c r="F22">
        <f>IF(INDEX(boss_input_vu_khi_suy_ra!$E$2:$E$71,MATCH($C$22,boss_input_vu_khi_suy_ra!$A$2:$A$71,0)),INDEX(boss_input_bang_xuyen_giap!$B$2:$B$7,MIN(6,MAX(1,IF(INDEX(boss_input_vu_khi_suy_ra!$D$2:$D$71,MATCH($C$22,boss_input_vu_khi_suy_ra!$A$2:$A$71,0)),MAX(1,2-(INDEX(boss_input_vu_khi!$C$2:$C$71,MATCH($C$22,boss_input_vu_khi!$A$2:$A$71,0))-$E$22)),2-(INDEX(boss_input_vu_khi!$C$2:$C$71,MATCH($C$22,boss_input_vu_khi!$A$2:$A$71,0))-$E$22))+1)))*IF(INDEX(input_xe_tham_chieu!$F$2:$F$6,MATCH($D$22,input_xe_tham_chieu!$A$2:$A$6,0)),INDEX(boss_input_vu_khi_suy_ra!$G$2:$G$71,MATCH($C$22,boss_input_vu_khi_suy_ra!$A$2:$A$71,0)),INDEX(boss_input_vu_khi_suy_ra!$F$2:$F$71,MATCH($C$22,boss_input_vu_khi_suy_ra!$A$2:$A$71,0))),0)</f>
        <v/>
      </c>
      <c r="G22" t="n">
        <v>1.5</v>
      </c>
      <c r="H22">
        <f>INDEX(boss_input_vu_khi!$B$2:$B$71,MATCH($C$22,boss_input_vu_khi!$A$2:$A$71,0))*INDEX(Boss_dps!$D$2:$D$32,MATCH($B$22,Boss_dps!$A$2:$A$32,0))*IF(INDEX(boss_input_vu_khi!$D$2:$D$71,MATCH($C$22,boss_input_vu_khi!$A$2:$A$71,0)),1,INDEX(Boss_dps!$B$2:$B$32,MATCH($B$22,Boss_dps!$A$2:$A$32,0)))*INDEX(Boss_dps!$C$2:$C$32,MATCH($B$22,Boss_dps!$A$2:$A$32,0))*$F$22</f>
        <v/>
      </c>
      <c r="I22" t="n">
        <v>105.948</v>
      </c>
      <c r="J22">
        <f>IF($H$22&gt;0,CEILING(INDEX(input_xe_tham_chieu!$C$2:$C$6,MATCH($D$22,input_xe_tham_chieu!$A$2:$A$6,0))/$H$22,1),"")</f>
        <v/>
      </c>
      <c r="K22">
        <f>IF(Boss_vu_khi!$S$23*$F$22&gt;0,INDEX(input_xe_tham_chieu!$C$2:$C$6,MATCH($D$22,input_xe_tham_chieu!$A$2:$A$6,0))/(Boss_vu_khi!$S$23*INDEX(Boss_dps!$D$2:$D$32,MATCH($B$22,Boss_dps!$A$2:$A$32,0))*$F$22),"")</f>
        <v/>
      </c>
      <c r="L22">
        <f>1+2*MIN(2,FLOOR(INDEX(boss_input_vu_khi!$E$2:$E$71,MATCH($C$22,boss_input_vu_khi!$A$2:$A$71,0))/8,1))</f>
        <v/>
      </c>
      <c r="M22">
        <f>1+2*MIN(2,FLOOR(MAX(INDEX(boss_input_vu_khi!$E$2:$E$71,MATCH($C$22,boss_input_vu_khi!$A$2:$A$71,0)),Boss_vu_khi!$L$23)/8,1))</f>
        <v/>
      </c>
      <c r="N22">
        <f>IF(INDEX(boss_input_vu_khi!$E$2:$E$71,MATCH($C$22,boss_input_vu_khi!$A$2:$A$71,0))&gt;=8,5,1)</f>
        <v/>
      </c>
      <c r="O22">
        <f>IF(MAX(INDEX(boss_input_vu_khi!$E$2:$E$71,MATCH($C$22,boss_input_vu_khi!$A$2:$A$71,0)),Boss_vu_khi!$L$23)&gt;=8,5,1)</f>
        <v/>
      </c>
      <c r="P22">
        <f>INDEX(boss_input_vu_khi_suy_ra!$H$2:$H$71,MATCH($C$22,boss_input_vu_khi_suy_ra!$A$2:$A$71,0))</f>
        <v/>
      </c>
      <c r="Q22">
        <f>IF(AND(INDEX(input_xe_tham_chieu!$G$2:$G$6,MATCH($D$22,input_xe_tham_chieu!$A$2:$A$6,0))&gt;0,INDEX(boss_input_vu_khi!$E$2:$E$71,MATCH($C$22,boss_input_vu_khi!$A$2:$A$71,0))&gt;0),INDEX(boss_input_vu_khi!$E$2:$E$71,MATCH($C$22,boss_input_vu_khi!$A$2:$A$71,0)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IF(INDEX(boss_input_vu_khi_suy_ra!$D$2:$D$71,MATCH($C$23,boss_input_vu_khi_suy_ra!$A$2:$A$71,0)),INDEX(input_xe_tham_chieu!$E$2:$E$6,MATCH($D$23,input_xe_tham_chieu!$A$2:$A$6,0)),INDEX(input_xe_tham_chieu!$D$2:$D$6,MATCH($D$23,input_xe_tham_chieu!$A$2:$A$6,0)))</f>
        <v/>
      </c>
      <c r="F23">
        <f>IF(INDEX(boss_input_vu_khi_suy_ra!$E$2:$E$71,MATCH($C$23,boss_input_vu_khi_suy_ra!$A$2:$A$71,0)),INDEX(boss_input_bang_xuyen_giap!$B$2:$B$7,MIN(6,MAX(1,IF(INDEX(boss_input_vu_khi_suy_ra!$D$2:$D$71,MATCH($C$23,boss_input_vu_khi_suy_ra!$A$2:$A$71,0)),MAX(1,2-(INDEX(boss_input_vu_khi!$C$2:$C$71,MATCH($C$23,boss_input_vu_khi!$A$2:$A$71,0))-$E$23)),2-(INDEX(boss_input_vu_khi!$C$2:$C$71,MATCH($C$23,boss_input_vu_khi!$A$2:$A$71,0))-$E$23))+1)))*IF(INDEX(input_xe_tham_chieu!$F$2:$F$6,MATCH($D$23,input_xe_tham_chieu!$A$2:$A$6,0)),INDEX(boss_input_vu_khi_suy_ra!$G$2:$G$71,MATCH($C$23,boss_input_vu_khi_suy_ra!$A$2:$A$71,0)),INDEX(boss_input_vu_khi_suy_ra!$F$2:$F$71,MATCH($C$23,boss_input_vu_khi_suy_ra!$A$2:$A$71,0))),0)</f>
        <v/>
      </c>
      <c r="G23" t="n">
        <v>0.5</v>
      </c>
      <c r="H23">
        <f>INDEX(boss_input_vu_khi!$B$2:$B$71,MATCH($C$23,boss_input_vu_khi!$A$2:$A$71,0))*INDEX(Boss_dps!$D$2:$D$32,MATCH($B$23,Boss_dps!$A$2:$A$32,0))*IF(INDEX(boss_input_vu_khi!$D$2:$D$71,MATCH($C$23,boss_input_vu_khi!$A$2:$A$71,0)),1,INDEX(Boss_dps!$B$2:$B$32,MATCH($B$23,Boss_dps!$A$2:$A$32,0)))*INDEX(Boss_dps!$C$2:$C$32,MATCH($B$23,Boss_dps!$A$2:$A$32,0))*$F$23</f>
        <v/>
      </c>
      <c r="I23" t="n">
        <v>35.316</v>
      </c>
      <c r="J23">
        <f>IF($H$23&gt;0,CEILING(INDEX(input_xe_tham_chieu!$C$2:$C$6,MATCH($D$23,input_xe_tham_chieu!$A$2:$A$6,0))/$H$23,1),"")</f>
        <v/>
      </c>
      <c r="K23">
        <f>IF(Boss_vu_khi!$S$23*$F$23&gt;0,INDEX(input_xe_tham_chieu!$C$2:$C$6,MATCH($D$23,input_xe_tham_chieu!$A$2:$A$6,0))/(Boss_vu_khi!$S$23*INDEX(Boss_dps!$D$2:$D$32,MATCH($B$23,Boss_dps!$A$2:$A$32,0))*$F$23),"")</f>
        <v/>
      </c>
      <c r="L23">
        <f>1+2*MIN(2,FLOOR(INDEX(boss_input_vu_khi!$E$2:$E$71,MATCH($C$23,boss_input_vu_khi!$A$2:$A$71,0))/8,1))</f>
        <v/>
      </c>
      <c r="M23">
        <f>1+2*MIN(2,FLOOR(MAX(INDEX(boss_input_vu_khi!$E$2:$E$71,MATCH($C$23,boss_input_vu_khi!$A$2:$A$71,0)),Boss_vu_khi!$L$23)/8,1))</f>
        <v/>
      </c>
      <c r="N23">
        <f>IF(INDEX(boss_input_vu_khi!$E$2:$E$71,MATCH($C$23,boss_input_vu_khi!$A$2:$A$71,0))&gt;=8,5,1)</f>
        <v/>
      </c>
      <c r="O23">
        <f>IF(MAX(INDEX(boss_input_vu_khi!$E$2:$E$71,MATCH($C$23,boss_input_vu_khi!$A$2:$A$71,0)),Boss_vu_khi!$L$23)&gt;=8,5,1)</f>
        <v/>
      </c>
      <c r="P23">
        <f>INDEX(boss_input_vu_khi_suy_ra!$H$2:$H$71,MATCH($C$23,boss_input_vu_khi_suy_ra!$A$2:$A$71,0))</f>
        <v/>
      </c>
      <c r="Q23">
        <f>IF(AND(INDEX(input_xe_tham_chieu!$G$2:$G$6,MATCH($D$23,input_xe_tham_chieu!$A$2:$A$6,0))&gt;0,INDEX(boss_input_vu_khi!$E$2:$E$71,MATCH($C$23,boss_input_vu_khi!$A$2:$A$71,0))&gt;0),INDEX(boss_input_vu_khi!$E$2:$E$71,MATCH($C$23,boss_input_vu_khi!$A$2:$A$71,0)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IF(INDEX(boss_input_vu_khi_suy_ra!$D$2:$D$71,MATCH($C$24,boss_input_vu_khi_suy_ra!$A$2:$A$71,0)),INDEX(input_xe_tham_chieu!$E$2:$E$6,MATCH($D$24,input_xe_tham_chieu!$A$2:$A$6,0)),INDEX(input_xe_tham_chieu!$D$2:$D$6,MATCH($D$24,input_xe_tham_chieu!$A$2:$A$6,0)))</f>
        <v/>
      </c>
      <c r="F24">
        <f>IF(INDEX(boss_input_vu_khi_suy_ra!$E$2:$E$71,MATCH($C$24,boss_input_vu_khi_suy_ra!$A$2:$A$71,0)),INDEX(boss_input_bang_xuyen_giap!$B$2:$B$7,MIN(6,MAX(1,IF(INDEX(boss_input_vu_khi_suy_ra!$D$2:$D$71,MATCH($C$24,boss_input_vu_khi_suy_ra!$A$2:$A$71,0)),MAX(1,2-(INDEX(boss_input_vu_khi!$C$2:$C$71,MATCH($C$24,boss_input_vu_khi!$A$2:$A$71,0))-$E$24)),2-(INDEX(boss_input_vu_khi!$C$2:$C$71,MATCH($C$24,boss_input_vu_khi!$A$2:$A$71,0))-$E$24))+1)))*IF(INDEX(input_xe_tham_chieu!$F$2:$F$6,MATCH($D$24,input_xe_tham_chieu!$A$2:$A$6,0)),INDEX(boss_input_vu_khi_suy_ra!$G$2:$G$71,MATCH($C$24,boss_input_vu_khi_suy_ra!$A$2:$A$71,0)),INDEX(boss_input_vu_khi_suy_ra!$F$2:$F$71,MATCH($C$24,boss_input_vu_khi_suy_ra!$A$2:$A$71,0))),0)</f>
        <v/>
      </c>
      <c r="G24" t="n">
        <v>0.375</v>
      </c>
      <c r="H24">
        <f>INDEX(boss_input_vu_khi!$B$2:$B$71,MATCH($C$24,boss_input_vu_khi!$A$2:$A$71,0))*INDEX(Boss_dps!$D$2:$D$32,MATCH($B$24,Boss_dps!$A$2:$A$32,0))*IF(INDEX(boss_input_vu_khi!$D$2:$D$71,MATCH($C$24,boss_input_vu_khi!$A$2:$A$71,0)),1,INDEX(Boss_dps!$B$2:$B$32,MATCH($B$24,Boss_dps!$A$2:$A$32,0)))*INDEX(Boss_dps!$C$2:$C$32,MATCH($B$24,Boss_dps!$A$2:$A$32,0))*$F$24</f>
        <v/>
      </c>
      <c r="I24" t="n">
        <v>26.487</v>
      </c>
      <c r="J24">
        <f>IF($H$24&gt;0,CEILING(INDEX(input_xe_tham_chieu!$C$2:$C$6,MATCH($D$24,input_xe_tham_chieu!$A$2:$A$6,0))/$H$24,1),"")</f>
        <v/>
      </c>
      <c r="K24">
        <f>IF(Boss_vu_khi!$S$23*$F$24&gt;0,INDEX(input_xe_tham_chieu!$C$2:$C$6,MATCH($D$24,input_xe_tham_chieu!$A$2:$A$6,0))/(Boss_vu_khi!$S$23*INDEX(Boss_dps!$D$2:$D$32,MATCH($B$24,Boss_dps!$A$2:$A$32,0))*$F$24),"")</f>
        <v/>
      </c>
      <c r="L24">
        <f>1+2*MIN(2,FLOOR(INDEX(boss_input_vu_khi!$E$2:$E$71,MATCH($C$24,boss_input_vu_khi!$A$2:$A$71,0))/8,1))</f>
        <v/>
      </c>
      <c r="M24">
        <f>1+2*MIN(2,FLOOR(MAX(INDEX(boss_input_vu_khi!$E$2:$E$71,MATCH($C$24,boss_input_vu_khi!$A$2:$A$71,0)),Boss_vu_khi!$L$23)/8,1))</f>
        <v/>
      </c>
      <c r="N24">
        <f>IF(INDEX(boss_input_vu_khi!$E$2:$E$71,MATCH($C$24,boss_input_vu_khi!$A$2:$A$71,0))&gt;=8,5,1)</f>
        <v/>
      </c>
      <c r="O24">
        <f>IF(MAX(INDEX(boss_input_vu_khi!$E$2:$E$71,MATCH($C$24,boss_input_vu_khi!$A$2:$A$71,0)),Boss_vu_khi!$L$23)&gt;=8,5,1)</f>
        <v/>
      </c>
      <c r="P24">
        <f>INDEX(boss_input_vu_khi_suy_ra!$H$2:$H$71,MATCH($C$24,boss_input_vu_khi_suy_ra!$A$2:$A$71,0))</f>
        <v/>
      </c>
      <c r="Q24">
        <f>IF(AND(INDEX(input_xe_tham_chieu!$G$2:$G$6,MATCH($D$24,input_xe_tham_chieu!$A$2:$A$6,0))&gt;0,INDEX(boss_input_vu_khi!$E$2:$E$71,MATCH($C$24,boss_input_vu_khi!$A$2:$A$71,0))&gt;0),INDEX(boss_input_vu_khi!$E$2:$E$71,MATCH($C$24,boss_input_vu_khi!$A$2:$A$71,0)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IF(INDEX(boss_input_vu_khi_suy_ra!$D$2:$D$71,MATCH($C$25,boss_input_vu_khi_suy_ra!$A$2:$A$71,0)),INDEX(input_xe_tham_chieu!$E$2:$E$6,MATCH($D$25,input_xe_tham_chieu!$A$2:$A$6,0)),INDEX(input_xe_tham_chieu!$D$2:$D$6,MATCH($D$25,input_xe_tham_chieu!$A$2:$A$6,0)))</f>
        <v/>
      </c>
      <c r="F25">
        <f>IF(INDEX(boss_input_vu_khi_suy_ra!$E$2:$E$71,MATCH($C$25,boss_input_vu_khi_suy_ra!$A$2:$A$71,0)),INDEX(boss_input_bang_xuyen_giap!$B$2:$B$7,MIN(6,MAX(1,IF(INDEX(boss_input_vu_khi_suy_ra!$D$2:$D$71,MATCH($C$25,boss_input_vu_khi_suy_ra!$A$2:$A$71,0)),MAX(1,2-(INDEX(boss_input_vu_khi!$C$2:$C$71,MATCH($C$25,boss_input_vu_khi!$A$2:$A$71,0))-$E$25)),2-(INDEX(boss_input_vu_khi!$C$2:$C$71,MATCH($C$25,boss_input_vu_khi!$A$2:$A$71,0))-$E$25))+1)))*IF(INDEX(input_xe_tham_chieu!$F$2:$F$6,MATCH($D$25,input_xe_tham_chieu!$A$2:$A$6,0)),INDEX(boss_input_vu_khi_suy_ra!$G$2:$G$71,MATCH($C$25,boss_input_vu_khi_suy_ra!$A$2:$A$71,0)),INDEX(boss_input_vu_khi_suy_ra!$F$2:$F$71,MATCH($C$25,boss_input_vu_khi_suy_ra!$A$2:$A$71,0))),0)</f>
        <v/>
      </c>
      <c r="G25" t="n">
        <v>1.275</v>
      </c>
      <c r="H25">
        <f>INDEX(boss_input_vu_khi!$B$2:$B$71,MATCH($C$25,boss_input_vu_khi!$A$2:$A$71,0))*INDEX(Boss_dps!$D$2:$D$32,MATCH($B$25,Boss_dps!$A$2:$A$32,0))*IF(INDEX(boss_input_vu_khi!$D$2:$D$71,MATCH($C$25,boss_input_vu_khi!$A$2:$A$71,0)),1,INDEX(Boss_dps!$B$2:$B$32,MATCH($B$25,Boss_dps!$A$2:$A$32,0)))*INDEX(Boss_dps!$C$2:$C$32,MATCH($B$25,Boss_dps!$A$2:$A$32,0))*$F$25</f>
        <v/>
      </c>
      <c r="I25" t="n">
        <v>90.0558</v>
      </c>
      <c r="J25">
        <f>IF($H$25&gt;0,CEILING(INDEX(input_xe_tham_chieu!$C$2:$C$6,MATCH($D$25,input_xe_tham_chieu!$A$2:$A$6,0))/$H$25,1),"")</f>
        <v/>
      </c>
      <c r="K25">
        <f>IF(Boss_vu_khi!$S$23*$F$25&gt;0,INDEX(input_xe_tham_chieu!$C$2:$C$6,MATCH($D$25,input_xe_tham_chieu!$A$2:$A$6,0))/(Boss_vu_khi!$S$23*INDEX(Boss_dps!$D$2:$D$32,MATCH($B$25,Boss_dps!$A$2:$A$32,0))*$F$25),"")</f>
        <v/>
      </c>
      <c r="L25">
        <f>1+2*MIN(2,FLOOR(INDEX(boss_input_vu_khi!$E$2:$E$71,MATCH($C$25,boss_input_vu_khi!$A$2:$A$71,0))/8,1))</f>
        <v/>
      </c>
      <c r="M25">
        <f>1+2*MIN(2,FLOOR(MAX(INDEX(boss_input_vu_khi!$E$2:$E$71,MATCH($C$25,boss_input_vu_khi!$A$2:$A$71,0)),Boss_vu_khi!$L$23)/8,1))</f>
        <v/>
      </c>
      <c r="N25">
        <f>IF(INDEX(boss_input_vu_khi!$E$2:$E$71,MATCH($C$25,boss_input_vu_khi!$A$2:$A$71,0))&gt;=8,5,1)</f>
        <v/>
      </c>
      <c r="O25">
        <f>IF(MAX(INDEX(boss_input_vu_khi!$E$2:$E$71,MATCH($C$25,boss_input_vu_khi!$A$2:$A$71,0)),Boss_vu_khi!$L$23)&gt;=8,5,1)</f>
        <v/>
      </c>
      <c r="P25">
        <f>INDEX(boss_input_vu_khi_suy_ra!$H$2:$H$71,MATCH($C$25,boss_input_vu_khi_suy_ra!$A$2:$A$71,0))</f>
        <v/>
      </c>
      <c r="Q25">
        <f>IF(AND(INDEX(input_xe_tham_chieu!$G$2:$G$6,MATCH($D$25,input_xe_tham_chieu!$A$2:$A$6,0))&gt;0,INDEX(boss_input_vu_khi!$E$2:$E$71,MATCH($C$25,boss_input_vu_khi!$A$2:$A$71,0))&gt;0),INDEX(boss_input_vu_khi!$E$2:$E$71,MATCH($C$25,boss_input_vu_khi!$A$2:$A$71,0)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IF(INDEX(boss_input_vu_khi_suy_ra!$D$2:$D$71,MATCH($C$26,boss_input_vu_khi_suy_ra!$A$2:$A$71,0)),INDEX(input_xe_tham_chieu!$E$2:$E$6,MATCH($D$26,input_xe_tham_chieu!$A$2:$A$6,0)),INDEX(input_xe_tham_chieu!$D$2:$D$6,MATCH($D$26,input_xe_tham_chieu!$A$2:$A$6,0)))</f>
        <v/>
      </c>
      <c r="F26">
        <f>IF(INDEX(boss_input_vu_khi_suy_ra!$E$2:$E$71,MATCH($C$26,boss_input_vu_khi_suy_ra!$A$2:$A$71,0)),INDEX(boss_input_bang_xuyen_giap!$B$2:$B$7,MIN(6,MAX(1,IF(INDEX(boss_input_vu_khi_suy_ra!$D$2:$D$71,MATCH($C$26,boss_input_vu_khi_suy_ra!$A$2:$A$71,0)),MAX(1,2-(INDEX(boss_input_vu_khi!$C$2:$C$71,MATCH($C$26,boss_input_vu_khi!$A$2:$A$71,0))-$E$26)),2-(INDEX(boss_input_vu_khi!$C$2:$C$71,MATCH($C$26,boss_input_vu_khi!$A$2:$A$71,0))-$E$26))+1)))*IF(INDEX(input_xe_tham_chieu!$F$2:$F$6,MATCH($D$26,input_xe_tham_chieu!$A$2:$A$6,0)),INDEX(boss_input_vu_khi_suy_ra!$G$2:$G$71,MATCH($C$26,boss_input_vu_khi_suy_ra!$A$2:$A$71,0)),INDEX(boss_input_vu_khi_suy_ra!$F$2:$F$71,MATCH($C$26,boss_input_vu_khi_suy_ra!$A$2:$A$71,0))),0)</f>
        <v/>
      </c>
      <c r="G26" t="n">
        <v>0.375</v>
      </c>
      <c r="H26">
        <f>INDEX(boss_input_vu_khi!$B$2:$B$71,MATCH($C$26,boss_input_vu_khi!$A$2:$A$71,0))*INDEX(Boss_dps!$D$2:$D$32,MATCH($B$26,Boss_dps!$A$2:$A$32,0))*IF(INDEX(boss_input_vu_khi!$D$2:$D$71,MATCH($C$26,boss_input_vu_khi!$A$2:$A$71,0)),1,INDEX(Boss_dps!$B$2:$B$32,MATCH($B$26,Boss_dps!$A$2:$A$32,0)))*INDEX(Boss_dps!$C$2:$C$32,MATCH($B$26,Boss_dps!$A$2:$A$32,0))*$F$26</f>
        <v/>
      </c>
      <c r="I26" t="n">
        <v>26.487</v>
      </c>
      <c r="J26">
        <f>IF($H$26&gt;0,CEILING(INDEX(input_xe_tham_chieu!$C$2:$C$6,MATCH($D$26,input_xe_tham_chieu!$A$2:$A$6,0))/$H$26,1),"")</f>
        <v/>
      </c>
      <c r="K26">
        <f>IF(Boss_vu_khi!$S$23*$F$26&gt;0,INDEX(input_xe_tham_chieu!$C$2:$C$6,MATCH($D$26,input_xe_tham_chieu!$A$2:$A$6,0))/(Boss_vu_khi!$S$23*INDEX(Boss_dps!$D$2:$D$32,MATCH($B$26,Boss_dps!$A$2:$A$32,0))*$F$26),"")</f>
        <v/>
      </c>
      <c r="L26">
        <f>1+2*MIN(2,FLOOR(INDEX(boss_input_vu_khi!$E$2:$E$71,MATCH($C$26,boss_input_vu_khi!$A$2:$A$71,0))/8,1))</f>
        <v/>
      </c>
      <c r="M26">
        <f>1+2*MIN(2,FLOOR(MAX(INDEX(boss_input_vu_khi!$E$2:$E$71,MATCH($C$26,boss_input_vu_khi!$A$2:$A$71,0)),Boss_vu_khi!$L$23)/8,1))</f>
        <v/>
      </c>
      <c r="N26">
        <f>IF(INDEX(boss_input_vu_khi!$E$2:$E$71,MATCH($C$26,boss_input_vu_khi!$A$2:$A$71,0))&gt;=8,5,1)</f>
        <v/>
      </c>
      <c r="O26">
        <f>IF(MAX(INDEX(boss_input_vu_khi!$E$2:$E$71,MATCH($C$26,boss_input_vu_khi!$A$2:$A$71,0)),Boss_vu_khi!$L$23)&gt;=8,5,1)</f>
        <v/>
      </c>
      <c r="P26">
        <f>INDEX(boss_input_vu_khi_suy_ra!$H$2:$H$71,MATCH($C$26,boss_input_vu_khi_suy_ra!$A$2:$A$71,0))</f>
        <v/>
      </c>
      <c r="Q26">
        <f>IF(AND(INDEX(input_xe_tham_chieu!$G$2:$G$6,MATCH($D$26,input_xe_tham_chieu!$A$2:$A$6,0))&gt;0,INDEX(boss_input_vu_khi!$E$2:$E$71,MATCH($C$26,boss_input_vu_khi!$A$2:$A$71,0))&gt;0),INDEX(boss_input_vu_khi!$E$2:$E$71,MATCH($C$26,boss_input_vu_khi!$A$2:$A$71,0)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IF(INDEX(boss_input_vu_khi_suy_ra!$D$2:$D$71,MATCH($C$27,boss_input_vu_khi_suy_ra!$A$2:$A$71,0)),INDEX(input_xe_tham_chieu!$E$2:$E$6,MATCH($D$27,input_xe_tham_chieu!$A$2:$A$6,0)),INDEX(input_xe_tham_chieu!$D$2:$D$6,MATCH($D$27,input_xe_tham_chieu!$A$2:$A$6,0)))</f>
        <v/>
      </c>
      <c r="F27">
        <f>IF(INDEX(boss_input_vu_khi_suy_ra!$E$2:$E$71,MATCH($C$27,boss_input_vu_khi_suy_ra!$A$2:$A$71,0)),INDEX(boss_input_bang_xuyen_giap!$B$2:$B$7,MIN(6,MAX(1,IF(INDEX(boss_input_vu_khi_suy_ra!$D$2:$D$71,MATCH($C$27,boss_input_vu_khi_suy_ra!$A$2:$A$71,0)),MAX(1,2-(INDEX(boss_input_vu_khi!$C$2:$C$71,MATCH($C$27,boss_input_vu_khi!$A$2:$A$71,0))-$E$27)),2-(INDEX(boss_input_vu_khi!$C$2:$C$71,MATCH($C$27,boss_input_vu_khi!$A$2:$A$71,0))-$E$27))+1)))*IF(INDEX(input_xe_tham_chieu!$F$2:$F$6,MATCH($D$27,input_xe_tham_chieu!$A$2:$A$6,0)),INDEX(boss_input_vu_khi_suy_ra!$G$2:$G$71,MATCH($C$27,boss_input_vu_khi_suy_ra!$A$2:$A$71,0)),INDEX(boss_input_vu_khi_suy_ra!$F$2:$F$71,MATCH($C$27,boss_input_vu_khi_suy_ra!$A$2:$A$71,0))),0)</f>
        <v/>
      </c>
      <c r="G27" t="n">
        <v>1.2</v>
      </c>
      <c r="H27">
        <f>INDEX(boss_input_vu_khi!$B$2:$B$71,MATCH($C$27,boss_input_vu_khi!$A$2:$A$71,0))*INDEX(Boss_dps!$D$2:$D$32,MATCH($B$27,Boss_dps!$A$2:$A$32,0))*IF(INDEX(boss_input_vu_khi!$D$2:$D$71,MATCH($C$27,boss_input_vu_khi!$A$2:$A$71,0)),1,INDEX(Boss_dps!$B$2:$B$32,MATCH($B$27,Boss_dps!$A$2:$A$32,0)))*INDEX(Boss_dps!$C$2:$C$32,MATCH($B$27,Boss_dps!$A$2:$A$32,0))*$F$27</f>
        <v/>
      </c>
      <c r="I27" t="n">
        <v>763.776</v>
      </c>
      <c r="J27">
        <f>IF($H$27&gt;0,CEILING(INDEX(input_xe_tham_chieu!$C$2:$C$6,MATCH($D$27,input_xe_tham_chieu!$A$2:$A$6,0))/$H$27,1),"")</f>
        <v/>
      </c>
      <c r="K27">
        <f>IF(Boss_vu_khi!$S$26*$F$27&gt;0,INDEX(input_xe_tham_chieu!$C$2:$C$6,MATCH($D$27,input_xe_tham_chieu!$A$2:$A$6,0))/(Boss_vu_khi!$S$26*INDEX(Boss_dps!$D$2:$D$32,MATCH($B$27,Boss_dps!$A$2:$A$32,0))*$F$27),"")</f>
        <v/>
      </c>
      <c r="L27">
        <f>1+2*MIN(2,FLOOR(INDEX(boss_input_vu_khi!$E$2:$E$71,MATCH($C$27,boss_input_vu_khi!$A$2:$A$71,0))/8,1))</f>
        <v/>
      </c>
      <c r="M27">
        <f>1+2*MIN(2,FLOOR(MAX(INDEX(boss_input_vu_khi!$E$2:$E$71,MATCH($C$27,boss_input_vu_khi!$A$2:$A$71,0)),Boss_vu_khi!$L$26)/8,1))</f>
        <v/>
      </c>
      <c r="N27">
        <f>IF(INDEX(boss_input_vu_khi!$E$2:$E$71,MATCH($C$27,boss_input_vu_khi!$A$2:$A$71,0))&gt;=8,5,1)</f>
        <v/>
      </c>
      <c r="O27">
        <f>IF(MAX(INDEX(boss_input_vu_khi!$E$2:$E$71,MATCH($C$27,boss_input_vu_khi!$A$2:$A$71,0)),Boss_vu_khi!$L$26)&gt;=8,5,1)</f>
        <v/>
      </c>
      <c r="P27">
        <f>INDEX(boss_input_vu_khi_suy_ra!$H$2:$H$71,MATCH($C$27,boss_input_vu_khi_suy_ra!$A$2:$A$71,0))</f>
        <v/>
      </c>
      <c r="Q27">
        <f>IF(AND(INDEX(input_xe_tham_chieu!$G$2:$G$6,MATCH($D$27,input_xe_tham_chieu!$A$2:$A$6,0))&gt;0,INDEX(boss_input_vu_khi!$E$2:$E$71,MATCH($C$27,boss_input_vu_khi!$A$2:$A$71,0))&gt;0),INDEX(boss_input_vu_khi!$E$2:$E$71,MATCH($C$27,boss_input_vu_khi!$A$2:$A$71,0)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IF(INDEX(boss_input_vu_khi_suy_ra!$D$2:$D$71,MATCH($C$28,boss_input_vu_khi_suy_ra!$A$2:$A$71,0)),INDEX(input_xe_tham_chieu!$E$2:$E$6,MATCH($D$28,input_xe_tham_chieu!$A$2:$A$6,0)),INDEX(input_xe_tham_chieu!$D$2:$D$6,MATCH($D$28,input_xe_tham_chieu!$A$2:$A$6,0)))</f>
        <v/>
      </c>
      <c r="F28">
        <f>IF(INDEX(boss_input_vu_khi_suy_ra!$E$2:$E$71,MATCH($C$28,boss_input_vu_khi_suy_ra!$A$2:$A$71,0)),INDEX(boss_input_bang_xuyen_giap!$B$2:$B$7,MIN(6,MAX(1,IF(INDEX(boss_input_vu_khi_suy_ra!$D$2:$D$71,MATCH($C$28,boss_input_vu_khi_suy_ra!$A$2:$A$71,0)),MAX(1,2-(INDEX(boss_input_vu_khi!$C$2:$C$71,MATCH($C$28,boss_input_vu_khi!$A$2:$A$71,0))-$E$28)),2-(INDEX(boss_input_vu_khi!$C$2:$C$71,MATCH($C$28,boss_input_vu_khi!$A$2:$A$71,0))-$E$28))+1)))*IF(INDEX(input_xe_tham_chieu!$F$2:$F$6,MATCH($D$28,input_xe_tham_chieu!$A$2:$A$6,0)),INDEX(boss_input_vu_khi_suy_ra!$G$2:$G$71,MATCH($C$28,boss_input_vu_khi_suy_ra!$A$2:$A$71,0)),INDEX(boss_input_vu_khi_suy_ra!$F$2:$F$71,MATCH($C$28,boss_input_vu_khi_suy_ra!$A$2:$A$71,0))),0)</f>
        <v/>
      </c>
      <c r="G28" t="n">
        <v>1.275</v>
      </c>
      <c r="H28">
        <f>INDEX(boss_input_vu_khi!$B$2:$B$71,MATCH($C$28,boss_input_vu_khi!$A$2:$A$71,0))*INDEX(Boss_dps!$D$2:$D$32,MATCH($B$28,Boss_dps!$A$2:$A$32,0))*IF(INDEX(boss_input_vu_khi!$D$2:$D$71,MATCH($C$28,boss_input_vu_khi!$A$2:$A$71,0)),1,INDEX(Boss_dps!$B$2:$B$32,MATCH($B$28,Boss_dps!$A$2:$A$32,0)))*INDEX(Boss_dps!$C$2:$C$32,MATCH($B$28,Boss_dps!$A$2:$A$32,0))*$F$28</f>
        <v/>
      </c>
      <c r="I28" t="n">
        <v>811.5119999999999</v>
      </c>
      <c r="J28">
        <f>IF($H$28&gt;0,CEILING(INDEX(input_xe_tham_chieu!$C$2:$C$6,MATCH($D$28,input_xe_tham_chieu!$A$2:$A$6,0))/$H$28,1),"")</f>
        <v/>
      </c>
      <c r="K28">
        <f>IF(Boss_vu_khi!$S$26*$F$28&gt;0,INDEX(input_xe_tham_chieu!$C$2:$C$6,MATCH($D$28,input_xe_tham_chieu!$A$2:$A$6,0))/(Boss_vu_khi!$S$26*INDEX(Boss_dps!$D$2:$D$32,MATCH($B$28,Boss_dps!$A$2:$A$32,0))*$F$28),"")</f>
        <v/>
      </c>
      <c r="L28">
        <f>1+2*MIN(2,FLOOR(INDEX(boss_input_vu_khi!$E$2:$E$71,MATCH($C$28,boss_input_vu_khi!$A$2:$A$71,0))/8,1))</f>
        <v/>
      </c>
      <c r="M28">
        <f>1+2*MIN(2,FLOOR(MAX(INDEX(boss_input_vu_khi!$E$2:$E$71,MATCH($C$28,boss_input_vu_khi!$A$2:$A$71,0)),Boss_vu_khi!$L$26)/8,1))</f>
        <v/>
      </c>
      <c r="N28">
        <f>IF(INDEX(boss_input_vu_khi!$E$2:$E$71,MATCH($C$28,boss_input_vu_khi!$A$2:$A$71,0))&gt;=8,5,1)</f>
        <v/>
      </c>
      <c r="O28">
        <f>IF(MAX(INDEX(boss_input_vu_khi!$E$2:$E$71,MATCH($C$28,boss_input_vu_khi!$A$2:$A$71,0)),Boss_vu_khi!$L$26)&gt;=8,5,1)</f>
        <v/>
      </c>
      <c r="P28">
        <f>INDEX(boss_input_vu_khi_suy_ra!$H$2:$H$71,MATCH($C$28,boss_input_vu_khi_suy_ra!$A$2:$A$71,0))</f>
        <v/>
      </c>
      <c r="Q28">
        <f>IF(AND(INDEX(input_xe_tham_chieu!$G$2:$G$6,MATCH($D$28,input_xe_tham_chieu!$A$2:$A$6,0))&gt;0,INDEX(boss_input_vu_khi!$E$2:$E$71,MATCH($C$28,boss_input_vu_khi!$A$2:$A$71,0))&gt;0),INDEX(boss_input_vu_khi!$E$2:$E$71,MATCH($C$28,boss_input_vu_khi!$A$2:$A$71,0)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IF(INDEX(boss_input_vu_khi_suy_ra!$D$2:$D$71,MATCH($C$29,boss_input_vu_khi_suy_ra!$A$2:$A$71,0)),INDEX(input_xe_tham_chieu!$E$2:$E$6,MATCH($D$29,input_xe_tham_chieu!$A$2:$A$6,0)),INDEX(input_xe_tham_chieu!$D$2:$D$6,MATCH($D$29,input_xe_tham_chieu!$A$2:$A$6,0)))</f>
        <v/>
      </c>
      <c r="F29">
        <f>IF(INDEX(boss_input_vu_khi_suy_ra!$E$2:$E$71,MATCH($C$29,boss_input_vu_khi_suy_ra!$A$2:$A$71,0)),INDEX(boss_input_bang_xuyen_giap!$B$2:$B$7,MIN(6,MAX(1,IF(INDEX(boss_input_vu_khi_suy_ra!$D$2:$D$71,MATCH($C$29,boss_input_vu_khi_suy_ra!$A$2:$A$71,0)),MAX(1,2-(INDEX(boss_input_vu_khi!$C$2:$C$71,MATCH($C$29,boss_input_vu_khi!$A$2:$A$71,0))-$E$29)),2-(INDEX(boss_input_vu_khi!$C$2:$C$71,MATCH($C$29,boss_input_vu_khi!$A$2:$A$71,0))-$E$29))+1)))*IF(INDEX(input_xe_tham_chieu!$F$2:$F$6,MATCH($D$29,input_xe_tham_chieu!$A$2:$A$6,0)),INDEX(boss_input_vu_khi_suy_ra!$G$2:$G$71,MATCH($C$29,boss_input_vu_khi_suy_ra!$A$2:$A$71,0)),INDEX(boss_input_vu_khi_suy_ra!$F$2:$F$71,MATCH($C$29,boss_input_vu_khi_suy_ra!$A$2:$A$71,0))),0)</f>
        <v/>
      </c>
      <c r="G29" t="n">
        <v>0.5</v>
      </c>
      <c r="H29">
        <f>INDEX(boss_input_vu_khi!$B$2:$B$71,MATCH($C$29,boss_input_vu_khi!$A$2:$A$71,0))*INDEX(Boss_dps!$D$2:$D$32,MATCH($B$29,Boss_dps!$A$2:$A$32,0))*IF(INDEX(boss_input_vu_khi!$D$2:$D$71,MATCH($C$29,boss_input_vu_khi!$A$2:$A$71,0)),1,INDEX(Boss_dps!$B$2:$B$32,MATCH($B$29,Boss_dps!$A$2:$A$32,0)))*INDEX(Boss_dps!$C$2:$C$32,MATCH($B$29,Boss_dps!$A$2:$A$32,0))*$F$29</f>
        <v/>
      </c>
      <c r="I29" t="n">
        <v>318.24</v>
      </c>
      <c r="J29">
        <f>IF($H$29&gt;0,CEILING(INDEX(input_xe_tham_chieu!$C$2:$C$6,MATCH($D$29,input_xe_tham_chieu!$A$2:$A$6,0))/$H$29,1),"")</f>
        <v/>
      </c>
      <c r="K29">
        <f>IF(Boss_vu_khi!$S$26*$F$29&gt;0,INDEX(input_xe_tham_chieu!$C$2:$C$6,MATCH($D$29,input_xe_tham_chieu!$A$2:$A$6,0))/(Boss_vu_khi!$S$26*INDEX(Boss_dps!$D$2:$D$32,MATCH($B$29,Boss_dps!$A$2:$A$32,0))*$F$29),"")</f>
        <v/>
      </c>
      <c r="L29">
        <f>1+2*MIN(2,FLOOR(INDEX(boss_input_vu_khi!$E$2:$E$71,MATCH($C$29,boss_input_vu_khi!$A$2:$A$71,0))/8,1))</f>
        <v/>
      </c>
      <c r="M29">
        <f>1+2*MIN(2,FLOOR(MAX(INDEX(boss_input_vu_khi!$E$2:$E$71,MATCH($C$29,boss_input_vu_khi!$A$2:$A$71,0)),Boss_vu_khi!$L$26)/8,1))</f>
        <v/>
      </c>
      <c r="N29">
        <f>IF(INDEX(boss_input_vu_khi!$E$2:$E$71,MATCH($C$29,boss_input_vu_khi!$A$2:$A$71,0))&gt;=8,5,1)</f>
        <v/>
      </c>
      <c r="O29">
        <f>IF(MAX(INDEX(boss_input_vu_khi!$E$2:$E$71,MATCH($C$29,boss_input_vu_khi!$A$2:$A$71,0)),Boss_vu_khi!$L$26)&gt;=8,5,1)</f>
        <v/>
      </c>
      <c r="P29">
        <f>INDEX(boss_input_vu_khi_suy_ra!$H$2:$H$71,MATCH($C$29,boss_input_vu_khi_suy_ra!$A$2:$A$71,0))</f>
        <v/>
      </c>
      <c r="Q29">
        <f>IF(AND(INDEX(input_xe_tham_chieu!$G$2:$G$6,MATCH($D$29,input_xe_tham_chieu!$A$2:$A$6,0))&gt;0,INDEX(boss_input_vu_khi!$E$2:$E$71,MATCH($C$29,boss_input_vu_khi!$A$2:$A$71,0))&gt;0),INDEX(boss_input_vu_khi!$E$2:$E$71,MATCH($C$29,boss_input_vu_khi!$A$2:$A$71,0)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IF(INDEX(boss_input_vu_khi_suy_ra!$D$2:$D$71,MATCH($C$30,boss_input_vu_khi_suy_ra!$A$2:$A$71,0)),INDEX(input_xe_tham_chieu!$E$2:$E$6,MATCH($D$30,input_xe_tham_chieu!$A$2:$A$6,0)),INDEX(input_xe_tham_chieu!$D$2:$D$6,MATCH($D$30,input_xe_tham_chieu!$A$2:$A$6,0)))</f>
        <v/>
      </c>
      <c r="F30">
        <f>IF(INDEX(boss_input_vu_khi_suy_ra!$E$2:$E$71,MATCH($C$30,boss_input_vu_khi_suy_ra!$A$2:$A$71,0)),INDEX(boss_input_bang_xuyen_giap!$B$2:$B$7,MIN(6,MAX(1,IF(INDEX(boss_input_vu_khi_suy_ra!$D$2:$D$71,MATCH($C$30,boss_input_vu_khi_suy_ra!$A$2:$A$71,0)),MAX(1,2-(INDEX(boss_input_vu_khi!$C$2:$C$71,MATCH($C$30,boss_input_vu_khi!$A$2:$A$71,0))-$E$30)),2-(INDEX(boss_input_vu_khi!$C$2:$C$71,MATCH($C$30,boss_input_vu_khi!$A$2:$A$71,0))-$E$30))+1)))*IF(INDEX(input_xe_tham_chieu!$F$2:$F$6,MATCH($D$30,input_xe_tham_chieu!$A$2:$A$6,0)),INDEX(boss_input_vu_khi_suy_ra!$G$2:$G$71,MATCH($C$30,boss_input_vu_khi_suy_ra!$A$2:$A$71,0)),INDEX(boss_input_vu_khi_suy_ra!$F$2:$F$71,MATCH($C$30,boss_input_vu_khi_suy_ra!$A$2:$A$71,0))),0)</f>
        <v/>
      </c>
      <c r="G30" t="n">
        <v>1</v>
      </c>
      <c r="H30">
        <f>INDEX(boss_input_vu_khi!$B$2:$B$71,MATCH($C$30,boss_input_vu_khi!$A$2:$A$71,0))*INDEX(Boss_dps!$D$2:$D$32,MATCH($B$30,Boss_dps!$A$2:$A$32,0))*IF(INDEX(boss_input_vu_khi!$D$2:$D$71,MATCH($C$30,boss_input_vu_khi!$A$2:$A$71,0)),1,INDEX(Boss_dps!$B$2:$B$32,MATCH($B$30,Boss_dps!$A$2:$A$32,0)))*INDEX(Boss_dps!$C$2:$C$32,MATCH($B$30,Boss_dps!$A$2:$A$32,0))*$F$30</f>
        <v/>
      </c>
      <c r="I30" t="n">
        <v>636.48</v>
      </c>
      <c r="J30">
        <f>IF($H$30&gt;0,CEILING(INDEX(input_xe_tham_chieu!$C$2:$C$6,MATCH($D$30,input_xe_tham_chieu!$A$2:$A$6,0))/$H$30,1),"")</f>
        <v/>
      </c>
      <c r="K30">
        <f>IF(Boss_vu_khi!$S$26*$F$30&gt;0,INDEX(input_xe_tham_chieu!$C$2:$C$6,MATCH($D$30,input_xe_tham_chieu!$A$2:$A$6,0))/(Boss_vu_khi!$S$26*INDEX(Boss_dps!$D$2:$D$32,MATCH($B$30,Boss_dps!$A$2:$A$32,0))*$F$30),"")</f>
        <v/>
      </c>
      <c r="L30">
        <f>1+2*MIN(2,FLOOR(INDEX(boss_input_vu_khi!$E$2:$E$71,MATCH($C$30,boss_input_vu_khi!$A$2:$A$71,0))/8,1))</f>
        <v/>
      </c>
      <c r="M30">
        <f>1+2*MIN(2,FLOOR(MAX(INDEX(boss_input_vu_khi!$E$2:$E$71,MATCH($C$30,boss_input_vu_khi!$A$2:$A$71,0)),Boss_vu_khi!$L$26)/8,1))</f>
        <v/>
      </c>
      <c r="N30">
        <f>IF(INDEX(boss_input_vu_khi!$E$2:$E$71,MATCH($C$30,boss_input_vu_khi!$A$2:$A$71,0))&gt;=8,5,1)</f>
        <v/>
      </c>
      <c r="O30">
        <f>IF(MAX(INDEX(boss_input_vu_khi!$E$2:$E$71,MATCH($C$30,boss_input_vu_khi!$A$2:$A$71,0)),Boss_vu_khi!$L$26)&gt;=8,5,1)</f>
        <v/>
      </c>
      <c r="P30">
        <f>INDEX(boss_input_vu_khi_suy_ra!$H$2:$H$71,MATCH($C$30,boss_input_vu_khi_suy_ra!$A$2:$A$71,0))</f>
        <v/>
      </c>
      <c r="Q30">
        <f>IF(AND(INDEX(input_xe_tham_chieu!$G$2:$G$6,MATCH($D$30,input_xe_tham_chieu!$A$2:$A$6,0))&gt;0,INDEX(boss_input_vu_khi!$E$2:$E$71,MATCH($C$30,boss_input_vu_khi!$A$2:$A$71,0))&gt;0),INDEX(boss_input_vu_khi!$E$2:$E$71,MATCH($C$30,boss_input_vu_khi!$A$2:$A$71,0)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IF(INDEX(boss_input_vu_khi_suy_ra!$D$2:$D$71,MATCH($C$31,boss_input_vu_khi_suy_ra!$A$2:$A$71,0)),INDEX(input_xe_tham_chieu!$E$2:$E$6,MATCH($D$31,input_xe_tham_chieu!$A$2:$A$6,0)),INDEX(input_xe_tham_chieu!$D$2:$D$6,MATCH($D$31,input_xe_tham_chieu!$A$2:$A$6,0)))</f>
        <v/>
      </c>
      <c r="F31">
        <f>IF(INDEX(boss_input_vu_khi_suy_ra!$E$2:$E$71,MATCH($C$31,boss_input_vu_khi_suy_ra!$A$2:$A$71,0)),INDEX(boss_input_bang_xuyen_giap!$B$2:$B$7,MIN(6,MAX(1,IF(INDEX(boss_input_vu_khi_suy_ra!$D$2:$D$71,MATCH($C$31,boss_input_vu_khi_suy_ra!$A$2:$A$71,0)),MAX(1,2-(INDEX(boss_input_vu_khi!$C$2:$C$71,MATCH($C$31,boss_input_vu_khi!$A$2:$A$71,0))-$E$31)),2-(INDEX(boss_input_vu_khi!$C$2:$C$71,MATCH($C$31,boss_input_vu_khi!$A$2:$A$71,0))-$E$31))+1)))*IF(INDEX(input_xe_tham_chieu!$F$2:$F$6,MATCH($D$31,input_xe_tham_chieu!$A$2:$A$6,0)),INDEX(boss_input_vu_khi_suy_ra!$G$2:$G$71,MATCH($C$31,boss_input_vu_khi_suy_ra!$A$2:$A$71,0)),INDEX(boss_input_vu_khi_suy_ra!$F$2:$F$71,MATCH($C$31,boss_input_vu_khi_suy_ra!$A$2:$A$71,0))),0)</f>
        <v/>
      </c>
      <c r="G31" t="n">
        <v>0.5</v>
      </c>
      <c r="H31">
        <f>INDEX(boss_input_vu_khi!$B$2:$B$71,MATCH($C$31,boss_input_vu_khi!$A$2:$A$71,0))*INDEX(Boss_dps!$D$2:$D$32,MATCH($B$31,Boss_dps!$A$2:$A$32,0))*IF(INDEX(boss_input_vu_khi!$D$2:$D$71,MATCH($C$31,boss_input_vu_khi!$A$2:$A$71,0)),1,INDEX(Boss_dps!$B$2:$B$32,MATCH($B$31,Boss_dps!$A$2:$A$32,0)))*INDEX(Boss_dps!$C$2:$C$32,MATCH($B$31,Boss_dps!$A$2:$A$32,0))*$F$31</f>
        <v/>
      </c>
      <c r="I31" t="n">
        <v>318.24</v>
      </c>
      <c r="J31">
        <f>IF($H$31&gt;0,CEILING(INDEX(input_xe_tham_chieu!$C$2:$C$6,MATCH($D$31,input_xe_tham_chieu!$A$2:$A$6,0))/$H$31,1),"")</f>
        <v/>
      </c>
      <c r="K31">
        <f>IF(Boss_vu_khi!$S$26*$F$31&gt;0,INDEX(input_xe_tham_chieu!$C$2:$C$6,MATCH($D$31,input_xe_tham_chieu!$A$2:$A$6,0))/(Boss_vu_khi!$S$26*INDEX(Boss_dps!$D$2:$D$32,MATCH($B$31,Boss_dps!$A$2:$A$32,0))*$F$31),"")</f>
        <v/>
      </c>
      <c r="L31">
        <f>1+2*MIN(2,FLOOR(INDEX(boss_input_vu_khi!$E$2:$E$71,MATCH($C$31,boss_input_vu_khi!$A$2:$A$71,0))/8,1))</f>
        <v/>
      </c>
      <c r="M31">
        <f>1+2*MIN(2,FLOOR(MAX(INDEX(boss_input_vu_khi!$E$2:$E$71,MATCH($C$31,boss_input_vu_khi!$A$2:$A$71,0)),Boss_vu_khi!$L$26)/8,1))</f>
        <v/>
      </c>
      <c r="N31">
        <f>IF(INDEX(boss_input_vu_khi!$E$2:$E$71,MATCH($C$31,boss_input_vu_khi!$A$2:$A$71,0))&gt;=8,5,1)</f>
        <v/>
      </c>
      <c r="O31">
        <f>IF(MAX(INDEX(boss_input_vu_khi!$E$2:$E$71,MATCH($C$31,boss_input_vu_khi!$A$2:$A$71,0)),Boss_vu_khi!$L$26)&gt;=8,5,1)</f>
        <v/>
      </c>
      <c r="P31">
        <f>INDEX(boss_input_vu_khi_suy_ra!$H$2:$H$71,MATCH($C$31,boss_input_vu_khi_suy_ra!$A$2:$A$71,0))</f>
        <v/>
      </c>
      <c r="Q31">
        <f>IF(AND(INDEX(input_xe_tham_chieu!$G$2:$G$6,MATCH($D$31,input_xe_tham_chieu!$A$2:$A$6,0))&gt;0,INDEX(boss_input_vu_khi!$E$2:$E$71,MATCH($C$31,boss_input_vu_khi!$A$2:$A$71,0))&gt;0),INDEX(boss_input_vu_khi!$E$2:$E$71,MATCH($C$31,boss_input_vu_khi!$A$2:$A$71,0)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IF(INDEX(boss_input_vu_khi_suy_ra!$D$2:$D$71,MATCH($C$32,boss_input_vu_khi_suy_ra!$A$2:$A$71,0)),INDEX(input_xe_tham_chieu!$E$2:$E$6,MATCH($D$32,input_xe_tham_chieu!$A$2:$A$6,0)),INDEX(input_xe_tham_chieu!$D$2:$D$6,MATCH($D$32,input_xe_tham_chieu!$A$2:$A$6,0)))</f>
        <v/>
      </c>
      <c r="F32">
        <f>IF(INDEX(boss_input_vu_khi_suy_ra!$E$2:$E$71,MATCH($C$32,boss_input_vu_khi_suy_ra!$A$2:$A$71,0)),INDEX(boss_input_bang_xuyen_giap!$B$2:$B$7,MIN(6,MAX(1,IF(INDEX(boss_input_vu_khi_suy_ra!$D$2:$D$71,MATCH($C$32,boss_input_vu_khi_suy_ra!$A$2:$A$71,0)),MAX(1,2-(INDEX(boss_input_vu_khi!$C$2:$C$71,MATCH($C$32,boss_input_vu_khi!$A$2:$A$71,0))-$E$32)),2-(INDEX(boss_input_vu_khi!$C$2:$C$71,MATCH($C$32,boss_input_vu_khi!$A$2:$A$71,0))-$E$32))+1)))*IF(INDEX(input_xe_tham_chieu!$F$2:$F$6,MATCH($D$32,input_xe_tham_chieu!$A$2:$A$6,0)),INDEX(boss_input_vu_khi_suy_ra!$G$2:$G$71,MATCH($C$32,boss_input_vu_khi_suy_ra!$A$2:$A$71,0)),INDEX(boss_input_vu_khi_suy_ra!$F$2:$F$71,MATCH($C$32,boss_input_vu_khi_suy_ra!$A$2:$A$71,0))),0)</f>
        <v/>
      </c>
      <c r="G32" t="n">
        <v>1.2</v>
      </c>
      <c r="H32">
        <f>INDEX(boss_input_vu_khi!$B$2:$B$71,MATCH($C$32,boss_input_vu_khi!$A$2:$A$71,0))*INDEX(Boss_dps!$D$2:$D$32,MATCH($B$32,Boss_dps!$A$2:$A$32,0))*IF(INDEX(boss_input_vu_khi!$D$2:$D$71,MATCH($C$32,boss_input_vu_khi!$A$2:$A$71,0)),1,INDEX(Boss_dps!$B$2:$B$32,MATCH($B$32,Boss_dps!$A$2:$A$32,0)))*INDEX(Boss_dps!$C$2:$C$32,MATCH($B$32,Boss_dps!$A$2:$A$32,0))*$F$32</f>
        <v/>
      </c>
      <c r="I32" t="n">
        <v>1665.792</v>
      </c>
      <c r="J32">
        <f>IF($H$32&gt;0,CEILING(INDEX(input_xe_tham_chieu!$C$2:$C$6,MATCH($D$32,input_xe_tham_chieu!$A$2:$A$6,0))/$H$32,1),"")</f>
        <v/>
      </c>
      <c r="K32">
        <f>IF(Boss_vu_khi!$S$30*$F$32&gt;0,INDEX(input_xe_tham_chieu!$C$2:$C$6,MATCH($D$32,input_xe_tham_chieu!$A$2:$A$6,0))/(Boss_vu_khi!$S$30*INDEX(Boss_dps!$D$2:$D$32,MATCH($B$32,Boss_dps!$A$2:$A$32,0))*$F$32),"")</f>
        <v/>
      </c>
      <c r="L32">
        <f>1+2*MIN(2,FLOOR(INDEX(boss_input_vu_khi!$E$2:$E$71,MATCH($C$32,boss_input_vu_khi!$A$2:$A$71,0))/8,1))</f>
        <v/>
      </c>
      <c r="M32">
        <f>1+2*MIN(2,FLOOR(MAX(INDEX(boss_input_vu_khi!$E$2:$E$71,MATCH($C$32,boss_input_vu_khi!$A$2:$A$71,0)),Boss_vu_khi!$L$30)/8,1))</f>
        <v/>
      </c>
      <c r="N32">
        <f>IF(INDEX(boss_input_vu_khi!$E$2:$E$71,MATCH($C$32,boss_input_vu_khi!$A$2:$A$71,0))&gt;=8,5,1)</f>
        <v/>
      </c>
      <c r="O32">
        <f>IF(MAX(INDEX(boss_input_vu_khi!$E$2:$E$71,MATCH($C$32,boss_input_vu_khi!$A$2:$A$71,0)),Boss_vu_khi!$L$30)&gt;=8,5,1)</f>
        <v/>
      </c>
      <c r="P32">
        <f>INDEX(boss_input_vu_khi_suy_ra!$H$2:$H$71,MATCH($C$32,boss_input_vu_khi_suy_ra!$A$2:$A$71,0))</f>
        <v/>
      </c>
      <c r="Q32">
        <f>IF(AND(INDEX(input_xe_tham_chieu!$G$2:$G$6,MATCH($D$32,input_xe_tham_chieu!$A$2:$A$6,0))&gt;0,INDEX(boss_input_vu_khi!$E$2:$E$71,MATCH($C$32,boss_input_vu_khi!$A$2:$A$71,0))&gt;0),INDEX(boss_input_vu_khi!$E$2:$E$71,MATCH($C$32,boss_input_vu_khi!$A$2:$A$71,0)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IF(INDEX(boss_input_vu_khi_suy_ra!$D$2:$D$71,MATCH($C$33,boss_input_vu_khi_suy_ra!$A$2:$A$71,0)),INDEX(input_xe_tham_chieu!$E$2:$E$6,MATCH($D$33,input_xe_tham_chieu!$A$2:$A$6,0)),INDEX(input_xe_tham_chieu!$D$2:$D$6,MATCH($D$33,input_xe_tham_chieu!$A$2:$A$6,0)))</f>
        <v/>
      </c>
      <c r="F33">
        <f>IF(INDEX(boss_input_vu_khi_suy_ra!$E$2:$E$71,MATCH($C$33,boss_input_vu_khi_suy_ra!$A$2:$A$71,0)),INDEX(boss_input_bang_xuyen_giap!$B$2:$B$7,MIN(6,MAX(1,IF(INDEX(boss_input_vu_khi_suy_ra!$D$2:$D$71,MATCH($C$33,boss_input_vu_khi_suy_ra!$A$2:$A$71,0)),MAX(1,2-(INDEX(boss_input_vu_khi!$C$2:$C$71,MATCH($C$33,boss_input_vu_khi!$A$2:$A$71,0))-$E$33)),2-(INDEX(boss_input_vu_khi!$C$2:$C$71,MATCH($C$33,boss_input_vu_khi!$A$2:$A$71,0))-$E$33))+1)))*IF(INDEX(input_xe_tham_chieu!$F$2:$F$6,MATCH($D$33,input_xe_tham_chieu!$A$2:$A$6,0)),INDEX(boss_input_vu_khi_suy_ra!$G$2:$G$71,MATCH($C$33,boss_input_vu_khi_suy_ra!$A$2:$A$71,0)),INDEX(boss_input_vu_khi_suy_ra!$F$2:$F$71,MATCH($C$33,boss_input_vu_khi_suy_ra!$A$2:$A$71,0))),0)</f>
        <v/>
      </c>
      <c r="G33" t="n">
        <v>1.275</v>
      </c>
      <c r="H33">
        <f>INDEX(boss_input_vu_khi!$B$2:$B$71,MATCH($C$33,boss_input_vu_khi!$A$2:$A$71,0))*INDEX(Boss_dps!$D$2:$D$32,MATCH($B$33,Boss_dps!$A$2:$A$32,0))*IF(INDEX(boss_input_vu_khi!$D$2:$D$71,MATCH($C$33,boss_input_vu_khi!$A$2:$A$71,0)),1,INDEX(Boss_dps!$B$2:$B$32,MATCH($B$33,Boss_dps!$A$2:$A$32,0)))*INDEX(Boss_dps!$C$2:$C$32,MATCH($B$33,Boss_dps!$A$2:$A$32,0))*$F$33</f>
        <v/>
      </c>
      <c r="I33" t="n">
        <v>1769.904</v>
      </c>
      <c r="J33">
        <f>IF($H$33&gt;0,CEILING(INDEX(input_xe_tham_chieu!$C$2:$C$6,MATCH($D$33,input_xe_tham_chieu!$A$2:$A$6,0))/$H$33,1),"")</f>
        <v/>
      </c>
      <c r="K33">
        <f>IF(Boss_vu_khi!$S$30*$F$33&gt;0,INDEX(input_xe_tham_chieu!$C$2:$C$6,MATCH($D$33,input_xe_tham_chieu!$A$2:$A$6,0))/(Boss_vu_khi!$S$30*INDEX(Boss_dps!$D$2:$D$32,MATCH($B$33,Boss_dps!$A$2:$A$32,0))*$F$33),"")</f>
        <v/>
      </c>
      <c r="L33">
        <f>1+2*MIN(2,FLOOR(INDEX(boss_input_vu_khi!$E$2:$E$71,MATCH($C$33,boss_input_vu_khi!$A$2:$A$71,0))/8,1))</f>
        <v/>
      </c>
      <c r="M33">
        <f>1+2*MIN(2,FLOOR(MAX(INDEX(boss_input_vu_khi!$E$2:$E$71,MATCH($C$33,boss_input_vu_khi!$A$2:$A$71,0)),Boss_vu_khi!$L$30)/8,1))</f>
        <v/>
      </c>
      <c r="N33">
        <f>IF(INDEX(boss_input_vu_khi!$E$2:$E$71,MATCH($C$33,boss_input_vu_khi!$A$2:$A$71,0))&gt;=8,5,1)</f>
        <v/>
      </c>
      <c r="O33">
        <f>IF(MAX(INDEX(boss_input_vu_khi!$E$2:$E$71,MATCH($C$33,boss_input_vu_khi!$A$2:$A$71,0)),Boss_vu_khi!$L$30)&gt;=8,5,1)</f>
        <v/>
      </c>
      <c r="P33">
        <f>INDEX(boss_input_vu_khi_suy_ra!$H$2:$H$71,MATCH($C$33,boss_input_vu_khi_suy_ra!$A$2:$A$71,0))</f>
        <v/>
      </c>
      <c r="Q33">
        <f>IF(AND(INDEX(input_xe_tham_chieu!$G$2:$G$6,MATCH($D$33,input_xe_tham_chieu!$A$2:$A$6,0))&gt;0,INDEX(boss_input_vu_khi!$E$2:$E$71,MATCH($C$33,boss_input_vu_khi!$A$2:$A$71,0))&gt;0),INDEX(boss_input_vu_khi!$E$2:$E$71,MATCH($C$33,boss_input_vu_khi!$A$2:$A$71,0)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IF(INDEX(boss_input_vu_khi_suy_ra!$D$2:$D$71,MATCH($C$34,boss_input_vu_khi_suy_ra!$A$2:$A$71,0)),INDEX(input_xe_tham_chieu!$E$2:$E$6,MATCH($D$34,input_xe_tham_chieu!$A$2:$A$6,0)),INDEX(input_xe_tham_chieu!$D$2:$D$6,MATCH($D$34,input_xe_tham_chieu!$A$2:$A$6,0)))</f>
        <v/>
      </c>
      <c r="F34">
        <f>IF(INDEX(boss_input_vu_khi_suy_ra!$E$2:$E$71,MATCH($C$34,boss_input_vu_khi_suy_ra!$A$2:$A$71,0)),INDEX(boss_input_bang_xuyen_giap!$B$2:$B$7,MIN(6,MAX(1,IF(INDEX(boss_input_vu_khi_suy_ra!$D$2:$D$71,MATCH($C$34,boss_input_vu_khi_suy_ra!$A$2:$A$71,0)),MAX(1,2-(INDEX(boss_input_vu_khi!$C$2:$C$71,MATCH($C$34,boss_input_vu_khi!$A$2:$A$71,0))-$E$34)),2-(INDEX(boss_input_vu_khi!$C$2:$C$71,MATCH($C$34,boss_input_vu_khi!$A$2:$A$71,0))-$E$34))+1)))*IF(INDEX(input_xe_tham_chieu!$F$2:$F$6,MATCH($D$34,input_xe_tham_chieu!$A$2:$A$6,0)),INDEX(boss_input_vu_khi_suy_ra!$G$2:$G$71,MATCH($C$34,boss_input_vu_khi_suy_ra!$A$2:$A$71,0)),INDEX(boss_input_vu_khi_suy_ra!$F$2:$F$71,MATCH($C$34,boss_input_vu_khi_suy_ra!$A$2:$A$71,0))),0)</f>
        <v/>
      </c>
      <c r="G34" t="n">
        <v>0.5</v>
      </c>
      <c r="H34">
        <f>INDEX(boss_input_vu_khi!$B$2:$B$71,MATCH($C$34,boss_input_vu_khi!$A$2:$A$71,0))*INDEX(Boss_dps!$D$2:$D$32,MATCH($B$34,Boss_dps!$A$2:$A$32,0))*IF(INDEX(boss_input_vu_khi!$D$2:$D$71,MATCH($C$34,boss_input_vu_khi!$A$2:$A$71,0)),1,INDEX(Boss_dps!$B$2:$B$32,MATCH($B$34,Boss_dps!$A$2:$A$32,0)))*INDEX(Boss_dps!$C$2:$C$32,MATCH($B$34,Boss_dps!$A$2:$A$32,0))*$F$34</f>
        <v/>
      </c>
      <c r="I34" t="n">
        <v>694.0799999999999</v>
      </c>
      <c r="J34">
        <f>IF($H$34&gt;0,CEILING(INDEX(input_xe_tham_chieu!$C$2:$C$6,MATCH($D$34,input_xe_tham_chieu!$A$2:$A$6,0))/$H$34,1),"")</f>
        <v/>
      </c>
      <c r="K34">
        <f>IF(Boss_vu_khi!$S$30*$F$34&gt;0,INDEX(input_xe_tham_chieu!$C$2:$C$6,MATCH($D$34,input_xe_tham_chieu!$A$2:$A$6,0))/(Boss_vu_khi!$S$30*INDEX(Boss_dps!$D$2:$D$32,MATCH($B$34,Boss_dps!$A$2:$A$32,0))*$F$34),"")</f>
        <v/>
      </c>
      <c r="L34">
        <f>1+2*MIN(2,FLOOR(INDEX(boss_input_vu_khi!$E$2:$E$71,MATCH($C$34,boss_input_vu_khi!$A$2:$A$71,0))/8,1))</f>
        <v/>
      </c>
      <c r="M34">
        <f>1+2*MIN(2,FLOOR(MAX(INDEX(boss_input_vu_khi!$E$2:$E$71,MATCH($C$34,boss_input_vu_khi!$A$2:$A$71,0)),Boss_vu_khi!$L$30)/8,1))</f>
        <v/>
      </c>
      <c r="N34">
        <f>IF(INDEX(boss_input_vu_khi!$E$2:$E$71,MATCH($C$34,boss_input_vu_khi!$A$2:$A$71,0))&gt;=8,5,1)</f>
        <v/>
      </c>
      <c r="O34">
        <f>IF(MAX(INDEX(boss_input_vu_khi!$E$2:$E$71,MATCH($C$34,boss_input_vu_khi!$A$2:$A$71,0)),Boss_vu_khi!$L$30)&gt;=8,5,1)</f>
        <v/>
      </c>
      <c r="P34">
        <f>INDEX(boss_input_vu_khi_suy_ra!$H$2:$H$71,MATCH($C$34,boss_input_vu_khi_suy_ra!$A$2:$A$71,0))</f>
        <v/>
      </c>
      <c r="Q34">
        <f>IF(AND(INDEX(input_xe_tham_chieu!$G$2:$G$6,MATCH($D$34,input_xe_tham_chieu!$A$2:$A$6,0))&gt;0,INDEX(boss_input_vu_khi!$E$2:$E$71,MATCH($C$34,boss_input_vu_khi!$A$2:$A$71,0))&gt;0),INDEX(boss_input_vu_khi!$E$2:$E$71,MATCH($C$34,boss_input_vu_khi!$A$2:$A$71,0)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IF(INDEX(boss_input_vu_khi_suy_ra!$D$2:$D$71,MATCH($C$35,boss_input_vu_khi_suy_ra!$A$2:$A$71,0)),INDEX(input_xe_tham_chieu!$E$2:$E$6,MATCH($D$35,input_xe_tham_chieu!$A$2:$A$6,0)),INDEX(input_xe_tham_chieu!$D$2:$D$6,MATCH($D$35,input_xe_tham_chieu!$A$2:$A$6,0)))</f>
        <v/>
      </c>
      <c r="F35">
        <f>IF(INDEX(boss_input_vu_khi_suy_ra!$E$2:$E$71,MATCH($C$35,boss_input_vu_khi_suy_ra!$A$2:$A$71,0)),INDEX(boss_input_bang_xuyen_giap!$B$2:$B$7,MIN(6,MAX(1,IF(INDEX(boss_input_vu_khi_suy_ra!$D$2:$D$71,MATCH($C$35,boss_input_vu_khi_suy_ra!$A$2:$A$71,0)),MAX(1,2-(INDEX(boss_input_vu_khi!$C$2:$C$71,MATCH($C$35,boss_input_vu_khi!$A$2:$A$71,0))-$E$35)),2-(INDEX(boss_input_vu_khi!$C$2:$C$71,MATCH($C$35,boss_input_vu_khi!$A$2:$A$71,0))-$E$35))+1)))*IF(INDEX(input_xe_tham_chieu!$F$2:$F$6,MATCH($D$35,input_xe_tham_chieu!$A$2:$A$6,0)),INDEX(boss_input_vu_khi_suy_ra!$G$2:$G$71,MATCH($C$35,boss_input_vu_khi_suy_ra!$A$2:$A$71,0)),INDEX(boss_input_vu_khi_suy_ra!$F$2:$F$71,MATCH($C$35,boss_input_vu_khi_suy_ra!$A$2:$A$71,0))),0)</f>
        <v/>
      </c>
      <c r="G35" t="n">
        <v>1</v>
      </c>
      <c r="H35">
        <f>INDEX(boss_input_vu_khi!$B$2:$B$71,MATCH($C$35,boss_input_vu_khi!$A$2:$A$71,0))*INDEX(Boss_dps!$D$2:$D$32,MATCH($B$35,Boss_dps!$A$2:$A$32,0))*IF(INDEX(boss_input_vu_khi!$D$2:$D$71,MATCH($C$35,boss_input_vu_khi!$A$2:$A$71,0)),1,INDEX(Boss_dps!$B$2:$B$32,MATCH($B$35,Boss_dps!$A$2:$A$32,0)))*INDEX(Boss_dps!$C$2:$C$32,MATCH($B$35,Boss_dps!$A$2:$A$32,0))*$F$35</f>
        <v/>
      </c>
      <c r="I35" t="n">
        <v>1388.16</v>
      </c>
      <c r="J35">
        <f>IF($H$35&gt;0,CEILING(INDEX(input_xe_tham_chieu!$C$2:$C$6,MATCH($D$35,input_xe_tham_chieu!$A$2:$A$6,0))/$H$35,1),"")</f>
        <v/>
      </c>
      <c r="K35">
        <f>IF(Boss_vu_khi!$S$30*$F$35&gt;0,INDEX(input_xe_tham_chieu!$C$2:$C$6,MATCH($D$35,input_xe_tham_chieu!$A$2:$A$6,0))/(Boss_vu_khi!$S$30*INDEX(Boss_dps!$D$2:$D$32,MATCH($B$35,Boss_dps!$A$2:$A$32,0))*$F$35),"")</f>
        <v/>
      </c>
      <c r="L35">
        <f>1+2*MIN(2,FLOOR(INDEX(boss_input_vu_khi!$E$2:$E$71,MATCH($C$35,boss_input_vu_khi!$A$2:$A$71,0))/8,1))</f>
        <v/>
      </c>
      <c r="M35">
        <f>1+2*MIN(2,FLOOR(MAX(INDEX(boss_input_vu_khi!$E$2:$E$71,MATCH($C$35,boss_input_vu_khi!$A$2:$A$71,0)),Boss_vu_khi!$L$30)/8,1))</f>
        <v/>
      </c>
      <c r="N35">
        <f>IF(INDEX(boss_input_vu_khi!$E$2:$E$71,MATCH($C$35,boss_input_vu_khi!$A$2:$A$71,0))&gt;=8,5,1)</f>
        <v/>
      </c>
      <c r="O35">
        <f>IF(MAX(INDEX(boss_input_vu_khi!$E$2:$E$71,MATCH($C$35,boss_input_vu_khi!$A$2:$A$71,0)),Boss_vu_khi!$L$30)&gt;=8,5,1)</f>
        <v/>
      </c>
      <c r="P35">
        <f>INDEX(boss_input_vu_khi_suy_ra!$H$2:$H$71,MATCH($C$35,boss_input_vu_khi_suy_ra!$A$2:$A$71,0))</f>
        <v/>
      </c>
      <c r="Q35">
        <f>IF(AND(INDEX(input_xe_tham_chieu!$G$2:$G$6,MATCH($D$35,input_xe_tham_chieu!$A$2:$A$6,0))&gt;0,INDEX(boss_input_vu_khi!$E$2:$E$71,MATCH($C$35,boss_input_vu_khi!$A$2:$A$71,0))&gt;0),INDEX(boss_input_vu_khi!$E$2:$E$71,MATCH($C$35,boss_input_vu_khi!$A$2:$A$71,0)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IF(INDEX(boss_input_vu_khi_suy_ra!$D$2:$D$71,MATCH($C$36,boss_input_vu_khi_suy_ra!$A$2:$A$71,0)),INDEX(input_xe_tham_chieu!$E$2:$E$6,MATCH($D$36,input_xe_tham_chieu!$A$2:$A$6,0)),INDEX(input_xe_tham_chieu!$D$2:$D$6,MATCH($D$36,input_xe_tham_chieu!$A$2:$A$6,0)))</f>
        <v/>
      </c>
      <c r="F36">
        <f>IF(INDEX(boss_input_vu_khi_suy_ra!$E$2:$E$71,MATCH($C$36,boss_input_vu_khi_suy_ra!$A$2:$A$71,0)),INDEX(boss_input_bang_xuyen_giap!$B$2:$B$7,MIN(6,MAX(1,IF(INDEX(boss_input_vu_khi_suy_ra!$D$2:$D$71,MATCH($C$36,boss_input_vu_khi_suy_ra!$A$2:$A$71,0)),MAX(1,2-(INDEX(boss_input_vu_khi!$C$2:$C$71,MATCH($C$36,boss_input_vu_khi!$A$2:$A$71,0))-$E$36)),2-(INDEX(boss_input_vu_khi!$C$2:$C$71,MATCH($C$36,boss_input_vu_khi!$A$2:$A$71,0))-$E$36))+1)))*IF(INDEX(input_xe_tham_chieu!$F$2:$F$6,MATCH($D$36,input_xe_tham_chieu!$A$2:$A$6,0)),INDEX(boss_input_vu_khi_suy_ra!$G$2:$G$71,MATCH($C$36,boss_input_vu_khi_suy_ra!$A$2:$A$71,0)),INDEX(boss_input_vu_khi_suy_ra!$F$2:$F$71,MATCH($C$36,boss_input_vu_khi_suy_ra!$A$2:$A$71,0))),0)</f>
        <v/>
      </c>
      <c r="G36" t="n">
        <v>0.5</v>
      </c>
      <c r="H36">
        <f>INDEX(boss_input_vu_khi!$B$2:$B$71,MATCH($C$36,boss_input_vu_khi!$A$2:$A$71,0))*INDEX(Boss_dps!$D$2:$D$32,MATCH($B$36,Boss_dps!$A$2:$A$32,0))*IF(INDEX(boss_input_vu_khi!$D$2:$D$71,MATCH($C$36,boss_input_vu_khi!$A$2:$A$71,0)),1,INDEX(Boss_dps!$B$2:$B$32,MATCH($B$36,Boss_dps!$A$2:$A$32,0)))*INDEX(Boss_dps!$C$2:$C$32,MATCH($B$36,Boss_dps!$A$2:$A$32,0))*$F$36</f>
        <v/>
      </c>
      <c r="I36" t="n">
        <v>694.0799999999999</v>
      </c>
      <c r="J36">
        <f>IF($H$36&gt;0,CEILING(INDEX(input_xe_tham_chieu!$C$2:$C$6,MATCH($D$36,input_xe_tham_chieu!$A$2:$A$6,0))/$H$36,1),"")</f>
        <v/>
      </c>
      <c r="K36">
        <f>IF(Boss_vu_khi!$S$30*$F$36&gt;0,INDEX(input_xe_tham_chieu!$C$2:$C$6,MATCH($D$36,input_xe_tham_chieu!$A$2:$A$6,0))/(Boss_vu_khi!$S$30*INDEX(Boss_dps!$D$2:$D$32,MATCH($B$36,Boss_dps!$A$2:$A$32,0))*$F$36),"")</f>
        <v/>
      </c>
      <c r="L36">
        <f>1+2*MIN(2,FLOOR(INDEX(boss_input_vu_khi!$E$2:$E$71,MATCH($C$36,boss_input_vu_khi!$A$2:$A$71,0))/8,1))</f>
        <v/>
      </c>
      <c r="M36">
        <f>1+2*MIN(2,FLOOR(MAX(INDEX(boss_input_vu_khi!$E$2:$E$71,MATCH($C$36,boss_input_vu_khi!$A$2:$A$71,0)),Boss_vu_khi!$L$30)/8,1))</f>
        <v/>
      </c>
      <c r="N36">
        <f>IF(INDEX(boss_input_vu_khi!$E$2:$E$71,MATCH($C$36,boss_input_vu_khi!$A$2:$A$71,0))&gt;=8,5,1)</f>
        <v/>
      </c>
      <c r="O36">
        <f>IF(MAX(INDEX(boss_input_vu_khi!$E$2:$E$71,MATCH($C$36,boss_input_vu_khi!$A$2:$A$71,0)),Boss_vu_khi!$L$30)&gt;=8,5,1)</f>
        <v/>
      </c>
      <c r="P36">
        <f>INDEX(boss_input_vu_khi_suy_ra!$H$2:$H$71,MATCH($C$36,boss_input_vu_khi_suy_ra!$A$2:$A$71,0))</f>
        <v/>
      </c>
      <c r="Q36">
        <f>IF(AND(INDEX(input_xe_tham_chieu!$G$2:$G$6,MATCH($D$36,input_xe_tham_chieu!$A$2:$A$6,0))&gt;0,INDEX(boss_input_vu_khi!$E$2:$E$71,MATCH($C$36,boss_input_vu_khi!$A$2:$A$71,0))&gt;0),INDEX(boss_input_vu_khi!$E$2:$E$71,MATCH($C$36,boss_input_vu_khi!$A$2:$A$71,0)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IF(INDEX(boss_input_vu_khi_suy_ra!$D$2:$D$71,MATCH($C$37,boss_input_vu_khi_suy_ra!$A$2:$A$71,0)),INDEX(input_xe_tham_chieu!$E$2:$E$6,MATCH($D$37,input_xe_tham_chieu!$A$2:$A$6,0)),INDEX(input_xe_tham_chieu!$D$2:$D$6,MATCH($D$37,input_xe_tham_chieu!$A$2:$A$6,0)))</f>
        <v/>
      </c>
      <c r="F37">
        <f>IF(INDEX(boss_input_vu_khi_suy_ra!$E$2:$E$71,MATCH($C$37,boss_input_vu_khi_suy_ra!$A$2:$A$71,0)),INDEX(boss_input_bang_xuyen_giap!$B$2:$B$7,MIN(6,MAX(1,IF(INDEX(boss_input_vu_khi_suy_ra!$D$2:$D$71,MATCH($C$37,boss_input_vu_khi_suy_ra!$A$2:$A$71,0)),MAX(1,2-(INDEX(boss_input_vu_khi!$C$2:$C$71,MATCH($C$37,boss_input_vu_khi!$A$2:$A$71,0))-$E$37)),2-(INDEX(boss_input_vu_khi!$C$2:$C$71,MATCH($C$37,boss_input_vu_khi!$A$2:$A$71,0))-$E$37))+1)))*IF(INDEX(input_xe_tham_chieu!$F$2:$F$6,MATCH($D$37,input_xe_tham_chieu!$A$2:$A$6,0)),INDEX(boss_input_vu_khi_suy_ra!$G$2:$G$71,MATCH($C$37,boss_input_vu_khi_suy_ra!$A$2:$A$71,0)),INDEX(boss_input_vu_khi_suy_ra!$F$2:$F$71,MATCH($C$37,boss_input_vu_khi_suy_ra!$A$2:$A$71,0))),0)</f>
        <v/>
      </c>
      <c r="G37" t="n">
        <v>1.2</v>
      </c>
      <c r="H37">
        <f>INDEX(boss_input_vu_khi!$B$2:$B$71,MATCH($C$37,boss_input_vu_khi!$A$2:$A$71,0))*INDEX(Boss_dps!$D$2:$D$32,MATCH($B$37,Boss_dps!$A$2:$A$32,0))*IF(INDEX(boss_input_vu_khi!$D$2:$D$71,MATCH($C$37,boss_input_vu_khi!$A$2:$A$71,0)),1,INDEX(Boss_dps!$B$2:$B$32,MATCH($B$37,Boss_dps!$A$2:$A$32,0)))*INDEX(Boss_dps!$C$2:$C$32,MATCH($B$37,Boss_dps!$A$2:$A$32,0))*$F$37</f>
        <v/>
      </c>
      <c r="I37" t="n">
        <v>1804.032</v>
      </c>
      <c r="J37">
        <f>IF($H$37&gt;0,CEILING(INDEX(input_xe_tham_chieu!$C$2:$C$6,MATCH($D$37,input_xe_tham_chieu!$A$2:$A$6,0))/$H$37,1),"")</f>
        <v/>
      </c>
      <c r="K37">
        <f>IF(Boss_vu_khi!$S$33*$F$37&gt;0,INDEX(input_xe_tham_chieu!$C$2:$C$6,MATCH($D$37,input_xe_tham_chieu!$A$2:$A$6,0))/(Boss_vu_khi!$S$33*INDEX(Boss_dps!$D$2:$D$32,MATCH($B$37,Boss_dps!$A$2:$A$32,0))*$F$37),"")</f>
        <v/>
      </c>
      <c r="L37">
        <f>1+2*MIN(2,FLOOR(INDEX(boss_input_vu_khi!$E$2:$E$71,MATCH($C$37,boss_input_vu_khi!$A$2:$A$71,0))/8,1))</f>
        <v/>
      </c>
      <c r="M37">
        <f>1+2*MIN(2,FLOOR(MAX(INDEX(boss_input_vu_khi!$E$2:$E$71,MATCH($C$37,boss_input_vu_khi!$A$2:$A$71,0)),Boss_vu_khi!$L$33)/8,1))</f>
        <v/>
      </c>
      <c r="N37">
        <f>IF(INDEX(boss_input_vu_khi!$E$2:$E$71,MATCH($C$37,boss_input_vu_khi!$A$2:$A$71,0))&gt;=8,5,1)</f>
        <v/>
      </c>
      <c r="O37">
        <f>IF(MAX(INDEX(boss_input_vu_khi!$E$2:$E$71,MATCH($C$37,boss_input_vu_khi!$A$2:$A$71,0)),Boss_vu_khi!$L$33)&gt;=8,5,1)</f>
        <v/>
      </c>
      <c r="P37">
        <f>INDEX(boss_input_vu_khi_suy_ra!$H$2:$H$71,MATCH($C$37,boss_input_vu_khi_suy_ra!$A$2:$A$71,0))</f>
        <v/>
      </c>
      <c r="Q37">
        <f>IF(AND(INDEX(input_xe_tham_chieu!$G$2:$G$6,MATCH($D$37,input_xe_tham_chieu!$A$2:$A$6,0))&gt;0,INDEX(boss_input_vu_khi!$E$2:$E$71,MATCH($C$37,boss_input_vu_khi!$A$2:$A$71,0))&gt;0),INDEX(boss_input_vu_khi!$E$2:$E$71,MATCH($C$37,boss_input_vu_khi!$A$2:$A$71,0)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IF(INDEX(boss_input_vu_khi_suy_ra!$D$2:$D$71,MATCH($C$38,boss_input_vu_khi_suy_ra!$A$2:$A$71,0)),INDEX(input_xe_tham_chieu!$E$2:$E$6,MATCH($D$38,input_xe_tham_chieu!$A$2:$A$6,0)),INDEX(input_xe_tham_chieu!$D$2:$D$6,MATCH($D$38,input_xe_tham_chieu!$A$2:$A$6,0)))</f>
        <v/>
      </c>
      <c r="F38">
        <f>IF(INDEX(boss_input_vu_khi_suy_ra!$E$2:$E$71,MATCH($C$38,boss_input_vu_khi_suy_ra!$A$2:$A$71,0)),INDEX(boss_input_bang_xuyen_giap!$B$2:$B$7,MIN(6,MAX(1,IF(INDEX(boss_input_vu_khi_suy_ra!$D$2:$D$71,MATCH($C$38,boss_input_vu_khi_suy_ra!$A$2:$A$71,0)),MAX(1,2-(INDEX(boss_input_vu_khi!$C$2:$C$71,MATCH($C$38,boss_input_vu_khi!$A$2:$A$71,0))-$E$38)),2-(INDEX(boss_input_vu_khi!$C$2:$C$71,MATCH($C$38,boss_input_vu_khi!$A$2:$A$71,0))-$E$38))+1)))*IF(INDEX(input_xe_tham_chieu!$F$2:$F$6,MATCH($D$38,input_xe_tham_chieu!$A$2:$A$6,0)),INDEX(boss_input_vu_khi_suy_ra!$G$2:$G$71,MATCH($C$38,boss_input_vu_khi_suy_ra!$A$2:$A$71,0)),INDEX(boss_input_vu_khi_suy_ra!$F$2:$F$71,MATCH($C$38,boss_input_vu_khi_suy_ra!$A$2:$A$71,0))),0)</f>
        <v/>
      </c>
      <c r="G38" t="n">
        <v>0.6</v>
      </c>
      <c r="H38">
        <f>INDEX(boss_input_vu_khi!$B$2:$B$71,MATCH($C$38,boss_input_vu_khi!$A$2:$A$71,0))*INDEX(Boss_dps!$D$2:$D$32,MATCH($B$38,Boss_dps!$A$2:$A$32,0))*IF(INDEX(boss_input_vu_khi!$D$2:$D$71,MATCH($C$38,boss_input_vu_khi!$A$2:$A$71,0)),1,INDEX(Boss_dps!$B$2:$B$32,MATCH($B$38,Boss_dps!$A$2:$A$32,0)))*INDEX(Boss_dps!$C$2:$C$32,MATCH($B$38,Boss_dps!$A$2:$A$32,0))*$F$38</f>
        <v/>
      </c>
      <c r="I38" t="n">
        <v>902.016</v>
      </c>
      <c r="J38">
        <f>IF($H$38&gt;0,CEILING(INDEX(input_xe_tham_chieu!$C$2:$C$6,MATCH($D$38,input_xe_tham_chieu!$A$2:$A$6,0))/$H$38,1),"")</f>
        <v/>
      </c>
      <c r="K38">
        <f>IF(Boss_vu_khi!$S$33*$F$38&gt;0,INDEX(input_xe_tham_chieu!$C$2:$C$6,MATCH($D$38,input_xe_tham_chieu!$A$2:$A$6,0))/(Boss_vu_khi!$S$33*INDEX(Boss_dps!$D$2:$D$32,MATCH($B$38,Boss_dps!$A$2:$A$32,0))*$F$38),"")</f>
        <v/>
      </c>
      <c r="L38">
        <f>1+2*MIN(2,FLOOR(INDEX(boss_input_vu_khi!$E$2:$E$71,MATCH($C$38,boss_input_vu_khi!$A$2:$A$71,0))/8,1))</f>
        <v/>
      </c>
      <c r="M38">
        <f>1+2*MIN(2,FLOOR(MAX(INDEX(boss_input_vu_khi!$E$2:$E$71,MATCH($C$38,boss_input_vu_khi!$A$2:$A$71,0)),Boss_vu_khi!$L$33)/8,1))</f>
        <v/>
      </c>
      <c r="N38">
        <f>IF(INDEX(boss_input_vu_khi!$E$2:$E$71,MATCH($C$38,boss_input_vu_khi!$A$2:$A$71,0))&gt;=8,5,1)</f>
        <v/>
      </c>
      <c r="O38">
        <f>IF(MAX(INDEX(boss_input_vu_khi!$E$2:$E$71,MATCH($C$38,boss_input_vu_khi!$A$2:$A$71,0)),Boss_vu_khi!$L$33)&gt;=8,5,1)</f>
        <v/>
      </c>
      <c r="P38">
        <f>INDEX(boss_input_vu_khi_suy_ra!$H$2:$H$71,MATCH($C$38,boss_input_vu_khi_suy_ra!$A$2:$A$71,0))</f>
        <v/>
      </c>
      <c r="Q38">
        <f>IF(AND(INDEX(input_xe_tham_chieu!$G$2:$G$6,MATCH($D$38,input_xe_tham_chieu!$A$2:$A$6,0))&gt;0,INDEX(boss_input_vu_khi!$E$2:$E$71,MATCH($C$38,boss_input_vu_khi!$A$2:$A$71,0))&gt;0),INDEX(boss_input_vu_khi!$E$2:$E$71,MATCH($C$38,boss_input_vu_khi!$A$2:$A$71,0)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IF(INDEX(boss_input_vu_khi_suy_ra!$D$2:$D$71,MATCH($C$39,boss_input_vu_khi_suy_ra!$A$2:$A$71,0)),INDEX(input_xe_tham_chieu!$E$2:$E$6,MATCH($D$39,input_xe_tham_chieu!$A$2:$A$6,0)),INDEX(input_xe_tham_chieu!$D$2:$D$6,MATCH($D$39,input_xe_tham_chieu!$A$2:$A$6,0)))</f>
        <v/>
      </c>
      <c r="F39">
        <f>IF(INDEX(boss_input_vu_khi_suy_ra!$E$2:$E$71,MATCH($C$39,boss_input_vu_khi_suy_ra!$A$2:$A$71,0)),INDEX(boss_input_bang_xuyen_giap!$B$2:$B$7,MIN(6,MAX(1,IF(INDEX(boss_input_vu_khi_suy_ra!$D$2:$D$71,MATCH($C$39,boss_input_vu_khi_suy_ra!$A$2:$A$71,0)),MAX(1,2-(INDEX(boss_input_vu_khi!$C$2:$C$71,MATCH($C$39,boss_input_vu_khi!$A$2:$A$71,0))-$E$39)),2-(INDEX(boss_input_vu_khi!$C$2:$C$71,MATCH($C$39,boss_input_vu_khi!$A$2:$A$71,0))-$E$39))+1)))*IF(INDEX(input_xe_tham_chieu!$F$2:$F$6,MATCH($D$39,input_xe_tham_chieu!$A$2:$A$6,0)),INDEX(boss_input_vu_khi_suy_ra!$G$2:$G$71,MATCH($C$39,boss_input_vu_khi_suy_ra!$A$2:$A$71,0)),INDEX(boss_input_vu_khi_suy_ra!$F$2:$F$71,MATCH($C$39,boss_input_vu_khi_suy_ra!$A$2:$A$71,0))),0)</f>
        <v/>
      </c>
      <c r="G39" t="n">
        <v>0.85</v>
      </c>
      <c r="H39">
        <f>INDEX(boss_input_vu_khi!$B$2:$B$71,MATCH($C$39,boss_input_vu_khi!$A$2:$A$71,0))*INDEX(Boss_dps!$D$2:$D$32,MATCH($B$39,Boss_dps!$A$2:$A$32,0))*IF(INDEX(boss_input_vu_khi!$D$2:$D$71,MATCH($C$39,boss_input_vu_khi!$A$2:$A$71,0)),1,INDEX(Boss_dps!$B$2:$B$32,MATCH($B$39,Boss_dps!$A$2:$A$32,0)))*INDEX(Boss_dps!$C$2:$C$32,MATCH($B$39,Boss_dps!$A$2:$A$32,0))*$F$39</f>
        <v/>
      </c>
      <c r="I39" t="n">
        <v>1277.856</v>
      </c>
      <c r="J39">
        <f>IF($H$39&gt;0,CEILING(INDEX(input_xe_tham_chieu!$C$2:$C$6,MATCH($D$39,input_xe_tham_chieu!$A$2:$A$6,0))/$H$39,1),"")</f>
        <v/>
      </c>
      <c r="K39">
        <f>IF(Boss_vu_khi!$S$33*$F$39&gt;0,INDEX(input_xe_tham_chieu!$C$2:$C$6,MATCH($D$39,input_xe_tham_chieu!$A$2:$A$6,0))/(Boss_vu_khi!$S$33*INDEX(Boss_dps!$D$2:$D$32,MATCH($B$39,Boss_dps!$A$2:$A$32,0))*$F$39),"")</f>
        <v/>
      </c>
      <c r="L39">
        <f>1+2*MIN(2,FLOOR(INDEX(boss_input_vu_khi!$E$2:$E$71,MATCH($C$39,boss_input_vu_khi!$A$2:$A$71,0))/8,1))</f>
        <v/>
      </c>
      <c r="M39">
        <f>1+2*MIN(2,FLOOR(MAX(INDEX(boss_input_vu_khi!$E$2:$E$71,MATCH($C$39,boss_input_vu_khi!$A$2:$A$71,0)),Boss_vu_khi!$L$33)/8,1))</f>
        <v/>
      </c>
      <c r="N39">
        <f>IF(INDEX(boss_input_vu_khi!$E$2:$E$71,MATCH($C$39,boss_input_vu_khi!$A$2:$A$71,0))&gt;=8,5,1)</f>
        <v/>
      </c>
      <c r="O39">
        <f>IF(MAX(INDEX(boss_input_vu_khi!$E$2:$E$71,MATCH($C$39,boss_input_vu_khi!$A$2:$A$71,0)),Boss_vu_khi!$L$33)&gt;=8,5,1)</f>
        <v/>
      </c>
      <c r="P39">
        <f>INDEX(boss_input_vu_khi_suy_ra!$H$2:$H$71,MATCH($C$39,boss_input_vu_khi_suy_ra!$A$2:$A$71,0))</f>
        <v/>
      </c>
      <c r="Q39">
        <f>IF(AND(INDEX(input_xe_tham_chieu!$G$2:$G$6,MATCH($D$39,input_xe_tham_chieu!$A$2:$A$6,0))&gt;0,INDEX(boss_input_vu_khi!$E$2:$E$71,MATCH($C$39,boss_input_vu_khi!$A$2:$A$71,0))&gt;0),INDEX(boss_input_vu_khi!$E$2:$E$71,MATCH($C$39,boss_input_vu_khi!$A$2:$A$71,0)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IF(INDEX(boss_input_vu_khi_suy_ra!$D$2:$D$71,MATCH($C$40,boss_input_vu_khi_suy_ra!$A$2:$A$71,0)),INDEX(input_xe_tham_chieu!$E$2:$E$6,MATCH($D$40,input_xe_tham_chieu!$A$2:$A$6,0)),INDEX(input_xe_tham_chieu!$D$2:$D$6,MATCH($D$40,input_xe_tham_chieu!$A$2:$A$6,0)))</f>
        <v/>
      </c>
      <c r="F40">
        <f>IF(INDEX(boss_input_vu_khi_suy_ra!$E$2:$E$71,MATCH($C$40,boss_input_vu_khi_suy_ra!$A$2:$A$71,0)),INDEX(boss_input_bang_xuyen_giap!$B$2:$B$7,MIN(6,MAX(1,IF(INDEX(boss_input_vu_khi_suy_ra!$D$2:$D$71,MATCH($C$40,boss_input_vu_khi_suy_ra!$A$2:$A$71,0)),MAX(1,2-(INDEX(boss_input_vu_khi!$C$2:$C$71,MATCH($C$40,boss_input_vu_khi!$A$2:$A$71,0))-$E$40)),2-(INDEX(boss_input_vu_khi!$C$2:$C$71,MATCH($C$40,boss_input_vu_khi!$A$2:$A$71,0))-$E$40))+1)))*IF(INDEX(input_xe_tham_chieu!$F$2:$F$6,MATCH($D$40,input_xe_tham_chieu!$A$2:$A$6,0)),INDEX(boss_input_vu_khi_suy_ra!$G$2:$G$71,MATCH($C$40,boss_input_vu_khi_suy_ra!$A$2:$A$71,0)),INDEX(boss_input_vu_khi_suy_ra!$F$2:$F$71,MATCH($C$40,boss_input_vu_khi_suy_ra!$A$2:$A$71,0))),0)</f>
        <v/>
      </c>
      <c r="G40" t="n">
        <v>1.2</v>
      </c>
      <c r="H40">
        <f>INDEX(boss_input_vu_khi!$B$2:$B$71,MATCH($C$40,boss_input_vu_khi!$A$2:$A$71,0))*INDEX(Boss_dps!$D$2:$D$32,MATCH($B$40,Boss_dps!$A$2:$A$32,0))*IF(INDEX(boss_input_vu_khi!$D$2:$D$71,MATCH($C$40,boss_input_vu_khi!$A$2:$A$71,0)),1,INDEX(Boss_dps!$B$2:$B$32,MATCH($B$40,Boss_dps!$A$2:$A$32,0)))*INDEX(Boss_dps!$C$2:$C$32,MATCH($B$40,Boss_dps!$A$2:$A$32,0))*$F$40</f>
        <v/>
      </c>
      <c r="I40" t="n">
        <v>1804.032</v>
      </c>
      <c r="J40">
        <f>IF($H$40&gt;0,CEILING(INDEX(input_xe_tham_chieu!$C$2:$C$6,MATCH($D$40,input_xe_tham_chieu!$A$2:$A$6,0))/$H$40,1),"")</f>
        <v/>
      </c>
      <c r="K40">
        <f>IF(Boss_vu_khi!$S$33*$F$40&gt;0,INDEX(input_xe_tham_chieu!$C$2:$C$6,MATCH($D$40,input_xe_tham_chieu!$A$2:$A$6,0))/(Boss_vu_khi!$S$33*INDEX(Boss_dps!$D$2:$D$32,MATCH($B$40,Boss_dps!$A$2:$A$32,0))*$F$40),"")</f>
        <v/>
      </c>
      <c r="L40">
        <f>1+2*MIN(2,FLOOR(INDEX(boss_input_vu_khi!$E$2:$E$71,MATCH($C$40,boss_input_vu_khi!$A$2:$A$71,0))/8,1))</f>
        <v/>
      </c>
      <c r="M40">
        <f>1+2*MIN(2,FLOOR(MAX(INDEX(boss_input_vu_khi!$E$2:$E$71,MATCH($C$40,boss_input_vu_khi!$A$2:$A$71,0)),Boss_vu_khi!$L$33)/8,1))</f>
        <v/>
      </c>
      <c r="N40">
        <f>IF(INDEX(boss_input_vu_khi!$E$2:$E$71,MATCH($C$40,boss_input_vu_khi!$A$2:$A$71,0))&gt;=8,5,1)</f>
        <v/>
      </c>
      <c r="O40">
        <f>IF(MAX(INDEX(boss_input_vu_khi!$E$2:$E$71,MATCH($C$40,boss_input_vu_khi!$A$2:$A$71,0)),Boss_vu_khi!$L$33)&gt;=8,5,1)</f>
        <v/>
      </c>
      <c r="P40">
        <f>INDEX(boss_input_vu_khi_suy_ra!$H$2:$H$71,MATCH($C$40,boss_input_vu_khi_suy_ra!$A$2:$A$71,0))</f>
        <v/>
      </c>
      <c r="Q40">
        <f>IF(AND(INDEX(input_xe_tham_chieu!$G$2:$G$6,MATCH($D$40,input_xe_tham_chieu!$A$2:$A$6,0))&gt;0,INDEX(boss_input_vu_khi!$E$2:$E$71,MATCH($C$40,boss_input_vu_khi!$A$2:$A$71,0))&gt;0),INDEX(boss_input_vu_khi!$E$2:$E$71,MATCH($C$40,boss_input_vu_khi!$A$2:$A$71,0)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IF(INDEX(boss_input_vu_khi_suy_ra!$D$2:$D$71,MATCH($C$41,boss_input_vu_khi_suy_ra!$A$2:$A$71,0)),INDEX(input_xe_tham_chieu!$E$2:$E$6,MATCH($D$41,input_xe_tham_chieu!$A$2:$A$6,0)),INDEX(input_xe_tham_chieu!$D$2:$D$6,MATCH($D$41,input_xe_tham_chieu!$A$2:$A$6,0)))</f>
        <v/>
      </c>
      <c r="F41">
        <f>IF(INDEX(boss_input_vu_khi_suy_ra!$E$2:$E$71,MATCH($C$41,boss_input_vu_khi_suy_ra!$A$2:$A$71,0)),INDEX(boss_input_bang_xuyen_giap!$B$2:$B$7,MIN(6,MAX(1,IF(INDEX(boss_input_vu_khi_suy_ra!$D$2:$D$71,MATCH($C$41,boss_input_vu_khi_suy_ra!$A$2:$A$71,0)),MAX(1,2-(INDEX(boss_input_vu_khi!$C$2:$C$71,MATCH($C$41,boss_input_vu_khi!$A$2:$A$71,0))-$E$41)),2-(INDEX(boss_input_vu_khi!$C$2:$C$71,MATCH($C$41,boss_input_vu_khi!$A$2:$A$71,0))-$E$41))+1)))*IF(INDEX(input_xe_tham_chieu!$F$2:$F$6,MATCH($D$41,input_xe_tham_chieu!$A$2:$A$6,0)),INDEX(boss_input_vu_khi_suy_ra!$G$2:$G$71,MATCH($C$41,boss_input_vu_khi_suy_ra!$A$2:$A$71,0)),INDEX(boss_input_vu_khi_suy_ra!$F$2:$F$71,MATCH($C$41,boss_input_vu_khi_suy_ra!$A$2:$A$71,0))),0)</f>
        <v/>
      </c>
      <c r="G41" t="n">
        <v>0.85</v>
      </c>
      <c r="H41">
        <f>INDEX(boss_input_vu_khi!$B$2:$B$71,MATCH($C$41,boss_input_vu_khi!$A$2:$A$71,0))*INDEX(Boss_dps!$D$2:$D$32,MATCH($B$41,Boss_dps!$A$2:$A$32,0))*IF(INDEX(boss_input_vu_khi!$D$2:$D$71,MATCH($C$41,boss_input_vu_khi!$A$2:$A$71,0)),1,INDEX(Boss_dps!$B$2:$B$32,MATCH($B$41,Boss_dps!$A$2:$A$32,0)))*INDEX(Boss_dps!$C$2:$C$32,MATCH($B$41,Boss_dps!$A$2:$A$32,0))*$F$41</f>
        <v/>
      </c>
      <c r="I41" t="n">
        <v>1277.856</v>
      </c>
      <c r="J41">
        <f>IF($H$41&gt;0,CEILING(INDEX(input_xe_tham_chieu!$C$2:$C$6,MATCH($D$41,input_xe_tham_chieu!$A$2:$A$6,0))/$H$41,1),"")</f>
        <v/>
      </c>
      <c r="K41">
        <f>IF(Boss_vu_khi!$S$33*$F$41&gt;0,INDEX(input_xe_tham_chieu!$C$2:$C$6,MATCH($D$41,input_xe_tham_chieu!$A$2:$A$6,0))/(Boss_vu_khi!$S$33*INDEX(Boss_dps!$D$2:$D$32,MATCH($B$41,Boss_dps!$A$2:$A$32,0))*$F$41),"")</f>
        <v/>
      </c>
      <c r="L41">
        <f>1+2*MIN(2,FLOOR(INDEX(boss_input_vu_khi!$E$2:$E$71,MATCH($C$41,boss_input_vu_khi!$A$2:$A$71,0))/8,1))</f>
        <v/>
      </c>
      <c r="M41">
        <f>1+2*MIN(2,FLOOR(MAX(INDEX(boss_input_vu_khi!$E$2:$E$71,MATCH($C$41,boss_input_vu_khi!$A$2:$A$71,0)),Boss_vu_khi!$L$33)/8,1))</f>
        <v/>
      </c>
      <c r="N41">
        <f>IF(INDEX(boss_input_vu_khi!$E$2:$E$71,MATCH($C$41,boss_input_vu_khi!$A$2:$A$71,0))&gt;=8,5,1)</f>
        <v/>
      </c>
      <c r="O41">
        <f>IF(MAX(INDEX(boss_input_vu_khi!$E$2:$E$71,MATCH($C$41,boss_input_vu_khi!$A$2:$A$71,0)),Boss_vu_khi!$L$33)&gt;=8,5,1)</f>
        <v/>
      </c>
      <c r="P41">
        <f>INDEX(boss_input_vu_khi_suy_ra!$H$2:$H$71,MATCH($C$41,boss_input_vu_khi_suy_ra!$A$2:$A$71,0))</f>
        <v/>
      </c>
      <c r="Q41">
        <f>IF(AND(INDEX(input_xe_tham_chieu!$G$2:$G$6,MATCH($D$41,input_xe_tham_chieu!$A$2:$A$6,0))&gt;0,INDEX(boss_input_vu_khi!$E$2:$E$71,MATCH($C$41,boss_input_vu_khi!$A$2:$A$71,0))&gt;0),INDEX(boss_input_vu_khi!$E$2:$E$71,MATCH($C$41,boss_input_vu_khi!$A$2:$A$71,0)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command_airship/armored_car</t>
        </is>
      </c>
      <c r="B42" t="inlineStr">
        <is>
          <t>command_airship</t>
        </is>
      </c>
      <c r="C42" t="inlineStr">
        <is>
          <t>p26_roc_main_roc_bombs</t>
        </is>
      </c>
      <c r="D42" t="inlineStr">
        <is>
          <t>armored_car</t>
        </is>
      </c>
      <c r="E42">
        <f>IF(INDEX(boss_input_vu_khi_suy_ra!$D$2:$D$71,MATCH($C$42,boss_input_vu_khi_suy_ra!$A$2:$A$71,0)),INDEX(input_xe_tham_chieu!$E$2:$E$6,MATCH($D$42,input_xe_tham_chieu!$A$2:$A$6,0)),INDEX(input_xe_tham_chieu!$D$2:$D$6,MATCH($D$42,input_xe_tham_chieu!$A$2:$A$6,0)))</f>
        <v/>
      </c>
      <c r="F42">
        <f>IF(INDEX(boss_input_vu_khi_suy_ra!$E$2:$E$71,MATCH($C$42,boss_input_vu_khi_suy_ra!$A$2:$A$71,0)),INDEX(boss_input_bang_xuyen_giap!$B$2:$B$7,MIN(6,MAX(1,IF(INDEX(boss_input_vu_khi_suy_ra!$D$2:$D$71,MATCH($C$42,boss_input_vu_khi_suy_ra!$A$2:$A$71,0)),MAX(1,2-(INDEX(boss_input_vu_khi!$C$2:$C$71,MATCH($C$42,boss_input_vu_khi!$A$2:$A$71,0))-$E$42)),2-(INDEX(boss_input_vu_khi!$C$2:$C$71,MATCH($C$42,boss_input_vu_khi!$A$2:$A$71,0))-$E$42))+1)))*IF(INDEX(input_xe_tham_chieu!$F$2:$F$6,MATCH($D$42,input_xe_tham_chieu!$A$2:$A$6,0)),INDEX(boss_input_vu_khi_suy_ra!$G$2:$G$71,MATCH($C$42,boss_input_vu_khi_suy_ra!$A$2:$A$71,0)),INDEX(boss_input_vu_khi_suy_ra!$F$2:$F$71,MATCH($C$42,boss_input_vu_khi_suy_ra!$A$2:$A$71,0))),0)</f>
        <v/>
      </c>
      <c r="G42" t="n">
        <v>1</v>
      </c>
      <c r="H42">
        <f>INDEX(boss_input_vu_khi!$B$2:$B$71,MATCH($C$42,boss_input_vu_khi!$A$2:$A$71,0))*INDEX(Boss_dps!$D$2:$D$32,MATCH($B$42,Boss_dps!$A$2:$A$32,0))*IF(INDEX(boss_input_vu_khi!$D$2:$D$71,MATCH($C$42,boss_input_vu_khi!$A$2:$A$71,0)),1,INDEX(Boss_dps!$B$2:$B$32,MATCH($B$42,Boss_dps!$A$2:$A$32,0)))*INDEX(Boss_dps!$C$2:$C$32,MATCH($B$42,Boss_dps!$A$2:$A$32,0))*$F$42</f>
        <v/>
      </c>
      <c r="I42" t="n">
        <v>1753.416</v>
      </c>
      <c r="J42">
        <f>IF($H$42&gt;0,CEILING(INDEX(input_xe_tham_chieu!$C$2:$C$6,MATCH($D$42,input_xe_tham_chieu!$A$2:$A$6,0))/$H$42,1),"")</f>
        <v/>
      </c>
      <c r="K42">
        <f>IF(Boss_vu_khi!$S$36*$F$42&gt;0,INDEX(input_xe_tham_chieu!$C$2:$C$6,MATCH($D$42,input_xe_tham_chieu!$A$2:$A$6,0))/(Boss_vu_khi!$S$36*INDEX(Boss_dps!$D$2:$D$32,MATCH($B$42,Boss_dps!$A$2:$A$32,0))*$F$42),"")</f>
        <v/>
      </c>
      <c r="L42">
        <f>1+2*MIN(2,FLOOR(INDEX(boss_input_vu_khi!$E$2:$E$71,MATCH($C$42,boss_input_vu_khi!$A$2:$A$71,0))/8,1))</f>
        <v/>
      </c>
      <c r="M42">
        <f>1+2*MIN(2,FLOOR(MAX(INDEX(boss_input_vu_khi!$E$2:$E$71,MATCH($C$42,boss_input_vu_khi!$A$2:$A$71,0)),Boss_vu_khi!$L$36)/8,1))</f>
        <v/>
      </c>
      <c r="N42">
        <f>IF(INDEX(boss_input_vu_khi!$E$2:$E$71,MATCH($C$42,boss_input_vu_khi!$A$2:$A$71,0))&gt;=8,5,1)</f>
        <v/>
      </c>
      <c r="O42">
        <f>IF(MAX(INDEX(boss_input_vu_khi!$E$2:$E$71,MATCH($C$42,boss_input_vu_khi!$A$2:$A$71,0)),Boss_vu_khi!$L$36)&gt;=8,5,1)</f>
        <v/>
      </c>
      <c r="P42">
        <f>INDEX(boss_input_vu_khi_suy_ra!$H$2:$H$71,MATCH($C$42,boss_input_vu_khi_suy_ra!$A$2:$A$71,0))</f>
        <v/>
      </c>
      <c r="Q42">
        <f>IF(AND(INDEX(input_xe_tham_chieu!$G$2:$G$6,MATCH($D$42,input_xe_tham_chieu!$A$2:$A$6,0))&gt;0,INDEX(boss_input_vu_khi!$E$2:$E$71,MATCH($C$42,boss_input_vu_khi!$A$2:$A$71,0))&gt;0),INDEX(boss_input_vu_khi!$E$2:$E$71,MATCH($C$42,boss_input_vu_khi!$A$2:$A$71,0))/INDEX(input_xe_tham_chieu!$G$2:$G$6,MATCH($D$42,input_xe_tham_chieu!$A$2:$A$6,0)),"")</f>
        <v/>
      </c>
      <c r="R42">
        <f>IF(ISNUMBER($Q$42),IF($P$42&gt;=$Q$42,"DU","THIEU"),"")</f>
        <v/>
      </c>
      <c r="S42" t="inlineStr">
        <is>
          <t>Assets/MachineBrigade/Resources/Data/balance.json: vehicles[id=command_airship].weapon x 01_chien_dau/Xe_tham_chieu[armored_car]</t>
        </is>
      </c>
      <c r="T42" t="inlineStr"/>
    </row>
    <row r="43">
      <c r="A43" t="inlineStr">
        <is>
          <t>command_airship/gun_turret</t>
        </is>
      </c>
      <c r="B43" t="inlineStr">
        <is>
          <t>command_airship</t>
        </is>
      </c>
      <c r="C43" t="inlineStr">
        <is>
          <t>p26_roc_main_roc_bombs</t>
        </is>
      </c>
      <c r="D43" t="inlineStr">
        <is>
          <t>gun_turret</t>
        </is>
      </c>
      <c r="E43">
        <f>IF(INDEX(boss_input_vu_khi_suy_ra!$D$2:$D$71,MATCH($C$43,boss_input_vu_khi_suy_ra!$A$2:$A$71,0)),INDEX(input_xe_tham_chieu!$E$2:$E$6,MATCH($D$43,input_xe_tham_chieu!$A$2:$A$6,0)),INDEX(input_xe_tham_chieu!$D$2:$D$6,MATCH($D$43,input_xe_tham_chieu!$A$2:$A$6,0)))</f>
        <v/>
      </c>
      <c r="F43">
        <f>IF(INDEX(boss_input_vu_khi_suy_ra!$E$2:$E$71,MATCH($C$43,boss_input_vu_khi_suy_ra!$A$2:$A$71,0)),INDEX(boss_input_bang_xuyen_giap!$B$2:$B$7,MIN(6,MAX(1,IF(INDEX(boss_input_vu_khi_suy_ra!$D$2:$D$71,MATCH($C$43,boss_input_vu_khi_suy_ra!$A$2:$A$71,0)),MAX(1,2-(INDEX(boss_input_vu_khi!$C$2:$C$71,MATCH($C$43,boss_input_vu_khi!$A$2:$A$71,0))-$E$43)),2-(INDEX(boss_input_vu_khi!$C$2:$C$71,MATCH($C$43,boss_input_vu_khi!$A$2:$A$71,0))-$E$43))+1)))*IF(INDEX(input_xe_tham_chieu!$F$2:$F$6,MATCH($D$43,input_xe_tham_chieu!$A$2:$A$6,0)),INDEX(boss_input_vu_khi_suy_ra!$G$2:$G$71,MATCH($C$43,boss_input_vu_khi_suy_ra!$A$2:$A$71,0)),INDEX(boss_input_vu_khi_suy_ra!$F$2:$F$71,MATCH($C$43,boss_input_vu_khi_suy_ra!$A$2:$A$71,0))),0)</f>
        <v/>
      </c>
      <c r="G43" t="n">
        <v>1.5</v>
      </c>
      <c r="H43">
        <f>INDEX(boss_input_vu_khi!$B$2:$B$71,MATCH($C$43,boss_input_vu_khi!$A$2:$A$71,0))*INDEX(Boss_dps!$D$2:$D$32,MATCH($B$43,Boss_dps!$A$2:$A$32,0))*IF(INDEX(boss_input_vu_khi!$D$2:$D$71,MATCH($C$43,boss_input_vu_khi!$A$2:$A$71,0)),1,INDEX(Boss_dps!$B$2:$B$32,MATCH($B$43,Boss_dps!$A$2:$A$32,0)))*INDEX(Boss_dps!$C$2:$C$32,MATCH($B$43,Boss_dps!$A$2:$A$32,0))*$F$43</f>
        <v/>
      </c>
      <c r="I43" t="n">
        <v>2630.124</v>
      </c>
      <c r="J43">
        <f>IF($H$43&gt;0,CEILING(INDEX(input_xe_tham_chieu!$C$2:$C$6,MATCH($D$43,input_xe_tham_chieu!$A$2:$A$6,0))/$H$43,1),"")</f>
        <v/>
      </c>
      <c r="K43">
        <f>IF(Boss_vu_khi!$S$36*$F$43&gt;0,INDEX(input_xe_tham_chieu!$C$2:$C$6,MATCH($D$43,input_xe_tham_chieu!$A$2:$A$6,0))/(Boss_vu_khi!$S$36*INDEX(Boss_dps!$D$2:$D$32,MATCH($B$43,Boss_dps!$A$2:$A$32,0))*$F$43),"")</f>
        <v/>
      </c>
      <c r="L43">
        <f>1+2*MIN(2,FLOOR(INDEX(boss_input_vu_khi!$E$2:$E$71,MATCH($C$43,boss_input_vu_khi!$A$2:$A$71,0))/8,1))</f>
        <v/>
      </c>
      <c r="M43">
        <f>1+2*MIN(2,FLOOR(MAX(INDEX(boss_input_vu_khi!$E$2:$E$71,MATCH($C$43,boss_input_vu_khi!$A$2:$A$71,0)),Boss_vu_khi!$L$36)/8,1))</f>
        <v/>
      </c>
      <c r="N43">
        <f>IF(INDEX(boss_input_vu_khi!$E$2:$E$71,MATCH($C$43,boss_input_vu_khi!$A$2:$A$71,0))&gt;=8,5,1)</f>
        <v/>
      </c>
      <c r="O43">
        <f>IF(MAX(INDEX(boss_input_vu_khi!$E$2:$E$71,MATCH($C$43,boss_input_vu_khi!$A$2:$A$71,0)),Boss_vu_khi!$L$36)&gt;=8,5,1)</f>
        <v/>
      </c>
      <c r="P43">
        <f>INDEX(boss_input_vu_khi_suy_ra!$H$2:$H$71,MATCH($C$43,boss_input_vu_khi_suy_ra!$A$2:$A$71,0))</f>
        <v/>
      </c>
      <c r="Q43">
        <f>IF(AND(INDEX(input_xe_tham_chieu!$G$2:$G$6,MATCH($D$43,input_xe_tham_chieu!$A$2:$A$6,0))&gt;0,INDEX(boss_input_vu_khi!$E$2:$E$71,MATCH($C$43,boss_input_vu_khi!$A$2:$A$71,0))&gt;0),INDEX(boss_input_vu_khi!$E$2:$E$71,MATCH($C$43,boss_input_vu_khi!$A$2:$A$71,0))/INDEX(input_xe_tham_chieu!$G$2:$G$6,MATCH($D$43,input_xe_tham_chieu!$A$2:$A$6,0)),"")</f>
        <v/>
      </c>
      <c r="R43">
        <f>IF(ISNUMBER($Q$43),IF($P$43&gt;=$Q$43,"DU","THIEU"),"")</f>
        <v/>
      </c>
      <c r="S43" t="inlineStr">
        <is>
          <t>Assets/MachineBrigade/Resources/Data/balance.json: vehicles[id=command_airship].weapon x 01_chien_dau/Xe_tham_chieu[gun_turret]</t>
        </is>
      </c>
      <c r="T43" t="inlineStr"/>
    </row>
    <row r="44">
      <c r="A44" t="inlineStr">
        <is>
          <t>command_airship/heavy_tank</t>
        </is>
      </c>
      <c r="B44" t="inlineStr">
        <is>
          <t>command_airship</t>
        </is>
      </c>
      <c r="C44" t="inlineStr">
        <is>
          <t>p26_roc_main_roc_bombs</t>
        </is>
      </c>
      <c r="D44" t="inlineStr">
        <is>
          <t>heavy_tank</t>
        </is>
      </c>
      <c r="E44">
        <f>IF(INDEX(boss_input_vu_khi_suy_ra!$D$2:$D$71,MATCH($C$44,boss_input_vu_khi_suy_ra!$A$2:$A$71,0)),INDEX(input_xe_tham_chieu!$E$2:$E$6,MATCH($D$44,input_xe_tham_chieu!$A$2:$A$6,0)),INDEX(input_xe_tham_chieu!$D$2:$D$6,MATCH($D$44,input_xe_tham_chieu!$A$2:$A$6,0)))</f>
        <v/>
      </c>
      <c r="F44">
        <f>IF(INDEX(boss_input_vu_khi_suy_ra!$E$2:$E$71,MATCH($C$44,boss_input_vu_khi_suy_ra!$A$2:$A$71,0)),INDEX(boss_input_bang_xuyen_giap!$B$2:$B$7,MIN(6,MAX(1,IF(INDEX(boss_input_vu_khi_suy_ra!$D$2:$D$71,MATCH($C$44,boss_input_vu_khi_suy_ra!$A$2:$A$71,0)),MAX(1,2-(INDEX(boss_input_vu_khi!$C$2:$C$71,MATCH($C$44,boss_input_vu_khi!$A$2:$A$71,0))-$E$44)),2-(INDEX(boss_input_vu_khi!$C$2:$C$71,MATCH($C$44,boss_input_vu_khi!$A$2:$A$71,0))-$E$44))+1)))*IF(INDEX(input_xe_tham_chieu!$F$2:$F$6,MATCH($D$44,input_xe_tham_chieu!$A$2:$A$6,0)),INDEX(boss_input_vu_khi_suy_ra!$G$2:$G$71,MATCH($C$44,boss_input_vu_khi_suy_ra!$A$2:$A$71,0)),INDEX(boss_input_vu_khi_suy_ra!$F$2:$F$71,MATCH($C$44,boss_input_vu_khi_suy_ra!$A$2:$A$71,0))),0)</f>
        <v/>
      </c>
      <c r="G44" t="n">
        <v>1</v>
      </c>
      <c r="H44">
        <f>INDEX(boss_input_vu_khi!$B$2:$B$71,MATCH($C$44,boss_input_vu_khi!$A$2:$A$71,0))*INDEX(Boss_dps!$D$2:$D$32,MATCH($B$44,Boss_dps!$A$2:$A$32,0))*IF(INDEX(boss_input_vu_khi!$D$2:$D$71,MATCH($C$44,boss_input_vu_khi!$A$2:$A$71,0)),1,INDEX(Boss_dps!$B$2:$B$32,MATCH($B$44,Boss_dps!$A$2:$A$32,0)))*INDEX(Boss_dps!$C$2:$C$32,MATCH($B$44,Boss_dps!$A$2:$A$32,0))*$F$44</f>
        <v/>
      </c>
      <c r="I44" t="n">
        <v>1753.416</v>
      </c>
      <c r="J44">
        <f>IF($H$44&gt;0,CEILING(INDEX(input_xe_tham_chieu!$C$2:$C$6,MATCH($D$44,input_xe_tham_chieu!$A$2:$A$6,0))/$H$44,1),"")</f>
        <v/>
      </c>
      <c r="K44">
        <f>IF(Boss_vu_khi!$S$36*$F$44&gt;0,INDEX(input_xe_tham_chieu!$C$2:$C$6,MATCH($D$44,input_xe_tham_chieu!$A$2:$A$6,0))/(Boss_vu_khi!$S$36*INDEX(Boss_dps!$D$2:$D$32,MATCH($B$44,Boss_dps!$A$2:$A$32,0))*$F$44),"")</f>
        <v/>
      </c>
      <c r="L44">
        <f>1+2*MIN(2,FLOOR(INDEX(boss_input_vu_khi!$E$2:$E$71,MATCH($C$44,boss_input_vu_khi!$A$2:$A$71,0))/8,1))</f>
        <v/>
      </c>
      <c r="M44">
        <f>1+2*MIN(2,FLOOR(MAX(INDEX(boss_input_vu_khi!$E$2:$E$71,MATCH($C$44,boss_input_vu_khi!$A$2:$A$71,0)),Boss_vu_khi!$L$36)/8,1))</f>
        <v/>
      </c>
      <c r="N44">
        <f>IF(INDEX(boss_input_vu_khi!$E$2:$E$71,MATCH($C$44,boss_input_vu_khi!$A$2:$A$71,0))&gt;=8,5,1)</f>
        <v/>
      </c>
      <c r="O44">
        <f>IF(MAX(INDEX(boss_input_vu_khi!$E$2:$E$71,MATCH($C$44,boss_input_vu_khi!$A$2:$A$71,0)),Boss_vu_khi!$L$36)&gt;=8,5,1)</f>
        <v/>
      </c>
      <c r="P44">
        <f>INDEX(boss_input_vu_khi_suy_ra!$H$2:$H$71,MATCH($C$44,boss_input_vu_khi_suy_ra!$A$2:$A$71,0))</f>
        <v/>
      </c>
      <c r="Q44">
        <f>IF(AND(INDEX(input_xe_tham_chieu!$G$2:$G$6,MATCH($D$44,input_xe_tham_chieu!$A$2:$A$6,0))&gt;0,INDEX(boss_input_vu_khi!$E$2:$E$71,MATCH($C$44,boss_input_vu_khi!$A$2:$A$71,0))&gt;0),INDEX(boss_input_vu_khi!$E$2:$E$71,MATCH($C$44,boss_input_vu_khi!$A$2:$A$71,0))/INDEX(input_xe_tham_chieu!$G$2:$G$6,MATCH($D$44,input_xe_tham_chieu!$A$2:$A$6,0)),"")</f>
        <v/>
      </c>
      <c r="R44">
        <f>IF(ISNUMBER($Q$44),IF($P$44&gt;=$Q$44,"DU","THIEU"),"")</f>
        <v/>
      </c>
      <c r="S44" t="inlineStr">
        <is>
          <t>Assets/MachineBrigade/Resources/Data/balance.json: vehicles[id=command_airship].weapon x 01_chien_dau/Xe_tham_chieu[heavy_tank]</t>
        </is>
      </c>
      <c r="T44" t="inlineStr"/>
    </row>
    <row r="45">
      <c r="A45" t="inlineStr">
        <is>
          <t>command_airship/ifv</t>
        </is>
      </c>
      <c r="B45" t="inlineStr">
        <is>
          <t>command_airship</t>
        </is>
      </c>
      <c r="C45" t="inlineStr">
        <is>
          <t>p26_roc_main_roc_bombs</t>
        </is>
      </c>
      <c r="D45" t="inlineStr">
        <is>
          <t>ifv</t>
        </is>
      </c>
      <c r="E45">
        <f>IF(INDEX(boss_input_vu_khi_suy_ra!$D$2:$D$71,MATCH($C$45,boss_input_vu_khi_suy_ra!$A$2:$A$71,0)),INDEX(input_xe_tham_chieu!$E$2:$E$6,MATCH($D$45,input_xe_tham_chieu!$A$2:$A$6,0)),INDEX(input_xe_tham_chieu!$D$2:$D$6,MATCH($D$45,input_xe_tham_chieu!$A$2:$A$6,0)))</f>
        <v/>
      </c>
      <c r="F45">
        <f>IF(INDEX(boss_input_vu_khi_suy_ra!$E$2:$E$71,MATCH($C$45,boss_input_vu_khi_suy_ra!$A$2:$A$71,0)),INDEX(boss_input_bang_xuyen_giap!$B$2:$B$7,MIN(6,MAX(1,IF(INDEX(boss_input_vu_khi_suy_ra!$D$2:$D$71,MATCH($C$45,boss_input_vu_khi_suy_ra!$A$2:$A$71,0)),MAX(1,2-(INDEX(boss_input_vu_khi!$C$2:$C$71,MATCH($C$45,boss_input_vu_khi!$A$2:$A$71,0))-$E$45)),2-(INDEX(boss_input_vu_khi!$C$2:$C$71,MATCH($C$45,boss_input_vu_khi!$A$2:$A$71,0))-$E$45))+1)))*IF(INDEX(input_xe_tham_chieu!$F$2:$F$6,MATCH($D$45,input_xe_tham_chieu!$A$2:$A$6,0)),INDEX(boss_input_vu_khi_suy_ra!$G$2:$G$71,MATCH($C$45,boss_input_vu_khi_suy_ra!$A$2:$A$71,0)),INDEX(boss_input_vu_khi_suy_ra!$F$2:$F$71,MATCH($C$45,boss_input_vu_khi_suy_ra!$A$2:$A$71,0))),0)</f>
        <v/>
      </c>
      <c r="G45" t="n">
        <v>1</v>
      </c>
      <c r="H45">
        <f>INDEX(boss_input_vu_khi!$B$2:$B$71,MATCH($C$45,boss_input_vu_khi!$A$2:$A$71,0))*INDEX(Boss_dps!$D$2:$D$32,MATCH($B$45,Boss_dps!$A$2:$A$32,0))*IF(INDEX(boss_input_vu_khi!$D$2:$D$71,MATCH($C$45,boss_input_vu_khi!$A$2:$A$71,0)),1,INDEX(Boss_dps!$B$2:$B$32,MATCH($B$45,Boss_dps!$A$2:$A$32,0)))*INDEX(Boss_dps!$C$2:$C$32,MATCH($B$45,Boss_dps!$A$2:$A$32,0))*$F$45</f>
        <v/>
      </c>
      <c r="I45" t="n">
        <v>1753.416</v>
      </c>
      <c r="J45">
        <f>IF($H$45&gt;0,CEILING(INDEX(input_xe_tham_chieu!$C$2:$C$6,MATCH($D$45,input_xe_tham_chieu!$A$2:$A$6,0))/$H$45,1),"")</f>
        <v/>
      </c>
      <c r="K45">
        <f>IF(Boss_vu_khi!$S$36*$F$45&gt;0,INDEX(input_xe_tham_chieu!$C$2:$C$6,MATCH($D$45,input_xe_tham_chieu!$A$2:$A$6,0))/(Boss_vu_khi!$S$36*INDEX(Boss_dps!$D$2:$D$32,MATCH($B$45,Boss_dps!$A$2:$A$32,0))*$F$45),"")</f>
        <v/>
      </c>
      <c r="L45">
        <f>1+2*MIN(2,FLOOR(INDEX(boss_input_vu_khi!$E$2:$E$71,MATCH($C$45,boss_input_vu_khi!$A$2:$A$71,0))/8,1))</f>
        <v/>
      </c>
      <c r="M45">
        <f>1+2*MIN(2,FLOOR(MAX(INDEX(boss_input_vu_khi!$E$2:$E$71,MATCH($C$45,boss_input_vu_khi!$A$2:$A$71,0)),Boss_vu_khi!$L$36)/8,1))</f>
        <v/>
      </c>
      <c r="N45">
        <f>IF(INDEX(boss_input_vu_khi!$E$2:$E$71,MATCH($C$45,boss_input_vu_khi!$A$2:$A$71,0))&gt;=8,5,1)</f>
        <v/>
      </c>
      <c r="O45">
        <f>IF(MAX(INDEX(boss_input_vu_khi!$E$2:$E$71,MATCH($C$45,boss_input_vu_khi!$A$2:$A$71,0)),Boss_vu_khi!$L$36)&gt;=8,5,1)</f>
        <v/>
      </c>
      <c r="P45">
        <f>INDEX(boss_input_vu_khi_suy_ra!$H$2:$H$71,MATCH($C$45,boss_input_vu_khi_suy_ra!$A$2:$A$71,0))</f>
        <v/>
      </c>
      <c r="Q45">
        <f>IF(AND(INDEX(input_xe_tham_chieu!$G$2:$G$6,MATCH($D$45,input_xe_tham_chieu!$A$2:$A$6,0))&gt;0,INDEX(boss_input_vu_khi!$E$2:$E$71,MATCH($C$45,boss_input_vu_khi!$A$2:$A$71,0))&gt;0),INDEX(boss_input_vu_khi!$E$2:$E$71,MATCH($C$45,boss_input_vu_khi!$A$2:$A$71,0))/INDEX(input_xe_tham_chieu!$G$2:$G$6,MATCH($D$45,input_xe_tham_chieu!$A$2:$A$6,0)),"")</f>
        <v/>
      </c>
      <c r="R45">
        <f>IF(ISNUMBER($Q$45),IF($P$45&gt;=$Q$45,"DU","THIEU"),"")</f>
        <v/>
      </c>
      <c r="S45" t="inlineStr">
        <is>
          <t>Assets/MachineBrigade/Resources/Data/balance.json: vehicles[id=command_airship].weapon x 01_chien_dau/Xe_tham_chieu[ifv]</t>
        </is>
      </c>
      <c r="T45" t="inlineStr"/>
    </row>
    <row r="46">
      <c r="A46" t="inlineStr">
        <is>
          <t>command_airship/main_battle_tank</t>
        </is>
      </c>
      <c r="B46" t="inlineStr">
        <is>
          <t>command_airship</t>
        </is>
      </c>
      <c r="C46" t="inlineStr">
        <is>
          <t>p26_roc_main_roc_bombs</t>
        </is>
      </c>
      <c r="D46" t="inlineStr">
        <is>
          <t>main_battle_tank</t>
        </is>
      </c>
      <c r="E46">
        <f>IF(INDEX(boss_input_vu_khi_suy_ra!$D$2:$D$71,MATCH($C$46,boss_input_vu_khi_suy_ra!$A$2:$A$71,0)),INDEX(input_xe_tham_chieu!$E$2:$E$6,MATCH($D$46,input_xe_tham_chieu!$A$2:$A$6,0)),INDEX(input_xe_tham_chieu!$D$2:$D$6,MATCH($D$46,input_xe_tham_chieu!$A$2:$A$6,0)))</f>
        <v/>
      </c>
      <c r="F46">
        <f>IF(INDEX(boss_input_vu_khi_suy_ra!$E$2:$E$71,MATCH($C$46,boss_input_vu_khi_suy_ra!$A$2:$A$71,0)),INDEX(boss_input_bang_xuyen_giap!$B$2:$B$7,MIN(6,MAX(1,IF(INDEX(boss_input_vu_khi_suy_ra!$D$2:$D$71,MATCH($C$46,boss_input_vu_khi_suy_ra!$A$2:$A$71,0)),MAX(1,2-(INDEX(boss_input_vu_khi!$C$2:$C$71,MATCH($C$46,boss_input_vu_khi!$A$2:$A$71,0))-$E$46)),2-(INDEX(boss_input_vu_khi!$C$2:$C$71,MATCH($C$46,boss_input_vu_khi!$A$2:$A$71,0))-$E$46))+1)))*IF(INDEX(input_xe_tham_chieu!$F$2:$F$6,MATCH($D$46,input_xe_tham_chieu!$A$2:$A$6,0)),INDEX(boss_input_vu_khi_suy_ra!$G$2:$G$71,MATCH($C$46,boss_input_vu_khi_suy_ra!$A$2:$A$71,0)),INDEX(boss_input_vu_khi_suy_ra!$F$2:$F$71,MATCH($C$46,boss_input_vu_khi_suy_ra!$A$2:$A$71,0))),0)</f>
        <v/>
      </c>
      <c r="G46" t="n">
        <v>1</v>
      </c>
      <c r="H46">
        <f>INDEX(boss_input_vu_khi!$B$2:$B$71,MATCH($C$46,boss_input_vu_khi!$A$2:$A$71,0))*INDEX(Boss_dps!$D$2:$D$32,MATCH($B$46,Boss_dps!$A$2:$A$32,0))*IF(INDEX(boss_input_vu_khi!$D$2:$D$71,MATCH($C$46,boss_input_vu_khi!$A$2:$A$71,0)),1,INDEX(Boss_dps!$B$2:$B$32,MATCH($B$46,Boss_dps!$A$2:$A$32,0)))*INDEX(Boss_dps!$C$2:$C$32,MATCH($B$46,Boss_dps!$A$2:$A$32,0))*$F$46</f>
        <v/>
      </c>
      <c r="I46" t="n">
        <v>1753.416</v>
      </c>
      <c r="J46">
        <f>IF($H$46&gt;0,CEILING(INDEX(input_xe_tham_chieu!$C$2:$C$6,MATCH($D$46,input_xe_tham_chieu!$A$2:$A$6,0))/$H$46,1),"")</f>
        <v/>
      </c>
      <c r="K46">
        <f>IF(Boss_vu_khi!$S$36*$F$46&gt;0,INDEX(input_xe_tham_chieu!$C$2:$C$6,MATCH($D$46,input_xe_tham_chieu!$A$2:$A$6,0))/(Boss_vu_khi!$S$36*INDEX(Boss_dps!$D$2:$D$32,MATCH($B$46,Boss_dps!$A$2:$A$32,0))*$F$46),"")</f>
        <v/>
      </c>
      <c r="L46">
        <f>1+2*MIN(2,FLOOR(INDEX(boss_input_vu_khi!$E$2:$E$71,MATCH($C$46,boss_input_vu_khi!$A$2:$A$71,0))/8,1))</f>
        <v/>
      </c>
      <c r="M46">
        <f>1+2*MIN(2,FLOOR(MAX(INDEX(boss_input_vu_khi!$E$2:$E$71,MATCH($C$46,boss_input_vu_khi!$A$2:$A$71,0)),Boss_vu_khi!$L$36)/8,1))</f>
        <v/>
      </c>
      <c r="N46">
        <f>IF(INDEX(boss_input_vu_khi!$E$2:$E$71,MATCH($C$46,boss_input_vu_khi!$A$2:$A$71,0))&gt;=8,5,1)</f>
        <v/>
      </c>
      <c r="O46">
        <f>IF(MAX(INDEX(boss_input_vu_khi!$E$2:$E$71,MATCH($C$46,boss_input_vu_khi!$A$2:$A$71,0)),Boss_vu_khi!$L$36)&gt;=8,5,1)</f>
        <v/>
      </c>
      <c r="P46">
        <f>INDEX(boss_input_vu_khi_suy_ra!$H$2:$H$71,MATCH($C$46,boss_input_vu_khi_suy_ra!$A$2:$A$71,0))</f>
        <v/>
      </c>
      <c r="Q46">
        <f>IF(AND(INDEX(input_xe_tham_chieu!$G$2:$G$6,MATCH($D$46,input_xe_tham_chieu!$A$2:$A$6,0))&gt;0,INDEX(boss_input_vu_khi!$E$2:$E$71,MATCH($C$46,boss_input_vu_khi!$A$2:$A$71,0))&gt;0),INDEX(boss_input_vu_khi!$E$2:$E$71,MATCH($C$46,boss_input_vu_khi!$A$2:$A$71,0))/INDEX(input_xe_tham_chieu!$G$2:$G$6,MATCH($D$46,input_xe_tham_chieu!$A$2:$A$6,0)),"")</f>
        <v/>
      </c>
      <c r="R46">
        <f>IF(ISNUMBER($Q$46),IF($P$46&gt;=$Q$46,"DU","THIEU"),"")</f>
        <v/>
      </c>
      <c r="S46" t="inlineStr">
        <is>
          <t>Assets/MachineBrigade/Resources/Data/balance.json: vehicles[id=command_airship].weapon x 01_chien_dau/Xe_tham_chieu[main_battle_tank]</t>
        </is>
      </c>
      <c r="T46" t="inlineStr"/>
    </row>
    <row r="47">
      <c r="A47" t="inlineStr">
        <is>
          <t>daedalus/armored_car</t>
        </is>
      </c>
      <c r="B47" t="inlineStr">
        <is>
          <t>daedalus</t>
        </is>
      </c>
      <c r="C47" t="inlineStr">
        <is>
          <t>p26_daedalus_direct_dae_laser</t>
        </is>
      </c>
      <c r="D47" t="inlineStr">
        <is>
          <t>armored_car</t>
        </is>
      </c>
      <c r="E47">
        <f>IF(INDEX(boss_input_vu_khi_suy_ra!$D$2:$D$71,MATCH($C$47,boss_input_vu_khi_suy_ra!$A$2:$A$71,0)),INDEX(input_xe_tham_chieu!$E$2:$E$6,MATCH($D$47,input_xe_tham_chieu!$A$2:$A$6,0)),INDEX(input_xe_tham_chieu!$D$2:$D$6,MATCH($D$47,input_xe_tham_chieu!$A$2:$A$6,0)))</f>
        <v/>
      </c>
      <c r="F47">
        <f>IF(INDEX(boss_input_vu_khi_suy_ra!$E$2:$E$71,MATCH($C$47,boss_input_vu_khi_suy_ra!$A$2:$A$71,0)),INDEX(boss_input_bang_xuyen_giap!$B$2:$B$7,MIN(6,MAX(1,IF(INDEX(boss_input_vu_khi_suy_ra!$D$2:$D$71,MATCH($C$47,boss_input_vu_khi_suy_ra!$A$2:$A$71,0)),MAX(1,2-(INDEX(boss_input_vu_khi!$C$2:$C$71,MATCH($C$47,boss_input_vu_khi!$A$2:$A$71,0))-$E$47)),2-(INDEX(boss_input_vu_khi!$C$2:$C$71,MATCH($C$47,boss_input_vu_khi!$A$2:$A$71,0))-$E$47))+1)))*IF(INDEX(input_xe_tham_chieu!$F$2:$F$6,MATCH($D$47,input_xe_tham_chieu!$A$2:$A$6,0)),INDEX(boss_input_vu_khi_suy_ra!$G$2:$G$71,MATCH($C$47,boss_input_vu_khi_suy_ra!$A$2:$A$71,0)),INDEX(boss_input_vu_khi_suy_ra!$F$2:$F$71,MATCH($C$47,boss_input_vu_khi_suy_ra!$A$2:$A$71,0))),0)</f>
        <v/>
      </c>
      <c r="G47" t="n">
        <v>1.2</v>
      </c>
      <c r="H47">
        <f>INDEX(boss_input_vu_khi!$B$2:$B$71,MATCH($C$47,boss_input_vu_khi!$A$2:$A$71,0))*INDEX(Boss_dps!$D$2:$D$32,MATCH($B$47,Boss_dps!$A$2:$A$32,0))*IF(INDEX(boss_input_vu_khi!$D$2:$D$71,MATCH($C$47,boss_input_vu_khi!$A$2:$A$71,0)),1,INDEX(Boss_dps!$B$2:$B$32,MATCH($B$47,Boss_dps!$A$2:$A$32,0)))*INDEX(Boss_dps!$C$2:$C$32,MATCH($B$47,Boss_dps!$A$2:$A$32,0))*$F$47</f>
        <v/>
      </c>
      <c r="I47" t="n">
        <v>27.72</v>
      </c>
      <c r="J47">
        <f>IF($H$47&gt;0,CEILING(INDEX(input_xe_tham_chieu!$C$2:$C$6,MATCH($D$47,input_xe_tham_chieu!$A$2:$A$6,0))/$H$47,1),"")</f>
        <v/>
      </c>
      <c r="K47">
        <f>IF(Boss_vu_khi!$S$44*$F$47&gt;0,INDEX(input_xe_tham_chieu!$C$2:$C$6,MATCH($D$47,input_xe_tham_chieu!$A$2:$A$6,0))/(Boss_vu_khi!$S$44*INDEX(Boss_dps!$D$2:$D$32,MATCH($B$47,Boss_dps!$A$2:$A$32,0))*$F$47),"")</f>
        <v/>
      </c>
      <c r="L47">
        <f>1+2*MIN(2,FLOOR(INDEX(boss_input_vu_khi!$E$2:$E$71,MATCH($C$47,boss_input_vu_khi!$A$2:$A$71,0))/8,1))</f>
        <v/>
      </c>
      <c r="M47">
        <f>1+2*MIN(2,FLOOR(MAX(INDEX(boss_input_vu_khi!$E$2:$E$71,MATCH($C$47,boss_input_vu_khi!$A$2:$A$71,0)),Boss_vu_khi!$L$44)/8,1))</f>
        <v/>
      </c>
      <c r="N47">
        <f>IF(INDEX(boss_input_vu_khi!$E$2:$E$71,MATCH($C$47,boss_input_vu_khi!$A$2:$A$71,0))&gt;=8,5,1)</f>
        <v/>
      </c>
      <c r="O47">
        <f>IF(MAX(INDEX(boss_input_vu_khi!$E$2:$E$71,MATCH($C$47,boss_input_vu_khi!$A$2:$A$71,0)),Boss_vu_khi!$L$44)&gt;=8,5,1)</f>
        <v/>
      </c>
      <c r="P47">
        <f>INDEX(boss_input_vu_khi_suy_ra!$H$2:$H$71,MATCH($C$47,boss_input_vu_khi_suy_ra!$A$2:$A$71,0))</f>
        <v/>
      </c>
      <c r="Q47">
        <f>IF(AND(INDEX(input_xe_tham_chieu!$G$2:$G$6,MATCH($D$47,input_xe_tham_chieu!$A$2:$A$6,0))&gt;0,INDEX(boss_input_vu_khi!$E$2:$E$71,MATCH($C$47,boss_input_vu_khi!$A$2:$A$71,0))&gt;0),INDEX(boss_input_vu_khi!$E$2:$E$71,MATCH($C$47,boss_input_vu_khi!$A$2:$A$71,0))/INDEX(input_xe_tham_chieu!$G$2:$G$6,MATCH($D$47,input_xe_tham_chieu!$A$2:$A$6,0)),"")</f>
        <v/>
      </c>
      <c r="R47">
        <f>IF(ISNUMBER($Q$47),IF($P$47&gt;=$Q$47,"DU","THIEU"),"")</f>
        <v/>
      </c>
      <c r="S47" t="inlineStr">
        <is>
          <t>Assets/MachineBrigade/Resources/Data/balance.json: vehicles[id=daedalus].weapon x 01_chien_dau/Xe_tham_chieu[armored_car]</t>
        </is>
      </c>
      <c r="T47" t="inlineStr"/>
    </row>
    <row r="48">
      <c r="A48" t="inlineStr">
        <is>
          <t>daedalus/gun_turret</t>
        </is>
      </c>
      <c r="B48" t="inlineStr">
        <is>
          <t>daedalus</t>
        </is>
      </c>
      <c r="C48" t="inlineStr">
        <is>
          <t>p26_daedalus_direct_dae_laser</t>
        </is>
      </c>
      <c r="D48" t="inlineStr">
        <is>
          <t>gun_turret</t>
        </is>
      </c>
      <c r="E48">
        <f>IF(INDEX(boss_input_vu_khi_suy_ra!$D$2:$D$71,MATCH($C$48,boss_input_vu_khi_suy_ra!$A$2:$A$71,0)),INDEX(input_xe_tham_chieu!$E$2:$E$6,MATCH($D$48,input_xe_tham_chieu!$A$2:$A$6,0)),INDEX(input_xe_tham_chieu!$D$2:$D$6,MATCH($D$48,input_xe_tham_chieu!$A$2:$A$6,0)))</f>
        <v/>
      </c>
      <c r="F48">
        <f>IF(INDEX(boss_input_vu_khi_suy_ra!$E$2:$E$71,MATCH($C$48,boss_input_vu_khi_suy_ra!$A$2:$A$71,0)),INDEX(boss_input_bang_xuyen_giap!$B$2:$B$7,MIN(6,MAX(1,IF(INDEX(boss_input_vu_khi_suy_ra!$D$2:$D$71,MATCH($C$48,boss_input_vu_khi_suy_ra!$A$2:$A$71,0)),MAX(1,2-(INDEX(boss_input_vu_khi!$C$2:$C$71,MATCH($C$48,boss_input_vu_khi!$A$2:$A$71,0))-$E$48)),2-(INDEX(boss_input_vu_khi!$C$2:$C$71,MATCH($C$48,boss_input_vu_khi!$A$2:$A$71,0))-$E$48))+1)))*IF(INDEX(input_xe_tham_chieu!$F$2:$F$6,MATCH($D$48,input_xe_tham_chieu!$A$2:$A$6,0)),INDEX(boss_input_vu_khi_suy_ra!$G$2:$G$71,MATCH($C$48,boss_input_vu_khi_suy_ra!$A$2:$A$71,0)),INDEX(boss_input_vu_khi_suy_ra!$F$2:$F$71,MATCH($C$48,boss_input_vu_khi_suy_ra!$A$2:$A$71,0))),0)</f>
        <v/>
      </c>
      <c r="G48" t="n">
        <v>0.5</v>
      </c>
      <c r="H48">
        <f>INDEX(boss_input_vu_khi!$B$2:$B$71,MATCH($C$48,boss_input_vu_khi!$A$2:$A$71,0))*INDEX(Boss_dps!$D$2:$D$32,MATCH($B$48,Boss_dps!$A$2:$A$32,0))*IF(INDEX(boss_input_vu_khi!$D$2:$D$71,MATCH($C$48,boss_input_vu_khi!$A$2:$A$71,0)),1,INDEX(Boss_dps!$B$2:$B$32,MATCH($B$48,Boss_dps!$A$2:$A$32,0)))*INDEX(Boss_dps!$C$2:$C$32,MATCH($B$48,Boss_dps!$A$2:$A$32,0))*$F$48</f>
        <v/>
      </c>
      <c r="I48" t="n">
        <v>11.55</v>
      </c>
      <c r="J48">
        <f>IF($H$48&gt;0,CEILING(INDEX(input_xe_tham_chieu!$C$2:$C$6,MATCH($D$48,input_xe_tham_chieu!$A$2:$A$6,0))/$H$48,1),"")</f>
        <v/>
      </c>
      <c r="K48">
        <f>IF(Boss_vu_khi!$S$44*$F$48&gt;0,INDEX(input_xe_tham_chieu!$C$2:$C$6,MATCH($D$48,input_xe_tham_chieu!$A$2:$A$6,0))/(Boss_vu_khi!$S$44*INDEX(Boss_dps!$D$2:$D$32,MATCH($B$48,Boss_dps!$A$2:$A$32,0))*$F$48),"")</f>
        <v/>
      </c>
      <c r="L48">
        <f>1+2*MIN(2,FLOOR(INDEX(boss_input_vu_khi!$E$2:$E$71,MATCH($C$48,boss_input_vu_khi!$A$2:$A$71,0))/8,1))</f>
        <v/>
      </c>
      <c r="M48">
        <f>1+2*MIN(2,FLOOR(MAX(INDEX(boss_input_vu_khi!$E$2:$E$71,MATCH($C$48,boss_input_vu_khi!$A$2:$A$71,0)),Boss_vu_khi!$L$44)/8,1))</f>
        <v/>
      </c>
      <c r="N48">
        <f>IF(INDEX(boss_input_vu_khi!$E$2:$E$71,MATCH($C$48,boss_input_vu_khi!$A$2:$A$71,0))&gt;=8,5,1)</f>
        <v/>
      </c>
      <c r="O48">
        <f>IF(MAX(INDEX(boss_input_vu_khi!$E$2:$E$71,MATCH($C$48,boss_input_vu_khi!$A$2:$A$71,0)),Boss_vu_khi!$L$44)&gt;=8,5,1)</f>
        <v/>
      </c>
      <c r="P48">
        <f>INDEX(boss_input_vu_khi_suy_ra!$H$2:$H$71,MATCH($C$48,boss_input_vu_khi_suy_ra!$A$2:$A$71,0))</f>
        <v/>
      </c>
      <c r="Q48">
        <f>IF(AND(INDEX(input_xe_tham_chieu!$G$2:$G$6,MATCH($D$48,input_xe_tham_chieu!$A$2:$A$6,0))&gt;0,INDEX(boss_input_vu_khi!$E$2:$E$71,MATCH($C$48,boss_input_vu_khi!$A$2:$A$71,0))&gt;0),INDEX(boss_input_vu_khi!$E$2:$E$71,MATCH($C$48,boss_input_vu_khi!$A$2:$A$71,0))/INDEX(input_xe_tham_chieu!$G$2:$G$6,MATCH($D$48,input_xe_tham_chieu!$A$2:$A$6,0)),"")</f>
        <v/>
      </c>
      <c r="R48">
        <f>IF(ISNUMBER($Q$48),IF($P$48&gt;=$Q$48,"DU","THIEU"),"")</f>
        <v/>
      </c>
      <c r="S48" t="inlineStr">
        <is>
          <t>Assets/MachineBrigade/Resources/Data/balance.json: vehicles[id=daedalus].weapon x 01_chien_dau/Xe_tham_chieu[gun_turret]</t>
        </is>
      </c>
      <c r="T48" t="inlineStr"/>
    </row>
    <row r="49">
      <c r="A49" t="inlineStr">
        <is>
          <t>daedalus/heavy_tank</t>
        </is>
      </c>
      <c r="B49" t="inlineStr">
        <is>
          <t>daedalus</t>
        </is>
      </c>
      <c r="C49" t="inlineStr">
        <is>
          <t>p26_daedalus_direct_dae_laser</t>
        </is>
      </c>
      <c r="D49" t="inlineStr">
        <is>
          <t>heavy_tank</t>
        </is>
      </c>
      <c r="E49">
        <f>IF(INDEX(boss_input_vu_khi_suy_ra!$D$2:$D$71,MATCH($C$49,boss_input_vu_khi_suy_ra!$A$2:$A$71,0)),INDEX(input_xe_tham_chieu!$E$2:$E$6,MATCH($D$49,input_xe_tham_chieu!$A$2:$A$6,0)),INDEX(input_xe_tham_chieu!$D$2:$D$6,MATCH($D$49,input_xe_tham_chieu!$A$2:$A$6,0)))</f>
        <v/>
      </c>
      <c r="F49">
        <f>IF(INDEX(boss_input_vu_khi_suy_ra!$E$2:$E$71,MATCH($C$49,boss_input_vu_khi_suy_ra!$A$2:$A$71,0)),INDEX(boss_input_bang_xuyen_giap!$B$2:$B$7,MIN(6,MAX(1,IF(INDEX(boss_input_vu_khi_suy_ra!$D$2:$D$71,MATCH($C$49,boss_input_vu_khi_suy_ra!$A$2:$A$71,0)),MAX(1,2-(INDEX(boss_input_vu_khi!$C$2:$C$71,MATCH($C$49,boss_input_vu_khi!$A$2:$A$71,0))-$E$49)),2-(INDEX(boss_input_vu_khi!$C$2:$C$71,MATCH($C$49,boss_input_vu_khi!$A$2:$A$71,0))-$E$49))+1)))*IF(INDEX(input_xe_tham_chieu!$F$2:$F$6,MATCH($D$49,input_xe_tham_chieu!$A$2:$A$6,0)),INDEX(boss_input_vu_khi_suy_ra!$G$2:$G$71,MATCH($C$49,boss_input_vu_khi_suy_ra!$A$2:$A$71,0)),INDEX(boss_input_vu_khi_suy_ra!$F$2:$F$71,MATCH($C$49,boss_input_vu_khi_suy_ra!$A$2:$A$71,0))),0)</f>
        <v/>
      </c>
      <c r="G49" t="n">
        <v>0.85</v>
      </c>
      <c r="H49">
        <f>INDEX(boss_input_vu_khi!$B$2:$B$71,MATCH($C$49,boss_input_vu_khi!$A$2:$A$71,0))*INDEX(Boss_dps!$D$2:$D$32,MATCH($B$49,Boss_dps!$A$2:$A$32,0))*IF(INDEX(boss_input_vu_khi!$D$2:$D$71,MATCH($C$49,boss_input_vu_khi!$A$2:$A$71,0)),1,INDEX(Boss_dps!$B$2:$B$32,MATCH($B$49,Boss_dps!$A$2:$A$32,0)))*INDEX(Boss_dps!$C$2:$C$32,MATCH($B$49,Boss_dps!$A$2:$A$32,0))*$F$49</f>
        <v/>
      </c>
      <c r="I49" t="n">
        <v>19.635</v>
      </c>
      <c r="J49">
        <f>IF($H$49&gt;0,CEILING(INDEX(input_xe_tham_chieu!$C$2:$C$6,MATCH($D$49,input_xe_tham_chieu!$A$2:$A$6,0))/$H$49,1),"")</f>
        <v/>
      </c>
      <c r="K49">
        <f>IF(Boss_vu_khi!$S$44*$F$49&gt;0,INDEX(input_xe_tham_chieu!$C$2:$C$6,MATCH($D$49,input_xe_tham_chieu!$A$2:$A$6,0))/(Boss_vu_khi!$S$44*INDEX(Boss_dps!$D$2:$D$32,MATCH($B$49,Boss_dps!$A$2:$A$32,0))*$F$49),"")</f>
        <v/>
      </c>
      <c r="L49">
        <f>1+2*MIN(2,FLOOR(INDEX(boss_input_vu_khi!$E$2:$E$71,MATCH($C$49,boss_input_vu_khi!$A$2:$A$71,0))/8,1))</f>
        <v/>
      </c>
      <c r="M49">
        <f>1+2*MIN(2,FLOOR(MAX(INDEX(boss_input_vu_khi!$E$2:$E$71,MATCH($C$49,boss_input_vu_khi!$A$2:$A$71,0)),Boss_vu_khi!$L$44)/8,1))</f>
        <v/>
      </c>
      <c r="N49">
        <f>IF(INDEX(boss_input_vu_khi!$E$2:$E$71,MATCH($C$49,boss_input_vu_khi!$A$2:$A$71,0))&gt;=8,5,1)</f>
        <v/>
      </c>
      <c r="O49">
        <f>IF(MAX(INDEX(boss_input_vu_khi!$E$2:$E$71,MATCH($C$49,boss_input_vu_khi!$A$2:$A$71,0)),Boss_vu_khi!$L$44)&gt;=8,5,1)</f>
        <v/>
      </c>
      <c r="P49">
        <f>INDEX(boss_input_vu_khi_suy_ra!$H$2:$H$71,MATCH($C$49,boss_input_vu_khi_suy_ra!$A$2:$A$71,0))</f>
        <v/>
      </c>
      <c r="Q49">
        <f>IF(AND(INDEX(input_xe_tham_chieu!$G$2:$G$6,MATCH($D$49,input_xe_tham_chieu!$A$2:$A$6,0))&gt;0,INDEX(boss_input_vu_khi!$E$2:$E$71,MATCH($C$49,boss_input_vu_khi!$A$2:$A$71,0))&gt;0),INDEX(boss_input_vu_khi!$E$2:$E$71,MATCH($C$49,boss_input_vu_khi!$A$2:$A$71,0))/INDEX(input_xe_tham_chieu!$G$2:$G$6,MATCH($D$49,input_xe_tham_chieu!$A$2:$A$6,0)),"")</f>
        <v/>
      </c>
      <c r="R49">
        <f>IF(ISNUMBER($Q$49),IF($P$49&gt;=$Q$49,"DU","THIEU"),"")</f>
        <v/>
      </c>
      <c r="S49" t="inlineStr">
        <is>
          <t>Assets/MachineBrigade/Resources/Data/balance.json: vehicles[id=daedalus].weapon x 01_chien_dau/Xe_tham_chieu[heavy_tank]</t>
        </is>
      </c>
      <c r="T49" t="inlineStr"/>
    </row>
    <row r="50">
      <c r="A50" t="inlineStr">
        <is>
          <t>daedalus/ifv</t>
        </is>
      </c>
      <c r="B50" t="inlineStr">
        <is>
          <t>daedalus</t>
        </is>
      </c>
      <c r="C50" t="inlineStr">
        <is>
          <t>p26_daedalus_direct_dae_laser</t>
        </is>
      </c>
      <c r="D50" t="inlineStr">
        <is>
          <t>ifv</t>
        </is>
      </c>
      <c r="E50">
        <f>IF(INDEX(boss_input_vu_khi_suy_ra!$D$2:$D$71,MATCH($C$50,boss_input_vu_khi_suy_ra!$A$2:$A$71,0)),INDEX(input_xe_tham_chieu!$E$2:$E$6,MATCH($D$50,input_xe_tham_chieu!$A$2:$A$6,0)),INDEX(input_xe_tham_chieu!$D$2:$D$6,MATCH($D$50,input_xe_tham_chieu!$A$2:$A$6,0)))</f>
        <v/>
      </c>
      <c r="F50">
        <f>IF(INDEX(boss_input_vu_khi_suy_ra!$E$2:$E$71,MATCH($C$50,boss_input_vu_khi_suy_ra!$A$2:$A$71,0)),INDEX(boss_input_bang_xuyen_giap!$B$2:$B$7,MIN(6,MAX(1,IF(INDEX(boss_input_vu_khi_suy_ra!$D$2:$D$71,MATCH($C$50,boss_input_vu_khi_suy_ra!$A$2:$A$71,0)),MAX(1,2-(INDEX(boss_input_vu_khi!$C$2:$C$71,MATCH($C$50,boss_input_vu_khi!$A$2:$A$71,0))-$E$50)),2-(INDEX(boss_input_vu_khi!$C$2:$C$71,MATCH($C$50,boss_input_vu_khi!$A$2:$A$71,0))-$E$50))+1)))*IF(INDEX(input_xe_tham_chieu!$F$2:$F$6,MATCH($D$50,input_xe_tham_chieu!$A$2:$A$6,0)),INDEX(boss_input_vu_khi_suy_ra!$G$2:$G$71,MATCH($C$50,boss_input_vu_khi_suy_ra!$A$2:$A$71,0)),INDEX(boss_input_vu_khi_suy_ra!$F$2:$F$71,MATCH($C$50,boss_input_vu_khi_suy_ra!$A$2:$A$71,0))),0)</f>
        <v/>
      </c>
      <c r="G50" t="n">
        <v>1.2</v>
      </c>
      <c r="H50">
        <f>INDEX(boss_input_vu_khi!$B$2:$B$71,MATCH($C$50,boss_input_vu_khi!$A$2:$A$71,0))*INDEX(Boss_dps!$D$2:$D$32,MATCH($B$50,Boss_dps!$A$2:$A$32,0))*IF(INDEX(boss_input_vu_khi!$D$2:$D$71,MATCH($C$50,boss_input_vu_khi!$A$2:$A$71,0)),1,INDEX(Boss_dps!$B$2:$B$32,MATCH($B$50,Boss_dps!$A$2:$A$32,0)))*INDEX(Boss_dps!$C$2:$C$32,MATCH($B$50,Boss_dps!$A$2:$A$32,0))*$F$50</f>
        <v/>
      </c>
      <c r="I50" t="n">
        <v>27.72</v>
      </c>
      <c r="J50">
        <f>IF($H$50&gt;0,CEILING(INDEX(input_xe_tham_chieu!$C$2:$C$6,MATCH($D$50,input_xe_tham_chieu!$A$2:$A$6,0))/$H$50,1),"")</f>
        <v/>
      </c>
      <c r="K50">
        <f>IF(Boss_vu_khi!$S$44*$F$50&gt;0,INDEX(input_xe_tham_chieu!$C$2:$C$6,MATCH($D$50,input_xe_tham_chieu!$A$2:$A$6,0))/(Boss_vu_khi!$S$44*INDEX(Boss_dps!$D$2:$D$32,MATCH($B$50,Boss_dps!$A$2:$A$32,0))*$F$50),"")</f>
        <v/>
      </c>
      <c r="L50">
        <f>1+2*MIN(2,FLOOR(INDEX(boss_input_vu_khi!$E$2:$E$71,MATCH($C$50,boss_input_vu_khi!$A$2:$A$71,0))/8,1))</f>
        <v/>
      </c>
      <c r="M50">
        <f>1+2*MIN(2,FLOOR(MAX(INDEX(boss_input_vu_khi!$E$2:$E$71,MATCH($C$50,boss_input_vu_khi!$A$2:$A$71,0)),Boss_vu_khi!$L$44)/8,1))</f>
        <v/>
      </c>
      <c r="N50">
        <f>IF(INDEX(boss_input_vu_khi!$E$2:$E$71,MATCH($C$50,boss_input_vu_khi!$A$2:$A$71,0))&gt;=8,5,1)</f>
        <v/>
      </c>
      <c r="O50">
        <f>IF(MAX(INDEX(boss_input_vu_khi!$E$2:$E$71,MATCH($C$50,boss_input_vu_khi!$A$2:$A$71,0)),Boss_vu_khi!$L$44)&gt;=8,5,1)</f>
        <v/>
      </c>
      <c r="P50">
        <f>INDEX(boss_input_vu_khi_suy_ra!$H$2:$H$71,MATCH($C$50,boss_input_vu_khi_suy_ra!$A$2:$A$71,0))</f>
        <v/>
      </c>
      <c r="Q50">
        <f>IF(AND(INDEX(input_xe_tham_chieu!$G$2:$G$6,MATCH($D$50,input_xe_tham_chieu!$A$2:$A$6,0))&gt;0,INDEX(boss_input_vu_khi!$E$2:$E$71,MATCH($C$50,boss_input_vu_khi!$A$2:$A$71,0))&gt;0),INDEX(boss_input_vu_khi!$E$2:$E$71,MATCH($C$50,boss_input_vu_khi!$A$2:$A$71,0))/INDEX(input_xe_tham_chieu!$G$2:$G$6,MATCH($D$50,input_xe_tham_chieu!$A$2:$A$6,0)),"")</f>
        <v/>
      </c>
      <c r="R50">
        <f>IF(ISNUMBER($Q$50),IF($P$50&gt;=$Q$50,"DU","THIEU"),"")</f>
        <v/>
      </c>
      <c r="S50" t="inlineStr">
        <is>
          <t>Assets/MachineBrigade/Resources/Data/balance.json: vehicles[id=daedalus].weapon x 01_chien_dau/Xe_tham_chieu[ifv]</t>
        </is>
      </c>
      <c r="T50" t="inlineStr"/>
    </row>
    <row r="51">
      <c r="A51" t="inlineStr">
        <is>
          <t>daedalus/main_battle_tank</t>
        </is>
      </c>
      <c r="B51" t="inlineStr">
        <is>
          <t>daedalus</t>
        </is>
      </c>
      <c r="C51" t="inlineStr">
        <is>
          <t>p26_daedalus_direct_dae_laser</t>
        </is>
      </c>
      <c r="D51" t="inlineStr">
        <is>
          <t>main_battle_tank</t>
        </is>
      </c>
      <c r="E51">
        <f>IF(INDEX(boss_input_vu_khi_suy_ra!$D$2:$D$71,MATCH($C$51,boss_input_vu_khi_suy_ra!$A$2:$A$71,0)),INDEX(input_xe_tham_chieu!$E$2:$E$6,MATCH($D$51,input_xe_tham_chieu!$A$2:$A$6,0)),INDEX(input_xe_tham_chieu!$D$2:$D$6,MATCH($D$51,input_xe_tham_chieu!$A$2:$A$6,0)))</f>
        <v/>
      </c>
      <c r="F51">
        <f>IF(INDEX(boss_input_vu_khi_suy_ra!$E$2:$E$71,MATCH($C$51,boss_input_vu_khi_suy_ra!$A$2:$A$71,0)),INDEX(boss_input_bang_xuyen_giap!$B$2:$B$7,MIN(6,MAX(1,IF(INDEX(boss_input_vu_khi_suy_ra!$D$2:$D$71,MATCH($C$51,boss_input_vu_khi_suy_ra!$A$2:$A$71,0)),MAX(1,2-(INDEX(boss_input_vu_khi!$C$2:$C$71,MATCH($C$51,boss_input_vu_khi!$A$2:$A$71,0))-$E$51)),2-(INDEX(boss_input_vu_khi!$C$2:$C$71,MATCH($C$51,boss_input_vu_khi!$A$2:$A$71,0))-$E$51))+1)))*IF(INDEX(input_xe_tham_chieu!$F$2:$F$6,MATCH($D$51,input_xe_tham_chieu!$A$2:$A$6,0)),INDEX(boss_input_vu_khi_suy_ra!$G$2:$G$71,MATCH($C$51,boss_input_vu_khi_suy_ra!$A$2:$A$71,0)),INDEX(boss_input_vu_khi_suy_ra!$F$2:$F$71,MATCH($C$51,boss_input_vu_khi_suy_ra!$A$2:$A$71,0))),0)</f>
        <v/>
      </c>
      <c r="G51" t="n">
        <v>0.85</v>
      </c>
      <c r="H51">
        <f>INDEX(boss_input_vu_khi!$B$2:$B$71,MATCH($C$51,boss_input_vu_khi!$A$2:$A$71,0))*INDEX(Boss_dps!$D$2:$D$32,MATCH($B$51,Boss_dps!$A$2:$A$32,0))*IF(INDEX(boss_input_vu_khi!$D$2:$D$71,MATCH($C$51,boss_input_vu_khi!$A$2:$A$71,0)),1,INDEX(Boss_dps!$B$2:$B$32,MATCH($B$51,Boss_dps!$A$2:$A$32,0)))*INDEX(Boss_dps!$C$2:$C$32,MATCH($B$51,Boss_dps!$A$2:$A$32,0))*$F$51</f>
        <v/>
      </c>
      <c r="I51" t="n">
        <v>19.635</v>
      </c>
      <c r="J51">
        <f>IF($H$51&gt;0,CEILING(INDEX(input_xe_tham_chieu!$C$2:$C$6,MATCH($D$51,input_xe_tham_chieu!$A$2:$A$6,0))/$H$51,1),"")</f>
        <v/>
      </c>
      <c r="K51">
        <f>IF(Boss_vu_khi!$S$44*$F$51&gt;0,INDEX(input_xe_tham_chieu!$C$2:$C$6,MATCH($D$51,input_xe_tham_chieu!$A$2:$A$6,0))/(Boss_vu_khi!$S$44*INDEX(Boss_dps!$D$2:$D$32,MATCH($B$51,Boss_dps!$A$2:$A$32,0))*$F$51),"")</f>
        <v/>
      </c>
      <c r="L51">
        <f>1+2*MIN(2,FLOOR(INDEX(boss_input_vu_khi!$E$2:$E$71,MATCH($C$51,boss_input_vu_khi!$A$2:$A$71,0))/8,1))</f>
        <v/>
      </c>
      <c r="M51">
        <f>1+2*MIN(2,FLOOR(MAX(INDEX(boss_input_vu_khi!$E$2:$E$71,MATCH($C$51,boss_input_vu_khi!$A$2:$A$71,0)),Boss_vu_khi!$L$44)/8,1))</f>
        <v/>
      </c>
      <c r="N51">
        <f>IF(INDEX(boss_input_vu_khi!$E$2:$E$71,MATCH($C$51,boss_input_vu_khi!$A$2:$A$71,0))&gt;=8,5,1)</f>
        <v/>
      </c>
      <c r="O51">
        <f>IF(MAX(INDEX(boss_input_vu_khi!$E$2:$E$71,MATCH($C$51,boss_input_vu_khi!$A$2:$A$71,0)),Boss_vu_khi!$L$44)&gt;=8,5,1)</f>
        <v/>
      </c>
      <c r="P51">
        <f>INDEX(boss_input_vu_khi_suy_ra!$H$2:$H$71,MATCH($C$51,boss_input_vu_khi_suy_ra!$A$2:$A$71,0))</f>
        <v/>
      </c>
      <c r="Q51">
        <f>IF(AND(INDEX(input_xe_tham_chieu!$G$2:$G$6,MATCH($D$51,input_xe_tham_chieu!$A$2:$A$6,0))&gt;0,INDEX(boss_input_vu_khi!$E$2:$E$71,MATCH($C$51,boss_input_vu_khi!$A$2:$A$71,0))&gt;0),INDEX(boss_input_vu_khi!$E$2:$E$71,MATCH($C$51,boss_input_vu_khi!$A$2:$A$71,0))/INDEX(input_xe_tham_chieu!$G$2:$G$6,MATCH($D$51,input_xe_tham_chieu!$A$2:$A$6,0)),"")</f>
        <v/>
      </c>
      <c r="R51">
        <f>IF(ISNUMBER($Q$51),IF($P$51&gt;=$Q$51,"DU","THIEU"),"")</f>
        <v/>
      </c>
      <c r="S51" t="inlineStr">
        <is>
          <t>Assets/MachineBrigade/Resources/Data/balance.json: vehicles[id=daedalus].weapon x 01_chien_dau/Xe_tham_chieu[main_battle_tank]</t>
        </is>
      </c>
      <c r="T51" t="inlineStr"/>
    </row>
    <row r="52">
      <c r="A52" t="inlineStr">
        <is>
          <t>drone_mothership/armored_car</t>
        </is>
      </c>
      <c r="B52" t="inlineStr">
        <is>
          <t>drone_mothership</t>
        </is>
      </c>
      <c r="C52" t="inlineStr">
        <is>
          <t>p26_matriarch_tiny_mothership_cannon</t>
        </is>
      </c>
      <c r="D52" t="inlineStr">
        <is>
          <t>armored_car</t>
        </is>
      </c>
      <c r="E52">
        <f>IF(INDEX(boss_input_vu_khi_suy_ra!$D$2:$D$71,MATCH($C$52,boss_input_vu_khi_suy_ra!$A$2:$A$71,0)),INDEX(input_xe_tham_chieu!$E$2:$E$6,MATCH($D$52,input_xe_tham_chieu!$A$2:$A$6,0)),INDEX(input_xe_tham_chieu!$D$2:$D$6,MATCH($D$52,input_xe_tham_chieu!$A$2:$A$6,0)))</f>
        <v/>
      </c>
      <c r="F52">
        <f>IF(INDEX(boss_input_vu_khi_suy_ra!$E$2:$E$71,MATCH($C$52,boss_input_vu_khi_suy_ra!$A$2:$A$71,0)),INDEX(boss_input_bang_xuyen_giap!$B$2:$B$7,MIN(6,MAX(1,IF(INDEX(boss_input_vu_khi_suy_ra!$D$2:$D$71,MATCH($C$52,boss_input_vu_khi_suy_ra!$A$2:$A$71,0)),MAX(1,2-(INDEX(boss_input_vu_khi!$C$2:$C$71,MATCH($C$52,boss_input_vu_khi!$A$2:$A$71,0))-$E$52)),2-(INDEX(boss_input_vu_khi!$C$2:$C$71,MATCH($C$52,boss_input_vu_khi!$A$2:$A$71,0))-$E$52))+1)))*IF(INDEX(input_xe_tham_chieu!$F$2:$F$6,MATCH($D$52,input_xe_tham_chieu!$A$2:$A$6,0)),INDEX(boss_input_vu_khi_suy_ra!$G$2:$G$71,MATCH($C$52,boss_input_vu_khi_suy_ra!$A$2:$A$71,0)),INDEX(boss_input_vu_khi_suy_ra!$F$2:$F$71,MATCH($C$52,boss_input_vu_khi_suy_ra!$A$2:$A$71,0))),0)</f>
        <v/>
      </c>
      <c r="G52" t="n">
        <v>1</v>
      </c>
      <c r="H52">
        <f>INDEX(boss_input_vu_khi!$B$2:$B$71,MATCH($C$52,boss_input_vu_khi!$A$2:$A$71,0))*INDEX(Boss_dps!$D$2:$D$32,MATCH($B$52,Boss_dps!$A$2:$A$32,0))*IF(INDEX(boss_input_vu_khi!$D$2:$D$71,MATCH($C$52,boss_input_vu_khi!$A$2:$A$71,0)),1,INDEX(Boss_dps!$B$2:$B$32,MATCH($B$52,Boss_dps!$A$2:$A$32,0)))*INDEX(Boss_dps!$C$2:$C$32,MATCH($B$52,Boss_dps!$A$2:$A$32,0))*$F$52</f>
        <v/>
      </c>
      <c r="I52" t="n">
        <v>168</v>
      </c>
      <c r="J52">
        <f>IF($H$52&gt;0,CEILING(INDEX(input_xe_tham_chieu!$C$2:$C$6,MATCH($D$52,input_xe_tham_chieu!$A$2:$A$6,0))/$H$52,1),"")</f>
        <v/>
      </c>
      <c r="K52">
        <f>IF(Boss_vu_khi!$S$48*$F$52&gt;0,INDEX(input_xe_tham_chieu!$C$2:$C$6,MATCH($D$52,input_xe_tham_chieu!$A$2:$A$6,0))/(Boss_vu_khi!$S$48*INDEX(Boss_dps!$D$2:$D$32,MATCH($B$52,Boss_dps!$A$2:$A$32,0))*$F$52),"")</f>
        <v/>
      </c>
      <c r="L52">
        <f>1+2*MIN(2,FLOOR(INDEX(boss_input_vu_khi!$E$2:$E$71,MATCH($C$52,boss_input_vu_khi!$A$2:$A$71,0))/8,1))</f>
        <v/>
      </c>
      <c r="M52">
        <f>1+2*MIN(2,FLOOR(MAX(INDEX(boss_input_vu_khi!$E$2:$E$71,MATCH($C$52,boss_input_vu_khi!$A$2:$A$71,0)),Boss_vu_khi!$L$48)/8,1))</f>
        <v/>
      </c>
      <c r="N52">
        <f>IF(INDEX(boss_input_vu_khi!$E$2:$E$71,MATCH($C$52,boss_input_vu_khi!$A$2:$A$71,0))&gt;=8,5,1)</f>
        <v/>
      </c>
      <c r="O52">
        <f>IF(MAX(INDEX(boss_input_vu_khi!$E$2:$E$71,MATCH($C$52,boss_input_vu_khi!$A$2:$A$71,0)),Boss_vu_khi!$L$48)&gt;=8,5,1)</f>
        <v/>
      </c>
      <c r="P52">
        <f>INDEX(boss_input_vu_khi_suy_ra!$H$2:$H$71,MATCH($C$52,boss_input_vu_khi_suy_ra!$A$2:$A$71,0))</f>
        <v/>
      </c>
      <c r="Q52">
        <f>IF(AND(INDEX(input_xe_tham_chieu!$G$2:$G$6,MATCH($D$52,input_xe_tham_chieu!$A$2:$A$6,0))&gt;0,INDEX(boss_input_vu_khi!$E$2:$E$71,MATCH($C$52,boss_input_vu_khi!$A$2:$A$71,0))&gt;0),INDEX(boss_input_vu_khi!$E$2:$E$71,MATCH($C$52,boss_input_vu_khi!$A$2:$A$71,0))/INDEX(input_xe_tham_chieu!$G$2:$G$6,MATCH($D$52,input_xe_tham_chieu!$A$2:$A$6,0)),"")</f>
        <v/>
      </c>
      <c r="R52">
        <f>IF(ISNUMBER($Q$52),IF($P$52&gt;=$Q$52,"DU","THIEU"),"")</f>
        <v/>
      </c>
      <c r="S52" t="inlineStr">
        <is>
          <t>Assets/MachineBrigade/Resources/Data/balance.json: vehicles[id=drone_mothership].weapon x 01_chien_dau/Xe_tham_chieu[armored_car]</t>
        </is>
      </c>
      <c r="T52" t="inlineStr"/>
    </row>
    <row r="53">
      <c r="A53" t="inlineStr">
        <is>
          <t>drone_mothership/gun_turret</t>
        </is>
      </c>
      <c r="B53" t="inlineStr">
        <is>
          <t>drone_mothership</t>
        </is>
      </c>
      <c r="C53" t="inlineStr">
        <is>
          <t>p26_matriarch_tiny_mothership_cannon</t>
        </is>
      </c>
      <c r="D53" t="inlineStr">
        <is>
          <t>gun_turret</t>
        </is>
      </c>
      <c r="E53">
        <f>IF(INDEX(boss_input_vu_khi_suy_ra!$D$2:$D$71,MATCH($C$53,boss_input_vu_khi_suy_ra!$A$2:$A$71,0)),INDEX(input_xe_tham_chieu!$E$2:$E$6,MATCH($D$53,input_xe_tham_chieu!$A$2:$A$6,0)),INDEX(input_xe_tham_chieu!$D$2:$D$6,MATCH($D$53,input_xe_tham_chieu!$A$2:$A$6,0)))</f>
        <v/>
      </c>
      <c r="F53">
        <f>IF(INDEX(boss_input_vu_khi_suy_ra!$E$2:$E$71,MATCH($C$53,boss_input_vu_khi_suy_ra!$A$2:$A$71,0)),INDEX(boss_input_bang_xuyen_giap!$B$2:$B$7,MIN(6,MAX(1,IF(INDEX(boss_input_vu_khi_suy_ra!$D$2:$D$71,MATCH($C$53,boss_input_vu_khi_suy_ra!$A$2:$A$71,0)),MAX(1,2-(INDEX(boss_input_vu_khi!$C$2:$C$71,MATCH($C$53,boss_input_vu_khi!$A$2:$A$71,0))-$E$53)),2-(INDEX(boss_input_vu_khi!$C$2:$C$71,MATCH($C$53,boss_input_vu_khi!$A$2:$A$71,0))-$E$53))+1)))*IF(INDEX(input_xe_tham_chieu!$F$2:$F$6,MATCH($D$53,input_xe_tham_chieu!$A$2:$A$6,0)),INDEX(boss_input_vu_khi_suy_ra!$G$2:$G$71,MATCH($C$53,boss_input_vu_khi_suy_ra!$A$2:$A$71,0)),INDEX(boss_input_vu_khi_suy_ra!$F$2:$F$71,MATCH($C$53,boss_input_vu_khi_suy_ra!$A$2:$A$71,0))),0)</f>
        <v/>
      </c>
      <c r="G53" t="n">
        <v>0.75</v>
      </c>
      <c r="H53">
        <f>INDEX(boss_input_vu_khi!$B$2:$B$71,MATCH($C$53,boss_input_vu_khi!$A$2:$A$71,0))*INDEX(Boss_dps!$D$2:$D$32,MATCH($B$53,Boss_dps!$A$2:$A$32,0))*IF(INDEX(boss_input_vu_khi!$D$2:$D$71,MATCH($C$53,boss_input_vu_khi!$A$2:$A$71,0)),1,INDEX(Boss_dps!$B$2:$B$32,MATCH($B$53,Boss_dps!$A$2:$A$32,0)))*INDEX(Boss_dps!$C$2:$C$32,MATCH($B$53,Boss_dps!$A$2:$A$32,0))*$F$53</f>
        <v/>
      </c>
      <c r="I53" t="n">
        <v>126</v>
      </c>
      <c r="J53">
        <f>IF($H$53&gt;0,CEILING(INDEX(input_xe_tham_chieu!$C$2:$C$6,MATCH($D$53,input_xe_tham_chieu!$A$2:$A$6,0))/$H$53,1),"")</f>
        <v/>
      </c>
      <c r="K53">
        <f>IF(Boss_vu_khi!$S$48*$F$53&gt;0,INDEX(input_xe_tham_chieu!$C$2:$C$6,MATCH($D$53,input_xe_tham_chieu!$A$2:$A$6,0))/(Boss_vu_khi!$S$48*INDEX(Boss_dps!$D$2:$D$32,MATCH($B$53,Boss_dps!$A$2:$A$32,0))*$F$53),"")</f>
        <v/>
      </c>
      <c r="L53">
        <f>1+2*MIN(2,FLOOR(INDEX(boss_input_vu_khi!$E$2:$E$71,MATCH($C$53,boss_input_vu_khi!$A$2:$A$71,0))/8,1))</f>
        <v/>
      </c>
      <c r="M53">
        <f>1+2*MIN(2,FLOOR(MAX(INDEX(boss_input_vu_khi!$E$2:$E$71,MATCH($C$53,boss_input_vu_khi!$A$2:$A$71,0)),Boss_vu_khi!$L$48)/8,1))</f>
        <v/>
      </c>
      <c r="N53">
        <f>IF(INDEX(boss_input_vu_khi!$E$2:$E$71,MATCH($C$53,boss_input_vu_khi!$A$2:$A$71,0))&gt;=8,5,1)</f>
        <v/>
      </c>
      <c r="O53">
        <f>IF(MAX(INDEX(boss_input_vu_khi!$E$2:$E$71,MATCH($C$53,boss_input_vu_khi!$A$2:$A$71,0)),Boss_vu_khi!$L$48)&gt;=8,5,1)</f>
        <v/>
      </c>
      <c r="P53">
        <f>INDEX(boss_input_vu_khi_suy_ra!$H$2:$H$71,MATCH($C$53,boss_input_vu_khi_suy_ra!$A$2:$A$71,0))</f>
        <v/>
      </c>
      <c r="Q53">
        <f>IF(AND(INDEX(input_xe_tham_chieu!$G$2:$G$6,MATCH($D$53,input_xe_tham_chieu!$A$2:$A$6,0))&gt;0,INDEX(boss_input_vu_khi!$E$2:$E$71,MATCH($C$53,boss_input_vu_khi!$A$2:$A$71,0))&gt;0),INDEX(boss_input_vu_khi!$E$2:$E$71,MATCH($C$53,boss_input_vu_khi!$A$2:$A$71,0))/INDEX(input_xe_tham_chieu!$G$2:$G$6,MATCH($D$53,input_xe_tham_chieu!$A$2:$A$6,0)),"")</f>
        <v/>
      </c>
      <c r="R53">
        <f>IF(ISNUMBER($Q$53),IF($P$53&gt;=$Q$53,"DU","THIEU"),"")</f>
        <v/>
      </c>
      <c r="S53" t="inlineStr">
        <is>
          <t>Assets/MachineBrigade/Resources/Data/balance.json: vehicles[id=drone_mothership].weapon x 01_chien_dau/Xe_tham_chieu[gun_turret]</t>
        </is>
      </c>
      <c r="T53" t="inlineStr"/>
    </row>
    <row r="54">
      <c r="A54" t="inlineStr">
        <is>
          <t>drone_mothership/heavy_tank</t>
        </is>
      </c>
      <c r="B54" t="inlineStr">
        <is>
          <t>drone_mothership</t>
        </is>
      </c>
      <c r="C54" t="inlineStr">
        <is>
          <t>p26_matriarch_tiny_mothership_cannon</t>
        </is>
      </c>
      <c r="D54" t="inlineStr">
        <is>
          <t>heavy_tank</t>
        </is>
      </c>
      <c r="E54">
        <f>IF(INDEX(boss_input_vu_khi_suy_ra!$D$2:$D$71,MATCH($C$54,boss_input_vu_khi_suy_ra!$A$2:$A$71,0)),INDEX(input_xe_tham_chieu!$E$2:$E$6,MATCH($D$54,input_xe_tham_chieu!$A$2:$A$6,0)),INDEX(input_xe_tham_chieu!$D$2:$D$6,MATCH($D$54,input_xe_tham_chieu!$A$2:$A$6,0)))</f>
        <v/>
      </c>
      <c r="F54">
        <f>IF(INDEX(boss_input_vu_khi_suy_ra!$E$2:$E$71,MATCH($C$54,boss_input_vu_khi_suy_ra!$A$2:$A$71,0)),INDEX(boss_input_bang_xuyen_giap!$B$2:$B$7,MIN(6,MAX(1,IF(INDEX(boss_input_vu_khi_suy_ra!$D$2:$D$71,MATCH($C$54,boss_input_vu_khi_suy_ra!$A$2:$A$71,0)),MAX(1,2-(INDEX(boss_input_vu_khi!$C$2:$C$71,MATCH($C$54,boss_input_vu_khi!$A$2:$A$71,0))-$E$54)),2-(INDEX(boss_input_vu_khi!$C$2:$C$71,MATCH($C$54,boss_input_vu_khi!$A$2:$A$71,0))-$E$54))+1)))*IF(INDEX(input_xe_tham_chieu!$F$2:$F$6,MATCH($D$54,input_xe_tham_chieu!$A$2:$A$6,0)),INDEX(boss_input_vu_khi_suy_ra!$G$2:$G$71,MATCH($C$54,boss_input_vu_khi_suy_ra!$A$2:$A$71,0)),INDEX(boss_input_vu_khi_suy_ra!$F$2:$F$71,MATCH($C$54,boss_input_vu_khi_suy_ra!$A$2:$A$71,0))),0)</f>
        <v/>
      </c>
      <c r="G54" t="n">
        <v>0.25</v>
      </c>
      <c r="H54">
        <f>INDEX(boss_input_vu_khi!$B$2:$B$71,MATCH($C$54,boss_input_vu_khi!$A$2:$A$71,0))*INDEX(Boss_dps!$D$2:$D$32,MATCH($B$54,Boss_dps!$A$2:$A$32,0))*IF(INDEX(boss_input_vu_khi!$D$2:$D$71,MATCH($C$54,boss_input_vu_khi!$A$2:$A$71,0)),1,INDEX(Boss_dps!$B$2:$B$32,MATCH($B$54,Boss_dps!$A$2:$A$32,0)))*INDEX(Boss_dps!$C$2:$C$32,MATCH($B$54,Boss_dps!$A$2:$A$32,0))*$F$54</f>
        <v/>
      </c>
      <c r="I54" t="n">
        <v>42</v>
      </c>
      <c r="J54">
        <f>IF($H$54&gt;0,CEILING(INDEX(input_xe_tham_chieu!$C$2:$C$6,MATCH($D$54,input_xe_tham_chieu!$A$2:$A$6,0))/$H$54,1),"")</f>
        <v/>
      </c>
      <c r="K54">
        <f>IF(Boss_vu_khi!$S$48*$F$54&gt;0,INDEX(input_xe_tham_chieu!$C$2:$C$6,MATCH($D$54,input_xe_tham_chieu!$A$2:$A$6,0))/(Boss_vu_khi!$S$48*INDEX(Boss_dps!$D$2:$D$32,MATCH($B$54,Boss_dps!$A$2:$A$32,0))*$F$54),"")</f>
        <v/>
      </c>
      <c r="L54">
        <f>1+2*MIN(2,FLOOR(INDEX(boss_input_vu_khi!$E$2:$E$71,MATCH($C$54,boss_input_vu_khi!$A$2:$A$71,0))/8,1))</f>
        <v/>
      </c>
      <c r="M54">
        <f>1+2*MIN(2,FLOOR(MAX(INDEX(boss_input_vu_khi!$E$2:$E$71,MATCH($C$54,boss_input_vu_khi!$A$2:$A$71,0)),Boss_vu_khi!$L$48)/8,1))</f>
        <v/>
      </c>
      <c r="N54">
        <f>IF(INDEX(boss_input_vu_khi!$E$2:$E$71,MATCH($C$54,boss_input_vu_khi!$A$2:$A$71,0))&gt;=8,5,1)</f>
        <v/>
      </c>
      <c r="O54">
        <f>IF(MAX(INDEX(boss_input_vu_khi!$E$2:$E$71,MATCH($C$54,boss_input_vu_khi!$A$2:$A$71,0)),Boss_vu_khi!$L$48)&gt;=8,5,1)</f>
        <v/>
      </c>
      <c r="P54">
        <f>INDEX(boss_input_vu_khi_suy_ra!$H$2:$H$71,MATCH($C$54,boss_input_vu_khi_suy_ra!$A$2:$A$71,0))</f>
        <v/>
      </c>
      <c r="Q54">
        <f>IF(AND(INDEX(input_xe_tham_chieu!$G$2:$G$6,MATCH($D$54,input_xe_tham_chieu!$A$2:$A$6,0))&gt;0,INDEX(boss_input_vu_khi!$E$2:$E$71,MATCH($C$54,boss_input_vu_khi!$A$2:$A$71,0))&gt;0),INDEX(boss_input_vu_khi!$E$2:$E$71,MATCH($C$54,boss_input_vu_khi!$A$2:$A$71,0))/INDEX(input_xe_tham_chieu!$G$2:$G$6,MATCH($D$54,input_xe_tham_chieu!$A$2:$A$6,0)),"")</f>
        <v/>
      </c>
      <c r="R54">
        <f>IF(ISNUMBER($Q$54),IF($P$54&gt;=$Q$54,"DU","THIEU"),"")</f>
        <v/>
      </c>
      <c r="S54" t="inlineStr">
        <is>
          <t>Assets/MachineBrigade/Resources/Data/balance.json: vehicles[id=drone_mothership].weapon x 01_chien_dau/Xe_tham_chieu[heavy_tank]</t>
        </is>
      </c>
      <c r="T54" t="inlineStr"/>
    </row>
    <row r="55">
      <c r="A55" t="inlineStr">
        <is>
          <t>drone_mothership/ifv</t>
        </is>
      </c>
      <c r="B55" t="inlineStr">
        <is>
          <t>drone_mothership</t>
        </is>
      </c>
      <c r="C55" t="inlineStr">
        <is>
          <t>p26_matriarch_tiny_mothership_cannon</t>
        </is>
      </c>
      <c r="D55" t="inlineStr">
        <is>
          <t>ifv</t>
        </is>
      </c>
      <c r="E55">
        <f>IF(INDEX(boss_input_vu_khi_suy_ra!$D$2:$D$71,MATCH($C$55,boss_input_vu_khi_suy_ra!$A$2:$A$71,0)),INDEX(input_xe_tham_chieu!$E$2:$E$6,MATCH($D$55,input_xe_tham_chieu!$A$2:$A$6,0)),INDEX(input_xe_tham_chieu!$D$2:$D$6,MATCH($D$55,input_xe_tham_chieu!$A$2:$A$6,0)))</f>
        <v/>
      </c>
      <c r="F55">
        <f>IF(INDEX(boss_input_vu_khi_suy_ra!$E$2:$E$71,MATCH($C$55,boss_input_vu_khi_suy_ra!$A$2:$A$71,0)),INDEX(boss_input_bang_xuyen_giap!$B$2:$B$7,MIN(6,MAX(1,IF(INDEX(boss_input_vu_khi_suy_ra!$D$2:$D$71,MATCH($C$55,boss_input_vu_khi_suy_ra!$A$2:$A$71,0)),MAX(1,2-(INDEX(boss_input_vu_khi!$C$2:$C$71,MATCH($C$55,boss_input_vu_khi!$A$2:$A$71,0))-$E$55)),2-(INDEX(boss_input_vu_khi!$C$2:$C$71,MATCH($C$55,boss_input_vu_khi!$A$2:$A$71,0))-$E$55))+1)))*IF(INDEX(input_xe_tham_chieu!$F$2:$F$6,MATCH($D$55,input_xe_tham_chieu!$A$2:$A$6,0)),INDEX(boss_input_vu_khi_suy_ra!$G$2:$G$71,MATCH($C$55,boss_input_vu_khi_suy_ra!$A$2:$A$71,0)),INDEX(boss_input_vu_khi_suy_ra!$F$2:$F$71,MATCH($C$55,boss_input_vu_khi_suy_ra!$A$2:$A$71,0))),0)</f>
        <v/>
      </c>
      <c r="G55" t="n">
        <v>0.85</v>
      </c>
      <c r="H55">
        <f>INDEX(boss_input_vu_khi!$B$2:$B$71,MATCH($C$55,boss_input_vu_khi!$A$2:$A$71,0))*INDEX(Boss_dps!$D$2:$D$32,MATCH($B$55,Boss_dps!$A$2:$A$32,0))*IF(INDEX(boss_input_vu_khi!$D$2:$D$71,MATCH($C$55,boss_input_vu_khi!$A$2:$A$71,0)),1,INDEX(Boss_dps!$B$2:$B$32,MATCH($B$55,Boss_dps!$A$2:$A$32,0)))*INDEX(Boss_dps!$C$2:$C$32,MATCH($B$55,Boss_dps!$A$2:$A$32,0))*$F$55</f>
        <v/>
      </c>
      <c r="I55" t="n">
        <v>142.8</v>
      </c>
      <c r="J55">
        <f>IF($H$55&gt;0,CEILING(INDEX(input_xe_tham_chieu!$C$2:$C$6,MATCH($D$55,input_xe_tham_chieu!$A$2:$A$6,0))/$H$55,1),"")</f>
        <v/>
      </c>
      <c r="K55">
        <f>IF(Boss_vu_khi!$S$48*$F$55&gt;0,INDEX(input_xe_tham_chieu!$C$2:$C$6,MATCH($D$55,input_xe_tham_chieu!$A$2:$A$6,0))/(Boss_vu_khi!$S$48*INDEX(Boss_dps!$D$2:$D$32,MATCH($B$55,Boss_dps!$A$2:$A$32,0))*$F$55),"")</f>
        <v/>
      </c>
      <c r="L55">
        <f>1+2*MIN(2,FLOOR(INDEX(boss_input_vu_khi!$E$2:$E$71,MATCH($C$55,boss_input_vu_khi!$A$2:$A$71,0))/8,1))</f>
        <v/>
      </c>
      <c r="M55">
        <f>1+2*MIN(2,FLOOR(MAX(INDEX(boss_input_vu_khi!$E$2:$E$71,MATCH($C$55,boss_input_vu_khi!$A$2:$A$71,0)),Boss_vu_khi!$L$48)/8,1))</f>
        <v/>
      </c>
      <c r="N55">
        <f>IF(INDEX(boss_input_vu_khi!$E$2:$E$71,MATCH($C$55,boss_input_vu_khi!$A$2:$A$71,0))&gt;=8,5,1)</f>
        <v/>
      </c>
      <c r="O55">
        <f>IF(MAX(INDEX(boss_input_vu_khi!$E$2:$E$71,MATCH($C$55,boss_input_vu_khi!$A$2:$A$71,0)),Boss_vu_khi!$L$48)&gt;=8,5,1)</f>
        <v/>
      </c>
      <c r="P55">
        <f>INDEX(boss_input_vu_khi_suy_ra!$H$2:$H$71,MATCH($C$55,boss_input_vu_khi_suy_ra!$A$2:$A$71,0))</f>
        <v/>
      </c>
      <c r="Q55">
        <f>IF(AND(INDEX(input_xe_tham_chieu!$G$2:$G$6,MATCH($D$55,input_xe_tham_chieu!$A$2:$A$6,0))&gt;0,INDEX(boss_input_vu_khi!$E$2:$E$71,MATCH($C$55,boss_input_vu_khi!$A$2:$A$71,0))&gt;0),INDEX(boss_input_vu_khi!$E$2:$E$71,MATCH($C$55,boss_input_vu_khi!$A$2:$A$71,0))/INDEX(input_xe_tham_chieu!$G$2:$G$6,MATCH($D$55,input_xe_tham_chieu!$A$2:$A$6,0)),"")</f>
        <v/>
      </c>
      <c r="R55">
        <f>IF(ISNUMBER($Q$55),IF($P$55&gt;=$Q$55,"DU","THIEU"),"")</f>
        <v/>
      </c>
      <c r="S55" t="inlineStr">
        <is>
          <t>Assets/MachineBrigade/Resources/Data/balance.json: vehicles[id=drone_mothership].weapon x 01_chien_dau/Xe_tham_chieu[ifv]</t>
        </is>
      </c>
      <c r="T55" t="inlineStr"/>
    </row>
    <row r="56">
      <c r="A56" t="inlineStr">
        <is>
          <t>drone_mothership/main_battle_tank</t>
        </is>
      </c>
      <c r="B56" t="inlineStr">
        <is>
          <t>drone_mothership</t>
        </is>
      </c>
      <c r="C56" t="inlineStr">
        <is>
          <t>p26_matriarch_tiny_mothership_cannon</t>
        </is>
      </c>
      <c r="D56" t="inlineStr">
        <is>
          <t>main_battle_tank</t>
        </is>
      </c>
      <c r="E56">
        <f>IF(INDEX(boss_input_vu_khi_suy_ra!$D$2:$D$71,MATCH($C$56,boss_input_vu_khi_suy_ra!$A$2:$A$71,0)),INDEX(input_xe_tham_chieu!$E$2:$E$6,MATCH($D$56,input_xe_tham_chieu!$A$2:$A$6,0)),INDEX(input_xe_tham_chieu!$D$2:$D$6,MATCH($D$56,input_xe_tham_chieu!$A$2:$A$6,0)))</f>
        <v/>
      </c>
      <c r="F56">
        <f>IF(INDEX(boss_input_vu_khi_suy_ra!$E$2:$E$71,MATCH($C$56,boss_input_vu_khi_suy_ra!$A$2:$A$71,0)),INDEX(boss_input_bang_xuyen_giap!$B$2:$B$7,MIN(6,MAX(1,IF(INDEX(boss_input_vu_khi_suy_ra!$D$2:$D$71,MATCH($C$56,boss_input_vu_khi_suy_ra!$A$2:$A$71,0)),MAX(1,2-(INDEX(boss_input_vu_khi!$C$2:$C$71,MATCH($C$56,boss_input_vu_khi!$A$2:$A$71,0))-$E$56)),2-(INDEX(boss_input_vu_khi!$C$2:$C$71,MATCH($C$56,boss_input_vu_khi!$A$2:$A$71,0))-$E$56))+1)))*IF(INDEX(input_xe_tham_chieu!$F$2:$F$6,MATCH($D$56,input_xe_tham_chieu!$A$2:$A$6,0)),INDEX(boss_input_vu_khi_suy_ra!$G$2:$G$71,MATCH($C$56,boss_input_vu_khi_suy_ra!$A$2:$A$71,0)),INDEX(boss_input_vu_khi_suy_ra!$F$2:$F$71,MATCH($C$56,boss_input_vu_khi_suy_ra!$A$2:$A$71,0))),0)</f>
        <v/>
      </c>
      <c r="G56" t="n">
        <v>0.25</v>
      </c>
      <c r="H56">
        <f>INDEX(boss_input_vu_khi!$B$2:$B$71,MATCH($C$56,boss_input_vu_khi!$A$2:$A$71,0))*INDEX(Boss_dps!$D$2:$D$32,MATCH($B$56,Boss_dps!$A$2:$A$32,0))*IF(INDEX(boss_input_vu_khi!$D$2:$D$71,MATCH($C$56,boss_input_vu_khi!$A$2:$A$71,0)),1,INDEX(Boss_dps!$B$2:$B$32,MATCH($B$56,Boss_dps!$A$2:$A$32,0)))*INDEX(Boss_dps!$C$2:$C$32,MATCH($B$56,Boss_dps!$A$2:$A$32,0))*$F$56</f>
        <v/>
      </c>
      <c r="I56" t="n">
        <v>42</v>
      </c>
      <c r="J56">
        <f>IF($H$56&gt;0,CEILING(INDEX(input_xe_tham_chieu!$C$2:$C$6,MATCH($D$56,input_xe_tham_chieu!$A$2:$A$6,0))/$H$56,1),"")</f>
        <v/>
      </c>
      <c r="K56">
        <f>IF(Boss_vu_khi!$S$48*$F$56&gt;0,INDEX(input_xe_tham_chieu!$C$2:$C$6,MATCH($D$56,input_xe_tham_chieu!$A$2:$A$6,0))/(Boss_vu_khi!$S$48*INDEX(Boss_dps!$D$2:$D$32,MATCH($B$56,Boss_dps!$A$2:$A$32,0))*$F$56),"")</f>
        <v/>
      </c>
      <c r="L56">
        <f>1+2*MIN(2,FLOOR(INDEX(boss_input_vu_khi!$E$2:$E$71,MATCH($C$56,boss_input_vu_khi!$A$2:$A$71,0))/8,1))</f>
        <v/>
      </c>
      <c r="M56">
        <f>1+2*MIN(2,FLOOR(MAX(INDEX(boss_input_vu_khi!$E$2:$E$71,MATCH($C$56,boss_input_vu_khi!$A$2:$A$71,0)),Boss_vu_khi!$L$48)/8,1))</f>
        <v/>
      </c>
      <c r="N56">
        <f>IF(INDEX(boss_input_vu_khi!$E$2:$E$71,MATCH($C$56,boss_input_vu_khi!$A$2:$A$71,0))&gt;=8,5,1)</f>
        <v/>
      </c>
      <c r="O56">
        <f>IF(MAX(INDEX(boss_input_vu_khi!$E$2:$E$71,MATCH($C$56,boss_input_vu_khi!$A$2:$A$71,0)),Boss_vu_khi!$L$48)&gt;=8,5,1)</f>
        <v/>
      </c>
      <c r="P56">
        <f>INDEX(boss_input_vu_khi_suy_ra!$H$2:$H$71,MATCH($C$56,boss_input_vu_khi_suy_ra!$A$2:$A$71,0))</f>
        <v/>
      </c>
      <c r="Q56">
        <f>IF(AND(INDEX(input_xe_tham_chieu!$G$2:$G$6,MATCH($D$56,input_xe_tham_chieu!$A$2:$A$6,0))&gt;0,INDEX(boss_input_vu_khi!$E$2:$E$71,MATCH($C$56,boss_input_vu_khi!$A$2:$A$71,0))&gt;0),INDEX(boss_input_vu_khi!$E$2:$E$71,MATCH($C$56,boss_input_vu_khi!$A$2:$A$71,0))/INDEX(input_xe_tham_chieu!$G$2:$G$6,MATCH($D$56,input_xe_tham_chieu!$A$2:$A$6,0)),"")</f>
        <v/>
      </c>
      <c r="R56">
        <f>IF(ISNUMBER($Q$56),IF($P$56&gt;=$Q$56,"DU","THIEU"),"")</f>
        <v/>
      </c>
      <c r="S56" t="inlineStr">
        <is>
          <t>Assets/MachineBrigade/Resources/Data/balance.json: vehicles[id=drone_mothership].weapon x 01_chien_dau/Xe_tham_chieu[main_battle_tank]</t>
        </is>
      </c>
      <c r="T56" t="inlineStr"/>
    </row>
    <row r="57">
      <c r="A57" t="inlineStr">
        <is>
          <t>earth_borer/armored_car</t>
        </is>
      </c>
      <c r="B57" t="inlineStr">
        <is>
          <t>earth_borer</t>
        </is>
      </c>
      <c r="C57" t="inlineStr">
        <is>
          <t>borer_drill</t>
        </is>
      </c>
      <c r="D57" t="inlineStr">
        <is>
          <t>armored_car</t>
        </is>
      </c>
      <c r="E57">
        <f>IF(INDEX(boss_input_vu_khi_suy_ra!$D$2:$D$71,MATCH($C$57,boss_input_vu_khi_suy_ra!$A$2:$A$71,0)),INDEX(input_xe_tham_chieu!$E$2:$E$6,MATCH($D$57,input_xe_tham_chieu!$A$2:$A$6,0)),INDEX(input_xe_tham_chieu!$D$2:$D$6,MATCH($D$57,input_xe_tham_chieu!$A$2:$A$6,0)))</f>
        <v/>
      </c>
      <c r="F57">
        <f>IF(INDEX(boss_input_vu_khi_suy_ra!$E$2:$E$71,MATCH($C$57,boss_input_vu_khi_suy_ra!$A$2:$A$71,0)),INDEX(boss_input_bang_xuyen_giap!$B$2:$B$7,MIN(6,MAX(1,IF(INDEX(boss_input_vu_khi_suy_ra!$D$2:$D$71,MATCH($C$57,boss_input_vu_khi_suy_ra!$A$2:$A$71,0)),MAX(1,2-(INDEX(boss_input_vu_khi!$C$2:$C$71,MATCH($C$57,boss_input_vu_khi!$A$2:$A$71,0))-$E$57)),2-(INDEX(boss_input_vu_khi!$C$2:$C$71,MATCH($C$57,boss_input_vu_khi!$A$2:$A$71,0))-$E$57))+1)))*IF(INDEX(input_xe_tham_chieu!$F$2:$F$6,MATCH($D$57,input_xe_tham_chieu!$A$2:$A$6,0)),INDEX(boss_input_vu_khi_suy_ra!$G$2:$G$71,MATCH($C$57,boss_input_vu_khi_suy_ra!$A$2:$A$71,0)),INDEX(boss_input_vu_khi_suy_ra!$F$2:$F$71,MATCH($C$57,boss_input_vu_khi_suy_ra!$A$2:$A$71,0))),0)</f>
        <v/>
      </c>
      <c r="G57" t="n">
        <v>1.2</v>
      </c>
      <c r="H57">
        <f>INDEX(boss_input_vu_khi!$B$2:$B$71,MATCH($C$57,boss_input_vu_khi!$A$2:$A$71,0))*INDEX(Boss_dps!$D$2:$D$32,MATCH($B$57,Boss_dps!$A$2:$A$32,0))*IF(INDEX(boss_input_vu_khi!$D$2:$D$71,MATCH($C$57,boss_input_vu_khi!$A$2:$A$71,0)),1,INDEX(Boss_dps!$B$2:$B$32,MATCH($B$57,Boss_dps!$A$2:$A$32,0)))*INDEX(Boss_dps!$C$2:$C$32,MATCH($B$57,Boss_dps!$A$2:$A$32,0))*$F$57</f>
        <v/>
      </c>
      <c r="I57" t="n">
        <v>1167.91818624</v>
      </c>
      <c r="J57">
        <f>IF($H$57&gt;0,CEILING(INDEX(input_xe_tham_chieu!$C$2:$C$6,MATCH($D$57,input_xe_tham_chieu!$A$2:$A$6,0))/$H$57,1),"")</f>
        <v/>
      </c>
      <c r="K57">
        <f>IF(Boss_vu_khi!$S$57*$F$57&gt;0,INDEX(input_xe_tham_chieu!$C$2:$C$6,MATCH($D$57,input_xe_tham_chieu!$A$2:$A$6,0))/(Boss_vu_khi!$S$57*INDEX(Boss_dps!$D$2:$D$32,MATCH($B$57,Boss_dps!$A$2:$A$32,0))*$F$57),"")</f>
        <v/>
      </c>
      <c r="L57">
        <f>1+2*MIN(2,FLOOR(INDEX(boss_input_vu_khi!$E$2:$E$71,MATCH($C$57,boss_input_vu_khi!$A$2:$A$71,0))/8,1))</f>
        <v/>
      </c>
      <c r="M57">
        <f>1+2*MIN(2,FLOOR(MAX(INDEX(boss_input_vu_khi!$E$2:$E$71,MATCH($C$57,boss_input_vu_khi!$A$2:$A$71,0)),Boss_vu_khi!$L$57)/8,1))</f>
        <v/>
      </c>
      <c r="N57">
        <f>IF(INDEX(boss_input_vu_khi!$E$2:$E$71,MATCH($C$57,boss_input_vu_khi!$A$2:$A$71,0))&gt;=8,5,1)</f>
        <v/>
      </c>
      <c r="O57">
        <f>IF(MAX(INDEX(boss_input_vu_khi!$E$2:$E$71,MATCH($C$57,boss_input_vu_khi!$A$2:$A$71,0)),Boss_vu_khi!$L$57)&gt;=8,5,1)</f>
        <v/>
      </c>
      <c r="P57">
        <f>INDEX(boss_input_vu_khi_suy_ra!$H$2:$H$71,MATCH($C$57,boss_input_vu_khi_suy_ra!$A$2:$A$71,0))</f>
        <v/>
      </c>
      <c r="Q57">
        <f>IF(AND(INDEX(input_xe_tham_chieu!$G$2:$G$6,MATCH($D$57,input_xe_tham_chieu!$A$2:$A$6,0))&gt;0,INDEX(boss_input_vu_khi!$E$2:$E$71,MATCH($C$57,boss_input_vu_khi!$A$2:$A$71,0))&gt;0),INDEX(boss_input_vu_khi!$E$2:$E$71,MATCH($C$57,boss_input_vu_khi!$A$2:$A$71,0))/INDEX(input_xe_tham_chieu!$G$2:$G$6,MATCH($D$57,input_xe_tham_chieu!$A$2:$A$6,0)),"")</f>
        <v/>
      </c>
      <c r="R57">
        <f>IF(ISNUMBER($Q$57),IF($P$57&gt;=$Q$57,"DU","THIEU"),"")</f>
        <v/>
      </c>
      <c r="S57" t="inlineStr">
        <is>
          <t>Assets/MachineBrigade/Resources/Data/balance.json: vehicles[id=earth_borer].weapon x 01_chien_dau/Xe_tham_chieu[armored_car]</t>
        </is>
      </c>
      <c r="T57" t="inlineStr"/>
    </row>
    <row r="58">
      <c r="A58" t="inlineStr">
        <is>
          <t>earth_borer/gun_turret</t>
        </is>
      </c>
      <c r="B58" t="inlineStr">
        <is>
          <t>earth_borer</t>
        </is>
      </c>
      <c r="C58" t="inlineStr">
        <is>
          <t>borer_drill</t>
        </is>
      </c>
      <c r="D58" t="inlineStr">
        <is>
          <t>gun_turret</t>
        </is>
      </c>
      <c r="E58">
        <f>IF(INDEX(boss_input_vu_khi_suy_ra!$D$2:$D$71,MATCH($C$58,boss_input_vu_khi_suy_ra!$A$2:$A$71,0)),INDEX(input_xe_tham_chieu!$E$2:$E$6,MATCH($D$58,input_xe_tham_chieu!$A$2:$A$6,0)),INDEX(input_xe_tham_chieu!$D$2:$D$6,MATCH($D$58,input_xe_tham_chieu!$A$2:$A$6,0)))</f>
        <v/>
      </c>
      <c r="F58">
        <f>IF(INDEX(boss_input_vu_khi_suy_ra!$E$2:$E$71,MATCH($C$58,boss_input_vu_khi_suy_ra!$A$2:$A$71,0)),INDEX(boss_input_bang_xuyen_giap!$B$2:$B$7,MIN(6,MAX(1,IF(INDEX(boss_input_vu_khi_suy_ra!$D$2:$D$71,MATCH($C$58,boss_input_vu_khi_suy_ra!$A$2:$A$71,0)),MAX(1,2-(INDEX(boss_input_vu_khi!$C$2:$C$71,MATCH($C$58,boss_input_vu_khi!$A$2:$A$71,0))-$E$58)),2-(INDEX(boss_input_vu_khi!$C$2:$C$71,MATCH($C$58,boss_input_vu_khi!$A$2:$A$71,0))-$E$58))+1)))*IF(INDEX(input_xe_tham_chieu!$F$2:$F$6,MATCH($D$58,input_xe_tham_chieu!$A$2:$A$6,0)),INDEX(boss_input_vu_khi_suy_ra!$G$2:$G$71,MATCH($C$58,boss_input_vu_khi_suy_ra!$A$2:$A$71,0)),INDEX(boss_input_vu_khi_suy_ra!$F$2:$F$71,MATCH($C$58,boss_input_vu_khi_suy_ra!$A$2:$A$71,0))),0)</f>
        <v/>
      </c>
      <c r="G58" t="n">
        <v>0.6</v>
      </c>
      <c r="H58">
        <f>INDEX(boss_input_vu_khi!$B$2:$B$71,MATCH($C$58,boss_input_vu_khi!$A$2:$A$71,0))*INDEX(Boss_dps!$D$2:$D$32,MATCH($B$58,Boss_dps!$A$2:$A$32,0))*IF(INDEX(boss_input_vu_khi!$D$2:$D$71,MATCH($C$58,boss_input_vu_khi!$A$2:$A$71,0)),1,INDEX(Boss_dps!$B$2:$B$32,MATCH($B$58,Boss_dps!$A$2:$A$32,0)))*INDEX(Boss_dps!$C$2:$C$32,MATCH($B$58,Boss_dps!$A$2:$A$32,0))*$F$58</f>
        <v/>
      </c>
      <c r="I58" t="n">
        <v>583.9590931199999</v>
      </c>
      <c r="J58">
        <f>IF($H$58&gt;0,CEILING(INDEX(input_xe_tham_chieu!$C$2:$C$6,MATCH($D$58,input_xe_tham_chieu!$A$2:$A$6,0))/$H$58,1),"")</f>
        <v/>
      </c>
      <c r="K58">
        <f>IF(Boss_vu_khi!$S$57*$F$58&gt;0,INDEX(input_xe_tham_chieu!$C$2:$C$6,MATCH($D$58,input_xe_tham_chieu!$A$2:$A$6,0))/(Boss_vu_khi!$S$57*INDEX(Boss_dps!$D$2:$D$32,MATCH($B$58,Boss_dps!$A$2:$A$32,0))*$F$58),"")</f>
        <v/>
      </c>
      <c r="L58">
        <f>1+2*MIN(2,FLOOR(INDEX(boss_input_vu_khi!$E$2:$E$71,MATCH($C$58,boss_input_vu_khi!$A$2:$A$71,0))/8,1))</f>
        <v/>
      </c>
      <c r="M58">
        <f>1+2*MIN(2,FLOOR(MAX(INDEX(boss_input_vu_khi!$E$2:$E$71,MATCH($C$58,boss_input_vu_khi!$A$2:$A$71,0)),Boss_vu_khi!$L$57)/8,1))</f>
        <v/>
      </c>
      <c r="N58">
        <f>IF(INDEX(boss_input_vu_khi!$E$2:$E$71,MATCH($C$58,boss_input_vu_khi!$A$2:$A$71,0))&gt;=8,5,1)</f>
        <v/>
      </c>
      <c r="O58">
        <f>IF(MAX(INDEX(boss_input_vu_khi!$E$2:$E$71,MATCH($C$58,boss_input_vu_khi!$A$2:$A$71,0)),Boss_vu_khi!$L$57)&gt;=8,5,1)</f>
        <v/>
      </c>
      <c r="P58">
        <f>INDEX(boss_input_vu_khi_suy_ra!$H$2:$H$71,MATCH($C$58,boss_input_vu_khi_suy_ra!$A$2:$A$71,0))</f>
        <v/>
      </c>
      <c r="Q58">
        <f>IF(AND(INDEX(input_xe_tham_chieu!$G$2:$G$6,MATCH($D$58,input_xe_tham_chieu!$A$2:$A$6,0))&gt;0,INDEX(boss_input_vu_khi!$E$2:$E$71,MATCH($C$58,boss_input_vu_khi!$A$2:$A$71,0))&gt;0),INDEX(boss_input_vu_khi!$E$2:$E$71,MATCH($C$58,boss_input_vu_khi!$A$2:$A$71,0))/INDEX(input_xe_tham_chieu!$G$2:$G$6,MATCH($D$58,input_xe_tham_chieu!$A$2:$A$6,0)),"")</f>
        <v/>
      </c>
      <c r="R58">
        <f>IF(ISNUMBER($Q$58),IF($P$58&gt;=$Q$58,"DU","THIEU"),"")</f>
        <v/>
      </c>
      <c r="S58" t="inlineStr">
        <is>
          <t>Assets/MachineBrigade/Resources/Data/balance.json: vehicles[id=earth_borer].weapon x 01_chien_dau/Xe_tham_chieu[gun_turret]</t>
        </is>
      </c>
      <c r="T58" t="inlineStr"/>
    </row>
    <row r="59">
      <c r="A59" t="inlineStr">
        <is>
          <t>earth_borer/heavy_tank</t>
        </is>
      </c>
      <c r="B59" t="inlineStr">
        <is>
          <t>earth_borer</t>
        </is>
      </c>
      <c r="C59" t="inlineStr">
        <is>
          <t>borer_drill</t>
        </is>
      </c>
      <c r="D59" t="inlineStr">
        <is>
          <t>heavy_tank</t>
        </is>
      </c>
      <c r="E59">
        <f>IF(INDEX(boss_input_vu_khi_suy_ra!$D$2:$D$71,MATCH($C$59,boss_input_vu_khi_suy_ra!$A$2:$A$71,0)),INDEX(input_xe_tham_chieu!$E$2:$E$6,MATCH($D$59,input_xe_tham_chieu!$A$2:$A$6,0)),INDEX(input_xe_tham_chieu!$D$2:$D$6,MATCH($D$59,input_xe_tham_chieu!$A$2:$A$6,0)))</f>
        <v/>
      </c>
      <c r="F59">
        <f>IF(INDEX(boss_input_vu_khi_suy_ra!$E$2:$E$71,MATCH($C$59,boss_input_vu_khi_suy_ra!$A$2:$A$71,0)),INDEX(boss_input_bang_xuyen_giap!$B$2:$B$7,MIN(6,MAX(1,IF(INDEX(boss_input_vu_khi_suy_ra!$D$2:$D$71,MATCH($C$59,boss_input_vu_khi_suy_ra!$A$2:$A$71,0)),MAX(1,2-(INDEX(boss_input_vu_khi!$C$2:$C$71,MATCH($C$59,boss_input_vu_khi!$A$2:$A$71,0))-$E$59)),2-(INDEX(boss_input_vu_khi!$C$2:$C$71,MATCH($C$59,boss_input_vu_khi!$A$2:$A$71,0))-$E$59))+1)))*IF(INDEX(input_xe_tham_chieu!$F$2:$F$6,MATCH($D$59,input_xe_tham_chieu!$A$2:$A$6,0)),INDEX(boss_input_vu_khi_suy_ra!$G$2:$G$71,MATCH($C$59,boss_input_vu_khi_suy_ra!$A$2:$A$71,0)),INDEX(boss_input_vu_khi_suy_ra!$F$2:$F$71,MATCH($C$59,boss_input_vu_khi_suy_ra!$A$2:$A$71,0))),0)</f>
        <v/>
      </c>
      <c r="G59" t="n">
        <v>0.85</v>
      </c>
      <c r="H59">
        <f>INDEX(boss_input_vu_khi!$B$2:$B$71,MATCH($C$59,boss_input_vu_khi!$A$2:$A$71,0))*INDEX(Boss_dps!$D$2:$D$32,MATCH($B$59,Boss_dps!$A$2:$A$32,0))*IF(INDEX(boss_input_vu_khi!$D$2:$D$71,MATCH($C$59,boss_input_vu_khi!$A$2:$A$71,0)),1,INDEX(Boss_dps!$B$2:$B$32,MATCH($B$59,Boss_dps!$A$2:$A$32,0)))*INDEX(Boss_dps!$C$2:$C$32,MATCH($B$59,Boss_dps!$A$2:$A$32,0))*$F$59</f>
        <v/>
      </c>
      <c r="I59" t="n">
        <v>827.2753819199999</v>
      </c>
      <c r="J59">
        <f>IF($H$59&gt;0,CEILING(INDEX(input_xe_tham_chieu!$C$2:$C$6,MATCH($D$59,input_xe_tham_chieu!$A$2:$A$6,0))/$H$59,1),"")</f>
        <v/>
      </c>
      <c r="K59">
        <f>IF(Boss_vu_khi!$S$57*$F$59&gt;0,INDEX(input_xe_tham_chieu!$C$2:$C$6,MATCH($D$59,input_xe_tham_chieu!$A$2:$A$6,0))/(Boss_vu_khi!$S$57*INDEX(Boss_dps!$D$2:$D$32,MATCH($B$59,Boss_dps!$A$2:$A$32,0))*$F$59),"")</f>
        <v/>
      </c>
      <c r="L59">
        <f>1+2*MIN(2,FLOOR(INDEX(boss_input_vu_khi!$E$2:$E$71,MATCH($C$59,boss_input_vu_khi!$A$2:$A$71,0))/8,1))</f>
        <v/>
      </c>
      <c r="M59">
        <f>1+2*MIN(2,FLOOR(MAX(INDEX(boss_input_vu_khi!$E$2:$E$71,MATCH($C$59,boss_input_vu_khi!$A$2:$A$71,0)),Boss_vu_khi!$L$57)/8,1))</f>
        <v/>
      </c>
      <c r="N59">
        <f>IF(INDEX(boss_input_vu_khi!$E$2:$E$71,MATCH($C$59,boss_input_vu_khi!$A$2:$A$71,0))&gt;=8,5,1)</f>
        <v/>
      </c>
      <c r="O59">
        <f>IF(MAX(INDEX(boss_input_vu_khi!$E$2:$E$71,MATCH($C$59,boss_input_vu_khi!$A$2:$A$71,0)),Boss_vu_khi!$L$57)&gt;=8,5,1)</f>
        <v/>
      </c>
      <c r="P59">
        <f>INDEX(boss_input_vu_khi_suy_ra!$H$2:$H$71,MATCH($C$59,boss_input_vu_khi_suy_ra!$A$2:$A$71,0))</f>
        <v/>
      </c>
      <c r="Q59">
        <f>IF(AND(INDEX(input_xe_tham_chieu!$G$2:$G$6,MATCH($D$59,input_xe_tham_chieu!$A$2:$A$6,0))&gt;0,INDEX(boss_input_vu_khi!$E$2:$E$71,MATCH($C$59,boss_input_vu_khi!$A$2:$A$71,0))&gt;0),INDEX(boss_input_vu_khi!$E$2:$E$71,MATCH($C$59,boss_input_vu_khi!$A$2:$A$71,0))/INDEX(input_xe_tham_chieu!$G$2:$G$6,MATCH($D$59,input_xe_tham_chieu!$A$2:$A$6,0)),"")</f>
        <v/>
      </c>
      <c r="R59">
        <f>IF(ISNUMBER($Q$59),IF($P$59&gt;=$Q$59,"DU","THIEU"),"")</f>
        <v/>
      </c>
      <c r="S59" t="inlineStr">
        <is>
          <t>Assets/MachineBrigade/Resources/Data/balance.json: vehicles[id=earth_borer].weapon x 01_chien_dau/Xe_tham_chieu[heavy_tank]</t>
        </is>
      </c>
      <c r="T59" t="inlineStr"/>
    </row>
    <row r="60">
      <c r="A60" t="inlineStr">
        <is>
          <t>earth_borer/ifv</t>
        </is>
      </c>
      <c r="B60" t="inlineStr">
        <is>
          <t>earth_borer</t>
        </is>
      </c>
      <c r="C60" t="inlineStr">
        <is>
          <t>borer_drill</t>
        </is>
      </c>
      <c r="D60" t="inlineStr">
        <is>
          <t>ifv</t>
        </is>
      </c>
      <c r="E60">
        <f>IF(INDEX(boss_input_vu_khi_suy_ra!$D$2:$D$71,MATCH($C$60,boss_input_vu_khi_suy_ra!$A$2:$A$71,0)),INDEX(input_xe_tham_chieu!$E$2:$E$6,MATCH($D$60,input_xe_tham_chieu!$A$2:$A$6,0)),INDEX(input_xe_tham_chieu!$D$2:$D$6,MATCH($D$60,input_xe_tham_chieu!$A$2:$A$6,0)))</f>
        <v/>
      </c>
      <c r="F60">
        <f>IF(INDEX(boss_input_vu_khi_suy_ra!$E$2:$E$71,MATCH($C$60,boss_input_vu_khi_suy_ra!$A$2:$A$71,0)),INDEX(boss_input_bang_xuyen_giap!$B$2:$B$7,MIN(6,MAX(1,IF(INDEX(boss_input_vu_khi_suy_ra!$D$2:$D$71,MATCH($C$60,boss_input_vu_khi_suy_ra!$A$2:$A$71,0)),MAX(1,2-(INDEX(boss_input_vu_khi!$C$2:$C$71,MATCH($C$60,boss_input_vu_khi!$A$2:$A$71,0))-$E$60)),2-(INDEX(boss_input_vu_khi!$C$2:$C$71,MATCH($C$60,boss_input_vu_khi!$A$2:$A$71,0))-$E$60))+1)))*IF(INDEX(input_xe_tham_chieu!$F$2:$F$6,MATCH($D$60,input_xe_tham_chieu!$A$2:$A$6,0)),INDEX(boss_input_vu_khi_suy_ra!$G$2:$G$71,MATCH($C$60,boss_input_vu_khi_suy_ra!$A$2:$A$71,0)),INDEX(boss_input_vu_khi_suy_ra!$F$2:$F$71,MATCH($C$60,boss_input_vu_khi_suy_ra!$A$2:$A$71,0))),0)</f>
        <v/>
      </c>
      <c r="G60" t="n">
        <v>1.2</v>
      </c>
      <c r="H60">
        <f>INDEX(boss_input_vu_khi!$B$2:$B$71,MATCH($C$60,boss_input_vu_khi!$A$2:$A$71,0))*INDEX(Boss_dps!$D$2:$D$32,MATCH($B$60,Boss_dps!$A$2:$A$32,0))*IF(INDEX(boss_input_vu_khi!$D$2:$D$71,MATCH($C$60,boss_input_vu_khi!$A$2:$A$71,0)),1,INDEX(Boss_dps!$B$2:$B$32,MATCH($B$60,Boss_dps!$A$2:$A$32,0)))*INDEX(Boss_dps!$C$2:$C$32,MATCH($B$60,Boss_dps!$A$2:$A$32,0))*$F$60</f>
        <v/>
      </c>
      <c r="I60" t="n">
        <v>1167.91818624</v>
      </c>
      <c r="J60">
        <f>IF($H$60&gt;0,CEILING(INDEX(input_xe_tham_chieu!$C$2:$C$6,MATCH($D$60,input_xe_tham_chieu!$A$2:$A$6,0))/$H$60,1),"")</f>
        <v/>
      </c>
      <c r="K60">
        <f>IF(Boss_vu_khi!$S$57*$F$60&gt;0,INDEX(input_xe_tham_chieu!$C$2:$C$6,MATCH($D$60,input_xe_tham_chieu!$A$2:$A$6,0))/(Boss_vu_khi!$S$57*INDEX(Boss_dps!$D$2:$D$32,MATCH($B$60,Boss_dps!$A$2:$A$32,0))*$F$60),"")</f>
        <v/>
      </c>
      <c r="L60">
        <f>1+2*MIN(2,FLOOR(INDEX(boss_input_vu_khi!$E$2:$E$71,MATCH($C$60,boss_input_vu_khi!$A$2:$A$71,0))/8,1))</f>
        <v/>
      </c>
      <c r="M60">
        <f>1+2*MIN(2,FLOOR(MAX(INDEX(boss_input_vu_khi!$E$2:$E$71,MATCH($C$60,boss_input_vu_khi!$A$2:$A$71,0)),Boss_vu_khi!$L$57)/8,1))</f>
        <v/>
      </c>
      <c r="N60">
        <f>IF(INDEX(boss_input_vu_khi!$E$2:$E$71,MATCH($C$60,boss_input_vu_khi!$A$2:$A$71,0))&gt;=8,5,1)</f>
        <v/>
      </c>
      <c r="O60">
        <f>IF(MAX(INDEX(boss_input_vu_khi!$E$2:$E$71,MATCH($C$60,boss_input_vu_khi!$A$2:$A$71,0)),Boss_vu_khi!$L$57)&gt;=8,5,1)</f>
        <v/>
      </c>
      <c r="P60">
        <f>INDEX(boss_input_vu_khi_suy_ra!$H$2:$H$71,MATCH($C$60,boss_input_vu_khi_suy_ra!$A$2:$A$71,0))</f>
        <v/>
      </c>
      <c r="Q60">
        <f>IF(AND(INDEX(input_xe_tham_chieu!$G$2:$G$6,MATCH($D$60,input_xe_tham_chieu!$A$2:$A$6,0))&gt;0,INDEX(boss_input_vu_khi!$E$2:$E$71,MATCH($C$60,boss_input_vu_khi!$A$2:$A$71,0))&gt;0),INDEX(boss_input_vu_khi!$E$2:$E$71,MATCH($C$60,boss_input_vu_khi!$A$2:$A$71,0))/INDEX(input_xe_tham_chieu!$G$2:$G$6,MATCH($D$60,input_xe_tham_chieu!$A$2:$A$6,0)),"")</f>
        <v/>
      </c>
      <c r="R60">
        <f>IF(ISNUMBER($Q$60),IF($P$60&gt;=$Q$60,"DU","THIEU"),"")</f>
        <v/>
      </c>
      <c r="S60" t="inlineStr">
        <is>
          <t>Assets/MachineBrigade/Resources/Data/balance.json: vehicles[id=earth_borer].weapon x 01_chien_dau/Xe_tham_chieu[ifv]</t>
        </is>
      </c>
      <c r="T60" t="inlineStr"/>
    </row>
    <row r="61">
      <c r="A61" t="inlineStr">
        <is>
          <t>earth_borer/main_battle_tank</t>
        </is>
      </c>
      <c r="B61" t="inlineStr">
        <is>
          <t>earth_borer</t>
        </is>
      </c>
      <c r="C61" t="inlineStr">
        <is>
          <t>borer_drill</t>
        </is>
      </c>
      <c r="D61" t="inlineStr">
        <is>
          <t>main_battle_tank</t>
        </is>
      </c>
      <c r="E61">
        <f>IF(INDEX(boss_input_vu_khi_suy_ra!$D$2:$D$71,MATCH($C$61,boss_input_vu_khi_suy_ra!$A$2:$A$71,0)),INDEX(input_xe_tham_chieu!$E$2:$E$6,MATCH($D$61,input_xe_tham_chieu!$A$2:$A$6,0)),INDEX(input_xe_tham_chieu!$D$2:$D$6,MATCH($D$61,input_xe_tham_chieu!$A$2:$A$6,0)))</f>
        <v/>
      </c>
      <c r="F61">
        <f>IF(INDEX(boss_input_vu_khi_suy_ra!$E$2:$E$71,MATCH($C$61,boss_input_vu_khi_suy_ra!$A$2:$A$71,0)),INDEX(boss_input_bang_xuyen_giap!$B$2:$B$7,MIN(6,MAX(1,IF(INDEX(boss_input_vu_khi_suy_ra!$D$2:$D$71,MATCH($C$61,boss_input_vu_khi_suy_ra!$A$2:$A$71,0)),MAX(1,2-(INDEX(boss_input_vu_khi!$C$2:$C$71,MATCH($C$61,boss_input_vu_khi!$A$2:$A$71,0))-$E$61)),2-(INDEX(boss_input_vu_khi!$C$2:$C$71,MATCH($C$61,boss_input_vu_khi!$A$2:$A$71,0))-$E$61))+1)))*IF(INDEX(input_xe_tham_chieu!$F$2:$F$6,MATCH($D$61,input_xe_tham_chieu!$A$2:$A$6,0)),INDEX(boss_input_vu_khi_suy_ra!$G$2:$G$71,MATCH($C$61,boss_input_vu_khi_suy_ra!$A$2:$A$71,0)),INDEX(boss_input_vu_khi_suy_ra!$F$2:$F$71,MATCH($C$61,boss_input_vu_khi_suy_ra!$A$2:$A$71,0))),0)</f>
        <v/>
      </c>
      <c r="G61" t="n">
        <v>0.85</v>
      </c>
      <c r="H61">
        <f>INDEX(boss_input_vu_khi!$B$2:$B$71,MATCH($C$61,boss_input_vu_khi!$A$2:$A$71,0))*INDEX(Boss_dps!$D$2:$D$32,MATCH($B$61,Boss_dps!$A$2:$A$32,0))*IF(INDEX(boss_input_vu_khi!$D$2:$D$71,MATCH($C$61,boss_input_vu_khi!$A$2:$A$71,0)),1,INDEX(Boss_dps!$B$2:$B$32,MATCH($B$61,Boss_dps!$A$2:$A$32,0)))*INDEX(Boss_dps!$C$2:$C$32,MATCH($B$61,Boss_dps!$A$2:$A$32,0))*$F$61</f>
        <v/>
      </c>
      <c r="I61" t="n">
        <v>827.2753819199999</v>
      </c>
      <c r="J61">
        <f>IF($H$61&gt;0,CEILING(INDEX(input_xe_tham_chieu!$C$2:$C$6,MATCH($D$61,input_xe_tham_chieu!$A$2:$A$6,0))/$H$61,1),"")</f>
        <v/>
      </c>
      <c r="K61">
        <f>IF(Boss_vu_khi!$S$57*$F$61&gt;0,INDEX(input_xe_tham_chieu!$C$2:$C$6,MATCH($D$61,input_xe_tham_chieu!$A$2:$A$6,0))/(Boss_vu_khi!$S$57*INDEX(Boss_dps!$D$2:$D$32,MATCH($B$61,Boss_dps!$A$2:$A$32,0))*$F$61),"")</f>
        <v/>
      </c>
      <c r="L61">
        <f>1+2*MIN(2,FLOOR(INDEX(boss_input_vu_khi!$E$2:$E$71,MATCH($C$61,boss_input_vu_khi!$A$2:$A$71,0))/8,1))</f>
        <v/>
      </c>
      <c r="M61">
        <f>1+2*MIN(2,FLOOR(MAX(INDEX(boss_input_vu_khi!$E$2:$E$71,MATCH($C$61,boss_input_vu_khi!$A$2:$A$71,0)),Boss_vu_khi!$L$57)/8,1))</f>
        <v/>
      </c>
      <c r="N61">
        <f>IF(INDEX(boss_input_vu_khi!$E$2:$E$71,MATCH($C$61,boss_input_vu_khi!$A$2:$A$71,0))&gt;=8,5,1)</f>
        <v/>
      </c>
      <c r="O61">
        <f>IF(MAX(INDEX(boss_input_vu_khi!$E$2:$E$71,MATCH($C$61,boss_input_vu_khi!$A$2:$A$71,0)),Boss_vu_khi!$L$57)&gt;=8,5,1)</f>
        <v/>
      </c>
      <c r="P61">
        <f>INDEX(boss_input_vu_khi_suy_ra!$H$2:$H$71,MATCH($C$61,boss_input_vu_khi_suy_ra!$A$2:$A$71,0))</f>
        <v/>
      </c>
      <c r="Q61">
        <f>IF(AND(INDEX(input_xe_tham_chieu!$G$2:$G$6,MATCH($D$61,input_xe_tham_chieu!$A$2:$A$6,0))&gt;0,INDEX(boss_input_vu_khi!$E$2:$E$71,MATCH($C$61,boss_input_vu_khi!$A$2:$A$71,0))&gt;0),INDEX(boss_input_vu_khi!$E$2:$E$71,MATCH($C$61,boss_input_vu_khi!$A$2:$A$71,0))/INDEX(input_xe_tham_chieu!$G$2:$G$6,MATCH($D$61,input_xe_tham_chieu!$A$2:$A$6,0)),"")</f>
        <v/>
      </c>
      <c r="R61">
        <f>IF(ISNUMBER($Q$61),IF($P$61&gt;=$Q$61,"DU","THIEU"),"")</f>
        <v/>
      </c>
      <c r="S61" t="inlineStr">
        <is>
          <t>Assets/MachineBrigade/Resources/Data/balance.json: vehicles[id=earth_borer].weapon x 01_chien_dau/Xe_tham_chieu[main_battle_tank]</t>
        </is>
      </c>
      <c r="T61" t="inlineStr"/>
    </row>
    <row r="62">
      <c r="A62" t="inlineStr">
        <is>
          <t>fenrir/armored_car</t>
        </is>
      </c>
      <c r="B62" t="inlineStr">
        <is>
          <t>fenrir</t>
        </is>
      </c>
      <c r="C62" t="inlineStr">
        <is>
          <t>p26_jotunn_sec_jo_rockets</t>
        </is>
      </c>
      <c r="D62" t="inlineStr">
        <is>
          <t>armored_car</t>
        </is>
      </c>
      <c r="E62">
        <f>IF(INDEX(boss_input_vu_khi_suy_ra!$D$2:$D$71,MATCH($C$62,boss_input_vu_khi_suy_ra!$A$2:$A$71,0)),INDEX(input_xe_tham_chieu!$E$2:$E$6,MATCH($D$62,input_xe_tham_chieu!$A$2:$A$6,0)),INDEX(input_xe_tham_chieu!$D$2:$D$6,MATCH($D$62,input_xe_tham_chieu!$A$2:$A$6,0)))</f>
        <v/>
      </c>
      <c r="F62">
        <f>IF(INDEX(boss_input_vu_khi_suy_ra!$E$2:$E$71,MATCH($C$62,boss_input_vu_khi_suy_ra!$A$2:$A$71,0)),INDEX(boss_input_bang_xuyen_giap!$B$2:$B$7,MIN(6,MAX(1,IF(INDEX(boss_input_vu_khi_suy_ra!$D$2:$D$71,MATCH($C$62,boss_input_vu_khi_suy_ra!$A$2:$A$71,0)),MAX(1,2-(INDEX(boss_input_vu_khi!$C$2:$C$71,MATCH($C$62,boss_input_vu_khi!$A$2:$A$71,0))-$E$62)),2-(INDEX(boss_input_vu_khi!$C$2:$C$71,MATCH($C$62,boss_input_vu_khi!$A$2:$A$71,0))-$E$62))+1)))*IF(INDEX(input_xe_tham_chieu!$F$2:$F$6,MATCH($D$62,input_xe_tham_chieu!$A$2:$A$6,0)),INDEX(boss_input_vu_khi_suy_ra!$G$2:$G$71,MATCH($C$62,boss_input_vu_khi_suy_ra!$A$2:$A$71,0)),INDEX(boss_input_vu_khi_suy_ra!$F$2:$F$71,MATCH($C$62,boss_input_vu_khi_suy_ra!$A$2:$A$71,0))),0)</f>
        <v/>
      </c>
      <c r="G62" t="n">
        <v>1</v>
      </c>
      <c r="H62">
        <f>INDEX(boss_input_vu_khi!$B$2:$B$71,MATCH($C$62,boss_input_vu_khi!$A$2:$A$71,0))*INDEX(Boss_dps!$D$2:$D$32,MATCH($B$62,Boss_dps!$A$2:$A$32,0))*IF(INDEX(boss_input_vu_khi!$D$2:$D$71,MATCH($C$62,boss_input_vu_khi!$A$2:$A$71,0)),1,INDEX(Boss_dps!$B$2:$B$32,MATCH($B$62,Boss_dps!$A$2:$A$32,0)))*INDEX(Boss_dps!$C$2:$C$32,MATCH($B$62,Boss_dps!$A$2:$A$32,0))*$F$62</f>
        <v/>
      </c>
      <c r="I62" t="n">
        <v>1140.845904</v>
      </c>
      <c r="J62">
        <f>IF($H$62&gt;0,CEILING(INDEX(input_xe_tham_chieu!$C$2:$C$6,MATCH($D$62,input_xe_tham_chieu!$A$2:$A$6,0))/$H$62,1),"")</f>
        <v/>
      </c>
      <c r="K62">
        <f>IF(Boss_vu_khi!$S$60*$F$62&gt;0,INDEX(input_xe_tham_chieu!$C$2:$C$6,MATCH($D$62,input_xe_tham_chieu!$A$2:$A$6,0))/(Boss_vu_khi!$S$60*INDEX(Boss_dps!$D$2:$D$32,MATCH($B$62,Boss_dps!$A$2:$A$32,0))*$F$62),"")</f>
        <v/>
      </c>
      <c r="L62">
        <f>1+2*MIN(2,FLOOR(INDEX(boss_input_vu_khi!$E$2:$E$71,MATCH($C$62,boss_input_vu_khi!$A$2:$A$71,0))/8,1))</f>
        <v/>
      </c>
      <c r="M62">
        <f>1+2*MIN(2,FLOOR(MAX(INDEX(boss_input_vu_khi!$E$2:$E$71,MATCH($C$62,boss_input_vu_khi!$A$2:$A$71,0)),Boss_vu_khi!$L$60)/8,1))</f>
        <v/>
      </c>
      <c r="N62">
        <f>IF(INDEX(boss_input_vu_khi!$E$2:$E$71,MATCH($C$62,boss_input_vu_khi!$A$2:$A$71,0))&gt;=8,5,1)</f>
        <v/>
      </c>
      <c r="O62">
        <f>IF(MAX(INDEX(boss_input_vu_khi!$E$2:$E$71,MATCH($C$62,boss_input_vu_khi!$A$2:$A$71,0)),Boss_vu_khi!$L$60)&gt;=8,5,1)</f>
        <v/>
      </c>
      <c r="P62">
        <f>INDEX(boss_input_vu_khi_suy_ra!$H$2:$H$71,MATCH($C$62,boss_input_vu_khi_suy_ra!$A$2:$A$71,0))</f>
        <v/>
      </c>
      <c r="Q62">
        <f>IF(AND(INDEX(input_xe_tham_chieu!$G$2:$G$6,MATCH($D$62,input_xe_tham_chieu!$A$2:$A$6,0))&gt;0,INDEX(boss_input_vu_khi!$E$2:$E$71,MATCH($C$62,boss_input_vu_khi!$A$2:$A$71,0))&gt;0),INDEX(boss_input_vu_khi!$E$2:$E$71,MATCH($C$62,boss_input_vu_khi!$A$2:$A$71,0))/INDEX(input_xe_tham_chieu!$G$2:$G$6,MATCH($D$62,input_xe_tham_chieu!$A$2:$A$6,0)),"")</f>
        <v/>
      </c>
      <c r="R62">
        <f>IF(ISNUMBER($Q$62),IF($P$62&gt;=$Q$62,"DU","THIEU"),"")</f>
        <v/>
      </c>
      <c r="S62" t="inlineStr">
        <is>
          <t>Assets/MachineBrigade/Resources/Data/balance.json: vehicles[id=fenrir].weapon x 01_chien_dau/Xe_tham_chieu[armored_car]</t>
        </is>
      </c>
      <c r="T62" t="inlineStr"/>
    </row>
    <row r="63">
      <c r="A63" t="inlineStr">
        <is>
          <t>fenrir/gun_turret</t>
        </is>
      </c>
      <c r="B63" t="inlineStr">
        <is>
          <t>fenrir</t>
        </is>
      </c>
      <c r="C63" t="inlineStr">
        <is>
          <t>p26_jotunn_sec_jo_rockets</t>
        </is>
      </c>
      <c r="D63" t="inlineStr">
        <is>
          <t>gun_turret</t>
        </is>
      </c>
      <c r="E63">
        <f>IF(INDEX(boss_input_vu_khi_suy_ra!$D$2:$D$71,MATCH($C$63,boss_input_vu_khi_suy_ra!$A$2:$A$71,0)),INDEX(input_xe_tham_chieu!$E$2:$E$6,MATCH($D$63,input_xe_tham_chieu!$A$2:$A$6,0)),INDEX(input_xe_tham_chieu!$D$2:$D$6,MATCH($D$63,input_xe_tham_chieu!$A$2:$A$6,0)))</f>
        <v/>
      </c>
      <c r="F63">
        <f>IF(INDEX(boss_input_vu_khi_suy_ra!$E$2:$E$71,MATCH($C$63,boss_input_vu_khi_suy_ra!$A$2:$A$71,0)),INDEX(boss_input_bang_xuyen_giap!$B$2:$B$7,MIN(6,MAX(1,IF(INDEX(boss_input_vu_khi_suy_ra!$D$2:$D$71,MATCH($C$63,boss_input_vu_khi_suy_ra!$A$2:$A$71,0)),MAX(1,2-(INDEX(boss_input_vu_khi!$C$2:$C$71,MATCH($C$63,boss_input_vu_khi!$A$2:$A$71,0))-$E$63)),2-(INDEX(boss_input_vu_khi!$C$2:$C$71,MATCH($C$63,boss_input_vu_khi!$A$2:$A$71,0))-$E$63))+1)))*IF(INDEX(input_xe_tham_chieu!$F$2:$F$6,MATCH($D$63,input_xe_tham_chieu!$A$2:$A$6,0)),INDEX(boss_input_vu_khi_suy_ra!$G$2:$G$71,MATCH($C$63,boss_input_vu_khi_suy_ra!$A$2:$A$71,0)),INDEX(boss_input_vu_khi_suy_ra!$F$2:$F$71,MATCH($C$63,boss_input_vu_khi_suy_ra!$A$2:$A$71,0))),0)</f>
        <v/>
      </c>
      <c r="G63" t="n">
        <v>0.75</v>
      </c>
      <c r="H63">
        <f>INDEX(boss_input_vu_khi!$B$2:$B$71,MATCH($C$63,boss_input_vu_khi!$A$2:$A$71,0))*INDEX(Boss_dps!$D$2:$D$32,MATCH($B$63,Boss_dps!$A$2:$A$32,0))*IF(INDEX(boss_input_vu_khi!$D$2:$D$71,MATCH($C$63,boss_input_vu_khi!$A$2:$A$71,0)),1,INDEX(Boss_dps!$B$2:$B$32,MATCH($B$63,Boss_dps!$A$2:$A$32,0)))*INDEX(Boss_dps!$C$2:$C$32,MATCH($B$63,Boss_dps!$A$2:$A$32,0))*$F$63</f>
        <v/>
      </c>
      <c r="I63" t="n">
        <v>855.6344279999998</v>
      </c>
      <c r="J63">
        <f>IF($H$63&gt;0,CEILING(INDEX(input_xe_tham_chieu!$C$2:$C$6,MATCH($D$63,input_xe_tham_chieu!$A$2:$A$6,0))/$H$63,1),"")</f>
        <v/>
      </c>
      <c r="K63">
        <f>IF(Boss_vu_khi!$S$60*$F$63&gt;0,INDEX(input_xe_tham_chieu!$C$2:$C$6,MATCH($D$63,input_xe_tham_chieu!$A$2:$A$6,0))/(Boss_vu_khi!$S$60*INDEX(Boss_dps!$D$2:$D$32,MATCH($B$63,Boss_dps!$A$2:$A$32,0))*$F$63),"")</f>
        <v/>
      </c>
      <c r="L63">
        <f>1+2*MIN(2,FLOOR(INDEX(boss_input_vu_khi!$E$2:$E$71,MATCH($C$63,boss_input_vu_khi!$A$2:$A$71,0))/8,1))</f>
        <v/>
      </c>
      <c r="M63">
        <f>1+2*MIN(2,FLOOR(MAX(INDEX(boss_input_vu_khi!$E$2:$E$71,MATCH($C$63,boss_input_vu_khi!$A$2:$A$71,0)),Boss_vu_khi!$L$60)/8,1))</f>
        <v/>
      </c>
      <c r="N63">
        <f>IF(INDEX(boss_input_vu_khi!$E$2:$E$71,MATCH($C$63,boss_input_vu_khi!$A$2:$A$71,0))&gt;=8,5,1)</f>
        <v/>
      </c>
      <c r="O63">
        <f>IF(MAX(INDEX(boss_input_vu_khi!$E$2:$E$71,MATCH($C$63,boss_input_vu_khi!$A$2:$A$71,0)),Boss_vu_khi!$L$60)&gt;=8,5,1)</f>
        <v/>
      </c>
      <c r="P63">
        <f>INDEX(boss_input_vu_khi_suy_ra!$H$2:$H$71,MATCH($C$63,boss_input_vu_khi_suy_ra!$A$2:$A$71,0))</f>
        <v/>
      </c>
      <c r="Q63">
        <f>IF(AND(INDEX(input_xe_tham_chieu!$G$2:$G$6,MATCH($D$63,input_xe_tham_chieu!$A$2:$A$6,0))&gt;0,INDEX(boss_input_vu_khi!$E$2:$E$71,MATCH($C$63,boss_input_vu_khi!$A$2:$A$71,0))&gt;0),INDEX(boss_input_vu_khi!$E$2:$E$71,MATCH($C$63,boss_input_vu_khi!$A$2:$A$71,0))/INDEX(input_xe_tham_chieu!$G$2:$G$6,MATCH($D$63,input_xe_tham_chieu!$A$2:$A$6,0)),"")</f>
        <v/>
      </c>
      <c r="R63">
        <f>IF(ISNUMBER($Q$63),IF($P$63&gt;=$Q$63,"DU","THIEU"),"")</f>
        <v/>
      </c>
      <c r="S63" t="inlineStr">
        <is>
          <t>Assets/MachineBrigade/Resources/Data/balance.json: vehicles[id=fenrir].weapon x 01_chien_dau/Xe_tham_chieu[gun_turret]</t>
        </is>
      </c>
      <c r="T63" t="inlineStr"/>
    </row>
    <row r="64">
      <c r="A64" t="inlineStr">
        <is>
          <t>fenrir/heavy_tank</t>
        </is>
      </c>
      <c r="B64" t="inlineStr">
        <is>
          <t>fenrir</t>
        </is>
      </c>
      <c r="C64" t="inlineStr">
        <is>
          <t>p26_jotunn_sec_jo_rockets</t>
        </is>
      </c>
      <c r="D64" t="inlineStr">
        <is>
          <t>heavy_tank</t>
        </is>
      </c>
      <c r="E64">
        <f>IF(INDEX(boss_input_vu_khi_suy_ra!$D$2:$D$71,MATCH($C$64,boss_input_vu_khi_suy_ra!$A$2:$A$71,0)),INDEX(input_xe_tham_chieu!$E$2:$E$6,MATCH($D$64,input_xe_tham_chieu!$A$2:$A$6,0)),INDEX(input_xe_tham_chieu!$D$2:$D$6,MATCH($D$64,input_xe_tham_chieu!$A$2:$A$6,0)))</f>
        <v/>
      </c>
      <c r="F64">
        <f>IF(INDEX(boss_input_vu_khi_suy_ra!$E$2:$E$71,MATCH($C$64,boss_input_vu_khi_suy_ra!$A$2:$A$71,0)),INDEX(boss_input_bang_xuyen_giap!$B$2:$B$7,MIN(6,MAX(1,IF(INDEX(boss_input_vu_khi_suy_ra!$D$2:$D$71,MATCH($C$64,boss_input_vu_khi_suy_ra!$A$2:$A$71,0)),MAX(1,2-(INDEX(boss_input_vu_khi!$C$2:$C$71,MATCH($C$64,boss_input_vu_khi!$A$2:$A$71,0))-$E$64)),2-(INDEX(boss_input_vu_khi!$C$2:$C$71,MATCH($C$64,boss_input_vu_khi!$A$2:$A$71,0))-$E$64))+1)))*IF(INDEX(input_xe_tham_chieu!$F$2:$F$6,MATCH($D$64,input_xe_tham_chieu!$A$2:$A$6,0)),INDEX(boss_input_vu_khi_suy_ra!$G$2:$G$71,MATCH($C$64,boss_input_vu_khi_suy_ra!$A$2:$A$71,0)),INDEX(boss_input_vu_khi_suy_ra!$F$2:$F$71,MATCH($C$64,boss_input_vu_khi_suy_ra!$A$2:$A$71,0))),0)</f>
        <v/>
      </c>
      <c r="G64" t="n">
        <v>0.25</v>
      </c>
      <c r="H64">
        <f>INDEX(boss_input_vu_khi!$B$2:$B$71,MATCH($C$64,boss_input_vu_khi!$A$2:$A$71,0))*INDEX(Boss_dps!$D$2:$D$32,MATCH($B$64,Boss_dps!$A$2:$A$32,0))*IF(INDEX(boss_input_vu_khi!$D$2:$D$71,MATCH($C$64,boss_input_vu_khi!$A$2:$A$71,0)),1,INDEX(Boss_dps!$B$2:$B$32,MATCH($B$64,Boss_dps!$A$2:$A$32,0)))*INDEX(Boss_dps!$C$2:$C$32,MATCH($B$64,Boss_dps!$A$2:$A$32,0))*$F$64</f>
        <v/>
      </c>
      <c r="I64" t="n">
        <v>285.2114759999999</v>
      </c>
      <c r="J64">
        <f>IF($H$64&gt;0,CEILING(INDEX(input_xe_tham_chieu!$C$2:$C$6,MATCH($D$64,input_xe_tham_chieu!$A$2:$A$6,0))/$H$64,1),"")</f>
        <v/>
      </c>
      <c r="K64">
        <f>IF(Boss_vu_khi!$S$60*$F$64&gt;0,INDEX(input_xe_tham_chieu!$C$2:$C$6,MATCH($D$64,input_xe_tham_chieu!$A$2:$A$6,0))/(Boss_vu_khi!$S$60*INDEX(Boss_dps!$D$2:$D$32,MATCH($B$64,Boss_dps!$A$2:$A$32,0))*$F$64),"")</f>
        <v/>
      </c>
      <c r="L64">
        <f>1+2*MIN(2,FLOOR(INDEX(boss_input_vu_khi!$E$2:$E$71,MATCH($C$64,boss_input_vu_khi!$A$2:$A$71,0))/8,1))</f>
        <v/>
      </c>
      <c r="M64">
        <f>1+2*MIN(2,FLOOR(MAX(INDEX(boss_input_vu_khi!$E$2:$E$71,MATCH($C$64,boss_input_vu_khi!$A$2:$A$71,0)),Boss_vu_khi!$L$60)/8,1))</f>
        <v/>
      </c>
      <c r="N64">
        <f>IF(INDEX(boss_input_vu_khi!$E$2:$E$71,MATCH($C$64,boss_input_vu_khi!$A$2:$A$71,0))&gt;=8,5,1)</f>
        <v/>
      </c>
      <c r="O64">
        <f>IF(MAX(INDEX(boss_input_vu_khi!$E$2:$E$71,MATCH($C$64,boss_input_vu_khi!$A$2:$A$71,0)),Boss_vu_khi!$L$60)&gt;=8,5,1)</f>
        <v/>
      </c>
      <c r="P64">
        <f>INDEX(boss_input_vu_khi_suy_ra!$H$2:$H$71,MATCH($C$64,boss_input_vu_khi_suy_ra!$A$2:$A$71,0))</f>
        <v/>
      </c>
      <c r="Q64">
        <f>IF(AND(INDEX(input_xe_tham_chieu!$G$2:$G$6,MATCH($D$64,input_xe_tham_chieu!$A$2:$A$6,0))&gt;0,INDEX(boss_input_vu_khi!$E$2:$E$71,MATCH($C$64,boss_input_vu_khi!$A$2:$A$71,0))&gt;0),INDEX(boss_input_vu_khi!$E$2:$E$71,MATCH($C$64,boss_input_vu_khi!$A$2:$A$71,0))/INDEX(input_xe_tham_chieu!$G$2:$G$6,MATCH($D$64,input_xe_tham_chieu!$A$2:$A$6,0)),"")</f>
        <v/>
      </c>
      <c r="R64">
        <f>IF(ISNUMBER($Q$64),IF($P$64&gt;=$Q$64,"DU","THIEU"),"")</f>
        <v/>
      </c>
      <c r="S64" t="inlineStr">
        <is>
          <t>Assets/MachineBrigade/Resources/Data/balance.json: vehicles[id=fenrir].weapon x 01_chien_dau/Xe_tham_chieu[heavy_tank]</t>
        </is>
      </c>
      <c r="T64" t="inlineStr"/>
    </row>
    <row r="65">
      <c r="A65" t="inlineStr">
        <is>
          <t>fenrir/ifv</t>
        </is>
      </c>
      <c r="B65" t="inlineStr">
        <is>
          <t>fenrir</t>
        </is>
      </c>
      <c r="C65" t="inlineStr">
        <is>
          <t>p26_jotunn_sec_jo_rockets</t>
        </is>
      </c>
      <c r="D65" t="inlineStr">
        <is>
          <t>ifv</t>
        </is>
      </c>
      <c r="E65">
        <f>IF(INDEX(boss_input_vu_khi_suy_ra!$D$2:$D$71,MATCH($C$65,boss_input_vu_khi_suy_ra!$A$2:$A$71,0)),INDEX(input_xe_tham_chieu!$E$2:$E$6,MATCH($D$65,input_xe_tham_chieu!$A$2:$A$6,0)),INDEX(input_xe_tham_chieu!$D$2:$D$6,MATCH($D$65,input_xe_tham_chieu!$A$2:$A$6,0)))</f>
        <v/>
      </c>
      <c r="F65">
        <f>IF(INDEX(boss_input_vu_khi_suy_ra!$E$2:$E$71,MATCH($C$65,boss_input_vu_khi_suy_ra!$A$2:$A$71,0)),INDEX(boss_input_bang_xuyen_giap!$B$2:$B$7,MIN(6,MAX(1,IF(INDEX(boss_input_vu_khi_suy_ra!$D$2:$D$71,MATCH($C$65,boss_input_vu_khi_suy_ra!$A$2:$A$71,0)),MAX(1,2-(INDEX(boss_input_vu_khi!$C$2:$C$71,MATCH($C$65,boss_input_vu_khi!$A$2:$A$71,0))-$E$65)),2-(INDEX(boss_input_vu_khi!$C$2:$C$71,MATCH($C$65,boss_input_vu_khi!$A$2:$A$71,0))-$E$65))+1)))*IF(INDEX(input_xe_tham_chieu!$F$2:$F$6,MATCH($D$65,input_xe_tham_chieu!$A$2:$A$6,0)),INDEX(boss_input_vu_khi_suy_ra!$G$2:$G$71,MATCH($C$65,boss_input_vu_khi_suy_ra!$A$2:$A$71,0)),INDEX(boss_input_vu_khi_suy_ra!$F$2:$F$71,MATCH($C$65,boss_input_vu_khi_suy_ra!$A$2:$A$71,0))),0)</f>
        <v/>
      </c>
      <c r="G65" t="n">
        <v>0.85</v>
      </c>
      <c r="H65">
        <f>INDEX(boss_input_vu_khi!$B$2:$B$71,MATCH($C$65,boss_input_vu_khi!$A$2:$A$71,0))*INDEX(Boss_dps!$D$2:$D$32,MATCH($B$65,Boss_dps!$A$2:$A$32,0))*IF(INDEX(boss_input_vu_khi!$D$2:$D$71,MATCH($C$65,boss_input_vu_khi!$A$2:$A$71,0)),1,INDEX(Boss_dps!$B$2:$B$32,MATCH($B$65,Boss_dps!$A$2:$A$32,0)))*INDEX(Boss_dps!$C$2:$C$32,MATCH($B$65,Boss_dps!$A$2:$A$32,0))*$F$65</f>
        <v/>
      </c>
      <c r="I65" t="n">
        <v>969.7190183999998</v>
      </c>
      <c r="J65">
        <f>IF($H$65&gt;0,CEILING(INDEX(input_xe_tham_chieu!$C$2:$C$6,MATCH($D$65,input_xe_tham_chieu!$A$2:$A$6,0))/$H$65,1),"")</f>
        <v/>
      </c>
      <c r="K65">
        <f>IF(Boss_vu_khi!$S$60*$F$65&gt;0,INDEX(input_xe_tham_chieu!$C$2:$C$6,MATCH($D$65,input_xe_tham_chieu!$A$2:$A$6,0))/(Boss_vu_khi!$S$60*INDEX(Boss_dps!$D$2:$D$32,MATCH($B$65,Boss_dps!$A$2:$A$32,0))*$F$65),"")</f>
        <v/>
      </c>
      <c r="L65">
        <f>1+2*MIN(2,FLOOR(INDEX(boss_input_vu_khi!$E$2:$E$71,MATCH($C$65,boss_input_vu_khi!$A$2:$A$71,0))/8,1))</f>
        <v/>
      </c>
      <c r="M65">
        <f>1+2*MIN(2,FLOOR(MAX(INDEX(boss_input_vu_khi!$E$2:$E$71,MATCH($C$65,boss_input_vu_khi!$A$2:$A$71,0)),Boss_vu_khi!$L$60)/8,1))</f>
        <v/>
      </c>
      <c r="N65">
        <f>IF(INDEX(boss_input_vu_khi!$E$2:$E$71,MATCH($C$65,boss_input_vu_khi!$A$2:$A$71,0))&gt;=8,5,1)</f>
        <v/>
      </c>
      <c r="O65">
        <f>IF(MAX(INDEX(boss_input_vu_khi!$E$2:$E$71,MATCH($C$65,boss_input_vu_khi!$A$2:$A$71,0)),Boss_vu_khi!$L$60)&gt;=8,5,1)</f>
        <v/>
      </c>
      <c r="P65">
        <f>INDEX(boss_input_vu_khi_suy_ra!$H$2:$H$71,MATCH($C$65,boss_input_vu_khi_suy_ra!$A$2:$A$71,0))</f>
        <v/>
      </c>
      <c r="Q65">
        <f>IF(AND(INDEX(input_xe_tham_chieu!$G$2:$G$6,MATCH($D$65,input_xe_tham_chieu!$A$2:$A$6,0))&gt;0,INDEX(boss_input_vu_khi!$E$2:$E$71,MATCH($C$65,boss_input_vu_khi!$A$2:$A$71,0))&gt;0),INDEX(boss_input_vu_khi!$E$2:$E$71,MATCH($C$65,boss_input_vu_khi!$A$2:$A$71,0))/INDEX(input_xe_tham_chieu!$G$2:$G$6,MATCH($D$65,input_xe_tham_chieu!$A$2:$A$6,0)),"")</f>
        <v/>
      </c>
      <c r="R65">
        <f>IF(ISNUMBER($Q$65),IF($P$65&gt;=$Q$65,"DU","THIEU"),"")</f>
        <v/>
      </c>
      <c r="S65" t="inlineStr">
        <is>
          <t>Assets/MachineBrigade/Resources/Data/balance.json: vehicles[id=fenrir].weapon x 01_chien_dau/Xe_tham_chieu[ifv]</t>
        </is>
      </c>
      <c r="T65" t="inlineStr"/>
    </row>
    <row r="66">
      <c r="A66" t="inlineStr">
        <is>
          <t>fenrir/main_battle_tank</t>
        </is>
      </c>
      <c r="B66" t="inlineStr">
        <is>
          <t>fenrir</t>
        </is>
      </c>
      <c r="C66" t="inlineStr">
        <is>
          <t>p26_jotunn_sec_jo_rockets</t>
        </is>
      </c>
      <c r="D66" t="inlineStr">
        <is>
          <t>main_battle_tank</t>
        </is>
      </c>
      <c r="E66">
        <f>IF(INDEX(boss_input_vu_khi_suy_ra!$D$2:$D$71,MATCH($C$66,boss_input_vu_khi_suy_ra!$A$2:$A$71,0)),INDEX(input_xe_tham_chieu!$E$2:$E$6,MATCH($D$66,input_xe_tham_chieu!$A$2:$A$6,0)),INDEX(input_xe_tham_chieu!$D$2:$D$6,MATCH($D$66,input_xe_tham_chieu!$A$2:$A$6,0)))</f>
        <v/>
      </c>
      <c r="F66">
        <f>IF(INDEX(boss_input_vu_khi_suy_ra!$E$2:$E$71,MATCH($C$66,boss_input_vu_khi_suy_ra!$A$2:$A$71,0)),INDEX(boss_input_bang_xuyen_giap!$B$2:$B$7,MIN(6,MAX(1,IF(INDEX(boss_input_vu_khi_suy_ra!$D$2:$D$71,MATCH($C$66,boss_input_vu_khi_suy_ra!$A$2:$A$71,0)),MAX(1,2-(INDEX(boss_input_vu_khi!$C$2:$C$71,MATCH($C$66,boss_input_vu_khi!$A$2:$A$71,0))-$E$66)),2-(INDEX(boss_input_vu_khi!$C$2:$C$71,MATCH($C$66,boss_input_vu_khi!$A$2:$A$71,0))-$E$66))+1)))*IF(INDEX(input_xe_tham_chieu!$F$2:$F$6,MATCH($D$66,input_xe_tham_chieu!$A$2:$A$6,0)),INDEX(boss_input_vu_khi_suy_ra!$G$2:$G$71,MATCH($C$66,boss_input_vu_khi_suy_ra!$A$2:$A$71,0)),INDEX(boss_input_vu_khi_suy_ra!$F$2:$F$71,MATCH($C$66,boss_input_vu_khi_suy_ra!$A$2:$A$71,0))),0)</f>
        <v/>
      </c>
      <c r="G66" t="n">
        <v>0.25</v>
      </c>
      <c r="H66">
        <f>INDEX(boss_input_vu_khi!$B$2:$B$71,MATCH($C$66,boss_input_vu_khi!$A$2:$A$71,0))*INDEX(Boss_dps!$D$2:$D$32,MATCH($B$66,Boss_dps!$A$2:$A$32,0))*IF(INDEX(boss_input_vu_khi!$D$2:$D$71,MATCH($C$66,boss_input_vu_khi!$A$2:$A$71,0)),1,INDEX(Boss_dps!$B$2:$B$32,MATCH($B$66,Boss_dps!$A$2:$A$32,0)))*INDEX(Boss_dps!$C$2:$C$32,MATCH($B$66,Boss_dps!$A$2:$A$32,0))*$F$66</f>
        <v/>
      </c>
      <c r="I66" t="n">
        <v>285.2114759999999</v>
      </c>
      <c r="J66">
        <f>IF($H$66&gt;0,CEILING(INDEX(input_xe_tham_chieu!$C$2:$C$6,MATCH($D$66,input_xe_tham_chieu!$A$2:$A$6,0))/$H$66,1),"")</f>
        <v/>
      </c>
      <c r="K66">
        <f>IF(Boss_vu_khi!$S$60*$F$66&gt;0,INDEX(input_xe_tham_chieu!$C$2:$C$6,MATCH($D$66,input_xe_tham_chieu!$A$2:$A$6,0))/(Boss_vu_khi!$S$60*INDEX(Boss_dps!$D$2:$D$32,MATCH($B$66,Boss_dps!$A$2:$A$32,0))*$F$66),"")</f>
        <v/>
      </c>
      <c r="L66">
        <f>1+2*MIN(2,FLOOR(INDEX(boss_input_vu_khi!$E$2:$E$71,MATCH($C$66,boss_input_vu_khi!$A$2:$A$71,0))/8,1))</f>
        <v/>
      </c>
      <c r="M66">
        <f>1+2*MIN(2,FLOOR(MAX(INDEX(boss_input_vu_khi!$E$2:$E$71,MATCH($C$66,boss_input_vu_khi!$A$2:$A$71,0)),Boss_vu_khi!$L$60)/8,1))</f>
        <v/>
      </c>
      <c r="N66">
        <f>IF(INDEX(boss_input_vu_khi!$E$2:$E$71,MATCH($C$66,boss_input_vu_khi!$A$2:$A$71,0))&gt;=8,5,1)</f>
        <v/>
      </c>
      <c r="O66">
        <f>IF(MAX(INDEX(boss_input_vu_khi!$E$2:$E$71,MATCH($C$66,boss_input_vu_khi!$A$2:$A$71,0)),Boss_vu_khi!$L$60)&gt;=8,5,1)</f>
        <v/>
      </c>
      <c r="P66">
        <f>INDEX(boss_input_vu_khi_suy_ra!$H$2:$H$71,MATCH($C$66,boss_input_vu_khi_suy_ra!$A$2:$A$71,0))</f>
        <v/>
      </c>
      <c r="Q66">
        <f>IF(AND(INDEX(input_xe_tham_chieu!$G$2:$G$6,MATCH($D$66,input_xe_tham_chieu!$A$2:$A$6,0))&gt;0,INDEX(boss_input_vu_khi!$E$2:$E$71,MATCH($C$66,boss_input_vu_khi!$A$2:$A$71,0))&gt;0),INDEX(boss_input_vu_khi!$E$2:$E$71,MATCH($C$66,boss_input_vu_khi!$A$2:$A$71,0))/INDEX(input_xe_tham_chieu!$G$2:$G$6,MATCH($D$66,input_xe_tham_chieu!$A$2:$A$6,0)),"")</f>
        <v/>
      </c>
      <c r="R66">
        <f>IF(ISNUMBER($Q$66),IF($P$66&gt;=$Q$66,"DU","THIEU"),"")</f>
        <v/>
      </c>
      <c r="S66" t="inlineStr">
        <is>
          <t>Assets/MachineBrigade/Resources/Data/balance.json: vehicles[id=fenrir].weapon x 01_chien_dau/Xe_tham_chieu[main_battle_tank]</t>
        </is>
      </c>
      <c r="T66" t="inlineStr"/>
    </row>
    <row r="67">
      <c r="A67" t="inlineStr">
        <is>
          <t>fortress_bastion/armored_car</t>
        </is>
      </c>
      <c r="B67" t="inlineStr">
        <is>
          <t>fortress_bastion</t>
        </is>
      </c>
      <c r="C67" t="inlineStr">
        <is>
          <t>p26_bastion_sec_b240</t>
        </is>
      </c>
      <c r="D67" t="inlineStr">
        <is>
          <t>armored_car</t>
        </is>
      </c>
      <c r="E67">
        <f>IF(INDEX(boss_input_vu_khi_suy_ra!$D$2:$D$71,MATCH($C$67,boss_input_vu_khi_suy_ra!$A$2:$A$71,0)),INDEX(input_xe_tham_chieu!$E$2:$E$6,MATCH($D$67,input_xe_tham_chieu!$A$2:$A$6,0)),INDEX(input_xe_tham_chieu!$D$2:$D$6,MATCH($D$67,input_xe_tham_chieu!$A$2:$A$6,0)))</f>
        <v/>
      </c>
      <c r="F67">
        <f>IF(INDEX(boss_input_vu_khi_suy_ra!$E$2:$E$71,MATCH($C$67,boss_input_vu_khi_suy_ra!$A$2:$A$71,0)),INDEX(boss_input_bang_xuyen_giap!$B$2:$B$7,MIN(6,MAX(1,IF(INDEX(boss_input_vu_khi_suy_ra!$D$2:$D$71,MATCH($C$67,boss_input_vu_khi_suy_ra!$A$2:$A$71,0)),MAX(1,2-(INDEX(boss_input_vu_khi!$C$2:$C$71,MATCH($C$67,boss_input_vu_khi!$A$2:$A$71,0))-$E$67)),2-(INDEX(boss_input_vu_khi!$C$2:$C$71,MATCH($C$67,boss_input_vu_khi!$A$2:$A$71,0))-$E$67))+1)))*IF(INDEX(input_xe_tham_chieu!$F$2:$F$6,MATCH($D$67,input_xe_tham_chieu!$A$2:$A$6,0)),INDEX(boss_input_vu_khi_suy_ra!$G$2:$G$71,MATCH($C$67,boss_input_vu_khi_suy_ra!$A$2:$A$71,0)),INDEX(boss_input_vu_khi_suy_ra!$F$2:$F$71,MATCH($C$67,boss_input_vu_khi_suy_ra!$A$2:$A$71,0))),0)</f>
        <v/>
      </c>
      <c r="G67" t="n">
        <v>1</v>
      </c>
      <c r="H67">
        <f>INDEX(boss_input_vu_khi!$B$2:$B$71,MATCH($C$67,boss_input_vu_khi!$A$2:$A$71,0))*INDEX(Boss_dps!$D$2:$D$32,MATCH($B$67,Boss_dps!$A$2:$A$32,0))*IF(INDEX(boss_input_vu_khi!$D$2:$D$71,MATCH($C$67,boss_input_vu_khi!$A$2:$A$71,0)),1,INDEX(Boss_dps!$B$2:$B$32,MATCH($B$67,Boss_dps!$A$2:$A$32,0)))*INDEX(Boss_dps!$C$2:$C$32,MATCH($B$67,Boss_dps!$A$2:$A$32,0))*$F$67</f>
        <v/>
      </c>
      <c r="I67" t="n">
        <v>1540</v>
      </c>
      <c r="J67">
        <f>IF($H$67&gt;0,CEILING(INDEX(input_xe_tham_chieu!$C$2:$C$6,MATCH($D$67,input_xe_tham_chieu!$A$2:$A$6,0))/$H$67,1),"")</f>
        <v/>
      </c>
      <c r="K67">
        <f>IF(Boss_vu_khi!$S$63*$F$67&gt;0,INDEX(input_xe_tham_chieu!$C$2:$C$6,MATCH($D$67,input_xe_tham_chieu!$A$2:$A$6,0))/(Boss_vu_khi!$S$63*INDEX(Boss_dps!$D$2:$D$32,MATCH($B$67,Boss_dps!$A$2:$A$32,0))*$F$67),"")</f>
        <v/>
      </c>
      <c r="L67">
        <f>1+2*MIN(2,FLOOR(INDEX(boss_input_vu_khi!$E$2:$E$71,MATCH($C$67,boss_input_vu_khi!$A$2:$A$71,0))/8,1))</f>
        <v/>
      </c>
      <c r="M67">
        <f>1+2*MIN(2,FLOOR(MAX(INDEX(boss_input_vu_khi!$E$2:$E$71,MATCH($C$67,boss_input_vu_khi!$A$2:$A$71,0)),Boss_vu_khi!$L$63)/8,1))</f>
        <v/>
      </c>
      <c r="N67">
        <f>IF(INDEX(boss_input_vu_khi!$E$2:$E$71,MATCH($C$67,boss_input_vu_khi!$A$2:$A$71,0))&gt;=8,5,1)</f>
        <v/>
      </c>
      <c r="O67">
        <f>IF(MAX(INDEX(boss_input_vu_khi!$E$2:$E$71,MATCH($C$67,boss_input_vu_khi!$A$2:$A$71,0)),Boss_vu_khi!$L$63)&gt;=8,5,1)</f>
        <v/>
      </c>
      <c r="P67">
        <f>INDEX(boss_input_vu_khi_suy_ra!$H$2:$H$71,MATCH($C$67,boss_input_vu_khi_suy_ra!$A$2:$A$71,0))</f>
        <v/>
      </c>
      <c r="Q67">
        <f>IF(AND(INDEX(input_xe_tham_chieu!$G$2:$G$6,MATCH($D$67,input_xe_tham_chieu!$A$2:$A$6,0))&gt;0,INDEX(boss_input_vu_khi!$E$2:$E$71,MATCH($C$67,boss_input_vu_khi!$A$2:$A$71,0))&gt;0),INDEX(boss_input_vu_khi!$E$2:$E$71,MATCH($C$67,boss_input_vu_khi!$A$2:$A$71,0))/INDEX(input_xe_tham_chieu!$G$2:$G$6,MATCH($D$67,input_xe_tham_chieu!$A$2:$A$6,0)),"")</f>
        <v/>
      </c>
      <c r="R67">
        <f>IF(ISNUMBER($Q$67),IF($P$67&gt;=$Q$67,"DU","THIEU"),"")</f>
        <v/>
      </c>
      <c r="S67" t="inlineStr">
        <is>
          <t>Assets/MachineBrigade/Resources/Data/balance.json: vehicles[id=fortress_bastion].weapon x 01_chien_dau/Xe_tham_chieu[armored_car]</t>
        </is>
      </c>
      <c r="T67" t="inlineStr"/>
    </row>
    <row r="68">
      <c r="A68" t="inlineStr">
        <is>
          <t>fortress_bastion/gun_turret</t>
        </is>
      </c>
      <c r="B68" t="inlineStr">
        <is>
          <t>fortress_bastion</t>
        </is>
      </c>
      <c r="C68" t="inlineStr">
        <is>
          <t>p26_bastion_sec_b240</t>
        </is>
      </c>
      <c r="D68" t="inlineStr">
        <is>
          <t>gun_turret</t>
        </is>
      </c>
      <c r="E68">
        <f>IF(INDEX(boss_input_vu_khi_suy_ra!$D$2:$D$71,MATCH($C$68,boss_input_vu_khi_suy_ra!$A$2:$A$71,0)),INDEX(input_xe_tham_chieu!$E$2:$E$6,MATCH($D$68,input_xe_tham_chieu!$A$2:$A$6,0)),INDEX(input_xe_tham_chieu!$D$2:$D$6,MATCH($D$68,input_xe_tham_chieu!$A$2:$A$6,0)))</f>
        <v/>
      </c>
      <c r="F68">
        <f>IF(INDEX(boss_input_vu_khi_suy_ra!$E$2:$E$71,MATCH($C$68,boss_input_vu_khi_suy_ra!$A$2:$A$71,0)),INDEX(boss_input_bang_xuyen_giap!$B$2:$B$7,MIN(6,MAX(1,IF(INDEX(boss_input_vu_khi_suy_ra!$D$2:$D$71,MATCH($C$68,boss_input_vu_khi_suy_ra!$A$2:$A$71,0)),MAX(1,2-(INDEX(boss_input_vu_khi!$C$2:$C$71,MATCH($C$68,boss_input_vu_khi!$A$2:$A$71,0))-$E$68)),2-(INDEX(boss_input_vu_khi!$C$2:$C$71,MATCH($C$68,boss_input_vu_khi!$A$2:$A$71,0))-$E$68))+1)))*IF(INDEX(input_xe_tham_chieu!$F$2:$F$6,MATCH($D$68,input_xe_tham_chieu!$A$2:$A$6,0)),INDEX(boss_input_vu_khi_suy_ra!$G$2:$G$71,MATCH($C$68,boss_input_vu_khi_suy_ra!$A$2:$A$71,0)),INDEX(boss_input_vu_khi_suy_ra!$F$2:$F$71,MATCH($C$68,boss_input_vu_khi_suy_ra!$A$2:$A$71,0))),0)</f>
        <v/>
      </c>
      <c r="G68" t="n">
        <v>1.5</v>
      </c>
      <c r="H68">
        <f>INDEX(boss_input_vu_khi!$B$2:$B$71,MATCH($C$68,boss_input_vu_khi!$A$2:$A$71,0))*INDEX(Boss_dps!$D$2:$D$32,MATCH($B$68,Boss_dps!$A$2:$A$32,0))*IF(INDEX(boss_input_vu_khi!$D$2:$D$71,MATCH($C$68,boss_input_vu_khi!$A$2:$A$71,0)),1,INDEX(Boss_dps!$B$2:$B$32,MATCH($B$68,Boss_dps!$A$2:$A$32,0)))*INDEX(Boss_dps!$C$2:$C$32,MATCH($B$68,Boss_dps!$A$2:$A$32,0))*$F$68</f>
        <v/>
      </c>
      <c r="I68" t="n">
        <v>2310</v>
      </c>
      <c r="J68">
        <f>IF($H$68&gt;0,CEILING(INDEX(input_xe_tham_chieu!$C$2:$C$6,MATCH($D$68,input_xe_tham_chieu!$A$2:$A$6,0))/$H$68,1),"")</f>
        <v/>
      </c>
      <c r="K68">
        <f>IF(Boss_vu_khi!$S$63*$F$68&gt;0,INDEX(input_xe_tham_chieu!$C$2:$C$6,MATCH($D$68,input_xe_tham_chieu!$A$2:$A$6,0))/(Boss_vu_khi!$S$63*INDEX(Boss_dps!$D$2:$D$32,MATCH($B$68,Boss_dps!$A$2:$A$32,0))*$F$68),"")</f>
        <v/>
      </c>
      <c r="L68">
        <f>1+2*MIN(2,FLOOR(INDEX(boss_input_vu_khi!$E$2:$E$71,MATCH($C$68,boss_input_vu_khi!$A$2:$A$71,0))/8,1))</f>
        <v/>
      </c>
      <c r="M68">
        <f>1+2*MIN(2,FLOOR(MAX(INDEX(boss_input_vu_khi!$E$2:$E$71,MATCH($C$68,boss_input_vu_khi!$A$2:$A$71,0)),Boss_vu_khi!$L$63)/8,1))</f>
        <v/>
      </c>
      <c r="N68">
        <f>IF(INDEX(boss_input_vu_khi!$E$2:$E$71,MATCH($C$68,boss_input_vu_khi!$A$2:$A$71,0))&gt;=8,5,1)</f>
        <v/>
      </c>
      <c r="O68">
        <f>IF(MAX(INDEX(boss_input_vu_khi!$E$2:$E$71,MATCH($C$68,boss_input_vu_khi!$A$2:$A$71,0)),Boss_vu_khi!$L$63)&gt;=8,5,1)</f>
        <v/>
      </c>
      <c r="P68">
        <f>INDEX(boss_input_vu_khi_suy_ra!$H$2:$H$71,MATCH($C$68,boss_input_vu_khi_suy_ra!$A$2:$A$71,0))</f>
        <v/>
      </c>
      <c r="Q68">
        <f>IF(AND(INDEX(input_xe_tham_chieu!$G$2:$G$6,MATCH($D$68,input_xe_tham_chieu!$A$2:$A$6,0))&gt;0,INDEX(boss_input_vu_khi!$E$2:$E$71,MATCH($C$68,boss_input_vu_khi!$A$2:$A$71,0))&gt;0),INDEX(boss_input_vu_khi!$E$2:$E$71,MATCH($C$68,boss_input_vu_khi!$A$2:$A$71,0))/INDEX(input_xe_tham_chieu!$G$2:$G$6,MATCH($D$68,input_xe_tham_chieu!$A$2:$A$6,0)),"")</f>
        <v/>
      </c>
      <c r="R68">
        <f>IF(ISNUMBER($Q$68),IF($P$68&gt;=$Q$68,"DU","THIEU"),"")</f>
        <v/>
      </c>
      <c r="S68" t="inlineStr">
        <is>
          <t>Assets/MachineBrigade/Resources/Data/balance.json: vehicles[id=fortress_bastion].weapon x 01_chien_dau/Xe_tham_chieu[gun_turret]</t>
        </is>
      </c>
      <c r="T68" t="inlineStr"/>
    </row>
    <row r="69">
      <c r="A69" t="inlineStr">
        <is>
          <t>fortress_bastion/heavy_tank</t>
        </is>
      </c>
      <c r="B69" t="inlineStr">
        <is>
          <t>fortress_bastion</t>
        </is>
      </c>
      <c r="C69" t="inlineStr">
        <is>
          <t>p26_bastion_sec_b240</t>
        </is>
      </c>
      <c r="D69" t="inlineStr">
        <is>
          <t>heavy_tank</t>
        </is>
      </c>
      <c r="E69">
        <f>IF(INDEX(boss_input_vu_khi_suy_ra!$D$2:$D$71,MATCH($C$69,boss_input_vu_khi_suy_ra!$A$2:$A$71,0)),INDEX(input_xe_tham_chieu!$E$2:$E$6,MATCH($D$69,input_xe_tham_chieu!$A$2:$A$6,0)),INDEX(input_xe_tham_chieu!$D$2:$D$6,MATCH($D$69,input_xe_tham_chieu!$A$2:$A$6,0)))</f>
        <v/>
      </c>
      <c r="F69">
        <f>IF(INDEX(boss_input_vu_khi_suy_ra!$E$2:$E$71,MATCH($C$69,boss_input_vu_khi_suy_ra!$A$2:$A$71,0)),INDEX(boss_input_bang_xuyen_giap!$B$2:$B$7,MIN(6,MAX(1,IF(INDEX(boss_input_vu_khi_suy_ra!$D$2:$D$71,MATCH($C$69,boss_input_vu_khi_suy_ra!$A$2:$A$71,0)),MAX(1,2-(INDEX(boss_input_vu_khi!$C$2:$C$71,MATCH($C$69,boss_input_vu_khi!$A$2:$A$71,0))-$E$69)),2-(INDEX(boss_input_vu_khi!$C$2:$C$71,MATCH($C$69,boss_input_vu_khi!$A$2:$A$71,0))-$E$69))+1)))*IF(INDEX(input_xe_tham_chieu!$F$2:$F$6,MATCH($D$69,input_xe_tham_chieu!$A$2:$A$6,0)),INDEX(boss_input_vu_khi_suy_ra!$G$2:$G$71,MATCH($C$69,boss_input_vu_khi_suy_ra!$A$2:$A$71,0)),INDEX(boss_input_vu_khi_suy_ra!$F$2:$F$71,MATCH($C$69,boss_input_vu_khi_suy_ra!$A$2:$A$71,0))),0)</f>
        <v/>
      </c>
      <c r="G69" t="n">
        <v>1</v>
      </c>
      <c r="H69">
        <f>INDEX(boss_input_vu_khi!$B$2:$B$71,MATCH($C$69,boss_input_vu_khi!$A$2:$A$71,0))*INDEX(Boss_dps!$D$2:$D$32,MATCH($B$69,Boss_dps!$A$2:$A$32,0))*IF(INDEX(boss_input_vu_khi!$D$2:$D$71,MATCH($C$69,boss_input_vu_khi!$A$2:$A$71,0)),1,INDEX(Boss_dps!$B$2:$B$32,MATCH($B$69,Boss_dps!$A$2:$A$32,0)))*INDEX(Boss_dps!$C$2:$C$32,MATCH($B$69,Boss_dps!$A$2:$A$32,0))*$F$69</f>
        <v/>
      </c>
      <c r="I69" t="n">
        <v>1540</v>
      </c>
      <c r="J69">
        <f>IF($H$69&gt;0,CEILING(INDEX(input_xe_tham_chieu!$C$2:$C$6,MATCH($D$69,input_xe_tham_chieu!$A$2:$A$6,0))/$H$69,1),"")</f>
        <v/>
      </c>
      <c r="K69">
        <f>IF(Boss_vu_khi!$S$63*$F$69&gt;0,INDEX(input_xe_tham_chieu!$C$2:$C$6,MATCH($D$69,input_xe_tham_chieu!$A$2:$A$6,0))/(Boss_vu_khi!$S$63*INDEX(Boss_dps!$D$2:$D$32,MATCH($B$69,Boss_dps!$A$2:$A$32,0))*$F$69),"")</f>
        <v/>
      </c>
      <c r="L69">
        <f>1+2*MIN(2,FLOOR(INDEX(boss_input_vu_khi!$E$2:$E$71,MATCH($C$69,boss_input_vu_khi!$A$2:$A$71,0))/8,1))</f>
        <v/>
      </c>
      <c r="M69">
        <f>1+2*MIN(2,FLOOR(MAX(INDEX(boss_input_vu_khi!$E$2:$E$71,MATCH($C$69,boss_input_vu_khi!$A$2:$A$71,0)),Boss_vu_khi!$L$63)/8,1))</f>
        <v/>
      </c>
      <c r="N69">
        <f>IF(INDEX(boss_input_vu_khi!$E$2:$E$71,MATCH($C$69,boss_input_vu_khi!$A$2:$A$71,0))&gt;=8,5,1)</f>
        <v/>
      </c>
      <c r="O69">
        <f>IF(MAX(INDEX(boss_input_vu_khi!$E$2:$E$71,MATCH($C$69,boss_input_vu_khi!$A$2:$A$71,0)),Boss_vu_khi!$L$63)&gt;=8,5,1)</f>
        <v/>
      </c>
      <c r="P69">
        <f>INDEX(boss_input_vu_khi_suy_ra!$H$2:$H$71,MATCH($C$69,boss_input_vu_khi_suy_ra!$A$2:$A$71,0))</f>
        <v/>
      </c>
      <c r="Q69">
        <f>IF(AND(INDEX(input_xe_tham_chieu!$G$2:$G$6,MATCH($D$69,input_xe_tham_chieu!$A$2:$A$6,0))&gt;0,INDEX(boss_input_vu_khi!$E$2:$E$71,MATCH($C$69,boss_input_vu_khi!$A$2:$A$71,0))&gt;0),INDEX(boss_input_vu_khi!$E$2:$E$71,MATCH($C$69,boss_input_vu_khi!$A$2:$A$71,0))/INDEX(input_xe_tham_chieu!$G$2:$G$6,MATCH($D$69,input_xe_tham_chieu!$A$2:$A$6,0)),"")</f>
        <v/>
      </c>
      <c r="R69">
        <f>IF(ISNUMBER($Q$69),IF($P$69&gt;=$Q$69,"DU","THIEU"),"")</f>
        <v/>
      </c>
      <c r="S69" t="inlineStr">
        <is>
          <t>Assets/MachineBrigade/Resources/Data/balance.json: vehicles[id=fortress_bastion].weapon x 01_chien_dau/Xe_tham_chieu[heavy_tank]</t>
        </is>
      </c>
      <c r="T69" t="inlineStr"/>
    </row>
    <row r="70">
      <c r="A70" t="inlineStr">
        <is>
          <t>fortress_bastion/ifv</t>
        </is>
      </c>
      <c r="B70" t="inlineStr">
        <is>
          <t>fortress_bastion</t>
        </is>
      </c>
      <c r="C70" t="inlineStr">
        <is>
          <t>p26_bastion_sec_b240</t>
        </is>
      </c>
      <c r="D70" t="inlineStr">
        <is>
          <t>ifv</t>
        </is>
      </c>
      <c r="E70">
        <f>IF(INDEX(boss_input_vu_khi_suy_ra!$D$2:$D$71,MATCH($C$70,boss_input_vu_khi_suy_ra!$A$2:$A$71,0)),INDEX(input_xe_tham_chieu!$E$2:$E$6,MATCH($D$70,input_xe_tham_chieu!$A$2:$A$6,0)),INDEX(input_xe_tham_chieu!$D$2:$D$6,MATCH($D$70,input_xe_tham_chieu!$A$2:$A$6,0)))</f>
        <v/>
      </c>
      <c r="F70">
        <f>IF(INDEX(boss_input_vu_khi_suy_ra!$E$2:$E$71,MATCH($C$70,boss_input_vu_khi_suy_ra!$A$2:$A$71,0)),INDEX(boss_input_bang_xuyen_giap!$B$2:$B$7,MIN(6,MAX(1,IF(INDEX(boss_input_vu_khi_suy_ra!$D$2:$D$71,MATCH($C$70,boss_input_vu_khi_suy_ra!$A$2:$A$71,0)),MAX(1,2-(INDEX(boss_input_vu_khi!$C$2:$C$71,MATCH($C$70,boss_input_vu_khi!$A$2:$A$71,0))-$E$70)),2-(INDEX(boss_input_vu_khi!$C$2:$C$71,MATCH($C$70,boss_input_vu_khi!$A$2:$A$71,0))-$E$70))+1)))*IF(INDEX(input_xe_tham_chieu!$F$2:$F$6,MATCH($D$70,input_xe_tham_chieu!$A$2:$A$6,0)),INDEX(boss_input_vu_khi_suy_ra!$G$2:$G$71,MATCH($C$70,boss_input_vu_khi_suy_ra!$A$2:$A$71,0)),INDEX(boss_input_vu_khi_suy_ra!$F$2:$F$71,MATCH($C$70,boss_input_vu_khi_suy_ra!$A$2:$A$71,0))),0)</f>
        <v/>
      </c>
      <c r="G70" t="n">
        <v>1</v>
      </c>
      <c r="H70">
        <f>INDEX(boss_input_vu_khi!$B$2:$B$71,MATCH($C$70,boss_input_vu_khi!$A$2:$A$71,0))*INDEX(Boss_dps!$D$2:$D$32,MATCH($B$70,Boss_dps!$A$2:$A$32,0))*IF(INDEX(boss_input_vu_khi!$D$2:$D$71,MATCH($C$70,boss_input_vu_khi!$A$2:$A$71,0)),1,INDEX(Boss_dps!$B$2:$B$32,MATCH($B$70,Boss_dps!$A$2:$A$32,0)))*INDEX(Boss_dps!$C$2:$C$32,MATCH($B$70,Boss_dps!$A$2:$A$32,0))*$F$70</f>
        <v/>
      </c>
      <c r="I70" t="n">
        <v>1540</v>
      </c>
      <c r="J70">
        <f>IF($H$70&gt;0,CEILING(INDEX(input_xe_tham_chieu!$C$2:$C$6,MATCH($D$70,input_xe_tham_chieu!$A$2:$A$6,0))/$H$70,1),"")</f>
        <v/>
      </c>
      <c r="K70">
        <f>IF(Boss_vu_khi!$S$63*$F$70&gt;0,INDEX(input_xe_tham_chieu!$C$2:$C$6,MATCH($D$70,input_xe_tham_chieu!$A$2:$A$6,0))/(Boss_vu_khi!$S$63*INDEX(Boss_dps!$D$2:$D$32,MATCH($B$70,Boss_dps!$A$2:$A$32,0))*$F$70),"")</f>
        <v/>
      </c>
      <c r="L70">
        <f>1+2*MIN(2,FLOOR(INDEX(boss_input_vu_khi!$E$2:$E$71,MATCH($C$70,boss_input_vu_khi!$A$2:$A$71,0))/8,1))</f>
        <v/>
      </c>
      <c r="M70">
        <f>1+2*MIN(2,FLOOR(MAX(INDEX(boss_input_vu_khi!$E$2:$E$71,MATCH($C$70,boss_input_vu_khi!$A$2:$A$71,0)),Boss_vu_khi!$L$63)/8,1))</f>
        <v/>
      </c>
      <c r="N70">
        <f>IF(INDEX(boss_input_vu_khi!$E$2:$E$71,MATCH($C$70,boss_input_vu_khi!$A$2:$A$71,0))&gt;=8,5,1)</f>
        <v/>
      </c>
      <c r="O70">
        <f>IF(MAX(INDEX(boss_input_vu_khi!$E$2:$E$71,MATCH($C$70,boss_input_vu_khi!$A$2:$A$71,0)),Boss_vu_khi!$L$63)&gt;=8,5,1)</f>
        <v/>
      </c>
      <c r="P70">
        <f>INDEX(boss_input_vu_khi_suy_ra!$H$2:$H$71,MATCH($C$70,boss_input_vu_khi_suy_ra!$A$2:$A$71,0))</f>
        <v/>
      </c>
      <c r="Q70">
        <f>IF(AND(INDEX(input_xe_tham_chieu!$G$2:$G$6,MATCH($D$70,input_xe_tham_chieu!$A$2:$A$6,0))&gt;0,INDEX(boss_input_vu_khi!$E$2:$E$71,MATCH($C$70,boss_input_vu_khi!$A$2:$A$71,0))&gt;0),INDEX(boss_input_vu_khi!$E$2:$E$71,MATCH($C$70,boss_input_vu_khi!$A$2:$A$71,0))/INDEX(input_xe_tham_chieu!$G$2:$G$6,MATCH($D$70,input_xe_tham_chieu!$A$2:$A$6,0)),"")</f>
        <v/>
      </c>
      <c r="R70">
        <f>IF(ISNUMBER($Q$70),IF($P$70&gt;=$Q$70,"DU","THIEU"),"")</f>
        <v/>
      </c>
      <c r="S70" t="inlineStr">
        <is>
          <t>Assets/MachineBrigade/Resources/Data/balance.json: vehicles[id=fortress_bastion].weapon x 01_chien_dau/Xe_tham_chieu[ifv]</t>
        </is>
      </c>
      <c r="T70" t="inlineStr"/>
    </row>
    <row r="71">
      <c r="A71" t="inlineStr">
        <is>
          <t>fortress_bastion/main_battle_tank</t>
        </is>
      </c>
      <c r="B71" t="inlineStr">
        <is>
          <t>fortress_bastion</t>
        </is>
      </c>
      <c r="C71" t="inlineStr">
        <is>
          <t>p26_bastion_sec_b240</t>
        </is>
      </c>
      <c r="D71" t="inlineStr">
        <is>
          <t>main_battle_tank</t>
        </is>
      </c>
      <c r="E71">
        <f>IF(INDEX(boss_input_vu_khi_suy_ra!$D$2:$D$71,MATCH($C$71,boss_input_vu_khi_suy_ra!$A$2:$A$71,0)),INDEX(input_xe_tham_chieu!$E$2:$E$6,MATCH($D$71,input_xe_tham_chieu!$A$2:$A$6,0)),INDEX(input_xe_tham_chieu!$D$2:$D$6,MATCH($D$71,input_xe_tham_chieu!$A$2:$A$6,0)))</f>
        <v/>
      </c>
      <c r="F71">
        <f>IF(INDEX(boss_input_vu_khi_suy_ra!$E$2:$E$71,MATCH($C$71,boss_input_vu_khi_suy_ra!$A$2:$A$71,0)),INDEX(boss_input_bang_xuyen_giap!$B$2:$B$7,MIN(6,MAX(1,IF(INDEX(boss_input_vu_khi_suy_ra!$D$2:$D$71,MATCH($C$71,boss_input_vu_khi_suy_ra!$A$2:$A$71,0)),MAX(1,2-(INDEX(boss_input_vu_khi!$C$2:$C$71,MATCH($C$71,boss_input_vu_khi!$A$2:$A$71,0))-$E$71)),2-(INDEX(boss_input_vu_khi!$C$2:$C$71,MATCH($C$71,boss_input_vu_khi!$A$2:$A$71,0))-$E$71))+1)))*IF(INDEX(input_xe_tham_chieu!$F$2:$F$6,MATCH($D$71,input_xe_tham_chieu!$A$2:$A$6,0)),INDEX(boss_input_vu_khi_suy_ra!$G$2:$G$71,MATCH($C$71,boss_input_vu_khi_suy_ra!$A$2:$A$71,0)),INDEX(boss_input_vu_khi_suy_ra!$F$2:$F$71,MATCH($C$71,boss_input_vu_khi_suy_ra!$A$2:$A$71,0))),0)</f>
        <v/>
      </c>
      <c r="G71" t="n">
        <v>1</v>
      </c>
      <c r="H71">
        <f>INDEX(boss_input_vu_khi!$B$2:$B$71,MATCH($C$71,boss_input_vu_khi!$A$2:$A$71,0))*INDEX(Boss_dps!$D$2:$D$32,MATCH($B$71,Boss_dps!$A$2:$A$32,0))*IF(INDEX(boss_input_vu_khi!$D$2:$D$71,MATCH($C$71,boss_input_vu_khi!$A$2:$A$71,0)),1,INDEX(Boss_dps!$B$2:$B$32,MATCH($B$71,Boss_dps!$A$2:$A$32,0)))*INDEX(Boss_dps!$C$2:$C$32,MATCH($B$71,Boss_dps!$A$2:$A$32,0))*$F$71</f>
        <v/>
      </c>
      <c r="I71" t="n">
        <v>1540</v>
      </c>
      <c r="J71">
        <f>IF($H$71&gt;0,CEILING(INDEX(input_xe_tham_chieu!$C$2:$C$6,MATCH($D$71,input_xe_tham_chieu!$A$2:$A$6,0))/$H$71,1),"")</f>
        <v/>
      </c>
      <c r="K71">
        <f>IF(Boss_vu_khi!$S$63*$F$71&gt;0,INDEX(input_xe_tham_chieu!$C$2:$C$6,MATCH($D$71,input_xe_tham_chieu!$A$2:$A$6,0))/(Boss_vu_khi!$S$63*INDEX(Boss_dps!$D$2:$D$32,MATCH($B$71,Boss_dps!$A$2:$A$32,0))*$F$71),"")</f>
        <v/>
      </c>
      <c r="L71">
        <f>1+2*MIN(2,FLOOR(INDEX(boss_input_vu_khi!$E$2:$E$71,MATCH($C$71,boss_input_vu_khi!$A$2:$A$71,0))/8,1))</f>
        <v/>
      </c>
      <c r="M71">
        <f>1+2*MIN(2,FLOOR(MAX(INDEX(boss_input_vu_khi!$E$2:$E$71,MATCH($C$71,boss_input_vu_khi!$A$2:$A$71,0)),Boss_vu_khi!$L$63)/8,1))</f>
        <v/>
      </c>
      <c r="N71">
        <f>IF(INDEX(boss_input_vu_khi!$E$2:$E$71,MATCH($C$71,boss_input_vu_khi!$A$2:$A$71,0))&gt;=8,5,1)</f>
        <v/>
      </c>
      <c r="O71">
        <f>IF(MAX(INDEX(boss_input_vu_khi!$E$2:$E$71,MATCH($C$71,boss_input_vu_khi!$A$2:$A$71,0)),Boss_vu_khi!$L$63)&gt;=8,5,1)</f>
        <v/>
      </c>
      <c r="P71">
        <f>INDEX(boss_input_vu_khi_suy_ra!$H$2:$H$71,MATCH($C$71,boss_input_vu_khi_suy_ra!$A$2:$A$71,0))</f>
        <v/>
      </c>
      <c r="Q71">
        <f>IF(AND(INDEX(input_xe_tham_chieu!$G$2:$G$6,MATCH($D$71,input_xe_tham_chieu!$A$2:$A$6,0))&gt;0,INDEX(boss_input_vu_khi!$E$2:$E$71,MATCH($C$71,boss_input_vu_khi!$A$2:$A$71,0))&gt;0),INDEX(boss_input_vu_khi!$E$2:$E$71,MATCH($C$71,boss_input_vu_khi!$A$2:$A$71,0))/INDEX(input_xe_tham_chieu!$G$2:$G$6,MATCH($D$71,input_xe_tham_chieu!$A$2:$A$6,0)),"")</f>
        <v/>
      </c>
      <c r="R71">
        <f>IF(ISNUMBER($Q$71),IF($P$71&gt;=$Q$71,"DU","THIEU"),"")</f>
        <v/>
      </c>
      <c r="S71" t="inlineStr">
        <is>
          <t>Assets/MachineBrigade/Resources/Data/balance.json: vehicles[id=fortress_bastion].weapon x 01_chien_dau/Xe_tham_chieu[main_battle_tank]</t>
        </is>
      </c>
      <c r="T71" t="inlineStr"/>
    </row>
    <row r="72">
      <c r="A72" t="inlineStr">
        <is>
          <t>hydra/armored_car</t>
        </is>
      </c>
      <c r="B72" t="inlineStr">
        <is>
          <t>hydra</t>
        </is>
      </c>
      <c r="C72" t="inlineStr">
        <is>
          <t>p26_typhon_sec_ty57</t>
        </is>
      </c>
      <c r="D72" t="inlineStr">
        <is>
          <t>armored_car</t>
        </is>
      </c>
      <c r="E72">
        <f>IF(INDEX(boss_input_vu_khi_suy_ra!$D$2:$D$71,MATCH($C$72,boss_input_vu_khi_suy_ra!$A$2:$A$71,0)),INDEX(input_xe_tham_chieu!$E$2:$E$6,MATCH($D$72,input_xe_tham_chieu!$A$2:$A$6,0)),INDEX(input_xe_tham_chieu!$D$2:$D$6,MATCH($D$72,input_xe_tham_chieu!$A$2:$A$6,0)))</f>
        <v/>
      </c>
      <c r="F72">
        <f>IF(INDEX(boss_input_vu_khi_suy_ra!$E$2:$E$71,MATCH($C$72,boss_input_vu_khi_suy_ra!$A$2:$A$71,0)),INDEX(boss_input_bang_xuyen_giap!$B$2:$B$7,MIN(6,MAX(1,IF(INDEX(boss_input_vu_khi_suy_ra!$D$2:$D$71,MATCH($C$72,boss_input_vu_khi_suy_ra!$A$2:$A$71,0)),MAX(1,2-(INDEX(boss_input_vu_khi!$C$2:$C$71,MATCH($C$72,boss_input_vu_khi!$A$2:$A$71,0))-$E$72)),2-(INDEX(boss_input_vu_khi!$C$2:$C$71,MATCH($C$72,boss_input_vu_khi!$A$2:$A$71,0))-$E$72))+1)))*IF(INDEX(input_xe_tham_chieu!$F$2:$F$6,MATCH($D$72,input_xe_tham_chieu!$A$2:$A$6,0)),INDEX(boss_input_vu_khi_suy_ra!$G$2:$G$71,MATCH($C$72,boss_input_vu_khi_suy_ra!$A$2:$A$71,0)),INDEX(boss_input_vu_khi_suy_ra!$F$2:$F$71,MATCH($C$72,boss_input_vu_khi_suy_ra!$A$2:$A$71,0))),0)</f>
        <v/>
      </c>
      <c r="G72" t="n">
        <v>1.2</v>
      </c>
      <c r="H72">
        <f>INDEX(boss_input_vu_khi!$B$2:$B$71,MATCH($C$72,boss_input_vu_khi!$A$2:$A$71,0))*INDEX(Boss_dps!$D$2:$D$32,MATCH($B$72,Boss_dps!$A$2:$A$32,0))*IF(INDEX(boss_input_vu_khi!$D$2:$D$71,MATCH($C$72,boss_input_vu_khi!$A$2:$A$71,0)),1,INDEX(Boss_dps!$B$2:$B$32,MATCH($B$72,Boss_dps!$A$2:$A$32,0)))*INDEX(Boss_dps!$C$2:$C$32,MATCH($B$72,Boss_dps!$A$2:$A$32,0))*$F$72</f>
        <v/>
      </c>
      <c r="I72" t="n">
        <v>223.2576</v>
      </c>
      <c r="J72">
        <f>IF($H$72&gt;0,CEILING(INDEX(input_xe_tham_chieu!$C$2:$C$6,MATCH($D$72,input_xe_tham_chieu!$A$2:$A$6,0))/$H$72,1),"")</f>
        <v/>
      </c>
      <c r="K72">
        <f>IF(Boss_vu_khi!$S$74*$F$72&gt;0,INDEX(input_xe_tham_chieu!$C$2:$C$6,MATCH($D$72,input_xe_tham_chieu!$A$2:$A$6,0))/(Boss_vu_khi!$S$74*INDEX(Boss_dps!$D$2:$D$32,MATCH($B$72,Boss_dps!$A$2:$A$32,0))*$F$72),"")</f>
        <v/>
      </c>
      <c r="L72">
        <f>1+2*MIN(2,FLOOR(INDEX(boss_input_vu_khi!$E$2:$E$71,MATCH($C$72,boss_input_vu_khi!$A$2:$A$71,0))/8,1))</f>
        <v/>
      </c>
      <c r="M72">
        <f>1+2*MIN(2,FLOOR(MAX(INDEX(boss_input_vu_khi!$E$2:$E$71,MATCH($C$72,boss_input_vu_khi!$A$2:$A$71,0)),Boss_vu_khi!$L$74)/8,1))</f>
        <v/>
      </c>
      <c r="N72">
        <f>IF(INDEX(boss_input_vu_khi!$E$2:$E$71,MATCH($C$72,boss_input_vu_khi!$A$2:$A$71,0))&gt;=8,5,1)</f>
        <v/>
      </c>
      <c r="O72">
        <f>IF(MAX(INDEX(boss_input_vu_khi!$E$2:$E$71,MATCH($C$72,boss_input_vu_khi!$A$2:$A$71,0)),Boss_vu_khi!$L$74)&gt;=8,5,1)</f>
        <v/>
      </c>
      <c r="P72">
        <f>INDEX(boss_input_vu_khi_suy_ra!$H$2:$H$71,MATCH($C$72,boss_input_vu_khi_suy_ra!$A$2:$A$71,0))</f>
        <v/>
      </c>
      <c r="Q72">
        <f>IF(AND(INDEX(input_xe_tham_chieu!$G$2:$G$6,MATCH($D$72,input_xe_tham_chieu!$A$2:$A$6,0))&gt;0,INDEX(boss_input_vu_khi!$E$2:$E$71,MATCH($C$72,boss_input_vu_khi!$A$2:$A$71,0))&gt;0),INDEX(boss_input_vu_khi!$E$2:$E$71,MATCH($C$72,boss_input_vu_khi!$A$2:$A$71,0))/INDEX(input_xe_tham_chieu!$G$2:$G$6,MATCH($D$72,input_xe_tham_chieu!$A$2:$A$6,0)),"")</f>
        <v/>
      </c>
      <c r="R72">
        <f>IF(ISNUMBER($Q$72),IF($P$72&gt;=$Q$72,"DU","THIEU"),"")</f>
        <v/>
      </c>
      <c r="S72" t="inlineStr">
        <is>
          <t>Assets/MachineBrigade/Resources/Data/balance.json: vehicles[id=hydra].weapon x 01_chien_dau/Xe_tham_chieu[armored_car]</t>
        </is>
      </c>
      <c r="T72" t="inlineStr"/>
    </row>
    <row r="73">
      <c r="A73" t="inlineStr">
        <is>
          <t>hydra/gun_turret</t>
        </is>
      </c>
      <c r="B73" t="inlineStr">
        <is>
          <t>hydra</t>
        </is>
      </c>
      <c r="C73" t="inlineStr">
        <is>
          <t>p26_typhon_sec_ty57</t>
        </is>
      </c>
      <c r="D73" t="inlineStr">
        <is>
          <t>gun_turret</t>
        </is>
      </c>
      <c r="E73">
        <f>IF(INDEX(boss_input_vu_khi_suy_ra!$D$2:$D$71,MATCH($C$73,boss_input_vu_khi_suy_ra!$A$2:$A$71,0)),INDEX(input_xe_tham_chieu!$E$2:$E$6,MATCH($D$73,input_xe_tham_chieu!$A$2:$A$6,0)),INDEX(input_xe_tham_chieu!$D$2:$D$6,MATCH($D$73,input_xe_tham_chieu!$A$2:$A$6,0)))</f>
        <v/>
      </c>
      <c r="F73">
        <f>IF(INDEX(boss_input_vu_khi_suy_ra!$E$2:$E$71,MATCH($C$73,boss_input_vu_khi_suy_ra!$A$2:$A$71,0)),INDEX(boss_input_bang_xuyen_giap!$B$2:$B$7,MIN(6,MAX(1,IF(INDEX(boss_input_vu_khi_suy_ra!$D$2:$D$71,MATCH($C$73,boss_input_vu_khi_suy_ra!$A$2:$A$71,0)),MAX(1,2-(INDEX(boss_input_vu_khi!$C$2:$C$71,MATCH($C$73,boss_input_vu_khi!$A$2:$A$71,0))-$E$73)),2-(INDEX(boss_input_vu_khi!$C$2:$C$71,MATCH($C$73,boss_input_vu_khi!$A$2:$A$71,0))-$E$73))+1)))*IF(INDEX(input_xe_tham_chieu!$F$2:$F$6,MATCH($D$73,input_xe_tham_chieu!$A$2:$A$6,0)),INDEX(boss_input_vu_khi_suy_ra!$G$2:$G$71,MATCH($C$73,boss_input_vu_khi_suy_ra!$A$2:$A$71,0)),INDEX(boss_input_vu_khi_suy_ra!$F$2:$F$71,MATCH($C$73,boss_input_vu_khi_suy_ra!$A$2:$A$71,0))),0)</f>
        <v/>
      </c>
      <c r="G73" t="n">
        <v>1.275</v>
      </c>
      <c r="H73">
        <f>INDEX(boss_input_vu_khi!$B$2:$B$71,MATCH($C$73,boss_input_vu_khi!$A$2:$A$71,0))*INDEX(Boss_dps!$D$2:$D$32,MATCH($B$73,Boss_dps!$A$2:$A$32,0))*IF(INDEX(boss_input_vu_khi!$D$2:$D$71,MATCH($C$73,boss_input_vu_khi!$A$2:$A$71,0)),1,INDEX(Boss_dps!$B$2:$B$32,MATCH($B$73,Boss_dps!$A$2:$A$32,0)))*INDEX(Boss_dps!$C$2:$C$32,MATCH($B$73,Boss_dps!$A$2:$A$32,0))*$F$73</f>
        <v/>
      </c>
      <c r="I73" t="n">
        <v>237.2112</v>
      </c>
      <c r="J73">
        <f>IF($H$73&gt;0,CEILING(INDEX(input_xe_tham_chieu!$C$2:$C$6,MATCH($D$73,input_xe_tham_chieu!$A$2:$A$6,0))/$H$73,1),"")</f>
        <v/>
      </c>
      <c r="K73">
        <f>IF(Boss_vu_khi!$S$74*$F$73&gt;0,INDEX(input_xe_tham_chieu!$C$2:$C$6,MATCH($D$73,input_xe_tham_chieu!$A$2:$A$6,0))/(Boss_vu_khi!$S$74*INDEX(Boss_dps!$D$2:$D$32,MATCH($B$73,Boss_dps!$A$2:$A$32,0))*$F$73),"")</f>
        <v/>
      </c>
      <c r="L73">
        <f>1+2*MIN(2,FLOOR(INDEX(boss_input_vu_khi!$E$2:$E$71,MATCH($C$73,boss_input_vu_khi!$A$2:$A$71,0))/8,1))</f>
        <v/>
      </c>
      <c r="M73">
        <f>1+2*MIN(2,FLOOR(MAX(INDEX(boss_input_vu_khi!$E$2:$E$71,MATCH($C$73,boss_input_vu_khi!$A$2:$A$71,0)),Boss_vu_khi!$L$74)/8,1))</f>
        <v/>
      </c>
      <c r="N73">
        <f>IF(INDEX(boss_input_vu_khi!$E$2:$E$71,MATCH($C$73,boss_input_vu_khi!$A$2:$A$71,0))&gt;=8,5,1)</f>
        <v/>
      </c>
      <c r="O73">
        <f>IF(MAX(INDEX(boss_input_vu_khi!$E$2:$E$71,MATCH($C$73,boss_input_vu_khi!$A$2:$A$71,0)),Boss_vu_khi!$L$74)&gt;=8,5,1)</f>
        <v/>
      </c>
      <c r="P73">
        <f>INDEX(boss_input_vu_khi_suy_ra!$H$2:$H$71,MATCH($C$73,boss_input_vu_khi_suy_ra!$A$2:$A$71,0))</f>
        <v/>
      </c>
      <c r="Q73">
        <f>IF(AND(INDEX(input_xe_tham_chieu!$G$2:$G$6,MATCH($D$73,input_xe_tham_chieu!$A$2:$A$6,0))&gt;0,INDEX(boss_input_vu_khi!$E$2:$E$71,MATCH($C$73,boss_input_vu_khi!$A$2:$A$71,0))&gt;0),INDEX(boss_input_vu_khi!$E$2:$E$71,MATCH($C$73,boss_input_vu_khi!$A$2:$A$71,0))/INDEX(input_xe_tham_chieu!$G$2:$G$6,MATCH($D$73,input_xe_tham_chieu!$A$2:$A$6,0)),"")</f>
        <v/>
      </c>
      <c r="R73">
        <f>IF(ISNUMBER($Q$73),IF($P$73&gt;=$Q$73,"DU","THIEU"),"")</f>
        <v/>
      </c>
      <c r="S73" t="inlineStr">
        <is>
          <t>Assets/MachineBrigade/Resources/Data/balance.json: vehicles[id=hydra].weapon x 01_chien_dau/Xe_tham_chieu[gun_turret]</t>
        </is>
      </c>
      <c r="T73" t="inlineStr"/>
    </row>
    <row r="74">
      <c r="A74" t="inlineStr">
        <is>
          <t>hydra/heavy_tank</t>
        </is>
      </c>
      <c r="B74" t="inlineStr">
        <is>
          <t>hydra</t>
        </is>
      </c>
      <c r="C74" t="inlineStr">
        <is>
          <t>p26_typhon_sec_ty57</t>
        </is>
      </c>
      <c r="D74" t="inlineStr">
        <is>
          <t>heavy_tank</t>
        </is>
      </c>
      <c r="E74">
        <f>IF(INDEX(boss_input_vu_khi_suy_ra!$D$2:$D$71,MATCH($C$74,boss_input_vu_khi_suy_ra!$A$2:$A$71,0)),INDEX(input_xe_tham_chieu!$E$2:$E$6,MATCH($D$74,input_xe_tham_chieu!$A$2:$A$6,0)),INDEX(input_xe_tham_chieu!$D$2:$D$6,MATCH($D$74,input_xe_tham_chieu!$A$2:$A$6,0)))</f>
        <v/>
      </c>
      <c r="F74">
        <f>IF(INDEX(boss_input_vu_khi_suy_ra!$E$2:$E$71,MATCH($C$74,boss_input_vu_khi_suy_ra!$A$2:$A$71,0)),INDEX(boss_input_bang_xuyen_giap!$B$2:$B$7,MIN(6,MAX(1,IF(INDEX(boss_input_vu_khi_suy_ra!$D$2:$D$71,MATCH($C$74,boss_input_vu_khi_suy_ra!$A$2:$A$71,0)),MAX(1,2-(INDEX(boss_input_vu_khi!$C$2:$C$71,MATCH($C$74,boss_input_vu_khi!$A$2:$A$71,0))-$E$74)),2-(INDEX(boss_input_vu_khi!$C$2:$C$71,MATCH($C$74,boss_input_vu_khi!$A$2:$A$71,0))-$E$74))+1)))*IF(INDEX(input_xe_tham_chieu!$F$2:$F$6,MATCH($D$74,input_xe_tham_chieu!$A$2:$A$6,0)),INDEX(boss_input_vu_khi_suy_ra!$G$2:$G$71,MATCH($C$74,boss_input_vu_khi_suy_ra!$A$2:$A$71,0)),INDEX(boss_input_vu_khi_suy_ra!$F$2:$F$71,MATCH($C$74,boss_input_vu_khi_suy_ra!$A$2:$A$71,0))),0)</f>
        <v/>
      </c>
      <c r="G74" t="n">
        <v>0.5</v>
      </c>
      <c r="H74">
        <f>INDEX(boss_input_vu_khi!$B$2:$B$71,MATCH($C$74,boss_input_vu_khi!$A$2:$A$71,0))*INDEX(Boss_dps!$D$2:$D$32,MATCH($B$74,Boss_dps!$A$2:$A$32,0))*IF(INDEX(boss_input_vu_khi!$D$2:$D$71,MATCH($C$74,boss_input_vu_khi!$A$2:$A$71,0)),1,INDEX(Boss_dps!$B$2:$B$32,MATCH($B$74,Boss_dps!$A$2:$A$32,0)))*INDEX(Boss_dps!$C$2:$C$32,MATCH($B$74,Boss_dps!$A$2:$A$32,0))*$F$74</f>
        <v/>
      </c>
      <c r="I74" t="n">
        <v>93.024</v>
      </c>
      <c r="J74">
        <f>IF($H$74&gt;0,CEILING(INDEX(input_xe_tham_chieu!$C$2:$C$6,MATCH($D$74,input_xe_tham_chieu!$A$2:$A$6,0))/$H$74,1),"")</f>
        <v/>
      </c>
      <c r="K74">
        <f>IF(Boss_vu_khi!$S$74*$F$74&gt;0,INDEX(input_xe_tham_chieu!$C$2:$C$6,MATCH($D$74,input_xe_tham_chieu!$A$2:$A$6,0))/(Boss_vu_khi!$S$74*INDEX(Boss_dps!$D$2:$D$32,MATCH($B$74,Boss_dps!$A$2:$A$32,0))*$F$74),"")</f>
        <v/>
      </c>
      <c r="L74">
        <f>1+2*MIN(2,FLOOR(INDEX(boss_input_vu_khi!$E$2:$E$71,MATCH($C$74,boss_input_vu_khi!$A$2:$A$71,0))/8,1))</f>
        <v/>
      </c>
      <c r="M74">
        <f>1+2*MIN(2,FLOOR(MAX(INDEX(boss_input_vu_khi!$E$2:$E$71,MATCH($C$74,boss_input_vu_khi!$A$2:$A$71,0)),Boss_vu_khi!$L$74)/8,1))</f>
        <v/>
      </c>
      <c r="N74">
        <f>IF(INDEX(boss_input_vu_khi!$E$2:$E$71,MATCH($C$74,boss_input_vu_khi!$A$2:$A$71,0))&gt;=8,5,1)</f>
        <v/>
      </c>
      <c r="O74">
        <f>IF(MAX(INDEX(boss_input_vu_khi!$E$2:$E$71,MATCH($C$74,boss_input_vu_khi!$A$2:$A$71,0)),Boss_vu_khi!$L$74)&gt;=8,5,1)</f>
        <v/>
      </c>
      <c r="P74">
        <f>INDEX(boss_input_vu_khi_suy_ra!$H$2:$H$71,MATCH($C$74,boss_input_vu_khi_suy_ra!$A$2:$A$71,0))</f>
        <v/>
      </c>
      <c r="Q74">
        <f>IF(AND(INDEX(input_xe_tham_chieu!$G$2:$G$6,MATCH($D$74,input_xe_tham_chieu!$A$2:$A$6,0))&gt;0,INDEX(boss_input_vu_khi!$E$2:$E$71,MATCH($C$74,boss_input_vu_khi!$A$2:$A$71,0))&gt;0),INDEX(boss_input_vu_khi!$E$2:$E$71,MATCH($C$74,boss_input_vu_khi!$A$2:$A$71,0))/INDEX(input_xe_tham_chieu!$G$2:$G$6,MATCH($D$74,input_xe_tham_chieu!$A$2:$A$6,0)),"")</f>
        <v/>
      </c>
      <c r="R74">
        <f>IF(ISNUMBER($Q$74),IF($P$74&gt;=$Q$74,"DU","THIEU"),"")</f>
        <v/>
      </c>
      <c r="S74" t="inlineStr">
        <is>
          <t>Assets/MachineBrigade/Resources/Data/balance.json: vehicles[id=hydra].weapon x 01_chien_dau/Xe_tham_chieu[heavy_tank]</t>
        </is>
      </c>
      <c r="T74" t="inlineStr"/>
    </row>
    <row r="75">
      <c r="A75" t="inlineStr">
        <is>
          <t>hydra/ifv</t>
        </is>
      </c>
      <c r="B75" t="inlineStr">
        <is>
          <t>hydra</t>
        </is>
      </c>
      <c r="C75" t="inlineStr">
        <is>
          <t>p26_typhon_sec_ty57</t>
        </is>
      </c>
      <c r="D75" t="inlineStr">
        <is>
          <t>ifv</t>
        </is>
      </c>
      <c r="E75">
        <f>IF(INDEX(boss_input_vu_khi_suy_ra!$D$2:$D$71,MATCH($C$75,boss_input_vu_khi_suy_ra!$A$2:$A$71,0)),INDEX(input_xe_tham_chieu!$E$2:$E$6,MATCH($D$75,input_xe_tham_chieu!$A$2:$A$6,0)),INDEX(input_xe_tham_chieu!$D$2:$D$6,MATCH($D$75,input_xe_tham_chieu!$A$2:$A$6,0)))</f>
        <v/>
      </c>
      <c r="F75">
        <f>IF(INDEX(boss_input_vu_khi_suy_ra!$E$2:$E$71,MATCH($C$75,boss_input_vu_khi_suy_ra!$A$2:$A$71,0)),INDEX(boss_input_bang_xuyen_giap!$B$2:$B$7,MIN(6,MAX(1,IF(INDEX(boss_input_vu_khi_suy_ra!$D$2:$D$71,MATCH($C$75,boss_input_vu_khi_suy_ra!$A$2:$A$71,0)),MAX(1,2-(INDEX(boss_input_vu_khi!$C$2:$C$71,MATCH($C$75,boss_input_vu_khi!$A$2:$A$71,0))-$E$75)),2-(INDEX(boss_input_vu_khi!$C$2:$C$71,MATCH($C$75,boss_input_vu_khi!$A$2:$A$71,0))-$E$75))+1)))*IF(INDEX(input_xe_tham_chieu!$F$2:$F$6,MATCH($D$75,input_xe_tham_chieu!$A$2:$A$6,0)),INDEX(boss_input_vu_khi_suy_ra!$G$2:$G$71,MATCH($C$75,boss_input_vu_khi_suy_ra!$A$2:$A$71,0)),INDEX(boss_input_vu_khi_suy_ra!$F$2:$F$71,MATCH($C$75,boss_input_vu_khi_suy_ra!$A$2:$A$71,0))),0)</f>
        <v/>
      </c>
      <c r="G75" t="n">
        <v>1</v>
      </c>
      <c r="H75">
        <f>INDEX(boss_input_vu_khi!$B$2:$B$71,MATCH($C$75,boss_input_vu_khi!$A$2:$A$71,0))*INDEX(Boss_dps!$D$2:$D$32,MATCH($B$75,Boss_dps!$A$2:$A$32,0))*IF(INDEX(boss_input_vu_khi!$D$2:$D$71,MATCH($C$75,boss_input_vu_khi!$A$2:$A$71,0)),1,INDEX(Boss_dps!$B$2:$B$32,MATCH($B$75,Boss_dps!$A$2:$A$32,0)))*INDEX(Boss_dps!$C$2:$C$32,MATCH($B$75,Boss_dps!$A$2:$A$32,0))*$F$75</f>
        <v/>
      </c>
      <c r="I75" t="n">
        <v>186.048</v>
      </c>
      <c r="J75">
        <f>IF($H$75&gt;0,CEILING(INDEX(input_xe_tham_chieu!$C$2:$C$6,MATCH($D$75,input_xe_tham_chieu!$A$2:$A$6,0))/$H$75,1),"")</f>
        <v/>
      </c>
      <c r="K75">
        <f>IF(Boss_vu_khi!$S$74*$F$75&gt;0,INDEX(input_xe_tham_chieu!$C$2:$C$6,MATCH($D$75,input_xe_tham_chieu!$A$2:$A$6,0))/(Boss_vu_khi!$S$74*INDEX(Boss_dps!$D$2:$D$32,MATCH($B$75,Boss_dps!$A$2:$A$32,0))*$F$75),"")</f>
        <v/>
      </c>
      <c r="L75">
        <f>1+2*MIN(2,FLOOR(INDEX(boss_input_vu_khi!$E$2:$E$71,MATCH($C$75,boss_input_vu_khi!$A$2:$A$71,0))/8,1))</f>
        <v/>
      </c>
      <c r="M75">
        <f>1+2*MIN(2,FLOOR(MAX(INDEX(boss_input_vu_khi!$E$2:$E$71,MATCH($C$75,boss_input_vu_khi!$A$2:$A$71,0)),Boss_vu_khi!$L$74)/8,1))</f>
        <v/>
      </c>
      <c r="N75">
        <f>IF(INDEX(boss_input_vu_khi!$E$2:$E$71,MATCH($C$75,boss_input_vu_khi!$A$2:$A$71,0))&gt;=8,5,1)</f>
        <v/>
      </c>
      <c r="O75">
        <f>IF(MAX(INDEX(boss_input_vu_khi!$E$2:$E$71,MATCH($C$75,boss_input_vu_khi!$A$2:$A$71,0)),Boss_vu_khi!$L$74)&gt;=8,5,1)</f>
        <v/>
      </c>
      <c r="P75">
        <f>INDEX(boss_input_vu_khi_suy_ra!$H$2:$H$71,MATCH($C$75,boss_input_vu_khi_suy_ra!$A$2:$A$71,0))</f>
        <v/>
      </c>
      <c r="Q75">
        <f>IF(AND(INDEX(input_xe_tham_chieu!$G$2:$G$6,MATCH($D$75,input_xe_tham_chieu!$A$2:$A$6,0))&gt;0,INDEX(boss_input_vu_khi!$E$2:$E$71,MATCH($C$75,boss_input_vu_khi!$A$2:$A$71,0))&gt;0),INDEX(boss_input_vu_khi!$E$2:$E$71,MATCH($C$75,boss_input_vu_khi!$A$2:$A$71,0))/INDEX(input_xe_tham_chieu!$G$2:$G$6,MATCH($D$75,input_xe_tham_chieu!$A$2:$A$6,0)),"")</f>
        <v/>
      </c>
      <c r="R75">
        <f>IF(ISNUMBER($Q$75),IF($P$75&gt;=$Q$75,"DU","THIEU"),"")</f>
        <v/>
      </c>
      <c r="S75" t="inlineStr">
        <is>
          <t>Assets/MachineBrigade/Resources/Data/balance.json: vehicles[id=hydra].weapon x 01_chien_dau/Xe_tham_chieu[ifv]</t>
        </is>
      </c>
      <c r="T75" t="inlineStr"/>
    </row>
    <row r="76">
      <c r="A76" t="inlineStr">
        <is>
          <t>hydra/main_battle_tank</t>
        </is>
      </c>
      <c r="B76" t="inlineStr">
        <is>
          <t>hydra</t>
        </is>
      </c>
      <c r="C76" t="inlineStr">
        <is>
          <t>p26_typhon_sec_ty57</t>
        </is>
      </c>
      <c r="D76" t="inlineStr">
        <is>
          <t>main_battle_tank</t>
        </is>
      </c>
      <c r="E76">
        <f>IF(INDEX(boss_input_vu_khi_suy_ra!$D$2:$D$71,MATCH($C$76,boss_input_vu_khi_suy_ra!$A$2:$A$71,0)),INDEX(input_xe_tham_chieu!$E$2:$E$6,MATCH($D$76,input_xe_tham_chieu!$A$2:$A$6,0)),INDEX(input_xe_tham_chieu!$D$2:$D$6,MATCH($D$76,input_xe_tham_chieu!$A$2:$A$6,0)))</f>
        <v/>
      </c>
      <c r="F76">
        <f>IF(INDEX(boss_input_vu_khi_suy_ra!$E$2:$E$71,MATCH($C$76,boss_input_vu_khi_suy_ra!$A$2:$A$71,0)),INDEX(boss_input_bang_xuyen_giap!$B$2:$B$7,MIN(6,MAX(1,IF(INDEX(boss_input_vu_khi_suy_ra!$D$2:$D$71,MATCH($C$76,boss_input_vu_khi_suy_ra!$A$2:$A$71,0)),MAX(1,2-(INDEX(boss_input_vu_khi!$C$2:$C$71,MATCH($C$76,boss_input_vu_khi!$A$2:$A$71,0))-$E$76)),2-(INDEX(boss_input_vu_khi!$C$2:$C$71,MATCH($C$76,boss_input_vu_khi!$A$2:$A$71,0))-$E$76))+1)))*IF(INDEX(input_xe_tham_chieu!$F$2:$F$6,MATCH($D$76,input_xe_tham_chieu!$A$2:$A$6,0)),INDEX(boss_input_vu_khi_suy_ra!$G$2:$G$71,MATCH($C$76,boss_input_vu_khi_suy_ra!$A$2:$A$71,0)),INDEX(boss_input_vu_khi_suy_ra!$F$2:$F$71,MATCH($C$76,boss_input_vu_khi_suy_ra!$A$2:$A$71,0))),0)</f>
        <v/>
      </c>
      <c r="G76" t="n">
        <v>0.5</v>
      </c>
      <c r="H76">
        <f>INDEX(boss_input_vu_khi!$B$2:$B$71,MATCH($C$76,boss_input_vu_khi!$A$2:$A$71,0))*INDEX(Boss_dps!$D$2:$D$32,MATCH($B$76,Boss_dps!$A$2:$A$32,0))*IF(INDEX(boss_input_vu_khi!$D$2:$D$71,MATCH($C$76,boss_input_vu_khi!$A$2:$A$71,0)),1,INDEX(Boss_dps!$B$2:$B$32,MATCH($B$76,Boss_dps!$A$2:$A$32,0)))*INDEX(Boss_dps!$C$2:$C$32,MATCH($B$76,Boss_dps!$A$2:$A$32,0))*$F$76</f>
        <v/>
      </c>
      <c r="I76" t="n">
        <v>93.024</v>
      </c>
      <c r="J76">
        <f>IF($H$76&gt;0,CEILING(INDEX(input_xe_tham_chieu!$C$2:$C$6,MATCH($D$76,input_xe_tham_chieu!$A$2:$A$6,0))/$H$76,1),"")</f>
        <v/>
      </c>
      <c r="K76">
        <f>IF(Boss_vu_khi!$S$74*$F$76&gt;0,INDEX(input_xe_tham_chieu!$C$2:$C$6,MATCH($D$76,input_xe_tham_chieu!$A$2:$A$6,0))/(Boss_vu_khi!$S$74*INDEX(Boss_dps!$D$2:$D$32,MATCH($B$76,Boss_dps!$A$2:$A$32,0))*$F$76),"")</f>
        <v/>
      </c>
      <c r="L76">
        <f>1+2*MIN(2,FLOOR(INDEX(boss_input_vu_khi!$E$2:$E$71,MATCH($C$76,boss_input_vu_khi!$A$2:$A$71,0))/8,1))</f>
        <v/>
      </c>
      <c r="M76">
        <f>1+2*MIN(2,FLOOR(MAX(INDEX(boss_input_vu_khi!$E$2:$E$71,MATCH($C$76,boss_input_vu_khi!$A$2:$A$71,0)),Boss_vu_khi!$L$74)/8,1))</f>
        <v/>
      </c>
      <c r="N76">
        <f>IF(INDEX(boss_input_vu_khi!$E$2:$E$71,MATCH($C$76,boss_input_vu_khi!$A$2:$A$71,0))&gt;=8,5,1)</f>
        <v/>
      </c>
      <c r="O76">
        <f>IF(MAX(INDEX(boss_input_vu_khi!$E$2:$E$71,MATCH($C$76,boss_input_vu_khi!$A$2:$A$71,0)),Boss_vu_khi!$L$74)&gt;=8,5,1)</f>
        <v/>
      </c>
      <c r="P76">
        <f>INDEX(boss_input_vu_khi_suy_ra!$H$2:$H$71,MATCH($C$76,boss_input_vu_khi_suy_ra!$A$2:$A$71,0))</f>
        <v/>
      </c>
      <c r="Q76">
        <f>IF(AND(INDEX(input_xe_tham_chieu!$G$2:$G$6,MATCH($D$76,input_xe_tham_chieu!$A$2:$A$6,0))&gt;0,INDEX(boss_input_vu_khi!$E$2:$E$71,MATCH($C$76,boss_input_vu_khi!$A$2:$A$71,0))&gt;0),INDEX(boss_input_vu_khi!$E$2:$E$71,MATCH($C$76,boss_input_vu_khi!$A$2:$A$71,0))/INDEX(input_xe_tham_chieu!$G$2:$G$6,MATCH($D$76,input_xe_tham_chieu!$A$2:$A$6,0)),"")</f>
        <v/>
      </c>
      <c r="R76">
        <f>IF(ISNUMBER($Q$76),IF($P$76&gt;=$Q$76,"DU","THIEU"),"")</f>
        <v/>
      </c>
      <c r="S76" t="inlineStr">
        <is>
          <t>Assets/MachineBrigade/Resources/Data/balance.json: vehicles[id=hydra].weapon x 01_chien_dau/Xe_tham_chieu[main_battle_tank]</t>
        </is>
      </c>
      <c r="T76" t="inlineStr"/>
    </row>
    <row r="77">
      <c r="A77" t="inlineStr">
        <is>
          <t>hyperion/armored_car</t>
        </is>
      </c>
      <c r="B77" t="inlineStr">
        <is>
          <t>hyperion</t>
        </is>
      </c>
      <c r="C77" t="inlineStr">
        <is>
          <t>p26_icarus_sec_orbital_laser</t>
        </is>
      </c>
      <c r="D77" t="inlineStr">
        <is>
          <t>armored_car</t>
        </is>
      </c>
      <c r="E77">
        <f>IF(INDEX(boss_input_vu_khi_suy_ra!$D$2:$D$71,MATCH($C$77,boss_input_vu_khi_suy_ra!$A$2:$A$71,0)),INDEX(input_xe_tham_chieu!$E$2:$E$6,MATCH($D$77,input_xe_tham_chieu!$A$2:$A$6,0)),INDEX(input_xe_tham_chieu!$D$2:$D$6,MATCH($D$77,input_xe_tham_chieu!$A$2:$A$6,0)))</f>
        <v/>
      </c>
      <c r="F77">
        <f>IF(INDEX(boss_input_vu_khi_suy_ra!$E$2:$E$71,MATCH($C$77,boss_input_vu_khi_suy_ra!$A$2:$A$71,0)),INDEX(boss_input_bang_xuyen_giap!$B$2:$B$7,MIN(6,MAX(1,IF(INDEX(boss_input_vu_khi_suy_ra!$D$2:$D$71,MATCH($C$77,boss_input_vu_khi_suy_ra!$A$2:$A$71,0)),MAX(1,2-(INDEX(boss_input_vu_khi!$C$2:$C$71,MATCH($C$77,boss_input_vu_khi!$A$2:$A$71,0))-$E$77)),2-(INDEX(boss_input_vu_khi!$C$2:$C$71,MATCH($C$77,boss_input_vu_khi!$A$2:$A$71,0))-$E$77))+1)))*IF(INDEX(input_xe_tham_chieu!$F$2:$F$6,MATCH($D$77,input_xe_tham_chieu!$A$2:$A$6,0)),INDEX(boss_input_vu_khi_suy_ra!$G$2:$G$71,MATCH($C$77,boss_input_vu_khi_suy_ra!$A$2:$A$71,0)),INDEX(boss_input_vu_khi_suy_ra!$F$2:$F$71,MATCH($C$77,boss_input_vu_khi_suy_ra!$A$2:$A$71,0))),0)</f>
        <v/>
      </c>
      <c r="G77" t="n">
        <v>1.2</v>
      </c>
      <c r="H77">
        <f>INDEX(boss_input_vu_khi!$B$2:$B$71,MATCH($C$77,boss_input_vu_khi!$A$2:$A$71,0))*INDEX(Boss_dps!$D$2:$D$32,MATCH($B$77,Boss_dps!$A$2:$A$32,0))*IF(INDEX(boss_input_vu_khi!$D$2:$D$71,MATCH($C$77,boss_input_vu_khi!$A$2:$A$71,0)),1,INDEX(Boss_dps!$B$2:$B$32,MATCH($B$77,Boss_dps!$A$2:$A$32,0)))*INDEX(Boss_dps!$C$2:$C$32,MATCH($B$77,Boss_dps!$A$2:$A$32,0))*$F$77</f>
        <v/>
      </c>
      <c r="I77" t="n">
        <v>74.6592</v>
      </c>
      <c r="J77">
        <f>IF($H$77&gt;0,CEILING(INDEX(input_xe_tham_chieu!$C$2:$C$6,MATCH($D$77,input_xe_tham_chieu!$A$2:$A$6,0))/$H$77,1),"")</f>
        <v/>
      </c>
      <c r="K77">
        <f>IF(Boss_vu_khi!$S$77*$F$77&gt;0,INDEX(input_xe_tham_chieu!$C$2:$C$6,MATCH($D$77,input_xe_tham_chieu!$A$2:$A$6,0))/(Boss_vu_khi!$S$77*INDEX(Boss_dps!$D$2:$D$32,MATCH($B$77,Boss_dps!$A$2:$A$32,0))*$F$77),"")</f>
        <v/>
      </c>
      <c r="L77">
        <f>1+2*MIN(2,FLOOR(INDEX(boss_input_vu_khi!$E$2:$E$71,MATCH($C$77,boss_input_vu_khi!$A$2:$A$71,0))/8,1))</f>
        <v/>
      </c>
      <c r="M77">
        <f>1+2*MIN(2,FLOOR(MAX(INDEX(boss_input_vu_khi!$E$2:$E$71,MATCH($C$77,boss_input_vu_khi!$A$2:$A$71,0)),Boss_vu_khi!$L$77)/8,1))</f>
        <v/>
      </c>
      <c r="N77">
        <f>IF(INDEX(boss_input_vu_khi!$E$2:$E$71,MATCH($C$77,boss_input_vu_khi!$A$2:$A$71,0))&gt;=8,5,1)</f>
        <v/>
      </c>
      <c r="O77">
        <f>IF(MAX(INDEX(boss_input_vu_khi!$E$2:$E$71,MATCH($C$77,boss_input_vu_khi!$A$2:$A$71,0)),Boss_vu_khi!$L$77)&gt;=8,5,1)</f>
        <v/>
      </c>
      <c r="P77">
        <f>INDEX(boss_input_vu_khi_suy_ra!$H$2:$H$71,MATCH($C$77,boss_input_vu_khi_suy_ra!$A$2:$A$71,0))</f>
        <v/>
      </c>
      <c r="Q77">
        <f>IF(AND(INDEX(input_xe_tham_chieu!$G$2:$G$6,MATCH($D$77,input_xe_tham_chieu!$A$2:$A$6,0))&gt;0,INDEX(boss_input_vu_khi!$E$2:$E$71,MATCH($C$77,boss_input_vu_khi!$A$2:$A$71,0))&gt;0),INDEX(boss_input_vu_khi!$E$2:$E$71,MATCH($C$77,boss_input_vu_khi!$A$2:$A$71,0))/INDEX(input_xe_tham_chieu!$G$2:$G$6,MATCH($D$77,input_xe_tham_chieu!$A$2:$A$6,0)),"")</f>
        <v/>
      </c>
      <c r="R77">
        <f>IF(ISNUMBER($Q$77),IF($P$77&gt;=$Q$77,"DU","THIEU"),"")</f>
        <v/>
      </c>
      <c r="S77" t="inlineStr">
        <is>
          <t>Assets/MachineBrigade/Resources/Data/balance.json: vehicles[id=hyperion].weapon x 01_chien_dau/Xe_tham_chieu[armored_car]</t>
        </is>
      </c>
      <c r="T77" t="inlineStr"/>
    </row>
    <row r="78">
      <c r="A78" t="inlineStr">
        <is>
          <t>hyperion/gun_turret</t>
        </is>
      </c>
      <c r="B78" t="inlineStr">
        <is>
          <t>hyperion</t>
        </is>
      </c>
      <c r="C78" t="inlineStr">
        <is>
          <t>p26_icarus_sec_orbital_laser</t>
        </is>
      </c>
      <c r="D78" t="inlineStr">
        <is>
          <t>gun_turret</t>
        </is>
      </c>
      <c r="E78">
        <f>IF(INDEX(boss_input_vu_khi_suy_ra!$D$2:$D$71,MATCH($C$78,boss_input_vu_khi_suy_ra!$A$2:$A$71,0)),INDEX(input_xe_tham_chieu!$E$2:$E$6,MATCH($D$78,input_xe_tham_chieu!$A$2:$A$6,0)),INDEX(input_xe_tham_chieu!$D$2:$D$6,MATCH($D$78,input_xe_tham_chieu!$A$2:$A$6,0)))</f>
        <v/>
      </c>
      <c r="F78">
        <f>IF(INDEX(boss_input_vu_khi_suy_ra!$E$2:$E$71,MATCH($C$78,boss_input_vu_khi_suy_ra!$A$2:$A$71,0)),INDEX(boss_input_bang_xuyen_giap!$B$2:$B$7,MIN(6,MAX(1,IF(INDEX(boss_input_vu_khi_suy_ra!$D$2:$D$71,MATCH($C$78,boss_input_vu_khi_suy_ra!$A$2:$A$71,0)),MAX(1,2-(INDEX(boss_input_vu_khi!$C$2:$C$71,MATCH($C$78,boss_input_vu_khi!$A$2:$A$71,0))-$E$78)),2-(INDEX(boss_input_vu_khi!$C$2:$C$71,MATCH($C$78,boss_input_vu_khi!$A$2:$A$71,0))-$E$78))+1)))*IF(INDEX(input_xe_tham_chieu!$F$2:$F$6,MATCH($D$78,input_xe_tham_chieu!$A$2:$A$6,0)),INDEX(boss_input_vu_khi_suy_ra!$G$2:$G$71,MATCH($C$78,boss_input_vu_khi_suy_ra!$A$2:$A$71,0)),INDEX(boss_input_vu_khi_suy_ra!$F$2:$F$71,MATCH($C$78,boss_input_vu_khi_suy_ra!$A$2:$A$71,0))),0)</f>
        <v/>
      </c>
      <c r="G78" t="n">
        <v>0.5</v>
      </c>
      <c r="H78">
        <f>INDEX(boss_input_vu_khi!$B$2:$B$71,MATCH($C$78,boss_input_vu_khi!$A$2:$A$71,0))*INDEX(Boss_dps!$D$2:$D$32,MATCH($B$78,Boss_dps!$A$2:$A$32,0))*IF(INDEX(boss_input_vu_khi!$D$2:$D$71,MATCH($C$78,boss_input_vu_khi!$A$2:$A$71,0)),1,INDEX(Boss_dps!$B$2:$B$32,MATCH($B$78,Boss_dps!$A$2:$A$32,0)))*INDEX(Boss_dps!$C$2:$C$32,MATCH($B$78,Boss_dps!$A$2:$A$32,0))*$F$78</f>
        <v/>
      </c>
      <c r="I78" t="n">
        <v>31.108</v>
      </c>
      <c r="J78">
        <f>IF($H$78&gt;0,CEILING(INDEX(input_xe_tham_chieu!$C$2:$C$6,MATCH($D$78,input_xe_tham_chieu!$A$2:$A$6,0))/$H$78,1),"")</f>
        <v/>
      </c>
      <c r="K78">
        <f>IF(Boss_vu_khi!$S$77*$F$78&gt;0,INDEX(input_xe_tham_chieu!$C$2:$C$6,MATCH($D$78,input_xe_tham_chieu!$A$2:$A$6,0))/(Boss_vu_khi!$S$77*INDEX(Boss_dps!$D$2:$D$32,MATCH($B$78,Boss_dps!$A$2:$A$32,0))*$F$78),"")</f>
        <v/>
      </c>
      <c r="L78">
        <f>1+2*MIN(2,FLOOR(INDEX(boss_input_vu_khi!$E$2:$E$71,MATCH($C$78,boss_input_vu_khi!$A$2:$A$71,0))/8,1))</f>
        <v/>
      </c>
      <c r="M78">
        <f>1+2*MIN(2,FLOOR(MAX(INDEX(boss_input_vu_khi!$E$2:$E$71,MATCH($C$78,boss_input_vu_khi!$A$2:$A$71,0)),Boss_vu_khi!$L$77)/8,1))</f>
        <v/>
      </c>
      <c r="N78">
        <f>IF(INDEX(boss_input_vu_khi!$E$2:$E$71,MATCH($C$78,boss_input_vu_khi!$A$2:$A$71,0))&gt;=8,5,1)</f>
        <v/>
      </c>
      <c r="O78">
        <f>IF(MAX(INDEX(boss_input_vu_khi!$E$2:$E$71,MATCH($C$78,boss_input_vu_khi!$A$2:$A$71,0)),Boss_vu_khi!$L$77)&gt;=8,5,1)</f>
        <v/>
      </c>
      <c r="P78">
        <f>INDEX(boss_input_vu_khi_suy_ra!$H$2:$H$71,MATCH($C$78,boss_input_vu_khi_suy_ra!$A$2:$A$71,0))</f>
        <v/>
      </c>
      <c r="Q78">
        <f>IF(AND(INDEX(input_xe_tham_chieu!$G$2:$G$6,MATCH($D$78,input_xe_tham_chieu!$A$2:$A$6,0))&gt;0,INDEX(boss_input_vu_khi!$E$2:$E$71,MATCH($C$78,boss_input_vu_khi!$A$2:$A$71,0))&gt;0),INDEX(boss_input_vu_khi!$E$2:$E$71,MATCH($C$78,boss_input_vu_khi!$A$2:$A$71,0))/INDEX(input_xe_tham_chieu!$G$2:$G$6,MATCH($D$78,input_xe_tham_chieu!$A$2:$A$6,0)),"")</f>
        <v/>
      </c>
      <c r="R78">
        <f>IF(ISNUMBER($Q$78),IF($P$78&gt;=$Q$78,"DU","THIEU"),"")</f>
        <v/>
      </c>
      <c r="S78" t="inlineStr">
        <is>
          <t>Assets/MachineBrigade/Resources/Data/balance.json: vehicles[id=hyperion].weapon x 01_chien_dau/Xe_tham_chieu[gun_turret]</t>
        </is>
      </c>
      <c r="T78" t="inlineStr"/>
    </row>
    <row r="79">
      <c r="A79" t="inlineStr">
        <is>
          <t>hyperion/heavy_tank</t>
        </is>
      </c>
      <c r="B79" t="inlineStr">
        <is>
          <t>hyperion</t>
        </is>
      </c>
      <c r="C79" t="inlineStr">
        <is>
          <t>p26_icarus_sec_orbital_laser</t>
        </is>
      </c>
      <c r="D79" t="inlineStr">
        <is>
          <t>heavy_tank</t>
        </is>
      </c>
      <c r="E79">
        <f>IF(INDEX(boss_input_vu_khi_suy_ra!$D$2:$D$71,MATCH($C$79,boss_input_vu_khi_suy_ra!$A$2:$A$71,0)),INDEX(input_xe_tham_chieu!$E$2:$E$6,MATCH($D$79,input_xe_tham_chieu!$A$2:$A$6,0)),INDEX(input_xe_tham_chieu!$D$2:$D$6,MATCH($D$79,input_xe_tham_chieu!$A$2:$A$6,0)))</f>
        <v/>
      </c>
      <c r="F79">
        <f>IF(INDEX(boss_input_vu_khi_suy_ra!$E$2:$E$71,MATCH($C$79,boss_input_vu_khi_suy_ra!$A$2:$A$71,0)),INDEX(boss_input_bang_xuyen_giap!$B$2:$B$7,MIN(6,MAX(1,IF(INDEX(boss_input_vu_khi_suy_ra!$D$2:$D$71,MATCH($C$79,boss_input_vu_khi_suy_ra!$A$2:$A$71,0)),MAX(1,2-(INDEX(boss_input_vu_khi!$C$2:$C$71,MATCH($C$79,boss_input_vu_khi!$A$2:$A$71,0))-$E$79)),2-(INDEX(boss_input_vu_khi!$C$2:$C$71,MATCH($C$79,boss_input_vu_khi!$A$2:$A$71,0))-$E$79))+1)))*IF(INDEX(input_xe_tham_chieu!$F$2:$F$6,MATCH($D$79,input_xe_tham_chieu!$A$2:$A$6,0)),INDEX(boss_input_vu_khi_suy_ra!$G$2:$G$71,MATCH($C$79,boss_input_vu_khi_suy_ra!$A$2:$A$71,0)),INDEX(boss_input_vu_khi_suy_ra!$F$2:$F$71,MATCH($C$79,boss_input_vu_khi_suy_ra!$A$2:$A$71,0))),0)</f>
        <v/>
      </c>
      <c r="G79" t="n">
        <v>0.85</v>
      </c>
      <c r="H79">
        <f>INDEX(boss_input_vu_khi!$B$2:$B$71,MATCH($C$79,boss_input_vu_khi!$A$2:$A$71,0))*INDEX(Boss_dps!$D$2:$D$32,MATCH($B$79,Boss_dps!$A$2:$A$32,0))*IF(INDEX(boss_input_vu_khi!$D$2:$D$71,MATCH($C$79,boss_input_vu_khi!$A$2:$A$71,0)),1,INDEX(Boss_dps!$B$2:$B$32,MATCH($B$79,Boss_dps!$A$2:$A$32,0)))*INDEX(Boss_dps!$C$2:$C$32,MATCH($B$79,Boss_dps!$A$2:$A$32,0))*$F$79</f>
        <v/>
      </c>
      <c r="I79" t="n">
        <v>52.8836</v>
      </c>
      <c r="J79">
        <f>IF($H$79&gt;0,CEILING(INDEX(input_xe_tham_chieu!$C$2:$C$6,MATCH($D$79,input_xe_tham_chieu!$A$2:$A$6,0))/$H$79,1),"")</f>
        <v/>
      </c>
      <c r="K79">
        <f>IF(Boss_vu_khi!$S$77*$F$79&gt;0,INDEX(input_xe_tham_chieu!$C$2:$C$6,MATCH($D$79,input_xe_tham_chieu!$A$2:$A$6,0))/(Boss_vu_khi!$S$77*INDEX(Boss_dps!$D$2:$D$32,MATCH($B$79,Boss_dps!$A$2:$A$32,0))*$F$79),"")</f>
        <v/>
      </c>
      <c r="L79">
        <f>1+2*MIN(2,FLOOR(INDEX(boss_input_vu_khi!$E$2:$E$71,MATCH($C$79,boss_input_vu_khi!$A$2:$A$71,0))/8,1))</f>
        <v/>
      </c>
      <c r="M79">
        <f>1+2*MIN(2,FLOOR(MAX(INDEX(boss_input_vu_khi!$E$2:$E$71,MATCH($C$79,boss_input_vu_khi!$A$2:$A$71,0)),Boss_vu_khi!$L$77)/8,1))</f>
        <v/>
      </c>
      <c r="N79">
        <f>IF(INDEX(boss_input_vu_khi!$E$2:$E$71,MATCH($C$79,boss_input_vu_khi!$A$2:$A$71,0))&gt;=8,5,1)</f>
        <v/>
      </c>
      <c r="O79">
        <f>IF(MAX(INDEX(boss_input_vu_khi!$E$2:$E$71,MATCH($C$79,boss_input_vu_khi!$A$2:$A$71,0)),Boss_vu_khi!$L$77)&gt;=8,5,1)</f>
        <v/>
      </c>
      <c r="P79">
        <f>INDEX(boss_input_vu_khi_suy_ra!$H$2:$H$71,MATCH($C$79,boss_input_vu_khi_suy_ra!$A$2:$A$71,0))</f>
        <v/>
      </c>
      <c r="Q79">
        <f>IF(AND(INDEX(input_xe_tham_chieu!$G$2:$G$6,MATCH($D$79,input_xe_tham_chieu!$A$2:$A$6,0))&gt;0,INDEX(boss_input_vu_khi!$E$2:$E$71,MATCH($C$79,boss_input_vu_khi!$A$2:$A$71,0))&gt;0),INDEX(boss_input_vu_khi!$E$2:$E$71,MATCH($C$79,boss_input_vu_khi!$A$2:$A$71,0))/INDEX(input_xe_tham_chieu!$G$2:$G$6,MATCH($D$79,input_xe_tham_chieu!$A$2:$A$6,0)),"")</f>
        <v/>
      </c>
      <c r="R79">
        <f>IF(ISNUMBER($Q$79),IF($P$79&gt;=$Q$79,"DU","THIEU"),"")</f>
        <v/>
      </c>
      <c r="S79" t="inlineStr">
        <is>
          <t>Assets/MachineBrigade/Resources/Data/balance.json: vehicles[id=hyperion].weapon x 01_chien_dau/Xe_tham_chieu[heavy_tank]</t>
        </is>
      </c>
      <c r="T79" t="inlineStr"/>
    </row>
    <row r="80">
      <c r="A80" t="inlineStr">
        <is>
          <t>hyperion/ifv</t>
        </is>
      </c>
      <c r="B80" t="inlineStr">
        <is>
          <t>hyperion</t>
        </is>
      </c>
      <c r="C80" t="inlineStr">
        <is>
          <t>p26_icarus_sec_orbital_laser</t>
        </is>
      </c>
      <c r="D80" t="inlineStr">
        <is>
          <t>ifv</t>
        </is>
      </c>
      <c r="E80">
        <f>IF(INDEX(boss_input_vu_khi_suy_ra!$D$2:$D$71,MATCH($C$80,boss_input_vu_khi_suy_ra!$A$2:$A$71,0)),INDEX(input_xe_tham_chieu!$E$2:$E$6,MATCH($D$80,input_xe_tham_chieu!$A$2:$A$6,0)),INDEX(input_xe_tham_chieu!$D$2:$D$6,MATCH($D$80,input_xe_tham_chieu!$A$2:$A$6,0)))</f>
        <v/>
      </c>
      <c r="F80">
        <f>IF(INDEX(boss_input_vu_khi_suy_ra!$E$2:$E$71,MATCH($C$80,boss_input_vu_khi_suy_ra!$A$2:$A$71,0)),INDEX(boss_input_bang_xuyen_giap!$B$2:$B$7,MIN(6,MAX(1,IF(INDEX(boss_input_vu_khi_suy_ra!$D$2:$D$71,MATCH($C$80,boss_input_vu_khi_suy_ra!$A$2:$A$71,0)),MAX(1,2-(INDEX(boss_input_vu_khi!$C$2:$C$71,MATCH($C$80,boss_input_vu_khi!$A$2:$A$71,0))-$E$80)),2-(INDEX(boss_input_vu_khi!$C$2:$C$71,MATCH($C$80,boss_input_vu_khi!$A$2:$A$71,0))-$E$80))+1)))*IF(INDEX(input_xe_tham_chieu!$F$2:$F$6,MATCH($D$80,input_xe_tham_chieu!$A$2:$A$6,0)),INDEX(boss_input_vu_khi_suy_ra!$G$2:$G$71,MATCH($C$80,boss_input_vu_khi_suy_ra!$A$2:$A$71,0)),INDEX(boss_input_vu_khi_suy_ra!$F$2:$F$71,MATCH($C$80,boss_input_vu_khi_suy_ra!$A$2:$A$71,0))),0)</f>
        <v/>
      </c>
      <c r="G80" t="n">
        <v>1.2</v>
      </c>
      <c r="H80">
        <f>INDEX(boss_input_vu_khi!$B$2:$B$71,MATCH($C$80,boss_input_vu_khi!$A$2:$A$71,0))*INDEX(Boss_dps!$D$2:$D$32,MATCH($B$80,Boss_dps!$A$2:$A$32,0))*IF(INDEX(boss_input_vu_khi!$D$2:$D$71,MATCH($C$80,boss_input_vu_khi!$A$2:$A$71,0)),1,INDEX(Boss_dps!$B$2:$B$32,MATCH($B$80,Boss_dps!$A$2:$A$32,0)))*INDEX(Boss_dps!$C$2:$C$32,MATCH($B$80,Boss_dps!$A$2:$A$32,0))*$F$80</f>
        <v/>
      </c>
      <c r="I80" t="n">
        <v>74.6592</v>
      </c>
      <c r="J80">
        <f>IF($H$80&gt;0,CEILING(INDEX(input_xe_tham_chieu!$C$2:$C$6,MATCH($D$80,input_xe_tham_chieu!$A$2:$A$6,0))/$H$80,1),"")</f>
        <v/>
      </c>
      <c r="K80">
        <f>IF(Boss_vu_khi!$S$77*$F$80&gt;0,INDEX(input_xe_tham_chieu!$C$2:$C$6,MATCH($D$80,input_xe_tham_chieu!$A$2:$A$6,0))/(Boss_vu_khi!$S$77*INDEX(Boss_dps!$D$2:$D$32,MATCH($B$80,Boss_dps!$A$2:$A$32,0))*$F$80),"")</f>
        <v/>
      </c>
      <c r="L80">
        <f>1+2*MIN(2,FLOOR(INDEX(boss_input_vu_khi!$E$2:$E$71,MATCH($C$80,boss_input_vu_khi!$A$2:$A$71,0))/8,1))</f>
        <v/>
      </c>
      <c r="M80">
        <f>1+2*MIN(2,FLOOR(MAX(INDEX(boss_input_vu_khi!$E$2:$E$71,MATCH($C$80,boss_input_vu_khi!$A$2:$A$71,0)),Boss_vu_khi!$L$77)/8,1))</f>
        <v/>
      </c>
      <c r="N80">
        <f>IF(INDEX(boss_input_vu_khi!$E$2:$E$71,MATCH($C$80,boss_input_vu_khi!$A$2:$A$71,0))&gt;=8,5,1)</f>
        <v/>
      </c>
      <c r="O80">
        <f>IF(MAX(INDEX(boss_input_vu_khi!$E$2:$E$71,MATCH($C$80,boss_input_vu_khi!$A$2:$A$71,0)),Boss_vu_khi!$L$77)&gt;=8,5,1)</f>
        <v/>
      </c>
      <c r="P80">
        <f>INDEX(boss_input_vu_khi_suy_ra!$H$2:$H$71,MATCH($C$80,boss_input_vu_khi_suy_ra!$A$2:$A$71,0))</f>
        <v/>
      </c>
      <c r="Q80">
        <f>IF(AND(INDEX(input_xe_tham_chieu!$G$2:$G$6,MATCH($D$80,input_xe_tham_chieu!$A$2:$A$6,0))&gt;0,INDEX(boss_input_vu_khi!$E$2:$E$71,MATCH($C$80,boss_input_vu_khi!$A$2:$A$71,0))&gt;0),INDEX(boss_input_vu_khi!$E$2:$E$71,MATCH($C$80,boss_input_vu_khi!$A$2:$A$71,0))/INDEX(input_xe_tham_chieu!$G$2:$G$6,MATCH($D$80,input_xe_tham_chieu!$A$2:$A$6,0)),"")</f>
        <v/>
      </c>
      <c r="R80">
        <f>IF(ISNUMBER($Q$80),IF($P$80&gt;=$Q$80,"DU","THIEU"),"")</f>
        <v/>
      </c>
      <c r="S80" t="inlineStr">
        <is>
          <t>Assets/MachineBrigade/Resources/Data/balance.json: vehicles[id=hyperion].weapon x 01_chien_dau/Xe_tham_chieu[ifv]</t>
        </is>
      </c>
      <c r="T80" t="inlineStr"/>
    </row>
    <row r="81">
      <c r="A81" t="inlineStr">
        <is>
          <t>hyperion/main_battle_tank</t>
        </is>
      </c>
      <c r="B81" t="inlineStr">
        <is>
          <t>hyperion</t>
        </is>
      </c>
      <c r="C81" t="inlineStr">
        <is>
          <t>p26_icarus_sec_orbital_laser</t>
        </is>
      </c>
      <c r="D81" t="inlineStr">
        <is>
          <t>main_battle_tank</t>
        </is>
      </c>
      <c r="E81">
        <f>IF(INDEX(boss_input_vu_khi_suy_ra!$D$2:$D$71,MATCH($C$81,boss_input_vu_khi_suy_ra!$A$2:$A$71,0)),INDEX(input_xe_tham_chieu!$E$2:$E$6,MATCH($D$81,input_xe_tham_chieu!$A$2:$A$6,0)),INDEX(input_xe_tham_chieu!$D$2:$D$6,MATCH($D$81,input_xe_tham_chieu!$A$2:$A$6,0)))</f>
        <v/>
      </c>
      <c r="F81">
        <f>IF(INDEX(boss_input_vu_khi_suy_ra!$E$2:$E$71,MATCH($C$81,boss_input_vu_khi_suy_ra!$A$2:$A$71,0)),INDEX(boss_input_bang_xuyen_giap!$B$2:$B$7,MIN(6,MAX(1,IF(INDEX(boss_input_vu_khi_suy_ra!$D$2:$D$71,MATCH($C$81,boss_input_vu_khi_suy_ra!$A$2:$A$71,0)),MAX(1,2-(INDEX(boss_input_vu_khi!$C$2:$C$71,MATCH($C$81,boss_input_vu_khi!$A$2:$A$71,0))-$E$81)),2-(INDEX(boss_input_vu_khi!$C$2:$C$71,MATCH($C$81,boss_input_vu_khi!$A$2:$A$71,0))-$E$81))+1)))*IF(INDEX(input_xe_tham_chieu!$F$2:$F$6,MATCH($D$81,input_xe_tham_chieu!$A$2:$A$6,0)),INDEX(boss_input_vu_khi_suy_ra!$G$2:$G$71,MATCH($C$81,boss_input_vu_khi_suy_ra!$A$2:$A$71,0)),INDEX(boss_input_vu_khi_suy_ra!$F$2:$F$71,MATCH($C$81,boss_input_vu_khi_suy_ra!$A$2:$A$71,0))),0)</f>
        <v/>
      </c>
      <c r="G81" t="n">
        <v>0.85</v>
      </c>
      <c r="H81">
        <f>INDEX(boss_input_vu_khi!$B$2:$B$71,MATCH($C$81,boss_input_vu_khi!$A$2:$A$71,0))*INDEX(Boss_dps!$D$2:$D$32,MATCH($B$81,Boss_dps!$A$2:$A$32,0))*IF(INDEX(boss_input_vu_khi!$D$2:$D$71,MATCH($C$81,boss_input_vu_khi!$A$2:$A$71,0)),1,INDEX(Boss_dps!$B$2:$B$32,MATCH($B$81,Boss_dps!$A$2:$A$32,0)))*INDEX(Boss_dps!$C$2:$C$32,MATCH($B$81,Boss_dps!$A$2:$A$32,0))*$F$81</f>
        <v/>
      </c>
      <c r="I81" t="n">
        <v>52.8836</v>
      </c>
      <c r="J81">
        <f>IF($H$81&gt;0,CEILING(INDEX(input_xe_tham_chieu!$C$2:$C$6,MATCH($D$81,input_xe_tham_chieu!$A$2:$A$6,0))/$H$81,1),"")</f>
        <v/>
      </c>
      <c r="K81">
        <f>IF(Boss_vu_khi!$S$77*$F$81&gt;0,INDEX(input_xe_tham_chieu!$C$2:$C$6,MATCH($D$81,input_xe_tham_chieu!$A$2:$A$6,0))/(Boss_vu_khi!$S$77*INDEX(Boss_dps!$D$2:$D$32,MATCH($B$81,Boss_dps!$A$2:$A$32,0))*$F$81),"")</f>
        <v/>
      </c>
      <c r="L81">
        <f>1+2*MIN(2,FLOOR(INDEX(boss_input_vu_khi!$E$2:$E$71,MATCH($C$81,boss_input_vu_khi!$A$2:$A$71,0))/8,1))</f>
        <v/>
      </c>
      <c r="M81">
        <f>1+2*MIN(2,FLOOR(MAX(INDEX(boss_input_vu_khi!$E$2:$E$71,MATCH($C$81,boss_input_vu_khi!$A$2:$A$71,0)),Boss_vu_khi!$L$77)/8,1))</f>
        <v/>
      </c>
      <c r="N81">
        <f>IF(INDEX(boss_input_vu_khi!$E$2:$E$71,MATCH($C$81,boss_input_vu_khi!$A$2:$A$71,0))&gt;=8,5,1)</f>
        <v/>
      </c>
      <c r="O81">
        <f>IF(MAX(INDEX(boss_input_vu_khi!$E$2:$E$71,MATCH($C$81,boss_input_vu_khi!$A$2:$A$71,0)),Boss_vu_khi!$L$77)&gt;=8,5,1)</f>
        <v/>
      </c>
      <c r="P81">
        <f>INDEX(boss_input_vu_khi_suy_ra!$H$2:$H$71,MATCH($C$81,boss_input_vu_khi_suy_ra!$A$2:$A$71,0))</f>
        <v/>
      </c>
      <c r="Q81">
        <f>IF(AND(INDEX(input_xe_tham_chieu!$G$2:$G$6,MATCH($D$81,input_xe_tham_chieu!$A$2:$A$6,0))&gt;0,INDEX(boss_input_vu_khi!$E$2:$E$71,MATCH($C$81,boss_input_vu_khi!$A$2:$A$71,0))&gt;0),INDEX(boss_input_vu_khi!$E$2:$E$71,MATCH($C$81,boss_input_vu_khi!$A$2:$A$71,0))/INDEX(input_xe_tham_chieu!$G$2:$G$6,MATCH($D$81,input_xe_tham_chieu!$A$2:$A$6,0)),"")</f>
        <v/>
      </c>
      <c r="R81">
        <f>IF(ISNUMBER($Q$81),IF($P$81&gt;=$Q$81,"DU","THIEU"),"")</f>
        <v/>
      </c>
      <c r="S81" t="inlineStr">
        <is>
          <t>Assets/MachineBrigade/Resources/Data/balance.json: vehicles[id=hyperion].weapon x 01_chien_dau/Xe_tham_chieu[main_battle_tank]</t>
        </is>
      </c>
      <c r="T81" t="inlineStr"/>
    </row>
    <row r="82">
      <c r="A82" t="inlineStr">
        <is>
          <t>icarus_mk0/armored_car</t>
        </is>
      </c>
      <c r="B82" t="inlineStr">
        <is>
          <t>icarus_mk0</t>
        </is>
      </c>
      <c r="C82" t="inlineStr">
        <is>
          <t>p26_icarus_sec_orbital_laser</t>
        </is>
      </c>
      <c r="D82" t="inlineStr">
        <is>
          <t>armored_car</t>
        </is>
      </c>
      <c r="E82">
        <f>IF(INDEX(boss_input_vu_khi_suy_ra!$D$2:$D$71,MATCH($C$82,boss_input_vu_khi_suy_ra!$A$2:$A$71,0)),INDEX(input_xe_tham_chieu!$E$2:$E$6,MATCH($D$82,input_xe_tham_chieu!$A$2:$A$6,0)),INDEX(input_xe_tham_chieu!$D$2:$D$6,MATCH($D$82,input_xe_tham_chieu!$A$2:$A$6,0)))</f>
        <v/>
      </c>
      <c r="F82">
        <f>IF(INDEX(boss_input_vu_khi_suy_ra!$E$2:$E$71,MATCH($C$82,boss_input_vu_khi_suy_ra!$A$2:$A$71,0)),INDEX(boss_input_bang_xuyen_giap!$B$2:$B$7,MIN(6,MAX(1,IF(INDEX(boss_input_vu_khi_suy_ra!$D$2:$D$71,MATCH($C$82,boss_input_vu_khi_suy_ra!$A$2:$A$71,0)),MAX(1,2-(INDEX(boss_input_vu_khi!$C$2:$C$71,MATCH($C$82,boss_input_vu_khi!$A$2:$A$71,0))-$E$82)),2-(INDEX(boss_input_vu_khi!$C$2:$C$71,MATCH($C$82,boss_input_vu_khi!$A$2:$A$71,0))-$E$82))+1)))*IF(INDEX(input_xe_tham_chieu!$F$2:$F$6,MATCH($D$82,input_xe_tham_chieu!$A$2:$A$6,0)),INDEX(boss_input_vu_khi_suy_ra!$G$2:$G$71,MATCH($C$82,boss_input_vu_khi_suy_ra!$A$2:$A$71,0)),INDEX(boss_input_vu_khi_suy_ra!$F$2:$F$71,MATCH($C$82,boss_input_vu_khi_suy_ra!$A$2:$A$71,0))),0)</f>
        <v/>
      </c>
      <c r="G82" t="n">
        <v>1.2</v>
      </c>
      <c r="H82">
        <f>INDEX(boss_input_vu_khi!$B$2:$B$71,MATCH($C$82,boss_input_vu_khi!$A$2:$A$71,0))*INDEX(Boss_dps!$D$2:$D$32,MATCH($B$82,Boss_dps!$A$2:$A$32,0))*IF(INDEX(boss_input_vu_khi!$D$2:$D$71,MATCH($C$82,boss_input_vu_khi!$A$2:$A$71,0)),1,INDEX(Boss_dps!$B$2:$B$32,MATCH($B$82,Boss_dps!$A$2:$A$32,0)))*INDEX(Boss_dps!$C$2:$C$32,MATCH($B$82,Boss_dps!$A$2:$A$32,0))*$F$82</f>
        <v/>
      </c>
      <c r="I82" t="n">
        <v>131.04</v>
      </c>
      <c r="J82">
        <f>IF($H$82&gt;0,CEILING(INDEX(input_xe_tham_chieu!$C$2:$C$6,MATCH($D$82,input_xe_tham_chieu!$A$2:$A$6,0))/$H$82,1),"")</f>
        <v/>
      </c>
      <c r="K82">
        <f>IF(Boss_vu_khi!$S$82*$F$82&gt;0,INDEX(input_xe_tham_chieu!$C$2:$C$6,MATCH($D$82,input_xe_tham_chieu!$A$2:$A$6,0))/(Boss_vu_khi!$S$82*INDEX(Boss_dps!$D$2:$D$32,MATCH($B$82,Boss_dps!$A$2:$A$32,0))*$F$82),"")</f>
        <v/>
      </c>
      <c r="L82">
        <f>1+2*MIN(2,FLOOR(INDEX(boss_input_vu_khi!$E$2:$E$71,MATCH($C$82,boss_input_vu_khi!$A$2:$A$71,0))/8,1))</f>
        <v/>
      </c>
      <c r="M82">
        <f>1+2*MIN(2,FLOOR(MAX(INDEX(boss_input_vu_khi!$E$2:$E$71,MATCH($C$82,boss_input_vu_khi!$A$2:$A$71,0)),Boss_vu_khi!$L$82)/8,1))</f>
        <v/>
      </c>
      <c r="N82">
        <f>IF(INDEX(boss_input_vu_khi!$E$2:$E$71,MATCH($C$82,boss_input_vu_khi!$A$2:$A$71,0))&gt;=8,5,1)</f>
        <v/>
      </c>
      <c r="O82">
        <f>IF(MAX(INDEX(boss_input_vu_khi!$E$2:$E$71,MATCH($C$82,boss_input_vu_khi!$A$2:$A$71,0)),Boss_vu_khi!$L$82)&gt;=8,5,1)</f>
        <v/>
      </c>
      <c r="P82">
        <f>INDEX(boss_input_vu_khi_suy_ra!$H$2:$H$71,MATCH($C$82,boss_input_vu_khi_suy_ra!$A$2:$A$71,0))</f>
        <v/>
      </c>
      <c r="Q82">
        <f>IF(AND(INDEX(input_xe_tham_chieu!$G$2:$G$6,MATCH($D$82,input_xe_tham_chieu!$A$2:$A$6,0))&gt;0,INDEX(boss_input_vu_khi!$E$2:$E$71,MATCH($C$82,boss_input_vu_khi!$A$2:$A$71,0))&gt;0),INDEX(boss_input_vu_khi!$E$2:$E$71,MATCH($C$82,boss_input_vu_khi!$A$2:$A$71,0))/INDEX(input_xe_tham_chieu!$G$2:$G$6,MATCH($D$82,input_xe_tham_chieu!$A$2:$A$6,0)),"")</f>
        <v/>
      </c>
      <c r="R82">
        <f>IF(ISNUMBER($Q$82),IF($P$82&gt;=$Q$82,"DU","THIEU"),"")</f>
        <v/>
      </c>
      <c r="S82" t="inlineStr">
        <is>
          <t>Assets/MachineBrigade/Resources/Data/balance.json: vehicles[id=icarus_mk0].weapon x 01_chien_dau/Xe_tham_chieu[armored_car]</t>
        </is>
      </c>
      <c r="T82" t="inlineStr"/>
    </row>
    <row r="83">
      <c r="A83" t="inlineStr">
        <is>
          <t>icarus_mk0/gun_turret</t>
        </is>
      </c>
      <c r="B83" t="inlineStr">
        <is>
          <t>icarus_mk0</t>
        </is>
      </c>
      <c r="C83" t="inlineStr">
        <is>
          <t>p26_icarus_sec_orbital_laser</t>
        </is>
      </c>
      <c r="D83" t="inlineStr">
        <is>
          <t>gun_turret</t>
        </is>
      </c>
      <c r="E83">
        <f>IF(INDEX(boss_input_vu_khi_suy_ra!$D$2:$D$71,MATCH($C$83,boss_input_vu_khi_suy_ra!$A$2:$A$71,0)),INDEX(input_xe_tham_chieu!$E$2:$E$6,MATCH($D$83,input_xe_tham_chieu!$A$2:$A$6,0)),INDEX(input_xe_tham_chieu!$D$2:$D$6,MATCH($D$83,input_xe_tham_chieu!$A$2:$A$6,0)))</f>
        <v/>
      </c>
      <c r="F83">
        <f>IF(INDEX(boss_input_vu_khi_suy_ra!$E$2:$E$71,MATCH($C$83,boss_input_vu_khi_suy_ra!$A$2:$A$71,0)),INDEX(boss_input_bang_xuyen_giap!$B$2:$B$7,MIN(6,MAX(1,IF(INDEX(boss_input_vu_khi_suy_ra!$D$2:$D$71,MATCH($C$83,boss_input_vu_khi_suy_ra!$A$2:$A$71,0)),MAX(1,2-(INDEX(boss_input_vu_khi!$C$2:$C$71,MATCH($C$83,boss_input_vu_khi!$A$2:$A$71,0))-$E$83)),2-(INDEX(boss_input_vu_khi!$C$2:$C$71,MATCH($C$83,boss_input_vu_khi!$A$2:$A$71,0))-$E$83))+1)))*IF(INDEX(input_xe_tham_chieu!$F$2:$F$6,MATCH($D$83,input_xe_tham_chieu!$A$2:$A$6,0)),INDEX(boss_input_vu_khi_suy_ra!$G$2:$G$71,MATCH($C$83,boss_input_vu_khi_suy_ra!$A$2:$A$71,0)),INDEX(boss_input_vu_khi_suy_ra!$F$2:$F$71,MATCH($C$83,boss_input_vu_khi_suy_ra!$A$2:$A$71,0))),0)</f>
        <v/>
      </c>
      <c r="G83" t="n">
        <v>0.5</v>
      </c>
      <c r="H83">
        <f>INDEX(boss_input_vu_khi!$B$2:$B$71,MATCH($C$83,boss_input_vu_khi!$A$2:$A$71,0))*INDEX(Boss_dps!$D$2:$D$32,MATCH($B$83,Boss_dps!$A$2:$A$32,0))*IF(INDEX(boss_input_vu_khi!$D$2:$D$71,MATCH($C$83,boss_input_vu_khi!$A$2:$A$71,0)),1,INDEX(Boss_dps!$B$2:$B$32,MATCH($B$83,Boss_dps!$A$2:$A$32,0)))*INDEX(Boss_dps!$C$2:$C$32,MATCH($B$83,Boss_dps!$A$2:$A$32,0))*$F$83</f>
        <v/>
      </c>
      <c r="I83" t="n">
        <v>54.59999999999999</v>
      </c>
      <c r="J83">
        <f>IF($H$83&gt;0,CEILING(INDEX(input_xe_tham_chieu!$C$2:$C$6,MATCH($D$83,input_xe_tham_chieu!$A$2:$A$6,0))/$H$83,1),"")</f>
        <v/>
      </c>
      <c r="K83">
        <f>IF(Boss_vu_khi!$S$82*$F$83&gt;0,INDEX(input_xe_tham_chieu!$C$2:$C$6,MATCH($D$83,input_xe_tham_chieu!$A$2:$A$6,0))/(Boss_vu_khi!$S$82*INDEX(Boss_dps!$D$2:$D$32,MATCH($B$83,Boss_dps!$A$2:$A$32,0))*$F$83),"")</f>
        <v/>
      </c>
      <c r="L83">
        <f>1+2*MIN(2,FLOOR(INDEX(boss_input_vu_khi!$E$2:$E$71,MATCH($C$83,boss_input_vu_khi!$A$2:$A$71,0))/8,1))</f>
        <v/>
      </c>
      <c r="M83">
        <f>1+2*MIN(2,FLOOR(MAX(INDEX(boss_input_vu_khi!$E$2:$E$71,MATCH($C$83,boss_input_vu_khi!$A$2:$A$71,0)),Boss_vu_khi!$L$82)/8,1))</f>
        <v/>
      </c>
      <c r="N83">
        <f>IF(INDEX(boss_input_vu_khi!$E$2:$E$71,MATCH($C$83,boss_input_vu_khi!$A$2:$A$71,0))&gt;=8,5,1)</f>
        <v/>
      </c>
      <c r="O83">
        <f>IF(MAX(INDEX(boss_input_vu_khi!$E$2:$E$71,MATCH($C$83,boss_input_vu_khi!$A$2:$A$71,0)),Boss_vu_khi!$L$82)&gt;=8,5,1)</f>
        <v/>
      </c>
      <c r="P83">
        <f>INDEX(boss_input_vu_khi_suy_ra!$H$2:$H$71,MATCH($C$83,boss_input_vu_khi_suy_ra!$A$2:$A$71,0))</f>
        <v/>
      </c>
      <c r="Q83">
        <f>IF(AND(INDEX(input_xe_tham_chieu!$G$2:$G$6,MATCH($D$83,input_xe_tham_chieu!$A$2:$A$6,0))&gt;0,INDEX(boss_input_vu_khi!$E$2:$E$71,MATCH($C$83,boss_input_vu_khi!$A$2:$A$71,0))&gt;0),INDEX(boss_input_vu_khi!$E$2:$E$71,MATCH($C$83,boss_input_vu_khi!$A$2:$A$71,0))/INDEX(input_xe_tham_chieu!$G$2:$G$6,MATCH($D$83,input_xe_tham_chieu!$A$2:$A$6,0)),"")</f>
        <v/>
      </c>
      <c r="R83">
        <f>IF(ISNUMBER($Q$83),IF($P$83&gt;=$Q$83,"DU","THIEU"),"")</f>
        <v/>
      </c>
      <c r="S83" t="inlineStr">
        <is>
          <t>Assets/MachineBrigade/Resources/Data/balance.json: vehicles[id=icarus_mk0].weapon x 01_chien_dau/Xe_tham_chieu[gun_turret]</t>
        </is>
      </c>
      <c r="T83" t="inlineStr"/>
    </row>
    <row r="84">
      <c r="A84" t="inlineStr">
        <is>
          <t>icarus_mk0/heavy_tank</t>
        </is>
      </c>
      <c r="B84" t="inlineStr">
        <is>
          <t>icarus_mk0</t>
        </is>
      </c>
      <c r="C84" t="inlineStr">
        <is>
          <t>p26_icarus_sec_orbital_laser</t>
        </is>
      </c>
      <c r="D84" t="inlineStr">
        <is>
          <t>heavy_tank</t>
        </is>
      </c>
      <c r="E84">
        <f>IF(INDEX(boss_input_vu_khi_suy_ra!$D$2:$D$71,MATCH($C$84,boss_input_vu_khi_suy_ra!$A$2:$A$71,0)),INDEX(input_xe_tham_chieu!$E$2:$E$6,MATCH($D$84,input_xe_tham_chieu!$A$2:$A$6,0)),INDEX(input_xe_tham_chieu!$D$2:$D$6,MATCH($D$84,input_xe_tham_chieu!$A$2:$A$6,0)))</f>
        <v/>
      </c>
      <c r="F84">
        <f>IF(INDEX(boss_input_vu_khi_suy_ra!$E$2:$E$71,MATCH($C$84,boss_input_vu_khi_suy_ra!$A$2:$A$71,0)),INDEX(boss_input_bang_xuyen_giap!$B$2:$B$7,MIN(6,MAX(1,IF(INDEX(boss_input_vu_khi_suy_ra!$D$2:$D$71,MATCH($C$84,boss_input_vu_khi_suy_ra!$A$2:$A$71,0)),MAX(1,2-(INDEX(boss_input_vu_khi!$C$2:$C$71,MATCH($C$84,boss_input_vu_khi!$A$2:$A$71,0))-$E$84)),2-(INDEX(boss_input_vu_khi!$C$2:$C$71,MATCH($C$84,boss_input_vu_khi!$A$2:$A$71,0))-$E$84))+1)))*IF(INDEX(input_xe_tham_chieu!$F$2:$F$6,MATCH($D$84,input_xe_tham_chieu!$A$2:$A$6,0)),INDEX(boss_input_vu_khi_suy_ra!$G$2:$G$71,MATCH($C$84,boss_input_vu_khi_suy_ra!$A$2:$A$71,0)),INDEX(boss_input_vu_khi_suy_ra!$F$2:$F$71,MATCH($C$84,boss_input_vu_khi_suy_ra!$A$2:$A$71,0))),0)</f>
        <v/>
      </c>
      <c r="G84" t="n">
        <v>0.85</v>
      </c>
      <c r="H84">
        <f>INDEX(boss_input_vu_khi!$B$2:$B$71,MATCH($C$84,boss_input_vu_khi!$A$2:$A$71,0))*INDEX(Boss_dps!$D$2:$D$32,MATCH($B$84,Boss_dps!$A$2:$A$32,0))*IF(INDEX(boss_input_vu_khi!$D$2:$D$71,MATCH($C$84,boss_input_vu_khi!$A$2:$A$71,0)),1,INDEX(Boss_dps!$B$2:$B$32,MATCH($B$84,Boss_dps!$A$2:$A$32,0)))*INDEX(Boss_dps!$C$2:$C$32,MATCH($B$84,Boss_dps!$A$2:$A$32,0))*$F$84</f>
        <v/>
      </c>
      <c r="I84" t="n">
        <v>92.81999999999999</v>
      </c>
      <c r="J84">
        <f>IF($H$84&gt;0,CEILING(INDEX(input_xe_tham_chieu!$C$2:$C$6,MATCH($D$84,input_xe_tham_chieu!$A$2:$A$6,0))/$H$84,1),"")</f>
        <v/>
      </c>
      <c r="K84">
        <f>IF(Boss_vu_khi!$S$82*$F$84&gt;0,INDEX(input_xe_tham_chieu!$C$2:$C$6,MATCH($D$84,input_xe_tham_chieu!$A$2:$A$6,0))/(Boss_vu_khi!$S$82*INDEX(Boss_dps!$D$2:$D$32,MATCH($B$84,Boss_dps!$A$2:$A$32,0))*$F$84),"")</f>
        <v/>
      </c>
      <c r="L84">
        <f>1+2*MIN(2,FLOOR(INDEX(boss_input_vu_khi!$E$2:$E$71,MATCH($C$84,boss_input_vu_khi!$A$2:$A$71,0))/8,1))</f>
        <v/>
      </c>
      <c r="M84">
        <f>1+2*MIN(2,FLOOR(MAX(INDEX(boss_input_vu_khi!$E$2:$E$71,MATCH($C$84,boss_input_vu_khi!$A$2:$A$71,0)),Boss_vu_khi!$L$82)/8,1))</f>
        <v/>
      </c>
      <c r="N84">
        <f>IF(INDEX(boss_input_vu_khi!$E$2:$E$71,MATCH($C$84,boss_input_vu_khi!$A$2:$A$71,0))&gt;=8,5,1)</f>
        <v/>
      </c>
      <c r="O84">
        <f>IF(MAX(INDEX(boss_input_vu_khi!$E$2:$E$71,MATCH($C$84,boss_input_vu_khi!$A$2:$A$71,0)),Boss_vu_khi!$L$82)&gt;=8,5,1)</f>
        <v/>
      </c>
      <c r="P84">
        <f>INDEX(boss_input_vu_khi_suy_ra!$H$2:$H$71,MATCH($C$84,boss_input_vu_khi_suy_ra!$A$2:$A$71,0))</f>
        <v/>
      </c>
      <c r="Q84">
        <f>IF(AND(INDEX(input_xe_tham_chieu!$G$2:$G$6,MATCH($D$84,input_xe_tham_chieu!$A$2:$A$6,0))&gt;0,INDEX(boss_input_vu_khi!$E$2:$E$71,MATCH($C$84,boss_input_vu_khi!$A$2:$A$71,0))&gt;0),INDEX(boss_input_vu_khi!$E$2:$E$71,MATCH($C$84,boss_input_vu_khi!$A$2:$A$71,0))/INDEX(input_xe_tham_chieu!$G$2:$G$6,MATCH($D$84,input_xe_tham_chieu!$A$2:$A$6,0)),"")</f>
        <v/>
      </c>
      <c r="R84">
        <f>IF(ISNUMBER($Q$84),IF($P$84&gt;=$Q$84,"DU","THIEU"),"")</f>
        <v/>
      </c>
      <c r="S84" t="inlineStr">
        <is>
          <t>Assets/MachineBrigade/Resources/Data/balance.json: vehicles[id=icarus_mk0].weapon x 01_chien_dau/Xe_tham_chieu[heavy_tank]</t>
        </is>
      </c>
      <c r="T84" t="inlineStr"/>
    </row>
    <row r="85">
      <c r="A85" t="inlineStr">
        <is>
          <t>icarus_mk0/ifv</t>
        </is>
      </c>
      <c r="B85" t="inlineStr">
        <is>
          <t>icarus_mk0</t>
        </is>
      </c>
      <c r="C85" t="inlineStr">
        <is>
          <t>p26_icarus_sec_orbital_laser</t>
        </is>
      </c>
      <c r="D85" t="inlineStr">
        <is>
          <t>ifv</t>
        </is>
      </c>
      <c r="E85">
        <f>IF(INDEX(boss_input_vu_khi_suy_ra!$D$2:$D$71,MATCH($C$85,boss_input_vu_khi_suy_ra!$A$2:$A$71,0)),INDEX(input_xe_tham_chieu!$E$2:$E$6,MATCH($D$85,input_xe_tham_chieu!$A$2:$A$6,0)),INDEX(input_xe_tham_chieu!$D$2:$D$6,MATCH($D$85,input_xe_tham_chieu!$A$2:$A$6,0)))</f>
        <v/>
      </c>
      <c r="F85">
        <f>IF(INDEX(boss_input_vu_khi_suy_ra!$E$2:$E$71,MATCH($C$85,boss_input_vu_khi_suy_ra!$A$2:$A$71,0)),INDEX(boss_input_bang_xuyen_giap!$B$2:$B$7,MIN(6,MAX(1,IF(INDEX(boss_input_vu_khi_suy_ra!$D$2:$D$71,MATCH($C$85,boss_input_vu_khi_suy_ra!$A$2:$A$71,0)),MAX(1,2-(INDEX(boss_input_vu_khi!$C$2:$C$71,MATCH($C$85,boss_input_vu_khi!$A$2:$A$71,0))-$E$85)),2-(INDEX(boss_input_vu_khi!$C$2:$C$71,MATCH($C$85,boss_input_vu_khi!$A$2:$A$71,0))-$E$85))+1)))*IF(INDEX(input_xe_tham_chieu!$F$2:$F$6,MATCH($D$85,input_xe_tham_chieu!$A$2:$A$6,0)),INDEX(boss_input_vu_khi_suy_ra!$G$2:$G$71,MATCH($C$85,boss_input_vu_khi_suy_ra!$A$2:$A$71,0)),INDEX(boss_input_vu_khi_suy_ra!$F$2:$F$71,MATCH($C$85,boss_input_vu_khi_suy_ra!$A$2:$A$71,0))),0)</f>
        <v/>
      </c>
      <c r="G85" t="n">
        <v>1.2</v>
      </c>
      <c r="H85">
        <f>INDEX(boss_input_vu_khi!$B$2:$B$71,MATCH($C$85,boss_input_vu_khi!$A$2:$A$71,0))*INDEX(Boss_dps!$D$2:$D$32,MATCH($B$85,Boss_dps!$A$2:$A$32,0))*IF(INDEX(boss_input_vu_khi!$D$2:$D$71,MATCH($C$85,boss_input_vu_khi!$A$2:$A$71,0)),1,INDEX(Boss_dps!$B$2:$B$32,MATCH($B$85,Boss_dps!$A$2:$A$32,0)))*INDEX(Boss_dps!$C$2:$C$32,MATCH($B$85,Boss_dps!$A$2:$A$32,0))*$F$85</f>
        <v/>
      </c>
      <c r="I85" t="n">
        <v>131.04</v>
      </c>
      <c r="J85">
        <f>IF($H$85&gt;0,CEILING(INDEX(input_xe_tham_chieu!$C$2:$C$6,MATCH($D$85,input_xe_tham_chieu!$A$2:$A$6,0))/$H$85,1),"")</f>
        <v/>
      </c>
      <c r="K85">
        <f>IF(Boss_vu_khi!$S$82*$F$85&gt;0,INDEX(input_xe_tham_chieu!$C$2:$C$6,MATCH($D$85,input_xe_tham_chieu!$A$2:$A$6,0))/(Boss_vu_khi!$S$82*INDEX(Boss_dps!$D$2:$D$32,MATCH($B$85,Boss_dps!$A$2:$A$32,0))*$F$85),"")</f>
        <v/>
      </c>
      <c r="L85">
        <f>1+2*MIN(2,FLOOR(INDEX(boss_input_vu_khi!$E$2:$E$71,MATCH($C$85,boss_input_vu_khi!$A$2:$A$71,0))/8,1))</f>
        <v/>
      </c>
      <c r="M85">
        <f>1+2*MIN(2,FLOOR(MAX(INDEX(boss_input_vu_khi!$E$2:$E$71,MATCH($C$85,boss_input_vu_khi!$A$2:$A$71,0)),Boss_vu_khi!$L$82)/8,1))</f>
        <v/>
      </c>
      <c r="N85">
        <f>IF(INDEX(boss_input_vu_khi!$E$2:$E$71,MATCH($C$85,boss_input_vu_khi!$A$2:$A$71,0))&gt;=8,5,1)</f>
        <v/>
      </c>
      <c r="O85">
        <f>IF(MAX(INDEX(boss_input_vu_khi!$E$2:$E$71,MATCH($C$85,boss_input_vu_khi!$A$2:$A$71,0)),Boss_vu_khi!$L$82)&gt;=8,5,1)</f>
        <v/>
      </c>
      <c r="P85">
        <f>INDEX(boss_input_vu_khi_suy_ra!$H$2:$H$71,MATCH($C$85,boss_input_vu_khi_suy_ra!$A$2:$A$71,0))</f>
        <v/>
      </c>
      <c r="Q85">
        <f>IF(AND(INDEX(input_xe_tham_chieu!$G$2:$G$6,MATCH($D$85,input_xe_tham_chieu!$A$2:$A$6,0))&gt;0,INDEX(boss_input_vu_khi!$E$2:$E$71,MATCH($C$85,boss_input_vu_khi!$A$2:$A$71,0))&gt;0),INDEX(boss_input_vu_khi!$E$2:$E$71,MATCH($C$85,boss_input_vu_khi!$A$2:$A$71,0))/INDEX(input_xe_tham_chieu!$G$2:$G$6,MATCH($D$85,input_xe_tham_chieu!$A$2:$A$6,0)),"")</f>
        <v/>
      </c>
      <c r="R85">
        <f>IF(ISNUMBER($Q$85),IF($P$85&gt;=$Q$85,"DU","THIEU"),"")</f>
        <v/>
      </c>
      <c r="S85" t="inlineStr">
        <is>
          <t>Assets/MachineBrigade/Resources/Data/balance.json: vehicles[id=icarus_mk0].weapon x 01_chien_dau/Xe_tham_chieu[ifv]</t>
        </is>
      </c>
      <c r="T85" t="inlineStr"/>
    </row>
    <row r="86">
      <c r="A86" t="inlineStr">
        <is>
          <t>icarus_mk0/main_battle_tank</t>
        </is>
      </c>
      <c r="B86" t="inlineStr">
        <is>
          <t>icarus_mk0</t>
        </is>
      </c>
      <c r="C86" t="inlineStr">
        <is>
          <t>p26_icarus_sec_orbital_laser</t>
        </is>
      </c>
      <c r="D86" t="inlineStr">
        <is>
          <t>main_battle_tank</t>
        </is>
      </c>
      <c r="E86">
        <f>IF(INDEX(boss_input_vu_khi_suy_ra!$D$2:$D$71,MATCH($C$86,boss_input_vu_khi_suy_ra!$A$2:$A$71,0)),INDEX(input_xe_tham_chieu!$E$2:$E$6,MATCH($D$86,input_xe_tham_chieu!$A$2:$A$6,0)),INDEX(input_xe_tham_chieu!$D$2:$D$6,MATCH($D$86,input_xe_tham_chieu!$A$2:$A$6,0)))</f>
        <v/>
      </c>
      <c r="F86">
        <f>IF(INDEX(boss_input_vu_khi_suy_ra!$E$2:$E$71,MATCH($C$86,boss_input_vu_khi_suy_ra!$A$2:$A$71,0)),INDEX(boss_input_bang_xuyen_giap!$B$2:$B$7,MIN(6,MAX(1,IF(INDEX(boss_input_vu_khi_suy_ra!$D$2:$D$71,MATCH($C$86,boss_input_vu_khi_suy_ra!$A$2:$A$71,0)),MAX(1,2-(INDEX(boss_input_vu_khi!$C$2:$C$71,MATCH($C$86,boss_input_vu_khi!$A$2:$A$71,0))-$E$86)),2-(INDEX(boss_input_vu_khi!$C$2:$C$71,MATCH($C$86,boss_input_vu_khi!$A$2:$A$71,0))-$E$86))+1)))*IF(INDEX(input_xe_tham_chieu!$F$2:$F$6,MATCH($D$86,input_xe_tham_chieu!$A$2:$A$6,0)),INDEX(boss_input_vu_khi_suy_ra!$G$2:$G$71,MATCH($C$86,boss_input_vu_khi_suy_ra!$A$2:$A$71,0)),INDEX(boss_input_vu_khi_suy_ra!$F$2:$F$71,MATCH($C$86,boss_input_vu_khi_suy_ra!$A$2:$A$71,0))),0)</f>
        <v/>
      </c>
      <c r="G86" t="n">
        <v>0.85</v>
      </c>
      <c r="H86">
        <f>INDEX(boss_input_vu_khi!$B$2:$B$71,MATCH($C$86,boss_input_vu_khi!$A$2:$A$71,0))*INDEX(Boss_dps!$D$2:$D$32,MATCH($B$86,Boss_dps!$A$2:$A$32,0))*IF(INDEX(boss_input_vu_khi!$D$2:$D$71,MATCH($C$86,boss_input_vu_khi!$A$2:$A$71,0)),1,INDEX(Boss_dps!$B$2:$B$32,MATCH($B$86,Boss_dps!$A$2:$A$32,0)))*INDEX(Boss_dps!$C$2:$C$32,MATCH($B$86,Boss_dps!$A$2:$A$32,0))*$F$86</f>
        <v/>
      </c>
      <c r="I86" t="n">
        <v>92.81999999999999</v>
      </c>
      <c r="J86">
        <f>IF($H$86&gt;0,CEILING(INDEX(input_xe_tham_chieu!$C$2:$C$6,MATCH($D$86,input_xe_tham_chieu!$A$2:$A$6,0))/$H$86,1),"")</f>
        <v/>
      </c>
      <c r="K86">
        <f>IF(Boss_vu_khi!$S$82*$F$86&gt;0,INDEX(input_xe_tham_chieu!$C$2:$C$6,MATCH($D$86,input_xe_tham_chieu!$A$2:$A$6,0))/(Boss_vu_khi!$S$82*INDEX(Boss_dps!$D$2:$D$32,MATCH($B$86,Boss_dps!$A$2:$A$32,0))*$F$86),"")</f>
        <v/>
      </c>
      <c r="L86">
        <f>1+2*MIN(2,FLOOR(INDEX(boss_input_vu_khi!$E$2:$E$71,MATCH($C$86,boss_input_vu_khi!$A$2:$A$71,0))/8,1))</f>
        <v/>
      </c>
      <c r="M86">
        <f>1+2*MIN(2,FLOOR(MAX(INDEX(boss_input_vu_khi!$E$2:$E$71,MATCH($C$86,boss_input_vu_khi!$A$2:$A$71,0)),Boss_vu_khi!$L$82)/8,1))</f>
        <v/>
      </c>
      <c r="N86">
        <f>IF(INDEX(boss_input_vu_khi!$E$2:$E$71,MATCH($C$86,boss_input_vu_khi!$A$2:$A$71,0))&gt;=8,5,1)</f>
        <v/>
      </c>
      <c r="O86">
        <f>IF(MAX(INDEX(boss_input_vu_khi!$E$2:$E$71,MATCH($C$86,boss_input_vu_khi!$A$2:$A$71,0)),Boss_vu_khi!$L$82)&gt;=8,5,1)</f>
        <v/>
      </c>
      <c r="P86">
        <f>INDEX(boss_input_vu_khi_suy_ra!$H$2:$H$71,MATCH($C$86,boss_input_vu_khi_suy_ra!$A$2:$A$71,0))</f>
        <v/>
      </c>
      <c r="Q86">
        <f>IF(AND(INDEX(input_xe_tham_chieu!$G$2:$G$6,MATCH($D$86,input_xe_tham_chieu!$A$2:$A$6,0))&gt;0,INDEX(boss_input_vu_khi!$E$2:$E$71,MATCH($C$86,boss_input_vu_khi!$A$2:$A$71,0))&gt;0),INDEX(boss_input_vu_khi!$E$2:$E$71,MATCH($C$86,boss_input_vu_khi!$A$2:$A$71,0))/INDEX(input_xe_tham_chieu!$G$2:$G$6,MATCH($D$86,input_xe_tham_chieu!$A$2:$A$6,0)),"")</f>
        <v/>
      </c>
      <c r="R86">
        <f>IF(ISNUMBER($Q$86),IF($P$86&gt;=$Q$86,"DU","THIEU"),"")</f>
        <v/>
      </c>
      <c r="S86" t="inlineStr">
        <is>
          <t>Assets/MachineBrigade/Resources/Data/balance.json: vehicles[id=icarus_mk0].weapon x 01_chien_dau/Xe_tham_chieu[main_battle_tank]</t>
        </is>
      </c>
      <c r="T86" t="inlineStr"/>
    </row>
    <row r="87">
      <c r="A87" t="inlineStr">
        <is>
          <t>ixion/armored_car</t>
        </is>
      </c>
      <c r="B87" t="inlineStr">
        <is>
          <t>ixion</t>
        </is>
      </c>
      <c r="C87" t="inlineStr">
        <is>
          <t>p26_ixion_125</t>
        </is>
      </c>
      <c r="D87" t="inlineStr">
        <is>
          <t>armored_car</t>
        </is>
      </c>
      <c r="E87">
        <f>IF(INDEX(boss_input_vu_khi_suy_ra!$D$2:$D$71,MATCH($C$87,boss_input_vu_khi_suy_ra!$A$2:$A$71,0)),INDEX(input_xe_tham_chieu!$E$2:$E$6,MATCH($D$87,input_xe_tham_chieu!$A$2:$A$6,0)),INDEX(input_xe_tham_chieu!$D$2:$D$6,MATCH($D$87,input_xe_tham_chieu!$A$2:$A$6,0)))</f>
        <v/>
      </c>
      <c r="F87">
        <f>IF(INDEX(boss_input_vu_khi_suy_ra!$E$2:$E$71,MATCH($C$87,boss_input_vu_khi_suy_ra!$A$2:$A$71,0)),INDEX(boss_input_bang_xuyen_giap!$B$2:$B$7,MIN(6,MAX(1,IF(INDEX(boss_input_vu_khi_suy_ra!$D$2:$D$71,MATCH($C$87,boss_input_vu_khi_suy_ra!$A$2:$A$71,0)),MAX(1,2-(INDEX(boss_input_vu_khi!$C$2:$C$71,MATCH($C$87,boss_input_vu_khi!$A$2:$A$71,0))-$E$87)),2-(INDEX(boss_input_vu_khi!$C$2:$C$71,MATCH($C$87,boss_input_vu_khi!$A$2:$A$71,0))-$E$87))+1)))*IF(INDEX(input_xe_tham_chieu!$F$2:$F$6,MATCH($D$87,input_xe_tham_chieu!$A$2:$A$6,0)),INDEX(boss_input_vu_khi_suy_ra!$G$2:$G$71,MATCH($C$87,boss_input_vu_khi_suy_ra!$A$2:$A$71,0)),INDEX(boss_input_vu_khi_suy_ra!$F$2:$F$71,MATCH($C$87,boss_input_vu_khi_suy_ra!$A$2:$A$71,0))),0)</f>
        <v/>
      </c>
      <c r="G87" t="n">
        <v>1.2</v>
      </c>
      <c r="H87">
        <f>INDEX(boss_input_vu_khi!$B$2:$B$71,MATCH($C$87,boss_input_vu_khi!$A$2:$A$71,0))*INDEX(Boss_dps!$D$2:$D$32,MATCH($B$87,Boss_dps!$A$2:$A$32,0))*IF(INDEX(boss_input_vu_khi!$D$2:$D$71,MATCH($C$87,boss_input_vu_khi!$A$2:$A$71,0)),1,INDEX(Boss_dps!$B$2:$B$32,MATCH($B$87,Boss_dps!$A$2:$A$32,0)))*INDEX(Boss_dps!$C$2:$C$32,MATCH($B$87,Boss_dps!$A$2:$A$32,0))*$F$87</f>
        <v/>
      </c>
      <c r="I87" t="n">
        <v>1012.0896</v>
      </c>
      <c r="J87">
        <f>IF($H$87&gt;0,CEILING(INDEX(input_xe_tham_chieu!$C$2:$C$6,MATCH($D$87,input_xe_tham_chieu!$A$2:$A$6,0))/$H$87,1),"")</f>
        <v/>
      </c>
      <c r="K87">
        <f>IF(Boss_vu_khi!$S$83*$F$87&gt;0,INDEX(input_xe_tham_chieu!$C$2:$C$6,MATCH($D$87,input_xe_tham_chieu!$A$2:$A$6,0))/(Boss_vu_khi!$S$83*INDEX(Boss_dps!$D$2:$D$32,MATCH($B$87,Boss_dps!$A$2:$A$32,0))*$F$87),"")</f>
        <v/>
      </c>
      <c r="L87">
        <f>1+2*MIN(2,FLOOR(INDEX(boss_input_vu_khi!$E$2:$E$71,MATCH($C$87,boss_input_vu_khi!$A$2:$A$71,0))/8,1))</f>
        <v/>
      </c>
      <c r="M87">
        <f>1+2*MIN(2,FLOOR(MAX(INDEX(boss_input_vu_khi!$E$2:$E$71,MATCH($C$87,boss_input_vu_khi!$A$2:$A$71,0)),Boss_vu_khi!$L$83)/8,1))</f>
        <v/>
      </c>
      <c r="N87">
        <f>IF(INDEX(boss_input_vu_khi!$E$2:$E$71,MATCH($C$87,boss_input_vu_khi!$A$2:$A$71,0))&gt;=8,5,1)</f>
        <v/>
      </c>
      <c r="O87">
        <f>IF(MAX(INDEX(boss_input_vu_khi!$E$2:$E$71,MATCH($C$87,boss_input_vu_khi!$A$2:$A$71,0)),Boss_vu_khi!$L$83)&gt;=8,5,1)</f>
        <v/>
      </c>
      <c r="P87">
        <f>INDEX(boss_input_vu_khi_suy_ra!$H$2:$H$71,MATCH($C$87,boss_input_vu_khi_suy_ra!$A$2:$A$71,0))</f>
        <v/>
      </c>
      <c r="Q87">
        <f>IF(AND(INDEX(input_xe_tham_chieu!$G$2:$G$6,MATCH($D$87,input_xe_tham_chieu!$A$2:$A$6,0))&gt;0,INDEX(boss_input_vu_khi!$E$2:$E$71,MATCH($C$87,boss_input_vu_khi!$A$2:$A$71,0))&gt;0),INDEX(boss_input_vu_khi!$E$2:$E$71,MATCH($C$87,boss_input_vu_khi!$A$2:$A$71,0))/INDEX(input_xe_tham_chieu!$G$2:$G$6,MATCH($D$87,input_xe_tham_chieu!$A$2:$A$6,0)),"")</f>
        <v/>
      </c>
      <c r="R87">
        <f>IF(ISNUMBER($Q$87),IF($P$87&gt;=$Q$87,"DU","THIEU"),"")</f>
        <v/>
      </c>
      <c r="S87" t="inlineStr">
        <is>
          <t>Assets/MachineBrigade/Resources/Data/balance.json: vehicles[id=ixion].weapon x 01_chien_dau/Xe_tham_chieu[armored_car]</t>
        </is>
      </c>
      <c r="T87" t="inlineStr"/>
    </row>
    <row r="88">
      <c r="A88" t="inlineStr">
        <is>
          <t>ixion/gun_turret</t>
        </is>
      </c>
      <c r="B88" t="inlineStr">
        <is>
          <t>ixion</t>
        </is>
      </c>
      <c r="C88" t="inlineStr">
        <is>
          <t>p26_ixion_125</t>
        </is>
      </c>
      <c r="D88" t="inlineStr">
        <is>
          <t>gun_turret</t>
        </is>
      </c>
      <c r="E88">
        <f>IF(INDEX(boss_input_vu_khi_suy_ra!$D$2:$D$71,MATCH($C$88,boss_input_vu_khi_suy_ra!$A$2:$A$71,0)),INDEX(input_xe_tham_chieu!$E$2:$E$6,MATCH($D$88,input_xe_tham_chieu!$A$2:$A$6,0)),INDEX(input_xe_tham_chieu!$D$2:$D$6,MATCH($D$88,input_xe_tham_chieu!$A$2:$A$6,0)))</f>
        <v/>
      </c>
      <c r="F88">
        <f>IF(INDEX(boss_input_vu_khi_suy_ra!$E$2:$E$71,MATCH($C$88,boss_input_vu_khi_suy_ra!$A$2:$A$71,0)),INDEX(boss_input_bang_xuyen_giap!$B$2:$B$7,MIN(6,MAX(1,IF(INDEX(boss_input_vu_khi_suy_ra!$D$2:$D$71,MATCH($C$88,boss_input_vu_khi_suy_ra!$A$2:$A$71,0)),MAX(1,2-(INDEX(boss_input_vu_khi!$C$2:$C$71,MATCH($C$88,boss_input_vu_khi!$A$2:$A$71,0))-$E$88)),2-(INDEX(boss_input_vu_khi!$C$2:$C$71,MATCH($C$88,boss_input_vu_khi!$A$2:$A$71,0))-$E$88))+1)))*IF(INDEX(input_xe_tham_chieu!$F$2:$F$6,MATCH($D$88,input_xe_tham_chieu!$A$2:$A$6,0)),INDEX(boss_input_vu_khi_suy_ra!$G$2:$G$71,MATCH($C$88,boss_input_vu_khi_suy_ra!$A$2:$A$71,0)),INDEX(boss_input_vu_khi_suy_ra!$F$2:$F$71,MATCH($C$88,boss_input_vu_khi_suy_ra!$A$2:$A$71,0))),0)</f>
        <v/>
      </c>
      <c r="G88" t="n">
        <v>0.6</v>
      </c>
      <c r="H88">
        <f>INDEX(boss_input_vu_khi!$B$2:$B$71,MATCH($C$88,boss_input_vu_khi!$A$2:$A$71,0))*INDEX(Boss_dps!$D$2:$D$32,MATCH($B$88,Boss_dps!$A$2:$A$32,0))*IF(INDEX(boss_input_vu_khi!$D$2:$D$71,MATCH($C$88,boss_input_vu_khi!$A$2:$A$71,0)),1,INDEX(Boss_dps!$B$2:$B$32,MATCH($B$88,Boss_dps!$A$2:$A$32,0)))*INDEX(Boss_dps!$C$2:$C$32,MATCH($B$88,Boss_dps!$A$2:$A$32,0))*$F$88</f>
        <v/>
      </c>
      <c r="I88" t="n">
        <v>506.0448</v>
      </c>
      <c r="J88">
        <f>IF($H$88&gt;0,CEILING(INDEX(input_xe_tham_chieu!$C$2:$C$6,MATCH($D$88,input_xe_tham_chieu!$A$2:$A$6,0))/$H$88,1),"")</f>
        <v/>
      </c>
      <c r="K88">
        <f>IF(Boss_vu_khi!$S$83*$F$88&gt;0,INDEX(input_xe_tham_chieu!$C$2:$C$6,MATCH($D$88,input_xe_tham_chieu!$A$2:$A$6,0))/(Boss_vu_khi!$S$83*INDEX(Boss_dps!$D$2:$D$32,MATCH($B$88,Boss_dps!$A$2:$A$32,0))*$F$88),"")</f>
        <v/>
      </c>
      <c r="L88">
        <f>1+2*MIN(2,FLOOR(INDEX(boss_input_vu_khi!$E$2:$E$71,MATCH($C$88,boss_input_vu_khi!$A$2:$A$71,0))/8,1))</f>
        <v/>
      </c>
      <c r="M88">
        <f>1+2*MIN(2,FLOOR(MAX(INDEX(boss_input_vu_khi!$E$2:$E$71,MATCH($C$88,boss_input_vu_khi!$A$2:$A$71,0)),Boss_vu_khi!$L$83)/8,1))</f>
        <v/>
      </c>
      <c r="N88">
        <f>IF(INDEX(boss_input_vu_khi!$E$2:$E$71,MATCH($C$88,boss_input_vu_khi!$A$2:$A$71,0))&gt;=8,5,1)</f>
        <v/>
      </c>
      <c r="O88">
        <f>IF(MAX(INDEX(boss_input_vu_khi!$E$2:$E$71,MATCH($C$88,boss_input_vu_khi!$A$2:$A$71,0)),Boss_vu_khi!$L$83)&gt;=8,5,1)</f>
        <v/>
      </c>
      <c r="P88">
        <f>INDEX(boss_input_vu_khi_suy_ra!$H$2:$H$71,MATCH($C$88,boss_input_vu_khi_suy_ra!$A$2:$A$71,0))</f>
        <v/>
      </c>
      <c r="Q88">
        <f>IF(AND(INDEX(input_xe_tham_chieu!$G$2:$G$6,MATCH($D$88,input_xe_tham_chieu!$A$2:$A$6,0))&gt;0,INDEX(boss_input_vu_khi!$E$2:$E$71,MATCH($C$88,boss_input_vu_khi!$A$2:$A$71,0))&gt;0),INDEX(boss_input_vu_khi!$E$2:$E$71,MATCH($C$88,boss_input_vu_khi!$A$2:$A$71,0))/INDEX(input_xe_tham_chieu!$G$2:$G$6,MATCH($D$88,input_xe_tham_chieu!$A$2:$A$6,0)),"")</f>
        <v/>
      </c>
      <c r="R88">
        <f>IF(ISNUMBER($Q$88),IF($P$88&gt;=$Q$88,"DU","THIEU"),"")</f>
        <v/>
      </c>
      <c r="S88" t="inlineStr">
        <is>
          <t>Assets/MachineBrigade/Resources/Data/balance.json: vehicles[id=ixion].weapon x 01_chien_dau/Xe_tham_chieu[gun_turret]</t>
        </is>
      </c>
      <c r="T88" t="inlineStr"/>
    </row>
    <row r="89">
      <c r="A89" t="inlineStr">
        <is>
          <t>ixion/heavy_tank</t>
        </is>
      </c>
      <c r="B89" t="inlineStr">
        <is>
          <t>ixion</t>
        </is>
      </c>
      <c r="C89" t="inlineStr">
        <is>
          <t>p26_ixion_125</t>
        </is>
      </c>
      <c r="D89" t="inlineStr">
        <is>
          <t>heavy_tank</t>
        </is>
      </c>
      <c r="E89">
        <f>IF(INDEX(boss_input_vu_khi_suy_ra!$D$2:$D$71,MATCH($C$89,boss_input_vu_khi_suy_ra!$A$2:$A$71,0)),INDEX(input_xe_tham_chieu!$E$2:$E$6,MATCH($D$89,input_xe_tham_chieu!$A$2:$A$6,0)),INDEX(input_xe_tham_chieu!$D$2:$D$6,MATCH($D$89,input_xe_tham_chieu!$A$2:$A$6,0)))</f>
        <v/>
      </c>
      <c r="F89">
        <f>IF(INDEX(boss_input_vu_khi_suy_ra!$E$2:$E$71,MATCH($C$89,boss_input_vu_khi_suy_ra!$A$2:$A$71,0)),INDEX(boss_input_bang_xuyen_giap!$B$2:$B$7,MIN(6,MAX(1,IF(INDEX(boss_input_vu_khi_suy_ra!$D$2:$D$71,MATCH($C$89,boss_input_vu_khi_suy_ra!$A$2:$A$71,0)),MAX(1,2-(INDEX(boss_input_vu_khi!$C$2:$C$71,MATCH($C$89,boss_input_vu_khi!$A$2:$A$71,0))-$E$89)),2-(INDEX(boss_input_vu_khi!$C$2:$C$71,MATCH($C$89,boss_input_vu_khi!$A$2:$A$71,0))-$E$89))+1)))*IF(INDEX(input_xe_tham_chieu!$F$2:$F$6,MATCH($D$89,input_xe_tham_chieu!$A$2:$A$6,0)),INDEX(boss_input_vu_khi_suy_ra!$G$2:$G$71,MATCH($C$89,boss_input_vu_khi_suy_ra!$A$2:$A$71,0)),INDEX(boss_input_vu_khi_suy_ra!$F$2:$F$71,MATCH($C$89,boss_input_vu_khi_suy_ra!$A$2:$A$71,0))),0)</f>
        <v/>
      </c>
      <c r="G89" t="n">
        <v>0.85</v>
      </c>
      <c r="H89">
        <f>INDEX(boss_input_vu_khi!$B$2:$B$71,MATCH($C$89,boss_input_vu_khi!$A$2:$A$71,0))*INDEX(Boss_dps!$D$2:$D$32,MATCH($B$89,Boss_dps!$A$2:$A$32,0))*IF(INDEX(boss_input_vu_khi!$D$2:$D$71,MATCH($C$89,boss_input_vu_khi!$A$2:$A$71,0)),1,INDEX(Boss_dps!$B$2:$B$32,MATCH($B$89,Boss_dps!$A$2:$A$32,0)))*INDEX(Boss_dps!$C$2:$C$32,MATCH($B$89,Boss_dps!$A$2:$A$32,0))*$F$89</f>
        <v/>
      </c>
      <c r="I89" t="n">
        <v>716.8968</v>
      </c>
      <c r="J89">
        <f>IF($H$89&gt;0,CEILING(INDEX(input_xe_tham_chieu!$C$2:$C$6,MATCH($D$89,input_xe_tham_chieu!$A$2:$A$6,0))/$H$89,1),"")</f>
        <v/>
      </c>
      <c r="K89">
        <f>IF(Boss_vu_khi!$S$83*$F$89&gt;0,INDEX(input_xe_tham_chieu!$C$2:$C$6,MATCH($D$89,input_xe_tham_chieu!$A$2:$A$6,0))/(Boss_vu_khi!$S$83*INDEX(Boss_dps!$D$2:$D$32,MATCH($B$89,Boss_dps!$A$2:$A$32,0))*$F$89),"")</f>
        <v/>
      </c>
      <c r="L89">
        <f>1+2*MIN(2,FLOOR(INDEX(boss_input_vu_khi!$E$2:$E$71,MATCH($C$89,boss_input_vu_khi!$A$2:$A$71,0))/8,1))</f>
        <v/>
      </c>
      <c r="M89">
        <f>1+2*MIN(2,FLOOR(MAX(INDEX(boss_input_vu_khi!$E$2:$E$71,MATCH($C$89,boss_input_vu_khi!$A$2:$A$71,0)),Boss_vu_khi!$L$83)/8,1))</f>
        <v/>
      </c>
      <c r="N89">
        <f>IF(INDEX(boss_input_vu_khi!$E$2:$E$71,MATCH($C$89,boss_input_vu_khi!$A$2:$A$71,0))&gt;=8,5,1)</f>
        <v/>
      </c>
      <c r="O89">
        <f>IF(MAX(INDEX(boss_input_vu_khi!$E$2:$E$71,MATCH($C$89,boss_input_vu_khi!$A$2:$A$71,0)),Boss_vu_khi!$L$83)&gt;=8,5,1)</f>
        <v/>
      </c>
      <c r="P89">
        <f>INDEX(boss_input_vu_khi_suy_ra!$H$2:$H$71,MATCH($C$89,boss_input_vu_khi_suy_ra!$A$2:$A$71,0))</f>
        <v/>
      </c>
      <c r="Q89">
        <f>IF(AND(INDEX(input_xe_tham_chieu!$G$2:$G$6,MATCH($D$89,input_xe_tham_chieu!$A$2:$A$6,0))&gt;0,INDEX(boss_input_vu_khi!$E$2:$E$71,MATCH($C$89,boss_input_vu_khi!$A$2:$A$71,0))&gt;0),INDEX(boss_input_vu_khi!$E$2:$E$71,MATCH($C$89,boss_input_vu_khi!$A$2:$A$71,0))/INDEX(input_xe_tham_chieu!$G$2:$G$6,MATCH($D$89,input_xe_tham_chieu!$A$2:$A$6,0)),"")</f>
        <v/>
      </c>
      <c r="R89">
        <f>IF(ISNUMBER($Q$89),IF($P$89&gt;=$Q$89,"DU","THIEU"),"")</f>
        <v/>
      </c>
      <c r="S89" t="inlineStr">
        <is>
          <t>Assets/MachineBrigade/Resources/Data/balance.json: vehicles[id=ixion].weapon x 01_chien_dau/Xe_tham_chieu[heavy_tank]</t>
        </is>
      </c>
      <c r="T89" t="inlineStr"/>
    </row>
    <row r="90">
      <c r="A90" t="inlineStr">
        <is>
          <t>ixion/ifv</t>
        </is>
      </c>
      <c r="B90" t="inlineStr">
        <is>
          <t>ixion</t>
        </is>
      </c>
      <c r="C90" t="inlineStr">
        <is>
          <t>p26_ixion_125</t>
        </is>
      </c>
      <c r="D90" t="inlineStr">
        <is>
          <t>ifv</t>
        </is>
      </c>
      <c r="E90">
        <f>IF(INDEX(boss_input_vu_khi_suy_ra!$D$2:$D$71,MATCH($C$90,boss_input_vu_khi_suy_ra!$A$2:$A$71,0)),INDEX(input_xe_tham_chieu!$E$2:$E$6,MATCH($D$90,input_xe_tham_chieu!$A$2:$A$6,0)),INDEX(input_xe_tham_chieu!$D$2:$D$6,MATCH($D$90,input_xe_tham_chieu!$A$2:$A$6,0)))</f>
        <v/>
      </c>
      <c r="F90">
        <f>IF(INDEX(boss_input_vu_khi_suy_ra!$E$2:$E$71,MATCH($C$90,boss_input_vu_khi_suy_ra!$A$2:$A$71,0)),INDEX(boss_input_bang_xuyen_giap!$B$2:$B$7,MIN(6,MAX(1,IF(INDEX(boss_input_vu_khi_suy_ra!$D$2:$D$71,MATCH($C$90,boss_input_vu_khi_suy_ra!$A$2:$A$71,0)),MAX(1,2-(INDEX(boss_input_vu_khi!$C$2:$C$71,MATCH($C$90,boss_input_vu_khi!$A$2:$A$71,0))-$E$90)),2-(INDEX(boss_input_vu_khi!$C$2:$C$71,MATCH($C$90,boss_input_vu_khi!$A$2:$A$71,0))-$E$90))+1)))*IF(INDEX(input_xe_tham_chieu!$F$2:$F$6,MATCH($D$90,input_xe_tham_chieu!$A$2:$A$6,0)),INDEX(boss_input_vu_khi_suy_ra!$G$2:$G$71,MATCH($C$90,boss_input_vu_khi_suy_ra!$A$2:$A$71,0)),INDEX(boss_input_vu_khi_suy_ra!$F$2:$F$71,MATCH($C$90,boss_input_vu_khi_suy_ra!$A$2:$A$71,0))),0)</f>
        <v/>
      </c>
      <c r="G90" t="n">
        <v>1.2</v>
      </c>
      <c r="H90">
        <f>INDEX(boss_input_vu_khi!$B$2:$B$71,MATCH($C$90,boss_input_vu_khi!$A$2:$A$71,0))*INDEX(Boss_dps!$D$2:$D$32,MATCH($B$90,Boss_dps!$A$2:$A$32,0))*IF(INDEX(boss_input_vu_khi!$D$2:$D$71,MATCH($C$90,boss_input_vu_khi!$A$2:$A$71,0)),1,INDEX(Boss_dps!$B$2:$B$32,MATCH($B$90,Boss_dps!$A$2:$A$32,0)))*INDEX(Boss_dps!$C$2:$C$32,MATCH($B$90,Boss_dps!$A$2:$A$32,0))*$F$90</f>
        <v/>
      </c>
      <c r="I90" t="n">
        <v>1012.0896</v>
      </c>
      <c r="J90">
        <f>IF($H$90&gt;0,CEILING(INDEX(input_xe_tham_chieu!$C$2:$C$6,MATCH($D$90,input_xe_tham_chieu!$A$2:$A$6,0))/$H$90,1),"")</f>
        <v/>
      </c>
      <c r="K90">
        <f>IF(Boss_vu_khi!$S$83*$F$90&gt;0,INDEX(input_xe_tham_chieu!$C$2:$C$6,MATCH($D$90,input_xe_tham_chieu!$A$2:$A$6,0))/(Boss_vu_khi!$S$83*INDEX(Boss_dps!$D$2:$D$32,MATCH($B$90,Boss_dps!$A$2:$A$32,0))*$F$90),"")</f>
        <v/>
      </c>
      <c r="L90">
        <f>1+2*MIN(2,FLOOR(INDEX(boss_input_vu_khi!$E$2:$E$71,MATCH($C$90,boss_input_vu_khi!$A$2:$A$71,0))/8,1))</f>
        <v/>
      </c>
      <c r="M90">
        <f>1+2*MIN(2,FLOOR(MAX(INDEX(boss_input_vu_khi!$E$2:$E$71,MATCH($C$90,boss_input_vu_khi!$A$2:$A$71,0)),Boss_vu_khi!$L$83)/8,1))</f>
        <v/>
      </c>
      <c r="N90">
        <f>IF(INDEX(boss_input_vu_khi!$E$2:$E$71,MATCH($C$90,boss_input_vu_khi!$A$2:$A$71,0))&gt;=8,5,1)</f>
        <v/>
      </c>
      <c r="O90">
        <f>IF(MAX(INDEX(boss_input_vu_khi!$E$2:$E$71,MATCH($C$90,boss_input_vu_khi!$A$2:$A$71,0)),Boss_vu_khi!$L$83)&gt;=8,5,1)</f>
        <v/>
      </c>
      <c r="P90">
        <f>INDEX(boss_input_vu_khi_suy_ra!$H$2:$H$71,MATCH($C$90,boss_input_vu_khi_suy_ra!$A$2:$A$71,0))</f>
        <v/>
      </c>
      <c r="Q90">
        <f>IF(AND(INDEX(input_xe_tham_chieu!$G$2:$G$6,MATCH($D$90,input_xe_tham_chieu!$A$2:$A$6,0))&gt;0,INDEX(boss_input_vu_khi!$E$2:$E$71,MATCH($C$90,boss_input_vu_khi!$A$2:$A$71,0))&gt;0),INDEX(boss_input_vu_khi!$E$2:$E$71,MATCH($C$90,boss_input_vu_khi!$A$2:$A$71,0))/INDEX(input_xe_tham_chieu!$G$2:$G$6,MATCH($D$90,input_xe_tham_chieu!$A$2:$A$6,0)),"")</f>
        <v/>
      </c>
      <c r="R90">
        <f>IF(ISNUMBER($Q$90),IF($P$90&gt;=$Q$90,"DU","THIEU"),"")</f>
        <v/>
      </c>
      <c r="S90" t="inlineStr">
        <is>
          <t>Assets/MachineBrigade/Resources/Data/balance.json: vehicles[id=ixion].weapon x 01_chien_dau/Xe_tham_chieu[ifv]</t>
        </is>
      </c>
      <c r="T90" t="inlineStr"/>
    </row>
    <row r="91">
      <c r="A91" t="inlineStr">
        <is>
          <t>ixion/main_battle_tank</t>
        </is>
      </c>
      <c r="B91" t="inlineStr">
        <is>
          <t>ixion</t>
        </is>
      </c>
      <c r="C91" t="inlineStr">
        <is>
          <t>p26_ixion_125</t>
        </is>
      </c>
      <c r="D91" t="inlineStr">
        <is>
          <t>main_battle_tank</t>
        </is>
      </c>
      <c r="E91">
        <f>IF(INDEX(boss_input_vu_khi_suy_ra!$D$2:$D$71,MATCH($C$91,boss_input_vu_khi_suy_ra!$A$2:$A$71,0)),INDEX(input_xe_tham_chieu!$E$2:$E$6,MATCH($D$91,input_xe_tham_chieu!$A$2:$A$6,0)),INDEX(input_xe_tham_chieu!$D$2:$D$6,MATCH($D$91,input_xe_tham_chieu!$A$2:$A$6,0)))</f>
        <v/>
      </c>
      <c r="F91">
        <f>IF(INDEX(boss_input_vu_khi_suy_ra!$E$2:$E$71,MATCH($C$91,boss_input_vu_khi_suy_ra!$A$2:$A$71,0)),INDEX(boss_input_bang_xuyen_giap!$B$2:$B$7,MIN(6,MAX(1,IF(INDEX(boss_input_vu_khi_suy_ra!$D$2:$D$71,MATCH($C$91,boss_input_vu_khi_suy_ra!$A$2:$A$71,0)),MAX(1,2-(INDEX(boss_input_vu_khi!$C$2:$C$71,MATCH($C$91,boss_input_vu_khi!$A$2:$A$71,0))-$E$91)),2-(INDEX(boss_input_vu_khi!$C$2:$C$71,MATCH($C$91,boss_input_vu_khi!$A$2:$A$71,0))-$E$91))+1)))*IF(INDEX(input_xe_tham_chieu!$F$2:$F$6,MATCH($D$91,input_xe_tham_chieu!$A$2:$A$6,0)),INDEX(boss_input_vu_khi_suy_ra!$G$2:$G$71,MATCH($C$91,boss_input_vu_khi_suy_ra!$A$2:$A$71,0)),INDEX(boss_input_vu_khi_suy_ra!$F$2:$F$71,MATCH($C$91,boss_input_vu_khi_suy_ra!$A$2:$A$71,0))),0)</f>
        <v/>
      </c>
      <c r="G91" t="n">
        <v>0.85</v>
      </c>
      <c r="H91">
        <f>INDEX(boss_input_vu_khi!$B$2:$B$71,MATCH($C$91,boss_input_vu_khi!$A$2:$A$71,0))*INDEX(Boss_dps!$D$2:$D$32,MATCH($B$91,Boss_dps!$A$2:$A$32,0))*IF(INDEX(boss_input_vu_khi!$D$2:$D$71,MATCH($C$91,boss_input_vu_khi!$A$2:$A$71,0)),1,INDEX(Boss_dps!$B$2:$B$32,MATCH($B$91,Boss_dps!$A$2:$A$32,0)))*INDEX(Boss_dps!$C$2:$C$32,MATCH($B$91,Boss_dps!$A$2:$A$32,0))*$F$91</f>
        <v/>
      </c>
      <c r="I91" t="n">
        <v>716.8968</v>
      </c>
      <c r="J91">
        <f>IF($H$91&gt;0,CEILING(INDEX(input_xe_tham_chieu!$C$2:$C$6,MATCH($D$91,input_xe_tham_chieu!$A$2:$A$6,0))/$H$91,1),"")</f>
        <v/>
      </c>
      <c r="K91">
        <f>IF(Boss_vu_khi!$S$83*$F$91&gt;0,INDEX(input_xe_tham_chieu!$C$2:$C$6,MATCH($D$91,input_xe_tham_chieu!$A$2:$A$6,0))/(Boss_vu_khi!$S$83*INDEX(Boss_dps!$D$2:$D$32,MATCH($B$91,Boss_dps!$A$2:$A$32,0))*$F$91),"")</f>
        <v/>
      </c>
      <c r="L91">
        <f>1+2*MIN(2,FLOOR(INDEX(boss_input_vu_khi!$E$2:$E$71,MATCH($C$91,boss_input_vu_khi!$A$2:$A$71,0))/8,1))</f>
        <v/>
      </c>
      <c r="M91">
        <f>1+2*MIN(2,FLOOR(MAX(INDEX(boss_input_vu_khi!$E$2:$E$71,MATCH($C$91,boss_input_vu_khi!$A$2:$A$71,0)),Boss_vu_khi!$L$83)/8,1))</f>
        <v/>
      </c>
      <c r="N91">
        <f>IF(INDEX(boss_input_vu_khi!$E$2:$E$71,MATCH($C$91,boss_input_vu_khi!$A$2:$A$71,0))&gt;=8,5,1)</f>
        <v/>
      </c>
      <c r="O91">
        <f>IF(MAX(INDEX(boss_input_vu_khi!$E$2:$E$71,MATCH($C$91,boss_input_vu_khi!$A$2:$A$71,0)),Boss_vu_khi!$L$83)&gt;=8,5,1)</f>
        <v/>
      </c>
      <c r="P91">
        <f>INDEX(boss_input_vu_khi_suy_ra!$H$2:$H$71,MATCH($C$91,boss_input_vu_khi_suy_ra!$A$2:$A$71,0))</f>
        <v/>
      </c>
      <c r="Q91">
        <f>IF(AND(INDEX(input_xe_tham_chieu!$G$2:$G$6,MATCH($D$91,input_xe_tham_chieu!$A$2:$A$6,0))&gt;0,INDEX(boss_input_vu_khi!$E$2:$E$71,MATCH($C$91,boss_input_vu_khi!$A$2:$A$71,0))&gt;0),INDEX(boss_input_vu_khi!$E$2:$E$71,MATCH($C$91,boss_input_vu_khi!$A$2:$A$71,0))/INDEX(input_xe_tham_chieu!$G$2:$G$6,MATCH($D$91,input_xe_tham_chieu!$A$2:$A$6,0)),"")</f>
        <v/>
      </c>
      <c r="R91">
        <f>IF(ISNUMBER($Q$91),IF($P$91&gt;=$Q$91,"DU","THIEU"),"")</f>
        <v/>
      </c>
      <c r="S91" t="inlineStr">
        <is>
          <t>Assets/MachineBrigade/Resources/Data/balance.json: vehicles[id=ixion].weapon x 01_chien_dau/Xe_tham_chieu[main_battle_tank]</t>
        </is>
      </c>
      <c r="T91" t="inlineStr"/>
    </row>
    <row r="92">
      <c r="A92" t="inlineStr">
        <is>
          <t>kraken/armored_car</t>
        </is>
      </c>
      <c r="B92" t="inlineStr">
        <is>
          <t>kraken</t>
        </is>
      </c>
      <c r="C92" t="inlineStr">
        <is>
          <t>p26_leviathan_lev406</t>
        </is>
      </c>
      <c r="D92" t="inlineStr">
        <is>
          <t>armored_car</t>
        </is>
      </c>
      <c r="E92">
        <f>IF(INDEX(boss_input_vu_khi_suy_ra!$D$2:$D$71,MATCH($C$92,boss_input_vu_khi_suy_ra!$A$2:$A$71,0)),INDEX(input_xe_tham_chieu!$E$2:$E$6,MATCH($D$92,input_xe_tham_chieu!$A$2:$A$6,0)),INDEX(input_xe_tham_chieu!$D$2:$D$6,MATCH($D$92,input_xe_tham_chieu!$A$2:$A$6,0)))</f>
        <v/>
      </c>
      <c r="F92">
        <f>IF(INDEX(boss_input_vu_khi_suy_ra!$E$2:$E$71,MATCH($C$92,boss_input_vu_khi_suy_ra!$A$2:$A$71,0)),INDEX(boss_input_bang_xuyen_giap!$B$2:$B$7,MIN(6,MAX(1,IF(INDEX(boss_input_vu_khi_suy_ra!$D$2:$D$71,MATCH($C$92,boss_input_vu_khi_suy_ra!$A$2:$A$71,0)),MAX(1,2-(INDEX(boss_input_vu_khi!$C$2:$C$71,MATCH($C$92,boss_input_vu_khi!$A$2:$A$71,0))-$E$92)),2-(INDEX(boss_input_vu_khi!$C$2:$C$71,MATCH($C$92,boss_input_vu_khi!$A$2:$A$71,0))-$E$92))+1)))*IF(INDEX(input_xe_tham_chieu!$F$2:$F$6,MATCH($D$92,input_xe_tham_chieu!$A$2:$A$6,0)),INDEX(boss_input_vu_khi_suy_ra!$G$2:$G$71,MATCH($C$92,boss_input_vu_khi_suy_ra!$A$2:$A$71,0)),INDEX(boss_input_vu_khi_suy_ra!$F$2:$F$71,MATCH($C$92,boss_input_vu_khi_suy_ra!$A$2:$A$71,0))),0)</f>
        <v/>
      </c>
      <c r="G92" t="n">
        <v>1.2</v>
      </c>
      <c r="H92">
        <f>INDEX(boss_input_vu_khi!$B$2:$B$71,MATCH($C$92,boss_input_vu_khi!$A$2:$A$71,0))*INDEX(Boss_dps!$D$2:$D$32,MATCH($B$92,Boss_dps!$A$2:$A$32,0))*IF(INDEX(boss_input_vu_khi!$D$2:$D$71,MATCH($C$92,boss_input_vu_khi!$A$2:$A$71,0)),1,INDEX(Boss_dps!$B$2:$B$32,MATCH($B$92,Boss_dps!$A$2:$A$32,0)))*INDEX(Boss_dps!$C$2:$C$32,MATCH($B$92,Boss_dps!$A$2:$A$32,0))*$F$92</f>
        <v/>
      </c>
      <c r="I92" t="n">
        <v>3902.1696</v>
      </c>
      <c r="J92">
        <f>IF($H$92&gt;0,CEILING(INDEX(input_xe_tham_chieu!$C$2:$C$6,MATCH($D$92,input_xe_tham_chieu!$A$2:$A$6,0))/$H$92,1),"")</f>
        <v/>
      </c>
      <c r="K92">
        <f>IF(Boss_vu_khi!$S$86*$F$92&gt;0,INDEX(input_xe_tham_chieu!$C$2:$C$6,MATCH($D$92,input_xe_tham_chieu!$A$2:$A$6,0))/(Boss_vu_khi!$S$86*INDEX(Boss_dps!$D$2:$D$32,MATCH($B$92,Boss_dps!$A$2:$A$32,0))*$F$92),"")</f>
        <v/>
      </c>
      <c r="L92">
        <f>1+2*MIN(2,FLOOR(INDEX(boss_input_vu_khi!$E$2:$E$71,MATCH($C$92,boss_input_vu_khi!$A$2:$A$71,0))/8,1))</f>
        <v/>
      </c>
      <c r="M92">
        <f>1+2*MIN(2,FLOOR(MAX(INDEX(boss_input_vu_khi!$E$2:$E$71,MATCH($C$92,boss_input_vu_khi!$A$2:$A$71,0)),Boss_vu_khi!$L$86)/8,1))</f>
        <v/>
      </c>
      <c r="N92">
        <f>IF(INDEX(boss_input_vu_khi!$E$2:$E$71,MATCH($C$92,boss_input_vu_khi!$A$2:$A$71,0))&gt;=8,5,1)</f>
        <v/>
      </c>
      <c r="O92">
        <f>IF(MAX(INDEX(boss_input_vu_khi!$E$2:$E$71,MATCH($C$92,boss_input_vu_khi!$A$2:$A$71,0)),Boss_vu_khi!$L$86)&gt;=8,5,1)</f>
        <v/>
      </c>
      <c r="P92">
        <f>INDEX(boss_input_vu_khi_suy_ra!$H$2:$H$71,MATCH($C$92,boss_input_vu_khi_suy_ra!$A$2:$A$71,0))</f>
        <v/>
      </c>
      <c r="Q92">
        <f>IF(AND(INDEX(input_xe_tham_chieu!$G$2:$G$6,MATCH($D$92,input_xe_tham_chieu!$A$2:$A$6,0))&gt;0,INDEX(boss_input_vu_khi!$E$2:$E$71,MATCH($C$92,boss_input_vu_khi!$A$2:$A$71,0))&gt;0),INDEX(boss_input_vu_khi!$E$2:$E$71,MATCH($C$92,boss_input_vu_khi!$A$2:$A$71,0))/INDEX(input_xe_tham_chieu!$G$2:$G$6,MATCH($D$92,input_xe_tham_chieu!$A$2:$A$6,0)),"")</f>
        <v/>
      </c>
      <c r="R92">
        <f>IF(ISNUMBER($Q$92),IF($P$92&gt;=$Q$92,"DU","THIEU"),"")</f>
        <v/>
      </c>
      <c r="S92" t="inlineStr">
        <is>
          <t>Assets/MachineBrigade/Resources/Data/balance.json: vehicles[id=kraken].weapon x 01_chien_dau/Xe_tham_chieu[armored_car]</t>
        </is>
      </c>
      <c r="T92" t="inlineStr"/>
    </row>
    <row r="93">
      <c r="A93" t="inlineStr">
        <is>
          <t>kraken/gun_turret</t>
        </is>
      </c>
      <c r="B93" t="inlineStr">
        <is>
          <t>kraken</t>
        </is>
      </c>
      <c r="C93" t="inlineStr">
        <is>
          <t>p26_leviathan_lev406</t>
        </is>
      </c>
      <c r="D93" t="inlineStr">
        <is>
          <t>gun_turret</t>
        </is>
      </c>
      <c r="E93">
        <f>IF(INDEX(boss_input_vu_khi_suy_ra!$D$2:$D$71,MATCH($C$93,boss_input_vu_khi_suy_ra!$A$2:$A$71,0)),INDEX(input_xe_tham_chieu!$E$2:$E$6,MATCH($D$93,input_xe_tham_chieu!$A$2:$A$6,0)),INDEX(input_xe_tham_chieu!$D$2:$D$6,MATCH($D$93,input_xe_tham_chieu!$A$2:$A$6,0)))</f>
        <v/>
      </c>
      <c r="F93">
        <f>IF(INDEX(boss_input_vu_khi_suy_ra!$E$2:$E$71,MATCH($C$93,boss_input_vu_khi_suy_ra!$A$2:$A$71,0)),INDEX(boss_input_bang_xuyen_giap!$B$2:$B$7,MIN(6,MAX(1,IF(INDEX(boss_input_vu_khi_suy_ra!$D$2:$D$71,MATCH($C$93,boss_input_vu_khi_suy_ra!$A$2:$A$71,0)),MAX(1,2-(INDEX(boss_input_vu_khi!$C$2:$C$71,MATCH($C$93,boss_input_vu_khi!$A$2:$A$71,0))-$E$93)),2-(INDEX(boss_input_vu_khi!$C$2:$C$71,MATCH($C$93,boss_input_vu_khi!$A$2:$A$71,0))-$E$93))+1)))*IF(INDEX(input_xe_tham_chieu!$F$2:$F$6,MATCH($D$93,input_xe_tham_chieu!$A$2:$A$6,0)),INDEX(boss_input_vu_khi_suy_ra!$G$2:$G$71,MATCH($C$93,boss_input_vu_khi_suy_ra!$A$2:$A$71,0)),INDEX(boss_input_vu_khi_suy_ra!$F$2:$F$71,MATCH($C$93,boss_input_vu_khi_suy_ra!$A$2:$A$71,0))),0)</f>
        <v/>
      </c>
      <c r="G93" t="n">
        <v>1.5</v>
      </c>
      <c r="H93">
        <f>INDEX(boss_input_vu_khi!$B$2:$B$71,MATCH($C$93,boss_input_vu_khi!$A$2:$A$71,0))*INDEX(Boss_dps!$D$2:$D$32,MATCH($B$93,Boss_dps!$A$2:$A$32,0))*IF(INDEX(boss_input_vu_khi!$D$2:$D$71,MATCH($C$93,boss_input_vu_khi!$A$2:$A$71,0)),1,INDEX(Boss_dps!$B$2:$B$32,MATCH($B$93,Boss_dps!$A$2:$A$32,0)))*INDEX(Boss_dps!$C$2:$C$32,MATCH($B$93,Boss_dps!$A$2:$A$32,0))*$F$93</f>
        <v/>
      </c>
      <c r="I93" t="n">
        <v>4877.712</v>
      </c>
      <c r="J93">
        <f>IF($H$93&gt;0,CEILING(INDEX(input_xe_tham_chieu!$C$2:$C$6,MATCH($D$93,input_xe_tham_chieu!$A$2:$A$6,0))/$H$93,1),"")</f>
        <v/>
      </c>
      <c r="K93">
        <f>IF(Boss_vu_khi!$S$86*$F$93&gt;0,INDEX(input_xe_tham_chieu!$C$2:$C$6,MATCH($D$93,input_xe_tham_chieu!$A$2:$A$6,0))/(Boss_vu_khi!$S$86*INDEX(Boss_dps!$D$2:$D$32,MATCH($B$93,Boss_dps!$A$2:$A$32,0))*$F$93),"")</f>
        <v/>
      </c>
      <c r="L93">
        <f>1+2*MIN(2,FLOOR(INDEX(boss_input_vu_khi!$E$2:$E$71,MATCH($C$93,boss_input_vu_khi!$A$2:$A$71,0))/8,1))</f>
        <v/>
      </c>
      <c r="M93">
        <f>1+2*MIN(2,FLOOR(MAX(INDEX(boss_input_vu_khi!$E$2:$E$71,MATCH($C$93,boss_input_vu_khi!$A$2:$A$71,0)),Boss_vu_khi!$L$86)/8,1))</f>
        <v/>
      </c>
      <c r="N93">
        <f>IF(INDEX(boss_input_vu_khi!$E$2:$E$71,MATCH($C$93,boss_input_vu_khi!$A$2:$A$71,0))&gt;=8,5,1)</f>
        <v/>
      </c>
      <c r="O93">
        <f>IF(MAX(INDEX(boss_input_vu_khi!$E$2:$E$71,MATCH($C$93,boss_input_vu_khi!$A$2:$A$71,0)),Boss_vu_khi!$L$86)&gt;=8,5,1)</f>
        <v/>
      </c>
      <c r="P93">
        <f>INDEX(boss_input_vu_khi_suy_ra!$H$2:$H$71,MATCH($C$93,boss_input_vu_khi_suy_ra!$A$2:$A$71,0))</f>
        <v/>
      </c>
      <c r="Q93">
        <f>IF(AND(INDEX(input_xe_tham_chieu!$G$2:$G$6,MATCH($D$93,input_xe_tham_chieu!$A$2:$A$6,0))&gt;0,INDEX(boss_input_vu_khi!$E$2:$E$71,MATCH($C$93,boss_input_vu_khi!$A$2:$A$71,0))&gt;0),INDEX(boss_input_vu_khi!$E$2:$E$71,MATCH($C$93,boss_input_vu_khi!$A$2:$A$71,0))/INDEX(input_xe_tham_chieu!$G$2:$G$6,MATCH($D$93,input_xe_tham_chieu!$A$2:$A$6,0)),"")</f>
        <v/>
      </c>
      <c r="R93">
        <f>IF(ISNUMBER($Q$93),IF($P$93&gt;=$Q$93,"DU","THIEU"),"")</f>
        <v/>
      </c>
      <c r="S93" t="inlineStr">
        <is>
          <t>Assets/MachineBrigade/Resources/Data/balance.json: vehicles[id=kraken].weapon x 01_chien_dau/Xe_tham_chieu[gun_turret]</t>
        </is>
      </c>
      <c r="T93" t="inlineStr"/>
    </row>
    <row r="94">
      <c r="A94" t="inlineStr">
        <is>
          <t>kraken/heavy_tank</t>
        </is>
      </c>
      <c r="B94" t="inlineStr">
        <is>
          <t>kraken</t>
        </is>
      </c>
      <c r="C94" t="inlineStr">
        <is>
          <t>p26_leviathan_lev406</t>
        </is>
      </c>
      <c r="D94" t="inlineStr">
        <is>
          <t>heavy_tank</t>
        </is>
      </c>
      <c r="E94">
        <f>IF(INDEX(boss_input_vu_khi_suy_ra!$D$2:$D$71,MATCH($C$94,boss_input_vu_khi_suy_ra!$A$2:$A$71,0)),INDEX(input_xe_tham_chieu!$E$2:$E$6,MATCH($D$94,input_xe_tham_chieu!$A$2:$A$6,0)),INDEX(input_xe_tham_chieu!$D$2:$D$6,MATCH($D$94,input_xe_tham_chieu!$A$2:$A$6,0)))</f>
        <v/>
      </c>
      <c r="F94">
        <f>IF(INDEX(boss_input_vu_khi_suy_ra!$E$2:$E$71,MATCH($C$94,boss_input_vu_khi_suy_ra!$A$2:$A$71,0)),INDEX(boss_input_bang_xuyen_giap!$B$2:$B$7,MIN(6,MAX(1,IF(INDEX(boss_input_vu_khi_suy_ra!$D$2:$D$71,MATCH($C$94,boss_input_vu_khi_suy_ra!$A$2:$A$71,0)),MAX(1,2-(INDEX(boss_input_vu_khi!$C$2:$C$71,MATCH($C$94,boss_input_vu_khi!$A$2:$A$71,0))-$E$94)),2-(INDEX(boss_input_vu_khi!$C$2:$C$71,MATCH($C$94,boss_input_vu_khi!$A$2:$A$71,0))-$E$94))+1)))*IF(INDEX(input_xe_tham_chieu!$F$2:$F$6,MATCH($D$94,input_xe_tham_chieu!$A$2:$A$6,0)),INDEX(boss_input_vu_khi_suy_ra!$G$2:$G$71,MATCH($C$94,boss_input_vu_khi_suy_ra!$A$2:$A$71,0)),INDEX(boss_input_vu_khi_suy_ra!$F$2:$F$71,MATCH($C$94,boss_input_vu_khi_suy_ra!$A$2:$A$71,0))),0)</f>
        <v/>
      </c>
      <c r="G94" t="n">
        <v>0.85</v>
      </c>
      <c r="H94">
        <f>INDEX(boss_input_vu_khi!$B$2:$B$71,MATCH($C$94,boss_input_vu_khi!$A$2:$A$71,0))*INDEX(Boss_dps!$D$2:$D$32,MATCH($B$94,Boss_dps!$A$2:$A$32,0))*IF(INDEX(boss_input_vu_khi!$D$2:$D$71,MATCH($C$94,boss_input_vu_khi!$A$2:$A$71,0)),1,INDEX(Boss_dps!$B$2:$B$32,MATCH($B$94,Boss_dps!$A$2:$A$32,0)))*INDEX(Boss_dps!$C$2:$C$32,MATCH($B$94,Boss_dps!$A$2:$A$32,0))*$F$94</f>
        <v/>
      </c>
      <c r="I94" t="n">
        <v>2764.0368</v>
      </c>
      <c r="J94">
        <f>IF($H$94&gt;0,CEILING(INDEX(input_xe_tham_chieu!$C$2:$C$6,MATCH($D$94,input_xe_tham_chieu!$A$2:$A$6,0))/$H$94,1),"")</f>
        <v/>
      </c>
      <c r="K94">
        <f>IF(Boss_vu_khi!$S$86*$F$94&gt;0,INDEX(input_xe_tham_chieu!$C$2:$C$6,MATCH($D$94,input_xe_tham_chieu!$A$2:$A$6,0))/(Boss_vu_khi!$S$86*INDEX(Boss_dps!$D$2:$D$32,MATCH($B$94,Boss_dps!$A$2:$A$32,0))*$F$94),"")</f>
        <v/>
      </c>
      <c r="L94">
        <f>1+2*MIN(2,FLOOR(INDEX(boss_input_vu_khi!$E$2:$E$71,MATCH($C$94,boss_input_vu_khi!$A$2:$A$71,0))/8,1))</f>
        <v/>
      </c>
      <c r="M94">
        <f>1+2*MIN(2,FLOOR(MAX(INDEX(boss_input_vu_khi!$E$2:$E$71,MATCH($C$94,boss_input_vu_khi!$A$2:$A$71,0)),Boss_vu_khi!$L$86)/8,1))</f>
        <v/>
      </c>
      <c r="N94">
        <f>IF(INDEX(boss_input_vu_khi!$E$2:$E$71,MATCH($C$94,boss_input_vu_khi!$A$2:$A$71,0))&gt;=8,5,1)</f>
        <v/>
      </c>
      <c r="O94">
        <f>IF(MAX(INDEX(boss_input_vu_khi!$E$2:$E$71,MATCH($C$94,boss_input_vu_khi!$A$2:$A$71,0)),Boss_vu_khi!$L$86)&gt;=8,5,1)</f>
        <v/>
      </c>
      <c r="P94">
        <f>INDEX(boss_input_vu_khi_suy_ra!$H$2:$H$71,MATCH($C$94,boss_input_vu_khi_suy_ra!$A$2:$A$71,0))</f>
        <v/>
      </c>
      <c r="Q94">
        <f>IF(AND(INDEX(input_xe_tham_chieu!$G$2:$G$6,MATCH($D$94,input_xe_tham_chieu!$A$2:$A$6,0))&gt;0,INDEX(boss_input_vu_khi!$E$2:$E$71,MATCH($C$94,boss_input_vu_khi!$A$2:$A$71,0))&gt;0),INDEX(boss_input_vu_khi!$E$2:$E$71,MATCH($C$94,boss_input_vu_khi!$A$2:$A$71,0))/INDEX(input_xe_tham_chieu!$G$2:$G$6,MATCH($D$94,input_xe_tham_chieu!$A$2:$A$6,0)),"")</f>
        <v/>
      </c>
      <c r="R94">
        <f>IF(ISNUMBER($Q$94),IF($P$94&gt;=$Q$94,"DU","THIEU"),"")</f>
        <v/>
      </c>
      <c r="S94" t="inlineStr">
        <is>
          <t>Assets/MachineBrigade/Resources/Data/balance.json: vehicles[id=kraken].weapon x 01_chien_dau/Xe_tham_chieu[heavy_tank]</t>
        </is>
      </c>
      <c r="T94" t="inlineStr"/>
    </row>
    <row r="95">
      <c r="A95" t="inlineStr">
        <is>
          <t>kraken/ifv</t>
        </is>
      </c>
      <c r="B95" t="inlineStr">
        <is>
          <t>kraken</t>
        </is>
      </c>
      <c r="C95" t="inlineStr">
        <is>
          <t>p26_leviathan_lev406</t>
        </is>
      </c>
      <c r="D95" t="inlineStr">
        <is>
          <t>ifv</t>
        </is>
      </c>
      <c r="E95">
        <f>IF(INDEX(boss_input_vu_khi_suy_ra!$D$2:$D$71,MATCH($C$95,boss_input_vu_khi_suy_ra!$A$2:$A$71,0)),INDEX(input_xe_tham_chieu!$E$2:$E$6,MATCH($D$95,input_xe_tham_chieu!$A$2:$A$6,0)),INDEX(input_xe_tham_chieu!$D$2:$D$6,MATCH($D$95,input_xe_tham_chieu!$A$2:$A$6,0)))</f>
        <v/>
      </c>
      <c r="F95">
        <f>IF(INDEX(boss_input_vu_khi_suy_ra!$E$2:$E$71,MATCH($C$95,boss_input_vu_khi_suy_ra!$A$2:$A$71,0)),INDEX(boss_input_bang_xuyen_giap!$B$2:$B$7,MIN(6,MAX(1,IF(INDEX(boss_input_vu_khi_suy_ra!$D$2:$D$71,MATCH($C$95,boss_input_vu_khi_suy_ra!$A$2:$A$71,0)),MAX(1,2-(INDEX(boss_input_vu_khi!$C$2:$C$71,MATCH($C$95,boss_input_vu_khi!$A$2:$A$71,0))-$E$95)),2-(INDEX(boss_input_vu_khi!$C$2:$C$71,MATCH($C$95,boss_input_vu_khi!$A$2:$A$71,0))-$E$95))+1)))*IF(INDEX(input_xe_tham_chieu!$F$2:$F$6,MATCH($D$95,input_xe_tham_chieu!$A$2:$A$6,0)),INDEX(boss_input_vu_khi_suy_ra!$G$2:$G$71,MATCH($C$95,boss_input_vu_khi_suy_ra!$A$2:$A$71,0)),INDEX(boss_input_vu_khi_suy_ra!$F$2:$F$71,MATCH($C$95,boss_input_vu_khi_suy_ra!$A$2:$A$71,0))),0)</f>
        <v/>
      </c>
      <c r="G95" t="n">
        <v>1.2</v>
      </c>
      <c r="H95">
        <f>INDEX(boss_input_vu_khi!$B$2:$B$71,MATCH($C$95,boss_input_vu_khi!$A$2:$A$71,0))*INDEX(Boss_dps!$D$2:$D$32,MATCH($B$95,Boss_dps!$A$2:$A$32,0))*IF(INDEX(boss_input_vu_khi!$D$2:$D$71,MATCH($C$95,boss_input_vu_khi!$A$2:$A$71,0)),1,INDEX(Boss_dps!$B$2:$B$32,MATCH($B$95,Boss_dps!$A$2:$A$32,0)))*INDEX(Boss_dps!$C$2:$C$32,MATCH($B$95,Boss_dps!$A$2:$A$32,0))*$F$95</f>
        <v/>
      </c>
      <c r="I95" t="n">
        <v>3902.1696</v>
      </c>
      <c r="J95">
        <f>IF($H$95&gt;0,CEILING(INDEX(input_xe_tham_chieu!$C$2:$C$6,MATCH($D$95,input_xe_tham_chieu!$A$2:$A$6,0))/$H$95,1),"")</f>
        <v/>
      </c>
      <c r="K95">
        <f>IF(Boss_vu_khi!$S$86*$F$95&gt;0,INDEX(input_xe_tham_chieu!$C$2:$C$6,MATCH($D$95,input_xe_tham_chieu!$A$2:$A$6,0))/(Boss_vu_khi!$S$86*INDEX(Boss_dps!$D$2:$D$32,MATCH($B$95,Boss_dps!$A$2:$A$32,0))*$F$95),"")</f>
        <v/>
      </c>
      <c r="L95">
        <f>1+2*MIN(2,FLOOR(INDEX(boss_input_vu_khi!$E$2:$E$71,MATCH($C$95,boss_input_vu_khi!$A$2:$A$71,0))/8,1))</f>
        <v/>
      </c>
      <c r="M95">
        <f>1+2*MIN(2,FLOOR(MAX(INDEX(boss_input_vu_khi!$E$2:$E$71,MATCH($C$95,boss_input_vu_khi!$A$2:$A$71,0)),Boss_vu_khi!$L$86)/8,1))</f>
        <v/>
      </c>
      <c r="N95">
        <f>IF(INDEX(boss_input_vu_khi!$E$2:$E$71,MATCH($C$95,boss_input_vu_khi!$A$2:$A$71,0))&gt;=8,5,1)</f>
        <v/>
      </c>
      <c r="O95">
        <f>IF(MAX(INDEX(boss_input_vu_khi!$E$2:$E$71,MATCH($C$95,boss_input_vu_khi!$A$2:$A$71,0)),Boss_vu_khi!$L$86)&gt;=8,5,1)</f>
        <v/>
      </c>
      <c r="P95">
        <f>INDEX(boss_input_vu_khi_suy_ra!$H$2:$H$71,MATCH($C$95,boss_input_vu_khi_suy_ra!$A$2:$A$71,0))</f>
        <v/>
      </c>
      <c r="Q95">
        <f>IF(AND(INDEX(input_xe_tham_chieu!$G$2:$G$6,MATCH($D$95,input_xe_tham_chieu!$A$2:$A$6,0))&gt;0,INDEX(boss_input_vu_khi!$E$2:$E$71,MATCH($C$95,boss_input_vu_khi!$A$2:$A$71,0))&gt;0),INDEX(boss_input_vu_khi!$E$2:$E$71,MATCH($C$95,boss_input_vu_khi!$A$2:$A$71,0))/INDEX(input_xe_tham_chieu!$G$2:$G$6,MATCH($D$95,input_xe_tham_chieu!$A$2:$A$6,0)),"")</f>
        <v/>
      </c>
      <c r="R95">
        <f>IF(ISNUMBER($Q$95),IF($P$95&gt;=$Q$95,"DU","THIEU"),"")</f>
        <v/>
      </c>
      <c r="S95" t="inlineStr">
        <is>
          <t>Assets/MachineBrigade/Resources/Data/balance.json: vehicles[id=kraken].weapon x 01_chien_dau/Xe_tham_chieu[ifv]</t>
        </is>
      </c>
      <c r="T95" t="inlineStr"/>
    </row>
    <row r="96">
      <c r="A96" t="inlineStr">
        <is>
          <t>kraken/main_battle_tank</t>
        </is>
      </c>
      <c r="B96" t="inlineStr">
        <is>
          <t>kraken</t>
        </is>
      </c>
      <c r="C96" t="inlineStr">
        <is>
          <t>p26_leviathan_lev406</t>
        </is>
      </c>
      <c r="D96" t="inlineStr">
        <is>
          <t>main_battle_tank</t>
        </is>
      </c>
      <c r="E96">
        <f>IF(INDEX(boss_input_vu_khi_suy_ra!$D$2:$D$71,MATCH($C$96,boss_input_vu_khi_suy_ra!$A$2:$A$71,0)),INDEX(input_xe_tham_chieu!$E$2:$E$6,MATCH($D$96,input_xe_tham_chieu!$A$2:$A$6,0)),INDEX(input_xe_tham_chieu!$D$2:$D$6,MATCH($D$96,input_xe_tham_chieu!$A$2:$A$6,0)))</f>
        <v/>
      </c>
      <c r="F96">
        <f>IF(INDEX(boss_input_vu_khi_suy_ra!$E$2:$E$71,MATCH($C$96,boss_input_vu_khi_suy_ra!$A$2:$A$71,0)),INDEX(boss_input_bang_xuyen_giap!$B$2:$B$7,MIN(6,MAX(1,IF(INDEX(boss_input_vu_khi_suy_ra!$D$2:$D$71,MATCH($C$96,boss_input_vu_khi_suy_ra!$A$2:$A$71,0)),MAX(1,2-(INDEX(boss_input_vu_khi!$C$2:$C$71,MATCH($C$96,boss_input_vu_khi!$A$2:$A$71,0))-$E$96)),2-(INDEX(boss_input_vu_khi!$C$2:$C$71,MATCH($C$96,boss_input_vu_khi!$A$2:$A$71,0))-$E$96))+1)))*IF(INDEX(input_xe_tham_chieu!$F$2:$F$6,MATCH($D$96,input_xe_tham_chieu!$A$2:$A$6,0)),INDEX(boss_input_vu_khi_suy_ra!$G$2:$G$71,MATCH($C$96,boss_input_vu_khi_suy_ra!$A$2:$A$71,0)),INDEX(boss_input_vu_khi_suy_ra!$F$2:$F$71,MATCH($C$96,boss_input_vu_khi_suy_ra!$A$2:$A$71,0))),0)</f>
        <v/>
      </c>
      <c r="G96" t="n">
        <v>0.85</v>
      </c>
      <c r="H96">
        <f>INDEX(boss_input_vu_khi!$B$2:$B$71,MATCH($C$96,boss_input_vu_khi!$A$2:$A$71,0))*INDEX(Boss_dps!$D$2:$D$32,MATCH($B$96,Boss_dps!$A$2:$A$32,0))*IF(INDEX(boss_input_vu_khi!$D$2:$D$71,MATCH($C$96,boss_input_vu_khi!$A$2:$A$71,0)),1,INDEX(Boss_dps!$B$2:$B$32,MATCH($B$96,Boss_dps!$A$2:$A$32,0)))*INDEX(Boss_dps!$C$2:$C$32,MATCH($B$96,Boss_dps!$A$2:$A$32,0))*$F$96</f>
        <v/>
      </c>
      <c r="I96" t="n">
        <v>2764.0368</v>
      </c>
      <c r="J96">
        <f>IF($H$96&gt;0,CEILING(INDEX(input_xe_tham_chieu!$C$2:$C$6,MATCH($D$96,input_xe_tham_chieu!$A$2:$A$6,0))/$H$96,1),"")</f>
        <v/>
      </c>
      <c r="K96">
        <f>IF(Boss_vu_khi!$S$86*$F$96&gt;0,INDEX(input_xe_tham_chieu!$C$2:$C$6,MATCH($D$96,input_xe_tham_chieu!$A$2:$A$6,0))/(Boss_vu_khi!$S$86*INDEX(Boss_dps!$D$2:$D$32,MATCH($B$96,Boss_dps!$A$2:$A$32,0))*$F$96),"")</f>
        <v/>
      </c>
      <c r="L96">
        <f>1+2*MIN(2,FLOOR(INDEX(boss_input_vu_khi!$E$2:$E$71,MATCH($C$96,boss_input_vu_khi!$A$2:$A$71,0))/8,1))</f>
        <v/>
      </c>
      <c r="M96">
        <f>1+2*MIN(2,FLOOR(MAX(INDEX(boss_input_vu_khi!$E$2:$E$71,MATCH($C$96,boss_input_vu_khi!$A$2:$A$71,0)),Boss_vu_khi!$L$86)/8,1))</f>
        <v/>
      </c>
      <c r="N96">
        <f>IF(INDEX(boss_input_vu_khi!$E$2:$E$71,MATCH($C$96,boss_input_vu_khi!$A$2:$A$71,0))&gt;=8,5,1)</f>
        <v/>
      </c>
      <c r="O96">
        <f>IF(MAX(INDEX(boss_input_vu_khi!$E$2:$E$71,MATCH($C$96,boss_input_vu_khi!$A$2:$A$71,0)),Boss_vu_khi!$L$86)&gt;=8,5,1)</f>
        <v/>
      </c>
      <c r="P96">
        <f>INDEX(boss_input_vu_khi_suy_ra!$H$2:$H$71,MATCH($C$96,boss_input_vu_khi_suy_ra!$A$2:$A$71,0))</f>
        <v/>
      </c>
      <c r="Q96">
        <f>IF(AND(INDEX(input_xe_tham_chieu!$G$2:$G$6,MATCH($D$96,input_xe_tham_chieu!$A$2:$A$6,0))&gt;0,INDEX(boss_input_vu_khi!$E$2:$E$71,MATCH($C$96,boss_input_vu_khi!$A$2:$A$71,0))&gt;0),INDEX(boss_input_vu_khi!$E$2:$E$71,MATCH($C$96,boss_input_vu_khi!$A$2:$A$71,0))/INDEX(input_xe_tham_chieu!$G$2:$G$6,MATCH($D$96,input_xe_tham_chieu!$A$2:$A$6,0)),"")</f>
        <v/>
      </c>
      <c r="R96">
        <f>IF(ISNUMBER($Q$96),IF($P$96&gt;=$Q$96,"DU","THIEU"),"")</f>
        <v/>
      </c>
      <c r="S96" t="inlineStr">
        <is>
          <t>Assets/MachineBrigade/Resources/Data/balance.json: vehicles[id=kraken].weapon x 01_chien_dau/Xe_tham_chieu[main_battle_tank]</t>
        </is>
      </c>
      <c r="T96" t="inlineStr"/>
    </row>
    <row r="97">
      <c r="A97" t="inlineStr">
        <is>
          <t>landing_hovercraft/armored_car</t>
        </is>
      </c>
      <c r="B97" t="inlineStr">
        <is>
          <t>landing_hovercraft</t>
        </is>
      </c>
      <c r="C97" t="inlineStr">
        <is>
          <t>hover_ciws</t>
        </is>
      </c>
      <c r="D97" t="inlineStr">
        <is>
          <t>armored_car</t>
        </is>
      </c>
      <c r="E97">
        <f>IF(INDEX(boss_input_vu_khi_suy_ra!$D$2:$D$71,MATCH($C$97,boss_input_vu_khi_suy_ra!$A$2:$A$71,0)),INDEX(input_xe_tham_chieu!$E$2:$E$6,MATCH($D$97,input_xe_tham_chieu!$A$2:$A$6,0)),INDEX(input_xe_tham_chieu!$D$2:$D$6,MATCH($D$97,input_xe_tham_chieu!$A$2:$A$6,0)))</f>
        <v/>
      </c>
      <c r="F97">
        <f>IF(INDEX(boss_input_vu_khi_suy_ra!$E$2:$E$71,MATCH($C$97,boss_input_vu_khi_suy_ra!$A$2:$A$71,0)),INDEX(boss_input_bang_xuyen_giap!$B$2:$B$7,MIN(6,MAX(1,IF(INDEX(boss_input_vu_khi_suy_ra!$D$2:$D$71,MATCH($C$97,boss_input_vu_khi_suy_ra!$A$2:$A$71,0)),MAX(1,2-(INDEX(boss_input_vu_khi!$C$2:$C$71,MATCH($C$97,boss_input_vu_khi!$A$2:$A$71,0))-$E$97)),2-(INDEX(boss_input_vu_khi!$C$2:$C$71,MATCH($C$97,boss_input_vu_khi!$A$2:$A$71,0))-$E$97))+1)))*IF(INDEX(input_xe_tham_chieu!$F$2:$F$6,MATCH($D$97,input_xe_tham_chieu!$A$2:$A$6,0)),INDEX(boss_input_vu_khi_suy_ra!$G$2:$G$71,MATCH($C$97,boss_input_vu_khi_suy_ra!$A$2:$A$71,0)),INDEX(boss_input_vu_khi_suy_ra!$F$2:$F$71,MATCH($C$97,boss_input_vu_khi_suy_ra!$A$2:$A$71,0))),0)</f>
        <v/>
      </c>
      <c r="G97" t="n">
        <v>1</v>
      </c>
      <c r="H97">
        <f>INDEX(boss_input_vu_khi!$B$2:$B$71,MATCH($C$97,boss_input_vu_khi!$A$2:$A$71,0))*INDEX(Boss_dps!$D$2:$D$32,MATCH($B$97,Boss_dps!$A$2:$A$32,0))*IF(INDEX(boss_input_vu_khi!$D$2:$D$71,MATCH($C$97,boss_input_vu_khi!$A$2:$A$71,0)),1,INDEX(Boss_dps!$B$2:$B$32,MATCH($B$97,Boss_dps!$A$2:$A$32,0)))*INDEX(Boss_dps!$C$2:$C$32,MATCH($B$97,Boss_dps!$A$2:$A$32,0))*$F$97</f>
        <v/>
      </c>
      <c r="I97" t="n">
        <v>61.96319999999999</v>
      </c>
      <c r="J97">
        <f>IF($H$97&gt;0,CEILING(INDEX(input_xe_tham_chieu!$C$2:$C$6,MATCH($D$97,input_xe_tham_chieu!$A$2:$A$6,0))/$H$97,1),"")</f>
        <v/>
      </c>
      <c r="K97">
        <f>IF(Boss_vu_khi!$S$102*$F$97&gt;0,INDEX(input_xe_tham_chieu!$C$2:$C$6,MATCH($D$97,input_xe_tham_chieu!$A$2:$A$6,0))/(Boss_vu_khi!$S$102*INDEX(Boss_dps!$D$2:$D$32,MATCH($B$97,Boss_dps!$A$2:$A$32,0))*$F$97),"")</f>
        <v/>
      </c>
      <c r="L97">
        <f>1+2*MIN(2,FLOOR(INDEX(boss_input_vu_khi!$E$2:$E$71,MATCH($C$97,boss_input_vu_khi!$A$2:$A$71,0))/8,1))</f>
        <v/>
      </c>
      <c r="M97">
        <f>1+2*MIN(2,FLOOR(MAX(INDEX(boss_input_vu_khi!$E$2:$E$71,MATCH($C$97,boss_input_vu_khi!$A$2:$A$71,0)),Boss_vu_khi!$L$102)/8,1))</f>
        <v/>
      </c>
      <c r="N97">
        <f>IF(INDEX(boss_input_vu_khi!$E$2:$E$71,MATCH($C$97,boss_input_vu_khi!$A$2:$A$71,0))&gt;=8,5,1)</f>
        <v/>
      </c>
      <c r="O97">
        <f>IF(MAX(INDEX(boss_input_vu_khi!$E$2:$E$71,MATCH($C$97,boss_input_vu_khi!$A$2:$A$71,0)),Boss_vu_khi!$L$102)&gt;=8,5,1)</f>
        <v/>
      </c>
      <c r="P97">
        <f>INDEX(boss_input_vu_khi_suy_ra!$H$2:$H$71,MATCH($C$97,boss_input_vu_khi_suy_ra!$A$2:$A$71,0))</f>
        <v/>
      </c>
      <c r="Q97">
        <f>IF(AND(INDEX(input_xe_tham_chieu!$G$2:$G$6,MATCH($D$97,input_xe_tham_chieu!$A$2:$A$6,0))&gt;0,INDEX(boss_input_vu_khi!$E$2:$E$71,MATCH($C$97,boss_input_vu_khi!$A$2:$A$71,0))&gt;0),INDEX(boss_input_vu_khi!$E$2:$E$71,MATCH($C$97,boss_input_vu_khi!$A$2:$A$71,0))/INDEX(input_xe_tham_chieu!$G$2:$G$6,MATCH($D$97,input_xe_tham_chieu!$A$2:$A$6,0)),"")</f>
        <v/>
      </c>
      <c r="R97">
        <f>IF(ISNUMBER($Q$97),IF($P$97&gt;=$Q$97,"DU","THIEU"),"")</f>
        <v/>
      </c>
      <c r="S97" t="inlineStr">
        <is>
          <t>Assets/MachineBrigade/Resources/Data/balance.json: vehicles[id=landing_hovercraft].weapon x 01_chien_dau/Xe_tham_chieu[armored_car]</t>
        </is>
      </c>
      <c r="T97" t="inlineStr"/>
    </row>
    <row r="98">
      <c r="A98" t="inlineStr">
        <is>
          <t>landing_hovercraft/gun_turret</t>
        </is>
      </c>
      <c r="B98" t="inlineStr">
        <is>
          <t>landing_hovercraft</t>
        </is>
      </c>
      <c r="C98" t="inlineStr">
        <is>
          <t>hover_ciws</t>
        </is>
      </c>
      <c r="D98" t="inlineStr">
        <is>
          <t>gun_turret</t>
        </is>
      </c>
      <c r="E98">
        <f>IF(INDEX(boss_input_vu_khi_suy_ra!$D$2:$D$71,MATCH($C$98,boss_input_vu_khi_suy_ra!$A$2:$A$71,0)),INDEX(input_xe_tham_chieu!$E$2:$E$6,MATCH($D$98,input_xe_tham_chieu!$A$2:$A$6,0)),INDEX(input_xe_tham_chieu!$D$2:$D$6,MATCH($D$98,input_xe_tham_chieu!$A$2:$A$6,0)))</f>
        <v/>
      </c>
      <c r="F98">
        <f>IF(INDEX(boss_input_vu_khi_suy_ra!$E$2:$E$71,MATCH($C$98,boss_input_vu_khi_suy_ra!$A$2:$A$71,0)),INDEX(boss_input_bang_xuyen_giap!$B$2:$B$7,MIN(6,MAX(1,IF(INDEX(boss_input_vu_khi_suy_ra!$D$2:$D$71,MATCH($C$98,boss_input_vu_khi_suy_ra!$A$2:$A$71,0)),MAX(1,2-(INDEX(boss_input_vu_khi!$C$2:$C$71,MATCH($C$98,boss_input_vu_khi!$A$2:$A$71,0))-$E$98)),2-(INDEX(boss_input_vu_khi!$C$2:$C$71,MATCH($C$98,boss_input_vu_khi!$A$2:$A$71,0))-$E$98))+1)))*IF(INDEX(input_xe_tham_chieu!$F$2:$F$6,MATCH($D$98,input_xe_tham_chieu!$A$2:$A$6,0)),INDEX(boss_input_vu_khi_suy_ra!$G$2:$G$71,MATCH($C$98,boss_input_vu_khi_suy_ra!$A$2:$A$71,0)),INDEX(boss_input_vu_khi_suy_ra!$F$2:$F$71,MATCH($C$98,boss_input_vu_khi_suy_ra!$A$2:$A$71,0))),0)</f>
        <v/>
      </c>
      <c r="G98" t="n">
        <v>0.3</v>
      </c>
      <c r="H98">
        <f>INDEX(boss_input_vu_khi!$B$2:$B$71,MATCH($C$98,boss_input_vu_khi!$A$2:$A$71,0))*INDEX(Boss_dps!$D$2:$D$32,MATCH($B$98,Boss_dps!$A$2:$A$32,0))*IF(INDEX(boss_input_vu_khi!$D$2:$D$71,MATCH($C$98,boss_input_vu_khi!$A$2:$A$71,0)),1,INDEX(Boss_dps!$B$2:$B$32,MATCH($B$98,Boss_dps!$A$2:$A$32,0)))*INDEX(Boss_dps!$C$2:$C$32,MATCH($B$98,Boss_dps!$A$2:$A$32,0))*$F$98</f>
        <v/>
      </c>
      <c r="I98" t="n">
        <v>18.58896</v>
      </c>
      <c r="J98">
        <f>IF($H$98&gt;0,CEILING(INDEX(input_xe_tham_chieu!$C$2:$C$6,MATCH($D$98,input_xe_tham_chieu!$A$2:$A$6,0))/$H$98,1),"")</f>
        <v/>
      </c>
      <c r="K98">
        <f>IF(Boss_vu_khi!$S$102*$F$98&gt;0,INDEX(input_xe_tham_chieu!$C$2:$C$6,MATCH($D$98,input_xe_tham_chieu!$A$2:$A$6,0))/(Boss_vu_khi!$S$102*INDEX(Boss_dps!$D$2:$D$32,MATCH($B$98,Boss_dps!$A$2:$A$32,0))*$F$98),"")</f>
        <v/>
      </c>
      <c r="L98">
        <f>1+2*MIN(2,FLOOR(INDEX(boss_input_vu_khi!$E$2:$E$71,MATCH($C$98,boss_input_vu_khi!$A$2:$A$71,0))/8,1))</f>
        <v/>
      </c>
      <c r="M98">
        <f>1+2*MIN(2,FLOOR(MAX(INDEX(boss_input_vu_khi!$E$2:$E$71,MATCH($C$98,boss_input_vu_khi!$A$2:$A$71,0)),Boss_vu_khi!$L$102)/8,1))</f>
        <v/>
      </c>
      <c r="N98">
        <f>IF(INDEX(boss_input_vu_khi!$E$2:$E$71,MATCH($C$98,boss_input_vu_khi!$A$2:$A$71,0))&gt;=8,5,1)</f>
        <v/>
      </c>
      <c r="O98">
        <f>IF(MAX(INDEX(boss_input_vu_khi!$E$2:$E$71,MATCH($C$98,boss_input_vu_khi!$A$2:$A$71,0)),Boss_vu_khi!$L$102)&gt;=8,5,1)</f>
        <v/>
      </c>
      <c r="P98">
        <f>INDEX(boss_input_vu_khi_suy_ra!$H$2:$H$71,MATCH($C$98,boss_input_vu_khi_suy_ra!$A$2:$A$71,0))</f>
        <v/>
      </c>
      <c r="Q98">
        <f>IF(AND(INDEX(input_xe_tham_chieu!$G$2:$G$6,MATCH($D$98,input_xe_tham_chieu!$A$2:$A$6,0))&gt;0,INDEX(boss_input_vu_khi!$E$2:$E$71,MATCH($C$98,boss_input_vu_khi!$A$2:$A$71,0))&gt;0),INDEX(boss_input_vu_khi!$E$2:$E$71,MATCH($C$98,boss_input_vu_khi!$A$2:$A$71,0))/INDEX(input_xe_tham_chieu!$G$2:$G$6,MATCH($D$98,input_xe_tham_chieu!$A$2:$A$6,0)),"")</f>
        <v/>
      </c>
      <c r="R98">
        <f>IF(ISNUMBER($Q$98),IF($P$98&gt;=$Q$98,"DU","THIEU"),"")</f>
        <v/>
      </c>
      <c r="S98" t="inlineStr">
        <is>
          <t>Assets/MachineBrigade/Resources/Data/balance.json: vehicles[id=landing_hovercraft].weapon x 01_chien_dau/Xe_tham_chieu[gun_turret]</t>
        </is>
      </c>
      <c r="T98" t="inlineStr"/>
    </row>
    <row r="99">
      <c r="A99" t="inlineStr">
        <is>
          <t>landing_hovercraft/heavy_tank</t>
        </is>
      </c>
      <c r="B99" t="inlineStr">
        <is>
          <t>landing_hovercraft</t>
        </is>
      </c>
      <c r="C99" t="inlineStr">
        <is>
          <t>hover_ciws</t>
        </is>
      </c>
      <c r="D99" t="inlineStr">
        <is>
          <t>heavy_tank</t>
        </is>
      </c>
      <c r="E99">
        <f>IF(INDEX(boss_input_vu_khi_suy_ra!$D$2:$D$71,MATCH($C$99,boss_input_vu_khi_suy_ra!$A$2:$A$71,0)),INDEX(input_xe_tham_chieu!$E$2:$E$6,MATCH($D$99,input_xe_tham_chieu!$A$2:$A$6,0)),INDEX(input_xe_tham_chieu!$D$2:$D$6,MATCH($D$99,input_xe_tham_chieu!$A$2:$A$6,0)))</f>
        <v/>
      </c>
      <c r="F99">
        <f>IF(INDEX(boss_input_vu_khi_suy_ra!$E$2:$E$71,MATCH($C$99,boss_input_vu_khi_suy_ra!$A$2:$A$71,0)),INDEX(boss_input_bang_xuyen_giap!$B$2:$B$7,MIN(6,MAX(1,IF(INDEX(boss_input_vu_khi_suy_ra!$D$2:$D$71,MATCH($C$99,boss_input_vu_khi_suy_ra!$A$2:$A$71,0)),MAX(1,2-(INDEX(boss_input_vu_khi!$C$2:$C$71,MATCH($C$99,boss_input_vu_khi!$A$2:$A$71,0))-$E$99)),2-(INDEX(boss_input_vu_khi!$C$2:$C$71,MATCH($C$99,boss_input_vu_khi!$A$2:$A$71,0))-$E$99))+1)))*IF(INDEX(input_xe_tham_chieu!$F$2:$F$6,MATCH($D$99,input_xe_tham_chieu!$A$2:$A$6,0)),INDEX(boss_input_vu_khi_suy_ra!$G$2:$G$71,MATCH($C$99,boss_input_vu_khi_suy_ra!$A$2:$A$71,0)),INDEX(boss_input_vu_khi_suy_ra!$F$2:$F$71,MATCH($C$99,boss_input_vu_khi_suy_ra!$A$2:$A$71,0))),0)</f>
        <v/>
      </c>
      <c r="G99" t="n">
        <v>0.25</v>
      </c>
      <c r="H99">
        <f>INDEX(boss_input_vu_khi!$B$2:$B$71,MATCH($C$99,boss_input_vu_khi!$A$2:$A$71,0))*INDEX(Boss_dps!$D$2:$D$32,MATCH($B$99,Boss_dps!$A$2:$A$32,0))*IF(INDEX(boss_input_vu_khi!$D$2:$D$71,MATCH($C$99,boss_input_vu_khi!$A$2:$A$71,0)),1,INDEX(Boss_dps!$B$2:$B$32,MATCH($B$99,Boss_dps!$A$2:$A$32,0)))*INDEX(Boss_dps!$C$2:$C$32,MATCH($B$99,Boss_dps!$A$2:$A$32,0))*$F$99</f>
        <v/>
      </c>
      <c r="I99" t="n">
        <v>15.4908</v>
      </c>
      <c r="J99">
        <f>IF($H$99&gt;0,CEILING(INDEX(input_xe_tham_chieu!$C$2:$C$6,MATCH($D$99,input_xe_tham_chieu!$A$2:$A$6,0))/$H$99,1),"")</f>
        <v/>
      </c>
      <c r="K99">
        <f>IF(Boss_vu_khi!$S$102*$F$99&gt;0,INDEX(input_xe_tham_chieu!$C$2:$C$6,MATCH($D$99,input_xe_tham_chieu!$A$2:$A$6,0))/(Boss_vu_khi!$S$102*INDEX(Boss_dps!$D$2:$D$32,MATCH($B$99,Boss_dps!$A$2:$A$32,0))*$F$99),"")</f>
        <v/>
      </c>
      <c r="L99">
        <f>1+2*MIN(2,FLOOR(INDEX(boss_input_vu_khi!$E$2:$E$71,MATCH($C$99,boss_input_vu_khi!$A$2:$A$71,0))/8,1))</f>
        <v/>
      </c>
      <c r="M99">
        <f>1+2*MIN(2,FLOOR(MAX(INDEX(boss_input_vu_khi!$E$2:$E$71,MATCH($C$99,boss_input_vu_khi!$A$2:$A$71,0)),Boss_vu_khi!$L$102)/8,1))</f>
        <v/>
      </c>
      <c r="N99">
        <f>IF(INDEX(boss_input_vu_khi!$E$2:$E$71,MATCH($C$99,boss_input_vu_khi!$A$2:$A$71,0))&gt;=8,5,1)</f>
        <v/>
      </c>
      <c r="O99">
        <f>IF(MAX(INDEX(boss_input_vu_khi!$E$2:$E$71,MATCH($C$99,boss_input_vu_khi!$A$2:$A$71,0)),Boss_vu_khi!$L$102)&gt;=8,5,1)</f>
        <v/>
      </c>
      <c r="P99">
        <f>INDEX(boss_input_vu_khi_suy_ra!$H$2:$H$71,MATCH($C$99,boss_input_vu_khi_suy_ra!$A$2:$A$71,0))</f>
        <v/>
      </c>
      <c r="Q99">
        <f>IF(AND(INDEX(input_xe_tham_chieu!$G$2:$G$6,MATCH($D$99,input_xe_tham_chieu!$A$2:$A$6,0))&gt;0,INDEX(boss_input_vu_khi!$E$2:$E$71,MATCH($C$99,boss_input_vu_khi!$A$2:$A$71,0))&gt;0),INDEX(boss_input_vu_khi!$E$2:$E$71,MATCH($C$99,boss_input_vu_khi!$A$2:$A$71,0))/INDEX(input_xe_tham_chieu!$G$2:$G$6,MATCH($D$99,input_xe_tham_chieu!$A$2:$A$6,0)),"")</f>
        <v/>
      </c>
      <c r="R99">
        <f>IF(ISNUMBER($Q$99),IF($P$99&gt;=$Q$99,"DU","THIEU"),"")</f>
        <v/>
      </c>
      <c r="S99" t="inlineStr">
        <is>
          <t>Assets/MachineBrigade/Resources/Data/balance.json: vehicles[id=landing_hovercraft].weapon x 01_chien_dau/Xe_tham_chieu[heavy_tank]</t>
        </is>
      </c>
      <c r="T99" t="inlineStr"/>
    </row>
    <row r="100">
      <c r="A100" t="inlineStr">
        <is>
          <t>landing_hovercraft/ifv</t>
        </is>
      </c>
      <c r="B100" t="inlineStr">
        <is>
          <t>landing_hovercraft</t>
        </is>
      </c>
      <c r="C100" t="inlineStr">
        <is>
          <t>hover_ciws</t>
        </is>
      </c>
      <c r="D100" t="inlineStr">
        <is>
          <t>ifv</t>
        </is>
      </c>
      <c r="E100">
        <f>IF(INDEX(boss_input_vu_khi_suy_ra!$D$2:$D$71,MATCH($C$100,boss_input_vu_khi_suy_ra!$A$2:$A$71,0)),INDEX(input_xe_tham_chieu!$E$2:$E$6,MATCH($D$100,input_xe_tham_chieu!$A$2:$A$6,0)),INDEX(input_xe_tham_chieu!$D$2:$D$6,MATCH($D$100,input_xe_tham_chieu!$A$2:$A$6,0)))</f>
        <v/>
      </c>
      <c r="F100">
        <f>IF(INDEX(boss_input_vu_khi_suy_ra!$E$2:$E$71,MATCH($C$100,boss_input_vu_khi_suy_ra!$A$2:$A$71,0)),INDEX(boss_input_bang_xuyen_giap!$B$2:$B$7,MIN(6,MAX(1,IF(INDEX(boss_input_vu_khi_suy_ra!$D$2:$D$71,MATCH($C$100,boss_input_vu_khi_suy_ra!$A$2:$A$71,0)),MAX(1,2-(INDEX(boss_input_vu_khi!$C$2:$C$71,MATCH($C$100,boss_input_vu_khi!$A$2:$A$71,0))-$E$100)),2-(INDEX(boss_input_vu_khi!$C$2:$C$71,MATCH($C$100,boss_input_vu_khi!$A$2:$A$71,0))-$E$100))+1)))*IF(INDEX(input_xe_tham_chieu!$F$2:$F$6,MATCH($D$100,input_xe_tham_chieu!$A$2:$A$6,0)),INDEX(boss_input_vu_khi_suy_ra!$G$2:$G$71,MATCH($C$100,boss_input_vu_khi_suy_ra!$A$2:$A$71,0)),INDEX(boss_input_vu_khi_suy_ra!$F$2:$F$71,MATCH($C$100,boss_input_vu_khi_suy_ra!$A$2:$A$71,0))),0)</f>
        <v/>
      </c>
      <c r="G100" t="n">
        <v>0.85</v>
      </c>
      <c r="H100">
        <f>INDEX(boss_input_vu_khi!$B$2:$B$71,MATCH($C$100,boss_input_vu_khi!$A$2:$A$71,0))*INDEX(Boss_dps!$D$2:$D$32,MATCH($B$100,Boss_dps!$A$2:$A$32,0))*IF(INDEX(boss_input_vu_khi!$D$2:$D$71,MATCH($C$100,boss_input_vu_khi!$A$2:$A$71,0)),1,INDEX(Boss_dps!$B$2:$B$32,MATCH($B$100,Boss_dps!$A$2:$A$32,0)))*INDEX(Boss_dps!$C$2:$C$32,MATCH($B$100,Boss_dps!$A$2:$A$32,0))*$F$100</f>
        <v/>
      </c>
      <c r="I100" t="n">
        <v>52.66871999999999</v>
      </c>
      <c r="J100">
        <f>IF($H$100&gt;0,CEILING(INDEX(input_xe_tham_chieu!$C$2:$C$6,MATCH($D$100,input_xe_tham_chieu!$A$2:$A$6,0))/$H$100,1),"")</f>
        <v/>
      </c>
      <c r="K100">
        <f>IF(Boss_vu_khi!$S$102*$F$100&gt;0,INDEX(input_xe_tham_chieu!$C$2:$C$6,MATCH($D$100,input_xe_tham_chieu!$A$2:$A$6,0))/(Boss_vu_khi!$S$102*INDEX(Boss_dps!$D$2:$D$32,MATCH($B$100,Boss_dps!$A$2:$A$32,0))*$F$100),"")</f>
        <v/>
      </c>
      <c r="L100">
        <f>1+2*MIN(2,FLOOR(INDEX(boss_input_vu_khi!$E$2:$E$71,MATCH($C$100,boss_input_vu_khi!$A$2:$A$71,0))/8,1))</f>
        <v/>
      </c>
      <c r="M100">
        <f>1+2*MIN(2,FLOOR(MAX(INDEX(boss_input_vu_khi!$E$2:$E$71,MATCH($C$100,boss_input_vu_khi!$A$2:$A$71,0)),Boss_vu_khi!$L$102)/8,1))</f>
        <v/>
      </c>
      <c r="N100">
        <f>IF(INDEX(boss_input_vu_khi!$E$2:$E$71,MATCH($C$100,boss_input_vu_khi!$A$2:$A$71,0))&gt;=8,5,1)</f>
        <v/>
      </c>
      <c r="O100">
        <f>IF(MAX(INDEX(boss_input_vu_khi!$E$2:$E$71,MATCH($C$100,boss_input_vu_khi!$A$2:$A$71,0)),Boss_vu_khi!$L$102)&gt;=8,5,1)</f>
        <v/>
      </c>
      <c r="P100">
        <f>INDEX(boss_input_vu_khi_suy_ra!$H$2:$H$71,MATCH($C$100,boss_input_vu_khi_suy_ra!$A$2:$A$71,0))</f>
        <v/>
      </c>
      <c r="Q100">
        <f>IF(AND(INDEX(input_xe_tham_chieu!$G$2:$G$6,MATCH($D$100,input_xe_tham_chieu!$A$2:$A$6,0))&gt;0,INDEX(boss_input_vu_khi!$E$2:$E$71,MATCH($C$100,boss_input_vu_khi!$A$2:$A$71,0))&gt;0),INDEX(boss_input_vu_khi!$E$2:$E$71,MATCH($C$100,boss_input_vu_khi!$A$2:$A$71,0))/INDEX(input_xe_tham_chieu!$G$2:$G$6,MATCH($D$100,input_xe_tham_chieu!$A$2:$A$6,0)),"")</f>
        <v/>
      </c>
      <c r="R100">
        <f>IF(ISNUMBER($Q$100),IF($P$100&gt;=$Q$100,"DU","THIEU"),"")</f>
        <v/>
      </c>
      <c r="S100" t="inlineStr">
        <is>
          <t>Assets/MachineBrigade/Resources/Data/balance.json: vehicles[id=landing_hovercraft].weapon x 01_chien_dau/Xe_tham_chieu[ifv]</t>
        </is>
      </c>
      <c r="T100" t="inlineStr"/>
    </row>
    <row r="101">
      <c r="A101" t="inlineStr">
        <is>
          <t>landing_hovercraft/main_battle_tank</t>
        </is>
      </c>
      <c r="B101" t="inlineStr">
        <is>
          <t>landing_hovercraft</t>
        </is>
      </c>
      <c r="C101" t="inlineStr">
        <is>
          <t>hover_ciws</t>
        </is>
      </c>
      <c r="D101" t="inlineStr">
        <is>
          <t>main_battle_tank</t>
        </is>
      </c>
      <c r="E101">
        <f>IF(INDEX(boss_input_vu_khi_suy_ra!$D$2:$D$71,MATCH($C$101,boss_input_vu_khi_suy_ra!$A$2:$A$71,0)),INDEX(input_xe_tham_chieu!$E$2:$E$6,MATCH($D$101,input_xe_tham_chieu!$A$2:$A$6,0)),INDEX(input_xe_tham_chieu!$D$2:$D$6,MATCH($D$101,input_xe_tham_chieu!$A$2:$A$6,0)))</f>
        <v/>
      </c>
      <c r="F101">
        <f>IF(INDEX(boss_input_vu_khi_suy_ra!$E$2:$E$71,MATCH($C$101,boss_input_vu_khi_suy_ra!$A$2:$A$71,0)),INDEX(boss_input_bang_xuyen_giap!$B$2:$B$7,MIN(6,MAX(1,IF(INDEX(boss_input_vu_khi_suy_ra!$D$2:$D$71,MATCH($C$101,boss_input_vu_khi_suy_ra!$A$2:$A$71,0)),MAX(1,2-(INDEX(boss_input_vu_khi!$C$2:$C$71,MATCH($C$101,boss_input_vu_khi!$A$2:$A$71,0))-$E$101)),2-(INDEX(boss_input_vu_khi!$C$2:$C$71,MATCH($C$101,boss_input_vu_khi!$A$2:$A$71,0))-$E$101))+1)))*IF(INDEX(input_xe_tham_chieu!$F$2:$F$6,MATCH($D$101,input_xe_tham_chieu!$A$2:$A$6,0)),INDEX(boss_input_vu_khi_suy_ra!$G$2:$G$71,MATCH($C$101,boss_input_vu_khi_suy_ra!$A$2:$A$71,0)),INDEX(boss_input_vu_khi_suy_ra!$F$2:$F$71,MATCH($C$101,boss_input_vu_khi_suy_ra!$A$2:$A$71,0))),0)</f>
        <v/>
      </c>
      <c r="G101" t="n">
        <v>0.25</v>
      </c>
      <c r="H101">
        <f>INDEX(boss_input_vu_khi!$B$2:$B$71,MATCH($C$101,boss_input_vu_khi!$A$2:$A$71,0))*INDEX(Boss_dps!$D$2:$D$32,MATCH($B$101,Boss_dps!$A$2:$A$32,0))*IF(INDEX(boss_input_vu_khi!$D$2:$D$71,MATCH($C$101,boss_input_vu_khi!$A$2:$A$71,0)),1,INDEX(Boss_dps!$B$2:$B$32,MATCH($B$101,Boss_dps!$A$2:$A$32,0)))*INDEX(Boss_dps!$C$2:$C$32,MATCH($B$101,Boss_dps!$A$2:$A$32,0))*$F$101</f>
        <v/>
      </c>
      <c r="I101" t="n">
        <v>15.4908</v>
      </c>
      <c r="J101">
        <f>IF($H$101&gt;0,CEILING(INDEX(input_xe_tham_chieu!$C$2:$C$6,MATCH($D$101,input_xe_tham_chieu!$A$2:$A$6,0))/$H$101,1),"")</f>
        <v/>
      </c>
      <c r="K101">
        <f>IF(Boss_vu_khi!$S$102*$F$101&gt;0,INDEX(input_xe_tham_chieu!$C$2:$C$6,MATCH($D$101,input_xe_tham_chieu!$A$2:$A$6,0))/(Boss_vu_khi!$S$102*INDEX(Boss_dps!$D$2:$D$32,MATCH($B$101,Boss_dps!$A$2:$A$32,0))*$F$101),"")</f>
        <v/>
      </c>
      <c r="L101">
        <f>1+2*MIN(2,FLOOR(INDEX(boss_input_vu_khi!$E$2:$E$71,MATCH($C$101,boss_input_vu_khi!$A$2:$A$71,0))/8,1))</f>
        <v/>
      </c>
      <c r="M101">
        <f>1+2*MIN(2,FLOOR(MAX(INDEX(boss_input_vu_khi!$E$2:$E$71,MATCH($C$101,boss_input_vu_khi!$A$2:$A$71,0)),Boss_vu_khi!$L$102)/8,1))</f>
        <v/>
      </c>
      <c r="N101">
        <f>IF(INDEX(boss_input_vu_khi!$E$2:$E$71,MATCH($C$101,boss_input_vu_khi!$A$2:$A$71,0))&gt;=8,5,1)</f>
        <v/>
      </c>
      <c r="O101">
        <f>IF(MAX(INDEX(boss_input_vu_khi!$E$2:$E$71,MATCH($C$101,boss_input_vu_khi!$A$2:$A$71,0)),Boss_vu_khi!$L$102)&gt;=8,5,1)</f>
        <v/>
      </c>
      <c r="P101">
        <f>INDEX(boss_input_vu_khi_suy_ra!$H$2:$H$71,MATCH($C$101,boss_input_vu_khi_suy_ra!$A$2:$A$71,0))</f>
        <v/>
      </c>
      <c r="Q101">
        <f>IF(AND(INDEX(input_xe_tham_chieu!$G$2:$G$6,MATCH($D$101,input_xe_tham_chieu!$A$2:$A$6,0))&gt;0,INDEX(boss_input_vu_khi!$E$2:$E$71,MATCH($C$101,boss_input_vu_khi!$A$2:$A$71,0))&gt;0),INDEX(boss_input_vu_khi!$E$2:$E$71,MATCH($C$101,boss_input_vu_khi!$A$2:$A$71,0))/INDEX(input_xe_tham_chieu!$G$2:$G$6,MATCH($D$101,input_xe_tham_chieu!$A$2:$A$6,0)),"")</f>
        <v/>
      </c>
      <c r="R101">
        <f>IF(ISNUMBER($Q$101),IF($P$101&gt;=$Q$101,"DU","THIEU"),"")</f>
        <v/>
      </c>
      <c r="S101" t="inlineStr">
        <is>
          <t>Assets/MachineBrigade/Resources/Data/balance.json: vehicles[id=landing_hovercraft].weapon x 01_chien_dau/Xe_tham_chieu[main_battle_tank]</t>
        </is>
      </c>
      <c r="T101" t="inlineStr"/>
    </row>
    <row r="102">
      <c r="A102" t="inlineStr">
        <is>
          <t>leviathan/armored_car</t>
        </is>
      </c>
      <c r="B102" t="inlineStr">
        <is>
          <t>leviathan</t>
        </is>
      </c>
      <c r="C102" t="inlineStr">
        <is>
          <t>p26_leviathan_lev406</t>
        </is>
      </c>
      <c r="D102" t="inlineStr">
        <is>
          <t>armored_car</t>
        </is>
      </c>
      <c r="E102">
        <f>IF(INDEX(boss_input_vu_khi_suy_ra!$D$2:$D$71,MATCH($C$102,boss_input_vu_khi_suy_ra!$A$2:$A$71,0)),INDEX(input_xe_tham_chieu!$E$2:$E$6,MATCH($D$102,input_xe_tham_chieu!$A$2:$A$6,0)),INDEX(input_xe_tham_chieu!$D$2:$D$6,MATCH($D$102,input_xe_tham_chieu!$A$2:$A$6,0)))</f>
        <v/>
      </c>
      <c r="F102">
        <f>IF(INDEX(boss_input_vu_khi_suy_ra!$E$2:$E$71,MATCH($C$102,boss_input_vu_khi_suy_ra!$A$2:$A$71,0)),INDEX(boss_input_bang_xuyen_giap!$B$2:$B$7,MIN(6,MAX(1,IF(INDEX(boss_input_vu_khi_suy_ra!$D$2:$D$71,MATCH($C$102,boss_input_vu_khi_suy_ra!$A$2:$A$71,0)),MAX(1,2-(INDEX(boss_input_vu_khi!$C$2:$C$71,MATCH($C$102,boss_input_vu_khi!$A$2:$A$71,0))-$E$102)),2-(INDEX(boss_input_vu_khi!$C$2:$C$71,MATCH($C$102,boss_input_vu_khi!$A$2:$A$71,0))-$E$102))+1)))*IF(INDEX(input_xe_tham_chieu!$F$2:$F$6,MATCH($D$102,input_xe_tham_chieu!$A$2:$A$6,0)),INDEX(boss_input_vu_khi_suy_ra!$G$2:$G$71,MATCH($C$102,boss_input_vu_khi_suy_ra!$A$2:$A$71,0)),INDEX(boss_input_vu_khi_suy_ra!$F$2:$F$71,MATCH($C$102,boss_input_vu_khi_suy_ra!$A$2:$A$71,0))),0)</f>
        <v/>
      </c>
      <c r="G102" t="n">
        <v>1.2</v>
      </c>
      <c r="H102">
        <f>INDEX(boss_input_vu_khi!$B$2:$B$71,MATCH($C$102,boss_input_vu_khi!$A$2:$A$71,0))*INDEX(Boss_dps!$D$2:$D$32,MATCH($B$102,Boss_dps!$A$2:$A$32,0))*IF(INDEX(boss_input_vu_khi!$D$2:$D$71,MATCH($C$102,boss_input_vu_khi!$A$2:$A$71,0)),1,INDEX(Boss_dps!$B$2:$B$32,MATCH($B$102,Boss_dps!$A$2:$A$32,0)))*INDEX(Boss_dps!$C$2:$C$32,MATCH($B$102,Boss_dps!$A$2:$A$32,0))*$F$102</f>
        <v/>
      </c>
      <c r="I102" t="n">
        <v>3902.1696</v>
      </c>
      <c r="J102">
        <f>IF($H$102&gt;0,CEILING(INDEX(input_xe_tham_chieu!$C$2:$C$6,MATCH($D$102,input_xe_tham_chieu!$A$2:$A$6,0))/$H$102,1),"")</f>
        <v/>
      </c>
      <c r="K102">
        <f>IF(Boss_vu_khi!$S$107*$F$102&gt;0,INDEX(input_xe_tham_chieu!$C$2:$C$6,MATCH($D$102,input_xe_tham_chieu!$A$2:$A$6,0))/(Boss_vu_khi!$S$107*INDEX(Boss_dps!$D$2:$D$32,MATCH($B$102,Boss_dps!$A$2:$A$32,0))*$F$102),"")</f>
        <v/>
      </c>
      <c r="L102">
        <f>1+2*MIN(2,FLOOR(INDEX(boss_input_vu_khi!$E$2:$E$71,MATCH($C$102,boss_input_vu_khi!$A$2:$A$71,0))/8,1))</f>
        <v/>
      </c>
      <c r="M102">
        <f>1+2*MIN(2,FLOOR(MAX(INDEX(boss_input_vu_khi!$E$2:$E$71,MATCH($C$102,boss_input_vu_khi!$A$2:$A$71,0)),Boss_vu_khi!$L$107)/8,1))</f>
        <v/>
      </c>
      <c r="N102">
        <f>IF(INDEX(boss_input_vu_khi!$E$2:$E$71,MATCH($C$102,boss_input_vu_khi!$A$2:$A$71,0))&gt;=8,5,1)</f>
        <v/>
      </c>
      <c r="O102">
        <f>IF(MAX(INDEX(boss_input_vu_khi!$E$2:$E$71,MATCH($C$102,boss_input_vu_khi!$A$2:$A$71,0)),Boss_vu_khi!$L$107)&gt;=8,5,1)</f>
        <v/>
      </c>
      <c r="P102">
        <f>INDEX(boss_input_vu_khi_suy_ra!$H$2:$H$71,MATCH($C$102,boss_input_vu_khi_suy_ra!$A$2:$A$71,0))</f>
        <v/>
      </c>
      <c r="Q102">
        <f>IF(AND(INDEX(input_xe_tham_chieu!$G$2:$G$6,MATCH($D$102,input_xe_tham_chieu!$A$2:$A$6,0))&gt;0,INDEX(boss_input_vu_khi!$E$2:$E$71,MATCH($C$102,boss_input_vu_khi!$A$2:$A$71,0))&gt;0),INDEX(boss_input_vu_khi!$E$2:$E$71,MATCH($C$102,boss_input_vu_khi!$A$2:$A$71,0))/INDEX(input_xe_tham_chieu!$G$2:$G$6,MATCH($D$102,input_xe_tham_chieu!$A$2:$A$6,0)),"")</f>
        <v/>
      </c>
      <c r="R102">
        <f>IF(ISNUMBER($Q$102),IF($P$102&gt;=$Q$102,"DU","THIEU"),"")</f>
        <v/>
      </c>
      <c r="S102" t="inlineStr">
        <is>
          <t>Assets/MachineBrigade/Resources/Data/balance.json: vehicles[id=leviathan].weapon x 01_chien_dau/Xe_tham_chieu[armored_car]</t>
        </is>
      </c>
      <c r="T102" t="inlineStr"/>
    </row>
    <row r="103">
      <c r="A103" t="inlineStr">
        <is>
          <t>leviathan/gun_turret</t>
        </is>
      </c>
      <c r="B103" t="inlineStr">
        <is>
          <t>leviathan</t>
        </is>
      </c>
      <c r="C103" t="inlineStr">
        <is>
          <t>p26_leviathan_lev406</t>
        </is>
      </c>
      <c r="D103" t="inlineStr">
        <is>
          <t>gun_turret</t>
        </is>
      </c>
      <c r="E103">
        <f>IF(INDEX(boss_input_vu_khi_suy_ra!$D$2:$D$71,MATCH($C$103,boss_input_vu_khi_suy_ra!$A$2:$A$71,0)),INDEX(input_xe_tham_chieu!$E$2:$E$6,MATCH($D$103,input_xe_tham_chieu!$A$2:$A$6,0)),INDEX(input_xe_tham_chieu!$D$2:$D$6,MATCH($D$103,input_xe_tham_chieu!$A$2:$A$6,0)))</f>
        <v/>
      </c>
      <c r="F103">
        <f>IF(INDEX(boss_input_vu_khi_suy_ra!$E$2:$E$71,MATCH($C$103,boss_input_vu_khi_suy_ra!$A$2:$A$71,0)),INDEX(boss_input_bang_xuyen_giap!$B$2:$B$7,MIN(6,MAX(1,IF(INDEX(boss_input_vu_khi_suy_ra!$D$2:$D$71,MATCH($C$103,boss_input_vu_khi_suy_ra!$A$2:$A$71,0)),MAX(1,2-(INDEX(boss_input_vu_khi!$C$2:$C$71,MATCH($C$103,boss_input_vu_khi!$A$2:$A$71,0))-$E$103)),2-(INDEX(boss_input_vu_khi!$C$2:$C$71,MATCH($C$103,boss_input_vu_khi!$A$2:$A$71,0))-$E$103))+1)))*IF(INDEX(input_xe_tham_chieu!$F$2:$F$6,MATCH($D$103,input_xe_tham_chieu!$A$2:$A$6,0)),INDEX(boss_input_vu_khi_suy_ra!$G$2:$G$71,MATCH($C$103,boss_input_vu_khi_suy_ra!$A$2:$A$71,0)),INDEX(boss_input_vu_khi_suy_ra!$F$2:$F$71,MATCH($C$103,boss_input_vu_khi_suy_ra!$A$2:$A$71,0))),0)</f>
        <v/>
      </c>
      <c r="G103" t="n">
        <v>1.5</v>
      </c>
      <c r="H103">
        <f>INDEX(boss_input_vu_khi!$B$2:$B$71,MATCH($C$103,boss_input_vu_khi!$A$2:$A$71,0))*INDEX(Boss_dps!$D$2:$D$32,MATCH($B$103,Boss_dps!$A$2:$A$32,0))*IF(INDEX(boss_input_vu_khi!$D$2:$D$71,MATCH($C$103,boss_input_vu_khi!$A$2:$A$71,0)),1,INDEX(Boss_dps!$B$2:$B$32,MATCH($B$103,Boss_dps!$A$2:$A$32,0)))*INDEX(Boss_dps!$C$2:$C$32,MATCH($B$103,Boss_dps!$A$2:$A$32,0))*$F$103</f>
        <v/>
      </c>
      <c r="I103" t="n">
        <v>4877.712</v>
      </c>
      <c r="J103">
        <f>IF($H$103&gt;0,CEILING(INDEX(input_xe_tham_chieu!$C$2:$C$6,MATCH($D$103,input_xe_tham_chieu!$A$2:$A$6,0))/$H$103,1),"")</f>
        <v/>
      </c>
      <c r="K103">
        <f>IF(Boss_vu_khi!$S$107*$F$103&gt;0,INDEX(input_xe_tham_chieu!$C$2:$C$6,MATCH($D$103,input_xe_tham_chieu!$A$2:$A$6,0))/(Boss_vu_khi!$S$107*INDEX(Boss_dps!$D$2:$D$32,MATCH($B$103,Boss_dps!$A$2:$A$32,0))*$F$103),"")</f>
        <v/>
      </c>
      <c r="L103">
        <f>1+2*MIN(2,FLOOR(INDEX(boss_input_vu_khi!$E$2:$E$71,MATCH($C$103,boss_input_vu_khi!$A$2:$A$71,0))/8,1))</f>
        <v/>
      </c>
      <c r="M103">
        <f>1+2*MIN(2,FLOOR(MAX(INDEX(boss_input_vu_khi!$E$2:$E$71,MATCH($C$103,boss_input_vu_khi!$A$2:$A$71,0)),Boss_vu_khi!$L$107)/8,1))</f>
        <v/>
      </c>
      <c r="N103">
        <f>IF(INDEX(boss_input_vu_khi!$E$2:$E$71,MATCH($C$103,boss_input_vu_khi!$A$2:$A$71,0))&gt;=8,5,1)</f>
        <v/>
      </c>
      <c r="O103">
        <f>IF(MAX(INDEX(boss_input_vu_khi!$E$2:$E$71,MATCH($C$103,boss_input_vu_khi!$A$2:$A$71,0)),Boss_vu_khi!$L$107)&gt;=8,5,1)</f>
        <v/>
      </c>
      <c r="P103">
        <f>INDEX(boss_input_vu_khi_suy_ra!$H$2:$H$71,MATCH($C$103,boss_input_vu_khi_suy_ra!$A$2:$A$71,0))</f>
        <v/>
      </c>
      <c r="Q103">
        <f>IF(AND(INDEX(input_xe_tham_chieu!$G$2:$G$6,MATCH($D$103,input_xe_tham_chieu!$A$2:$A$6,0))&gt;0,INDEX(boss_input_vu_khi!$E$2:$E$71,MATCH($C$103,boss_input_vu_khi!$A$2:$A$71,0))&gt;0),INDEX(boss_input_vu_khi!$E$2:$E$71,MATCH($C$103,boss_input_vu_khi!$A$2:$A$71,0))/INDEX(input_xe_tham_chieu!$G$2:$G$6,MATCH($D$103,input_xe_tham_chieu!$A$2:$A$6,0)),"")</f>
        <v/>
      </c>
      <c r="R103">
        <f>IF(ISNUMBER($Q$103),IF($P$103&gt;=$Q$103,"DU","THIEU"),"")</f>
        <v/>
      </c>
      <c r="S103" t="inlineStr">
        <is>
          <t>Assets/MachineBrigade/Resources/Data/balance.json: vehicles[id=leviathan].weapon x 01_chien_dau/Xe_tham_chieu[gun_turret]</t>
        </is>
      </c>
      <c r="T103" t="inlineStr"/>
    </row>
    <row r="104">
      <c r="A104" t="inlineStr">
        <is>
          <t>leviathan/heavy_tank</t>
        </is>
      </c>
      <c r="B104" t="inlineStr">
        <is>
          <t>leviathan</t>
        </is>
      </c>
      <c r="C104" t="inlineStr">
        <is>
          <t>p26_leviathan_lev406</t>
        </is>
      </c>
      <c r="D104" t="inlineStr">
        <is>
          <t>heavy_tank</t>
        </is>
      </c>
      <c r="E104">
        <f>IF(INDEX(boss_input_vu_khi_suy_ra!$D$2:$D$71,MATCH($C$104,boss_input_vu_khi_suy_ra!$A$2:$A$71,0)),INDEX(input_xe_tham_chieu!$E$2:$E$6,MATCH($D$104,input_xe_tham_chieu!$A$2:$A$6,0)),INDEX(input_xe_tham_chieu!$D$2:$D$6,MATCH($D$104,input_xe_tham_chieu!$A$2:$A$6,0)))</f>
        <v/>
      </c>
      <c r="F104">
        <f>IF(INDEX(boss_input_vu_khi_suy_ra!$E$2:$E$71,MATCH($C$104,boss_input_vu_khi_suy_ra!$A$2:$A$71,0)),INDEX(boss_input_bang_xuyen_giap!$B$2:$B$7,MIN(6,MAX(1,IF(INDEX(boss_input_vu_khi_suy_ra!$D$2:$D$71,MATCH($C$104,boss_input_vu_khi_suy_ra!$A$2:$A$71,0)),MAX(1,2-(INDEX(boss_input_vu_khi!$C$2:$C$71,MATCH($C$104,boss_input_vu_khi!$A$2:$A$71,0))-$E$104)),2-(INDEX(boss_input_vu_khi!$C$2:$C$71,MATCH($C$104,boss_input_vu_khi!$A$2:$A$71,0))-$E$104))+1)))*IF(INDEX(input_xe_tham_chieu!$F$2:$F$6,MATCH($D$104,input_xe_tham_chieu!$A$2:$A$6,0)),INDEX(boss_input_vu_khi_suy_ra!$G$2:$G$71,MATCH($C$104,boss_input_vu_khi_suy_ra!$A$2:$A$71,0)),INDEX(boss_input_vu_khi_suy_ra!$F$2:$F$71,MATCH($C$104,boss_input_vu_khi_suy_ra!$A$2:$A$71,0))),0)</f>
        <v/>
      </c>
      <c r="G104" t="n">
        <v>0.85</v>
      </c>
      <c r="H104">
        <f>INDEX(boss_input_vu_khi!$B$2:$B$71,MATCH($C$104,boss_input_vu_khi!$A$2:$A$71,0))*INDEX(Boss_dps!$D$2:$D$32,MATCH($B$104,Boss_dps!$A$2:$A$32,0))*IF(INDEX(boss_input_vu_khi!$D$2:$D$71,MATCH($C$104,boss_input_vu_khi!$A$2:$A$71,0)),1,INDEX(Boss_dps!$B$2:$B$32,MATCH($B$104,Boss_dps!$A$2:$A$32,0)))*INDEX(Boss_dps!$C$2:$C$32,MATCH($B$104,Boss_dps!$A$2:$A$32,0))*$F$104</f>
        <v/>
      </c>
      <c r="I104" t="n">
        <v>2764.0368</v>
      </c>
      <c r="J104">
        <f>IF($H$104&gt;0,CEILING(INDEX(input_xe_tham_chieu!$C$2:$C$6,MATCH($D$104,input_xe_tham_chieu!$A$2:$A$6,0))/$H$104,1),"")</f>
        <v/>
      </c>
      <c r="K104">
        <f>IF(Boss_vu_khi!$S$107*$F$104&gt;0,INDEX(input_xe_tham_chieu!$C$2:$C$6,MATCH($D$104,input_xe_tham_chieu!$A$2:$A$6,0))/(Boss_vu_khi!$S$107*INDEX(Boss_dps!$D$2:$D$32,MATCH($B$104,Boss_dps!$A$2:$A$32,0))*$F$104),"")</f>
        <v/>
      </c>
      <c r="L104">
        <f>1+2*MIN(2,FLOOR(INDEX(boss_input_vu_khi!$E$2:$E$71,MATCH($C$104,boss_input_vu_khi!$A$2:$A$71,0))/8,1))</f>
        <v/>
      </c>
      <c r="M104">
        <f>1+2*MIN(2,FLOOR(MAX(INDEX(boss_input_vu_khi!$E$2:$E$71,MATCH($C$104,boss_input_vu_khi!$A$2:$A$71,0)),Boss_vu_khi!$L$107)/8,1))</f>
        <v/>
      </c>
      <c r="N104">
        <f>IF(INDEX(boss_input_vu_khi!$E$2:$E$71,MATCH($C$104,boss_input_vu_khi!$A$2:$A$71,0))&gt;=8,5,1)</f>
        <v/>
      </c>
      <c r="O104">
        <f>IF(MAX(INDEX(boss_input_vu_khi!$E$2:$E$71,MATCH($C$104,boss_input_vu_khi!$A$2:$A$71,0)),Boss_vu_khi!$L$107)&gt;=8,5,1)</f>
        <v/>
      </c>
      <c r="P104">
        <f>INDEX(boss_input_vu_khi_suy_ra!$H$2:$H$71,MATCH($C$104,boss_input_vu_khi_suy_ra!$A$2:$A$71,0))</f>
        <v/>
      </c>
      <c r="Q104">
        <f>IF(AND(INDEX(input_xe_tham_chieu!$G$2:$G$6,MATCH($D$104,input_xe_tham_chieu!$A$2:$A$6,0))&gt;0,INDEX(boss_input_vu_khi!$E$2:$E$71,MATCH($C$104,boss_input_vu_khi!$A$2:$A$71,0))&gt;0),INDEX(boss_input_vu_khi!$E$2:$E$71,MATCH($C$104,boss_input_vu_khi!$A$2:$A$71,0))/INDEX(input_xe_tham_chieu!$G$2:$G$6,MATCH($D$104,input_xe_tham_chieu!$A$2:$A$6,0)),"")</f>
        <v/>
      </c>
      <c r="R104">
        <f>IF(ISNUMBER($Q$104),IF($P$104&gt;=$Q$104,"DU","THIEU"),"")</f>
        <v/>
      </c>
      <c r="S104" t="inlineStr">
        <is>
          <t>Assets/MachineBrigade/Resources/Data/balance.json: vehicles[id=leviathan].weapon x 01_chien_dau/Xe_tham_chieu[heavy_tank]</t>
        </is>
      </c>
      <c r="T104" t="inlineStr"/>
    </row>
    <row r="105">
      <c r="A105" t="inlineStr">
        <is>
          <t>leviathan/ifv</t>
        </is>
      </c>
      <c r="B105" t="inlineStr">
        <is>
          <t>leviathan</t>
        </is>
      </c>
      <c r="C105" t="inlineStr">
        <is>
          <t>p26_leviathan_lev406</t>
        </is>
      </c>
      <c r="D105" t="inlineStr">
        <is>
          <t>ifv</t>
        </is>
      </c>
      <c r="E105">
        <f>IF(INDEX(boss_input_vu_khi_suy_ra!$D$2:$D$71,MATCH($C$105,boss_input_vu_khi_suy_ra!$A$2:$A$71,0)),INDEX(input_xe_tham_chieu!$E$2:$E$6,MATCH($D$105,input_xe_tham_chieu!$A$2:$A$6,0)),INDEX(input_xe_tham_chieu!$D$2:$D$6,MATCH($D$105,input_xe_tham_chieu!$A$2:$A$6,0)))</f>
        <v/>
      </c>
      <c r="F105">
        <f>IF(INDEX(boss_input_vu_khi_suy_ra!$E$2:$E$71,MATCH($C$105,boss_input_vu_khi_suy_ra!$A$2:$A$71,0)),INDEX(boss_input_bang_xuyen_giap!$B$2:$B$7,MIN(6,MAX(1,IF(INDEX(boss_input_vu_khi_suy_ra!$D$2:$D$71,MATCH($C$105,boss_input_vu_khi_suy_ra!$A$2:$A$71,0)),MAX(1,2-(INDEX(boss_input_vu_khi!$C$2:$C$71,MATCH($C$105,boss_input_vu_khi!$A$2:$A$71,0))-$E$105)),2-(INDEX(boss_input_vu_khi!$C$2:$C$71,MATCH($C$105,boss_input_vu_khi!$A$2:$A$71,0))-$E$105))+1)))*IF(INDEX(input_xe_tham_chieu!$F$2:$F$6,MATCH($D$105,input_xe_tham_chieu!$A$2:$A$6,0)),INDEX(boss_input_vu_khi_suy_ra!$G$2:$G$71,MATCH($C$105,boss_input_vu_khi_suy_ra!$A$2:$A$71,0)),INDEX(boss_input_vu_khi_suy_ra!$F$2:$F$71,MATCH($C$105,boss_input_vu_khi_suy_ra!$A$2:$A$71,0))),0)</f>
        <v/>
      </c>
      <c r="G105" t="n">
        <v>1.2</v>
      </c>
      <c r="H105">
        <f>INDEX(boss_input_vu_khi!$B$2:$B$71,MATCH($C$105,boss_input_vu_khi!$A$2:$A$71,0))*INDEX(Boss_dps!$D$2:$D$32,MATCH($B$105,Boss_dps!$A$2:$A$32,0))*IF(INDEX(boss_input_vu_khi!$D$2:$D$71,MATCH($C$105,boss_input_vu_khi!$A$2:$A$71,0)),1,INDEX(Boss_dps!$B$2:$B$32,MATCH($B$105,Boss_dps!$A$2:$A$32,0)))*INDEX(Boss_dps!$C$2:$C$32,MATCH($B$105,Boss_dps!$A$2:$A$32,0))*$F$105</f>
        <v/>
      </c>
      <c r="I105" t="n">
        <v>3902.1696</v>
      </c>
      <c r="J105">
        <f>IF($H$105&gt;0,CEILING(INDEX(input_xe_tham_chieu!$C$2:$C$6,MATCH($D$105,input_xe_tham_chieu!$A$2:$A$6,0))/$H$105,1),"")</f>
        <v/>
      </c>
      <c r="K105">
        <f>IF(Boss_vu_khi!$S$107*$F$105&gt;0,INDEX(input_xe_tham_chieu!$C$2:$C$6,MATCH($D$105,input_xe_tham_chieu!$A$2:$A$6,0))/(Boss_vu_khi!$S$107*INDEX(Boss_dps!$D$2:$D$32,MATCH($B$105,Boss_dps!$A$2:$A$32,0))*$F$105),"")</f>
        <v/>
      </c>
      <c r="L105">
        <f>1+2*MIN(2,FLOOR(INDEX(boss_input_vu_khi!$E$2:$E$71,MATCH($C$105,boss_input_vu_khi!$A$2:$A$71,0))/8,1))</f>
        <v/>
      </c>
      <c r="M105">
        <f>1+2*MIN(2,FLOOR(MAX(INDEX(boss_input_vu_khi!$E$2:$E$71,MATCH($C$105,boss_input_vu_khi!$A$2:$A$71,0)),Boss_vu_khi!$L$107)/8,1))</f>
        <v/>
      </c>
      <c r="N105">
        <f>IF(INDEX(boss_input_vu_khi!$E$2:$E$71,MATCH($C$105,boss_input_vu_khi!$A$2:$A$71,0))&gt;=8,5,1)</f>
        <v/>
      </c>
      <c r="O105">
        <f>IF(MAX(INDEX(boss_input_vu_khi!$E$2:$E$71,MATCH($C$105,boss_input_vu_khi!$A$2:$A$71,0)),Boss_vu_khi!$L$107)&gt;=8,5,1)</f>
        <v/>
      </c>
      <c r="P105">
        <f>INDEX(boss_input_vu_khi_suy_ra!$H$2:$H$71,MATCH($C$105,boss_input_vu_khi_suy_ra!$A$2:$A$71,0))</f>
        <v/>
      </c>
      <c r="Q105">
        <f>IF(AND(INDEX(input_xe_tham_chieu!$G$2:$G$6,MATCH($D$105,input_xe_tham_chieu!$A$2:$A$6,0))&gt;0,INDEX(boss_input_vu_khi!$E$2:$E$71,MATCH($C$105,boss_input_vu_khi!$A$2:$A$71,0))&gt;0),INDEX(boss_input_vu_khi!$E$2:$E$71,MATCH($C$105,boss_input_vu_khi!$A$2:$A$71,0))/INDEX(input_xe_tham_chieu!$G$2:$G$6,MATCH($D$105,input_xe_tham_chieu!$A$2:$A$6,0)),"")</f>
        <v/>
      </c>
      <c r="R105">
        <f>IF(ISNUMBER($Q$105),IF($P$105&gt;=$Q$105,"DU","THIEU"),"")</f>
        <v/>
      </c>
      <c r="S105" t="inlineStr">
        <is>
          <t>Assets/MachineBrigade/Resources/Data/balance.json: vehicles[id=leviathan].weapon x 01_chien_dau/Xe_tham_chieu[ifv]</t>
        </is>
      </c>
      <c r="T105" t="inlineStr"/>
    </row>
    <row r="106">
      <c r="A106" t="inlineStr">
        <is>
          <t>leviathan/main_battle_tank</t>
        </is>
      </c>
      <c r="B106" t="inlineStr">
        <is>
          <t>leviathan</t>
        </is>
      </c>
      <c r="C106" t="inlineStr">
        <is>
          <t>p26_leviathan_lev406</t>
        </is>
      </c>
      <c r="D106" t="inlineStr">
        <is>
          <t>main_battle_tank</t>
        </is>
      </c>
      <c r="E106">
        <f>IF(INDEX(boss_input_vu_khi_suy_ra!$D$2:$D$71,MATCH($C$106,boss_input_vu_khi_suy_ra!$A$2:$A$71,0)),INDEX(input_xe_tham_chieu!$E$2:$E$6,MATCH($D$106,input_xe_tham_chieu!$A$2:$A$6,0)),INDEX(input_xe_tham_chieu!$D$2:$D$6,MATCH($D$106,input_xe_tham_chieu!$A$2:$A$6,0)))</f>
        <v/>
      </c>
      <c r="F106">
        <f>IF(INDEX(boss_input_vu_khi_suy_ra!$E$2:$E$71,MATCH($C$106,boss_input_vu_khi_suy_ra!$A$2:$A$71,0)),INDEX(boss_input_bang_xuyen_giap!$B$2:$B$7,MIN(6,MAX(1,IF(INDEX(boss_input_vu_khi_suy_ra!$D$2:$D$71,MATCH($C$106,boss_input_vu_khi_suy_ra!$A$2:$A$71,0)),MAX(1,2-(INDEX(boss_input_vu_khi!$C$2:$C$71,MATCH($C$106,boss_input_vu_khi!$A$2:$A$71,0))-$E$106)),2-(INDEX(boss_input_vu_khi!$C$2:$C$71,MATCH($C$106,boss_input_vu_khi!$A$2:$A$71,0))-$E$106))+1)))*IF(INDEX(input_xe_tham_chieu!$F$2:$F$6,MATCH($D$106,input_xe_tham_chieu!$A$2:$A$6,0)),INDEX(boss_input_vu_khi_suy_ra!$G$2:$G$71,MATCH($C$106,boss_input_vu_khi_suy_ra!$A$2:$A$71,0)),INDEX(boss_input_vu_khi_suy_ra!$F$2:$F$71,MATCH($C$106,boss_input_vu_khi_suy_ra!$A$2:$A$71,0))),0)</f>
        <v/>
      </c>
      <c r="G106" t="n">
        <v>0.85</v>
      </c>
      <c r="H106">
        <f>INDEX(boss_input_vu_khi!$B$2:$B$71,MATCH($C$106,boss_input_vu_khi!$A$2:$A$71,0))*INDEX(Boss_dps!$D$2:$D$32,MATCH($B$106,Boss_dps!$A$2:$A$32,0))*IF(INDEX(boss_input_vu_khi!$D$2:$D$71,MATCH($C$106,boss_input_vu_khi!$A$2:$A$71,0)),1,INDEX(Boss_dps!$B$2:$B$32,MATCH($B$106,Boss_dps!$A$2:$A$32,0)))*INDEX(Boss_dps!$C$2:$C$32,MATCH($B$106,Boss_dps!$A$2:$A$32,0))*$F$106</f>
        <v/>
      </c>
      <c r="I106" t="n">
        <v>2764.0368</v>
      </c>
      <c r="J106">
        <f>IF($H$106&gt;0,CEILING(INDEX(input_xe_tham_chieu!$C$2:$C$6,MATCH($D$106,input_xe_tham_chieu!$A$2:$A$6,0))/$H$106,1),"")</f>
        <v/>
      </c>
      <c r="K106">
        <f>IF(Boss_vu_khi!$S$107*$F$106&gt;0,INDEX(input_xe_tham_chieu!$C$2:$C$6,MATCH($D$106,input_xe_tham_chieu!$A$2:$A$6,0))/(Boss_vu_khi!$S$107*INDEX(Boss_dps!$D$2:$D$32,MATCH($B$106,Boss_dps!$A$2:$A$32,0))*$F$106),"")</f>
        <v/>
      </c>
      <c r="L106">
        <f>1+2*MIN(2,FLOOR(INDEX(boss_input_vu_khi!$E$2:$E$71,MATCH($C$106,boss_input_vu_khi!$A$2:$A$71,0))/8,1))</f>
        <v/>
      </c>
      <c r="M106">
        <f>1+2*MIN(2,FLOOR(MAX(INDEX(boss_input_vu_khi!$E$2:$E$71,MATCH($C$106,boss_input_vu_khi!$A$2:$A$71,0)),Boss_vu_khi!$L$107)/8,1))</f>
        <v/>
      </c>
      <c r="N106">
        <f>IF(INDEX(boss_input_vu_khi!$E$2:$E$71,MATCH($C$106,boss_input_vu_khi!$A$2:$A$71,0))&gt;=8,5,1)</f>
        <v/>
      </c>
      <c r="O106">
        <f>IF(MAX(INDEX(boss_input_vu_khi!$E$2:$E$71,MATCH($C$106,boss_input_vu_khi!$A$2:$A$71,0)),Boss_vu_khi!$L$107)&gt;=8,5,1)</f>
        <v/>
      </c>
      <c r="P106">
        <f>INDEX(boss_input_vu_khi_suy_ra!$H$2:$H$71,MATCH($C$106,boss_input_vu_khi_suy_ra!$A$2:$A$71,0))</f>
        <v/>
      </c>
      <c r="Q106">
        <f>IF(AND(INDEX(input_xe_tham_chieu!$G$2:$G$6,MATCH($D$106,input_xe_tham_chieu!$A$2:$A$6,0))&gt;0,INDEX(boss_input_vu_khi!$E$2:$E$71,MATCH($C$106,boss_input_vu_khi!$A$2:$A$71,0))&gt;0),INDEX(boss_input_vu_khi!$E$2:$E$71,MATCH($C$106,boss_input_vu_khi!$A$2:$A$71,0))/INDEX(input_xe_tham_chieu!$G$2:$G$6,MATCH($D$106,input_xe_tham_chieu!$A$2:$A$6,0)),"")</f>
        <v/>
      </c>
      <c r="R106">
        <f>IF(ISNUMBER($Q$106),IF($P$106&gt;=$Q$106,"DU","THIEU"),"")</f>
        <v/>
      </c>
      <c r="S106" t="inlineStr">
        <is>
          <t>Assets/MachineBrigade/Resources/Data/balance.json: vehicles[id=leviathan].weapon x 01_chien_dau/Xe_tham_chieu[main_battle_tank]</t>
        </is>
      </c>
      <c r="T106" t="inlineStr"/>
    </row>
    <row r="107">
      <c r="A107" t="inlineStr">
        <is>
          <t>locust/armored_car</t>
        </is>
      </c>
      <c r="B107" t="inlineStr">
        <is>
          <t>locust</t>
        </is>
      </c>
      <c r="C107" t="inlineStr">
        <is>
          <t>locust_drones</t>
        </is>
      </c>
      <c r="D107" t="inlineStr">
        <is>
          <t>armored_car</t>
        </is>
      </c>
      <c r="E107">
        <f>IF(INDEX(boss_input_vu_khi_suy_ra!$D$2:$D$71,MATCH($C$107,boss_input_vu_khi_suy_ra!$A$2:$A$71,0)),INDEX(input_xe_tham_chieu!$E$2:$E$6,MATCH($D$107,input_xe_tham_chieu!$A$2:$A$6,0)),INDEX(input_xe_tham_chieu!$D$2:$D$6,MATCH($D$107,input_xe_tham_chieu!$A$2:$A$6,0)))</f>
        <v/>
      </c>
      <c r="F107">
        <f>IF(INDEX(boss_input_vu_khi_suy_ra!$E$2:$E$71,MATCH($C$107,boss_input_vu_khi_suy_ra!$A$2:$A$71,0)),INDEX(boss_input_bang_xuyen_giap!$B$2:$B$7,MIN(6,MAX(1,IF(INDEX(boss_input_vu_khi_suy_ra!$D$2:$D$71,MATCH($C$107,boss_input_vu_khi_suy_ra!$A$2:$A$71,0)),MAX(1,2-(INDEX(boss_input_vu_khi!$C$2:$C$71,MATCH($C$107,boss_input_vu_khi!$A$2:$A$71,0))-$E$107)),2-(INDEX(boss_input_vu_khi!$C$2:$C$71,MATCH($C$107,boss_input_vu_khi!$A$2:$A$71,0))-$E$107))+1)))*IF(INDEX(input_xe_tham_chieu!$F$2:$F$6,MATCH($D$107,input_xe_tham_chieu!$A$2:$A$6,0)),INDEX(boss_input_vu_khi_suy_ra!$G$2:$G$71,MATCH($C$107,boss_input_vu_khi_suy_ra!$A$2:$A$71,0)),INDEX(boss_input_vu_khi_suy_ra!$F$2:$F$71,MATCH($C$107,boss_input_vu_khi_suy_ra!$A$2:$A$71,0))),0)</f>
        <v/>
      </c>
      <c r="G107" t="n">
        <v>1</v>
      </c>
      <c r="H107">
        <f>INDEX(boss_input_vu_khi!$B$2:$B$71,MATCH($C$107,boss_input_vu_khi!$A$2:$A$71,0))*INDEX(Boss_dps!$D$2:$D$32,MATCH($B$107,Boss_dps!$A$2:$A$32,0))*IF(INDEX(boss_input_vu_khi!$D$2:$D$71,MATCH($C$107,boss_input_vu_khi!$A$2:$A$71,0)),1,INDEX(Boss_dps!$B$2:$B$32,MATCH($B$107,Boss_dps!$A$2:$A$32,0)))*INDEX(Boss_dps!$C$2:$C$32,MATCH($B$107,Boss_dps!$A$2:$A$32,0))*$F$107</f>
        <v/>
      </c>
      <c r="I107" t="n">
        <v>498.048</v>
      </c>
      <c r="J107">
        <f>IF($H$107&gt;0,CEILING(INDEX(input_xe_tham_chieu!$C$2:$C$6,MATCH($D$107,input_xe_tham_chieu!$A$2:$A$6,0))/$H$107,1),"")</f>
        <v/>
      </c>
      <c r="K107">
        <f>IF(Boss_vu_khi!$S$123*$F$107&gt;0,INDEX(input_xe_tham_chieu!$C$2:$C$6,MATCH($D$107,input_xe_tham_chieu!$A$2:$A$6,0))/(Boss_vu_khi!$S$123*INDEX(Boss_dps!$D$2:$D$32,MATCH($B$107,Boss_dps!$A$2:$A$32,0))*$F$107),"")</f>
        <v/>
      </c>
      <c r="L107">
        <f>1+2*MIN(2,FLOOR(INDEX(boss_input_vu_khi!$E$2:$E$71,MATCH($C$107,boss_input_vu_khi!$A$2:$A$71,0))/8,1))</f>
        <v/>
      </c>
      <c r="M107">
        <f>1+2*MIN(2,FLOOR(MAX(INDEX(boss_input_vu_khi!$E$2:$E$71,MATCH($C$107,boss_input_vu_khi!$A$2:$A$71,0)),Boss_vu_khi!$L$123)/8,1))</f>
        <v/>
      </c>
      <c r="N107">
        <f>IF(INDEX(boss_input_vu_khi!$E$2:$E$71,MATCH($C$107,boss_input_vu_khi!$A$2:$A$71,0))&gt;=8,5,1)</f>
        <v/>
      </c>
      <c r="O107">
        <f>IF(MAX(INDEX(boss_input_vu_khi!$E$2:$E$71,MATCH($C$107,boss_input_vu_khi!$A$2:$A$71,0)),Boss_vu_khi!$L$123)&gt;=8,5,1)</f>
        <v/>
      </c>
      <c r="P107">
        <f>INDEX(boss_input_vu_khi_suy_ra!$H$2:$H$71,MATCH($C$107,boss_input_vu_khi_suy_ra!$A$2:$A$71,0))</f>
        <v/>
      </c>
      <c r="Q107">
        <f>IF(AND(INDEX(input_xe_tham_chieu!$G$2:$G$6,MATCH($D$107,input_xe_tham_chieu!$A$2:$A$6,0))&gt;0,INDEX(boss_input_vu_khi!$E$2:$E$71,MATCH($C$107,boss_input_vu_khi!$A$2:$A$71,0))&gt;0),INDEX(boss_input_vu_khi!$E$2:$E$71,MATCH($C$107,boss_input_vu_khi!$A$2:$A$71,0))/INDEX(input_xe_tham_chieu!$G$2:$G$6,MATCH($D$107,input_xe_tham_chieu!$A$2:$A$6,0)),"")</f>
        <v/>
      </c>
      <c r="R107">
        <f>IF(ISNUMBER($Q$107),IF($P$107&gt;=$Q$107,"DU","THIEU"),"")</f>
        <v/>
      </c>
      <c r="S107" t="inlineStr">
        <is>
          <t>Assets/MachineBrigade/Resources/Data/balance.json: vehicles[id=locust].weapon x 01_chien_dau/Xe_tham_chieu[armored_car]</t>
        </is>
      </c>
      <c r="T107" t="inlineStr"/>
    </row>
    <row r="108">
      <c r="A108" t="inlineStr">
        <is>
          <t>locust/gun_turret</t>
        </is>
      </c>
      <c r="B108" t="inlineStr">
        <is>
          <t>locust</t>
        </is>
      </c>
      <c r="C108" t="inlineStr">
        <is>
          <t>locust_drones</t>
        </is>
      </c>
      <c r="D108" t="inlineStr">
        <is>
          <t>gun_turret</t>
        </is>
      </c>
      <c r="E108">
        <f>IF(INDEX(boss_input_vu_khi_suy_ra!$D$2:$D$71,MATCH($C$108,boss_input_vu_khi_suy_ra!$A$2:$A$71,0)),INDEX(input_xe_tham_chieu!$E$2:$E$6,MATCH($D$108,input_xe_tham_chieu!$A$2:$A$6,0)),INDEX(input_xe_tham_chieu!$D$2:$D$6,MATCH($D$108,input_xe_tham_chieu!$A$2:$A$6,0)))</f>
        <v/>
      </c>
      <c r="F108">
        <f>IF(INDEX(boss_input_vu_khi_suy_ra!$E$2:$E$71,MATCH($C$108,boss_input_vu_khi_suy_ra!$A$2:$A$71,0)),INDEX(boss_input_bang_xuyen_giap!$B$2:$B$7,MIN(6,MAX(1,IF(INDEX(boss_input_vu_khi_suy_ra!$D$2:$D$71,MATCH($C$108,boss_input_vu_khi_suy_ra!$A$2:$A$71,0)),MAX(1,2-(INDEX(boss_input_vu_khi!$C$2:$C$71,MATCH($C$108,boss_input_vu_khi!$A$2:$A$71,0))-$E$108)),2-(INDEX(boss_input_vu_khi!$C$2:$C$71,MATCH($C$108,boss_input_vu_khi!$A$2:$A$71,0))-$E$108))+1)))*IF(INDEX(input_xe_tham_chieu!$F$2:$F$6,MATCH($D$108,input_xe_tham_chieu!$A$2:$A$6,0)),INDEX(boss_input_vu_khi_suy_ra!$G$2:$G$71,MATCH($C$108,boss_input_vu_khi_suy_ra!$A$2:$A$71,0)),INDEX(boss_input_vu_khi_suy_ra!$F$2:$F$71,MATCH($C$108,boss_input_vu_khi_suy_ra!$A$2:$A$71,0))),0)</f>
        <v/>
      </c>
      <c r="G108" t="n">
        <v>0.6</v>
      </c>
      <c r="H108">
        <f>INDEX(boss_input_vu_khi!$B$2:$B$71,MATCH($C$108,boss_input_vu_khi!$A$2:$A$71,0))*INDEX(Boss_dps!$D$2:$D$32,MATCH($B$108,Boss_dps!$A$2:$A$32,0))*IF(INDEX(boss_input_vu_khi!$D$2:$D$71,MATCH($C$108,boss_input_vu_khi!$A$2:$A$71,0)),1,INDEX(Boss_dps!$B$2:$B$32,MATCH($B$108,Boss_dps!$A$2:$A$32,0)))*INDEX(Boss_dps!$C$2:$C$32,MATCH($B$108,Boss_dps!$A$2:$A$32,0))*$F$108</f>
        <v/>
      </c>
      <c r="I108" t="n">
        <v>298.8288</v>
      </c>
      <c r="J108">
        <f>IF($H$108&gt;0,CEILING(INDEX(input_xe_tham_chieu!$C$2:$C$6,MATCH($D$108,input_xe_tham_chieu!$A$2:$A$6,0))/$H$108,1),"")</f>
        <v/>
      </c>
      <c r="K108">
        <f>IF(Boss_vu_khi!$S$123*$F$108&gt;0,INDEX(input_xe_tham_chieu!$C$2:$C$6,MATCH($D$108,input_xe_tham_chieu!$A$2:$A$6,0))/(Boss_vu_khi!$S$123*INDEX(Boss_dps!$D$2:$D$32,MATCH($B$108,Boss_dps!$A$2:$A$32,0))*$F$108),"")</f>
        <v/>
      </c>
      <c r="L108">
        <f>1+2*MIN(2,FLOOR(INDEX(boss_input_vu_khi!$E$2:$E$71,MATCH($C$108,boss_input_vu_khi!$A$2:$A$71,0))/8,1))</f>
        <v/>
      </c>
      <c r="M108">
        <f>1+2*MIN(2,FLOOR(MAX(INDEX(boss_input_vu_khi!$E$2:$E$71,MATCH($C$108,boss_input_vu_khi!$A$2:$A$71,0)),Boss_vu_khi!$L$123)/8,1))</f>
        <v/>
      </c>
      <c r="N108">
        <f>IF(INDEX(boss_input_vu_khi!$E$2:$E$71,MATCH($C$108,boss_input_vu_khi!$A$2:$A$71,0))&gt;=8,5,1)</f>
        <v/>
      </c>
      <c r="O108">
        <f>IF(MAX(INDEX(boss_input_vu_khi!$E$2:$E$71,MATCH($C$108,boss_input_vu_khi!$A$2:$A$71,0)),Boss_vu_khi!$L$123)&gt;=8,5,1)</f>
        <v/>
      </c>
      <c r="P108">
        <f>INDEX(boss_input_vu_khi_suy_ra!$H$2:$H$71,MATCH($C$108,boss_input_vu_khi_suy_ra!$A$2:$A$71,0))</f>
        <v/>
      </c>
      <c r="Q108">
        <f>IF(AND(INDEX(input_xe_tham_chieu!$G$2:$G$6,MATCH($D$108,input_xe_tham_chieu!$A$2:$A$6,0))&gt;0,INDEX(boss_input_vu_khi!$E$2:$E$71,MATCH($C$108,boss_input_vu_khi!$A$2:$A$71,0))&gt;0),INDEX(boss_input_vu_khi!$E$2:$E$71,MATCH($C$108,boss_input_vu_khi!$A$2:$A$71,0))/INDEX(input_xe_tham_chieu!$G$2:$G$6,MATCH($D$108,input_xe_tham_chieu!$A$2:$A$6,0)),"")</f>
        <v/>
      </c>
      <c r="R108">
        <f>IF(ISNUMBER($Q$108),IF($P$108&gt;=$Q$108,"DU","THIEU"),"")</f>
        <v/>
      </c>
      <c r="S108" t="inlineStr">
        <is>
          <t>Assets/MachineBrigade/Resources/Data/balance.json: vehicles[id=locust].weapon x 01_chien_dau/Xe_tham_chieu[gun_turret]</t>
        </is>
      </c>
      <c r="T108" t="inlineStr"/>
    </row>
    <row r="109">
      <c r="A109" t="inlineStr">
        <is>
          <t>locust/heavy_tank</t>
        </is>
      </c>
      <c r="B109" t="inlineStr">
        <is>
          <t>locust</t>
        </is>
      </c>
      <c r="C109" t="inlineStr">
        <is>
          <t>locust_drones</t>
        </is>
      </c>
      <c r="D109" t="inlineStr">
        <is>
          <t>heavy_tank</t>
        </is>
      </c>
      <c r="E109">
        <f>IF(INDEX(boss_input_vu_khi_suy_ra!$D$2:$D$71,MATCH($C$109,boss_input_vu_khi_suy_ra!$A$2:$A$71,0)),INDEX(input_xe_tham_chieu!$E$2:$E$6,MATCH($D$109,input_xe_tham_chieu!$A$2:$A$6,0)),INDEX(input_xe_tham_chieu!$D$2:$D$6,MATCH($D$109,input_xe_tham_chieu!$A$2:$A$6,0)))</f>
        <v/>
      </c>
      <c r="F109">
        <f>IF(INDEX(boss_input_vu_khi_suy_ra!$E$2:$E$71,MATCH($C$109,boss_input_vu_khi_suy_ra!$A$2:$A$71,0)),INDEX(boss_input_bang_xuyen_giap!$B$2:$B$7,MIN(6,MAX(1,IF(INDEX(boss_input_vu_khi_suy_ra!$D$2:$D$71,MATCH($C$109,boss_input_vu_khi_suy_ra!$A$2:$A$71,0)),MAX(1,2-(INDEX(boss_input_vu_khi!$C$2:$C$71,MATCH($C$109,boss_input_vu_khi!$A$2:$A$71,0))-$E$109)),2-(INDEX(boss_input_vu_khi!$C$2:$C$71,MATCH($C$109,boss_input_vu_khi!$A$2:$A$71,0))-$E$109))+1)))*IF(INDEX(input_xe_tham_chieu!$F$2:$F$6,MATCH($D$109,input_xe_tham_chieu!$A$2:$A$6,0)),INDEX(boss_input_vu_khi_suy_ra!$G$2:$G$71,MATCH($C$109,boss_input_vu_khi_suy_ra!$A$2:$A$71,0)),INDEX(boss_input_vu_khi_suy_ra!$F$2:$F$71,MATCH($C$109,boss_input_vu_khi_suy_ra!$A$2:$A$71,0))),0)</f>
        <v/>
      </c>
      <c r="G109" t="n">
        <v>1</v>
      </c>
      <c r="H109">
        <f>INDEX(boss_input_vu_khi!$B$2:$B$71,MATCH($C$109,boss_input_vu_khi!$A$2:$A$71,0))*INDEX(Boss_dps!$D$2:$D$32,MATCH($B$109,Boss_dps!$A$2:$A$32,0))*IF(INDEX(boss_input_vu_khi!$D$2:$D$71,MATCH($C$109,boss_input_vu_khi!$A$2:$A$71,0)),1,INDEX(Boss_dps!$B$2:$B$32,MATCH($B$109,Boss_dps!$A$2:$A$32,0)))*INDEX(Boss_dps!$C$2:$C$32,MATCH($B$109,Boss_dps!$A$2:$A$32,0))*$F$109</f>
        <v/>
      </c>
      <c r="I109" t="n">
        <v>498.048</v>
      </c>
      <c r="J109">
        <f>IF($H$109&gt;0,CEILING(INDEX(input_xe_tham_chieu!$C$2:$C$6,MATCH($D$109,input_xe_tham_chieu!$A$2:$A$6,0))/$H$109,1),"")</f>
        <v/>
      </c>
      <c r="K109">
        <f>IF(Boss_vu_khi!$S$123*$F$109&gt;0,INDEX(input_xe_tham_chieu!$C$2:$C$6,MATCH($D$109,input_xe_tham_chieu!$A$2:$A$6,0))/(Boss_vu_khi!$S$123*INDEX(Boss_dps!$D$2:$D$32,MATCH($B$109,Boss_dps!$A$2:$A$32,0))*$F$109),"")</f>
        <v/>
      </c>
      <c r="L109">
        <f>1+2*MIN(2,FLOOR(INDEX(boss_input_vu_khi!$E$2:$E$71,MATCH($C$109,boss_input_vu_khi!$A$2:$A$71,0))/8,1))</f>
        <v/>
      </c>
      <c r="M109">
        <f>1+2*MIN(2,FLOOR(MAX(INDEX(boss_input_vu_khi!$E$2:$E$71,MATCH($C$109,boss_input_vu_khi!$A$2:$A$71,0)),Boss_vu_khi!$L$123)/8,1))</f>
        <v/>
      </c>
      <c r="N109">
        <f>IF(INDEX(boss_input_vu_khi!$E$2:$E$71,MATCH($C$109,boss_input_vu_khi!$A$2:$A$71,0))&gt;=8,5,1)</f>
        <v/>
      </c>
      <c r="O109">
        <f>IF(MAX(INDEX(boss_input_vu_khi!$E$2:$E$71,MATCH($C$109,boss_input_vu_khi!$A$2:$A$71,0)),Boss_vu_khi!$L$123)&gt;=8,5,1)</f>
        <v/>
      </c>
      <c r="P109">
        <f>INDEX(boss_input_vu_khi_suy_ra!$H$2:$H$71,MATCH($C$109,boss_input_vu_khi_suy_ra!$A$2:$A$71,0))</f>
        <v/>
      </c>
      <c r="Q109">
        <f>IF(AND(INDEX(input_xe_tham_chieu!$G$2:$G$6,MATCH($D$109,input_xe_tham_chieu!$A$2:$A$6,0))&gt;0,INDEX(boss_input_vu_khi!$E$2:$E$71,MATCH($C$109,boss_input_vu_khi!$A$2:$A$71,0))&gt;0),INDEX(boss_input_vu_khi!$E$2:$E$71,MATCH($C$109,boss_input_vu_khi!$A$2:$A$71,0))/INDEX(input_xe_tham_chieu!$G$2:$G$6,MATCH($D$109,input_xe_tham_chieu!$A$2:$A$6,0)),"")</f>
        <v/>
      </c>
      <c r="R109">
        <f>IF(ISNUMBER($Q$109),IF($P$109&gt;=$Q$109,"DU","THIEU"),"")</f>
        <v/>
      </c>
      <c r="S109" t="inlineStr">
        <is>
          <t>Assets/MachineBrigade/Resources/Data/balance.json: vehicles[id=locust].weapon x 01_chien_dau/Xe_tham_chieu[heavy_tank]</t>
        </is>
      </c>
      <c r="T109" t="inlineStr"/>
    </row>
    <row r="110">
      <c r="A110" t="inlineStr">
        <is>
          <t>locust/ifv</t>
        </is>
      </c>
      <c r="B110" t="inlineStr">
        <is>
          <t>locust</t>
        </is>
      </c>
      <c r="C110" t="inlineStr">
        <is>
          <t>locust_drones</t>
        </is>
      </c>
      <c r="D110" t="inlineStr">
        <is>
          <t>ifv</t>
        </is>
      </c>
      <c r="E110">
        <f>IF(INDEX(boss_input_vu_khi_suy_ra!$D$2:$D$71,MATCH($C$110,boss_input_vu_khi_suy_ra!$A$2:$A$71,0)),INDEX(input_xe_tham_chieu!$E$2:$E$6,MATCH($D$110,input_xe_tham_chieu!$A$2:$A$6,0)),INDEX(input_xe_tham_chieu!$D$2:$D$6,MATCH($D$110,input_xe_tham_chieu!$A$2:$A$6,0)))</f>
        <v/>
      </c>
      <c r="F110">
        <f>IF(INDEX(boss_input_vu_khi_suy_ra!$E$2:$E$71,MATCH($C$110,boss_input_vu_khi_suy_ra!$A$2:$A$71,0)),INDEX(boss_input_bang_xuyen_giap!$B$2:$B$7,MIN(6,MAX(1,IF(INDEX(boss_input_vu_khi_suy_ra!$D$2:$D$71,MATCH($C$110,boss_input_vu_khi_suy_ra!$A$2:$A$71,0)),MAX(1,2-(INDEX(boss_input_vu_khi!$C$2:$C$71,MATCH($C$110,boss_input_vu_khi!$A$2:$A$71,0))-$E$110)),2-(INDEX(boss_input_vu_khi!$C$2:$C$71,MATCH($C$110,boss_input_vu_khi!$A$2:$A$71,0))-$E$110))+1)))*IF(INDEX(input_xe_tham_chieu!$F$2:$F$6,MATCH($D$110,input_xe_tham_chieu!$A$2:$A$6,0)),INDEX(boss_input_vu_khi_suy_ra!$G$2:$G$71,MATCH($C$110,boss_input_vu_khi_suy_ra!$A$2:$A$71,0)),INDEX(boss_input_vu_khi_suy_ra!$F$2:$F$71,MATCH($C$110,boss_input_vu_khi_suy_ra!$A$2:$A$71,0))),0)</f>
        <v/>
      </c>
      <c r="G110" t="n">
        <v>1</v>
      </c>
      <c r="H110">
        <f>INDEX(boss_input_vu_khi!$B$2:$B$71,MATCH($C$110,boss_input_vu_khi!$A$2:$A$71,0))*INDEX(Boss_dps!$D$2:$D$32,MATCH($B$110,Boss_dps!$A$2:$A$32,0))*IF(INDEX(boss_input_vu_khi!$D$2:$D$71,MATCH($C$110,boss_input_vu_khi!$A$2:$A$71,0)),1,INDEX(Boss_dps!$B$2:$B$32,MATCH($B$110,Boss_dps!$A$2:$A$32,0)))*INDEX(Boss_dps!$C$2:$C$32,MATCH($B$110,Boss_dps!$A$2:$A$32,0))*$F$110</f>
        <v/>
      </c>
      <c r="I110" t="n">
        <v>498.048</v>
      </c>
      <c r="J110">
        <f>IF($H$110&gt;0,CEILING(INDEX(input_xe_tham_chieu!$C$2:$C$6,MATCH($D$110,input_xe_tham_chieu!$A$2:$A$6,0))/$H$110,1),"")</f>
        <v/>
      </c>
      <c r="K110">
        <f>IF(Boss_vu_khi!$S$123*$F$110&gt;0,INDEX(input_xe_tham_chieu!$C$2:$C$6,MATCH($D$110,input_xe_tham_chieu!$A$2:$A$6,0))/(Boss_vu_khi!$S$123*INDEX(Boss_dps!$D$2:$D$32,MATCH($B$110,Boss_dps!$A$2:$A$32,0))*$F$110),"")</f>
        <v/>
      </c>
      <c r="L110">
        <f>1+2*MIN(2,FLOOR(INDEX(boss_input_vu_khi!$E$2:$E$71,MATCH($C$110,boss_input_vu_khi!$A$2:$A$71,0))/8,1))</f>
        <v/>
      </c>
      <c r="M110">
        <f>1+2*MIN(2,FLOOR(MAX(INDEX(boss_input_vu_khi!$E$2:$E$71,MATCH($C$110,boss_input_vu_khi!$A$2:$A$71,0)),Boss_vu_khi!$L$123)/8,1))</f>
        <v/>
      </c>
      <c r="N110">
        <f>IF(INDEX(boss_input_vu_khi!$E$2:$E$71,MATCH($C$110,boss_input_vu_khi!$A$2:$A$71,0))&gt;=8,5,1)</f>
        <v/>
      </c>
      <c r="O110">
        <f>IF(MAX(INDEX(boss_input_vu_khi!$E$2:$E$71,MATCH($C$110,boss_input_vu_khi!$A$2:$A$71,0)),Boss_vu_khi!$L$123)&gt;=8,5,1)</f>
        <v/>
      </c>
      <c r="P110">
        <f>INDEX(boss_input_vu_khi_suy_ra!$H$2:$H$71,MATCH($C$110,boss_input_vu_khi_suy_ra!$A$2:$A$71,0))</f>
        <v/>
      </c>
      <c r="Q110">
        <f>IF(AND(INDEX(input_xe_tham_chieu!$G$2:$G$6,MATCH($D$110,input_xe_tham_chieu!$A$2:$A$6,0))&gt;0,INDEX(boss_input_vu_khi!$E$2:$E$71,MATCH($C$110,boss_input_vu_khi!$A$2:$A$71,0))&gt;0),INDEX(boss_input_vu_khi!$E$2:$E$71,MATCH($C$110,boss_input_vu_khi!$A$2:$A$71,0))/INDEX(input_xe_tham_chieu!$G$2:$G$6,MATCH($D$110,input_xe_tham_chieu!$A$2:$A$6,0)),"")</f>
        <v/>
      </c>
      <c r="R110">
        <f>IF(ISNUMBER($Q$110),IF($P$110&gt;=$Q$110,"DU","THIEU"),"")</f>
        <v/>
      </c>
      <c r="S110" t="inlineStr">
        <is>
          <t>Assets/MachineBrigade/Resources/Data/balance.json: vehicles[id=locust].weapon x 01_chien_dau/Xe_tham_chieu[ifv]</t>
        </is>
      </c>
      <c r="T110" t="inlineStr"/>
    </row>
    <row r="111">
      <c r="A111" t="inlineStr">
        <is>
          <t>locust/main_battle_tank</t>
        </is>
      </c>
      <c r="B111" t="inlineStr">
        <is>
          <t>locust</t>
        </is>
      </c>
      <c r="C111" t="inlineStr">
        <is>
          <t>locust_drones</t>
        </is>
      </c>
      <c r="D111" t="inlineStr">
        <is>
          <t>main_battle_tank</t>
        </is>
      </c>
      <c r="E111">
        <f>IF(INDEX(boss_input_vu_khi_suy_ra!$D$2:$D$71,MATCH($C$111,boss_input_vu_khi_suy_ra!$A$2:$A$71,0)),INDEX(input_xe_tham_chieu!$E$2:$E$6,MATCH($D$111,input_xe_tham_chieu!$A$2:$A$6,0)),INDEX(input_xe_tham_chieu!$D$2:$D$6,MATCH($D$111,input_xe_tham_chieu!$A$2:$A$6,0)))</f>
        <v/>
      </c>
      <c r="F111">
        <f>IF(INDEX(boss_input_vu_khi_suy_ra!$E$2:$E$71,MATCH($C$111,boss_input_vu_khi_suy_ra!$A$2:$A$71,0)),INDEX(boss_input_bang_xuyen_giap!$B$2:$B$7,MIN(6,MAX(1,IF(INDEX(boss_input_vu_khi_suy_ra!$D$2:$D$71,MATCH($C$111,boss_input_vu_khi_suy_ra!$A$2:$A$71,0)),MAX(1,2-(INDEX(boss_input_vu_khi!$C$2:$C$71,MATCH($C$111,boss_input_vu_khi!$A$2:$A$71,0))-$E$111)),2-(INDEX(boss_input_vu_khi!$C$2:$C$71,MATCH($C$111,boss_input_vu_khi!$A$2:$A$71,0))-$E$111))+1)))*IF(INDEX(input_xe_tham_chieu!$F$2:$F$6,MATCH($D$111,input_xe_tham_chieu!$A$2:$A$6,0)),INDEX(boss_input_vu_khi_suy_ra!$G$2:$G$71,MATCH($C$111,boss_input_vu_khi_suy_ra!$A$2:$A$71,0)),INDEX(boss_input_vu_khi_suy_ra!$F$2:$F$71,MATCH($C$111,boss_input_vu_khi_suy_ra!$A$2:$A$71,0))),0)</f>
        <v/>
      </c>
      <c r="G111" t="n">
        <v>1</v>
      </c>
      <c r="H111">
        <f>INDEX(boss_input_vu_khi!$B$2:$B$71,MATCH($C$111,boss_input_vu_khi!$A$2:$A$71,0))*INDEX(Boss_dps!$D$2:$D$32,MATCH($B$111,Boss_dps!$A$2:$A$32,0))*IF(INDEX(boss_input_vu_khi!$D$2:$D$71,MATCH($C$111,boss_input_vu_khi!$A$2:$A$71,0)),1,INDEX(Boss_dps!$B$2:$B$32,MATCH($B$111,Boss_dps!$A$2:$A$32,0)))*INDEX(Boss_dps!$C$2:$C$32,MATCH($B$111,Boss_dps!$A$2:$A$32,0))*$F$111</f>
        <v/>
      </c>
      <c r="I111" t="n">
        <v>498.048</v>
      </c>
      <c r="J111">
        <f>IF($H$111&gt;0,CEILING(INDEX(input_xe_tham_chieu!$C$2:$C$6,MATCH($D$111,input_xe_tham_chieu!$A$2:$A$6,0))/$H$111,1),"")</f>
        <v/>
      </c>
      <c r="K111">
        <f>IF(Boss_vu_khi!$S$123*$F$111&gt;0,INDEX(input_xe_tham_chieu!$C$2:$C$6,MATCH($D$111,input_xe_tham_chieu!$A$2:$A$6,0))/(Boss_vu_khi!$S$123*INDEX(Boss_dps!$D$2:$D$32,MATCH($B$111,Boss_dps!$A$2:$A$32,0))*$F$111),"")</f>
        <v/>
      </c>
      <c r="L111">
        <f>1+2*MIN(2,FLOOR(INDEX(boss_input_vu_khi!$E$2:$E$71,MATCH($C$111,boss_input_vu_khi!$A$2:$A$71,0))/8,1))</f>
        <v/>
      </c>
      <c r="M111">
        <f>1+2*MIN(2,FLOOR(MAX(INDEX(boss_input_vu_khi!$E$2:$E$71,MATCH($C$111,boss_input_vu_khi!$A$2:$A$71,0)),Boss_vu_khi!$L$123)/8,1))</f>
        <v/>
      </c>
      <c r="N111">
        <f>IF(INDEX(boss_input_vu_khi!$E$2:$E$71,MATCH($C$111,boss_input_vu_khi!$A$2:$A$71,0))&gt;=8,5,1)</f>
        <v/>
      </c>
      <c r="O111">
        <f>IF(MAX(INDEX(boss_input_vu_khi!$E$2:$E$71,MATCH($C$111,boss_input_vu_khi!$A$2:$A$71,0)),Boss_vu_khi!$L$123)&gt;=8,5,1)</f>
        <v/>
      </c>
      <c r="P111">
        <f>INDEX(boss_input_vu_khi_suy_ra!$H$2:$H$71,MATCH($C$111,boss_input_vu_khi_suy_ra!$A$2:$A$71,0))</f>
        <v/>
      </c>
      <c r="Q111">
        <f>IF(AND(INDEX(input_xe_tham_chieu!$G$2:$G$6,MATCH($D$111,input_xe_tham_chieu!$A$2:$A$6,0))&gt;0,INDEX(boss_input_vu_khi!$E$2:$E$71,MATCH($C$111,boss_input_vu_khi!$A$2:$A$71,0))&gt;0),INDEX(boss_input_vu_khi!$E$2:$E$71,MATCH($C$111,boss_input_vu_khi!$A$2:$A$71,0))/INDEX(input_xe_tham_chieu!$G$2:$G$6,MATCH($D$111,input_xe_tham_chieu!$A$2:$A$6,0)),"")</f>
        <v/>
      </c>
      <c r="R111">
        <f>IF(ISNUMBER($Q$111),IF($P$111&gt;=$Q$111,"DU","THIEU"),"")</f>
        <v/>
      </c>
      <c r="S111" t="inlineStr">
        <is>
          <t>Assets/MachineBrigade/Resources/Data/balance.json: vehicles[id=locust].weapon x 01_chien_dau/Xe_tham_chieu[main_battle_tank]</t>
        </is>
      </c>
      <c r="T111" t="inlineStr"/>
    </row>
    <row r="112">
      <c r="A112" t="inlineStr">
        <is>
          <t>mega_gunship/armored_car</t>
        </is>
      </c>
      <c r="B112" t="inlineStr">
        <is>
          <t>mega_gunship</t>
        </is>
      </c>
      <c r="C112" t="inlineStr">
        <is>
          <t>gunship_rockets</t>
        </is>
      </c>
      <c r="D112" t="inlineStr">
        <is>
          <t>armored_car</t>
        </is>
      </c>
      <c r="E112">
        <f>IF(INDEX(boss_input_vu_khi_suy_ra!$D$2:$D$71,MATCH($C$112,boss_input_vu_khi_suy_ra!$A$2:$A$71,0)),INDEX(input_xe_tham_chieu!$E$2:$E$6,MATCH($D$112,input_xe_tham_chieu!$A$2:$A$6,0)),INDEX(input_xe_tham_chieu!$D$2:$D$6,MATCH($D$112,input_xe_tham_chieu!$A$2:$A$6,0)))</f>
        <v/>
      </c>
      <c r="F112">
        <f>IF(INDEX(boss_input_vu_khi_suy_ra!$E$2:$E$71,MATCH($C$112,boss_input_vu_khi_suy_ra!$A$2:$A$71,0)),INDEX(boss_input_bang_xuyen_giap!$B$2:$B$7,MIN(6,MAX(1,IF(INDEX(boss_input_vu_khi_suy_ra!$D$2:$D$71,MATCH($C$112,boss_input_vu_khi_suy_ra!$A$2:$A$71,0)),MAX(1,2-(INDEX(boss_input_vu_khi!$C$2:$C$71,MATCH($C$112,boss_input_vu_khi!$A$2:$A$71,0))-$E$112)),2-(INDEX(boss_input_vu_khi!$C$2:$C$71,MATCH($C$112,boss_input_vu_khi!$A$2:$A$71,0))-$E$112))+1)))*IF(INDEX(input_xe_tham_chieu!$F$2:$F$6,MATCH($D$112,input_xe_tham_chieu!$A$2:$A$6,0)),INDEX(boss_input_vu_khi_suy_ra!$G$2:$G$71,MATCH($C$112,boss_input_vu_khi_suy_ra!$A$2:$A$71,0)),INDEX(boss_input_vu_khi_suy_ra!$F$2:$F$71,MATCH($C$112,boss_input_vu_khi_suy_ra!$A$2:$A$71,0))),0)</f>
        <v/>
      </c>
      <c r="G112" t="n">
        <v>1</v>
      </c>
      <c r="H112">
        <f>INDEX(boss_input_vu_khi!$B$2:$B$71,MATCH($C$112,boss_input_vu_khi!$A$2:$A$71,0))*INDEX(Boss_dps!$D$2:$D$32,MATCH($B$112,Boss_dps!$A$2:$A$32,0))*IF(INDEX(boss_input_vu_khi!$D$2:$D$71,MATCH($C$112,boss_input_vu_khi!$A$2:$A$71,0)),1,INDEX(Boss_dps!$B$2:$B$32,MATCH($B$112,Boss_dps!$A$2:$A$32,0)))*INDEX(Boss_dps!$C$2:$C$32,MATCH($B$112,Boss_dps!$A$2:$A$32,0))*$F$112</f>
        <v/>
      </c>
      <c r="I112" t="n">
        <v>95.8464</v>
      </c>
      <c r="J112">
        <f>IF($H$112&gt;0,CEILING(INDEX(input_xe_tham_chieu!$C$2:$C$6,MATCH($D$112,input_xe_tham_chieu!$A$2:$A$6,0))/$H$112,1),"")</f>
        <v/>
      </c>
      <c r="K112">
        <f>IF(Boss_vu_khi!$S$125*$F$112&gt;0,INDEX(input_xe_tham_chieu!$C$2:$C$6,MATCH($D$112,input_xe_tham_chieu!$A$2:$A$6,0))/(Boss_vu_khi!$S$125*INDEX(Boss_dps!$D$2:$D$32,MATCH($B$112,Boss_dps!$A$2:$A$32,0))*$F$112),"")</f>
        <v/>
      </c>
      <c r="L112">
        <f>1+2*MIN(2,FLOOR(INDEX(boss_input_vu_khi!$E$2:$E$71,MATCH($C$112,boss_input_vu_khi!$A$2:$A$71,0))/8,1))</f>
        <v/>
      </c>
      <c r="M112">
        <f>1+2*MIN(2,FLOOR(MAX(INDEX(boss_input_vu_khi!$E$2:$E$71,MATCH($C$112,boss_input_vu_khi!$A$2:$A$71,0)),Boss_vu_khi!$L$125)/8,1))</f>
        <v/>
      </c>
      <c r="N112">
        <f>IF(INDEX(boss_input_vu_khi!$E$2:$E$71,MATCH($C$112,boss_input_vu_khi!$A$2:$A$71,0))&gt;=8,5,1)</f>
        <v/>
      </c>
      <c r="O112">
        <f>IF(MAX(INDEX(boss_input_vu_khi!$E$2:$E$71,MATCH($C$112,boss_input_vu_khi!$A$2:$A$71,0)),Boss_vu_khi!$L$125)&gt;=8,5,1)</f>
        <v/>
      </c>
      <c r="P112">
        <f>INDEX(boss_input_vu_khi_suy_ra!$H$2:$H$71,MATCH($C$112,boss_input_vu_khi_suy_ra!$A$2:$A$71,0))</f>
        <v/>
      </c>
      <c r="Q112">
        <f>IF(AND(INDEX(input_xe_tham_chieu!$G$2:$G$6,MATCH($D$112,input_xe_tham_chieu!$A$2:$A$6,0))&gt;0,INDEX(boss_input_vu_khi!$E$2:$E$71,MATCH($C$112,boss_input_vu_khi!$A$2:$A$71,0))&gt;0),INDEX(boss_input_vu_khi!$E$2:$E$71,MATCH($C$112,boss_input_vu_khi!$A$2:$A$71,0))/INDEX(input_xe_tham_chieu!$G$2:$G$6,MATCH($D$112,input_xe_tham_chieu!$A$2:$A$6,0)),"")</f>
        <v/>
      </c>
      <c r="R112">
        <f>IF(ISNUMBER($Q$112),IF($P$112&gt;=$Q$112,"DU","THIEU"),"")</f>
        <v/>
      </c>
      <c r="S112" t="inlineStr">
        <is>
          <t>Assets/MachineBrigade/Resources/Data/balance.json: vehicles[id=mega_gunship].weapon x 01_chien_dau/Xe_tham_chieu[armored_car]</t>
        </is>
      </c>
      <c r="T112" t="inlineStr"/>
    </row>
    <row r="113">
      <c r="A113" t="inlineStr">
        <is>
          <t>mega_gunship/gun_turret</t>
        </is>
      </c>
      <c r="B113" t="inlineStr">
        <is>
          <t>mega_gunship</t>
        </is>
      </c>
      <c r="C113" t="inlineStr">
        <is>
          <t>gunship_rockets</t>
        </is>
      </c>
      <c r="D113" t="inlineStr">
        <is>
          <t>gun_turret</t>
        </is>
      </c>
      <c r="E113">
        <f>IF(INDEX(boss_input_vu_khi_suy_ra!$D$2:$D$71,MATCH($C$113,boss_input_vu_khi_suy_ra!$A$2:$A$71,0)),INDEX(input_xe_tham_chieu!$E$2:$E$6,MATCH($D$113,input_xe_tham_chieu!$A$2:$A$6,0)),INDEX(input_xe_tham_chieu!$D$2:$D$6,MATCH($D$113,input_xe_tham_chieu!$A$2:$A$6,0)))</f>
        <v/>
      </c>
      <c r="F113">
        <f>IF(INDEX(boss_input_vu_khi_suy_ra!$E$2:$E$71,MATCH($C$113,boss_input_vu_khi_suy_ra!$A$2:$A$71,0)),INDEX(boss_input_bang_xuyen_giap!$B$2:$B$7,MIN(6,MAX(1,IF(INDEX(boss_input_vu_khi_suy_ra!$D$2:$D$71,MATCH($C$113,boss_input_vu_khi_suy_ra!$A$2:$A$71,0)),MAX(1,2-(INDEX(boss_input_vu_khi!$C$2:$C$71,MATCH($C$113,boss_input_vu_khi!$A$2:$A$71,0))-$E$113)),2-(INDEX(boss_input_vu_khi!$C$2:$C$71,MATCH($C$113,boss_input_vu_khi!$A$2:$A$71,0))-$E$113))+1)))*IF(INDEX(input_xe_tham_chieu!$F$2:$F$6,MATCH($D$113,input_xe_tham_chieu!$A$2:$A$6,0)),INDEX(boss_input_vu_khi_suy_ra!$G$2:$G$71,MATCH($C$113,boss_input_vu_khi_suy_ra!$A$2:$A$71,0)),INDEX(boss_input_vu_khi_suy_ra!$F$2:$F$71,MATCH($C$113,boss_input_vu_khi_suy_ra!$A$2:$A$71,0))),0)</f>
        <v/>
      </c>
      <c r="G113" t="n">
        <v>0.75</v>
      </c>
      <c r="H113">
        <f>INDEX(boss_input_vu_khi!$B$2:$B$71,MATCH($C$113,boss_input_vu_khi!$A$2:$A$71,0))*INDEX(Boss_dps!$D$2:$D$32,MATCH($B$113,Boss_dps!$A$2:$A$32,0))*IF(INDEX(boss_input_vu_khi!$D$2:$D$71,MATCH($C$113,boss_input_vu_khi!$A$2:$A$71,0)),1,INDEX(Boss_dps!$B$2:$B$32,MATCH($B$113,Boss_dps!$A$2:$A$32,0)))*INDEX(Boss_dps!$C$2:$C$32,MATCH($B$113,Boss_dps!$A$2:$A$32,0))*$F$113</f>
        <v/>
      </c>
      <c r="I113" t="n">
        <v>71.8848</v>
      </c>
      <c r="J113">
        <f>IF($H$113&gt;0,CEILING(INDEX(input_xe_tham_chieu!$C$2:$C$6,MATCH($D$113,input_xe_tham_chieu!$A$2:$A$6,0))/$H$113,1),"")</f>
        <v/>
      </c>
      <c r="K113">
        <f>IF(Boss_vu_khi!$S$125*$F$113&gt;0,INDEX(input_xe_tham_chieu!$C$2:$C$6,MATCH($D$113,input_xe_tham_chieu!$A$2:$A$6,0))/(Boss_vu_khi!$S$125*INDEX(Boss_dps!$D$2:$D$32,MATCH($B$113,Boss_dps!$A$2:$A$32,0))*$F$113),"")</f>
        <v/>
      </c>
      <c r="L113">
        <f>1+2*MIN(2,FLOOR(INDEX(boss_input_vu_khi!$E$2:$E$71,MATCH($C$113,boss_input_vu_khi!$A$2:$A$71,0))/8,1))</f>
        <v/>
      </c>
      <c r="M113">
        <f>1+2*MIN(2,FLOOR(MAX(INDEX(boss_input_vu_khi!$E$2:$E$71,MATCH($C$113,boss_input_vu_khi!$A$2:$A$71,0)),Boss_vu_khi!$L$125)/8,1))</f>
        <v/>
      </c>
      <c r="N113">
        <f>IF(INDEX(boss_input_vu_khi!$E$2:$E$71,MATCH($C$113,boss_input_vu_khi!$A$2:$A$71,0))&gt;=8,5,1)</f>
        <v/>
      </c>
      <c r="O113">
        <f>IF(MAX(INDEX(boss_input_vu_khi!$E$2:$E$71,MATCH($C$113,boss_input_vu_khi!$A$2:$A$71,0)),Boss_vu_khi!$L$125)&gt;=8,5,1)</f>
        <v/>
      </c>
      <c r="P113">
        <f>INDEX(boss_input_vu_khi_suy_ra!$H$2:$H$71,MATCH($C$113,boss_input_vu_khi_suy_ra!$A$2:$A$71,0))</f>
        <v/>
      </c>
      <c r="Q113">
        <f>IF(AND(INDEX(input_xe_tham_chieu!$G$2:$G$6,MATCH($D$113,input_xe_tham_chieu!$A$2:$A$6,0))&gt;0,INDEX(boss_input_vu_khi!$E$2:$E$71,MATCH($C$113,boss_input_vu_khi!$A$2:$A$71,0))&gt;0),INDEX(boss_input_vu_khi!$E$2:$E$71,MATCH($C$113,boss_input_vu_khi!$A$2:$A$71,0))/INDEX(input_xe_tham_chieu!$G$2:$G$6,MATCH($D$113,input_xe_tham_chieu!$A$2:$A$6,0)),"")</f>
        <v/>
      </c>
      <c r="R113">
        <f>IF(ISNUMBER($Q$113),IF($P$113&gt;=$Q$113,"DU","THIEU"),"")</f>
        <v/>
      </c>
      <c r="S113" t="inlineStr">
        <is>
          <t>Assets/MachineBrigade/Resources/Data/balance.json: vehicles[id=mega_gunship].weapon x 01_chien_dau/Xe_tham_chieu[gun_turret]</t>
        </is>
      </c>
      <c r="T113" t="inlineStr"/>
    </row>
    <row r="114">
      <c r="A114" t="inlineStr">
        <is>
          <t>mega_gunship/heavy_tank</t>
        </is>
      </c>
      <c r="B114" t="inlineStr">
        <is>
          <t>mega_gunship</t>
        </is>
      </c>
      <c r="C114" t="inlineStr">
        <is>
          <t>gunship_rockets</t>
        </is>
      </c>
      <c r="D114" t="inlineStr">
        <is>
          <t>heavy_tank</t>
        </is>
      </c>
      <c r="E114">
        <f>IF(INDEX(boss_input_vu_khi_suy_ra!$D$2:$D$71,MATCH($C$114,boss_input_vu_khi_suy_ra!$A$2:$A$71,0)),INDEX(input_xe_tham_chieu!$E$2:$E$6,MATCH($D$114,input_xe_tham_chieu!$A$2:$A$6,0)),INDEX(input_xe_tham_chieu!$D$2:$D$6,MATCH($D$114,input_xe_tham_chieu!$A$2:$A$6,0)))</f>
        <v/>
      </c>
      <c r="F114">
        <f>IF(INDEX(boss_input_vu_khi_suy_ra!$E$2:$E$71,MATCH($C$114,boss_input_vu_khi_suy_ra!$A$2:$A$71,0)),INDEX(boss_input_bang_xuyen_giap!$B$2:$B$7,MIN(6,MAX(1,IF(INDEX(boss_input_vu_khi_suy_ra!$D$2:$D$71,MATCH($C$114,boss_input_vu_khi_suy_ra!$A$2:$A$71,0)),MAX(1,2-(INDEX(boss_input_vu_khi!$C$2:$C$71,MATCH($C$114,boss_input_vu_khi!$A$2:$A$71,0))-$E$114)),2-(INDEX(boss_input_vu_khi!$C$2:$C$71,MATCH($C$114,boss_input_vu_khi!$A$2:$A$71,0))-$E$114))+1)))*IF(INDEX(input_xe_tham_chieu!$F$2:$F$6,MATCH($D$114,input_xe_tham_chieu!$A$2:$A$6,0)),INDEX(boss_input_vu_khi_suy_ra!$G$2:$G$71,MATCH($C$114,boss_input_vu_khi_suy_ra!$A$2:$A$71,0)),INDEX(boss_input_vu_khi_suy_ra!$F$2:$F$71,MATCH($C$114,boss_input_vu_khi_suy_ra!$A$2:$A$71,0))),0)</f>
        <v/>
      </c>
      <c r="G114" t="n">
        <v>0.25</v>
      </c>
      <c r="H114">
        <f>INDEX(boss_input_vu_khi!$B$2:$B$71,MATCH($C$114,boss_input_vu_khi!$A$2:$A$71,0))*INDEX(Boss_dps!$D$2:$D$32,MATCH($B$114,Boss_dps!$A$2:$A$32,0))*IF(INDEX(boss_input_vu_khi!$D$2:$D$71,MATCH($C$114,boss_input_vu_khi!$A$2:$A$71,0)),1,INDEX(Boss_dps!$B$2:$B$32,MATCH($B$114,Boss_dps!$A$2:$A$32,0)))*INDEX(Boss_dps!$C$2:$C$32,MATCH($B$114,Boss_dps!$A$2:$A$32,0))*$F$114</f>
        <v/>
      </c>
      <c r="I114" t="n">
        <v>23.9616</v>
      </c>
      <c r="J114">
        <f>IF($H$114&gt;0,CEILING(INDEX(input_xe_tham_chieu!$C$2:$C$6,MATCH($D$114,input_xe_tham_chieu!$A$2:$A$6,0))/$H$114,1),"")</f>
        <v/>
      </c>
      <c r="K114">
        <f>IF(Boss_vu_khi!$S$125*$F$114&gt;0,INDEX(input_xe_tham_chieu!$C$2:$C$6,MATCH($D$114,input_xe_tham_chieu!$A$2:$A$6,0))/(Boss_vu_khi!$S$125*INDEX(Boss_dps!$D$2:$D$32,MATCH($B$114,Boss_dps!$A$2:$A$32,0))*$F$114),"")</f>
        <v/>
      </c>
      <c r="L114">
        <f>1+2*MIN(2,FLOOR(INDEX(boss_input_vu_khi!$E$2:$E$71,MATCH($C$114,boss_input_vu_khi!$A$2:$A$71,0))/8,1))</f>
        <v/>
      </c>
      <c r="M114">
        <f>1+2*MIN(2,FLOOR(MAX(INDEX(boss_input_vu_khi!$E$2:$E$71,MATCH($C$114,boss_input_vu_khi!$A$2:$A$71,0)),Boss_vu_khi!$L$125)/8,1))</f>
        <v/>
      </c>
      <c r="N114">
        <f>IF(INDEX(boss_input_vu_khi!$E$2:$E$71,MATCH($C$114,boss_input_vu_khi!$A$2:$A$71,0))&gt;=8,5,1)</f>
        <v/>
      </c>
      <c r="O114">
        <f>IF(MAX(INDEX(boss_input_vu_khi!$E$2:$E$71,MATCH($C$114,boss_input_vu_khi!$A$2:$A$71,0)),Boss_vu_khi!$L$125)&gt;=8,5,1)</f>
        <v/>
      </c>
      <c r="P114">
        <f>INDEX(boss_input_vu_khi_suy_ra!$H$2:$H$71,MATCH($C$114,boss_input_vu_khi_suy_ra!$A$2:$A$71,0))</f>
        <v/>
      </c>
      <c r="Q114">
        <f>IF(AND(INDEX(input_xe_tham_chieu!$G$2:$G$6,MATCH($D$114,input_xe_tham_chieu!$A$2:$A$6,0))&gt;0,INDEX(boss_input_vu_khi!$E$2:$E$71,MATCH($C$114,boss_input_vu_khi!$A$2:$A$71,0))&gt;0),INDEX(boss_input_vu_khi!$E$2:$E$71,MATCH($C$114,boss_input_vu_khi!$A$2:$A$71,0))/INDEX(input_xe_tham_chieu!$G$2:$G$6,MATCH($D$114,input_xe_tham_chieu!$A$2:$A$6,0)),"")</f>
        <v/>
      </c>
      <c r="R114">
        <f>IF(ISNUMBER($Q$114),IF($P$114&gt;=$Q$114,"DU","THIEU"),"")</f>
        <v/>
      </c>
      <c r="S114" t="inlineStr">
        <is>
          <t>Assets/MachineBrigade/Resources/Data/balance.json: vehicles[id=mega_gunship].weapon x 01_chien_dau/Xe_tham_chieu[heavy_tank]</t>
        </is>
      </c>
      <c r="T114" t="inlineStr"/>
    </row>
    <row r="115">
      <c r="A115" t="inlineStr">
        <is>
          <t>mega_gunship/ifv</t>
        </is>
      </c>
      <c r="B115" t="inlineStr">
        <is>
          <t>mega_gunship</t>
        </is>
      </c>
      <c r="C115" t="inlineStr">
        <is>
          <t>gunship_rockets</t>
        </is>
      </c>
      <c r="D115" t="inlineStr">
        <is>
          <t>ifv</t>
        </is>
      </c>
      <c r="E115">
        <f>IF(INDEX(boss_input_vu_khi_suy_ra!$D$2:$D$71,MATCH($C$115,boss_input_vu_khi_suy_ra!$A$2:$A$71,0)),INDEX(input_xe_tham_chieu!$E$2:$E$6,MATCH($D$115,input_xe_tham_chieu!$A$2:$A$6,0)),INDEX(input_xe_tham_chieu!$D$2:$D$6,MATCH($D$115,input_xe_tham_chieu!$A$2:$A$6,0)))</f>
        <v/>
      </c>
      <c r="F115">
        <f>IF(INDEX(boss_input_vu_khi_suy_ra!$E$2:$E$71,MATCH($C$115,boss_input_vu_khi_suy_ra!$A$2:$A$71,0)),INDEX(boss_input_bang_xuyen_giap!$B$2:$B$7,MIN(6,MAX(1,IF(INDEX(boss_input_vu_khi_suy_ra!$D$2:$D$71,MATCH($C$115,boss_input_vu_khi_suy_ra!$A$2:$A$71,0)),MAX(1,2-(INDEX(boss_input_vu_khi!$C$2:$C$71,MATCH($C$115,boss_input_vu_khi!$A$2:$A$71,0))-$E$115)),2-(INDEX(boss_input_vu_khi!$C$2:$C$71,MATCH($C$115,boss_input_vu_khi!$A$2:$A$71,0))-$E$115))+1)))*IF(INDEX(input_xe_tham_chieu!$F$2:$F$6,MATCH($D$115,input_xe_tham_chieu!$A$2:$A$6,0)),INDEX(boss_input_vu_khi_suy_ra!$G$2:$G$71,MATCH($C$115,boss_input_vu_khi_suy_ra!$A$2:$A$71,0)),INDEX(boss_input_vu_khi_suy_ra!$F$2:$F$71,MATCH($C$115,boss_input_vu_khi_suy_ra!$A$2:$A$71,0))),0)</f>
        <v/>
      </c>
      <c r="G115" t="n">
        <v>0.85</v>
      </c>
      <c r="H115">
        <f>INDEX(boss_input_vu_khi!$B$2:$B$71,MATCH($C$115,boss_input_vu_khi!$A$2:$A$71,0))*INDEX(Boss_dps!$D$2:$D$32,MATCH($B$115,Boss_dps!$A$2:$A$32,0))*IF(INDEX(boss_input_vu_khi!$D$2:$D$71,MATCH($C$115,boss_input_vu_khi!$A$2:$A$71,0)),1,INDEX(Boss_dps!$B$2:$B$32,MATCH($B$115,Boss_dps!$A$2:$A$32,0)))*INDEX(Boss_dps!$C$2:$C$32,MATCH($B$115,Boss_dps!$A$2:$A$32,0))*$F$115</f>
        <v/>
      </c>
      <c r="I115" t="n">
        <v>81.46944000000001</v>
      </c>
      <c r="J115">
        <f>IF($H$115&gt;0,CEILING(INDEX(input_xe_tham_chieu!$C$2:$C$6,MATCH($D$115,input_xe_tham_chieu!$A$2:$A$6,0))/$H$115,1),"")</f>
        <v/>
      </c>
      <c r="K115">
        <f>IF(Boss_vu_khi!$S$125*$F$115&gt;0,INDEX(input_xe_tham_chieu!$C$2:$C$6,MATCH($D$115,input_xe_tham_chieu!$A$2:$A$6,0))/(Boss_vu_khi!$S$125*INDEX(Boss_dps!$D$2:$D$32,MATCH($B$115,Boss_dps!$A$2:$A$32,0))*$F$115),"")</f>
        <v/>
      </c>
      <c r="L115">
        <f>1+2*MIN(2,FLOOR(INDEX(boss_input_vu_khi!$E$2:$E$71,MATCH($C$115,boss_input_vu_khi!$A$2:$A$71,0))/8,1))</f>
        <v/>
      </c>
      <c r="M115">
        <f>1+2*MIN(2,FLOOR(MAX(INDEX(boss_input_vu_khi!$E$2:$E$71,MATCH($C$115,boss_input_vu_khi!$A$2:$A$71,0)),Boss_vu_khi!$L$125)/8,1))</f>
        <v/>
      </c>
      <c r="N115">
        <f>IF(INDEX(boss_input_vu_khi!$E$2:$E$71,MATCH($C$115,boss_input_vu_khi!$A$2:$A$71,0))&gt;=8,5,1)</f>
        <v/>
      </c>
      <c r="O115">
        <f>IF(MAX(INDEX(boss_input_vu_khi!$E$2:$E$71,MATCH($C$115,boss_input_vu_khi!$A$2:$A$71,0)),Boss_vu_khi!$L$125)&gt;=8,5,1)</f>
        <v/>
      </c>
      <c r="P115">
        <f>INDEX(boss_input_vu_khi_suy_ra!$H$2:$H$71,MATCH($C$115,boss_input_vu_khi_suy_ra!$A$2:$A$71,0))</f>
        <v/>
      </c>
      <c r="Q115">
        <f>IF(AND(INDEX(input_xe_tham_chieu!$G$2:$G$6,MATCH($D$115,input_xe_tham_chieu!$A$2:$A$6,0))&gt;0,INDEX(boss_input_vu_khi!$E$2:$E$71,MATCH($C$115,boss_input_vu_khi!$A$2:$A$71,0))&gt;0),INDEX(boss_input_vu_khi!$E$2:$E$71,MATCH($C$115,boss_input_vu_khi!$A$2:$A$71,0))/INDEX(input_xe_tham_chieu!$G$2:$G$6,MATCH($D$115,input_xe_tham_chieu!$A$2:$A$6,0)),"")</f>
        <v/>
      </c>
      <c r="R115">
        <f>IF(ISNUMBER($Q$115),IF($P$115&gt;=$Q$115,"DU","THIEU"),"")</f>
        <v/>
      </c>
      <c r="S115" t="inlineStr">
        <is>
          <t>Assets/MachineBrigade/Resources/Data/balance.json: vehicles[id=mega_gunship].weapon x 01_chien_dau/Xe_tham_chieu[ifv]</t>
        </is>
      </c>
      <c r="T115" t="inlineStr"/>
    </row>
    <row r="116">
      <c r="A116" t="inlineStr">
        <is>
          <t>mega_gunship/main_battle_tank</t>
        </is>
      </c>
      <c r="B116" t="inlineStr">
        <is>
          <t>mega_gunship</t>
        </is>
      </c>
      <c r="C116" t="inlineStr">
        <is>
          <t>gunship_rockets</t>
        </is>
      </c>
      <c r="D116" t="inlineStr">
        <is>
          <t>main_battle_tank</t>
        </is>
      </c>
      <c r="E116">
        <f>IF(INDEX(boss_input_vu_khi_suy_ra!$D$2:$D$71,MATCH($C$116,boss_input_vu_khi_suy_ra!$A$2:$A$71,0)),INDEX(input_xe_tham_chieu!$E$2:$E$6,MATCH($D$116,input_xe_tham_chieu!$A$2:$A$6,0)),INDEX(input_xe_tham_chieu!$D$2:$D$6,MATCH($D$116,input_xe_tham_chieu!$A$2:$A$6,0)))</f>
        <v/>
      </c>
      <c r="F116">
        <f>IF(INDEX(boss_input_vu_khi_suy_ra!$E$2:$E$71,MATCH($C$116,boss_input_vu_khi_suy_ra!$A$2:$A$71,0)),INDEX(boss_input_bang_xuyen_giap!$B$2:$B$7,MIN(6,MAX(1,IF(INDEX(boss_input_vu_khi_suy_ra!$D$2:$D$71,MATCH($C$116,boss_input_vu_khi_suy_ra!$A$2:$A$71,0)),MAX(1,2-(INDEX(boss_input_vu_khi!$C$2:$C$71,MATCH($C$116,boss_input_vu_khi!$A$2:$A$71,0))-$E$116)),2-(INDEX(boss_input_vu_khi!$C$2:$C$71,MATCH($C$116,boss_input_vu_khi!$A$2:$A$71,0))-$E$116))+1)))*IF(INDEX(input_xe_tham_chieu!$F$2:$F$6,MATCH($D$116,input_xe_tham_chieu!$A$2:$A$6,0)),INDEX(boss_input_vu_khi_suy_ra!$G$2:$G$71,MATCH($C$116,boss_input_vu_khi_suy_ra!$A$2:$A$71,0)),INDEX(boss_input_vu_khi_suy_ra!$F$2:$F$71,MATCH($C$116,boss_input_vu_khi_suy_ra!$A$2:$A$71,0))),0)</f>
        <v/>
      </c>
      <c r="G116" t="n">
        <v>0.25</v>
      </c>
      <c r="H116">
        <f>INDEX(boss_input_vu_khi!$B$2:$B$71,MATCH($C$116,boss_input_vu_khi!$A$2:$A$71,0))*INDEX(Boss_dps!$D$2:$D$32,MATCH($B$116,Boss_dps!$A$2:$A$32,0))*IF(INDEX(boss_input_vu_khi!$D$2:$D$71,MATCH($C$116,boss_input_vu_khi!$A$2:$A$71,0)),1,INDEX(Boss_dps!$B$2:$B$32,MATCH($B$116,Boss_dps!$A$2:$A$32,0)))*INDEX(Boss_dps!$C$2:$C$32,MATCH($B$116,Boss_dps!$A$2:$A$32,0))*$F$116</f>
        <v/>
      </c>
      <c r="I116" t="n">
        <v>23.9616</v>
      </c>
      <c r="J116">
        <f>IF($H$116&gt;0,CEILING(INDEX(input_xe_tham_chieu!$C$2:$C$6,MATCH($D$116,input_xe_tham_chieu!$A$2:$A$6,0))/$H$116,1),"")</f>
        <v/>
      </c>
      <c r="K116">
        <f>IF(Boss_vu_khi!$S$125*$F$116&gt;0,INDEX(input_xe_tham_chieu!$C$2:$C$6,MATCH($D$116,input_xe_tham_chieu!$A$2:$A$6,0))/(Boss_vu_khi!$S$125*INDEX(Boss_dps!$D$2:$D$32,MATCH($B$116,Boss_dps!$A$2:$A$32,0))*$F$116),"")</f>
        <v/>
      </c>
      <c r="L116">
        <f>1+2*MIN(2,FLOOR(INDEX(boss_input_vu_khi!$E$2:$E$71,MATCH($C$116,boss_input_vu_khi!$A$2:$A$71,0))/8,1))</f>
        <v/>
      </c>
      <c r="M116">
        <f>1+2*MIN(2,FLOOR(MAX(INDEX(boss_input_vu_khi!$E$2:$E$71,MATCH($C$116,boss_input_vu_khi!$A$2:$A$71,0)),Boss_vu_khi!$L$125)/8,1))</f>
        <v/>
      </c>
      <c r="N116">
        <f>IF(INDEX(boss_input_vu_khi!$E$2:$E$71,MATCH($C$116,boss_input_vu_khi!$A$2:$A$71,0))&gt;=8,5,1)</f>
        <v/>
      </c>
      <c r="O116">
        <f>IF(MAX(INDEX(boss_input_vu_khi!$E$2:$E$71,MATCH($C$116,boss_input_vu_khi!$A$2:$A$71,0)),Boss_vu_khi!$L$125)&gt;=8,5,1)</f>
        <v/>
      </c>
      <c r="P116">
        <f>INDEX(boss_input_vu_khi_suy_ra!$H$2:$H$71,MATCH($C$116,boss_input_vu_khi_suy_ra!$A$2:$A$71,0))</f>
        <v/>
      </c>
      <c r="Q116">
        <f>IF(AND(INDEX(input_xe_tham_chieu!$G$2:$G$6,MATCH($D$116,input_xe_tham_chieu!$A$2:$A$6,0))&gt;0,INDEX(boss_input_vu_khi!$E$2:$E$71,MATCH($C$116,boss_input_vu_khi!$A$2:$A$71,0))&gt;0),INDEX(boss_input_vu_khi!$E$2:$E$71,MATCH($C$116,boss_input_vu_khi!$A$2:$A$71,0))/INDEX(input_xe_tham_chieu!$G$2:$G$6,MATCH($D$116,input_xe_tham_chieu!$A$2:$A$6,0)),"")</f>
        <v/>
      </c>
      <c r="R116">
        <f>IF(ISNUMBER($Q$116),IF($P$116&gt;=$Q$116,"DU","THIEU"),"")</f>
        <v/>
      </c>
      <c r="S116" t="inlineStr">
        <is>
          <t>Assets/MachineBrigade/Resources/Data/balance.json: vehicles[id=mega_gunship].weapon x 01_chien_dau/Xe_tham_chieu[main_battle_tank]</t>
        </is>
      </c>
      <c r="T116" t="inlineStr"/>
    </row>
    <row r="117">
      <c r="A117" t="inlineStr">
        <is>
          <t>mobile_fortress/armored_car</t>
        </is>
      </c>
      <c r="B117" t="inlineStr">
        <is>
          <t>mobile_fortress</t>
        </is>
      </c>
      <c r="C117" t="inlineStr">
        <is>
          <t>p26_jotunn_jo203</t>
        </is>
      </c>
      <c r="D117" t="inlineStr">
        <is>
          <t>armored_car</t>
        </is>
      </c>
      <c r="E117">
        <f>IF(INDEX(boss_input_vu_khi_suy_ra!$D$2:$D$71,MATCH($C$117,boss_input_vu_khi_suy_ra!$A$2:$A$71,0)),INDEX(input_xe_tham_chieu!$E$2:$E$6,MATCH($D$117,input_xe_tham_chieu!$A$2:$A$6,0)),INDEX(input_xe_tham_chieu!$D$2:$D$6,MATCH($D$117,input_xe_tham_chieu!$A$2:$A$6,0)))</f>
        <v/>
      </c>
      <c r="F117">
        <f>IF(INDEX(boss_input_vu_khi_suy_ra!$E$2:$E$71,MATCH($C$117,boss_input_vu_khi_suy_ra!$A$2:$A$71,0)),INDEX(boss_input_bang_xuyen_giap!$B$2:$B$7,MIN(6,MAX(1,IF(INDEX(boss_input_vu_khi_suy_ra!$D$2:$D$71,MATCH($C$117,boss_input_vu_khi_suy_ra!$A$2:$A$71,0)),MAX(1,2-(INDEX(boss_input_vu_khi!$C$2:$C$71,MATCH($C$117,boss_input_vu_khi!$A$2:$A$71,0))-$E$117)),2-(INDEX(boss_input_vu_khi!$C$2:$C$71,MATCH($C$117,boss_input_vu_khi!$A$2:$A$71,0))-$E$117))+1)))*IF(INDEX(input_xe_tham_chieu!$F$2:$F$6,MATCH($D$117,input_xe_tham_chieu!$A$2:$A$6,0)),INDEX(boss_input_vu_khi_suy_ra!$G$2:$G$71,MATCH($C$117,boss_input_vu_khi_suy_ra!$A$2:$A$71,0)),INDEX(boss_input_vu_khi_suy_ra!$F$2:$F$71,MATCH($C$117,boss_input_vu_khi_suy_ra!$A$2:$A$71,0))),0)</f>
        <v/>
      </c>
      <c r="G117" t="n">
        <v>1.2</v>
      </c>
      <c r="H117">
        <f>INDEX(boss_input_vu_khi!$B$2:$B$71,MATCH($C$117,boss_input_vu_khi!$A$2:$A$71,0))*INDEX(Boss_dps!$D$2:$D$32,MATCH($B$117,Boss_dps!$A$2:$A$32,0))*IF(INDEX(boss_input_vu_khi!$D$2:$D$71,MATCH($C$117,boss_input_vu_khi!$A$2:$A$71,0)),1,INDEX(Boss_dps!$B$2:$B$32,MATCH($B$117,Boss_dps!$A$2:$A$32,0)))*INDEX(Boss_dps!$C$2:$C$32,MATCH($B$117,Boss_dps!$A$2:$A$32,0))*$F$117</f>
        <v/>
      </c>
      <c r="I117" t="n">
        <v>1437.6096</v>
      </c>
      <c r="J117">
        <f>IF($H$117&gt;0,CEILING(INDEX(input_xe_tham_chieu!$C$2:$C$6,MATCH($D$117,input_xe_tham_chieu!$A$2:$A$6,0))/$H$117,1),"")</f>
        <v/>
      </c>
      <c r="K117">
        <f>IF(Boss_vu_khi!$S$132*$F$117&gt;0,INDEX(input_xe_tham_chieu!$C$2:$C$6,MATCH($D$117,input_xe_tham_chieu!$A$2:$A$6,0))/(Boss_vu_khi!$S$132*INDEX(Boss_dps!$D$2:$D$32,MATCH($B$117,Boss_dps!$A$2:$A$32,0))*$F$117),"")</f>
        <v/>
      </c>
      <c r="L117">
        <f>1+2*MIN(2,FLOOR(INDEX(boss_input_vu_khi!$E$2:$E$71,MATCH($C$117,boss_input_vu_khi!$A$2:$A$71,0))/8,1))</f>
        <v/>
      </c>
      <c r="M117">
        <f>1+2*MIN(2,FLOOR(MAX(INDEX(boss_input_vu_khi!$E$2:$E$71,MATCH($C$117,boss_input_vu_khi!$A$2:$A$71,0)),Boss_vu_khi!$L$132)/8,1))</f>
        <v/>
      </c>
      <c r="N117">
        <f>IF(INDEX(boss_input_vu_khi!$E$2:$E$71,MATCH($C$117,boss_input_vu_khi!$A$2:$A$71,0))&gt;=8,5,1)</f>
        <v/>
      </c>
      <c r="O117">
        <f>IF(MAX(INDEX(boss_input_vu_khi!$E$2:$E$71,MATCH($C$117,boss_input_vu_khi!$A$2:$A$71,0)),Boss_vu_khi!$L$132)&gt;=8,5,1)</f>
        <v/>
      </c>
      <c r="P117">
        <f>INDEX(boss_input_vu_khi_suy_ra!$H$2:$H$71,MATCH($C$117,boss_input_vu_khi_suy_ra!$A$2:$A$71,0))</f>
        <v/>
      </c>
      <c r="Q117">
        <f>IF(AND(INDEX(input_xe_tham_chieu!$G$2:$G$6,MATCH($D$117,input_xe_tham_chieu!$A$2:$A$6,0))&gt;0,INDEX(boss_input_vu_khi!$E$2:$E$71,MATCH($C$117,boss_input_vu_khi!$A$2:$A$71,0))&gt;0),INDEX(boss_input_vu_khi!$E$2:$E$71,MATCH($C$117,boss_input_vu_khi!$A$2:$A$71,0))/INDEX(input_xe_tham_chieu!$G$2:$G$6,MATCH($D$117,input_xe_tham_chieu!$A$2:$A$6,0)),"")</f>
        <v/>
      </c>
      <c r="R117">
        <f>IF(ISNUMBER($Q$117),IF($P$117&gt;=$Q$117,"DU","THIEU"),"")</f>
        <v/>
      </c>
      <c r="S117" t="inlineStr">
        <is>
          <t>Assets/MachineBrigade/Resources/Data/balance.json: vehicles[id=mobile_fortress].weapon x 01_chien_dau/Xe_tham_chieu[armored_car]</t>
        </is>
      </c>
      <c r="T117" t="inlineStr"/>
    </row>
    <row r="118">
      <c r="A118" t="inlineStr">
        <is>
          <t>mobile_fortress/gun_turret</t>
        </is>
      </c>
      <c r="B118" t="inlineStr">
        <is>
          <t>mobile_fortress</t>
        </is>
      </c>
      <c r="C118" t="inlineStr">
        <is>
          <t>p26_jotunn_jo203</t>
        </is>
      </c>
      <c r="D118" t="inlineStr">
        <is>
          <t>gun_turret</t>
        </is>
      </c>
      <c r="E118">
        <f>IF(INDEX(boss_input_vu_khi_suy_ra!$D$2:$D$71,MATCH($C$118,boss_input_vu_khi_suy_ra!$A$2:$A$71,0)),INDEX(input_xe_tham_chieu!$E$2:$E$6,MATCH($D$118,input_xe_tham_chieu!$A$2:$A$6,0)),INDEX(input_xe_tham_chieu!$D$2:$D$6,MATCH($D$118,input_xe_tham_chieu!$A$2:$A$6,0)))</f>
        <v/>
      </c>
      <c r="F118">
        <f>IF(INDEX(boss_input_vu_khi_suy_ra!$E$2:$E$71,MATCH($C$118,boss_input_vu_khi_suy_ra!$A$2:$A$71,0)),INDEX(boss_input_bang_xuyen_giap!$B$2:$B$7,MIN(6,MAX(1,IF(INDEX(boss_input_vu_khi_suy_ra!$D$2:$D$71,MATCH($C$118,boss_input_vu_khi_suy_ra!$A$2:$A$71,0)),MAX(1,2-(INDEX(boss_input_vu_khi!$C$2:$C$71,MATCH($C$118,boss_input_vu_khi!$A$2:$A$71,0))-$E$118)),2-(INDEX(boss_input_vu_khi!$C$2:$C$71,MATCH($C$118,boss_input_vu_khi!$A$2:$A$71,0))-$E$118))+1)))*IF(INDEX(input_xe_tham_chieu!$F$2:$F$6,MATCH($D$118,input_xe_tham_chieu!$A$2:$A$6,0)),INDEX(boss_input_vu_khi_suy_ra!$G$2:$G$71,MATCH($C$118,boss_input_vu_khi_suy_ra!$A$2:$A$71,0)),INDEX(boss_input_vu_khi_suy_ra!$F$2:$F$71,MATCH($C$118,boss_input_vu_khi_suy_ra!$A$2:$A$71,0))),0)</f>
        <v/>
      </c>
      <c r="G118" t="n">
        <v>1.5</v>
      </c>
      <c r="H118">
        <f>INDEX(boss_input_vu_khi!$B$2:$B$71,MATCH($C$118,boss_input_vu_khi!$A$2:$A$71,0))*INDEX(Boss_dps!$D$2:$D$32,MATCH($B$118,Boss_dps!$A$2:$A$32,0))*IF(INDEX(boss_input_vu_khi!$D$2:$D$71,MATCH($C$118,boss_input_vu_khi!$A$2:$A$71,0)),1,INDEX(Boss_dps!$B$2:$B$32,MATCH($B$118,Boss_dps!$A$2:$A$32,0)))*INDEX(Boss_dps!$C$2:$C$32,MATCH($B$118,Boss_dps!$A$2:$A$32,0))*$F$118</f>
        <v/>
      </c>
      <c r="I118" t="n">
        <v>1797.012</v>
      </c>
      <c r="J118">
        <f>IF($H$118&gt;0,CEILING(INDEX(input_xe_tham_chieu!$C$2:$C$6,MATCH($D$118,input_xe_tham_chieu!$A$2:$A$6,0))/$H$118,1),"")</f>
        <v/>
      </c>
      <c r="K118">
        <f>IF(Boss_vu_khi!$S$132*$F$118&gt;0,INDEX(input_xe_tham_chieu!$C$2:$C$6,MATCH($D$118,input_xe_tham_chieu!$A$2:$A$6,0))/(Boss_vu_khi!$S$132*INDEX(Boss_dps!$D$2:$D$32,MATCH($B$118,Boss_dps!$A$2:$A$32,0))*$F$118),"")</f>
        <v/>
      </c>
      <c r="L118">
        <f>1+2*MIN(2,FLOOR(INDEX(boss_input_vu_khi!$E$2:$E$71,MATCH($C$118,boss_input_vu_khi!$A$2:$A$71,0))/8,1))</f>
        <v/>
      </c>
      <c r="M118">
        <f>1+2*MIN(2,FLOOR(MAX(INDEX(boss_input_vu_khi!$E$2:$E$71,MATCH($C$118,boss_input_vu_khi!$A$2:$A$71,0)),Boss_vu_khi!$L$132)/8,1))</f>
        <v/>
      </c>
      <c r="N118">
        <f>IF(INDEX(boss_input_vu_khi!$E$2:$E$71,MATCH($C$118,boss_input_vu_khi!$A$2:$A$71,0))&gt;=8,5,1)</f>
        <v/>
      </c>
      <c r="O118">
        <f>IF(MAX(INDEX(boss_input_vu_khi!$E$2:$E$71,MATCH($C$118,boss_input_vu_khi!$A$2:$A$71,0)),Boss_vu_khi!$L$132)&gt;=8,5,1)</f>
        <v/>
      </c>
      <c r="P118">
        <f>INDEX(boss_input_vu_khi_suy_ra!$H$2:$H$71,MATCH($C$118,boss_input_vu_khi_suy_ra!$A$2:$A$71,0))</f>
        <v/>
      </c>
      <c r="Q118">
        <f>IF(AND(INDEX(input_xe_tham_chieu!$G$2:$G$6,MATCH($D$118,input_xe_tham_chieu!$A$2:$A$6,0))&gt;0,INDEX(boss_input_vu_khi!$E$2:$E$71,MATCH($C$118,boss_input_vu_khi!$A$2:$A$71,0))&gt;0),INDEX(boss_input_vu_khi!$E$2:$E$71,MATCH($C$118,boss_input_vu_khi!$A$2:$A$71,0))/INDEX(input_xe_tham_chieu!$G$2:$G$6,MATCH($D$118,input_xe_tham_chieu!$A$2:$A$6,0)),"")</f>
        <v/>
      </c>
      <c r="R118">
        <f>IF(ISNUMBER($Q$118),IF($P$118&gt;=$Q$118,"DU","THIEU"),"")</f>
        <v/>
      </c>
      <c r="S118" t="inlineStr">
        <is>
          <t>Assets/MachineBrigade/Resources/Data/balance.json: vehicles[id=mobile_fortress].weapon x 01_chien_dau/Xe_tham_chieu[gun_turret]</t>
        </is>
      </c>
      <c r="T118" t="inlineStr"/>
    </row>
    <row r="119">
      <c r="A119" t="inlineStr">
        <is>
          <t>mobile_fortress/heavy_tank</t>
        </is>
      </c>
      <c r="B119" t="inlineStr">
        <is>
          <t>mobile_fortress</t>
        </is>
      </c>
      <c r="C119" t="inlineStr">
        <is>
          <t>p26_jotunn_jo203</t>
        </is>
      </c>
      <c r="D119" t="inlineStr">
        <is>
          <t>heavy_tank</t>
        </is>
      </c>
      <c r="E119">
        <f>IF(INDEX(boss_input_vu_khi_suy_ra!$D$2:$D$71,MATCH($C$119,boss_input_vu_khi_suy_ra!$A$2:$A$71,0)),INDEX(input_xe_tham_chieu!$E$2:$E$6,MATCH($D$119,input_xe_tham_chieu!$A$2:$A$6,0)),INDEX(input_xe_tham_chieu!$D$2:$D$6,MATCH($D$119,input_xe_tham_chieu!$A$2:$A$6,0)))</f>
        <v/>
      </c>
      <c r="F119">
        <f>IF(INDEX(boss_input_vu_khi_suy_ra!$E$2:$E$71,MATCH($C$119,boss_input_vu_khi_suy_ra!$A$2:$A$71,0)),INDEX(boss_input_bang_xuyen_giap!$B$2:$B$7,MIN(6,MAX(1,IF(INDEX(boss_input_vu_khi_suy_ra!$D$2:$D$71,MATCH($C$119,boss_input_vu_khi_suy_ra!$A$2:$A$71,0)),MAX(1,2-(INDEX(boss_input_vu_khi!$C$2:$C$71,MATCH($C$119,boss_input_vu_khi!$A$2:$A$71,0))-$E$119)),2-(INDEX(boss_input_vu_khi!$C$2:$C$71,MATCH($C$119,boss_input_vu_khi!$A$2:$A$71,0))-$E$119))+1)))*IF(INDEX(input_xe_tham_chieu!$F$2:$F$6,MATCH($D$119,input_xe_tham_chieu!$A$2:$A$6,0)),INDEX(boss_input_vu_khi_suy_ra!$G$2:$G$71,MATCH($C$119,boss_input_vu_khi_suy_ra!$A$2:$A$71,0)),INDEX(boss_input_vu_khi_suy_ra!$F$2:$F$71,MATCH($C$119,boss_input_vu_khi_suy_ra!$A$2:$A$71,0))),0)</f>
        <v/>
      </c>
      <c r="G119" t="n">
        <v>0.85</v>
      </c>
      <c r="H119">
        <f>INDEX(boss_input_vu_khi!$B$2:$B$71,MATCH($C$119,boss_input_vu_khi!$A$2:$A$71,0))*INDEX(Boss_dps!$D$2:$D$32,MATCH($B$119,Boss_dps!$A$2:$A$32,0))*IF(INDEX(boss_input_vu_khi!$D$2:$D$71,MATCH($C$119,boss_input_vu_khi!$A$2:$A$71,0)),1,INDEX(Boss_dps!$B$2:$B$32,MATCH($B$119,Boss_dps!$A$2:$A$32,0)))*INDEX(Boss_dps!$C$2:$C$32,MATCH($B$119,Boss_dps!$A$2:$A$32,0))*$F$119</f>
        <v/>
      </c>
      <c r="I119" t="n">
        <v>1018.3068</v>
      </c>
      <c r="J119">
        <f>IF($H$119&gt;0,CEILING(INDEX(input_xe_tham_chieu!$C$2:$C$6,MATCH($D$119,input_xe_tham_chieu!$A$2:$A$6,0))/$H$119,1),"")</f>
        <v/>
      </c>
      <c r="K119">
        <f>IF(Boss_vu_khi!$S$132*$F$119&gt;0,INDEX(input_xe_tham_chieu!$C$2:$C$6,MATCH($D$119,input_xe_tham_chieu!$A$2:$A$6,0))/(Boss_vu_khi!$S$132*INDEX(Boss_dps!$D$2:$D$32,MATCH($B$119,Boss_dps!$A$2:$A$32,0))*$F$119),"")</f>
        <v/>
      </c>
      <c r="L119">
        <f>1+2*MIN(2,FLOOR(INDEX(boss_input_vu_khi!$E$2:$E$71,MATCH($C$119,boss_input_vu_khi!$A$2:$A$71,0))/8,1))</f>
        <v/>
      </c>
      <c r="M119">
        <f>1+2*MIN(2,FLOOR(MAX(INDEX(boss_input_vu_khi!$E$2:$E$71,MATCH($C$119,boss_input_vu_khi!$A$2:$A$71,0)),Boss_vu_khi!$L$132)/8,1))</f>
        <v/>
      </c>
      <c r="N119">
        <f>IF(INDEX(boss_input_vu_khi!$E$2:$E$71,MATCH($C$119,boss_input_vu_khi!$A$2:$A$71,0))&gt;=8,5,1)</f>
        <v/>
      </c>
      <c r="O119">
        <f>IF(MAX(INDEX(boss_input_vu_khi!$E$2:$E$71,MATCH($C$119,boss_input_vu_khi!$A$2:$A$71,0)),Boss_vu_khi!$L$132)&gt;=8,5,1)</f>
        <v/>
      </c>
      <c r="P119">
        <f>INDEX(boss_input_vu_khi_suy_ra!$H$2:$H$71,MATCH($C$119,boss_input_vu_khi_suy_ra!$A$2:$A$71,0))</f>
        <v/>
      </c>
      <c r="Q119">
        <f>IF(AND(INDEX(input_xe_tham_chieu!$G$2:$G$6,MATCH($D$119,input_xe_tham_chieu!$A$2:$A$6,0))&gt;0,INDEX(boss_input_vu_khi!$E$2:$E$71,MATCH($C$119,boss_input_vu_khi!$A$2:$A$71,0))&gt;0),INDEX(boss_input_vu_khi!$E$2:$E$71,MATCH($C$119,boss_input_vu_khi!$A$2:$A$71,0))/INDEX(input_xe_tham_chieu!$G$2:$G$6,MATCH($D$119,input_xe_tham_chieu!$A$2:$A$6,0)),"")</f>
        <v/>
      </c>
      <c r="R119">
        <f>IF(ISNUMBER($Q$119),IF($P$119&gt;=$Q$119,"DU","THIEU"),"")</f>
        <v/>
      </c>
      <c r="S119" t="inlineStr">
        <is>
          <t>Assets/MachineBrigade/Resources/Data/balance.json: vehicles[id=mobile_fortress].weapon x 01_chien_dau/Xe_tham_chieu[heavy_tank]</t>
        </is>
      </c>
      <c r="T119" t="inlineStr"/>
    </row>
    <row r="120">
      <c r="A120" t="inlineStr">
        <is>
          <t>mobile_fortress/ifv</t>
        </is>
      </c>
      <c r="B120" t="inlineStr">
        <is>
          <t>mobile_fortress</t>
        </is>
      </c>
      <c r="C120" t="inlineStr">
        <is>
          <t>p26_jotunn_jo203</t>
        </is>
      </c>
      <c r="D120" t="inlineStr">
        <is>
          <t>ifv</t>
        </is>
      </c>
      <c r="E120">
        <f>IF(INDEX(boss_input_vu_khi_suy_ra!$D$2:$D$71,MATCH($C$120,boss_input_vu_khi_suy_ra!$A$2:$A$71,0)),INDEX(input_xe_tham_chieu!$E$2:$E$6,MATCH($D$120,input_xe_tham_chieu!$A$2:$A$6,0)),INDEX(input_xe_tham_chieu!$D$2:$D$6,MATCH($D$120,input_xe_tham_chieu!$A$2:$A$6,0)))</f>
        <v/>
      </c>
      <c r="F120">
        <f>IF(INDEX(boss_input_vu_khi_suy_ra!$E$2:$E$71,MATCH($C$120,boss_input_vu_khi_suy_ra!$A$2:$A$71,0)),INDEX(boss_input_bang_xuyen_giap!$B$2:$B$7,MIN(6,MAX(1,IF(INDEX(boss_input_vu_khi_suy_ra!$D$2:$D$71,MATCH($C$120,boss_input_vu_khi_suy_ra!$A$2:$A$71,0)),MAX(1,2-(INDEX(boss_input_vu_khi!$C$2:$C$71,MATCH($C$120,boss_input_vu_khi!$A$2:$A$71,0))-$E$120)),2-(INDEX(boss_input_vu_khi!$C$2:$C$71,MATCH($C$120,boss_input_vu_khi!$A$2:$A$71,0))-$E$120))+1)))*IF(INDEX(input_xe_tham_chieu!$F$2:$F$6,MATCH($D$120,input_xe_tham_chieu!$A$2:$A$6,0)),INDEX(boss_input_vu_khi_suy_ra!$G$2:$G$71,MATCH($C$120,boss_input_vu_khi_suy_ra!$A$2:$A$71,0)),INDEX(boss_input_vu_khi_suy_ra!$F$2:$F$71,MATCH($C$120,boss_input_vu_khi_suy_ra!$A$2:$A$71,0))),0)</f>
        <v/>
      </c>
      <c r="G120" t="n">
        <v>1.2</v>
      </c>
      <c r="H120">
        <f>INDEX(boss_input_vu_khi!$B$2:$B$71,MATCH($C$120,boss_input_vu_khi!$A$2:$A$71,0))*INDEX(Boss_dps!$D$2:$D$32,MATCH($B$120,Boss_dps!$A$2:$A$32,0))*IF(INDEX(boss_input_vu_khi!$D$2:$D$71,MATCH($C$120,boss_input_vu_khi!$A$2:$A$71,0)),1,INDEX(Boss_dps!$B$2:$B$32,MATCH($B$120,Boss_dps!$A$2:$A$32,0)))*INDEX(Boss_dps!$C$2:$C$32,MATCH($B$120,Boss_dps!$A$2:$A$32,0))*$F$120</f>
        <v/>
      </c>
      <c r="I120" t="n">
        <v>1437.6096</v>
      </c>
      <c r="J120">
        <f>IF($H$120&gt;0,CEILING(INDEX(input_xe_tham_chieu!$C$2:$C$6,MATCH($D$120,input_xe_tham_chieu!$A$2:$A$6,0))/$H$120,1),"")</f>
        <v/>
      </c>
      <c r="K120">
        <f>IF(Boss_vu_khi!$S$132*$F$120&gt;0,INDEX(input_xe_tham_chieu!$C$2:$C$6,MATCH($D$120,input_xe_tham_chieu!$A$2:$A$6,0))/(Boss_vu_khi!$S$132*INDEX(Boss_dps!$D$2:$D$32,MATCH($B$120,Boss_dps!$A$2:$A$32,0))*$F$120),"")</f>
        <v/>
      </c>
      <c r="L120">
        <f>1+2*MIN(2,FLOOR(INDEX(boss_input_vu_khi!$E$2:$E$71,MATCH($C$120,boss_input_vu_khi!$A$2:$A$71,0))/8,1))</f>
        <v/>
      </c>
      <c r="M120">
        <f>1+2*MIN(2,FLOOR(MAX(INDEX(boss_input_vu_khi!$E$2:$E$71,MATCH($C$120,boss_input_vu_khi!$A$2:$A$71,0)),Boss_vu_khi!$L$132)/8,1))</f>
        <v/>
      </c>
      <c r="N120">
        <f>IF(INDEX(boss_input_vu_khi!$E$2:$E$71,MATCH($C$120,boss_input_vu_khi!$A$2:$A$71,0))&gt;=8,5,1)</f>
        <v/>
      </c>
      <c r="O120">
        <f>IF(MAX(INDEX(boss_input_vu_khi!$E$2:$E$71,MATCH($C$120,boss_input_vu_khi!$A$2:$A$71,0)),Boss_vu_khi!$L$132)&gt;=8,5,1)</f>
        <v/>
      </c>
      <c r="P120">
        <f>INDEX(boss_input_vu_khi_suy_ra!$H$2:$H$71,MATCH($C$120,boss_input_vu_khi_suy_ra!$A$2:$A$71,0))</f>
        <v/>
      </c>
      <c r="Q120">
        <f>IF(AND(INDEX(input_xe_tham_chieu!$G$2:$G$6,MATCH($D$120,input_xe_tham_chieu!$A$2:$A$6,0))&gt;0,INDEX(boss_input_vu_khi!$E$2:$E$71,MATCH($C$120,boss_input_vu_khi!$A$2:$A$71,0))&gt;0),INDEX(boss_input_vu_khi!$E$2:$E$71,MATCH($C$120,boss_input_vu_khi!$A$2:$A$71,0))/INDEX(input_xe_tham_chieu!$G$2:$G$6,MATCH($D$120,input_xe_tham_chieu!$A$2:$A$6,0)),"")</f>
        <v/>
      </c>
      <c r="R120">
        <f>IF(ISNUMBER($Q$120),IF($P$120&gt;=$Q$120,"DU","THIEU"),"")</f>
        <v/>
      </c>
      <c r="S120" t="inlineStr">
        <is>
          <t>Assets/MachineBrigade/Resources/Data/balance.json: vehicles[id=mobile_fortress].weapon x 01_chien_dau/Xe_tham_chieu[ifv]</t>
        </is>
      </c>
      <c r="T120" t="inlineStr"/>
    </row>
    <row r="121">
      <c r="A121" t="inlineStr">
        <is>
          <t>mobile_fortress/main_battle_tank</t>
        </is>
      </c>
      <c r="B121" t="inlineStr">
        <is>
          <t>mobile_fortress</t>
        </is>
      </c>
      <c r="C121" t="inlineStr">
        <is>
          <t>p26_jotunn_jo203</t>
        </is>
      </c>
      <c r="D121" t="inlineStr">
        <is>
          <t>main_battle_tank</t>
        </is>
      </c>
      <c r="E121">
        <f>IF(INDEX(boss_input_vu_khi_suy_ra!$D$2:$D$71,MATCH($C$121,boss_input_vu_khi_suy_ra!$A$2:$A$71,0)),INDEX(input_xe_tham_chieu!$E$2:$E$6,MATCH($D$121,input_xe_tham_chieu!$A$2:$A$6,0)),INDEX(input_xe_tham_chieu!$D$2:$D$6,MATCH($D$121,input_xe_tham_chieu!$A$2:$A$6,0)))</f>
        <v/>
      </c>
      <c r="F121">
        <f>IF(INDEX(boss_input_vu_khi_suy_ra!$E$2:$E$71,MATCH($C$121,boss_input_vu_khi_suy_ra!$A$2:$A$71,0)),INDEX(boss_input_bang_xuyen_giap!$B$2:$B$7,MIN(6,MAX(1,IF(INDEX(boss_input_vu_khi_suy_ra!$D$2:$D$71,MATCH($C$121,boss_input_vu_khi_suy_ra!$A$2:$A$71,0)),MAX(1,2-(INDEX(boss_input_vu_khi!$C$2:$C$71,MATCH($C$121,boss_input_vu_khi!$A$2:$A$71,0))-$E$121)),2-(INDEX(boss_input_vu_khi!$C$2:$C$71,MATCH($C$121,boss_input_vu_khi!$A$2:$A$71,0))-$E$121))+1)))*IF(INDEX(input_xe_tham_chieu!$F$2:$F$6,MATCH($D$121,input_xe_tham_chieu!$A$2:$A$6,0)),INDEX(boss_input_vu_khi_suy_ra!$G$2:$G$71,MATCH($C$121,boss_input_vu_khi_suy_ra!$A$2:$A$71,0)),INDEX(boss_input_vu_khi_suy_ra!$F$2:$F$71,MATCH($C$121,boss_input_vu_khi_suy_ra!$A$2:$A$71,0))),0)</f>
        <v/>
      </c>
      <c r="G121" t="n">
        <v>0.85</v>
      </c>
      <c r="H121">
        <f>INDEX(boss_input_vu_khi!$B$2:$B$71,MATCH($C$121,boss_input_vu_khi!$A$2:$A$71,0))*INDEX(Boss_dps!$D$2:$D$32,MATCH($B$121,Boss_dps!$A$2:$A$32,0))*IF(INDEX(boss_input_vu_khi!$D$2:$D$71,MATCH($C$121,boss_input_vu_khi!$A$2:$A$71,0)),1,INDEX(Boss_dps!$B$2:$B$32,MATCH($B$121,Boss_dps!$A$2:$A$32,0)))*INDEX(Boss_dps!$C$2:$C$32,MATCH($B$121,Boss_dps!$A$2:$A$32,0))*$F$121</f>
        <v/>
      </c>
      <c r="I121" t="n">
        <v>1018.3068</v>
      </c>
      <c r="J121">
        <f>IF($H$121&gt;0,CEILING(INDEX(input_xe_tham_chieu!$C$2:$C$6,MATCH($D$121,input_xe_tham_chieu!$A$2:$A$6,0))/$H$121,1),"")</f>
        <v/>
      </c>
      <c r="K121">
        <f>IF(Boss_vu_khi!$S$132*$F$121&gt;0,INDEX(input_xe_tham_chieu!$C$2:$C$6,MATCH($D$121,input_xe_tham_chieu!$A$2:$A$6,0))/(Boss_vu_khi!$S$132*INDEX(Boss_dps!$D$2:$D$32,MATCH($B$121,Boss_dps!$A$2:$A$32,0))*$F$121),"")</f>
        <v/>
      </c>
      <c r="L121">
        <f>1+2*MIN(2,FLOOR(INDEX(boss_input_vu_khi!$E$2:$E$71,MATCH($C$121,boss_input_vu_khi!$A$2:$A$71,0))/8,1))</f>
        <v/>
      </c>
      <c r="M121">
        <f>1+2*MIN(2,FLOOR(MAX(INDEX(boss_input_vu_khi!$E$2:$E$71,MATCH($C$121,boss_input_vu_khi!$A$2:$A$71,0)),Boss_vu_khi!$L$132)/8,1))</f>
        <v/>
      </c>
      <c r="N121">
        <f>IF(INDEX(boss_input_vu_khi!$E$2:$E$71,MATCH($C$121,boss_input_vu_khi!$A$2:$A$71,0))&gt;=8,5,1)</f>
        <v/>
      </c>
      <c r="O121">
        <f>IF(MAX(INDEX(boss_input_vu_khi!$E$2:$E$71,MATCH($C$121,boss_input_vu_khi!$A$2:$A$71,0)),Boss_vu_khi!$L$132)&gt;=8,5,1)</f>
        <v/>
      </c>
      <c r="P121">
        <f>INDEX(boss_input_vu_khi_suy_ra!$H$2:$H$71,MATCH($C$121,boss_input_vu_khi_suy_ra!$A$2:$A$71,0))</f>
        <v/>
      </c>
      <c r="Q121">
        <f>IF(AND(INDEX(input_xe_tham_chieu!$G$2:$G$6,MATCH($D$121,input_xe_tham_chieu!$A$2:$A$6,0))&gt;0,INDEX(boss_input_vu_khi!$E$2:$E$71,MATCH($C$121,boss_input_vu_khi!$A$2:$A$71,0))&gt;0),INDEX(boss_input_vu_khi!$E$2:$E$71,MATCH($C$121,boss_input_vu_khi!$A$2:$A$71,0))/INDEX(input_xe_tham_chieu!$G$2:$G$6,MATCH($D$121,input_xe_tham_chieu!$A$2:$A$6,0)),"")</f>
        <v/>
      </c>
      <c r="R121">
        <f>IF(ISNUMBER($Q$121),IF($P$121&gt;=$Q$121,"DU","THIEU"),"")</f>
        <v/>
      </c>
      <c r="S121" t="inlineStr">
        <is>
          <t>Assets/MachineBrigade/Resources/Data/balance.json: vehicles[id=mobile_fortress].weapon x 01_chien_dau/Xe_tham_chieu[main_battle_tank]</t>
        </is>
      </c>
      <c r="T121" t="inlineStr"/>
    </row>
    <row r="122">
      <c r="A122" t="inlineStr">
        <is>
          <t>moloch/armored_car</t>
        </is>
      </c>
      <c r="B122" t="inlineStr">
        <is>
          <t>moloch</t>
        </is>
      </c>
      <c r="C122" t="inlineStr">
        <is>
          <t>p26_moloch_main_mo120</t>
        </is>
      </c>
      <c r="D122" t="inlineStr">
        <is>
          <t>armored_car</t>
        </is>
      </c>
      <c r="E122">
        <f>IF(INDEX(boss_input_vu_khi_suy_ra!$D$2:$D$71,MATCH($C$122,boss_input_vu_khi_suy_ra!$A$2:$A$71,0)),INDEX(input_xe_tham_chieu!$E$2:$E$6,MATCH($D$122,input_xe_tham_chieu!$A$2:$A$6,0)),INDEX(input_xe_tham_chieu!$D$2:$D$6,MATCH($D$122,input_xe_tham_chieu!$A$2:$A$6,0)))</f>
        <v/>
      </c>
      <c r="F122">
        <f>IF(INDEX(boss_input_vu_khi_suy_ra!$E$2:$E$71,MATCH($C$122,boss_input_vu_khi_suy_ra!$A$2:$A$71,0)),INDEX(boss_input_bang_xuyen_giap!$B$2:$B$7,MIN(6,MAX(1,IF(INDEX(boss_input_vu_khi_suy_ra!$D$2:$D$71,MATCH($C$122,boss_input_vu_khi_suy_ra!$A$2:$A$71,0)),MAX(1,2-(INDEX(boss_input_vu_khi!$C$2:$C$71,MATCH($C$122,boss_input_vu_khi!$A$2:$A$71,0))-$E$122)),2-(INDEX(boss_input_vu_khi!$C$2:$C$71,MATCH($C$122,boss_input_vu_khi!$A$2:$A$71,0))-$E$122))+1)))*IF(INDEX(input_xe_tham_chieu!$F$2:$F$6,MATCH($D$122,input_xe_tham_chieu!$A$2:$A$6,0)),INDEX(boss_input_vu_khi_suy_ra!$G$2:$G$71,MATCH($C$122,boss_input_vu_khi_suy_ra!$A$2:$A$71,0)),INDEX(boss_input_vu_khi_suy_ra!$F$2:$F$71,MATCH($C$122,boss_input_vu_khi_suy_ra!$A$2:$A$71,0))),0)</f>
        <v/>
      </c>
      <c r="G122" t="n">
        <v>1.2</v>
      </c>
      <c r="H122">
        <f>INDEX(boss_input_vu_khi!$B$2:$B$71,MATCH($C$122,boss_input_vu_khi!$A$2:$A$71,0))*INDEX(Boss_dps!$D$2:$D$32,MATCH($B$122,Boss_dps!$A$2:$A$32,0))*IF(INDEX(boss_input_vu_khi!$D$2:$D$71,MATCH($C$122,boss_input_vu_khi!$A$2:$A$71,0)),1,INDEX(Boss_dps!$B$2:$B$32,MATCH($B$122,Boss_dps!$A$2:$A$32,0)))*INDEX(Boss_dps!$C$2:$C$32,MATCH($B$122,Boss_dps!$A$2:$A$32,0))*$F$122</f>
        <v/>
      </c>
      <c r="I122" t="n">
        <v>968.5838399999998</v>
      </c>
      <c r="J122">
        <f>IF($H$122&gt;0,CEILING(INDEX(input_xe_tham_chieu!$C$2:$C$6,MATCH($D$122,input_xe_tham_chieu!$A$2:$A$6,0))/$H$122,1),"")</f>
        <v/>
      </c>
      <c r="K122">
        <f>IF(Boss_vu_khi!$S$141*$F$122&gt;0,INDEX(input_xe_tham_chieu!$C$2:$C$6,MATCH($D$122,input_xe_tham_chieu!$A$2:$A$6,0))/(Boss_vu_khi!$S$141*INDEX(Boss_dps!$D$2:$D$32,MATCH($B$122,Boss_dps!$A$2:$A$32,0))*$F$122),"")</f>
        <v/>
      </c>
      <c r="L122">
        <f>1+2*MIN(2,FLOOR(INDEX(boss_input_vu_khi!$E$2:$E$71,MATCH($C$122,boss_input_vu_khi!$A$2:$A$71,0))/8,1))</f>
        <v/>
      </c>
      <c r="M122">
        <f>1+2*MIN(2,FLOOR(MAX(INDEX(boss_input_vu_khi!$E$2:$E$71,MATCH($C$122,boss_input_vu_khi!$A$2:$A$71,0)),Boss_vu_khi!$L$141)/8,1))</f>
        <v/>
      </c>
      <c r="N122">
        <f>IF(INDEX(boss_input_vu_khi!$E$2:$E$71,MATCH($C$122,boss_input_vu_khi!$A$2:$A$71,0))&gt;=8,5,1)</f>
        <v/>
      </c>
      <c r="O122">
        <f>IF(MAX(INDEX(boss_input_vu_khi!$E$2:$E$71,MATCH($C$122,boss_input_vu_khi!$A$2:$A$71,0)),Boss_vu_khi!$L$141)&gt;=8,5,1)</f>
        <v/>
      </c>
      <c r="P122">
        <f>INDEX(boss_input_vu_khi_suy_ra!$H$2:$H$71,MATCH($C$122,boss_input_vu_khi_suy_ra!$A$2:$A$71,0))</f>
        <v/>
      </c>
      <c r="Q122">
        <f>IF(AND(INDEX(input_xe_tham_chieu!$G$2:$G$6,MATCH($D$122,input_xe_tham_chieu!$A$2:$A$6,0))&gt;0,INDEX(boss_input_vu_khi!$E$2:$E$71,MATCH($C$122,boss_input_vu_khi!$A$2:$A$71,0))&gt;0),INDEX(boss_input_vu_khi!$E$2:$E$71,MATCH($C$122,boss_input_vu_khi!$A$2:$A$71,0))/INDEX(input_xe_tham_chieu!$G$2:$G$6,MATCH($D$122,input_xe_tham_chieu!$A$2:$A$6,0)),"")</f>
        <v/>
      </c>
      <c r="R122">
        <f>IF(ISNUMBER($Q$122),IF($P$122&gt;=$Q$122,"DU","THIEU"),"")</f>
        <v/>
      </c>
      <c r="S122" t="inlineStr">
        <is>
          <t>Assets/MachineBrigade/Resources/Data/balance.json: vehicles[id=moloch].weapon x 01_chien_dau/Xe_tham_chieu[armored_car]</t>
        </is>
      </c>
      <c r="T122" t="inlineStr"/>
    </row>
    <row r="123">
      <c r="A123" t="inlineStr">
        <is>
          <t>moloch/gun_turret</t>
        </is>
      </c>
      <c r="B123" t="inlineStr">
        <is>
          <t>moloch</t>
        </is>
      </c>
      <c r="C123" t="inlineStr">
        <is>
          <t>p26_moloch_main_mo120</t>
        </is>
      </c>
      <c r="D123" t="inlineStr">
        <is>
          <t>gun_turret</t>
        </is>
      </c>
      <c r="E123">
        <f>IF(INDEX(boss_input_vu_khi_suy_ra!$D$2:$D$71,MATCH($C$123,boss_input_vu_khi_suy_ra!$A$2:$A$71,0)),INDEX(input_xe_tham_chieu!$E$2:$E$6,MATCH($D$123,input_xe_tham_chieu!$A$2:$A$6,0)),INDEX(input_xe_tham_chieu!$D$2:$D$6,MATCH($D$123,input_xe_tham_chieu!$A$2:$A$6,0)))</f>
        <v/>
      </c>
      <c r="F123">
        <f>IF(INDEX(boss_input_vu_khi_suy_ra!$E$2:$E$71,MATCH($C$123,boss_input_vu_khi_suy_ra!$A$2:$A$71,0)),INDEX(boss_input_bang_xuyen_giap!$B$2:$B$7,MIN(6,MAX(1,IF(INDEX(boss_input_vu_khi_suy_ra!$D$2:$D$71,MATCH($C$123,boss_input_vu_khi_suy_ra!$A$2:$A$71,0)),MAX(1,2-(INDEX(boss_input_vu_khi!$C$2:$C$71,MATCH($C$123,boss_input_vu_khi!$A$2:$A$71,0))-$E$123)),2-(INDEX(boss_input_vu_khi!$C$2:$C$71,MATCH($C$123,boss_input_vu_khi!$A$2:$A$71,0))-$E$123))+1)))*IF(INDEX(input_xe_tham_chieu!$F$2:$F$6,MATCH($D$123,input_xe_tham_chieu!$A$2:$A$6,0)),INDEX(boss_input_vu_khi_suy_ra!$G$2:$G$71,MATCH($C$123,boss_input_vu_khi_suy_ra!$A$2:$A$71,0)),INDEX(boss_input_vu_khi_suy_ra!$F$2:$F$71,MATCH($C$123,boss_input_vu_khi_suy_ra!$A$2:$A$71,0))),0)</f>
        <v/>
      </c>
      <c r="G123" t="n">
        <v>1.5</v>
      </c>
      <c r="H123">
        <f>INDEX(boss_input_vu_khi!$B$2:$B$71,MATCH($C$123,boss_input_vu_khi!$A$2:$A$71,0))*INDEX(Boss_dps!$D$2:$D$32,MATCH($B$123,Boss_dps!$A$2:$A$32,0))*IF(INDEX(boss_input_vu_khi!$D$2:$D$71,MATCH($C$123,boss_input_vu_khi!$A$2:$A$71,0)),1,INDEX(Boss_dps!$B$2:$B$32,MATCH($B$123,Boss_dps!$A$2:$A$32,0)))*INDEX(Boss_dps!$C$2:$C$32,MATCH($B$123,Boss_dps!$A$2:$A$32,0))*$F$123</f>
        <v/>
      </c>
      <c r="I123" t="n">
        <v>1210.7298</v>
      </c>
      <c r="J123">
        <f>IF($H$123&gt;0,CEILING(INDEX(input_xe_tham_chieu!$C$2:$C$6,MATCH($D$123,input_xe_tham_chieu!$A$2:$A$6,0))/$H$123,1),"")</f>
        <v/>
      </c>
      <c r="K123">
        <f>IF(Boss_vu_khi!$S$141*$F$123&gt;0,INDEX(input_xe_tham_chieu!$C$2:$C$6,MATCH($D$123,input_xe_tham_chieu!$A$2:$A$6,0))/(Boss_vu_khi!$S$141*INDEX(Boss_dps!$D$2:$D$32,MATCH($B$123,Boss_dps!$A$2:$A$32,0))*$F$123),"")</f>
        <v/>
      </c>
      <c r="L123">
        <f>1+2*MIN(2,FLOOR(INDEX(boss_input_vu_khi!$E$2:$E$71,MATCH($C$123,boss_input_vu_khi!$A$2:$A$71,0))/8,1))</f>
        <v/>
      </c>
      <c r="M123">
        <f>1+2*MIN(2,FLOOR(MAX(INDEX(boss_input_vu_khi!$E$2:$E$71,MATCH($C$123,boss_input_vu_khi!$A$2:$A$71,0)),Boss_vu_khi!$L$141)/8,1))</f>
        <v/>
      </c>
      <c r="N123">
        <f>IF(INDEX(boss_input_vu_khi!$E$2:$E$71,MATCH($C$123,boss_input_vu_khi!$A$2:$A$71,0))&gt;=8,5,1)</f>
        <v/>
      </c>
      <c r="O123">
        <f>IF(MAX(INDEX(boss_input_vu_khi!$E$2:$E$71,MATCH($C$123,boss_input_vu_khi!$A$2:$A$71,0)),Boss_vu_khi!$L$141)&gt;=8,5,1)</f>
        <v/>
      </c>
      <c r="P123">
        <f>INDEX(boss_input_vu_khi_suy_ra!$H$2:$H$71,MATCH($C$123,boss_input_vu_khi_suy_ra!$A$2:$A$71,0))</f>
        <v/>
      </c>
      <c r="Q123">
        <f>IF(AND(INDEX(input_xe_tham_chieu!$G$2:$G$6,MATCH($D$123,input_xe_tham_chieu!$A$2:$A$6,0))&gt;0,INDEX(boss_input_vu_khi!$E$2:$E$71,MATCH($C$123,boss_input_vu_khi!$A$2:$A$71,0))&gt;0),INDEX(boss_input_vu_khi!$E$2:$E$71,MATCH($C$123,boss_input_vu_khi!$A$2:$A$71,0))/INDEX(input_xe_tham_chieu!$G$2:$G$6,MATCH($D$123,input_xe_tham_chieu!$A$2:$A$6,0)),"")</f>
        <v/>
      </c>
      <c r="R123">
        <f>IF(ISNUMBER($Q$123),IF($P$123&gt;=$Q$123,"DU","THIEU"),"")</f>
        <v/>
      </c>
      <c r="S123" t="inlineStr">
        <is>
          <t>Assets/MachineBrigade/Resources/Data/balance.json: vehicles[id=moloch].weapon x 01_chien_dau/Xe_tham_chieu[gun_turret]</t>
        </is>
      </c>
      <c r="T123" t="inlineStr"/>
    </row>
    <row r="124">
      <c r="A124" t="inlineStr">
        <is>
          <t>moloch/heavy_tank</t>
        </is>
      </c>
      <c r="B124" t="inlineStr">
        <is>
          <t>moloch</t>
        </is>
      </c>
      <c r="C124" t="inlineStr">
        <is>
          <t>p26_moloch_main_mo120</t>
        </is>
      </c>
      <c r="D124" t="inlineStr">
        <is>
          <t>heavy_tank</t>
        </is>
      </c>
      <c r="E124">
        <f>IF(INDEX(boss_input_vu_khi_suy_ra!$D$2:$D$71,MATCH($C$124,boss_input_vu_khi_suy_ra!$A$2:$A$71,0)),INDEX(input_xe_tham_chieu!$E$2:$E$6,MATCH($D$124,input_xe_tham_chieu!$A$2:$A$6,0)),INDEX(input_xe_tham_chieu!$D$2:$D$6,MATCH($D$124,input_xe_tham_chieu!$A$2:$A$6,0)))</f>
        <v/>
      </c>
      <c r="F124">
        <f>IF(INDEX(boss_input_vu_khi_suy_ra!$E$2:$E$71,MATCH($C$124,boss_input_vu_khi_suy_ra!$A$2:$A$71,0)),INDEX(boss_input_bang_xuyen_giap!$B$2:$B$7,MIN(6,MAX(1,IF(INDEX(boss_input_vu_khi_suy_ra!$D$2:$D$71,MATCH($C$124,boss_input_vu_khi_suy_ra!$A$2:$A$71,0)),MAX(1,2-(INDEX(boss_input_vu_khi!$C$2:$C$71,MATCH($C$124,boss_input_vu_khi!$A$2:$A$71,0))-$E$124)),2-(INDEX(boss_input_vu_khi!$C$2:$C$71,MATCH($C$124,boss_input_vu_khi!$A$2:$A$71,0))-$E$124))+1)))*IF(INDEX(input_xe_tham_chieu!$F$2:$F$6,MATCH($D$124,input_xe_tham_chieu!$A$2:$A$6,0)),INDEX(boss_input_vu_khi_suy_ra!$G$2:$G$71,MATCH($C$124,boss_input_vu_khi_suy_ra!$A$2:$A$71,0)),INDEX(boss_input_vu_khi_suy_ra!$F$2:$F$71,MATCH($C$124,boss_input_vu_khi_suy_ra!$A$2:$A$71,0))),0)</f>
        <v/>
      </c>
      <c r="G124" t="n">
        <v>0.85</v>
      </c>
      <c r="H124">
        <f>INDEX(boss_input_vu_khi!$B$2:$B$71,MATCH($C$124,boss_input_vu_khi!$A$2:$A$71,0))*INDEX(Boss_dps!$D$2:$D$32,MATCH($B$124,Boss_dps!$A$2:$A$32,0))*IF(INDEX(boss_input_vu_khi!$D$2:$D$71,MATCH($C$124,boss_input_vu_khi!$A$2:$A$71,0)),1,INDEX(Boss_dps!$B$2:$B$32,MATCH($B$124,Boss_dps!$A$2:$A$32,0)))*INDEX(Boss_dps!$C$2:$C$32,MATCH($B$124,Boss_dps!$A$2:$A$32,0))*$F$124</f>
        <v/>
      </c>
      <c r="I124" t="n">
        <v>686.0802199999998</v>
      </c>
      <c r="J124">
        <f>IF($H$124&gt;0,CEILING(INDEX(input_xe_tham_chieu!$C$2:$C$6,MATCH($D$124,input_xe_tham_chieu!$A$2:$A$6,0))/$H$124,1),"")</f>
        <v/>
      </c>
      <c r="K124">
        <f>IF(Boss_vu_khi!$S$141*$F$124&gt;0,INDEX(input_xe_tham_chieu!$C$2:$C$6,MATCH($D$124,input_xe_tham_chieu!$A$2:$A$6,0))/(Boss_vu_khi!$S$141*INDEX(Boss_dps!$D$2:$D$32,MATCH($B$124,Boss_dps!$A$2:$A$32,0))*$F$124),"")</f>
        <v/>
      </c>
      <c r="L124">
        <f>1+2*MIN(2,FLOOR(INDEX(boss_input_vu_khi!$E$2:$E$71,MATCH($C$124,boss_input_vu_khi!$A$2:$A$71,0))/8,1))</f>
        <v/>
      </c>
      <c r="M124">
        <f>1+2*MIN(2,FLOOR(MAX(INDEX(boss_input_vu_khi!$E$2:$E$71,MATCH($C$124,boss_input_vu_khi!$A$2:$A$71,0)),Boss_vu_khi!$L$141)/8,1))</f>
        <v/>
      </c>
      <c r="N124">
        <f>IF(INDEX(boss_input_vu_khi!$E$2:$E$71,MATCH($C$124,boss_input_vu_khi!$A$2:$A$71,0))&gt;=8,5,1)</f>
        <v/>
      </c>
      <c r="O124">
        <f>IF(MAX(INDEX(boss_input_vu_khi!$E$2:$E$71,MATCH($C$124,boss_input_vu_khi!$A$2:$A$71,0)),Boss_vu_khi!$L$141)&gt;=8,5,1)</f>
        <v/>
      </c>
      <c r="P124">
        <f>INDEX(boss_input_vu_khi_suy_ra!$H$2:$H$71,MATCH($C$124,boss_input_vu_khi_suy_ra!$A$2:$A$71,0))</f>
        <v/>
      </c>
      <c r="Q124">
        <f>IF(AND(INDEX(input_xe_tham_chieu!$G$2:$G$6,MATCH($D$124,input_xe_tham_chieu!$A$2:$A$6,0))&gt;0,INDEX(boss_input_vu_khi!$E$2:$E$71,MATCH($C$124,boss_input_vu_khi!$A$2:$A$71,0))&gt;0),INDEX(boss_input_vu_khi!$E$2:$E$71,MATCH($C$124,boss_input_vu_khi!$A$2:$A$71,0))/INDEX(input_xe_tham_chieu!$G$2:$G$6,MATCH($D$124,input_xe_tham_chieu!$A$2:$A$6,0)),"")</f>
        <v/>
      </c>
      <c r="R124">
        <f>IF(ISNUMBER($Q$124),IF($P$124&gt;=$Q$124,"DU","THIEU"),"")</f>
        <v/>
      </c>
      <c r="S124" t="inlineStr">
        <is>
          <t>Assets/MachineBrigade/Resources/Data/balance.json: vehicles[id=moloch].weapon x 01_chien_dau/Xe_tham_chieu[heavy_tank]</t>
        </is>
      </c>
      <c r="T124" t="inlineStr"/>
    </row>
    <row r="125">
      <c r="A125" t="inlineStr">
        <is>
          <t>moloch/ifv</t>
        </is>
      </c>
      <c r="B125" t="inlineStr">
        <is>
          <t>moloch</t>
        </is>
      </c>
      <c r="C125" t="inlineStr">
        <is>
          <t>p26_moloch_main_mo120</t>
        </is>
      </c>
      <c r="D125" t="inlineStr">
        <is>
          <t>ifv</t>
        </is>
      </c>
      <c r="E125">
        <f>IF(INDEX(boss_input_vu_khi_suy_ra!$D$2:$D$71,MATCH($C$125,boss_input_vu_khi_suy_ra!$A$2:$A$71,0)),INDEX(input_xe_tham_chieu!$E$2:$E$6,MATCH($D$125,input_xe_tham_chieu!$A$2:$A$6,0)),INDEX(input_xe_tham_chieu!$D$2:$D$6,MATCH($D$125,input_xe_tham_chieu!$A$2:$A$6,0)))</f>
        <v/>
      </c>
      <c r="F125">
        <f>IF(INDEX(boss_input_vu_khi_suy_ra!$E$2:$E$71,MATCH($C$125,boss_input_vu_khi_suy_ra!$A$2:$A$71,0)),INDEX(boss_input_bang_xuyen_giap!$B$2:$B$7,MIN(6,MAX(1,IF(INDEX(boss_input_vu_khi_suy_ra!$D$2:$D$71,MATCH($C$125,boss_input_vu_khi_suy_ra!$A$2:$A$71,0)),MAX(1,2-(INDEX(boss_input_vu_khi!$C$2:$C$71,MATCH($C$125,boss_input_vu_khi!$A$2:$A$71,0))-$E$125)),2-(INDEX(boss_input_vu_khi!$C$2:$C$71,MATCH($C$125,boss_input_vu_khi!$A$2:$A$71,0))-$E$125))+1)))*IF(INDEX(input_xe_tham_chieu!$F$2:$F$6,MATCH($D$125,input_xe_tham_chieu!$A$2:$A$6,0)),INDEX(boss_input_vu_khi_suy_ra!$G$2:$G$71,MATCH($C$125,boss_input_vu_khi_suy_ra!$A$2:$A$71,0)),INDEX(boss_input_vu_khi_suy_ra!$F$2:$F$71,MATCH($C$125,boss_input_vu_khi_suy_ra!$A$2:$A$71,0))),0)</f>
        <v/>
      </c>
      <c r="G125" t="n">
        <v>1.2</v>
      </c>
      <c r="H125">
        <f>INDEX(boss_input_vu_khi!$B$2:$B$71,MATCH($C$125,boss_input_vu_khi!$A$2:$A$71,0))*INDEX(Boss_dps!$D$2:$D$32,MATCH($B$125,Boss_dps!$A$2:$A$32,0))*IF(INDEX(boss_input_vu_khi!$D$2:$D$71,MATCH($C$125,boss_input_vu_khi!$A$2:$A$71,0)),1,INDEX(Boss_dps!$B$2:$B$32,MATCH($B$125,Boss_dps!$A$2:$A$32,0)))*INDEX(Boss_dps!$C$2:$C$32,MATCH($B$125,Boss_dps!$A$2:$A$32,0))*$F$125</f>
        <v/>
      </c>
      <c r="I125" t="n">
        <v>968.5838399999998</v>
      </c>
      <c r="J125">
        <f>IF($H$125&gt;0,CEILING(INDEX(input_xe_tham_chieu!$C$2:$C$6,MATCH($D$125,input_xe_tham_chieu!$A$2:$A$6,0))/$H$125,1),"")</f>
        <v/>
      </c>
      <c r="K125">
        <f>IF(Boss_vu_khi!$S$141*$F$125&gt;0,INDEX(input_xe_tham_chieu!$C$2:$C$6,MATCH($D$125,input_xe_tham_chieu!$A$2:$A$6,0))/(Boss_vu_khi!$S$141*INDEX(Boss_dps!$D$2:$D$32,MATCH($B$125,Boss_dps!$A$2:$A$32,0))*$F$125),"")</f>
        <v/>
      </c>
      <c r="L125">
        <f>1+2*MIN(2,FLOOR(INDEX(boss_input_vu_khi!$E$2:$E$71,MATCH($C$125,boss_input_vu_khi!$A$2:$A$71,0))/8,1))</f>
        <v/>
      </c>
      <c r="M125">
        <f>1+2*MIN(2,FLOOR(MAX(INDEX(boss_input_vu_khi!$E$2:$E$71,MATCH($C$125,boss_input_vu_khi!$A$2:$A$71,0)),Boss_vu_khi!$L$141)/8,1))</f>
        <v/>
      </c>
      <c r="N125">
        <f>IF(INDEX(boss_input_vu_khi!$E$2:$E$71,MATCH($C$125,boss_input_vu_khi!$A$2:$A$71,0))&gt;=8,5,1)</f>
        <v/>
      </c>
      <c r="O125">
        <f>IF(MAX(INDEX(boss_input_vu_khi!$E$2:$E$71,MATCH($C$125,boss_input_vu_khi!$A$2:$A$71,0)),Boss_vu_khi!$L$141)&gt;=8,5,1)</f>
        <v/>
      </c>
      <c r="P125">
        <f>INDEX(boss_input_vu_khi_suy_ra!$H$2:$H$71,MATCH($C$125,boss_input_vu_khi_suy_ra!$A$2:$A$71,0))</f>
        <v/>
      </c>
      <c r="Q125">
        <f>IF(AND(INDEX(input_xe_tham_chieu!$G$2:$G$6,MATCH($D$125,input_xe_tham_chieu!$A$2:$A$6,0))&gt;0,INDEX(boss_input_vu_khi!$E$2:$E$71,MATCH($C$125,boss_input_vu_khi!$A$2:$A$71,0))&gt;0),INDEX(boss_input_vu_khi!$E$2:$E$71,MATCH($C$125,boss_input_vu_khi!$A$2:$A$71,0))/INDEX(input_xe_tham_chieu!$G$2:$G$6,MATCH($D$125,input_xe_tham_chieu!$A$2:$A$6,0)),"")</f>
        <v/>
      </c>
      <c r="R125">
        <f>IF(ISNUMBER($Q$125),IF($P$125&gt;=$Q$125,"DU","THIEU"),"")</f>
        <v/>
      </c>
      <c r="S125" t="inlineStr">
        <is>
          <t>Assets/MachineBrigade/Resources/Data/balance.json: vehicles[id=moloch].weapon x 01_chien_dau/Xe_tham_chieu[ifv]</t>
        </is>
      </c>
      <c r="T125" t="inlineStr"/>
    </row>
    <row r="126">
      <c r="A126" t="inlineStr">
        <is>
          <t>moloch/main_battle_tank</t>
        </is>
      </c>
      <c r="B126" t="inlineStr">
        <is>
          <t>moloch</t>
        </is>
      </c>
      <c r="C126" t="inlineStr">
        <is>
          <t>p26_moloch_main_mo120</t>
        </is>
      </c>
      <c r="D126" t="inlineStr">
        <is>
          <t>main_battle_tank</t>
        </is>
      </c>
      <c r="E126">
        <f>IF(INDEX(boss_input_vu_khi_suy_ra!$D$2:$D$71,MATCH($C$126,boss_input_vu_khi_suy_ra!$A$2:$A$71,0)),INDEX(input_xe_tham_chieu!$E$2:$E$6,MATCH($D$126,input_xe_tham_chieu!$A$2:$A$6,0)),INDEX(input_xe_tham_chieu!$D$2:$D$6,MATCH($D$126,input_xe_tham_chieu!$A$2:$A$6,0)))</f>
        <v/>
      </c>
      <c r="F126">
        <f>IF(INDEX(boss_input_vu_khi_suy_ra!$E$2:$E$71,MATCH($C$126,boss_input_vu_khi_suy_ra!$A$2:$A$71,0)),INDEX(boss_input_bang_xuyen_giap!$B$2:$B$7,MIN(6,MAX(1,IF(INDEX(boss_input_vu_khi_suy_ra!$D$2:$D$71,MATCH($C$126,boss_input_vu_khi_suy_ra!$A$2:$A$71,0)),MAX(1,2-(INDEX(boss_input_vu_khi!$C$2:$C$71,MATCH($C$126,boss_input_vu_khi!$A$2:$A$71,0))-$E$126)),2-(INDEX(boss_input_vu_khi!$C$2:$C$71,MATCH($C$126,boss_input_vu_khi!$A$2:$A$71,0))-$E$126))+1)))*IF(INDEX(input_xe_tham_chieu!$F$2:$F$6,MATCH($D$126,input_xe_tham_chieu!$A$2:$A$6,0)),INDEX(boss_input_vu_khi_suy_ra!$G$2:$G$71,MATCH($C$126,boss_input_vu_khi_suy_ra!$A$2:$A$71,0)),INDEX(boss_input_vu_khi_suy_ra!$F$2:$F$71,MATCH($C$126,boss_input_vu_khi_suy_ra!$A$2:$A$71,0))),0)</f>
        <v/>
      </c>
      <c r="G126" t="n">
        <v>0.85</v>
      </c>
      <c r="H126">
        <f>INDEX(boss_input_vu_khi!$B$2:$B$71,MATCH($C$126,boss_input_vu_khi!$A$2:$A$71,0))*INDEX(Boss_dps!$D$2:$D$32,MATCH($B$126,Boss_dps!$A$2:$A$32,0))*IF(INDEX(boss_input_vu_khi!$D$2:$D$71,MATCH($C$126,boss_input_vu_khi!$A$2:$A$71,0)),1,INDEX(Boss_dps!$B$2:$B$32,MATCH($B$126,Boss_dps!$A$2:$A$32,0)))*INDEX(Boss_dps!$C$2:$C$32,MATCH($B$126,Boss_dps!$A$2:$A$32,0))*$F$126</f>
        <v/>
      </c>
      <c r="I126" t="n">
        <v>686.0802199999998</v>
      </c>
      <c r="J126">
        <f>IF($H$126&gt;0,CEILING(INDEX(input_xe_tham_chieu!$C$2:$C$6,MATCH($D$126,input_xe_tham_chieu!$A$2:$A$6,0))/$H$126,1),"")</f>
        <v/>
      </c>
      <c r="K126">
        <f>IF(Boss_vu_khi!$S$141*$F$126&gt;0,INDEX(input_xe_tham_chieu!$C$2:$C$6,MATCH($D$126,input_xe_tham_chieu!$A$2:$A$6,0))/(Boss_vu_khi!$S$141*INDEX(Boss_dps!$D$2:$D$32,MATCH($B$126,Boss_dps!$A$2:$A$32,0))*$F$126),"")</f>
        <v/>
      </c>
      <c r="L126">
        <f>1+2*MIN(2,FLOOR(INDEX(boss_input_vu_khi!$E$2:$E$71,MATCH($C$126,boss_input_vu_khi!$A$2:$A$71,0))/8,1))</f>
        <v/>
      </c>
      <c r="M126">
        <f>1+2*MIN(2,FLOOR(MAX(INDEX(boss_input_vu_khi!$E$2:$E$71,MATCH($C$126,boss_input_vu_khi!$A$2:$A$71,0)),Boss_vu_khi!$L$141)/8,1))</f>
        <v/>
      </c>
      <c r="N126">
        <f>IF(INDEX(boss_input_vu_khi!$E$2:$E$71,MATCH($C$126,boss_input_vu_khi!$A$2:$A$71,0))&gt;=8,5,1)</f>
        <v/>
      </c>
      <c r="O126">
        <f>IF(MAX(INDEX(boss_input_vu_khi!$E$2:$E$71,MATCH($C$126,boss_input_vu_khi!$A$2:$A$71,0)),Boss_vu_khi!$L$141)&gt;=8,5,1)</f>
        <v/>
      </c>
      <c r="P126">
        <f>INDEX(boss_input_vu_khi_suy_ra!$H$2:$H$71,MATCH($C$126,boss_input_vu_khi_suy_ra!$A$2:$A$71,0))</f>
        <v/>
      </c>
      <c r="Q126">
        <f>IF(AND(INDEX(input_xe_tham_chieu!$G$2:$G$6,MATCH($D$126,input_xe_tham_chieu!$A$2:$A$6,0))&gt;0,INDEX(boss_input_vu_khi!$E$2:$E$71,MATCH($C$126,boss_input_vu_khi!$A$2:$A$71,0))&gt;0),INDEX(boss_input_vu_khi!$E$2:$E$71,MATCH($C$126,boss_input_vu_khi!$A$2:$A$71,0))/INDEX(input_xe_tham_chieu!$G$2:$G$6,MATCH($D$126,input_xe_tham_chieu!$A$2:$A$6,0)),"")</f>
        <v/>
      </c>
      <c r="R126">
        <f>IF(ISNUMBER($Q$126),IF($P$126&gt;=$Q$126,"DU","THIEU"),"")</f>
        <v/>
      </c>
      <c r="S126" t="inlineStr">
        <is>
          <t>Assets/MachineBrigade/Resources/Data/balance.json: vehicles[id=moloch].weapon x 01_chien_dau/Xe_tham_chieu[main_battle_tank]</t>
        </is>
      </c>
      <c r="T126" t="inlineStr"/>
    </row>
    <row r="127">
      <c r="A127" t="inlineStr">
        <is>
          <t>monster/armored_car</t>
        </is>
      </c>
      <c r="B127" t="inlineStr">
        <is>
          <t>monster</t>
        </is>
      </c>
      <c r="C127" t="inlineStr">
        <is>
          <t>p26_bastion_sec_b240</t>
        </is>
      </c>
      <c r="D127" t="inlineStr">
        <is>
          <t>armored_car</t>
        </is>
      </c>
      <c r="E127">
        <f>IF(INDEX(boss_input_vu_khi_suy_ra!$D$2:$D$71,MATCH($C$127,boss_input_vu_khi_suy_ra!$A$2:$A$71,0)),INDEX(input_xe_tham_chieu!$E$2:$E$6,MATCH($D$127,input_xe_tham_chieu!$A$2:$A$6,0)),INDEX(input_xe_tham_chieu!$D$2:$D$6,MATCH($D$127,input_xe_tham_chieu!$A$2:$A$6,0)))</f>
        <v/>
      </c>
      <c r="F127">
        <f>IF(INDEX(boss_input_vu_khi_suy_ra!$E$2:$E$71,MATCH($C$127,boss_input_vu_khi_suy_ra!$A$2:$A$71,0)),INDEX(boss_input_bang_xuyen_giap!$B$2:$B$7,MIN(6,MAX(1,IF(INDEX(boss_input_vu_khi_suy_ra!$D$2:$D$71,MATCH($C$127,boss_input_vu_khi_suy_ra!$A$2:$A$71,0)),MAX(1,2-(INDEX(boss_input_vu_khi!$C$2:$C$71,MATCH($C$127,boss_input_vu_khi!$A$2:$A$71,0))-$E$127)),2-(INDEX(boss_input_vu_khi!$C$2:$C$71,MATCH($C$127,boss_input_vu_khi!$A$2:$A$71,0))-$E$127))+1)))*IF(INDEX(input_xe_tham_chieu!$F$2:$F$6,MATCH($D$127,input_xe_tham_chieu!$A$2:$A$6,0)),INDEX(boss_input_vu_khi_suy_ra!$G$2:$G$71,MATCH($C$127,boss_input_vu_khi_suy_ra!$A$2:$A$71,0)),INDEX(boss_input_vu_khi_suy_ra!$F$2:$F$71,MATCH($C$127,boss_input_vu_khi_suy_ra!$A$2:$A$71,0))),0)</f>
        <v/>
      </c>
      <c r="G127" t="n">
        <v>1</v>
      </c>
      <c r="H127">
        <f>INDEX(boss_input_vu_khi!$B$2:$B$71,MATCH($C$127,boss_input_vu_khi!$A$2:$A$71,0))*INDEX(Boss_dps!$D$2:$D$32,MATCH($B$127,Boss_dps!$A$2:$A$32,0))*IF(INDEX(boss_input_vu_khi!$D$2:$D$71,MATCH($C$127,boss_input_vu_khi!$A$2:$A$71,0)),1,INDEX(Boss_dps!$B$2:$B$32,MATCH($B$127,Boss_dps!$A$2:$A$32,0)))*INDEX(Boss_dps!$C$2:$C$32,MATCH($B$127,Boss_dps!$A$2:$A$32,0))*$F$127</f>
        <v/>
      </c>
      <c r="I127" t="n">
        <v>3075.38</v>
      </c>
      <c r="J127">
        <f>IF($H$127&gt;0,CEILING(INDEX(input_xe_tham_chieu!$C$2:$C$6,MATCH($D$127,input_xe_tham_chieu!$A$2:$A$6,0))/$H$127,1),"")</f>
        <v/>
      </c>
      <c r="K127">
        <f>IF(Boss_vu_khi!$S$148*$F$127&gt;0,INDEX(input_xe_tham_chieu!$C$2:$C$6,MATCH($D$127,input_xe_tham_chieu!$A$2:$A$6,0))/(Boss_vu_khi!$S$148*INDEX(Boss_dps!$D$2:$D$32,MATCH($B$127,Boss_dps!$A$2:$A$32,0))*$F$127),"")</f>
        <v/>
      </c>
      <c r="L127">
        <f>1+2*MIN(2,FLOOR(INDEX(boss_input_vu_khi!$E$2:$E$71,MATCH($C$127,boss_input_vu_khi!$A$2:$A$71,0))/8,1))</f>
        <v/>
      </c>
      <c r="M127">
        <f>1+2*MIN(2,FLOOR(MAX(INDEX(boss_input_vu_khi!$E$2:$E$71,MATCH($C$127,boss_input_vu_khi!$A$2:$A$71,0)),Boss_vu_khi!$L$148)/8,1))</f>
        <v/>
      </c>
      <c r="N127">
        <f>IF(INDEX(boss_input_vu_khi!$E$2:$E$71,MATCH($C$127,boss_input_vu_khi!$A$2:$A$71,0))&gt;=8,5,1)</f>
        <v/>
      </c>
      <c r="O127">
        <f>IF(MAX(INDEX(boss_input_vu_khi!$E$2:$E$71,MATCH($C$127,boss_input_vu_khi!$A$2:$A$71,0)),Boss_vu_khi!$L$148)&gt;=8,5,1)</f>
        <v/>
      </c>
      <c r="P127">
        <f>INDEX(boss_input_vu_khi_suy_ra!$H$2:$H$71,MATCH($C$127,boss_input_vu_khi_suy_ra!$A$2:$A$71,0))</f>
        <v/>
      </c>
      <c r="Q127">
        <f>IF(AND(INDEX(input_xe_tham_chieu!$G$2:$G$6,MATCH($D$127,input_xe_tham_chieu!$A$2:$A$6,0))&gt;0,INDEX(boss_input_vu_khi!$E$2:$E$71,MATCH($C$127,boss_input_vu_khi!$A$2:$A$71,0))&gt;0),INDEX(boss_input_vu_khi!$E$2:$E$71,MATCH($C$127,boss_input_vu_khi!$A$2:$A$71,0))/INDEX(input_xe_tham_chieu!$G$2:$G$6,MATCH($D$127,input_xe_tham_chieu!$A$2:$A$6,0)),"")</f>
        <v/>
      </c>
      <c r="R127">
        <f>IF(ISNUMBER($Q$127),IF($P$127&gt;=$Q$127,"DU","THIEU"),"")</f>
        <v/>
      </c>
      <c r="S127" t="inlineStr">
        <is>
          <t>Assets/MachineBrigade/Resources/Data/balance.json: vehicles[id=monster].weapon x 01_chien_dau/Xe_tham_chieu[armored_car]</t>
        </is>
      </c>
      <c r="T127" t="inlineStr"/>
    </row>
    <row r="128">
      <c r="A128" t="inlineStr">
        <is>
          <t>monster/gun_turret</t>
        </is>
      </c>
      <c r="B128" t="inlineStr">
        <is>
          <t>monster</t>
        </is>
      </c>
      <c r="C128" t="inlineStr">
        <is>
          <t>p26_bastion_sec_b240</t>
        </is>
      </c>
      <c r="D128" t="inlineStr">
        <is>
          <t>gun_turret</t>
        </is>
      </c>
      <c r="E128">
        <f>IF(INDEX(boss_input_vu_khi_suy_ra!$D$2:$D$71,MATCH($C$128,boss_input_vu_khi_suy_ra!$A$2:$A$71,0)),INDEX(input_xe_tham_chieu!$E$2:$E$6,MATCH($D$128,input_xe_tham_chieu!$A$2:$A$6,0)),INDEX(input_xe_tham_chieu!$D$2:$D$6,MATCH($D$128,input_xe_tham_chieu!$A$2:$A$6,0)))</f>
        <v/>
      </c>
      <c r="F128">
        <f>IF(INDEX(boss_input_vu_khi_suy_ra!$E$2:$E$71,MATCH($C$128,boss_input_vu_khi_suy_ra!$A$2:$A$71,0)),INDEX(boss_input_bang_xuyen_giap!$B$2:$B$7,MIN(6,MAX(1,IF(INDEX(boss_input_vu_khi_suy_ra!$D$2:$D$71,MATCH($C$128,boss_input_vu_khi_suy_ra!$A$2:$A$71,0)),MAX(1,2-(INDEX(boss_input_vu_khi!$C$2:$C$71,MATCH($C$128,boss_input_vu_khi!$A$2:$A$71,0))-$E$128)),2-(INDEX(boss_input_vu_khi!$C$2:$C$71,MATCH($C$128,boss_input_vu_khi!$A$2:$A$71,0))-$E$128))+1)))*IF(INDEX(input_xe_tham_chieu!$F$2:$F$6,MATCH($D$128,input_xe_tham_chieu!$A$2:$A$6,0)),INDEX(boss_input_vu_khi_suy_ra!$G$2:$G$71,MATCH($C$128,boss_input_vu_khi_suy_ra!$A$2:$A$71,0)),INDEX(boss_input_vu_khi_suy_ra!$F$2:$F$71,MATCH($C$128,boss_input_vu_khi_suy_ra!$A$2:$A$71,0))),0)</f>
        <v/>
      </c>
      <c r="G128" t="n">
        <v>1.5</v>
      </c>
      <c r="H128">
        <f>INDEX(boss_input_vu_khi!$B$2:$B$71,MATCH($C$128,boss_input_vu_khi!$A$2:$A$71,0))*INDEX(Boss_dps!$D$2:$D$32,MATCH($B$128,Boss_dps!$A$2:$A$32,0))*IF(INDEX(boss_input_vu_khi!$D$2:$D$71,MATCH($C$128,boss_input_vu_khi!$A$2:$A$71,0)),1,INDEX(Boss_dps!$B$2:$B$32,MATCH($B$128,Boss_dps!$A$2:$A$32,0)))*INDEX(Boss_dps!$C$2:$C$32,MATCH($B$128,Boss_dps!$A$2:$A$32,0))*$F$128</f>
        <v/>
      </c>
      <c r="I128" t="n">
        <v>4613.07</v>
      </c>
      <c r="J128">
        <f>IF($H$128&gt;0,CEILING(INDEX(input_xe_tham_chieu!$C$2:$C$6,MATCH($D$128,input_xe_tham_chieu!$A$2:$A$6,0))/$H$128,1),"")</f>
        <v/>
      </c>
      <c r="K128">
        <f>IF(Boss_vu_khi!$S$148*$F$128&gt;0,INDEX(input_xe_tham_chieu!$C$2:$C$6,MATCH($D$128,input_xe_tham_chieu!$A$2:$A$6,0))/(Boss_vu_khi!$S$148*INDEX(Boss_dps!$D$2:$D$32,MATCH($B$128,Boss_dps!$A$2:$A$32,0))*$F$128),"")</f>
        <v/>
      </c>
      <c r="L128">
        <f>1+2*MIN(2,FLOOR(INDEX(boss_input_vu_khi!$E$2:$E$71,MATCH($C$128,boss_input_vu_khi!$A$2:$A$71,0))/8,1))</f>
        <v/>
      </c>
      <c r="M128">
        <f>1+2*MIN(2,FLOOR(MAX(INDEX(boss_input_vu_khi!$E$2:$E$71,MATCH($C$128,boss_input_vu_khi!$A$2:$A$71,0)),Boss_vu_khi!$L$148)/8,1))</f>
        <v/>
      </c>
      <c r="N128">
        <f>IF(INDEX(boss_input_vu_khi!$E$2:$E$71,MATCH($C$128,boss_input_vu_khi!$A$2:$A$71,0))&gt;=8,5,1)</f>
        <v/>
      </c>
      <c r="O128">
        <f>IF(MAX(INDEX(boss_input_vu_khi!$E$2:$E$71,MATCH($C$128,boss_input_vu_khi!$A$2:$A$71,0)),Boss_vu_khi!$L$148)&gt;=8,5,1)</f>
        <v/>
      </c>
      <c r="P128">
        <f>INDEX(boss_input_vu_khi_suy_ra!$H$2:$H$71,MATCH($C$128,boss_input_vu_khi_suy_ra!$A$2:$A$71,0))</f>
        <v/>
      </c>
      <c r="Q128">
        <f>IF(AND(INDEX(input_xe_tham_chieu!$G$2:$G$6,MATCH($D$128,input_xe_tham_chieu!$A$2:$A$6,0))&gt;0,INDEX(boss_input_vu_khi!$E$2:$E$71,MATCH($C$128,boss_input_vu_khi!$A$2:$A$71,0))&gt;0),INDEX(boss_input_vu_khi!$E$2:$E$71,MATCH($C$128,boss_input_vu_khi!$A$2:$A$71,0))/INDEX(input_xe_tham_chieu!$G$2:$G$6,MATCH($D$128,input_xe_tham_chieu!$A$2:$A$6,0)),"")</f>
        <v/>
      </c>
      <c r="R128">
        <f>IF(ISNUMBER($Q$128),IF($P$128&gt;=$Q$128,"DU","THIEU"),"")</f>
        <v/>
      </c>
      <c r="S128" t="inlineStr">
        <is>
          <t>Assets/MachineBrigade/Resources/Data/balance.json: vehicles[id=monster].weapon x 01_chien_dau/Xe_tham_chieu[gun_turret]</t>
        </is>
      </c>
      <c r="T128" t="inlineStr"/>
    </row>
    <row r="129">
      <c r="A129" t="inlineStr">
        <is>
          <t>monster/heavy_tank</t>
        </is>
      </c>
      <c r="B129" t="inlineStr">
        <is>
          <t>monster</t>
        </is>
      </c>
      <c r="C129" t="inlineStr">
        <is>
          <t>p26_bastion_sec_b240</t>
        </is>
      </c>
      <c r="D129" t="inlineStr">
        <is>
          <t>heavy_tank</t>
        </is>
      </c>
      <c r="E129">
        <f>IF(INDEX(boss_input_vu_khi_suy_ra!$D$2:$D$71,MATCH($C$129,boss_input_vu_khi_suy_ra!$A$2:$A$71,0)),INDEX(input_xe_tham_chieu!$E$2:$E$6,MATCH($D$129,input_xe_tham_chieu!$A$2:$A$6,0)),INDEX(input_xe_tham_chieu!$D$2:$D$6,MATCH($D$129,input_xe_tham_chieu!$A$2:$A$6,0)))</f>
        <v/>
      </c>
      <c r="F129">
        <f>IF(INDEX(boss_input_vu_khi_suy_ra!$E$2:$E$71,MATCH($C$129,boss_input_vu_khi_suy_ra!$A$2:$A$71,0)),INDEX(boss_input_bang_xuyen_giap!$B$2:$B$7,MIN(6,MAX(1,IF(INDEX(boss_input_vu_khi_suy_ra!$D$2:$D$71,MATCH($C$129,boss_input_vu_khi_suy_ra!$A$2:$A$71,0)),MAX(1,2-(INDEX(boss_input_vu_khi!$C$2:$C$71,MATCH($C$129,boss_input_vu_khi!$A$2:$A$71,0))-$E$129)),2-(INDEX(boss_input_vu_khi!$C$2:$C$71,MATCH($C$129,boss_input_vu_khi!$A$2:$A$71,0))-$E$129))+1)))*IF(INDEX(input_xe_tham_chieu!$F$2:$F$6,MATCH($D$129,input_xe_tham_chieu!$A$2:$A$6,0)),INDEX(boss_input_vu_khi_suy_ra!$G$2:$G$71,MATCH($C$129,boss_input_vu_khi_suy_ra!$A$2:$A$71,0)),INDEX(boss_input_vu_khi_suy_ra!$F$2:$F$71,MATCH($C$129,boss_input_vu_khi_suy_ra!$A$2:$A$71,0))),0)</f>
        <v/>
      </c>
      <c r="G129" t="n">
        <v>1</v>
      </c>
      <c r="H129">
        <f>INDEX(boss_input_vu_khi!$B$2:$B$71,MATCH($C$129,boss_input_vu_khi!$A$2:$A$71,0))*INDEX(Boss_dps!$D$2:$D$32,MATCH($B$129,Boss_dps!$A$2:$A$32,0))*IF(INDEX(boss_input_vu_khi!$D$2:$D$71,MATCH($C$129,boss_input_vu_khi!$A$2:$A$71,0)),1,INDEX(Boss_dps!$B$2:$B$32,MATCH($B$129,Boss_dps!$A$2:$A$32,0)))*INDEX(Boss_dps!$C$2:$C$32,MATCH($B$129,Boss_dps!$A$2:$A$32,0))*$F$129</f>
        <v/>
      </c>
      <c r="I129" t="n">
        <v>3075.38</v>
      </c>
      <c r="J129">
        <f>IF($H$129&gt;0,CEILING(INDEX(input_xe_tham_chieu!$C$2:$C$6,MATCH($D$129,input_xe_tham_chieu!$A$2:$A$6,0))/$H$129,1),"")</f>
        <v/>
      </c>
      <c r="K129">
        <f>IF(Boss_vu_khi!$S$148*$F$129&gt;0,INDEX(input_xe_tham_chieu!$C$2:$C$6,MATCH($D$129,input_xe_tham_chieu!$A$2:$A$6,0))/(Boss_vu_khi!$S$148*INDEX(Boss_dps!$D$2:$D$32,MATCH($B$129,Boss_dps!$A$2:$A$32,0))*$F$129),"")</f>
        <v/>
      </c>
      <c r="L129">
        <f>1+2*MIN(2,FLOOR(INDEX(boss_input_vu_khi!$E$2:$E$71,MATCH($C$129,boss_input_vu_khi!$A$2:$A$71,0))/8,1))</f>
        <v/>
      </c>
      <c r="M129">
        <f>1+2*MIN(2,FLOOR(MAX(INDEX(boss_input_vu_khi!$E$2:$E$71,MATCH($C$129,boss_input_vu_khi!$A$2:$A$71,0)),Boss_vu_khi!$L$148)/8,1))</f>
        <v/>
      </c>
      <c r="N129">
        <f>IF(INDEX(boss_input_vu_khi!$E$2:$E$71,MATCH($C$129,boss_input_vu_khi!$A$2:$A$71,0))&gt;=8,5,1)</f>
        <v/>
      </c>
      <c r="O129">
        <f>IF(MAX(INDEX(boss_input_vu_khi!$E$2:$E$71,MATCH($C$129,boss_input_vu_khi!$A$2:$A$71,0)),Boss_vu_khi!$L$148)&gt;=8,5,1)</f>
        <v/>
      </c>
      <c r="P129">
        <f>INDEX(boss_input_vu_khi_suy_ra!$H$2:$H$71,MATCH($C$129,boss_input_vu_khi_suy_ra!$A$2:$A$71,0))</f>
        <v/>
      </c>
      <c r="Q129">
        <f>IF(AND(INDEX(input_xe_tham_chieu!$G$2:$G$6,MATCH($D$129,input_xe_tham_chieu!$A$2:$A$6,0))&gt;0,INDEX(boss_input_vu_khi!$E$2:$E$71,MATCH($C$129,boss_input_vu_khi!$A$2:$A$71,0))&gt;0),INDEX(boss_input_vu_khi!$E$2:$E$71,MATCH($C$129,boss_input_vu_khi!$A$2:$A$71,0))/INDEX(input_xe_tham_chieu!$G$2:$G$6,MATCH($D$129,input_xe_tham_chieu!$A$2:$A$6,0)),"")</f>
        <v/>
      </c>
      <c r="R129">
        <f>IF(ISNUMBER($Q$129),IF($P$129&gt;=$Q$129,"DU","THIEU"),"")</f>
        <v/>
      </c>
      <c r="S129" t="inlineStr">
        <is>
          <t>Assets/MachineBrigade/Resources/Data/balance.json: vehicles[id=monster].weapon x 01_chien_dau/Xe_tham_chieu[heavy_tank]</t>
        </is>
      </c>
      <c r="T129" t="inlineStr"/>
    </row>
    <row r="130">
      <c r="A130" t="inlineStr">
        <is>
          <t>monster/ifv</t>
        </is>
      </c>
      <c r="B130" t="inlineStr">
        <is>
          <t>monster</t>
        </is>
      </c>
      <c r="C130" t="inlineStr">
        <is>
          <t>p26_bastion_sec_b240</t>
        </is>
      </c>
      <c r="D130" t="inlineStr">
        <is>
          <t>ifv</t>
        </is>
      </c>
      <c r="E130">
        <f>IF(INDEX(boss_input_vu_khi_suy_ra!$D$2:$D$71,MATCH($C$130,boss_input_vu_khi_suy_ra!$A$2:$A$71,0)),INDEX(input_xe_tham_chieu!$E$2:$E$6,MATCH($D$130,input_xe_tham_chieu!$A$2:$A$6,0)),INDEX(input_xe_tham_chieu!$D$2:$D$6,MATCH($D$130,input_xe_tham_chieu!$A$2:$A$6,0)))</f>
        <v/>
      </c>
      <c r="F130">
        <f>IF(INDEX(boss_input_vu_khi_suy_ra!$E$2:$E$71,MATCH($C$130,boss_input_vu_khi_suy_ra!$A$2:$A$71,0)),INDEX(boss_input_bang_xuyen_giap!$B$2:$B$7,MIN(6,MAX(1,IF(INDEX(boss_input_vu_khi_suy_ra!$D$2:$D$71,MATCH($C$130,boss_input_vu_khi_suy_ra!$A$2:$A$71,0)),MAX(1,2-(INDEX(boss_input_vu_khi!$C$2:$C$71,MATCH($C$130,boss_input_vu_khi!$A$2:$A$71,0))-$E$130)),2-(INDEX(boss_input_vu_khi!$C$2:$C$71,MATCH($C$130,boss_input_vu_khi!$A$2:$A$71,0))-$E$130))+1)))*IF(INDEX(input_xe_tham_chieu!$F$2:$F$6,MATCH($D$130,input_xe_tham_chieu!$A$2:$A$6,0)),INDEX(boss_input_vu_khi_suy_ra!$G$2:$G$71,MATCH($C$130,boss_input_vu_khi_suy_ra!$A$2:$A$71,0)),INDEX(boss_input_vu_khi_suy_ra!$F$2:$F$71,MATCH($C$130,boss_input_vu_khi_suy_ra!$A$2:$A$71,0))),0)</f>
        <v/>
      </c>
      <c r="G130" t="n">
        <v>1</v>
      </c>
      <c r="H130">
        <f>INDEX(boss_input_vu_khi!$B$2:$B$71,MATCH($C$130,boss_input_vu_khi!$A$2:$A$71,0))*INDEX(Boss_dps!$D$2:$D$32,MATCH($B$130,Boss_dps!$A$2:$A$32,0))*IF(INDEX(boss_input_vu_khi!$D$2:$D$71,MATCH($C$130,boss_input_vu_khi!$A$2:$A$71,0)),1,INDEX(Boss_dps!$B$2:$B$32,MATCH($B$130,Boss_dps!$A$2:$A$32,0)))*INDEX(Boss_dps!$C$2:$C$32,MATCH($B$130,Boss_dps!$A$2:$A$32,0))*$F$130</f>
        <v/>
      </c>
      <c r="I130" t="n">
        <v>3075.38</v>
      </c>
      <c r="J130">
        <f>IF($H$130&gt;0,CEILING(INDEX(input_xe_tham_chieu!$C$2:$C$6,MATCH($D$130,input_xe_tham_chieu!$A$2:$A$6,0))/$H$130,1),"")</f>
        <v/>
      </c>
      <c r="K130">
        <f>IF(Boss_vu_khi!$S$148*$F$130&gt;0,INDEX(input_xe_tham_chieu!$C$2:$C$6,MATCH($D$130,input_xe_tham_chieu!$A$2:$A$6,0))/(Boss_vu_khi!$S$148*INDEX(Boss_dps!$D$2:$D$32,MATCH($B$130,Boss_dps!$A$2:$A$32,0))*$F$130),"")</f>
        <v/>
      </c>
      <c r="L130">
        <f>1+2*MIN(2,FLOOR(INDEX(boss_input_vu_khi!$E$2:$E$71,MATCH($C$130,boss_input_vu_khi!$A$2:$A$71,0))/8,1))</f>
        <v/>
      </c>
      <c r="M130">
        <f>1+2*MIN(2,FLOOR(MAX(INDEX(boss_input_vu_khi!$E$2:$E$71,MATCH($C$130,boss_input_vu_khi!$A$2:$A$71,0)),Boss_vu_khi!$L$148)/8,1))</f>
        <v/>
      </c>
      <c r="N130">
        <f>IF(INDEX(boss_input_vu_khi!$E$2:$E$71,MATCH($C$130,boss_input_vu_khi!$A$2:$A$71,0))&gt;=8,5,1)</f>
        <v/>
      </c>
      <c r="O130">
        <f>IF(MAX(INDEX(boss_input_vu_khi!$E$2:$E$71,MATCH($C$130,boss_input_vu_khi!$A$2:$A$71,0)),Boss_vu_khi!$L$148)&gt;=8,5,1)</f>
        <v/>
      </c>
      <c r="P130">
        <f>INDEX(boss_input_vu_khi_suy_ra!$H$2:$H$71,MATCH($C$130,boss_input_vu_khi_suy_ra!$A$2:$A$71,0))</f>
        <v/>
      </c>
      <c r="Q130">
        <f>IF(AND(INDEX(input_xe_tham_chieu!$G$2:$G$6,MATCH($D$130,input_xe_tham_chieu!$A$2:$A$6,0))&gt;0,INDEX(boss_input_vu_khi!$E$2:$E$71,MATCH($C$130,boss_input_vu_khi!$A$2:$A$71,0))&gt;0),INDEX(boss_input_vu_khi!$E$2:$E$71,MATCH($C$130,boss_input_vu_khi!$A$2:$A$71,0))/INDEX(input_xe_tham_chieu!$G$2:$G$6,MATCH($D$130,input_xe_tham_chieu!$A$2:$A$6,0)),"")</f>
        <v/>
      </c>
      <c r="R130">
        <f>IF(ISNUMBER($Q$130),IF($P$130&gt;=$Q$130,"DU","THIEU"),"")</f>
        <v/>
      </c>
      <c r="S130" t="inlineStr">
        <is>
          <t>Assets/MachineBrigade/Resources/Data/balance.json: vehicles[id=monster].weapon x 01_chien_dau/Xe_tham_chieu[ifv]</t>
        </is>
      </c>
      <c r="T130" t="inlineStr"/>
    </row>
    <row r="131">
      <c r="A131" t="inlineStr">
        <is>
          <t>monster/main_battle_tank</t>
        </is>
      </c>
      <c r="B131" t="inlineStr">
        <is>
          <t>monster</t>
        </is>
      </c>
      <c r="C131" t="inlineStr">
        <is>
          <t>p26_bastion_sec_b240</t>
        </is>
      </c>
      <c r="D131" t="inlineStr">
        <is>
          <t>main_battle_tank</t>
        </is>
      </c>
      <c r="E131">
        <f>IF(INDEX(boss_input_vu_khi_suy_ra!$D$2:$D$71,MATCH($C$131,boss_input_vu_khi_suy_ra!$A$2:$A$71,0)),INDEX(input_xe_tham_chieu!$E$2:$E$6,MATCH($D$131,input_xe_tham_chieu!$A$2:$A$6,0)),INDEX(input_xe_tham_chieu!$D$2:$D$6,MATCH($D$131,input_xe_tham_chieu!$A$2:$A$6,0)))</f>
        <v/>
      </c>
      <c r="F131">
        <f>IF(INDEX(boss_input_vu_khi_suy_ra!$E$2:$E$71,MATCH($C$131,boss_input_vu_khi_suy_ra!$A$2:$A$71,0)),INDEX(boss_input_bang_xuyen_giap!$B$2:$B$7,MIN(6,MAX(1,IF(INDEX(boss_input_vu_khi_suy_ra!$D$2:$D$71,MATCH($C$131,boss_input_vu_khi_suy_ra!$A$2:$A$71,0)),MAX(1,2-(INDEX(boss_input_vu_khi!$C$2:$C$71,MATCH($C$131,boss_input_vu_khi!$A$2:$A$71,0))-$E$131)),2-(INDEX(boss_input_vu_khi!$C$2:$C$71,MATCH($C$131,boss_input_vu_khi!$A$2:$A$71,0))-$E$131))+1)))*IF(INDEX(input_xe_tham_chieu!$F$2:$F$6,MATCH($D$131,input_xe_tham_chieu!$A$2:$A$6,0)),INDEX(boss_input_vu_khi_suy_ra!$G$2:$G$71,MATCH($C$131,boss_input_vu_khi_suy_ra!$A$2:$A$71,0)),INDEX(boss_input_vu_khi_suy_ra!$F$2:$F$71,MATCH($C$131,boss_input_vu_khi_suy_ra!$A$2:$A$71,0))),0)</f>
        <v/>
      </c>
      <c r="G131" t="n">
        <v>1</v>
      </c>
      <c r="H131">
        <f>INDEX(boss_input_vu_khi!$B$2:$B$71,MATCH($C$131,boss_input_vu_khi!$A$2:$A$71,0))*INDEX(Boss_dps!$D$2:$D$32,MATCH($B$131,Boss_dps!$A$2:$A$32,0))*IF(INDEX(boss_input_vu_khi!$D$2:$D$71,MATCH($C$131,boss_input_vu_khi!$A$2:$A$71,0)),1,INDEX(Boss_dps!$B$2:$B$32,MATCH($B$131,Boss_dps!$A$2:$A$32,0)))*INDEX(Boss_dps!$C$2:$C$32,MATCH($B$131,Boss_dps!$A$2:$A$32,0))*$F$131</f>
        <v/>
      </c>
      <c r="I131" t="n">
        <v>3075.38</v>
      </c>
      <c r="J131">
        <f>IF($H$131&gt;0,CEILING(INDEX(input_xe_tham_chieu!$C$2:$C$6,MATCH($D$131,input_xe_tham_chieu!$A$2:$A$6,0))/$H$131,1),"")</f>
        <v/>
      </c>
      <c r="K131">
        <f>IF(Boss_vu_khi!$S$148*$F$131&gt;0,INDEX(input_xe_tham_chieu!$C$2:$C$6,MATCH($D$131,input_xe_tham_chieu!$A$2:$A$6,0))/(Boss_vu_khi!$S$148*INDEX(Boss_dps!$D$2:$D$32,MATCH($B$131,Boss_dps!$A$2:$A$32,0))*$F$131),"")</f>
        <v/>
      </c>
      <c r="L131">
        <f>1+2*MIN(2,FLOOR(INDEX(boss_input_vu_khi!$E$2:$E$71,MATCH($C$131,boss_input_vu_khi!$A$2:$A$71,0))/8,1))</f>
        <v/>
      </c>
      <c r="M131">
        <f>1+2*MIN(2,FLOOR(MAX(INDEX(boss_input_vu_khi!$E$2:$E$71,MATCH($C$131,boss_input_vu_khi!$A$2:$A$71,0)),Boss_vu_khi!$L$148)/8,1))</f>
        <v/>
      </c>
      <c r="N131">
        <f>IF(INDEX(boss_input_vu_khi!$E$2:$E$71,MATCH($C$131,boss_input_vu_khi!$A$2:$A$71,0))&gt;=8,5,1)</f>
        <v/>
      </c>
      <c r="O131">
        <f>IF(MAX(INDEX(boss_input_vu_khi!$E$2:$E$71,MATCH($C$131,boss_input_vu_khi!$A$2:$A$71,0)),Boss_vu_khi!$L$148)&gt;=8,5,1)</f>
        <v/>
      </c>
      <c r="P131">
        <f>INDEX(boss_input_vu_khi_suy_ra!$H$2:$H$71,MATCH($C$131,boss_input_vu_khi_suy_ra!$A$2:$A$71,0))</f>
        <v/>
      </c>
      <c r="Q131">
        <f>IF(AND(INDEX(input_xe_tham_chieu!$G$2:$G$6,MATCH($D$131,input_xe_tham_chieu!$A$2:$A$6,0))&gt;0,INDEX(boss_input_vu_khi!$E$2:$E$71,MATCH($C$131,boss_input_vu_khi!$A$2:$A$71,0))&gt;0),INDEX(boss_input_vu_khi!$E$2:$E$71,MATCH($C$131,boss_input_vu_khi!$A$2:$A$71,0))/INDEX(input_xe_tham_chieu!$G$2:$G$6,MATCH($D$131,input_xe_tham_chieu!$A$2:$A$6,0)),"")</f>
        <v/>
      </c>
      <c r="R131">
        <f>IF(ISNUMBER($Q$131),IF($P$131&gt;=$Q$131,"DU","THIEU"),"")</f>
        <v/>
      </c>
      <c r="S131" t="inlineStr">
        <is>
          <t>Assets/MachineBrigade/Resources/Data/balance.json: vehicles[id=monster].weapon x 01_chien_dau/Xe_tham_chieu[main_battle_tank]</t>
        </is>
      </c>
      <c r="T131" t="inlineStr"/>
    </row>
    <row r="132">
      <c r="A132" t="inlineStr">
        <is>
          <t>nuke_train/armored_car</t>
        </is>
      </c>
      <c r="B132" t="inlineStr">
        <is>
          <t>nuke_train</t>
        </is>
      </c>
      <c r="C132" t="inlineStr">
        <is>
          <t>p26_nemesis_main_ne152</t>
        </is>
      </c>
      <c r="D132" t="inlineStr">
        <is>
          <t>armored_car</t>
        </is>
      </c>
      <c r="E132">
        <f>IF(INDEX(boss_input_vu_khi_suy_ra!$D$2:$D$71,MATCH($C$132,boss_input_vu_khi_suy_ra!$A$2:$A$71,0)),INDEX(input_xe_tham_chieu!$E$2:$E$6,MATCH($D$132,input_xe_tham_chieu!$A$2:$A$6,0)),INDEX(input_xe_tham_chieu!$D$2:$D$6,MATCH($D$132,input_xe_tham_chieu!$A$2:$A$6,0)))</f>
        <v/>
      </c>
      <c r="F132">
        <f>IF(INDEX(boss_input_vu_khi_suy_ra!$E$2:$E$71,MATCH($C$132,boss_input_vu_khi_suy_ra!$A$2:$A$71,0)),INDEX(boss_input_bang_xuyen_giap!$B$2:$B$7,MIN(6,MAX(1,IF(INDEX(boss_input_vu_khi_suy_ra!$D$2:$D$71,MATCH($C$132,boss_input_vu_khi_suy_ra!$A$2:$A$71,0)),MAX(1,2-(INDEX(boss_input_vu_khi!$C$2:$C$71,MATCH($C$132,boss_input_vu_khi!$A$2:$A$71,0))-$E$132)),2-(INDEX(boss_input_vu_khi!$C$2:$C$71,MATCH($C$132,boss_input_vu_khi!$A$2:$A$71,0))-$E$132))+1)))*IF(INDEX(input_xe_tham_chieu!$F$2:$F$6,MATCH($D$132,input_xe_tham_chieu!$A$2:$A$6,0)),INDEX(boss_input_vu_khi_suy_ra!$G$2:$G$71,MATCH($C$132,boss_input_vu_khi_suy_ra!$A$2:$A$71,0)),INDEX(boss_input_vu_khi_suy_ra!$F$2:$F$71,MATCH($C$132,boss_input_vu_khi_suy_ra!$A$2:$A$71,0))),0)</f>
        <v/>
      </c>
      <c r="G132" t="n">
        <v>1.2</v>
      </c>
      <c r="H132">
        <f>INDEX(boss_input_vu_khi!$B$2:$B$71,MATCH($C$132,boss_input_vu_khi!$A$2:$A$71,0))*INDEX(Boss_dps!$D$2:$D$32,MATCH($B$132,Boss_dps!$A$2:$A$32,0))*IF(INDEX(boss_input_vu_khi!$D$2:$D$71,MATCH($C$132,boss_input_vu_khi!$A$2:$A$71,0)),1,INDEX(Boss_dps!$B$2:$B$32,MATCH($B$132,Boss_dps!$A$2:$A$32,0)))*INDEX(Boss_dps!$C$2:$C$32,MATCH($B$132,Boss_dps!$A$2:$A$32,0))*$F$132</f>
        <v/>
      </c>
      <c r="I132" t="n">
        <v>1319.6736</v>
      </c>
      <c r="J132">
        <f>IF($H$132&gt;0,CEILING(INDEX(input_xe_tham_chieu!$C$2:$C$6,MATCH($D$132,input_xe_tham_chieu!$A$2:$A$6,0))/$H$132,1),"")</f>
        <v/>
      </c>
      <c r="K132">
        <f>IF(Boss_vu_khi!$S$159*$F$132&gt;0,INDEX(input_xe_tham_chieu!$C$2:$C$6,MATCH($D$132,input_xe_tham_chieu!$A$2:$A$6,0))/(Boss_vu_khi!$S$159*INDEX(Boss_dps!$D$2:$D$32,MATCH($B$132,Boss_dps!$A$2:$A$32,0))*$F$132),"")</f>
        <v/>
      </c>
      <c r="L132">
        <f>1+2*MIN(2,FLOOR(INDEX(boss_input_vu_khi!$E$2:$E$71,MATCH($C$132,boss_input_vu_khi!$A$2:$A$71,0))/8,1))</f>
        <v/>
      </c>
      <c r="M132">
        <f>1+2*MIN(2,FLOOR(MAX(INDEX(boss_input_vu_khi!$E$2:$E$71,MATCH($C$132,boss_input_vu_khi!$A$2:$A$71,0)),Boss_vu_khi!$L$159)/8,1))</f>
        <v/>
      </c>
      <c r="N132">
        <f>IF(INDEX(boss_input_vu_khi!$E$2:$E$71,MATCH($C$132,boss_input_vu_khi!$A$2:$A$71,0))&gt;=8,5,1)</f>
        <v/>
      </c>
      <c r="O132">
        <f>IF(MAX(INDEX(boss_input_vu_khi!$E$2:$E$71,MATCH($C$132,boss_input_vu_khi!$A$2:$A$71,0)),Boss_vu_khi!$L$159)&gt;=8,5,1)</f>
        <v/>
      </c>
      <c r="P132">
        <f>INDEX(boss_input_vu_khi_suy_ra!$H$2:$H$71,MATCH($C$132,boss_input_vu_khi_suy_ra!$A$2:$A$71,0))</f>
        <v/>
      </c>
      <c r="Q132">
        <f>IF(AND(INDEX(input_xe_tham_chieu!$G$2:$G$6,MATCH($D$132,input_xe_tham_chieu!$A$2:$A$6,0))&gt;0,INDEX(boss_input_vu_khi!$E$2:$E$71,MATCH($C$132,boss_input_vu_khi!$A$2:$A$71,0))&gt;0),INDEX(boss_input_vu_khi!$E$2:$E$71,MATCH($C$132,boss_input_vu_khi!$A$2:$A$71,0))/INDEX(input_xe_tham_chieu!$G$2:$G$6,MATCH($D$132,input_xe_tham_chieu!$A$2:$A$6,0)),"")</f>
        <v/>
      </c>
      <c r="R132">
        <f>IF(ISNUMBER($Q$132),IF($P$132&gt;=$Q$132,"DU","THIEU"),"")</f>
        <v/>
      </c>
      <c r="S132" t="inlineStr">
        <is>
          <t>Assets/MachineBrigade/Resources/Data/balance.json: vehicles[id=nuke_train].weapon x 01_chien_dau/Xe_tham_chieu[armored_car]</t>
        </is>
      </c>
      <c r="T132" t="inlineStr"/>
    </row>
    <row r="133">
      <c r="A133" t="inlineStr">
        <is>
          <t>nuke_train/gun_turret</t>
        </is>
      </c>
      <c r="B133" t="inlineStr">
        <is>
          <t>nuke_train</t>
        </is>
      </c>
      <c r="C133" t="inlineStr">
        <is>
          <t>p26_nemesis_main_ne152</t>
        </is>
      </c>
      <c r="D133" t="inlineStr">
        <is>
          <t>gun_turret</t>
        </is>
      </c>
      <c r="E133">
        <f>IF(INDEX(boss_input_vu_khi_suy_ra!$D$2:$D$71,MATCH($C$133,boss_input_vu_khi_suy_ra!$A$2:$A$71,0)),INDEX(input_xe_tham_chieu!$E$2:$E$6,MATCH($D$133,input_xe_tham_chieu!$A$2:$A$6,0)),INDEX(input_xe_tham_chieu!$D$2:$D$6,MATCH($D$133,input_xe_tham_chieu!$A$2:$A$6,0)))</f>
        <v/>
      </c>
      <c r="F133">
        <f>IF(INDEX(boss_input_vu_khi_suy_ra!$E$2:$E$71,MATCH($C$133,boss_input_vu_khi_suy_ra!$A$2:$A$71,0)),INDEX(boss_input_bang_xuyen_giap!$B$2:$B$7,MIN(6,MAX(1,IF(INDEX(boss_input_vu_khi_suy_ra!$D$2:$D$71,MATCH($C$133,boss_input_vu_khi_suy_ra!$A$2:$A$71,0)),MAX(1,2-(INDEX(boss_input_vu_khi!$C$2:$C$71,MATCH($C$133,boss_input_vu_khi!$A$2:$A$71,0))-$E$133)),2-(INDEX(boss_input_vu_khi!$C$2:$C$71,MATCH($C$133,boss_input_vu_khi!$A$2:$A$71,0))-$E$133))+1)))*IF(INDEX(input_xe_tham_chieu!$F$2:$F$6,MATCH($D$133,input_xe_tham_chieu!$A$2:$A$6,0)),INDEX(boss_input_vu_khi_suy_ra!$G$2:$G$71,MATCH($C$133,boss_input_vu_khi_suy_ra!$A$2:$A$71,0)),INDEX(boss_input_vu_khi_suy_ra!$F$2:$F$71,MATCH($C$133,boss_input_vu_khi_suy_ra!$A$2:$A$71,0))),0)</f>
        <v/>
      </c>
      <c r="G133" t="n">
        <v>1.275</v>
      </c>
      <c r="H133">
        <f>INDEX(boss_input_vu_khi!$B$2:$B$71,MATCH($C$133,boss_input_vu_khi!$A$2:$A$71,0))*INDEX(Boss_dps!$D$2:$D$32,MATCH($B$133,Boss_dps!$A$2:$A$32,0))*IF(INDEX(boss_input_vu_khi!$D$2:$D$71,MATCH($C$133,boss_input_vu_khi!$A$2:$A$71,0)),1,INDEX(Boss_dps!$B$2:$B$32,MATCH($B$133,Boss_dps!$A$2:$A$32,0)))*INDEX(Boss_dps!$C$2:$C$32,MATCH($B$133,Boss_dps!$A$2:$A$32,0))*$F$133</f>
        <v/>
      </c>
      <c r="I133" t="n">
        <v>1402.1532</v>
      </c>
      <c r="J133">
        <f>IF($H$133&gt;0,CEILING(INDEX(input_xe_tham_chieu!$C$2:$C$6,MATCH($D$133,input_xe_tham_chieu!$A$2:$A$6,0))/$H$133,1),"")</f>
        <v/>
      </c>
      <c r="K133">
        <f>IF(Boss_vu_khi!$S$159*$F$133&gt;0,INDEX(input_xe_tham_chieu!$C$2:$C$6,MATCH($D$133,input_xe_tham_chieu!$A$2:$A$6,0))/(Boss_vu_khi!$S$159*INDEX(Boss_dps!$D$2:$D$32,MATCH($B$133,Boss_dps!$A$2:$A$32,0))*$F$133),"")</f>
        <v/>
      </c>
      <c r="L133">
        <f>1+2*MIN(2,FLOOR(INDEX(boss_input_vu_khi!$E$2:$E$71,MATCH($C$133,boss_input_vu_khi!$A$2:$A$71,0))/8,1))</f>
        <v/>
      </c>
      <c r="M133">
        <f>1+2*MIN(2,FLOOR(MAX(INDEX(boss_input_vu_khi!$E$2:$E$71,MATCH($C$133,boss_input_vu_khi!$A$2:$A$71,0)),Boss_vu_khi!$L$159)/8,1))</f>
        <v/>
      </c>
      <c r="N133">
        <f>IF(INDEX(boss_input_vu_khi!$E$2:$E$71,MATCH($C$133,boss_input_vu_khi!$A$2:$A$71,0))&gt;=8,5,1)</f>
        <v/>
      </c>
      <c r="O133">
        <f>IF(MAX(INDEX(boss_input_vu_khi!$E$2:$E$71,MATCH($C$133,boss_input_vu_khi!$A$2:$A$71,0)),Boss_vu_khi!$L$159)&gt;=8,5,1)</f>
        <v/>
      </c>
      <c r="P133">
        <f>INDEX(boss_input_vu_khi_suy_ra!$H$2:$H$71,MATCH($C$133,boss_input_vu_khi_suy_ra!$A$2:$A$71,0))</f>
        <v/>
      </c>
      <c r="Q133">
        <f>IF(AND(INDEX(input_xe_tham_chieu!$G$2:$G$6,MATCH($D$133,input_xe_tham_chieu!$A$2:$A$6,0))&gt;0,INDEX(boss_input_vu_khi!$E$2:$E$71,MATCH($C$133,boss_input_vu_khi!$A$2:$A$71,0))&gt;0),INDEX(boss_input_vu_khi!$E$2:$E$71,MATCH($C$133,boss_input_vu_khi!$A$2:$A$71,0))/INDEX(input_xe_tham_chieu!$G$2:$G$6,MATCH($D$133,input_xe_tham_chieu!$A$2:$A$6,0)),"")</f>
        <v/>
      </c>
      <c r="R133">
        <f>IF(ISNUMBER($Q$133),IF($P$133&gt;=$Q$133,"DU","THIEU"),"")</f>
        <v/>
      </c>
      <c r="S133" t="inlineStr">
        <is>
          <t>Assets/MachineBrigade/Resources/Data/balance.json: vehicles[id=nuke_train].weapon x 01_chien_dau/Xe_tham_chieu[gun_turret]</t>
        </is>
      </c>
      <c r="T133" t="inlineStr"/>
    </row>
    <row r="134">
      <c r="A134" t="inlineStr">
        <is>
          <t>nuke_train/heavy_tank</t>
        </is>
      </c>
      <c r="B134" t="inlineStr">
        <is>
          <t>nuke_train</t>
        </is>
      </c>
      <c r="C134" t="inlineStr">
        <is>
          <t>p26_nemesis_main_ne152</t>
        </is>
      </c>
      <c r="D134" t="inlineStr">
        <is>
          <t>heavy_tank</t>
        </is>
      </c>
      <c r="E134">
        <f>IF(INDEX(boss_input_vu_khi_suy_ra!$D$2:$D$71,MATCH($C$134,boss_input_vu_khi_suy_ra!$A$2:$A$71,0)),INDEX(input_xe_tham_chieu!$E$2:$E$6,MATCH($D$134,input_xe_tham_chieu!$A$2:$A$6,0)),INDEX(input_xe_tham_chieu!$D$2:$D$6,MATCH($D$134,input_xe_tham_chieu!$A$2:$A$6,0)))</f>
        <v/>
      </c>
      <c r="F134">
        <f>IF(INDEX(boss_input_vu_khi_suy_ra!$E$2:$E$71,MATCH($C$134,boss_input_vu_khi_suy_ra!$A$2:$A$71,0)),INDEX(boss_input_bang_xuyen_giap!$B$2:$B$7,MIN(6,MAX(1,IF(INDEX(boss_input_vu_khi_suy_ra!$D$2:$D$71,MATCH($C$134,boss_input_vu_khi_suy_ra!$A$2:$A$71,0)),MAX(1,2-(INDEX(boss_input_vu_khi!$C$2:$C$71,MATCH($C$134,boss_input_vu_khi!$A$2:$A$71,0))-$E$134)),2-(INDEX(boss_input_vu_khi!$C$2:$C$71,MATCH($C$134,boss_input_vu_khi!$A$2:$A$71,0))-$E$134))+1)))*IF(INDEX(input_xe_tham_chieu!$F$2:$F$6,MATCH($D$134,input_xe_tham_chieu!$A$2:$A$6,0)),INDEX(boss_input_vu_khi_suy_ra!$G$2:$G$71,MATCH($C$134,boss_input_vu_khi_suy_ra!$A$2:$A$71,0)),INDEX(boss_input_vu_khi_suy_ra!$F$2:$F$71,MATCH($C$134,boss_input_vu_khi_suy_ra!$A$2:$A$71,0))),0)</f>
        <v/>
      </c>
      <c r="G134" t="n">
        <v>0.5</v>
      </c>
      <c r="H134">
        <f>INDEX(boss_input_vu_khi!$B$2:$B$71,MATCH($C$134,boss_input_vu_khi!$A$2:$A$71,0))*INDEX(Boss_dps!$D$2:$D$32,MATCH($B$134,Boss_dps!$A$2:$A$32,0))*IF(INDEX(boss_input_vu_khi!$D$2:$D$71,MATCH($C$134,boss_input_vu_khi!$A$2:$A$71,0)),1,INDEX(Boss_dps!$B$2:$B$32,MATCH($B$134,Boss_dps!$A$2:$A$32,0)))*INDEX(Boss_dps!$C$2:$C$32,MATCH($B$134,Boss_dps!$A$2:$A$32,0))*$F$134</f>
        <v/>
      </c>
      <c r="I134" t="n">
        <v>549.8639999999999</v>
      </c>
      <c r="J134">
        <f>IF($H$134&gt;0,CEILING(INDEX(input_xe_tham_chieu!$C$2:$C$6,MATCH($D$134,input_xe_tham_chieu!$A$2:$A$6,0))/$H$134,1),"")</f>
        <v/>
      </c>
      <c r="K134">
        <f>IF(Boss_vu_khi!$S$159*$F$134&gt;0,INDEX(input_xe_tham_chieu!$C$2:$C$6,MATCH($D$134,input_xe_tham_chieu!$A$2:$A$6,0))/(Boss_vu_khi!$S$159*INDEX(Boss_dps!$D$2:$D$32,MATCH($B$134,Boss_dps!$A$2:$A$32,0))*$F$134),"")</f>
        <v/>
      </c>
      <c r="L134">
        <f>1+2*MIN(2,FLOOR(INDEX(boss_input_vu_khi!$E$2:$E$71,MATCH($C$134,boss_input_vu_khi!$A$2:$A$71,0))/8,1))</f>
        <v/>
      </c>
      <c r="M134">
        <f>1+2*MIN(2,FLOOR(MAX(INDEX(boss_input_vu_khi!$E$2:$E$71,MATCH($C$134,boss_input_vu_khi!$A$2:$A$71,0)),Boss_vu_khi!$L$159)/8,1))</f>
        <v/>
      </c>
      <c r="N134">
        <f>IF(INDEX(boss_input_vu_khi!$E$2:$E$71,MATCH($C$134,boss_input_vu_khi!$A$2:$A$71,0))&gt;=8,5,1)</f>
        <v/>
      </c>
      <c r="O134">
        <f>IF(MAX(INDEX(boss_input_vu_khi!$E$2:$E$71,MATCH($C$134,boss_input_vu_khi!$A$2:$A$71,0)),Boss_vu_khi!$L$159)&gt;=8,5,1)</f>
        <v/>
      </c>
      <c r="P134">
        <f>INDEX(boss_input_vu_khi_suy_ra!$H$2:$H$71,MATCH($C$134,boss_input_vu_khi_suy_ra!$A$2:$A$71,0))</f>
        <v/>
      </c>
      <c r="Q134">
        <f>IF(AND(INDEX(input_xe_tham_chieu!$G$2:$G$6,MATCH($D$134,input_xe_tham_chieu!$A$2:$A$6,0))&gt;0,INDEX(boss_input_vu_khi!$E$2:$E$71,MATCH($C$134,boss_input_vu_khi!$A$2:$A$71,0))&gt;0),INDEX(boss_input_vu_khi!$E$2:$E$71,MATCH($C$134,boss_input_vu_khi!$A$2:$A$71,0))/INDEX(input_xe_tham_chieu!$G$2:$G$6,MATCH($D$134,input_xe_tham_chieu!$A$2:$A$6,0)),"")</f>
        <v/>
      </c>
      <c r="R134">
        <f>IF(ISNUMBER($Q$134),IF($P$134&gt;=$Q$134,"DU","THIEU"),"")</f>
        <v/>
      </c>
      <c r="S134" t="inlineStr">
        <is>
          <t>Assets/MachineBrigade/Resources/Data/balance.json: vehicles[id=nuke_train].weapon x 01_chien_dau/Xe_tham_chieu[heavy_tank]</t>
        </is>
      </c>
      <c r="T134" t="inlineStr"/>
    </row>
    <row r="135">
      <c r="A135" t="inlineStr">
        <is>
          <t>nuke_train/ifv</t>
        </is>
      </c>
      <c r="B135" t="inlineStr">
        <is>
          <t>nuke_train</t>
        </is>
      </c>
      <c r="C135" t="inlineStr">
        <is>
          <t>p26_nemesis_main_ne152</t>
        </is>
      </c>
      <c r="D135" t="inlineStr">
        <is>
          <t>ifv</t>
        </is>
      </c>
      <c r="E135">
        <f>IF(INDEX(boss_input_vu_khi_suy_ra!$D$2:$D$71,MATCH($C$135,boss_input_vu_khi_suy_ra!$A$2:$A$71,0)),INDEX(input_xe_tham_chieu!$E$2:$E$6,MATCH($D$135,input_xe_tham_chieu!$A$2:$A$6,0)),INDEX(input_xe_tham_chieu!$D$2:$D$6,MATCH($D$135,input_xe_tham_chieu!$A$2:$A$6,0)))</f>
        <v/>
      </c>
      <c r="F135">
        <f>IF(INDEX(boss_input_vu_khi_suy_ra!$E$2:$E$71,MATCH($C$135,boss_input_vu_khi_suy_ra!$A$2:$A$71,0)),INDEX(boss_input_bang_xuyen_giap!$B$2:$B$7,MIN(6,MAX(1,IF(INDEX(boss_input_vu_khi_suy_ra!$D$2:$D$71,MATCH($C$135,boss_input_vu_khi_suy_ra!$A$2:$A$71,0)),MAX(1,2-(INDEX(boss_input_vu_khi!$C$2:$C$71,MATCH($C$135,boss_input_vu_khi!$A$2:$A$71,0))-$E$135)),2-(INDEX(boss_input_vu_khi!$C$2:$C$71,MATCH($C$135,boss_input_vu_khi!$A$2:$A$71,0))-$E$135))+1)))*IF(INDEX(input_xe_tham_chieu!$F$2:$F$6,MATCH($D$135,input_xe_tham_chieu!$A$2:$A$6,0)),INDEX(boss_input_vu_khi_suy_ra!$G$2:$G$71,MATCH($C$135,boss_input_vu_khi_suy_ra!$A$2:$A$71,0)),INDEX(boss_input_vu_khi_suy_ra!$F$2:$F$71,MATCH($C$135,boss_input_vu_khi_suy_ra!$A$2:$A$71,0))),0)</f>
        <v/>
      </c>
      <c r="G135" t="n">
        <v>1</v>
      </c>
      <c r="H135">
        <f>INDEX(boss_input_vu_khi!$B$2:$B$71,MATCH($C$135,boss_input_vu_khi!$A$2:$A$71,0))*INDEX(Boss_dps!$D$2:$D$32,MATCH($B$135,Boss_dps!$A$2:$A$32,0))*IF(INDEX(boss_input_vu_khi!$D$2:$D$71,MATCH($C$135,boss_input_vu_khi!$A$2:$A$71,0)),1,INDEX(Boss_dps!$B$2:$B$32,MATCH($B$135,Boss_dps!$A$2:$A$32,0)))*INDEX(Boss_dps!$C$2:$C$32,MATCH($B$135,Boss_dps!$A$2:$A$32,0))*$F$135</f>
        <v/>
      </c>
      <c r="I135" t="n">
        <v>1099.728</v>
      </c>
      <c r="J135">
        <f>IF($H$135&gt;0,CEILING(INDEX(input_xe_tham_chieu!$C$2:$C$6,MATCH($D$135,input_xe_tham_chieu!$A$2:$A$6,0))/$H$135,1),"")</f>
        <v/>
      </c>
      <c r="K135">
        <f>IF(Boss_vu_khi!$S$159*$F$135&gt;0,INDEX(input_xe_tham_chieu!$C$2:$C$6,MATCH($D$135,input_xe_tham_chieu!$A$2:$A$6,0))/(Boss_vu_khi!$S$159*INDEX(Boss_dps!$D$2:$D$32,MATCH($B$135,Boss_dps!$A$2:$A$32,0))*$F$135),"")</f>
        <v/>
      </c>
      <c r="L135">
        <f>1+2*MIN(2,FLOOR(INDEX(boss_input_vu_khi!$E$2:$E$71,MATCH($C$135,boss_input_vu_khi!$A$2:$A$71,0))/8,1))</f>
        <v/>
      </c>
      <c r="M135">
        <f>1+2*MIN(2,FLOOR(MAX(INDEX(boss_input_vu_khi!$E$2:$E$71,MATCH($C$135,boss_input_vu_khi!$A$2:$A$71,0)),Boss_vu_khi!$L$159)/8,1))</f>
        <v/>
      </c>
      <c r="N135">
        <f>IF(INDEX(boss_input_vu_khi!$E$2:$E$71,MATCH($C$135,boss_input_vu_khi!$A$2:$A$71,0))&gt;=8,5,1)</f>
        <v/>
      </c>
      <c r="O135">
        <f>IF(MAX(INDEX(boss_input_vu_khi!$E$2:$E$71,MATCH($C$135,boss_input_vu_khi!$A$2:$A$71,0)),Boss_vu_khi!$L$159)&gt;=8,5,1)</f>
        <v/>
      </c>
      <c r="P135">
        <f>INDEX(boss_input_vu_khi_suy_ra!$H$2:$H$71,MATCH($C$135,boss_input_vu_khi_suy_ra!$A$2:$A$71,0))</f>
        <v/>
      </c>
      <c r="Q135">
        <f>IF(AND(INDEX(input_xe_tham_chieu!$G$2:$G$6,MATCH($D$135,input_xe_tham_chieu!$A$2:$A$6,0))&gt;0,INDEX(boss_input_vu_khi!$E$2:$E$71,MATCH($C$135,boss_input_vu_khi!$A$2:$A$71,0))&gt;0),INDEX(boss_input_vu_khi!$E$2:$E$71,MATCH($C$135,boss_input_vu_khi!$A$2:$A$71,0))/INDEX(input_xe_tham_chieu!$G$2:$G$6,MATCH($D$135,input_xe_tham_chieu!$A$2:$A$6,0)),"")</f>
        <v/>
      </c>
      <c r="R135">
        <f>IF(ISNUMBER($Q$135),IF($P$135&gt;=$Q$135,"DU","THIEU"),"")</f>
        <v/>
      </c>
      <c r="S135" t="inlineStr">
        <is>
          <t>Assets/MachineBrigade/Resources/Data/balance.json: vehicles[id=nuke_train].weapon x 01_chien_dau/Xe_tham_chieu[ifv]</t>
        </is>
      </c>
      <c r="T135" t="inlineStr"/>
    </row>
    <row r="136">
      <c r="A136" t="inlineStr">
        <is>
          <t>nuke_train/main_battle_tank</t>
        </is>
      </c>
      <c r="B136" t="inlineStr">
        <is>
          <t>nuke_train</t>
        </is>
      </c>
      <c r="C136" t="inlineStr">
        <is>
          <t>p26_nemesis_main_ne152</t>
        </is>
      </c>
      <c r="D136" t="inlineStr">
        <is>
          <t>main_battle_tank</t>
        </is>
      </c>
      <c r="E136">
        <f>IF(INDEX(boss_input_vu_khi_suy_ra!$D$2:$D$71,MATCH($C$136,boss_input_vu_khi_suy_ra!$A$2:$A$71,0)),INDEX(input_xe_tham_chieu!$E$2:$E$6,MATCH($D$136,input_xe_tham_chieu!$A$2:$A$6,0)),INDEX(input_xe_tham_chieu!$D$2:$D$6,MATCH($D$136,input_xe_tham_chieu!$A$2:$A$6,0)))</f>
        <v/>
      </c>
      <c r="F136">
        <f>IF(INDEX(boss_input_vu_khi_suy_ra!$E$2:$E$71,MATCH($C$136,boss_input_vu_khi_suy_ra!$A$2:$A$71,0)),INDEX(boss_input_bang_xuyen_giap!$B$2:$B$7,MIN(6,MAX(1,IF(INDEX(boss_input_vu_khi_suy_ra!$D$2:$D$71,MATCH($C$136,boss_input_vu_khi_suy_ra!$A$2:$A$71,0)),MAX(1,2-(INDEX(boss_input_vu_khi!$C$2:$C$71,MATCH($C$136,boss_input_vu_khi!$A$2:$A$71,0))-$E$136)),2-(INDEX(boss_input_vu_khi!$C$2:$C$71,MATCH($C$136,boss_input_vu_khi!$A$2:$A$71,0))-$E$136))+1)))*IF(INDEX(input_xe_tham_chieu!$F$2:$F$6,MATCH($D$136,input_xe_tham_chieu!$A$2:$A$6,0)),INDEX(boss_input_vu_khi_suy_ra!$G$2:$G$71,MATCH($C$136,boss_input_vu_khi_suy_ra!$A$2:$A$71,0)),INDEX(boss_input_vu_khi_suy_ra!$F$2:$F$71,MATCH($C$136,boss_input_vu_khi_suy_ra!$A$2:$A$71,0))),0)</f>
        <v/>
      </c>
      <c r="G136" t="n">
        <v>0.5</v>
      </c>
      <c r="H136">
        <f>INDEX(boss_input_vu_khi!$B$2:$B$71,MATCH($C$136,boss_input_vu_khi!$A$2:$A$71,0))*INDEX(Boss_dps!$D$2:$D$32,MATCH($B$136,Boss_dps!$A$2:$A$32,0))*IF(INDEX(boss_input_vu_khi!$D$2:$D$71,MATCH($C$136,boss_input_vu_khi!$A$2:$A$71,0)),1,INDEX(Boss_dps!$B$2:$B$32,MATCH($B$136,Boss_dps!$A$2:$A$32,0)))*INDEX(Boss_dps!$C$2:$C$32,MATCH($B$136,Boss_dps!$A$2:$A$32,0))*$F$136</f>
        <v/>
      </c>
      <c r="I136" t="n">
        <v>549.8639999999999</v>
      </c>
      <c r="J136">
        <f>IF($H$136&gt;0,CEILING(INDEX(input_xe_tham_chieu!$C$2:$C$6,MATCH($D$136,input_xe_tham_chieu!$A$2:$A$6,0))/$H$136,1),"")</f>
        <v/>
      </c>
      <c r="K136">
        <f>IF(Boss_vu_khi!$S$159*$F$136&gt;0,INDEX(input_xe_tham_chieu!$C$2:$C$6,MATCH($D$136,input_xe_tham_chieu!$A$2:$A$6,0))/(Boss_vu_khi!$S$159*INDEX(Boss_dps!$D$2:$D$32,MATCH($B$136,Boss_dps!$A$2:$A$32,0))*$F$136),"")</f>
        <v/>
      </c>
      <c r="L136">
        <f>1+2*MIN(2,FLOOR(INDEX(boss_input_vu_khi!$E$2:$E$71,MATCH($C$136,boss_input_vu_khi!$A$2:$A$71,0))/8,1))</f>
        <v/>
      </c>
      <c r="M136">
        <f>1+2*MIN(2,FLOOR(MAX(INDEX(boss_input_vu_khi!$E$2:$E$71,MATCH($C$136,boss_input_vu_khi!$A$2:$A$71,0)),Boss_vu_khi!$L$159)/8,1))</f>
        <v/>
      </c>
      <c r="N136">
        <f>IF(INDEX(boss_input_vu_khi!$E$2:$E$71,MATCH($C$136,boss_input_vu_khi!$A$2:$A$71,0))&gt;=8,5,1)</f>
        <v/>
      </c>
      <c r="O136">
        <f>IF(MAX(INDEX(boss_input_vu_khi!$E$2:$E$71,MATCH($C$136,boss_input_vu_khi!$A$2:$A$71,0)),Boss_vu_khi!$L$159)&gt;=8,5,1)</f>
        <v/>
      </c>
      <c r="P136">
        <f>INDEX(boss_input_vu_khi_suy_ra!$H$2:$H$71,MATCH($C$136,boss_input_vu_khi_suy_ra!$A$2:$A$71,0))</f>
        <v/>
      </c>
      <c r="Q136">
        <f>IF(AND(INDEX(input_xe_tham_chieu!$G$2:$G$6,MATCH($D$136,input_xe_tham_chieu!$A$2:$A$6,0))&gt;0,INDEX(boss_input_vu_khi!$E$2:$E$71,MATCH($C$136,boss_input_vu_khi!$A$2:$A$71,0))&gt;0),INDEX(boss_input_vu_khi!$E$2:$E$71,MATCH($C$136,boss_input_vu_khi!$A$2:$A$71,0))/INDEX(input_xe_tham_chieu!$G$2:$G$6,MATCH($D$136,input_xe_tham_chieu!$A$2:$A$6,0)),"")</f>
        <v/>
      </c>
      <c r="R136">
        <f>IF(ISNUMBER($Q$136),IF($P$136&gt;=$Q$136,"DU","THIEU"),"")</f>
        <v/>
      </c>
      <c r="S136" t="inlineStr">
        <is>
          <t>Assets/MachineBrigade/Resources/Data/balance.json: vehicles[id=nuke_train].weapon x 01_chien_dau/Xe_tham_chieu[main_battle_tank]</t>
        </is>
      </c>
      <c r="T136" t="inlineStr"/>
    </row>
    <row r="137">
      <c r="A137" t="inlineStr">
        <is>
          <t>nyx/armored_car</t>
        </is>
      </c>
      <c r="B137" t="inlineStr">
        <is>
          <t>nyx</t>
        </is>
      </c>
      <c r="C137" t="inlineStr">
        <is>
          <t>boss_railgun</t>
        </is>
      </c>
      <c r="D137" t="inlineStr">
        <is>
          <t>armored_car</t>
        </is>
      </c>
      <c r="E137">
        <f>IF(INDEX(boss_input_vu_khi_suy_ra!$D$2:$D$71,MATCH($C$137,boss_input_vu_khi_suy_ra!$A$2:$A$71,0)),INDEX(input_xe_tham_chieu!$E$2:$E$6,MATCH($D$137,input_xe_tham_chieu!$A$2:$A$6,0)),INDEX(input_xe_tham_chieu!$D$2:$D$6,MATCH($D$137,input_xe_tham_chieu!$A$2:$A$6,0)))</f>
        <v/>
      </c>
      <c r="F137">
        <f>IF(INDEX(boss_input_vu_khi_suy_ra!$E$2:$E$71,MATCH($C$137,boss_input_vu_khi_suy_ra!$A$2:$A$71,0)),INDEX(boss_input_bang_xuyen_giap!$B$2:$B$7,MIN(6,MAX(1,IF(INDEX(boss_input_vu_khi_suy_ra!$D$2:$D$71,MATCH($C$137,boss_input_vu_khi_suy_ra!$A$2:$A$71,0)),MAX(1,2-(INDEX(boss_input_vu_khi!$C$2:$C$71,MATCH($C$137,boss_input_vu_khi!$A$2:$A$71,0))-$E$137)),2-(INDEX(boss_input_vu_khi!$C$2:$C$71,MATCH($C$137,boss_input_vu_khi!$A$2:$A$71,0))-$E$137))+1)))*IF(INDEX(input_xe_tham_chieu!$F$2:$F$6,MATCH($D$137,input_xe_tham_chieu!$A$2:$A$6,0)),INDEX(boss_input_vu_khi_suy_ra!$G$2:$G$71,MATCH($C$137,boss_input_vu_khi_suy_ra!$A$2:$A$71,0)),INDEX(boss_input_vu_khi_suy_ra!$F$2:$F$71,MATCH($C$137,boss_input_vu_khi_suy_ra!$A$2:$A$71,0))),0)</f>
        <v/>
      </c>
      <c r="G137" t="n">
        <v>1.2</v>
      </c>
      <c r="H137">
        <f>INDEX(boss_input_vu_khi!$B$2:$B$71,MATCH($C$137,boss_input_vu_khi!$A$2:$A$71,0))*INDEX(Boss_dps!$D$2:$D$32,MATCH($B$137,Boss_dps!$A$2:$A$32,0))*IF(INDEX(boss_input_vu_khi!$D$2:$D$71,MATCH($C$137,boss_input_vu_khi!$A$2:$A$71,0)),1,INDEX(Boss_dps!$B$2:$B$32,MATCH($B$137,Boss_dps!$A$2:$A$32,0)))*INDEX(Boss_dps!$C$2:$C$32,MATCH($B$137,Boss_dps!$A$2:$A$32,0))*$F$137</f>
        <v/>
      </c>
      <c r="I137" t="n">
        <v>1616.9030784</v>
      </c>
      <c r="J137">
        <f>IF($H$137&gt;0,CEILING(INDEX(input_xe_tham_chieu!$C$2:$C$6,MATCH($D$137,input_xe_tham_chieu!$A$2:$A$6,0))/$H$137,1),"")</f>
        <v/>
      </c>
      <c r="K137">
        <f>IF(Boss_vu_khi!$S$166*$F$137&gt;0,INDEX(input_xe_tham_chieu!$C$2:$C$6,MATCH($D$137,input_xe_tham_chieu!$A$2:$A$6,0))/(Boss_vu_khi!$S$166*INDEX(Boss_dps!$D$2:$D$32,MATCH($B$137,Boss_dps!$A$2:$A$32,0))*$F$137),"")</f>
        <v/>
      </c>
      <c r="L137">
        <f>1+2*MIN(2,FLOOR(INDEX(boss_input_vu_khi!$E$2:$E$71,MATCH($C$137,boss_input_vu_khi!$A$2:$A$71,0))/8,1))</f>
        <v/>
      </c>
      <c r="M137">
        <f>1+2*MIN(2,FLOOR(MAX(INDEX(boss_input_vu_khi!$E$2:$E$71,MATCH($C$137,boss_input_vu_khi!$A$2:$A$71,0)),Boss_vu_khi!$L$166)/8,1))</f>
        <v/>
      </c>
      <c r="N137">
        <f>IF(INDEX(boss_input_vu_khi!$E$2:$E$71,MATCH($C$137,boss_input_vu_khi!$A$2:$A$71,0))&gt;=8,5,1)</f>
        <v/>
      </c>
      <c r="O137">
        <f>IF(MAX(INDEX(boss_input_vu_khi!$E$2:$E$71,MATCH($C$137,boss_input_vu_khi!$A$2:$A$71,0)),Boss_vu_khi!$L$166)&gt;=8,5,1)</f>
        <v/>
      </c>
      <c r="P137">
        <f>INDEX(boss_input_vu_khi_suy_ra!$H$2:$H$71,MATCH($C$137,boss_input_vu_khi_suy_ra!$A$2:$A$71,0))</f>
        <v/>
      </c>
      <c r="Q137">
        <f>IF(AND(INDEX(input_xe_tham_chieu!$G$2:$G$6,MATCH($D$137,input_xe_tham_chieu!$A$2:$A$6,0))&gt;0,INDEX(boss_input_vu_khi!$E$2:$E$71,MATCH($C$137,boss_input_vu_khi!$A$2:$A$71,0))&gt;0),INDEX(boss_input_vu_khi!$E$2:$E$71,MATCH($C$137,boss_input_vu_khi!$A$2:$A$71,0))/INDEX(input_xe_tham_chieu!$G$2:$G$6,MATCH($D$137,input_xe_tham_chieu!$A$2:$A$6,0)),"")</f>
        <v/>
      </c>
      <c r="R137">
        <f>IF(ISNUMBER($Q$137),IF($P$137&gt;=$Q$137,"DU","THIEU"),"")</f>
        <v/>
      </c>
      <c r="S137" t="inlineStr">
        <is>
          <t>Assets/MachineBrigade/Resources/Data/balance.json: vehicles[id=nyx].weapon x 01_chien_dau/Xe_tham_chieu[armored_car]</t>
        </is>
      </c>
      <c r="T137" t="inlineStr"/>
    </row>
    <row r="138">
      <c r="A138" t="inlineStr">
        <is>
          <t>nyx/gun_turret</t>
        </is>
      </c>
      <c r="B138" t="inlineStr">
        <is>
          <t>nyx</t>
        </is>
      </c>
      <c r="C138" t="inlineStr">
        <is>
          <t>boss_railgun</t>
        </is>
      </c>
      <c r="D138" t="inlineStr">
        <is>
          <t>gun_turret</t>
        </is>
      </c>
      <c r="E138">
        <f>IF(INDEX(boss_input_vu_khi_suy_ra!$D$2:$D$71,MATCH($C$138,boss_input_vu_khi_suy_ra!$A$2:$A$71,0)),INDEX(input_xe_tham_chieu!$E$2:$E$6,MATCH($D$138,input_xe_tham_chieu!$A$2:$A$6,0)),INDEX(input_xe_tham_chieu!$D$2:$D$6,MATCH($D$138,input_xe_tham_chieu!$A$2:$A$6,0)))</f>
        <v/>
      </c>
      <c r="F138">
        <f>IF(INDEX(boss_input_vu_khi_suy_ra!$E$2:$E$71,MATCH($C$138,boss_input_vu_khi_suy_ra!$A$2:$A$71,0)),INDEX(boss_input_bang_xuyen_giap!$B$2:$B$7,MIN(6,MAX(1,IF(INDEX(boss_input_vu_khi_suy_ra!$D$2:$D$71,MATCH($C$138,boss_input_vu_khi_suy_ra!$A$2:$A$71,0)),MAX(1,2-(INDEX(boss_input_vu_khi!$C$2:$C$71,MATCH($C$138,boss_input_vu_khi!$A$2:$A$71,0))-$E$138)),2-(INDEX(boss_input_vu_khi!$C$2:$C$71,MATCH($C$138,boss_input_vu_khi!$A$2:$A$71,0))-$E$138))+1)))*IF(INDEX(input_xe_tham_chieu!$F$2:$F$6,MATCH($D$138,input_xe_tham_chieu!$A$2:$A$6,0)),INDEX(boss_input_vu_khi_suy_ra!$G$2:$G$71,MATCH($C$138,boss_input_vu_khi_suy_ra!$A$2:$A$71,0)),INDEX(boss_input_vu_khi_suy_ra!$F$2:$F$71,MATCH($C$138,boss_input_vu_khi_suy_ra!$A$2:$A$71,0))),0)</f>
        <v/>
      </c>
      <c r="G138" t="n">
        <v>0.6</v>
      </c>
      <c r="H138">
        <f>INDEX(boss_input_vu_khi!$B$2:$B$71,MATCH($C$138,boss_input_vu_khi!$A$2:$A$71,0))*INDEX(Boss_dps!$D$2:$D$32,MATCH($B$138,Boss_dps!$A$2:$A$32,0))*IF(INDEX(boss_input_vu_khi!$D$2:$D$71,MATCH($C$138,boss_input_vu_khi!$A$2:$A$71,0)),1,INDEX(Boss_dps!$B$2:$B$32,MATCH($B$138,Boss_dps!$A$2:$A$32,0)))*INDEX(Boss_dps!$C$2:$C$32,MATCH($B$138,Boss_dps!$A$2:$A$32,0))*$F$138</f>
        <v/>
      </c>
      <c r="I138" t="n">
        <v>808.4515392</v>
      </c>
      <c r="J138">
        <f>IF($H$138&gt;0,CEILING(INDEX(input_xe_tham_chieu!$C$2:$C$6,MATCH($D$138,input_xe_tham_chieu!$A$2:$A$6,0))/$H$138,1),"")</f>
        <v/>
      </c>
      <c r="K138">
        <f>IF(Boss_vu_khi!$S$166*$F$138&gt;0,INDEX(input_xe_tham_chieu!$C$2:$C$6,MATCH($D$138,input_xe_tham_chieu!$A$2:$A$6,0))/(Boss_vu_khi!$S$166*INDEX(Boss_dps!$D$2:$D$32,MATCH($B$138,Boss_dps!$A$2:$A$32,0))*$F$138),"")</f>
        <v/>
      </c>
      <c r="L138">
        <f>1+2*MIN(2,FLOOR(INDEX(boss_input_vu_khi!$E$2:$E$71,MATCH($C$138,boss_input_vu_khi!$A$2:$A$71,0))/8,1))</f>
        <v/>
      </c>
      <c r="M138">
        <f>1+2*MIN(2,FLOOR(MAX(INDEX(boss_input_vu_khi!$E$2:$E$71,MATCH($C$138,boss_input_vu_khi!$A$2:$A$71,0)),Boss_vu_khi!$L$166)/8,1))</f>
        <v/>
      </c>
      <c r="N138">
        <f>IF(INDEX(boss_input_vu_khi!$E$2:$E$71,MATCH($C$138,boss_input_vu_khi!$A$2:$A$71,0))&gt;=8,5,1)</f>
        <v/>
      </c>
      <c r="O138">
        <f>IF(MAX(INDEX(boss_input_vu_khi!$E$2:$E$71,MATCH($C$138,boss_input_vu_khi!$A$2:$A$71,0)),Boss_vu_khi!$L$166)&gt;=8,5,1)</f>
        <v/>
      </c>
      <c r="P138">
        <f>INDEX(boss_input_vu_khi_suy_ra!$H$2:$H$71,MATCH($C$138,boss_input_vu_khi_suy_ra!$A$2:$A$71,0))</f>
        <v/>
      </c>
      <c r="Q138">
        <f>IF(AND(INDEX(input_xe_tham_chieu!$G$2:$G$6,MATCH($D$138,input_xe_tham_chieu!$A$2:$A$6,0))&gt;0,INDEX(boss_input_vu_khi!$E$2:$E$71,MATCH($C$138,boss_input_vu_khi!$A$2:$A$71,0))&gt;0),INDEX(boss_input_vu_khi!$E$2:$E$71,MATCH($C$138,boss_input_vu_khi!$A$2:$A$71,0))/INDEX(input_xe_tham_chieu!$G$2:$G$6,MATCH($D$138,input_xe_tham_chieu!$A$2:$A$6,0)),"")</f>
        <v/>
      </c>
      <c r="R138">
        <f>IF(ISNUMBER($Q$138),IF($P$138&gt;=$Q$138,"DU","THIEU"),"")</f>
        <v/>
      </c>
      <c r="S138" t="inlineStr">
        <is>
          <t>Assets/MachineBrigade/Resources/Data/balance.json: vehicles[id=nyx].weapon x 01_chien_dau/Xe_tham_chieu[gun_turret]</t>
        </is>
      </c>
      <c r="T138" t="inlineStr"/>
    </row>
    <row r="139">
      <c r="A139" t="inlineStr">
        <is>
          <t>nyx/heavy_tank</t>
        </is>
      </c>
      <c r="B139" t="inlineStr">
        <is>
          <t>nyx</t>
        </is>
      </c>
      <c r="C139" t="inlineStr">
        <is>
          <t>boss_railgun</t>
        </is>
      </c>
      <c r="D139" t="inlineStr">
        <is>
          <t>heavy_tank</t>
        </is>
      </c>
      <c r="E139">
        <f>IF(INDEX(boss_input_vu_khi_suy_ra!$D$2:$D$71,MATCH($C$139,boss_input_vu_khi_suy_ra!$A$2:$A$71,0)),INDEX(input_xe_tham_chieu!$E$2:$E$6,MATCH($D$139,input_xe_tham_chieu!$A$2:$A$6,0)),INDEX(input_xe_tham_chieu!$D$2:$D$6,MATCH($D$139,input_xe_tham_chieu!$A$2:$A$6,0)))</f>
        <v/>
      </c>
      <c r="F139">
        <f>IF(INDEX(boss_input_vu_khi_suy_ra!$E$2:$E$71,MATCH($C$139,boss_input_vu_khi_suy_ra!$A$2:$A$71,0)),INDEX(boss_input_bang_xuyen_giap!$B$2:$B$7,MIN(6,MAX(1,IF(INDEX(boss_input_vu_khi_suy_ra!$D$2:$D$71,MATCH($C$139,boss_input_vu_khi_suy_ra!$A$2:$A$71,0)),MAX(1,2-(INDEX(boss_input_vu_khi!$C$2:$C$71,MATCH($C$139,boss_input_vu_khi!$A$2:$A$71,0))-$E$139)),2-(INDEX(boss_input_vu_khi!$C$2:$C$71,MATCH($C$139,boss_input_vu_khi!$A$2:$A$71,0))-$E$139))+1)))*IF(INDEX(input_xe_tham_chieu!$F$2:$F$6,MATCH($D$139,input_xe_tham_chieu!$A$2:$A$6,0)),INDEX(boss_input_vu_khi_suy_ra!$G$2:$G$71,MATCH($C$139,boss_input_vu_khi_suy_ra!$A$2:$A$71,0)),INDEX(boss_input_vu_khi_suy_ra!$F$2:$F$71,MATCH($C$139,boss_input_vu_khi_suy_ra!$A$2:$A$71,0))),0)</f>
        <v/>
      </c>
      <c r="G139" t="n">
        <v>0.85</v>
      </c>
      <c r="H139">
        <f>INDEX(boss_input_vu_khi!$B$2:$B$71,MATCH($C$139,boss_input_vu_khi!$A$2:$A$71,0))*INDEX(Boss_dps!$D$2:$D$32,MATCH($B$139,Boss_dps!$A$2:$A$32,0))*IF(INDEX(boss_input_vu_khi!$D$2:$D$71,MATCH($C$139,boss_input_vu_khi!$A$2:$A$71,0)),1,INDEX(Boss_dps!$B$2:$B$32,MATCH($B$139,Boss_dps!$A$2:$A$32,0)))*INDEX(Boss_dps!$C$2:$C$32,MATCH($B$139,Boss_dps!$A$2:$A$32,0))*$F$139</f>
        <v/>
      </c>
      <c r="I139" t="n">
        <v>1145.3063472</v>
      </c>
      <c r="J139">
        <f>IF($H$139&gt;0,CEILING(INDEX(input_xe_tham_chieu!$C$2:$C$6,MATCH($D$139,input_xe_tham_chieu!$A$2:$A$6,0))/$H$139,1),"")</f>
        <v/>
      </c>
      <c r="K139">
        <f>IF(Boss_vu_khi!$S$166*$F$139&gt;0,INDEX(input_xe_tham_chieu!$C$2:$C$6,MATCH($D$139,input_xe_tham_chieu!$A$2:$A$6,0))/(Boss_vu_khi!$S$166*INDEX(Boss_dps!$D$2:$D$32,MATCH($B$139,Boss_dps!$A$2:$A$32,0))*$F$139),"")</f>
        <v/>
      </c>
      <c r="L139">
        <f>1+2*MIN(2,FLOOR(INDEX(boss_input_vu_khi!$E$2:$E$71,MATCH($C$139,boss_input_vu_khi!$A$2:$A$71,0))/8,1))</f>
        <v/>
      </c>
      <c r="M139">
        <f>1+2*MIN(2,FLOOR(MAX(INDEX(boss_input_vu_khi!$E$2:$E$71,MATCH($C$139,boss_input_vu_khi!$A$2:$A$71,0)),Boss_vu_khi!$L$166)/8,1))</f>
        <v/>
      </c>
      <c r="N139">
        <f>IF(INDEX(boss_input_vu_khi!$E$2:$E$71,MATCH($C$139,boss_input_vu_khi!$A$2:$A$71,0))&gt;=8,5,1)</f>
        <v/>
      </c>
      <c r="O139">
        <f>IF(MAX(INDEX(boss_input_vu_khi!$E$2:$E$71,MATCH($C$139,boss_input_vu_khi!$A$2:$A$71,0)),Boss_vu_khi!$L$166)&gt;=8,5,1)</f>
        <v/>
      </c>
      <c r="P139">
        <f>INDEX(boss_input_vu_khi_suy_ra!$H$2:$H$71,MATCH($C$139,boss_input_vu_khi_suy_ra!$A$2:$A$71,0))</f>
        <v/>
      </c>
      <c r="Q139">
        <f>IF(AND(INDEX(input_xe_tham_chieu!$G$2:$G$6,MATCH($D$139,input_xe_tham_chieu!$A$2:$A$6,0))&gt;0,INDEX(boss_input_vu_khi!$E$2:$E$71,MATCH($C$139,boss_input_vu_khi!$A$2:$A$71,0))&gt;0),INDEX(boss_input_vu_khi!$E$2:$E$71,MATCH($C$139,boss_input_vu_khi!$A$2:$A$71,0))/INDEX(input_xe_tham_chieu!$G$2:$G$6,MATCH($D$139,input_xe_tham_chieu!$A$2:$A$6,0)),"")</f>
        <v/>
      </c>
      <c r="R139">
        <f>IF(ISNUMBER($Q$139),IF($P$139&gt;=$Q$139,"DU","THIEU"),"")</f>
        <v/>
      </c>
      <c r="S139" t="inlineStr">
        <is>
          <t>Assets/MachineBrigade/Resources/Data/balance.json: vehicles[id=nyx].weapon x 01_chien_dau/Xe_tham_chieu[heavy_tank]</t>
        </is>
      </c>
      <c r="T139" t="inlineStr"/>
    </row>
    <row r="140">
      <c r="A140" t="inlineStr">
        <is>
          <t>nyx/ifv</t>
        </is>
      </c>
      <c r="B140" t="inlineStr">
        <is>
          <t>nyx</t>
        </is>
      </c>
      <c r="C140" t="inlineStr">
        <is>
          <t>boss_railgun</t>
        </is>
      </c>
      <c r="D140" t="inlineStr">
        <is>
          <t>ifv</t>
        </is>
      </c>
      <c r="E140">
        <f>IF(INDEX(boss_input_vu_khi_suy_ra!$D$2:$D$71,MATCH($C$140,boss_input_vu_khi_suy_ra!$A$2:$A$71,0)),INDEX(input_xe_tham_chieu!$E$2:$E$6,MATCH($D$140,input_xe_tham_chieu!$A$2:$A$6,0)),INDEX(input_xe_tham_chieu!$D$2:$D$6,MATCH($D$140,input_xe_tham_chieu!$A$2:$A$6,0)))</f>
        <v/>
      </c>
      <c r="F140">
        <f>IF(INDEX(boss_input_vu_khi_suy_ra!$E$2:$E$71,MATCH($C$140,boss_input_vu_khi_suy_ra!$A$2:$A$71,0)),INDEX(boss_input_bang_xuyen_giap!$B$2:$B$7,MIN(6,MAX(1,IF(INDEX(boss_input_vu_khi_suy_ra!$D$2:$D$71,MATCH($C$140,boss_input_vu_khi_suy_ra!$A$2:$A$71,0)),MAX(1,2-(INDEX(boss_input_vu_khi!$C$2:$C$71,MATCH($C$140,boss_input_vu_khi!$A$2:$A$71,0))-$E$140)),2-(INDEX(boss_input_vu_khi!$C$2:$C$71,MATCH($C$140,boss_input_vu_khi!$A$2:$A$71,0))-$E$140))+1)))*IF(INDEX(input_xe_tham_chieu!$F$2:$F$6,MATCH($D$140,input_xe_tham_chieu!$A$2:$A$6,0)),INDEX(boss_input_vu_khi_suy_ra!$G$2:$G$71,MATCH($C$140,boss_input_vu_khi_suy_ra!$A$2:$A$71,0)),INDEX(boss_input_vu_khi_suy_ra!$F$2:$F$71,MATCH($C$140,boss_input_vu_khi_suy_ra!$A$2:$A$71,0))),0)</f>
        <v/>
      </c>
      <c r="G140" t="n">
        <v>1.2</v>
      </c>
      <c r="H140">
        <f>INDEX(boss_input_vu_khi!$B$2:$B$71,MATCH($C$140,boss_input_vu_khi!$A$2:$A$71,0))*INDEX(Boss_dps!$D$2:$D$32,MATCH($B$140,Boss_dps!$A$2:$A$32,0))*IF(INDEX(boss_input_vu_khi!$D$2:$D$71,MATCH($C$140,boss_input_vu_khi!$A$2:$A$71,0)),1,INDEX(Boss_dps!$B$2:$B$32,MATCH($B$140,Boss_dps!$A$2:$A$32,0)))*INDEX(Boss_dps!$C$2:$C$32,MATCH($B$140,Boss_dps!$A$2:$A$32,0))*$F$140</f>
        <v/>
      </c>
      <c r="I140" t="n">
        <v>1616.9030784</v>
      </c>
      <c r="J140">
        <f>IF($H$140&gt;0,CEILING(INDEX(input_xe_tham_chieu!$C$2:$C$6,MATCH($D$140,input_xe_tham_chieu!$A$2:$A$6,0))/$H$140,1),"")</f>
        <v/>
      </c>
      <c r="K140">
        <f>IF(Boss_vu_khi!$S$166*$F$140&gt;0,INDEX(input_xe_tham_chieu!$C$2:$C$6,MATCH($D$140,input_xe_tham_chieu!$A$2:$A$6,0))/(Boss_vu_khi!$S$166*INDEX(Boss_dps!$D$2:$D$32,MATCH($B$140,Boss_dps!$A$2:$A$32,0))*$F$140),"")</f>
        <v/>
      </c>
      <c r="L140">
        <f>1+2*MIN(2,FLOOR(INDEX(boss_input_vu_khi!$E$2:$E$71,MATCH($C$140,boss_input_vu_khi!$A$2:$A$71,0))/8,1))</f>
        <v/>
      </c>
      <c r="M140">
        <f>1+2*MIN(2,FLOOR(MAX(INDEX(boss_input_vu_khi!$E$2:$E$71,MATCH($C$140,boss_input_vu_khi!$A$2:$A$71,0)),Boss_vu_khi!$L$166)/8,1))</f>
        <v/>
      </c>
      <c r="N140">
        <f>IF(INDEX(boss_input_vu_khi!$E$2:$E$71,MATCH($C$140,boss_input_vu_khi!$A$2:$A$71,0))&gt;=8,5,1)</f>
        <v/>
      </c>
      <c r="O140">
        <f>IF(MAX(INDEX(boss_input_vu_khi!$E$2:$E$71,MATCH($C$140,boss_input_vu_khi!$A$2:$A$71,0)),Boss_vu_khi!$L$166)&gt;=8,5,1)</f>
        <v/>
      </c>
      <c r="P140">
        <f>INDEX(boss_input_vu_khi_suy_ra!$H$2:$H$71,MATCH($C$140,boss_input_vu_khi_suy_ra!$A$2:$A$71,0))</f>
        <v/>
      </c>
      <c r="Q140">
        <f>IF(AND(INDEX(input_xe_tham_chieu!$G$2:$G$6,MATCH($D$140,input_xe_tham_chieu!$A$2:$A$6,0))&gt;0,INDEX(boss_input_vu_khi!$E$2:$E$71,MATCH($C$140,boss_input_vu_khi!$A$2:$A$71,0))&gt;0),INDEX(boss_input_vu_khi!$E$2:$E$71,MATCH($C$140,boss_input_vu_khi!$A$2:$A$71,0))/INDEX(input_xe_tham_chieu!$G$2:$G$6,MATCH($D$140,input_xe_tham_chieu!$A$2:$A$6,0)),"")</f>
        <v/>
      </c>
      <c r="R140">
        <f>IF(ISNUMBER($Q$140),IF($P$140&gt;=$Q$140,"DU","THIEU"),"")</f>
        <v/>
      </c>
      <c r="S140" t="inlineStr">
        <is>
          <t>Assets/MachineBrigade/Resources/Data/balance.json: vehicles[id=nyx].weapon x 01_chien_dau/Xe_tham_chieu[ifv]</t>
        </is>
      </c>
      <c r="T140" t="inlineStr"/>
    </row>
    <row r="141">
      <c r="A141" t="inlineStr">
        <is>
          <t>nyx/main_battle_tank</t>
        </is>
      </c>
      <c r="B141" t="inlineStr">
        <is>
          <t>nyx</t>
        </is>
      </c>
      <c r="C141" t="inlineStr">
        <is>
          <t>boss_railgun</t>
        </is>
      </c>
      <c r="D141" t="inlineStr">
        <is>
          <t>main_battle_tank</t>
        </is>
      </c>
      <c r="E141">
        <f>IF(INDEX(boss_input_vu_khi_suy_ra!$D$2:$D$71,MATCH($C$141,boss_input_vu_khi_suy_ra!$A$2:$A$71,0)),INDEX(input_xe_tham_chieu!$E$2:$E$6,MATCH($D$141,input_xe_tham_chieu!$A$2:$A$6,0)),INDEX(input_xe_tham_chieu!$D$2:$D$6,MATCH($D$141,input_xe_tham_chieu!$A$2:$A$6,0)))</f>
        <v/>
      </c>
      <c r="F141">
        <f>IF(INDEX(boss_input_vu_khi_suy_ra!$E$2:$E$71,MATCH($C$141,boss_input_vu_khi_suy_ra!$A$2:$A$71,0)),INDEX(boss_input_bang_xuyen_giap!$B$2:$B$7,MIN(6,MAX(1,IF(INDEX(boss_input_vu_khi_suy_ra!$D$2:$D$71,MATCH($C$141,boss_input_vu_khi_suy_ra!$A$2:$A$71,0)),MAX(1,2-(INDEX(boss_input_vu_khi!$C$2:$C$71,MATCH($C$141,boss_input_vu_khi!$A$2:$A$71,0))-$E$141)),2-(INDEX(boss_input_vu_khi!$C$2:$C$71,MATCH($C$141,boss_input_vu_khi!$A$2:$A$71,0))-$E$141))+1)))*IF(INDEX(input_xe_tham_chieu!$F$2:$F$6,MATCH($D$141,input_xe_tham_chieu!$A$2:$A$6,0)),INDEX(boss_input_vu_khi_suy_ra!$G$2:$G$71,MATCH($C$141,boss_input_vu_khi_suy_ra!$A$2:$A$71,0)),INDEX(boss_input_vu_khi_suy_ra!$F$2:$F$71,MATCH($C$141,boss_input_vu_khi_suy_ra!$A$2:$A$71,0))),0)</f>
        <v/>
      </c>
      <c r="G141" t="n">
        <v>0.85</v>
      </c>
      <c r="H141">
        <f>INDEX(boss_input_vu_khi!$B$2:$B$71,MATCH($C$141,boss_input_vu_khi!$A$2:$A$71,0))*INDEX(Boss_dps!$D$2:$D$32,MATCH($B$141,Boss_dps!$A$2:$A$32,0))*IF(INDEX(boss_input_vu_khi!$D$2:$D$71,MATCH($C$141,boss_input_vu_khi!$A$2:$A$71,0)),1,INDEX(Boss_dps!$B$2:$B$32,MATCH($B$141,Boss_dps!$A$2:$A$32,0)))*INDEX(Boss_dps!$C$2:$C$32,MATCH($B$141,Boss_dps!$A$2:$A$32,0))*$F$141</f>
        <v/>
      </c>
      <c r="I141" t="n">
        <v>1145.3063472</v>
      </c>
      <c r="J141">
        <f>IF($H$141&gt;0,CEILING(INDEX(input_xe_tham_chieu!$C$2:$C$6,MATCH($D$141,input_xe_tham_chieu!$A$2:$A$6,0))/$H$141,1),"")</f>
        <v/>
      </c>
      <c r="K141">
        <f>IF(Boss_vu_khi!$S$166*$F$141&gt;0,INDEX(input_xe_tham_chieu!$C$2:$C$6,MATCH($D$141,input_xe_tham_chieu!$A$2:$A$6,0))/(Boss_vu_khi!$S$166*INDEX(Boss_dps!$D$2:$D$32,MATCH($B$141,Boss_dps!$A$2:$A$32,0))*$F$141),"")</f>
        <v/>
      </c>
      <c r="L141">
        <f>1+2*MIN(2,FLOOR(INDEX(boss_input_vu_khi!$E$2:$E$71,MATCH($C$141,boss_input_vu_khi!$A$2:$A$71,0))/8,1))</f>
        <v/>
      </c>
      <c r="M141">
        <f>1+2*MIN(2,FLOOR(MAX(INDEX(boss_input_vu_khi!$E$2:$E$71,MATCH($C$141,boss_input_vu_khi!$A$2:$A$71,0)),Boss_vu_khi!$L$166)/8,1))</f>
        <v/>
      </c>
      <c r="N141">
        <f>IF(INDEX(boss_input_vu_khi!$E$2:$E$71,MATCH($C$141,boss_input_vu_khi!$A$2:$A$71,0))&gt;=8,5,1)</f>
        <v/>
      </c>
      <c r="O141">
        <f>IF(MAX(INDEX(boss_input_vu_khi!$E$2:$E$71,MATCH($C$141,boss_input_vu_khi!$A$2:$A$71,0)),Boss_vu_khi!$L$166)&gt;=8,5,1)</f>
        <v/>
      </c>
      <c r="P141">
        <f>INDEX(boss_input_vu_khi_suy_ra!$H$2:$H$71,MATCH($C$141,boss_input_vu_khi_suy_ra!$A$2:$A$71,0))</f>
        <v/>
      </c>
      <c r="Q141">
        <f>IF(AND(INDEX(input_xe_tham_chieu!$G$2:$G$6,MATCH($D$141,input_xe_tham_chieu!$A$2:$A$6,0))&gt;0,INDEX(boss_input_vu_khi!$E$2:$E$71,MATCH($C$141,boss_input_vu_khi!$A$2:$A$71,0))&gt;0),INDEX(boss_input_vu_khi!$E$2:$E$71,MATCH($C$141,boss_input_vu_khi!$A$2:$A$71,0))/INDEX(input_xe_tham_chieu!$G$2:$G$6,MATCH($D$141,input_xe_tham_chieu!$A$2:$A$6,0)),"")</f>
        <v/>
      </c>
      <c r="R141">
        <f>IF(ISNUMBER($Q$141),IF($P$141&gt;=$Q$141,"DU","THIEU"),"")</f>
        <v/>
      </c>
      <c r="S141" t="inlineStr">
        <is>
          <t>Assets/MachineBrigade/Resources/Data/balance.json: vehicles[id=nyx].weapon x 01_chien_dau/Xe_tham_chieu[main_battle_tank]</t>
        </is>
      </c>
      <c r="T141" t="inlineStr"/>
    </row>
    <row r="142">
      <c r="A142" t="inlineStr">
        <is>
          <t>scylla/armored_car</t>
        </is>
      </c>
      <c r="B142" t="inlineStr">
        <is>
          <t>scylla</t>
        </is>
      </c>
      <c r="C142" t="inlineStr">
        <is>
          <t>naval_130_twin</t>
        </is>
      </c>
      <c r="D142" t="inlineStr">
        <is>
          <t>armored_car</t>
        </is>
      </c>
      <c r="E142">
        <f>IF(INDEX(boss_input_vu_khi_suy_ra!$D$2:$D$71,MATCH($C$142,boss_input_vu_khi_suy_ra!$A$2:$A$71,0)),INDEX(input_xe_tham_chieu!$E$2:$E$6,MATCH($D$142,input_xe_tham_chieu!$A$2:$A$6,0)),INDEX(input_xe_tham_chieu!$D$2:$D$6,MATCH($D$142,input_xe_tham_chieu!$A$2:$A$6,0)))</f>
        <v/>
      </c>
      <c r="F142">
        <f>IF(INDEX(boss_input_vu_khi_suy_ra!$E$2:$E$71,MATCH($C$142,boss_input_vu_khi_suy_ra!$A$2:$A$71,0)),INDEX(boss_input_bang_xuyen_giap!$B$2:$B$7,MIN(6,MAX(1,IF(INDEX(boss_input_vu_khi_suy_ra!$D$2:$D$71,MATCH($C$142,boss_input_vu_khi_suy_ra!$A$2:$A$71,0)),MAX(1,2-(INDEX(boss_input_vu_khi!$C$2:$C$71,MATCH($C$142,boss_input_vu_khi!$A$2:$A$71,0))-$E$142)),2-(INDEX(boss_input_vu_khi!$C$2:$C$71,MATCH($C$142,boss_input_vu_khi!$A$2:$A$71,0))-$E$142))+1)))*IF(INDEX(input_xe_tham_chieu!$F$2:$F$6,MATCH($D$142,input_xe_tham_chieu!$A$2:$A$6,0)),INDEX(boss_input_vu_khi_suy_ra!$G$2:$G$71,MATCH($C$142,boss_input_vu_khi_suy_ra!$A$2:$A$71,0)),INDEX(boss_input_vu_khi_suy_ra!$F$2:$F$71,MATCH($C$142,boss_input_vu_khi_suy_ra!$A$2:$A$71,0))),0)</f>
        <v/>
      </c>
      <c r="G142" t="n">
        <v>1.2</v>
      </c>
      <c r="H142">
        <f>INDEX(boss_input_vu_khi!$B$2:$B$71,MATCH($C$142,boss_input_vu_khi!$A$2:$A$71,0))*INDEX(Boss_dps!$D$2:$D$32,MATCH($B$142,Boss_dps!$A$2:$A$32,0))*IF(INDEX(boss_input_vu_khi!$D$2:$D$71,MATCH($C$142,boss_input_vu_khi!$A$2:$A$71,0)),1,INDEX(Boss_dps!$B$2:$B$32,MATCH($B$142,Boss_dps!$A$2:$A$32,0)))*INDEX(Boss_dps!$C$2:$C$32,MATCH($B$142,Boss_dps!$A$2:$A$32,0))*$F$142</f>
        <v/>
      </c>
      <c r="I142" t="n">
        <v>887.4957456</v>
      </c>
      <c r="J142">
        <f>IF($H$142&gt;0,CEILING(INDEX(input_xe_tham_chieu!$C$2:$C$6,MATCH($D$142,input_xe_tham_chieu!$A$2:$A$6,0))/$H$142,1),"")</f>
        <v/>
      </c>
      <c r="K142">
        <f>IF(Boss_vu_khi!$S$169*$F$142&gt;0,INDEX(input_xe_tham_chieu!$C$2:$C$6,MATCH($D$142,input_xe_tham_chieu!$A$2:$A$6,0))/(Boss_vu_khi!$S$169*INDEX(Boss_dps!$D$2:$D$32,MATCH($B$142,Boss_dps!$A$2:$A$32,0))*$F$142),"")</f>
        <v/>
      </c>
      <c r="L142">
        <f>1+2*MIN(2,FLOOR(INDEX(boss_input_vu_khi!$E$2:$E$71,MATCH($C$142,boss_input_vu_khi!$A$2:$A$71,0))/8,1))</f>
        <v/>
      </c>
      <c r="M142">
        <f>1+2*MIN(2,FLOOR(MAX(INDEX(boss_input_vu_khi!$E$2:$E$71,MATCH($C$142,boss_input_vu_khi!$A$2:$A$71,0)),Boss_vu_khi!$L$169)/8,1))</f>
        <v/>
      </c>
      <c r="N142">
        <f>IF(INDEX(boss_input_vu_khi!$E$2:$E$71,MATCH($C$142,boss_input_vu_khi!$A$2:$A$71,0))&gt;=8,5,1)</f>
        <v/>
      </c>
      <c r="O142">
        <f>IF(MAX(INDEX(boss_input_vu_khi!$E$2:$E$71,MATCH($C$142,boss_input_vu_khi!$A$2:$A$71,0)),Boss_vu_khi!$L$169)&gt;=8,5,1)</f>
        <v/>
      </c>
      <c r="P142">
        <f>INDEX(boss_input_vu_khi_suy_ra!$H$2:$H$71,MATCH($C$142,boss_input_vu_khi_suy_ra!$A$2:$A$71,0))</f>
        <v/>
      </c>
      <c r="Q142">
        <f>IF(AND(INDEX(input_xe_tham_chieu!$G$2:$G$6,MATCH($D$142,input_xe_tham_chieu!$A$2:$A$6,0))&gt;0,INDEX(boss_input_vu_khi!$E$2:$E$71,MATCH($C$142,boss_input_vu_khi!$A$2:$A$71,0))&gt;0),INDEX(boss_input_vu_khi!$E$2:$E$71,MATCH($C$142,boss_input_vu_khi!$A$2:$A$71,0))/INDEX(input_xe_tham_chieu!$G$2:$G$6,MATCH($D$142,input_xe_tham_chieu!$A$2:$A$6,0)),"")</f>
        <v/>
      </c>
      <c r="R142">
        <f>IF(ISNUMBER($Q$142),IF($P$142&gt;=$Q$142,"DU","THIEU"),"")</f>
        <v/>
      </c>
      <c r="S142" t="inlineStr">
        <is>
          <t>Assets/MachineBrigade/Resources/Data/balance.json: vehicles[id=scylla].weapon x 01_chien_dau/Xe_tham_chieu[armored_car]</t>
        </is>
      </c>
      <c r="T142" t="inlineStr"/>
    </row>
    <row r="143">
      <c r="A143" t="inlineStr">
        <is>
          <t>scylla/gun_turret</t>
        </is>
      </c>
      <c r="B143" t="inlineStr">
        <is>
          <t>scylla</t>
        </is>
      </c>
      <c r="C143" t="inlineStr">
        <is>
          <t>naval_130_twin</t>
        </is>
      </c>
      <c r="D143" t="inlineStr">
        <is>
          <t>gun_turret</t>
        </is>
      </c>
      <c r="E143">
        <f>IF(INDEX(boss_input_vu_khi_suy_ra!$D$2:$D$71,MATCH($C$143,boss_input_vu_khi_suy_ra!$A$2:$A$71,0)),INDEX(input_xe_tham_chieu!$E$2:$E$6,MATCH($D$143,input_xe_tham_chieu!$A$2:$A$6,0)),INDEX(input_xe_tham_chieu!$D$2:$D$6,MATCH($D$143,input_xe_tham_chieu!$A$2:$A$6,0)))</f>
        <v/>
      </c>
      <c r="F143">
        <f>IF(INDEX(boss_input_vu_khi_suy_ra!$E$2:$E$71,MATCH($C$143,boss_input_vu_khi_suy_ra!$A$2:$A$71,0)),INDEX(boss_input_bang_xuyen_giap!$B$2:$B$7,MIN(6,MAX(1,IF(INDEX(boss_input_vu_khi_suy_ra!$D$2:$D$71,MATCH($C$143,boss_input_vu_khi_suy_ra!$A$2:$A$71,0)),MAX(1,2-(INDEX(boss_input_vu_khi!$C$2:$C$71,MATCH($C$143,boss_input_vu_khi!$A$2:$A$71,0))-$E$143)),2-(INDEX(boss_input_vu_khi!$C$2:$C$71,MATCH($C$143,boss_input_vu_khi!$A$2:$A$71,0))-$E$143))+1)))*IF(INDEX(input_xe_tham_chieu!$F$2:$F$6,MATCH($D$143,input_xe_tham_chieu!$A$2:$A$6,0)),INDEX(boss_input_vu_khi_suy_ra!$G$2:$G$71,MATCH($C$143,boss_input_vu_khi_suy_ra!$A$2:$A$71,0)),INDEX(boss_input_vu_khi_suy_ra!$F$2:$F$71,MATCH($C$143,boss_input_vu_khi_suy_ra!$A$2:$A$71,0))),0)</f>
        <v/>
      </c>
      <c r="G143" t="n">
        <v>1.275</v>
      </c>
      <c r="H143">
        <f>INDEX(boss_input_vu_khi!$B$2:$B$71,MATCH($C$143,boss_input_vu_khi!$A$2:$A$71,0))*INDEX(Boss_dps!$D$2:$D$32,MATCH($B$143,Boss_dps!$A$2:$A$32,0))*IF(INDEX(boss_input_vu_khi!$D$2:$D$71,MATCH($C$143,boss_input_vu_khi!$A$2:$A$71,0)),1,INDEX(Boss_dps!$B$2:$B$32,MATCH($B$143,Boss_dps!$A$2:$A$32,0)))*INDEX(Boss_dps!$C$2:$C$32,MATCH($B$143,Boss_dps!$A$2:$A$32,0))*$F$143</f>
        <v/>
      </c>
      <c r="I143" t="n">
        <v>942.9642296999999</v>
      </c>
      <c r="J143">
        <f>IF($H$143&gt;0,CEILING(INDEX(input_xe_tham_chieu!$C$2:$C$6,MATCH($D$143,input_xe_tham_chieu!$A$2:$A$6,0))/$H$143,1),"")</f>
        <v/>
      </c>
      <c r="K143">
        <f>IF(Boss_vu_khi!$S$169*$F$143&gt;0,INDEX(input_xe_tham_chieu!$C$2:$C$6,MATCH($D$143,input_xe_tham_chieu!$A$2:$A$6,0))/(Boss_vu_khi!$S$169*INDEX(Boss_dps!$D$2:$D$32,MATCH($B$143,Boss_dps!$A$2:$A$32,0))*$F$143),"")</f>
        <v/>
      </c>
      <c r="L143">
        <f>1+2*MIN(2,FLOOR(INDEX(boss_input_vu_khi!$E$2:$E$71,MATCH($C$143,boss_input_vu_khi!$A$2:$A$71,0))/8,1))</f>
        <v/>
      </c>
      <c r="M143">
        <f>1+2*MIN(2,FLOOR(MAX(INDEX(boss_input_vu_khi!$E$2:$E$71,MATCH($C$143,boss_input_vu_khi!$A$2:$A$71,0)),Boss_vu_khi!$L$169)/8,1))</f>
        <v/>
      </c>
      <c r="N143">
        <f>IF(INDEX(boss_input_vu_khi!$E$2:$E$71,MATCH($C$143,boss_input_vu_khi!$A$2:$A$71,0))&gt;=8,5,1)</f>
        <v/>
      </c>
      <c r="O143">
        <f>IF(MAX(INDEX(boss_input_vu_khi!$E$2:$E$71,MATCH($C$143,boss_input_vu_khi!$A$2:$A$71,0)),Boss_vu_khi!$L$169)&gt;=8,5,1)</f>
        <v/>
      </c>
      <c r="P143">
        <f>INDEX(boss_input_vu_khi_suy_ra!$H$2:$H$71,MATCH($C$143,boss_input_vu_khi_suy_ra!$A$2:$A$71,0))</f>
        <v/>
      </c>
      <c r="Q143">
        <f>IF(AND(INDEX(input_xe_tham_chieu!$G$2:$G$6,MATCH($D$143,input_xe_tham_chieu!$A$2:$A$6,0))&gt;0,INDEX(boss_input_vu_khi!$E$2:$E$71,MATCH($C$143,boss_input_vu_khi!$A$2:$A$71,0))&gt;0),INDEX(boss_input_vu_khi!$E$2:$E$71,MATCH($C$143,boss_input_vu_khi!$A$2:$A$71,0))/INDEX(input_xe_tham_chieu!$G$2:$G$6,MATCH($D$143,input_xe_tham_chieu!$A$2:$A$6,0)),"")</f>
        <v/>
      </c>
      <c r="R143">
        <f>IF(ISNUMBER($Q$143),IF($P$143&gt;=$Q$143,"DU","THIEU"),"")</f>
        <v/>
      </c>
      <c r="S143" t="inlineStr">
        <is>
          <t>Assets/MachineBrigade/Resources/Data/balance.json: vehicles[id=scylla].weapon x 01_chien_dau/Xe_tham_chieu[gun_turret]</t>
        </is>
      </c>
      <c r="T143" t="inlineStr"/>
    </row>
    <row r="144">
      <c r="A144" t="inlineStr">
        <is>
          <t>scylla/heavy_tank</t>
        </is>
      </c>
      <c r="B144" t="inlineStr">
        <is>
          <t>scylla</t>
        </is>
      </c>
      <c r="C144" t="inlineStr">
        <is>
          <t>naval_130_twin</t>
        </is>
      </c>
      <c r="D144" t="inlineStr">
        <is>
          <t>heavy_tank</t>
        </is>
      </c>
      <c r="E144">
        <f>IF(INDEX(boss_input_vu_khi_suy_ra!$D$2:$D$71,MATCH($C$144,boss_input_vu_khi_suy_ra!$A$2:$A$71,0)),INDEX(input_xe_tham_chieu!$E$2:$E$6,MATCH($D$144,input_xe_tham_chieu!$A$2:$A$6,0)),INDEX(input_xe_tham_chieu!$D$2:$D$6,MATCH($D$144,input_xe_tham_chieu!$A$2:$A$6,0)))</f>
        <v/>
      </c>
      <c r="F144">
        <f>IF(INDEX(boss_input_vu_khi_suy_ra!$E$2:$E$71,MATCH($C$144,boss_input_vu_khi_suy_ra!$A$2:$A$71,0)),INDEX(boss_input_bang_xuyen_giap!$B$2:$B$7,MIN(6,MAX(1,IF(INDEX(boss_input_vu_khi_suy_ra!$D$2:$D$71,MATCH($C$144,boss_input_vu_khi_suy_ra!$A$2:$A$71,0)),MAX(1,2-(INDEX(boss_input_vu_khi!$C$2:$C$71,MATCH($C$144,boss_input_vu_khi!$A$2:$A$71,0))-$E$144)),2-(INDEX(boss_input_vu_khi!$C$2:$C$71,MATCH($C$144,boss_input_vu_khi!$A$2:$A$71,0))-$E$144))+1)))*IF(INDEX(input_xe_tham_chieu!$F$2:$F$6,MATCH($D$144,input_xe_tham_chieu!$A$2:$A$6,0)),INDEX(boss_input_vu_khi_suy_ra!$G$2:$G$71,MATCH($C$144,boss_input_vu_khi_suy_ra!$A$2:$A$71,0)),INDEX(boss_input_vu_khi_suy_ra!$F$2:$F$71,MATCH($C$144,boss_input_vu_khi_suy_ra!$A$2:$A$71,0))),0)</f>
        <v/>
      </c>
      <c r="G144" t="n">
        <v>0.5</v>
      </c>
      <c r="H144">
        <f>INDEX(boss_input_vu_khi!$B$2:$B$71,MATCH($C$144,boss_input_vu_khi!$A$2:$A$71,0))*INDEX(Boss_dps!$D$2:$D$32,MATCH($B$144,Boss_dps!$A$2:$A$32,0))*IF(INDEX(boss_input_vu_khi!$D$2:$D$71,MATCH($C$144,boss_input_vu_khi!$A$2:$A$71,0)),1,INDEX(Boss_dps!$B$2:$B$32,MATCH($B$144,Boss_dps!$A$2:$A$32,0)))*INDEX(Boss_dps!$C$2:$C$32,MATCH($B$144,Boss_dps!$A$2:$A$32,0))*$F$144</f>
        <v/>
      </c>
      <c r="I144" t="n">
        <v>369.789894</v>
      </c>
      <c r="J144">
        <f>IF($H$144&gt;0,CEILING(INDEX(input_xe_tham_chieu!$C$2:$C$6,MATCH($D$144,input_xe_tham_chieu!$A$2:$A$6,0))/$H$144,1),"")</f>
        <v/>
      </c>
      <c r="K144">
        <f>IF(Boss_vu_khi!$S$169*$F$144&gt;0,INDEX(input_xe_tham_chieu!$C$2:$C$6,MATCH($D$144,input_xe_tham_chieu!$A$2:$A$6,0))/(Boss_vu_khi!$S$169*INDEX(Boss_dps!$D$2:$D$32,MATCH($B$144,Boss_dps!$A$2:$A$32,0))*$F$144),"")</f>
        <v/>
      </c>
      <c r="L144">
        <f>1+2*MIN(2,FLOOR(INDEX(boss_input_vu_khi!$E$2:$E$71,MATCH($C$144,boss_input_vu_khi!$A$2:$A$71,0))/8,1))</f>
        <v/>
      </c>
      <c r="M144">
        <f>1+2*MIN(2,FLOOR(MAX(INDEX(boss_input_vu_khi!$E$2:$E$71,MATCH($C$144,boss_input_vu_khi!$A$2:$A$71,0)),Boss_vu_khi!$L$169)/8,1))</f>
        <v/>
      </c>
      <c r="N144">
        <f>IF(INDEX(boss_input_vu_khi!$E$2:$E$71,MATCH($C$144,boss_input_vu_khi!$A$2:$A$71,0))&gt;=8,5,1)</f>
        <v/>
      </c>
      <c r="O144">
        <f>IF(MAX(INDEX(boss_input_vu_khi!$E$2:$E$71,MATCH($C$144,boss_input_vu_khi!$A$2:$A$71,0)),Boss_vu_khi!$L$169)&gt;=8,5,1)</f>
        <v/>
      </c>
      <c r="P144">
        <f>INDEX(boss_input_vu_khi_suy_ra!$H$2:$H$71,MATCH($C$144,boss_input_vu_khi_suy_ra!$A$2:$A$71,0))</f>
        <v/>
      </c>
      <c r="Q144">
        <f>IF(AND(INDEX(input_xe_tham_chieu!$G$2:$G$6,MATCH($D$144,input_xe_tham_chieu!$A$2:$A$6,0))&gt;0,INDEX(boss_input_vu_khi!$E$2:$E$71,MATCH($C$144,boss_input_vu_khi!$A$2:$A$71,0))&gt;0),INDEX(boss_input_vu_khi!$E$2:$E$71,MATCH($C$144,boss_input_vu_khi!$A$2:$A$71,0))/INDEX(input_xe_tham_chieu!$G$2:$G$6,MATCH($D$144,input_xe_tham_chieu!$A$2:$A$6,0)),"")</f>
        <v/>
      </c>
      <c r="R144">
        <f>IF(ISNUMBER($Q$144),IF($P$144&gt;=$Q$144,"DU","THIEU"),"")</f>
        <v/>
      </c>
      <c r="S144" t="inlineStr">
        <is>
          <t>Assets/MachineBrigade/Resources/Data/balance.json: vehicles[id=scylla].weapon x 01_chien_dau/Xe_tham_chieu[heavy_tank]</t>
        </is>
      </c>
      <c r="T144" t="inlineStr"/>
    </row>
    <row r="145">
      <c r="A145" t="inlineStr">
        <is>
          <t>scylla/ifv</t>
        </is>
      </c>
      <c r="B145" t="inlineStr">
        <is>
          <t>scylla</t>
        </is>
      </c>
      <c r="C145" t="inlineStr">
        <is>
          <t>naval_130_twin</t>
        </is>
      </c>
      <c r="D145" t="inlineStr">
        <is>
          <t>ifv</t>
        </is>
      </c>
      <c r="E145">
        <f>IF(INDEX(boss_input_vu_khi_suy_ra!$D$2:$D$71,MATCH($C$145,boss_input_vu_khi_suy_ra!$A$2:$A$71,0)),INDEX(input_xe_tham_chieu!$E$2:$E$6,MATCH($D$145,input_xe_tham_chieu!$A$2:$A$6,0)),INDEX(input_xe_tham_chieu!$D$2:$D$6,MATCH($D$145,input_xe_tham_chieu!$A$2:$A$6,0)))</f>
        <v/>
      </c>
      <c r="F145">
        <f>IF(INDEX(boss_input_vu_khi_suy_ra!$E$2:$E$71,MATCH($C$145,boss_input_vu_khi_suy_ra!$A$2:$A$71,0)),INDEX(boss_input_bang_xuyen_giap!$B$2:$B$7,MIN(6,MAX(1,IF(INDEX(boss_input_vu_khi_suy_ra!$D$2:$D$71,MATCH($C$145,boss_input_vu_khi_suy_ra!$A$2:$A$71,0)),MAX(1,2-(INDEX(boss_input_vu_khi!$C$2:$C$71,MATCH($C$145,boss_input_vu_khi!$A$2:$A$71,0))-$E$145)),2-(INDEX(boss_input_vu_khi!$C$2:$C$71,MATCH($C$145,boss_input_vu_khi!$A$2:$A$71,0))-$E$145))+1)))*IF(INDEX(input_xe_tham_chieu!$F$2:$F$6,MATCH($D$145,input_xe_tham_chieu!$A$2:$A$6,0)),INDEX(boss_input_vu_khi_suy_ra!$G$2:$G$71,MATCH($C$145,boss_input_vu_khi_suy_ra!$A$2:$A$71,0)),INDEX(boss_input_vu_khi_suy_ra!$F$2:$F$71,MATCH($C$145,boss_input_vu_khi_suy_ra!$A$2:$A$71,0))),0)</f>
        <v/>
      </c>
      <c r="G145" t="n">
        <v>1</v>
      </c>
      <c r="H145">
        <f>INDEX(boss_input_vu_khi!$B$2:$B$71,MATCH($C$145,boss_input_vu_khi!$A$2:$A$71,0))*INDEX(Boss_dps!$D$2:$D$32,MATCH($B$145,Boss_dps!$A$2:$A$32,0))*IF(INDEX(boss_input_vu_khi!$D$2:$D$71,MATCH($C$145,boss_input_vu_khi!$A$2:$A$71,0)),1,INDEX(Boss_dps!$B$2:$B$32,MATCH($B$145,Boss_dps!$A$2:$A$32,0)))*INDEX(Boss_dps!$C$2:$C$32,MATCH($B$145,Boss_dps!$A$2:$A$32,0))*$F$145</f>
        <v/>
      </c>
      <c r="I145" t="n">
        <v>739.579788</v>
      </c>
      <c r="J145">
        <f>IF($H$145&gt;0,CEILING(INDEX(input_xe_tham_chieu!$C$2:$C$6,MATCH($D$145,input_xe_tham_chieu!$A$2:$A$6,0))/$H$145,1),"")</f>
        <v/>
      </c>
      <c r="K145">
        <f>IF(Boss_vu_khi!$S$169*$F$145&gt;0,INDEX(input_xe_tham_chieu!$C$2:$C$6,MATCH($D$145,input_xe_tham_chieu!$A$2:$A$6,0))/(Boss_vu_khi!$S$169*INDEX(Boss_dps!$D$2:$D$32,MATCH($B$145,Boss_dps!$A$2:$A$32,0))*$F$145),"")</f>
        <v/>
      </c>
      <c r="L145">
        <f>1+2*MIN(2,FLOOR(INDEX(boss_input_vu_khi!$E$2:$E$71,MATCH($C$145,boss_input_vu_khi!$A$2:$A$71,0))/8,1))</f>
        <v/>
      </c>
      <c r="M145">
        <f>1+2*MIN(2,FLOOR(MAX(INDEX(boss_input_vu_khi!$E$2:$E$71,MATCH($C$145,boss_input_vu_khi!$A$2:$A$71,0)),Boss_vu_khi!$L$169)/8,1))</f>
        <v/>
      </c>
      <c r="N145">
        <f>IF(INDEX(boss_input_vu_khi!$E$2:$E$71,MATCH($C$145,boss_input_vu_khi!$A$2:$A$71,0))&gt;=8,5,1)</f>
        <v/>
      </c>
      <c r="O145">
        <f>IF(MAX(INDEX(boss_input_vu_khi!$E$2:$E$71,MATCH($C$145,boss_input_vu_khi!$A$2:$A$71,0)),Boss_vu_khi!$L$169)&gt;=8,5,1)</f>
        <v/>
      </c>
      <c r="P145">
        <f>INDEX(boss_input_vu_khi_suy_ra!$H$2:$H$71,MATCH($C$145,boss_input_vu_khi_suy_ra!$A$2:$A$71,0))</f>
        <v/>
      </c>
      <c r="Q145">
        <f>IF(AND(INDEX(input_xe_tham_chieu!$G$2:$G$6,MATCH($D$145,input_xe_tham_chieu!$A$2:$A$6,0))&gt;0,INDEX(boss_input_vu_khi!$E$2:$E$71,MATCH($C$145,boss_input_vu_khi!$A$2:$A$71,0))&gt;0),INDEX(boss_input_vu_khi!$E$2:$E$71,MATCH($C$145,boss_input_vu_khi!$A$2:$A$71,0))/INDEX(input_xe_tham_chieu!$G$2:$G$6,MATCH($D$145,input_xe_tham_chieu!$A$2:$A$6,0)),"")</f>
        <v/>
      </c>
      <c r="R145">
        <f>IF(ISNUMBER($Q$145),IF($P$145&gt;=$Q$145,"DU","THIEU"),"")</f>
        <v/>
      </c>
      <c r="S145" t="inlineStr">
        <is>
          <t>Assets/MachineBrigade/Resources/Data/balance.json: vehicles[id=scylla].weapon x 01_chien_dau/Xe_tham_chieu[ifv]</t>
        </is>
      </c>
      <c r="T145" t="inlineStr"/>
    </row>
    <row r="146">
      <c r="A146" t="inlineStr">
        <is>
          <t>scylla/main_battle_tank</t>
        </is>
      </c>
      <c r="B146" t="inlineStr">
        <is>
          <t>scylla</t>
        </is>
      </c>
      <c r="C146" t="inlineStr">
        <is>
          <t>naval_130_twin</t>
        </is>
      </c>
      <c r="D146" t="inlineStr">
        <is>
          <t>main_battle_tank</t>
        </is>
      </c>
      <c r="E146">
        <f>IF(INDEX(boss_input_vu_khi_suy_ra!$D$2:$D$71,MATCH($C$146,boss_input_vu_khi_suy_ra!$A$2:$A$71,0)),INDEX(input_xe_tham_chieu!$E$2:$E$6,MATCH($D$146,input_xe_tham_chieu!$A$2:$A$6,0)),INDEX(input_xe_tham_chieu!$D$2:$D$6,MATCH($D$146,input_xe_tham_chieu!$A$2:$A$6,0)))</f>
        <v/>
      </c>
      <c r="F146">
        <f>IF(INDEX(boss_input_vu_khi_suy_ra!$E$2:$E$71,MATCH($C$146,boss_input_vu_khi_suy_ra!$A$2:$A$71,0)),INDEX(boss_input_bang_xuyen_giap!$B$2:$B$7,MIN(6,MAX(1,IF(INDEX(boss_input_vu_khi_suy_ra!$D$2:$D$71,MATCH($C$146,boss_input_vu_khi_suy_ra!$A$2:$A$71,0)),MAX(1,2-(INDEX(boss_input_vu_khi!$C$2:$C$71,MATCH($C$146,boss_input_vu_khi!$A$2:$A$71,0))-$E$146)),2-(INDEX(boss_input_vu_khi!$C$2:$C$71,MATCH($C$146,boss_input_vu_khi!$A$2:$A$71,0))-$E$146))+1)))*IF(INDEX(input_xe_tham_chieu!$F$2:$F$6,MATCH($D$146,input_xe_tham_chieu!$A$2:$A$6,0)),INDEX(boss_input_vu_khi_suy_ra!$G$2:$G$71,MATCH($C$146,boss_input_vu_khi_suy_ra!$A$2:$A$71,0)),INDEX(boss_input_vu_khi_suy_ra!$F$2:$F$71,MATCH($C$146,boss_input_vu_khi_suy_ra!$A$2:$A$71,0))),0)</f>
        <v/>
      </c>
      <c r="G146" t="n">
        <v>0.5</v>
      </c>
      <c r="H146">
        <f>INDEX(boss_input_vu_khi!$B$2:$B$71,MATCH($C$146,boss_input_vu_khi!$A$2:$A$71,0))*INDEX(Boss_dps!$D$2:$D$32,MATCH($B$146,Boss_dps!$A$2:$A$32,0))*IF(INDEX(boss_input_vu_khi!$D$2:$D$71,MATCH($C$146,boss_input_vu_khi!$A$2:$A$71,0)),1,INDEX(Boss_dps!$B$2:$B$32,MATCH($B$146,Boss_dps!$A$2:$A$32,0)))*INDEX(Boss_dps!$C$2:$C$32,MATCH($B$146,Boss_dps!$A$2:$A$32,0))*$F$146</f>
        <v/>
      </c>
      <c r="I146" t="n">
        <v>369.789894</v>
      </c>
      <c r="J146">
        <f>IF($H$146&gt;0,CEILING(INDEX(input_xe_tham_chieu!$C$2:$C$6,MATCH($D$146,input_xe_tham_chieu!$A$2:$A$6,0))/$H$146,1),"")</f>
        <v/>
      </c>
      <c r="K146">
        <f>IF(Boss_vu_khi!$S$169*$F$146&gt;0,INDEX(input_xe_tham_chieu!$C$2:$C$6,MATCH($D$146,input_xe_tham_chieu!$A$2:$A$6,0))/(Boss_vu_khi!$S$169*INDEX(Boss_dps!$D$2:$D$32,MATCH($B$146,Boss_dps!$A$2:$A$32,0))*$F$146),"")</f>
        <v/>
      </c>
      <c r="L146">
        <f>1+2*MIN(2,FLOOR(INDEX(boss_input_vu_khi!$E$2:$E$71,MATCH($C$146,boss_input_vu_khi!$A$2:$A$71,0))/8,1))</f>
        <v/>
      </c>
      <c r="M146">
        <f>1+2*MIN(2,FLOOR(MAX(INDEX(boss_input_vu_khi!$E$2:$E$71,MATCH($C$146,boss_input_vu_khi!$A$2:$A$71,0)),Boss_vu_khi!$L$169)/8,1))</f>
        <v/>
      </c>
      <c r="N146">
        <f>IF(INDEX(boss_input_vu_khi!$E$2:$E$71,MATCH($C$146,boss_input_vu_khi!$A$2:$A$71,0))&gt;=8,5,1)</f>
        <v/>
      </c>
      <c r="O146">
        <f>IF(MAX(INDEX(boss_input_vu_khi!$E$2:$E$71,MATCH($C$146,boss_input_vu_khi!$A$2:$A$71,0)),Boss_vu_khi!$L$169)&gt;=8,5,1)</f>
        <v/>
      </c>
      <c r="P146">
        <f>INDEX(boss_input_vu_khi_suy_ra!$H$2:$H$71,MATCH($C$146,boss_input_vu_khi_suy_ra!$A$2:$A$71,0))</f>
        <v/>
      </c>
      <c r="Q146">
        <f>IF(AND(INDEX(input_xe_tham_chieu!$G$2:$G$6,MATCH($D$146,input_xe_tham_chieu!$A$2:$A$6,0))&gt;0,INDEX(boss_input_vu_khi!$E$2:$E$71,MATCH($C$146,boss_input_vu_khi!$A$2:$A$71,0))&gt;0),INDEX(boss_input_vu_khi!$E$2:$E$71,MATCH($C$146,boss_input_vu_khi!$A$2:$A$71,0))/INDEX(input_xe_tham_chieu!$G$2:$G$6,MATCH($D$146,input_xe_tham_chieu!$A$2:$A$6,0)),"")</f>
        <v/>
      </c>
      <c r="R146">
        <f>IF(ISNUMBER($Q$146),IF($P$146&gt;=$Q$146,"DU","THIEU"),"")</f>
        <v/>
      </c>
      <c r="S146" t="inlineStr">
        <is>
          <t>Assets/MachineBrigade/Resources/Data/balance.json: vehicles[id=scylla].weapon x 01_chien_dau/Xe_tham_chieu[main_battle_tank]</t>
        </is>
      </c>
      <c r="T146" t="inlineStr"/>
    </row>
    <row r="147">
      <c r="A147" t="inlineStr">
        <is>
          <t>silver_bug/armored_car</t>
        </is>
      </c>
      <c r="B147" t="inlineStr">
        <is>
          <t>silver_bug</t>
        </is>
      </c>
      <c r="C147" t="inlineStr">
        <is>
          <t>p26_icarus_sec_orbital_laser</t>
        </is>
      </c>
      <c r="D147" t="inlineStr">
        <is>
          <t>armored_car</t>
        </is>
      </c>
      <c r="E147">
        <f>IF(INDEX(boss_input_vu_khi_suy_ra!$D$2:$D$71,MATCH($C$147,boss_input_vu_khi_suy_ra!$A$2:$A$71,0)),INDEX(input_xe_tham_chieu!$E$2:$E$6,MATCH($D$147,input_xe_tham_chieu!$A$2:$A$6,0)),INDEX(input_xe_tham_chieu!$D$2:$D$6,MATCH($D$147,input_xe_tham_chieu!$A$2:$A$6,0)))</f>
        <v/>
      </c>
      <c r="F147">
        <f>IF(INDEX(boss_input_vu_khi_suy_ra!$E$2:$E$71,MATCH($C$147,boss_input_vu_khi_suy_ra!$A$2:$A$71,0)),INDEX(boss_input_bang_xuyen_giap!$B$2:$B$7,MIN(6,MAX(1,IF(INDEX(boss_input_vu_khi_suy_ra!$D$2:$D$71,MATCH($C$147,boss_input_vu_khi_suy_ra!$A$2:$A$71,0)),MAX(1,2-(INDEX(boss_input_vu_khi!$C$2:$C$71,MATCH($C$147,boss_input_vu_khi!$A$2:$A$71,0))-$E$147)),2-(INDEX(boss_input_vu_khi!$C$2:$C$71,MATCH($C$147,boss_input_vu_khi!$A$2:$A$71,0))-$E$147))+1)))*IF(INDEX(input_xe_tham_chieu!$F$2:$F$6,MATCH($D$147,input_xe_tham_chieu!$A$2:$A$6,0)),INDEX(boss_input_vu_khi_suy_ra!$G$2:$G$71,MATCH($C$147,boss_input_vu_khi_suy_ra!$A$2:$A$71,0)),INDEX(boss_input_vu_khi_suy_ra!$F$2:$F$71,MATCH($C$147,boss_input_vu_khi_suy_ra!$A$2:$A$71,0))),0)</f>
        <v/>
      </c>
      <c r="G147" t="n">
        <v>1.2</v>
      </c>
      <c r="H147">
        <f>INDEX(boss_input_vu_khi!$B$2:$B$71,MATCH($C$147,boss_input_vu_khi!$A$2:$A$71,0))*INDEX(Boss_dps!$D$2:$D$32,MATCH($B$147,Boss_dps!$A$2:$A$32,0))*IF(INDEX(boss_input_vu_khi!$D$2:$D$71,MATCH($C$147,boss_input_vu_khi!$A$2:$A$71,0)),1,INDEX(Boss_dps!$B$2:$B$32,MATCH($B$147,Boss_dps!$A$2:$A$32,0)))*INDEX(Boss_dps!$C$2:$C$32,MATCH($B$147,Boss_dps!$A$2:$A$32,0))*$F$147</f>
        <v/>
      </c>
      <c r="I147" t="n">
        <v>67.2</v>
      </c>
      <c r="J147">
        <f>IF($H$147&gt;0,CEILING(INDEX(input_xe_tham_chieu!$C$2:$C$6,MATCH($D$147,input_xe_tham_chieu!$A$2:$A$6,0))/$H$147,1),"")</f>
        <v/>
      </c>
      <c r="K147">
        <f>IF(Boss_vu_khi!$S$171*$F$147&gt;0,INDEX(input_xe_tham_chieu!$C$2:$C$6,MATCH($D$147,input_xe_tham_chieu!$A$2:$A$6,0))/(Boss_vu_khi!$S$171*INDEX(Boss_dps!$D$2:$D$32,MATCH($B$147,Boss_dps!$A$2:$A$32,0))*$F$147),"")</f>
        <v/>
      </c>
      <c r="L147">
        <f>1+2*MIN(2,FLOOR(INDEX(boss_input_vu_khi!$E$2:$E$71,MATCH($C$147,boss_input_vu_khi!$A$2:$A$71,0))/8,1))</f>
        <v/>
      </c>
      <c r="M147">
        <f>1+2*MIN(2,FLOOR(MAX(INDEX(boss_input_vu_khi!$E$2:$E$71,MATCH($C$147,boss_input_vu_khi!$A$2:$A$71,0)),Boss_vu_khi!$L$171)/8,1))</f>
        <v/>
      </c>
      <c r="N147">
        <f>IF(INDEX(boss_input_vu_khi!$E$2:$E$71,MATCH($C$147,boss_input_vu_khi!$A$2:$A$71,0))&gt;=8,5,1)</f>
        <v/>
      </c>
      <c r="O147">
        <f>IF(MAX(INDEX(boss_input_vu_khi!$E$2:$E$71,MATCH($C$147,boss_input_vu_khi!$A$2:$A$71,0)),Boss_vu_khi!$L$171)&gt;=8,5,1)</f>
        <v/>
      </c>
      <c r="P147">
        <f>INDEX(boss_input_vu_khi_suy_ra!$H$2:$H$71,MATCH($C$147,boss_input_vu_khi_suy_ra!$A$2:$A$71,0))</f>
        <v/>
      </c>
      <c r="Q147">
        <f>IF(AND(INDEX(input_xe_tham_chieu!$G$2:$G$6,MATCH($D$147,input_xe_tham_chieu!$A$2:$A$6,0))&gt;0,INDEX(boss_input_vu_khi!$E$2:$E$71,MATCH($C$147,boss_input_vu_khi!$A$2:$A$71,0))&gt;0),INDEX(boss_input_vu_khi!$E$2:$E$71,MATCH($C$147,boss_input_vu_khi!$A$2:$A$71,0))/INDEX(input_xe_tham_chieu!$G$2:$G$6,MATCH($D$147,input_xe_tham_chieu!$A$2:$A$6,0)),"")</f>
        <v/>
      </c>
      <c r="R147">
        <f>IF(ISNUMBER($Q$147),IF($P$147&gt;=$Q$147,"DU","THIEU"),"")</f>
        <v/>
      </c>
      <c r="S147" t="inlineStr">
        <is>
          <t>Assets/MachineBrigade/Resources/Data/balance.json: vehicles[id=silver_bug].weapon x 01_chien_dau/Xe_tham_chieu[armored_car]</t>
        </is>
      </c>
      <c r="T147" t="inlineStr"/>
    </row>
    <row r="148">
      <c r="A148" t="inlineStr">
        <is>
          <t>silver_bug/gun_turret</t>
        </is>
      </c>
      <c r="B148" t="inlineStr">
        <is>
          <t>silver_bug</t>
        </is>
      </c>
      <c r="C148" t="inlineStr">
        <is>
          <t>p26_icarus_sec_orbital_laser</t>
        </is>
      </c>
      <c r="D148" t="inlineStr">
        <is>
          <t>gun_turret</t>
        </is>
      </c>
      <c r="E148">
        <f>IF(INDEX(boss_input_vu_khi_suy_ra!$D$2:$D$71,MATCH($C$148,boss_input_vu_khi_suy_ra!$A$2:$A$71,0)),INDEX(input_xe_tham_chieu!$E$2:$E$6,MATCH($D$148,input_xe_tham_chieu!$A$2:$A$6,0)),INDEX(input_xe_tham_chieu!$D$2:$D$6,MATCH($D$148,input_xe_tham_chieu!$A$2:$A$6,0)))</f>
        <v/>
      </c>
      <c r="F148">
        <f>IF(INDEX(boss_input_vu_khi_suy_ra!$E$2:$E$71,MATCH($C$148,boss_input_vu_khi_suy_ra!$A$2:$A$71,0)),INDEX(boss_input_bang_xuyen_giap!$B$2:$B$7,MIN(6,MAX(1,IF(INDEX(boss_input_vu_khi_suy_ra!$D$2:$D$71,MATCH($C$148,boss_input_vu_khi_suy_ra!$A$2:$A$71,0)),MAX(1,2-(INDEX(boss_input_vu_khi!$C$2:$C$71,MATCH($C$148,boss_input_vu_khi!$A$2:$A$71,0))-$E$148)),2-(INDEX(boss_input_vu_khi!$C$2:$C$71,MATCH($C$148,boss_input_vu_khi!$A$2:$A$71,0))-$E$148))+1)))*IF(INDEX(input_xe_tham_chieu!$F$2:$F$6,MATCH($D$148,input_xe_tham_chieu!$A$2:$A$6,0)),INDEX(boss_input_vu_khi_suy_ra!$G$2:$G$71,MATCH($C$148,boss_input_vu_khi_suy_ra!$A$2:$A$71,0)),INDEX(boss_input_vu_khi_suy_ra!$F$2:$F$71,MATCH($C$148,boss_input_vu_khi_suy_ra!$A$2:$A$71,0))),0)</f>
        <v/>
      </c>
      <c r="G148" t="n">
        <v>0.5</v>
      </c>
      <c r="H148">
        <f>INDEX(boss_input_vu_khi!$B$2:$B$71,MATCH($C$148,boss_input_vu_khi!$A$2:$A$71,0))*INDEX(Boss_dps!$D$2:$D$32,MATCH($B$148,Boss_dps!$A$2:$A$32,0))*IF(INDEX(boss_input_vu_khi!$D$2:$D$71,MATCH($C$148,boss_input_vu_khi!$A$2:$A$71,0)),1,INDEX(Boss_dps!$B$2:$B$32,MATCH($B$148,Boss_dps!$A$2:$A$32,0)))*INDEX(Boss_dps!$C$2:$C$32,MATCH($B$148,Boss_dps!$A$2:$A$32,0))*$F$148</f>
        <v/>
      </c>
      <c r="I148" t="n">
        <v>28</v>
      </c>
      <c r="J148">
        <f>IF($H$148&gt;0,CEILING(INDEX(input_xe_tham_chieu!$C$2:$C$6,MATCH($D$148,input_xe_tham_chieu!$A$2:$A$6,0))/$H$148,1),"")</f>
        <v/>
      </c>
      <c r="K148">
        <f>IF(Boss_vu_khi!$S$171*$F$148&gt;0,INDEX(input_xe_tham_chieu!$C$2:$C$6,MATCH($D$148,input_xe_tham_chieu!$A$2:$A$6,0))/(Boss_vu_khi!$S$171*INDEX(Boss_dps!$D$2:$D$32,MATCH($B$148,Boss_dps!$A$2:$A$32,0))*$F$148),"")</f>
        <v/>
      </c>
      <c r="L148">
        <f>1+2*MIN(2,FLOOR(INDEX(boss_input_vu_khi!$E$2:$E$71,MATCH($C$148,boss_input_vu_khi!$A$2:$A$71,0))/8,1))</f>
        <v/>
      </c>
      <c r="M148">
        <f>1+2*MIN(2,FLOOR(MAX(INDEX(boss_input_vu_khi!$E$2:$E$71,MATCH($C$148,boss_input_vu_khi!$A$2:$A$71,0)),Boss_vu_khi!$L$171)/8,1))</f>
        <v/>
      </c>
      <c r="N148">
        <f>IF(INDEX(boss_input_vu_khi!$E$2:$E$71,MATCH($C$148,boss_input_vu_khi!$A$2:$A$71,0))&gt;=8,5,1)</f>
        <v/>
      </c>
      <c r="O148">
        <f>IF(MAX(INDEX(boss_input_vu_khi!$E$2:$E$71,MATCH($C$148,boss_input_vu_khi!$A$2:$A$71,0)),Boss_vu_khi!$L$171)&gt;=8,5,1)</f>
        <v/>
      </c>
      <c r="P148">
        <f>INDEX(boss_input_vu_khi_suy_ra!$H$2:$H$71,MATCH($C$148,boss_input_vu_khi_suy_ra!$A$2:$A$71,0))</f>
        <v/>
      </c>
      <c r="Q148">
        <f>IF(AND(INDEX(input_xe_tham_chieu!$G$2:$G$6,MATCH($D$148,input_xe_tham_chieu!$A$2:$A$6,0))&gt;0,INDEX(boss_input_vu_khi!$E$2:$E$71,MATCH($C$148,boss_input_vu_khi!$A$2:$A$71,0))&gt;0),INDEX(boss_input_vu_khi!$E$2:$E$71,MATCH($C$148,boss_input_vu_khi!$A$2:$A$71,0))/INDEX(input_xe_tham_chieu!$G$2:$G$6,MATCH($D$148,input_xe_tham_chieu!$A$2:$A$6,0)),"")</f>
        <v/>
      </c>
      <c r="R148">
        <f>IF(ISNUMBER($Q$148),IF($P$148&gt;=$Q$148,"DU","THIEU"),"")</f>
        <v/>
      </c>
      <c r="S148" t="inlineStr">
        <is>
          <t>Assets/MachineBrigade/Resources/Data/balance.json: vehicles[id=silver_bug].weapon x 01_chien_dau/Xe_tham_chieu[gun_turret]</t>
        </is>
      </c>
      <c r="T148" t="inlineStr"/>
    </row>
    <row r="149">
      <c r="A149" t="inlineStr">
        <is>
          <t>silver_bug/heavy_tank</t>
        </is>
      </c>
      <c r="B149" t="inlineStr">
        <is>
          <t>silver_bug</t>
        </is>
      </c>
      <c r="C149" t="inlineStr">
        <is>
          <t>p26_icarus_sec_orbital_laser</t>
        </is>
      </c>
      <c r="D149" t="inlineStr">
        <is>
          <t>heavy_tank</t>
        </is>
      </c>
      <c r="E149">
        <f>IF(INDEX(boss_input_vu_khi_suy_ra!$D$2:$D$71,MATCH($C$149,boss_input_vu_khi_suy_ra!$A$2:$A$71,0)),INDEX(input_xe_tham_chieu!$E$2:$E$6,MATCH($D$149,input_xe_tham_chieu!$A$2:$A$6,0)),INDEX(input_xe_tham_chieu!$D$2:$D$6,MATCH($D$149,input_xe_tham_chieu!$A$2:$A$6,0)))</f>
        <v/>
      </c>
      <c r="F149">
        <f>IF(INDEX(boss_input_vu_khi_suy_ra!$E$2:$E$71,MATCH($C$149,boss_input_vu_khi_suy_ra!$A$2:$A$71,0)),INDEX(boss_input_bang_xuyen_giap!$B$2:$B$7,MIN(6,MAX(1,IF(INDEX(boss_input_vu_khi_suy_ra!$D$2:$D$71,MATCH($C$149,boss_input_vu_khi_suy_ra!$A$2:$A$71,0)),MAX(1,2-(INDEX(boss_input_vu_khi!$C$2:$C$71,MATCH($C$149,boss_input_vu_khi!$A$2:$A$71,0))-$E$149)),2-(INDEX(boss_input_vu_khi!$C$2:$C$71,MATCH($C$149,boss_input_vu_khi!$A$2:$A$71,0))-$E$149))+1)))*IF(INDEX(input_xe_tham_chieu!$F$2:$F$6,MATCH($D$149,input_xe_tham_chieu!$A$2:$A$6,0)),INDEX(boss_input_vu_khi_suy_ra!$G$2:$G$71,MATCH($C$149,boss_input_vu_khi_suy_ra!$A$2:$A$71,0)),INDEX(boss_input_vu_khi_suy_ra!$F$2:$F$71,MATCH($C$149,boss_input_vu_khi_suy_ra!$A$2:$A$71,0))),0)</f>
        <v/>
      </c>
      <c r="G149" t="n">
        <v>0.85</v>
      </c>
      <c r="H149">
        <f>INDEX(boss_input_vu_khi!$B$2:$B$71,MATCH($C$149,boss_input_vu_khi!$A$2:$A$71,0))*INDEX(Boss_dps!$D$2:$D$32,MATCH($B$149,Boss_dps!$A$2:$A$32,0))*IF(INDEX(boss_input_vu_khi!$D$2:$D$71,MATCH($C$149,boss_input_vu_khi!$A$2:$A$71,0)),1,INDEX(Boss_dps!$B$2:$B$32,MATCH($B$149,Boss_dps!$A$2:$A$32,0)))*INDEX(Boss_dps!$C$2:$C$32,MATCH($B$149,Boss_dps!$A$2:$A$32,0))*$F$149</f>
        <v/>
      </c>
      <c r="I149" t="n">
        <v>47.6</v>
      </c>
      <c r="J149">
        <f>IF($H$149&gt;0,CEILING(INDEX(input_xe_tham_chieu!$C$2:$C$6,MATCH($D$149,input_xe_tham_chieu!$A$2:$A$6,0))/$H$149,1),"")</f>
        <v/>
      </c>
      <c r="K149">
        <f>IF(Boss_vu_khi!$S$171*$F$149&gt;0,INDEX(input_xe_tham_chieu!$C$2:$C$6,MATCH($D$149,input_xe_tham_chieu!$A$2:$A$6,0))/(Boss_vu_khi!$S$171*INDEX(Boss_dps!$D$2:$D$32,MATCH($B$149,Boss_dps!$A$2:$A$32,0))*$F$149),"")</f>
        <v/>
      </c>
      <c r="L149">
        <f>1+2*MIN(2,FLOOR(INDEX(boss_input_vu_khi!$E$2:$E$71,MATCH($C$149,boss_input_vu_khi!$A$2:$A$71,0))/8,1))</f>
        <v/>
      </c>
      <c r="M149">
        <f>1+2*MIN(2,FLOOR(MAX(INDEX(boss_input_vu_khi!$E$2:$E$71,MATCH($C$149,boss_input_vu_khi!$A$2:$A$71,0)),Boss_vu_khi!$L$171)/8,1))</f>
        <v/>
      </c>
      <c r="N149">
        <f>IF(INDEX(boss_input_vu_khi!$E$2:$E$71,MATCH($C$149,boss_input_vu_khi!$A$2:$A$71,0))&gt;=8,5,1)</f>
        <v/>
      </c>
      <c r="O149">
        <f>IF(MAX(INDEX(boss_input_vu_khi!$E$2:$E$71,MATCH($C$149,boss_input_vu_khi!$A$2:$A$71,0)),Boss_vu_khi!$L$171)&gt;=8,5,1)</f>
        <v/>
      </c>
      <c r="P149">
        <f>INDEX(boss_input_vu_khi_suy_ra!$H$2:$H$71,MATCH($C$149,boss_input_vu_khi_suy_ra!$A$2:$A$71,0))</f>
        <v/>
      </c>
      <c r="Q149">
        <f>IF(AND(INDEX(input_xe_tham_chieu!$G$2:$G$6,MATCH($D$149,input_xe_tham_chieu!$A$2:$A$6,0))&gt;0,INDEX(boss_input_vu_khi!$E$2:$E$71,MATCH($C$149,boss_input_vu_khi!$A$2:$A$71,0))&gt;0),INDEX(boss_input_vu_khi!$E$2:$E$71,MATCH($C$149,boss_input_vu_khi!$A$2:$A$71,0))/INDEX(input_xe_tham_chieu!$G$2:$G$6,MATCH($D$149,input_xe_tham_chieu!$A$2:$A$6,0)),"")</f>
        <v/>
      </c>
      <c r="R149">
        <f>IF(ISNUMBER($Q$149),IF($P$149&gt;=$Q$149,"DU","THIEU"),"")</f>
        <v/>
      </c>
      <c r="S149" t="inlineStr">
        <is>
          <t>Assets/MachineBrigade/Resources/Data/balance.json: vehicles[id=silver_bug].weapon x 01_chien_dau/Xe_tham_chieu[heavy_tank]</t>
        </is>
      </c>
      <c r="T149" t="inlineStr"/>
    </row>
    <row r="150">
      <c r="A150" t="inlineStr">
        <is>
          <t>silver_bug/ifv</t>
        </is>
      </c>
      <c r="B150" t="inlineStr">
        <is>
          <t>silver_bug</t>
        </is>
      </c>
      <c r="C150" t="inlineStr">
        <is>
          <t>p26_icarus_sec_orbital_laser</t>
        </is>
      </c>
      <c r="D150" t="inlineStr">
        <is>
          <t>ifv</t>
        </is>
      </c>
      <c r="E150">
        <f>IF(INDEX(boss_input_vu_khi_suy_ra!$D$2:$D$71,MATCH($C$150,boss_input_vu_khi_suy_ra!$A$2:$A$71,0)),INDEX(input_xe_tham_chieu!$E$2:$E$6,MATCH($D$150,input_xe_tham_chieu!$A$2:$A$6,0)),INDEX(input_xe_tham_chieu!$D$2:$D$6,MATCH($D$150,input_xe_tham_chieu!$A$2:$A$6,0)))</f>
        <v/>
      </c>
      <c r="F150">
        <f>IF(INDEX(boss_input_vu_khi_suy_ra!$E$2:$E$71,MATCH($C$150,boss_input_vu_khi_suy_ra!$A$2:$A$71,0)),INDEX(boss_input_bang_xuyen_giap!$B$2:$B$7,MIN(6,MAX(1,IF(INDEX(boss_input_vu_khi_suy_ra!$D$2:$D$71,MATCH($C$150,boss_input_vu_khi_suy_ra!$A$2:$A$71,0)),MAX(1,2-(INDEX(boss_input_vu_khi!$C$2:$C$71,MATCH($C$150,boss_input_vu_khi!$A$2:$A$71,0))-$E$150)),2-(INDEX(boss_input_vu_khi!$C$2:$C$71,MATCH($C$150,boss_input_vu_khi!$A$2:$A$71,0))-$E$150))+1)))*IF(INDEX(input_xe_tham_chieu!$F$2:$F$6,MATCH($D$150,input_xe_tham_chieu!$A$2:$A$6,0)),INDEX(boss_input_vu_khi_suy_ra!$G$2:$G$71,MATCH($C$150,boss_input_vu_khi_suy_ra!$A$2:$A$71,0)),INDEX(boss_input_vu_khi_suy_ra!$F$2:$F$71,MATCH($C$150,boss_input_vu_khi_suy_ra!$A$2:$A$71,0))),0)</f>
        <v/>
      </c>
      <c r="G150" t="n">
        <v>1.2</v>
      </c>
      <c r="H150">
        <f>INDEX(boss_input_vu_khi!$B$2:$B$71,MATCH($C$150,boss_input_vu_khi!$A$2:$A$71,0))*INDEX(Boss_dps!$D$2:$D$32,MATCH($B$150,Boss_dps!$A$2:$A$32,0))*IF(INDEX(boss_input_vu_khi!$D$2:$D$71,MATCH($C$150,boss_input_vu_khi!$A$2:$A$71,0)),1,INDEX(Boss_dps!$B$2:$B$32,MATCH($B$150,Boss_dps!$A$2:$A$32,0)))*INDEX(Boss_dps!$C$2:$C$32,MATCH($B$150,Boss_dps!$A$2:$A$32,0))*$F$150</f>
        <v/>
      </c>
      <c r="I150" t="n">
        <v>67.2</v>
      </c>
      <c r="J150">
        <f>IF($H$150&gt;0,CEILING(INDEX(input_xe_tham_chieu!$C$2:$C$6,MATCH($D$150,input_xe_tham_chieu!$A$2:$A$6,0))/$H$150,1),"")</f>
        <v/>
      </c>
      <c r="K150">
        <f>IF(Boss_vu_khi!$S$171*$F$150&gt;0,INDEX(input_xe_tham_chieu!$C$2:$C$6,MATCH($D$150,input_xe_tham_chieu!$A$2:$A$6,0))/(Boss_vu_khi!$S$171*INDEX(Boss_dps!$D$2:$D$32,MATCH($B$150,Boss_dps!$A$2:$A$32,0))*$F$150),"")</f>
        <v/>
      </c>
      <c r="L150">
        <f>1+2*MIN(2,FLOOR(INDEX(boss_input_vu_khi!$E$2:$E$71,MATCH($C$150,boss_input_vu_khi!$A$2:$A$71,0))/8,1))</f>
        <v/>
      </c>
      <c r="M150">
        <f>1+2*MIN(2,FLOOR(MAX(INDEX(boss_input_vu_khi!$E$2:$E$71,MATCH($C$150,boss_input_vu_khi!$A$2:$A$71,0)),Boss_vu_khi!$L$171)/8,1))</f>
        <v/>
      </c>
      <c r="N150">
        <f>IF(INDEX(boss_input_vu_khi!$E$2:$E$71,MATCH($C$150,boss_input_vu_khi!$A$2:$A$71,0))&gt;=8,5,1)</f>
        <v/>
      </c>
      <c r="O150">
        <f>IF(MAX(INDEX(boss_input_vu_khi!$E$2:$E$71,MATCH($C$150,boss_input_vu_khi!$A$2:$A$71,0)),Boss_vu_khi!$L$171)&gt;=8,5,1)</f>
        <v/>
      </c>
      <c r="P150">
        <f>INDEX(boss_input_vu_khi_suy_ra!$H$2:$H$71,MATCH($C$150,boss_input_vu_khi_suy_ra!$A$2:$A$71,0))</f>
        <v/>
      </c>
      <c r="Q150">
        <f>IF(AND(INDEX(input_xe_tham_chieu!$G$2:$G$6,MATCH($D$150,input_xe_tham_chieu!$A$2:$A$6,0))&gt;0,INDEX(boss_input_vu_khi!$E$2:$E$71,MATCH($C$150,boss_input_vu_khi!$A$2:$A$71,0))&gt;0),INDEX(boss_input_vu_khi!$E$2:$E$71,MATCH($C$150,boss_input_vu_khi!$A$2:$A$71,0))/INDEX(input_xe_tham_chieu!$G$2:$G$6,MATCH($D$150,input_xe_tham_chieu!$A$2:$A$6,0)),"")</f>
        <v/>
      </c>
      <c r="R150">
        <f>IF(ISNUMBER($Q$150),IF($P$150&gt;=$Q$150,"DU","THIEU"),"")</f>
        <v/>
      </c>
      <c r="S150" t="inlineStr">
        <is>
          <t>Assets/MachineBrigade/Resources/Data/balance.json: vehicles[id=silver_bug].weapon x 01_chien_dau/Xe_tham_chieu[ifv]</t>
        </is>
      </c>
      <c r="T150" t="inlineStr"/>
    </row>
    <row r="151">
      <c r="A151" t="inlineStr">
        <is>
          <t>silver_bug/main_battle_tank</t>
        </is>
      </c>
      <c r="B151" t="inlineStr">
        <is>
          <t>silver_bug</t>
        </is>
      </c>
      <c r="C151" t="inlineStr">
        <is>
          <t>p26_icarus_sec_orbital_laser</t>
        </is>
      </c>
      <c r="D151" t="inlineStr">
        <is>
          <t>main_battle_tank</t>
        </is>
      </c>
      <c r="E151">
        <f>IF(INDEX(boss_input_vu_khi_suy_ra!$D$2:$D$71,MATCH($C$151,boss_input_vu_khi_suy_ra!$A$2:$A$71,0)),INDEX(input_xe_tham_chieu!$E$2:$E$6,MATCH($D$151,input_xe_tham_chieu!$A$2:$A$6,0)),INDEX(input_xe_tham_chieu!$D$2:$D$6,MATCH($D$151,input_xe_tham_chieu!$A$2:$A$6,0)))</f>
        <v/>
      </c>
      <c r="F151">
        <f>IF(INDEX(boss_input_vu_khi_suy_ra!$E$2:$E$71,MATCH($C$151,boss_input_vu_khi_suy_ra!$A$2:$A$71,0)),INDEX(boss_input_bang_xuyen_giap!$B$2:$B$7,MIN(6,MAX(1,IF(INDEX(boss_input_vu_khi_suy_ra!$D$2:$D$71,MATCH($C$151,boss_input_vu_khi_suy_ra!$A$2:$A$71,0)),MAX(1,2-(INDEX(boss_input_vu_khi!$C$2:$C$71,MATCH($C$151,boss_input_vu_khi!$A$2:$A$71,0))-$E$151)),2-(INDEX(boss_input_vu_khi!$C$2:$C$71,MATCH($C$151,boss_input_vu_khi!$A$2:$A$71,0))-$E$151))+1)))*IF(INDEX(input_xe_tham_chieu!$F$2:$F$6,MATCH($D$151,input_xe_tham_chieu!$A$2:$A$6,0)),INDEX(boss_input_vu_khi_suy_ra!$G$2:$G$71,MATCH($C$151,boss_input_vu_khi_suy_ra!$A$2:$A$71,0)),INDEX(boss_input_vu_khi_suy_ra!$F$2:$F$71,MATCH($C$151,boss_input_vu_khi_suy_ra!$A$2:$A$71,0))),0)</f>
        <v/>
      </c>
      <c r="G151" t="n">
        <v>0.85</v>
      </c>
      <c r="H151">
        <f>INDEX(boss_input_vu_khi!$B$2:$B$71,MATCH($C$151,boss_input_vu_khi!$A$2:$A$71,0))*INDEX(Boss_dps!$D$2:$D$32,MATCH($B$151,Boss_dps!$A$2:$A$32,0))*IF(INDEX(boss_input_vu_khi!$D$2:$D$71,MATCH($C$151,boss_input_vu_khi!$A$2:$A$71,0)),1,INDEX(Boss_dps!$B$2:$B$32,MATCH($B$151,Boss_dps!$A$2:$A$32,0)))*INDEX(Boss_dps!$C$2:$C$32,MATCH($B$151,Boss_dps!$A$2:$A$32,0))*$F$151</f>
        <v/>
      </c>
      <c r="I151" t="n">
        <v>47.6</v>
      </c>
      <c r="J151">
        <f>IF($H$151&gt;0,CEILING(INDEX(input_xe_tham_chieu!$C$2:$C$6,MATCH($D$151,input_xe_tham_chieu!$A$2:$A$6,0))/$H$151,1),"")</f>
        <v/>
      </c>
      <c r="K151">
        <f>IF(Boss_vu_khi!$S$171*$F$151&gt;0,INDEX(input_xe_tham_chieu!$C$2:$C$6,MATCH($D$151,input_xe_tham_chieu!$A$2:$A$6,0))/(Boss_vu_khi!$S$171*INDEX(Boss_dps!$D$2:$D$32,MATCH($B$151,Boss_dps!$A$2:$A$32,0))*$F$151),"")</f>
        <v/>
      </c>
      <c r="L151">
        <f>1+2*MIN(2,FLOOR(INDEX(boss_input_vu_khi!$E$2:$E$71,MATCH($C$151,boss_input_vu_khi!$A$2:$A$71,0))/8,1))</f>
        <v/>
      </c>
      <c r="M151">
        <f>1+2*MIN(2,FLOOR(MAX(INDEX(boss_input_vu_khi!$E$2:$E$71,MATCH($C$151,boss_input_vu_khi!$A$2:$A$71,0)),Boss_vu_khi!$L$171)/8,1))</f>
        <v/>
      </c>
      <c r="N151">
        <f>IF(INDEX(boss_input_vu_khi!$E$2:$E$71,MATCH($C$151,boss_input_vu_khi!$A$2:$A$71,0))&gt;=8,5,1)</f>
        <v/>
      </c>
      <c r="O151">
        <f>IF(MAX(INDEX(boss_input_vu_khi!$E$2:$E$71,MATCH($C$151,boss_input_vu_khi!$A$2:$A$71,0)),Boss_vu_khi!$L$171)&gt;=8,5,1)</f>
        <v/>
      </c>
      <c r="P151">
        <f>INDEX(boss_input_vu_khi_suy_ra!$H$2:$H$71,MATCH($C$151,boss_input_vu_khi_suy_ra!$A$2:$A$71,0))</f>
        <v/>
      </c>
      <c r="Q151">
        <f>IF(AND(INDEX(input_xe_tham_chieu!$G$2:$G$6,MATCH($D$151,input_xe_tham_chieu!$A$2:$A$6,0))&gt;0,INDEX(boss_input_vu_khi!$E$2:$E$71,MATCH($C$151,boss_input_vu_khi!$A$2:$A$71,0))&gt;0),INDEX(boss_input_vu_khi!$E$2:$E$71,MATCH($C$151,boss_input_vu_khi!$A$2:$A$71,0))/INDEX(input_xe_tham_chieu!$G$2:$G$6,MATCH($D$151,input_xe_tham_chieu!$A$2:$A$6,0)),"")</f>
        <v/>
      </c>
      <c r="R151">
        <f>IF(ISNUMBER($Q$151),IF($P$151&gt;=$Q$151,"DU","THIEU"),"")</f>
        <v/>
      </c>
      <c r="S151" t="inlineStr">
        <is>
          <t>Assets/MachineBrigade/Resources/Data/balance.json: vehicles[id=silver_bug].weapon x 01_chien_dau/Xe_tham_chieu[main_battle_tank]</t>
        </is>
      </c>
      <c r="T151" t="inlineStr"/>
    </row>
    <row r="152">
      <c r="A152" t="inlineStr">
        <is>
          <t>typhon/armored_car</t>
        </is>
      </c>
      <c r="B152" t="inlineStr">
        <is>
          <t>typhon</t>
        </is>
      </c>
      <c r="C152" t="inlineStr">
        <is>
          <t>sam_post</t>
        </is>
      </c>
      <c r="D152" t="inlineStr">
        <is>
          <t>armored_car</t>
        </is>
      </c>
      <c r="E152">
        <f>IF(INDEX(boss_input_vu_khi_suy_ra!$D$2:$D$71,MATCH($C$152,boss_input_vu_khi_suy_ra!$A$2:$A$71,0)),INDEX(input_xe_tham_chieu!$E$2:$E$6,MATCH($D$152,input_xe_tham_chieu!$A$2:$A$6,0)),INDEX(input_xe_tham_chieu!$D$2:$D$6,MATCH($D$152,input_xe_tham_chieu!$A$2:$A$6,0)))</f>
        <v/>
      </c>
      <c r="F152">
        <f>IF(INDEX(boss_input_vu_khi_suy_ra!$E$2:$E$71,MATCH($C$152,boss_input_vu_khi_suy_ra!$A$2:$A$71,0)),INDEX(boss_input_bang_xuyen_giap!$B$2:$B$7,MIN(6,MAX(1,IF(INDEX(boss_input_vu_khi_suy_ra!$D$2:$D$71,MATCH($C$152,boss_input_vu_khi_suy_ra!$A$2:$A$71,0)),MAX(1,2-(INDEX(boss_input_vu_khi!$C$2:$C$71,MATCH($C$152,boss_input_vu_khi!$A$2:$A$71,0))-$E$152)),2-(INDEX(boss_input_vu_khi!$C$2:$C$71,MATCH($C$152,boss_input_vu_khi!$A$2:$A$71,0))-$E$152))+1)))*IF(INDEX(input_xe_tham_chieu!$F$2:$F$6,MATCH($D$152,input_xe_tham_chieu!$A$2:$A$6,0)),INDEX(boss_input_vu_khi_suy_ra!$G$2:$G$71,MATCH($C$152,boss_input_vu_khi_suy_ra!$A$2:$A$71,0)),INDEX(boss_input_vu_khi_suy_ra!$F$2:$F$71,MATCH($C$152,boss_input_vu_khi_suy_ra!$A$2:$A$71,0))),0)</f>
        <v/>
      </c>
      <c r="G152" t="n">
        <v>0</v>
      </c>
      <c r="H152">
        <f>INDEX(boss_input_vu_khi!$B$2:$B$71,MATCH($C$152,boss_input_vu_khi!$A$2:$A$71,0))*INDEX(Boss_dps!$D$2:$D$32,MATCH($B$152,Boss_dps!$A$2:$A$32,0))*IF(INDEX(boss_input_vu_khi!$D$2:$D$71,MATCH($C$152,boss_input_vu_khi!$A$2:$A$71,0)),1,INDEX(Boss_dps!$B$2:$B$32,MATCH($B$152,Boss_dps!$A$2:$A$32,0)))*INDEX(Boss_dps!$C$2:$C$32,MATCH($B$152,Boss_dps!$A$2:$A$32,0))*$F$152</f>
        <v/>
      </c>
      <c r="I152" t="n">
        <v>0</v>
      </c>
      <c r="J152">
        <f>IF($H$152&gt;0,CEILING(INDEX(input_xe_tham_chieu!$C$2:$C$6,MATCH($D$152,input_xe_tham_chieu!$A$2:$A$6,0))/$H$152,1),"")</f>
        <v/>
      </c>
      <c r="K152">
        <f>IF(Boss_vu_khi!$S$178*$F$152&gt;0,INDEX(input_xe_tham_chieu!$C$2:$C$6,MATCH($D$152,input_xe_tham_chieu!$A$2:$A$6,0))/(Boss_vu_khi!$S$178*INDEX(Boss_dps!$D$2:$D$32,MATCH($B$152,Boss_dps!$A$2:$A$32,0))*$F$152),"")</f>
        <v/>
      </c>
      <c r="L152">
        <f>1+2*MIN(2,FLOOR(INDEX(boss_input_vu_khi!$E$2:$E$71,MATCH($C$152,boss_input_vu_khi!$A$2:$A$71,0))/8,1))</f>
        <v/>
      </c>
      <c r="M152">
        <f>1+2*MIN(2,FLOOR(MAX(INDEX(boss_input_vu_khi!$E$2:$E$71,MATCH($C$152,boss_input_vu_khi!$A$2:$A$71,0)),Boss_vu_khi!$L$178)/8,1))</f>
        <v/>
      </c>
      <c r="N152">
        <f>IF(INDEX(boss_input_vu_khi!$E$2:$E$71,MATCH($C$152,boss_input_vu_khi!$A$2:$A$71,0))&gt;=8,5,1)</f>
        <v/>
      </c>
      <c r="O152">
        <f>IF(MAX(INDEX(boss_input_vu_khi!$E$2:$E$71,MATCH($C$152,boss_input_vu_khi!$A$2:$A$71,0)),Boss_vu_khi!$L$178)&gt;=8,5,1)</f>
        <v/>
      </c>
      <c r="P152">
        <f>INDEX(boss_input_vu_khi_suy_ra!$H$2:$H$71,MATCH($C$152,boss_input_vu_khi_suy_ra!$A$2:$A$71,0))</f>
        <v/>
      </c>
      <c r="Q152">
        <f>IF(AND(INDEX(input_xe_tham_chieu!$G$2:$G$6,MATCH($D$152,input_xe_tham_chieu!$A$2:$A$6,0))&gt;0,INDEX(boss_input_vu_khi!$E$2:$E$71,MATCH($C$152,boss_input_vu_khi!$A$2:$A$71,0))&gt;0),INDEX(boss_input_vu_khi!$E$2:$E$71,MATCH($C$152,boss_input_vu_khi!$A$2:$A$71,0))/INDEX(input_xe_tham_chieu!$G$2:$G$6,MATCH($D$152,input_xe_tham_chieu!$A$2:$A$6,0)),"")</f>
        <v/>
      </c>
      <c r="R152">
        <f>IF(ISNUMBER($Q$152),IF($P$152&gt;=$Q$152,"DU","THIEU"),"")</f>
        <v/>
      </c>
      <c r="S152" t="inlineStr">
        <is>
          <t>Assets/MachineBrigade/Resources/Data/balance.json: vehicles[id=typhon].weapon x 01_chien_dau/Xe_tham_chieu[armored_car]</t>
        </is>
      </c>
      <c r="T152" t="inlineStr"/>
    </row>
    <row r="153">
      <c r="A153" t="inlineStr">
        <is>
          <t>typhon/gun_turret</t>
        </is>
      </c>
      <c r="B153" t="inlineStr">
        <is>
          <t>typhon</t>
        </is>
      </c>
      <c r="C153" t="inlineStr">
        <is>
          <t>sam_post</t>
        </is>
      </c>
      <c r="D153" t="inlineStr">
        <is>
          <t>gun_turret</t>
        </is>
      </c>
      <c r="E153">
        <f>IF(INDEX(boss_input_vu_khi_suy_ra!$D$2:$D$71,MATCH($C$153,boss_input_vu_khi_suy_ra!$A$2:$A$71,0)),INDEX(input_xe_tham_chieu!$E$2:$E$6,MATCH($D$153,input_xe_tham_chieu!$A$2:$A$6,0)),INDEX(input_xe_tham_chieu!$D$2:$D$6,MATCH($D$153,input_xe_tham_chieu!$A$2:$A$6,0)))</f>
        <v/>
      </c>
      <c r="F153">
        <f>IF(INDEX(boss_input_vu_khi_suy_ra!$E$2:$E$71,MATCH($C$153,boss_input_vu_khi_suy_ra!$A$2:$A$71,0)),INDEX(boss_input_bang_xuyen_giap!$B$2:$B$7,MIN(6,MAX(1,IF(INDEX(boss_input_vu_khi_suy_ra!$D$2:$D$71,MATCH($C$153,boss_input_vu_khi_suy_ra!$A$2:$A$71,0)),MAX(1,2-(INDEX(boss_input_vu_khi!$C$2:$C$71,MATCH($C$153,boss_input_vu_khi!$A$2:$A$71,0))-$E$153)),2-(INDEX(boss_input_vu_khi!$C$2:$C$71,MATCH($C$153,boss_input_vu_khi!$A$2:$A$71,0))-$E$153))+1)))*IF(INDEX(input_xe_tham_chieu!$F$2:$F$6,MATCH($D$153,input_xe_tham_chieu!$A$2:$A$6,0)),INDEX(boss_input_vu_khi_suy_ra!$G$2:$G$71,MATCH($C$153,boss_input_vu_khi_suy_ra!$A$2:$A$71,0)),INDEX(boss_input_vu_khi_suy_ra!$F$2:$F$71,MATCH($C$153,boss_input_vu_khi_suy_ra!$A$2:$A$71,0))),0)</f>
        <v/>
      </c>
      <c r="G153" t="n">
        <v>0</v>
      </c>
      <c r="H153">
        <f>INDEX(boss_input_vu_khi!$B$2:$B$71,MATCH($C$153,boss_input_vu_khi!$A$2:$A$71,0))*INDEX(Boss_dps!$D$2:$D$32,MATCH($B$153,Boss_dps!$A$2:$A$32,0))*IF(INDEX(boss_input_vu_khi!$D$2:$D$71,MATCH($C$153,boss_input_vu_khi!$A$2:$A$71,0)),1,INDEX(Boss_dps!$B$2:$B$32,MATCH($B$153,Boss_dps!$A$2:$A$32,0)))*INDEX(Boss_dps!$C$2:$C$32,MATCH($B$153,Boss_dps!$A$2:$A$32,0))*$F$153</f>
        <v/>
      </c>
      <c r="I153" t="n">
        <v>0</v>
      </c>
      <c r="J153">
        <f>IF($H$153&gt;0,CEILING(INDEX(input_xe_tham_chieu!$C$2:$C$6,MATCH($D$153,input_xe_tham_chieu!$A$2:$A$6,0))/$H$153,1),"")</f>
        <v/>
      </c>
      <c r="K153">
        <f>IF(Boss_vu_khi!$S$178*$F$153&gt;0,INDEX(input_xe_tham_chieu!$C$2:$C$6,MATCH($D$153,input_xe_tham_chieu!$A$2:$A$6,0))/(Boss_vu_khi!$S$178*INDEX(Boss_dps!$D$2:$D$32,MATCH($B$153,Boss_dps!$A$2:$A$32,0))*$F$153),"")</f>
        <v/>
      </c>
      <c r="L153">
        <f>1+2*MIN(2,FLOOR(INDEX(boss_input_vu_khi!$E$2:$E$71,MATCH($C$153,boss_input_vu_khi!$A$2:$A$71,0))/8,1))</f>
        <v/>
      </c>
      <c r="M153">
        <f>1+2*MIN(2,FLOOR(MAX(INDEX(boss_input_vu_khi!$E$2:$E$71,MATCH($C$153,boss_input_vu_khi!$A$2:$A$71,0)),Boss_vu_khi!$L$178)/8,1))</f>
        <v/>
      </c>
      <c r="N153">
        <f>IF(INDEX(boss_input_vu_khi!$E$2:$E$71,MATCH($C$153,boss_input_vu_khi!$A$2:$A$71,0))&gt;=8,5,1)</f>
        <v/>
      </c>
      <c r="O153">
        <f>IF(MAX(INDEX(boss_input_vu_khi!$E$2:$E$71,MATCH($C$153,boss_input_vu_khi!$A$2:$A$71,0)),Boss_vu_khi!$L$178)&gt;=8,5,1)</f>
        <v/>
      </c>
      <c r="P153">
        <f>INDEX(boss_input_vu_khi_suy_ra!$H$2:$H$71,MATCH($C$153,boss_input_vu_khi_suy_ra!$A$2:$A$71,0))</f>
        <v/>
      </c>
      <c r="Q153">
        <f>IF(AND(INDEX(input_xe_tham_chieu!$G$2:$G$6,MATCH($D$153,input_xe_tham_chieu!$A$2:$A$6,0))&gt;0,INDEX(boss_input_vu_khi!$E$2:$E$71,MATCH($C$153,boss_input_vu_khi!$A$2:$A$71,0))&gt;0),INDEX(boss_input_vu_khi!$E$2:$E$71,MATCH($C$153,boss_input_vu_khi!$A$2:$A$71,0))/INDEX(input_xe_tham_chieu!$G$2:$G$6,MATCH($D$153,input_xe_tham_chieu!$A$2:$A$6,0)),"")</f>
        <v/>
      </c>
      <c r="R153">
        <f>IF(ISNUMBER($Q$153),IF($P$153&gt;=$Q$153,"DU","THIEU"),"")</f>
        <v/>
      </c>
      <c r="S153" t="inlineStr">
        <is>
          <t>Assets/MachineBrigade/Resources/Data/balance.json: vehicles[id=typhon].weapon x 01_chien_dau/Xe_tham_chieu[gun_turret]</t>
        </is>
      </c>
      <c r="T153" t="inlineStr"/>
    </row>
    <row r="154">
      <c r="A154" t="inlineStr">
        <is>
          <t>typhon/heavy_tank</t>
        </is>
      </c>
      <c r="B154" t="inlineStr">
        <is>
          <t>typhon</t>
        </is>
      </c>
      <c r="C154" t="inlineStr">
        <is>
          <t>sam_post</t>
        </is>
      </c>
      <c r="D154" t="inlineStr">
        <is>
          <t>heavy_tank</t>
        </is>
      </c>
      <c r="E154">
        <f>IF(INDEX(boss_input_vu_khi_suy_ra!$D$2:$D$71,MATCH($C$154,boss_input_vu_khi_suy_ra!$A$2:$A$71,0)),INDEX(input_xe_tham_chieu!$E$2:$E$6,MATCH($D$154,input_xe_tham_chieu!$A$2:$A$6,0)),INDEX(input_xe_tham_chieu!$D$2:$D$6,MATCH($D$154,input_xe_tham_chieu!$A$2:$A$6,0)))</f>
        <v/>
      </c>
      <c r="F154">
        <f>IF(INDEX(boss_input_vu_khi_suy_ra!$E$2:$E$71,MATCH($C$154,boss_input_vu_khi_suy_ra!$A$2:$A$71,0)),INDEX(boss_input_bang_xuyen_giap!$B$2:$B$7,MIN(6,MAX(1,IF(INDEX(boss_input_vu_khi_suy_ra!$D$2:$D$71,MATCH($C$154,boss_input_vu_khi_suy_ra!$A$2:$A$71,0)),MAX(1,2-(INDEX(boss_input_vu_khi!$C$2:$C$71,MATCH($C$154,boss_input_vu_khi!$A$2:$A$71,0))-$E$154)),2-(INDEX(boss_input_vu_khi!$C$2:$C$71,MATCH($C$154,boss_input_vu_khi!$A$2:$A$71,0))-$E$154))+1)))*IF(INDEX(input_xe_tham_chieu!$F$2:$F$6,MATCH($D$154,input_xe_tham_chieu!$A$2:$A$6,0)),INDEX(boss_input_vu_khi_suy_ra!$G$2:$G$71,MATCH($C$154,boss_input_vu_khi_suy_ra!$A$2:$A$71,0)),INDEX(boss_input_vu_khi_suy_ra!$F$2:$F$71,MATCH($C$154,boss_input_vu_khi_suy_ra!$A$2:$A$71,0))),0)</f>
        <v/>
      </c>
      <c r="G154" t="n">
        <v>0</v>
      </c>
      <c r="H154">
        <f>INDEX(boss_input_vu_khi!$B$2:$B$71,MATCH($C$154,boss_input_vu_khi!$A$2:$A$71,0))*INDEX(Boss_dps!$D$2:$D$32,MATCH($B$154,Boss_dps!$A$2:$A$32,0))*IF(INDEX(boss_input_vu_khi!$D$2:$D$71,MATCH($C$154,boss_input_vu_khi!$A$2:$A$71,0)),1,INDEX(Boss_dps!$B$2:$B$32,MATCH($B$154,Boss_dps!$A$2:$A$32,0)))*INDEX(Boss_dps!$C$2:$C$32,MATCH($B$154,Boss_dps!$A$2:$A$32,0))*$F$154</f>
        <v/>
      </c>
      <c r="I154" t="n">
        <v>0</v>
      </c>
      <c r="J154">
        <f>IF($H$154&gt;0,CEILING(INDEX(input_xe_tham_chieu!$C$2:$C$6,MATCH($D$154,input_xe_tham_chieu!$A$2:$A$6,0))/$H$154,1),"")</f>
        <v/>
      </c>
      <c r="K154">
        <f>IF(Boss_vu_khi!$S$178*$F$154&gt;0,INDEX(input_xe_tham_chieu!$C$2:$C$6,MATCH($D$154,input_xe_tham_chieu!$A$2:$A$6,0))/(Boss_vu_khi!$S$178*INDEX(Boss_dps!$D$2:$D$32,MATCH($B$154,Boss_dps!$A$2:$A$32,0))*$F$154),"")</f>
        <v/>
      </c>
      <c r="L154">
        <f>1+2*MIN(2,FLOOR(INDEX(boss_input_vu_khi!$E$2:$E$71,MATCH($C$154,boss_input_vu_khi!$A$2:$A$71,0))/8,1))</f>
        <v/>
      </c>
      <c r="M154">
        <f>1+2*MIN(2,FLOOR(MAX(INDEX(boss_input_vu_khi!$E$2:$E$71,MATCH($C$154,boss_input_vu_khi!$A$2:$A$71,0)),Boss_vu_khi!$L$178)/8,1))</f>
        <v/>
      </c>
      <c r="N154">
        <f>IF(INDEX(boss_input_vu_khi!$E$2:$E$71,MATCH($C$154,boss_input_vu_khi!$A$2:$A$71,0))&gt;=8,5,1)</f>
        <v/>
      </c>
      <c r="O154">
        <f>IF(MAX(INDEX(boss_input_vu_khi!$E$2:$E$71,MATCH($C$154,boss_input_vu_khi!$A$2:$A$71,0)),Boss_vu_khi!$L$178)&gt;=8,5,1)</f>
        <v/>
      </c>
      <c r="P154">
        <f>INDEX(boss_input_vu_khi_suy_ra!$H$2:$H$71,MATCH($C$154,boss_input_vu_khi_suy_ra!$A$2:$A$71,0))</f>
        <v/>
      </c>
      <c r="Q154">
        <f>IF(AND(INDEX(input_xe_tham_chieu!$G$2:$G$6,MATCH($D$154,input_xe_tham_chieu!$A$2:$A$6,0))&gt;0,INDEX(boss_input_vu_khi!$E$2:$E$71,MATCH($C$154,boss_input_vu_khi!$A$2:$A$71,0))&gt;0),INDEX(boss_input_vu_khi!$E$2:$E$71,MATCH($C$154,boss_input_vu_khi!$A$2:$A$71,0))/INDEX(input_xe_tham_chieu!$G$2:$G$6,MATCH($D$154,input_xe_tham_chieu!$A$2:$A$6,0)),"")</f>
        <v/>
      </c>
      <c r="R154">
        <f>IF(ISNUMBER($Q$154),IF($P$154&gt;=$Q$154,"DU","THIEU"),"")</f>
        <v/>
      </c>
      <c r="S154" t="inlineStr">
        <is>
          <t>Assets/MachineBrigade/Resources/Data/balance.json: vehicles[id=typhon].weapon x 01_chien_dau/Xe_tham_chieu[heavy_tank]</t>
        </is>
      </c>
      <c r="T154" t="inlineStr"/>
    </row>
    <row r="155">
      <c r="A155" t="inlineStr">
        <is>
          <t>typhon/ifv</t>
        </is>
      </c>
      <c r="B155" t="inlineStr">
        <is>
          <t>typhon</t>
        </is>
      </c>
      <c r="C155" t="inlineStr">
        <is>
          <t>sam_post</t>
        </is>
      </c>
      <c r="D155" t="inlineStr">
        <is>
          <t>ifv</t>
        </is>
      </c>
      <c r="E155">
        <f>IF(INDEX(boss_input_vu_khi_suy_ra!$D$2:$D$71,MATCH($C$155,boss_input_vu_khi_suy_ra!$A$2:$A$71,0)),INDEX(input_xe_tham_chieu!$E$2:$E$6,MATCH($D$155,input_xe_tham_chieu!$A$2:$A$6,0)),INDEX(input_xe_tham_chieu!$D$2:$D$6,MATCH($D$155,input_xe_tham_chieu!$A$2:$A$6,0)))</f>
        <v/>
      </c>
      <c r="F155">
        <f>IF(INDEX(boss_input_vu_khi_suy_ra!$E$2:$E$71,MATCH($C$155,boss_input_vu_khi_suy_ra!$A$2:$A$71,0)),INDEX(boss_input_bang_xuyen_giap!$B$2:$B$7,MIN(6,MAX(1,IF(INDEX(boss_input_vu_khi_suy_ra!$D$2:$D$71,MATCH($C$155,boss_input_vu_khi_suy_ra!$A$2:$A$71,0)),MAX(1,2-(INDEX(boss_input_vu_khi!$C$2:$C$71,MATCH($C$155,boss_input_vu_khi!$A$2:$A$71,0))-$E$155)),2-(INDEX(boss_input_vu_khi!$C$2:$C$71,MATCH($C$155,boss_input_vu_khi!$A$2:$A$71,0))-$E$155))+1)))*IF(INDEX(input_xe_tham_chieu!$F$2:$F$6,MATCH($D$155,input_xe_tham_chieu!$A$2:$A$6,0)),INDEX(boss_input_vu_khi_suy_ra!$G$2:$G$71,MATCH($C$155,boss_input_vu_khi_suy_ra!$A$2:$A$71,0)),INDEX(boss_input_vu_khi_suy_ra!$F$2:$F$71,MATCH($C$155,boss_input_vu_khi_suy_ra!$A$2:$A$71,0))),0)</f>
        <v/>
      </c>
      <c r="G155" t="n">
        <v>0</v>
      </c>
      <c r="H155">
        <f>INDEX(boss_input_vu_khi!$B$2:$B$71,MATCH($C$155,boss_input_vu_khi!$A$2:$A$71,0))*INDEX(Boss_dps!$D$2:$D$32,MATCH($B$155,Boss_dps!$A$2:$A$32,0))*IF(INDEX(boss_input_vu_khi!$D$2:$D$71,MATCH($C$155,boss_input_vu_khi!$A$2:$A$71,0)),1,INDEX(Boss_dps!$B$2:$B$32,MATCH($B$155,Boss_dps!$A$2:$A$32,0)))*INDEX(Boss_dps!$C$2:$C$32,MATCH($B$155,Boss_dps!$A$2:$A$32,0))*$F$155</f>
        <v/>
      </c>
      <c r="I155" t="n">
        <v>0</v>
      </c>
      <c r="J155">
        <f>IF($H$155&gt;0,CEILING(INDEX(input_xe_tham_chieu!$C$2:$C$6,MATCH($D$155,input_xe_tham_chieu!$A$2:$A$6,0))/$H$155,1),"")</f>
        <v/>
      </c>
      <c r="K155">
        <f>IF(Boss_vu_khi!$S$178*$F$155&gt;0,INDEX(input_xe_tham_chieu!$C$2:$C$6,MATCH($D$155,input_xe_tham_chieu!$A$2:$A$6,0))/(Boss_vu_khi!$S$178*INDEX(Boss_dps!$D$2:$D$32,MATCH($B$155,Boss_dps!$A$2:$A$32,0))*$F$155),"")</f>
        <v/>
      </c>
      <c r="L155">
        <f>1+2*MIN(2,FLOOR(INDEX(boss_input_vu_khi!$E$2:$E$71,MATCH($C$155,boss_input_vu_khi!$A$2:$A$71,0))/8,1))</f>
        <v/>
      </c>
      <c r="M155">
        <f>1+2*MIN(2,FLOOR(MAX(INDEX(boss_input_vu_khi!$E$2:$E$71,MATCH($C$155,boss_input_vu_khi!$A$2:$A$71,0)),Boss_vu_khi!$L$178)/8,1))</f>
        <v/>
      </c>
      <c r="N155">
        <f>IF(INDEX(boss_input_vu_khi!$E$2:$E$71,MATCH($C$155,boss_input_vu_khi!$A$2:$A$71,0))&gt;=8,5,1)</f>
        <v/>
      </c>
      <c r="O155">
        <f>IF(MAX(INDEX(boss_input_vu_khi!$E$2:$E$71,MATCH($C$155,boss_input_vu_khi!$A$2:$A$71,0)),Boss_vu_khi!$L$178)&gt;=8,5,1)</f>
        <v/>
      </c>
      <c r="P155">
        <f>INDEX(boss_input_vu_khi_suy_ra!$H$2:$H$71,MATCH($C$155,boss_input_vu_khi_suy_ra!$A$2:$A$71,0))</f>
        <v/>
      </c>
      <c r="Q155">
        <f>IF(AND(INDEX(input_xe_tham_chieu!$G$2:$G$6,MATCH($D$155,input_xe_tham_chieu!$A$2:$A$6,0))&gt;0,INDEX(boss_input_vu_khi!$E$2:$E$71,MATCH($C$155,boss_input_vu_khi!$A$2:$A$71,0))&gt;0),INDEX(boss_input_vu_khi!$E$2:$E$71,MATCH($C$155,boss_input_vu_khi!$A$2:$A$71,0))/INDEX(input_xe_tham_chieu!$G$2:$G$6,MATCH($D$155,input_xe_tham_chieu!$A$2:$A$6,0)),"")</f>
        <v/>
      </c>
      <c r="R155">
        <f>IF(ISNUMBER($Q$155),IF($P$155&gt;=$Q$155,"DU","THIEU"),"")</f>
        <v/>
      </c>
      <c r="S155" t="inlineStr">
        <is>
          <t>Assets/MachineBrigade/Resources/Data/balance.json: vehicles[id=typhon].weapon x 01_chien_dau/Xe_tham_chieu[ifv]</t>
        </is>
      </c>
      <c r="T155" t="inlineStr"/>
    </row>
    <row r="156">
      <c r="A156" t="inlineStr">
        <is>
          <t>typhon/main_battle_tank</t>
        </is>
      </c>
      <c r="B156" t="inlineStr">
        <is>
          <t>typhon</t>
        </is>
      </c>
      <c r="C156" t="inlineStr">
        <is>
          <t>sam_post</t>
        </is>
      </c>
      <c r="D156" t="inlineStr">
        <is>
          <t>main_battle_tank</t>
        </is>
      </c>
      <c r="E156">
        <f>IF(INDEX(boss_input_vu_khi_suy_ra!$D$2:$D$71,MATCH($C$156,boss_input_vu_khi_suy_ra!$A$2:$A$71,0)),INDEX(input_xe_tham_chieu!$E$2:$E$6,MATCH($D$156,input_xe_tham_chieu!$A$2:$A$6,0)),INDEX(input_xe_tham_chieu!$D$2:$D$6,MATCH($D$156,input_xe_tham_chieu!$A$2:$A$6,0)))</f>
        <v/>
      </c>
      <c r="F156">
        <f>IF(INDEX(boss_input_vu_khi_suy_ra!$E$2:$E$71,MATCH($C$156,boss_input_vu_khi_suy_ra!$A$2:$A$71,0)),INDEX(boss_input_bang_xuyen_giap!$B$2:$B$7,MIN(6,MAX(1,IF(INDEX(boss_input_vu_khi_suy_ra!$D$2:$D$71,MATCH($C$156,boss_input_vu_khi_suy_ra!$A$2:$A$71,0)),MAX(1,2-(INDEX(boss_input_vu_khi!$C$2:$C$71,MATCH($C$156,boss_input_vu_khi!$A$2:$A$71,0))-$E$156)),2-(INDEX(boss_input_vu_khi!$C$2:$C$71,MATCH($C$156,boss_input_vu_khi!$A$2:$A$71,0))-$E$156))+1)))*IF(INDEX(input_xe_tham_chieu!$F$2:$F$6,MATCH($D$156,input_xe_tham_chieu!$A$2:$A$6,0)),INDEX(boss_input_vu_khi_suy_ra!$G$2:$G$71,MATCH($C$156,boss_input_vu_khi_suy_ra!$A$2:$A$71,0)),INDEX(boss_input_vu_khi_suy_ra!$F$2:$F$71,MATCH($C$156,boss_input_vu_khi_suy_ra!$A$2:$A$71,0))),0)</f>
        <v/>
      </c>
      <c r="G156" t="n">
        <v>0</v>
      </c>
      <c r="H156">
        <f>INDEX(boss_input_vu_khi!$B$2:$B$71,MATCH($C$156,boss_input_vu_khi!$A$2:$A$71,0))*INDEX(Boss_dps!$D$2:$D$32,MATCH($B$156,Boss_dps!$A$2:$A$32,0))*IF(INDEX(boss_input_vu_khi!$D$2:$D$71,MATCH($C$156,boss_input_vu_khi!$A$2:$A$71,0)),1,INDEX(Boss_dps!$B$2:$B$32,MATCH($B$156,Boss_dps!$A$2:$A$32,0)))*INDEX(Boss_dps!$C$2:$C$32,MATCH($B$156,Boss_dps!$A$2:$A$32,0))*$F$156</f>
        <v/>
      </c>
      <c r="I156" t="n">
        <v>0</v>
      </c>
      <c r="J156">
        <f>IF($H$156&gt;0,CEILING(INDEX(input_xe_tham_chieu!$C$2:$C$6,MATCH($D$156,input_xe_tham_chieu!$A$2:$A$6,0))/$H$156,1),"")</f>
        <v/>
      </c>
      <c r="K156">
        <f>IF(Boss_vu_khi!$S$178*$F$156&gt;0,INDEX(input_xe_tham_chieu!$C$2:$C$6,MATCH($D$156,input_xe_tham_chieu!$A$2:$A$6,0))/(Boss_vu_khi!$S$178*INDEX(Boss_dps!$D$2:$D$32,MATCH($B$156,Boss_dps!$A$2:$A$32,0))*$F$156),"")</f>
        <v/>
      </c>
      <c r="L156">
        <f>1+2*MIN(2,FLOOR(INDEX(boss_input_vu_khi!$E$2:$E$71,MATCH($C$156,boss_input_vu_khi!$A$2:$A$71,0))/8,1))</f>
        <v/>
      </c>
      <c r="M156">
        <f>1+2*MIN(2,FLOOR(MAX(INDEX(boss_input_vu_khi!$E$2:$E$71,MATCH($C$156,boss_input_vu_khi!$A$2:$A$71,0)),Boss_vu_khi!$L$178)/8,1))</f>
        <v/>
      </c>
      <c r="N156">
        <f>IF(INDEX(boss_input_vu_khi!$E$2:$E$71,MATCH($C$156,boss_input_vu_khi!$A$2:$A$71,0))&gt;=8,5,1)</f>
        <v/>
      </c>
      <c r="O156">
        <f>IF(MAX(INDEX(boss_input_vu_khi!$E$2:$E$71,MATCH($C$156,boss_input_vu_khi!$A$2:$A$71,0)),Boss_vu_khi!$L$178)&gt;=8,5,1)</f>
        <v/>
      </c>
      <c r="P156">
        <f>INDEX(boss_input_vu_khi_suy_ra!$H$2:$H$71,MATCH($C$156,boss_input_vu_khi_suy_ra!$A$2:$A$71,0))</f>
        <v/>
      </c>
      <c r="Q156">
        <f>IF(AND(INDEX(input_xe_tham_chieu!$G$2:$G$6,MATCH($D$156,input_xe_tham_chieu!$A$2:$A$6,0))&gt;0,INDEX(boss_input_vu_khi!$E$2:$E$71,MATCH($C$156,boss_input_vu_khi!$A$2:$A$71,0))&gt;0),INDEX(boss_input_vu_khi!$E$2:$E$71,MATCH($C$156,boss_input_vu_khi!$A$2:$A$71,0))/INDEX(input_xe_tham_chieu!$G$2:$G$6,MATCH($D$156,input_xe_tham_chieu!$A$2:$A$6,0)),"")</f>
        <v/>
      </c>
      <c r="R156">
        <f>IF(ISNUMBER($Q$156),IF($P$156&gt;=$Q$156,"DU","THIEU"),"")</f>
        <v/>
      </c>
      <c r="S156" t="inlineStr">
        <is>
          <t>Assets/MachineBrigade/Resources/Data/balance.json: vehicles[id=typhon].weapon x 01_chien_dau/Xe_tham_chieu[main_battle_tank]</t>
        </is>
      </c>
      <c r="T156" t="inlineStr"/>
    </row>
  </sheetData>
  <autoFilter ref="A1:T156"/>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hydra</t>
        </is>
      </c>
      <c r="B3" t="n">
        <v>9</v>
      </c>
      <c r="C3" t="inlineStr">
        <is>
          <t>Assets/MachineBrigade/Scripts/Game/Match/BossHunts.cs:81 (Unslotted[4])</t>
        </is>
      </c>
      <c r="D3" t="inlineStr">
        <is>
          <t>["hydra",9]</t>
        </is>
      </c>
    </row>
    <row r="4">
      <c r="A4" t="inlineStr">
        <is>
          <t>hyperion</t>
        </is>
      </c>
      <c r="B4" t="n">
        <v>12</v>
      </c>
      <c r="C4" t="inlineStr">
        <is>
          <t>Assets/MachineBrigade/Scripts/Game/Match/BossHunts.cs:81 (Unslotted[5])</t>
        </is>
      </c>
      <c r="D4" t="inlineStr">
        <is>
          <t>["hyperion",12]</t>
        </is>
      </c>
    </row>
    <row r="5">
      <c r="A5" t="inlineStr">
        <is>
          <t>kraken</t>
        </is>
      </c>
      <c r="B5" t="n">
        <v>9</v>
      </c>
      <c r="C5" t="inlineStr">
        <is>
          <t>Assets/MachineBrigade/Scripts/Game/Match/BossHunts.cs:81 (Unslotted[3])</t>
        </is>
      </c>
      <c r="D5" t="inlineStr">
        <is>
          <t>["kraken",9]</t>
        </is>
      </c>
    </row>
    <row r="6">
      <c r="A6" t="inlineStr">
        <is>
          <t>monster</t>
        </is>
      </c>
      <c r="B6" t="n">
        <v>8</v>
      </c>
      <c r="C6" t="inlineStr">
        <is>
          <t>Assets/MachineBrigade/Scripts/Game/Match/BossHunts.cs:81 (Unslotted[2])</t>
        </is>
      </c>
      <c r="D6" t="inlineStr">
        <is>
          <t>["monster",8]</t>
        </is>
      </c>
    </row>
    <row r="7">
      <c r="A7" t="inlineStr">
        <is>
          <t>nyx</t>
        </is>
      </c>
      <c r="B7" t="n">
        <v>4</v>
      </c>
      <c r="C7" t="inlineStr">
        <is>
          <t>Assets/MachineBrigade/Scripts/Game/Match/BossHunts.cs:81 (Unslotted[1])</t>
        </is>
      </c>
      <c r="D7" t="inlineStr">
        <is>
          <t>["nyx",4]</t>
        </is>
      </c>
    </row>
  </sheetData>
  <autoFilter ref="A1:D7"/>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command_airship</t>
        </is>
      </c>
      <c r="B10" t="inlineStr">
        <is>
          <t>command_airship</t>
        </is>
      </c>
      <c r="C10" t="inlineStr">
        <is>
          <t>Roc · Khí cầu chỉ huy</t>
        </is>
      </c>
      <c r="D10" t="inlineStr">
        <is>
          <t>doi_that</t>
        </is>
      </c>
      <c r="E10" t="inlineStr">
        <is>
          <t>Airlander 10;Lockheed P-791 (khí cầu lai hiện đại)</t>
        </is>
      </c>
      <c r="F10" t="inlineStr">
        <is>
          <t>NEED_SOURCE</t>
        </is>
      </c>
      <c r="G10" t="inlineStr">
        <is>
          <t>NEED_SOURCE</t>
        </is>
      </c>
      <c r="H10" t="inlineStr">
        <is>
          <t>Red Alert 2</t>
        </is>
      </c>
      <c r="I10" t="inlineStr">
        <is>
          <t>hình dáng: Kirov Airship</t>
        </is>
      </c>
      <c r="J10" t="inlineStr"/>
      <c r="K10" t="inlineStr">
        <is>
          <t>'Sky Admiral', thiết giáp hạm bay hai túi khí</t>
        </is>
      </c>
      <c r="L10" t="inlineStr"/>
      <c r="M10" t="inlineStr"/>
      <c r="N10" t="inlineStr"/>
      <c r="O10" t="inlineStr">
        <is>
          <t>uoc_dinh</t>
        </is>
      </c>
      <c r="P10" t="inlineStr">
        <is>
          <t>R_unit_refs;R_reference_real;W_wikipedia_hybrid_air_vehicles_airlander_10;R_machine_brigade_can_bang;R_command_airship;R_unit_sheet</t>
        </is>
      </c>
      <c r="Q10" t="inlineStr"/>
      <c r="R10" t="inlineStr">
        <is>
          <t>chỉ ở mức ý tưởng và thông số (sự kiện); không dùng tên, logo, văn bản, ảnh hay mô hình có bản quyền; tên và phù hiệu quốc gia thật không hiện cho người chơi</t>
        </is>
      </c>
      <c r="S10">
        <f>INDEX(boss_input_kich_thuoc_that!$B$2:$B$20,MATCH($B$10,boss_input_kich_thuoc_that!$A$2:$A$20,0))</f>
        <v/>
      </c>
      <c r="T10">
        <f>INDEX(boss_input_kich_thuoc_that!$C$2:$C$20,MATCH($B$10,boss_input_kich_thuoc_that!$A$2:$A$20,0))</f>
        <v/>
      </c>
      <c r="U10">
        <f>INDEX(boss_input_kich_thuoc_that!$D$2:$D$20,MATCH($B$10,boss_input_kich_thuoc_that!$A$2:$A$20,0))</f>
        <v/>
      </c>
      <c r="V10" t="inlineStr">
        <is>
          <t>Airlander 10</t>
        </is>
      </c>
      <c r="W10" t="inlineStr">
        <is>
          <t>high</t>
        </is>
      </c>
      <c r="Y10" t="inlineStr">
        <is>
          <t>ước đoán: 'Sky Admiral', thiết giáp hạm bay hai túi khí</t>
        </is>
      </c>
      <c r="Z10" t="inlineStr">
        <is>
          <t>Airlander 10, Lockheed P-791 (khí cầu lai hiện đại) · Kirov Airship (Red Alert 2) — ước đoán: 'Sky Admiral', thiết giáp hạm bay hai túi khí</t>
        </is>
      </c>
      <c r="AA10" t="inlineStr"/>
      <c r="AB10" t="inlineStr"/>
      <c r="AC10" t="inlineStr">
        <is>
          <t>Tools/blender/specs/command_airship.json: real = Hybrid Air Vehicles Airlander 10; Lockheed Martin P-791 (unit_refs); media: Kirov airship (Red Alert 2); confidence = ước đoán (twin-envelope hybrid layout; the gondola, turrets and pods are game design)</t>
        </is>
      </c>
      <c r="AD10" t="inlineStr">
        <is>
          <t>Airlander 10, Lockheed P-791 (khí cầu lai hiện đại) · Kirov Airship (Red Alert 2) — ước đoán: 'Sky Admiral', thiết giáp hạm bay hai túi khí</t>
        </is>
      </c>
      <c r="AE10" t="inlineStr">
        <is>
          <t>boss ×1,3–1,5 so với mẫu gốc (Docs/balance/Machine_Brigade_Can_bang.xlsx, sheet Hướng dẫn vẽ)</t>
        </is>
      </c>
      <c r="AF10" t="inlineStr">
        <is>
          <t>unit_refs.json ghi ước đoán</t>
        </is>
      </c>
      <c r="AG10" t="inlineStr">
        <is>
          <t>Tools/docs/unit_refs.json: command_airship; Tools/models/reference_real.json: units.command_airship</t>
        </is>
      </c>
      <c r="AH10" t="inlineStr"/>
    </row>
    <row r="11">
      <c r="A11" t="inlineStr">
        <is>
          <t>daedalus</t>
        </is>
      </c>
      <c r="B11" t="inlineStr">
        <is>
          <t>daedalus</t>
        </is>
      </c>
      <c r="C11" t="inlineStr">
        <is>
          <t>Daedalus · Tàu đổ bộ quỹ đạo</t>
        </is>
      </c>
      <c r="D11" t="inlineStr">
        <is>
          <t>gia_tuong</t>
        </is>
      </c>
      <c r="E11" t="inlineStr"/>
      <c r="F11" t="inlineStr"/>
      <c r="G11" t="inlineStr"/>
      <c r="H11" t="inlineStr"/>
      <c r="I11" t="inlineStr"/>
      <c r="J11" t="inlineStr">
        <is>
          <t>Star Wars: Attack of the Clones</t>
        </is>
      </c>
      <c r="K11" t="inlineStr">
        <is>
          <t>Tàu đổ bộ tấn công của Aurel</t>
        </is>
      </c>
      <c r="L11" t="inlineStr"/>
      <c r="M11" t="inlineStr">
        <is>
          <t>gia_tuong</t>
        </is>
      </c>
      <c r="N11" t="inlineStr"/>
      <c r="O11" t="inlineStr">
        <is>
          <t>ban_dau_doan</t>
        </is>
      </c>
      <c r="P11" t="inlineStr">
        <is>
          <t>R_unit_refs;R_reference_real;R_machine_brigade_can_bang;R_daedalus;R_mb_p20_bosses;R_unit_sheet</t>
        </is>
      </c>
      <c r="Q11" t="inlineStr">
        <is>
          <t>reference_real.json: fictional (mẫu 'Daedalus (flying fortress)', thiết kế giả tưởng)</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c r="V11" t="inlineStr">
        <is>
          <t>Daedalus (flying fortress)</t>
        </is>
      </c>
      <c r="W11" t="inlineStr">
        <is>
          <t>inspiration</t>
        </is>
      </c>
      <c r="Y11" t="inlineStr">
        <is>
          <t>Tàu đổ bộ tấn công của Aurel</t>
        </is>
      </c>
      <c r="Z11" t="inlineStr">
        <is>
          <t>Acclamator-class (Star Wars: Attack of the Clones) — Tàu đổ bộ tấn công của Aurel</t>
        </is>
      </c>
      <c r="AA11" t="inlineStr">
        <is>
          <t>Acclamator (Star Wars)</t>
        </is>
      </c>
      <c r="AB11" t="inlineStr"/>
      <c r="AC11"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1" t="inlineStr">
        <is>
          <t>Acclamator-class (Star Wars: Attack of the Clones) — Tàu đổ bộ tấn công của Aurel</t>
        </is>
      </c>
      <c r="AE11" t="inlineStr"/>
      <c r="AF11" t="inlineStr">
        <is>
          <t>reference_real.json: fictional</t>
        </is>
      </c>
      <c r="AG11" t="inlineStr">
        <is>
          <t>Tools/docs/unit_refs.json: daedalus; Tools/models/reference_real.json: units.daedalus</t>
        </is>
      </c>
      <c r="AH11" t="inlineStr"/>
    </row>
    <row r="12">
      <c r="A12" t="inlineStr">
        <is>
          <t>drone_mothership</t>
        </is>
      </c>
      <c r="B12" t="inlineStr">
        <is>
          <t>drone_mothership</t>
        </is>
      </c>
      <c r="C12" t="inlineStr">
        <is>
          <t>Matriarch · Tàu mẹ drone</t>
        </is>
      </c>
      <c r="D12" t="inlineStr">
        <is>
          <t>doi_that</t>
        </is>
      </c>
      <c r="E12" t="inlineStr">
        <is>
          <t>Airlander 10 (khí cầu mẹ hiện đại);drone FPV</t>
        </is>
      </c>
      <c r="F12" t="inlineStr">
        <is>
          <t>NEED_SOURCE</t>
        </is>
      </c>
      <c r="G12" t="inlineStr">
        <is>
          <t>NEED_SOURCE</t>
        </is>
      </c>
      <c r="H12" t="inlineStr">
        <is>
          <t>Red Alert 2</t>
        </is>
      </c>
      <c r="I12" t="inlineStr">
        <is>
          <t>hình dáng: Kirov Airship</t>
        </is>
      </c>
      <c r="J12" t="inlineStr"/>
      <c r="K12" t="inlineStr">
        <is>
          <t>khí cầu bọc thép phóng drone</t>
        </is>
      </c>
      <c r="L12" t="inlineStr"/>
      <c r="M12" t="inlineStr"/>
      <c r="N12" t="inlineStr"/>
      <c r="O12" t="inlineStr">
        <is>
          <t>uoc_dinh</t>
        </is>
      </c>
      <c r="P12" t="inlineStr">
        <is>
          <t>R_unit_refs;R_reference_real;W_wikipedia_hybrid_air_vehicles_airlander_10;R_machine_brigade_can_bang;R_drone_mothership;R_unit_sheet</t>
        </is>
      </c>
      <c r="Q12" t="inlineStr"/>
      <c r="R12" t="inlineStr">
        <is>
          <t>chỉ ở mức ý tưởng và thông số (sự kiện); không dùng tên, logo, văn bản, ảnh hay mô hình có bản quyền; tên và phù hiệu quốc gia thật không hiện cho người chơi</t>
        </is>
      </c>
      <c r="S12">
        <f>INDEX(boss_input_kich_thuoc_that!$B$2:$B$20,MATCH($B$12,boss_input_kich_thuoc_that!$A$2:$A$20,0))</f>
        <v/>
      </c>
      <c r="T12">
        <f>INDEX(boss_input_kich_thuoc_that!$C$2:$C$20,MATCH($B$12,boss_input_kich_thuoc_that!$A$2:$A$20,0))</f>
        <v/>
      </c>
      <c r="U12">
        <f>INDEX(boss_input_kich_thuoc_that!$D$2:$D$20,MATCH($B$12,boss_input_kich_thuoc_that!$A$2:$A$20,0))</f>
        <v/>
      </c>
      <c r="V12" t="inlineStr">
        <is>
          <t>Airlander 10</t>
        </is>
      </c>
      <c r="W12" t="inlineStr">
        <is>
          <t>high</t>
        </is>
      </c>
      <c r="Y12" t="inlineStr">
        <is>
          <t>ước đoán: khí cầu bọc thép phóng drone</t>
        </is>
      </c>
      <c r="Z12" t="inlineStr">
        <is>
          <t>Airlander 10 (khí cầu mẹ hiện đại), drone FPV · Kirov Airship (Red Alert 2) — ước đoán: khí cầu bọc thép phóng drone</t>
        </is>
      </c>
      <c r="AA12" t="inlineStr"/>
      <c r="AB12" t="inlineStr"/>
      <c r="AC12"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2" t="inlineStr">
        <is>
          <t>Airlander 10 (khí cầu mẹ hiện đại), drone FPV · Kirov Airship (Red Alert 2) — ước đoán: khí cầu bọc thép phóng drone</t>
        </is>
      </c>
      <c r="AE12" t="inlineStr">
        <is>
          <t>boss ×1,3–1,5 so với mẫu gốc (Docs/balance/Machine_Brigade_Can_bang.xlsx, sheet Hướng dẫn vẽ)</t>
        </is>
      </c>
      <c r="AF12" t="inlineStr">
        <is>
          <t>unit_refs.json ghi ước đoán</t>
        </is>
      </c>
      <c r="AG12" t="inlineStr">
        <is>
          <t>Tools/docs/unit_refs.json: drone_mothership; Tools/models/reference_real.json: units.drone_mothership</t>
        </is>
      </c>
      <c r="AH12" t="inlineStr"/>
    </row>
    <row r="13">
      <c r="A13" t="inlineStr">
        <is>
          <t>earth_borer</t>
        </is>
      </c>
      <c r="B13" t="inlineStr">
        <is>
          <t>earth_borer</t>
        </is>
      </c>
      <c r="C13" t="inlineStr">
        <is>
          <t>Tartarus · Máy khoan</t>
        </is>
      </c>
      <c r="D13" t="inlineStr">
        <is>
          <t>doi_that</t>
        </is>
      </c>
      <c r="E13" t="inlineStr">
        <is>
          <t>'Battle Mole' của Liên Xô;máy khoan hầm TBM;2A70 100 mm</t>
        </is>
      </c>
      <c r="F13" t="inlineStr">
        <is>
          <t>NEED_SOURCE</t>
        </is>
      </c>
      <c r="G13" t="inlineStr">
        <is>
          <t>NEED_SOURCE</t>
        </is>
      </c>
      <c r="H13" t="inlineStr"/>
      <c r="I13" t="inlineStr"/>
      <c r="J13" t="inlineStr"/>
      <c r="K13" t="inlineStr">
        <is>
          <t>'Earth Worm': máy khoan đất bọc thép ba đốt</t>
        </is>
      </c>
      <c r="L13" t="inlineStr"/>
      <c r="M13" t="inlineStr">
        <is>
          <t>gia_tuong</t>
        </is>
      </c>
      <c r="N13" t="inlineStr"/>
      <c r="O13" t="inlineStr">
        <is>
          <t>ban_dau_doan</t>
        </is>
      </c>
      <c r="P13" t="inlineStr">
        <is>
          <t>R_unit_refs;R_reference_real;R_machine_brigade_can_bang;R_earth_borer;R_unit_sheet</t>
        </is>
      </c>
      <c r="Q13" t="inlineStr">
        <is>
          <t>reference_real.json: fictional (mẫu 'Soviet 'Battle Mole' / TBM', thiết kế giả tưởng)</t>
        </is>
      </c>
      <c r="R13" t="inlineStr">
        <is>
          <t>chỉ ở mức ý tưởng và thông số (sự kiện); không dùng tên, logo, văn bản, ảnh hay mô hình có bản quyền; tên và phù hiệu quốc gia thật không hiện cho người chơi</t>
        </is>
      </c>
      <c r="S13" t="inlineStr">
        <is>
          <t>NEED_SOURCE</t>
        </is>
      </c>
      <c r="T13" t="inlineStr">
        <is>
          <t>NEED_SOURCE</t>
        </is>
      </c>
      <c r="U13" t="inlineStr">
        <is>
          <t>NEED_SOURCE</t>
        </is>
      </c>
      <c r="V13" t="inlineStr">
        <is>
          <t>Soviet 'Battle Mole' / TBM</t>
        </is>
      </c>
      <c r="W13" t="inlineStr">
        <is>
          <t>inspiration</t>
        </is>
      </c>
      <c r="Y13" t="inlineStr">
        <is>
          <t>'Earth Worm': máy khoan đất bọc thép ba đốt</t>
        </is>
      </c>
      <c r="Z13" t="inlineStr">
        <is>
          <t>'Battle Mole' của Liên Xô, máy khoan hầm TBM, 2A70 100 mm — 'Earth Worm': máy khoan đất bọc thép ba đốt</t>
        </is>
      </c>
      <c r="AA13" t="inlineStr">
        <is>
          <t>Thang máu boss</t>
        </is>
      </c>
      <c r="AB13" t="inlineStr"/>
      <c r="AC13" t="inlineStr">
        <is>
          <t>Tools/blender/specs/earth_borer.json: real = Soviet 'Battle Mole' (unit_refs); tunnel boring machine; 2A70 100 mm turrets (balance.json borer_cannon); confidence = ước đoán (TBM photographs; the old file's size)</t>
        </is>
      </c>
      <c r="AD13" t="inlineStr">
        <is>
          <t>'Battle Mole' của Liên Xô, máy khoan hầm TBM, 2A70 100 mm — 'Earth Worm': máy khoan đất bọc thép ba đốt</t>
        </is>
      </c>
      <c r="AE13" t="inlineStr">
        <is>
          <t>boss ×1,3–1,5 so với mẫu gốc (Docs/balance/Machine_Brigade_Can_bang.xlsx, sheet Hướng dẫn vẽ)</t>
        </is>
      </c>
      <c r="AF13" t="inlineStr">
        <is>
          <t>reference_real.json: fictional</t>
        </is>
      </c>
      <c r="AG13" t="inlineStr">
        <is>
          <t>Tools/docs/unit_refs.json: earth_borer; Tools/models/reference_real.json: units.earth_borer</t>
        </is>
      </c>
      <c r="AH13" t="inlineStr"/>
    </row>
    <row r="14">
      <c r="A14" t="inlineStr">
        <is>
          <t>fenrir</t>
        </is>
      </c>
      <c r="B14" t="inlineStr">
        <is>
          <t>fenrir</t>
        </is>
      </c>
      <c r="C14" t="inlineStr">
        <is>
          <t>Fenrir · Xe tiên phong</t>
        </is>
      </c>
      <c r="D14" t="inlineStr">
        <is>
          <t>doi_that</t>
        </is>
      </c>
      <c r="E14" t="inlineStr">
        <is>
          <t>NASA Crawler-Transporter;Kharkovchanka (1959)</t>
        </is>
      </c>
      <c r="F14" t="inlineStr">
        <is>
          <t>NEED_SOURCE</t>
        </is>
      </c>
      <c r="G14" t="inlineStr">
        <is>
          <t>NEED_SOURCE</t>
        </is>
      </c>
      <c r="H14" t="inlineStr"/>
      <c r="I14" t="inlineStr"/>
      <c r="J14" t="inlineStr">
        <is>
          <t>Star Wars</t>
        </is>
      </c>
      <c r="K14" t="inlineStr">
        <is>
          <t>biến thể của pháo đài di động</t>
        </is>
      </c>
      <c r="L14" t="inlineStr"/>
      <c r="M14" t="inlineStr"/>
      <c r="N14" t="inlineStr"/>
      <c r="O14" t="inlineStr">
        <is>
          <t>uoc_dinh</t>
        </is>
      </c>
      <c r="P14" t="inlineStr">
        <is>
          <t>R_unit_refs;R_machine_brigade_can_bang;R_unit_sheet</t>
        </is>
      </c>
      <c r="Q14" t="inlineStr"/>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Y14" t="inlineStr">
        <is>
          <t>ước đoán: biến thể của pháo đài di động</t>
        </is>
      </c>
      <c r="Z14" t="inlineStr">
        <is>
          <t>NASA Crawler-Transporter, Kharkovchanka (1959) · Sandcrawler (Star Wars) — ước đoán: biến thể của pháo đài di động</t>
        </is>
      </c>
      <c r="AA14" t="inlineStr">
        <is>
          <t>Luật mini boss</t>
        </is>
      </c>
      <c r="AB14" t="inlineStr">
        <is>
          <t>1959</t>
        </is>
      </c>
      <c r="AC14" t="inlineStr"/>
      <c r="AD14" t="inlineStr">
        <is>
          <t>NASA Crawler-Transporter, Kharkovchanka (1959) · Sandcrawler (Star Wars) — ước đoán: biến thể của pháo đài di động</t>
        </is>
      </c>
      <c r="AE14" t="inlineStr">
        <is>
          <t>boss ×1,3–1,5 so với mẫu gốc (Docs/balance/Machine_Brigade_Can_bang.xlsx, sheet Hướng dẫn vẽ)</t>
        </is>
      </c>
      <c r="AF14" t="inlineStr">
        <is>
          <t>unit_refs.json ghi ước đoán</t>
        </is>
      </c>
      <c r="AG14" t="inlineStr">
        <is>
          <t>Tools/docs/unit_refs.json: fenrir; Tools/models/reference_real.json: units.fenrir</t>
        </is>
      </c>
      <c r="AH14" t="inlineStr"/>
    </row>
    <row r="15">
      <c r="A15" t="inlineStr">
        <is>
          <t>fortress_bastion</t>
        </is>
      </c>
      <c r="B15" t="inlineStr">
        <is>
          <t>fortress_bastion</t>
        </is>
      </c>
      <c r="C15" t="inlineStr">
        <is>
          <t>Bastion · Pháo đài</t>
        </is>
      </c>
      <c r="D15" t="inlineStr">
        <is>
          <t>doi_that</t>
        </is>
      </c>
      <c r="E15" t="inlineStr">
        <is>
          <t>2B8 240 mm;Bofors 40 mm;9M133 Kornet</t>
        </is>
      </c>
      <c r="F15" t="inlineStr">
        <is>
          <t>NEED_SOURCE</t>
        </is>
      </c>
      <c r="G15" t="inlineStr">
        <is>
          <t>NEED_SOURCE</t>
        </is>
      </c>
      <c r="H15" t="inlineStr"/>
      <c r="I15" t="inlineStr"/>
      <c r="J15" t="inlineStr">
        <is>
          <t>Star Wars</t>
        </is>
      </c>
      <c r="K15" t="inlineStr">
        <is>
          <t>pháo đài bánh xích bọc giáp tấm dày</t>
        </is>
      </c>
      <c r="L15" t="inlineStr"/>
      <c r="M15" t="inlineStr">
        <is>
          <t>gia_tuong</t>
        </is>
      </c>
      <c r="N15" t="inlineStr"/>
      <c r="O15" t="inlineStr">
        <is>
          <t>uoc_dinh</t>
        </is>
      </c>
      <c r="P15" t="inlineStr">
        <is>
          <t>R_unit_refs;R_reference_real;R_machine_brigade_can_bang;R_fortress_bastion;R_unit_sheet</t>
        </is>
      </c>
      <c r="Q15" t="inlineStr">
        <is>
          <t>reference_real.json: fictional (mẫu 'Crawler-Transporter gun bastion', thiết kế giả tưởng)</t>
        </is>
      </c>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V15" t="inlineStr">
        <is>
          <t>Crawler-Transporter gun bastion</t>
        </is>
      </c>
      <c r="W15" t="inlineStr">
        <is>
          <t>inspiration</t>
        </is>
      </c>
      <c r="Y15" t="inlineStr">
        <is>
          <t>ước đoán: pháo đài bánh xích bọc giáp tấm dày</t>
        </is>
      </c>
      <c r="Z15" t="inlineStr">
        <is>
          <t>2B8 240 mm, Bofors 40 mm, 9M133 Kornet · Sandcrawler (Star Wars) — ước đoán: pháo đài bánh xích bọc giáp tấm dày</t>
        </is>
      </c>
      <c r="AA15" t="inlineStr">
        <is>
          <t>Thang máu boss</t>
        </is>
      </c>
      <c r="AB15" t="inlineStr"/>
      <c r="AC15"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5" t="inlineStr">
        <is>
          <t>2B8 240 mm, Bofors 40 mm, 9M133 Kornet · Sandcrawler (Star Wars) — ước đoán: pháo đài bánh xích bọc giáp tấm dày</t>
        </is>
      </c>
      <c r="AE15" t="inlineStr">
        <is>
          <t>boss ×1,3–1,5 so với mẫu gốc (Docs/balance/Machine_Brigade_Can_bang.xlsx, sheet Hướng dẫn vẽ)</t>
        </is>
      </c>
      <c r="AF15" t="inlineStr">
        <is>
          <t>reference_real.json: fictional; unit_refs.json ghi ước đoán</t>
        </is>
      </c>
      <c r="AG15" t="inlineStr">
        <is>
          <t>Tools/docs/unit_refs.json: fortress_bastion; Tools/models/reference_real.json: units.fortress_bastion</t>
        </is>
      </c>
      <c r="AH15" t="inlineStr"/>
    </row>
    <row r="16">
      <c r="A16" t="inlineStr">
        <is>
          <t>hydra</t>
        </is>
      </c>
      <c r="B16" t="inlineStr">
        <is>
          <t>hydra</t>
        </is>
      </c>
      <c r="C16" t="inlineStr">
        <is>
          <t>Hydra · Tàu ngầm mang drone</t>
        </is>
      </c>
      <c r="D16" t="inlineStr">
        <is>
          <t>NEED_SOURCE</t>
        </is>
      </c>
      <c r="E16" t="inlineStr"/>
      <c r="F16" t="inlineStr">
        <is>
          <t>NEED_SOURCE</t>
        </is>
      </c>
      <c r="G16" t="inlineStr">
        <is>
          <t>NEED_SOURCE</t>
        </is>
      </c>
      <c r="H16" t="inlineStr"/>
      <c r="I16" t="inlineStr"/>
      <c r="J16" t="inlineStr"/>
      <c r="K16" t="inlineStr"/>
      <c r="L16" t="inlineStr"/>
      <c r="M16" t="inlineStr"/>
      <c r="N16" t="inlineStr"/>
      <c r="O16" t="inlineStr">
        <is>
          <t>NEED_SOURCE</t>
        </is>
      </c>
      <c r="P16" t="inlineStr"/>
      <c r="Q16" t="inlineStr">
        <is>
          <t>repo không có tham chiếu cho thực thể này (unit_refs.json, reference_real.json, bảng cân bằng)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Z16" t="inlineStr"/>
      <c r="AA16" t="inlineStr"/>
      <c r="AB16" t="inlineStr"/>
      <c r="AC16" t="inlineStr"/>
      <c r="AD16" t="inlineStr"/>
      <c r="AE16" t="inlineStr"/>
      <c r="AF16" t="inlineStr"/>
      <c r="AG16" t="inlineStr">
        <is>
          <t>Tools/docs/unit_refs.json: hydra; Tools/models/reference_real.json: units.hydra</t>
        </is>
      </c>
      <c r="AH16" t="inlineStr"/>
    </row>
    <row r="17">
      <c r="A17" t="inlineStr">
        <is>
          <t>hyperion</t>
        </is>
      </c>
      <c r="B17" t="inlineStr">
        <is>
          <t>hyperion</t>
        </is>
      </c>
      <c r="C17" t="inlineStr">
        <is>
          <t>Hyperion · Trạm gương quỹ đạo</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is>
          <t>R_hyperion</t>
        </is>
      </c>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is>
          <t>Tools/blender/specs/hyperion.json: real = Znamya 2 orbital mirror experiment (1993); ISS integrated truss, solar array wings and radiators; media: silver_bug's references (unit_refs); confidence = ước đoán (a game boss; Znamya 2 and ISS hardware for the parts)</t>
        </is>
      </c>
      <c r="AD17" t="inlineStr"/>
      <c r="AE17" t="inlineStr"/>
      <c r="AF17" t="inlineStr"/>
      <c r="AG17" t="inlineStr">
        <is>
          <t>Tools/docs/unit_refs.json: hyperion; Tools/models/reference_real.json: units.hyperion</t>
        </is>
      </c>
      <c r="AH17" t="inlineStr"/>
    </row>
    <row r="18">
      <c r="A18" t="inlineStr">
        <is>
          <t>icarus_mk0</t>
        </is>
      </c>
      <c r="B18" t="inlineStr">
        <is>
          <t>icarus_mk0</t>
        </is>
      </c>
      <c r="C18" t="inlineStr">
        <is>
          <t>Icarus Mk.0 · Phi thuyền nguyên mẫu</t>
        </is>
      </c>
      <c r="D18" t="inlineStr">
        <is>
          <t>game</t>
        </is>
      </c>
      <c r="E18" t="inlineStr"/>
      <c r="F18" t="inlineStr"/>
      <c r="G18" t="inlineStr"/>
      <c r="H18" t="inlineStr">
        <is>
          <t>Halo</t>
        </is>
      </c>
      <c r="I18" t="inlineStr">
        <is>
          <t>hình dáng: Tàu frigate UNSC</t>
        </is>
      </c>
      <c r="J18" t="inlineStr">
        <is>
          <t>Star Wars;The Expanse</t>
        </is>
      </c>
      <c r="K18" t="inlineStr">
        <is>
          <t>Bản đầu của Icarus (chiến hạm vũ trụ, nhỏ hơn)</t>
        </is>
      </c>
      <c r="L18" t="inlineStr"/>
      <c r="M18" t="inlineStr"/>
      <c r="N18" t="inlineStr"/>
      <c r="O18" t="inlineStr">
        <is>
          <t>ban_dau_doan</t>
        </is>
      </c>
      <c r="P18" t="inlineStr">
        <is>
          <t>R_unit_refs;R_machine_brigade_can_bang;R_unit_sheet</t>
        </is>
      </c>
      <c r="Q18" t="inlineStr"/>
      <c r="R18" t="inlineStr">
        <is>
          <t>chỉ ở mức ý tưởng và thông số (sự kiện); không dùng tên, logo, văn bản, ảnh hay mô hình có bản quyền; tên và phù hiệu quốc gia thật không hiện cho người chơi</t>
        </is>
      </c>
      <c r="S18" t="inlineStr"/>
      <c r="T18" t="inlineStr"/>
      <c r="U18" t="inlineStr"/>
      <c r="Y18" t="inlineStr">
        <is>
          <t>Bản đầu của Icarus (chiến hạm vũ trụ, nhỏ hơn)</t>
        </is>
      </c>
      <c r="Z18" t="inlineStr">
        <is>
          <t>Polyus / Skif-DM, ISS, Hubble · SOLG (Ace Combat 5), The Expanse — Bản đầu của Icarus (trạm vũ khí quỹ đạo, nhỏ hơn)</t>
        </is>
      </c>
      <c r="AA18" t="inlineStr"/>
      <c r="AB18" t="inlineStr"/>
      <c r="AC18" t="inlineStr"/>
      <c r="AD18" t="inlineStr">
        <is>
          <t>Polyus / Skif-DM, ISS, Hubble · SOLG (Ace Combat 5), The Expanse — Bản đầu của Icarus (trạm vũ khí quỹ đạo, nhỏ hơn)</t>
        </is>
      </c>
      <c r="AE18" t="inlineStr"/>
      <c r="AF18" t="inlineStr"/>
      <c r="AG18" t="inlineStr">
        <is>
          <t>Tools/docs/unit_refs.json: icarus_mk0; Tools/models/reference_real.json: units.icarus_mk0</t>
        </is>
      </c>
      <c r="AH18" t="inlineStr"/>
    </row>
    <row r="19">
      <c r="A19" t="inlineStr">
        <is>
          <t>ixion</t>
        </is>
      </c>
      <c r="B19" t="inlineStr">
        <is>
          <t>ixion</t>
        </is>
      </c>
      <c r="C19" t="inlineStr">
        <is>
          <t>Ixion · Xe tải mỏ bọc thép</t>
        </is>
      </c>
      <c r="D19" t="inlineStr">
        <is>
          <t>doi_that</t>
        </is>
      </c>
      <c r="E19" t="inlineStr">
        <is>
          <t>BelAZ-75710 (xe tải mỏ lớn nhất thế giới);tháp pháo T-72 125 mm hàn trên thùng</t>
        </is>
      </c>
      <c r="F19" t="inlineStr">
        <is>
          <t>NEED_SOURCE</t>
        </is>
      </c>
      <c r="G19" t="inlineStr">
        <is>
          <t>NEED_SOURCE</t>
        </is>
      </c>
      <c r="H19" t="inlineStr"/>
      <c r="I19" t="inlineStr"/>
      <c r="J19" t="inlineStr"/>
      <c r="K19" t="inlineStr">
        <is>
          <t>Xe tải mỏ bọc thép của Thorne ở Deepcut Mine: ca-bin lệch trái, sáu bánh lớn, lưỡi húc chữ V</t>
        </is>
      </c>
      <c r="L19" t="inlineStr"/>
      <c r="M19" t="inlineStr"/>
      <c r="N19" t="inlineStr"/>
      <c r="O19" t="inlineStr">
        <is>
          <t>da_kiem_chung</t>
        </is>
      </c>
      <c r="P19" t="inlineStr">
        <is>
          <t>R_unit_refs;R_reference_real;W_wikipedia_belaz_75710;R_machine_brigade_can_bang;R_ixion;R_mb_p20_bosses;R_mb_redesign_20y;R_unit_sheet</t>
        </is>
      </c>
      <c r="Q19" t="inlineStr"/>
      <c r="R19" t="inlineStr">
        <is>
          <t>chỉ ở mức ý tưởng và thông số (sự kiện); không dùng tên, logo, văn bản, ảnh hay mô hình có bản quyền; tên và phù hiệu quốc gia thật không hiện cho người chơi</t>
        </is>
      </c>
      <c r="S19">
        <f>INDEX(boss_input_kich_thuoc_that!$B$2:$B$20,MATCH($B$19,boss_input_kich_thuoc_that!$A$2:$A$20,0))</f>
        <v/>
      </c>
      <c r="T19">
        <f>INDEX(boss_input_kich_thuoc_that!$C$2:$C$20,MATCH($B$19,boss_input_kich_thuoc_that!$A$2:$A$20,0))</f>
        <v/>
      </c>
      <c r="U19">
        <f>INDEX(boss_input_kich_thuoc_that!$D$2:$D$20,MATCH($B$19,boss_input_kich_thuoc_that!$A$2:$A$20,0))</f>
        <v/>
      </c>
      <c r="V19" t="inlineStr">
        <is>
          <t>BelAZ-75710</t>
        </is>
      </c>
      <c r="W19" t="inlineStr">
        <is>
          <t>high</t>
        </is>
      </c>
      <c r="Y19" t="inlineStr">
        <is>
          <t>Xe tải mỏ bọc thép của Thorne ở Deepcut Mine: ca-bin lệch trái, sáu bánh lớn, lưỡi húc chữ V</t>
        </is>
      </c>
      <c r="Z19" t="inlineStr">
        <is>
          <t>BelAZ-75710 (xe tải mỏ lớn nhất thế giới), tháp pháo T-72 125 mm hàn trên thùng — Xe tải mỏ bọc thép của Thorne ở Deepcut Mine: ca-bin lệch trái, sáu bánh lớn, lưỡi húc chữ V</t>
        </is>
      </c>
      <c r="AA19" t="inlineStr"/>
      <c r="AB19" t="inlineStr"/>
      <c r="AC19"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19" t="inlineStr">
        <is>
          <t>BelAZ-75710 (xe tải mỏ lớn nhất thế giới), tháp pháo T-72 125 mm hàn trên thùng — Xe tải mỏ bọc thép của Thorne ở Deepcut Mine: ca-bin lệch trái, sáu bánh lớn, lưỡi húc chữ V</t>
        </is>
      </c>
      <c r="AE19" t="inlineStr">
        <is>
          <t>boss ×1,3–1,5 so với mẫu gốc (Docs/balance/Machine_Brigade_Can_bang.xlsx, sheet Hướng dẫn vẽ)</t>
        </is>
      </c>
      <c r="AF19" t="inlineStr"/>
      <c r="AG19" t="inlineStr">
        <is>
          <t>Tools/docs/unit_refs.json: ixion; Tools/models/reference_real.json: units.ixion</t>
        </is>
      </c>
      <c r="AH19" t="inlineStr"/>
    </row>
    <row r="20">
      <c r="A20" t="inlineStr">
        <is>
          <t>kraken</t>
        </is>
      </c>
      <c r="B20" t="inlineStr">
        <is>
          <t>kraken</t>
        </is>
      </c>
      <c r="C20" t="inlineStr">
        <is>
          <t>Kraken · Tàu sân bay</t>
        </is>
      </c>
      <c r="D20" t="inlineStr">
        <is>
          <t>NEED_SOURCE</t>
        </is>
      </c>
      <c r="E20" t="inlineStr"/>
      <c r="F20" t="inlineStr">
        <is>
          <t>NEED_SOURCE</t>
        </is>
      </c>
      <c r="G20" t="inlineStr">
        <is>
          <t>NEED_SOURCE</t>
        </is>
      </c>
      <c r="H20" t="inlineStr"/>
      <c r="I20" t="inlineStr"/>
      <c r="J20" t="inlineStr"/>
      <c r="K20" t="inlineStr"/>
      <c r="L20" t="inlineStr"/>
      <c r="M20" t="inlineStr"/>
      <c r="N20" t="inlineStr"/>
      <c r="O20" t="inlineStr">
        <is>
          <t>NEED_SOURCE</t>
        </is>
      </c>
      <c r="P20" t="inlineStr">
        <is>
          <t>R_kraken</t>
        </is>
      </c>
      <c r="Q20" t="inlineStr">
        <is>
          <t>repo không có tham chiếu cho thực thể này (unit_refs.json, reference_real.json, bảng cân bằng)</t>
        </is>
      </c>
      <c r="R20" t="inlineStr">
        <is>
          <t>chỉ ở mức ý tưởng và thông số (sự kiện); không dùng tên, logo, văn bản, ảnh hay mô hình có bản quyền; tên và phù hiệu quốc gia thật không hiện cho người chơi</t>
        </is>
      </c>
      <c r="S20" t="inlineStr">
        <is>
          <t>NEED_SOURCE</t>
        </is>
      </c>
      <c r="T20" t="inlineStr">
        <is>
          <t>NEED_SOURCE</t>
        </is>
      </c>
      <c r="U20" t="inlineStr">
        <is>
          <t>NEED_SOURCE</t>
        </is>
      </c>
      <c r="Z20" t="inlineStr"/>
      <c r="AA20" t="inlineStr"/>
      <c r="AB20" t="inlineStr"/>
      <c r="AC20" t="inlineStr">
        <is>
          <t>Tools/blender/specs/kraken.json: real = Kuznetsov / Nimitz-line aircraft carrier: ski-jump, angled deck, island to starboard, Granit-style cells, CIWS galleries; confidence = ban_dau_doan (no sheet shape note; BossText note and tip, the old builder)</t>
        </is>
      </c>
      <c r="AD20" t="inlineStr"/>
      <c r="AE20" t="inlineStr"/>
      <c r="AF20" t="inlineStr"/>
      <c r="AG20" t="inlineStr">
        <is>
          <t>Tools/docs/unit_refs.json: kraken; Tools/models/reference_real.json: units.kraken</t>
        </is>
      </c>
      <c r="AH20" t="inlineStr"/>
    </row>
    <row r="21">
      <c r="A21" t="inlineStr">
        <is>
          <t>landing_hovercraft</t>
        </is>
      </c>
      <c r="B21" t="inlineStr">
        <is>
          <t>landing_hovercraft</t>
        </is>
      </c>
      <c r="C21" t="inlineStr">
        <is>
          <t>Charybdis · Tàu đệm khí đổ bộ</t>
        </is>
      </c>
      <c r="D21" t="inlineStr">
        <is>
          <t>doi_that</t>
        </is>
      </c>
      <c r="E21" t="inlineStr">
        <is>
          <t>LCAC;Zubr (Project 1232.2);A-22 Ogon 140 mm;AK-630</t>
        </is>
      </c>
      <c r="F21" t="inlineStr">
        <is>
          <t>NEED_SOURCE</t>
        </is>
      </c>
      <c r="G21" t="inlineStr">
        <is>
          <t>NEED_SOURCE</t>
        </is>
      </c>
      <c r="H21" t="inlineStr"/>
      <c r="I21" t="inlineStr"/>
      <c r="J21" t="inlineStr"/>
      <c r="K21" t="inlineStr">
        <is>
          <t>Tàu đổ bộ đệm khí</t>
        </is>
      </c>
      <c r="L21" t="inlineStr"/>
      <c r="M21" t="inlineStr"/>
      <c r="N21" t="inlineStr"/>
      <c r="O21" t="inlineStr">
        <is>
          <t>da_kiem_chung</t>
        </is>
      </c>
      <c r="P21" t="inlineStr">
        <is>
          <t>R_unit_refs;R_reference_real;W_wikipedia_landing_craft_air_cushion;R_machine_brigade_can_bang;R_landing_hovercraft;R_unit_sheet</t>
        </is>
      </c>
      <c r="Q21" t="inlineStr"/>
      <c r="R21" t="inlineStr">
        <is>
          <t>chỉ ở mức ý tưởng và thông số (sự kiện); không dùng tên, logo, văn bản, ảnh hay mô hình có bản quyền; tên và phù hiệu quốc gia thật không hiện cho người chơi</t>
        </is>
      </c>
      <c r="S21">
        <f>INDEX(boss_input_kich_thuoc_that!$B$2:$B$20,MATCH($B$21,boss_input_kich_thuoc_that!$A$2:$A$20,0))</f>
        <v/>
      </c>
      <c r="T21">
        <f>INDEX(boss_input_kich_thuoc_that!$C$2:$C$20,MATCH($B$21,boss_input_kich_thuoc_that!$A$2:$A$20,0))</f>
        <v/>
      </c>
      <c r="U21" t="inlineStr">
        <is>
          <t>NEED_SOURCE</t>
        </is>
      </c>
      <c r="V21" t="inlineStr">
        <is>
          <t>LCAC</t>
        </is>
      </c>
      <c r="W21" t="inlineStr">
        <is>
          <t>high</t>
        </is>
      </c>
      <c r="Y21" t="inlineStr">
        <is>
          <t>Tàu đổ bộ đệm khí</t>
        </is>
      </c>
      <c r="Z21" t="inlineStr">
        <is>
          <t>LCAC, Zubr (Project 1232.2), A-22 Ogon 140 mm, AK-630 — Tàu đổ bộ đệm khí</t>
        </is>
      </c>
      <c r="AA21" t="inlineStr"/>
      <c r="AB21" t="inlineStr"/>
      <c r="AC21" t="inlineStr">
        <is>
          <t>Tools/blender/specs/landing_hovercraft.json: real = LCAC; Zubr (Project 1232.2); A-22 Ogon 140 mm; AK-630; confidence = xấp xỉ (Zubr / LCAC photographs; at the old file's size)</t>
        </is>
      </c>
      <c r="AD21" t="inlineStr">
        <is>
          <t>LCAC, Zubr (Project 1232.2), A-22 Ogon 140 mm, AK-630 — Tàu đổ bộ đệm khí</t>
        </is>
      </c>
      <c r="AE21" t="inlineStr">
        <is>
          <t>boss ×1,3–1,5 so với mẫu gốc (Docs/balance/Machine_Brigade_Can_bang.xlsx, sheet Hướng dẫn vẽ)</t>
        </is>
      </c>
      <c r="AF21" t="inlineStr"/>
      <c r="AG21" t="inlineStr">
        <is>
          <t>Tools/docs/unit_refs.json: landing_hovercraft; Tools/models/reference_real.json: units.landing_hovercraft</t>
        </is>
      </c>
      <c r="AH21" t="inlineStr"/>
    </row>
    <row r="22">
      <c r="A22" t="inlineStr">
        <is>
          <t>leviathan</t>
        </is>
      </c>
      <c r="B22" t="inlineStr">
        <is>
          <t>leviathan</t>
        </is>
      </c>
      <c r="C22" t="inlineStr">
        <is>
          <t>Leviathan · Thiết giáp hạm</t>
        </is>
      </c>
      <c r="D22" t="inlineStr">
        <is>
          <t>doi_that</t>
        </is>
      </c>
      <c r="E22" t="inlineStr">
        <is>
          <t>Iowa-class hiện đại hóa thập niên 1980 (Mk 7 406 mm);Kirov-class (bệ phóng thẳng đứng)</t>
        </is>
      </c>
      <c r="F22" t="inlineStr">
        <is>
          <t>NEED_SOURCE</t>
        </is>
      </c>
      <c r="G22" t="inlineStr">
        <is>
          <t>NEED_SOURCE</t>
        </is>
      </c>
      <c r="H22" t="inlineStr"/>
      <c r="I22" t="inlineStr"/>
      <c r="J22" t="inlineStr"/>
      <c r="K22" t="inlineStr">
        <is>
          <t>Thiết giáp hạm lớp Iowa hiện đại hóa, thêm bệ phóng thẳng đứng kiểu Kirov</t>
        </is>
      </c>
      <c r="L22" t="inlineStr"/>
      <c r="M22" t="inlineStr"/>
      <c r="N22" t="inlineStr"/>
      <c r="O22" t="inlineStr">
        <is>
          <t>da_kiem_chung</t>
        </is>
      </c>
      <c r="P22" t="inlineStr">
        <is>
          <t>R_unit_refs;R_reference_real;W_wikipedia_iowa_class_battleship;R_machine_brigade_can_bang;R_leviathan;R_unit_sheet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Iowa-class battleship</t>
        </is>
      </c>
      <c r="W22" t="inlineStr">
        <is>
          <t>high</t>
        </is>
      </c>
      <c r="Y22" t="inlineStr">
        <is>
          <t>Thiết giáp hạm lớp Iowa hiện đại hóa, thêm bệ phóng thẳng đứng kiểu Kirov</t>
        </is>
      </c>
      <c r="Z22" t="inlineStr">
        <is>
          <t>Iowa-class hiện đại hóa thập niên 1980 (Mk 7 406 mm), Kirov-class (bệ phóng thẳng đứng) — Thiết giáp hạm lớp Iowa hiện đại hóa, thêm bệ phóng thẳng đứng kiểu Kirov</t>
        </is>
      </c>
      <c r="AA22" t="inlineStr">
        <is>
          <t>Type 94 460 mm</t>
        </is>
      </c>
      <c r="AB22" t="inlineStr"/>
      <c r="AC22"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2" t="inlineStr">
        <is>
          <t>Iowa-class hiện đại hóa thập niên 1980 (Mk 7 406 mm), Kirov-class (bệ phóng thẳng đứng) — Thiết giáp hạm lớp Iowa hiện đại hóa, thêm bệ phóng thẳng đứng kiểu Kirov</t>
        </is>
      </c>
      <c r="AE22" t="inlineStr">
        <is>
          <t>boss ×1,3–1,5 so với mẫu gốc (Docs/balance/Machine_Brigade_Can_bang.xlsx, sheet Hướng dẫn vẽ)</t>
        </is>
      </c>
      <c r="AF22" t="inlineStr"/>
      <c r="AG22" t="inlineStr">
        <is>
          <t>Tools/docs/unit_refs.json: leviathan; Tools/models/reference_real.json: units.leviathan</t>
        </is>
      </c>
      <c r="AH22" t="inlineStr"/>
    </row>
    <row r="23">
      <c r="A23" t="inlineStr">
        <is>
          <t>locust</t>
        </is>
      </c>
      <c r="B23" t="inlineStr">
        <is>
          <t>locust</t>
        </is>
      </c>
      <c r="C23" t="inlineStr">
        <is>
          <t>Locust · Tàu con drone</t>
        </is>
      </c>
      <c r="D23" t="inlineStr">
        <is>
          <t>doi_that</t>
        </is>
      </c>
      <c r="E23" t="inlineStr">
        <is>
          <t>Airlander 10;drone FPV</t>
        </is>
      </c>
      <c r="F23" t="inlineStr">
        <is>
          <t>NEED_SOURCE</t>
        </is>
      </c>
      <c r="G23" t="inlineStr">
        <is>
          <t>NEED_SOURCE</t>
        </is>
      </c>
      <c r="H23" t="inlineStr">
        <is>
          <t>Red Alert 2</t>
        </is>
      </c>
      <c r="I23" t="inlineStr">
        <is>
          <t>hình dáng: Kirov Airship</t>
        </is>
      </c>
      <c r="J23" t="inlineStr"/>
      <c r="K23" t="inlineStr">
        <is>
          <t>biến thể nhỏ của khí cầu mẹ</t>
        </is>
      </c>
      <c r="L23" t="inlineStr"/>
      <c r="M23" t="inlineStr"/>
      <c r="N23" t="inlineStr"/>
      <c r="O23" t="inlineStr">
        <is>
          <t>uoc_dinh</t>
        </is>
      </c>
      <c r="P23" t="inlineStr">
        <is>
          <t>R_unit_refs;R_machine_brigade_can_bang;R_unit_sheet</t>
        </is>
      </c>
      <c r="Q23" t="inlineStr"/>
      <c r="R23" t="inlineStr">
        <is>
          <t>chỉ ở mức ý tưởng và thông số (sự kiện); không dùng tên, logo, văn bản, ảnh hay mô hình có bản quyền; tên và phù hiệu quốc gia thật không hiện cho người chơi</t>
        </is>
      </c>
      <c r="S23" t="inlineStr">
        <is>
          <t>NEED_SOURCE</t>
        </is>
      </c>
      <c r="T23" t="inlineStr">
        <is>
          <t>NEED_SOURCE</t>
        </is>
      </c>
      <c r="U23" t="inlineStr">
        <is>
          <t>NEED_SOURCE</t>
        </is>
      </c>
      <c r="Y23" t="inlineStr">
        <is>
          <t>ước đoán: biến thể nhỏ của khí cầu mẹ</t>
        </is>
      </c>
      <c r="Z23" t="inlineStr">
        <is>
          <t>Airlander 10, drone FPV · Kirov Airship (Red Alert 2) — ước đoán: biến thể nhỏ của khí cầu mẹ</t>
        </is>
      </c>
      <c r="AA23" t="inlineStr"/>
      <c r="AB23" t="inlineStr"/>
      <c r="AC23" t="inlineStr"/>
      <c r="AD23" t="inlineStr">
        <is>
          <t>Airlander 10, drone FPV · Kirov Airship (Red Alert 2) — ước đoán: biến thể nhỏ của khí cầu mẹ</t>
        </is>
      </c>
      <c r="AE23" t="inlineStr">
        <is>
          <t>boss ×1,3–1,5 so với mẫu gốc (Docs/balance/Machine_Brigade_Can_bang.xlsx, sheet Hướng dẫn vẽ)</t>
        </is>
      </c>
      <c r="AF23" t="inlineStr">
        <is>
          <t>unit_refs.json ghi ước đoán</t>
        </is>
      </c>
      <c r="AG23" t="inlineStr">
        <is>
          <t>Tools/docs/unit_refs.json: locust; Tools/models/reference_real.json: units.locust</t>
        </is>
      </c>
      <c r="AH23" t="inlineStr"/>
    </row>
    <row r="24">
      <c r="A24" t="inlineStr">
        <is>
          <t>mega_gunship</t>
        </is>
      </c>
      <c r="B24" t="inlineStr">
        <is>
          <t>mega_gunship</t>
        </is>
      </c>
      <c r="C24" t="inlineStr">
        <is>
          <t>Harpy · Trực thăng khổng lồ</t>
        </is>
      </c>
      <c r="D24" t="inlineStr">
        <is>
          <t>doi_that</t>
        </is>
      </c>
      <c r="E24" t="inlineStr">
        <is>
          <t>CH-47 Chinook (cỡ khung);ACH-47A 'Guns-A-Go-Go'</t>
        </is>
      </c>
      <c r="F24" t="inlineStr">
        <is>
          <t>NEED_SOURCE</t>
        </is>
      </c>
      <c r="G24" t="inlineStr">
        <is>
          <t>NEED_SOURCE</t>
        </is>
      </c>
      <c r="H24" t="inlineStr"/>
      <c r="I24" t="inlineStr"/>
      <c r="J24" t="inlineStr"/>
      <c r="K24" t="inlineStr">
        <is>
          <t>ước đoán (ACH-47A): trực thăng hai rô-to vũ trang hạng nặng</t>
        </is>
      </c>
      <c r="L24" t="inlineStr"/>
      <c r="M24" t="inlineStr"/>
      <c r="N24" t="inlineStr"/>
      <c r="O24" t="inlineStr">
        <is>
          <t>uoc_dinh</t>
        </is>
      </c>
      <c r="P24" t="inlineStr">
        <is>
          <t>R_unit_refs;R_reference_real;W_wikipedia_boeing_ch_47_chinook;R_machine_brigade_can_bang;R_mega_gunship;R_unit_sheet</t>
        </is>
      </c>
      <c r="Q24" t="inlineStr"/>
      <c r="R24" t="inlineStr">
        <is>
          <t>chỉ ở mức ý tưởng và thông số (sự kiện); không dùng tên, logo, văn bản, ảnh hay mô hình có bản quyền; tên và phù hiệu quốc gia thật không hiện cho người chơi</t>
        </is>
      </c>
      <c r="S24">
        <f>INDEX(boss_input_kich_thuoc_that!$B$2:$B$20,MATCH($B$24,boss_input_kich_thuoc_that!$A$2:$A$20,0))</f>
        <v/>
      </c>
      <c r="T24">
        <f>INDEX(boss_input_kich_thuoc_that!$C$2:$C$20,MATCH($B$24,boss_input_kich_thuoc_that!$A$2:$A$20,0))</f>
        <v/>
      </c>
      <c r="U24">
        <f>INDEX(boss_input_kich_thuoc_that!$D$2:$D$20,MATCH($B$24,boss_input_kich_thuoc_that!$A$2:$A$20,0))</f>
        <v/>
      </c>
      <c r="V24" t="inlineStr">
        <is>
          <t>CH-47F Chinook</t>
        </is>
      </c>
      <c r="W24" t="inlineStr">
        <is>
          <t>high</t>
        </is>
      </c>
      <c r="Y24" t="inlineStr">
        <is>
          <t>ước đoán (ACH-47A): trực thăng hai rô-to vũ trang hạng nặng</t>
        </is>
      </c>
      <c r="Z24" t="inlineStr">
        <is>
          <t>CH-47 Chinook (cỡ khung), ACH-47A 'Guns-A-Go-Go' — ước đoán (ACH-47A): trực thăng hai rô-to vũ trang hạng nặng</t>
        </is>
      </c>
      <c r="AA24" t="inlineStr"/>
      <c r="AB24" t="inlineStr"/>
      <c r="AC24" t="inlineStr">
        <is>
          <t>Tools/blender/specs/mega_gunship.json: real = CH-47 Chinook (airframe size); ACH-47A 'Guns-A-Go-Go' (gun pods, door guns, chin turret); confidence = tham_khao_thuc (Chinook airframe; the ACH-47A's armament layout)</t>
        </is>
      </c>
      <c r="AD24" t="inlineStr">
        <is>
          <t>CH-47 Chinook (cỡ khung), ACH-47A 'Guns-A-Go-Go' — ước đoán (ACH-47A): trực thăng hai rô-to vũ trang hạng nặng</t>
        </is>
      </c>
      <c r="AE24" t="inlineStr">
        <is>
          <t>boss ×1,3–1,5 so với mẫu gốc (Docs/balance/Machine_Brigade_Can_bang.xlsx, sheet Hướng dẫn vẽ)</t>
        </is>
      </c>
      <c r="AF24" t="inlineStr">
        <is>
          <t>unit_refs.json ghi ước đoán</t>
        </is>
      </c>
      <c r="AG24" t="inlineStr">
        <is>
          <t>Tools/docs/unit_refs.json: mega_gunship; Tools/models/reference_real.json: units.mega_gunship</t>
        </is>
      </c>
      <c r="AH24" t="inlineStr"/>
    </row>
    <row r="25">
      <c r="A25" t="inlineStr">
        <is>
          <t>mobile_fortress</t>
        </is>
      </c>
      <c r="B25" t="inlineStr">
        <is>
          <t>mobile_fortress</t>
        </is>
      </c>
      <c r="C25" t="inlineStr">
        <is>
          <t>Jötunn · Pháo đài di động</t>
        </is>
      </c>
      <c r="D25" t="inlineStr">
        <is>
          <t>doi_that</t>
        </is>
      </c>
      <c r="E25" t="inlineStr">
        <is>
          <t>NASA Crawler-Transporter;Kharkovchanka (1959);2A44 203 mm (2S7 Pion)</t>
        </is>
      </c>
      <c r="F25" t="inlineStr">
        <is>
          <t>NEED_SOURCE</t>
        </is>
      </c>
      <c r="G25" t="inlineStr">
        <is>
          <t>NEED_SOURCE</t>
        </is>
      </c>
      <c r="H25" t="inlineStr"/>
      <c r="I25" t="inlineStr"/>
      <c r="J25" t="inlineStr">
        <is>
          <t>Star Wars</t>
        </is>
      </c>
      <c r="K25" t="inlineStr">
        <is>
          <t>pháo đài bánh xích bốn cụm, cầu chỉ huy lắp kính</t>
        </is>
      </c>
      <c r="L25" t="inlineStr"/>
      <c r="M25" t="inlineStr"/>
      <c r="N25" t="inlineStr"/>
      <c r="O25" t="inlineStr">
        <is>
          <t>uoc_dinh</t>
        </is>
      </c>
      <c r="P25" t="inlineStr">
        <is>
          <t>R_unit_refs;R_reference_real;W_wikipedia_crawler_transporter;R_machine_brigade_can_bang;R_mobile_fortress;R_unit_sheet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NASA Crawler-Transporter</t>
        </is>
      </c>
      <c r="W25" t="inlineStr">
        <is>
          <t>high</t>
        </is>
      </c>
      <c r="Y25" t="inlineStr">
        <is>
          <t>ước đoán: pháo đài bánh xích bốn cụm, cầu chỉ huy lắp kính</t>
        </is>
      </c>
      <c r="Z25" t="inlineStr">
        <is>
          <t>NASA Crawler-Transporter, Kharkovchanka (1959), 2A44 203 mm (2S7 Pion) · Sandcrawler (Star Wars) — ước đoán: pháo đài bánh xích bốn cụm, cầu chỉ huy lắp kính</t>
        </is>
      </c>
      <c r="AA25" t="inlineStr"/>
      <c r="AB25" t="inlineStr">
        <is>
          <t>1959</t>
        </is>
      </c>
      <c r="AC25"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5" t="inlineStr">
        <is>
          <t>NASA Crawler-Transporter, Kharkovchanka (1959), 2A44 203 mm (2S7 Pion) · Sandcrawler (Star Wars) — ước đoán: pháo đài bánh xích bốn cụm, cầu chỉ huy lắp kính</t>
        </is>
      </c>
      <c r="AE25" t="inlineStr">
        <is>
          <t>boss ×1,3–1,5 so với mẫu gốc (Docs/balance/Machine_Brigade_Can_bang.xlsx, sheet Hướng dẫn vẽ)</t>
        </is>
      </c>
      <c r="AF25" t="inlineStr">
        <is>
          <t>unit_refs.json ghi ước đoán</t>
        </is>
      </c>
      <c r="AG25" t="inlineStr">
        <is>
          <t>Tools/docs/unit_refs.json: mobile_fortress; Tools/models/reference_real.json: units.mobile_fortress</t>
        </is>
      </c>
      <c r="AH25" t="inlineStr"/>
    </row>
    <row r="26">
      <c r="A26" t="inlineStr">
        <is>
          <t>moloch</t>
        </is>
      </c>
      <c r="B26" t="inlineStr">
        <is>
          <t>moloch</t>
        </is>
      </c>
      <c r="C26" t="inlineStr">
        <is>
          <t>Moloch · Nhà máy di động</t>
        </is>
      </c>
      <c r="D26" t="inlineStr">
        <is>
          <t>doi_that</t>
        </is>
      </c>
      <c r="E26" t="inlineStr">
        <is>
          <t>xưởng cơ động bánh xích</t>
        </is>
      </c>
      <c r="F26" t="inlineStr">
        <is>
          <t>NEED_SOURCE</t>
        </is>
      </c>
      <c r="G26" t="inlineStr">
        <is>
          <t>NEED_SOURCE</t>
        </is>
      </c>
      <c r="H26" t="inlineStr">
        <is>
          <t>Supreme Commander;Command &amp; Conquer</t>
        </is>
      </c>
      <c r="I26" t="inlineStr">
        <is>
          <t>hình dáng: Fatboy;hình dáng: MCV / War Factory</t>
        </is>
      </c>
      <c r="J26" t="inlineStr"/>
      <c r="K26" t="inlineStr">
        <is>
          <t>nhà máy di động của Varga, bốn tháp 120 mm</t>
        </is>
      </c>
      <c r="L26" t="inlineStr"/>
      <c r="M26" t="inlineStr">
        <is>
          <t>gia_tuong</t>
        </is>
      </c>
      <c r="N26" t="inlineStr"/>
      <c r="O26" t="inlineStr">
        <is>
          <t>uoc_dinh</t>
        </is>
      </c>
      <c r="P26" t="inlineStr">
        <is>
          <t>R_unit_refs;R_reference_real;R_machine_brigade_can_bang;R_moloch;R_mb_p20_bosses;R_unit_sheet</t>
        </is>
      </c>
      <c r="Q26" t="inlineStr">
        <is>
          <t>reference_real.json: fictional (mẫu 'tracked mobile factory', thiết kế giả tưởng)</t>
        </is>
      </c>
      <c r="R26" t="inlineStr">
        <is>
          <t>chỉ ở mức ý tưởng và thông số (sự kiện); không dùng tên, logo, văn bản, ảnh hay mô hình có bản quyền; tên và phù hiệu quốc gia thật không hiện cho người chơi</t>
        </is>
      </c>
      <c r="S26" t="inlineStr">
        <is>
          <t>NEED_SOURCE</t>
        </is>
      </c>
      <c r="T26" t="inlineStr">
        <is>
          <t>NEED_SOURCE</t>
        </is>
      </c>
      <c r="U26" t="inlineStr">
        <is>
          <t>NEED_SOURCE</t>
        </is>
      </c>
      <c r="V26" t="inlineStr">
        <is>
          <t>tracked mobile factory</t>
        </is>
      </c>
      <c r="W26" t="inlineStr">
        <is>
          <t>inspiration</t>
        </is>
      </c>
      <c r="Y26" t="inlineStr">
        <is>
          <t>ước đoán: nhà máy di động của Varga, bốn tháp 120 mm</t>
        </is>
      </c>
      <c r="Z26" t="inlineStr">
        <is>
          <t>xưởng cơ động bánh xích · Fatboy (Supreme Commander), MCV / War Factory (Command &amp; Conquer) — ước đoán: nhà máy di động</t>
        </is>
      </c>
      <c r="AA26" t="inlineStr"/>
      <c r="AB26" t="inlineStr"/>
      <c r="AC26"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6" t="inlineStr">
        <is>
          <t>xưởng cơ động bánh xích · Fatboy (Supreme Commander), MCV / War Factory (Command &amp; Conquer) — ước đoán: nhà máy di động</t>
        </is>
      </c>
      <c r="AE26" t="inlineStr">
        <is>
          <t>boss ×1,3–1,5 so với mẫu gốc (Docs/balance/Machine_Brigade_Can_bang.xlsx, sheet Hướng dẫn vẽ)</t>
        </is>
      </c>
      <c r="AF26" t="inlineStr">
        <is>
          <t>reference_real.json: fictional; unit_refs.json ghi ước đoán</t>
        </is>
      </c>
      <c r="AG26" t="inlineStr">
        <is>
          <t>Tools/docs/unit_refs.json: moloch; Tools/models/reference_real.json: units.moloch</t>
        </is>
      </c>
      <c r="AH26" t="inlineStr"/>
    </row>
    <row r="27">
      <c r="A27" t="inlineStr">
        <is>
          <t>monster</t>
        </is>
      </c>
      <c r="B27" t="inlineStr">
        <is>
          <t>monster</t>
        </is>
      </c>
      <c r="C27" t="inlineStr">
        <is>
          <t>Monster · Pháo tự hành 800 mm</t>
        </is>
      </c>
      <c r="D27" t="inlineStr">
        <is>
          <t>doi_that</t>
        </is>
      </c>
      <c r="E27" t="inlineStr">
        <is>
          <t>2B1 Oka (420 mm);Object 271 (1957)</t>
        </is>
      </c>
      <c r="F27" t="inlineStr">
        <is>
          <t>NEED_SOURCE</t>
        </is>
      </c>
      <c r="G27" t="inlineStr">
        <is>
          <t>NEED_SOURCE</t>
        </is>
      </c>
      <c r="H27" t="inlineStr"/>
      <c r="I27" t="inlineStr"/>
      <c r="J27" t="inlineStr"/>
      <c r="K27" t="inlineStr">
        <is>
          <t>Pháo tự hành 800 mm khổng lồ trên xích</t>
        </is>
      </c>
      <c r="L27" t="inlineStr"/>
      <c r="M27" t="inlineStr">
        <is>
          <t>gia_tuong</t>
        </is>
      </c>
      <c r="N27" t="inlineStr"/>
      <c r="O27" t="inlineStr">
        <is>
          <t>ban_dau_doan</t>
        </is>
      </c>
      <c r="P27" t="inlineStr">
        <is>
          <t>R_unit_refs;R_reference_real;R_monster</t>
        </is>
      </c>
      <c r="Q27" t="inlineStr">
        <is>
          <t>reference_real.json: fictional giant (mẫu '2B1 Oka / Object 271',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2B1 Oka / Object 271</t>
        </is>
      </c>
      <c r="W27" t="inlineStr">
        <is>
          <t>inspiration</t>
        </is>
      </c>
      <c r="Y27" t="inlineStr">
        <is>
          <t>Pháo tự hành 800 mm khổng lồ trên xích</t>
        </is>
      </c>
      <c r="Z27" t="inlineStr"/>
      <c r="AA27" t="inlineStr"/>
      <c r="AB27" t="inlineStr"/>
      <c r="AC27" t="inlineStr">
        <is>
          <t>Tools/blender/specs/monster.json: real = 2B1 Oka (420 mm self-propelled mortar); Object 271 (1957); the def's 800 mm siege gun; confidence = ban_dau_doan (a fictional super-heavy SPG after the 2B1 Oka / Object 271 layout; no card text)</t>
        </is>
      </c>
      <c r="AD27" t="inlineStr"/>
      <c r="AE27" t="inlineStr">
        <is>
          <t>boss ×1,3–1,5 so với mẫu gốc (Docs/balance/Machine_Brigade_Can_bang.xlsx, sheet Hướng dẫn vẽ)</t>
        </is>
      </c>
      <c r="AF27" t="inlineStr">
        <is>
          <t>reference_real.json: fictional giant</t>
        </is>
      </c>
      <c r="AG27" t="inlineStr">
        <is>
          <t>Tools/docs/unit_refs.json: monster; Tools/models/reference_real.json: units.monster</t>
        </is>
      </c>
      <c r="AH27" t="inlineStr"/>
    </row>
    <row r="28">
      <c r="A28" t="inlineStr">
        <is>
          <t>nuke_train</t>
        </is>
      </c>
      <c r="B28" t="inlineStr">
        <is>
          <t>nuke_train</t>
        </is>
      </c>
      <c r="C28" t="inlineStr">
        <is>
          <t>Nemesis · Đoàn tàu tên lửa</t>
        </is>
      </c>
      <c r="D28" t="inlineStr">
        <is>
          <t>doi_that</t>
        </is>
      </c>
      <c r="E28" t="inlineStr">
        <is>
          <t>RT-23 Molodets (tàu tên lửa BZhRK);MIM-104 Patriot</t>
        </is>
      </c>
      <c r="F28" t="inlineStr">
        <is>
          <t>NEED_SOURCE</t>
        </is>
      </c>
      <c r="G28" t="inlineStr">
        <is>
          <t>NEED_SOURCE</t>
        </is>
      </c>
      <c r="H28" t="inlineStr"/>
      <c r="I28" t="inlineStr"/>
      <c r="J28" t="inlineStr"/>
      <c r="K28" t="inlineStr">
        <is>
          <t>đoàn tàu bọc thép mang tên lửa đạn đạo</t>
        </is>
      </c>
      <c r="L28" t="inlineStr"/>
      <c r="M28" t="inlineStr">
        <is>
          <t>gia_tuong</t>
        </is>
      </c>
      <c r="N28" t="inlineStr"/>
      <c r="O28" t="inlineStr">
        <is>
          <t>uoc_dinh</t>
        </is>
      </c>
      <c r="P28" t="inlineStr">
        <is>
          <t>R_unit_refs;R_reference_real;R_machine_brigade_can_bang;R_nuke_train;R_unit_sheet</t>
        </is>
      </c>
      <c r="Q28" t="inlineStr">
        <is>
          <t>reference_real.json: a train set (mẫu 'RT-23 Molodets BZhRK',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RT-23 Molodets BZhRK</t>
        </is>
      </c>
      <c r="W28" t="inlineStr">
        <is>
          <t>inspiration</t>
        </is>
      </c>
      <c r="Y28" t="inlineStr">
        <is>
          <t>ước đoán: đoàn tàu bọc thép mang tên lửa đạn đạo</t>
        </is>
      </c>
      <c r="Z28" t="inlineStr">
        <is>
          <t>RT-23 Molodets (tàu tên lửa BZhRK), MIM-104 Patriot — ước đoán: đoàn tàu bọc thép mang tên lửa đạn đạo</t>
        </is>
      </c>
      <c r="AA28" t="inlineStr"/>
      <c r="AB28" t="inlineStr"/>
      <c r="AC28"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8" t="inlineStr">
        <is>
          <t>RT-23 Molodets (tàu tên lửa BZhRK), MIM-104 Patriot — ước đoán: đoàn tàu bọc thép mang tên lửa đạn đạo</t>
        </is>
      </c>
      <c r="AE28" t="inlineStr">
        <is>
          <t>boss ×1,3–1,5 so với mẫu gốc (Docs/balance/Machine_Brigade_Can_bang.xlsx, sheet Hướng dẫn vẽ)</t>
        </is>
      </c>
      <c r="AF28" t="inlineStr">
        <is>
          <t>reference_real.json: a train set; unit_refs.json ghi ước đoán</t>
        </is>
      </c>
      <c r="AG28" t="inlineStr">
        <is>
          <t>Tools/docs/unit_refs.json: nuke_train; Tools/models/reference_real.json: units.nuke_train</t>
        </is>
      </c>
      <c r="AH28" t="inlineStr"/>
    </row>
    <row r="29">
      <c r="A29" t="inlineStr">
        <is>
          <t>nyx</t>
        </is>
      </c>
      <c r="B29" t="inlineStr">
        <is>
          <t>nyx</t>
        </is>
      </c>
      <c r="C29" t="inlineStr">
        <is>
          <t>Nyx · Tàu khu trục tàng hình</t>
        </is>
      </c>
      <c r="D29" t="inlineStr">
        <is>
          <t>NEED_SOURCE</t>
        </is>
      </c>
      <c r="E29" t="inlineStr"/>
      <c r="F29" t="inlineStr">
        <is>
          <t>NEED_SOURCE</t>
        </is>
      </c>
      <c r="G29" t="inlineStr">
        <is>
          <t>NEED_SOURCE</t>
        </is>
      </c>
      <c r="H29" t="inlineStr"/>
      <c r="I29" t="inlineStr"/>
      <c r="J29" t="inlineStr"/>
      <c r="K29" t="inlineStr"/>
      <c r="L29" t="inlineStr"/>
      <c r="M29" t="inlineStr"/>
      <c r="N29" t="inlineStr"/>
      <c r="O29" t="inlineStr">
        <is>
          <t>NEED_SOURCE</t>
        </is>
      </c>
      <c r="P29" t="inlineStr">
        <is>
          <t>R_nyx</t>
        </is>
      </c>
      <c r="Q29" t="inlineStr">
        <is>
          <t>repo không có tham chiếu cho thực thể này (unit_refs.json, reference_real.json, bảng cân bằng)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Z29" t="inlineStr"/>
      <c r="AA29" t="inlineStr"/>
      <c r="AB29" t="inlineStr"/>
      <c r="AC29" t="inlineStr">
        <is>
          <t>Tools/blender/specs/nyx.json: real = Zumwalt-class destroyer (tumblehome hull, wave-piercing bow, pyramid deckhouse, peripheral VLS) with a railgun; confidence = ban_dau_doan (no sheet shape note; BossText note and tip, the old builder)</t>
        </is>
      </c>
      <c r="AD29" t="inlineStr"/>
      <c r="AE29" t="inlineStr"/>
      <c r="AF29" t="inlineStr"/>
      <c r="AG29" t="inlineStr">
        <is>
          <t>Tools/docs/unit_refs.json: nyx; Tools/models/reference_real.json: units.nyx</t>
        </is>
      </c>
      <c r="AH29" t="inlineStr"/>
    </row>
    <row r="30">
      <c r="A30" t="inlineStr">
        <is>
          <t>scylla</t>
        </is>
      </c>
      <c r="B30" t="inlineStr">
        <is>
          <t>scylla</t>
        </is>
      </c>
      <c r="C30" t="inlineStr">
        <is>
          <t>Scylla · Tàu khu trục</t>
        </is>
      </c>
      <c r="D30" t="inlineStr">
        <is>
          <t>doi_that</t>
        </is>
      </c>
      <c r="E30" t="inlineStr">
        <is>
          <t>Sovremenny-class (khu trục hạm);Kirov-class</t>
        </is>
      </c>
      <c r="F30" t="inlineStr">
        <is>
          <t>NEED_SOURCE</t>
        </is>
      </c>
      <c r="G30" t="inlineStr">
        <is>
          <t>NEED_SOURCE</t>
        </is>
      </c>
      <c r="H30" t="inlineStr"/>
      <c r="I30" t="inlineStr"/>
      <c r="J30" t="inlineStr"/>
      <c r="K30" t="inlineStr">
        <is>
          <t>Bản nhỏ của Leviathan</t>
        </is>
      </c>
      <c r="L30" t="inlineStr"/>
      <c r="M30" t="inlineStr"/>
      <c r="N30" t="inlineStr"/>
      <c r="O30" t="inlineStr">
        <is>
          <t>ban_dau_doan</t>
        </is>
      </c>
      <c r="P30" t="inlineStr">
        <is>
          <t>R_unit_refs;R_machine_brigade_can_bang;R_unit_sheet</t>
        </is>
      </c>
      <c r="Q30" t="inlineStr"/>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Y30" t="inlineStr">
        <is>
          <t>Bản nhỏ của Leviathan</t>
        </is>
      </c>
      <c r="Z30" t="inlineStr">
        <is>
          <t>Sovremenny-class (khu trục hạm), Kirov-class — Bản nhỏ của Leviathan</t>
        </is>
      </c>
      <c r="AA30" t="inlineStr">
        <is>
          <t>Sovremenny (AK-130, P-270 Moskit)</t>
        </is>
      </c>
      <c r="AB30" t="inlineStr"/>
      <c r="AC30" t="inlineStr"/>
      <c r="AD30" t="inlineStr">
        <is>
          <t>Sovremenny-class (khu trục hạm), Kirov-class — Bản nhỏ của Leviathan</t>
        </is>
      </c>
      <c r="AE30" t="inlineStr">
        <is>
          <t>boss ×1,3–1,5 so với mẫu gốc (Docs/balance/Machine_Brigade_Can_bang.xlsx, sheet Hướng dẫn vẽ)</t>
        </is>
      </c>
      <c r="AF30" t="inlineStr"/>
      <c r="AG30" t="inlineStr">
        <is>
          <t>Tools/docs/unit_refs.json: scylla; Tools/models/reference_real.json: units.scylla</t>
        </is>
      </c>
      <c r="AH30" t="inlineStr"/>
    </row>
    <row r="31">
      <c r="A31" t="inlineStr">
        <is>
          <t>silver_bug</t>
        </is>
      </c>
      <c r="B31" t="inlineStr">
        <is>
          <t>silver_bug</t>
        </is>
      </c>
      <c r="C31" t="inlineStr">
        <is>
          <t>Icarus · Phi thuyền quỹ đạo</t>
        </is>
      </c>
      <c r="D31" t="inlineStr">
        <is>
          <t>gia_tuong</t>
        </is>
      </c>
      <c r="E31" t="inlineStr"/>
      <c r="F31" t="inlineStr"/>
      <c r="G31" t="inlineStr"/>
      <c r="H31" t="inlineStr">
        <is>
          <t>Halo;Mass Effect</t>
        </is>
      </c>
      <c r="I31" t="inlineStr">
        <is>
          <t>hình dáng: Tàu frigate UNSC lớp Charon (pháo dọc sống tàu, khoang sườn có động cơ RCS và tháp pháo);hình dáng: Normandy SR-2 (hai gondola động cơ ở đuôi có vây nghiêng)</t>
        </is>
      </c>
      <c r="J31" t="inlineStr">
        <is>
          <t>Star Wars;CR90, Star Wars;The Expanse;Battlestar Galactica</t>
        </is>
      </c>
      <c r="K31" t="inlineStr">
        <is>
          <t>Icarus: chiến hạm vũ trụ cỡ nhỏ, thân mũi dao 36 m, hai khoang sườn, thượng tầng bậc thang, tháp chỉ huy đầu búa phía sau, bảy động cơ ở đuôi (play-test 9, DECISIONS 23M)</t>
        </is>
      </c>
      <c r="L31" t="inlineStr"/>
      <c r="M31" t="inlineStr">
        <is>
          <t>gia_tuong</t>
        </is>
      </c>
      <c r="N31" t="inlineStr"/>
      <c r="O31" t="inlineStr">
        <is>
          <t>ban_dau_doan</t>
        </is>
      </c>
      <c r="P31" t="inlineStr">
        <is>
          <t>R_unit_refs;R_reference_real;R_machine_brigade_can_bang;R_mb_redesign_20y;R_unit_sheet</t>
        </is>
      </c>
      <c r="Q31" t="inlineStr">
        <is>
          <t>reference_real.json: fictional (mẫu 'Icarus (alien craft)', thiết kế giả tưởng)</t>
        </is>
      </c>
      <c r="R31" t="inlineStr">
        <is>
          <t>chỉ ở mức ý tưởng và thông số (sự kiện); không dùng tên, logo, văn bản, ảnh hay mô hình có bản quyền; tên và phù hiệu quốc gia thật không hiện cho người chơi</t>
        </is>
      </c>
      <c r="S31" t="inlineStr"/>
      <c r="T31" t="inlineStr"/>
      <c r="U31" t="inlineStr"/>
      <c r="V31" t="inlineStr">
        <is>
          <t>Icarus (alien craft)</t>
        </is>
      </c>
      <c r="W31" t="inlineStr">
        <is>
          <t>inspiration</t>
        </is>
      </c>
      <c r="Y31" t="inlineStr">
        <is>
          <t>Icarus: chiến hạm vũ trụ cỡ nhỏ, thân mũi dao 36 m, hai khoang sườn, thượng tầng bậc thang, tháp chỉ huy đầu búa phía sau, bảy động cơ ở đuôi (play-test 9, DECISIONS 23M)</t>
        </is>
      </c>
      <c r="Z31" t="inlineStr">
        <is>
          <t>Polyus / Skif-DM (trạm vũ khí quỹ đạo Liên Xô, 1987), ISS (giàn chính, cánh pin mặt trời, tấm tản nhiệt), Hubble / KH-11 (ống kính, cửa</t>
        </is>
      </c>
      <c r="AA31" t="inlineStr">
        <is>
          <t>Thang máu boss (Tổng quan) | Polyus/Skif-DM; SOLG (Ace Combat 5)</t>
        </is>
      </c>
      <c r="AB31" t="inlineStr"/>
      <c r="AC3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1" t="inlineStr">
        <is>
          <t>Polyus / Skif-DM (trạm vũ khí quỹ đạo Liên Xô, 1987), ISS (giàn chính, cánh pin mặt trời, tấm tản nhiệt), Hubble / KH-11 (ống kính, cửa</t>
        </is>
      </c>
      <c r="AE31" t="inlineStr"/>
      <c r="AF31" t="inlineStr">
        <is>
          <t>reference_real.json: fictional</t>
        </is>
      </c>
      <c r="AG31" t="inlineStr">
        <is>
          <t>Tools/docs/unit_refs.json: silver_bug; Tools/models/reference_real.json: units.silver_bug</t>
        </is>
      </c>
      <c r="AH31" t="inlineStr"/>
    </row>
    <row r="32">
      <c r="A32" t="inlineStr">
        <is>
          <t>typhon</t>
        </is>
      </c>
      <c r="B32" t="inlineStr">
        <is>
          <t>typhon</t>
        </is>
      </c>
      <c r="C32" t="inlineStr">
        <is>
          <t>Typhon · Tàu ngầm tên lửa</t>
        </is>
      </c>
      <c r="D32" t="inlineStr">
        <is>
          <t>doi_that</t>
        </is>
      </c>
      <c r="E32" t="inlineStr">
        <is>
          <t>Project 941 Akula (Typhoon)</t>
        </is>
      </c>
      <c r="F32" t="inlineStr">
        <is>
          <t>NEED_SOURCE</t>
        </is>
      </c>
      <c r="G32" t="inlineStr">
        <is>
          <t>NEED_SOURCE</t>
        </is>
      </c>
      <c r="H32" t="inlineStr"/>
      <c r="I32" t="inlineStr"/>
      <c r="J32" t="inlineStr">
        <is>
          <t>The Hunt for Red October</t>
        </is>
      </c>
      <c r="K32" t="inlineStr">
        <is>
          <t>Tàu ngầm tên lửa</t>
        </is>
      </c>
      <c r="L32" t="inlineStr"/>
      <c r="M32" t="inlineStr"/>
      <c r="N32" t="inlineStr"/>
      <c r="O32" t="inlineStr">
        <is>
          <t>da_kiem_chung</t>
        </is>
      </c>
      <c r="P32" t="inlineStr">
        <is>
          <t>R_unit_refs;R_reference_real;W_wikipedia_typhoon_class_submarine;R_machine_brigade_can_bang;R_typhon;R_mb_p20_bosses;R_unit_sheet</t>
        </is>
      </c>
      <c r="Q32" t="inlineStr"/>
      <c r="R32" t="inlineStr">
        <is>
          <t>chỉ ở mức ý tưởng và thông số (sự kiện); không dùng tên, logo, văn bản, ảnh hay mô hình có bản quyền; tên và phù hiệu quốc gia thật không hiện cho người chơi</t>
        </is>
      </c>
      <c r="S32">
        <f>INDEX(boss_input_kich_thuoc_that!$B$2:$B$20,MATCH($B$32,boss_input_kich_thuoc_that!$A$2:$A$20,0))</f>
        <v/>
      </c>
      <c r="T32">
        <f>INDEX(boss_input_kich_thuoc_that!$C$2:$C$20,MATCH($B$32,boss_input_kich_thuoc_that!$A$2:$A$20,0))</f>
        <v/>
      </c>
      <c r="U32" t="inlineStr">
        <is>
          <t>NEED_SOURCE</t>
        </is>
      </c>
      <c r="V32" t="inlineStr">
        <is>
          <t>Project 941 Akula (Typhoon)</t>
        </is>
      </c>
      <c r="W32" t="inlineStr">
        <is>
          <t>high</t>
        </is>
      </c>
      <c r="Y32" t="inlineStr">
        <is>
          <t>Tàu ngầm tên lửa</t>
        </is>
      </c>
      <c r="Z32" t="inlineStr">
        <is>
          <t>Project 941 Akula (Typhoon) · The Hunt for Red October (1990) — Tàu ngầm tên lửa</t>
        </is>
      </c>
      <c r="AA32" t="inlineStr">
        <is>
          <t>Project 941</t>
        </is>
      </c>
      <c r="AB32" t="inlineStr">
        <is>
          <t>1990</t>
        </is>
      </c>
      <c r="AC32"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2" t="inlineStr">
        <is>
          <t>Project 941 Akula (Typhoon) · The Hunt for Red October (1990) — Tàu ngầm tên lửa</t>
        </is>
      </c>
      <c r="AE32" t="inlineStr">
        <is>
          <t>boss ×1,3–1,5 so với mẫu gốc (Docs/balance/Machine_Brigade_Can_bang.xlsx, sheet Hướng dẫn vẽ)</t>
        </is>
      </c>
      <c r="AF32" t="inlineStr"/>
      <c r="AG32" t="inlineStr">
        <is>
          <t>Tools/docs/unit_refs.json: typhon; Tools/models/reference_real.json: units.typhon</t>
        </is>
      </c>
      <c r="AH32" t="inlineStr"/>
    </row>
  </sheetData>
  <autoFilter ref="A1:AH32"/>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3"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60/INDEX(boss_input_nhip_that!$B$2:$B$61,MATCH($P$2,boss_input_nhip_that!$A$2:$A$61,0))/IF(INDEX(boss_input_nhip_that!$C$2:$C$61,MATCH($P$2,boss_input_nhip_that!$A$2:$A$61,0))="gun",0.7,1)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60/INDEX(boss_input_nhip_that!$B$2:$B$61,MATCH($P$3,boss_input_nhip_that!$A$2:$A$61,0))/IF(INDEX(boss_input_nhip_that!$C$2:$C$61,MATCH($P$3,boss_input_nhip_that!$A$2:$A$61,0))="gun",0.7,1)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60/INDEX(boss_input_nhip_that!$B$2:$B$61,MATCH($P$4,boss_input_nhip_that!$A$2:$A$61,0))/IF(INDEX(boss_input_nhip_that!$C$2:$C$61,MATCH($P$4,boss_input_nhip_that!$A$2:$A$61,0))="gun",0.7,1)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armored_train/boss_rockets/nhip</t>
        </is>
      </c>
      <c r="B5" t="inlineStr">
        <is>
          <t>armored_train</t>
        </is>
      </c>
      <c r="C5" t="inlineStr">
        <is>
          <t>khe_mot_nong_mot_vien</t>
        </is>
      </c>
      <c r="D5" t="inlineStr">
        <is>
          <t>s</t>
        </is>
      </c>
      <c r="E5" t="n">
        <v>0.5</v>
      </c>
      <c r="F5">
        <f>60/INDEX(boss_input_nhip_that!$B$2:$B$61,MATCH($P$5,boss_input_nhip_that!$A$2:$A$61,0))/IF(INDEX(boss_input_nhip_that!$C$2:$C$61,MATCH($P$5,boss_input_nhip_that!$A$2:$A$61,0))="gun",0.7,1)</f>
        <v/>
      </c>
      <c r="G5">
        <f>$E$5/$F$5</f>
        <v/>
      </c>
      <c r="H5" t="n">
        <v>0.6</v>
      </c>
      <c r="I5" t="n">
        <v>2</v>
      </c>
      <c r="J5" t="b">
        <v>0</v>
      </c>
      <c r="K5" t="inlineStr"/>
      <c r="L5">
        <f>IF(ISNUMBER($H$5),AND(NOT($J$5),OR($G$5&lt;$H$5,$G$5&gt;$I$5)),FALSE)</f>
        <v/>
      </c>
      <c r="M5" t="inlineStr"/>
      <c r="N5" t="inlineStr">
        <is>
          <t>R_balance;R_full_weapon_audit;W_wikipedia_bm_21_grad;R_machine_brigade_can_bang</t>
        </is>
      </c>
      <c r="O5" t="inlineStr">
        <is>
          <t>nhịp pháo boss so với hệ thống thật (định nghĩa như 01_chien_dau/Vu_khi_so_sanh_that)</t>
        </is>
      </c>
      <c r="P5" t="inlineStr">
        <is>
          <t>boss_rockets</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60/INDEX(boss_input_nhip_that!$B$2:$B$61,MATCH($P$6,boss_input_nhip_that!$A$2:$A$61,0))/IF(INDEX(boss_input_nhip_that!$C$2:$C$61,MATCH($P$6,boss_input_nhip_that!$A$2:$A$61,0))="gun",0.7,1)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60/INDEX(boss_input_nhip_that!$B$2:$B$61,MATCH($P$7,boss_input_nhip_that!$A$2:$A$61,0))/IF(INDEX(boss_input_nhip_that!$C$2:$C$61,MATCH($P$7,boss_input_nhip_that!$A$2:$A$61,0))="gun",0.7,1)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60/INDEX(boss_input_nhip_that!$B$2:$B$61,MATCH($P$8,boss_input_nhip_that!$A$2:$A$61,0))/IF(INDEX(boss_input_nhip_that!$C$2:$C$61,MATCH($P$8,boss_input_nhip_that!$A$2:$A$61,0))="gun",0.7,1)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60/INDEX(boss_input_nhip_that!$B$2:$B$61,MATCH($P$9,boss_input_nhip_that!$A$2:$A$61,0))/IF(INDEX(boss_input_nhip_that!$C$2:$C$61,MATCH($P$9,boss_input_nhip_that!$A$2:$A$61,0))="gun",0.7,1)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60/INDEX(boss_input_nhip_that!$B$2:$B$61,MATCH($P$10,boss_input_nhip_that!$A$2:$A$61,0))/IF(INDEX(boss_input_nhip_that!$C$2:$C$61,MATCH($P$10,boss_input_nhip_that!$A$2:$A$61,0))="gun",0.7,1)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60/INDEX(boss_input_nhip_that!$B$2:$B$61,MATCH($P$11,boss_input_nhip_that!$A$2:$A$61,0))/IF(INDEX(boss_input_nhip_that!$C$2:$C$61,MATCH($P$11,boss_input_nhip_that!$A$2:$A$61,0))="gun",0.7,1)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60/INDEX(boss_input_nhip_that!$B$2:$B$61,MATCH($P$12,boss_input_nhip_that!$A$2:$A$61,0))/IF(INDEX(boss_input_nhip_that!$C$2:$C$61,MATCH($P$12,boss_input_nhip_that!$A$2:$A$61,0))="gun",0.7,1)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60/INDEX(boss_input_nhip_that!$B$2:$B$61,MATCH($P$13,boss_input_nhip_that!$A$2:$A$61,0))/IF(INDEX(boss_input_nhip_that!$C$2:$C$61,MATCH($P$13,boss_input_nhip_that!$A$2:$A$61,0))="gun",0.7,1)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60/INDEX(boss_input_nhip_that!$B$2:$B$61,MATCH($P$14,boss_input_nhip_that!$A$2:$A$61,0))/IF(INDEX(boss_input_nhip_that!$C$2:$C$61,MATCH($P$14,boss_input_nhip_that!$A$2:$A$61,0))="gun",0.7,1)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60/INDEX(boss_input_nhip_that!$B$2:$B$61,MATCH($P$15,boss_input_nhip_that!$A$2:$A$61,0))/IF(INDEX(boss_input_nhip_that!$C$2:$C$61,MATCH($P$15,boss_input_nhip_that!$A$2:$A$61,0))="gun",0.7,1)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60/INDEX(boss_input_nhip_that!$B$2:$B$61,MATCH($P$16,boss_input_nhip_that!$A$2:$A$61,0))/IF(INDEX(boss_input_nhip_that!$C$2:$C$61,MATCH($P$16,boss_input_nhip_that!$A$2:$A$61,0))="gun",0.7,1)</f>
        <v/>
      </c>
      <c r="G16">
        <f>$E$16/$F$16</f>
        <v/>
      </c>
      <c r="H16" t="n">
        <v>0.6</v>
      </c>
      <c r="I16" t="n">
        <v>2</v>
      </c>
      <c r="J16" t="b">
        <v>0</v>
      </c>
      <c r="K16" t="inlineStr"/>
      <c r="L16">
        <f>IF(ISNUMBER($H$16),AND(NOT($J$16),OR($G$16&lt;$H$16,$G$16&gt;$I$16)),FALSE)</f>
        <v/>
      </c>
      <c r="M16" t="inlineStr">
        <is>
          <t>TC0106</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60/INDEX(boss_input_nhip_that!$B$2:$B$61,MATCH($P$17,boss_input_nhip_that!$A$2:$A$61,0))/IF(INDEX(boss_input_nhip_that!$C$2:$C$61,MATCH($P$17,boss_input_nhip_that!$A$2:$A$61,0))="gun",0.7,1)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60/INDEX(boss_input_nhip_that!$B$2:$B$61,MATCH($P$18,boss_input_nhip_that!$A$2:$A$61,0))/IF(INDEX(boss_input_nhip_that!$C$2:$C$61,MATCH($P$18,boss_input_nhip_that!$A$2:$A$61,0))="gun",0.7,1)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60/INDEX(boss_input_nhip_that!$B$2:$B$61,MATCH($P$19,boss_input_nhip_that!$A$2:$A$61,0))/IF(INDEX(boss_input_nhip_that!$C$2:$C$61,MATCH($P$19,boss_input_nhip_that!$A$2:$A$61,0))="gun",0.7,1)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60/INDEX(boss_input_nhip_that!$B$2:$B$61,MATCH($P$20,boss_input_nhip_that!$A$2:$A$61,0))/IF(INDEX(boss_input_nhip_that!$C$2:$C$61,MATCH($P$20,boss_input_nhip_that!$A$2:$A$61,0))="gun",0.7,1)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60/INDEX(boss_input_nhip_that!$B$2:$B$61,MATCH($P$21,boss_input_nhip_that!$A$2:$A$61,0))/IF(INDEX(boss_input_nhip_that!$C$2:$C$61,MATCH($P$21,boss_input_nhip_that!$A$2:$A$61,0))="gun",0.7,1)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command_airship/p26_roc_close_twin_30_bmpt/nhip</t>
        </is>
      </c>
      <c r="B22" t="inlineStr">
        <is>
          <t>command_airship</t>
        </is>
      </c>
      <c r="C22" t="inlineStr">
        <is>
          <t>khe_mot_nong_mot_vien</t>
        </is>
      </c>
      <c r="D22" t="inlineStr">
        <is>
          <t>s</t>
        </is>
      </c>
      <c r="E22" t="n">
        <v>0.3943833</v>
      </c>
      <c r="F22">
        <f>60/INDEX(boss_input_nhip_that!$B$2:$B$61,MATCH($P$22,boss_input_nhip_that!$A$2:$A$61,0))/IF(INDEX(boss_input_nhip_that!$C$2:$C$61,MATCH($P$22,boss_input_nhip_that!$A$2:$A$61,0))="gun",0.7,1)</f>
        <v/>
      </c>
      <c r="G22">
        <f>$E$22/$F$22</f>
        <v/>
      </c>
      <c r="H22" t="n">
        <v>0.6</v>
      </c>
      <c r="I22" t="n">
        <v>2</v>
      </c>
      <c r="J22" t="b">
        <v>1</v>
      </c>
      <c r="K22" t="inlineStr">
        <is>
          <t>fix_weapon_reasons.json: wave 1 twin_30_bmpt: 12 rounds at 720 rpm, 1.45 s after (wave 1's 1.5 s is a hair over 2 x the practical rate)</t>
        </is>
      </c>
      <c r="L22">
        <f>IF(ISNUMBER($H$22),AND(NOT($J$22),OR($G$22&lt;$H$22,$G$22&gt;$I$22)),FALSE)</f>
        <v/>
      </c>
      <c r="M22" t="inlineStr"/>
      <c r="N22" t="inlineStr">
        <is>
          <t>R_balance;R_full_weapon_audit;W_wikipedia_2a42</t>
        </is>
      </c>
      <c r="O22" t="inlineStr">
        <is>
          <t>nhịp pháo boss so với hệ thống thật (định nghĩa như 01_chien_dau/Vu_khi_so_sanh_that)</t>
        </is>
      </c>
      <c r="P22" t="inlineStr">
        <is>
          <t>p26_roc_close_twin_30_bmpt</t>
        </is>
      </c>
      <c r="Q22" t="inlineStr">
        <is>
          <t>Tools/balance/full_weapon_audit.py (bảng REAL) qua input_nhip_that / input_ty_le_nhip</t>
        </is>
      </c>
      <c r="R22" t="inlineStr"/>
    </row>
    <row r="23">
      <c r="A23" t="inlineStr">
        <is>
          <t>command_airship/p26_roc_direct_roc_atgm/nhip</t>
        </is>
      </c>
      <c r="B23" t="inlineStr">
        <is>
          <t>command_airship</t>
        </is>
      </c>
      <c r="C23" t="inlineStr">
        <is>
          <t>khe_mot_nong_mot_vien</t>
        </is>
      </c>
      <c r="D23" t="inlineStr">
        <is>
          <t>s</t>
        </is>
      </c>
      <c r="E23" t="n">
        <v>20</v>
      </c>
      <c r="F23">
        <f>60/INDEX(boss_input_nhip_that!$B$2:$B$61,MATCH($P$23,boss_input_nhip_that!$A$2:$A$61,0))/IF(INDEX(boss_input_nhip_that!$C$2:$C$61,MATCH($P$23,boss_input_nhip_that!$A$2:$A$61,0))="gun",0.7,1)</f>
        <v/>
      </c>
      <c r="G23">
        <f>$E$23/$F$23</f>
        <v/>
      </c>
      <c r="H23" t="n">
        <v>0.6</v>
      </c>
      <c r="I23" t="n">
        <v>2</v>
      </c>
      <c r="J23" t="b">
        <v>0</v>
      </c>
      <c r="K23" t="inlineStr"/>
      <c r="L23">
        <f>IF(ISNUMBER($H$23),AND(NOT($J$23),OR($G$23&lt;$H$23,$G$23&gt;$I$23)),FALSE)</f>
        <v/>
      </c>
      <c r="M23" t="inlineStr"/>
      <c r="N23" t="inlineStr">
        <is>
          <t>R_balance;R_full_weapon_audit;W_wikipedia_9m133_kornet</t>
        </is>
      </c>
      <c r="O23" t="inlineStr">
        <is>
          <t>nhịp pháo boss so với hệ thống thật (định nghĩa như 01_chien_dau/Vu_khi_so_sanh_that)</t>
        </is>
      </c>
      <c r="P23" t="inlineStr">
        <is>
          <t>p26_roc_direct_roc_atgm</t>
        </is>
      </c>
      <c r="Q23" t="inlineStr">
        <is>
          <t>Tools/balance/full_weapon_audit.py (bảng REAL) qua input_nhip_that / input_ty_le_nhip</t>
        </is>
      </c>
      <c r="R23" t="inlineStr"/>
    </row>
    <row r="24">
      <c r="A24" t="inlineStr">
        <is>
          <t>command_airship/p26_roc_main_roc_bombs/nhip</t>
        </is>
      </c>
      <c r="B24" t="inlineStr">
        <is>
          <t>command_airship</t>
        </is>
      </c>
      <c r="C24" t="inlineStr">
        <is>
          <t>khe_mot_nong_mot_vien</t>
        </is>
      </c>
      <c r="D24" t="inlineStr">
        <is>
          <t>s</t>
        </is>
      </c>
      <c r="E24" t="n">
        <v>0.3</v>
      </c>
      <c r="F24">
        <f>60/INDEX(boss_input_nhip_that!$B$2:$B$61,MATCH($P$24,boss_input_nhip_that!$A$2:$A$61,0))/IF(INDEX(boss_input_nhip_that!$C$2:$C$61,MATCH($P$24,boss_input_nhip_that!$A$2:$A$61,0))="gun",0.7,1)</f>
        <v/>
      </c>
      <c r="G24">
        <f>$E$24/$F$24</f>
        <v/>
      </c>
      <c r="H24" t="n">
        <v>0.6</v>
      </c>
      <c r="I24" t="n">
        <v>2</v>
      </c>
      <c r="J24" t="b">
        <v>1</v>
      </c>
      <c r="K24" t="inlineStr">
        <is>
          <t>fix_weapon_reasons.json: a 400 kg bomb stick from an airship's bay: no real rate for the bay's reload; the 35.4 s cycle kept</t>
        </is>
      </c>
      <c r="L24">
        <f>IF(ISNUMBER($H$24),AND(NOT($J$24),OR($G$24&lt;$H$24,$G$24&gt;$I$24)),FALSE)</f>
        <v/>
      </c>
      <c r="M24" t="inlineStr"/>
      <c r="N24" t="inlineStr">
        <is>
          <t>R_balance;R_full_weapon_audit</t>
        </is>
      </c>
      <c r="O24" t="inlineStr">
        <is>
          <t>nhịp pháo boss so với hệ thống thật (định nghĩa như 01_chien_dau/Vu_khi_so_sanh_that)</t>
        </is>
      </c>
      <c r="P24" t="inlineStr">
        <is>
          <t>p26_roc_main_roc_bombs</t>
        </is>
      </c>
      <c r="Q24" t="inlineStr">
        <is>
          <t>Tools/balance/full_weapon_audit.py (bảng REAL) qua input_nhip_that / input_ty_le_nhip</t>
        </is>
      </c>
      <c r="R24" t="inlineStr"/>
    </row>
    <row r="25">
      <c r="A25" t="inlineStr">
        <is>
          <t>command_airship/p26_roc_roc105/nhip</t>
        </is>
      </c>
      <c r="B25" t="inlineStr">
        <is>
          <t>command_airship</t>
        </is>
      </c>
      <c r="C25" t="inlineStr">
        <is>
          <t>khe_mot_nong_mot_vien</t>
        </is>
      </c>
      <c r="D25" t="inlineStr">
        <is>
          <t>s</t>
        </is>
      </c>
      <c r="E25" t="n">
        <v>6</v>
      </c>
      <c r="F25">
        <f>60/INDEX(boss_input_nhip_that!$B$2:$B$61,MATCH($P$25,boss_input_nhip_that!$A$2:$A$61,0))/IF(INDEX(boss_input_nhip_that!$C$2:$C$61,MATCH($P$25,boss_input_nhip_that!$A$2:$A$61,0))="gun",0.7,1)</f>
        <v/>
      </c>
      <c r="G25">
        <f>$E$25/$F$25</f>
        <v/>
      </c>
      <c r="H25" t="n">
        <v>0.6</v>
      </c>
      <c r="I25" t="n">
        <v>2</v>
      </c>
      <c r="J25" t="b">
        <v>0</v>
      </c>
      <c r="K25" t="inlineStr"/>
      <c r="L25">
        <f>IF(ISNUMBER($H$25),AND(NOT($J$25),OR($G$25&lt;$H$25,$G$25&gt;$I$25)),FALSE)</f>
        <v/>
      </c>
      <c r="M25" t="inlineStr"/>
      <c r="N25" t="inlineStr">
        <is>
          <t>R_balance;R_full_weapon_audit;W_wikipedia_m102_howitzer;R_machine_brigade_can_bang</t>
        </is>
      </c>
      <c r="O25" t="inlineStr">
        <is>
          <t>nhịp pháo boss so với hệ thống thật (định nghĩa như 01_chien_dau/Vu_khi_so_sanh_that)</t>
        </is>
      </c>
      <c r="P25" t="inlineStr">
        <is>
          <t>p26_roc_roc105</t>
        </is>
      </c>
      <c r="Q25" t="inlineStr">
        <is>
          <t>Tools/balance/full_weapon_audit.py (bảng REAL) qua input_nhip_that / input_ty_le_nhip</t>
        </is>
      </c>
      <c r="R25" t="inlineStr"/>
    </row>
    <row r="26">
      <c r="A26" t="inlineStr">
        <is>
          <t>daedalus/p26_daedalus_sec_dae57/nhip</t>
        </is>
      </c>
      <c r="B26" t="inlineStr">
        <is>
          <t>daedalus</t>
        </is>
      </c>
      <c r="C26" t="inlineStr">
        <is>
          <t>khe_mot_nong_mot_vien</t>
        </is>
      </c>
      <c r="D26" t="inlineStr">
        <is>
          <t>s</t>
        </is>
      </c>
      <c r="E26" t="n">
        <v>1.0725</v>
      </c>
      <c r="F26">
        <f>60/INDEX(boss_input_nhip_that!$B$2:$B$61,MATCH($P$26,boss_input_nhip_that!$A$2:$A$61,0))/IF(INDEX(boss_input_nhip_that!$C$2:$C$61,MATCH($P$26,boss_input_nhip_that!$A$2:$A$61,0))="gun",0.7,1)</f>
        <v/>
      </c>
      <c r="G26">
        <f>$E$26/$F$26</f>
        <v/>
      </c>
      <c r="H26" t="n">
        <v>0.6</v>
      </c>
      <c r="I26" t="n">
        <v>2</v>
      </c>
      <c r="J26" t="b">
        <v>1</v>
      </c>
      <c r="K26" t="inlineStr">
        <is>
          <t>fix_weapon_reasons.json: wave 1 mothership_cannon: 4 rounds 0.5 s apart every 4.29 s (AU-220M 120 rpm); made up: a twin 57 mm deck mount (as the real AK-725 twin 57 mm); made up: a twin 57 mm belly mount (as the real AK-725 twin 57 mm)</t>
        </is>
      </c>
      <c r="L26">
        <f>IF(ISNUMBER($H$26),AND(NOT($J$26),OR($G$26&lt;$H$26,$G$26&gt;$I$26)),FALSE)</f>
        <v/>
      </c>
      <c r="M26" t="inlineStr"/>
      <c r="N26" t="inlineStr">
        <is>
          <t>R_balance;R_full_weapon_audit;W_wikipedia_au_220m</t>
        </is>
      </c>
      <c r="O26" t="inlineStr">
        <is>
          <t>nhịp pháo boss so với hệ thống thật (định nghĩa như 01_chien_dau/Vu_khi_so_sanh_that)</t>
        </is>
      </c>
      <c r="P26" t="inlineStr">
        <is>
          <t>p26_daedalus_sec_dae57</t>
        </is>
      </c>
      <c r="Q26" t="inlineStr">
        <is>
          <t>Tools/balance/full_weapon_audit.py (bảng REAL) qua input_nhip_that / input_ty_le_nhip</t>
        </is>
      </c>
      <c r="R26" t="inlineStr"/>
    </row>
    <row r="27">
      <c r="A27" t="inlineStr">
        <is>
          <t>drone_mothership/p26_matriarch_close_boss_flak/nhip</t>
        </is>
      </c>
      <c r="B27" t="inlineStr">
        <is>
          <t>drone_mothership</t>
        </is>
      </c>
      <c r="C27" t="inlineStr">
        <is>
          <t>khe_mot_nong_mot_vien</t>
        </is>
      </c>
      <c r="D27" t="inlineStr">
        <is>
          <t>s</t>
        </is>
      </c>
      <c r="E27" t="n">
        <v>0.262439018</v>
      </c>
      <c r="F27">
        <f>60/INDEX(boss_input_nhip_that!$B$2:$B$61,MATCH($P$27,boss_input_nhip_that!$A$2:$A$61,0))/IF(INDEX(boss_input_nhip_that!$C$2:$C$61,MATCH($P$27,boss_input_nhip_that!$A$2:$A$61,0))="gun",0.7,1)</f>
        <v/>
      </c>
      <c r="G27">
        <f>$E$27/$F$27</f>
        <v/>
      </c>
      <c r="H27" t="n">
        <v>0.6</v>
      </c>
      <c r="I27" t="n">
        <v>2</v>
      </c>
      <c r="J27" t="b">
        <v>1</v>
      </c>
      <c r="K27" t="inlineStr">
        <is>
          <t>fix_weapon_reasons.json: wave 1 boss_flak: 41 rounds at 1,200 rpm, changed in 3.38 s (twin Oerlikon GDF 2 x 550 rpm)</t>
        </is>
      </c>
      <c r="L27">
        <f>IF(ISNUMBER($H$27),AND(NOT($J$27),OR($G$27&lt;$H$27,$G$27&gt;$I$27)),FALSE)</f>
        <v/>
      </c>
      <c r="M27" t="inlineStr"/>
      <c r="N27" t="inlineStr">
        <is>
          <t>R_balance;R_full_weapon_audit;W_wikipedia_oerlikon_gdf</t>
        </is>
      </c>
      <c r="O27" t="inlineStr">
        <is>
          <t>nhịp pháo boss so với hệ thống thật (định nghĩa như 01_chien_dau/Vu_khi_so_sanh_that)</t>
        </is>
      </c>
      <c r="P27" t="inlineStr">
        <is>
          <t>p26_matriarch_close_boss_flak</t>
        </is>
      </c>
      <c r="Q27" t="inlineStr">
        <is>
          <t>Tools/balance/full_weapon_audit.py (bảng REAL) qua input_nhip_that / input_ty_le_nhip</t>
        </is>
      </c>
      <c r="R27" t="inlineStr"/>
    </row>
    <row r="28">
      <c r="A28" t="inlineStr">
        <is>
          <t>drone_mothership/p26_matriarch_direct_ma_atgm/nhip</t>
        </is>
      </c>
      <c r="B28" t="inlineStr">
        <is>
          <t>drone_mothership</t>
        </is>
      </c>
      <c r="C28" t="inlineStr">
        <is>
          <t>khe_mot_nong_mot_vien</t>
        </is>
      </c>
      <c r="D28" t="inlineStr">
        <is>
          <t>s</t>
        </is>
      </c>
      <c r="E28" t="n">
        <v>20</v>
      </c>
      <c r="F28">
        <f>60/INDEX(boss_input_nhip_that!$B$2:$B$61,MATCH($P$28,boss_input_nhip_that!$A$2:$A$61,0))/IF(INDEX(boss_input_nhip_that!$C$2:$C$61,MATCH($P$28,boss_input_nhip_that!$A$2:$A$61,0))="gun",0.7,1)</f>
        <v/>
      </c>
      <c r="G28">
        <f>$E$28/$F$28</f>
        <v/>
      </c>
      <c r="H28" t="n">
        <v>0.6</v>
      </c>
      <c r="I28" t="n">
        <v>2</v>
      </c>
      <c r="J28" t="b">
        <v>0</v>
      </c>
      <c r="K28" t="inlineStr"/>
      <c r="L28">
        <f>IF(ISNUMBER($H$28),AND(NOT($J$28),OR($G$28&lt;$H$28,$G$28&gt;$I$28)),FALSE)</f>
        <v/>
      </c>
      <c r="M28" t="inlineStr"/>
      <c r="N28" t="inlineStr">
        <is>
          <t>R_balance;R_full_weapon_audit;W_wikipedia_9m133_kornet;W_wikipedia_bai_cua_tung_ten_lua_bang_warhead</t>
        </is>
      </c>
      <c r="O28" t="inlineStr">
        <is>
          <t>nhịp pháo boss so với hệ thống thật (định nghĩa như 01_chien_dau/Vu_khi_so_sanh_that)</t>
        </is>
      </c>
      <c r="P28" t="inlineStr">
        <is>
          <t>p26_matriarch_direct_ma_atgm</t>
        </is>
      </c>
      <c r="Q28" t="inlineStr">
        <is>
          <t>Tools/balance/full_weapon_audit.py (bảng REAL) qua input_nhip_that / input_ty_le_nhip</t>
        </is>
      </c>
      <c r="R28" t="inlineStr"/>
    </row>
    <row r="29">
      <c r="A29" t="inlineStr">
        <is>
          <t>drone_mothership/p26_matriarch_sec_autocannon_30/nhip</t>
        </is>
      </c>
      <c r="B29" t="inlineStr">
        <is>
          <t>drone_mothership</t>
        </is>
      </c>
      <c r="C29" t="inlineStr">
        <is>
          <t>khe_mot_nong_mot_vien</t>
        </is>
      </c>
      <c r="D29" t="inlineStr">
        <is>
          <t>s</t>
        </is>
      </c>
      <c r="E29" t="n">
        <v>0.24999</v>
      </c>
      <c r="F29">
        <f>60/INDEX(boss_input_nhip_that!$B$2:$B$61,MATCH($P$29,boss_input_nhip_that!$A$2:$A$61,0))/IF(INDEX(boss_input_nhip_that!$C$2:$C$61,MATCH($P$29,boss_input_nhip_that!$A$2:$A$61,0))="gun",0.7,1)</f>
        <v/>
      </c>
      <c r="G29">
        <f>$E$29/$F$29</f>
        <v/>
      </c>
      <c r="H29" t="n">
        <v>0.6</v>
      </c>
      <c r="I29" t="n">
        <v>2</v>
      </c>
      <c r="J29" t="b">
        <v>1</v>
      </c>
      <c r="K29" t="inlineStr">
        <is>
          <t>fix_weapon_reasons.json: wave 1 autocannon_30: 10 rounds at 540 rpm every 2.5 s (2A42 550-800 rpm)</t>
        </is>
      </c>
      <c r="L29">
        <f>IF(ISNUMBER($H$29),AND(NOT($J$29),OR($G$29&lt;$H$29,$G$29&gt;$I$29)),FALSE)</f>
        <v/>
      </c>
      <c r="M29" t="inlineStr"/>
      <c r="N29" t="inlineStr">
        <is>
          <t>R_balance;R_full_weapon_audit;W_wikipedia_2a42</t>
        </is>
      </c>
      <c r="O29" t="inlineStr">
        <is>
          <t>nhịp pháo boss so với hệ thống thật (định nghĩa như 01_chien_dau/Vu_khi_so_sanh_that)</t>
        </is>
      </c>
      <c r="P29" t="inlineStr">
        <is>
          <t>p26_matriarch_sec_autocannon_30</t>
        </is>
      </c>
      <c r="Q29" t="inlineStr">
        <is>
          <t>Tools/balance/full_weapon_audit.py (bảng REAL) qua input_nhip_that / input_ty_le_nhip</t>
        </is>
      </c>
      <c r="R29" t="inlineStr"/>
    </row>
    <row r="30">
      <c r="A30" t="inlineStr">
        <is>
          <t>drone_mothership/p26_matriarch_tiny_mothership_cannon/nhip</t>
        </is>
      </c>
      <c r="B30" t="inlineStr">
        <is>
          <t>drone_mothership</t>
        </is>
      </c>
      <c r="C30" t="inlineStr">
        <is>
          <t>khe_mot_nong_mot_vien</t>
        </is>
      </c>
      <c r="D30" t="inlineStr">
        <is>
          <t>s</t>
        </is>
      </c>
      <c r="E30" t="n">
        <v>1.0725</v>
      </c>
      <c r="F30">
        <f>60/INDEX(boss_input_nhip_that!$B$2:$B$61,MATCH($P$30,boss_input_nhip_that!$A$2:$A$61,0))/IF(INDEX(boss_input_nhip_that!$C$2:$C$61,MATCH($P$30,boss_input_nhip_that!$A$2:$A$61,0))="gun",0.7,1)</f>
        <v/>
      </c>
      <c r="G30">
        <f>$E$30/$F$30</f>
        <v/>
      </c>
      <c r="H30" t="n">
        <v>0.6</v>
      </c>
      <c r="I30" t="n">
        <v>2</v>
      </c>
      <c r="J30" t="b">
        <v>1</v>
      </c>
      <c r="K30" t="inlineStr">
        <is>
          <t>fix_weapon_reasons.json: wave 1 mothership_cannon: 4 rounds 0.5 s apart every 4.29 s (AU-220M 120 rpm); made up: a twin 57 mm deck mount (as the real AK-725 twin 57 mm); made up: a twin 57 mm belly mount (as the real AK-725 twin 57 mm)</t>
        </is>
      </c>
      <c r="L30">
        <f>IF(ISNUMBER($H$30),AND(NOT($J$30),OR($G$30&lt;$H$30,$G$30&gt;$I$30)),FALSE)</f>
        <v/>
      </c>
      <c r="M30" t="inlineStr"/>
      <c r="N30" t="inlineStr">
        <is>
          <t>R_balance;R_full_weapon_audit;W_wikipedia_au_220m</t>
        </is>
      </c>
      <c r="O30" t="inlineStr">
        <is>
          <t>nhịp pháo boss so với hệ thống thật (định nghĩa như 01_chien_dau/Vu_khi_so_sanh_that)</t>
        </is>
      </c>
      <c r="P30" t="inlineStr">
        <is>
          <t>p26_matriarch_tiny_mothership_cannon</t>
        </is>
      </c>
      <c r="Q30" t="inlineStr">
        <is>
          <t>Tools/balance/full_weapon_audit.py (bảng REAL) qua input_nhip_that / input_ty_le_nhip</t>
        </is>
      </c>
      <c r="R30" t="inlineStr"/>
    </row>
    <row r="31">
      <c r="A31" t="inlineStr">
        <is>
          <t>earth_borer/borer_cannon/nhip</t>
        </is>
      </c>
      <c r="B31" t="inlineStr">
        <is>
          <t>earth_borer</t>
        </is>
      </c>
      <c r="C31" t="inlineStr">
        <is>
          <t>khe_mot_nong_mot_vien</t>
        </is>
      </c>
      <c r="D31" t="inlineStr">
        <is>
          <t>s</t>
        </is>
      </c>
      <c r="E31" t="n">
        <v>6</v>
      </c>
      <c r="F31">
        <f>60/INDEX(boss_input_nhip_that!$B$2:$B$61,MATCH($P$31,boss_input_nhip_that!$A$2:$A$61,0))/IF(INDEX(boss_input_nhip_that!$C$2:$C$61,MATCH($P$31,boss_input_nhip_that!$A$2:$A$61,0))="gun",0.7,1)</f>
        <v/>
      </c>
      <c r="G31">
        <f>$E$31/$F$31</f>
        <v/>
      </c>
      <c r="H31" t="n">
        <v>0.6</v>
      </c>
      <c r="I31" t="n">
        <v>2</v>
      </c>
      <c r="J31" t="b">
        <v>0</v>
      </c>
      <c r="K31" t="inlineStr"/>
      <c r="L31">
        <f>IF(ISNUMBER($H$31),AND(NOT($J$31),OR($G$31&lt;$H$31,$G$31&gt;$I$31)),FALSE)</f>
        <v/>
      </c>
      <c r="M31" t="inlineStr"/>
      <c r="N31" t="inlineStr">
        <is>
          <t>R_balance;R_full_weapon_audit;W_wikipedia_2a70</t>
        </is>
      </c>
      <c r="O31" t="inlineStr">
        <is>
          <t>nhịp pháo boss so với hệ thống thật (định nghĩa như 01_chien_dau/Vu_khi_so_sanh_that)</t>
        </is>
      </c>
      <c r="P31" t="inlineStr">
        <is>
          <t>borer_cannon</t>
        </is>
      </c>
      <c r="Q31" t="inlineStr">
        <is>
          <t>Tools/balance/full_weapon_audit.py (bảng REAL) qua input_nhip_that / input_ty_le_nhip</t>
        </is>
      </c>
      <c r="R31" t="inlineStr"/>
    </row>
    <row r="32">
      <c r="A32" t="inlineStr">
        <is>
          <t>fenrir/p26_jotunn_close_boss_flak/nhip</t>
        </is>
      </c>
      <c r="B32" t="inlineStr">
        <is>
          <t>fenrir</t>
        </is>
      </c>
      <c r="C32" t="inlineStr">
        <is>
          <t>khe_mot_nong_mot_vien</t>
        </is>
      </c>
      <c r="D32" t="inlineStr">
        <is>
          <t>s</t>
        </is>
      </c>
      <c r="E32" t="n">
        <v>0.262439018</v>
      </c>
      <c r="F32">
        <f>60/INDEX(boss_input_nhip_that!$B$2:$B$61,MATCH($P$32,boss_input_nhip_that!$A$2:$A$61,0))/IF(INDEX(boss_input_nhip_that!$C$2:$C$61,MATCH($P$32,boss_input_nhip_that!$A$2:$A$61,0))="gun",0.7,1)</f>
        <v/>
      </c>
      <c r="G32">
        <f>$E$32/$F$32</f>
        <v/>
      </c>
      <c r="H32" t="n">
        <v>0.6</v>
      </c>
      <c r="I32" t="n">
        <v>2</v>
      </c>
      <c r="J32" t="b">
        <v>1</v>
      </c>
      <c r="K32" t="inlineStr">
        <is>
          <t>fix_weapon_reasons.json: wave 1 boss_flak: 41 rounds at 1,200 rpm, changed in 3.38 s (twin Oerlikon GDF 2 x 550 rpm)</t>
        </is>
      </c>
      <c r="L32">
        <f>IF(ISNUMBER($H$32),AND(NOT($J$32),OR($G$32&lt;$H$32,$G$32&gt;$I$32)),FALSE)</f>
        <v/>
      </c>
      <c r="M32" t="inlineStr"/>
      <c r="N32" t="inlineStr">
        <is>
          <t>R_balance;R_full_weapon_audit;W_wikipedia_oerlikon_gdf</t>
        </is>
      </c>
      <c r="O32" t="inlineStr">
        <is>
          <t>nhịp pháo boss so với hệ thống thật (định nghĩa như 01_chien_dau/Vu_khi_so_sanh_that)</t>
        </is>
      </c>
      <c r="P32" t="inlineStr">
        <is>
          <t>p26_jotunn_close_boss_flak</t>
        </is>
      </c>
      <c r="Q32" t="inlineStr">
        <is>
          <t>Tools/balance/full_weapon_audit.py (bảng REAL) qua input_nhip_that / input_ty_le_nhip</t>
        </is>
      </c>
      <c r="R32" t="inlineStr"/>
    </row>
    <row r="33">
      <c r="A33" t="inlineStr">
        <is>
          <t>fenrir/p26_jotunn_sec_jo_rockets/nhip</t>
        </is>
      </c>
      <c r="B33" t="inlineStr">
        <is>
          <t>fenrir</t>
        </is>
      </c>
      <c r="C33" t="inlineStr">
        <is>
          <t>khe_mot_nong_mot_vien</t>
        </is>
      </c>
      <c r="D33" t="inlineStr">
        <is>
          <t>s</t>
        </is>
      </c>
      <c r="E33" t="n">
        <v>3.169998947</v>
      </c>
      <c r="F33">
        <f>60/INDEX(boss_input_nhip_that!$B$2:$B$61,MATCH($P$33,boss_input_nhip_that!$A$2:$A$61,0))/IF(INDEX(boss_input_nhip_that!$C$2:$C$61,MATCH($P$33,boss_input_nhip_that!$A$2:$A$61,0))="gun",0.7,1)</f>
        <v/>
      </c>
      <c r="G33">
        <f>$E$33/$F$33</f>
        <v/>
      </c>
      <c r="H33" t="n">
        <v>0.6</v>
      </c>
      <c r="I33" t="n">
        <v>2</v>
      </c>
      <c r="J33" t="b">
        <v>0</v>
      </c>
      <c r="K33" t="inlineStr"/>
      <c r="L33">
        <f>IF(ISNUMBER($H$33),AND(NOT($J$33),OR($G$33&lt;$H$33,$G$33&gt;$I$33)),FALSE)</f>
        <v/>
      </c>
      <c r="M33" t="inlineStr"/>
      <c r="N33" t="inlineStr">
        <is>
          <t>R_balance;R_full_weapon_audit;W_wikipedia_bm_30_smerch</t>
        </is>
      </c>
      <c r="O33" t="inlineStr">
        <is>
          <t>nhịp pháo boss so với hệ thống thật (định nghĩa như 01_chien_dau/Vu_khi_so_sanh_that)</t>
        </is>
      </c>
      <c r="P33" t="inlineStr">
        <is>
          <t>p26_jotunn_sec_jo_rockets</t>
        </is>
      </c>
      <c r="Q33" t="inlineStr">
        <is>
          <t>Tools/balance/full_weapon_audit.py (bảng REAL) qua input_nhip_that / input_ty_le_nhip</t>
        </is>
      </c>
      <c r="R33" t="inlineStr"/>
    </row>
    <row r="34">
      <c r="A34" t="inlineStr">
        <is>
          <t>fortress_bastion/p26_bastion_close_boss_hmg/nhip</t>
        </is>
      </c>
      <c r="B34" t="inlineStr">
        <is>
          <t>fortress_bastion</t>
        </is>
      </c>
      <c r="C34" t="inlineStr">
        <is>
          <t>khe_mot_nong_mot_vien</t>
        </is>
      </c>
      <c r="D34" t="inlineStr">
        <is>
          <t>s</t>
        </is>
      </c>
      <c r="E34" t="n">
        <v>0.132467025</v>
      </c>
      <c r="F34">
        <f>60/INDEX(boss_input_nhip_that!$B$2:$B$61,MATCH($P$34,boss_input_nhip_that!$A$2:$A$61,0))/IF(INDEX(boss_input_nhip_that!$C$2:$C$61,MATCH($P$34,boss_input_nhip_that!$A$2:$A$61,0))="gun",0.7,1)</f>
        <v/>
      </c>
      <c r="G34">
        <f>$E$34/$F$34</f>
        <v/>
      </c>
      <c r="H34" t="n">
        <v>0.6</v>
      </c>
      <c r="I34" t="n">
        <v>2</v>
      </c>
      <c r="J34" t="b">
        <v>0</v>
      </c>
      <c r="K34" t="inlineStr"/>
      <c r="L34">
        <f>IF(ISNUMBER($H$34),AND(NOT($J$34),OR($G$34&lt;$H$34,$G$34&gt;$I$34)),FALSE)</f>
        <v/>
      </c>
      <c r="M34" t="inlineStr"/>
      <c r="N34" t="inlineStr">
        <is>
          <t>R_balance;R_full_weapon_audit;W_wikipedia_nsv_machine_gun</t>
        </is>
      </c>
      <c r="O34" t="inlineStr">
        <is>
          <t>nhịp pháo boss so với hệ thống thật (định nghĩa như 01_chien_dau/Vu_khi_so_sanh_that)</t>
        </is>
      </c>
      <c r="P34" t="inlineStr">
        <is>
          <t>p26_bastion_close_boss_hmg</t>
        </is>
      </c>
      <c r="Q34" t="inlineStr">
        <is>
          <t>Tools/balance/full_weapon_audit.py (bảng REAL) qua input_nhip_that / input_ty_le_nhip</t>
        </is>
      </c>
      <c r="R34" t="inlineStr"/>
    </row>
    <row r="35">
      <c r="A35" t="inlineStr">
        <is>
          <t>fortress_bastion/p26_bastion_direct_b100/nhip</t>
        </is>
      </c>
      <c r="B35" t="inlineStr">
        <is>
          <t>fortress_bastion</t>
        </is>
      </c>
      <c r="C35" t="inlineStr">
        <is>
          <t>khe_mot_nong_mot_vien</t>
        </is>
      </c>
      <c r="D35" t="inlineStr">
        <is>
          <t>s</t>
        </is>
      </c>
      <c r="E35" t="n">
        <v>8.599995917999999</v>
      </c>
      <c r="F35">
        <f>60/INDEX(boss_input_nhip_that!$B$2:$B$61,MATCH($P$35,boss_input_nhip_that!$A$2:$A$61,0))/IF(INDEX(boss_input_nhip_that!$C$2:$C$61,MATCH($P$35,boss_input_nhip_that!$A$2:$A$61,0))="gun",0.7,1)</f>
        <v/>
      </c>
      <c r="G35">
        <f>$E$35/$F$35</f>
        <v/>
      </c>
      <c r="H35" t="n">
        <v>0.6</v>
      </c>
      <c r="I35" t="n">
        <v>2</v>
      </c>
      <c r="J35" t="b">
        <v>0</v>
      </c>
      <c r="K35" t="inlineStr"/>
      <c r="L35">
        <f>IF(ISNUMBER($H$35),AND(NOT($J$35),OR($G$35&lt;$H$35,$G$35&gt;$I$35)),FALSE)</f>
        <v/>
      </c>
      <c r="M35" t="inlineStr"/>
      <c r="N35" t="inlineStr">
        <is>
          <t>R_balance;R_full_weapon_audit;W_wikipedia_d_10_tank_gun</t>
        </is>
      </c>
      <c r="O35" t="inlineStr">
        <is>
          <t>nhịp pháo boss so với hệ thống thật (định nghĩa như 01_chien_dau/Vu_khi_so_sanh_that)</t>
        </is>
      </c>
      <c r="P35" t="inlineStr">
        <is>
          <t>p26_bastion_direct_b100</t>
        </is>
      </c>
      <c r="Q35" t="inlineStr">
        <is>
          <t>Tools/balance/full_weapon_audit.py (bảng REAL) qua input_nhip_that / input_ty_le_nhip</t>
        </is>
      </c>
      <c r="R35" t="inlineStr"/>
    </row>
    <row r="36">
      <c r="A36" t="inlineStr">
        <is>
          <t>fortress_bastion/p26_bastion_main_b155/nhip</t>
        </is>
      </c>
      <c r="B36" t="inlineStr">
        <is>
          <t>fortress_bastion</t>
        </is>
      </c>
      <c r="C36" t="inlineStr">
        <is>
          <t>khe_mot_nong_mot_vien</t>
        </is>
      </c>
      <c r="D36" t="inlineStr">
        <is>
          <t>s</t>
        </is>
      </c>
      <c r="E36" t="n">
        <v>15</v>
      </c>
      <c r="F36">
        <f>60/INDEX(boss_input_nhip_that!$B$2:$B$61,MATCH($P$36,boss_input_nhip_that!$A$2:$A$61,0))/IF(INDEX(boss_input_nhip_that!$C$2:$C$61,MATCH($P$36,boss_input_nhip_that!$A$2:$A$61,0))="gun",0.7,1)</f>
        <v/>
      </c>
      <c r="G36">
        <f>$E$36/$F$36</f>
        <v/>
      </c>
      <c r="H36" t="n">
        <v>0.6</v>
      </c>
      <c r="I36" t="n">
        <v>2</v>
      </c>
      <c r="J36" t="b">
        <v>0</v>
      </c>
      <c r="K36" t="inlineStr"/>
      <c r="L36">
        <f>IF(ISNUMBER($H$36),AND(NOT($J$36),OR($G$36&lt;$H$36,$G$36&gt;$I$36)),FALSE)</f>
        <v/>
      </c>
      <c r="M36" t="inlineStr"/>
      <c r="N36" t="inlineStr">
        <is>
          <t>R_balance;R_full_weapon_audit;D_us_army_m109a7_fact_file</t>
        </is>
      </c>
      <c r="O36" t="inlineStr">
        <is>
          <t>nhịp pháo boss so với hệ thống thật (định nghĩa như 01_chien_dau/Vu_khi_so_sanh_that)</t>
        </is>
      </c>
      <c r="P36" t="inlineStr">
        <is>
          <t>p26_bastion_main_b155</t>
        </is>
      </c>
      <c r="Q36" t="inlineStr">
        <is>
          <t>Tools/balance/full_weapon_audit.py (bảng REAL) qua input_nhip_that / input_ty_le_nhip</t>
        </is>
      </c>
      <c r="R36" t="inlineStr"/>
    </row>
    <row r="37">
      <c r="A37" t="inlineStr">
        <is>
          <t>fortress_bastion/p26_bastion_sec_b240/nhip</t>
        </is>
      </c>
      <c r="B37" t="inlineStr">
        <is>
          <t>fortress_bastion</t>
        </is>
      </c>
      <c r="C37" t="inlineStr">
        <is>
          <t>khe_mot_nong_mot_vien</t>
        </is>
      </c>
      <c r="D37" t="inlineStr">
        <is>
          <t>s</t>
        </is>
      </c>
      <c r="E37" t="n">
        <v>60</v>
      </c>
      <c r="F37">
        <f>60/INDEX(boss_input_nhip_that!$B$2:$B$61,MATCH($P$37,boss_input_nhip_that!$A$2:$A$61,0))/IF(INDEX(boss_input_nhip_that!$C$2:$C$61,MATCH($P$37,boss_input_nhip_that!$A$2:$A$61,0))="gun",0.7,1)</f>
        <v/>
      </c>
      <c r="G37">
        <f>$E$37/$F$37</f>
        <v/>
      </c>
      <c r="H37" t="n">
        <v>0.6</v>
      </c>
      <c r="I37" t="n">
        <v>2</v>
      </c>
      <c r="J37" t="b">
        <v>0</v>
      </c>
      <c r="K37" t="inlineStr"/>
      <c r="L37">
        <f>IF(ISNUMBER($H$37),AND(NOT($J$37),OR($G$37&lt;$H$37,$G$37&gt;$I$37)),FALSE)</f>
        <v/>
      </c>
      <c r="M37" t="inlineStr"/>
      <c r="N37" t="inlineStr">
        <is>
          <t>R_balance;R_full_weapon_audit;W_wikipedia_2s4_tyulpan</t>
        </is>
      </c>
      <c r="O37" t="inlineStr">
        <is>
          <t>nhịp pháo boss so với hệ thống thật (định nghĩa như 01_chien_dau/Vu_khi_so_sanh_that)</t>
        </is>
      </c>
      <c r="P37" t="inlineStr">
        <is>
          <t>p26_bastion_sec_b240</t>
        </is>
      </c>
      <c r="Q37" t="inlineStr">
        <is>
          <t>Tools/balance/full_weapon_audit.py (bảng REAL) qua input_nhip_that / input_ty_le_nhip</t>
        </is>
      </c>
      <c r="R37" t="inlineStr"/>
    </row>
    <row r="38">
      <c r="A38" t="inlineStr">
        <is>
          <t>fortress_bastion/p26_bastion_tiny_autocannon_40/nhip</t>
        </is>
      </c>
      <c r="B38" t="inlineStr">
        <is>
          <t>fortress_bastion</t>
        </is>
      </c>
      <c r="C38" t="inlineStr">
        <is>
          <t>khe_mot_nong_mot_vien</t>
        </is>
      </c>
      <c r="D38" t="inlineStr">
        <is>
          <t>s</t>
        </is>
      </c>
      <c r="E38" t="n">
        <v>0.332</v>
      </c>
      <c r="F38">
        <f>60/INDEX(boss_input_nhip_that!$B$2:$B$61,MATCH($P$38,boss_input_nhip_that!$A$2:$A$61,0))/IF(INDEX(boss_input_nhip_that!$C$2:$C$61,MATCH($P$38,boss_input_nhip_that!$A$2:$A$61,0))="gun",0.7,1)</f>
        <v/>
      </c>
      <c r="G38">
        <f>$E$38/$F$38</f>
        <v/>
      </c>
      <c r="H38" t="n">
        <v>0.6</v>
      </c>
      <c r="I38" t="n">
        <v>2</v>
      </c>
      <c r="J38" t="b">
        <v>0</v>
      </c>
      <c r="K38" t="inlineStr"/>
      <c r="L38">
        <f>IF(ISNUMBER($H$38),AND(NOT($J$38),OR($G$38&lt;$H$38,$G$38&gt;$I$38)),FALSE)</f>
        <v/>
      </c>
      <c r="M38" t="inlineStr"/>
      <c r="N38" t="inlineStr">
        <is>
          <t>R_balance;R_full_weapon_audit;W_wikipedia_bofors_40_mm_l_70</t>
        </is>
      </c>
      <c r="O38" t="inlineStr">
        <is>
          <t>nhịp pháo boss so với hệ thống thật (định nghĩa như 01_chien_dau/Vu_khi_so_sanh_that)</t>
        </is>
      </c>
      <c r="P38" t="inlineStr">
        <is>
          <t>p26_bastion_tiny_autocannon_40</t>
        </is>
      </c>
      <c r="Q38" t="inlineStr">
        <is>
          <t>Tools/balance/full_weapon_audit.py (bảng REAL) qua input_nhip_that / input_ty_le_nhip</t>
        </is>
      </c>
      <c r="R38" t="inlineStr"/>
    </row>
    <row r="39">
      <c r="A39" t="inlineStr">
        <is>
          <t>fortress_bastion/p26_bastion_tiny_kornet_twin/nhip</t>
        </is>
      </c>
      <c r="B39" t="inlineStr">
        <is>
          <t>fortress_bastion</t>
        </is>
      </c>
      <c r="C39" t="inlineStr">
        <is>
          <t>khe_mot_nong_mot_vien</t>
        </is>
      </c>
      <c r="D39" t="inlineStr">
        <is>
          <t>s</t>
        </is>
      </c>
      <c r="E39" t="n">
        <v>20</v>
      </c>
      <c r="F39">
        <f>60/INDEX(boss_input_nhip_that!$B$2:$B$61,MATCH($P$39,boss_input_nhip_that!$A$2:$A$61,0))/IF(INDEX(boss_input_nhip_that!$C$2:$C$61,MATCH($P$39,boss_input_nhip_that!$A$2:$A$61,0))="gun",0.7,1)</f>
        <v/>
      </c>
      <c r="G39">
        <f>$E$39/$F$39</f>
        <v/>
      </c>
      <c r="H39" t="n">
        <v>0.6</v>
      </c>
      <c r="I39" t="n">
        <v>2</v>
      </c>
      <c r="J39" t="b">
        <v>0</v>
      </c>
      <c r="K39" t="inlineStr"/>
      <c r="L39">
        <f>IF(ISNUMBER($H$39),AND(NOT($J$39),OR($G$39&lt;$H$39,$G$39&gt;$I$39)),FALSE)</f>
        <v/>
      </c>
      <c r="M39" t="inlineStr"/>
      <c r="N39" t="inlineStr">
        <is>
          <t>R_balance;R_full_weapon_audit;W_wikipedia_9m133_kornet;W_wikipedia_bai_cua_tung_ten_lua_bang_warhead</t>
        </is>
      </c>
      <c r="O39" t="inlineStr">
        <is>
          <t>nhịp pháo boss so với hệ thống thật (định nghĩa như 01_chien_dau/Vu_khi_so_sanh_that)</t>
        </is>
      </c>
      <c r="P39" t="inlineStr">
        <is>
          <t>p26_bastion_tiny_kornet_twin</t>
        </is>
      </c>
      <c r="Q39" t="inlineStr">
        <is>
          <t>Tools/balance/full_weapon_audit.py (bảng REAL) qua input_nhip_that / input_ty_le_nhip</t>
        </is>
      </c>
      <c r="R39" t="inlineStr"/>
    </row>
    <row r="40">
      <c r="A40" t="inlineStr">
        <is>
          <t>fortress_bastion/p26_bastion_tiny_zu23/nhip</t>
        </is>
      </c>
      <c r="B40" t="inlineStr">
        <is>
          <t>fortress_bastion</t>
        </is>
      </c>
      <c r="C40" t="inlineStr">
        <is>
          <t>khe_mot_nong_mot_vien</t>
        </is>
      </c>
      <c r="D40" t="inlineStr">
        <is>
          <t>s</t>
        </is>
      </c>
      <c r="E40" t="n">
        <v>0.09919997999999999</v>
      </c>
      <c r="F40">
        <f>60/INDEX(boss_input_nhip_that!$B$2:$B$61,MATCH($P$40,boss_input_nhip_that!$A$2:$A$61,0))/IF(INDEX(boss_input_nhip_that!$C$2:$C$61,MATCH($P$40,boss_input_nhip_that!$A$2:$A$61,0))="gun",0.7,1)</f>
        <v/>
      </c>
      <c r="G40">
        <f>$E$40/$F$40</f>
        <v/>
      </c>
      <c r="H40" t="n">
        <v>0.6</v>
      </c>
      <c r="I40" t="n">
        <v>2</v>
      </c>
      <c r="J40" t="b">
        <v>0</v>
      </c>
      <c r="K40" t="inlineStr"/>
      <c r="L40">
        <f>IF(ISNUMBER($H$40),AND(NOT($J$40),OR($G$40&lt;$H$40,$G$40&gt;$I$40)),FALSE)</f>
        <v/>
      </c>
      <c r="M40" t="inlineStr"/>
      <c r="N40" t="inlineStr">
        <is>
          <t>R_balance;R_full_weapon_audit;W_wikipedia_zu_23_2</t>
        </is>
      </c>
      <c r="O40" t="inlineStr">
        <is>
          <t>nhịp pháo boss so với hệ thống thật (định nghĩa như 01_chien_dau/Vu_khi_so_sanh_that)</t>
        </is>
      </c>
      <c r="P40" t="inlineStr">
        <is>
          <t>p26_bastion_tiny_zu23</t>
        </is>
      </c>
      <c r="Q40" t="inlineStr">
        <is>
          <t>Tools/balance/full_weapon_audit.py (bảng REAL) qua input_nhip_that / input_ty_le_nhip</t>
        </is>
      </c>
      <c r="R40" t="inlineStr"/>
    </row>
    <row r="41">
      <c r="A41" t="inlineStr">
        <is>
          <t>hydra/p26_typhon_direct_ty100/nhip</t>
        </is>
      </c>
      <c r="B41" t="inlineStr">
        <is>
          <t>hydra</t>
        </is>
      </c>
      <c r="C41" t="inlineStr">
        <is>
          <t>khe_mot_nong_mot_vien</t>
        </is>
      </c>
      <c r="D41" t="inlineStr">
        <is>
          <t>s</t>
        </is>
      </c>
      <c r="E41" t="n">
        <v>1.75</v>
      </c>
      <c r="F41">
        <f>60/INDEX(boss_input_nhip_that!$B$2:$B$61,MATCH($P$41,boss_input_nhip_that!$A$2:$A$61,0))/IF(INDEX(boss_input_nhip_that!$C$2:$C$61,MATCH($P$41,boss_input_nhip_that!$A$2:$A$61,0))="gun",0.7,1)</f>
        <v/>
      </c>
      <c r="G41">
        <f>$E$41/$F$41</f>
        <v/>
      </c>
      <c r="H41" t="n">
        <v>0.6</v>
      </c>
      <c r="I41" t="n">
        <v>2</v>
      </c>
      <c r="J41" t="b">
        <v>0</v>
      </c>
      <c r="K41" t="inlineStr"/>
      <c r="L41">
        <f>IF(ISNUMBER($H$41),AND(NOT($J$41),OR($G$41&lt;$H$41,$G$41&gt;$I$41)),FALSE)</f>
        <v/>
      </c>
      <c r="M41" t="inlineStr"/>
      <c r="N41" t="inlineStr">
        <is>
          <t>R_balance;R_full_weapon_audit;W_wikipedia_ak_100_naval_gun</t>
        </is>
      </c>
      <c r="O41" t="inlineStr">
        <is>
          <t>nhịp pháo boss so với hệ thống thật (định nghĩa như 01_chien_dau/Vu_khi_so_sanh_that)</t>
        </is>
      </c>
      <c r="P41" t="inlineStr">
        <is>
          <t>p26_typhon_direct_ty100</t>
        </is>
      </c>
      <c r="Q41" t="inlineStr">
        <is>
          <t>Tools/balance/full_weapon_audit.py (bảng REAL) qua input_nhip_that / input_ty_le_nhip</t>
        </is>
      </c>
      <c r="R41" t="inlineStr"/>
    </row>
    <row r="42">
      <c r="A42" t="inlineStr">
        <is>
          <t>hydra/p26_typhon_sec_ty57/nhip</t>
        </is>
      </c>
      <c r="B42" t="inlineStr">
        <is>
          <t>hydra</t>
        </is>
      </c>
      <c r="C42" t="inlineStr">
        <is>
          <t>khe_mot_nong_mot_vien</t>
        </is>
      </c>
      <c r="D42" t="inlineStr">
        <is>
          <t>s</t>
        </is>
      </c>
      <c r="E42" t="n">
        <v>1.0725</v>
      </c>
      <c r="F42">
        <f>60/INDEX(boss_input_nhip_that!$B$2:$B$61,MATCH($P$42,boss_input_nhip_that!$A$2:$A$61,0))/IF(INDEX(boss_input_nhip_that!$C$2:$C$61,MATCH($P$42,boss_input_nhip_that!$A$2:$A$61,0))="gun",0.7,1)</f>
        <v/>
      </c>
      <c r="G42">
        <f>$E$42/$F$42</f>
        <v/>
      </c>
      <c r="H42" t="n">
        <v>0.6</v>
      </c>
      <c r="I42" t="n">
        <v>2</v>
      </c>
      <c r="J42" t="b">
        <v>1</v>
      </c>
      <c r="K42" t="inlineStr">
        <is>
          <t>fix_weapon_reasons.json: wave 1 mothership_cannon: 4 rounds 0.5 s apart every 4.29 s (AU-220M 120 rpm); made up: a twin 57 mm deck mount (as the real AK-725 twin 57 mm)</t>
        </is>
      </c>
      <c r="L42">
        <f>IF(ISNUMBER($H$42),AND(NOT($J$42),OR($G$42&lt;$H$42,$G$42&gt;$I$42)),FALSE)</f>
        <v/>
      </c>
      <c r="M42" t="inlineStr"/>
      <c r="N42" t="inlineStr">
        <is>
          <t>R_balance;R_full_weapon_audit;W_wikipedia_au_220m</t>
        </is>
      </c>
      <c r="O42" t="inlineStr">
        <is>
          <t>nhịp pháo boss so với hệ thống thật (định nghĩa như 01_chien_dau/Vu_khi_so_sanh_that)</t>
        </is>
      </c>
      <c r="P42" t="inlineStr">
        <is>
          <t>p26_typhon_sec_ty57</t>
        </is>
      </c>
      <c r="Q42" t="inlineStr">
        <is>
          <t>Tools/balance/full_weapon_audit.py (bảng REAL) qua input_nhip_that / input_ty_le_nhip</t>
        </is>
      </c>
      <c r="R42" t="inlineStr"/>
    </row>
    <row r="43">
      <c r="A43" t="inlineStr">
        <is>
          <t>ixion/cao_m</t>
        </is>
      </c>
      <c r="B43" t="inlineStr">
        <is>
          <t>ixion</t>
        </is>
      </c>
      <c r="C43" t="inlineStr">
        <is>
          <t>cao_m</t>
        </is>
      </c>
      <c r="D43" t="inlineStr">
        <is>
          <t>m</t>
        </is>
      </c>
      <c r="E43">
        <f>INDEX(Boss!$FS$2:$FS$32,MATCH($B$43,Boss!$A$2:$A$32,0))</f>
        <v/>
      </c>
      <c r="F43">
        <f>INDEX(Boss_tham_chieu!$U$2:$U$32,MATCH("ixion",Boss_tham_chieu!$A$2:$A$32,0))</f>
        <v/>
      </c>
      <c r="G43">
        <f>$E$43/$F$43</f>
        <v/>
      </c>
      <c r="H43" t="n">
        <v>0.7</v>
      </c>
      <c r="I43" t="n">
        <v>1.4</v>
      </c>
      <c r="J43" t="b">
        <v>0</v>
      </c>
      <c r="K43" t="inlineStr"/>
      <c r="L43">
        <f>IF(ISNUMBER($H$43),AND(NOT($J$43),OR($G$43&lt;$H$43,$G$43&gt;$I$43)),FALSE)</f>
        <v/>
      </c>
      <c r="M43" t="inlineStr"/>
      <c r="N43" t="inlineStr">
        <is>
          <t>R_unit_refs;R_reference_real;W_wikipedia_belaz_75710;R_machine_brigade_can_bang;R_ixion;R_mb_p20_bosses;R_mb_redesign_20y;R_unit_sheet</t>
        </is>
      </c>
      <c r="O43" t="inlineStr">
        <is>
          <t>modelSize của dữ liệu / kích thước thật (reference_real.json)</t>
        </is>
      </c>
      <c r="P43" t="inlineStr"/>
      <c r="Q43" t="inlineStr">
        <is>
          <t>02_boss/Boss.model_size_height_m; Tools/models/reference_real.json</t>
        </is>
      </c>
      <c r="R43" t="inlineStr"/>
    </row>
    <row r="44">
      <c r="A44" t="inlineStr">
        <is>
          <t>ixion/cao_tren_dai</t>
        </is>
      </c>
      <c r="B44" t="inlineStr">
        <is>
          <t>ixion</t>
        </is>
      </c>
      <c r="C44" t="inlineStr">
        <is>
          <t>cao_tren_dai</t>
        </is>
      </c>
      <c r="D44" t="inlineStr"/>
      <c r="E44">
        <f>INDEX(Boss!$FS$2:$FS$32,MATCH($B$44,Boss!$A$2:$A$32,0))/INDEX(Boss!$FT$2:$FT$32,MATCH($B$44,Boss!$A$2:$A$32,0))</f>
        <v/>
      </c>
      <c r="F44">
        <f>INDEX(Boss_tham_chieu!$U$2:$U$32,MATCH("ixion",Boss_tham_chieu!$A$2:$A$32,0))/INDEX(Boss_tham_chieu!$S$2:$S$32,MATCH("ixion",Boss_tham_chieu!$A$2:$A$32,0))</f>
        <v/>
      </c>
      <c r="G44">
        <f>$E$44/$F$44</f>
        <v/>
      </c>
      <c r="H44" t="n">
        <v>0.9</v>
      </c>
      <c r="I44" t="n">
        <v>1.1</v>
      </c>
      <c r="J44" t="b">
        <v>0</v>
      </c>
      <c r="K44" t="inlineStr"/>
      <c r="L44">
        <f>IF(ISNUMBER($H$44),AND(NOT($J$44),OR($G$44&lt;$H$44,$G$44&gt;$I$44)),FALSE)</f>
        <v/>
      </c>
      <c r="M44" t="inlineStr"/>
      <c r="N44" t="inlineStr">
        <is>
          <t>R_unit_refs;R_reference_real;W_wikipedia_belaz_75710;R_machine_brigade_can_bang;R_ixion;R_mb_p20_bosses;R_mb_redesign_20y;R_unit_sheet</t>
        </is>
      </c>
      <c r="O44" t="inlineStr">
        <is>
          <t>tỷ lệ hình (MODEL_STANDARD 3.1: lệch quá 10 % là cờ)</t>
        </is>
      </c>
      <c r="P44" t="inlineStr"/>
      <c r="Q44" t="inlineStr">
        <is>
          <t>02_boss/Boss; Tools/models/reference_real.json</t>
        </is>
      </c>
      <c r="R44" t="inlineStr"/>
    </row>
    <row r="45">
      <c r="A45" t="inlineStr">
        <is>
          <t>ixion/dai_m</t>
        </is>
      </c>
      <c r="B45" t="inlineStr">
        <is>
          <t>ixion</t>
        </is>
      </c>
      <c r="C45" t="inlineStr">
        <is>
          <t>dai_m</t>
        </is>
      </c>
      <c r="D45" t="inlineStr">
        <is>
          <t>m</t>
        </is>
      </c>
      <c r="E45">
        <f>INDEX(Boss!$FT$2:$FT$32,MATCH($B$45,Boss!$A$2:$A$32,0))</f>
        <v/>
      </c>
      <c r="F45">
        <f>INDEX(Boss_tham_chieu!$S$2:$S$32,MATCH("ixion",Boss_tham_chieu!$A$2:$A$32,0))</f>
        <v/>
      </c>
      <c r="G45">
        <f>$E$45/$F$45</f>
        <v/>
      </c>
      <c r="H45" t="n">
        <v>0.7</v>
      </c>
      <c r="I45" t="n">
        <v>1.4</v>
      </c>
      <c r="J45" t="b">
        <v>0</v>
      </c>
      <c r="K45" t="inlineStr"/>
      <c r="L45">
        <f>IF(ISNUMBER($H$45),AND(NOT($J$45),OR($G$45&lt;$H$45,$G$45&gt;$I$45)),FALSE)</f>
        <v/>
      </c>
      <c r="M45" t="inlineStr"/>
      <c r="N45" t="inlineStr">
        <is>
          <t>R_unit_refs;R_reference_real;W_wikipedia_belaz_75710;R_machine_brigade_can_bang;R_ixion;R_mb_p20_bosses;R_mb_redesign_20y;R_unit_sheet</t>
        </is>
      </c>
      <c r="O45" t="inlineStr">
        <is>
          <t>modelSize của dữ liệu / kích thước thật (reference_real.json)</t>
        </is>
      </c>
      <c r="P45" t="inlineStr"/>
      <c r="Q45" t="inlineStr">
        <is>
          <t>02_boss/Boss.model_size_length_m; Tools/models/reference_real.json</t>
        </is>
      </c>
      <c r="R45" t="inlineStr"/>
    </row>
    <row r="46">
      <c r="A46" t="inlineStr">
        <is>
          <t>ixion/p26_ixion_125/nhip</t>
        </is>
      </c>
      <c r="B46" t="inlineStr">
        <is>
          <t>ixion</t>
        </is>
      </c>
      <c r="C46" t="inlineStr">
        <is>
          <t>khe_mot_nong_mot_vien</t>
        </is>
      </c>
      <c r="D46" t="inlineStr">
        <is>
          <t>s</t>
        </is>
      </c>
      <c r="E46" t="n">
        <v>7.5</v>
      </c>
      <c r="F46">
        <f>60/INDEX(boss_input_nhip_that!$B$2:$B$61,MATCH($P$46,boss_input_nhip_that!$A$2:$A$61,0))/IF(INDEX(boss_input_nhip_that!$C$2:$C$61,MATCH($P$46,boss_input_nhip_that!$A$2:$A$61,0))="gun",0.7,1)</f>
        <v/>
      </c>
      <c r="G46">
        <f>$E$46/$F$46</f>
        <v/>
      </c>
      <c r="H46" t="n">
        <v>0.6</v>
      </c>
      <c r="I46" t="n">
        <v>2</v>
      </c>
      <c r="J46" t="b">
        <v>0</v>
      </c>
      <c r="K46" t="inlineStr"/>
      <c r="L46">
        <f>IF(ISNUMBER($H$46),AND(NOT($J$46),OR($G$46&lt;$H$46,$G$46&gt;$I$46)),FALSE)</f>
        <v/>
      </c>
      <c r="M46" t="inlineStr"/>
      <c r="N46" t="inlineStr">
        <is>
          <t>R_balance;R_full_weapon_audit;W_wikipedia_2a46</t>
        </is>
      </c>
      <c r="O46" t="inlineStr">
        <is>
          <t>nhịp pháo boss so với hệ thống thật (định nghĩa như 01_chien_dau/Vu_khi_so_sanh_that)</t>
        </is>
      </c>
      <c r="P46" t="inlineStr">
        <is>
          <t>p26_ixion_125</t>
        </is>
      </c>
      <c r="Q46" t="inlineStr">
        <is>
          <t>Tools/balance/full_weapon_audit.py (bảng REAL) qua input_nhip_that / input_ty_le_nhip</t>
        </is>
      </c>
      <c r="R46" t="inlineStr"/>
    </row>
    <row r="47">
      <c r="A47" t="inlineStr">
        <is>
          <t>ixion/p26_ixion_mg/nhip</t>
        </is>
      </c>
      <c r="B47" t="inlineStr">
        <is>
          <t>ixion</t>
        </is>
      </c>
      <c r="C47" t="inlineStr">
        <is>
          <t>khe_mot_nong_mot_vien</t>
        </is>
      </c>
      <c r="D47" t="inlineStr">
        <is>
          <t>s</t>
        </is>
      </c>
      <c r="E47" t="n">
        <v>0.132467025</v>
      </c>
      <c r="F47">
        <f>60/INDEX(boss_input_nhip_that!$B$2:$B$61,MATCH($P$47,boss_input_nhip_that!$A$2:$A$61,0))/IF(INDEX(boss_input_nhip_that!$C$2:$C$61,MATCH($P$47,boss_input_nhip_that!$A$2:$A$61,0))="gun",0.7,1)</f>
        <v/>
      </c>
      <c r="G47">
        <f>$E$47/$F$47</f>
        <v/>
      </c>
      <c r="H47" t="n">
        <v>0.6</v>
      </c>
      <c r="I47" t="n">
        <v>2</v>
      </c>
      <c r="J47" t="b">
        <v>0</v>
      </c>
      <c r="K47" t="inlineStr"/>
      <c r="L47">
        <f>IF(ISNUMBER($H$47),AND(NOT($J$47),OR($G$47&lt;$H$47,$G$47&gt;$I$47)),FALSE)</f>
        <v/>
      </c>
      <c r="M47" t="inlineStr"/>
      <c r="N47" t="inlineStr">
        <is>
          <t>R_balance;R_full_weapon_audit;W_wikipedia_nsv_machine_gun</t>
        </is>
      </c>
      <c r="O47" t="inlineStr">
        <is>
          <t>nhịp pháo boss so với hệ thống thật (định nghĩa như 01_chien_dau/Vu_khi_so_sanh_that)</t>
        </is>
      </c>
      <c r="P47" t="inlineStr">
        <is>
          <t>p26_ixion_mg</t>
        </is>
      </c>
      <c r="Q47" t="inlineStr">
        <is>
          <t>Tools/balance/full_weapon_audit.py (bảng REAL) qua input_nhip_that / input_ty_le_nhip</t>
        </is>
      </c>
      <c r="R47" t="inlineStr"/>
    </row>
    <row r="48">
      <c r="A48" t="inlineStr">
        <is>
          <t>ixion/rong_m</t>
        </is>
      </c>
      <c r="B48" t="inlineStr">
        <is>
          <t>ixion</t>
        </is>
      </c>
      <c r="C48" t="inlineStr">
        <is>
          <t>rong_m</t>
        </is>
      </c>
      <c r="D48" t="inlineStr">
        <is>
          <t>m</t>
        </is>
      </c>
      <c r="E48">
        <f>INDEX(Boss!$FU$2:$FU$32,MATCH($B$48,Boss!$A$2:$A$32,0))</f>
        <v/>
      </c>
      <c r="F48">
        <f>INDEX(Boss_tham_chieu!$T$2:$T$32,MATCH("ixion",Boss_tham_chieu!$A$2:$A$32,0))</f>
        <v/>
      </c>
      <c r="G48">
        <f>$E$48/$F$48</f>
        <v/>
      </c>
      <c r="H48" t="n">
        <v>0.7</v>
      </c>
      <c r="I48" t="n">
        <v>1.4</v>
      </c>
      <c r="J48" t="b">
        <v>0</v>
      </c>
      <c r="K48" t="inlineStr"/>
      <c r="L48">
        <f>IF(ISNUMBER($H$48),AND(NOT($J$48),OR($G$48&lt;$H$48,$G$48&gt;$I$48)),FALSE)</f>
        <v/>
      </c>
      <c r="M48" t="inlineStr"/>
      <c r="N48" t="inlineStr">
        <is>
          <t>R_unit_refs;R_reference_real;W_wikipedia_belaz_75710;R_machine_brigade_can_bang;R_ixion;R_mb_p20_bosses;R_mb_redesign_20y;R_unit_sheet</t>
        </is>
      </c>
      <c r="O48" t="inlineStr">
        <is>
          <t>modelSize của dữ liệu / kích thước thật (reference_real.json)</t>
        </is>
      </c>
      <c r="P48" t="inlineStr"/>
      <c r="Q48" t="inlineStr">
        <is>
          <t>02_boss/Boss.model_size_width_m; Tools/models/reference_real.json</t>
        </is>
      </c>
      <c r="R48" t="inlineStr"/>
    </row>
    <row r="49">
      <c r="A49" t="inlineStr">
        <is>
          <t>ixion/rong_tren_dai</t>
        </is>
      </c>
      <c r="B49" t="inlineStr">
        <is>
          <t>ixion</t>
        </is>
      </c>
      <c r="C49" t="inlineStr">
        <is>
          <t>rong_tren_dai</t>
        </is>
      </c>
      <c r="D49" t="inlineStr"/>
      <c r="E49">
        <f>INDEX(Boss!$FU$2:$FU$32,MATCH($B$49,Boss!$A$2:$A$32,0))/INDEX(Boss!$FT$2:$FT$32,MATCH($B$49,Boss!$A$2:$A$32,0))</f>
        <v/>
      </c>
      <c r="F49">
        <f>INDEX(Boss_tham_chieu!$T$2:$T$32,MATCH("ixion",Boss_tham_chieu!$A$2:$A$32,0))/INDEX(Boss_tham_chieu!$S$2:$S$32,MATCH("ixion",Boss_tham_chieu!$A$2:$A$32,0))</f>
        <v/>
      </c>
      <c r="G49">
        <f>$E$49/$F$49</f>
        <v/>
      </c>
      <c r="H49" t="n">
        <v>0.9</v>
      </c>
      <c r="I49" t="n">
        <v>1.1</v>
      </c>
      <c r="J49" t="b">
        <v>0</v>
      </c>
      <c r="K49" t="inlineStr"/>
      <c r="L49">
        <f>IF(ISNUMBER($H$49),AND(NOT($J$49),OR($G$49&lt;$H$49,$G$49&gt;$I$49)),FALSE)</f>
        <v/>
      </c>
      <c r="M49" t="inlineStr"/>
      <c r="N49" t="inlineStr">
        <is>
          <t>R_unit_refs;R_reference_real;W_wikipedia_belaz_75710;R_machine_brigade_can_bang;R_ixion;R_mb_p20_bosses;R_mb_redesign_20y;R_unit_sheet</t>
        </is>
      </c>
      <c r="O49" t="inlineStr">
        <is>
          <t>tỷ lệ hình (MODEL_STANDARD 3.1: lệch quá 10 % là cờ)</t>
        </is>
      </c>
      <c r="P49" t="inlineStr"/>
      <c r="Q49" t="inlineStr">
        <is>
          <t>02_boss/Boss; Tools/models/reference_real.json</t>
        </is>
      </c>
      <c r="R49" t="inlineStr"/>
    </row>
    <row r="50">
      <c r="A50" t="inlineStr">
        <is>
          <t>kraken/aa_25_triple/nhip</t>
        </is>
      </c>
      <c r="B50" t="inlineStr">
        <is>
          <t>kraken</t>
        </is>
      </c>
      <c r="C50" t="inlineStr">
        <is>
          <t>khe_mot_nong_mot_vien</t>
        </is>
      </c>
      <c r="D50" t="inlineStr">
        <is>
          <t>s</t>
        </is>
      </c>
      <c r="E50" t="n">
        <v>0.620000077</v>
      </c>
      <c r="F50">
        <f>60/INDEX(boss_input_nhip_that!$B$2:$B$61,MATCH($P$50,boss_input_nhip_that!$A$2:$A$61,0))/IF(INDEX(boss_input_nhip_that!$C$2:$C$61,MATCH($P$50,boss_input_nhip_that!$A$2:$A$61,0))="gun",0.7,1)</f>
        <v/>
      </c>
      <c r="G50">
        <f>$E$50/$F$50</f>
        <v/>
      </c>
      <c r="H50" t="n">
        <v>0.6</v>
      </c>
      <c r="I50" t="n">
        <v>2</v>
      </c>
      <c r="J50" t="b">
        <v>1</v>
      </c>
      <c r="K50" t="inlineStr">
        <is>
          <t>bản kiểm L1 (Tools/balance/full_weapon_audit.py) không cờ nhịp này: súng máy, pháo tự động, cao xạ so khe chậm với nhịp thực tế; rốc-két, bom và đồ treo máy bay chỉ so khoảng trong loạt</t>
        </is>
      </c>
      <c r="L50">
        <f>IF(ISNUMBER($H$50),AND(NOT($J$50),OR($G$50&lt;$H$50,$G$50&gt;$I$50)),FALSE)</f>
        <v/>
      </c>
      <c r="M50" t="inlineStr"/>
      <c r="N50" t="inlineStr">
        <is>
          <t>R_balance;R_full_weapon_audit;W_wikipedia_type_96_25_mm_at_aa_gun;R_machine_brigade_can_bang</t>
        </is>
      </c>
      <c r="O50" t="inlineStr">
        <is>
          <t>nhịp pháo boss so với hệ thống thật (định nghĩa như 01_chien_dau/Vu_khi_so_sanh_that)</t>
        </is>
      </c>
      <c r="P50" t="inlineStr">
        <is>
          <t>aa_25_triple</t>
        </is>
      </c>
      <c r="Q50" t="inlineStr">
        <is>
          <t>Tools/balance/full_weapon_audit.py (bảng REAL) qua input_nhip_that / input_ty_le_nhip</t>
        </is>
      </c>
      <c r="R50" t="inlineStr"/>
    </row>
    <row r="51">
      <c r="A51" t="inlineStr">
        <is>
          <t>kraken/p26_leviathan_direct_lev127/nhip</t>
        </is>
      </c>
      <c r="B51" t="inlineStr">
        <is>
          <t>kraken</t>
        </is>
      </c>
      <c r="C51" t="inlineStr">
        <is>
          <t>khe_mot_nong_mot_vien</t>
        </is>
      </c>
      <c r="D51" t="inlineStr">
        <is>
          <t>s</t>
        </is>
      </c>
      <c r="E51" t="n">
        <v>3</v>
      </c>
      <c r="F51">
        <f>60/INDEX(boss_input_nhip_that!$B$2:$B$61,MATCH($P$51,boss_input_nhip_that!$A$2:$A$61,0))/IF(INDEX(boss_input_nhip_that!$C$2:$C$61,MATCH($P$51,boss_input_nhip_that!$A$2:$A$61,0))="gun",0.7,1)</f>
        <v/>
      </c>
      <c r="G51">
        <f>$E$51/$F$51</f>
        <v/>
      </c>
      <c r="H51" t="n">
        <v>0.6</v>
      </c>
      <c r="I51" t="n">
        <v>2</v>
      </c>
      <c r="J51" t="b">
        <v>0</v>
      </c>
      <c r="K51" t="inlineStr"/>
      <c r="L51">
        <f>IF(ISNUMBER($H$51),AND(NOT($J$51),OR($G$51&lt;$H$51,$G$51&gt;$I$51)),FALSE)</f>
        <v/>
      </c>
      <c r="M51" t="inlineStr"/>
      <c r="N51" t="inlineStr">
        <is>
          <t>R_balance;R_full_weapon_audit;W_wikipedia_a_192</t>
        </is>
      </c>
      <c r="O51" t="inlineStr">
        <is>
          <t>nhịp pháo boss so với hệ thống thật (định nghĩa như 01_chien_dau/Vu_khi_so_sanh_that)</t>
        </is>
      </c>
      <c r="P51" t="inlineStr">
        <is>
          <t>p26_leviathan_direct_lev127</t>
        </is>
      </c>
      <c r="Q51" t="inlineStr">
        <is>
          <t>Tools/balance/full_weapon_audit.py (bảng REAL) qua input_nhip_that / input_ty_le_nhip</t>
        </is>
      </c>
      <c r="R51" t="inlineStr"/>
    </row>
    <row r="52">
      <c r="A52" t="inlineStr">
        <is>
          <t>kraken/p26_leviathan_lev406/nhip</t>
        </is>
      </c>
      <c r="B52" t="inlineStr">
        <is>
          <t>kraken</t>
        </is>
      </c>
      <c r="C52" t="inlineStr">
        <is>
          <t>khe_mot_nong_mot_vien</t>
        </is>
      </c>
      <c r="D52" t="inlineStr">
        <is>
          <t>s</t>
        </is>
      </c>
      <c r="E52" t="n">
        <v>60</v>
      </c>
      <c r="F52">
        <f>60/INDEX(boss_input_nhip_that!$B$2:$B$61,MATCH($P$52,boss_input_nhip_that!$A$2:$A$61,0))/IF(INDEX(boss_input_nhip_that!$C$2:$C$61,MATCH($P$52,boss_input_nhip_that!$A$2:$A$61,0))="gun",0.7,1)</f>
        <v/>
      </c>
      <c r="G52">
        <f>$E$52/$F$52</f>
        <v/>
      </c>
      <c r="H52" t="n">
        <v>0.6</v>
      </c>
      <c r="I52" t="n">
        <v>2</v>
      </c>
      <c r="J52" t="b">
        <v>0</v>
      </c>
      <c r="K52" t="inlineStr"/>
      <c r="L52">
        <f>IF(ISNUMBER($H$52),AND(NOT($J$52),OR($G$52&lt;$H$52,$G$52&gt;$I$52)),FALSE)</f>
        <v/>
      </c>
      <c r="M52" t="inlineStr"/>
      <c r="N52" t="inlineStr">
        <is>
          <t>R_balance;R_full_weapon_audit;W_wikipedia_16_50_caliber_mark_7</t>
        </is>
      </c>
      <c r="O52" t="inlineStr">
        <is>
          <t>nhịp pháo boss so với hệ thống thật (định nghĩa như 01_chien_dau/Vu_khi_so_sanh_that)</t>
        </is>
      </c>
      <c r="P52" t="inlineStr">
        <is>
          <t>p26_leviathan_lev406</t>
        </is>
      </c>
      <c r="Q52" t="inlineStr">
        <is>
          <t>Tools/balance/full_weapon_audit.py (bảng REAL) qua input_nhip_that / input_ty_le_nhip</t>
        </is>
      </c>
      <c r="R52" t="inlineStr"/>
    </row>
    <row r="53">
      <c r="A53" t="inlineStr">
        <is>
          <t>kraken/p26_leviathan_sec_lev155/nhip</t>
        </is>
      </c>
      <c r="B53" t="inlineStr">
        <is>
          <t>kraken</t>
        </is>
      </c>
      <c r="C53" t="inlineStr">
        <is>
          <t>khe_mot_nong_mot_vien</t>
        </is>
      </c>
      <c r="D53" t="inlineStr">
        <is>
          <t>s</t>
        </is>
      </c>
      <c r="E53" t="n">
        <v>10.5</v>
      </c>
      <c r="F53">
        <f>60/INDEX(boss_input_nhip_that!$B$2:$B$61,MATCH($P$53,boss_input_nhip_that!$A$2:$A$61,0))/IF(INDEX(boss_input_nhip_that!$C$2:$C$61,MATCH($P$53,boss_input_nhip_that!$A$2:$A$61,0))="gun",0.7,1)</f>
        <v/>
      </c>
      <c r="G53">
        <f>$E$53/$F$53</f>
        <v/>
      </c>
      <c r="H53" t="n">
        <v>0.6</v>
      </c>
      <c r="I53" t="n">
        <v>2</v>
      </c>
      <c r="J53" t="b">
        <v>0</v>
      </c>
      <c r="K53" t="inlineStr"/>
      <c r="L53">
        <f>IF(ISNUMBER($H$53),AND(NOT($J$53),OR($G$53&lt;$H$53,$G$53&gt;$I$53)),FALSE)</f>
        <v/>
      </c>
      <c r="M53" t="inlineStr"/>
      <c r="N53" t="inlineStr">
        <is>
          <t>R_balance;R_full_weapon_audit;W_wikipedia_15_5_cm_60_3rd_year_type</t>
        </is>
      </c>
      <c r="O53" t="inlineStr">
        <is>
          <t>nhịp pháo boss so với hệ thống thật (định nghĩa như 01_chien_dau/Vu_khi_so_sanh_that)</t>
        </is>
      </c>
      <c r="P53" t="inlineStr">
        <is>
          <t>p26_leviathan_sec_lev155</t>
        </is>
      </c>
      <c r="Q53" t="inlineStr">
        <is>
          <t>Tools/balance/full_weapon_audit.py (bảng REAL) qua input_nhip_that / input_ty_le_nhip</t>
        </is>
      </c>
      <c r="R53" t="inlineStr"/>
    </row>
    <row r="54">
      <c r="A54" t="inlineStr">
        <is>
          <t>kraken/sam_post/nhip</t>
        </is>
      </c>
      <c r="B54" t="inlineStr">
        <is>
          <t>kraken</t>
        </is>
      </c>
      <c r="C54" t="inlineStr">
        <is>
          <t>khe_mot_nong_mot_vien</t>
        </is>
      </c>
      <c r="D54" t="inlineStr">
        <is>
          <t>s</t>
        </is>
      </c>
      <c r="E54" t="n">
        <v>2.2</v>
      </c>
      <c r="F54">
        <f>60/INDEX(boss_input_nhip_that!$B$2:$B$61,MATCH($P$54,boss_input_nhip_that!$A$2:$A$61,0))/IF(INDEX(boss_input_nhip_that!$C$2:$C$61,MATCH($P$54,boss_input_nhip_that!$A$2:$A$61,0))="gun",0.7,1)</f>
        <v/>
      </c>
      <c r="G54">
        <f>$E$54/$F$54</f>
        <v/>
      </c>
      <c r="H54" t="n">
        <v>0.6</v>
      </c>
      <c r="I54" t="n">
        <v>2</v>
      </c>
      <c r="J54" t="b">
        <v>0</v>
      </c>
      <c r="K54" t="inlineStr"/>
      <c r="L54">
        <f>IF(ISNUMBER($H$54),AND(NOT($J$54),OR($G$54&lt;$H$54,$G$54&gt;$I$54)),FALSE)</f>
        <v/>
      </c>
      <c r="M54" t="inlineStr">
        <is>
          <t>TC0107</t>
        </is>
      </c>
      <c r="N54" t="inlineStr">
        <is>
          <t>R_balance;R_full_weapon_audit;W_wikipedia_buk_missile_system;R_machine_brigade_can_bang</t>
        </is>
      </c>
      <c r="O54" t="inlineStr">
        <is>
          <t>nhịp pháo boss so với hệ thống thật (định nghĩa như 01_chien_dau/Vu_khi_so_sanh_that)</t>
        </is>
      </c>
      <c r="P54" t="inlineStr">
        <is>
          <t>sam_post</t>
        </is>
      </c>
      <c r="Q54" t="inlineStr">
        <is>
          <t>Tools/balance/full_weapon_audit.py (bảng REAL) qua input_nhip_that / input_ty_le_nhip</t>
        </is>
      </c>
      <c r="R54" t="inlineStr"/>
    </row>
    <row r="55">
      <c r="A55" t="inlineStr">
        <is>
          <t>landing_hovercraft/ciws_aa/nhip</t>
        </is>
      </c>
      <c r="B55" t="inlineStr">
        <is>
          <t>landing_hovercraft</t>
        </is>
      </c>
      <c r="C55" t="inlineStr">
        <is>
          <t>khe_mot_nong_mot_vien</t>
        </is>
      </c>
      <c r="D55" t="inlineStr">
        <is>
          <t>s</t>
        </is>
      </c>
      <c r="E55" t="n">
        <v>0.100033332</v>
      </c>
      <c r="F55">
        <f>60/INDEX(boss_input_nhip_that!$B$2:$B$61,MATCH($P$55,boss_input_nhip_that!$A$2:$A$61,0))/IF(INDEX(boss_input_nhip_that!$C$2:$C$61,MATCH($P$55,boss_input_nhip_that!$A$2:$A$61,0))="gun",0.7,1)</f>
        <v/>
      </c>
      <c r="G55">
        <f>$E$55/$F$55</f>
        <v/>
      </c>
      <c r="H55" t="n">
        <v>0.6</v>
      </c>
      <c r="I55" t="n">
        <v>2</v>
      </c>
      <c r="J55" t="b">
        <v>1</v>
      </c>
      <c r="K55" t="inlineStr">
        <is>
          <t>bản kiểm L1 (Tools/balance/full_weapon_audit.py) không cờ nhịp này: súng máy, pháo tự động, cao xạ so khe chậm với nhịp thực tế; rốc-két, bom và đồ treo máy bay chỉ so khoảng trong loạt</t>
        </is>
      </c>
      <c r="L55">
        <f>IF(ISNUMBER($H$55),AND(NOT($J$55),OR($G$55&lt;$H$55,$G$55&gt;$I$55)),FALSE)</f>
        <v/>
      </c>
      <c r="M55" t="inlineStr"/>
      <c r="N55" t="inlineStr">
        <is>
          <t>R_balance;R_full_weapon_audit;W_wikipedia_ak_630;R_machine_brigade_can_bang</t>
        </is>
      </c>
      <c r="O55" t="inlineStr">
        <is>
          <t>nhịp pháo boss so với hệ thống thật (định nghĩa như 01_chien_dau/Vu_khi_so_sanh_that)</t>
        </is>
      </c>
      <c r="P55" t="inlineStr">
        <is>
          <t>ciws_aa</t>
        </is>
      </c>
      <c r="Q55" t="inlineStr">
        <is>
          <t>Tools/balance/full_weapon_audit.py (bảng REAL) qua input_nhip_that / input_ty_le_nhip</t>
        </is>
      </c>
      <c r="R55" t="inlineStr"/>
    </row>
    <row r="56">
      <c r="A56" t="inlineStr">
        <is>
          <t>landing_hovercraft/hover_ciws/nhip</t>
        </is>
      </c>
      <c r="B56" t="inlineStr">
        <is>
          <t>landing_hovercraft</t>
        </is>
      </c>
      <c r="C56" t="inlineStr">
        <is>
          <t>khe_mot_nong_mot_vien</t>
        </is>
      </c>
      <c r="D56" t="inlineStr">
        <is>
          <t>s</t>
        </is>
      </c>
      <c r="E56" t="n">
        <v>0.100033332</v>
      </c>
      <c r="F56">
        <f>60/INDEX(boss_input_nhip_that!$B$2:$B$61,MATCH($P$56,boss_input_nhip_that!$A$2:$A$61,0))/IF(INDEX(boss_input_nhip_that!$C$2:$C$61,MATCH($P$56,boss_input_nhip_that!$A$2:$A$61,0))="gun",0.7,1)</f>
        <v/>
      </c>
      <c r="G56">
        <f>$E$56/$F$56</f>
        <v/>
      </c>
      <c r="H56" t="n">
        <v>0.6</v>
      </c>
      <c r="I56" t="n">
        <v>2</v>
      </c>
      <c r="J56" t="b">
        <v>1</v>
      </c>
      <c r="K56" t="inlineStr">
        <is>
          <t>bản kiểm L1 (Tools/balance/full_weapon_audit.py) không cờ nhịp này: súng máy, pháo tự động, cao xạ so khe chậm với nhịp thực tế; rốc-két, bom và đồ treo máy bay chỉ so khoảng trong loạt</t>
        </is>
      </c>
      <c r="L56">
        <f>IF(ISNUMBER($H$56),AND(NOT($J$56),OR($G$56&lt;$H$56,$G$56&gt;$I$56)),FALSE)</f>
        <v/>
      </c>
      <c r="M56" t="inlineStr"/>
      <c r="N56" t="inlineStr">
        <is>
          <t>R_balance;R_full_weapon_audit;W_wikipedia_ak_630;R_machine_brigade_can_bang</t>
        </is>
      </c>
      <c r="O56" t="inlineStr">
        <is>
          <t>nhịp pháo boss so với hệ thống thật (định nghĩa như 01_chien_dau/Vu_khi_so_sanh_that)</t>
        </is>
      </c>
      <c r="P56" t="inlineStr">
        <is>
          <t>hover_ciws</t>
        </is>
      </c>
      <c r="Q56" t="inlineStr">
        <is>
          <t>Tools/balance/full_weapon_audit.py (bảng REAL) qua input_nhip_that / input_ty_le_nhip</t>
        </is>
      </c>
      <c r="R56" t="inlineStr"/>
    </row>
    <row r="57">
      <c r="A57" t="inlineStr">
        <is>
          <t>landing_hovercraft/hover_rockets/nhip</t>
        </is>
      </c>
      <c r="B57" t="inlineStr">
        <is>
          <t>landing_hovercraft</t>
        </is>
      </c>
      <c r="C57" t="inlineStr">
        <is>
          <t>khe_mot_nong_mot_vien</t>
        </is>
      </c>
      <c r="D57" t="inlineStr">
        <is>
          <t>s</t>
        </is>
      </c>
      <c r="E57" t="n">
        <v>0.5</v>
      </c>
      <c r="F57">
        <f>60/INDEX(boss_input_nhip_that!$B$2:$B$61,MATCH($P$57,boss_input_nhip_that!$A$2:$A$61,0))/IF(INDEX(boss_input_nhip_that!$C$2:$C$61,MATCH($P$57,boss_input_nhip_that!$A$2:$A$61,0))="gun",0.7,1)</f>
        <v/>
      </c>
      <c r="G57">
        <f>$E$57/$F$57</f>
        <v/>
      </c>
      <c r="H57" t="n">
        <v>0.6</v>
      </c>
      <c r="I57" t="n">
        <v>2</v>
      </c>
      <c r="J57" t="b">
        <v>0</v>
      </c>
      <c r="K57" t="inlineStr"/>
      <c r="L57">
        <f>IF(ISNUMBER($H$57),AND(NOT($J$57),OR($G$57&lt;$H$57,$G$57&gt;$I$57)),FALSE)</f>
        <v/>
      </c>
      <c r="M57" t="inlineStr"/>
      <c r="N57" t="inlineStr">
        <is>
          <t>R_balance;R_full_weapon_audit;R_machine_brigade_can_bang</t>
        </is>
      </c>
      <c r="O57" t="inlineStr">
        <is>
          <t>nhịp pháo boss so với hệ thống thật (định nghĩa như 01_chien_dau/Vu_khi_so_sanh_that)</t>
        </is>
      </c>
      <c r="P57" t="inlineStr">
        <is>
          <t>hover_rockets</t>
        </is>
      </c>
      <c r="Q57" t="inlineStr">
        <is>
          <t>Tools/balance/full_weapon_audit.py (bảng REAL) qua input_nhip_that / input_ty_le_nhip</t>
        </is>
      </c>
      <c r="R57" t="inlineStr"/>
    </row>
    <row r="58">
      <c r="A58" t="inlineStr">
        <is>
          <t>leviathan/aa_25_triple/nhip</t>
        </is>
      </c>
      <c r="B58" t="inlineStr">
        <is>
          <t>leviathan</t>
        </is>
      </c>
      <c r="C58" t="inlineStr">
        <is>
          <t>khe_mot_nong_mot_vien</t>
        </is>
      </c>
      <c r="D58" t="inlineStr">
        <is>
          <t>s</t>
        </is>
      </c>
      <c r="E58" t="n">
        <v>0.620000077</v>
      </c>
      <c r="F58">
        <f>60/INDEX(boss_input_nhip_that!$B$2:$B$61,MATCH($P$58,boss_input_nhip_that!$A$2:$A$61,0))/IF(INDEX(boss_input_nhip_that!$C$2:$C$61,MATCH($P$58,boss_input_nhip_that!$A$2:$A$61,0))="gun",0.7,1)</f>
        <v/>
      </c>
      <c r="G58">
        <f>$E$58/$F$58</f>
        <v/>
      </c>
      <c r="H58" t="n">
        <v>0.6</v>
      </c>
      <c r="I58" t="n">
        <v>2</v>
      </c>
      <c r="J58" t="b">
        <v>1</v>
      </c>
      <c r="K58" t="inlineStr">
        <is>
          <t>bản kiểm L1 (Tools/balance/full_weapon_audit.py) không cờ nhịp này: súng máy, pháo tự động, cao xạ so khe chậm với nhịp thực tế; rốc-két, bom và đồ treo máy bay chỉ so khoảng trong loạt</t>
        </is>
      </c>
      <c r="L58">
        <f>IF(ISNUMBER($H$58),AND(NOT($J$58),OR($G$58&lt;$H$58,$G$58&gt;$I$58)),FALSE)</f>
        <v/>
      </c>
      <c r="M58" t="inlineStr"/>
      <c r="N58" t="inlineStr">
        <is>
          <t>R_balance;R_full_weapon_audit;W_wikipedia_type_96_25_mm_at_aa_gun;R_machine_brigade_can_bang</t>
        </is>
      </c>
      <c r="O58" t="inlineStr">
        <is>
          <t>nhịp pháo boss so với hệ thống thật (định nghĩa như 01_chien_dau/Vu_khi_so_sanh_that)</t>
        </is>
      </c>
      <c r="P58" t="inlineStr">
        <is>
          <t>aa_25_triple</t>
        </is>
      </c>
      <c r="Q58" t="inlineStr">
        <is>
          <t>Tools/balance/full_weapon_audit.py (bảng REAL) qua input_nhip_that / input_ty_le_nhip</t>
        </is>
      </c>
      <c r="R58" t="inlineStr"/>
    </row>
    <row r="59">
      <c r="A59" t="inlineStr">
        <is>
          <t>leviathan/p26_leviathan_direct_lev127/nhip</t>
        </is>
      </c>
      <c r="B59" t="inlineStr">
        <is>
          <t>leviathan</t>
        </is>
      </c>
      <c r="C59" t="inlineStr">
        <is>
          <t>khe_mot_nong_mot_vien</t>
        </is>
      </c>
      <c r="D59" t="inlineStr">
        <is>
          <t>s</t>
        </is>
      </c>
      <c r="E59" t="n">
        <v>3</v>
      </c>
      <c r="F59">
        <f>60/INDEX(boss_input_nhip_that!$B$2:$B$61,MATCH($P$59,boss_input_nhip_that!$A$2:$A$61,0))/IF(INDEX(boss_input_nhip_that!$C$2:$C$61,MATCH($P$59,boss_input_nhip_that!$A$2:$A$61,0))="gun",0.7,1)</f>
        <v/>
      </c>
      <c r="G59">
        <f>$E$59/$F$59</f>
        <v/>
      </c>
      <c r="H59" t="n">
        <v>0.6</v>
      </c>
      <c r="I59" t="n">
        <v>2</v>
      </c>
      <c r="J59" t="b">
        <v>0</v>
      </c>
      <c r="K59" t="inlineStr"/>
      <c r="L59">
        <f>IF(ISNUMBER($H$59),AND(NOT($J$59),OR($G$59&lt;$H$59,$G$59&gt;$I$59)),FALSE)</f>
        <v/>
      </c>
      <c r="M59" t="inlineStr"/>
      <c r="N59" t="inlineStr">
        <is>
          <t>R_balance;R_full_weapon_audit;W_wikipedia_a_192</t>
        </is>
      </c>
      <c r="O59" t="inlineStr">
        <is>
          <t>nhịp pháo boss so với hệ thống thật (định nghĩa như 01_chien_dau/Vu_khi_so_sanh_that)</t>
        </is>
      </c>
      <c r="P59" t="inlineStr">
        <is>
          <t>p26_leviathan_direct_lev127</t>
        </is>
      </c>
      <c r="Q59" t="inlineStr">
        <is>
          <t>Tools/balance/full_weapon_audit.py (bảng REAL) qua input_nhip_that / input_ty_le_nhip</t>
        </is>
      </c>
      <c r="R59" t="inlineStr"/>
    </row>
    <row r="60">
      <c r="A60" t="inlineStr">
        <is>
          <t>leviathan/p26_leviathan_lev406/nhip</t>
        </is>
      </c>
      <c r="B60" t="inlineStr">
        <is>
          <t>leviathan</t>
        </is>
      </c>
      <c r="C60" t="inlineStr">
        <is>
          <t>khe_mot_nong_mot_vien</t>
        </is>
      </c>
      <c r="D60" t="inlineStr">
        <is>
          <t>s</t>
        </is>
      </c>
      <c r="E60" t="n">
        <v>60</v>
      </c>
      <c r="F60">
        <f>60/INDEX(boss_input_nhip_that!$B$2:$B$61,MATCH($P$60,boss_input_nhip_that!$A$2:$A$61,0))/IF(INDEX(boss_input_nhip_that!$C$2:$C$61,MATCH($P$60,boss_input_nhip_that!$A$2:$A$61,0))="gun",0.7,1)</f>
        <v/>
      </c>
      <c r="G60">
        <f>$E$60/$F$60</f>
        <v/>
      </c>
      <c r="H60" t="n">
        <v>0.6</v>
      </c>
      <c r="I60" t="n">
        <v>2</v>
      </c>
      <c r="J60" t="b">
        <v>0</v>
      </c>
      <c r="K60" t="inlineStr"/>
      <c r="L60">
        <f>IF(ISNUMBER($H$60),AND(NOT($J$60),OR($G$60&lt;$H$60,$G$60&gt;$I$60)),FALSE)</f>
        <v/>
      </c>
      <c r="M60" t="inlineStr"/>
      <c r="N60" t="inlineStr">
        <is>
          <t>R_balance;R_full_weapon_audit;W_wikipedia_16_50_caliber_mark_7</t>
        </is>
      </c>
      <c r="O60" t="inlineStr">
        <is>
          <t>nhịp pháo boss so với hệ thống thật (định nghĩa như 01_chien_dau/Vu_khi_so_sanh_that)</t>
        </is>
      </c>
      <c r="P60" t="inlineStr">
        <is>
          <t>p26_leviathan_lev406</t>
        </is>
      </c>
      <c r="Q60" t="inlineStr">
        <is>
          <t>Tools/balance/full_weapon_audit.py (bảng REAL) qua input_nhip_that / input_ty_le_nhip</t>
        </is>
      </c>
      <c r="R60" t="inlineStr"/>
    </row>
    <row r="61">
      <c r="A61" t="inlineStr">
        <is>
          <t>leviathan/p26_leviathan_sec_lev155/nhip</t>
        </is>
      </c>
      <c r="B61" t="inlineStr">
        <is>
          <t>leviathan</t>
        </is>
      </c>
      <c r="C61" t="inlineStr">
        <is>
          <t>khe_mot_nong_mot_vien</t>
        </is>
      </c>
      <c r="D61" t="inlineStr">
        <is>
          <t>s</t>
        </is>
      </c>
      <c r="E61" t="n">
        <v>10.5</v>
      </c>
      <c r="F61">
        <f>60/INDEX(boss_input_nhip_that!$B$2:$B$61,MATCH($P$61,boss_input_nhip_that!$A$2:$A$61,0))/IF(INDEX(boss_input_nhip_that!$C$2:$C$61,MATCH($P$61,boss_input_nhip_that!$A$2:$A$61,0))="gun",0.7,1)</f>
        <v/>
      </c>
      <c r="G61">
        <f>$E$61/$F$61</f>
        <v/>
      </c>
      <c r="H61" t="n">
        <v>0.6</v>
      </c>
      <c r="I61" t="n">
        <v>2</v>
      </c>
      <c r="J61" t="b">
        <v>0</v>
      </c>
      <c r="K61" t="inlineStr"/>
      <c r="L61">
        <f>IF(ISNUMBER($H$61),AND(NOT($J$61),OR($G$61&lt;$H$61,$G$61&gt;$I$61)),FALSE)</f>
        <v/>
      </c>
      <c r="M61" t="inlineStr"/>
      <c r="N61" t="inlineStr">
        <is>
          <t>R_balance;R_full_weapon_audit;W_wikipedia_15_5_cm_60_3rd_year_type</t>
        </is>
      </c>
      <c r="O61" t="inlineStr">
        <is>
          <t>nhịp pháo boss so với hệ thống thật (định nghĩa như 01_chien_dau/Vu_khi_so_sanh_that)</t>
        </is>
      </c>
      <c r="P61" t="inlineStr">
        <is>
          <t>p26_leviathan_sec_lev155</t>
        </is>
      </c>
      <c r="Q61" t="inlineStr">
        <is>
          <t>Tools/balance/full_weapon_audit.py (bảng REAL) qua input_nhip_that / input_ty_le_nhip</t>
        </is>
      </c>
      <c r="R61" t="inlineStr"/>
    </row>
    <row r="62">
      <c r="A62" t="inlineStr">
        <is>
          <t>leviathan/sam_post/nhip</t>
        </is>
      </c>
      <c r="B62" t="inlineStr">
        <is>
          <t>leviathan</t>
        </is>
      </c>
      <c r="C62" t="inlineStr">
        <is>
          <t>khe_mot_nong_mot_vien</t>
        </is>
      </c>
      <c r="D62" t="inlineStr">
        <is>
          <t>s</t>
        </is>
      </c>
      <c r="E62" t="n">
        <v>2.2</v>
      </c>
      <c r="F62">
        <f>60/INDEX(boss_input_nhip_that!$B$2:$B$61,MATCH($P$62,boss_input_nhip_that!$A$2:$A$61,0))/IF(INDEX(boss_input_nhip_that!$C$2:$C$61,MATCH($P$62,boss_input_nhip_that!$A$2:$A$61,0))="gun",0.7,1)</f>
        <v/>
      </c>
      <c r="G62">
        <f>$E$62/$F$62</f>
        <v/>
      </c>
      <c r="H62" t="n">
        <v>0.6</v>
      </c>
      <c r="I62" t="n">
        <v>2</v>
      </c>
      <c r="J62" t="b">
        <v>0</v>
      </c>
      <c r="K62" t="inlineStr"/>
      <c r="L62">
        <f>IF(ISNUMBER($H$62),AND(NOT($J$62),OR($G$62&lt;$H$62,$G$62&gt;$I$62)),FALSE)</f>
        <v/>
      </c>
      <c r="M62" t="inlineStr">
        <is>
          <t>TC0108</t>
        </is>
      </c>
      <c r="N62" t="inlineStr">
        <is>
          <t>R_balance;R_full_weapon_audit;W_wikipedia_buk_missile_system;R_machine_brigade_can_bang</t>
        </is>
      </c>
      <c r="O62" t="inlineStr">
        <is>
          <t>nhịp pháo boss so với hệ thống thật (định nghĩa như 01_chien_dau/Vu_khi_so_sanh_that)</t>
        </is>
      </c>
      <c r="P62" t="inlineStr">
        <is>
          <t>sam_post</t>
        </is>
      </c>
      <c r="Q62" t="inlineStr">
        <is>
          <t>Tools/balance/full_weapon_audit.py (bảng REAL) qua input_nhip_that / input_ty_le_nhip</t>
        </is>
      </c>
      <c r="R62" t="inlineStr"/>
    </row>
    <row r="63">
      <c r="A63" t="inlineStr">
        <is>
          <t>locust/p26_matriarch_close_boss_flak/nhip</t>
        </is>
      </c>
      <c r="B63" t="inlineStr">
        <is>
          <t>locust</t>
        </is>
      </c>
      <c r="C63" t="inlineStr">
        <is>
          <t>khe_mot_nong_mot_vien</t>
        </is>
      </c>
      <c r="D63" t="inlineStr">
        <is>
          <t>s</t>
        </is>
      </c>
      <c r="E63" t="n">
        <v>0.262439018</v>
      </c>
      <c r="F63">
        <f>60/INDEX(boss_input_nhip_that!$B$2:$B$61,MATCH($P$63,boss_input_nhip_that!$A$2:$A$61,0))/IF(INDEX(boss_input_nhip_that!$C$2:$C$61,MATCH($P$63,boss_input_nhip_that!$A$2:$A$61,0))="gun",0.7,1)</f>
        <v/>
      </c>
      <c r="G63">
        <f>$E$63/$F$63</f>
        <v/>
      </c>
      <c r="H63" t="n">
        <v>0.6</v>
      </c>
      <c r="I63" t="n">
        <v>2</v>
      </c>
      <c r="J63" t="b">
        <v>1</v>
      </c>
      <c r="K63" t="inlineStr">
        <is>
          <t>fix_weapon_reasons.json: wave 1 boss_flak: 41 rounds at 1,200 rpm, changed in 3.38 s (twin Oerlikon GDF 2 x 550 rpm)</t>
        </is>
      </c>
      <c r="L63">
        <f>IF(ISNUMBER($H$63),AND(NOT($J$63),OR($G$63&lt;$H$63,$G$63&gt;$I$63)),FALSE)</f>
        <v/>
      </c>
      <c r="M63" t="inlineStr"/>
      <c r="N63" t="inlineStr">
        <is>
          <t>R_balance;R_full_weapon_audit;W_wikipedia_oerlikon_gdf</t>
        </is>
      </c>
      <c r="O63" t="inlineStr">
        <is>
          <t>nhịp pháo boss so với hệ thống thật (định nghĩa như 01_chien_dau/Vu_khi_so_sanh_that)</t>
        </is>
      </c>
      <c r="P63" t="inlineStr">
        <is>
          <t>p26_matriarch_close_boss_flak</t>
        </is>
      </c>
      <c r="Q63" t="inlineStr">
        <is>
          <t>Tools/balance/full_weapon_audit.py (bảng REAL) qua input_nhip_that / input_ty_le_nhip</t>
        </is>
      </c>
      <c r="R63" t="inlineStr"/>
    </row>
    <row r="64">
      <c r="A64" t="inlineStr">
        <is>
          <t>mega_gunship/boss_heli_gun/nhip</t>
        </is>
      </c>
      <c r="B64" t="inlineStr">
        <is>
          <t>mega_gunship</t>
        </is>
      </c>
      <c r="C64" t="inlineStr">
        <is>
          <t>khe_mot_nong_mot_vien</t>
        </is>
      </c>
      <c r="D64" t="inlineStr">
        <is>
          <t>s</t>
        </is>
      </c>
      <c r="E64" t="n">
        <v>0.241707456</v>
      </c>
      <c r="F64">
        <f>60/INDEX(boss_input_nhip_that!$B$2:$B$61,MATCH($P$64,boss_input_nhip_that!$A$2:$A$61,0))/IF(INDEX(boss_input_nhip_that!$C$2:$C$61,MATCH($P$64,boss_input_nhip_that!$A$2:$A$61,0))="gun",0.7,1)</f>
        <v/>
      </c>
      <c r="G64">
        <f>$E$64/$F$64</f>
        <v/>
      </c>
      <c r="H64" t="n">
        <v>0.6</v>
      </c>
      <c r="I64" t="n">
        <v>2</v>
      </c>
      <c r="J64" t="b">
        <v>1</v>
      </c>
      <c r="K64" t="inlineStr">
        <is>
          <t>bản kiểm L1 (Tools/balance/full_weapon_audit.py) không cờ nhịp này: súng máy, pháo tự động, cao xạ so khe chậm với nhịp thực tế; rốc-két, bom và đồ treo máy bay chỉ so khoảng trong loạt</t>
        </is>
      </c>
      <c r="L64">
        <f>IF(ISNUMBER($H$64),AND(NOT($J$64),OR($G$64&lt;$H$64,$G$64&gt;$I$64)),FALSE)</f>
        <v/>
      </c>
      <c r="M64" t="inlineStr"/>
      <c r="N64" t="inlineStr">
        <is>
          <t>R_balance;R_full_weapon_audit;W_wikipedia_m230_chain_gun;R_machine_brigade_can_bang</t>
        </is>
      </c>
      <c r="O64" t="inlineStr">
        <is>
          <t>nhịp pháo boss so với hệ thống thật (định nghĩa như 01_chien_dau/Vu_khi_so_sanh_that)</t>
        </is>
      </c>
      <c r="P64" t="inlineStr">
        <is>
          <t>boss_heli_gun</t>
        </is>
      </c>
      <c r="Q64" t="inlineStr">
        <is>
          <t>Tools/balance/full_weapon_audit.py (bảng REAL) qua input_nhip_that / input_ty_le_nhip</t>
        </is>
      </c>
      <c r="R64" t="inlineStr"/>
    </row>
    <row r="65">
      <c r="A65" t="inlineStr">
        <is>
          <t>mega_gunship/boss_hmg/nhip</t>
        </is>
      </c>
      <c r="B65" t="inlineStr">
        <is>
          <t>mega_gunship</t>
        </is>
      </c>
      <c r="C65" t="inlineStr">
        <is>
          <t>khe_mot_nong_mot_vien</t>
        </is>
      </c>
      <c r="D65" t="inlineStr">
        <is>
          <t>s</t>
        </is>
      </c>
      <c r="E65" t="n">
        <v>0.132467025</v>
      </c>
      <c r="F65">
        <f>60/INDEX(boss_input_nhip_that!$B$2:$B$61,MATCH($P$65,boss_input_nhip_that!$A$2:$A$61,0))/IF(INDEX(boss_input_nhip_that!$C$2:$C$61,MATCH($P$65,boss_input_nhip_that!$A$2:$A$61,0))="gun",0.7,1)</f>
        <v/>
      </c>
      <c r="G65">
        <f>$E$65/$F$65</f>
        <v/>
      </c>
      <c r="H65" t="n">
        <v>0.6</v>
      </c>
      <c r="I65" t="n">
        <v>2</v>
      </c>
      <c r="J65" t="b">
        <v>0</v>
      </c>
      <c r="K65" t="inlineStr"/>
      <c r="L65">
        <f>IF(ISNUMBER($H$65),AND(NOT($J$65),OR($G$65&lt;$H$65,$G$65&gt;$I$65)),FALSE)</f>
        <v/>
      </c>
      <c r="M65" t="inlineStr"/>
      <c r="N65" t="inlineStr">
        <is>
          <t>R_balance;R_full_weapon_audit;W_wikipedia_nsv_machine_gun;R_machine_brigade_can_bang</t>
        </is>
      </c>
      <c r="O65" t="inlineStr">
        <is>
          <t>nhịp pháo boss so với hệ thống thật (định nghĩa như 01_chien_dau/Vu_khi_so_sanh_that)</t>
        </is>
      </c>
      <c r="P65" t="inlineStr">
        <is>
          <t>boss_hmg</t>
        </is>
      </c>
      <c r="Q65" t="inlineStr">
        <is>
          <t>Tools/balance/full_weapon_audit.py (bảng REAL) qua input_nhip_that / input_ty_le_nhip</t>
        </is>
      </c>
      <c r="R65" t="inlineStr"/>
    </row>
    <row r="66">
      <c r="A66" t="inlineStr">
        <is>
          <t>mega_gunship/boss_minigun/nhip</t>
        </is>
      </c>
      <c r="B66" t="inlineStr">
        <is>
          <t>mega_gunship</t>
        </is>
      </c>
      <c r="C66" t="inlineStr">
        <is>
          <t>khe_mot_nong_mot_vien</t>
        </is>
      </c>
      <c r="D66" t="inlineStr">
        <is>
          <t>s</t>
        </is>
      </c>
      <c r="E66" t="n">
        <v>0.16902</v>
      </c>
      <c r="F66">
        <f>60/INDEX(boss_input_nhip_that!$B$2:$B$61,MATCH($P$66,boss_input_nhip_that!$A$2:$A$61,0))/IF(INDEX(boss_input_nhip_that!$C$2:$C$61,MATCH($P$66,boss_input_nhip_that!$A$2:$A$61,0))="gun",0.7,1)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R_balance;R_full_weapon_audit;W_wikipedia_gshg_7_62;R_machine_brigade_can_bang</t>
        </is>
      </c>
      <c r="O66" t="inlineStr">
        <is>
          <t>nhịp pháo boss so với hệ thống thật (định nghĩa như 01_chien_dau/Vu_khi_so_sanh_that)</t>
        </is>
      </c>
      <c r="P66" t="inlineStr">
        <is>
          <t>boss_minigun</t>
        </is>
      </c>
      <c r="Q66" t="inlineStr">
        <is>
          <t>Tools/balance/full_weapon_audit.py (bảng REAL) qua input_nhip_that / input_ty_le_nhip</t>
        </is>
      </c>
      <c r="R66" t="inlineStr"/>
    </row>
    <row r="67">
      <c r="A67" t="inlineStr">
        <is>
          <t>mega_gunship/gunship_rockets/nhip</t>
        </is>
      </c>
      <c r="B67" t="inlineStr">
        <is>
          <t>mega_gunship</t>
        </is>
      </c>
      <c r="C67" t="inlineStr">
        <is>
          <t>khe_mot_nong_mot_vien</t>
        </is>
      </c>
      <c r="D67" t="inlineStr">
        <is>
          <t>s</t>
        </is>
      </c>
      <c r="E67" t="n">
        <v>0.1</v>
      </c>
      <c r="F67">
        <f>60/INDEX(boss_input_nhip_that!$B$2:$B$61,MATCH($P$67,boss_input_nhip_that!$A$2:$A$61,0))/IF(INDEX(boss_input_nhip_that!$C$2:$C$61,MATCH($P$67,boss_input_nhip_that!$A$2:$A$61,0))="gun",0.7,1)</f>
        <v/>
      </c>
      <c r="G67">
        <f>$E$67/$F$67</f>
        <v/>
      </c>
      <c r="H67" t="n">
        <v>0.6</v>
      </c>
      <c r="I67" t="n">
        <v>2</v>
      </c>
      <c r="J67" t="b">
        <v>0</v>
      </c>
      <c r="K67" t="inlineStr"/>
      <c r="L67">
        <f>IF(ISNUMBER($H$67),AND(NOT($J$67),OR($G$67&lt;$H$67,$G$67&gt;$I$67)),FALSE)</f>
        <v/>
      </c>
      <c r="M67" t="inlineStr"/>
      <c r="N67" t="inlineStr">
        <is>
          <t>R_balance;R_full_weapon_audit;R_decisions;R_machine_brigade_can_bang</t>
        </is>
      </c>
      <c r="O67" t="inlineStr">
        <is>
          <t>nhịp pháo boss so với hệ thống thật (định nghĩa như 01_chien_dau/Vu_khi_so_sanh_that)</t>
        </is>
      </c>
      <c r="P67" t="inlineStr">
        <is>
          <t>gunship_rockets</t>
        </is>
      </c>
      <c r="Q67" t="inlineStr">
        <is>
          <t>Tools/balance/full_weapon_audit.py (bảng REAL) qua input_nhip_that / input_ty_le_nhip</t>
        </is>
      </c>
      <c r="R67" t="inlineStr"/>
    </row>
    <row r="68">
      <c r="A68" t="inlineStr">
        <is>
          <t>mobile_fortress/p26_jotunn_close_boss_flak/nhip</t>
        </is>
      </c>
      <c r="B68" t="inlineStr">
        <is>
          <t>mobile_fortress</t>
        </is>
      </c>
      <c r="C68" t="inlineStr">
        <is>
          <t>khe_mot_nong_mot_vien</t>
        </is>
      </c>
      <c r="D68" t="inlineStr">
        <is>
          <t>s</t>
        </is>
      </c>
      <c r="E68" t="n">
        <v>0.262439018</v>
      </c>
      <c r="F68">
        <f>60/INDEX(boss_input_nhip_that!$B$2:$B$61,MATCH($P$68,boss_input_nhip_that!$A$2:$A$61,0))/IF(INDEX(boss_input_nhip_that!$C$2:$C$61,MATCH($P$68,boss_input_nhip_that!$A$2:$A$61,0))="gun",0.7,1)</f>
        <v/>
      </c>
      <c r="G68">
        <f>$E$68/$F$68</f>
        <v/>
      </c>
      <c r="H68" t="n">
        <v>0.6</v>
      </c>
      <c r="I68" t="n">
        <v>2</v>
      </c>
      <c r="J68" t="b">
        <v>1</v>
      </c>
      <c r="K68" t="inlineStr">
        <is>
          <t>fix_weapon_reasons.json: wave 1 boss_flak: 41 rounds at 1,200 rpm, changed in 3.38 s (twin Oerlikon GDF 2 x 550 rpm)</t>
        </is>
      </c>
      <c r="L68">
        <f>IF(ISNUMBER($H$68),AND(NOT($J$68),OR($G$68&lt;$H$68,$G$68&gt;$I$68)),FALSE)</f>
        <v/>
      </c>
      <c r="M68" t="inlineStr"/>
      <c r="N68" t="inlineStr">
        <is>
          <t>R_balance;R_full_weapon_audit;W_wikipedia_oerlikon_gdf</t>
        </is>
      </c>
      <c r="O68" t="inlineStr">
        <is>
          <t>nhịp pháo boss so với hệ thống thật (định nghĩa như 01_chien_dau/Vu_khi_so_sanh_that)</t>
        </is>
      </c>
      <c r="P68" t="inlineStr">
        <is>
          <t>p26_jotunn_close_boss_flak</t>
        </is>
      </c>
      <c r="Q68" t="inlineStr">
        <is>
          <t>Tools/balance/full_weapon_audit.py (bảng REAL) qua input_nhip_that / input_ty_le_nhip</t>
        </is>
      </c>
      <c r="R68" t="inlineStr"/>
    </row>
    <row r="69">
      <c r="A69" t="inlineStr">
        <is>
          <t>mobile_fortress/p26_jotunn_direct_jo125/nhip</t>
        </is>
      </c>
      <c r="B69" t="inlineStr">
        <is>
          <t>mobile_fortress</t>
        </is>
      </c>
      <c r="C69" t="inlineStr">
        <is>
          <t>khe_mot_nong_mot_vien</t>
        </is>
      </c>
      <c r="D69" t="inlineStr">
        <is>
          <t>s</t>
        </is>
      </c>
      <c r="E69" t="n">
        <v>7.5</v>
      </c>
      <c r="F69">
        <f>60/INDEX(boss_input_nhip_that!$B$2:$B$61,MATCH($P$69,boss_input_nhip_that!$A$2:$A$61,0))/IF(INDEX(boss_input_nhip_that!$C$2:$C$61,MATCH($P$69,boss_input_nhip_that!$A$2:$A$61,0))="gun",0.7,1)</f>
        <v/>
      </c>
      <c r="G69">
        <f>$E$69/$F$69</f>
        <v/>
      </c>
      <c r="H69" t="n">
        <v>0.6</v>
      </c>
      <c r="I69" t="n">
        <v>2</v>
      </c>
      <c r="J69" t="b">
        <v>0</v>
      </c>
      <c r="K69" t="inlineStr"/>
      <c r="L69">
        <f>IF(ISNUMBER($H$69),AND(NOT($J$69),OR($G$69&lt;$H$69,$G$69&gt;$I$69)),FALSE)</f>
        <v/>
      </c>
      <c r="M69" t="inlineStr"/>
      <c r="N69" t="inlineStr">
        <is>
          <t>R_balance;R_full_weapon_audit;W_wikipedia_2a46</t>
        </is>
      </c>
      <c r="O69" t="inlineStr">
        <is>
          <t>nhịp pháo boss so với hệ thống thật (định nghĩa như 01_chien_dau/Vu_khi_so_sanh_that)</t>
        </is>
      </c>
      <c r="P69" t="inlineStr">
        <is>
          <t>p26_jotunn_direct_jo125</t>
        </is>
      </c>
      <c r="Q69" t="inlineStr">
        <is>
          <t>Tools/balance/full_weapon_audit.py (bảng REAL) qua input_nhip_that / input_ty_le_nhip</t>
        </is>
      </c>
      <c r="R69" t="inlineStr"/>
    </row>
    <row r="70">
      <c r="A70" t="inlineStr">
        <is>
          <t>mobile_fortress/p26_jotunn_jo203/nhip</t>
        </is>
      </c>
      <c r="B70" t="inlineStr">
        <is>
          <t>mobile_fortress</t>
        </is>
      </c>
      <c r="C70" t="inlineStr">
        <is>
          <t>khe_mot_nong_mot_vien</t>
        </is>
      </c>
      <c r="D70" t="inlineStr">
        <is>
          <t>s</t>
        </is>
      </c>
      <c r="E70" t="n">
        <v>24</v>
      </c>
      <c r="F70">
        <f>60/INDEX(boss_input_nhip_that!$B$2:$B$61,MATCH($P$70,boss_input_nhip_that!$A$2:$A$61,0))/IF(INDEX(boss_input_nhip_that!$C$2:$C$61,MATCH($P$70,boss_input_nhip_that!$A$2:$A$61,0))="gun",0.7,1)</f>
        <v/>
      </c>
      <c r="G70">
        <f>$E$70/$F$70</f>
        <v/>
      </c>
      <c r="H70" t="n">
        <v>0.6</v>
      </c>
      <c r="I70" t="n">
        <v>2</v>
      </c>
      <c r="J70" t="b">
        <v>0</v>
      </c>
      <c r="K70" t="inlineStr"/>
      <c r="L70">
        <f>IF(ISNUMBER($H$70),AND(NOT($J$70),OR($G$70&lt;$H$70,$G$70&gt;$I$70)),FALSE)</f>
        <v/>
      </c>
      <c r="M70" t="inlineStr"/>
      <c r="N70" t="inlineStr">
        <is>
          <t>R_balance;R_full_weapon_audit;W_wikipedia_2s7_pion</t>
        </is>
      </c>
      <c r="O70" t="inlineStr">
        <is>
          <t>nhịp pháo boss so với hệ thống thật (định nghĩa như 01_chien_dau/Vu_khi_so_sanh_that)</t>
        </is>
      </c>
      <c r="P70" t="inlineStr">
        <is>
          <t>p26_jotunn_jo203</t>
        </is>
      </c>
      <c r="Q70" t="inlineStr">
        <is>
          <t>Tools/balance/full_weapon_audit.py (bảng REAL) qua input_nhip_that / input_ty_le_nhip</t>
        </is>
      </c>
      <c r="R70" t="inlineStr"/>
    </row>
    <row r="71">
      <c r="A71" t="inlineStr">
        <is>
          <t>mobile_fortress/p26_jotunn_sec_jo_rockets/nhip</t>
        </is>
      </c>
      <c r="B71" t="inlineStr">
        <is>
          <t>mobile_fortress</t>
        </is>
      </c>
      <c r="C71" t="inlineStr">
        <is>
          <t>khe_mot_nong_mot_vien</t>
        </is>
      </c>
      <c r="D71" t="inlineStr">
        <is>
          <t>s</t>
        </is>
      </c>
      <c r="E71" t="n">
        <v>3.169998947</v>
      </c>
      <c r="F71">
        <f>60/INDEX(boss_input_nhip_that!$B$2:$B$61,MATCH($P$71,boss_input_nhip_that!$A$2:$A$61,0))/IF(INDEX(boss_input_nhip_that!$C$2:$C$61,MATCH($P$71,boss_input_nhip_that!$A$2:$A$61,0))="gun",0.7,1)</f>
        <v/>
      </c>
      <c r="G71">
        <f>$E$71/$F$71</f>
        <v/>
      </c>
      <c r="H71" t="n">
        <v>0.6</v>
      </c>
      <c r="I71" t="n">
        <v>2</v>
      </c>
      <c r="J71" t="b">
        <v>0</v>
      </c>
      <c r="K71" t="inlineStr"/>
      <c r="L71">
        <f>IF(ISNUMBER($H$71),AND(NOT($J$71),OR($G$71&lt;$H$71,$G$71&gt;$I$71)),FALSE)</f>
        <v/>
      </c>
      <c r="M71" t="inlineStr"/>
      <c r="N71" t="inlineStr">
        <is>
          <t>R_balance;R_full_weapon_audit;W_wikipedia_bm_30_smerch</t>
        </is>
      </c>
      <c r="O71" t="inlineStr">
        <is>
          <t>nhịp pháo boss so với hệ thống thật (định nghĩa như 01_chien_dau/Vu_khi_so_sanh_that)</t>
        </is>
      </c>
      <c r="P71" t="inlineStr">
        <is>
          <t>p26_jotunn_sec_jo_rockets</t>
        </is>
      </c>
      <c r="Q71" t="inlineStr">
        <is>
          <t>Tools/balance/full_weapon_audit.py (bảng REAL) qua input_nhip_that / input_ty_le_nhip</t>
        </is>
      </c>
      <c r="R71" t="inlineStr"/>
    </row>
    <row r="72">
      <c r="A72" t="inlineStr">
        <is>
          <t>mobile_fortress/p26_jotunn_tiny_twin_30_flak/nhip</t>
        </is>
      </c>
      <c r="B72" t="inlineStr">
        <is>
          <t>mobile_fortress</t>
        </is>
      </c>
      <c r="C72" t="inlineStr">
        <is>
          <t>khe_mot_nong_mot_vien</t>
        </is>
      </c>
      <c r="D72" t="inlineStr">
        <is>
          <t>s</t>
        </is>
      </c>
      <c r="E72" t="n">
        <v>0.08718748799999999</v>
      </c>
      <c r="F72">
        <f>60/INDEX(boss_input_nhip_that!$B$2:$B$61,MATCH($P$72,boss_input_nhip_that!$A$2:$A$61,0))/IF(INDEX(boss_input_nhip_that!$C$2:$C$61,MATCH($P$72,boss_input_nhip_that!$A$2:$A$61,0))="gun",0.7,1)</f>
        <v/>
      </c>
      <c r="G72">
        <f>$E$72/$F$72</f>
        <v/>
      </c>
      <c r="H72" t="n">
        <v>0.6</v>
      </c>
      <c r="I72" t="n">
        <v>2</v>
      </c>
      <c r="J72" t="b">
        <v>1</v>
      </c>
      <c r="K72" t="inlineStr">
        <is>
          <t>fix_weapon_reasons.json: wave 1 twin_30_flak: 160 rounds at 2,400 rpm, changed in 3 s (2A38M 4,060-5,000 rpm the pair)</t>
        </is>
      </c>
      <c r="L72">
        <f>IF(ISNUMBER($H$72),AND(NOT($J$72),OR($G$72&lt;$H$72,$G$72&gt;$I$72)),FALSE)</f>
        <v/>
      </c>
      <c r="M72" t="inlineStr"/>
      <c r="N72" t="inlineStr">
        <is>
          <t>R_balance;R_full_weapon_audit;W_wikipedia_2a38</t>
        </is>
      </c>
      <c r="O72" t="inlineStr">
        <is>
          <t>nhịp pháo boss so với hệ thống thật (định nghĩa như 01_chien_dau/Vu_khi_so_sanh_that)</t>
        </is>
      </c>
      <c r="P72" t="inlineStr">
        <is>
          <t>p26_jotunn_tiny_twin_30_flak</t>
        </is>
      </c>
      <c r="Q72" t="inlineStr">
        <is>
          <t>Tools/balance/full_weapon_audit.py (bảng REAL) qua input_nhip_that / input_ty_le_nhip</t>
        </is>
      </c>
      <c r="R72" t="inlineStr"/>
    </row>
    <row r="73">
      <c r="A73" t="inlineStr">
        <is>
          <t>mobile_fortress/sam_post/nhip</t>
        </is>
      </c>
      <c r="B73" t="inlineStr">
        <is>
          <t>mobile_fortress</t>
        </is>
      </c>
      <c r="C73" t="inlineStr">
        <is>
          <t>khe_mot_nong_mot_vien</t>
        </is>
      </c>
      <c r="D73" t="inlineStr">
        <is>
          <t>s</t>
        </is>
      </c>
      <c r="E73" t="n">
        <v>2.2</v>
      </c>
      <c r="F73">
        <f>60/INDEX(boss_input_nhip_that!$B$2:$B$61,MATCH($P$73,boss_input_nhip_that!$A$2:$A$61,0))/IF(INDEX(boss_input_nhip_that!$C$2:$C$61,MATCH($P$73,boss_input_nhip_that!$A$2:$A$61,0))="gun",0.7,1)</f>
        <v/>
      </c>
      <c r="G73">
        <f>$E$73/$F$73</f>
        <v/>
      </c>
      <c r="H73" t="n">
        <v>0.6</v>
      </c>
      <c r="I73" t="n">
        <v>2</v>
      </c>
      <c r="J73" t="b">
        <v>0</v>
      </c>
      <c r="K73" t="inlineStr"/>
      <c r="L73">
        <f>IF(ISNUMBER($H$73),AND(NOT($J$73),OR($G$73&lt;$H$73,$G$73&gt;$I$73)),FALSE)</f>
        <v/>
      </c>
      <c r="M73" t="inlineStr">
        <is>
          <t>TC0109</t>
        </is>
      </c>
      <c r="N73" t="inlineStr">
        <is>
          <t>R_balance;R_full_weapon_audit;W_wikipedia_buk_missile_system;R_machine_brigade_can_bang</t>
        </is>
      </c>
      <c r="O73" t="inlineStr">
        <is>
          <t>nhịp pháo boss so với hệ thống thật (định nghĩa như 01_chien_dau/Vu_khi_so_sanh_that)</t>
        </is>
      </c>
      <c r="P73" t="inlineStr">
        <is>
          <t>sam_post</t>
        </is>
      </c>
      <c r="Q73" t="inlineStr">
        <is>
          <t>Tools/balance/full_weapon_audit.py (bảng REAL) qua input_nhip_that / input_ty_le_nhip</t>
        </is>
      </c>
      <c r="R73" t="inlineStr"/>
    </row>
    <row r="74">
      <c r="A74" t="inlineStr">
        <is>
          <t>moloch/p26_moloch_close_boss_flak/nhip</t>
        </is>
      </c>
      <c r="B74" t="inlineStr">
        <is>
          <t>moloch</t>
        </is>
      </c>
      <c r="C74" t="inlineStr">
        <is>
          <t>khe_mot_nong_mot_vien</t>
        </is>
      </c>
      <c r="D74" t="inlineStr">
        <is>
          <t>s</t>
        </is>
      </c>
      <c r="E74" t="n">
        <v>0.262439018</v>
      </c>
      <c r="F74">
        <f>60/INDEX(boss_input_nhip_that!$B$2:$B$61,MATCH($P$74,boss_input_nhip_that!$A$2:$A$61,0))/IF(INDEX(boss_input_nhip_that!$C$2:$C$61,MATCH($P$74,boss_input_nhip_that!$A$2:$A$61,0))="gun",0.7,1)</f>
        <v/>
      </c>
      <c r="G74">
        <f>$E$74/$F$74</f>
        <v/>
      </c>
      <c r="H74" t="n">
        <v>0.6</v>
      </c>
      <c r="I74" t="n">
        <v>2</v>
      </c>
      <c r="J74" t="b">
        <v>1</v>
      </c>
      <c r="K74" t="inlineStr">
        <is>
          <t>fix_weapon_reasons.json: wave 1 boss_flak: 41 rounds at 1,200 rpm, changed in 3.38 s (twin Oerlikon GDF 2 x 550 rpm)</t>
        </is>
      </c>
      <c r="L74">
        <f>IF(ISNUMBER($H$74),AND(NOT($J$74),OR($G$74&lt;$H$74,$G$74&gt;$I$74)),FALSE)</f>
        <v/>
      </c>
      <c r="M74" t="inlineStr"/>
      <c r="N74" t="inlineStr">
        <is>
          <t>R_balance;R_full_weapon_audit;W_wikipedia_oerlikon_gdf</t>
        </is>
      </c>
      <c r="O74" t="inlineStr">
        <is>
          <t>nhịp pháo boss so với hệ thống thật (định nghĩa như 01_chien_dau/Vu_khi_so_sanh_that)</t>
        </is>
      </c>
      <c r="P74" t="inlineStr">
        <is>
          <t>p26_moloch_close_boss_flak</t>
        </is>
      </c>
      <c r="Q74" t="inlineStr">
        <is>
          <t>Tools/balance/full_weapon_audit.py (bảng REAL) qua input_nhip_that / input_ty_le_nhip</t>
        </is>
      </c>
      <c r="R74" t="inlineStr"/>
    </row>
    <row r="75">
      <c r="A75" t="inlineStr">
        <is>
          <t>moloch/p26_moloch_direct_mo120ap/nhip</t>
        </is>
      </c>
      <c r="B75" t="inlineStr">
        <is>
          <t>moloch</t>
        </is>
      </c>
      <c r="C75" t="inlineStr">
        <is>
          <t>khe_mot_nong_mot_vien</t>
        </is>
      </c>
      <c r="D75" t="inlineStr">
        <is>
          <t>s</t>
        </is>
      </c>
      <c r="E75" t="n">
        <v>7.5</v>
      </c>
      <c r="F75">
        <f>60/INDEX(boss_input_nhip_that!$B$2:$B$61,MATCH($P$75,boss_input_nhip_that!$A$2:$A$61,0))/IF(INDEX(boss_input_nhip_that!$C$2:$C$61,MATCH($P$75,boss_input_nhip_that!$A$2:$A$61,0))="gun",0.7,1)</f>
        <v/>
      </c>
      <c r="G75">
        <f>$E$75/$F$75</f>
        <v/>
      </c>
      <c r="H75" t="n">
        <v>0.6</v>
      </c>
      <c r="I75" t="n">
        <v>2</v>
      </c>
      <c r="J75" t="b">
        <v>0</v>
      </c>
      <c r="K75" t="inlineStr"/>
      <c r="L75">
        <f>IF(ISNUMBER($H$75),AND(NOT($J$75),OR($G$75&lt;$H$75,$G$75&gt;$I$75)),FALSE)</f>
        <v/>
      </c>
      <c r="M75" t="inlineStr"/>
      <c r="N75" t="inlineStr">
        <is>
          <t>R_balance;R_full_weapon_audit;W_wikipedia_rheinmetall_120_mm_gun;R_machine_brigade_can_bang</t>
        </is>
      </c>
      <c r="O75" t="inlineStr">
        <is>
          <t>nhịp pháo boss so với hệ thống thật (định nghĩa như 01_chien_dau/Vu_khi_so_sanh_that)</t>
        </is>
      </c>
      <c r="P75" t="inlineStr">
        <is>
          <t>p26_moloch_direct_mo120ap</t>
        </is>
      </c>
      <c r="Q75" t="inlineStr">
        <is>
          <t>Tools/balance/full_weapon_audit.py (bảng REAL) qua input_nhip_that / input_ty_le_nhip</t>
        </is>
      </c>
      <c r="R75" t="inlineStr"/>
    </row>
    <row r="76">
      <c r="A76" t="inlineStr">
        <is>
          <t>moloch/p26_moloch_main_mo120/nhip</t>
        </is>
      </c>
      <c r="B76" t="inlineStr">
        <is>
          <t>moloch</t>
        </is>
      </c>
      <c r="C76" t="inlineStr">
        <is>
          <t>khe_mot_nong_mot_vien</t>
        </is>
      </c>
      <c r="D76" t="inlineStr">
        <is>
          <t>s</t>
        </is>
      </c>
      <c r="E76" t="n">
        <v>7.5</v>
      </c>
      <c r="F76">
        <f>60/INDEX(boss_input_nhip_that!$B$2:$B$61,MATCH($P$76,boss_input_nhip_that!$A$2:$A$61,0))/IF(INDEX(boss_input_nhip_that!$C$2:$C$61,MATCH($P$76,boss_input_nhip_that!$A$2:$A$61,0))="gun",0.7,1)</f>
        <v/>
      </c>
      <c r="G76">
        <f>$E$76/$F$76</f>
        <v/>
      </c>
      <c r="H76" t="n">
        <v>0.6</v>
      </c>
      <c r="I76" t="n">
        <v>2</v>
      </c>
      <c r="J76" t="b">
        <v>0</v>
      </c>
      <c r="K76" t="inlineStr"/>
      <c r="L76">
        <f>IF(ISNUMBER($H$76),AND(NOT($J$76),OR($G$76&lt;$H$76,$G$76&gt;$I$76)),FALSE)</f>
        <v/>
      </c>
      <c r="M76" t="inlineStr"/>
      <c r="N76" t="inlineStr">
        <is>
          <t>R_balance;R_full_weapon_audit;W_wikipedia_rheinmetall_120_mm_gun;R_machine_brigade_can_bang</t>
        </is>
      </c>
      <c r="O76" t="inlineStr">
        <is>
          <t>nhịp pháo boss so với hệ thống thật (định nghĩa như 01_chien_dau/Vu_khi_so_sanh_that)</t>
        </is>
      </c>
      <c r="P76" t="inlineStr">
        <is>
          <t>p26_moloch_main_mo120</t>
        </is>
      </c>
      <c r="Q76" t="inlineStr">
        <is>
          <t>Tools/balance/full_weapon_audit.py (bảng REAL) qua input_nhip_that / input_ty_le_nhip</t>
        </is>
      </c>
      <c r="R76" t="inlineStr"/>
    </row>
    <row r="77">
      <c r="A77" t="inlineStr">
        <is>
          <t>moloch/p26_moloch_tiny_zu23/nhip</t>
        </is>
      </c>
      <c r="B77" t="inlineStr">
        <is>
          <t>moloch</t>
        </is>
      </c>
      <c r="C77" t="inlineStr">
        <is>
          <t>khe_mot_nong_mot_vien</t>
        </is>
      </c>
      <c r="D77" t="inlineStr">
        <is>
          <t>s</t>
        </is>
      </c>
      <c r="E77" t="n">
        <v>0.09919997999999999</v>
      </c>
      <c r="F77">
        <f>60/INDEX(boss_input_nhip_that!$B$2:$B$61,MATCH($P$77,boss_input_nhip_that!$A$2:$A$61,0))/IF(INDEX(boss_input_nhip_that!$C$2:$C$61,MATCH($P$77,boss_input_nhip_that!$A$2:$A$61,0))="gun",0.7,1)</f>
        <v/>
      </c>
      <c r="G77">
        <f>$E$77/$F$77</f>
        <v/>
      </c>
      <c r="H77" t="n">
        <v>0.6</v>
      </c>
      <c r="I77" t="n">
        <v>2</v>
      </c>
      <c r="J77" t="b">
        <v>0</v>
      </c>
      <c r="K77" t="inlineStr"/>
      <c r="L77">
        <f>IF(ISNUMBER($H$77),AND(NOT($J$77),OR($G$77&lt;$H$77,$G$77&gt;$I$77)),FALSE)</f>
        <v/>
      </c>
      <c r="M77" t="inlineStr"/>
      <c r="N77" t="inlineStr">
        <is>
          <t>R_balance;R_full_weapon_audit;W_wikipedia_zu_23_2</t>
        </is>
      </c>
      <c r="O77" t="inlineStr">
        <is>
          <t>nhịp pháo boss so với hệ thống thật (định nghĩa như 01_chien_dau/Vu_khi_so_sanh_that)</t>
        </is>
      </c>
      <c r="P77" t="inlineStr">
        <is>
          <t>p26_moloch_tiny_zu23</t>
        </is>
      </c>
      <c r="Q77" t="inlineStr">
        <is>
          <t>Tools/balance/full_weapon_audit.py (bảng REAL) qua input_nhip_that / input_ty_le_nhip</t>
        </is>
      </c>
      <c r="R77" t="inlineStr"/>
    </row>
    <row r="78">
      <c r="A78" t="inlineStr">
        <is>
          <t>monster/p26_bastion_close_boss_hmg/nhip</t>
        </is>
      </c>
      <c r="B78" t="inlineStr">
        <is>
          <t>monster</t>
        </is>
      </c>
      <c r="C78" t="inlineStr">
        <is>
          <t>khe_mot_nong_mot_vien</t>
        </is>
      </c>
      <c r="D78" t="inlineStr">
        <is>
          <t>s</t>
        </is>
      </c>
      <c r="E78" t="n">
        <v>0.132467025</v>
      </c>
      <c r="F78">
        <f>60/INDEX(boss_input_nhip_that!$B$2:$B$61,MATCH($P$78,boss_input_nhip_that!$A$2:$A$61,0))/IF(INDEX(boss_input_nhip_that!$C$2:$C$61,MATCH($P$78,boss_input_nhip_that!$A$2:$A$61,0))="gun",0.7,1)</f>
        <v/>
      </c>
      <c r="G78">
        <f>$E$78/$F$78</f>
        <v/>
      </c>
      <c r="H78" t="n">
        <v>0.6</v>
      </c>
      <c r="I78" t="n">
        <v>2</v>
      </c>
      <c r="J78" t="b">
        <v>0</v>
      </c>
      <c r="K78" t="inlineStr"/>
      <c r="L78">
        <f>IF(ISNUMBER($H$78),AND(NOT($J$78),OR($G$78&lt;$H$78,$G$78&gt;$I$78)),FALSE)</f>
        <v/>
      </c>
      <c r="M78" t="inlineStr"/>
      <c r="N78" t="inlineStr">
        <is>
          <t>R_balance;R_full_weapon_audit;W_wikipedia_nsv_machine_gun</t>
        </is>
      </c>
      <c r="O78" t="inlineStr">
        <is>
          <t>nhịp pháo boss so với hệ thống thật (định nghĩa như 01_chien_dau/Vu_khi_so_sanh_that)</t>
        </is>
      </c>
      <c r="P78" t="inlineStr">
        <is>
          <t>p26_bastion_close_boss_hmg</t>
        </is>
      </c>
      <c r="Q78" t="inlineStr">
        <is>
          <t>Tools/balance/full_weapon_audit.py (bảng REAL) qua input_nhip_that / input_ty_le_nhip</t>
        </is>
      </c>
      <c r="R78" t="inlineStr"/>
    </row>
    <row r="79">
      <c r="A79" t="inlineStr">
        <is>
          <t>monster/p26_bastion_direct_b100/nhip</t>
        </is>
      </c>
      <c r="B79" t="inlineStr">
        <is>
          <t>monster</t>
        </is>
      </c>
      <c r="C79" t="inlineStr">
        <is>
          <t>khe_mot_nong_mot_vien</t>
        </is>
      </c>
      <c r="D79" t="inlineStr">
        <is>
          <t>s</t>
        </is>
      </c>
      <c r="E79" t="n">
        <v>8.599995917999999</v>
      </c>
      <c r="F79">
        <f>60/INDEX(boss_input_nhip_that!$B$2:$B$61,MATCH($P$79,boss_input_nhip_that!$A$2:$A$61,0))/IF(INDEX(boss_input_nhip_that!$C$2:$C$61,MATCH($P$79,boss_input_nhip_that!$A$2:$A$61,0))="gun",0.7,1)</f>
        <v/>
      </c>
      <c r="G79">
        <f>$E$79/$F$79</f>
        <v/>
      </c>
      <c r="H79" t="n">
        <v>0.6</v>
      </c>
      <c r="I79" t="n">
        <v>2</v>
      </c>
      <c r="J79" t="b">
        <v>0</v>
      </c>
      <c r="K79" t="inlineStr"/>
      <c r="L79">
        <f>IF(ISNUMBER($H$79),AND(NOT($J$79),OR($G$79&lt;$H$79,$G$79&gt;$I$79)),FALSE)</f>
        <v/>
      </c>
      <c r="M79" t="inlineStr"/>
      <c r="N79" t="inlineStr">
        <is>
          <t>R_balance;R_full_weapon_audit;W_wikipedia_d_10_tank_gun</t>
        </is>
      </c>
      <c r="O79" t="inlineStr">
        <is>
          <t>nhịp pháo boss so với hệ thống thật (định nghĩa như 01_chien_dau/Vu_khi_so_sanh_that)</t>
        </is>
      </c>
      <c r="P79" t="inlineStr">
        <is>
          <t>p26_bastion_direct_b100</t>
        </is>
      </c>
      <c r="Q79" t="inlineStr">
        <is>
          <t>Tools/balance/full_weapon_audit.py (bảng REAL) qua input_nhip_that / input_ty_le_nhip</t>
        </is>
      </c>
      <c r="R79" t="inlineStr"/>
    </row>
    <row r="80">
      <c r="A80" t="inlineStr">
        <is>
          <t>monster/p26_bastion_main_b155/nhip</t>
        </is>
      </c>
      <c r="B80" t="inlineStr">
        <is>
          <t>monster</t>
        </is>
      </c>
      <c r="C80" t="inlineStr">
        <is>
          <t>khe_mot_nong_mot_vien</t>
        </is>
      </c>
      <c r="D80" t="inlineStr">
        <is>
          <t>s</t>
        </is>
      </c>
      <c r="E80" t="n">
        <v>15</v>
      </c>
      <c r="F80">
        <f>60/INDEX(boss_input_nhip_that!$B$2:$B$61,MATCH($P$80,boss_input_nhip_that!$A$2:$A$61,0))/IF(INDEX(boss_input_nhip_that!$C$2:$C$61,MATCH($P$80,boss_input_nhip_that!$A$2:$A$61,0))="gun",0.7,1)</f>
        <v/>
      </c>
      <c r="G80">
        <f>$E$80/$F$80</f>
        <v/>
      </c>
      <c r="H80" t="n">
        <v>0.6</v>
      </c>
      <c r="I80" t="n">
        <v>2</v>
      </c>
      <c r="J80" t="b">
        <v>0</v>
      </c>
      <c r="K80" t="inlineStr"/>
      <c r="L80">
        <f>IF(ISNUMBER($H$80),AND(NOT($J$80),OR($G$80&lt;$H$80,$G$80&gt;$I$80)),FALSE)</f>
        <v/>
      </c>
      <c r="M80" t="inlineStr"/>
      <c r="N80" t="inlineStr">
        <is>
          <t>R_balance;R_full_weapon_audit;D_us_army_m109a7_fact_file</t>
        </is>
      </c>
      <c r="O80" t="inlineStr">
        <is>
          <t>nhịp pháo boss so với hệ thống thật (định nghĩa như 01_chien_dau/Vu_khi_so_sanh_that)</t>
        </is>
      </c>
      <c r="P80" t="inlineStr">
        <is>
          <t>p26_bastion_main_b155</t>
        </is>
      </c>
      <c r="Q80" t="inlineStr">
        <is>
          <t>Tools/balance/full_weapon_audit.py (bảng REAL) qua input_nhip_that / input_ty_le_nhip</t>
        </is>
      </c>
      <c r="R80" t="inlineStr"/>
    </row>
    <row r="81">
      <c r="A81" t="inlineStr">
        <is>
          <t>monster/p26_bastion_sec_b240/nhip</t>
        </is>
      </c>
      <c r="B81" t="inlineStr">
        <is>
          <t>monster</t>
        </is>
      </c>
      <c r="C81" t="inlineStr">
        <is>
          <t>khe_mot_nong_mot_vien</t>
        </is>
      </c>
      <c r="D81" t="inlineStr">
        <is>
          <t>s</t>
        </is>
      </c>
      <c r="E81" t="n">
        <v>60</v>
      </c>
      <c r="F81">
        <f>60/INDEX(boss_input_nhip_that!$B$2:$B$61,MATCH($P$81,boss_input_nhip_that!$A$2:$A$61,0))/IF(INDEX(boss_input_nhip_that!$C$2:$C$61,MATCH($P$81,boss_input_nhip_that!$A$2:$A$61,0))="gun",0.7,1)</f>
        <v/>
      </c>
      <c r="G81">
        <f>$E$81/$F$81</f>
        <v/>
      </c>
      <c r="H81" t="n">
        <v>0.6</v>
      </c>
      <c r="I81" t="n">
        <v>2</v>
      </c>
      <c r="J81" t="b">
        <v>0</v>
      </c>
      <c r="K81" t="inlineStr"/>
      <c r="L81">
        <f>IF(ISNUMBER($H$81),AND(NOT($J$81),OR($G$81&lt;$H$81,$G$81&gt;$I$81)),FALSE)</f>
        <v/>
      </c>
      <c r="M81" t="inlineStr"/>
      <c r="N81" t="inlineStr">
        <is>
          <t>R_balance;R_full_weapon_audit;W_wikipedia_2s4_tyulpan</t>
        </is>
      </c>
      <c r="O81" t="inlineStr">
        <is>
          <t>nhịp pháo boss so với hệ thống thật (định nghĩa như 01_chien_dau/Vu_khi_so_sanh_that)</t>
        </is>
      </c>
      <c r="P81" t="inlineStr">
        <is>
          <t>p26_bastion_sec_b240</t>
        </is>
      </c>
      <c r="Q81" t="inlineStr">
        <is>
          <t>Tools/balance/full_weapon_audit.py (bảng REAL) qua input_nhip_that / input_ty_le_nhip</t>
        </is>
      </c>
      <c r="R81" t="inlineStr"/>
    </row>
    <row r="82">
      <c r="A82" t="inlineStr">
        <is>
          <t>monster/p26_bastion_tiny_autocannon_40/nhip</t>
        </is>
      </c>
      <c r="B82" t="inlineStr">
        <is>
          <t>monster</t>
        </is>
      </c>
      <c r="C82" t="inlineStr">
        <is>
          <t>khe_mot_nong_mot_vien</t>
        </is>
      </c>
      <c r="D82" t="inlineStr">
        <is>
          <t>s</t>
        </is>
      </c>
      <c r="E82" t="n">
        <v>0.332</v>
      </c>
      <c r="F82">
        <f>60/INDEX(boss_input_nhip_that!$B$2:$B$61,MATCH($P$82,boss_input_nhip_that!$A$2:$A$61,0))/IF(INDEX(boss_input_nhip_that!$C$2:$C$61,MATCH($P$82,boss_input_nhip_that!$A$2:$A$61,0))="gun",0.7,1)</f>
        <v/>
      </c>
      <c r="G82">
        <f>$E$82/$F$82</f>
        <v/>
      </c>
      <c r="H82" t="n">
        <v>0.6</v>
      </c>
      <c r="I82" t="n">
        <v>2</v>
      </c>
      <c r="J82" t="b">
        <v>0</v>
      </c>
      <c r="K82" t="inlineStr"/>
      <c r="L82">
        <f>IF(ISNUMBER($H$82),AND(NOT($J$82),OR($G$82&lt;$H$82,$G$82&gt;$I$82)),FALSE)</f>
        <v/>
      </c>
      <c r="M82" t="inlineStr"/>
      <c r="N82" t="inlineStr">
        <is>
          <t>R_balance;R_full_weapon_audit;W_wikipedia_bofors_40_mm_l_70</t>
        </is>
      </c>
      <c r="O82" t="inlineStr">
        <is>
          <t>nhịp pháo boss so với hệ thống thật (định nghĩa như 01_chien_dau/Vu_khi_so_sanh_that)</t>
        </is>
      </c>
      <c r="P82" t="inlineStr">
        <is>
          <t>p26_bastion_tiny_autocannon_40</t>
        </is>
      </c>
      <c r="Q82" t="inlineStr">
        <is>
          <t>Tools/balance/full_weapon_audit.py (bảng REAL) qua input_nhip_that / input_ty_le_nhip</t>
        </is>
      </c>
      <c r="R82" t="inlineStr"/>
    </row>
    <row r="83">
      <c r="A83" t="inlineStr">
        <is>
          <t>monster/p26_bastion_tiny_kornet_twin/nhip</t>
        </is>
      </c>
      <c r="B83" t="inlineStr">
        <is>
          <t>monster</t>
        </is>
      </c>
      <c r="C83" t="inlineStr">
        <is>
          <t>khe_mot_nong_mot_vien</t>
        </is>
      </c>
      <c r="D83" t="inlineStr">
        <is>
          <t>s</t>
        </is>
      </c>
      <c r="E83" t="n">
        <v>20</v>
      </c>
      <c r="F83">
        <f>60/INDEX(boss_input_nhip_that!$B$2:$B$61,MATCH($P$83,boss_input_nhip_that!$A$2:$A$61,0))/IF(INDEX(boss_input_nhip_that!$C$2:$C$61,MATCH($P$83,boss_input_nhip_that!$A$2:$A$61,0))="gun",0.7,1)</f>
        <v/>
      </c>
      <c r="G83">
        <f>$E$83/$F$83</f>
        <v/>
      </c>
      <c r="H83" t="n">
        <v>0.6</v>
      </c>
      <c r="I83" t="n">
        <v>2</v>
      </c>
      <c r="J83" t="b">
        <v>0</v>
      </c>
      <c r="K83" t="inlineStr"/>
      <c r="L83">
        <f>IF(ISNUMBER($H$83),AND(NOT($J$83),OR($G$83&lt;$H$83,$G$83&gt;$I$83)),FALSE)</f>
        <v/>
      </c>
      <c r="M83" t="inlineStr"/>
      <c r="N83" t="inlineStr">
        <is>
          <t>R_balance;R_full_weapon_audit;W_wikipedia_9m133_kornet;W_wikipedia_bai_cua_tung_ten_lua_bang_warhead</t>
        </is>
      </c>
      <c r="O83" t="inlineStr">
        <is>
          <t>nhịp pháo boss so với hệ thống thật (định nghĩa như 01_chien_dau/Vu_khi_so_sanh_that)</t>
        </is>
      </c>
      <c r="P83" t="inlineStr">
        <is>
          <t>p26_bastion_tiny_kornet_twin</t>
        </is>
      </c>
      <c r="Q83" t="inlineStr">
        <is>
          <t>Tools/balance/full_weapon_audit.py (bảng REAL) qua input_nhip_that / input_ty_le_nhip</t>
        </is>
      </c>
      <c r="R83" t="inlineStr"/>
    </row>
    <row r="84">
      <c r="A84" t="inlineStr">
        <is>
          <t>monster/p26_bastion_tiny_zu23/nhip</t>
        </is>
      </c>
      <c r="B84" t="inlineStr">
        <is>
          <t>monster</t>
        </is>
      </c>
      <c r="C84" t="inlineStr">
        <is>
          <t>khe_mot_nong_mot_vien</t>
        </is>
      </c>
      <c r="D84" t="inlineStr">
        <is>
          <t>s</t>
        </is>
      </c>
      <c r="E84" t="n">
        <v>0.09919997999999999</v>
      </c>
      <c r="F84">
        <f>60/INDEX(boss_input_nhip_that!$B$2:$B$61,MATCH($P$84,boss_input_nhip_that!$A$2:$A$61,0))/IF(INDEX(boss_input_nhip_that!$C$2:$C$61,MATCH($P$84,boss_input_nhip_that!$A$2:$A$61,0))="gun",0.7,1)</f>
        <v/>
      </c>
      <c r="G84">
        <f>$E$84/$F$84</f>
        <v/>
      </c>
      <c r="H84" t="n">
        <v>0.6</v>
      </c>
      <c r="I84" t="n">
        <v>2</v>
      </c>
      <c r="J84" t="b">
        <v>0</v>
      </c>
      <c r="K84" t="inlineStr"/>
      <c r="L84">
        <f>IF(ISNUMBER($H$84),AND(NOT($J$84),OR($G$84&lt;$H$84,$G$84&gt;$I$84)),FALSE)</f>
        <v/>
      </c>
      <c r="M84" t="inlineStr"/>
      <c r="N84" t="inlineStr">
        <is>
          <t>R_balance;R_full_weapon_audit;W_wikipedia_zu_23_2</t>
        </is>
      </c>
      <c r="O84" t="inlineStr">
        <is>
          <t>nhịp pháo boss so với hệ thống thật (định nghĩa như 01_chien_dau/Vu_khi_so_sanh_that)</t>
        </is>
      </c>
      <c r="P84" t="inlineStr">
        <is>
          <t>p26_bastion_tiny_zu23</t>
        </is>
      </c>
      <c r="Q84" t="inlineStr">
        <is>
          <t>Tools/balance/full_weapon_audit.py (bảng REAL) qua input_nhip_that / input_ty_le_nhip</t>
        </is>
      </c>
      <c r="R84" t="inlineStr"/>
    </row>
    <row r="85">
      <c r="A85" t="inlineStr">
        <is>
          <t>nuke_train/p26_nemesis_close_boss_flak/nhip</t>
        </is>
      </c>
      <c r="B85" t="inlineStr">
        <is>
          <t>nuke_train</t>
        </is>
      </c>
      <c r="C85" t="inlineStr">
        <is>
          <t>khe_mot_nong_mot_vien</t>
        </is>
      </c>
      <c r="D85" t="inlineStr">
        <is>
          <t>s</t>
        </is>
      </c>
      <c r="E85" t="n">
        <v>0.262439018</v>
      </c>
      <c r="F85">
        <f>60/INDEX(boss_input_nhip_that!$B$2:$B$61,MATCH($P$85,boss_input_nhip_that!$A$2:$A$61,0))/IF(INDEX(boss_input_nhip_that!$C$2:$C$61,MATCH($P$85,boss_input_nhip_that!$A$2:$A$61,0))="gun",0.7,1)</f>
        <v/>
      </c>
      <c r="G85">
        <f>$E$85/$F$85</f>
        <v/>
      </c>
      <c r="H85" t="n">
        <v>0.6</v>
      </c>
      <c r="I85" t="n">
        <v>2</v>
      </c>
      <c r="J85" t="b">
        <v>1</v>
      </c>
      <c r="K85" t="inlineStr">
        <is>
          <t>fix_weapon_reasons.json: wave 1 boss_flak: 41 rounds at 1,200 rpm, changed in 3.38 s (twin Oerlikon GDF 2 x 550 rpm)</t>
        </is>
      </c>
      <c r="L85">
        <f>IF(ISNUMBER($H$85),AND(NOT($J$85),OR($G$85&lt;$H$85,$G$85&gt;$I$85)),FALSE)</f>
        <v/>
      </c>
      <c r="M85" t="inlineStr"/>
      <c r="N85" t="inlineStr">
        <is>
          <t>R_balance;R_full_weapon_audit;W_wikipedia_oerlikon_gdf</t>
        </is>
      </c>
      <c r="O85" t="inlineStr">
        <is>
          <t>nhịp pháo boss so với hệ thống thật (định nghĩa như 01_chien_dau/Vu_khi_so_sanh_that)</t>
        </is>
      </c>
      <c r="P85" t="inlineStr">
        <is>
          <t>p26_nemesis_close_boss_flak</t>
        </is>
      </c>
      <c r="Q85" t="inlineStr">
        <is>
          <t>Tools/balance/full_weapon_audit.py (bảng REAL) qua input_nhip_that / input_ty_le_nhip</t>
        </is>
      </c>
      <c r="R85" t="inlineStr"/>
    </row>
    <row r="86">
      <c r="A86" t="inlineStr">
        <is>
          <t>nuke_train/p26_nemesis_direct_ne125/nhip</t>
        </is>
      </c>
      <c r="B86" t="inlineStr">
        <is>
          <t>nuke_train</t>
        </is>
      </c>
      <c r="C86" t="inlineStr">
        <is>
          <t>khe_mot_nong_mot_vien</t>
        </is>
      </c>
      <c r="D86" t="inlineStr">
        <is>
          <t>s</t>
        </is>
      </c>
      <c r="E86" t="n">
        <v>7.5</v>
      </c>
      <c r="F86">
        <f>60/INDEX(boss_input_nhip_that!$B$2:$B$61,MATCH($P$86,boss_input_nhip_that!$A$2:$A$61,0))/IF(INDEX(boss_input_nhip_that!$C$2:$C$61,MATCH($P$86,boss_input_nhip_that!$A$2:$A$61,0))="gun",0.7,1)</f>
        <v/>
      </c>
      <c r="G86">
        <f>$E$86/$F$86</f>
        <v/>
      </c>
      <c r="H86" t="n">
        <v>0.6</v>
      </c>
      <c r="I86" t="n">
        <v>2</v>
      </c>
      <c r="J86" t="b">
        <v>0</v>
      </c>
      <c r="K86" t="inlineStr"/>
      <c r="L86">
        <f>IF(ISNUMBER($H$86),AND(NOT($J$86),OR($G$86&lt;$H$86,$G$86&gt;$I$86)),FALSE)</f>
        <v/>
      </c>
      <c r="M86" t="inlineStr"/>
      <c r="N86" t="inlineStr">
        <is>
          <t>R_balance;R_full_weapon_audit;W_wikipedia_2a46</t>
        </is>
      </c>
      <c r="O86" t="inlineStr">
        <is>
          <t>nhịp pháo boss so với hệ thống thật (định nghĩa như 01_chien_dau/Vu_khi_so_sanh_that)</t>
        </is>
      </c>
      <c r="P86" t="inlineStr">
        <is>
          <t>p26_nemesis_direct_ne125</t>
        </is>
      </c>
      <c r="Q86" t="inlineStr">
        <is>
          <t>Tools/balance/full_weapon_audit.py (bảng REAL) qua input_nhip_that / input_ty_le_nhip</t>
        </is>
      </c>
      <c r="R86" t="inlineStr"/>
    </row>
    <row r="87">
      <c r="A87" t="inlineStr">
        <is>
          <t>nuke_train/p26_nemesis_main_ne152/nhip</t>
        </is>
      </c>
      <c r="B87" t="inlineStr">
        <is>
          <t>nuke_train</t>
        </is>
      </c>
      <c r="C87" t="inlineStr">
        <is>
          <t>khe_mot_nong_mot_vien</t>
        </is>
      </c>
      <c r="D87" t="inlineStr">
        <is>
          <t>s</t>
        </is>
      </c>
      <c r="E87" t="n">
        <v>7.5</v>
      </c>
      <c r="F87">
        <f>60/INDEX(boss_input_nhip_that!$B$2:$B$61,MATCH($P$87,boss_input_nhip_that!$A$2:$A$61,0))/IF(INDEX(boss_input_nhip_that!$C$2:$C$61,MATCH($P$87,boss_input_nhip_that!$A$2:$A$61,0))="gun",0.7,1)</f>
        <v/>
      </c>
      <c r="G87">
        <f>$E$87/$F$87</f>
        <v/>
      </c>
      <c r="H87" t="n">
        <v>0.6</v>
      </c>
      <c r="I87" t="n">
        <v>2</v>
      </c>
      <c r="J87" t="b">
        <v>0</v>
      </c>
      <c r="K87" t="inlineStr"/>
      <c r="L87">
        <f>IF(ISNUMBER($H$87),AND(NOT($J$87),OR($G$87&lt;$H$87,$G$87&gt;$I$87)),FALSE)</f>
        <v/>
      </c>
      <c r="M87" t="inlineStr"/>
      <c r="N87" t="inlineStr">
        <is>
          <t>R_balance;R_full_weapon_audit</t>
        </is>
      </c>
      <c r="O87" t="inlineStr">
        <is>
          <t>nhịp pháo boss so với hệ thống thật (định nghĩa như 01_chien_dau/Vu_khi_so_sanh_that)</t>
        </is>
      </c>
      <c r="P87" t="inlineStr">
        <is>
          <t>p26_nemesis_main_ne152</t>
        </is>
      </c>
      <c r="Q87" t="inlineStr">
        <is>
          <t>Tools/balance/full_weapon_audit.py (bảng REAL) qua input_nhip_that / input_ty_le_nhip</t>
        </is>
      </c>
      <c r="R87" t="inlineStr"/>
    </row>
    <row r="88">
      <c r="A88" t="inlineStr">
        <is>
          <t>nuke_train/p26_nemesis_sec_boss_rockets/nhip</t>
        </is>
      </c>
      <c r="B88" t="inlineStr">
        <is>
          <t>nuke_train</t>
        </is>
      </c>
      <c r="C88" t="inlineStr">
        <is>
          <t>khe_mot_nong_mot_vien</t>
        </is>
      </c>
      <c r="D88" t="inlineStr">
        <is>
          <t>s</t>
        </is>
      </c>
      <c r="E88" t="n">
        <v>0.5</v>
      </c>
      <c r="F88">
        <f>60/INDEX(boss_input_nhip_that!$B$2:$B$61,MATCH($P$88,boss_input_nhip_that!$A$2:$A$61,0))/IF(INDEX(boss_input_nhip_that!$C$2:$C$61,MATCH($P$88,boss_input_nhip_that!$A$2:$A$61,0))="gun",0.7,1)</f>
        <v/>
      </c>
      <c r="G88">
        <f>$E$88/$F$88</f>
        <v/>
      </c>
      <c r="H88" t="n">
        <v>0.6</v>
      </c>
      <c r="I88" t="n">
        <v>2</v>
      </c>
      <c r="J88" t="b">
        <v>0</v>
      </c>
      <c r="K88" t="inlineStr"/>
      <c r="L88">
        <f>IF(ISNUMBER($H$88),AND(NOT($J$88),OR($G$88&lt;$H$88,$G$88&gt;$I$88)),FALSE)</f>
        <v/>
      </c>
      <c r="M88" t="inlineStr"/>
      <c r="N88" t="inlineStr">
        <is>
          <t>R_balance;R_full_weapon_audit;W_wikipedia_bm_21_grad</t>
        </is>
      </c>
      <c r="O88" t="inlineStr">
        <is>
          <t>nhịp pháo boss so với hệ thống thật (định nghĩa như 01_chien_dau/Vu_khi_so_sanh_that)</t>
        </is>
      </c>
      <c r="P88" t="inlineStr">
        <is>
          <t>p26_nemesis_sec_boss_rockets</t>
        </is>
      </c>
      <c r="Q88" t="inlineStr">
        <is>
          <t>Tools/balance/full_weapon_audit.py (bảng REAL) qua input_nhip_that / input_ty_le_nhip</t>
        </is>
      </c>
      <c r="R88" t="inlineStr"/>
    </row>
    <row r="89">
      <c r="A89" t="inlineStr">
        <is>
          <t>nuke_train/sam_battery/nhip</t>
        </is>
      </c>
      <c r="B89" t="inlineStr">
        <is>
          <t>nuke_train</t>
        </is>
      </c>
      <c r="C89" t="inlineStr">
        <is>
          <t>khe_mot_nong_mot_vien</t>
        </is>
      </c>
      <c r="D89" t="inlineStr">
        <is>
          <t>s</t>
        </is>
      </c>
      <c r="E89" t="n">
        <v>5.499999</v>
      </c>
      <c r="F89">
        <f>60/INDEX(boss_input_nhip_that!$B$2:$B$61,MATCH($P$89,boss_input_nhip_that!$A$2:$A$61,0))/IF(INDEX(boss_input_nhip_that!$C$2:$C$61,MATCH($P$89,boss_input_nhip_that!$A$2:$A$61,0))="gun",0.7,1)</f>
        <v/>
      </c>
      <c r="G89">
        <f>$E$89/$F$89</f>
        <v/>
      </c>
      <c r="H89" t="n">
        <v>0.6</v>
      </c>
      <c r="I89" t="n">
        <v>2</v>
      </c>
      <c r="J89" t="b">
        <v>0</v>
      </c>
      <c r="K89" t="inlineStr"/>
      <c r="L89">
        <f>IF(ISNUMBER($H$89),AND(NOT($J$89),OR($G$89&lt;$H$89,$G$89&gt;$I$89)),FALSE)</f>
        <v/>
      </c>
      <c r="M89" t="inlineStr"/>
      <c r="N89" t="inlineStr">
        <is>
          <t>R_balance;R_full_weapon_audit;W_wikipedia_mim_104_patriot;R_machine_brigade_can_bang</t>
        </is>
      </c>
      <c r="O89" t="inlineStr">
        <is>
          <t>nhịp pháo boss so với hệ thống thật (định nghĩa như 01_chien_dau/Vu_khi_so_sanh_that)</t>
        </is>
      </c>
      <c r="P89" t="inlineStr">
        <is>
          <t>sam_battery</t>
        </is>
      </c>
      <c r="Q89" t="inlineStr">
        <is>
          <t>Tools/balance/full_weapon_audit.py (bảng REAL) qua input_nhip_that / input_ty_le_nhip</t>
        </is>
      </c>
      <c r="R89" t="inlineStr"/>
    </row>
    <row r="90">
      <c r="A90" t="inlineStr">
        <is>
          <t>nyx/p26_leviathan_direct_lev127/nhip</t>
        </is>
      </c>
      <c r="B90" t="inlineStr">
        <is>
          <t>nyx</t>
        </is>
      </c>
      <c r="C90" t="inlineStr">
        <is>
          <t>khe_mot_nong_mot_vien</t>
        </is>
      </c>
      <c r="D90" t="inlineStr">
        <is>
          <t>s</t>
        </is>
      </c>
      <c r="E90" t="n">
        <v>3</v>
      </c>
      <c r="F90">
        <f>60/INDEX(boss_input_nhip_that!$B$2:$B$61,MATCH($P$90,boss_input_nhip_that!$A$2:$A$61,0))/IF(INDEX(boss_input_nhip_that!$C$2:$C$61,MATCH($P$90,boss_input_nhip_that!$A$2:$A$61,0))="gun",0.7,1)</f>
        <v/>
      </c>
      <c r="G90">
        <f>$E$90/$F$90</f>
        <v/>
      </c>
      <c r="H90" t="n">
        <v>0.6</v>
      </c>
      <c r="I90" t="n">
        <v>2</v>
      </c>
      <c r="J90" t="b">
        <v>0</v>
      </c>
      <c r="K90" t="inlineStr"/>
      <c r="L90">
        <f>IF(ISNUMBER($H$90),AND(NOT($J$90),OR($G$90&lt;$H$90,$G$90&gt;$I$90)),FALSE)</f>
        <v/>
      </c>
      <c r="M90" t="inlineStr"/>
      <c r="N90" t="inlineStr">
        <is>
          <t>R_balance;R_full_weapon_audit;W_wikipedia_a_192</t>
        </is>
      </c>
      <c r="O90" t="inlineStr">
        <is>
          <t>nhịp pháo boss so với hệ thống thật (định nghĩa như 01_chien_dau/Vu_khi_so_sanh_that)</t>
        </is>
      </c>
      <c r="P90" t="inlineStr">
        <is>
          <t>p26_leviathan_direct_lev127</t>
        </is>
      </c>
      <c r="Q90" t="inlineStr">
        <is>
          <t>Tools/balance/full_weapon_audit.py (bảng REAL) qua input_nhip_that / input_ty_le_nhip</t>
        </is>
      </c>
      <c r="R90" t="inlineStr"/>
    </row>
    <row r="91">
      <c r="A91" t="inlineStr">
        <is>
          <t>scylla/naval_130_twin/nhip</t>
        </is>
      </c>
      <c r="B91" t="inlineStr">
        <is>
          <t>scylla</t>
        </is>
      </c>
      <c r="C91" t="inlineStr">
        <is>
          <t>khe_mot_nong_mot_vien</t>
        </is>
      </c>
      <c r="D91" t="inlineStr">
        <is>
          <t>s</t>
        </is>
      </c>
      <c r="E91" t="n">
        <v>3</v>
      </c>
      <c r="F91">
        <f>60/INDEX(boss_input_nhip_that!$B$2:$B$61,MATCH($P$91,boss_input_nhip_that!$A$2:$A$61,0))/IF(INDEX(boss_input_nhip_that!$C$2:$C$61,MATCH($P$91,boss_input_nhip_that!$A$2:$A$61,0))="gun",0.7,1)</f>
        <v/>
      </c>
      <c r="G91">
        <f>$E$91/$F$91</f>
        <v/>
      </c>
      <c r="H91" t="n">
        <v>0.6</v>
      </c>
      <c r="I91" t="n">
        <v>2</v>
      </c>
      <c r="J91" t="b">
        <v>0</v>
      </c>
      <c r="K91" t="inlineStr"/>
      <c r="L91">
        <f>IF(ISNUMBER($H$91),AND(NOT($J$91),OR($G$91&lt;$H$91,$G$91&gt;$I$91)),FALSE)</f>
        <v/>
      </c>
      <c r="M91" t="inlineStr"/>
      <c r="N91" t="inlineStr">
        <is>
          <t>R_balance;R_full_weapon_audit;W_wikipedia_ak_130</t>
        </is>
      </c>
      <c r="O91" t="inlineStr">
        <is>
          <t>nhịp pháo boss so với hệ thống thật (định nghĩa như 01_chien_dau/Vu_khi_so_sanh_that)</t>
        </is>
      </c>
      <c r="P91" t="inlineStr">
        <is>
          <t>naval_130_twin</t>
        </is>
      </c>
      <c r="Q91" t="inlineStr">
        <is>
          <t>Tools/balance/full_weapon_audit.py (bảng REAL) qua input_nhip_that / input_ty_le_nhip</t>
        </is>
      </c>
      <c r="R91" t="inlineStr"/>
    </row>
    <row r="92">
      <c r="A92" t="inlineStr">
        <is>
          <t>scylla/p26_leviathan_direct_lev127/nhip</t>
        </is>
      </c>
      <c r="B92" t="inlineStr">
        <is>
          <t>scylla</t>
        </is>
      </c>
      <c r="C92" t="inlineStr">
        <is>
          <t>khe_mot_nong_mot_vien</t>
        </is>
      </c>
      <c r="D92" t="inlineStr">
        <is>
          <t>s</t>
        </is>
      </c>
      <c r="E92" t="n">
        <v>3</v>
      </c>
      <c r="F92">
        <f>60/INDEX(boss_input_nhip_that!$B$2:$B$61,MATCH($P$92,boss_input_nhip_that!$A$2:$A$61,0))/IF(INDEX(boss_input_nhip_that!$C$2:$C$61,MATCH($P$92,boss_input_nhip_that!$A$2:$A$61,0))="gun",0.7,1)</f>
        <v/>
      </c>
      <c r="G92">
        <f>$E$92/$F$92</f>
        <v/>
      </c>
      <c r="H92" t="n">
        <v>0.6</v>
      </c>
      <c r="I92" t="n">
        <v>2</v>
      </c>
      <c r="J92" t="b">
        <v>0</v>
      </c>
      <c r="K92" t="inlineStr"/>
      <c r="L92">
        <f>IF(ISNUMBER($H$92),AND(NOT($J$92),OR($G$92&lt;$H$92,$G$92&gt;$I$92)),FALSE)</f>
        <v/>
      </c>
      <c r="M92" t="inlineStr"/>
      <c r="N92" t="inlineStr">
        <is>
          <t>R_balance;R_full_weapon_audit;W_wikipedia_a_192</t>
        </is>
      </c>
      <c r="O92" t="inlineStr">
        <is>
          <t>nhịp pháo boss so với hệ thống thật (định nghĩa như 01_chien_dau/Vu_khi_so_sanh_that)</t>
        </is>
      </c>
      <c r="P92" t="inlineStr">
        <is>
          <t>p26_leviathan_direct_lev127</t>
        </is>
      </c>
      <c r="Q92" t="inlineStr">
        <is>
          <t>Tools/balance/full_weapon_audit.py (bảng REAL) qua input_nhip_that / input_ty_le_nhip</t>
        </is>
      </c>
      <c r="R92" t="inlineStr"/>
    </row>
    <row r="93">
      <c r="A93" t="inlineStr">
        <is>
          <t>silver_bug/p26_icarus_close_autocannon_40/nhip</t>
        </is>
      </c>
      <c r="B93" t="inlineStr">
        <is>
          <t>silver_bug</t>
        </is>
      </c>
      <c r="C93" t="inlineStr">
        <is>
          <t>khe_mot_nong_mot_vien</t>
        </is>
      </c>
      <c r="D93" t="inlineStr">
        <is>
          <t>s</t>
        </is>
      </c>
      <c r="E93" t="n">
        <v>0.332</v>
      </c>
      <c r="F93">
        <f>60/INDEX(boss_input_nhip_that!$B$2:$B$61,MATCH($P$93,boss_input_nhip_that!$A$2:$A$61,0))/IF(INDEX(boss_input_nhip_that!$C$2:$C$61,MATCH($P$93,boss_input_nhip_that!$A$2:$A$61,0))="gun",0.7,1)</f>
        <v/>
      </c>
      <c r="G93">
        <f>$E$93/$F$93</f>
        <v/>
      </c>
      <c r="H93" t="n">
        <v>0.6</v>
      </c>
      <c r="I93" t="n">
        <v>2</v>
      </c>
      <c r="J93" t="b">
        <v>0</v>
      </c>
      <c r="K93" t="inlineStr"/>
      <c r="L93">
        <f>IF(ISNUMBER($H$93),AND(NOT($J$93),OR($G$93&lt;$H$93,$G$93&gt;$I$93)),FALSE)</f>
        <v/>
      </c>
      <c r="M93" t="inlineStr"/>
      <c r="N93" t="inlineStr">
        <is>
          <t>R_balance;R_full_weapon_audit;W_wikipedia_bofors_40_mm_l_70</t>
        </is>
      </c>
      <c r="O93" t="inlineStr">
        <is>
          <t>nhịp pháo boss so với hệ thống thật (định nghĩa như 01_chien_dau/Vu_khi_so_sanh_that)</t>
        </is>
      </c>
      <c r="P93" t="inlineStr">
        <is>
          <t>p26_icarus_close_autocannon_40</t>
        </is>
      </c>
      <c r="Q93" t="inlineStr">
        <is>
          <t>Tools/balance/full_weapon_audit.py (bảng REAL) qua input_nhip_that / input_ty_le_nhip</t>
        </is>
      </c>
      <c r="R93" t="inlineStr"/>
    </row>
    <row r="94">
      <c r="A94" t="inlineStr">
        <is>
          <t>typhon/p26_typhon_direct_ty100/nhip</t>
        </is>
      </c>
      <c r="B94" t="inlineStr">
        <is>
          <t>typhon</t>
        </is>
      </c>
      <c r="C94" t="inlineStr">
        <is>
          <t>khe_mot_nong_mot_vien</t>
        </is>
      </c>
      <c r="D94" t="inlineStr">
        <is>
          <t>s</t>
        </is>
      </c>
      <c r="E94" t="n">
        <v>1.75</v>
      </c>
      <c r="F94">
        <f>60/INDEX(boss_input_nhip_that!$B$2:$B$61,MATCH($P$94,boss_input_nhip_that!$A$2:$A$61,0))/IF(INDEX(boss_input_nhip_that!$C$2:$C$61,MATCH($P$94,boss_input_nhip_that!$A$2:$A$61,0))="gun",0.7,1)</f>
        <v/>
      </c>
      <c r="G94">
        <f>$E$94/$F$94</f>
        <v/>
      </c>
      <c r="H94" t="n">
        <v>0.6</v>
      </c>
      <c r="I94" t="n">
        <v>2</v>
      </c>
      <c r="J94" t="b">
        <v>0</v>
      </c>
      <c r="K94" t="inlineStr"/>
      <c r="L94">
        <f>IF(ISNUMBER($H$94),AND(NOT($J$94),OR($G$94&lt;$H$94,$G$94&gt;$I$94)),FALSE)</f>
        <v/>
      </c>
      <c r="M94" t="inlineStr"/>
      <c r="N94" t="inlineStr">
        <is>
          <t>R_balance;R_full_weapon_audit;W_wikipedia_ak_100_naval_gun</t>
        </is>
      </c>
      <c r="O94" t="inlineStr">
        <is>
          <t>nhịp pháo boss so với hệ thống thật (định nghĩa như 01_chien_dau/Vu_khi_so_sanh_that)</t>
        </is>
      </c>
      <c r="P94" t="inlineStr">
        <is>
          <t>p26_typhon_direct_ty100</t>
        </is>
      </c>
      <c r="Q94" t="inlineStr">
        <is>
          <t>Tools/balance/full_weapon_audit.py (bảng REAL) qua input_nhip_that / input_ty_le_nhip</t>
        </is>
      </c>
      <c r="R94" t="inlineStr"/>
    </row>
    <row r="95">
      <c r="A95" t="inlineStr">
        <is>
          <t>typhon/p26_typhon_sec_ty57/nhip</t>
        </is>
      </c>
      <c r="B95" t="inlineStr">
        <is>
          <t>typhon</t>
        </is>
      </c>
      <c r="C95" t="inlineStr">
        <is>
          <t>khe_mot_nong_mot_vien</t>
        </is>
      </c>
      <c r="D95" t="inlineStr">
        <is>
          <t>s</t>
        </is>
      </c>
      <c r="E95" t="n">
        <v>1.0725</v>
      </c>
      <c r="F95">
        <f>60/INDEX(boss_input_nhip_that!$B$2:$B$61,MATCH($P$95,boss_input_nhip_that!$A$2:$A$61,0))/IF(INDEX(boss_input_nhip_that!$C$2:$C$61,MATCH($P$95,boss_input_nhip_that!$A$2:$A$61,0))="gun",0.7,1)</f>
        <v/>
      </c>
      <c r="G95">
        <f>$E$95/$F$95</f>
        <v/>
      </c>
      <c r="H95" t="n">
        <v>0.6</v>
      </c>
      <c r="I95" t="n">
        <v>2</v>
      </c>
      <c r="J95" t="b">
        <v>1</v>
      </c>
      <c r="K95" t="inlineStr">
        <is>
          <t>fix_weapon_reasons.json: wave 1 mothership_cannon: 4 rounds 0.5 s apart every 4.29 s (AU-220M 120 rpm); made up: a twin 57 mm deck mount (as the real AK-725 twin 57 mm)</t>
        </is>
      </c>
      <c r="L95">
        <f>IF(ISNUMBER($H$95),AND(NOT($J$95),OR($G$95&lt;$H$95,$G$95&gt;$I$95)),FALSE)</f>
        <v/>
      </c>
      <c r="M95" t="inlineStr"/>
      <c r="N95" t="inlineStr">
        <is>
          <t>R_balance;R_full_weapon_audit;W_wikipedia_au_220m</t>
        </is>
      </c>
      <c r="O95" t="inlineStr">
        <is>
          <t>nhịp pháo boss so với hệ thống thật (định nghĩa như 01_chien_dau/Vu_khi_so_sanh_that)</t>
        </is>
      </c>
      <c r="P95" t="inlineStr">
        <is>
          <t>p26_typhon_sec_ty57</t>
        </is>
      </c>
      <c r="Q95" t="inlineStr">
        <is>
          <t>Tools/balance/full_weapon_audit.py (bảng REAL) qua input_nhip_that / input_ty_le_nhip</t>
        </is>
      </c>
      <c r="R95" t="inlineStr"/>
    </row>
    <row r="96">
      <c r="A96" t="inlineStr">
        <is>
          <t>typhon/sam_post/nhip</t>
        </is>
      </c>
      <c r="B96" t="inlineStr">
        <is>
          <t>typhon</t>
        </is>
      </c>
      <c r="C96" t="inlineStr">
        <is>
          <t>khe_mot_nong_mot_vien</t>
        </is>
      </c>
      <c r="D96" t="inlineStr">
        <is>
          <t>s</t>
        </is>
      </c>
      <c r="E96" t="n">
        <v>2.2</v>
      </c>
      <c r="F96">
        <f>60/INDEX(boss_input_nhip_that!$B$2:$B$61,MATCH($P$96,boss_input_nhip_that!$A$2:$A$61,0))/IF(INDEX(boss_input_nhip_that!$C$2:$C$61,MATCH($P$96,boss_input_nhip_that!$A$2:$A$61,0))="gun",0.7,1)</f>
        <v/>
      </c>
      <c r="G96">
        <f>$E$96/$F$96</f>
        <v/>
      </c>
      <c r="H96" t="n">
        <v>0.6</v>
      </c>
      <c r="I96" t="n">
        <v>2</v>
      </c>
      <c r="J96" t="b">
        <v>0</v>
      </c>
      <c r="K96" t="inlineStr"/>
      <c r="L96">
        <f>IF(ISNUMBER($H$96),AND(NOT($J$96),OR($G$96&lt;$H$96,$G$96&gt;$I$96)),FALSE)</f>
        <v/>
      </c>
      <c r="M96" t="inlineStr">
        <is>
          <t>TC0110</t>
        </is>
      </c>
      <c r="N96" t="inlineStr">
        <is>
          <t>R_balance;R_full_weapon_audit;W_wikipedia_buk_missile_system;R_machine_brigade_can_bang</t>
        </is>
      </c>
      <c r="O96" t="inlineStr">
        <is>
          <t>nhịp pháo boss so với hệ thống thật (định nghĩa như 01_chien_dau/Vu_khi_so_sanh_that)</t>
        </is>
      </c>
      <c r="P96" t="inlineStr">
        <is>
          <t>sam_post</t>
        </is>
      </c>
      <c r="Q96" t="inlineStr">
        <is>
          <t>Tools/balance/full_weapon_audit.py (bảng REAL) qua input_nhip_that / input_ty_le_nhip</t>
        </is>
      </c>
      <c r="R96" t="inlineStr"/>
    </row>
  </sheetData>
  <autoFilter ref="A1:R9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boss_rockets</t>
        </is>
      </c>
      <c r="B8" t="n">
        <v>120</v>
      </c>
      <c r="C8" t="inlineStr">
        <is>
          <t>rocket</t>
        </is>
      </c>
      <c r="D8" t="inlineStr">
        <is>
          <t>Wikipedia 'BM-21 Grad': 40 rockets in 20 s</t>
        </is>
      </c>
      <c r="E8" t="inlineStr">
        <is>
          <t>01_chien_dau/Vu_khi (id boss_rockets)</t>
        </is>
      </c>
      <c r="F8" t="inlineStr"/>
    </row>
    <row r="9">
      <c r="A9" t="inlineStr">
        <is>
          <t>boss_thermo</t>
        </is>
      </c>
      <c r="B9" t="n">
        <v>8</v>
      </c>
      <c r="C9" t="inlineStr">
        <is>
          <t>gun</t>
        </is>
      </c>
      <c r="D9" t="inlineStr">
        <is>
          <t>Wikipedia '2A46': 7-8 rpm with the autoloader</t>
        </is>
      </c>
      <c r="E9" t="inlineStr">
        <is>
          <t>01_chien_dau/Vu_khi (id boss_thermo)</t>
        </is>
      </c>
      <c r="F9" t="inlineStr"/>
    </row>
    <row r="10">
      <c r="A10" t="inlineStr">
        <is>
          <t>ciws_aa</t>
        </is>
      </c>
      <c r="B10" t="n">
        <v>5000</v>
      </c>
      <c r="C10" t="inlineStr">
        <is>
          <t>aa</t>
        </is>
      </c>
      <c r="D10" t="inlineStr">
        <is>
          <t>Wikipedia 'AK-630': 4,000-5,000 rpm, 2,000-round belt</t>
        </is>
      </c>
      <c r="E10" t="inlineStr">
        <is>
          <t>01_chien_dau/Vu_khi (id ciws_aa)</t>
        </is>
      </c>
      <c r="F10" t="inlineStr"/>
    </row>
    <row r="11">
      <c r="A11" t="inlineStr">
        <is>
          <t>gunship_rockets</t>
        </is>
      </c>
      <c r="B11" t="n">
        <v>900</v>
      </c>
      <c r="C11" t="inlineStr">
        <is>
          <t>rocket</t>
        </is>
      </c>
      <c r="D11" t="inlineStr">
        <is>
          <t>rocket pods: ripples of 0.05-0.12 s (DECISIONS 19R)</t>
        </is>
      </c>
      <c r="E11" t="inlineStr">
        <is>
          <t>01_chien_dau/Vu_khi (id gunship_rockets)</t>
        </is>
      </c>
      <c r="F11" t="inlineStr"/>
    </row>
    <row r="12">
      <c r="A12" t="inlineStr">
        <is>
          <t>hover_ciws</t>
        </is>
      </c>
      <c r="B12" t="n">
        <v>5000</v>
      </c>
      <c r="C12" t="inlineStr">
        <is>
          <t>aa</t>
        </is>
      </c>
      <c r="D12" t="inlineStr">
        <is>
          <t>Wikipedia 'AK-630': 4,000-5,000 rpm, 2,000-round belt</t>
        </is>
      </c>
      <c r="E12" t="inlineStr">
        <is>
          <t>01_chien_dau/Vu_khi (id hover_ciws)</t>
        </is>
      </c>
      <c r="F12" t="inlineStr"/>
    </row>
    <row r="13">
      <c r="A13" t="inlineStr">
        <is>
          <t>hover_rockets</t>
        </is>
      </c>
      <c r="B13" t="n">
        <v>120</v>
      </c>
      <c r="C13" t="inlineStr">
        <is>
          <t>rocket</t>
        </is>
      </c>
      <c r="D13" t="inlineStr">
        <is>
          <t>A-22 Ogon 140 mm (Zubr hovercraft), est. 0.5 s a rocket</t>
        </is>
      </c>
      <c r="E13" t="inlineStr">
        <is>
          <t>01_chien_dau/Vu_khi (id hover_rockets)</t>
        </is>
      </c>
      <c r="F13" t="inlineStr"/>
    </row>
    <row r="14">
      <c r="A14" t="inlineStr">
        <is>
          <t>naval_130_twin</t>
        </is>
      </c>
      <c r="B14" t="n">
        <v>40</v>
      </c>
      <c r="C14" t="inlineStr">
        <is>
          <t>gun</t>
        </is>
      </c>
      <c r="D14" t="inlineStr">
        <is>
          <t>Wikipedia 'AK-130': 10-40 rpm a barrel</t>
        </is>
      </c>
      <c r="E14" t="inlineStr">
        <is>
          <t>01_chien_dau/Vu_khi (id naval_130_twin)</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p26_daedalus_sec_dae57</t>
        </is>
      </c>
      <c r="B29" t="n">
        <v>120</v>
      </c>
      <c r="C29" t="inlineStr">
        <is>
          <t>ac</t>
        </is>
      </c>
      <c r="D29" t="inlineStr">
        <is>
          <t>Wikipedia 'AU-220M': 80-120 rpm</t>
        </is>
      </c>
      <c r="E29" t="inlineStr">
        <is>
          <t>01_chien_dau/Vu_khi (id p26_daedalus_sec_dae57)</t>
        </is>
      </c>
      <c r="F29" t="inlineStr"/>
    </row>
    <row r="30">
      <c r="A30" t="inlineStr">
        <is>
          <t>p26_icarus_close_autocannon_40</t>
        </is>
      </c>
      <c r="B30" t="n">
        <v>330</v>
      </c>
      <c r="C30" t="inlineStr">
        <is>
          <t>aa</t>
        </is>
      </c>
      <c r="D30" t="inlineStr">
        <is>
          <t>Wikipedia 'Bofors 40 mm L/70': 240-330 rpm</t>
        </is>
      </c>
      <c r="E30" t="inlineStr">
        <is>
          <t>01_chien_dau/Vu_khi (id p26_icarus_close_autocannon_40)</t>
        </is>
      </c>
      <c r="F30" t="inlineStr"/>
    </row>
    <row r="31">
      <c r="A31" t="inlineStr">
        <is>
          <t>p26_ixion_125</t>
        </is>
      </c>
      <c r="B31" t="n">
        <v>8</v>
      </c>
      <c r="C31" t="inlineStr">
        <is>
          <t>gun</t>
        </is>
      </c>
      <c r="D31" t="inlineStr">
        <is>
          <t>Wikipedia '2A46': 7-8 rpm with the autoloader</t>
        </is>
      </c>
      <c r="E31" t="inlineStr">
        <is>
          <t>01_chien_dau/Vu_khi (id p26_ixion_125)</t>
        </is>
      </c>
      <c r="F31" t="inlineStr"/>
    </row>
    <row r="32">
      <c r="A32" t="inlineStr">
        <is>
          <t>p26_ixion_mg</t>
        </is>
      </c>
      <c r="B32" t="n">
        <v>800</v>
      </c>
      <c r="C32" t="inlineStr">
        <is>
          <t>mg</t>
        </is>
      </c>
      <c r="D32" t="inlineStr">
        <is>
          <t>Wikipedia 'NSV machine gun': 700-800 cyclic, 100 practical</t>
        </is>
      </c>
      <c r="E32" t="inlineStr">
        <is>
          <t>01_chien_dau/Vu_khi (id p26_ixion_mg)</t>
        </is>
      </c>
      <c r="F32" t="inlineStr"/>
    </row>
    <row r="33">
      <c r="A33" t="inlineStr">
        <is>
          <t>p26_jotunn_close_boss_flak</t>
        </is>
      </c>
      <c r="B33" t="n">
        <v>550</v>
      </c>
      <c r="C33" t="inlineStr">
        <is>
          <t>aa</t>
        </is>
      </c>
      <c r="D33" t="inlineStr">
        <is>
          <t>Wikipedia 'Oerlikon GDF': 550 rpm a gun (the twin: 1,100)</t>
        </is>
      </c>
      <c r="E33" t="inlineStr">
        <is>
          <t>01_chien_dau/Vu_khi (id p26_jotunn_close_boss_flak)</t>
        </is>
      </c>
      <c r="F33" t="inlineStr"/>
    </row>
    <row r="34">
      <c r="A34" t="inlineStr">
        <is>
          <t>p26_jotunn_direct_jo125</t>
        </is>
      </c>
      <c r="B34" t="n">
        <v>8</v>
      </c>
      <c r="C34" t="inlineStr">
        <is>
          <t>gun</t>
        </is>
      </c>
      <c r="D34" t="inlineStr">
        <is>
          <t>Wikipedia '2A46': 7-8 rpm with the autoloader</t>
        </is>
      </c>
      <c r="E34" t="inlineStr">
        <is>
          <t>01_chien_dau/Vu_khi (id p26_jotunn_direct_jo125)</t>
        </is>
      </c>
      <c r="F34" t="inlineStr"/>
    </row>
    <row r="35">
      <c r="A35" t="inlineStr">
        <is>
          <t>p26_jotunn_jo203</t>
        </is>
      </c>
      <c r="B35" t="n">
        <v>2.5</v>
      </c>
      <c r="C35" t="inlineStr">
        <is>
          <t>gun</t>
        </is>
      </c>
      <c r="D35" t="inlineStr">
        <is>
          <t>Wikipedia '2S7 Pion': 1.5 rpm (2S7M Malka 2.5)</t>
        </is>
      </c>
      <c r="E35" t="inlineStr">
        <is>
          <t>01_chien_dau/Vu_khi (id p26_jotunn_jo203)</t>
        </is>
      </c>
      <c r="F35" t="inlineStr"/>
    </row>
    <row r="36">
      <c r="A36" t="inlineStr">
        <is>
          <t>p26_jotunn_sec_jo_rockets</t>
        </is>
      </c>
      <c r="B36" t="n">
        <v>19</v>
      </c>
      <c r="C36" t="inlineStr">
        <is>
          <t>rocket</t>
        </is>
      </c>
      <c r="D36" t="inlineStr">
        <is>
          <t>Wikipedia 'BM-30 Smerch': 12 rockets in 38 s</t>
        </is>
      </c>
      <c r="E36" t="inlineStr">
        <is>
          <t>01_chien_dau/Vu_khi (id p26_jotunn_sec_jo_rockets)</t>
        </is>
      </c>
      <c r="F36" t="inlineStr"/>
    </row>
    <row r="37">
      <c r="A37" t="inlineStr">
        <is>
          <t>p26_jotunn_tiny_twin_30_flak</t>
        </is>
      </c>
      <c r="B37" t="n">
        <v>2500</v>
      </c>
      <c r="C37" t="inlineStr">
        <is>
          <t>aa</t>
        </is>
      </c>
      <c r="D37" t="inlineStr">
        <is>
          <t>Wikipedia '2A38': 4,060-5,000 rpm the twin mount</t>
        </is>
      </c>
      <c r="E37" t="inlineStr">
        <is>
          <t>01_chien_dau/Vu_khi (id p26_jotunn_tiny_twin_30_flak)</t>
        </is>
      </c>
      <c r="F37" t="inlineStr"/>
    </row>
    <row r="38">
      <c r="A38" t="inlineStr">
        <is>
          <t>p26_leviathan_direct_lev127</t>
        </is>
      </c>
      <c r="B38" t="n">
        <v>30</v>
      </c>
      <c r="C38" t="inlineStr">
        <is>
          <t>gun</t>
        </is>
      </c>
      <c r="D38" t="inlineStr">
        <is>
          <t>the A-192 'Armat' 130 mm class, 30 rpm (Wikipedia 'A-192')</t>
        </is>
      </c>
      <c r="E38" t="inlineStr">
        <is>
          <t>01_chien_dau/Vu_khi (id p26_leviathan_direct_lev127)</t>
        </is>
      </c>
      <c r="F38" t="inlineStr"/>
    </row>
    <row r="39">
      <c r="A39" t="inlineStr">
        <is>
          <t>p26_leviathan_lev406</t>
        </is>
      </c>
      <c r="B39" t="n">
        <v>2</v>
      </c>
      <c r="C39" t="inlineStr">
        <is>
          <t>gun</t>
        </is>
      </c>
      <c r="D39" t="inlineStr">
        <is>
          <t>Wikipedia '16"/50 caliber Mark 7': 2 rpm a gun</t>
        </is>
      </c>
      <c r="E39" t="inlineStr">
        <is>
          <t>01_chien_dau/Vu_khi (id p26_leviathan_lev406)</t>
        </is>
      </c>
      <c r="F39" t="inlineStr"/>
    </row>
    <row r="40">
      <c r="A40" t="inlineStr">
        <is>
          <t>p26_leviathan_sec_lev155</t>
        </is>
      </c>
      <c r="B40" t="n">
        <v>5</v>
      </c>
      <c r="C40" t="inlineStr">
        <is>
          <t>gun</t>
        </is>
      </c>
      <c r="D40" t="inlineStr">
        <is>
          <t>Wikipedia '15.5 cm/60 3rd Year Type' (Mogami): ~5 rpm a gun</t>
        </is>
      </c>
      <c r="E40" t="inlineStr">
        <is>
          <t>01_chien_dau/Vu_khi (id p26_leviathan_sec_lev155)</t>
        </is>
      </c>
      <c r="F40" t="inlineStr"/>
    </row>
    <row r="41">
      <c r="A41" t="inlineStr">
        <is>
          <t>p26_matriarch_close_boss_flak</t>
        </is>
      </c>
      <c r="B41" t="n">
        <v>550</v>
      </c>
      <c r="C41" t="inlineStr">
        <is>
          <t>aa</t>
        </is>
      </c>
      <c r="D41" t="inlineStr">
        <is>
          <t>Wikipedia 'Oerlikon GDF': 550 rpm a gun (the twin: 1,100)</t>
        </is>
      </c>
      <c r="E41" t="inlineStr">
        <is>
          <t>01_chien_dau/Vu_khi (id p26_matriarch_close_boss_flak)</t>
        </is>
      </c>
      <c r="F41" t="inlineStr"/>
    </row>
    <row r="42">
      <c r="A42" t="inlineStr">
        <is>
          <t>p26_matriarch_direct_ma_atgm</t>
        </is>
      </c>
      <c r="B42" t="n">
        <v>3</v>
      </c>
      <c r="C42" t="inlineStr">
        <is>
          <t>atgm</t>
        </is>
      </c>
      <c r="D42" t="inlineStr">
        <is>
          <t>Wikipedia '9M133 Kornet': 2-3 rpm</t>
        </is>
      </c>
      <c r="E42" t="inlineStr">
        <is>
          <t>01_chien_dau/Vu_khi (id p26_matriarch_direct_ma_atgm)</t>
        </is>
      </c>
      <c r="F42" t="inlineStr"/>
    </row>
    <row r="43">
      <c r="A43" t="inlineStr">
        <is>
          <t>p26_matriarch_sec_autocannon_30</t>
        </is>
      </c>
      <c r="B43" t="n">
        <v>800</v>
      </c>
      <c r="C43" t="inlineStr">
        <is>
          <t>ac</t>
        </is>
      </c>
      <c r="D43" t="inlineStr">
        <is>
          <t>Wikipedia '2A42': 550-800 high, 200-300 low rpm</t>
        </is>
      </c>
      <c r="E43" t="inlineStr">
        <is>
          <t>01_chien_dau/Vu_khi (id p26_matriarch_sec_autocannon_30)</t>
        </is>
      </c>
      <c r="F43" t="inlineStr"/>
    </row>
    <row r="44">
      <c r="A44" t="inlineStr">
        <is>
          <t>p26_matriarch_tiny_mothership_cannon</t>
        </is>
      </c>
      <c r="B44" t="n">
        <v>120</v>
      </c>
      <c r="C44" t="inlineStr">
        <is>
          <t>ac</t>
        </is>
      </c>
      <c r="D44" t="inlineStr">
        <is>
          <t>Wikipedia 'AU-220M': 80-120 rpm</t>
        </is>
      </c>
      <c r="E44" t="inlineStr">
        <is>
          <t>01_chien_dau/Vu_khi (id p26_matriarch_tiny_mothership_cannon)</t>
        </is>
      </c>
      <c r="F44" t="inlineStr"/>
    </row>
    <row r="45">
      <c r="A45" t="inlineStr">
        <is>
          <t>p26_moloch_close_boss_flak</t>
        </is>
      </c>
      <c r="B45" t="n">
        <v>550</v>
      </c>
      <c r="C45" t="inlineStr">
        <is>
          <t>aa</t>
        </is>
      </c>
      <c r="D45" t="inlineStr">
        <is>
          <t>Wikipedia 'Oerlikon GDF': 550 rpm a gun (the twin: 1,100)</t>
        </is>
      </c>
      <c r="E45" t="inlineStr">
        <is>
          <t>01_chien_dau/Vu_khi (id p26_moloch_close_boss_flak)</t>
        </is>
      </c>
      <c r="F45" t="inlineStr"/>
    </row>
    <row r="46">
      <c r="A46" t="inlineStr">
        <is>
          <t>p26_moloch_direct_mo120ap</t>
        </is>
      </c>
      <c r="B46" t="n">
        <v>8</v>
      </c>
      <c r="C46" t="inlineStr">
        <is>
          <t>gun</t>
        </is>
      </c>
      <c r="D46" t="inlineStr">
        <is>
          <t>the sheet's 'Ngoài đời': Rh-120 6-8 rpm with a loader (Wikipedia 'Rheinmetall 120 mm gun')</t>
        </is>
      </c>
      <c r="E46" t="inlineStr">
        <is>
          <t>01_chien_dau/Vu_khi (id p26_moloch_direct_mo120ap)</t>
        </is>
      </c>
      <c r="F46" t="inlineStr"/>
    </row>
    <row r="47">
      <c r="A47" t="inlineStr">
        <is>
          <t>p26_moloch_main_mo120</t>
        </is>
      </c>
      <c r="B47" t="n">
        <v>8</v>
      </c>
      <c r="C47" t="inlineStr">
        <is>
          <t>gun</t>
        </is>
      </c>
      <c r="D47" t="inlineStr">
        <is>
          <t>the sheet's 'Ngoài đời': Rh-120 6-8 rpm with a loader (Wikipedia 'Rheinmetall 120 mm gun')</t>
        </is>
      </c>
      <c r="E47" t="inlineStr">
        <is>
          <t>01_chien_dau/Vu_khi (id p26_moloch_main_mo120)</t>
        </is>
      </c>
      <c r="F47" t="inlineStr"/>
    </row>
    <row r="48">
      <c r="A48" t="inlineStr">
        <is>
          <t>p26_moloch_tiny_zu23</t>
        </is>
      </c>
      <c r="B48" t="n">
        <v>1000</v>
      </c>
      <c r="C48" t="inlineStr">
        <is>
          <t>aa</t>
        </is>
      </c>
      <c r="D48" t="inlineStr">
        <is>
          <t>Wikipedia 'ZU-23-2': 2 x 800-1,000 rpm</t>
        </is>
      </c>
      <c r="E48" t="inlineStr">
        <is>
          <t>01_chien_dau/Vu_khi (id p26_moloch_tiny_zu23)</t>
        </is>
      </c>
      <c r="F48" t="inlineStr"/>
    </row>
    <row r="49">
      <c r="A49" t="inlineStr">
        <is>
          <t>p26_nemesis_close_boss_flak</t>
        </is>
      </c>
      <c r="B49" t="n">
        <v>550</v>
      </c>
      <c r="C49" t="inlineStr">
        <is>
          <t>aa</t>
        </is>
      </c>
      <c r="D49" t="inlineStr">
        <is>
          <t>Wikipedia 'Oerlikon GDF': 550 rpm a gun (the twin: 1,100)</t>
        </is>
      </c>
      <c r="E49" t="inlineStr">
        <is>
          <t>01_chien_dau/Vu_khi (id p26_nemesis_close_boss_flak)</t>
        </is>
      </c>
      <c r="F49" t="inlineStr"/>
    </row>
    <row r="50">
      <c r="A50" t="inlineStr">
        <is>
          <t>p26_nemesis_direct_ne125</t>
        </is>
      </c>
      <c r="B50" t="n">
        <v>8</v>
      </c>
      <c r="C50" t="inlineStr">
        <is>
          <t>gun</t>
        </is>
      </c>
      <c r="D50" t="inlineStr">
        <is>
          <t>Wikipedia '2A46': 7-8 rpm with the autoloader</t>
        </is>
      </c>
      <c r="E50" t="inlineStr">
        <is>
          <t>01_chien_dau/Vu_khi (id p26_nemesis_direct_ne125)</t>
        </is>
      </c>
      <c r="F50" t="inlineStr"/>
    </row>
    <row r="51">
      <c r="A51" t="inlineStr">
        <is>
          <t>p26_nemesis_main_ne152</t>
        </is>
      </c>
      <c r="B51" t="n">
        <v>8</v>
      </c>
      <c r="C51" t="inlineStr">
        <is>
          <t>gun</t>
        </is>
      </c>
      <c r="D51" t="inlineStr">
        <is>
          <t>a 152 mm railway mount of the 2A65 class, est. 7-8 rpm</t>
        </is>
      </c>
      <c r="E51" t="inlineStr">
        <is>
          <t>01_chien_dau/Vu_khi (id p26_nemesis_main_ne152)</t>
        </is>
      </c>
      <c r="F51" t="inlineStr"/>
    </row>
    <row r="52">
      <c r="A52" t="inlineStr">
        <is>
          <t>p26_nemesis_sec_boss_rockets</t>
        </is>
      </c>
      <c r="B52" t="n">
        <v>120</v>
      </c>
      <c r="C52" t="inlineStr">
        <is>
          <t>rocket</t>
        </is>
      </c>
      <c r="D52" t="inlineStr">
        <is>
          <t>Wikipedia 'BM-21 Grad': 40 rockets in 20 s</t>
        </is>
      </c>
      <c r="E52" t="inlineStr">
        <is>
          <t>01_chien_dau/Vu_khi (id p26_nemesis_sec_boss_rockets)</t>
        </is>
      </c>
      <c r="F52" t="inlineStr"/>
    </row>
    <row r="53">
      <c r="A53" t="inlineStr">
        <is>
          <t>p26_roc_close_twin_30_bmpt</t>
        </is>
      </c>
      <c r="B53" t="n">
        <v>800</v>
      </c>
      <c r="C53" t="inlineStr">
        <is>
          <t>ac</t>
        </is>
      </c>
      <c r="D53" t="inlineStr">
        <is>
          <t>Wikipedia '2A42': 550-800 high, 200-300 low rpm</t>
        </is>
      </c>
      <c r="E53" t="inlineStr">
        <is>
          <t>01_chien_dau/Vu_khi (id p26_roc_close_twin_30_bmpt)</t>
        </is>
      </c>
      <c r="F53" t="inlineStr"/>
    </row>
    <row r="54">
      <c r="A54" t="inlineStr">
        <is>
          <t>p26_roc_direct_roc_atgm</t>
        </is>
      </c>
      <c r="B54" t="n">
        <v>3</v>
      </c>
      <c r="C54" t="inlineStr">
        <is>
          <t>atgm</t>
        </is>
      </c>
      <c r="D54" t="inlineStr">
        <is>
          <t>Wikipedia '9M133 Kornet': 2-3 rpm</t>
        </is>
      </c>
      <c r="E54" t="inlineStr">
        <is>
          <t>01_chien_dau/Vu_khi (id p26_roc_direct_roc_atgm)</t>
        </is>
      </c>
      <c r="F54" t="inlineStr"/>
    </row>
    <row r="55">
      <c r="A55" t="inlineStr">
        <is>
          <t>p26_roc_main_roc_bombs</t>
        </is>
      </c>
      <c r="B55" t="n">
        <v>600</v>
      </c>
      <c r="C55" t="inlineStr">
        <is>
          <t>bomb</t>
        </is>
      </c>
      <c r="D55" t="inlineStr">
        <is>
          <t>a stick's release, 0.1 s and up (est.)</t>
        </is>
      </c>
      <c r="E55" t="inlineStr">
        <is>
          <t>01_chien_dau/Vu_khi (id p26_roc_main_roc_bombs)</t>
        </is>
      </c>
      <c r="F55" t="inlineStr"/>
    </row>
    <row r="56">
      <c r="A56" t="inlineStr">
        <is>
          <t>p26_roc_roc105</t>
        </is>
      </c>
      <c r="B56" t="n">
        <v>10</v>
      </c>
      <c r="C56" t="inlineStr">
        <is>
          <t>gun</t>
        </is>
      </c>
      <c r="D56" t="inlineStr">
        <is>
          <t>the sheet's 'Ngoài đời': M102 10 rpm (Wikipedia 'M102 howitzer')</t>
        </is>
      </c>
      <c r="E56" t="inlineStr">
        <is>
          <t>01_chien_dau/Vu_khi (id p26_roc_roc105)</t>
        </is>
      </c>
      <c r="F56" t="inlineStr"/>
    </row>
    <row r="57">
      <c r="A57" t="inlineStr">
        <is>
          <t>p26_typhon_direct_ty100</t>
        </is>
      </c>
      <c r="B57" t="n">
        <v>60</v>
      </c>
      <c r="C57" t="inlineStr">
        <is>
          <t>gun</t>
        </is>
      </c>
      <c r="D57" t="inlineStr">
        <is>
          <t>Wikipedia 'AK-100 (naval gun)': 60 rpm</t>
        </is>
      </c>
      <c r="E57" t="inlineStr">
        <is>
          <t>01_chien_dau/Vu_khi (id p26_typhon_direct_ty100)</t>
        </is>
      </c>
      <c r="F57" t="inlineStr"/>
    </row>
    <row r="58">
      <c r="A58" t="inlineStr">
        <is>
          <t>p26_typhon_sec_ty57</t>
        </is>
      </c>
      <c r="B58" t="n">
        <v>120</v>
      </c>
      <c r="C58" t="inlineStr">
        <is>
          <t>ac</t>
        </is>
      </c>
      <c r="D58" t="inlineStr">
        <is>
          <t>Wikipedia 'AU-220M': 80-120 rpm</t>
        </is>
      </c>
      <c r="E58" t="inlineStr">
        <is>
          <t>01_chien_dau/Vu_khi (id p26_typhon_sec_ty57)</t>
        </is>
      </c>
      <c r="F58" t="inlineStr"/>
    </row>
    <row r="59">
      <c r="A59" t="inlineStr">
        <is>
          <t>sam_battery</t>
        </is>
      </c>
      <c r="B59" t="n">
        <v>20</v>
      </c>
      <c r="C59" t="inlineStr">
        <is>
          <t>missile</t>
        </is>
      </c>
      <c r="D59" t="inlineStr">
        <is>
          <t>Wikipedia 'MIM-104 Patriot': ripples a few seconds apart (est. 3 s)</t>
        </is>
      </c>
      <c r="E59" t="inlineStr">
        <is>
          <t>01_chien_dau/Vu_khi (id sam_battery)</t>
        </is>
      </c>
      <c r="F59" t="inlineStr"/>
    </row>
    <row r="60">
      <c r="A60" t="inlineStr">
        <is>
          <t>sam_post</t>
        </is>
      </c>
      <c r="B60" t="n">
        <v>15</v>
      </c>
      <c r="C60" t="inlineStr">
        <is>
          <t>missile</t>
        </is>
      </c>
      <c r="D60" t="inlineStr">
        <is>
          <t>Wikipedia 'Buk missile system': 4 s between launches</t>
        </is>
      </c>
      <c r="E60" t="inlineStr">
        <is>
          <t>01_chien_dau/Vu_khi (id sam_post)</t>
        </is>
      </c>
      <c r="F60" t="inlineStr"/>
    </row>
    <row r="61">
      <c r="A61" t="inlineStr">
        <is>
          <t>train_gun</t>
        </is>
      </c>
      <c r="B61" t="n">
        <v>7.5</v>
      </c>
      <c r="C61" t="inlineStr">
        <is>
          <t>gun</t>
        </is>
      </c>
      <c r="D61" t="inlineStr">
        <is>
          <t>Wikipedia '15.2 cm/57 B-38': 5-7.5 rpm</t>
        </is>
      </c>
      <c r="E61" t="inlineStr">
        <is>
          <t>01_chien_dau/Vu_khi (id train_gun)</t>
        </is>
      </c>
      <c r="F61" t="inlineStr"/>
    </row>
  </sheetData>
  <autoFilter ref="A1:F61"/>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boss_rockets</t>
        </is>
      </c>
      <c r="B8" t="n">
        <v>1</v>
      </c>
      <c r="C8" t="inlineStr">
        <is>
          <t>ok</t>
        </is>
      </c>
      <c r="D8" t="inlineStr">
        <is>
          <t>01_chien_dau/Vu_khi_suy_ra (id boss_rockets)</t>
        </is>
      </c>
      <c r="E8" t="inlineStr"/>
    </row>
    <row r="9">
      <c r="A9" t="inlineStr">
        <is>
          <t>boss_thermo</t>
        </is>
      </c>
      <c r="B9" t="n">
        <v>0.5838</v>
      </c>
      <c r="C9" t="inlineStr">
        <is>
          <t>NHANH_QUA;LECH_DOT_1</t>
        </is>
      </c>
      <c r="D9" t="inlineStr">
        <is>
          <t>01_chien_dau/Vu_khi_suy_ra (id boss_thermo)</t>
        </is>
      </c>
      <c r="E9" t="inlineStr"/>
    </row>
    <row r="10">
      <c r="A10" t="inlineStr">
        <is>
          <t>ciws_aa</t>
        </is>
      </c>
      <c r="B10" t="n">
        <v>8.336111000000001</v>
      </c>
      <c r="C10" t="inlineStr">
        <is>
          <t>ok</t>
        </is>
      </c>
      <c r="D10" t="inlineStr">
        <is>
          <t>01_chien_dau/Vu_khi_suy_ra (id ciws_aa)</t>
        </is>
      </c>
      <c r="E10" t="inlineStr"/>
    </row>
    <row r="11">
      <c r="A11" t="inlineStr">
        <is>
          <t>gunship_rockets</t>
        </is>
      </c>
      <c r="B11" t="n">
        <v>1.5</v>
      </c>
      <c r="C11" t="inlineStr">
        <is>
          <t>ok</t>
        </is>
      </c>
      <c r="D11" t="inlineStr">
        <is>
          <t>01_chien_dau/Vu_khi_suy_ra (id gunship_rockets)</t>
        </is>
      </c>
      <c r="E11" t="inlineStr"/>
    </row>
    <row r="12">
      <c r="A12" t="inlineStr">
        <is>
          <t>hover_ciws</t>
        </is>
      </c>
      <c r="B12" t="n">
        <v>8.336111000000001</v>
      </c>
      <c r="C12" t="inlineStr">
        <is>
          <t>ok</t>
        </is>
      </c>
      <c r="D12" t="inlineStr">
        <is>
          <t>01_chien_dau/Vu_khi_suy_ra (id hover_ciws)</t>
        </is>
      </c>
      <c r="E12" t="inlineStr"/>
    </row>
    <row r="13">
      <c r="A13" t="inlineStr">
        <is>
          <t>hover_rockets</t>
        </is>
      </c>
      <c r="B13" t="n">
        <v>1</v>
      </c>
      <c r="C13" t="inlineStr">
        <is>
          <t>ok</t>
        </is>
      </c>
      <c r="D13" t="inlineStr">
        <is>
          <t>01_chien_dau/Vu_khi_suy_ra (id hover_rockets)</t>
        </is>
      </c>
      <c r="E13" t="inlineStr"/>
    </row>
    <row r="14">
      <c r="A14" t="inlineStr">
        <is>
          <t>naval_130_twin</t>
        </is>
      </c>
      <c r="B14" t="n">
        <v>1.4</v>
      </c>
      <c r="C14" t="inlineStr">
        <is>
          <t>ok</t>
        </is>
      </c>
      <c r="D14" t="inlineStr">
        <is>
          <t>01_chien_dau/Vu_khi_suy_ra (id naval_130_twin)</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p26_daedalus_sec_dae57</t>
        </is>
      </c>
      <c r="B29" t="n">
        <v>2.145</v>
      </c>
      <c r="C29" t="inlineStr">
        <is>
          <t>ok</t>
        </is>
      </c>
      <c r="D29" t="inlineStr">
        <is>
          <t>01_chien_dau/Vu_khi_suy_ra (id p26_daedalus_sec_dae57)</t>
        </is>
      </c>
      <c r="E29" t="inlineStr"/>
    </row>
    <row r="30">
      <c r="A30" t="inlineStr">
        <is>
          <t>p26_icarus_close_autocannon_40</t>
        </is>
      </c>
      <c r="B30" t="n">
        <v>1.826</v>
      </c>
      <c r="C30" t="inlineStr">
        <is>
          <t>ok</t>
        </is>
      </c>
      <c r="D30" t="inlineStr">
        <is>
          <t>01_chien_dau/Vu_khi_suy_ra (id p26_icarus_close_autocannon_40)</t>
        </is>
      </c>
      <c r="E30" t="inlineStr"/>
    </row>
    <row r="31">
      <c r="A31" t="inlineStr">
        <is>
          <t>p26_ixion_125</t>
        </is>
      </c>
      <c r="B31" t="n">
        <v>0.7</v>
      </c>
      <c r="C31" t="inlineStr">
        <is>
          <t>ok</t>
        </is>
      </c>
      <c r="D31" t="inlineStr">
        <is>
          <t>01_chien_dau/Vu_khi_suy_ra (id p26_ixion_125)</t>
        </is>
      </c>
      <c r="E31" t="inlineStr"/>
    </row>
    <row r="32">
      <c r="A32" t="inlineStr">
        <is>
          <t>p26_ixion_mg</t>
        </is>
      </c>
      <c r="B32" t="n">
        <v>1.766227</v>
      </c>
      <c r="C32" t="inlineStr">
        <is>
          <t>ok</t>
        </is>
      </c>
      <c r="D32" t="inlineStr">
        <is>
          <t>01_chien_dau/Vu_khi_suy_ra (id p26_ixion_mg)</t>
        </is>
      </c>
      <c r="E32" t="inlineStr"/>
    </row>
    <row r="33">
      <c r="A33" t="inlineStr">
        <is>
          <t>p26_jotunn_close_boss_flak</t>
        </is>
      </c>
      <c r="B33" t="n">
        <v>2.405691</v>
      </c>
      <c r="C33" t="inlineStr">
        <is>
          <t>ok</t>
        </is>
      </c>
      <c r="D33" t="inlineStr">
        <is>
          <t>01_chien_dau/Vu_khi_suy_ra (id p26_jotunn_close_boss_flak)</t>
        </is>
      </c>
      <c r="E33" t="inlineStr"/>
    </row>
    <row r="34">
      <c r="A34" t="inlineStr">
        <is>
          <t>p26_jotunn_direct_jo125</t>
        </is>
      </c>
      <c r="B34" t="n">
        <v>0.7</v>
      </c>
      <c r="C34" t="inlineStr">
        <is>
          <t>ok</t>
        </is>
      </c>
      <c r="D34" t="inlineStr">
        <is>
          <t>01_chien_dau/Vu_khi_suy_ra (id p26_jotunn_direct_jo125)</t>
        </is>
      </c>
      <c r="E34" t="inlineStr"/>
    </row>
    <row r="35">
      <c r="A35" t="inlineStr">
        <is>
          <t>p26_jotunn_jo203</t>
        </is>
      </c>
      <c r="B35" t="n">
        <v>0.7</v>
      </c>
      <c r="C35" t="inlineStr">
        <is>
          <t>ok</t>
        </is>
      </c>
      <c r="D35" t="inlineStr">
        <is>
          <t>01_chien_dau/Vu_khi_suy_ra (id p26_jotunn_jo203)</t>
        </is>
      </c>
      <c r="E35" t="inlineStr"/>
    </row>
    <row r="36">
      <c r="A36" t="inlineStr">
        <is>
          <t>p26_jotunn_sec_jo_rockets</t>
        </is>
      </c>
      <c r="B36" t="n">
        <v>1.003833</v>
      </c>
      <c r="C36" t="inlineStr">
        <is>
          <t>ok</t>
        </is>
      </c>
      <c r="D36" t="inlineStr">
        <is>
          <t>01_chien_dau/Vu_khi_suy_ra (id p26_jotunn_sec_jo_rockets)</t>
        </is>
      </c>
      <c r="E36" t="inlineStr"/>
    </row>
    <row r="37">
      <c r="A37" t="inlineStr">
        <is>
          <t>p26_jotunn_tiny_twin_30_flak</t>
        </is>
      </c>
      <c r="B37" t="n">
        <v>3.632812</v>
      </c>
      <c r="C37" t="inlineStr">
        <is>
          <t>ok</t>
        </is>
      </c>
      <c r="D37" t="inlineStr">
        <is>
          <t>01_chien_dau/Vu_khi_suy_ra (id p26_jotunn_tiny_twin_30_flak)</t>
        </is>
      </c>
      <c r="E37" t="inlineStr"/>
    </row>
    <row r="38">
      <c r="A38" t="inlineStr">
        <is>
          <t>p26_leviathan_direct_lev127</t>
        </is>
      </c>
      <c r="B38" t="n">
        <v>1.05</v>
      </c>
      <c r="C38" t="inlineStr">
        <is>
          <t>ok</t>
        </is>
      </c>
      <c r="D38" t="inlineStr">
        <is>
          <t>01_chien_dau/Vu_khi_suy_ra (id p26_leviathan_direct_lev127)</t>
        </is>
      </c>
      <c r="E38" t="inlineStr"/>
    </row>
    <row r="39">
      <c r="A39" t="inlineStr">
        <is>
          <t>p26_leviathan_lev406</t>
        </is>
      </c>
      <c r="B39" t="n">
        <v>1.4</v>
      </c>
      <c r="C39" t="inlineStr">
        <is>
          <t>ok</t>
        </is>
      </c>
      <c r="D39" t="inlineStr">
        <is>
          <t>01_chien_dau/Vu_khi_suy_ra (id p26_leviathan_lev406)</t>
        </is>
      </c>
      <c r="E39" t="inlineStr"/>
    </row>
    <row r="40">
      <c r="A40" t="inlineStr">
        <is>
          <t>p26_leviathan_sec_lev155</t>
        </is>
      </c>
      <c r="B40" t="n">
        <v>0.6125</v>
      </c>
      <c r="C40" t="inlineStr">
        <is>
          <t>ok</t>
        </is>
      </c>
      <c r="D40" t="inlineStr">
        <is>
          <t>01_chien_dau/Vu_khi_suy_ra (id p26_leviathan_sec_lev155)</t>
        </is>
      </c>
      <c r="E40" t="inlineStr"/>
    </row>
    <row r="41">
      <c r="A41" t="inlineStr">
        <is>
          <t>p26_matriarch_close_boss_flak</t>
        </is>
      </c>
      <c r="B41" t="n">
        <v>2.405691</v>
      </c>
      <c r="C41" t="inlineStr">
        <is>
          <t>ok</t>
        </is>
      </c>
      <c r="D41" t="inlineStr">
        <is>
          <t>01_chien_dau/Vu_khi_suy_ra (id p26_matriarch_close_boss_flak)</t>
        </is>
      </c>
      <c r="E41" t="inlineStr"/>
    </row>
    <row r="42">
      <c r="A42" t="inlineStr">
        <is>
          <t>p26_matriarch_direct_ma_atgm</t>
        </is>
      </c>
      <c r="B42" t="n">
        <v>1</v>
      </c>
      <c r="C42" t="inlineStr">
        <is>
          <t>ok</t>
        </is>
      </c>
      <c r="D42" t="inlineStr">
        <is>
          <t>01_chien_dau/Vu_khi_suy_ra (id p26_matriarch_direct_ma_atgm)</t>
        </is>
      </c>
      <c r="E42" t="inlineStr"/>
    </row>
    <row r="43">
      <c r="A43" t="inlineStr">
        <is>
          <t>p26_matriarch_sec_autocannon_30</t>
        </is>
      </c>
      <c r="B43" t="n">
        <v>3.3332</v>
      </c>
      <c r="C43" t="inlineStr">
        <is>
          <t>ok</t>
        </is>
      </c>
      <c r="D43" t="inlineStr">
        <is>
          <t>01_chien_dau/Vu_khi_suy_ra (id p26_matriarch_sec_autocannon_30)</t>
        </is>
      </c>
      <c r="E43" t="inlineStr"/>
    </row>
    <row r="44">
      <c r="A44" t="inlineStr">
        <is>
          <t>p26_matriarch_tiny_mothership_cannon</t>
        </is>
      </c>
      <c r="B44" t="n">
        <v>2.145</v>
      </c>
      <c r="C44" t="inlineStr">
        <is>
          <t>ok</t>
        </is>
      </c>
      <c r="D44" t="inlineStr">
        <is>
          <t>01_chien_dau/Vu_khi_suy_ra (id p26_matriarch_tiny_mothership_cannon)</t>
        </is>
      </c>
      <c r="E44" t="inlineStr"/>
    </row>
    <row r="45">
      <c r="A45" t="inlineStr">
        <is>
          <t>p26_moloch_close_boss_flak</t>
        </is>
      </c>
      <c r="B45" t="n">
        <v>2.405691</v>
      </c>
      <c r="C45" t="inlineStr">
        <is>
          <t>ok</t>
        </is>
      </c>
      <c r="D45" t="inlineStr">
        <is>
          <t>01_chien_dau/Vu_khi_suy_ra (id p26_moloch_close_boss_flak)</t>
        </is>
      </c>
      <c r="E45" t="inlineStr"/>
    </row>
    <row r="46">
      <c r="A46" t="inlineStr">
        <is>
          <t>p26_moloch_direct_mo120ap</t>
        </is>
      </c>
      <c r="B46" t="n">
        <v>0.7</v>
      </c>
      <c r="C46" t="inlineStr">
        <is>
          <t>ok</t>
        </is>
      </c>
      <c r="D46" t="inlineStr">
        <is>
          <t>01_chien_dau/Vu_khi_suy_ra (id p26_moloch_direct_mo120ap)</t>
        </is>
      </c>
      <c r="E46" t="inlineStr"/>
    </row>
    <row r="47">
      <c r="A47" t="inlineStr">
        <is>
          <t>p26_moloch_main_mo120</t>
        </is>
      </c>
      <c r="B47" t="n">
        <v>0.7</v>
      </c>
      <c r="C47" t="inlineStr">
        <is>
          <t>ok</t>
        </is>
      </c>
      <c r="D47" t="inlineStr">
        <is>
          <t>01_chien_dau/Vu_khi_suy_ra (id p26_moloch_main_mo120)</t>
        </is>
      </c>
      <c r="E47" t="inlineStr"/>
    </row>
    <row r="48">
      <c r="A48" t="inlineStr">
        <is>
          <t>p26_moloch_tiny_zu23</t>
        </is>
      </c>
      <c r="B48" t="n">
        <v>1.653333</v>
      </c>
      <c r="C48" t="inlineStr">
        <is>
          <t>ok</t>
        </is>
      </c>
      <c r="D48" t="inlineStr">
        <is>
          <t>01_chien_dau/Vu_khi_suy_ra (id p26_moloch_tiny_zu23)</t>
        </is>
      </c>
      <c r="E48" t="inlineStr"/>
    </row>
    <row r="49">
      <c r="A49" t="inlineStr">
        <is>
          <t>p26_nemesis_close_boss_flak</t>
        </is>
      </c>
      <c r="B49" t="n">
        <v>2.405691</v>
      </c>
      <c r="C49" t="inlineStr">
        <is>
          <t>ok</t>
        </is>
      </c>
      <c r="D49" t="inlineStr">
        <is>
          <t>01_chien_dau/Vu_khi_suy_ra (id p26_nemesis_close_boss_flak)</t>
        </is>
      </c>
      <c r="E49" t="inlineStr"/>
    </row>
    <row r="50">
      <c r="A50" t="inlineStr">
        <is>
          <t>p26_nemesis_direct_ne125</t>
        </is>
      </c>
      <c r="B50" t="n">
        <v>0.7</v>
      </c>
      <c r="C50" t="inlineStr">
        <is>
          <t>ok</t>
        </is>
      </c>
      <c r="D50" t="inlineStr">
        <is>
          <t>01_chien_dau/Vu_khi_suy_ra (id p26_nemesis_direct_ne125)</t>
        </is>
      </c>
      <c r="E50" t="inlineStr"/>
    </row>
    <row r="51">
      <c r="A51" t="inlineStr">
        <is>
          <t>p26_nemesis_main_ne152</t>
        </is>
      </c>
      <c r="B51" t="n">
        <v>0.7</v>
      </c>
      <c r="C51" t="inlineStr">
        <is>
          <t>ok</t>
        </is>
      </c>
      <c r="D51" t="inlineStr">
        <is>
          <t>01_chien_dau/Vu_khi_suy_ra (id p26_nemesis_main_ne152)</t>
        </is>
      </c>
      <c r="E51" t="inlineStr"/>
    </row>
    <row r="52">
      <c r="A52" t="inlineStr">
        <is>
          <t>p26_nemesis_sec_boss_rockets</t>
        </is>
      </c>
      <c r="B52" t="n">
        <v>1</v>
      </c>
      <c r="C52" t="inlineStr">
        <is>
          <t>ok</t>
        </is>
      </c>
      <c r="D52" t="inlineStr">
        <is>
          <t>01_chien_dau/Vu_khi_suy_ra (id p26_nemesis_sec_boss_rockets)</t>
        </is>
      </c>
      <c r="E52" t="inlineStr"/>
    </row>
    <row r="53">
      <c r="A53" t="inlineStr">
        <is>
          <t>p26_roc_close_twin_30_bmpt</t>
        </is>
      </c>
      <c r="B53" t="n">
        <v>5.258444</v>
      </c>
      <c r="C53" t="inlineStr">
        <is>
          <t>ok</t>
        </is>
      </c>
      <c r="D53" t="inlineStr">
        <is>
          <t>01_chien_dau/Vu_khi_suy_ra (id p26_roc_close_twin_30_bmpt)</t>
        </is>
      </c>
      <c r="E53" t="inlineStr"/>
    </row>
    <row r="54">
      <c r="A54" t="inlineStr">
        <is>
          <t>p26_roc_direct_roc_atgm</t>
        </is>
      </c>
      <c r="B54" t="n">
        <v>1</v>
      </c>
      <c r="C54" t="inlineStr">
        <is>
          <t>ok</t>
        </is>
      </c>
      <c r="D54" t="inlineStr">
        <is>
          <t>01_chien_dau/Vu_khi_suy_ra (id p26_roc_direct_roc_atgm)</t>
        </is>
      </c>
      <c r="E54" t="inlineStr"/>
    </row>
    <row r="55">
      <c r="A55" t="inlineStr">
        <is>
          <t>p26_roc_main_roc_bombs</t>
        </is>
      </c>
      <c r="B55" t="n">
        <v>3</v>
      </c>
      <c r="C55" t="inlineStr">
        <is>
          <t>ok</t>
        </is>
      </c>
      <c r="D55" t="inlineStr">
        <is>
          <t>01_chien_dau/Vu_khi_suy_ra (id p26_roc_main_roc_bombs)</t>
        </is>
      </c>
      <c r="E55" t="inlineStr"/>
    </row>
    <row r="56">
      <c r="A56" t="inlineStr">
        <is>
          <t>p26_roc_roc105</t>
        </is>
      </c>
      <c r="B56" t="n">
        <v>0.7</v>
      </c>
      <c r="C56" t="inlineStr">
        <is>
          <t>ok</t>
        </is>
      </c>
      <c r="D56" t="inlineStr">
        <is>
          <t>01_chien_dau/Vu_khi_suy_ra (id p26_roc_roc105)</t>
        </is>
      </c>
      <c r="E56" t="inlineStr"/>
    </row>
    <row r="57">
      <c r="A57" t="inlineStr">
        <is>
          <t>p26_typhon_direct_ty100</t>
        </is>
      </c>
      <c r="B57" t="n">
        <v>1.225</v>
      </c>
      <c r="C57" t="inlineStr">
        <is>
          <t>ok</t>
        </is>
      </c>
      <c r="D57" t="inlineStr">
        <is>
          <t>01_chien_dau/Vu_khi_suy_ra (id p26_typhon_direct_ty100)</t>
        </is>
      </c>
      <c r="E57" t="inlineStr"/>
    </row>
    <row r="58">
      <c r="A58" t="inlineStr">
        <is>
          <t>p26_typhon_sec_ty57</t>
        </is>
      </c>
      <c r="B58" t="n">
        <v>2.145</v>
      </c>
      <c r="C58" t="inlineStr">
        <is>
          <t>ok</t>
        </is>
      </c>
      <c r="D58" t="inlineStr">
        <is>
          <t>01_chien_dau/Vu_khi_suy_ra (id p26_typhon_sec_ty57)</t>
        </is>
      </c>
      <c r="E58" t="inlineStr"/>
    </row>
    <row r="59">
      <c r="A59" t="inlineStr">
        <is>
          <t>sam_battery</t>
        </is>
      </c>
      <c r="B59" t="n">
        <v>1.833333</v>
      </c>
      <c r="C59" t="inlineStr">
        <is>
          <t>ok</t>
        </is>
      </c>
      <c r="D59" t="inlineStr">
        <is>
          <t>01_chien_dau/Vu_khi_suy_ra (id sam_battery)</t>
        </is>
      </c>
      <c r="E59" t="inlineStr"/>
    </row>
    <row r="60">
      <c r="A60" t="inlineStr">
        <is>
          <t>sam_post</t>
        </is>
      </c>
      <c r="B60" t="n">
        <v>0.55</v>
      </c>
      <c r="C60" t="inlineStr">
        <is>
          <t>NHANH_QUA</t>
        </is>
      </c>
      <c r="D60" t="inlineStr">
        <is>
          <t>01_chien_dau/Vu_khi_suy_ra (id sam_post)</t>
        </is>
      </c>
      <c r="E60" t="inlineStr"/>
    </row>
    <row r="61">
      <c r="A61" t="inlineStr">
        <is>
          <t>train_gun</t>
        </is>
      </c>
      <c r="B61" t="n">
        <v>0.7</v>
      </c>
      <c r="C61" t="inlineStr">
        <is>
          <t>ok</t>
        </is>
      </c>
      <c r="D61" t="inlineStr">
        <is>
          <t>01_chien_dau/Vu_khi_suy_ra (id train_gun)</t>
        </is>
      </c>
      <c r="E61" t="inlineStr"/>
    </row>
  </sheetData>
  <autoFilter ref="A1:E61"/>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