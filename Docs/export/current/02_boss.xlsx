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boss_input_bang_xuyen_qua" sheetId="37" state="visible" r:id="rId37"/>
    <sheet name="input_xe_tham_chieu" sheetId="38" state="visible" r:id="rId38"/>
    <sheet name="Boss_dps" sheetId="39" state="visible" r:id="rId39"/>
    <sheet name="Boss_hieu_qua" sheetId="40" state="visible" r:id="rId40"/>
    <sheet name="Sanhunt_chua_xep" sheetId="41" state="visible" r:id="rId41"/>
    <sheet name="Sanhunt_ho_tro" sheetId="42" state="visible" r:id="rId42"/>
    <sheet name="Boss_ma_ly_do" sheetId="43" state="visible" r:id="rId43"/>
    <sheet name="boss_input_kich_thuoc_that" sheetId="44" state="visible" r:id="rId44"/>
    <sheet name="Boss_tham_chieu" sheetId="45" state="visible" r:id="rId45"/>
    <sheet name="Boss_so_sanh_that" sheetId="46" state="visible" r:id="rId46"/>
    <sheet name="boss_input_nhip_that" sheetId="47" state="visible" r:id="rId47"/>
    <sheet name="boss_input_ty_le_nhip" sheetId="48" state="visible" r:id="rId48"/>
    <sheet name="Hang_so_boss" sheetId="49" state="visible" r:id="rId49"/>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'boss_input_vu_khi_suy_ra'!$A$1:$K$94</definedName>
    <definedName name="_xlnm._FilterDatabase" localSheetId="34" hidden="1">'boss_input_bang_xuyen_giap'!$A$1:$D$8</definedName>
    <definedName name="_xlnm._FilterDatabase" localSheetId="35" hidden="1">'boss_input_bang_danh_noc'!$A$1:$D$8</definedName>
    <definedName name="_xlnm._FilterDatabase" localSheetId="36" hidden="1">'boss_input_bang_xuyen_qua'!$A$1:$D$5</definedName>
    <definedName name="_xlnm._FilterDatabase" localSheetId="37" hidden="1">'input_xe_tham_chieu'!$A$1:$I$6</definedName>
    <definedName name="_xlnm._FilterDatabase" localSheetId="38" hidden="1">'Boss_dps'!$A$1:$L$34</definedName>
    <definedName name="_xlnm._FilterDatabase" localSheetId="39" hidden="1">'Boss_hieu_qua'!$A$1:$T$166</definedName>
    <definedName name="_xlnm._FilterDatabase" localSheetId="40" hidden="1">'Sanhunt_chua_xep'!$A$1:$D$9</definedName>
    <definedName name="_xlnm._FilterDatabase" localSheetId="41" hidden="1">'Sanhunt_ho_tro'!$A$1:$H$13</definedName>
    <definedName name="_xlnm._FilterDatabase" localSheetId="42" hidden="1">'Boss_ma_ly_do'!$A$1:$G$19</definedName>
    <definedName name="_xlnm._FilterDatabase" localSheetId="43" hidden="1">'boss_input_kich_thuoc_that'!$A$1:$I$20</definedName>
    <definedName name="_xlnm._FilterDatabase" localSheetId="44" hidden="1">'Boss_tham_chieu'!$A$1:$AH$34</definedName>
    <definedName name="_xlnm._FilterDatabase" localSheetId="45" hidden="1">'Boss_so_sanh_that'!$A$1:$R$109</definedName>
    <definedName name="_xlnm._FilterDatabase" localSheetId="46" hidden="1">'boss_input_nhip_that'!$A$1:$F$74</definedName>
    <definedName name="_xlnm._FilterDatabase" localSheetId="47" hidden="1">'boss_input_ty_le_nhip'!$A$1:$E$74</definedName>
    <definedName name="_xlnm._FilterDatabase" localSheetId="48" hidden="1">'Hang_so_boss'!$A$1:$K$68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99593</v>
      </c>
      <c r="K2" t="n">
        <v>84654.05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AO2" t="n">
        <v>94850</v>
      </c>
      <c r="AP2" t="n">
        <v>99593</v>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99593</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99593,"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39638</v>
      </c>
      <c r="K3" t="n">
        <v>33692.3</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AO3" t="n">
        <v>37750</v>
      </c>
      <c r="AP3" t="n">
        <v>39638</v>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39638</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39638,"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20213</v>
      </c>
      <c r="K4" t="n">
        <v>17181.05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AO4" t="n">
        <v>19250</v>
      </c>
      <c r="AP4" t="n">
        <v>20213</v>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20213</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20213,"weaponDamage":1.51,"general":"brandt","radioSpawn":"radio.brandt.bastion_mk0","speed":1.1,"variant":{"size":0.6,"keep":["mortar","turret_fl","turret_fr"],"tint":[0.8,0.86,0.72],"mark":"mk0","name":"mk0","tune":{"mortar":{"hp":0.15,"at":[0,-0.83,9.66]},"turret_fl":{"hp":0.1},"turret_fr":{"hp":0.1,"node":"Mount_gun_R"}}}}</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38650</v>
      </c>
      <c r="K5" t="n">
        <v>32852.5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38650</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38650</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38650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_L","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_02","at":[-3.4,1.0,2.6]},{"use":"side_gun_120","id":"side_gun_r","node":"Mount_gun_03","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25830</v>
      </c>
      <c r="K6" t="n">
        <v>21955.5</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doi</t>
        </is>
      </c>
      <c r="AO6" t="n">
        <v>24600</v>
      </c>
      <c r="AP6" t="n">
        <v>25830</v>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25830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25830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35595</v>
      </c>
      <c r="K7" t="n">
        <v>30255.75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doi</t>
        </is>
      </c>
      <c r="AO7" t="n">
        <v>33900</v>
      </c>
      <c r="AP7" t="n">
        <v>35595</v>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35595</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35595,"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56175</v>
      </c>
      <c r="K8" t="n">
        <v>47748.75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doi</t>
        </is>
      </c>
      <c r="AO8" t="n">
        <v>53500</v>
      </c>
      <c r="AP8" t="n">
        <v>56175</v>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56175</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56175,"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39638</v>
      </c>
      <c r="K9" t="n">
        <v>33692.3</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doi</t>
        </is>
      </c>
      <c r="AO9" t="n">
        <v>37750</v>
      </c>
      <c r="AP9" t="n">
        <v>39638</v>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39638</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39638,"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_R","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99593</v>
      </c>
      <c r="K10" t="n">
        <v>84654.05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99593</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99593,"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222345</v>
      </c>
      <c r="K11" t="n">
        <v>188993.25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222345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222345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222345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_02","wreck":"wreck_engine","at":[14.3,9,1],"radius":3.6,"speed":0.85},{"id":"engine_rl","breakDamage":0,"kind":"engine","hp":0.07,"armour":2,"node":"Part_engine_03","wreck":"wreck_engine","at":[-14.3,-8,1],"radius":3.6,"speed":0.85},{"id":"engine_rr","breakDamage":0,"kind":"engine","hp":0.07,"armour":2,"node":"Part_engine_04","wreck":"wreck_engine","at":[14.3,-8,1],"radius":3.6,"speed":0.85},{"id":"hangar_l","breakDamage":0,"radio":"radio.part.bay","kind":"hangar","hp":0.07,"armour":2,"node":"Part_hangar","wreck":"wreck_launcher","at":[-1.3,-3,-2.2],"radius":3.2,"mounts":[2],"skills":["airship_launch_l"]},{"id":"hangar_r","breakDamage":0,"radio":"radio.part.bay","kind":"hangar","hp":0.07,"armour":2,"node":"Part_hangar_R","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_03","at":[-7.5,0,-3.0]},{"use":"pod_105","id":"pod_105_r","breakDamage":0,"node":"Mount_gun_04","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259826</v>
      </c>
      <c r="K12" t="n">
        <v>220852.1</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259826</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259826</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259826,"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_06","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84049</v>
      </c>
      <c r="K13" t="n">
        <v>71441.64999999999</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84049</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84049</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84049,"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_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_aft","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_R","at":[2.2,6.0,-5.8]},{"use":"drone_bay","id":"drone_bay_2","node":"Mount_missile_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75600</v>
      </c>
      <c r="K14" t="n">
        <v>64260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AO14" t="n">
        <v>72000</v>
      </c>
      <c r="AP14" t="n">
        <v>75600</v>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75600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75600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_R","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31448</v>
      </c>
      <c r="K15" t="n">
        <v>26730.8</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AO15" t="n">
        <v>29950</v>
      </c>
      <c r="AP15" t="n">
        <v>31448</v>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31448</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31448,"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27972</v>
      </c>
      <c r="K16" t="n">
        <v>23776.2</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doi</t>
        </is>
      </c>
      <c r="AO16" t="n">
        <v>25900</v>
      </c>
      <c r="AP16" t="n">
        <v>27972</v>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27972</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27972,"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_02","wreck":"wreck_turret","at":[4.1,4.35,3.3],"radius":1.8,"mounts":[2]},{"id":"turret_rl","kind":"turret","hp":0.07,"armour":3,"node":"Mount_gun_03","wreck":"wreck_turret","at":[-4.1,-4.25,3.3],"radius":1.8,"mounts":[3,6]},{"id":"turret_rr","kind":"turret","hp":0.07,"armour":3,"node":"Mount_gun_04","wreck":"wreck_turret","at":[4.1,-4.25,3.3],"radius":1.8,"mounts":[4,7]},{"id":"kornet","kind":"missiles","hp":0.07,"armour":2,"node":"Part_missile","wreck":"wreck_launcher","at":[-1.42,-2.75,6.4],"radius":1.8,"mounts":[5]},{"use":"casemate_155","id":"casemate","node":"Mount_gun_05","at":[0,8.7,3.2]},{"use":"zu23","id":"zu23_l","node":"Mount_mg","at":[-3.42,-1.25,5.4]},{"use":"zu23","id":"zu23_r","node":"Mount_mg_R","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85365</v>
      </c>
      <c r="K17" t="n">
        <v>72560.25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doi</t>
        </is>
      </c>
      <c r="AO17" t="n">
        <v>81300</v>
      </c>
      <c r="AP17" t="n">
        <v>85365</v>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M17" t="n">
        <v>10</v>
      </c>
      <c r="DO17" t="inlineStr">
        <is>
          <t>kalibr_cruise_mark</t>
        </is>
      </c>
      <c r="DP17" t="inlineStr">
        <is>
          <t>hydra_club_s</t>
        </is>
      </c>
      <c r="EQ17" t="inlineStr">
        <is>
          <t>hung</t>
        </is>
      </c>
      <c r="EY17" t="n">
        <v>85365</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85365,"weaponDamage":1.292,"speed":4.5,"modelSize":[34.8,7.2,8],"burrow":{"surface":16,"under":10,"first":12,"surfaceByPhase":[16,14],"underByPhase":[10,12]},"cruise":{"every":16,"damage":240,"weapon":"hydra_club_s","radius":10,"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_03","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304906</v>
      </c>
      <c r="K18" t="n">
        <v>259170.1</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304906</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304906</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304906,"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99593</v>
      </c>
      <c r="K19" t="n">
        <v>84654.05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O19" t="n">
        <v>94850</v>
      </c>
      <c r="AP19" t="n">
        <v>99593</v>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99593</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99593,"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106272</v>
      </c>
      <c r="K20" t="n">
        <v>90331.2</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106272</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106272</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106272,"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_R","hp":0.07,"armour":3,"wreck":"wreck_engine","at":[5.4,8.5,1.8],"radius":2.8,"speed":0.6,"turn":0.5,"radio":"radio.part.wheel"},{"id":"rear_l1","kind":"reartyre","node":"Part_tyre","hp":0.035,"armour":1,"wreck":"wreck_stump","at":[-5.4,-3,1.8],"radius":2.6,"speed":0.9,"turn":0.9},{"id":"rear_r1","kind":"reartyre","node":"Part_tyre_02","hp":0.035,"armour":1,"wreck":"wreck_stump","at":[5.4,-3,1.8],"radius":2.6,"speed":0.9,"turn":0.9},{"id":"rear_l2","kind":"reartyre","node":"Part_tyre_03","hp":0.035,"armour":1,"wreck":"wreck_stump","at":[-5.4,-9,1.8],"radius":2.6,"speed":0.9,"turn":0.9},{"id":"rear_r2","kind":"reartyre","node":"Part_tyre_04","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182123</v>
      </c>
      <c r="K21" t="n">
        <v>154804.55</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182123</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182123</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182123,"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56175</v>
      </c>
      <c r="K22" t="n">
        <v>47748.75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doi</t>
        </is>
      </c>
      <c r="AO22" t="n">
        <v>53500</v>
      </c>
      <c r="AP22" t="n">
        <v>56175</v>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56175</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56175,"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_R","wreck":"wreck_engine","at":[5.3,-10.9,6.5],"radius":3.0,"speed":0.7},{"id":"gun_l","kind":"gun","hp":0.07,"armour":3,"node":"Part_gun","wreck":"wreck_turret","at":[-5.3,6.4,4.3],"radius":1.8,"mounts":[0]},{"id":"gun_r","kind":"gun","hp":0.07,"armour":3,"node":"Part_gun_R","wreck":"wreck_turret","at":[5.3,3.0,4.3],"radius":1.8,"mounts":[1]},{"id":"ciws_l","kind":"ciws","hp":0.07,"armour":2,"node":"Part_mg","wreck":"wreck_turret","at":[-5.3,-3.7,4.8],"radius":1.8,"mounts":[2],"stops":["aps"]},{"id":"ciws_r","kind":"ciws","hp":0.07,"armour":2,"node":"Part_mg_R","wreck":"wreck_turret","at":[5.3,-3.7,4.8],"radius":1.8,"mounts":[3],"stops":["aps"]},{"id":"rockets_l","kind":"rockets","hp":0.07,"armour":2,"node":"Part_rocket","wreck":"wreck_launcher","at":[-5.3,11.2,4.6],"radius":1.8,"mounts":[4]},{"id":"rockets_r","kind":"rockets","hp":0.07,"armour":2,"node":"Part_rocket_R","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65772</v>
      </c>
      <c r="K23" t="n">
        <v>55906.2</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65772</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14</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65772</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65772,"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14,"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_02","wreck":"wreck_turret","at":[0,13.0,8.2],"radius":3.8,"mounts":[1]},{"id":"turret_aft","kind":"maingun","hp":0.05,"armour":4,"node":"Part_gun_03","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_L","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47933</v>
      </c>
      <c r="K24" t="n">
        <v>40743.05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AO24" t="n">
        <v>45650</v>
      </c>
      <c r="AP24" t="n">
        <v>47933</v>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47933</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47933,"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31448</v>
      </c>
      <c r="K25" t="n">
        <v>26730.8</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doi</t>
        </is>
      </c>
      <c r="AO25" t="n">
        <v>29950</v>
      </c>
      <c r="AP25" t="n">
        <v>31448</v>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31448</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31448,"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_R","wreck":"wreck_turret","at":[2.3,1.05,0.95],"radius":1.5,"mounts":[2]},{"id":"minigun_l","kind":"minigun","hp":0.08,"armour":2,"node":"Mount_mg","wreck":"wreck_turret","at":[-1.52,4.6,1.9],"radius":1.5,"mounts":[4]},{"id":"minigun_r","kind":"minigun","hp":0.08,"armour":2,"node":"Mount_mg_02","wreck":"wreck_turret","at":[1.52,4.6,1.9],"radius":1.5,"mounts":[5]},{"id":"pod_l","kind":"rockets","hp":0.08,"armour":2,"node":"Part_pod","wreck":"wreck_launcher","at":[-3.2,-0.1,1.14],"radius":1.6,"mounts":[0]},{"id":"pod_r","kind":"rockets","hp":0.08,"armour":2,"node":"Part_pod_R","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48946</v>
      </c>
      <c r="K26" t="n">
        <v>41604.1</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48946</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48946</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48946,"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_R","wreck":"wreck_launcher","at":[2.15,-6.0,5.0],"radius":1.8,"mounts":[2]},{"id":"flak_l","kind":"flak","hp":0.07,"armour":2,"node":"Mount_mg","wreck":"wreck_turret","at":[-3.2,6.0,4.6],"radius":1.8,"mounts":[3]},{"id":"flak_r","kind":"flak","hp":0.07,"armour":2,"node":"Mount_mg_R","wreck":"wreck_turret","at":[3.2,6.0,4.6],"radius":1.8,"mounts":[4,6]},{"id":"missiles","kind":"missiles","hp":0.07,"armour":2,"wreck":"wreck_launcher","at":[0,9.0,3.3],"radius":1.8,"mounts":[5]},{"id":"emp","kind":"emp","hp":0.07,"armour":1,"node":"Radar","wreck":"wreck_stump","at":[0,-4.2,7.7],"radius":2.0,"skills":["boss_emp"]},{"use":"howitzer_203","id":"howitzer_2","node":"Mount_gun","at":[0,-2.1,7.7]},{"use":"sam_medium","id":"sam","node":"Mount_missile_R","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101369</v>
      </c>
      <c r="K27" t="n">
        <v>86163.64999999999</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101369</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101369</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101369,"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_02","at":[-4.4,-4.6,7.4]},{"use":"turret_120","id":"turret_rr","node":"Mount_gun_03","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170734</v>
      </c>
      <c r="K28" t="n">
        <v>145123.9</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170734</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170734</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170734,"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127656</v>
      </c>
      <c r="K29" t="n">
        <v>108507.6</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127656</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127656</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127656,"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_02","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39638</v>
      </c>
      <c r="K30" t="n">
        <v>33692.3</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0.9198</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AO30" t="n">
        <v>37750</v>
      </c>
      <c r="AP30" t="n">
        <v>39638</v>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0.9198</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440</v>
      </c>
      <c r="DH30" t="n">
        <v>18</v>
      </c>
      <c r="DI30" t="n">
        <v>0</v>
      </c>
      <c r="DK30" t="inlineStr">
        <is>
          <t>Large</t>
        </is>
      </c>
      <c r="DL30" t="n">
        <v>0</v>
      </c>
      <c r="DM30" t="n">
        <v>10</v>
      </c>
      <c r="DO30" t="inlineStr">
        <is>
          <t>kalibr_cruise_mark</t>
        </is>
      </c>
      <c r="EQ30" t="inlineStr">
        <is>
          <t>kessler</t>
        </is>
      </c>
      <c r="EY30" t="n">
        <v>39638</v>
      </c>
      <c r="FI30" t="inlineStr">
        <is>
          <t>own</t>
        </is>
      </c>
      <c r="FU30" t="inlineStr">
        <is>
          <t>nyx</t>
        </is>
      </c>
      <c r="FV30" t="n">
        <v>11</v>
      </c>
      <c r="FW30" t="n">
        <v>53</v>
      </c>
      <c r="FX30" t="n">
        <v>8.9</v>
      </c>
      <c r="GJ30" t="n">
        <v>-1</v>
      </c>
      <c r="GL30" t="inlineStr">
        <is>
          <t>near</t>
        </is>
      </c>
      <c r="GN30" t="n">
        <v>0.9198</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0.9198,"wake":null,"variantOf":"leviathan","model":"nyx","general":"kessler","radioSpawn":"radio.kessler.nyx","hp":39638,"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440,"final":0,"every":18,"impactTier":"Large","radius":10,"warning":"kalibr_cruise_mark"},"fleet":[{"unit":"missile_boat","count":1}],"salvo":null,"variant":{"size":0.55,"keep":["turret_fore","vls","ciws_fore","ciws_aft"],"mark":"nyx","tune":{"turret_fore":{"hp":0.12,"at":[0,24.0,6.96]},"vls":{"hp":0.12,"at":[0,15.64,5.71]},"ciws_fore":{"hp":0.11,"at":[0,9.73,12.56]},"ciws_aft":{"hp":0.11,"at":[0,-17.82,12.56],"node":"Part_mg_aft"}}}}</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39638</v>
      </c>
      <c r="K31" t="n">
        <v>33692.3</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0.798</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AO31" t="n">
        <v>37750</v>
      </c>
      <c r="AP31" t="n">
        <v>39638</v>
      </c>
      <c r="BE31" t="inlineStr">
        <is>
          <t>p26_leviathan_direct_lev127</t>
        </is>
      </c>
      <c r="BF31" t="inlineStr">
        <is>
          <t>p26_leviathan_direct_lev127;scylla_ak230;scylla_ak230;scylla_2m7;scylla_2m7;scylla_kh35;scylla_kh35</t>
        </is>
      </c>
      <c r="BG31" t="n">
        <v>1</v>
      </c>
      <c r="BH31" t="n">
        <v>0.798</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486</v>
      </c>
      <c r="DH31" t="n">
        <v>15</v>
      </c>
      <c r="DI31" t="n">
        <v>0</v>
      </c>
      <c r="DK31" t="inlineStr">
        <is>
          <t>Large</t>
        </is>
      </c>
      <c r="DL31" t="n">
        <v>0</v>
      </c>
      <c r="DM31" t="n">
        <v>10</v>
      </c>
      <c r="DO31" t="inlineStr">
        <is>
          <t>kalibr_cruise_mark</t>
        </is>
      </c>
      <c r="EQ31" t="inlineStr">
        <is>
          <t>kessler</t>
        </is>
      </c>
      <c r="EY31" t="n">
        <v>39638</v>
      </c>
      <c r="FI31" t="inlineStr">
        <is>
          <t>own</t>
        </is>
      </c>
      <c r="FU31" t="inlineStr">
        <is>
          <t>scylla</t>
        </is>
      </c>
      <c r="FV31" t="n">
        <v>14.2</v>
      </c>
      <c r="FW31" t="n">
        <v>49.3</v>
      </c>
      <c r="FX31" t="n">
        <v>9.300000000000001</v>
      </c>
      <c r="GJ31" t="n">
        <v>-1</v>
      </c>
      <c r="GL31" t="inlineStr">
        <is>
          <t>near</t>
        </is>
      </c>
      <c r="GN31" t="n">
        <v>0.798</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0.798,"wake":null,"armour":[4,4,3,2],"variantOf":"leviathan","model":"scylla","modelSize":[49.3,9.3,14.2],"hp":39638,"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486,"final":0,"every":15,"impactTier":"Large","radius":10,"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304906</v>
      </c>
      <c r="K32" t="n">
        <v>259170.1</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304906</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304906</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304906,"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_09","at":[-6.16,-7.0,0.62]},{"use":"gun_40","id":"crash_turret_r","node":"Mount_gun_10","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99593</v>
      </c>
      <c r="K33" t="n">
        <v>84654.05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99593</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99593,"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182123</v>
      </c>
      <c r="K34" t="n">
        <v>154804.55</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182123</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14</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182123</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182123,"weaponDamage":1,"speed":3.0,"turnRate":8,"turretTurnRate":40,"radius":11,"length":58,"width":12,"vision":110,"weapon":"sam_post","mainSlot":"missile","naval":{"lanes":["far","mid","near"],"escapePhase":-1},"burrow":{"surface":22,"under":14,"first":18,"surfaceByPhase":[22,18],"underByPhase":[14,18],"stopPhase":2},"cruise":{"every":2.5,"first":16,"phase":0,"warn":4,"damage":1460,"radius":14,"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_03","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Mount_mg_L</t>
        </is>
      </c>
      <c r="T9" t="n">
        <v>1.8</v>
      </c>
      <c r="Z9" t="inlineStr">
        <is>
          <t>wreck_turret</t>
        </is>
      </c>
      <c r="AA9" t="inlineStr">
        <is>
          <t>Assets/MachineBrigade/Resources/Data/balance.json: vehicles[138].parts[3]</t>
        </is>
      </c>
      <c r="AB9" t="inlineStr">
        <is>
          <t>{"id":"flak_l","kind":"flak","hp":0.07,"armour":2,"node":"Mount_mg_L","wreck":"wreck_turret","at":[-0.9,-1.15,4.8],"radius":1.8,"mounts":[3]}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Mount_gun_02</t>
        </is>
      </c>
      <c r="AA16" t="inlineStr">
        <is>
          <t>Assets/MachineBrigade/Resources/Data/balance.json: vehicles[138].parts[7]</t>
        </is>
      </c>
      <c r="AB16" t="inlineStr">
        <is>
          <t>{"use":"side_gun_120","id":"side_gun_l","node":"Mount_gun_02","at":[-3.4,1.0,2.6]}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Mount_gun_03</t>
        </is>
      </c>
      <c r="AA17" t="inlineStr">
        <is>
          <t>Assets/MachineBrigade/Resources/Data/balance.json: vehicles[138].parts[8]</t>
        </is>
      </c>
      <c r="AB17" t="inlineStr">
        <is>
          <t>{"use":"side_gun_120","id":"side_gun_r","node":"Mount_gun_03","at":[3.4,1.0,2.6]}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Mount_gun_R</t>
        </is>
      </c>
      <c r="T24" t="n">
        <v>1.8</v>
      </c>
      <c r="Z24" t="inlineStr">
        <is>
          <t>wreck_turret</t>
        </is>
      </c>
      <c r="AA24" t="inlineStr">
        <is>
          <t>Assets/MachineBrigade/Resources/Data/balance.json: vehicles[147].parts[2]</t>
        </is>
      </c>
      <c r="AB24" t="inlineStr">
        <is>
          <t>{"id":"coil_r","kind":"coilgun","hp":0.1,"armour":3,"node":"Mount_gun_R","wreck":"wreck_turret","at":[0.9,3.3,2.9],"radius":1.8,"mounts":[2]}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Part_engine_02</t>
        </is>
      </c>
      <c r="T30" t="n">
        <v>3.6</v>
      </c>
      <c r="V30" t="n">
        <v>0.85</v>
      </c>
      <c r="Z30" t="inlineStr">
        <is>
          <t>wreck_engine</t>
        </is>
      </c>
      <c r="AA30" t="inlineStr">
        <is>
          <t>Assets/MachineBrigade/Resources/Data/balance.json: vehicles[151].parts[1]</t>
        </is>
      </c>
      <c r="AB30" t="inlineStr">
        <is>
          <t>{"id":"engine_fr","breakDamage":0,"kind":"engine","hp":0.07,"armour":2,"node":"Part_engine_02","wreck":"wreck_engine","at":[14.3,9,1],"radius":3.6,"speed":0.85}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Part_engine_03</t>
        </is>
      </c>
      <c r="T31" t="n">
        <v>3.6</v>
      </c>
      <c r="V31" t="n">
        <v>0.85</v>
      </c>
      <c r="Z31" t="inlineStr">
        <is>
          <t>wreck_engine</t>
        </is>
      </c>
      <c r="AA31" t="inlineStr">
        <is>
          <t>Assets/MachineBrigade/Resources/Data/balance.json: vehicles[151].parts[2]</t>
        </is>
      </c>
      <c r="AB31" t="inlineStr">
        <is>
          <t>{"id":"engine_rl","breakDamage":0,"kind":"engine","hp":0.07,"armour":2,"node":"Part_engine_03","wreck":"wreck_engine","at":[-14.3,-8,1],"radius":3.6,"speed":0.85}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Part_engine_04</t>
        </is>
      </c>
      <c r="T32" t="n">
        <v>3.6</v>
      </c>
      <c r="V32" t="n">
        <v>0.85</v>
      </c>
      <c r="Z32" t="inlineStr">
        <is>
          <t>wreck_engine</t>
        </is>
      </c>
      <c r="AA32" t="inlineStr">
        <is>
          <t>Assets/MachineBrigade/Resources/Data/balance.json: vehicles[151].parts[3]</t>
        </is>
      </c>
      <c r="AB32" t="inlineStr">
        <is>
          <t>{"id":"engine_rr","breakDamage":0,"kind":"engine","hp":0.07,"armour":2,"node":"Part_engine_04","wreck":"wreck_engine","at":[14.3,-8,1],"radius":3.6,"speed":0.85}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Part_hangar_R</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{"id":"hangar_r","breakDamage":0,"radio":"radio.part.bay","kind":"hangar","hp":0.07,"armour":2,"node":"Part_hangar_R","wreck":"wreck_launcher","at":[1.3,-3,-2.2],"radius":3.2,"mounts":[3],"skills":["airship_launch_r"]}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Mount_gun_03</t>
        </is>
      </c>
      <c r="AA35" t="inlineStr">
        <is>
          <t>Assets/MachineBrigade/Resources/Data/balance.json: vehicles[151].parts[8]</t>
        </is>
      </c>
      <c r="AB35" t="inlineStr">
        <is>
          <t>{"use":"pod_105","id":"pod_105_l","breakDamage":0,"node":"Mount_gun_03","at":[-7.5,0,-3.0]}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Mount_gun_04</t>
        </is>
      </c>
      <c r="AA36" t="inlineStr">
        <is>
          <t>Assets/MachineBrigade/Resources/Data/balance.json: vehicles[151].parts[9]</t>
        </is>
      </c>
      <c r="AB36" t="inlineStr">
        <is>
          <t>{"use":"pod_105","id":"pod_105_r","breakDamage":0,"node":"Mount_gun_04","at":[7.5,0,-3.0]}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Mount_gun_06</t>
        </is>
      </c>
      <c r="AA40" t="inlineStr">
        <is>
          <t>Assets/MachineBrigade/Resources/Data/balance.json: vehicles[160].parts[1]</t>
        </is>
      </c>
      <c r="AB40" t="inlineStr">
        <is>
          <t>{"use":"gun_30","id":"gun_r","hp":0.08,"node":"Mount_gun_06","at":[2.4,6.0,-2.7]}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Mount_gun_R</t>
        </is>
      </c>
      <c r="AA47" t="inlineStr">
        <is>
          <t>Assets/MachineBrigade/Resources/Data/balance.json: vehicles[142].parts[9]</t>
        </is>
      </c>
      <c r="AB47" t="inlineStr">
        <is>
          <t>{"use":"gun_30","id":"belly_gun_r","node":"Mount_gun_R","at":[2.2,6.0,-5.8]}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Mount_main_01</t>
        </is>
      </c>
      <c r="T50" t="n">
        <v>2</v>
      </c>
      <c r="Z50" t="inlineStr">
        <is>
          <t>wreck_turret</t>
        </is>
      </c>
      <c r="AA50" t="inlineStr">
        <is>
          <t>Assets/MachineBrigade/Resources/Data/balance.json: vehicles[142].parts[1]</t>
        </is>
      </c>
      <c r="AB50" t="inlineStr">
        <is>
          <t>{"id":"cannon_gondola","kind":"gun","hp":0.06,"armour":2,"node":"Mount_main_01","wreck":"wreck_turret","at":[0,2.2,-5.4],"radius":2.0,"mounts":[4]}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Mount_missile_01</t>
        </is>
      </c>
      <c r="AA52" t="inlineStr">
        <is>
          <t>Assets/MachineBrigade/Resources/Data/balance.json: vehicles[142].parts[10]</t>
        </is>
      </c>
      <c r="AB52" t="inlineStr">
        <is>
          <t>{"use":"drone_bay","id":"drone_bay_2","node":"Mount_missile_01","at":[0,-6.0,-4.4]}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Mount_mg_aft</t>
        </is>
      </c>
      <c r="T53" t="n">
        <v>1.8</v>
      </c>
      <c r="Z53" t="inlineStr">
        <is>
          <t>wreck_turret</t>
        </is>
      </c>
      <c r="AA53" t="inlineStr">
        <is>
          <t>Assets/MachineBrigade/Resources/Data/balance.json: vehicles[142].parts[5]</t>
        </is>
      </c>
      <c r="AB53" t="inlineStr">
        <is>
          <t>{"id":"flak_rear","kind":"flak","hp":0.06,"armour":2,"node":"Mount_mg_aft","wreck":"wreck_turret","at":[0,-3.4,3.9],"radius":1.8,"mounts":[3]}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Part_gun_R</t>
        </is>
      </c>
      <c r="T60" t="n">
        <v>1.8</v>
      </c>
      <c r="Z60" t="inlineStr">
        <is>
          <t>wreck_turret</t>
        </is>
      </c>
      <c r="AA60" t="inlineStr">
        <is>
          <t>Assets/MachineBrigade/Resources/Data/balance.json: vehicles[150].parts[2]</t>
        </is>
      </c>
      <c r="AB60" t="inlineStr">
        <is>
          <t>{"id":"gun_r","kind":"gun","hp":0.1,"armour":3,"node":"Part_gun_R","wreck":"wreck_turret","at":[1.3,-3.2,5.6],"radius":1.8,"mounts":[2]}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Mount_gun_05</t>
        </is>
      </c>
      <c r="AA61" t="inlineStr">
        <is>
          <t>Assets/MachineBrigade/Resources/Data/balance.json: vehicles[148].parts[6]</t>
        </is>
      </c>
      <c r="AB61" t="inlineStr">
        <is>
          <t>{"use":"casemate_155","id":"casemate","node":"Mount_gun_05","at":[0,8.7,3.2]}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Mount_gun_02</t>
        </is>
      </c>
      <c r="T65" t="n">
        <v>1.8</v>
      </c>
      <c r="Z65" t="inlineStr">
        <is>
          <t>wreck_turret</t>
        </is>
      </c>
      <c r="AA65" t="inlineStr">
        <is>
          <t>Assets/MachineBrigade/Resources/Data/balance.json: vehicles[148].parts[2]</t>
        </is>
      </c>
      <c r="AB65" t="inlineStr">
        <is>
          <t>{"id":"turret_fr","kind":"turret","hp":0.07,"armour":3,"node":"Mount_gun_02","wreck":"wreck_turret","at":[4.1,4.35,3.3],"radius":1.8,"mounts":[2]}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Mount_gun_03</t>
        </is>
      </c>
      <c r="T66" t="n">
        <v>1.8</v>
      </c>
      <c r="Z66" t="inlineStr">
        <is>
          <t>wreck_turret</t>
        </is>
      </c>
      <c r="AA66" t="inlineStr">
        <is>
          <t>Assets/MachineBrigade/Resources/Data/balance.json: vehicles[148].parts[3]</t>
        </is>
      </c>
      <c r="AB66" t="inlineStr">
        <is>
          <t>{"id":"turret_rl","kind":"turret","hp":0.07,"armour":3,"node":"Mount_gun_03","wreck":"wreck_turret","at":[-4.1,-4.25,3.3],"radius":1.8,"mounts":[3,6]}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Mount_gun_04</t>
        </is>
      </c>
      <c r="T67" t="n">
        <v>1.8</v>
      </c>
      <c r="Z67" t="inlineStr">
        <is>
          <t>wreck_turret</t>
        </is>
      </c>
      <c r="AA67" t="inlineStr">
        <is>
          <t>Assets/MachineBrigade/Resources/Data/balance.json: vehicles[148].parts[4]</t>
        </is>
      </c>
      <c r="AB67" t="inlineStr">
        <is>
          <t>{"id":"turret_rr","kind":"turret","hp":0.07,"armour":3,"node":"Mount_gun_04","wreck":"wreck_turret","at":[4.1,-4.25,3.3],"radius":1.8,"mounts":[4,7]}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Mount_mg_R</t>
        </is>
      </c>
      <c r="AA69" t="inlineStr">
        <is>
          <t>Assets/MachineBrigade/Resources/Data/balance.json: vehicles[148].parts[8]</t>
        </is>
      </c>
      <c r="AB69" t="inlineStr">
        <is>
          <t>{"use":"zu23","id":"zu23_r","node":"Mount_mg_R","at":[3.42,-1.25,5.4]}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Part_tyre_03</t>
        </is>
      </c>
      <c r="T73" t="n">
        <v>2.6</v>
      </c>
      <c r="V73" t="n">
        <v>0.9</v>
      </c>
      <c r="Y73" t="n">
        <v>0.9</v>
      </c>
      <c r="Z73" t="inlineStr">
        <is>
          <t>wreck_stump</t>
        </is>
      </c>
      <c r="AA73" t="inlineStr">
        <is>
          <t>Assets/MachineBrigade/Resources/Data/balance.json: vehicles[162].parts[4]</t>
        </is>
      </c>
      <c r="AB73" t="inlineStr">
        <is>
          <t>{"id":"rear_l2","kind":"reartyre","node":"Part_tyre_03","hp":0.035,"armour":1,"wreck":"wreck_stump","at":[-5.4,-9,1.8],"radius":2.6,"speed":0.9,"turn":0.9}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Part_tyre_02</t>
        </is>
      </c>
      <c r="T74" t="n">
        <v>2.6</v>
      </c>
      <c r="V74" t="n">
        <v>0.9</v>
      </c>
      <c r="Y74" t="n">
        <v>0.9</v>
      </c>
      <c r="Z74" t="inlineStr">
        <is>
          <t>wreck_stump</t>
        </is>
      </c>
      <c r="AA74" t="inlineStr">
        <is>
          <t>Assets/MachineBrigade/Resources/Data/balance.json: vehicles[162].parts[3]</t>
        </is>
      </c>
      <c r="AB74" t="inlineStr">
        <is>
          <t>{"id":"rear_r1","kind":"reartyre","node":"Part_tyre_02","hp":0.035,"armour":1,"wreck":"wreck_stump","at":[5.4,-3,1.8],"radius":2.6,"speed":0.9,"turn":0.9}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Part_tyre_04</t>
        </is>
      </c>
      <c r="T75" t="n">
        <v>2.6</v>
      </c>
      <c r="V75" t="n">
        <v>0.9</v>
      </c>
      <c r="Y75" t="n">
        <v>0.9</v>
      </c>
      <c r="Z75" t="inlineStr">
        <is>
          <t>wreck_stump</t>
        </is>
      </c>
      <c r="AA75" t="inlineStr">
        <is>
          <t>Assets/MachineBrigade/Resources/Data/balance.json: vehicles[162].parts[5]</t>
        </is>
      </c>
      <c r="AB75" t="inlineStr">
        <is>
          <t>{"id":"rear_r2","kind":"reartyre","node":"Part_tyre_04","hp":0.035,"armour":1,"wreck":"wreck_stump","at":[5.4,-9,1.8],"radius":2.6,"speed":0.9,"turn":0.9}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Part_wheel_R</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{"id":"wheel_r","kind":"wheel","node":"Part_wheel_R","hp":0.07,"armour":3,"wreck":"wreck_engine","at":[5.4,8.5,1.8],"radius":2.8,"speed":0.6,"turn":0.5,"radio":"radio.part.wheel"}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Part_mg_R</t>
        </is>
      </c>
      <c r="T79" t="n">
        <v>1.8</v>
      </c>
      <c r="X79" t="inlineStr">
        <is>
          <t>aps</t>
        </is>
      </c>
      <c r="Z79" t="inlineStr">
        <is>
          <t>wreck_turret</t>
        </is>
      </c>
      <c r="AA79" t="inlineStr">
        <is>
          <t>Assets/MachineBrigade/Resources/Data/balance.json: vehicles[152].parts[6]</t>
        </is>
      </c>
      <c r="AB79" t="inlineStr">
        <is>
          <t>{"id":"ciws_r","kind":"ciws","hp":0.07,"armour":2,"node":"Part_mg_R","wreck":"wreck_turret","at":[5.3,-3.7,4.8],"radius":1.8,"mounts":[3],"stops":["aps"]}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Part_fan_R</t>
        </is>
      </c>
      <c r="T81" t="n">
        <v>3</v>
      </c>
      <c r="V81" t="n">
        <v>0.7</v>
      </c>
      <c r="Z81" t="inlineStr">
        <is>
          <t>wreck_engine</t>
        </is>
      </c>
      <c r="AA81" t="inlineStr">
        <is>
          <t>Assets/MachineBrigade/Resources/Data/balance.json: vehicles[152].parts[2]</t>
        </is>
      </c>
      <c r="AB81" t="inlineStr">
        <is>
          <t>{"id":"fan_r","kind":"fan","hp":0.07,"armour":1,"node":"Part_fan_R","wreck":"wreck_engine","at":[5.3,-10.9,6.5],"radius":3.0,"speed":0.7}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Part_gun_R</t>
        </is>
      </c>
      <c r="T83" t="n">
        <v>1.8</v>
      </c>
      <c r="Z83" t="inlineStr">
        <is>
          <t>wreck_turret</t>
        </is>
      </c>
      <c r="AA83" t="inlineStr">
        <is>
          <t>Assets/MachineBrigade/Resources/Data/balance.json: vehicles[152].parts[4]</t>
        </is>
      </c>
      <c r="AB83" t="inlineStr">
        <is>
          <t>{"id":"gun_r","kind":"gun","hp":0.07,"armour":3,"node":"Part_gun_R","wreck":"wreck_turret","at":[5.3,3.0,4.3],"radius":1.8,"mounts":[1]}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Part_rocket_R</t>
        </is>
      </c>
      <c r="T86" t="n">
        <v>1.8</v>
      </c>
      <c r="Z86" t="inlineStr">
        <is>
          <t>wreck_launcher</t>
        </is>
      </c>
      <c r="AA86" t="inlineStr">
        <is>
          <t>Assets/MachineBrigade/Resources/Data/balance.json: vehicles[152].parts[8]</t>
        </is>
      </c>
      <c r="AB86" t="inlineStr">
        <is>
          <t>{"id":"rockets_r","kind":"rockets","hp":0.07,"armour":2,"node":"Part_rocket_R","wreck":"wreck_launcher","at":[5.3,11.2,4.6],"radius":1.8,"mounts":[5]}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Part_mg_L</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{"id":"ciws_aft","kind":"ciws","hp":0.05,"armour":2,"node":"Part_mg_L","wreck":"wreck_turret","at":[-2.6,-14.8,7.0],"radius":1.8,"mounts":[6],"stops":["aps"],"radio":"radio.part.ciws"}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Part_gun_03</t>
        </is>
      </c>
      <c r="T96" t="n">
        <v>3.8</v>
      </c>
      <c r="Z96" t="inlineStr">
        <is>
          <t>wreck_turret</t>
        </is>
      </c>
      <c r="AA96" t="inlineStr">
        <is>
          <t>Assets/MachineBrigade/Resources/Data/balance.json: vehicles[153].parts[2]</t>
        </is>
      </c>
      <c r="AB96" t="inlineStr">
        <is>
          <t>{"id":"turret_aft","kind":"maingun","hp":0.05,"armour":4,"node":"Part_gun_03","wreck":"wreck_turret","at":[0,-25.6,5.8],"radius":3.8,"mounts":[2]}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Part_gun_02</t>
        </is>
      </c>
      <c r="T98" t="n">
        <v>3.8</v>
      </c>
      <c r="Z98" t="inlineStr">
        <is>
          <t>wreck_turret</t>
        </is>
      </c>
      <c r="AA98" t="inlineStr">
        <is>
          <t>Assets/MachineBrigade/Resources/Data/balance.json: vehicles[153].parts[1]</t>
        </is>
      </c>
      <c r="AB98" t="inlineStr">
        <is>
          <t>{"id":"turret_super","kind":"maingun","hp":0.05,"armour":4,"node":"Part_gun_02","wreck":"wreck_turret","at":[0,13.0,8.2],"radius":3.8,"mounts":[1]}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Mount_gun_R</t>
        </is>
      </c>
      <c r="T102" t="n">
        <v>1.5</v>
      </c>
      <c r="Z102" t="inlineStr">
        <is>
          <t>wreck_turret</t>
        </is>
      </c>
      <c r="AA102" t="inlineStr">
        <is>
          <t>Assets/MachineBrigade/Resources/Data/balance.json: vehicles[141].parts[1]</t>
        </is>
      </c>
      <c r="AB102" t="inlineStr">
        <is>
          <t>{"id":"gun_r","kind":"gun","hp":0.08,"armour":2,"node":"Mount_gun_R","wreck":"wreck_turret","at":[2.3,1.05,0.95],"radius":1.5,"mounts":[2]}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Mount_mg_02</t>
        </is>
      </c>
      <c r="T104" t="n">
        <v>1.5</v>
      </c>
      <c r="Z104" t="inlineStr">
        <is>
          <t>wreck_turret</t>
        </is>
      </c>
      <c r="AA104" t="inlineStr">
        <is>
          <t>Assets/MachineBrigade/Resources/Data/balance.json: vehicles[141].parts[3]</t>
        </is>
      </c>
      <c r="AB104" t="inlineStr">
        <is>
          <t>{"id":"minigun_r","kind":"minigun","hp":0.08,"armour":2,"node":"Mount_mg_02","wreck":"wreck_turret","at":[1.52,4.6,1.9],"radius":1.5,"mounts":[5]}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Part_pod_R</t>
        </is>
      </c>
      <c r="T107" t="n">
        <v>1.6</v>
      </c>
      <c r="Z107" t="inlineStr">
        <is>
          <t>wreck_launcher</t>
        </is>
      </c>
      <c r="AA107" t="inlineStr">
        <is>
          <t>Assets/MachineBrigade/Resources/Data/balance.json: vehicles[141].parts[5]</t>
        </is>
      </c>
      <c r="AB107" t="inlineStr">
        <is>
          <t>{"id":"pod_r","kind":"rockets","hp":0.08,"armour":2,"node":"Part_pod_R","wreck":"wreck_launcher","at":[3.2,-0.1,1.14],"radius":1.6,"mounts":[6]}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Mount_mg_R</t>
        </is>
      </c>
      <c r="T111" t="n">
        <v>1.8</v>
      </c>
      <c r="Z111" t="inlineStr">
        <is>
          <t>wreck_turret</t>
        </is>
      </c>
      <c r="AA111" t="inlineStr">
        <is>
          <t>Assets/MachineBrigade/Resources/Data/balance.json: vehicles[139].parts[4]</t>
        </is>
      </c>
      <c r="AB111" t="inlineStr">
        <is>
          <t>{"id":"flak_r","kind":"flak","hp":0.07,"armour":2,"node":"Mount_mg_R","wreck":"wreck_turret","at":[3.2,6.0,4.6],"radius":1.8,"mounts":[4,6]}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Mount_rocket_R</t>
        </is>
      </c>
      <c r="T116" t="n">
        <v>1.8</v>
      </c>
      <c r="Z116" t="inlineStr">
        <is>
          <t>wreck_launcher</t>
        </is>
      </c>
      <c r="AA116" t="inlineStr">
        <is>
          <t>Assets/MachineBrigade/Resources/Data/balance.json: vehicles[139].parts[2]</t>
        </is>
      </c>
      <c r="AB116" t="inlineStr">
        <is>
          <t>{"id":"rockets_r","kind":"rockets","hp":0.07,"armour":2,"node":"Mount_rocket_R","wreck":"wreck_launcher","at":[2.15,-6.0,5.0],"radius":1.8,"mounts":[2]}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Mount_missile_R</t>
        </is>
      </c>
      <c r="AA117" t="inlineStr">
        <is>
          <t>Assets/MachineBrigade/Resources/Data/balance.json: vehicles[139].parts[8]</t>
        </is>
      </c>
      <c r="AB117" t="inlineStr">
        <is>
          <t>{"use":"sam_medium","id":"sam","node":"Mount_missile_R","at":[1.25,5.5,6.3]}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Mount_gun_02</t>
        </is>
      </c>
      <c r="AA125" t="inlineStr">
        <is>
          <t>Assets/MachineBrigade/Resources/Data/balance.json: vehicles[159].parts[2]</t>
        </is>
      </c>
      <c r="AB125" t="inlineStr">
        <is>
          <t>{"use":"turret_120","id":"turret_rl","node":"Mount_gun_02","at":[-4.4,-4.6,7.4]}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Mount_gun_03</t>
        </is>
      </c>
      <c r="AA126" t="inlineStr">
        <is>
          <t>Assets/MachineBrigade/Resources/Data/balance.json: vehicles[159].parts[3]</t>
        </is>
      </c>
      <c r="AB126" t="inlineStr">
        <is>
          <t>{"use":"turret_120","id":"turret_rr","node":"Mount_gun_03","at":[4.4,-4.6,7.4]}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Mount_mg_02</t>
        </is>
      </c>
      <c r="T130" t="n">
        <v>2</v>
      </c>
      <c r="Z130" t="inlineStr">
        <is>
          <t>wreck_turret</t>
        </is>
      </c>
      <c r="AA130" t="inlineStr">
        <is>
          <t>Assets/MachineBrigade/Resources/Data/balance.json: vehicles[143].parts[3]</t>
        </is>
      </c>
      <c r="AB130" t="inlineStr">
        <is>
          <t>{"id":"flak_rear","kind":"flak","hp":0.07,"armour":2,"node":"Mount_mg_02","wreck":"wreck_turret","at":[0.45,19.35,3.5],"radius":2.0,"mounts":[2]}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Mount_gun_09</t>
        </is>
      </c>
      <c r="AA136" t="inlineStr">
        <is>
          <t>Assets/MachineBrigade/Resources/Data/balance.json: vehicles[144].parts[10]</t>
        </is>
      </c>
      <c r="AB136" t="inlineStr">
        <is>
          <t>{"use":"gun_40","id":"crash_turret_l","node":"Mount_gun_09","at":[-6.16,-7.0,0.62]}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Mount_gun_10</t>
        </is>
      </c>
      <c r="AA137" t="inlineStr">
        <is>
          <t>Assets/MachineBrigade/Resources/Data/balance.json: vehicles[144].parts[11]</t>
        </is>
      </c>
      <c r="AB137" t="inlineStr">
        <is>
          <t>{"use":"gun_40","id":"crash_turret_r","node":"Mount_gun_10","at":[6.16,-7.0,0.62]}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Mount_gun_03</t>
        </is>
      </c>
      <c r="AA148" t="inlineStr">
        <is>
          <t>Assets/MachineBrigade/Resources/Data/balance.json: vehicles[161].parts[6]</t>
        </is>
      </c>
      <c r="AB148" t="inlineStr">
        <is>
          <t>{"use":"deck_gun_100","id":"deck_gun","node":"Mount_gun_03","at":[0,22.4,4.2],"arc":[0,150],"mounts":[3]}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3"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K7" t="inlineStr">
        <is>
          <t>Mount_gun_R</t>
        </is>
      </c>
      <c r="O7" t="inlineStr">
        <is>
          <t>Assets/MachineBrigade/Resources/Data/balance.json: vehicles.163.variant.tune.turret_fr</t>
        </is>
      </c>
      <c r="P7" t="inlineStr">
        <is>
          <t>{"hp":0.1,"node":"Mount_gun_R"}</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Mount_gun_03</t>
        </is>
      </c>
      <c r="O23" t="inlineStr">
        <is>
          <t>Assets/MachineBrigade/Resources/Data/balance.json: vehicles.177.variant.tune.deck_gun</t>
        </is>
      </c>
      <c r="P23" t="inlineStr">
        <is>
          <t>{"hp":0.12,"node":"Mount_gun_03","at":[0,16.61,6.23]}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K55" t="inlineStr">
        <is>
          <t>Part_mg_aft</t>
        </is>
      </c>
      <c r="O55" t="inlineStr">
        <is>
          <t>Assets/MachineBrigade/Resources/Data/balance.json: vehicles.176.variant.tune.ciws_aft</t>
        </is>
      </c>
      <c r="P55" t="inlineStr">
        <is>
          <t>{"hp":0.11,"at":[0,-17.82,12.56],"node":"Part_mg_aft"}</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8</v>
      </c>
      <c r="L91" t="n">
        <v>16</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8</v>
      </c>
      <c r="L92" t="n">
        <v>16</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143.6171441860465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217.28742</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217.28742</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236.3841990430622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236.3841990430622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11</v>
      </c>
      <c r="L188" t="n">
        <v>16</v>
      </c>
      <c r="M188" t="n">
        <v>2.944444444444445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21.60167333333333</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443.8283854409706</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221.8706</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211.2494472361809</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211.2494472361809</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155.6986666666667</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155.6986666666667</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8</v>
      </c>
      <c r="L195" t="n">
        <v>16</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35.49518061674009</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8</v>
      </c>
      <c r="L196" t="n">
        <v>16</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35.49518061674009</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7"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60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Muzzle_gun_02</t>
        </is>
      </c>
      <c r="K3" t="inlineStr">
        <is>
          <t>muzzle</t>
        </is>
      </c>
      <c r="L3" t="inlineStr">
        <is>
          <t>command_airship</t>
        </is>
      </c>
      <c r="M3" t="n">
        <v>0.7684</v>
      </c>
      <c r="N3" t="n">
        <v>0.7684</v>
      </c>
      <c r="O3" t="n">
        <v>32.56</v>
      </c>
      <c r="P3" t="inlineStr"/>
      <c r="Q3" t="inlineStr"/>
      <c r="R3" t="n">
        <v>37.6</v>
      </c>
      <c r="S3" t="n">
        <v>5.34</v>
      </c>
      <c r="T3" t="inlineStr">
        <is>
          <t>Mount_gun_02</t>
        </is>
      </c>
      <c r="U3" t="n">
        <v>7.84</v>
      </c>
      <c r="V3" t="n">
        <v>2.5</v>
      </c>
      <c r="W3" t="n">
        <v>13.83165</v>
      </c>
      <c r="X3" t="n">
        <v>30</v>
      </c>
      <c r="Y3" t="inlineStr"/>
      <c r="Z3" t="inlineStr"/>
      <c r="AA3" t="inlineStr"/>
      <c r="AB3" t="n">
        <v>360</v>
      </c>
      <c r="AC3" t="inlineStr">
        <is>
          <t>khong_ap</t>
        </is>
      </c>
      <c r="AD3" t="b">
        <v>0</v>
      </c>
      <c r="AE3" t="n">
        <v>0</v>
      </c>
      <c r="AF3" t="n">
        <v>0</v>
      </c>
      <c r="AG3" t="n">
        <v>0</v>
      </c>
      <c r="AH3" t="n">
        <v>45</v>
      </c>
      <c r="AI3" t="n">
        <v>60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Muzzle_mg_02</t>
        </is>
      </c>
      <c r="K7" t="inlineStr">
        <is>
          <t>muzzle</t>
        </is>
      </c>
      <c r="L7" t="inlineStr">
        <is>
          <t>armored_train</t>
        </is>
      </c>
      <c r="M7" t="n">
        <v>0.9775</v>
      </c>
      <c r="N7" t="n">
        <v>0.85</v>
      </c>
      <c r="O7" t="n">
        <v>3.67</v>
      </c>
      <c r="P7" t="n">
        <v>2.72</v>
      </c>
      <c r="Q7" t="n">
        <v>0.95</v>
      </c>
      <c r="R7" t="n">
        <v>4.91</v>
      </c>
      <c r="S7" t="n">
        <v>15.61</v>
      </c>
      <c r="T7" t="inlineStr">
        <is>
          <t>Mount_mg_02</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Muzzle_main_fore</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Muzzle_mg_03</t>
        </is>
      </c>
      <c r="K9" t="inlineStr">
        <is>
          <t>muzzle</t>
        </is>
      </c>
      <c r="L9" t="inlineStr">
        <is>
          <t>armored_train</t>
        </is>
      </c>
      <c r="M9" t="n">
        <v>0.9775</v>
      </c>
      <c r="N9" t="n">
        <v>0.85</v>
      </c>
      <c r="O9" t="n">
        <v>1.81</v>
      </c>
      <c r="P9" t="inlineStr"/>
      <c r="Q9" t="inlineStr"/>
      <c r="R9" t="n">
        <v>4.91</v>
      </c>
      <c r="S9" t="n">
        <v>5.89</v>
      </c>
      <c r="T9" t="inlineStr">
        <is>
          <t>Mount_mg_03</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40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Muzzle_gun_R</t>
        </is>
      </c>
      <c r="K12" t="inlineStr">
        <is>
          <t>muzzle</t>
        </is>
      </c>
      <c r="L12" t="inlineStr">
        <is>
          <t>bastion_mk0</t>
        </is>
      </c>
      <c r="M12" t="n">
        <v>1.0872</v>
      </c>
      <c r="N12" t="n">
        <v>0.906</v>
      </c>
      <c r="O12" t="n">
        <v>3.39</v>
      </c>
      <c r="P12" t="n">
        <v>2.99</v>
      </c>
      <c r="Q12" t="n">
        <v>0.4</v>
      </c>
      <c r="R12" t="n">
        <v>9.869999999999999</v>
      </c>
      <c r="S12" t="n">
        <v>10.35</v>
      </c>
      <c r="T12" t="inlineStr">
        <is>
          <t>Mount_gun_R</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Muzzle_mg_L</t>
        </is>
      </c>
      <c r="K16" t="inlineStr">
        <is>
          <t>muzzle</t>
        </is>
      </c>
      <c r="L16" t="inlineStr">
        <is>
          <t>behemoth</t>
        </is>
      </c>
      <c r="M16" t="n">
        <v>1.8854</v>
      </c>
      <c r="N16" t="n">
        <v>1.5712</v>
      </c>
      <c r="O16" t="n">
        <v>9.460000000000001</v>
      </c>
      <c r="P16" t="n">
        <v>7.54</v>
      </c>
      <c r="Q16" t="n">
        <v>1.92</v>
      </c>
      <c r="R16" t="n">
        <v>11.04</v>
      </c>
      <c r="S16" t="n">
        <v>1.9</v>
      </c>
      <c r="T16" t="inlineStr">
        <is>
          <t>Mount_mg_L</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30</v>
      </c>
      <c r="AF17" t="n">
        <v>0</v>
      </c>
      <c r="AG17" t="n">
        <v>30</v>
      </c>
      <c r="AH17" t="n">
        <v>45</v>
      </c>
      <c r="AI17" t="n">
        <v>70</v>
      </c>
      <c r="AJ17" t="n">
        <v>21.01</v>
      </c>
      <c r="AK17" t="n">
        <v>1</v>
      </c>
      <c r="AL17" t="n">
        <v>1.3</v>
      </c>
      <c r="AM17" t="inlineStr">
        <is>
          <t>max(vu_trang, khoa)</t>
        </is>
      </c>
      <c r="AN17" t="n">
        <v>1</v>
      </c>
      <c r="AO17" t="n">
        <v>1</v>
      </c>
      <c r="AP17" t="n">
        <v>1</v>
      </c>
      <c r="AQ17" t="n">
        <v>1</v>
      </c>
      <c r="AR17" t="n">
        <v>30</v>
      </c>
      <c r="AS17" t="b">
        <v>1</v>
      </c>
      <c r="AT17" t="inlineStr">
        <is>
          <t>groundMinReach</t>
        </is>
      </c>
      <c r="AU17" t="b">
        <v>0</v>
      </c>
      <c r="AV17" t="inlineStr">
        <is>
          <t>behemoth</t>
        </is>
      </c>
      <c r="AW17" t="n">
        <v>30</v>
      </c>
      <c r="AX17" t="n">
        <v>45</v>
      </c>
      <c r="AY17" t="n">
        <v>1.5</v>
      </c>
      <c r="AZ17" t="n">
        <v>25</v>
      </c>
      <c r="BA17" t="inlineStr">
        <is>
          <t>p26_behemoth_close_boss_flak</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Muzzle_missile_02</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30</v>
      </c>
      <c r="AF18" t="n">
        <v>0</v>
      </c>
      <c r="AG18" t="n">
        <v>30</v>
      </c>
      <c r="AH18" t="n">
        <v>45</v>
      </c>
      <c r="AI18" t="n">
        <v>70</v>
      </c>
      <c r="AJ18" t="n">
        <v>21.01</v>
      </c>
      <c r="AK18" t="n">
        <v>1</v>
      </c>
      <c r="AL18" t="n">
        <v>1.3</v>
      </c>
      <c r="AM18" t="inlineStr">
        <is>
          <t>max(vu_trang, khoa)</t>
        </is>
      </c>
      <c r="AN18" t="n">
        <v>1</v>
      </c>
      <c r="AO18" t="n">
        <v>1</v>
      </c>
      <c r="AP18" t="n">
        <v>1</v>
      </c>
      <c r="AQ18" t="n">
        <v>1</v>
      </c>
      <c r="AR18" t="n">
        <v>30</v>
      </c>
      <c r="AS18" t="b">
        <v>1</v>
      </c>
      <c r="AT18" t="inlineStr">
        <is>
          <t>groundMinReach</t>
        </is>
      </c>
      <c r="AU18" t="b">
        <v>0</v>
      </c>
      <c r="AV18" t="inlineStr">
        <is>
          <t>behemoth</t>
        </is>
      </c>
      <c r="AW18" t="n">
        <v>30</v>
      </c>
      <c r="AX18" t="n">
        <v>45</v>
      </c>
      <c r="AY18" t="n">
        <v>1.5</v>
      </c>
      <c r="AZ18" t="n">
        <v>25</v>
      </c>
      <c r="BA18" t="inlineStr">
        <is>
          <t>p26_behemoth_close_boss_flak</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Muzzle_missile_03</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Muzzle_gun_02</t>
        </is>
      </c>
      <c r="K20" t="inlineStr">
        <is>
          <t>muzzle</t>
        </is>
      </c>
      <c r="L20" t="inlineStr">
        <is>
          <t>behemoth</t>
        </is>
      </c>
      <c r="M20" t="n">
        <v>1.8854</v>
      </c>
      <c r="N20" t="n">
        <v>1.5712</v>
      </c>
      <c r="O20" t="n">
        <v>5.73</v>
      </c>
      <c r="P20" t="n">
        <v>4.09</v>
      </c>
      <c r="Q20" t="n">
        <v>1.65</v>
      </c>
      <c r="R20" t="n">
        <v>11.04</v>
      </c>
      <c r="S20" t="n">
        <v>13</v>
      </c>
      <c r="T20" t="inlineStr">
        <is>
          <t>Mount_gun_02</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Muzzle_gun_03</t>
        </is>
      </c>
      <c r="K21" t="inlineStr">
        <is>
          <t>muzzle</t>
        </is>
      </c>
      <c r="L21" t="inlineStr">
        <is>
          <t>behemoth</t>
        </is>
      </c>
      <c r="M21" t="n">
        <v>1.8854</v>
      </c>
      <c r="N21" t="n">
        <v>1.5712</v>
      </c>
      <c r="O21" t="n">
        <v>5.73</v>
      </c>
      <c r="P21" t="n">
        <v>4.09</v>
      </c>
      <c r="Q21" t="n">
        <v>1.65</v>
      </c>
      <c r="R21" t="n">
        <v>11.04</v>
      </c>
      <c r="S21" t="n">
        <v>13</v>
      </c>
      <c r="T21" t="inlineStr">
        <is>
          <t>Mount_gun_03</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65</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Muzzle_gun_02</t>
        </is>
      </c>
      <c r="K28" t="inlineStr">
        <is>
          <t>muzzle</t>
        </is>
      </c>
      <c r="L28" t="inlineStr">
        <is>
          <t>behemoth</t>
        </is>
      </c>
      <c r="M28" t="n">
        <v>1.2327</v>
      </c>
      <c r="N28" t="n">
        <v>1.0273</v>
      </c>
      <c r="O28" t="n">
        <v>3.75</v>
      </c>
      <c r="P28" t="n">
        <v>2.67</v>
      </c>
      <c r="Q28" t="n">
        <v>1.08</v>
      </c>
      <c r="R28" t="n">
        <v>7.22</v>
      </c>
      <c r="S28" t="n">
        <v>8.5</v>
      </c>
      <c r="T28" t="inlineStr">
        <is>
          <t>Mount_gun_02</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65</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Muzzle_mg_L</t>
        </is>
      </c>
      <c r="K32" t="inlineStr">
        <is>
          <t>muzzle</t>
        </is>
      </c>
      <c r="L32" t="inlineStr">
        <is>
          <t>behemoth</t>
        </is>
      </c>
      <c r="M32" t="n">
        <v>1.3053</v>
      </c>
      <c r="N32" t="n">
        <v>1.0877</v>
      </c>
      <c r="O32" t="n">
        <v>6.55</v>
      </c>
      <c r="P32" t="n">
        <v>5.22</v>
      </c>
      <c r="Q32" t="n">
        <v>1.33</v>
      </c>
      <c r="R32" t="n">
        <v>7.64</v>
      </c>
      <c r="S32" t="n">
        <v>1.31</v>
      </c>
      <c r="T32" t="inlineStr">
        <is>
          <t>Mount_mg_L</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Muzzle_gun_R</t>
        </is>
      </c>
      <c r="K35" t="inlineStr">
        <is>
          <t>muzzle</t>
        </is>
      </c>
      <c r="L35" t="inlineStr">
        <is>
          <t>behemoth_tempest</t>
        </is>
      </c>
      <c r="M35" t="n">
        <v>1.0733</v>
      </c>
      <c r="N35" t="n">
        <v>0.8944</v>
      </c>
      <c r="O35" t="n">
        <v>3.16</v>
      </c>
      <c r="P35" t="n">
        <v>2.59</v>
      </c>
      <c r="Q35" t="n">
        <v>0.5600000000000001</v>
      </c>
      <c r="R35" t="n">
        <v>6.28</v>
      </c>
      <c r="S35" t="n">
        <v>7.18</v>
      </c>
      <c r="T35" t="inlineStr">
        <is>
          <t>Mount_gun_R</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85</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95</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Muzzle_gun_R</t>
        </is>
      </c>
      <c r="K38" t="inlineStr">
        <is>
          <t>muzzle</t>
        </is>
      </c>
      <c r="L38" t="inlineStr">
        <is>
          <t>coeus</t>
        </is>
      </c>
      <c r="M38" t="n">
        <v>1.0002</v>
      </c>
      <c r="N38" t="n">
        <v>0.6</v>
      </c>
      <c r="O38" t="n">
        <v>24</v>
      </c>
      <c r="P38" t="inlineStr"/>
      <c r="Q38" t="inlineStr"/>
      <c r="R38" t="n">
        <v>37.87</v>
      </c>
      <c r="S38" t="n">
        <v>8.74</v>
      </c>
      <c r="T38" t="inlineStr">
        <is>
          <t>Mount_gun_R</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95</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75</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30</v>
      </c>
      <c r="AX39" t="n">
        <v>80</v>
      </c>
      <c r="AY39" t="n">
        <v>2.67</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Muzzle_rocket_R</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75</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30</v>
      </c>
      <c r="AX40" t="n">
        <v>80</v>
      </c>
      <c r="AY40" t="n">
        <v>2.67</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60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Muzzle_gun_02</t>
        </is>
      </c>
      <c r="K42" t="inlineStr">
        <is>
          <t>muzzle</t>
        </is>
      </c>
      <c r="L42" t="inlineStr">
        <is>
          <t>command_airship</t>
        </is>
      </c>
      <c r="M42" t="n">
        <v>1.7564</v>
      </c>
      <c r="N42" t="n">
        <v>1.7564</v>
      </c>
      <c r="O42" t="n">
        <v>35.85</v>
      </c>
      <c r="P42" t="inlineStr"/>
      <c r="Q42" t="inlineStr"/>
      <c r="R42" t="n">
        <v>47.37</v>
      </c>
      <c r="S42" t="n">
        <v>12.21</v>
      </c>
      <c r="T42" t="inlineStr">
        <is>
          <t>Mount_gun_02</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60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30</v>
      </c>
      <c r="AF43" t="n">
        <v>0</v>
      </c>
      <c r="AG43" t="n">
        <v>30</v>
      </c>
      <c r="AH43" t="n">
        <v>55</v>
      </c>
      <c r="AI43" t="n">
        <v>70</v>
      </c>
      <c r="AJ43" t="n">
        <v>23.23</v>
      </c>
      <c r="AK43" t="n">
        <v>1</v>
      </c>
      <c r="AL43" t="n">
        <v>1.3</v>
      </c>
      <c r="AM43" t="inlineStr">
        <is>
          <t>max(vu_trang, khoa)</t>
        </is>
      </c>
      <c r="AN43" t="n">
        <v>1</v>
      </c>
      <c r="AO43" t="n">
        <v>1</v>
      </c>
      <c r="AP43" t="n">
        <v>1</v>
      </c>
      <c r="AQ43" t="n">
        <v>1</v>
      </c>
      <c r="AR43" t="n">
        <v>30</v>
      </c>
      <c r="AS43" t="b">
        <v>1</v>
      </c>
      <c r="AT43" t="inlineStr">
        <is>
          <t>groundMinReach</t>
        </is>
      </c>
      <c r="AU43" t="b">
        <v>0</v>
      </c>
      <c r="AV43" t="inlineStr">
        <is>
          <t>command_airship</t>
        </is>
      </c>
      <c r="AW43" t="n">
        <v>30</v>
      </c>
      <c r="AX43" t="n">
        <v>55</v>
      </c>
      <c r="AY43" t="n">
        <v>1.83</v>
      </c>
      <c r="AZ43" t="n">
        <v>22</v>
      </c>
      <c r="BA43" t="inlineStr">
        <is>
          <t>p26_roc_close_twin_30_bmpt;p26_roc_main_roc_bombs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30</v>
      </c>
      <c r="AF44" t="n">
        <v>0</v>
      </c>
      <c r="AG44" t="n">
        <v>30</v>
      </c>
      <c r="AH44" t="n">
        <v>55</v>
      </c>
      <c r="AI44" t="n">
        <v>70</v>
      </c>
      <c r="AJ44" t="n">
        <v>23.23</v>
      </c>
      <c r="AK44" t="n">
        <v>1</v>
      </c>
      <c r="AL44" t="n">
        <v>1.3</v>
      </c>
      <c r="AM44" t="inlineStr">
        <is>
          <t>max(vu_trang, khoa)</t>
        </is>
      </c>
      <c r="AN44" t="n">
        <v>1</v>
      </c>
      <c r="AO44" t="n">
        <v>1</v>
      </c>
      <c r="AP44" t="n">
        <v>1</v>
      </c>
      <c r="AQ44" t="n">
        <v>1</v>
      </c>
      <c r="AR44" t="n">
        <v>30</v>
      </c>
      <c r="AS44" t="b">
        <v>1</v>
      </c>
      <c r="AT44" t="inlineStr">
        <is>
          <t>groundMinReach</t>
        </is>
      </c>
      <c r="AU44" t="b">
        <v>0</v>
      </c>
      <c r="AV44" t="inlineStr">
        <is>
          <t>command_airship</t>
        </is>
      </c>
      <c r="AW44" t="n">
        <v>30</v>
      </c>
      <c r="AX44" t="n">
        <v>55</v>
      </c>
      <c r="AY44" t="n">
        <v>1.83</v>
      </c>
      <c r="AZ44" t="n">
        <v>22</v>
      </c>
      <c r="BA44" t="inlineStr">
        <is>
          <t>p26_roc_close_twin_30_bmpt;p26_roc_main_roc_bombs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Muzzle_gun_03</t>
        </is>
      </c>
      <c r="K45" t="inlineStr">
        <is>
          <t>muzzle</t>
        </is>
      </c>
      <c r="L45" t="inlineStr">
        <is>
          <t>command_airship</t>
        </is>
      </c>
      <c r="M45" t="n">
        <v>1.7564</v>
      </c>
      <c r="N45" t="n">
        <v>1.7564</v>
      </c>
      <c r="O45" t="n">
        <v>23.24</v>
      </c>
      <c r="P45" t="n">
        <v>24.73</v>
      </c>
      <c r="Q45" t="n">
        <v>-1.49</v>
      </c>
      <c r="R45" t="n">
        <v>47.37</v>
      </c>
      <c r="S45" t="n">
        <v>15.74</v>
      </c>
      <c r="T45" t="inlineStr">
        <is>
          <t>Mount_gun_03</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Muzzle_gun_04</t>
        </is>
      </c>
      <c r="K46" t="inlineStr">
        <is>
          <t>muzzle</t>
        </is>
      </c>
      <c r="L46" t="inlineStr">
        <is>
          <t>command_airship</t>
        </is>
      </c>
      <c r="M46" t="n">
        <v>1.7564</v>
      </c>
      <c r="N46" t="n">
        <v>1.7564</v>
      </c>
      <c r="O46" t="n">
        <v>23.24</v>
      </c>
      <c r="P46" t="n">
        <v>24.73</v>
      </c>
      <c r="Q46" t="n">
        <v>-1.49</v>
      </c>
      <c r="R46" t="n">
        <v>47.37</v>
      </c>
      <c r="S46" t="n">
        <v>15.74</v>
      </c>
      <c r="T46" t="inlineStr">
        <is>
          <t>Mount_gun_04</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Muzzle_gun_02</t>
        </is>
      </c>
      <c r="K48" t="inlineStr">
        <is>
          <t>muzzle</t>
        </is>
      </c>
      <c r="L48" t="inlineStr">
        <is>
          <t>command_airship</t>
        </is>
      </c>
      <c r="M48" t="n">
        <v>1.7564</v>
      </c>
      <c r="N48" t="n">
        <v>1.7564</v>
      </c>
      <c r="O48" t="n">
        <v>35.85</v>
      </c>
      <c r="P48" t="n">
        <v>24.73</v>
      </c>
      <c r="Q48" t="n">
        <v>11.12</v>
      </c>
      <c r="R48" t="n">
        <v>47.37</v>
      </c>
      <c r="S48" t="n">
        <v>12.21</v>
      </c>
      <c r="T48" t="inlineStr">
        <is>
          <t>Mount_gun_02</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Muzzle_gun_02</t>
        </is>
      </c>
      <c r="K50" t="inlineStr">
        <is>
          <t>muzzle</t>
        </is>
      </c>
      <c r="L50" t="inlineStr">
        <is>
          <t>daedalus</t>
        </is>
      </c>
      <c r="M50" t="n">
        <v>1.6183</v>
      </c>
      <c r="N50" t="n">
        <v>1.6183</v>
      </c>
      <c r="O50" t="n">
        <v>15.63</v>
      </c>
      <c r="P50" t="inlineStr"/>
      <c r="Q50" t="inlineStr"/>
      <c r="R50" t="n">
        <v>38.66</v>
      </c>
      <c r="S50" t="n">
        <v>8.59</v>
      </c>
      <c r="T50" t="inlineStr">
        <is>
          <t>Mount_gun_02</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Muzzle_gun_03</t>
        </is>
      </c>
      <c r="K51" t="inlineStr">
        <is>
          <t>muzzle</t>
        </is>
      </c>
      <c r="L51" t="inlineStr">
        <is>
          <t>daedalus</t>
        </is>
      </c>
      <c r="M51" t="n">
        <v>1.6183</v>
      </c>
      <c r="N51" t="n">
        <v>1.6183</v>
      </c>
      <c r="O51" t="n">
        <v>15.63</v>
      </c>
      <c r="P51" t="inlineStr"/>
      <c r="Q51" t="inlineStr"/>
      <c r="R51" t="n">
        <v>38.66</v>
      </c>
      <c r="S51" t="n">
        <v>8.59</v>
      </c>
      <c r="T51" t="inlineStr">
        <is>
          <t>Mount_gun_03</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Muzzle_gun_04</t>
        </is>
      </c>
      <c r="K52" t="inlineStr">
        <is>
          <t>muzzle</t>
        </is>
      </c>
      <c r="L52" t="inlineStr">
        <is>
          <t>daedalus</t>
        </is>
      </c>
      <c r="M52" t="n">
        <v>1.6183</v>
      </c>
      <c r="N52" t="n">
        <v>1.6183</v>
      </c>
      <c r="O52" t="n">
        <v>15.65</v>
      </c>
      <c r="P52" t="inlineStr"/>
      <c r="Q52" t="inlineStr"/>
      <c r="R52" t="n">
        <v>38.66</v>
      </c>
      <c r="S52" t="n">
        <v>17.54</v>
      </c>
      <c r="T52" t="inlineStr">
        <is>
          <t>Mount_gun_04</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Muzzle_gun_05</t>
        </is>
      </c>
      <c r="K53" t="inlineStr">
        <is>
          <t>muzzle</t>
        </is>
      </c>
      <c r="L53" t="inlineStr">
        <is>
          <t>daedalus</t>
        </is>
      </c>
      <c r="M53" t="n">
        <v>1.6183</v>
      </c>
      <c r="N53" t="n">
        <v>1.6183</v>
      </c>
      <c r="O53" t="n">
        <v>15.65</v>
      </c>
      <c r="P53" t="inlineStr"/>
      <c r="Q53" t="inlineStr"/>
      <c r="R53" t="n">
        <v>38.66</v>
      </c>
      <c r="S53" t="n">
        <v>17.54</v>
      </c>
      <c r="T53" t="inlineStr">
        <is>
          <t>Mount_gun_05</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Muzzle_gun_06</t>
        </is>
      </c>
      <c r="K54" t="inlineStr">
        <is>
          <t>muzzle</t>
        </is>
      </c>
      <c r="L54" t="inlineStr">
        <is>
          <t>daedalus</t>
        </is>
      </c>
      <c r="M54" t="n">
        <v>1.6183</v>
      </c>
      <c r="N54" t="n">
        <v>1.6183</v>
      </c>
      <c r="O54" t="n">
        <v>16.1</v>
      </c>
      <c r="P54" t="n">
        <v>17.63</v>
      </c>
      <c r="Q54" t="n">
        <v>-1.53</v>
      </c>
      <c r="R54" t="n">
        <v>38.66</v>
      </c>
      <c r="S54" t="n">
        <v>14.15</v>
      </c>
      <c r="T54" t="inlineStr">
        <is>
          <t>Mount_gun_06</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15</v>
      </c>
      <c r="AF56" t="n">
        <v>0</v>
      </c>
      <c r="AG56" t="n">
        <v>15</v>
      </c>
      <c r="AH56" t="n">
        <v>70</v>
      </c>
      <c r="AI56" t="n">
        <v>28</v>
      </c>
      <c r="AJ56" t="n">
        <v>26.2</v>
      </c>
      <c r="AK56" t="n">
        <v>1</v>
      </c>
      <c r="AL56" t="n">
        <v>1.3</v>
      </c>
      <c r="AM56" t="inlineStr">
        <is>
          <t>max(vu_trang, khoa)</t>
        </is>
      </c>
      <c r="AN56" t="n">
        <v>1</v>
      </c>
      <c r="AO56" t="n">
        <v>1</v>
      </c>
      <c r="AP56" t="n">
        <v>1</v>
      </c>
      <c r="AQ56" t="n">
        <v>1</v>
      </c>
      <c r="AR56" t="n">
        <v>15</v>
      </c>
      <c r="AS56" t="b">
        <v>1</v>
      </c>
      <c r="AT56" t="inlineStr">
        <is>
          <t>groundMinReach</t>
        </is>
      </c>
      <c r="AU56" t="b">
        <v>0</v>
      </c>
      <c r="AV56" t="inlineStr">
        <is>
          <t>drone_mothership</t>
        </is>
      </c>
      <c r="AW56" t="n">
        <v>15</v>
      </c>
      <c r="AX56" t="n">
        <v>70</v>
      </c>
      <c r="AY56" t="n">
        <v>4.67</v>
      </c>
      <c r="AZ56" t="n">
        <v>13</v>
      </c>
      <c r="BA56" t="inlineStr">
        <is>
          <t>p26_matriarch_close_boss_flak;p26_matriarch_sec_autocannon_30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Muzzle_mg_aft</t>
        </is>
      </c>
      <c r="K58" t="inlineStr">
        <is>
          <t>muzzle</t>
        </is>
      </c>
      <c r="L58" t="inlineStr">
        <is>
          <t>drone_mothership</t>
        </is>
      </c>
      <c r="M58" t="n">
        <v>1.9438</v>
      </c>
      <c r="N58" t="n">
        <v>1.6903</v>
      </c>
      <c r="O58" t="n">
        <v>34.44</v>
      </c>
      <c r="P58" t="n">
        <v>32.59</v>
      </c>
      <c r="Q58" t="n">
        <v>1.84</v>
      </c>
      <c r="R58" t="n">
        <v>35.88</v>
      </c>
      <c r="S58" t="n">
        <v>1.65</v>
      </c>
      <c r="T58" t="inlineStr">
        <is>
          <t>Mount_mg_aft</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Muzzle_main_aft</t>
        </is>
      </c>
      <c r="K59" t="inlineStr">
        <is>
          <t>muzzle</t>
        </is>
      </c>
      <c r="L59" t="inlineStr">
        <is>
          <t>drone_mothership</t>
        </is>
      </c>
      <c r="M59" t="n">
        <v>1.9438</v>
      </c>
      <c r="N59" t="n">
        <v>1.6903</v>
      </c>
      <c r="O59" t="n">
        <v>14.96</v>
      </c>
      <c r="P59" t="n">
        <v>16.87</v>
      </c>
      <c r="Q59" t="n">
        <v>-1.91</v>
      </c>
      <c r="R59" t="n">
        <v>35.88</v>
      </c>
      <c r="S59" t="n">
        <v>8.59</v>
      </c>
      <c r="T59" t="inlineStr">
        <is>
          <t>Mount_main_01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Muzzle_missile_aft</t>
        </is>
      </c>
      <c r="K60" t="inlineStr">
        <is>
          <t>muzzle</t>
        </is>
      </c>
      <c r="L60" t="inlineStr">
        <is>
          <t>drone_mothership</t>
        </is>
      </c>
      <c r="M60" t="n">
        <v>1.9438</v>
      </c>
      <c r="N60" t="n">
        <v>1.6903</v>
      </c>
      <c r="O60" t="n">
        <v>16.86</v>
      </c>
      <c r="P60" t="n">
        <v>20.08</v>
      </c>
      <c r="Q60" t="n">
        <v>-3.22</v>
      </c>
      <c r="R60" t="n">
        <v>35.88</v>
      </c>
      <c r="S60" t="n">
        <v>11.66</v>
      </c>
      <c r="T60" t="inlineStr">
        <is>
          <t>Mount_missile_01</t>
        </is>
      </c>
      <c r="U60" t="n">
        <v>11.66</v>
      </c>
      <c r="V60" t="n">
        <v>0</v>
      </c>
      <c r="W60" t="n">
        <v>15.2127</v>
      </c>
      <c r="X60" t="n">
        <v>26</v>
      </c>
      <c r="Y60" t="inlineStr"/>
      <c r="Z60" t="inlineStr"/>
      <c r="AA60" t="inlineStr"/>
      <c r="AB60" t="n">
        <v>360</v>
      </c>
      <c r="AC60" t="inlineStr">
        <is>
          <t>missileArmingM</t>
        </is>
      </c>
      <c r="AD60" t="b">
        <v>1</v>
      </c>
      <c r="AE60" t="n">
        <v>30</v>
      </c>
      <c r="AF60" t="n">
        <v>0</v>
      </c>
      <c r="AG60" t="n">
        <v>30</v>
      </c>
      <c r="AH60" t="n">
        <v>55</v>
      </c>
      <c r="AI60" t="n">
        <v>70</v>
      </c>
      <c r="AJ60" t="n">
        <v>23.23</v>
      </c>
      <c r="AK60" t="n">
        <v>1</v>
      </c>
      <c r="AL60" t="n">
        <v>1.3</v>
      </c>
      <c r="AM60" t="inlineStr">
        <is>
          <t>max(vu_trang, khoa)</t>
        </is>
      </c>
      <c r="AN60" t="n">
        <v>1</v>
      </c>
      <c r="AO60" t="n">
        <v>1</v>
      </c>
      <c r="AP60" t="n">
        <v>1</v>
      </c>
      <c r="AQ60" t="n">
        <v>1</v>
      </c>
      <c r="AR60" t="n">
        <v>30</v>
      </c>
      <c r="AS60" t="b">
        <v>1</v>
      </c>
      <c r="AT60" t="inlineStr">
        <is>
          <t>groundMinReach</t>
        </is>
      </c>
      <c r="AU60" t="b">
        <v>0</v>
      </c>
      <c r="AV60" t="inlineStr">
        <is>
          <t>drone_mothership</t>
        </is>
      </c>
      <c r="AW60" t="n">
        <v>30</v>
      </c>
      <c r="AX60" t="n">
        <v>55</v>
      </c>
      <c r="AY60" t="n">
        <v>1.83</v>
      </c>
      <c r="AZ60" t="n">
        <v>13</v>
      </c>
      <c r="BA60" t="inlineStr">
        <is>
          <t>p26_matriarch_close_boss_flak;p26_matriarch_sec_autocannon_30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Muzzle_gun_R</t>
        </is>
      </c>
      <c r="K62" t="inlineStr">
        <is>
          <t>muzzle</t>
        </is>
      </c>
      <c r="L62" t="inlineStr">
        <is>
          <t>drone_mothership</t>
        </is>
      </c>
      <c r="M62" t="n">
        <v>1.9438</v>
      </c>
      <c r="N62" t="n">
        <v>1.6903</v>
      </c>
      <c r="O62" t="n">
        <v>15.02</v>
      </c>
      <c r="P62" t="n">
        <v>16.2</v>
      </c>
      <c r="Q62" t="n">
        <v>-1.18</v>
      </c>
      <c r="R62" t="n">
        <v>35.88</v>
      </c>
      <c r="S62" t="n">
        <v>17.44</v>
      </c>
      <c r="T62" t="inlineStr">
        <is>
          <t>Mount_gun_R</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30</v>
      </c>
      <c r="AF63" t="n">
        <v>0</v>
      </c>
      <c r="AG63" t="n">
        <v>30</v>
      </c>
      <c r="AH63" t="n">
        <v>55</v>
      </c>
      <c r="AI63" t="n">
        <v>70</v>
      </c>
      <c r="AJ63" t="n">
        <v>23.23</v>
      </c>
      <c r="AK63" t="n">
        <v>1</v>
      </c>
      <c r="AL63" t="n">
        <v>1.3</v>
      </c>
      <c r="AM63" t="inlineStr">
        <is>
          <t>max(vu_trang, khoa)</t>
        </is>
      </c>
      <c r="AN63" t="n">
        <v>1</v>
      </c>
      <c r="AO63" t="n">
        <v>1</v>
      </c>
      <c r="AP63" t="n">
        <v>1</v>
      </c>
      <c r="AQ63" t="n">
        <v>1</v>
      </c>
      <c r="AR63" t="n">
        <v>30</v>
      </c>
      <c r="AS63" t="b">
        <v>1</v>
      </c>
      <c r="AT63" t="inlineStr">
        <is>
          <t>groundMinReach</t>
        </is>
      </c>
      <c r="AU63" t="b">
        <v>0</v>
      </c>
      <c r="AV63" t="inlineStr">
        <is>
          <t>drone_mothership</t>
        </is>
      </c>
      <c r="AW63" t="n">
        <v>30</v>
      </c>
      <c r="AX63" t="n">
        <v>55</v>
      </c>
      <c r="AY63" t="n">
        <v>1.83</v>
      </c>
      <c r="AZ63" t="n">
        <v>13</v>
      </c>
      <c r="BA63" t="inlineStr">
        <is>
          <t>p26_matriarch_close_boss_flak;p26_matriarch_sec_autocannon_30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Muzzle_gun_R</t>
        </is>
      </c>
      <c r="K66" t="inlineStr">
        <is>
          <t>muzzle</t>
        </is>
      </c>
      <c r="L66" t="inlineStr">
        <is>
          <t>earth_borer</t>
        </is>
      </c>
      <c r="M66" t="n">
        <v>0.85</v>
      </c>
      <c r="N66" t="n">
        <v>0.85</v>
      </c>
      <c r="O66" t="n">
        <v>5.04</v>
      </c>
      <c r="P66" t="n">
        <v>4.76</v>
      </c>
      <c r="Q66" t="n">
        <v>0.28</v>
      </c>
      <c r="R66" t="n">
        <v>6.25</v>
      </c>
      <c r="S66" t="n">
        <v>1.34</v>
      </c>
      <c r="T66" t="inlineStr">
        <is>
          <t>Mount_gun_R</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65</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65</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40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Muzzle_gun_02</t>
        </is>
      </c>
      <c r="K72" t="inlineStr">
        <is>
          <t>muzzle</t>
        </is>
      </c>
      <c r="L72" t="inlineStr">
        <is>
          <t>fortress_bastion</t>
        </is>
      </c>
      <c r="M72" t="n">
        <v>1.812</v>
      </c>
      <c r="N72" t="n">
        <v>1.51</v>
      </c>
      <c r="O72" t="n">
        <v>5.93</v>
      </c>
      <c r="P72" t="n">
        <v>4.98</v>
      </c>
      <c r="Q72" t="n">
        <v>0.9399999999999999</v>
      </c>
      <c r="R72" t="n">
        <v>18.68</v>
      </c>
      <c r="S72" t="n">
        <v>17.61</v>
      </c>
      <c r="T72" t="inlineStr">
        <is>
          <t>Mount_gun_02</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Muzzle_gun_03</t>
        </is>
      </c>
      <c r="K73" t="inlineStr">
        <is>
          <t>muzzle</t>
        </is>
      </c>
      <c r="L73" t="inlineStr">
        <is>
          <t>fortress_bastion</t>
        </is>
      </c>
      <c r="M73" t="n">
        <v>1.812</v>
      </c>
      <c r="N73" t="n">
        <v>1.51</v>
      </c>
      <c r="O73" t="n">
        <v>5.74</v>
      </c>
      <c r="P73" t="n">
        <v>4.98</v>
      </c>
      <c r="Q73" t="n">
        <v>0.76</v>
      </c>
      <c r="R73" t="n">
        <v>18.68</v>
      </c>
      <c r="S73" t="n">
        <v>7.45</v>
      </c>
      <c r="T73" t="inlineStr">
        <is>
          <t>Mount_gun_03</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Muzzle_gun_04</t>
        </is>
      </c>
      <c r="K74" t="inlineStr">
        <is>
          <t>muzzle</t>
        </is>
      </c>
      <c r="L74" t="inlineStr">
        <is>
          <t>fortress_bastion</t>
        </is>
      </c>
      <c r="M74" t="n">
        <v>1.812</v>
      </c>
      <c r="N74" t="n">
        <v>1.51</v>
      </c>
      <c r="O74" t="n">
        <v>5.74</v>
      </c>
      <c r="P74" t="n">
        <v>4.98</v>
      </c>
      <c r="Q74" t="n">
        <v>0.76</v>
      </c>
      <c r="R74" t="n">
        <v>18.68</v>
      </c>
      <c r="S74" t="n">
        <v>7.45</v>
      </c>
      <c r="T74" t="inlineStr">
        <is>
          <t>Mount_gun_04</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30</v>
      </c>
      <c r="AF75" t="n">
        <v>0</v>
      </c>
      <c r="AG75" t="n">
        <v>30</v>
      </c>
      <c r="AH75" t="n">
        <v>50</v>
      </c>
      <c r="AI75" t="n">
        <v>70</v>
      </c>
      <c r="AJ75" t="n">
        <v>22.15</v>
      </c>
      <c r="AK75" t="n">
        <v>1</v>
      </c>
      <c r="AL75" t="n">
        <v>1.3</v>
      </c>
      <c r="AM75" t="inlineStr">
        <is>
          <t>max(vu_trang, khoa)</t>
        </is>
      </c>
      <c r="AN75" t="n">
        <v>1</v>
      </c>
      <c r="AO75" t="n">
        <v>1</v>
      </c>
      <c r="AP75" t="n">
        <v>1</v>
      </c>
      <c r="AQ75" t="n">
        <v>1</v>
      </c>
      <c r="AR75" t="n">
        <v>30</v>
      </c>
      <c r="AS75" t="b">
        <v>1</v>
      </c>
      <c r="AT75" t="inlineStr">
        <is>
          <t>groundMinReach</t>
        </is>
      </c>
      <c r="AU75" t="b">
        <v>0</v>
      </c>
      <c r="AV75" t="inlineStr">
        <is>
          <t>fortress_bastion</t>
        </is>
      </c>
      <c r="AW75" t="n">
        <v>30</v>
      </c>
      <c r="AX75" t="n">
        <v>50</v>
      </c>
      <c r="AY75" t="n">
        <v>1.67</v>
      </c>
      <c r="AZ75" t="n">
        <v>14</v>
      </c>
      <c r="BA75" t="inlineStr">
        <is>
          <t>p26_bastion_close_boss_hmg;p26_bastion_tiny_autocannon_40;p26_bastion_tiny_zu23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Muzzle_mg_R</t>
        </is>
      </c>
      <c r="K77" t="inlineStr">
        <is>
          <t>muzzle</t>
        </is>
      </c>
      <c r="L77" t="inlineStr">
        <is>
          <t>fortress_bastion</t>
        </is>
      </c>
      <c r="M77" t="n">
        <v>1.812</v>
      </c>
      <c r="N77" t="n">
        <v>1.51</v>
      </c>
      <c r="O77" t="n">
        <v>10.33</v>
      </c>
      <c r="P77" t="n">
        <v>4.98</v>
      </c>
      <c r="Q77" t="n">
        <v>5.35</v>
      </c>
      <c r="R77" t="n">
        <v>18.68</v>
      </c>
      <c r="S77" t="n">
        <v>6.68</v>
      </c>
      <c r="T77" t="inlineStr">
        <is>
          <t>Mount_mg_R</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Muzzle_gun_05</t>
        </is>
      </c>
      <c r="K78" t="inlineStr">
        <is>
          <t>muzzle</t>
        </is>
      </c>
      <c r="L78" t="inlineStr">
        <is>
          <t>fortress_bastion</t>
        </is>
      </c>
      <c r="M78" t="n">
        <v>1.812</v>
      </c>
      <c r="N78" t="n">
        <v>1.51</v>
      </c>
      <c r="O78" t="n">
        <v>5.8</v>
      </c>
      <c r="P78" t="n">
        <v>4.83</v>
      </c>
      <c r="Q78" t="n">
        <v>0.97</v>
      </c>
      <c r="R78" t="n">
        <v>18.68</v>
      </c>
      <c r="S78" t="n">
        <v>26.11</v>
      </c>
      <c r="T78" t="inlineStr">
        <is>
          <t>Mount_gun_05</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60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Muzzle_mg_R</t>
        </is>
      </c>
      <c r="K80" t="inlineStr">
        <is>
          <t>muzzle</t>
        </is>
      </c>
      <c r="L80" t="inlineStr">
        <is>
          <t>fortress_bastion</t>
        </is>
      </c>
      <c r="M80" t="n">
        <v>1.812</v>
      </c>
      <c r="N80" t="n">
        <v>1.51</v>
      </c>
      <c r="O80" t="n">
        <v>10.33</v>
      </c>
      <c r="P80" t="n">
        <v>8.15</v>
      </c>
      <c r="Q80" t="n">
        <v>2.17</v>
      </c>
      <c r="R80" t="n">
        <v>18.68</v>
      </c>
      <c r="S80" t="n">
        <v>6.68</v>
      </c>
      <c r="T80" t="inlineStr">
        <is>
          <t>Mount_mg_R</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Muzzle_gun_02</t>
        </is>
      </c>
      <c r="K83" t="inlineStr">
        <is>
          <t>muzzle</t>
        </is>
      </c>
      <c r="L83" t="inlineStr">
        <is>
          <t>hydra_sub</t>
        </is>
      </c>
      <c r="M83" t="n">
        <v>1.0029</v>
      </c>
      <c r="N83" t="n">
        <v>0.6</v>
      </c>
      <c r="O83" t="n">
        <v>2.38</v>
      </c>
      <c r="P83" t="n">
        <v>3.15</v>
      </c>
      <c r="Q83" t="n">
        <v>-0.77</v>
      </c>
      <c r="R83" t="n">
        <v>5.84</v>
      </c>
      <c r="S83" t="n">
        <v>7.48</v>
      </c>
      <c r="T83" t="inlineStr">
        <is>
          <t>Mount_gun_02</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115</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88</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Muzzle_gun_02</t>
        </is>
      </c>
      <c r="K86" t="inlineStr">
        <is>
          <t>muzzle</t>
        </is>
      </c>
      <c r="L86" t="inlineStr">
        <is>
          <t>hyperion</t>
        </is>
      </c>
      <c r="M86" t="n">
        <v>1.0015</v>
      </c>
      <c r="N86" t="n">
        <v>2.9732</v>
      </c>
      <c r="O86" t="n">
        <v>38.21</v>
      </c>
      <c r="P86" t="inlineStr"/>
      <c r="Q86" t="inlineStr"/>
      <c r="R86" t="n">
        <v>45.08</v>
      </c>
      <c r="S86" t="n">
        <v>33.04</v>
      </c>
      <c r="T86" t="inlineStr">
        <is>
          <t>Mount_gun_02</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88</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Muzzle_gun_03</t>
        </is>
      </c>
      <c r="K87" t="inlineStr">
        <is>
          <t>muzzle</t>
        </is>
      </c>
      <c r="L87" t="inlineStr">
        <is>
          <t>hyperion</t>
        </is>
      </c>
      <c r="M87" t="n">
        <v>1.0015</v>
      </c>
      <c r="N87" t="n">
        <v>2.9732</v>
      </c>
      <c r="O87" t="n">
        <v>27.32</v>
      </c>
      <c r="P87" t="inlineStr"/>
      <c r="Q87" t="inlineStr"/>
      <c r="R87" t="n">
        <v>45.08</v>
      </c>
      <c r="S87" t="n">
        <v>9.69</v>
      </c>
      <c r="T87" t="inlineStr">
        <is>
          <t>Mount_gun_03</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Muzzle_gun_04</t>
        </is>
      </c>
      <c r="K88" t="inlineStr">
        <is>
          <t>muzzle</t>
        </is>
      </c>
      <c r="L88" t="inlineStr">
        <is>
          <t>hyperion</t>
        </is>
      </c>
      <c r="M88" t="n">
        <v>1.0015</v>
      </c>
      <c r="N88" t="n">
        <v>2.9732</v>
      </c>
      <c r="O88" t="n">
        <v>27.32</v>
      </c>
      <c r="P88" t="inlineStr"/>
      <c r="Q88" t="inlineStr"/>
      <c r="R88" t="n">
        <v>45.08</v>
      </c>
      <c r="S88" t="n">
        <v>9.69</v>
      </c>
      <c r="T88" t="inlineStr">
        <is>
          <t>Mount_gun_04</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Muzzle_gun_05</t>
        </is>
      </c>
      <c r="K89" t="inlineStr">
        <is>
          <t>muzzle</t>
        </is>
      </c>
      <c r="L89" t="inlineStr">
        <is>
          <t>hyperion</t>
        </is>
      </c>
      <c r="M89" t="n">
        <v>1.0015</v>
      </c>
      <c r="N89" t="n">
        <v>2.9732</v>
      </c>
      <c r="O89" t="n">
        <v>24.89</v>
      </c>
      <c r="P89" t="inlineStr"/>
      <c r="Q89" t="inlineStr"/>
      <c r="R89" t="n">
        <v>45.08</v>
      </c>
      <c r="S89" t="n">
        <v>5.06</v>
      </c>
      <c r="T89" t="inlineStr">
        <is>
          <t>Mount_gun_05</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90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Muzzle_gun_06</t>
        </is>
      </c>
      <c r="K90" t="inlineStr">
        <is>
          <t>muzzle</t>
        </is>
      </c>
      <c r="L90" t="inlineStr">
        <is>
          <t>hyperion</t>
        </is>
      </c>
      <c r="M90" t="n">
        <v>1.0015</v>
      </c>
      <c r="N90" t="n">
        <v>2.9732</v>
      </c>
      <c r="O90" t="n">
        <v>24.89</v>
      </c>
      <c r="P90" t="inlineStr"/>
      <c r="Q90" t="inlineStr"/>
      <c r="R90" t="n">
        <v>45.08</v>
      </c>
      <c r="S90" t="n">
        <v>5.06</v>
      </c>
      <c r="T90" t="inlineStr">
        <is>
          <t>Mount_gun_06</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90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80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30</v>
      </c>
      <c r="AX91" t="n">
        <v>95</v>
      </c>
      <c r="AY91" t="n">
        <v>3.17</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Muzzle_rocket_R</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80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30</v>
      </c>
      <c r="AX92" t="n">
        <v>95</v>
      </c>
      <c r="AY92" t="n">
        <v>3.17</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Muzzle_gun_R</t>
        </is>
      </c>
      <c r="K95" t="inlineStr">
        <is>
          <t>muzzle</t>
        </is>
      </c>
      <c r="L95" t="inlineStr">
        <is>
          <t>icarus_mk0</t>
        </is>
      </c>
      <c r="M95" t="n">
        <v>0.9911</v>
      </c>
      <c r="N95" t="n">
        <v>0.9911</v>
      </c>
      <c r="O95" t="n">
        <v>17.89</v>
      </c>
      <c r="P95" t="inlineStr"/>
      <c r="Q95" t="inlineStr"/>
      <c r="R95" t="n">
        <v>27.76</v>
      </c>
      <c r="S95" t="n">
        <v>5.82</v>
      </c>
      <c r="T95" t="inlineStr">
        <is>
          <t>Mount_gun_R</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Muzzle_mg_L</t>
        </is>
      </c>
      <c r="K98" t="inlineStr">
        <is>
          <t>muzzle</t>
        </is>
      </c>
      <c r="L98" t="inlineStr">
        <is>
          <t>ixion</t>
        </is>
      </c>
      <c r="M98" t="n">
        <v>0.9623</v>
      </c>
      <c r="N98" t="n">
        <v>1</v>
      </c>
      <c r="O98" t="n">
        <v>9.609999999999999</v>
      </c>
      <c r="P98" t="n">
        <v>5</v>
      </c>
      <c r="Q98" t="n">
        <v>4.61</v>
      </c>
      <c r="R98" t="n">
        <v>10.07</v>
      </c>
      <c r="S98" t="n">
        <v>12.34</v>
      </c>
      <c r="T98" t="inlineStr">
        <is>
          <t>Mount_mg_L</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30</v>
      </c>
      <c r="AF100" t="n">
        <v>0</v>
      </c>
      <c r="AG100" t="n">
        <v>30</v>
      </c>
      <c r="AH100" t="n">
        <v>45</v>
      </c>
      <c r="AI100" t="n">
        <v>70</v>
      </c>
      <c r="AJ100" t="n">
        <v>21.01</v>
      </c>
      <c r="AK100" t="n">
        <v>1</v>
      </c>
      <c r="AL100" t="n">
        <v>1.3</v>
      </c>
      <c r="AM100" t="inlineStr">
        <is>
          <t>max(vu_trang, khoa)</t>
        </is>
      </c>
      <c r="AN100" t="n">
        <v>1</v>
      </c>
      <c r="AO100" t="n">
        <v>1</v>
      </c>
      <c r="AP100" t="n">
        <v>1</v>
      </c>
      <c r="AQ100" t="n">
        <v>1</v>
      </c>
      <c r="AR100" t="n">
        <v>30</v>
      </c>
      <c r="AS100" t="b">
        <v>1</v>
      </c>
      <c r="AT100" t="inlineStr">
        <is>
          <t>groundMinReach</t>
        </is>
      </c>
      <c r="AU100" t="b">
        <v>0</v>
      </c>
      <c r="AV100" t="inlineStr">
        <is>
          <t>ixion</t>
        </is>
      </c>
      <c r="AW100" t="n">
        <v>30</v>
      </c>
      <c r="AX100" t="n">
        <v>45</v>
      </c>
      <c r="AY100" t="n">
        <v>1.5</v>
      </c>
      <c r="AZ100" t="n">
        <v>18</v>
      </c>
      <c r="BA100" t="inlineStr">
        <is>
          <t>p26_ixion_mg;pt14_ixion_30</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Muzzle_missile_R</t>
        </is>
      </c>
      <c r="K101" t="inlineStr">
        <is>
          <t>muzzle</t>
        </is>
      </c>
      <c r="L101" t="inlineStr">
        <is>
          <t>ixion</t>
        </is>
      </c>
      <c r="M101" t="n">
        <v>0.9623</v>
      </c>
      <c r="N101" t="n">
        <v>1</v>
      </c>
      <c r="O101" t="n">
        <v>8.57</v>
      </c>
      <c r="P101" t="inlineStr"/>
      <c r="Q101" t="inlineStr"/>
      <c r="R101" t="n">
        <v>10.07</v>
      </c>
      <c r="S101" t="n">
        <v>4.7</v>
      </c>
      <c r="T101" t="inlineStr">
        <is>
          <t>Mount_missile_R</t>
        </is>
      </c>
      <c r="U101" t="n">
        <v>4.59</v>
      </c>
      <c r="V101" t="n">
        <v>1.34</v>
      </c>
      <c r="W101" t="n">
        <v>11</v>
      </c>
      <c r="X101" t="n">
        <v>0</v>
      </c>
      <c r="Y101" t="inlineStr"/>
      <c r="Z101" t="inlineStr"/>
      <c r="AA101" t="inlineStr"/>
      <c r="AB101" t="n">
        <v>360</v>
      </c>
      <c r="AC101" t="inlineStr">
        <is>
          <t>missileArmingM</t>
        </is>
      </c>
      <c r="AD101" t="b">
        <v>1</v>
      </c>
      <c r="AE101" t="n">
        <v>30</v>
      </c>
      <c r="AF101" t="n">
        <v>0</v>
      </c>
      <c r="AG101" t="n">
        <v>30</v>
      </c>
      <c r="AH101" t="n">
        <v>45</v>
      </c>
      <c r="AI101" t="n">
        <v>70</v>
      </c>
      <c r="AJ101" t="n">
        <v>21.01</v>
      </c>
      <c r="AK101" t="n">
        <v>1</v>
      </c>
      <c r="AL101" t="n">
        <v>1.3</v>
      </c>
      <c r="AM101" t="inlineStr">
        <is>
          <t>max(vu_trang, khoa)</t>
        </is>
      </c>
      <c r="AN101" t="n">
        <v>1</v>
      </c>
      <c r="AO101" t="n">
        <v>1</v>
      </c>
      <c r="AP101" t="n">
        <v>1</v>
      </c>
      <c r="AQ101" t="n">
        <v>1</v>
      </c>
      <c r="AR101" t="n">
        <v>30</v>
      </c>
      <c r="AS101" t="b">
        <v>1</v>
      </c>
      <c r="AT101" t="inlineStr">
        <is>
          <t>groundMinReach</t>
        </is>
      </c>
      <c r="AU101" t="b">
        <v>0</v>
      </c>
      <c r="AV101" t="inlineStr">
        <is>
          <t>ixion</t>
        </is>
      </c>
      <c r="AW101" t="n">
        <v>30</v>
      </c>
      <c r="AX101" t="n">
        <v>45</v>
      </c>
      <c r="AY101" t="n">
        <v>1.5</v>
      </c>
      <c r="AZ101" t="n">
        <v>18</v>
      </c>
      <c r="BA101" t="inlineStr">
        <is>
          <t>p26_ixion_mg;pt14_ixion_30</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65</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85</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Muzzle_gun_02</t>
        </is>
      </c>
      <c r="K104" t="inlineStr">
        <is>
          <t>muzzle</t>
        </is>
      </c>
      <c r="L104" t="inlineStr">
        <is>
          <t>kraken</t>
        </is>
      </c>
      <c r="M104" t="n">
        <v>0.9852</v>
      </c>
      <c r="N104" t="n">
        <v>1.2768</v>
      </c>
      <c r="O104" t="n">
        <v>10.97</v>
      </c>
      <c r="P104" t="n">
        <v>10.04</v>
      </c>
      <c r="Q104" t="n">
        <v>0.92</v>
      </c>
      <c r="R104" t="n">
        <v>20.56</v>
      </c>
      <c r="S104" t="n">
        <v>41.06</v>
      </c>
      <c r="T104" t="inlineStr">
        <is>
          <t>Mount_gun_02</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85</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Muzzle_gun_03</t>
        </is>
      </c>
      <c r="K105" t="inlineStr">
        <is>
          <t>muzzle</t>
        </is>
      </c>
      <c r="L105" t="inlineStr">
        <is>
          <t>kraken</t>
        </is>
      </c>
      <c r="M105" t="n">
        <v>0.9852</v>
      </c>
      <c r="N105" t="n">
        <v>1.2768</v>
      </c>
      <c r="O105" t="n">
        <v>7.12</v>
      </c>
      <c r="P105" t="n">
        <v>7.24</v>
      </c>
      <c r="Q105" t="n">
        <v>-0.12</v>
      </c>
      <c r="R105" t="n">
        <v>20.56</v>
      </c>
      <c r="S105" t="n">
        <v>34.81</v>
      </c>
      <c r="T105" t="inlineStr">
        <is>
          <t>Mount_gun_03</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85</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Muzzle_gun_04</t>
        </is>
      </c>
      <c r="K106" t="inlineStr">
        <is>
          <t>muzzle</t>
        </is>
      </c>
      <c r="L106" t="inlineStr">
        <is>
          <t>kraken</t>
        </is>
      </c>
      <c r="M106" t="n">
        <v>0.9852</v>
      </c>
      <c r="N106" t="n">
        <v>1.2768</v>
      </c>
      <c r="O106" t="n">
        <v>8.15</v>
      </c>
      <c r="P106" t="n">
        <v>8.289999999999999</v>
      </c>
      <c r="Q106" t="n">
        <v>-0.14</v>
      </c>
      <c r="R106" t="n">
        <v>20.56</v>
      </c>
      <c r="S106" t="n">
        <v>25.77</v>
      </c>
      <c r="T106" t="inlineStr">
        <is>
          <t>Mount_gun_04</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88</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Muzzle_gun_05</t>
        </is>
      </c>
      <c r="K107" t="inlineStr">
        <is>
          <t>muzzle</t>
        </is>
      </c>
      <c r="L107" t="inlineStr">
        <is>
          <t>kraken</t>
        </is>
      </c>
      <c r="M107" t="n">
        <v>0.9852</v>
      </c>
      <c r="N107" t="n">
        <v>1.2768</v>
      </c>
      <c r="O107" t="n">
        <v>10.13</v>
      </c>
      <c r="P107" t="n">
        <v>10.35</v>
      </c>
      <c r="Q107" t="n">
        <v>-0.22</v>
      </c>
      <c r="R107" t="n">
        <v>20.56</v>
      </c>
      <c r="S107" t="n">
        <v>31.35</v>
      </c>
      <c r="T107" t="inlineStr">
        <is>
          <t>Mount_gun_05</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88</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105</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Muzzle_mg_02</t>
        </is>
      </c>
      <c r="K109" t="inlineStr">
        <is>
          <t>muzzle</t>
        </is>
      </c>
      <c r="L109" t="inlineStr">
        <is>
          <t>kraken</t>
        </is>
      </c>
      <c r="M109" t="n">
        <v>0.9852</v>
      </c>
      <c r="N109" t="n">
        <v>1.2768</v>
      </c>
      <c r="O109" t="n">
        <v>6.08</v>
      </c>
      <c r="P109" t="n">
        <v>6.09</v>
      </c>
      <c r="Q109" t="n">
        <v>-0.01</v>
      </c>
      <c r="R109" t="n">
        <v>20.56</v>
      </c>
      <c r="S109" t="n">
        <v>45.87</v>
      </c>
      <c r="T109" t="inlineStr">
        <is>
          <t>Mount_mg_02</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105</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Muzzle_mg_03</t>
        </is>
      </c>
      <c r="K110" t="inlineStr">
        <is>
          <t>muzzle</t>
        </is>
      </c>
      <c r="L110" t="inlineStr">
        <is>
          <t>kraken</t>
        </is>
      </c>
      <c r="M110" t="n">
        <v>0.9852</v>
      </c>
      <c r="N110" t="n">
        <v>1.2768</v>
      </c>
      <c r="O110" t="n">
        <v>10.08</v>
      </c>
      <c r="P110" t="n">
        <v>9.67</v>
      </c>
      <c r="Q110" t="n">
        <v>0.41</v>
      </c>
      <c r="R110" t="n">
        <v>20.56</v>
      </c>
      <c r="S110" t="n">
        <v>8.69</v>
      </c>
      <c r="T110" t="inlineStr">
        <is>
          <t>Mount_mg_03</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Muzzle_mg_04</t>
        </is>
      </c>
      <c r="K111" t="inlineStr">
        <is>
          <t>muzzle</t>
        </is>
      </c>
      <c r="L111" t="inlineStr">
        <is>
          <t>kraken</t>
        </is>
      </c>
      <c r="M111" t="n">
        <v>0.9852</v>
      </c>
      <c r="N111" t="n">
        <v>1.2768</v>
      </c>
      <c r="O111" t="n">
        <v>10.08</v>
      </c>
      <c r="P111" t="n">
        <v>9.67</v>
      </c>
      <c r="Q111" t="n">
        <v>0.41</v>
      </c>
      <c r="R111" t="n">
        <v>20.56</v>
      </c>
      <c r="S111" t="n">
        <v>10.39</v>
      </c>
      <c r="T111" t="inlineStr">
        <is>
          <t>Mount_mg_04</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Muzzle_mg_05</t>
        </is>
      </c>
      <c r="K112" t="inlineStr">
        <is>
          <t>muzzle</t>
        </is>
      </c>
      <c r="L112" t="inlineStr">
        <is>
          <t>kraken</t>
        </is>
      </c>
      <c r="M112" t="n">
        <v>0.9852</v>
      </c>
      <c r="N112" t="n">
        <v>1.2768</v>
      </c>
      <c r="O112" t="n">
        <v>10.08</v>
      </c>
      <c r="P112" t="n">
        <v>9.67</v>
      </c>
      <c r="Q112" t="n">
        <v>0.41</v>
      </c>
      <c r="R112" t="n">
        <v>20.56</v>
      </c>
      <c r="S112" t="n">
        <v>12.87</v>
      </c>
      <c r="T112" t="inlineStr">
        <is>
          <t>Mount_mg_05</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Muzzle_mg_06</t>
        </is>
      </c>
      <c r="K113" t="inlineStr">
        <is>
          <t>muzzle</t>
        </is>
      </c>
      <c r="L113" t="inlineStr">
        <is>
          <t>kraken</t>
        </is>
      </c>
      <c r="M113" t="n">
        <v>0.9852</v>
      </c>
      <c r="N113" t="n">
        <v>1.2768</v>
      </c>
      <c r="O113" t="n">
        <v>10.08</v>
      </c>
      <c r="P113" t="n">
        <v>9.67</v>
      </c>
      <c r="Q113" t="n">
        <v>0.41</v>
      </c>
      <c r="R113" t="n">
        <v>20.56</v>
      </c>
      <c r="S113" t="n">
        <v>15.76</v>
      </c>
      <c r="T113" t="inlineStr">
        <is>
          <t>Mount_mg_06</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Muzzle_mg_07</t>
        </is>
      </c>
      <c r="K114" t="inlineStr">
        <is>
          <t>muzzle</t>
        </is>
      </c>
      <c r="L114" t="inlineStr">
        <is>
          <t>kraken</t>
        </is>
      </c>
      <c r="M114" t="n">
        <v>0.9852</v>
      </c>
      <c r="N114" t="n">
        <v>1.2768</v>
      </c>
      <c r="O114" t="n">
        <v>10.08</v>
      </c>
      <c r="P114" t="n">
        <v>9.67</v>
      </c>
      <c r="Q114" t="n">
        <v>0.41</v>
      </c>
      <c r="R114" t="n">
        <v>20.56</v>
      </c>
      <c r="S114" t="n">
        <v>23.79</v>
      </c>
      <c r="T114" t="inlineStr">
        <is>
          <t>Mount_mg_07</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Muzzle_mg_08</t>
        </is>
      </c>
      <c r="K115" t="inlineStr">
        <is>
          <t>muzzle</t>
        </is>
      </c>
      <c r="L115" t="inlineStr">
        <is>
          <t>kraken</t>
        </is>
      </c>
      <c r="M115" t="n">
        <v>0.9852</v>
      </c>
      <c r="N115" t="n">
        <v>1.2768</v>
      </c>
      <c r="O115" t="n">
        <v>10.08</v>
      </c>
      <c r="P115" t="n">
        <v>9.67</v>
      </c>
      <c r="Q115" t="n">
        <v>0.41</v>
      </c>
      <c r="R115" t="n">
        <v>20.56</v>
      </c>
      <c r="S115" t="n">
        <v>27.17</v>
      </c>
      <c r="T115" t="inlineStr">
        <is>
          <t>Mount_mg_08</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Muzzle_mg_09</t>
        </is>
      </c>
      <c r="K116" t="inlineStr">
        <is>
          <t>muzzle</t>
        </is>
      </c>
      <c r="L116" t="inlineStr">
        <is>
          <t>kraken</t>
        </is>
      </c>
      <c r="M116" t="n">
        <v>0.9852</v>
      </c>
      <c r="N116" t="n">
        <v>1.2768</v>
      </c>
      <c r="O116" t="n">
        <v>10.08</v>
      </c>
      <c r="P116" t="n">
        <v>9.67</v>
      </c>
      <c r="Q116" t="n">
        <v>0.41</v>
      </c>
      <c r="R116" t="n">
        <v>20.56</v>
      </c>
      <c r="S116" t="n">
        <v>30.59</v>
      </c>
      <c r="T116" t="inlineStr">
        <is>
          <t>Mount_mg_09</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Muzzle_mg_10</t>
        </is>
      </c>
      <c r="K117" t="inlineStr">
        <is>
          <t>muzzle</t>
        </is>
      </c>
      <c r="L117" t="inlineStr">
        <is>
          <t>kraken</t>
        </is>
      </c>
      <c r="M117" t="n">
        <v>0.9852</v>
      </c>
      <c r="N117" t="n">
        <v>1.2768</v>
      </c>
      <c r="O117" t="n">
        <v>10.08</v>
      </c>
      <c r="P117" t="n">
        <v>9.67</v>
      </c>
      <c r="Q117" t="n">
        <v>0.41</v>
      </c>
      <c r="R117" t="n">
        <v>20.56</v>
      </c>
      <c r="S117" t="n">
        <v>34.03</v>
      </c>
      <c r="T117" t="inlineStr">
        <is>
          <t>Mount_mg_10</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80</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Muzzle_gun_R</t>
        </is>
      </c>
      <c r="K120" t="inlineStr">
        <is>
          <t>muzzle</t>
        </is>
      </c>
      <c r="L120" t="inlineStr">
        <is>
          <t>landing_hovercraft</t>
        </is>
      </c>
      <c r="M120" t="n">
        <v>0.85</v>
      </c>
      <c r="N120" t="n">
        <v>0.85</v>
      </c>
      <c r="O120" t="n">
        <v>4.2</v>
      </c>
      <c r="P120" t="n">
        <v>3.65</v>
      </c>
      <c r="Q120" t="n">
        <v>0.54</v>
      </c>
      <c r="R120" t="n">
        <v>7.96</v>
      </c>
      <c r="S120" t="n">
        <v>6.6</v>
      </c>
      <c r="T120" t="inlineStr">
        <is>
          <t>Mount_gun_R</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65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Muzzle_rocket_R</t>
        </is>
      </c>
      <c r="K123" t="inlineStr">
        <is>
          <t>muzzle</t>
        </is>
      </c>
      <c r="L123" t="inlineStr">
        <is>
          <t>landing_hovercraft</t>
        </is>
      </c>
      <c r="M123" t="n">
        <v>0.85</v>
      </c>
      <c r="N123" t="n">
        <v>0.85</v>
      </c>
      <c r="O123" t="n">
        <v>4.49</v>
      </c>
      <c r="P123" t="n">
        <v>3.91</v>
      </c>
      <c r="Q123" t="n">
        <v>0.58</v>
      </c>
      <c r="R123" t="n">
        <v>7.96</v>
      </c>
      <c r="S123" t="n">
        <v>11.06</v>
      </c>
      <c r="T123" t="inlineStr">
        <is>
          <t>Mount_rocket_R</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65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85</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Muzzle_gun_02</t>
        </is>
      </c>
      <c r="K125" t="inlineStr">
        <is>
          <t>muzzle</t>
        </is>
      </c>
      <c r="L125" t="inlineStr">
        <is>
          <t>leviathan</t>
        </is>
      </c>
      <c r="M125" t="n">
        <v>1.12</v>
      </c>
      <c r="N125" t="n">
        <v>1.12</v>
      </c>
      <c r="O125" t="n">
        <v>8.970000000000001</v>
      </c>
      <c r="P125" t="n">
        <v>9.18</v>
      </c>
      <c r="Q125" t="n">
        <v>-0.21</v>
      </c>
      <c r="R125" t="n">
        <v>26.5</v>
      </c>
      <c r="S125" t="n">
        <v>28.79</v>
      </c>
      <c r="T125" t="inlineStr">
        <is>
          <t>Mount_gun_02</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85</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Muzzle_gun_03</t>
        </is>
      </c>
      <c r="K126" t="inlineStr">
        <is>
          <t>muzzle</t>
        </is>
      </c>
      <c r="L126" t="inlineStr">
        <is>
          <t>leviathan</t>
        </is>
      </c>
      <c r="M126" t="n">
        <v>1.12</v>
      </c>
      <c r="N126" t="n">
        <v>1.12</v>
      </c>
      <c r="O126" t="n">
        <v>6.33</v>
      </c>
      <c r="P126" t="n">
        <v>6.5</v>
      </c>
      <c r="Q126" t="n">
        <v>-0.17</v>
      </c>
      <c r="R126" t="n">
        <v>26.5</v>
      </c>
      <c r="S126" t="n">
        <v>14.45</v>
      </c>
      <c r="T126" t="inlineStr">
        <is>
          <t>Mount_gun_03</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85</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Muzzle_gun_04</t>
        </is>
      </c>
      <c r="K127" t="inlineStr">
        <is>
          <t>muzzle</t>
        </is>
      </c>
      <c r="L127" t="inlineStr">
        <is>
          <t>leviathan</t>
        </is>
      </c>
      <c r="M127" t="n">
        <v>1.12</v>
      </c>
      <c r="N127" t="n">
        <v>1.12</v>
      </c>
      <c r="O127" t="n">
        <v>11.48</v>
      </c>
      <c r="P127" t="n">
        <v>11.76</v>
      </c>
      <c r="Q127" t="n">
        <v>-0.28</v>
      </c>
      <c r="R127" t="n">
        <v>26.5</v>
      </c>
      <c r="S127" t="n">
        <v>15.43</v>
      </c>
      <c r="T127" t="inlineStr">
        <is>
          <t>Mount_gun_04</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88</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Muzzle_gun_05</t>
        </is>
      </c>
      <c r="K128" t="inlineStr">
        <is>
          <t>muzzle</t>
        </is>
      </c>
      <c r="L128" t="inlineStr">
        <is>
          <t>leviathan</t>
        </is>
      </c>
      <c r="M128" t="n">
        <v>1.12</v>
      </c>
      <c r="N128" t="n">
        <v>1.12</v>
      </c>
      <c r="O128" t="n">
        <v>8.359999999999999</v>
      </c>
      <c r="P128" t="n">
        <v>8.619999999999999</v>
      </c>
      <c r="Q128" t="n">
        <v>-0.27</v>
      </c>
      <c r="R128" t="n">
        <v>26.5</v>
      </c>
      <c r="S128" t="n">
        <v>13.46</v>
      </c>
      <c r="T128" t="inlineStr">
        <is>
          <t>Mount_gun_05</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88</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105</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Muzzle_mg_02</t>
        </is>
      </c>
      <c r="K130" t="inlineStr">
        <is>
          <t>muzzle</t>
        </is>
      </c>
      <c r="L130" t="inlineStr">
        <is>
          <t>leviathan</t>
        </is>
      </c>
      <c r="M130" t="n">
        <v>1.12</v>
      </c>
      <c r="N130" t="n">
        <v>1.12</v>
      </c>
      <c r="O130" t="n">
        <v>7.77</v>
      </c>
      <c r="P130" t="n">
        <v>7.84</v>
      </c>
      <c r="Q130" t="n">
        <v>-0.07000000000000001</v>
      </c>
      <c r="R130" t="n">
        <v>26.5</v>
      </c>
      <c r="S130" t="n">
        <v>10.82</v>
      </c>
      <c r="T130" t="inlineStr">
        <is>
          <t>Mount_mg_02</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105</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Muzzle_mg_03</t>
        </is>
      </c>
      <c r="K131" t="inlineStr">
        <is>
          <t>muzzle</t>
        </is>
      </c>
      <c r="L131" t="inlineStr">
        <is>
          <t>leviathan</t>
        </is>
      </c>
      <c r="M131" t="n">
        <v>1.12</v>
      </c>
      <c r="N131" t="n">
        <v>1.12</v>
      </c>
      <c r="O131" t="n">
        <v>5.53</v>
      </c>
      <c r="P131" t="n">
        <v>5.15</v>
      </c>
      <c r="Q131" t="n">
        <v>0.38</v>
      </c>
      <c r="R131" t="n">
        <v>26.5</v>
      </c>
      <c r="S131" t="n">
        <v>10.56</v>
      </c>
      <c r="T131" t="inlineStr">
        <is>
          <t>Mount_mg_03</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Muzzle_mg_04</t>
        </is>
      </c>
      <c r="K132" t="inlineStr">
        <is>
          <t>muzzle</t>
        </is>
      </c>
      <c r="L132" t="inlineStr">
        <is>
          <t>leviathan</t>
        </is>
      </c>
      <c r="M132" t="n">
        <v>1.12</v>
      </c>
      <c r="N132" t="n">
        <v>1.12</v>
      </c>
      <c r="O132" t="n">
        <v>5.53</v>
      </c>
      <c r="P132" t="n">
        <v>5.15</v>
      </c>
      <c r="Q132" t="n">
        <v>0.38</v>
      </c>
      <c r="R132" t="n">
        <v>26.5</v>
      </c>
      <c r="S132" t="n">
        <v>7.41</v>
      </c>
      <c r="T132" t="inlineStr">
        <is>
          <t>Mount_mg_04</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Muzzle_mg_05</t>
        </is>
      </c>
      <c r="K133" t="inlineStr">
        <is>
          <t>muzzle</t>
        </is>
      </c>
      <c r="L133" t="inlineStr">
        <is>
          <t>leviathan</t>
        </is>
      </c>
      <c r="M133" t="n">
        <v>1.12</v>
      </c>
      <c r="N133" t="n">
        <v>1.12</v>
      </c>
      <c r="O133" t="n">
        <v>5.53</v>
      </c>
      <c r="P133" t="n">
        <v>5.15</v>
      </c>
      <c r="Q133" t="n">
        <v>0.38</v>
      </c>
      <c r="R133" t="n">
        <v>26.5</v>
      </c>
      <c r="S133" t="n">
        <v>9.73</v>
      </c>
      <c r="T133" t="inlineStr">
        <is>
          <t>Mount_mg_05</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Muzzle_mg_06</t>
        </is>
      </c>
      <c r="K134" t="inlineStr">
        <is>
          <t>muzzle</t>
        </is>
      </c>
      <c r="L134" t="inlineStr">
        <is>
          <t>leviathan</t>
        </is>
      </c>
      <c r="M134" t="n">
        <v>1.12</v>
      </c>
      <c r="N134" t="n">
        <v>1.12</v>
      </c>
      <c r="O134" t="n">
        <v>5.53</v>
      </c>
      <c r="P134" t="n">
        <v>5.15</v>
      </c>
      <c r="Q134" t="n">
        <v>0.38</v>
      </c>
      <c r="R134" t="n">
        <v>26.5</v>
      </c>
      <c r="S134" t="n">
        <v>14.18</v>
      </c>
      <c r="T134" t="inlineStr">
        <is>
          <t>Mount_mg_06</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Muzzle_mg_07</t>
        </is>
      </c>
      <c r="K135" t="inlineStr">
        <is>
          <t>muzzle</t>
        </is>
      </c>
      <c r="L135" t="inlineStr">
        <is>
          <t>leviathan</t>
        </is>
      </c>
      <c r="M135" t="n">
        <v>1.12</v>
      </c>
      <c r="N135" t="n">
        <v>1.12</v>
      </c>
      <c r="O135" t="n">
        <v>5.53</v>
      </c>
      <c r="P135" t="n">
        <v>5.15</v>
      </c>
      <c r="Q135" t="n">
        <v>0.38</v>
      </c>
      <c r="R135" t="n">
        <v>26.5</v>
      </c>
      <c r="S135" t="n">
        <v>10.56</v>
      </c>
      <c r="T135" t="inlineStr">
        <is>
          <t>Mount_mg_07</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Muzzle_mg_08</t>
        </is>
      </c>
      <c r="K136" t="inlineStr">
        <is>
          <t>muzzle</t>
        </is>
      </c>
      <c r="L136" t="inlineStr">
        <is>
          <t>leviathan</t>
        </is>
      </c>
      <c r="M136" t="n">
        <v>1.12</v>
      </c>
      <c r="N136" t="n">
        <v>1.12</v>
      </c>
      <c r="O136" t="n">
        <v>5.53</v>
      </c>
      <c r="P136" t="n">
        <v>5.15</v>
      </c>
      <c r="Q136" t="n">
        <v>0.38</v>
      </c>
      <c r="R136" t="n">
        <v>26.5</v>
      </c>
      <c r="S136" t="n">
        <v>7.41</v>
      </c>
      <c r="T136" t="inlineStr">
        <is>
          <t>Mount_mg_08</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Muzzle_mg_09</t>
        </is>
      </c>
      <c r="K137" t="inlineStr">
        <is>
          <t>muzzle</t>
        </is>
      </c>
      <c r="L137" t="inlineStr">
        <is>
          <t>leviathan</t>
        </is>
      </c>
      <c r="M137" t="n">
        <v>1.12</v>
      </c>
      <c r="N137" t="n">
        <v>1.12</v>
      </c>
      <c r="O137" t="n">
        <v>5.53</v>
      </c>
      <c r="P137" t="n">
        <v>5.15</v>
      </c>
      <c r="Q137" t="n">
        <v>0.38</v>
      </c>
      <c r="R137" t="n">
        <v>26.5</v>
      </c>
      <c r="S137" t="n">
        <v>9.73</v>
      </c>
      <c r="T137" t="inlineStr">
        <is>
          <t>Mount_mg_09</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Muzzle_mg_10</t>
        </is>
      </c>
      <c r="K138" t="inlineStr">
        <is>
          <t>muzzle</t>
        </is>
      </c>
      <c r="L138" t="inlineStr">
        <is>
          <t>leviathan</t>
        </is>
      </c>
      <c r="M138" t="n">
        <v>1.12</v>
      </c>
      <c r="N138" t="n">
        <v>1.12</v>
      </c>
      <c r="O138" t="n">
        <v>5.53</v>
      </c>
      <c r="P138" t="n">
        <v>5.15</v>
      </c>
      <c r="Q138" t="n">
        <v>0.38</v>
      </c>
      <c r="R138" t="n">
        <v>26.5</v>
      </c>
      <c r="S138" t="n">
        <v>14.18</v>
      </c>
      <c r="T138" t="inlineStr">
        <is>
          <t>Mount_mg_10</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80</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15</v>
      </c>
      <c r="AF140" t="n">
        <v>0</v>
      </c>
      <c r="AG140" t="n">
        <v>15</v>
      </c>
      <c r="AH140" t="n">
        <v>70</v>
      </c>
      <c r="AI140" t="n">
        <v>28</v>
      </c>
      <c r="AJ140" t="n">
        <v>26.2</v>
      </c>
      <c r="AK140" t="n">
        <v>1</v>
      </c>
      <c r="AL140" t="n">
        <v>1.3</v>
      </c>
      <c r="AM140" t="inlineStr">
        <is>
          <t>max(vu_trang, khoa)</t>
        </is>
      </c>
      <c r="AN140" t="n">
        <v>1</v>
      </c>
      <c r="AO140" t="n">
        <v>1</v>
      </c>
      <c r="AP140" t="n">
        <v>1</v>
      </c>
      <c r="AQ140" t="n">
        <v>1</v>
      </c>
      <c r="AR140" t="n">
        <v>15</v>
      </c>
      <c r="AS140" t="b">
        <v>1</v>
      </c>
      <c r="AT140" t="inlineStr">
        <is>
          <t>groundMinReach</t>
        </is>
      </c>
      <c r="AU140" t="b">
        <v>0</v>
      </c>
      <c r="AV140" t="inlineStr">
        <is>
          <t>locust</t>
        </is>
      </c>
      <c r="AW140" t="n">
        <v>15</v>
      </c>
      <c r="AX140" t="n">
        <v>70</v>
      </c>
      <c r="AY140" t="n">
        <v>4.67</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95</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Muzzle_gun_R</t>
        </is>
      </c>
      <c r="K144" t="inlineStr">
        <is>
          <t>muzzle</t>
        </is>
      </c>
      <c r="L144" t="inlineStr">
        <is>
          <t>mega_gunship</t>
        </is>
      </c>
      <c r="M144" t="n">
        <v>1.1475</v>
      </c>
      <c r="N144" t="n">
        <v>0.85</v>
      </c>
      <c r="O144" t="n">
        <v>20.93</v>
      </c>
      <c r="P144" t="n">
        <v>20.81</v>
      </c>
      <c r="Q144" t="n">
        <v>0.12</v>
      </c>
      <c r="R144" t="n">
        <v>26.88</v>
      </c>
      <c r="S144" t="n">
        <v>4.63</v>
      </c>
      <c r="T144" t="inlineStr">
        <is>
          <t>Mount_gun_R</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Muzzle_rocket_R</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95</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Muzzle_mg_02</t>
        </is>
      </c>
      <c r="K147" t="inlineStr">
        <is>
          <t>muzzle</t>
        </is>
      </c>
      <c r="L147" t="inlineStr">
        <is>
          <t>mega_gunship</t>
        </is>
      </c>
      <c r="M147" t="n">
        <v>1.1475</v>
      </c>
      <c r="N147" t="n">
        <v>0.85</v>
      </c>
      <c r="O147" t="n">
        <v>22.43</v>
      </c>
      <c r="P147" t="inlineStr"/>
      <c r="Q147" t="inlineStr"/>
      <c r="R147" t="n">
        <v>26.88</v>
      </c>
      <c r="S147" t="n">
        <v>6.71</v>
      </c>
      <c r="T147" t="inlineStr">
        <is>
          <t>Mount_mg_02</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Muzzle_mg_03</t>
        </is>
      </c>
      <c r="K148" t="inlineStr">
        <is>
          <t>muzzle</t>
        </is>
      </c>
      <c r="L148" t="inlineStr">
        <is>
          <t>mega_gunship</t>
        </is>
      </c>
      <c r="M148" t="n">
        <v>1.1475</v>
      </c>
      <c r="N148" t="n">
        <v>0.85</v>
      </c>
      <c r="O148" t="n">
        <v>22.51</v>
      </c>
      <c r="P148" t="inlineStr"/>
      <c r="Q148" t="inlineStr"/>
      <c r="R148" t="n">
        <v>26.88</v>
      </c>
      <c r="S148" t="n">
        <v>2.91</v>
      </c>
      <c r="T148" t="inlineStr">
        <is>
          <t>Mount_mg_03</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60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65</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Muzzle_rocket_R</t>
        </is>
      </c>
      <c r="K151" t="inlineStr">
        <is>
          <t>muzzle</t>
        </is>
      </c>
      <c r="L151" t="inlineStr">
        <is>
          <t>mobile_fortress</t>
        </is>
      </c>
      <c r="M151" t="n">
        <v>1.9884</v>
      </c>
      <c r="N151" t="n">
        <v>1.657</v>
      </c>
      <c r="O151" t="n">
        <v>12.31</v>
      </c>
      <c r="P151" t="n">
        <v>8.289999999999999</v>
      </c>
      <c r="Q151" t="n">
        <v>4.03</v>
      </c>
      <c r="R151" t="n">
        <v>17.7</v>
      </c>
      <c r="S151" t="n">
        <v>10.59</v>
      </c>
      <c r="T151" t="inlineStr">
        <is>
          <t>Mount_rocket_R</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65</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Muzzle_mg_R</t>
        </is>
      </c>
      <c r="K153" t="inlineStr">
        <is>
          <t>muzzle</t>
        </is>
      </c>
      <c r="L153" t="inlineStr">
        <is>
          <t>mobile_fortress</t>
        </is>
      </c>
      <c r="M153" t="n">
        <v>1.9884</v>
      </c>
      <c r="N153" t="n">
        <v>1.657</v>
      </c>
      <c r="O153" t="n">
        <v>9.19</v>
      </c>
      <c r="P153" t="n">
        <v>7.62</v>
      </c>
      <c r="Q153" t="n">
        <v>1.56</v>
      </c>
      <c r="R153" t="n">
        <v>17.7</v>
      </c>
      <c r="S153" t="n">
        <v>19.34</v>
      </c>
      <c r="T153" t="inlineStr">
        <is>
          <t>Mount_mg_R</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60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Muzzle_missile_R</t>
        </is>
      </c>
      <c r="K157" t="inlineStr">
        <is>
          <t>muzzle</t>
        </is>
      </c>
      <c r="L157" t="inlineStr">
        <is>
          <t>mobile_fortress</t>
        </is>
      </c>
      <c r="M157" t="n">
        <v>1.9884</v>
      </c>
      <c r="N157" t="n">
        <v>1.657</v>
      </c>
      <c r="O157" t="n">
        <v>13.63</v>
      </c>
      <c r="P157" t="n">
        <v>10.44</v>
      </c>
      <c r="Q157" t="n">
        <v>3.19</v>
      </c>
      <c r="R157" t="n">
        <v>17.7</v>
      </c>
      <c r="S157" t="n">
        <v>12.72</v>
      </c>
      <c r="T157" t="inlineStr">
        <is>
          <t>Mount_missile_R</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80</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Muzzle_gun_02</t>
        </is>
      </c>
      <c r="K162" t="inlineStr">
        <is>
          <t>muzzle</t>
        </is>
      </c>
      <c r="L162" t="inlineStr">
        <is>
          <t>moloch</t>
        </is>
      </c>
      <c r="M162" t="n">
        <v>1.5103</v>
      </c>
      <c r="N162" t="n">
        <v>1.5103</v>
      </c>
      <c r="O162" t="n">
        <v>13.99</v>
      </c>
      <c r="P162" t="n">
        <v>11.18</v>
      </c>
      <c r="Q162" t="n">
        <v>2.81</v>
      </c>
      <c r="R162" t="n">
        <v>17.82</v>
      </c>
      <c r="S162" t="n">
        <v>7.96</v>
      </c>
      <c r="T162" t="inlineStr">
        <is>
          <t>Mount_gun_02</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Muzzle_gun_03</t>
        </is>
      </c>
      <c r="K163" t="inlineStr">
        <is>
          <t>muzzle</t>
        </is>
      </c>
      <c r="L163" t="inlineStr">
        <is>
          <t>moloch</t>
        </is>
      </c>
      <c r="M163" t="n">
        <v>1.5103</v>
      </c>
      <c r="N163" t="n">
        <v>1.5103</v>
      </c>
      <c r="O163" t="n">
        <v>13.99</v>
      </c>
      <c r="P163" t="n">
        <v>11.18</v>
      </c>
      <c r="Q163" t="n">
        <v>2.81</v>
      </c>
      <c r="R163" t="n">
        <v>17.82</v>
      </c>
      <c r="S163" t="n">
        <v>7.96</v>
      </c>
      <c r="T163" t="inlineStr">
        <is>
          <t>Mount_gun_03</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40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Muzzle_gun_02</t>
        </is>
      </c>
      <c r="K167" t="inlineStr">
        <is>
          <t>muzzle</t>
        </is>
      </c>
      <c r="L167" t="inlineStr">
        <is>
          <t>monster</t>
        </is>
      </c>
      <c r="M167" t="n">
        <v>1.0165</v>
      </c>
      <c r="N167" t="n">
        <v>1.5855</v>
      </c>
      <c r="O167" t="n">
        <v>7.95</v>
      </c>
      <c r="P167" t="n">
        <v>5.23</v>
      </c>
      <c r="Q167" t="n">
        <v>2.72</v>
      </c>
      <c r="R167" t="n">
        <v>13.12</v>
      </c>
      <c r="S167" t="n">
        <v>14.91</v>
      </c>
      <c r="T167" t="inlineStr">
        <is>
          <t>Mount_gun_02</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Muzzle_gun_03</t>
        </is>
      </c>
      <c r="K168" t="inlineStr">
        <is>
          <t>muzzle</t>
        </is>
      </c>
      <c r="L168" t="inlineStr">
        <is>
          <t>monster</t>
        </is>
      </c>
      <c r="M168" t="n">
        <v>1.0165</v>
      </c>
      <c r="N168" t="n">
        <v>1.5855</v>
      </c>
      <c r="O168" t="n">
        <v>7.95</v>
      </c>
      <c r="P168" t="n">
        <v>5.23</v>
      </c>
      <c r="Q168" t="n">
        <v>2.72</v>
      </c>
      <c r="R168" t="n">
        <v>13.12</v>
      </c>
      <c r="S168" t="n">
        <v>7.6</v>
      </c>
      <c r="T168" t="inlineStr">
        <is>
          <t>Mount_gun_03</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Muzzle_gun_04</t>
        </is>
      </c>
      <c r="K169" t="inlineStr">
        <is>
          <t>muzzle</t>
        </is>
      </c>
      <c r="L169" t="inlineStr">
        <is>
          <t>monster</t>
        </is>
      </c>
      <c r="M169" t="n">
        <v>1.0165</v>
      </c>
      <c r="N169" t="n">
        <v>1.5855</v>
      </c>
      <c r="O169" t="n">
        <v>7.95</v>
      </c>
      <c r="P169" t="n">
        <v>5.23</v>
      </c>
      <c r="Q169" t="n">
        <v>2.72</v>
      </c>
      <c r="R169" t="n">
        <v>13.12</v>
      </c>
      <c r="S169" t="n">
        <v>7.6</v>
      </c>
      <c r="T169" t="inlineStr">
        <is>
          <t>Mount_gun_04</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30</v>
      </c>
      <c r="AF170" t="n">
        <v>0</v>
      </c>
      <c r="AG170" t="n">
        <v>30</v>
      </c>
      <c r="AH170" t="n">
        <v>50</v>
      </c>
      <c r="AI170" t="n">
        <v>70</v>
      </c>
      <c r="AJ170" t="n">
        <v>22.15</v>
      </c>
      <c r="AK170" t="n">
        <v>1</v>
      </c>
      <c r="AL170" t="n">
        <v>1.3</v>
      </c>
      <c r="AM170" t="inlineStr">
        <is>
          <t>max(vu_trang, khoa)</t>
        </is>
      </c>
      <c r="AN170" t="n">
        <v>1</v>
      </c>
      <c r="AO170" t="n">
        <v>1</v>
      </c>
      <c r="AP170" t="n">
        <v>1</v>
      </c>
      <c r="AQ170" t="n">
        <v>1</v>
      </c>
      <c r="AR170" t="n">
        <v>30</v>
      </c>
      <c r="AS170" t="b">
        <v>1</v>
      </c>
      <c r="AT170" t="inlineStr">
        <is>
          <t>groundMinReach</t>
        </is>
      </c>
      <c r="AU170" t="b">
        <v>0</v>
      </c>
      <c r="AV170" t="inlineStr">
        <is>
          <t>monster</t>
        </is>
      </c>
      <c r="AW170" t="n">
        <v>30</v>
      </c>
      <c r="AX170" t="n">
        <v>50</v>
      </c>
      <c r="AY170" t="n">
        <v>1.67</v>
      </c>
      <c r="AZ170" t="n">
        <v>14</v>
      </c>
      <c r="BA170" t="inlineStr">
        <is>
          <t>p26_bastion_close_boss_hmg;p26_bastion_tiny_autocannon_40;p26_bastion_tiny_zu23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Muzzle_mg_R</t>
        </is>
      </c>
      <c r="K172" t="inlineStr">
        <is>
          <t>muzzle</t>
        </is>
      </c>
      <c r="L172" t="inlineStr">
        <is>
          <t>monster</t>
        </is>
      </c>
      <c r="M172" t="n">
        <v>1.0165</v>
      </c>
      <c r="N172" t="n">
        <v>1.5855</v>
      </c>
      <c r="O172" t="n">
        <v>7.18</v>
      </c>
      <c r="P172" t="n">
        <v>5.23</v>
      </c>
      <c r="Q172" t="n">
        <v>1.94</v>
      </c>
      <c r="R172" t="n">
        <v>13.12</v>
      </c>
      <c r="S172" t="n">
        <v>7.47</v>
      </c>
      <c r="T172" t="inlineStr">
        <is>
          <t>Mount_mg_R</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Muzzle_gun_05</t>
        </is>
      </c>
      <c r="K173" t="inlineStr">
        <is>
          <t>muzzle</t>
        </is>
      </c>
      <c r="L173" t="inlineStr">
        <is>
          <t>monster</t>
        </is>
      </c>
      <c r="M173" t="n">
        <v>1.0165</v>
      </c>
      <c r="N173" t="n">
        <v>1.5855</v>
      </c>
      <c r="O173" t="n">
        <v>7.24</v>
      </c>
      <c r="P173" t="n">
        <v>5.07</v>
      </c>
      <c r="Q173" t="n">
        <v>2.16</v>
      </c>
      <c r="R173" t="n">
        <v>13.12</v>
      </c>
      <c r="S173" t="n">
        <v>19.97</v>
      </c>
      <c r="T173" t="inlineStr">
        <is>
          <t>Mount_gun_05</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60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Muzzle_mg_R</t>
        </is>
      </c>
      <c r="K175" t="inlineStr">
        <is>
          <t>muzzle</t>
        </is>
      </c>
      <c r="L175" t="inlineStr">
        <is>
          <t>monster</t>
        </is>
      </c>
      <c r="M175" t="n">
        <v>1.0165</v>
      </c>
      <c r="N175" t="n">
        <v>1.5855</v>
      </c>
      <c r="O175" t="n">
        <v>7.18</v>
      </c>
      <c r="P175" t="n">
        <v>8.56</v>
      </c>
      <c r="Q175" t="n">
        <v>-1.39</v>
      </c>
      <c r="R175" t="n">
        <v>13.12</v>
      </c>
      <c r="S175" t="n">
        <v>7.47</v>
      </c>
      <c r="T175" t="inlineStr">
        <is>
          <t>Mount_mg_R</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Muzzle_mg_02</t>
        </is>
      </c>
      <c r="K178" t="inlineStr">
        <is>
          <t>muzzle</t>
        </is>
      </c>
      <c r="L178" t="inlineStr">
        <is>
          <t>nuke_train</t>
        </is>
      </c>
      <c r="M178" t="n">
        <v>1.6977</v>
      </c>
      <c r="N178" t="n">
        <v>1.4763</v>
      </c>
      <c r="O178" t="n">
        <v>6.28</v>
      </c>
      <c r="P178" t="n">
        <v>5.17</v>
      </c>
      <c r="Q178" t="n">
        <v>1.11</v>
      </c>
      <c r="R178" t="n">
        <v>9.25</v>
      </c>
      <c r="S178" t="n">
        <v>35.02</v>
      </c>
      <c r="T178" t="inlineStr">
        <is>
          <t>Mount_mg_02</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65</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95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Muzzle_mg_03</t>
        </is>
      </c>
      <c r="K182" t="inlineStr">
        <is>
          <t>muzzle</t>
        </is>
      </c>
      <c r="L182" t="inlineStr">
        <is>
          <t>nuke_train</t>
        </is>
      </c>
      <c r="M182" t="n">
        <v>1.6977</v>
      </c>
      <c r="N182" t="n">
        <v>1.4763</v>
      </c>
      <c r="O182" t="n">
        <v>3.77</v>
      </c>
      <c r="P182" t="n">
        <v>4.72</v>
      </c>
      <c r="Q182" t="n">
        <v>-0.96</v>
      </c>
      <c r="R182" t="n">
        <v>9.25</v>
      </c>
      <c r="S182" t="n">
        <v>9.44</v>
      </c>
      <c r="T182" t="inlineStr">
        <is>
          <t>Mount_mg_03</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88</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c r="BB183" t="n">
        <v>0</v>
      </c>
      <c r="BC183" t="b">
        <v>0</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105</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c r="BB184" t="n">
        <v>0</v>
      </c>
      <c r="BC184" t="b">
        <v>0</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Muzzle_mg_02</t>
        </is>
      </c>
      <c r="K185" t="inlineStr">
        <is>
          <t>muzzle</t>
        </is>
      </c>
      <c r="L185" t="inlineStr">
        <is>
          <t>nyx</t>
        </is>
      </c>
      <c r="M185" t="n">
        <v>1.001</v>
      </c>
      <c r="N185" t="n">
        <v>0.616</v>
      </c>
      <c r="O185" t="n">
        <v>6.88</v>
      </c>
      <c r="P185" t="n">
        <v>6.91</v>
      </c>
      <c r="Q185" t="n">
        <v>-0.03</v>
      </c>
      <c r="R185" t="n">
        <v>10.12</v>
      </c>
      <c r="S185" t="n">
        <v>5.71</v>
      </c>
      <c r="T185" t="inlineStr">
        <is>
          <t>Mount_mg_02</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105</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c r="BB185" t="n">
        <v>0</v>
      </c>
      <c r="BC185" t="b">
        <v>0</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Muzzle_mg_03</t>
        </is>
      </c>
      <c r="K186" t="inlineStr">
        <is>
          <t>muzzle</t>
        </is>
      </c>
      <c r="L186" t="inlineStr">
        <is>
          <t>nyx</t>
        </is>
      </c>
      <c r="M186" t="n">
        <v>1.001</v>
      </c>
      <c r="N186" t="n">
        <v>0.616</v>
      </c>
      <c r="O186" t="n">
        <v>6.92</v>
      </c>
      <c r="P186" t="inlineStr"/>
      <c r="Q186" t="inlineStr"/>
      <c r="R186" t="n">
        <v>10.12</v>
      </c>
      <c r="S186" t="n">
        <v>9.869999999999999</v>
      </c>
      <c r="T186" t="inlineStr">
        <is>
          <t>Mount_mg_03</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c r="BB186" t="n">
        <v>0</v>
      </c>
      <c r="BC186" t="b">
        <v>0</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Muzzle_mg_04</t>
        </is>
      </c>
      <c r="K187" t="inlineStr">
        <is>
          <t>muzzle</t>
        </is>
      </c>
      <c r="L187" t="inlineStr">
        <is>
          <t>nyx</t>
        </is>
      </c>
      <c r="M187" t="n">
        <v>1.001</v>
      </c>
      <c r="N187" t="n">
        <v>0.616</v>
      </c>
      <c r="O187" t="n">
        <v>6.92</v>
      </c>
      <c r="P187" t="inlineStr"/>
      <c r="Q187" t="inlineStr"/>
      <c r="R187" t="n">
        <v>10.12</v>
      </c>
      <c r="S187" t="n">
        <v>9.869999999999999</v>
      </c>
      <c r="T187" t="inlineStr">
        <is>
          <t>Mount_mg_04</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c r="BB187" t="n">
        <v>0</v>
      </c>
      <c r="BC187" t="b">
        <v>0</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30</v>
      </c>
      <c r="AX188" t="n">
        <v>120</v>
      </c>
      <c r="AY188" t="n">
        <v>4</v>
      </c>
      <c r="AZ188" t="n">
        <v>25</v>
      </c>
      <c r="BA188" t="inlineStr"/>
      <c r="BB188" t="n">
        <v>0</v>
      </c>
      <c r="BC188" t="b">
        <v>0</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90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c r="BB189" t="n">
        <v>0</v>
      </c>
      <c r="BC189" t="b">
        <v>0</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105</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c r="BB190" t="n">
        <v>0</v>
      </c>
      <c r="BC190" t="b">
        <v>0</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Muzzle_mg_02</t>
        </is>
      </c>
      <c r="K191" t="inlineStr">
        <is>
          <t>muzzle</t>
        </is>
      </c>
      <c r="L191" t="inlineStr">
        <is>
          <t>scylla</t>
        </is>
      </c>
      <c r="M191" t="n">
        <v>1.001</v>
      </c>
      <c r="N191" t="n">
        <v>0.5600000000000001</v>
      </c>
      <c r="O191" t="n">
        <v>5.55</v>
      </c>
      <c r="P191" t="inlineStr"/>
      <c r="Q191" t="inlineStr"/>
      <c r="R191" t="n">
        <v>11.73</v>
      </c>
      <c r="S191" t="n">
        <v>10.52</v>
      </c>
      <c r="T191" t="inlineStr">
        <is>
          <t>Mount_mg_02</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c r="BB191" t="n">
        <v>0</v>
      </c>
      <c r="BC191" t="b">
        <v>0</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Muzzle_mg_03</t>
        </is>
      </c>
      <c r="K192" t="inlineStr">
        <is>
          <t>muzzle</t>
        </is>
      </c>
      <c r="L192" t="inlineStr">
        <is>
          <t>scylla</t>
        </is>
      </c>
      <c r="M192" t="n">
        <v>1.001</v>
      </c>
      <c r="N192" t="n">
        <v>0.5600000000000001</v>
      </c>
      <c r="O192" t="n">
        <v>5.55</v>
      </c>
      <c r="P192" t="inlineStr"/>
      <c r="Q192" t="inlineStr"/>
      <c r="R192" t="n">
        <v>11.73</v>
      </c>
      <c r="S192" t="n">
        <v>10.52</v>
      </c>
      <c r="T192" t="inlineStr">
        <is>
          <t>Mount_mg_03</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c r="BB192" t="n">
        <v>0</v>
      </c>
      <c r="BC192" t="b">
        <v>0</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Muzzle_mg_04</t>
        </is>
      </c>
      <c r="K193" t="inlineStr">
        <is>
          <t>muzzle</t>
        </is>
      </c>
      <c r="L193" t="inlineStr">
        <is>
          <t>scylla</t>
        </is>
      </c>
      <c r="M193" t="n">
        <v>1.001</v>
      </c>
      <c r="N193" t="n">
        <v>0.5600000000000001</v>
      </c>
      <c r="O193" t="n">
        <v>7.43</v>
      </c>
      <c r="P193" t="inlineStr"/>
      <c r="Q193" t="inlineStr"/>
      <c r="R193" t="n">
        <v>11.73</v>
      </c>
      <c r="S193" t="n">
        <v>10.08</v>
      </c>
      <c r="T193" t="inlineStr">
        <is>
          <t>Mount_mg_04</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c r="BB193" t="n">
        <v>0</v>
      </c>
      <c r="BC193" t="b">
        <v>0</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Muzzle_mg_05</t>
        </is>
      </c>
      <c r="K194" t="inlineStr">
        <is>
          <t>muzzle</t>
        </is>
      </c>
      <c r="L194" t="inlineStr">
        <is>
          <t>scylla</t>
        </is>
      </c>
      <c r="M194" t="n">
        <v>1.001</v>
      </c>
      <c r="N194" t="n">
        <v>0.5600000000000001</v>
      </c>
      <c r="O194" t="n">
        <v>7.43</v>
      </c>
      <c r="P194" t="inlineStr"/>
      <c r="Q194" t="inlineStr"/>
      <c r="R194" t="n">
        <v>11.73</v>
      </c>
      <c r="S194" t="n">
        <v>10.08</v>
      </c>
      <c r="T194" t="inlineStr">
        <is>
          <t>Mount_mg_05</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c r="BB194" t="n">
        <v>0</v>
      </c>
      <c r="BC194" t="b">
        <v>0</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80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30</v>
      </c>
      <c r="AX195" t="n">
        <v>110</v>
      </c>
      <c r="AY195" t="n">
        <v>3.67</v>
      </c>
      <c r="AZ195" t="n">
        <v>28</v>
      </c>
      <c r="BA195" t="inlineStr"/>
      <c r="BB195" t="n">
        <v>0</v>
      </c>
      <c r="BC195" t="b">
        <v>0</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Muzzle_missile_R</t>
        </is>
      </c>
      <c r="K196" t="inlineStr">
        <is>
          <t>muzzle</t>
        </is>
      </c>
      <c r="L196" t="inlineStr">
        <is>
          <t>scylla</t>
        </is>
      </c>
      <c r="M196" t="n">
        <v>1.001</v>
      </c>
      <c r="N196" t="n">
        <v>0.5600000000000001</v>
      </c>
      <c r="O196" t="n">
        <v>4</v>
      </c>
      <c r="P196" t="inlineStr"/>
      <c r="Q196" t="inlineStr"/>
      <c r="R196" t="n">
        <v>11.73</v>
      </c>
      <c r="S196" t="n">
        <v>10.3</v>
      </c>
      <c r="T196" t="inlineStr">
        <is>
          <t>Mount_missile_R</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80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30</v>
      </c>
      <c r="AX196" t="n">
        <v>110</v>
      </c>
      <c r="AY196" t="n">
        <v>3.67</v>
      </c>
      <c r="AZ196" t="n">
        <v>28</v>
      </c>
      <c r="BA196" t="inlineStr"/>
      <c r="BB196" t="n">
        <v>0</v>
      </c>
      <c r="BC196" t="b">
        <v>0</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Muzzle_gun_02</t>
        </is>
      </c>
      <c r="K199" t="inlineStr">
        <is>
          <t>muzzle</t>
        </is>
      </c>
      <c r="L199" t="inlineStr">
        <is>
          <t>silver_bug</t>
        </is>
      </c>
      <c r="M199" t="n">
        <v>2.4777</v>
      </c>
      <c r="N199" t="n">
        <v>2.4777</v>
      </c>
      <c r="O199" t="n">
        <v>26.33</v>
      </c>
      <c r="P199" t="inlineStr"/>
      <c r="Q199" t="inlineStr"/>
      <c r="R199" t="n">
        <v>47.84</v>
      </c>
      <c r="S199" t="n">
        <v>28.73</v>
      </c>
      <c r="T199" t="inlineStr">
        <is>
          <t>Mount_gun_02</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Muzzle_gun_03</t>
        </is>
      </c>
      <c r="K200" t="inlineStr">
        <is>
          <t>muzzle</t>
        </is>
      </c>
      <c r="L200" t="inlineStr">
        <is>
          <t>silver_bug</t>
        </is>
      </c>
      <c r="M200" t="n">
        <v>2.4777</v>
      </c>
      <c r="N200" t="n">
        <v>2.4777</v>
      </c>
      <c r="O200" t="n">
        <v>31.66</v>
      </c>
      <c r="P200" t="inlineStr"/>
      <c r="Q200" t="inlineStr"/>
      <c r="R200" t="n">
        <v>47.84</v>
      </c>
      <c r="S200" t="n">
        <v>7.22</v>
      </c>
      <c r="T200" t="inlineStr">
        <is>
          <t>Mount_gun_03</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Muzzle_gun_04</t>
        </is>
      </c>
      <c r="K201" t="inlineStr">
        <is>
          <t>muzzle</t>
        </is>
      </c>
      <c r="L201" t="inlineStr">
        <is>
          <t>silver_bug</t>
        </is>
      </c>
      <c r="M201" t="n">
        <v>2.4777</v>
      </c>
      <c r="N201" t="n">
        <v>2.4777</v>
      </c>
      <c r="O201" t="n">
        <v>31.66</v>
      </c>
      <c r="P201" t="inlineStr"/>
      <c r="Q201" t="inlineStr"/>
      <c r="R201" t="n">
        <v>47.84</v>
      </c>
      <c r="S201" t="n">
        <v>7.22</v>
      </c>
      <c r="T201" t="inlineStr">
        <is>
          <t>Mount_gun_04</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Muzzle_gun_05</t>
        </is>
      </c>
      <c r="K202" t="inlineStr">
        <is>
          <t>muzzle</t>
        </is>
      </c>
      <c r="L202" t="inlineStr">
        <is>
          <t>silver_bug</t>
        </is>
      </c>
      <c r="M202" t="n">
        <v>2.4777</v>
      </c>
      <c r="N202" t="n">
        <v>2.4777</v>
      </c>
      <c r="O202" t="n">
        <v>14.39</v>
      </c>
      <c r="P202" t="inlineStr"/>
      <c r="Q202" t="inlineStr"/>
      <c r="R202" t="n">
        <v>47.84</v>
      </c>
      <c r="S202" t="n">
        <v>31.33</v>
      </c>
      <c r="T202" t="inlineStr">
        <is>
          <t>Mount_gun_05</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Muzzle_gun_06</t>
        </is>
      </c>
      <c r="K203" t="inlineStr">
        <is>
          <t>muzzle</t>
        </is>
      </c>
      <c r="L203" t="inlineStr">
        <is>
          <t>silver_bug</t>
        </is>
      </c>
      <c r="M203" t="n">
        <v>2.4777</v>
      </c>
      <c r="N203" t="n">
        <v>2.4777</v>
      </c>
      <c r="O203" t="n">
        <v>14.39</v>
      </c>
      <c r="P203" t="inlineStr"/>
      <c r="Q203" t="inlineStr"/>
      <c r="R203" t="n">
        <v>47.84</v>
      </c>
      <c r="S203" t="n">
        <v>31.33</v>
      </c>
      <c r="T203" t="inlineStr">
        <is>
          <t>Mount_gun_06</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Muzzle_gun_07</t>
        </is>
      </c>
      <c r="K204" t="inlineStr">
        <is>
          <t>muzzle</t>
        </is>
      </c>
      <c r="L204" t="inlineStr">
        <is>
          <t>silver_bug</t>
        </is>
      </c>
      <c r="M204" t="n">
        <v>2.4777</v>
      </c>
      <c r="N204" t="n">
        <v>2.4777</v>
      </c>
      <c r="O204" t="n">
        <v>10.98</v>
      </c>
      <c r="P204" t="inlineStr"/>
      <c r="Q204" t="inlineStr"/>
      <c r="R204" t="n">
        <v>47.84</v>
      </c>
      <c r="S204" t="n">
        <v>12.6</v>
      </c>
      <c r="T204" t="inlineStr">
        <is>
          <t>Mount_gun_07</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Muzzle_gun_08</t>
        </is>
      </c>
      <c r="K205" t="inlineStr">
        <is>
          <t>muzzle</t>
        </is>
      </c>
      <c r="L205" t="inlineStr">
        <is>
          <t>silver_bug</t>
        </is>
      </c>
      <c r="M205" t="n">
        <v>2.4777</v>
      </c>
      <c r="N205" t="n">
        <v>2.4777</v>
      </c>
      <c r="O205" t="n">
        <v>10.98</v>
      </c>
      <c r="P205" t="inlineStr"/>
      <c r="Q205" t="inlineStr"/>
      <c r="R205" t="n">
        <v>47.84</v>
      </c>
      <c r="S205" t="n">
        <v>12.6</v>
      </c>
      <c r="T205" t="inlineStr">
        <is>
          <t>Mount_gun_08</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Muzzle_gun_09</t>
        </is>
      </c>
      <c r="K206" t="inlineStr">
        <is>
          <t>muzzle</t>
        </is>
      </c>
      <c r="L206" t="inlineStr">
        <is>
          <t>silver_bug</t>
        </is>
      </c>
      <c r="M206" t="n">
        <v>2.4777</v>
      </c>
      <c r="N206" t="n">
        <v>2.4777</v>
      </c>
      <c r="O206" t="n">
        <v>24.53</v>
      </c>
      <c r="P206" t="n">
        <v>23.54</v>
      </c>
      <c r="Q206" t="n">
        <v>0.99</v>
      </c>
      <c r="R206" t="n">
        <v>47.84</v>
      </c>
      <c r="S206" t="n">
        <v>17.73</v>
      </c>
      <c r="T206" t="inlineStr">
        <is>
          <t>Mount_gun_09</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Muzzle_gun_10</t>
        </is>
      </c>
      <c r="K207" t="inlineStr">
        <is>
          <t>muzzle</t>
        </is>
      </c>
      <c r="L207" t="inlineStr">
        <is>
          <t>silver_bug</t>
        </is>
      </c>
      <c r="M207" t="n">
        <v>2.4777</v>
      </c>
      <c r="N207" t="n">
        <v>2.4777</v>
      </c>
      <c r="O207" t="n">
        <v>24.53</v>
      </c>
      <c r="P207" t="n">
        <v>23.54</v>
      </c>
      <c r="Q207" t="n">
        <v>0.99</v>
      </c>
      <c r="R207" t="n">
        <v>47.84</v>
      </c>
      <c r="S207" t="n">
        <v>17.73</v>
      </c>
      <c r="T207" t="inlineStr">
        <is>
          <t>Mount_gun_10</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15</v>
      </c>
      <c r="AF209" t="n">
        <v>0</v>
      </c>
      <c r="AG209" t="n">
        <v>15</v>
      </c>
      <c r="AH209" t="n">
        <v>70</v>
      </c>
      <c r="AI209" t="n">
        <v>28</v>
      </c>
      <c r="AJ209" t="n">
        <v>26.2</v>
      </c>
      <c r="AK209" t="n">
        <v>1</v>
      </c>
      <c r="AL209" t="n">
        <v>1.3</v>
      </c>
      <c r="AM209" t="inlineStr">
        <is>
          <t>max(vu_trang, khoa)</t>
        </is>
      </c>
      <c r="AN209" t="n">
        <v>1</v>
      </c>
      <c r="AO209" t="n">
        <v>1</v>
      </c>
      <c r="AP209" t="n">
        <v>1</v>
      </c>
      <c r="AQ209" t="n">
        <v>1</v>
      </c>
      <c r="AR209" t="n">
        <v>15</v>
      </c>
      <c r="AS209" t="b">
        <v>1</v>
      </c>
      <c r="AT209" t="inlineStr">
        <is>
          <t>groundMinReach</t>
        </is>
      </c>
      <c r="AU209" t="b">
        <v>0</v>
      </c>
      <c r="AV209" t="inlineStr"/>
      <c r="AW209" t="n">
        <v>15</v>
      </c>
      <c r="AX209" t="n">
        <v>70</v>
      </c>
      <c r="AY209" t="n">
        <v>4.67</v>
      </c>
      <c r="AZ209" t="n">
        <v>19</v>
      </c>
      <c r="BA209" t="inlineStr">
        <is>
          <t>p26_matriarch_ma_drones;pt14_th_v35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70</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30</v>
      </c>
      <c r="AX210" t="n">
        <v>55</v>
      </c>
      <c r="AY210" t="n">
        <v>1.83</v>
      </c>
      <c r="AZ210" t="n">
        <v>19</v>
      </c>
      <c r="BA210" t="inlineStr">
        <is>
          <t>p26_matriarch_ma_drones;pt14_th_v35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Muzzle_rocket_R</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70</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30</v>
      </c>
      <c r="AX211" t="n">
        <v>55</v>
      </c>
      <c r="AY211" t="n">
        <v>1.83</v>
      </c>
      <c r="AZ211" t="n">
        <v>19</v>
      </c>
      <c r="BA211" t="inlineStr">
        <is>
          <t>p26_matriarch_ma_drones;pt14_th_v35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Muzzle_gun_R</t>
        </is>
      </c>
      <c r="K213" t="inlineStr">
        <is>
          <t>muzzle</t>
        </is>
      </c>
      <c r="L213" t="inlineStr">
        <is>
          <t>theia</t>
        </is>
      </c>
      <c r="M213" t="n">
        <v>1</v>
      </c>
      <c r="N213" t="n">
        <v>0.6</v>
      </c>
      <c r="O213" t="n">
        <v>24.32</v>
      </c>
      <c r="P213" t="inlineStr"/>
      <c r="Q213" t="inlineStr"/>
      <c r="R213" t="n">
        <v>36.24</v>
      </c>
      <c r="S213" t="n">
        <v>10.77</v>
      </c>
      <c r="T213" t="inlineStr">
        <is>
          <t>Mount_gun_R</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Muzzle_mg_R</t>
        </is>
      </c>
      <c r="K215" t="inlineStr">
        <is>
          <t>muzzle</t>
        </is>
      </c>
      <c r="L215" t="inlineStr">
        <is>
          <t>theia</t>
        </is>
      </c>
      <c r="M215" t="n">
        <v>1</v>
      </c>
      <c r="N215" t="n">
        <v>0.6</v>
      </c>
      <c r="O215" t="n">
        <v>31.23</v>
      </c>
      <c r="P215" t="inlineStr"/>
      <c r="Q215" t="inlineStr"/>
      <c r="R215" t="n">
        <v>36.24</v>
      </c>
      <c r="S215" t="n">
        <v>9.51</v>
      </c>
      <c r="T215" t="inlineStr">
        <is>
          <t>Mount_mg_R</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80</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Muzzle_gun_02</t>
        </is>
      </c>
      <c r="K218" t="inlineStr">
        <is>
          <t>muzzle</t>
        </is>
      </c>
      <c r="L218" t="inlineStr">
        <is>
          <t>typhon</t>
        </is>
      </c>
      <c r="M218" t="n">
        <v>1.1864</v>
      </c>
      <c r="N218" t="n">
        <v>1.1864</v>
      </c>
      <c r="O218" t="n">
        <v>5.01</v>
      </c>
      <c r="P218" t="inlineStr"/>
      <c r="Q218" t="inlineStr"/>
      <c r="R218" t="n">
        <v>13.57</v>
      </c>
      <c r="S218" t="n">
        <v>13.76</v>
      </c>
      <c r="T218" t="inlineStr">
        <is>
          <t>Mount_gun_02</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Muzzle_gun_03</t>
        </is>
      </c>
      <c r="K219" t="inlineStr">
        <is>
          <t>muzzle</t>
        </is>
      </c>
      <c r="L219" t="inlineStr">
        <is>
          <t>typhon</t>
        </is>
      </c>
      <c r="M219" t="n">
        <v>1.1864</v>
      </c>
      <c r="N219" t="n">
        <v>1.1864</v>
      </c>
      <c r="O219" t="n">
        <v>4.99</v>
      </c>
      <c r="P219" t="n">
        <v>4.98</v>
      </c>
      <c r="Q219" t="n">
        <v>0.01</v>
      </c>
      <c r="R219" t="n">
        <v>13.57</v>
      </c>
      <c r="S219" t="n">
        <v>32.53</v>
      </c>
      <c r="T219" t="inlineStr">
        <is>
          <t>Mount_gun_03</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115</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Muzzle_gun_04</t>
        </is>
      </c>
      <c r="K220" t="inlineStr">
        <is>
          <t>muzzle</t>
        </is>
      </c>
      <c r="L220" t="inlineStr">
        <is>
          <t>typhon</t>
        </is>
      </c>
      <c r="M220" t="n">
        <v>1.1864</v>
      </c>
      <c r="N220" t="n">
        <v>1.1864</v>
      </c>
      <c r="O220" t="n">
        <v>4.59</v>
      </c>
      <c r="P220" t="inlineStr"/>
      <c r="Q220" t="inlineStr"/>
      <c r="R220" t="n">
        <v>13.57</v>
      </c>
      <c r="S220" t="n">
        <v>20.03</v>
      </c>
      <c r="T220" t="inlineStr">
        <is>
          <t>Mount_gun_04</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30</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30</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30</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30</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15</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30</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30</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30</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15</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30</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30</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30</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30</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5</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5</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11</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5</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8</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8</v>
      </c>
      <c r="F93" t="b">
        <v>0</v>
      </c>
      <c r="G93" t="inlineStr">
        <is>
          <t>01_chien_dau/Vu_khi (id scylla_kh35)</t>
        </is>
      </c>
      <c r="H93" t="inlineStr"/>
    </row>
    <row r="94">
      <c r="A94" t="inlineStr">
        <is>
          <t>train_gun</t>
        </is>
      </c>
      <c r="B94" t="n">
        <v>600</v>
      </c>
      <c r="C94" t="n">
        <v>5</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11" customWidth="1" min="9" max="9"/>
    <col width="60" customWidth="1" min="10" max="10"/>
    <col width="10" customWidth="1" min="11" max="11"/>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xuyen_qua</t>
        </is>
      </c>
      <c r="J1" s="1" t="inlineStr">
        <is>
          <t>nguon</t>
        </is>
      </c>
      <c r="K1" s="1" t="inlineStr">
        <is>
          <t>raw_json</t>
        </is>
      </c>
    </row>
    <row r="2">
      <c r="A2" t="inlineStr">
        <is>
          <t>aa_25_triple</t>
        </is>
      </c>
      <c r="B2" t="n">
        <v>82.25806451612902</v>
      </c>
      <c r="C2" t="n">
        <v>3.1</v>
      </c>
      <c r="D2" t="b">
        <v>0</v>
      </c>
      <c r="E2" t="b">
        <v>0</v>
      </c>
      <c r="F2" t="n">
        <v>0.45</v>
      </c>
      <c r="G2" t="n">
        <v>0.1</v>
      </c>
      <c r="H2" t="n">
        <v>0</v>
      </c>
      <c r="I2" t="b">
        <v>0</v>
      </c>
      <c r="J2" t="inlineStr">
        <is>
          <t>01_chien_dau/Vu_khi_suy_ra (id aa_25_triple)</t>
        </is>
      </c>
      <c r="K2" t="inlineStr"/>
    </row>
    <row r="3">
      <c r="A3" t="inlineStr">
        <is>
          <t>borer_cannon</t>
        </is>
      </c>
      <c r="B3" t="n">
        <v>20</v>
      </c>
      <c r="C3" t="n">
        <v>6</v>
      </c>
      <c r="D3" t="b">
        <v>0</v>
      </c>
      <c r="E3" t="b">
        <v>1</v>
      </c>
      <c r="F3" t="n">
        <v>1.2</v>
      </c>
      <c r="G3" t="n">
        <v>0.7</v>
      </c>
      <c r="H3" t="n">
        <v>0</v>
      </c>
      <c r="I3" t="b">
        <v>1</v>
      </c>
      <c r="J3" t="inlineStr">
        <is>
          <t>01_chien_dau/Vu_khi_suy_ra (id borer_cannon)</t>
        </is>
      </c>
      <c r="K3" t="inlineStr"/>
    </row>
    <row r="4">
      <c r="A4" t="inlineStr">
        <is>
          <t>borer_drill</t>
        </is>
      </c>
      <c r="B4" t="n">
        <v>173.3333333333333</v>
      </c>
      <c r="C4" t="n">
        <v>1.5</v>
      </c>
      <c r="D4" t="b">
        <v>0</v>
      </c>
      <c r="E4" t="b">
        <v>1</v>
      </c>
      <c r="F4" t="n">
        <v>1.2</v>
      </c>
      <c r="G4" t="n">
        <v>0.7</v>
      </c>
      <c r="H4" t="n">
        <v>0</v>
      </c>
      <c r="I4" t="b">
        <v>1</v>
      </c>
      <c r="J4" t="inlineStr">
        <is>
          <t>01_chien_dau/Vu_khi_suy_ra (id borer_drill)</t>
        </is>
      </c>
      <c r="K4" t="inlineStr"/>
    </row>
    <row r="5">
      <c r="A5" t="inlineStr">
        <is>
          <t>boss_flak</t>
        </is>
      </c>
      <c r="B5" t="n">
        <v>190.5204460966543</v>
      </c>
      <c r="C5" t="n">
        <v>5.38</v>
      </c>
      <c r="D5" t="b">
        <v>0</v>
      </c>
      <c r="E5" t="b">
        <v>1</v>
      </c>
      <c r="F5" t="n">
        <v>0.45</v>
      </c>
      <c r="G5" t="n">
        <v>0.1</v>
      </c>
      <c r="H5" t="n">
        <v>0</v>
      </c>
      <c r="I5" t="b">
        <v>0</v>
      </c>
      <c r="J5" t="inlineStr">
        <is>
          <t>01_chien_dau/Vu_khi_suy_ra (id boss_flak)</t>
        </is>
      </c>
      <c r="K5" t="inlineStr"/>
    </row>
    <row r="6">
      <c r="A6" t="inlineStr">
        <is>
          <t>boss_flamer</t>
        </is>
      </c>
      <c r="B6" t="n">
        <v>120</v>
      </c>
      <c r="C6" t="n">
        <v>0.25</v>
      </c>
      <c r="D6" t="b">
        <v>0</v>
      </c>
      <c r="E6" t="b">
        <v>1</v>
      </c>
      <c r="F6" t="n">
        <v>1.35</v>
      </c>
      <c r="G6" t="n">
        <v>1.1</v>
      </c>
      <c r="H6" t="n">
        <v>0</v>
      </c>
      <c r="I6" t="b">
        <v>0</v>
      </c>
      <c r="J6" t="inlineStr">
        <is>
          <t>01_chien_dau/Vu_khi_suy_ra (id boss_flamer)</t>
        </is>
      </c>
      <c r="K6" t="inlineStr"/>
    </row>
    <row r="7">
      <c r="A7" t="inlineStr">
        <is>
          <t>boss_heli_gun</t>
        </is>
      </c>
      <c r="B7" t="n">
        <v>91.01910366869048</v>
      </c>
      <c r="C7" t="n">
        <v>9.668299999999999</v>
      </c>
      <c r="D7" t="b">
        <v>0</v>
      </c>
      <c r="E7" t="b">
        <v>1</v>
      </c>
      <c r="F7" t="n">
        <v>1.2</v>
      </c>
      <c r="G7" t="n">
        <v>0.7</v>
      </c>
      <c r="H7" t="n">
        <v>0</v>
      </c>
      <c r="I7" t="b">
        <v>1</v>
      </c>
      <c r="J7" t="inlineStr">
        <is>
          <t>01_chien_dau/Vu_khi_suy_ra (id boss_heli_gun)</t>
        </is>
      </c>
      <c r="K7" t="inlineStr"/>
    </row>
    <row r="8">
      <c r="A8" t="inlineStr">
        <is>
          <t>boss_hmg</t>
        </is>
      </c>
      <c r="B8" t="n">
        <v>113.235749280953</v>
      </c>
      <c r="C8" t="n">
        <v>13.2467</v>
      </c>
      <c r="D8" t="b">
        <v>0</v>
      </c>
      <c r="E8" t="b">
        <v>1</v>
      </c>
      <c r="F8" t="n">
        <v>1.2</v>
      </c>
      <c r="G8" t="n">
        <v>0.7</v>
      </c>
      <c r="H8" t="n">
        <v>0</v>
      </c>
      <c r="I8" t="b">
        <v>1</v>
      </c>
      <c r="J8" t="inlineStr">
        <is>
          <t>01_chien_dau/Vu_khi_suy_ra (id boss_hmg)</t>
        </is>
      </c>
      <c r="K8" t="inlineStr"/>
    </row>
    <row r="9">
      <c r="A9" t="inlineStr">
        <is>
          <t>boss_minigun</t>
        </is>
      </c>
      <c r="B9" t="n">
        <v>32.54052774819548</v>
      </c>
      <c r="C9" t="n">
        <v>6.7608</v>
      </c>
      <c r="D9" t="b">
        <v>0</v>
      </c>
      <c r="E9" t="b">
        <v>1</v>
      </c>
      <c r="F9" t="n">
        <v>1.2</v>
      </c>
      <c r="G9" t="n">
        <v>0.7</v>
      </c>
      <c r="H9" t="n">
        <v>0</v>
      </c>
      <c r="I9" t="b">
        <v>1</v>
      </c>
      <c r="J9" t="inlineStr">
        <is>
          <t>01_chien_dau/Vu_khi_suy_ra (id boss_minigun)</t>
        </is>
      </c>
      <c r="K9" t="inlineStr"/>
    </row>
    <row r="10">
      <c r="A10" t="inlineStr">
        <is>
          <t>boss_railgun</t>
        </is>
      </c>
      <c r="B10" t="n">
        <v>90</v>
      </c>
      <c r="C10" t="n">
        <v>8</v>
      </c>
      <c r="D10" t="b">
        <v>0</v>
      </c>
      <c r="E10" t="b">
        <v>1</v>
      </c>
      <c r="F10" t="n">
        <v>1.2</v>
      </c>
      <c r="G10" t="n">
        <v>0.7</v>
      </c>
      <c r="H10" t="n">
        <v>0</v>
      </c>
      <c r="I10" t="b">
        <v>1</v>
      </c>
      <c r="J10" t="inlineStr">
        <is>
          <t>01_chien_dau/Vu_khi_suy_ra (id boss_railgun)</t>
        </is>
      </c>
      <c r="K10" t="inlineStr"/>
    </row>
    <row r="11">
      <c r="A11" t="inlineStr">
        <is>
          <t>boss_thermo</t>
        </is>
      </c>
      <c r="B11" t="n">
        <v>46.52278177458034</v>
      </c>
      <c r="C11" t="n">
        <v>6.255</v>
      </c>
      <c r="D11" t="b">
        <v>0</v>
      </c>
      <c r="E11" t="b">
        <v>1</v>
      </c>
      <c r="F11" t="n">
        <v>1</v>
      </c>
      <c r="G11" t="n">
        <v>2</v>
      </c>
      <c r="H11" t="n">
        <v>0</v>
      </c>
      <c r="I11" t="b">
        <v>0</v>
      </c>
      <c r="J11" t="inlineStr">
        <is>
          <t>01_chien_dau/Vu_khi_suy_ra (id boss_thermo)</t>
        </is>
      </c>
      <c r="K11" t="inlineStr"/>
    </row>
    <row r="12">
      <c r="A12" t="inlineStr">
        <is>
          <t>ciws_aa</t>
        </is>
      </c>
      <c r="B12" t="n">
        <v>119.9600133288904</v>
      </c>
      <c r="C12" t="n">
        <v>6.002</v>
      </c>
      <c r="D12" t="b">
        <v>0</v>
      </c>
      <c r="E12" t="b">
        <v>0</v>
      </c>
      <c r="F12" t="n">
        <v>1.2</v>
      </c>
      <c r="G12" t="n">
        <v>0.7</v>
      </c>
      <c r="H12" t="n">
        <v>0</v>
      </c>
      <c r="I12" t="b">
        <v>1</v>
      </c>
      <c r="J12" t="inlineStr">
        <is>
          <t>01_chien_dau/Vu_khi_suy_ra (id ciws_aa)</t>
        </is>
      </c>
      <c r="K12" t="inlineStr"/>
    </row>
    <row r="13">
      <c r="A13" t="inlineStr">
        <is>
          <t>coilgun</t>
        </is>
      </c>
      <c r="B13" t="n">
        <v>104.384133611691</v>
      </c>
      <c r="C13" t="n">
        <v>4.79</v>
      </c>
      <c r="D13" t="b">
        <v>0</v>
      </c>
      <c r="E13" t="b">
        <v>1</v>
      </c>
      <c r="F13" t="n">
        <v>1.2</v>
      </c>
      <c r="G13" t="n">
        <v>0.7</v>
      </c>
      <c r="H13" t="n">
        <v>0</v>
      </c>
      <c r="I13" t="b">
        <v>1</v>
      </c>
      <c r="J13" t="inlineStr">
        <is>
          <t>01_chien_dau/Vu_khi_suy_ra (id coilgun)</t>
        </is>
      </c>
      <c r="K13" t="inlineStr"/>
    </row>
    <row r="14">
      <c r="A14" t="inlineStr">
        <is>
          <t>gunship_rockets</t>
        </is>
      </c>
      <c r="B14" t="n">
        <v>52.39995906253198</v>
      </c>
      <c r="C14" t="n">
        <v>9.771000000000001</v>
      </c>
      <c r="D14" t="b">
        <v>0</v>
      </c>
      <c r="E14" t="b">
        <v>1</v>
      </c>
      <c r="F14" t="n">
        <v>1</v>
      </c>
      <c r="G14" t="n">
        <v>1.6</v>
      </c>
      <c r="H14" t="n">
        <v>0</v>
      </c>
      <c r="I14" t="b">
        <v>0</v>
      </c>
      <c r="J14" t="inlineStr">
        <is>
          <t>01_chien_dau/Vu_khi_suy_ra (id gunship_rockets)</t>
        </is>
      </c>
      <c r="K14" t="inlineStr"/>
    </row>
    <row r="15">
      <c r="A15" t="inlineStr">
        <is>
          <t>hover_ciws</t>
        </is>
      </c>
      <c r="B15" t="n">
        <v>119.9600133288904</v>
      </c>
      <c r="C15" t="n">
        <v>6.002</v>
      </c>
      <c r="D15" t="b">
        <v>0</v>
      </c>
      <c r="E15" t="b">
        <v>1</v>
      </c>
      <c r="F15" t="n">
        <v>1.2</v>
      </c>
      <c r="G15" t="n">
        <v>0.7</v>
      </c>
      <c r="H15" t="n">
        <v>0</v>
      </c>
      <c r="I15" t="b">
        <v>1</v>
      </c>
      <c r="J15" t="inlineStr">
        <is>
          <t>01_chien_dau/Vu_khi_suy_ra (id hover_ciws)</t>
        </is>
      </c>
      <c r="K15" t="inlineStr"/>
    </row>
    <row r="16">
      <c r="A16" t="inlineStr">
        <is>
          <t>hover_rockets</t>
        </is>
      </c>
      <c r="B16" t="n">
        <v>26.48148148148148</v>
      </c>
      <c r="C16" t="n">
        <v>27</v>
      </c>
      <c r="D16" t="b">
        <v>1</v>
      </c>
      <c r="E16" t="b">
        <v>1</v>
      </c>
      <c r="F16" t="n">
        <v>1</v>
      </c>
      <c r="G16" t="n">
        <v>1.6</v>
      </c>
      <c r="H16" t="n">
        <v>0</v>
      </c>
      <c r="I16" t="b">
        <v>0</v>
      </c>
      <c r="J16" t="inlineStr">
        <is>
          <t>01_chien_dau/Vu_khi_suy_ra (id hover_rockets)</t>
        </is>
      </c>
      <c r="K16" t="inlineStr"/>
    </row>
    <row r="17">
      <c r="A17" t="inlineStr">
        <is>
          <t>locust_drones</t>
        </is>
      </c>
      <c r="B17" t="n">
        <v>160</v>
      </c>
      <c r="C17" t="n">
        <v>2</v>
      </c>
      <c r="D17" t="b">
        <v>1</v>
      </c>
      <c r="E17" t="b">
        <v>1</v>
      </c>
      <c r="F17" t="n">
        <v>1.3</v>
      </c>
      <c r="G17" t="n">
        <v>0.45</v>
      </c>
      <c r="H17" t="n">
        <v>0</v>
      </c>
      <c r="I17" t="b">
        <v>0</v>
      </c>
      <c r="J17" t="inlineStr">
        <is>
          <t>01_chien_dau/Vu_khi_suy_ra (id locust_drones)</t>
        </is>
      </c>
      <c r="K17" t="inlineStr"/>
    </row>
    <row r="18">
      <c r="A18" t="inlineStr">
        <is>
          <t>naval_130_twin</t>
        </is>
      </c>
      <c r="B18" t="n">
        <v>253.3831077928138</v>
      </c>
      <c r="C18" t="n">
        <v>4.286</v>
      </c>
      <c r="D18" t="b">
        <v>0</v>
      </c>
      <c r="E18" t="b">
        <v>1</v>
      </c>
      <c r="F18" t="n">
        <v>1</v>
      </c>
      <c r="G18" t="n">
        <v>1.6</v>
      </c>
      <c r="H18" t="n">
        <v>0</v>
      </c>
      <c r="I18" t="b">
        <v>0</v>
      </c>
      <c r="J18" t="inlineStr">
        <is>
          <t>01_chien_dau/Vu_khi_suy_ra (id naval_130_twin)</t>
        </is>
      </c>
      <c r="K18" t="inlineStr"/>
    </row>
    <row r="19">
      <c r="A19" t="inlineStr">
        <is>
          <t>nyx_ags_155</t>
        </is>
      </c>
      <c r="B19" t="n">
        <v>83.72093023255815</v>
      </c>
      <c r="C19" t="n">
        <v>8.6</v>
      </c>
      <c r="D19" t="b">
        <v>0</v>
      </c>
      <c r="E19" t="b">
        <v>1</v>
      </c>
      <c r="F19" t="n">
        <v>1</v>
      </c>
      <c r="G19" t="n">
        <v>1.6</v>
      </c>
      <c r="H19" t="n">
        <v>0</v>
      </c>
      <c r="I19" t="b">
        <v>0</v>
      </c>
      <c r="J19" t="inlineStr">
        <is>
          <t>01_chien_dau/Vu_khi_suy_ra (id nyx_ags_155)</t>
        </is>
      </c>
      <c r="K19" t="inlineStr"/>
    </row>
    <row r="20">
      <c r="A20" t="inlineStr">
        <is>
          <t>nyx_millennium</t>
        </is>
      </c>
      <c r="B20" t="n">
        <v>137.799043062201</v>
      </c>
      <c r="C20" t="n">
        <v>4.18</v>
      </c>
      <c r="D20" t="b">
        <v>0</v>
      </c>
      <c r="E20" t="b">
        <v>0</v>
      </c>
      <c r="F20" t="n">
        <v>0.45</v>
      </c>
      <c r="G20" t="n">
        <v>0.1</v>
      </c>
      <c r="H20" t="n">
        <v>0</v>
      </c>
      <c r="I20" t="b">
        <v>0</v>
      </c>
      <c r="J20" t="inlineStr">
        <is>
          <t>01_chien_dau/Vu_khi_suy_ra (id nyx_millennium)</t>
        </is>
      </c>
      <c r="K20" t="inlineStr"/>
    </row>
    <row r="21">
      <c r="A21" t="inlineStr">
        <is>
          <t>nyx_tomahawk</t>
        </is>
      </c>
      <c r="B21" t="n">
        <v>12.59259259259259</v>
      </c>
      <c r="C21" t="n">
        <v>54</v>
      </c>
      <c r="D21" t="b">
        <v>0</v>
      </c>
      <c r="E21" t="b">
        <v>1</v>
      </c>
      <c r="F21" t="n">
        <v>1</v>
      </c>
      <c r="G21" t="n">
        <v>1.6</v>
      </c>
      <c r="H21" t="n">
        <v>2.944444444444445</v>
      </c>
      <c r="I21" t="b">
        <v>0</v>
      </c>
      <c r="J21" t="inlineStr">
        <is>
          <t>01_chien_dau/Vu_khi_suy_ra (id nyx_tomahawk)</t>
        </is>
      </c>
      <c r="K21" t="inlineStr"/>
    </row>
    <row r="22">
      <c r="A22" t="inlineStr">
        <is>
          <t>p26_bastion_close_boss_hmg</t>
        </is>
      </c>
      <c r="B22" t="n">
        <v>113.235749280953</v>
      </c>
      <c r="C22" t="n">
        <v>13.2467</v>
      </c>
      <c r="D22" t="b">
        <v>0</v>
      </c>
      <c r="E22" t="b">
        <v>1</v>
      </c>
      <c r="F22" t="n">
        <v>1.2</v>
      </c>
      <c r="G22" t="n">
        <v>0.7</v>
      </c>
      <c r="H22" t="n">
        <v>0</v>
      </c>
      <c r="I22" t="b">
        <v>1</v>
      </c>
      <c r="J22" t="inlineStr">
        <is>
          <t>01_chien_dau/Vu_khi_suy_ra (id p26_bastion_close_boss_hmg)</t>
        </is>
      </c>
      <c r="K22" t="inlineStr"/>
    </row>
    <row r="23">
      <c r="A23" t="inlineStr">
        <is>
          <t>p26_bastion_direct_b100</t>
        </is>
      </c>
      <c r="B23" t="n">
        <v>55.81395348837209</v>
      </c>
      <c r="C23" t="n">
        <v>8.6</v>
      </c>
      <c r="D23" t="b">
        <v>0</v>
      </c>
      <c r="E23" t="b">
        <v>1</v>
      </c>
      <c r="F23" t="n">
        <v>1.2</v>
      </c>
      <c r="G23" t="n">
        <v>0.7</v>
      </c>
      <c r="H23" t="n">
        <v>0</v>
      </c>
      <c r="I23" t="b">
        <v>1</v>
      </c>
      <c r="J23" t="inlineStr">
        <is>
          <t>01_chien_dau/Vu_khi_suy_ra (id p26_bastion_direct_b100)</t>
        </is>
      </c>
      <c r="K23" t="inlineStr"/>
    </row>
    <row r="24">
      <c r="A24" t="inlineStr">
        <is>
          <t>p26_bastion_main_b155</t>
        </is>
      </c>
      <c r="B24" t="n">
        <v>40</v>
      </c>
      <c r="C24" t="n">
        <v>15</v>
      </c>
      <c r="D24" t="b">
        <v>1</v>
      </c>
      <c r="E24" t="b">
        <v>1</v>
      </c>
      <c r="F24" t="n">
        <v>1</v>
      </c>
      <c r="G24" t="n">
        <v>1.6</v>
      </c>
      <c r="H24" t="n">
        <v>0</v>
      </c>
      <c r="I24" t="b">
        <v>0</v>
      </c>
      <c r="J24" t="inlineStr">
        <is>
          <t>01_chien_dau/Vu_khi_suy_ra (id p26_bastion_main_b155)</t>
        </is>
      </c>
      <c r="K24" t="inlineStr"/>
    </row>
    <row r="25">
      <c r="A25" t="inlineStr">
        <is>
          <t>p26_bastion_sec_b240</t>
        </is>
      </c>
      <c r="B25" t="n">
        <v>18.33333333333333</v>
      </c>
      <c r="C25" t="n">
        <v>60</v>
      </c>
      <c r="D25" t="b">
        <v>1</v>
      </c>
      <c r="E25" t="b">
        <v>1</v>
      </c>
      <c r="F25" t="n">
        <v>1</v>
      </c>
      <c r="G25" t="n">
        <v>1.6</v>
      </c>
      <c r="H25" t="n">
        <v>2.722222222222222</v>
      </c>
      <c r="I25" t="b">
        <v>0</v>
      </c>
      <c r="J25" t="inlineStr">
        <is>
          <t>01_chien_dau/Vu_khi_suy_ra (id p26_bastion_sec_b240)</t>
        </is>
      </c>
      <c r="K25" t="inlineStr"/>
    </row>
    <row r="26">
      <c r="A26" t="inlineStr">
        <is>
          <t>p26_bastion_tiny_autocannon_40</t>
        </is>
      </c>
      <c r="B26" t="n">
        <v>90.36144578313252</v>
      </c>
      <c r="C26" t="n">
        <v>3.32</v>
      </c>
      <c r="D26" t="b">
        <v>0</v>
      </c>
      <c r="E26" t="b">
        <v>1</v>
      </c>
      <c r="F26" t="n">
        <v>1.2</v>
      </c>
      <c r="G26" t="n">
        <v>0.7</v>
      </c>
      <c r="H26" t="n">
        <v>0</v>
      </c>
      <c r="I26" t="b">
        <v>1</v>
      </c>
      <c r="J26" t="inlineStr">
        <is>
          <t>01_chien_dau/Vu_khi_suy_ra (id p26_bastion_tiny_autocannon_40)</t>
        </is>
      </c>
      <c r="K26" t="inlineStr"/>
    </row>
    <row r="27">
      <c r="A27" t="inlineStr">
        <is>
          <t>p26_bastion_tiny_kornet_twin</t>
        </is>
      </c>
      <c r="B27" t="n">
        <v>23</v>
      </c>
      <c r="C27" t="n">
        <v>20</v>
      </c>
      <c r="D27" t="b">
        <v>0</v>
      </c>
      <c r="E27" t="b">
        <v>1</v>
      </c>
      <c r="F27" t="n">
        <v>1.3</v>
      </c>
      <c r="G27" t="n">
        <v>0.45</v>
      </c>
      <c r="H27" t="n">
        <v>0</v>
      </c>
      <c r="I27" t="b">
        <v>0</v>
      </c>
      <c r="J27" t="inlineStr">
        <is>
          <t>01_chien_dau/Vu_khi_suy_ra (id p26_bastion_tiny_kornet_twin)</t>
        </is>
      </c>
      <c r="K27" t="inlineStr"/>
    </row>
    <row r="28">
      <c r="A28" t="inlineStr">
        <is>
          <t>p26_bastion_tiny_zu23</t>
        </is>
      </c>
      <c r="B28" t="n">
        <v>70.56451612903226</v>
      </c>
      <c r="C28" t="n">
        <v>4.96</v>
      </c>
      <c r="D28" t="b">
        <v>0</v>
      </c>
      <c r="E28" t="b">
        <v>1</v>
      </c>
      <c r="F28" t="n">
        <v>0.45</v>
      </c>
      <c r="G28" t="n">
        <v>0.1</v>
      </c>
      <c r="H28" t="n">
        <v>0</v>
      </c>
      <c r="I28" t="b">
        <v>0</v>
      </c>
      <c r="J28" t="inlineStr">
        <is>
          <t>01_chien_dau/Vu_khi_suy_ra (id p26_bastion_tiny_zu23)</t>
        </is>
      </c>
      <c r="K28" t="inlineStr"/>
    </row>
    <row r="29">
      <c r="A29" t="inlineStr">
        <is>
          <t>p26_behemoth_close_boss_flak</t>
        </is>
      </c>
      <c r="B29" t="n">
        <v>190.5204460966543</v>
      </c>
      <c r="C29" t="n">
        <v>5.38</v>
      </c>
      <c r="D29" t="b">
        <v>0</v>
      </c>
      <c r="E29" t="b">
        <v>1</v>
      </c>
      <c r="F29" t="n">
        <v>0.45</v>
      </c>
      <c r="G29" t="n">
        <v>0.1</v>
      </c>
      <c r="H29" t="n">
        <v>0</v>
      </c>
      <c r="I29" t="b">
        <v>0</v>
      </c>
      <c r="J29" t="inlineStr">
        <is>
          <t>01_chien_dau/Vu_khi_suy_ra (id p26_behemoth_close_boss_flak)</t>
        </is>
      </c>
      <c r="K29" t="inlineStr"/>
    </row>
    <row r="30">
      <c r="A30" t="inlineStr">
        <is>
          <t>p26_behemoth_direct_be120</t>
        </is>
      </c>
      <c r="B30" t="n">
        <v>69.33333333333333</v>
      </c>
      <c r="C30" t="n">
        <v>7.5</v>
      </c>
      <c r="D30" t="b">
        <v>0</v>
      </c>
      <c r="E30" t="b">
        <v>1</v>
      </c>
      <c r="F30" t="n">
        <v>1.2</v>
      </c>
      <c r="G30" t="n">
        <v>0.7</v>
      </c>
      <c r="H30" t="n">
        <v>0</v>
      </c>
      <c r="I30" t="b">
        <v>1</v>
      </c>
      <c r="J30" t="inlineStr">
        <is>
          <t>01_chien_dau/Vu_khi_suy_ra (id p26_behemoth_direct_be120)</t>
        </is>
      </c>
      <c r="K30" t="inlineStr"/>
    </row>
    <row r="31">
      <c r="A31" t="inlineStr">
        <is>
          <t>p26_behemoth_main_be152</t>
        </is>
      </c>
      <c r="B31" t="n">
        <v>133.630289532294</v>
      </c>
      <c r="C31" t="n">
        <v>8.98</v>
      </c>
      <c r="D31" t="b">
        <v>0</v>
      </c>
      <c r="E31" t="b">
        <v>1</v>
      </c>
      <c r="F31" t="n">
        <v>1</v>
      </c>
      <c r="G31" t="n">
        <v>1.6</v>
      </c>
      <c r="H31" t="n">
        <v>0</v>
      </c>
      <c r="I31" t="b">
        <v>0</v>
      </c>
      <c r="J31" t="inlineStr">
        <is>
          <t>01_chien_dau/Vu_khi_suy_ra (id p26_behemoth_main_be152)</t>
        </is>
      </c>
      <c r="K31" t="inlineStr"/>
    </row>
    <row r="32">
      <c r="A32" t="inlineStr">
        <is>
          <t>p26_behemoth_sec_be_rockets</t>
        </is>
      </c>
      <c r="B32" t="n">
        <v>364.6308113035551</v>
      </c>
      <c r="C32" t="n">
        <v>21.94</v>
      </c>
      <c r="D32" t="b">
        <v>0</v>
      </c>
      <c r="E32" t="b">
        <v>1</v>
      </c>
      <c r="F32" t="n">
        <v>1</v>
      </c>
      <c r="G32" t="n">
        <v>1.6</v>
      </c>
      <c r="H32" t="n">
        <v>0</v>
      </c>
      <c r="I32" t="b">
        <v>0</v>
      </c>
      <c r="J32" t="inlineStr">
        <is>
          <t>01_chien_dau/Vu_khi_suy_ra (id p26_behemoth_sec_be_rockets)</t>
        </is>
      </c>
      <c r="K32" t="inlineStr"/>
    </row>
    <row r="33">
      <c r="A33" t="inlineStr">
        <is>
          <t>p26_behemoth_tiny_be120</t>
        </is>
      </c>
      <c r="B33" t="n">
        <v>34.66666666666666</v>
      </c>
      <c r="C33" t="n">
        <v>7.5</v>
      </c>
      <c r="D33" t="b">
        <v>0</v>
      </c>
      <c r="E33" t="b">
        <v>1</v>
      </c>
      <c r="F33" t="n">
        <v>1.2</v>
      </c>
      <c r="G33" t="n">
        <v>0.7</v>
      </c>
      <c r="H33" t="n">
        <v>0</v>
      </c>
      <c r="I33" t="b">
        <v>1</v>
      </c>
      <c r="J33" t="inlineStr">
        <is>
          <t>01_chien_dau/Vu_khi_suy_ra (id p26_behemoth_tiny_be120)</t>
        </is>
      </c>
      <c r="K33" t="inlineStr"/>
    </row>
    <row r="34">
      <c r="A34" t="inlineStr">
        <is>
          <t>p26_behemoth_tiny_boss_missiles</t>
        </is>
      </c>
      <c r="B34" t="n">
        <v>11.5</v>
      </c>
      <c r="C34" t="n">
        <v>20</v>
      </c>
      <c r="D34" t="b">
        <v>0</v>
      </c>
      <c r="E34" t="b">
        <v>1</v>
      </c>
      <c r="F34" t="n">
        <v>1.3</v>
      </c>
      <c r="G34" t="n">
        <v>0.45</v>
      </c>
      <c r="H34" t="n">
        <v>0</v>
      </c>
      <c r="I34" t="b">
        <v>0</v>
      </c>
      <c r="J34" t="inlineStr">
        <is>
          <t>01_chien_dau/Vu_khi_suy_ra (id p26_behemoth_tiny_boss_missiles)</t>
        </is>
      </c>
      <c r="K34" t="inlineStr"/>
    </row>
    <row r="35">
      <c r="A35" t="inlineStr">
        <is>
          <t>p26_behemoth_tiny_kornet_twin</t>
        </is>
      </c>
      <c r="B35" t="n">
        <v>23.71134020618557</v>
      </c>
      <c r="C35" t="n">
        <v>9.699999999999999</v>
      </c>
      <c r="D35" t="b">
        <v>0</v>
      </c>
      <c r="E35" t="b">
        <v>1</v>
      </c>
      <c r="F35" t="n">
        <v>1.2</v>
      </c>
      <c r="G35" t="n">
        <v>0.7</v>
      </c>
      <c r="H35" t="n">
        <v>0</v>
      </c>
      <c r="I35" t="b">
        <v>1</v>
      </c>
      <c r="J35" t="inlineStr">
        <is>
          <t>01_chien_dau/Vu_khi_suy_ra (id p26_behemoth_tiny_kornet_twin)</t>
        </is>
      </c>
      <c r="K35" t="inlineStr"/>
    </row>
    <row r="36">
      <c r="A36" t="inlineStr">
        <is>
          <t>p26_daedalus_direct_dae_laser</t>
        </is>
      </c>
      <c r="B36" t="n">
        <v>165</v>
      </c>
      <c r="C36" t="n">
        <v>0.1</v>
      </c>
      <c r="D36" t="b">
        <v>0</v>
      </c>
      <c r="E36" t="b">
        <v>1</v>
      </c>
      <c r="F36" t="n">
        <v>0.9</v>
      </c>
      <c r="G36" t="n">
        <v>0.4</v>
      </c>
      <c r="H36" t="n">
        <v>0</v>
      </c>
      <c r="I36" t="b">
        <v>0</v>
      </c>
      <c r="J36" t="inlineStr">
        <is>
          <t>01_chien_dau/Vu_khi_suy_ra (id p26_daedalus_direct_dae_laser)</t>
        </is>
      </c>
      <c r="K36" t="inlineStr"/>
    </row>
    <row r="37">
      <c r="A37" t="inlineStr">
        <is>
          <t>p26_icarus_close_autocannon_40</t>
        </is>
      </c>
      <c r="B37" t="n">
        <v>90.36144578313252</v>
      </c>
      <c r="C37" t="n">
        <v>3.32</v>
      </c>
      <c r="D37" t="b">
        <v>0</v>
      </c>
      <c r="E37" t="b">
        <v>1</v>
      </c>
      <c r="F37" t="n">
        <v>1.2</v>
      </c>
      <c r="G37" t="n">
        <v>0.7</v>
      </c>
      <c r="H37" t="n">
        <v>0</v>
      </c>
      <c r="I37" t="b">
        <v>1</v>
      </c>
      <c r="J37" t="inlineStr">
        <is>
          <t>01_chien_dau/Vu_khi_suy_ra (id p26_icarus_close_autocannon_40)</t>
        </is>
      </c>
      <c r="K37" t="inlineStr"/>
    </row>
    <row r="38">
      <c r="A38" t="inlineStr">
        <is>
          <t>p26_icarus_direct_ic_laser</t>
        </is>
      </c>
      <c r="B38" t="n">
        <v>160</v>
      </c>
      <c r="C38" t="n">
        <v>0.1</v>
      </c>
      <c r="D38" t="b">
        <v>0</v>
      </c>
      <c r="E38" t="b">
        <v>1</v>
      </c>
      <c r="F38" t="n">
        <v>0.9</v>
      </c>
      <c r="G38" t="n">
        <v>0.4</v>
      </c>
      <c r="H38" t="n">
        <v>0</v>
      </c>
      <c r="I38" t="b">
        <v>0</v>
      </c>
      <c r="J38" t="inlineStr">
        <is>
          <t>01_chien_dau/Vu_khi_suy_ra (id p26_icarus_direct_ic_laser)</t>
        </is>
      </c>
      <c r="K38" t="inlineStr"/>
    </row>
    <row r="39">
      <c r="A39" t="inlineStr">
        <is>
          <t>p26_icarus_main_ic_coil</t>
        </is>
      </c>
      <c r="B39" t="n">
        <v>300</v>
      </c>
      <c r="C39" t="n">
        <v>5</v>
      </c>
      <c r="D39" t="b">
        <v>0</v>
      </c>
      <c r="E39" t="b">
        <v>1</v>
      </c>
      <c r="F39" t="n">
        <v>1.2</v>
      </c>
      <c r="G39" t="n">
        <v>0.7</v>
      </c>
      <c r="H39" t="n">
        <v>0</v>
      </c>
      <c r="I39" t="b">
        <v>1</v>
      </c>
      <c r="J39" t="inlineStr">
        <is>
          <t>01_chien_dau/Vu_khi_suy_ra (id p26_icarus_main_ic_coil)</t>
        </is>
      </c>
      <c r="K39" t="inlineStr"/>
    </row>
    <row r="40">
      <c r="A40" t="inlineStr">
        <is>
          <t>p26_icarus_sec_orbital_laser</t>
        </is>
      </c>
      <c r="B40" t="n">
        <v>400</v>
      </c>
      <c r="C40" t="n">
        <v>0.1</v>
      </c>
      <c r="D40" t="b">
        <v>0</v>
      </c>
      <c r="E40" t="b">
        <v>1</v>
      </c>
      <c r="F40" t="n">
        <v>0.9</v>
      </c>
      <c r="G40" t="n">
        <v>0.4</v>
      </c>
      <c r="H40" t="n">
        <v>0</v>
      </c>
      <c r="I40" t="b">
        <v>0</v>
      </c>
      <c r="J40" t="inlineStr">
        <is>
          <t>01_chien_dau/Vu_khi_suy_ra (id p26_icarus_sec_orbital_laser)</t>
        </is>
      </c>
      <c r="K40" t="inlineStr"/>
    </row>
    <row r="41">
      <c r="A41" t="inlineStr">
        <is>
          <t>p26_ixion_125</t>
        </is>
      </c>
      <c r="B41" t="n">
        <v>53.33333333333334</v>
      </c>
      <c r="C41" t="n">
        <v>7.5</v>
      </c>
      <c r="D41" t="b">
        <v>0</v>
      </c>
      <c r="E41" t="b">
        <v>1</v>
      </c>
      <c r="F41" t="n">
        <v>1.2</v>
      </c>
      <c r="G41" t="n">
        <v>0.7</v>
      </c>
      <c r="H41" t="n">
        <v>0</v>
      </c>
      <c r="I41" t="b">
        <v>1</v>
      </c>
      <c r="J41" t="inlineStr">
        <is>
          <t>01_chien_dau/Vu_khi_suy_ra (id p26_ixion_125)</t>
        </is>
      </c>
      <c r="K41" t="inlineStr"/>
    </row>
    <row r="42">
      <c r="A42" t="inlineStr">
        <is>
          <t>p26_ixion_mg</t>
        </is>
      </c>
      <c r="B42" t="n">
        <v>113.235749280953</v>
      </c>
      <c r="C42" t="n">
        <v>13.2467</v>
      </c>
      <c r="D42" t="b">
        <v>0</v>
      </c>
      <c r="E42" t="b">
        <v>1</v>
      </c>
      <c r="F42" t="n">
        <v>1.2</v>
      </c>
      <c r="G42" t="n">
        <v>0.7</v>
      </c>
      <c r="H42" t="n">
        <v>0</v>
      </c>
      <c r="I42" t="b">
        <v>1</v>
      </c>
      <c r="J42" t="inlineStr">
        <is>
          <t>01_chien_dau/Vu_khi_suy_ra (id p26_ixion_mg)</t>
        </is>
      </c>
      <c r="K42" t="inlineStr"/>
    </row>
    <row r="43">
      <c r="A43" t="inlineStr">
        <is>
          <t>p26_jotunn_close_boss_flak</t>
        </is>
      </c>
      <c r="B43" t="n">
        <v>190.5204460966543</v>
      </c>
      <c r="C43" t="n">
        <v>5.38</v>
      </c>
      <c r="D43" t="b">
        <v>0</v>
      </c>
      <c r="E43" t="b">
        <v>1</v>
      </c>
      <c r="F43" t="n">
        <v>0.45</v>
      </c>
      <c r="G43" t="n">
        <v>0.1</v>
      </c>
      <c r="H43" t="n">
        <v>0</v>
      </c>
      <c r="I43" t="b">
        <v>0</v>
      </c>
      <c r="J43" t="inlineStr">
        <is>
          <t>01_chien_dau/Vu_khi_suy_ra (id p26_jotunn_close_boss_flak)</t>
        </is>
      </c>
      <c r="K43" t="inlineStr"/>
    </row>
    <row r="44">
      <c r="A44" t="inlineStr">
        <is>
          <t>p26_jotunn_direct_jo125</t>
        </is>
      </c>
      <c r="B44" t="n">
        <v>53.33333333333334</v>
      </c>
      <c r="C44" t="n">
        <v>7.5</v>
      </c>
      <c r="D44" t="b">
        <v>0</v>
      </c>
      <c r="E44" t="b">
        <v>1</v>
      </c>
      <c r="F44" t="n">
        <v>1.2</v>
      </c>
      <c r="G44" t="n">
        <v>0.7</v>
      </c>
      <c r="H44" t="n">
        <v>0</v>
      </c>
      <c r="I44" t="b">
        <v>1</v>
      </c>
      <c r="J44" t="inlineStr">
        <is>
          <t>01_chien_dau/Vu_khi_suy_ra (id p26_jotunn_direct_jo125)</t>
        </is>
      </c>
      <c r="K44" t="inlineStr"/>
    </row>
    <row r="45">
      <c r="A45" t="inlineStr">
        <is>
          <t>p26_jotunn_jo203</t>
        </is>
      </c>
      <c r="B45" t="n">
        <v>37.5</v>
      </c>
      <c r="C45" t="n">
        <v>24</v>
      </c>
      <c r="D45" t="b">
        <v>0</v>
      </c>
      <c r="E45" t="b">
        <v>1</v>
      </c>
      <c r="F45" t="n">
        <v>1</v>
      </c>
      <c r="G45" t="n">
        <v>1.6</v>
      </c>
      <c r="H45" t="n">
        <v>2.5</v>
      </c>
      <c r="I45" t="b">
        <v>0</v>
      </c>
      <c r="J45" t="inlineStr">
        <is>
          <t>01_chien_dau/Vu_khi_suy_ra (id p26_jotunn_jo203)</t>
        </is>
      </c>
      <c r="K45" t="inlineStr"/>
    </row>
    <row r="46">
      <c r="A46" t="inlineStr">
        <is>
          <t>p26_jotunn_sec_jo_rockets</t>
        </is>
      </c>
      <c r="B46" t="n">
        <v>94.86166007905139</v>
      </c>
      <c r="C46" t="n">
        <v>37.95</v>
      </c>
      <c r="D46" t="b">
        <v>0</v>
      </c>
      <c r="E46" t="b">
        <v>1</v>
      </c>
      <c r="F46" t="n">
        <v>1</v>
      </c>
      <c r="G46" t="n">
        <v>1.6</v>
      </c>
      <c r="H46" t="n">
        <v>2.5</v>
      </c>
      <c r="I46" t="b">
        <v>0</v>
      </c>
      <c r="J46" t="inlineStr">
        <is>
          <t>01_chien_dau/Vu_khi_suy_ra (id p26_jotunn_sec_jo_rockets)</t>
        </is>
      </c>
      <c r="K46" t="inlineStr"/>
    </row>
    <row r="47">
      <c r="A47" t="inlineStr">
        <is>
          <t>p26_jotunn_tiny_twin_30_flak</t>
        </is>
      </c>
      <c r="B47" t="n">
        <v>504.6594982078853</v>
      </c>
      <c r="C47" t="n">
        <v>6.975</v>
      </c>
      <c r="D47" t="b">
        <v>0</v>
      </c>
      <c r="E47" t="b">
        <v>1</v>
      </c>
      <c r="F47" t="n">
        <v>0.45</v>
      </c>
      <c r="G47" t="n">
        <v>0.1</v>
      </c>
      <c r="H47" t="n">
        <v>0</v>
      </c>
      <c r="I47" t="b">
        <v>0</v>
      </c>
      <c r="J47" t="inlineStr">
        <is>
          <t>01_chien_dau/Vu_khi_suy_ra (id p26_jotunn_tiny_twin_30_flak)</t>
        </is>
      </c>
      <c r="K47" t="inlineStr"/>
    </row>
    <row r="48">
      <c r="A48" t="inlineStr">
        <is>
          <t>p26_leviathan_direct_lev127</t>
        </is>
      </c>
      <c r="B48" t="n">
        <v>126.6666666666667</v>
      </c>
      <c r="C48" t="n">
        <v>3</v>
      </c>
      <c r="D48" t="b">
        <v>0</v>
      </c>
      <c r="E48" t="b">
        <v>1</v>
      </c>
      <c r="F48" t="n">
        <v>1.2</v>
      </c>
      <c r="G48" t="n">
        <v>0.7</v>
      </c>
      <c r="H48" t="n">
        <v>0</v>
      </c>
      <c r="I48" t="b">
        <v>1</v>
      </c>
      <c r="J48" t="inlineStr">
        <is>
          <t>01_chien_dau/Vu_khi_suy_ra (id p26_leviathan_direct_lev127)</t>
        </is>
      </c>
      <c r="K48" t="inlineStr"/>
    </row>
    <row r="49">
      <c r="A49" t="inlineStr">
        <is>
          <t>p26_leviathan_lev406</t>
        </is>
      </c>
      <c r="B49" t="n">
        <v>120</v>
      </c>
      <c r="C49" t="n">
        <v>60</v>
      </c>
      <c r="D49" t="b">
        <v>0</v>
      </c>
      <c r="E49" t="b">
        <v>1</v>
      </c>
      <c r="F49" t="n">
        <v>1</v>
      </c>
      <c r="G49" t="n">
        <v>1.6</v>
      </c>
      <c r="H49" t="n">
        <v>3.611111111111111</v>
      </c>
      <c r="I49" t="b">
        <v>0</v>
      </c>
      <c r="J49" t="inlineStr">
        <is>
          <t>01_chien_dau/Vu_khi_suy_ra (id p26_leviathan_lev406)</t>
        </is>
      </c>
      <c r="K49" t="inlineStr"/>
    </row>
    <row r="50">
      <c r="A50" t="inlineStr">
        <is>
          <t>p26_leviathan_sec_lev155</t>
        </is>
      </c>
      <c r="B50" t="n">
        <v>171.4285714285714</v>
      </c>
      <c r="C50" t="n">
        <v>10.5</v>
      </c>
      <c r="D50" t="b">
        <v>0</v>
      </c>
      <c r="E50" t="b">
        <v>1</v>
      </c>
      <c r="F50" t="n">
        <v>1</v>
      </c>
      <c r="G50" t="n">
        <v>1.6</v>
      </c>
      <c r="H50" t="n">
        <v>0</v>
      </c>
      <c r="I50" t="b">
        <v>0</v>
      </c>
      <c r="J50" t="inlineStr">
        <is>
          <t>01_chien_dau/Vu_khi_suy_ra (id p26_leviathan_sec_lev155)</t>
        </is>
      </c>
      <c r="K50" t="inlineStr"/>
    </row>
    <row r="51">
      <c r="A51" t="inlineStr">
        <is>
          <t>p26_matriarch_close_boss_flak</t>
        </is>
      </c>
      <c r="B51" t="n">
        <v>190.5204460966543</v>
      </c>
      <c r="C51" t="n">
        <v>5.38</v>
      </c>
      <c r="D51" t="b">
        <v>0</v>
      </c>
      <c r="E51" t="b">
        <v>1</v>
      </c>
      <c r="F51" t="n">
        <v>0.45</v>
      </c>
      <c r="G51" t="n">
        <v>0.1</v>
      </c>
      <c r="H51" t="n">
        <v>0</v>
      </c>
      <c r="I51" t="b">
        <v>0</v>
      </c>
      <c r="J51" t="inlineStr">
        <is>
          <t>01_chien_dau/Vu_khi_suy_ra (id p26_matriarch_close_boss_flak)</t>
        </is>
      </c>
      <c r="K51" t="inlineStr"/>
    </row>
    <row r="52">
      <c r="A52" t="inlineStr">
        <is>
          <t>p26_matriarch_direct_ma_atgm</t>
        </is>
      </c>
      <c r="B52" t="n">
        <v>11.5</v>
      </c>
      <c r="C52" t="n">
        <v>20</v>
      </c>
      <c r="D52" t="b">
        <v>0</v>
      </c>
      <c r="E52" t="b">
        <v>1</v>
      </c>
      <c r="F52" t="n">
        <v>1.3</v>
      </c>
      <c r="G52" t="n">
        <v>0.45</v>
      </c>
      <c r="H52" t="n">
        <v>0</v>
      </c>
      <c r="I52" t="b">
        <v>0</v>
      </c>
      <c r="J52" t="inlineStr">
        <is>
          <t>01_chien_dau/Vu_khi_suy_ra (id p26_matriarch_direct_ma_atgm)</t>
        </is>
      </c>
      <c r="K52" t="inlineStr"/>
    </row>
    <row r="53">
      <c r="A53" t="inlineStr">
        <is>
          <t>p26_matriarch_ma_drones</t>
        </is>
      </c>
      <c r="B53" t="n">
        <v>384</v>
      </c>
      <c r="C53" t="n">
        <v>5</v>
      </c>
      <c r="D53" t="b">
        <v>1</v>
      </c>
      <c r="E53" t="b">
        <v>1</v>
      </c>
      <c r="F53" t="n">
        <v>1.3</v>
      </c>
      <c r="G53" t="n">
        <v>0.45</v>
      </c>
      <c r="H53" t="n">
        <v>0</v>
      </c>
      <c r="I53" t="b">
        <v>0</v>
      </c>
      <c r="J53" t="inlineStr">
        <is>
          <t>01_chien_dau/Vu_khi_suy_ra (id p26_matriarch_ma_drones)</t>
        </is>
      </c>
      <c r="K53" t="inlineStr"/>
    </row>
    <row r="54">
      <c r="A54" t="inlineStr">
        <is>
          <t>p26_matriarch_sec_autocannon_30</t>
        </is>
      </c>
      <c r="B54" t="n">
        <v>88.00352014080562</v>
      </c>
      <c r="C54" t="n">
        <v>2.4999</v>
      </c>
      <c r="D54" t="b">
        <v>0</v>
      </c>
      <c r="E54" t="b">
        <v>1</v>
      </c>
      <c r="F54" t="n">
        <v>1.2</v>
      </c>
      <c r="G54" t="n">
        <v>0.7</v>
      </c>
      <c r="H54" t="n">
        <v>0</v>
      </c>
      <c r="I54" t="b">
        <v>1</v>
      </c>
      <c r="J54" t="inlineStr">
        <is>
          <t>01_chien_dau/Vu_khi_suy_ra (id p26_matriarch_sec_autocannon_30)</t>
        </is>
      </c>
      <c r="K54" t="inlineStr"/>
    </row>
    <row r="55">
      <c r="A55" t="inlineStr">
        <is>
          <t>p26_matriarch_tiny_mothership_cannon</t>
        </is>
      </c>
      <c r="B55" t="n">
        <v>111.8881118881119</v>
      </c>
      <c r="C55" t="n">
        <v>4.29</v>
      </c>
      <c r="D55" t="b">
        <v>0</v>
      </c>
      <c r="E55" t="b">
        <v>1</v>
      </c>
      <c r="F55" t="n">
        <v>1</v>
      </c>
      <c r="G55" t="n">
        <v>1.6</v>
      </c>
      <c r="H55" t="n">
        <v>0</v>
      </c>
      <c r="I55" t="b">
        <v>0</v>
      </c>
      <c r="J55" t="inlineStr">
        <is>
          <t>01_chien_dau/Vu_khi_suy_ra (id p26_matriarch_tiny_mothership_cannon)</t>
        </is>
      </c>
      <c r="K55" t="inlineStr"/>
    </row>
    <row r="56">
      <c r="A56" t="inlineStr">
        <is>
          <t>p26_moloch_close_boss_flak</t>
        </is>
      </c>
      <c r="B56" t="n">
        <v>190.5204460966543</v>
      </c>
      <c r="C56" t="n">
        <v>5.38</v>
      </c>
      <c r="D56" t="b">
        <v>0</v>
      </c>
      <c r="E56" t="b">
        <v>1</v>
      </c>
      <c r="F56" t="n">
        <v>0.45</v>
      </c>
      <c r="G56" t="n">
        <v>0.1</v>
      </c>
      <c r="H56" t="n">
        <v>0</v>
      </c>
      <c r="I56" t="b">
        <v>0</v>
      </c>
      <c r="J56" t="inlineStr">
        <is>
          <t>01_chien_dau/Vu_khi_suy_ra (id p26_moloch_close_boss_flak)</t>
        </is>
      </c>
      <c r="K56" t="inlineStr"/>
    </row>
    <row r="57">
      <c r="A57" t="inlineStr">
        <is>
          <t>p26_moloch_direct_mo120ap</t>
        </is>
      </c>
      <c r="B57" t="n">
        <v>69.33333333333333</v>
      </c>
      <c r="C57" t="n">
        <v>7.5</v>
      </c>
      <c r="D57" t="b">
        <v>0</v>
      </c>
      <c r="E57" t="b">
        <v>1</v>
      </c>
      <c r="F57" t="n">
        <v>1.2</v>
      </c>
      <c r="G57" t="n">
        <v>0.7</v>
      </c>
      <c r="H57" t="n">
        <v>0</v>
      </c>
      <c r="I57" t="b">
        <v>1</v>
      </c>
      <c r="J57" t="inlineStr">
        <is>
          <t>01_chien_dau/Vu_khi_suy_ra (id p26_moloch_direct_mo120ap)</t>
        </is>
      </c>
      <c r="K57" t="inlineStr"/>
    </row>
    <row r="58">
      <c r="A58" t="inlineStr">
        <is>
          <t>p26_moloch_main_mo120</t>
        </is>
      </c>
      <c r="B58" t="n">
        <v>90.66666666666667</v>
      </c>
      <c r="C58" t="n">
        <v>7.5</v>
      </c>
      <c r="D58" t="b">
        <v>0</v>
      </c>
      <c r="E58" t="b">
        <v>1</v>
      </c>
      <c r="F58" t="n">
        <v>1</v>
      </c>
      <c r="G58" t="n">
        <v>1.6</v>
      </c>
      <c r="H58" t="n">
        <v>0</v>
      </c>
      <c r="I58" t="b">
        <v>0</v>
      </c>
      <c r="J58" t="inlineStr">
        <is>
          <t>01_chien_dau/Vu_khi_suy_ra (id p26_moloch_main_mo120)</t>
        </is>
      </c>
      <c r="K58" t="inlineStr"/>
    </row>
    <row r="59">
      <c r="A59" t="inlineStr">
        <is>
          <t>p26_moloch_tiny_zu23</t>
        </is>
      </c>
      <c r="B59" t="n">
        <v>70.56451612903226</v>
      </c>
      <c r="C59" t="n">
        <v>4.96</v>
      </c>
      <c r="D59" t="b">
        <v>0</v>
      </c>
      <c r="E59" t="b">
        <v>1</v>
      </c>
      <c r="F59" t="n">
        <v>0.45</v>
      </c>
      <c r="G59" t="n">
        <v>0.1</v>
      </c>
      <c r="H59" t="n">
        <v>0</v>
      </c>
      <c r="I59" t="b">
        <v>0</v>
      </c>
      <c r="J59" t="inlineStr">
        <is>
          <t>01_chien_dau/Vu_khi_suy_ra (id p26_moloch_tiny_zu23)</t>
        </is>
      </c>
      <c r="K59" t="inlineStr"/>
    </row>
    <row r="60">
      <c r="A60" t="inlineStr">
        <is>
          <t>p26_nemesis_close_boss_flak</t>
        </is>
      </c>
      <c r="B60" t="n">
        <v>190.5204460966543</v>
      </c>
      <c r="C60" t="n">
        <v>5.38</v>
      </c>
      <c r="D60" t="b">
        <v>0</v>
      </c>
      <c r="E60" t="b">
        <v>1</v>
      </c>
      <c r="F60" t="n">
        <v>0.45</v>
      </c>
      <c r="G60" t="n">
        <v>0.1</v>
      </c>
      <c r="H60" t="n">
        <v>0</v>
      </c>
      <c r="I60" t="b">
        <v>0</v>
      </c>
      <c r="J60" t="inlineStr">
        <is>
          <t>01_chien_dau/Vu_khi_suy_ra (id p26_nemesis_close_boss_flak)</t>
        </is>
      </c>
      <c r="K60" t="inlineStr"/>
    </row>
    <row r="61">
      <c r="A61" t="inlineStr">
        <is>
          <t>p26_nemesis_direct_ne125</t>
        </is>
      </c>
      <c r="B61" t="n">
        <v>53.33333333333334</v>
      </c>
      <c r="C61" t="n">
        <v>7.5</v>
      </c>
      <c r="D61" t="b">
        <v>0</v>
      </c>
      <c r="E61" t="b">
        <v>1</v>
      </c>
      <c r="F61" t="n">
        <v>1.2</v>
      </c>
      <c r="G61" t="n">
        <v>0.7</v>
      </c>
      <c r="H61" t="n">
        <v>0</v>
      </c>
      <c r="I61" t="b">
        <v>1</v>
      </c>
      <c r="J61" t="inlineStr">
        <is>
          <t>01_chien_dau/Vu_khi_suy_ra (id p26_nemesis_direct_ne125)</t>
        </is>
      </c>
      <c r="K61" t="inlineStr"/>
    </row>
    <row r="62">
      <c r="A62" t="inlineStr">
        <is>
          <t>p26_nemesis_main_ne152</t>
        </is>
      </c>
      <c r="B62" t="n">
        <v>80</v>
      </c>
      <c r="C62" t="n">
        <v>7.5</v>
      </c>
      <c r="D62" t="b">
        <v>0</v>
      </c>
      <c r="E62" t="b">
        <v>1</v>
      </c>
      <c r="F62" t="n">
        <v>1</v>
      </c>
      <c r="G62" t="n">
        <v>1.6</v>
      </c>
      <c r="H62" t="n">
        <v>0</v>
      </c>
      <c r="I62" t="b">
        <v>0</v>
      </c>
      <c r="J62" t="inlineStr">
        <is>
          <t>01_chien_dau/Vu_khi_suy_ra (id p26_nemesis_main_ne152)</t>
        </is>
      </c>
      <c r="K62" t="inlineStr"/>
    </row>
    <row r="63">
      <c r="A63" t="inlineStr">
        <is>
          <t>p26_nemesis_sec_boss_rockets</t>
        </is>
      </c>
      <c r="B63" t="n">
        <v>364.6308113035551</v>
      </c>
      <c r="C63" t="n">
        <v>21.94</v>
      </c>
      <c r="D63" t="b">
        <v>0</v>
      </c>
      <c r="E63" t="b">
        <v>1</v>
      </c>
      <c r="F63" t="n">
        <v>1</v>
      </c>
      <c r="G63" t="n">
        <v>1.6</v>
      </c>
      <c r="H63" t="n">
        <v>0</v>
      </c>
      <c r="I63" t="b">
        <v>0</v>
      </c>
      <c r="J63" t="inlineStr">
        <is>
          <t>01_chien_dau/Vu_khi_suy_ra (id p26_nemesis_sec_boss_rockets)</t>
        </is>
      </c>
      <c r="K63" t="inlineStr"/>
    </row>
    <row r="64">
      <c r="A64" t="inlineStr">
        <is>
          <t>p26_roc_close_twin_30_bmpt</t>
        </is>
      </c>
      <c r="B64" t="n">
        <v>111.5665807378608</v>
      </c>
      <c r="C64" t="n">
        <v>2.3663</v>
      </c>
      <c r="D64" t="b">
        <v>0</v>
      </c>
      <c r="E64" t="b">
        <v>1</v>
      </c>
      <c r="F64" t="n">
        <v>1.2</v>
      </c>
      <c r="G64" t="n">
        <v>0.7</v>
      </c>
      <c r="H64" t="n">
        <v>0</v>
      </c>
      <c r="I64" t="b">
        <v>1</v>
      </c>
      <c r="J64" t="inlineStr">
        <is>
          <t>01_chien_dau/Vu_khi_suy_ra (id p26_roc_close_twin_30_bmpt)</t>
        </is>
      </c>
      <c r="K64" t="inlineStr"/>
    </row>
    <row r="65">
      <c r="A65" t="inlineStr">
        <is>
          <t>p26_roc_direct_roc_atgm</t>
        </is>
      </c>
      <c r="B65" t="n">
        <v>23</v>
      </c>
      <c r="C65" t="n">
        <v>20</v>
      </c>
      <c r="D65" t="b">
        <v>0</v>
      </c>
      <c r="E65" t="b">
        <v>1</v>
      </c>
      <c r="F65" t="n">
        <v>1.3</v>
      </c>
      <c r="G65" t="n">
        <v>0.45</v>
      </c>
      <c r="H65" t="n">
        <v>0</v>
      </c>
      <c r="I65" t="b">
        <v>0</v>
      </c>
      <c r="J65" t="inlineStr">
        <is>
          <t>01_chien_dau/Vu_khi_suy_ra (id p26_roc_direct_roc_atgm)</t>
        </is>
      </c>
      <c r="K65" t="inlineStr"/>
    </row>
    <row r="66">
      <c r="A66" t="inlineStr">
        <is>
          <t>p26_roc_main_roc_bombs</t>
        </is>
      </c>
      <c r="B66" t="n">
        <v>158.0135440180587</v>
      </c>
      <c r="C66" t="n">
        <v>35.44</v>
      </c>
      <c r="D66" t="b">
        <v>1</v>
      </c>
      <c r="E66" t="b">
        <v>1</v>
      </c>
      <c r="F66" t="n">
        <v>1</v>
      </c>
      <c r="G66" t="n">
        <v>1.6</v>
      </c>
      <c r="H66" t="n">
        <v>2.722222222222222</v>
      </c>
      <c r="I66" t="b">
        <v>0</v>
      </c>
      <c r="J66" t="inlineStr">
        <is>
          <t>01_chien_dau/Vu_khi_suy_ra (id p26_roc_main_roc_bombs)</t>
        </is>
      </c>
      <c r="K66" t="inlineStr"/>
    </row>
    <row r="67">
      <c r="A67" t="inlineStr">
        <is>
          <t>p26_roc_roc105</t>
        </is>
      </c>
      <c r="B67" t="n">
        <v>50</v>
      </c>
      <c r="C67" t="n">
        <v>6</v>
      </c>
      <c r="D67" t="b">
        <v>0</v>
      </c>
      <c r="E67" t="b">
        <v>1</v>
      </c>
      <c r="F67" t="n">
        <v>1</v>
      </c>
      <c r="G67" t="n">
        <v>1.6</v>
      </c>
      <c r="H67" t="n">
        <v>0</v>
      </c>
      <c r="I67" t="b">
        <v>0</v>
      </c>
      <c r="J67" t="inlineStr">
        <is>
          <t>01_chien_dau/Vu_khi_suy_ra (id p26_roc_roc105)</t>
        </is>
      </c>
      <c r="K67" t="inlineStr"/>
    </row>
    <row r="68">
      <c r="A68" t="inlineStr">
        <is>
          <t>p26_typhon_direct_ty100</t>
        </is>
      </c>
      <c r="B68" t="n">
        <v>171.4285714285714</v>
      </c>
      <c r="C68" t="n">
        <v>3.5</v>
      </c>
      <c r="D68" t="b">
        <v>0</v>
      </c>
      <c r="E68" t="b">
        <v>1</v>
      </c>
      <c r="F68" t="n">
        <v>1</v>
      </c>
      <c r="G68" t="n">
        <v>1.6</v>
      </c>
      <c r="H68" t="n">
        <v>0</v>
      </c>
      <c r="I68" t="b">
        <v>0</v>
      </c>
      <c r="J68" t="inlineStr">
        <is>
          <t>01_chien_dau/Vu_khi_suy_ra (id p26_typhon_direct_ty100)</t>
        </is>
      </c>
      <c r="K68" t="inlineStr"/>
    </row>
    <row r="69">
      <c r="A69" t="inlineStr">
        <is>
          <t>p26_typhon_sec_ty57</t>
        </is>
      </c>
      <c r="B69" t="n">
        <v>223.7762237762238</v>
      </c>
      <c r="C69" t="n">
        <v>4.29</v>
      </c>
      <c r="D69" t="b">
        <v>0</v>
      </c>
      <c r="E69" t="b">
        <v>1</v>
      </c>
      <c r="F69" t="n">
        <v>1</v>
      </c>
      <c r="G69" t="n">
        <v>1.6</v>
      </c>
      <c r="H69" t="n">
        <v>0</v>
      </c>
      <c r="I69" t="b">
        <v>0</v>
      </c>
      <c r="J69" t="inlineStr">
        <is>
          <t>01_chien_dau/Vu_khi_suy_ra (id p26_typhon_sec_ty57)</t>
        </is>
      </c>
      <c r="K69" t="inlineStr"/>
    </row>
    <row r="70">
      <c r="A70" t="inlineStr">
        <is>
          <t>pt14_co_203</t>
        </is>
      </c>
      <c r="B70" t="n">
        <v>85.71428571428571</v>
      </c>
      <c r="C70" t="n">
        <v>21</v>
      </c>
      <c r="D70" t="b">
        <v>0</v>
      </c>
      <c r="E70" t="b">
        <v>1</v>
      </c>
      <c r="F70" t="n">
        <v>1</v>
      </c>
      <c r="G70" t="n">
        <v>1.6</v>
      </c>
      <c r="H70" t="n">
        <v>2.5</v>
      </c>
      <c r="I70" t="b">
        <v>0</v>
      </c>
      <c r="J70" t="inlineStr">
        <is>
          <t>01_chien_dau/Vu_khi_suy_ra (id pt14_co_203)</t>
        </is>
      </c>
      <c r="K70" t="inlineStr"/>
    </row>
    <row r="71">
      <c r="A71" t="inlineStr">
        <is>
          <t>pt14_co_spike</t>
        </is>
      </c>
      <c r="B71" t="n">
        <v>46.875</v>
      </c>
      <c r="C71" t="n">
        <v>12.8</v>
      </c>
      <c r="D71" t="b">
        <v>0</v>
      </c>
      <c r="E71" t="b">
        <v>1</v>
      </c>
      <c r="F71" t="n">
        <v>1.3</v>
      </c>
      <c r="G71" t="n">
        <v>0.45</v>
      </c>
      <c r="H71" t="n">
        <v>0</v>
      </c>
      <c r="I71" t="b">
        <v>0</v>
      </c>
      <c r="J71" t="inlineStr">
        <is>
          <t>01_chien_dau/Vu_khi_suy_ra (id pt14_co_spike)</t>
        </is>
      </c>
      <c r="K71" t="inlineStr"/>
    </row>
    <row r="72">
      <c r="A72" t="inlineStr">
        <is>
          <t>pt14_co_v76</t>
        </is>
      </c>
      <c r="B72" t="n">
        <v>117.0731707317073</v>
      </c>
      <c r="C72" t="n">
        <v>4.1</v>
      </c>
      <c r="D72" t="b">
        <v>0</v>
      </c>
      <c r="E72" t="b">
        <v>1</v>
      </c>
      <c r="F72" t="n">
        <v>1</v>
      </c>
      <c r="G72" t="n">
        <v>1.6</v>
      </c>
      <c r="H72" t="n">
        <v>0</v>
      </c>
      <c r="I72" t="b">
        <v>0</v>
      </c>
      <c r="J72" t="inlineStr">
        <is>
          <t>01_chien_dau/Vu_khi_suy_ra (id pt14_co_v76)</t>
        </is>
      </c>
      <c r="K72" t="inlineStr"/>
    </row>
    <row r="73">
      <c r="A73" t="inlineStr">
        <is>
          <t>pt14_dd_v25</t>
        </is>
      </c>
      <c r="B73" t="n">
        <v>73.68421052631578</v>
      </c>
      <c r="C73" t="n">
        <v>2.85</v>
      </c>
      <c r="D73" t="b">
        <v>0</v>
      </c>
      <c r="E73" t="b">
        <v>1</v>
      </c>
      <c r="F73" t="n">
        <v>1.2</v>
      </c>
      <c r="G73" t="n">
        <v>0.7</v>
      </c>
      <c r="H73" t="n">
        <v>0</v>
      </c>
      <c r="I73" t="b">
        <v>1</v>
      </c>
      <c r="J73" t="inlineStr">
        <is>
          <t>01_chien_dau/Vu_khi_suy_ra (id pt14_dd_v25)</t>
        </is>
      </c>
      <c r="K73" t="inlineStr"/>
    </row>
    <row r="74">
      <c r="A74" t="inlineStr">
        <is>
          <t>pt14_dd_v57</t>
        </is>
      </c>
      <c r="B74" t="n">
        <v>223.7762237762238</v>
      </c>
      <c r="C74" t="n">
        <v>4.29</v>
      </c>
      <c r="D74" t="b">
        <v>0</v>
      </c>
      <c r="E74" t="b">
        <v>1</v>
      </c>
      <c r="F74" t="n">
        <v>1</v>
      </c>
      <c r="G74" t="n">
        <v>1.6</v>
      </c>
      <c r="H74" t="n">
        <v>0</v>
      </c>
      <c r="I74" t="b">
        <v>0</v>
      </c>
      <c r="J74" t="inlineStr">
        <is>
          <t>01_chien_dau/Vu_khi_suy_ra (id pt14_dd_v57)</t>
        </is>
      </c>
      <c r="K74" t="inlineStr"/>
    </row>
    <row r="75">
      <c r="A75" t="inlineStr">
        <is>
          <t>pt14_hp_155</t>
        </is>
      </c>
      <c r="B75" t="n">
        <v>86.33093525179856</v>
      </c>
      <c r="C75" t="n">
        <v>13.9</v>
      </c>
      <c r="D75" t="b">
        <v>0</v>
      </c>
      <c r="E75" t="b">
        <v>1</v>
      </c>
      <c r="F75" t="n">
        <v>1</v>
      </c>
      <c r="G75" t="n">
        <v>1.6</v>
      </c>
      <c r="H75" t="n">
        <v>0</v>
      </c>
      <c r="I75" t="b">
        <v>0</v>
      </c>
      <c r="J75" t="inlineStr">
        <is>
          <t>01_chien_dau/Vu_khi_suy_ra (id pt14_hp_155)</t>
        </is>
      </c>
      <c r="K75" t="inlineStr"/>
    </row>
    <row r="76">
      <c r="A76" t="inlineStr">
        <is>
          <t>pt14_hp_nsm</t>
        </is>
      </c>
      <c r="B76" t="n">
        <v>52.05479452054794</v>
      </c>
      <c r="C76" t="n">
        <v>14.6</v>
      </c>
      <c r="D76" t="b">
        <v>0</v>
      </c>
      <c r="E76" t="b">
        <v>1</v>
      </c>
      <c r="F76" t="n">
        <v>1</v>
      </c>
      <c r="G76" t="n">
        <v>1.6</v>
      </c>
      <c r="H76" t="n">
        <v>2.5</v>
      </c>
      <c r="I76" t="b">
        <v>0</v>
      </c>
      <c r="J76" t="inlineStr">
        <is>
          <t>01_chien_dau/Vu_khi_suy_ra (id pt14_hp_nsm)</t>
        </is>
      </c>
      <c r="K76" t="inlineStr"/>
    </row>
    <row r="77">
      <c r="A77" t="inlineStr">
        <is>
          <t>pt14_hp_v127</t>
        </is>
      </c>
      <c r="B77" t="n">
        <v>152</v>
      </c>
      <c r="C77" t="n">
        <v>5</v>
      </c>
      <c r="D77" t="b">
        <v>0</v>
      </c>
      <c r="E77" t="b">
        <v>1</v>
      </c>
      <c r="F77" t="n">
        <v>1</v>
      </c>
      <c r="G77" t="n">
        <v>1.6</v>
      </c>
      <c r="H77" t="n">
        <v>0</v>
      </c>
      <c r="I77" t="b">
        <v>0</v>
      </c>
      <c r="J77" t="inlineStr">
        <is>
          <t>01_chien_dau/Vu_khi_suy_ra (id pt14_hp_v127)</t>
        </is>
      </c>
      <c r="K77" t="inlineStr"/>
    </row>
    <row r="78">
      <c r="A78" t="inlineStr">
        <is>
          <t>pt14_hp_vlaser</t>
        </is>
      </c>
      <c r="B78" t="n">
        <v>160</v>
      </c>
      <c r="C78" t="n">
        <v>0.1</v>
      </c>
      <c r="D78" t="b">
        <v>0</v>
      </c>
      <c r="E78" t="b">
        <v>1</v>
      </c>
      <c r="F78" t="n">
        <v>0.9</v>
      </c>
      <c r="G78" t="n">
        <v>0.4</v>
      </c>
      <c r="H78" t="n">
        <v>0</v>
      </c>
      <c r="I78" t="b">
        <v>0</v>
      </c>
      <c r="J78" t="inlineStr">
        <is>
          <t>01_chien_dau/Vu_khi_suy_ra (id pt14_hp_vlaser)</t>
        </is>
      </c>
      <c r="K78" t="inlineStr"/>
    </row>
    <row r="79">
      <c r="A79" t="inlineStr">
        <is>
          <t>pt14_ixion_30</t>
        </is>
      </c>
      <c r="B79" t="n">
        <v>41.14360520840638</v>
      </c>
      <c r="C79" t="n">
        <v>4.2777</v>
      </c>
      <c r="D79" t="b">
        <v>0</v>
      </c>
      <c r="E79" t="b">
        <v>1</v>
      </c>
      <c r="F79" t="n">
        <v>1.2</v>
      </c>
      <c r="G79" t="n">
        <v>0.7</v>
      </c>
      <c r="H79" t="n">
        <v>0</v>
      </c>
      <c r="I79" t="b">
        <v>1</v>
      </c>
      <c r="J79" t="inlineStr">
        <is>
          <t>01_chien_dau/Vu_khi_suy_ra (id pt14_ixion_30)</t>
        </is>
      </c>
      <c r="K79" t="inlineStr"/>
    </row>
    <row r="80">
      <c r="A80" t="inlineStr">
        <is>
          <t>pt14_ixion_grad</t>
        </is>
      </c>
      <c r="B80" t="n">
        <v>17.37020316027088</v>
      </c>
      <c r="C80" t="n">
        <v>24</v>
      </c>
      <c r="D80" t="b">
        <v>1</v>
      </c>
      <c r="E80" t="b">
        <v>1</v>
      </c>
      <c r="F80" t="n">
        <v>1</v>
      </c>
      <c r="G80" t="n">
        <v>1.6</v>
      </c>
      <c r="H80" t="n">
        <v>0</v>
      </c>
      <c r="I80" t="b">
        <v>0</v>
      </c>
      <c r="J80" t="inlineStr">
        <is>
          <t>01_chien_dau/Vu_khi_suy_ra (id pt14_ixion_grad)</t>
        </is>
      </c>
      <c r="K80" t="inlineStr"/>
    </row>
    <row r="81">
      <c r="A81" t="inlineStr">
        <is>
          <t>pt14_ixion_kornet</t>
        </is>
      </c>
      <c r="B81" t="n">
        <v>19.16666666666667</v>
      </c>
      <c r="C81" t="n">
        <v>12</v>
      </c>
      <c r="D81" t="b">
        <v>0</v>
      </c>
      <c r="E81" t="b">
        <v>1</v>
      </c>
      <c r="F81" t="n">
        <v>1.3</v>
      </c>
      <c r="G81" t="n">
        <v>0.45</v>
      </c>
      <c r="H81" t="n">
        <v>0</v>
      </c>
      <c r="I81" t="b">
        <v>0</v>
      </c>
      <c r="J81" t="inlineStr">
        <is>
          <t>01_chien_dau/Vu_khi_suy_ra (id pt14_ixion_kornet)</t>
        </is>
      </c>
      <c r="K81" t="inlineStr"/>
    </row>
    <row r="82">
      <c r="A82" t="inlineStr">
        <is>
          <t>pt14_mk0_v40</t>
        </is>
      </c>
      <c r="B82" t="n">
        <v>55.81395348837209</v>
      </c>
      <c r="C82" t="n">
        <v>4.300000000000001</v>
      </c>
      <c r="D82" t="b">
        <v>0</v>
      </c>
      <c r="E82" t="b">
        <v>1</v>
      </c>
      <c r="F82" t="n">
        <v>1.2</v>
      </c>
      <c r="G82" t="n">
        <v>0.7</v>
      </c>
      <c r="H82" t="n">
        <v>0</v>
      </c>
      <c r="I82" t="b">
        <v>1</v>
      </c>
      <c r="J82" t="inlineStr">
        <is>
          <t>01_chien_dau/Vu_khi_suy_ra (id pt14_mk0_v40)</t>
        </is>
      </c>
      <c r="K82" t="inlineStr"/>
    </row>
    <row r="83">
      <c r="A83" t="inlineStr">
        <is>
          <t>pt14_sb_v30</t>
        </is>
      </c>
      <c r="B83" t="n">
        <v>67.69230769230769</v>
      </c>
      <c r="C83" t="n">
        <v>2.6</v>
      </c>
      <c r="D83" t="b">
        <v>0</v>
      </c>
      <c r="E83" t="b">
        <v>1</v>
      </c>
      <c r="F83" t="n">
        <v>1.2</v>
      </c>
      <c r="G83" t="n">
        <v>0.7</v>
      </c>
      <c r="H83" t="n">
        <v>0</v>
      </c>
      <c r="I83" t="b">
        <v>1</v>
      </c>
      <c r="J83" t="inlineStr">
        <is>
          <t>01_chien_dau/Vu_khi_suy_ra (id pt14_sb_v30)</t>
        </is>
      </c>
      <c r="K83" t="inlineStr"/>
    </row>
    <row r="84">
      <c r="A84" t="inlineStr">
        <is>
          <t>pt14_sb_v105</t>
        </is>
      </c>
      <c r="B84" t="n">
        <v>50</v>
      </c>
      <c r="C84" t="n">
        <v>6</v>
      </c>
      <c r="D84" t="b">
        <v>0</v>
      </c>
      <c r="E84" t="b">
        <v>1</v>
      </c>
      <c r="F84" t="n">
        <v>1</v>
      </c>
      <c r="G84" t="n">
        <v>1.6</v>
      </c>
      <c r="H84" t="n">
        <v>0</v>
      </c>
      <c r="I84" t="b">
        <v>0</v>
      </c>
      <c r="J84" t="inlineStr">
        <is>
          <t>01_chien_dau/Vu_khi_suy_ra (id pt14_sb_v105)</t>
        </is>
      </c>
      <c r="K84" t="inlineStr"/>
    </row>
    <row r="85">
      <c r="A85" t="inlineStr">
        <is>
          <t>pt14_th_jagm</t>
        </is>
      </c>
      <c r="B85" t="n">
        <v>56.8421052631579</v>
      </c>
      <c r="C85" t="n">
        <v>9.5</v>
      </c>
      <c r="D85" t="b">
        <v>0</v>
      </c>
      <c r="E85" t="b">
        <v>1</v>
      </c>
      <c r="F85" t="n">
        <v>1.3</v>
      </c>
      <c r="G85" t="n">
        <v>0.45</v>
      </c>
      <c r="H85" t="n">
        <v>0</v>
      </c>
      <c r="I85" t="b">
        <v>0</v>
      </c>
      <c r="J85" t="inlineStr">
        <is>
          <t>01_chien_dau/Vu_khi_suy_ra (id pt14_th_jagm)</t>
        </is>
      </c>
      <c r="K85" t="inlineStr"/>
    </row>
    <row r="86">
      <c r="A86" t="inlineStr">
        <is>
          <t>pt14_th_pd</t>
        </is>
      </c>
      <c r="B86" t="n">
        <v>89.95502248875563</v>
      </c>
      <c r="C86" t="n">
        <v>0.0667</v>
      </c>
      <c r="D86" t="b">
        <v>0</v>
      </c>
      <c r="E86" t="b">
        <v>0</v>
      </c>
      <c r="F86" t="n">
        <v>0.9</v>
      </c>
      <c r="G86" t="n">
        <v>0.4</v>
      </c>
      <c r="H86" t="n">
        <v>0</v>
      </c>
      <c r="I86" t="b">
        <v>0</v>
      </c>
      <c r="J86" t="inlineStr">
        <is>
          <t>01_chien_dau/Vu_khi_suy_ra (id pt14_th_pd)</t>
        </is>
      </c>
      <c r="K86" t="inlineStr"/>
    </row>
    <row r="87">
      <c r="A87" t="inlineStr">
        <is>
          <t>pt14_th_v35</t>
        </is>
      </c>
      <c r="B87" t="n">
        <v>72.07207207207207</v>
      </c>
      <c r="C87" t="n">
        <v>5.55</v>
      </c>
      <c r="D87" t="b">
        <v>0</v>
      </c>
      <c r="E87" t="b">
        <v>1</v>
      </c>
      <c r="F87" t="n">
        <v>0.45</v>
      </c>
      <c r="G87" t="n">
        <v>0.1</v>
      </c>
      <c r="H87" t="n">
        <v>0</v>
      </c>
      <c r="I87" t="b">
        <v>0</v>
      </c>
      <c r="J87" t="inlineStr">
        <is>
          <t>01_chien_dau/Vu_khi_suy_ra (id pt14_th_v35)</t>
        </is>
      </c>
      <c r="K87" t="inlineStr"/>
    </row>
    <row r="88">
      <c r="A88" t="inlineStr">
        <is>
          <t>pt14_train_grad</t>
        </is>
      </c>
      <c r="B88" t="n">
        <v>308.0568720379147</v>
      </c>
      <c r="C88" t="n">
        <v>8.44</v>
      </c>
      <c r="D88" t="b">
        <v>0</v>
      </c>
      <c r="E88" t="b">
        <v>1</v>
      </c>
      <c r="F88" t="n">
        <v>1</v>
      </c>
      <c r="G88" t="n">
        <v>1.6</v>
      </c>
      <c r="H88" t="n">
        <v>0</v>
      </c>
      <c r="I88" t="b">
        <v>0</v>
      </c>
      <c r="J88" t="inlineStr">
        <is>
          <t>01_chien_dau/Vu_khi_suy_ra (id pt14_train_grad)</t>
        </is>
      </c>
      <c r="K88" t="inlineStr"/>
    </row>
    <row r="89">
      <c r="A89" t="inlineStr">
        <is>
          <t>sam_battery</t>
        </is>
      </c>
      <c r="B89" t="n">
        <v>61.81818181818182</v>
      </c>
      <c r="C89" t="n">
        <v>11</v>
      </c>
      <c r="D89" t="b">
        <v>1</v>
      </c>
      <c r="E89" t="b">
        <v>0</v>
      </c>
      <c r="F89" t="n">
        <v>0.45</v>
      </c>
      <c r="G89" t="n">
        <v>0.1</v>
      </c>
      <c r="H89" t="n">
        <v>0</v>
      </c>
      <c r="I89" t="b">
        <v>0</v>
      </c>
      <c r="J89" t="inlineStr">
        <is>
          <t>01_chien_dau/Vu_khi_suy_ra (id sam_battery)</t>
        </is>
      </c>
      <c r="K89" t="inlineStr"/>
    </row>
    <row r="90">
      <c r="A90" t="inlineStr">
        <is>
          <t>sam_post</t>
        </is>
      </c>
      <c r="B90" t="n">
        <v>145.4545454545454</v>
      </c>
      <c r="C90" t="n">
        <v>4.4</v>
      </c>
      <c r="D90" t="b">
        <v>0</v>
      </c>
      <c r="E90" t="b">
        <v>0</v>
      </c>
      <c r="F90" t="n">
        <v>0.45</v>
      </c>
      <c r="G90" t="n">
        <v>0.1</v>
      </c>
      <c r="H90" t="n">
        <v>0</v>
      </c>
      <c r="I90" t="b">
        <v>0</v>
      </c>
      <c r="J90" t="inlineStr">
        <is>
          <t>01_chien_dau/Vu_khi_suy_ra (id sam_post)</t>
        </is>
      </c>
      <c r="K90" t="inlineStr"/>
    </row>
    <row r="91">
      <c r="A91" t="inlineStr">
        <is>
          <t>scylla_2m7</t>
        </is>
      </c>
      <c r="B91" t="n">
        <v>88.88888888888889</v>
      </c>
      <c r="C91" t="n">
        <v>4.95</v>
      </c>
      <c r="D91" t="b">
        <v>0</v>
      </c>
      <c r="E91" t="b">
        <v>0</v>
      </c>
      <c r="F91" t="n">
        <v>1.2</v>
      </c>
      <c r="G91" t="n">
        <v>0.7</v>
      </c>
      <c r="H91" t="n">
        <v>0</v>
      </c>
      <c r="I91" t="b">
        <v>1</v>
      </c>
      <c r="J91" t="inlineStr">
        <is>
          <t>01_chien_dau/Vu_khi_suy_ra (id scylla_2m7)</t>
        </is>
      </c>
      <c r="K91" t="inlineStr"/>
    </row>
    <row r="92">
      <c r="A92" t="inlineStr">
        <is>
          <t>scylla_ak230</t>
        </is>
      </c>
      <c r="B92" t="n">
        <v>120.6030150753769</v>
      </c>
      <c r="C92" t="n">
        <v>3.98</v>
      </c>
      <c r="D92" t="b">
        <v>0</v>
      </c>
      <c r="E92" t="b">
        <v>0</v>
      </c>
      <c r="F92" t="n">
        <v>0.45</v>
      </c>
      <c r="G92" t="n">
        <v>0.1</v>
      </c>
      <c r="H92" t="n">
        <v>0</v>
      </c>
      <c r="I92" t="b">
        <v>0</v>
      </c>
      <c r="J92" t="inlineStr">
        <is>
          <t>01_chien_dau/Vu_khi_suy_ra (id scylla_ak230)</t>
        </is>
      </c>
      <c r="K92" t="inlineStr"/>
    </row>
    <row r="93">
      <c r="A93" t="inlineStr">
        <is>
          <t>scylla_kh35</t>
        </is>
      </c>
      <c r="B93" t="n">
        <v>20.26431718061674</v>
      </c>
      <c r="C93" t="n">
        <v>22.7</v>
      </c>
      <c r="D93" t="b">
        <v>0</v>
      </c>
      <c r="E93" t="b">
        <v>1</v>
      </c>
      <c r="F93" t="n">
        <v>1</v>
      </c>
      <c r="G93" t="n">
        <v>1.6</v>
      </c>
      <c r="H93" t="n">
        <v>2.5</v>
      </c>
      <c r="I93" t="b">
        <v>0</v>
      </c>
      <c r="J93" t="inlineStr">
        <is>
          <t>01_chien_dau/Vu_khi_suy_ra (id scylla_kh35)</t>
        </is>
      </c>
      <c r="K93" t="inlineStr"/>
    </row>
    <row r="94">
      <c r="A94" t="inlineStr">
        <is>
          <t>train_gun</t>
        </is>
      </c>
      <c r="B94" t="n">
        <v>75</v>
      </c>
      <c r="C94" t="n">
        <v>8</v>
      </c>
      <c r="D94" t="b">
        <v>0</v>
      </c>
      <c r="E94" t="b">
        <v>1</v>
      </c>
      <c r="F94" t="n">
        <v>1.2</v>
      </c>
      <c r="G94" t="n">
        <v>0.7</v>
      </c>
      <c r="H94" t="n">
        <v>0</v>
      </c>
      <c r="I94" t="b">
        <v>1</v>
      </c>
      <c r="J94" t="inlineStr">
        <is>
          <t>01_chien_dau/Vu_khi_suy_ra (id train_gun)</t>
        </is>
      </c>
      <c r="K94" t="inlineStr"/>
    </row>
  </sheetData>
  <autoFilter ref="A1:K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0"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v>
      </c>
      <c r="C2" t="inlineStr">
        <is>
          <t>01_chien_dau/Bang_xuyen_qua (id buoc_0)</t>
        </is>
      </c>
      <c r="D2" t="inlineStr"/>
    </row>
    <row r="3">
      <c r="A3" t="inlineStr">
        <is>
          <t>buoc_1</t>
        </is>
      </c>
      <c r="B3" t="n">
        <v>0.95</v>
      </c>
      <c r="C3" t="inlineStr">
        <is>
          <t>01_chien_dau/Bang_xuyen_qua (id buoc_1)</t>
        </is>
      </c>
      <c r="D3" t="inlineStr"/>
    </row>
    <row r="4">
      <c r="A4" t="inlineStr">
        <is>
          <t>buoc_2</t>
        </is>
      </c>
      <c r="B4" t="n">
        <v>0.85</v>
      </c>
      <c r="C4" t="inlineStr">
        <is>
          <t>01_chien_dau/Bang_xuyen_qua (id buoc_2)</t>
        </is>
      </c>
      <c r="D4" t="inlineStr"/>
    </row>
    <row r="5">
      <c r="A5" t="inlineStr">
        <is>
          <t>buoc_3</t>
        </is>
      </c>
      <c r="B5" t="n">
        <v>0.75</v>
      </c>
      <c r="C5" t="inlineStr">
        <is>
          <t>01_chien_dau/Bang_xuyen_qua (id buoc_3)</t>
        </is>
      </c>
      <c r="D5" t="inlineStr"/>
    </row>
  </sheetData>
  <autoFilter ref="A1:D5"/>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880</v>
      </c>
      <c r="D2" t="n">
        <v>1</v>
      </c>
      <c r="E2" t="n">
        <v>0</v>
      </c>
      <c r="F2" t="b">
        <v>0</v>
      </c>
      <c r="G2" t="n">
        <v>11.5</v>
      </c>
      <c r="H2" t="inlineStr">
        <is>
          <t>01_chien_dau/Xe_tham_chieu (id armored_car)</t>
        </is>
      </c>
      <c r="I2" t="inlineStr"/>
    </row>
    <row r="3">
      <c r="A3" t="inlineStr">
        <is>
          <t>gun_turret</t>
        </is>
      </c>
      <c r="B3" t="inlineStr">
        <is>
          <t>Tháp vừa (pháo)</t>
        </is>
      </c>
      <c r="C3" t="n">
        <v>4950</v>
      </c>
      <c r="D3" t="n">
        <v>3</v>
      </c>
      <c r="E3" t="n">
        <v>3</v>
      </c>
      <c r="F3" t="b">
        <v>1</v>
      </c>
      <c r="G3" t="n">
        <v>0</v>
      </c>
      <c r="H3" t="inlineStr">
        <is>
          <t>01_chien_dau/Xe_tham_chieu (id gun_turret)</t>
        </is>
      </c>
      <c r="I3" t="inlineStr"/>
    </row>
    <row r="4">
      <c r="A4" t="inlineStr">
        <is>
          <t>heavy_tank</t>
        </is>
      </c>
      <c r="B4" t="inlineStr">
        <is>
          <t>Tăng hạng nặng</t>
        </is>
      </c>
      <c r="C4" t="n">
        <v>4829</v>
      </c>
      <c r="D4" t="n">
        <v>4</v>
      </c>
      <c r="E4" t="n">
        <v>2</v>
      </c>
      <c r="F4" t="b">
        <v>0</v>
      </c>
      <c r="G4" t="n">
        <v>4.2</v>
      </c>
      <c r="H4" t="inlineStr">
        <is>
          <t>01_chien_dau/Xe_tham_chieu (id heavy_tank)</t>
        </is>
      </c>
      <c r="I4" t="inlineStr"/>
    </row>
    <row r="5">
      <c r="A5" t="inlineStr">
        <is>
          <t>ifv</t>
        </is>
      </c>
      <c r="B5" t="inlineStr">
        <is>
          <t>Xe chiến đấu bộ binh</t>
        </is>
      </c>
      <c r="C5" t="n">
        <v>1535.072</v>
      </c>
      <c r="D5" t="n">
        <v>2</v>
      </c>
      <c r="E5" t="n">
        <v>0</v>
      </c>
      <c r="F5" t="b">
        <v>0</v>
      </c>
      <c r="G5" t="n">
        <v>8</v>
      </c>
      <c r="H5" t="inlineStr">
        <is>
          <t>01_chien_dau/Xe_tham_chieu (id ifv)</t>
        </is>
      </c>
      <c r="I5" t="inlineStr"/>
    </row>
    <row r="6">
      <c r="A6" t="inlineStr">
        <is>
          <t>main_battle_tank</t>
        </is>
      </c>
      <c r="B6" t="inlineStr">
        <is>
          <t>Tăng chủ lực</t>
        </is>
      </c>
      <c r="C6" t="n">
        <v>2426.6</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0.9198</v>
      </c>
      <c r="D30" t="n">
        <v>1.2</v>
      </c>
      <c r="E30" t="n">
        <v>6</v>
      </c>
      <c r="F30" t="n">
        <v>445.5277777777777</v>
      </c>
      <c r="G30">
        <f>SUM(Boss_vu_khi!$S$183,Boss_vu_khi!$S$184,Boss_vu_khi!$S$185,Boss_vu_khi!$S$186,Boss_vu_khi!$S$187,Boss_vu_khi!$S$188)</f>
        <v/>
      </c>
      <c r="H30" t="n">
        <v>1072.562055605504</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0.798</v>
      </c>
      <c r="D31" t="n">
        <v>1.2</v>
      </c>
      <c r="E31" t="n">
        <v>8</v>
      </c>
      <c r="F31" t="n">
        <v>514.6055555555555</v>
      </c>
      <c r="G31">
        <f>SUM(Boss_vu_khi!$S$189,Boss_vu_khi!$S$190,Boss_vu_khi!$S$191,Boss_vu_khi!$S$192,Boss_vu_khi!$S$193,Boss_vu_khi!$S$194,Boss_vu_khi!$S$195,Boss_vu_khi!$S$196)</f>
        <v/>
      </c>
      <c r="H31" t="n">
        <v>1470.585574480146</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boss_input_vu_khi_suy_ra!$I$2:$I$94,MATCH($C$2,boss_input_vu_khi_suy_ra!$A$2:$A$94,0)),INDEX(boss_input_bang_xuyen_qua!$B$2:$B$5,MIN(4,MAX(1,(INDEX(boss_input_vu_khi!$C$2:$C$94,MATCH($C$2,boss_input_vu_khi!$A$2:$A$94,0)))-($E$2)-1))),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boss_input_vu_khi_suy_ra!$I$2:$I$94,MATCH($C$3,boss_input_vu_khi_suy_ra!$A$2:$A$94,0)),INDEX(boss_input_bang_xuyen_qua!$B$2:$B$5,MIN(4,MAX(1,(INDEX(boss_input_vu_khi!$C$2:$C$94,MATCH($C$3,boss_input_vu_khi!$A$2:$A$94,0)))-($E$3)-1))),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boss_input_vu_khi_suy_ra!$I$2:$I$94,MATCH($C$4,boss_input_vu_khi_suy_ra!$A$2:$A$94,0)),INDEX(boss_input_bang_xuyen_qua!$B$2:$B$5,MIN(4,MAX(1,(INDEX(boss_input_vu_khi!$C$2:$C$94,MATCH($C$4,boss_input_vu_khi!$A$2:$A$94,0)))-($E$4)-1))),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boss_input_vu_khi_suy_ra!$I$2:$I$94,MATCH($C$5,boss_input_vu_khi_suy_ra!$A$2:$A$94,0)),INDEX(boss_input_bang_xuyen_qua!$B$2:$B$5,MIN(4,MAX(1,(INDEX(boss_input_vu_khi!$C$2:$C$94,MATCH($C$5,boss_input_vu_khi!$A$2:$A$94,0)))-($E$5)-1))),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boss_input_vu_khi_suy_ra!$I$2:$I$94,MATCH($C$6,boss_input_vu_khi_suy_ra!$A$2:$A$94,0)),INDEX(boss_input_bang_xuyen_qua!$B$2:$B$5,MIN(4,MAX(1,(INDEX(boss_input_vu_khi!$C$2:$C$94,MATCH($C$6,boss_input_vu_khi!$A$2:$A$94,0)))-($E$6)-1))),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boss_input_vu_khi_suy_ra!$I$2:$I$94,MATCH($C$7,boss_input_vu_khi_suy_ra!$A$2:$A$94,0)),INDEX(boss_input_bang_xuyen_qua!$B$2:$B$5,MIN(4,MAX(1,(INDEX(boss_input_vu_khi!$C$2:$C$94,MATCH($C$7,boss_input_vu_khi!$A$2:$A$94,0)))-($E$7)-1))),1)*IF(INDEX(input_xe_tham_chieu!$F$2:$F$6,MATCH($D$7,input_xe_tham_chieu!$A$2:$A$6,0)),INDEX(boss_input_vu_khi_suy_ra!$G$2:$G$94,MATCH($C$7,boss_input_vu_khi_suy_ra!$A$2:$A$94,0)),INDEX(boss_input_vu_khi_suy_ra!$F$2:$F$94,MATCH($C$7,boss_input_vu_khi_suy_ra!$A$2:$A$94,0))),0)</f>
        <v/>
      </c>
      <c r="G7" t="n">
        <v>1.224</v>
      </c>
      <c r="H7">
        <f>INDEX(boss_input_vu_khi!$B$2:$B$94,MATCH($C$7,boss_input_vu_khi!$A$2:$A$94,0))*INDEX(Boss_dps!$D$2:$D$34,MATCH($B$7,Boss_dps!$A$2:$A$34,0))*IF(INDEX(boss_input_vu_khi!$D$2:$D$94,MATCH($C$7,boss_input_vu_khi!$A$2:$A$94,0)),1,INDEX(Boss_dps!$B$2:$B$34,MATCH($B$7,Boss_dps!$A$2:$A$34,0)))*INDEX(Boss_dps!$C$2:$C$34,MATCH($B$7,Boss_dps!$A$2:$A$34,0))*$F$7</f>
        <v/>
      </c>
      <c r="I7" t="n">
        <v>1362.901370688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boss_input_vu_khi_suy_ra!$I$2:$I$94,MATCH($C$8,boss_input_vu_khi_suy_ra!$A$2:$A$94,0)),INDEX(boss_input_bang_xuyen_qua!$B$2:$B$5,MIN(4,MAX(1,(INDEX(boss_input_vu_khi!$C$2:$C$94,MATCH($C$8,boss_input_vu_khi!$A$2:$A$94,0)))-($E$8)-1))),1)*IF(INDEX(input_xe_tham_chieu!$F$2:$F$6,MATCH($D$8,input_xe_tham_chieu!$A$2:$A$6,0)),INDEX(boss_input_vu_khi_suy_ra!$G$2:$G$94,MATCH($C$8,boss_input_vu_khi_suy_ra!$A$2:$A$94,0)),INDEX(boss_input_vu_khi_suy_ra!$F$2:$F$94,MATCH($C$8,boss_input_vu_khi_suy_ra!$A$2:$A$94,0))),0)</f>
        <v/>
      </c>
      <c r="G8" t="n">
        <v>0.84</v>
      </c>
      <c r="H8">
        <f>INDEX(boss_input_vu_khi!$B$2:$B$94,MATCH($C$8,boss_input_vu_khi!$A$2:$A$94,0))*INDEX(Boss_dps!$D$2:$D$34,MATCH($B$8,Boss_dps!$A$2:$A$34,0))*IF(INDEX(boss_input_vu_khi!$D$2:$D$94,MATCH($C$8,boss_input_vu_khi!$A$2:$A$94,0)),1,INDEX(Boss_dps!$B$2:$B$34,MATCH($B$8,Boss_dps!$A$2:$A$34,0)))*INDEX(Boss_dps!$C$2:$C$34,MATCH($B$8,Boss_dps!$A$2:$A$34,0))*$F$8</f>
        <v/>
      </c>
      <c r="I8" t="n">
        <v>935.32447008</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boss_input_vu_khi_suy_ra!$I$2:$I$94,MATCH($C$9,boss_input_vu_khi_suy_ra!$A$2:$A$94,0)),INDEX(boss_input_bang_xuyen_qua!$B$2:$B$5,MIN(4,MAX(1,(INDEX(boss_input_vu_khi!$C$2:$C$94,MATCH($C$9,boss_input_vu_khi!$A$2:$A$94,0)))-($E$9)-1))),1)*IF(INDEX(input_xe_tham_chieu!$F$2:$F$6,MATCH($D$9,input_xe_tham_chieu!$A$2:$A$6,0)),INDEX(boss_input_vu_khi_suy_ra!$G$2:$G$94,MATCH($C$9,boss_input_vu_khi_suy_ra!$A$2:$A$94,0)),INDEX(boss_input_vu_khi_suy_ra!$F$2:$F$94,MATCH($C$9,boss_input_vu_khi_suy_ra!$A$2:$A$94,0))),0)</f>
        <v/>
      </c>
      <c r="G9" t="n">
        <v>1.2</v>
      </c>
      <c r="H9">
        <f>INDEX(boss_input_vu_khi!$B$2:$B$94,MATCH($C$9,boss_input_vu_khi!$A$2:$A$94,0))*INDEX(Boss_dps!$D$2:$D$34,MATCH($B$9,Boss_dps!$A$2:$A$34,0))*IF(INDEX(boss_input_vu_khi!$D$2:$D$94,MATCH($C$9,boss_input_vu_khi!$A$2:$A$94,0)),1,INDEX(Boss_dps!$B$2:$B$34,MATCH($B$9,Boss_dps!$A$2:$A$34,0)))*INDEX(Boss_dps!$C$2:$C$34,MATCH($B$9,Boss_dps!$A$2:$A$34,0))*$F$9</f>
        <v/>
      </c>
      <c r="I9" t="n">
        <v>1336.1778144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boss_input_vu_khi_suy_ra!$I$2:$I$94,MATCH($C$10,boss_input_vu_khi_suy_ra!$A$2:$A$94,0)),INDEX(boss_input_bang_xuyen_qua!$B$2:$B$5,MIN(4,MAX(1,(INDEX(boss_input_vu_khi!$C$2:$C$94,MATCH($C$10,boss_input_vu_khi!$A$2:$A$94,0)))-($E$10)-1))),1)*IF(INDEX(input_xe_tham_chieu!$F$2:$F$6,MATCH($D$10,input_xe_tham_chieu!$A$2:$A$6,0)),INDEX(boss_input_vu_khi_suy_ra!$G$2:$G$94,MATCH($C$10,boss_input_vu_khi_suy_ra!$A$2:$A$94,0)),INDEX(boss_input_vu_khi_suy_ra!$F$2:$F$94,MATCH($C$10,boss_input_vu_khi_suy_ra!$A$2:$A$94,0))),0)</f>
        <v/>
      </c>
      <c r="G10" t="n">
        <v>1.368</v>
      </c>
      <c r="H10">
        <f>INDEX(boss_input_vu_khi!$B$2:$B$94,MATCH($C$10,boss_input_vu_khi!$A$2:$A$94,0))*INDEX(Boss_dps!$D$2:$D$34,MATCH($B$10,Boss_dps!$A$2:$A$34,0))*IF(INDEX(boss_input_vu_khi!$D$2:$D$94,MATCH($C$10,boss_input_vu_khi!$A$2:$A$94,0)),1,INDEX(Boss_dps!$B$2:$B$34,MATCH($B$10,Boss_dps!$A$2:$A$34,0)))*INDEX(Boss_dps!$C$2:$C$34,MATCH($B$10,Boss_dps!$A$2:$A$34,0))*$F$10</f>
        <v/>
      </c>
      <c r="I10" t="n">
        <v>1523.242708416</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boss_input_vu_khi_suy_ra!$I$2:$I$94,MATCH($C$11,boss_input_vu_khi_suy_ra!$A$2:$A$94,0)),INDEX(boss_input_bang_xuyen_qua!$B$2:$B$5,MIN(4,MAX(1,(INDEX(boss_input_vu_khi!$C$2:$C$94,MATCH($C$11,boss_input_vu_khi!$A$2:$A$94,0)))-($E$11)-1))),1)*IF(INDEX(input_xe_tham_chieu!$F$2:$F$6,MATCH($D$11,input_xe_tham_chieu!$A$2:$A$6,0)),INDEX(boss_input_vu_khi_suy_ra!$G$2:$G$94,MATCH($C$11,boss_input_vu_khi_suy_ra!$A$2:$A$94,0)),INDEX(boss_input_vu_khi_suy_ra!$F$2:$F$94,MATCH($C$11,boss_input_vu_khi_suy_ra!$A$2:$A$94,0))),0)</f>
        <v/>
      </c>
      <c r="G11" t="n">
        <v>1.2</v>
      </c>
      <c r="H11">
        <f>INDEX(boss_input_vu_khi!$B$2:$B$94,MATCH($C$11,boss_input_vu_khi!$A$2:$A$94,0))*INDEX(Boss_dps!$D$2:$D$34,MATCH($B$11,Boss_dps!$A$2:$A$34,0))*IF(INDEX(boss_input_vu_khi!$D$2:$D$94,MATCH($C$11,boss_input_vu_khi!$A$2:$A$94,0)),1,INDEX(Boss_dps!$B$2:$B$34,MATCH($B$11,Boss_dps!$A$2:$A$34,0)))*INDEX(Boss_dps!$C$2:$C$34,MATCH($B$11,Boss_dps!$A$2:$A$34,0))*$F$11</f>
        <v/>
      </c>
      <c r="I11" t="n">
        <v>1336.1778144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boss_input_vu_khi_suy_ra!$I$2:$I$94,MATCH($C$12,boss_input_vu_khi_suy_ra!$A$2:$A$94,0)),INDEX(boss_input_bang_xuyen_qua!$B$2:$B$5,MIN(4,MAX(1,(INDEX(boss_input_vu_khi!$C$2:$C$94,MATCH($C$12,boss_input_vu_khi!$A$2:$A$94,0)))-($E$12)-1))),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boss_input_vu_khi_suy_ra!$I$2:$I$94,MATCH($C$13,boss_input_vu_khi_suy_ra!$A$2:$A$94,0)),INDEX(boss_input_bang_xuyen_qua!$B$2:$B$5,MIN(4,MAX(1,(INDEX(boss_input_vu_khi!$C$2:$C$94,MATCH($C$13,boss_input_vu_khi!$A$2:$A$94,0)))-($E$13)-1))),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boss_input_vu_khi_suy_ra!$I$2:$I$94,MATCH($C$14,boss_input_vu_khi_suy_ra!$A$2:$A$94,0)),INDEX(boss_input_bang_xuyen_qua!$B$2:$B$5,MIN(4,MAX(1,(INDEX(boss_input_vu_khi!$C$2:$C$94,MATCH($C$14,boss_input_vu_khi!$A$2:$A$94,0)))-($E$14)-1))),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boss_input_vu_khi_suy_ra!$I$2:$I$94,MATCH($C$15,boss_input_vu_khi_suy_ra!$A$2:$A$94,0)),INDEX(boss_input_bang_xuyen_qua!$B$2:$B$5,MIN(4,MAX(1,(INDEX(boss_input_vu_khi!$C$2:$C$94,MATCH($C$15,boss_input_vu_khi!$A$2:$A$94,0)))-($E$15)-1))),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boss_input_vu_khi_suy_ra!$I$2:$I$94,MATCH($C$16,boss_input_vu_khi_suy_ra!$A$2:$A$94,0)),INDEX(boss_input_bang_xuyen_qua!$B$2:$B$5,MIN(4,MAX(1,(INDEX(boss_input_vu_khi!$C$2:$C$94,MATCH($C$16,boss_input_vu_khi!$A$2:$A$94,0)))-($E$16)-1))),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boss_input_vu_khi_suy_ra!$I$2:$I$94,MATCH($C$17,boss_input_vu_khi_suy_ra!$A$2:$A$94,0)),INDEX(boss_input_bang_xuyen_qua!$B$2:$B$5,MIN(4,MAX(1,(INDEX(boss_input_vu_khi!$C$2:$C$94,MATCH($C$17,boss_input_vu_khi!$A$2:$A$94,0)))-($E$17)-1))),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boss_input_vu_khi_suy_ra!$I$2:$I$94,MATCH($C$18,boss_input_vu_khi_suy_ra!$A$2:$A$94,0)),INDEX(boss_input_bang_xuyen_qua!$B$2:$B$5,MIN(4,MAX(1,(INDEX(boss_input_vu_khi!$C$2:$C$94,MATCH($C$18,boss_input_vu_khi!$A$2:$A$94,0)))-($E$18)-1))),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boss_input_vu_khi_suy_ra!$I$2:$I$94,MATCH($C$19,boss_input_vu_khi_suy_ra!$A$2:$A$94,0)),INDEX(boss_input_bang_xuyen_qua!$B$2:$B$5,MIN(4,MAX(1,(INDEX(boss_input_vu_khi!$C$2:$C$94,MATCH($C$19,boss_input_vu_khi!$A$2:$A$94,0)))-($E$19)-1))),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boss_input_vu_khi_suy_ra!$I$2:$I$94,MATCH($C$20,boss_input_vu_khi_suy_ra!$A$2:$A$94,0)),INDEX(boss_input_bang_xuyen_qua!$B$2:$B$5,MIN(4,MAX(1,(INDEX(boss_input_vu_khi!$C$2:$C$94,MATCH($C$20,boss_input_vu_khi!$A$2:$A$94,0)))-($E$20)-1))),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boss_input_vu_khi_suy_ra!$I$2:$I$94,MATCH($C$21,boss_input_vu_khi_suy_ra!$A$2:$A$94,0)),INDEX(boss_input_bang_xuyen_qua!$B$2:$B$5,MIN(4,MAX(1,(INDEX(boss_input_vu_khi!$C$2:$C$94,MATCH($C$21,boss_input_vu_khi!$A$2:$A$94,0)))-($E$21)-1)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boss_input_vu_khi_suy_ra!$I$2:$I$94,MATCH($C$22,boss_input_vu_khi_suy_ra!$A$2:$A$94,0)),INDEX(boss_input_bang_xuyen_qua!$B$2:$B$5,MIN(4,MAX(1,(INDEX(boss_input_vu_khi!$C$2:$C$94,MATCH($C$22,boss_input_vu_khi!$A$2:$A$94,0)))-($E$22)-1))),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boss_input_vu_khi_suy_ra!$I$2:$I$94,MATCH($C$23,boss_input_vu_khi_suy_ra!$A$2:$A$94,0)),INDEX(boss_input_bang_xuyen_qua!$B$2:$B$5,MIN(4,MAX(1,(INDEX(boss_input_vu_khi!$C$2:$C$94,MATCH($C$23,boss_input_vu_khi!$A$2:$A$94,0)))-($E$23)-1))),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boss_input_vu_khi_suy_ra!$I$2:$I$94,MATCH($C$24,boss_input_vu_khi_suy_ra!$A$2:$A$94,0)),INDEX(boss_input_bang_xuyen_qua!$B$2:$B$5,MIN(4,MAX(1,(INDEX(boss_input_vu_khi!$C$2:$C$94,MATCH($C$24,boss_input_vu_khi!$A$2:$A$94,0)))-($E$24)-1))),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boss_input_vu_khi_suy_ra!$I$2:$I$94,MATCH($C$25,boss_input_vu_khi_suy_ra!$A$2:$A$94,0)),INDEX(boss_input_bang_xuyen_qua!$B$2:$B$5,MIN(4,MAX(1,(INDEX(boss_input_vu_khi!$C$2:$C$94,MATCH($C$25,boss_input_vu_khi!$A$2:$A$94,0)))-($E$25)-1))),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boss_input_vu_khi_suy_ra!$I$2:$I$94,MATCH($C$26,boss_input_vu_khi_suy_ra!$A$2:$A$94,0)),INDEX(boss_input_bang_xuyen_qua!$B$2:$B$5,MIN(4,MAX(1,(INDEX(boss_input_vu_khi!$C$2:$C$94,MATCH($C$26,boss_input_vu_khi!$A$2:$A$94,0)))-($E$26)-1))),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boss_input_vu_khi_suy_ra!$I$2:$I$94,MATCH($C$27,boss_input_vu_khi_suy_ra!$A$2:$A$94,0)),INDEX(boss_input_bang_xuyen_qua!$B$2:$B$5,MIN(4,MAX(1,(INDEX(boss_input_vu_khi!$C$2:$C$94,MATCH($C$27,boss_input_vu_khi!$A$2:$A$94,0)))-($E$27)-1))),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boss_input_vu_khi_suy_ra!$I$2:$I$94,MATCH($C$28,boss_input_vu_khi_suy_ra!$A$2:$A$94,0)),INDEX(boss_input_bang_xuyen_qua!$B$2:$B$5,MIN(4,MAX(1,(INDEX(boss_input_vu_khi!$C$2:$C$94,MATCH($C$28,boss_input_vu_khi!$A$2:$A$94,0)))-($E$28)-1))),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boss_input_vu_khi_suy_ra!$I$2:$I$94,MATCH($C$29,boss_input_vu_khi_suy_ra!$A$2:$A$94,0)),INDEX(boss_input_bang_xuyen_qua!$B$2:$B$5,MIN(4,MAX(1,(INDEX(boss_input_vu_khi!$C$2:$C$94,MATCH($C$29,boss_input_vu_khi!$A$2:$A$94,0)))-($E$29)-1))),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boss_input_vu_khi_suy_ra!$I$2:$I$94,MATCH($C$30,boss_input_vu_khi_suy_ra!$A$2:$A$94,0)),INDEX(boss_input_bang_xuyen_qua!$B$2:$B$5,MIN(4,MAX(1,(INDEX(boss_input_vu_khi!$C$2:$C$94,MATCH($C$30,boss_input_vu_khi!$A$2:$A$94,0)))-($E$30)-1))),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boss_input_vu_khi_suy_ra!$I$2:$I$94,MATCH($C$31,boss_input_vu_khi_suy_ra!$A$2:$A$94,0)),INDEX(boss_input_bang_xuyen_qua!$B$2:$B$5,MIN(4,MAX(1,(INDEX(boss_input_vu_khi!$C$2:$C$94,MATCH($C$31,boss_input_vu_khi!$A$2:$A$94,0)))-($E$31)-1)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boss_input_vu_khi_suy_ra!$I$2:$I$94,MATCH($C$32,boss_input_vu_khi_suy_ra!$A$2:$A$94,0)),INDEX(boss_input_bang_xuyen_qua!$B$2:$B$5,MIN(4,MAX(1,(INDEX(boss_input_vu_khi!$C$2:$C$94,MATCH($C$32,boss_input_vu_khi!$A$2:$A$94,0)))-($E$32)-1))),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boss_input_vu_khi_suy_ra!$I$2:$I$94,MATCH($C$33,boss_input_vu_khi_suy_ra!$A$2:$A$94,0)),INDEX(boss_input_bang_xuyen_qua!$B$2:$B$5,MIN(4,MAX(1,(INDEX(boss_input_vu_khi!$C$2:$C$94,MATCH($C$33,boss_input_vu_khi!$A$2:$A$94,0)))-($E$33)-1))),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boss_input_vu_khi_suy_ra!$I$2:$I$94,MATCH($C$34,boss_input_vu_khi_suy_ra!$A$2:$A$94,0)),INDEX(boss_input_bang_xuyen_qua!$B$2:$B$5,MIN(4,MAX(1,(INDEX(boss_input_vu_khi!$C$2:$C$94,MATCH($C$34,boss_input_vu_khi!$A$2:$A$94,0)))-($E$34)-1))),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boss_input_vu_khi_suy_ra!$I$2:$I$94,MATCH($C$35,boss_input_vu_khi_suy_ra!$A$2:$A$94,0)),INDEX(boss_input_bang_xuyen_qua!$B$2:$B$5,MIN(4,MAX(1,(INDEX(boss_input_vu_khi!$C$2:$C$94,MATCH($C$35,boss_input_vu_khi!$A$2:$A$94,0)))-($E$35)-1))),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boss_input_vu_khi_suy_ra!$I$2:$I$94,MATCH($C$36,boss_input_vu_khi_suy_ra!$A$2:$A$94,0)),INDEX(boss_input_bang_xuyen_qua!$B$2:$B$5,MIN(4,MAX(1,(INDEX(boss_input_vu_khi!$C$2:$C$94,MATCH($C$36,boss_input_vu_khi!$A$2:$A$94,0)))-($E$36)-1))),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boss_input_vu_khi_suy_ra!$I$2:$I$94,MATCH($C$37,boss_input_vu_khi_suy_ra!$A$2:$A$94,0)),INDEX(boss_input_bang_xuyen_qua!$B$2:$B$5,MIN(4,MAX(1,(INDEX(boss_input_vu_khi!$C$2:$C$94,MATCH($C$37,boss_input_vu_khi!$A$2:$A$94,0)))-($E$37)-1))),1)*IF(INDEX(input_xe_tham_chieu!$F$2:$F$6,MATCH($D$37,input_xe_tham_chieu!$A$2:$A$6,0)),INDEX(boss_input_vu_khi_suy_ra!$G$2:$G$94,MATCH($C$37,boss_input_vu_khi_suy_ra!$A$2:$A$94,0)),INDEX(boss_input_vu_khi_suy_ra!$F$2:$F$94,MATCH($C$37,boss_input_vu_khi_suy_ra!$A$2:$A$94,0))),0)</f>
        <v/>
      </c>
      <c r="G37" t="n">
        <v>1.224</v>
      </c>
      <c r="H37">
        <f>INDEX(boss_input_vu_khi!$B$2:$B$94,MATCH($C$37,boss_input_vu_khi!$A$2:$A$94,0))*INDEX(Boss_dps!$D$2:$D$34,MATCH($B$37,Boss_dps!$A$2:$A$34,0))*IF(INDEX(boss_input_vu_khi!$D$2:$D$94,MATCH($C$37,boss_input_vu_khi!$A$2:$A$94,0)),1,INDEX(Boss_dps!$B$2:$B$34,MATCH($B$37,Boss_dps!$A$2:$A$34,0)))*INDEX(Boss_dps!$C$2:$C$34,MATCH($B$37,Boss_dps!$A$2:$A$34,0))*$F$37</f>
        <v/>
      </c>
      <c r="I37" t="n">
        <v>1840.11264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boss_input_vu_khi_suy_ra!$I$2:$I$94,MATCH($C$38,boss_input_vu_khi_suy_ra!$A$2:$A$94,0)),INDEX(boss_input_bang_xuyen_qua!$B$2:$B$5,MIN(4,MAX(1,(INDEX(boss_input_vu_khi!$C$2:$C$94,MATCH($C$38,boss_input_vu_khi!$A$2:$A$94,0)))-($E$38)-1))),1)*IF(INDEX(input_xe_tham_chieu!$F$2:$F$6,MATCH($D$38,input_xe_tham_chieu!$A$2:$A$6,0)),INDEX(boss_input_vu_khi_suy_ra!$G$2:$G$94,MATCH($C$38,boss_input_vu_khi_suy_ra!$A$2:$A$94,0)),INDEX(boss_input_vu_khi_suy_ra!$F$2:$F$94,MATCH($C$38,boss_input_vu_khi_suy_ra!$A$2:$A$94,0))),0)</f>
        <v/>
      </c>
      <c r="G38" t="n">
        <v>0.84</v>
      </c>
      <c r="H38">
        <f>INDEX(boss_input_vu_khi!$B$2:$B$94,MATCH($C$38,boss_input_vu_khi!$A$2:$A$94,0))*INDEX(Boss_dps!$D$2:$D$34,MATCH($B$38,Boss_dps!$A$2:$A$34,0))*IF(INDEX(boss_input_vu_khi!$D$2:$D$94,MATCH($C$38,boss_input_vu_khi!$A$2:$A$94,0)),1,INDEX(Boss_dps!$B$2:$B$34,MATCH($B$38,Boss_dps!$A$2:$A$34,0)))*INDEX(Boss_dps!$C$2:$C$34,MATCH($B$38,Boss_dps!$A$2:$A$34,0))*$F$38</f>
        <v/>
      </c>
      <c r="I38" t="n">
        <v>1262.8224</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boss_input_vu_khi_suy_ra!$I$2:$I$94,MATCH($C$39,boss_input_vu_khi_suy_ra!$A$2:$A$94,0)),INDEX(boss_input_bang_xuyen_qua!$B$2:$B$5,MIN(4,MAX(1,(INDEX(boss_input_vu_khi!$C$2:$C$94,MATCH($C$39,boss_input_vu_khi!$A$2:$A$94,0)))-($E$39)-1))),1)*IF(INDEX(input_xe_tham_chieu!$F$2:$F$6,MATCH($D$39,input_xe_tham_chieu!$A$2:$A$6,0)),INDEX(boss_input_vu_khi_suy_ra!$G$2:$G$94,MATCH($C$39,boss_input_vu_khi_suy_ra!$A$2:$A$94,0)),INDEX(boss_input_vu_khi_suy_ra!$F$2:$F$94,MATCH($C$39,boss_input_vu_khi_suy_ra!$A$2:$A$94,0))),0)</f>
        <v/>
      </c>
      <c r="G39" t="n">
        <v>1.2</v>
      </c>
      <c r="H39">
        <f>INDEX(boss_input_vu_khi!$B$2:$B$94,MATCH($C$39,boss_input_vu_khi!$A$2:$A$94,0))*INDEX(Boss_dps!$D$2:$D$34,MATCH($B$39,Boss_dps!$A$2:$A$34,0))*IF(INDEX(boss_input_vu_khi!$D$2:$D$94,MATCH($C$39,boss_input_vu_khi!$A$2:$A$94,0)),1,INDEX(Boss_dps!$B$2:$B$34,MATCH($B$39,Boss_dps!$A$2:$A$34,0)))*INDEX(Boss_dps!$C$2:$C$34,MATCH($B$39,Boss_dps!$A$2:$A$34,0))*$F$39</f>
        <v/>
      </c>
      <c r="I39" t="n">
        <v>1804.032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boss_input_vu_khi_suy_ra!$I$2:$I$94,MATCH($C$40,boss_input_vu_khi_suy_ra!$A$2:$A$94,0)),INDEX(boss_input_bang_xuyen_qua!$B$2:$B$5,MIN(4,MAX(1,(INDEX(boss_input_vu_khi!$C$2:$C$94,MATCH($C$40,boss_input_vu_khi!$A$2:$A$94,0)))-($E$40)-1))),1)*IF(INDEX(input_xe_tham_chieu!$F$2:$F$6,MATCH($D$40,input_xe_tham_chieu!$A$2:$A$6,0)),INDEX(boss_input_vu_khi_suy_ra!$G$2:$G$94,MATCH($C$40,boss_input_vu_khi_suy_ra!$A$2:$A$94,0)),INDEX(boss_input_vu_khi_suy_ra!$F$2:$F$94,MATCH($C$40,boss_input_vu_khi_suy_ra!$A$2:$A$94,0))),0)</f>
        <v/>
      </c>
      <c r="G40" t="n">
        <v>1.368</v>
      </c>
      <c r="H40">
        <f>INDEX(boss_input_vu_khi!$B$2:$B$94,MATCH($C$40,boss_input_vu_khi!$A$2:$A$94,0))*INDEX(Boss_dps!$D$2:$D$34,MATCH($B$40,Boss_dps!$A$2:$A$34,0))*IF(INDEX(boss_input_vu_khi!$D$2:$D$94,MATCH($C$40,boss_input_vu_khi!$A$2:$A$94,0)),1,INDEX(Boss_dps!$B$2:$B$34,MATCH($B$40,Boss_dps!$A$2:$A$34,0)))*INDEX(Boss_dps!$C$2:$C$34,MATCH($B$40,Boss_dps!$A$2:$A$34,0))*$F$40</f>
        <v/>
      </c>
      <c r="I40" t="n">
        <v>2056.59648</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boss_input_vu_khi_suy_ra!$I$2:$I$94,MATCH($C$41,boss_input_vu_khi_suy_ra!$A$2:$A$94,0)),INDEX(boss_input_bang_xuyen_qua!$B$2:$B$5,MIN(4,MAX(1,(INDEX(boss_input_vu_khi!$C$2:$C$94,MATCH($C$41,boss_input_vu_khi!$A$2:$A$94,0)))-($E$41)-1))),1)*IF(INDEX(input_xe_tham_chieu!$F$2:$F$6,MATCH($D$41,input_xe_tham_chieu!$A$2:$A$6,0)),INDEX(boss_input_vu_khi_suy_ra!$G$2:$G$94,MATCH($C$41,boss_input_vu_khi_suy_ra!$A$2:$A$94,0)),INDEX(boss_input_vu_khi_suy_ra!$F$2:$F$94,MATCH($C$41,boss_input_vu_khi_suy_ra!$A$2:$A$94,0))),0)</f>
        <v/>
      </c>
      <c r="G41" t="n">
        <v>1.2</v>
      </c>
      <c r="H41">
        <f>INDEX(boss_input_vu_khi!$B$2:$B$94,MATCH($C$41,boss_input_vu_khi!$A$2:$A$94,0))*INDEX(Boss_dps!$D$2:$D$34,MATCH($B$41,Boss_dps!$A$2:$A$34,0))*IF(INDEX(boss_input_vu_khi!$D$2:$D$94,MATCH($C$41,boss_input_vu_khi!$A$2:$A$94,0)),1,INDEX(Boss_dps!$B$2:$B$34,MATCH($B$41,Boss_dps!$A$2:$A$34,0)))*INDEX(Boss_dps!$C$2:$C$34,MATCH($B$41,Boss_dps!$A$2:$A$34,0))*$F$41</f>
        <v/>
      </c>
      <c r="I41" t="n">
        <v>1804.032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boss_input_vu_khi_suy_ra!$I$2:$I$94,MATCH($C$42,boss_input_vu_khi_suy_ra!$A$2:$A$94,0)),INDEX(boss_input_bang_xuyen_qua!$B$2:$B$5,MIN(4,MAX(1,(INDEX(boss_input_vu_khi!$C$2:$C$94,MATCH($C$42,boss_input_vu_khi!$A$2:$A$94,0)))-($E$42)-1))),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boss_input_vu_khi_suy_ra!$I$2:$I$94,MATCH($C$43,boss_input_vu_khi_suy_ra!$A$2:$A$94,0)),INDEX(boss_input_bang_xuyen_qua!$B$2:$B$5,MIN(4,MAX(1,(INDEX(boss_input_vu_khi!$C$2:$C$94,MATCH($C$43,boss_input_vu_khi!$A$2:$A$94,0)))-($E$43)-1))),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boss_input_vu_khi_suy_ra!$I$2:$I$94,MATCH($C$44,boss_input_vu_khi_suy_ra!$A$2:$A$94,0)),INDEX(boss_input_bang_xuyen_qua!$B$2:$B$5,MIN(4,MAX(1,(INDEX(boss_input_vu_khi!$C$2:$C$94,MATCH($C$44,boss_input_vu_khi!$A$2:$A$94,0)))-($E$44)-1))),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boss_input_vu_khi_suy_ra!$I$2:$I$94,MATCH($C$45,boss_input_vu_khi_suy_ra!$A$2:$A$94,0)),INDEX(boss_input_bang_xuyen_qua!$B$2:$B$5,MIN(4,MAX(1,(INDEX(boss_input_vu_khi!$C$2:$C$94,MATCH($C$45,boss_input_vu_khi!$A$2:$A$94,0)))-($E$45)-1))),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boss_input_vu_khi_suy_ra!$I$2:$I$94,MATCH($C$46,boss_input_vu_khi_suy_ra!$A$2:$A$94,0)),INDEX(boss_input_bang_xuyen_qua!$B$2:$B$5,MIN(4,MAX(1,(INDEX(boss_input_vu_khi!$C$2:$C$94,MATCH($C$46,boss_input_vu_khi!$A$2:$A$94,0)))-($E$46)-1))),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boss_input_vu_khi_suy_ra!$I$2:$I$94,MATCH($C$47,boss_input_vu_khi_suy_ra!$A$2:$A$94,0)),INDEX(boss_input_bang_xuyen_qua!$B$2:$B$5,MIN(4,MAX(1,(INDEX(boss_input_vu_khi!$C$2:$C$94,MATCH($C$47,boss_input_vu_khi!$A$2:$A$94,0)))-($E$47)-1))),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boss_input_vu_khi_suy_ra!$I$2:$I$94,MATCH($C$48,boss_input_vu_khi_suy_ra!$A$2:$A$94,0)),INDEX(boss_input_bang_xuyen_qua!$B$2:$B$5,MIN(4,MAX(1,(INDEX(boss_input_vu_khi!$C$2:$C$94,MATCH($C$48,boss_input_vu_khi!$A$2:$A$94,0)))-($E$48)-1))),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boss_input_vu_khi_suy_ra!$I$2:$I$94,MATCH($C$49,boss_input_vu_khi_suy_ra!$A$2:$A$94,0)),INDEX(boss_input_bang_xuyen_qua!$B$2:$B$5,MIN(4,MAX(1,(INDEX(boss_input_vu_khi!$C$2:$C$94,MATCH($C$49,boss_input_vu_khi!$A$2:$A$94,0)))-($E$49)-1))),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boss_input_vu_khi_suy_ra!$I$2:$I$94,MATCH($C$50,boss_input_vu_khi_suy_ra!$A$2:$A$94,0)),INDEX(boss_input_bang_xuyen_qua!$B$2:$B$5,MIN(4,MAX(1,(INDEX(boss_input_vu_khi!$C$2:$C$94,MATCH($C$50,boss_input_vu_khi!$A$2:$A$94,0)))-($E$50)-1))),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boss_input_vu_khi_suy_ra!$I$2:$I$94,MATCH($C$51,boss_input_vu_khi_suy_ra!$A$2:$A$94,0)),INDEX(boss_input_bang_xuyen_qua!$B$2:$B$5,MIN(4,MAX(1,(INDEX(boss_input_vu_khi!$C$2:$C$94,MATCH($C$51,boss_input_vu_khi!$A$2:$A$94,0)))-($E$51)-1)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boss_input_vu_khi_suy_ra!$I$2:$I$94,MATCH($C$52,boss_input_vu_khi_suy_ra!$A$2:$A$94,0)),INDEX(boss_input_bang_xuyen_qua!$B$2:$B$5,MIN(4,MAX(1,(INDEX(boss_input_vu_khi!$C$2:$C$94,MATCH($C$52,boss_input_vu_khi!$A$2:$A$94,0)))-($E$52)-1))),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boss_input_vu_khi_suy_ra!$I$2:$I$94,MATCH($C$53,boss_input_vu_khi_suy_ra!$A$2:$A$94,0)),INDEX(boss_input_bang_xuyen_qua!$B$2:$B$5,MIN(4,MAX(1,(INDEX(boss_input_vu_khi!$C$2:$C$94,MATCH($C$53,boss_input_vu_khi!$A$2:$A$94,0)))-($E$53)-1))),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boss_input_vu_khi_suy_ra!$I$2:$I$94,MATCH($C$54,boss_input_vu_khi_suy_ra!$A$2:$A$94,0)),INDEX(boss_input_bang_xuyen_qua!$B$2:$B$5,MIN(4,MAX(1,(INDEX(boss_input_vu_khi!$C$2:$C$94,MATCH($C$54,boss_input_vu_khi!$A$2:$A$94,0)))-($E$54)-1))),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boss_input_vu_khi_suy_ra!$I$2:$I$94,MATCH($C$55,boss_input_vu_khi_suy_ra!$A$2:$A$94,0)),INDEX(boss_input_bang_xuyen_qua!$B$2:$B$5,MIN(4,MAX(1,(INDEX(boss_input_vu_khi!$C$2:$C$94,MATCH($C$55,boss_input_vu_khi!$A$2:$A$94,0)))-($E$55)-1))),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boss_input_vu_khi_suy_ra!$I$2:$I$94,MATCH($C$56,boss_input_vu_khi_suy_ra!$A$2:$A$94,0)),INDEX(boss_input_bang_xuyen_qua!$B$2:$B$5,MIN(4,MAX(1,(INDEX(boss_input_vu_khi!$C$2:$C$94,MATCH($C$56,boss_input_vu_khi!$A$2:$A$94,0)))-($E$56)-1))),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boss_input_vu_khi_suy_ra!$I$2:$I$94,MATCH($C$57,boss_input_vu_khi_suy_ra!$A$2:$A$94,0)),INDEX(boss_input_bang_xuyen_qua!$B$2:$B$5,MIN(4,MAX(1,(INDEX(boss_input_vu_khi!$C$2:$C$94,MATCH($C$57,boss_input_vu_khi!$A$2:$A$94,0)))-($E$57)-1))),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boss_input_vu_khi_suy_ra!$I$2:$I$94,MATCH($C$58,boss_input_vu_khi_suy_ra!$A$2:$A$94,0)),INDEX(boss_input_bang_xuyen_qua!$B$2:$B$5,MIN(4,MAX(1,(INDEX(boss_input_vu_khi!$C$2:$C$94,MATCH($C$58,boss_input_vu_khi!$A$2:$A$94,0)))-($E$58)-1))),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boss_input_vu_khi_suy_ra!$I$2:$I$94,MATCH($C$59,boss_input_vu_khi_suy_ra!$A$2:$A$94,0)),INDEX(boss_input_bang_xuyen_qua!$B$2:$B$5,MIN(4,MAX(1,(INDEX(boss_input_vu_khi!$C$2:$C$94,MATCH($C$59,boss_input_vu_khi!$A$2:$A$94,0)))-($E$59)-1))),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boss_input_vu_khi_suy_ra!$I$2:$I$94,MATCH($C$60,boss_input_vu_khi_suy_ra!$A$2:$A$94,0)),INDEX(boss_input_bang_xuyen_qua!$B$2:$B$5,MIN(4,MAX(1,(INDEX(boss_input_vu_khi!$C$2:$C$94,MATCH($C$60,boss_input_vu_khi!$A$2:$A$94,0)))-($E$60)-1))),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boss_input_vu_khi_suy_ra!$I$2:$I$94,MATCH($C$61,boss_input_vu_khi_suy_ra!$A$2:$A$94,0)),INDEX(boss_input_bang_xuyen_qua!$B$2:$B$5,MIN(4,MAX(1,(INDEX(boss_input_vu_khi!$C$2:$C$94,MATCH($C$61,boss_input_vu_khi!$A$2:$A$94,0)))-($E$61)-1)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boss_input_vu_khi_suy_ra!$I$2:$I$94,MATCH($C$62,boss_input_vu_khi_suy_ra!$A$2:$A$94,0)),INDEX(boss_input_bang_xuyen_qua!$B$2:$B$5,MIN(4,MAX(1,(INDEX(boss_input_vu_khi!$C$2:$C$94,MATCH($C$62,boss_input_vu_khi!$A$2:$A$94,0)))-($E$62)-1))),1)*IF(INDEX(input_xe_tham_chieu!$F$2:$F$6,MATCH($D$62,input_xe_tham_chieu!$A$2:$A$6,0)),INDEX(boss_input_vu_khi_suy_ra!$G$2:$G$94,MATCH($C$62,boss_input_vu_khi_suy_ra!$A$2:$A$94,0)),INDEX(boss_input_vu_khi_suy_ra!$F$2:$F$94,MATCH($C$62,boss_input_vu_khi_suy_ra!$A$2:$A$94,0))),0)</f>
        <v/>
      </c>
      <c r="G62" t="n">
        <v>1.224</v>
      </c>
      <c r="H62">
        <f>INDEX(boss_input_vu_khi!$B$2:$B$94,MATCH($C$62,boss_input_vu_khi!$A$2:$A$94,0))*INDEX(Boss_dps!$D$2:$D$34,MATCH($B$62,Boss_dps!$A$2:$A$34,0))*IF(INDEX(boss_input_vu_khi!$D$2:$D$94,MATCH($C$62,boss_input_vu_khi!$A$2:$A$94,0)),1,INDEX(Boss_dps!$B$2:$B$34,MATCH($B$62,Boss_dps!$A$2:$A$34,0)))*INDEX(Boss_dps!$C$2:$C$34,MATCH($B$62,Boss_dps!$A$2:$A$34,0))*$F$62</f>
        <v/>
      </c>
      <c r="I62" t="n">
        <v>1191.2765499648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boss_input_vu_khi_suy_ra!$I$2:$I$94,MATCH($C$63,boss_input_vu_khi_suy_ra!$A$2:$A$94,0)),INDEX(boss_input_bang_xuyen_qua!$B$2:$B$5,MIN(4,MAX(1,(INDEX(boss_input_vu_khi!$C$2:$C$94,MATCH($C$63,boss_input_vu_khi!$A$2:$A$94,0)))-($E$63)-1))),1)*IF(INDEX(input_xe_tham_chieu!$F$2:$F$6,MATCH($D$63,input_xe_tham_chieu!$A$2:$A$6,0)),INDEX(boss_input_vu_khi_suy_ra!$G$2:$G$94,MATCH($C$63,boss_input_vu_khi_suy_ra!$A$2:$A$94,0)),INDEX(boss_input_vu_khi_suy_ra!$F$2:$F$94,MATCH($C$63,boss_input_vu_khi_suy_ra!$A$2:$A$94,0))),0)</f>
        <v/>
      </c>
      <c r="G63" t="n">
        <v>0.84</v>
      </c>
      <c r="H63">
        <f>INDEX(boss_input_vu_khi!$B$2:$B$94,MATCH($C$63,boss_input_vu_khi!$A$2:$A$94,0))*INDEX(Boss_dps!$D$2:$D$34,MATCH($B$63,Boss_dps!$A$2:$A$34,0))*IF(INDEX(boss_input_vu_khi!$D$2:$D$94,MATCH($C$63,boss_input_vu_khi!$A$2:$A$94,0)),1,INDEX(Boss_dps!$B$2:$B$34,MATCH($B$63,Boss_dps!$A$2:$A$34,0)))*INDEX(Boss_dps!$C$2:$C$34,MATCH($B$63,Boss_dps!$A$2:$A$34,0))*$F$63</f>
        <v/>
      </c>
      <c r="I63" t="n">
        <v>817.5427303679999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boss_input_vu_khi_suy_ra!$I$2:$I$94,MATCH($C$64,boss_input_vu_khi_suy_ra!$A$2:$A$94,0)),INDEX(boss_input_bang_xuyen_qua!$B$2:$B$5,MIN(4,MAX(1,(INDEX(boss_input_vu_khi!$C$2:$C$94,MATCH($C$64,boss_input_vu_khi!$A$2:$A$94,0)))-($E$64)-1))),1)*IF(INDEX(input_xe_tham_chieu!$F$2:$F$6,MATCH($D$64,input_xe_tham_chieu!$A$2:$A$6,0)),INDEX(boss_input_vu_khi_suy_ra!$G$2:$G$94,MATCH($C$64,boss_input_vu_khi_suy_ra!$A$2:$A$94,0)),INDEX(boss_input_vu_khi_suy_ra!$F$2:$F$94,MATCH($C$64,boss_input_vu_khi_suy_ra!$A$2:$A$94,0))),0)</f>
        <v/>
      </c>
      <c r="G64" t="n">
        <v>1.2</v>
      </c>
      <c r="H64">
        <f>INDEX(boss_input_vu_khi!$B$2:$B$94,MATCH($C$64,boss_input_vu_khi!$A$2:$A$94,0))*INDEX(Boss_dps!$D$2:$D$34,MATCH($B$64,Boss_dps!$A$2:$A$34,0))*IF(INDEX(boss_input_vu_khi!$D$2:$D$94,MATCH($C$64,boss_input_vu_khi!$A$2:$A$94,0)),1,INDEX(Boss_dps!$B$2:$B$34,MATCH($B$64,Boss_dps!$A$2:$A$34,0)))*INDEX(Boss_dps!$C$2:$C$34,MATCH($B$64,Boss_dps!$A$2:$A$34,0))*$F$64</f>
        <v/>
      </c>
      <c r="I64" t="n">
        <v>1167.91818624</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boss_input_vu_khi_suy_ra!$I$2:$I$94,MATCH($C$65,boss_input_vu_khi_suy_ra!$A$2:$A$94,0)),INDEX(boss_input_bang_xuyen_qua!$B$2:$B$5,MIN(4,MAX(1,(INDEX(boss_input_vu_khi!$C$2:$C$94,MATCH($C$65,boss_input_vu_khi!$A$2:$A$94,0)))-($E$65)-1))),1)*IF(INDEX(input_xe_tham_chieu!$F$2:$F$6,MATCH($D$65,input_xe_tham_chieu!$A$2:$A$6,0)),INDEX(boss_input_vu_khi_suy_ra!$G$2:$G$94,MATCH($C$65,boss_input_vu_khi_suy_ra!$A$2:$A$94,0)),INDEX(boss_input_vu_khi_suy_ra!$F$2:$F$94,MATCH($C$65,boss_input_vu_khi_suy_ra!$A$2:$A$94,0))),0)</f>
        <v/>
      </c>
      <c r="G65" t="n">
        <v>1.368</v>
      </c>
      <c r="H65">
        <f>INDEX(boss_input_vu_khi!$B$2:$B$94,MATCH($C$65,boss_input_vu_khi!$A$2:$A$94,0))*INDEX(Boss_dps!$D$2:$D$34,MATCH($B$65,Boss_dps!$A$2:$A$34,0))*IF(INDEX(boss_input_vu_khi!$D$2:$D$94,MATCH($C$65,boss_input_vu_khi!$A$2:$A$94,0)),1,INDEX(Boss_dps!$B$2:$B$34,MATCH($B$65,Boss_dps!$A$2:$A$34,0)))*INDEX(Boss_dps!$C$2:$C$34,MATCH($B$65,Boss_dps!$A$2:$A$34,0))*$F$65</f>
        <v/>
      </c>
      <c r="I65" t="n">
        <v>1331.4267323136</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boss_input_vu_khi_suy_ra!$I$2:$I$94,MATCH($C$66,boss_input_vu_khi_suy_ra!$A$2:$A$94,0)),INDEX(boss_input_bang_xuyen_qua!$B$2:$B$5,MIN(4,MAX(1,(INDEX(boss_input_vu_khi!$C$2:$C$94,MATCH($C$66,boss_input_vu_khi!$A$2:$A$94,0)))-($E$66)-1))),1)*IF(INDEX(input_xe_tham_chieu!$F$2:$F$6,MATCH($D$66,input_xe_tham_chieu!$A$2:$A$6,0)),INDEX(boss_input_vu_khi_suy_ra!$G$2:$G$94,MATCH($C$66,boss_input_vu_khi_suy_ra!$A$2:$A$94,0)),INDEX(boss_input_vu_khi_suy_ra!$F$2:$F$94,MATCH($C$66,boss_input_vu_khi_suy_ra!$A$2:$A$94,0))),0)</f>
        <v/>
      </c>
      <c r="G66" t="n">
        <v>1.2</v>
      </c>
      <c r="H66">
        <f>INDEX(boss_input_vu_khi!$B$2:$B$94,MATCH($C$66,boss_input_vu_khi!$A$2:$A$94,0))*INDEX(Boss_dps!$D$2:$D$34,MATCH($B$66,Boss_dps!$A$2:$A$34,0))*IF(INDEX(boss_input_vu_khi!$D$2:$D$94,MATCH($C$66,boss_input_vu_khi!$A$2:$A$94,0)),1,INDEX(Boss_dps!$B$2:$B$34,MATCH($B$66,Boss_dps!$A$2:$A$34,0)))*INDEX(Boss_dps!$C$2:$C$34,MATCH($B$66,Boss_dps!$A$2:$A$34,0))*$F$66</f>
        <v/>
      </c>
      <c r="I66" t="n">
        <v>1167.91818624</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boss_input_vu_khi_suy_ra!$I$2:$I$94,MATCH($C$67,boss_input_vu_khi_suy_ra!$A$2:$A$94,0)),INDEX(boss_input_bang_xuyen_qua!$B$2:$B$5,MIN(4,MAX(1,(INDEX(boss_input_vu_khi!$C$2:$C$94,MATCH($C$67,boss_input_vu_khi!$A$2:$A$94,0)))-($E$67)-1))),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boss_input_vu_khi_suy_ra!$I$2:$I$94,MATCH($C$68,boss_input_vu_khi_suy_ra!$A$2:$A$94,0)),INDEX(boss_input_bang_xuyen_qua!$B$2:$B$5,MIN(4,MAX(1,(INDEX(boss_input_vu_khi!$C$2:$C$94,MATCH($C$68,boss_input_vu_khi!$A$2:$A$94,0)))-($E$68)-1))),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boss_input_vu_khi_suy_ra!$I$2:$I$94,MATCH($C$69,boss_input_vu_khi_suy_ra!$A$2:$A$94,0)),INDEX(boss_input_bang_xuyen_qua!$B$2:$B$5,MIN(4,MAX(1,(INDEX(boss_input_vu_khi!$C$2:$C$94,MATCH($C$69,boss_input_vu_khi!$A$2:$A$94,0)))-($E$69)-1))),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boss_input_vu_khi_suy_ra!$I$2:$I$94,MATCH($C$70,boss_input_vu_khi_suy_ra!$A$2:$A$94,0)),INDEX(boss_input_bang_xuyen_qua!$B$2:$B$5,MIN(4,MAX(1,(INDEX(boss_input_vu_khi!$C$2:$C$94,MATCH($C$70,boss_input_vu_khi!$A$2:$A$94,0)))-($E$70)-1))),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boss_input_vu_khi_suy_ra!$I$2:$I$94,MATCH($C$71,boss_input_vu_khi_suy_ra!$A$2:$A$94,0)),INDEX(boss_input_bang_xuyen_qua!$B$2:$B$5,MIN(4,MAX(1,(INDEX(boss_input_vu_khi!$C$2:$C$94,MATCH($C$71,boss_input_vu_khi!$A$2:$A$94,0)))-($E$71)-1)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boss_input_vu_khi_suy_ra!$I$2:$I$94,MATCH($C$72,boss_input_vu_khi_suy_ra!$A$2:$A$94,0)),INDEX(boss_input_bang_xuyen_qua!$B$2:$B$5,MIN(4,MAX(1,(INDEX(boss_input_vu_khi!$C$2:$C$94,MATCH($C$72,boss_input_vu_khi!$A$2:$A$94,0)))-($E$72)-1))),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boss_input_vu_khi_suy_ra!$I$2:$I$94,MATCH($C$73,boss_input_vu_khi_suy_ra!$A$2:$A$94,0)),INDEX(boss_input_bang_xuyen_qua!$B$2:$B$5,MIN(4,MAX(1,(INDEX(boss_input_vu_khi!$C$2:$C$94,MATCH($C$73,boss_input_vu_khi!$A$2:$A$94,0)))-($E$73)-1))),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boss_input_vu_khi_suy_ra!$I$2:$I$94,MATCH($C$74,boss_input_vu_khi_suy_ra!$A$2:$A$94,0)),INDEX(boss_input_bang_xuyen_qua!$B$2:$B$5,MIN(4,MAX(1,(INDEX(boss_input_vu_khi!$C$2:$C$94,MATCH($C$74,boss_input_vu_khi!$A$2:$A$94,0)))-($E$74)-1))),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boss_input_vu_khi_suy_ra!$I$2:$I$94,MATCH($C$75,boss_input_vu_khi_suy_ra!$A$2:$A$94,0)),INDEX(boss_input_bang_xuyen_qua!$B$2:$B$5,MIN(4,MAX(1,(INDEX(boss_input_vu_khi!$C$2:$C$94,MATCH($C$75,boss_input_vu_khi!$A$2:$A$94,0)))-($E$75)-1))),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boss_input_vu_khi_suy_ra!$I$2:$I$94,MATCH($C$76,boss_input_vu_khi_suy_ra!$A$2:$A$94,0)),INDEX(boss_input_bang_xuyen_qua!$B$2:$B$5,MIN(4,MAX(1,(INDEX(boss_input_vu_khi!$C$2:$C$94,MATCH($C$76,boss_input_vu_khi!$A$2:$A$94,0)))-($E$76)-1))),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boss_input_vu_khi_suy_ra!$I$2:$I$94,MATCH($C$77,boss_input_vu_khi_suy_ra!$A$2:$A$94,0)),INDEX(boss_input_bang_xuyen_qua!$B$2:$B$5,MIN(4,MAX(1,(INDEX(boss_input_vu_khi!$C$2:$C$94,MATCH($C$77,boss_input_vu_khi!$A$2:$A$94,0)))-($E$77)-1))),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boss_input_vu_khi_suy_ra!$I$2:$I$94,MATCH($C$78,boss_input_vu_khi_suy_ra!$A$2:$A$94,0)),INDEX(boss_input_bang_xuyen_qua!$B$2:$B$5,MIN(4,MAX(1,(INDEX(boss_input_vu_khi!$C$2:$C$94,MATCH($C$78,boss_input_vu_khi!$A$2:$A$94,0)))-($E$78)-1))),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boss_input_vu_khi_suy_ra!$I$2:$I$94,MATCH($C$79,boss_input_vu_khi_suy_ra!$A$2:$A$94,0)),INDEX(boss_input_bang_xuyen_qua!$B$2:$B$5,MIN(4,MAX(1,(INDEX(boss_input_vu_khi!$C$2:$C$94,MATCH($C$79,boss_input_vu_khi!$A$2:$A$94,0)))-($E$79)-1))),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boss_input_vu_khi_suy_ra!$I$2:$I$94,MATCH($C$80,boss_input_vu_khi_suy_ra!$A$2:$A$94,0)),INDEX(boss_input_bang_xuyen_qua!$B$2:$B$5,MIN(4,MAX(1,(INDEX(boss_input_vu_khi!$C$2:$C$94,MATCH($C$80,boss_input_vu_khi!$A$2:$A$94,0)))-($E$80)-1))),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boss_input_vu_khi_suy_ra!$I$2:$I$94,MATCH($C$81,boss_input_vu_khi_suy_ra!$A$2:$A$94,0)),INDEX(boss_input_bang_xuyen_qua!$B$2:$B$5,MIN(4,MAX(1,(INDEX(boss_input_vu_khi!$C$2:$C$94,MATCH($C$81,boss_input_vu_khi!$A$2:$A$94,0)))-($E$81)-1)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boss_input_vu_khi_suy_ra!$I$2:$I$94,MATCH($C$82,boss_input_vu_khi_suy_ra!$A$2:$A$94,0)),INDEX(boss_input_bang_xuyen_qua!$B$2:$B$5,MIN(4,MAX(1,(INDEX(boss_input_vu_khi!$C$2:$C$94,MATCH($C$82,boss_input_vu_khi!$A$2:$A$94,0)))-($E$82)-1))),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boss_input_vu_khi_suy_ra!$I$2:$I$94,MATCH($C$83,boss_input_vu_khi_suy_ra!$A$2:$A$94,0)),INDEX(boss_input_bang_xuyen_qua!$B$2:$B$5,MIN(4,MAX(1,(INDEX(boss_input_vu_khi!$C$2:$C$94,MATCH($C$83,boss_input_vu_khi!$A$2:$A$94,0)))-($E$83)-1))),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boss_input_vu_khi_suy_ra!$I$2:$I$94,MATCH($C$84,boss_input_vu_khi_suy_ra!$A$2:$A$94,0)),INDEX(boss_input_bang_xuyen_qua!$B$2:$B$5,MIN(4,MAX(1,(INDEX(boss_input_vu_khi!$C$2:$C$94,MATCH($C$84,boss_input_vu_khi!$A$2:$A$94,0)))-($E$84)-1))),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boss_input_vu_khi_suy_ra!$I$2:$I$94,MATCH($C$85,boss_input_vu_khi_suy_ra!$A$2:$A$94,0)),INDEX(boss_input_bang_xuyen_qua!$B$2:$B$5,MIN(4,MAX(1,(INDEX(boss_input_vu_khi!$C$2:$C$94,MATCH($C$85,boss_input_vu_khi!$A$2:$A$94,0)))-($E$85)-1))),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boss_input_vu_khi_suy_ra!$I$2:$I$94,MATCH($C$86,boss_input_vu_khi_suy_ra!$A$2:$A$94,0)),INDEX(boss_input_bang_xuyen_qua!$B$2:$B$5,MIN(4,MAX(1,(INDEX(boss_input_vu_khi!$C$2:$C$94,MATCH($C$86,boss_input_vu_khi!$A$2:$A$94,0)))-($E$86)-1))),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boss_input_vu_khi_suy_ra!$I$2:$I$94,MATCH($C$87,boss_input_vu_khi_suy_ra!$A$2:$A$94,0)),INDEX(boss_input_bang_xuyen_qua!$B$2:$B$5,MIN(4,MAX(1,(INDEX(boss_input_vu_khi!$C$2:$C$94,MATCH($C$87,boss_input_vu_khi!$A$2:$A$94,0)))-($E$87)-1))),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boss_input_vu_khi_suy_ra!$I$2:$I$94,MATCH($C$88,boss_input_vu_khi_suy_ra!$A$2:$A$94,0)),INDEX(boss_input_bang_xuyen_qua!$B$2:$B$5,MIN(4,MAX(1,(INDEX(boss_input_vu_khi!$C$2:$C$94,MATCH($C$88,boss_input_vu_khi!$A$2:$A$94,0)))-($E$88)-1))),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boss_input_vu_khi_suy_ra!$I$2:$I$94,MATCH($C$89,boss_input_vu_khi_suy_ra!$A$2:$A$94,0)),INDEX(boss_input_bang_xuyen_qua!$B$2:$B$5,MIN(4,MAX(1,(INDEX(boss_input_vu_khi!$C$2:$C$94,MATCH($C$89,boss_input_vu_khi!$A$2:$A$94,0)))-($E$89)-1))),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boss_input_vu_khi_suy_ra!$I$2:$I$94,MATCH($C$90,boss_input_vu_khi_suy_ra!$A$2:$A$94,0)),INDEX(boss_input_bang_xuyen_qua!$B$2:$B$5,MIN(4,MAX(1,(INDEX(boss_input_vu_khi!$C$2:$C$94,MATCH($C$90,boss_input_vu_khi!$A$2:$A$94,0)))-($E$90)-1))),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boss_input_vu_khi_suy_ra!$I$2:$I$94,MATCH($C$91,boss_input_vu_khi_suy_ra!$A$2:$A$94,0)),INDEX(boss_input_bang_xuyen_qua!$B$2:$B$5,MIN(4,MAX(1,(INDEX(boss_input_vu_khi!$C$2:$C$94,MATCH($C$91,boss_input_vu_khi!$A$2:$A$94,0)))-($E$91)-1)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boss_input_vu_khi_suy_ra!$I$2:$I$94,MATCH($C$92,boss_input_vu_khi_suy_ra!$A$2:$A$94,0)),INDEX(boss_input_bang_xuyen_qua!$B$2:$B$5,MIN(4,MAX(1,(INDEX(boss_input_vu_khi!$C$2:$C$94,MATCH($C$92,boss_input_vu_khi!$A$2:$A$94,0)))-($E$92)-1))),1)*IF(INDEX(input_xe_tham_chieu!$F$2:$F$6,MATCH($D$92,input_xe_tham_chieu!$A$2:$A$6,0)),INDEX(boss_input_vu_khi_suy_ra!$G$2:$G$94,MATCH($C$92,boss_input_vu_khi_suy_ra!$A$2:$A$94,0)),INDEX(boss_input_vu_khi_suy_ra!$F$2:$F$94,MATCH($C$92,boss_input_vu_khi_suy_ra!$A$2:$A$94,0))),0)</f>
        <v/>
      </c>
      <c r="G92" t="n">
        <v>1.224</v>
      </c>
      <c r="H92">
        <f>INDEX(boss_input_vu_khi!$B$2:$B$94,MATCH($C$92,boss_input_vu_khi!$A$2:$A$94,0))*INDEX(Boss_dps!$D$2:$D$34,MATCH($B$92,Boss_dps!$A$2:$A$34,0))*IF(INDEX(boss_input_vu_khi!$D$2:$D$94,MATCH($C$92,boss_input_vu_khi!$A$2:$A$94,0)),1,INDEX(Boss_dps!$B$2:$B$34,MATCH($B$92,Boss_dps!$A$2:$A$34,0)))*INDEX(Boss_dps!$C$2:$C$34,MATCH($B$92,Boss_dps!$A$2:$A$34,0))*$F$92</f>
        <v/>
      </c>
      <c r="I92" t="n">
        <v>1204.386624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boss_input_vu_khi_suy_ra!$I$2:$I$94,MATCH($C$93,boss_input_vu_khi_suy_ra!$A$2:$A$94,0)),INDEX(boss_input_bang_xuyen_qua!$B$2:$B$5,MIN(4,MAX(1,(INDEX(boss_input_vu_khi!$C$2:$C$94,MATCH($C$93,boss_input_vu_khi!$A$2:$A$94,0)))-($E$93)-1))),1)*IF(INDEX(input_xe_tham_chieu!$F$2:$F$6,MATCH($D$93,input_xe_tham_chieu!$A$2:$A$6,0)),INDEX(boss_input_vu_khi_suy_ra!$G$2:$G$94,MATCH($C$93,boss_input_vu_khi_suy_ra!$A$2:$A$94,0)),INDEX(boss_input_vu_khi_suy_ra!$F$2:$F$94,MATCH($C$93,boss_input_vu_khi_suy_ra!$A$2:$A$94,0))),0)</f>
        <v/>
      </c>
      <c r="G93" t="n">
        <v>0.84</v>
      </c>
      <c r="H93">
        <f>INDEX(boss_input_vu_khi!$B$2:$B$94,MATCH($C$93,boss_input_vu_khi!$A$2:$A$94,0))*INDEX(Boss_dps!$D$2:$D$34,MATCH($B$93,Boss_dps!$A$2:$A$34,0))*IF(INDEX(boss_input_vu_khi!$D$2:$D$94,MATCH($C$93,boss_input_vu_khi!$A$2:$A$94,0)),1,INDEX(Boss_dps!$B$2:$B$34,MATCH($B$93,Boss_dps!$A$2:$A$34,0)))*INDEX(Boss_dps!$C$2:$C$34,MATCH($B$93,Boss_dps!$A$2:$A$34,0))*$F$93</f>
        <v/>
      </c>
      <c r="I93" t="n">
        <v>826.53984</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boss_input_vu_khi_suy_ra!$I$2:$I$94,MATCH($C$94,boss_input_vu_khi_suy_ra!$A$2:$A$94,0)),INDEX(boss_input_bang_xuyen_qua!$B$2:$B$5,MIN(4,MAX(1,(INDEX(boss_input_vu_khi!$C$2:$C$94,MATCH($C$94,boss_input_vu_khi!$A$2:$A$94,0)))-($E$94)-1))),1)*IF(INDEX(input_xe_tham_chieu!$F$2:$F$6,MATCH($D$94,input_xe_tham_chieu!$A$2:$A$6,0)),INDEX(boss_input_vu_khi_suy_ra!$G$2:$G$94,MATCH($C$94,boss_input_vu_khi_suy_ra!$A$2:$A$94,0)),INDEX(boss_input_vu_khi_suy_ra!$F$2:$F$94,MATCH($C$94,boss_input_vu_khi_suy_ra!$A$2:$A$94,0))),0)</f>
        <v/>
      </c>
      <c r="G94" t="n">
        <v>1.2</v>
      </c>
      <c r="H94">
        <f>INDEX(boss_input_vu_khi!$B$2:$B$94,MATCH($C$94,boss_input_vu_khi!$A$2:$A$94,0))*INDEX(Boss_dps!$D$2:$D$34,MATCH($B$94,Boss_dps!$A$2:$A$34,0))*IF(INDEX(boss_input_vu_khi!$D$2:$D$94,MATCH($C$94,boss_input_vu_khi!$A$2:$A$94,0)),1,INDEX(Boss_dps!$B$2:$B$34,MATCH($B$94,Boss_dps!$A$2:$A$34,0)))*INDEX(Boss_dps!$C$2:$C$34,MATCH($B$94,Boss_dps!$A$2:$A$34,0))*$F$94</f>
        <v/>
      </c>
      <c r="I94" t="n">
        <v>1180.7712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boss_input_vu_khi_suy_ra!$I$2:$I$94,MATCH($C$95,boss_input_vu_khi_suy_ra!$A$2:$A$94,0)),INDEX(boss_input_bang_xuyen_qua!$B$2:$B$5,MIN(4,MAX(1,(INDEX(boss_input_vu_khi!$C$2:$C$94,MATCH($C$95,boss_input_vu_khi!$A$2:$A$94,0)))-($E$95)-1))),1)*IF(INDEX(input_xe_tham_chieu!$F$2:$F$6,MATCH($D$95,input_xe_tham_chieu!$A$2:$A$6,0)),INDEX(boss_input_vu_khi_suy_ra!$G$2:$G$94,MATCH($C$95,boss_input_vu_khi_suy_ra!$A$2:$A$94,0)),INDEX(boss_input_vu_khi_suy_ra!$F$2:$F$94,MATCH($C$95,boss_input_vu_khi_suy_ra!$A$2:$A$94,0))),0)</f>
        <v/>
      </c>
      <c r="G95" t="n">
        <v>1.368</v>
      </c>
      <c r="H95">
        <f>INDEX(boss_input_vu_khi!$B$2:$B$94,MATCH($C$95,boss_input_vu_khi!$A$2:$A$94,0))*INDEX(Boss_dps!$D$2:$D$34,MATCH($B$95,Boss_dps!$A$2:$A$34,0))*IF(INDEX(boss_input_vu_khi!$D$2:$D$94,MATCH($C$95,boss_input_vu_khi!$A$2:$A$94,0)),1,INDEX(Boss_dps!$B$2:$B$34,MATCH($B$95,Boss_dps!$A$2:$A$34,0)))*INDEX(Boss_dps!$C$2:$C$34,MATCH($B$95,Boss_dps!$A$2:$A$34,0))*$F$95</f>
        <v/>
      </c>
      <c r="I95" t="n">
        <v>1346.079168</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boss_input_vu_khi_suy_ra!$I$2:$I$94,MATCH($C$96,boss_input_vu_khi_suy_ra!$A$2:$A$94,0)),INDEX(boss_input_bang_xuyen_qua!$B$2:$B$5,MIN(4,MAX(1,(INDEX(boss_input_vu_khi!$C$2:$C$94,MATCH($C$96,boss_input_vu_khi!$A$2:$A$94,0)))-($E$96)-1))),1)*IF(INDEX(input_xe_tham_chieu!$F$2:$F$6,MATCH($D$96,input_xe_tham_chieu!$A$2:$A$6,0)),INDEX(boss_input_vu_khi_suy_ra!$G$2:$G$94,MATCH($C$96,boss_input_vu_khi_suy_ra!$A$2:$A$94,0)),INDEX(boss_input_vu_khi_suy_ra!$F$2:$F$94,MATCH($C$96,boss_input_vu_khi_suy_ra!$A$2:$A$94,0))),0)</f>
        <v/>
      </c>
      <c r="G96" t="n">
        <v>1.2</v>
      </c>
      <c r="H96">
        <f>INDEX(boss_input_vu_khi!$B$2:$B$94,MATCH($C$96,boss_input_vu_khi!$A$2:$A$94,0))*INDEX(Boss_dps!$D$2:$D$34,MATCH($B$96,Boss_dps!$A$2:$A$34,0))*IF(INDEX(boss_input_vu_khi!$D$2:$D$94,MATCH($C$96,boss_input_vu_khi!$A$2:$A$94,0)),1,INDEX(Boss_dps!$B$2:$B$34,MATCH($B$96,Boss_dps!$A$2:$A$34,0)))*INDEX(Boss_dps!$C$2:$C$34,MATCH($B$96,Boss_dps!$A$2:$A$34,0))*$F$96</f>
        <v/>
      </c>
      <c r="I96" t="n">
        <v>1180.7712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boss_input_vu_khi_suy_ra!$I$2:$I$94,MATCH($C$97,boss_input_vu_khi_suy_ra!$A$2:$A$94,0)),INDEX(boss_input_bang_xuyen_qua!$B$2:$B$5,MIN(4,MAX(1,(INDEX(boss_input_vu_khi!$C$2:$C$94,MATCH($C$97,boss_input_vu_khi!$A$2:$A$94,0)))-($E$97)-1))),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boss_input_vu_khi_suy_ra!$I$2:$I$94,MATCH($C$98,boss_input_vu_khi_suy_ra!$A$2:$A$94,0)),INDEX(boss_input_bang_xuyen_qua!$B$2:$B$5,MIN(4,MAX(1,(INDEX(boss_input_vu_khi!$C$2:$C$94,MATCH($C$98,boss_input_vu_khi!$A$2:$A$94,0)))-($E$98)-1))),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boss_input_vu_khi_suy_ra!$I$2:$I$94,MATCH($C$99,boss_input_vu_khi_suy_ra!$A$2:$A$94,0)),INDEX(boss_input_bang_xuyen_qua!$B$2:$B$5,MIN(4,MAX(1,(INDEX(boss_input_vu_khi!$C$2:$C$94,MATCH($C$99,boss_input_vu_khi!$A$2:$A$94,0)))-($E$99)-1))),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boss_input_vu_khi_suy_ra!$I$2:$I$94,MATCH($C$100,boss_input_vu_khi_suy_ra!$A$2:$A$94,0)),INDEX(boss_input_bang_xuyen_qua!$B$2:$B$5,MIN(4,MAX(1,(INDEX(boss_input_vu_khi!$C$2:$C$94,MATCH($C$100,boss_input_vu_khi!$A$2:$A$94,0)))-($E$100)-1))),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boss_input_vu_khi_suy_ra!$I$2:$I$94,MATCH($C$101,boss_input_vu_khi_suy_ra!$A$2:$A$94,0)),INDEX(boss_input_bang_xuyen_qua!$B$2:$B$5,MIN(4,MAX(1,(INDEX(boss_input_vu_khi!$C$2:$C$94,MATCH($C$101,boss_input_vu_khi!$A$2:$A$94,0)))-($E$101)-1)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boss_input_vu_khi_suy_ra!$I$2:$I$94,MATCH($C$102,boss_input_vu_khi_suy_ra!$A$2:$A$94,0)),INDEX(boss_input_bang_xuyen_qua!$B$2:$B$5,MIN(4,MAX(1,(INDEX(boss_input_vu_khi!$C$2:$C$94,MATCH($C$102,boss_input_vu_khi!$A$2:$A$94,0)))-($E$102)-1))),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boss_input_vu_khi_suy_ra!$I$2:$I$94,MATCH($C$103,boss_input_vu_khi_suy_ra!$A$2:$A$94,0)),INDEX(boss_input_bang_xuyen_qua!$B$2:$B$5,MIN(4,MAX(1,(INDEX(boss_input_vu_khi!$C$2:$C$94,MATCH($C$103,boss_input_vu_khi!$A$2:$A$94,0)))-($E$103)-1))),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boss_input_vu_khi_suy_ra!$I$2:$I$94,MATCH($C$104,boss_input_vu_khi_suy_ra!$A$2:$A$94,0)),INDEX(boss_input_bang_xuyen_qua!$B$2:$B$5,MIN(4,MAX(1,(INDEX(boss_input_vu_khi!$C$2:$C$94,MATCH($C$104,boss_input_vu_khi!$A$2:$A$94,0)))-($E$104)-1))),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boss_input_vu_khi_suy_ra!$I$2:$I$94,MATCH($C$105,boss_input_vu_khi_suy_ra!$A$2:$A$94,0)),INDEX(boss_input_bang_xuyen_qua!$B$2:$B$5,MIN(4,MAX(1,(INDEX(boss_input_vu_khi!$C$2:$C$94,MATCH($C$105,boss_input_vu_khi!$A$2:$A$94,0)))-($E$105)-1))),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boss_input_vu_khi_suy_ra!$I$2:$I$94,MATCH($C$106,boss_input_vu_khi_suy_ra!$A$2:$A$94,0)),INDEX(boss_input_bang_xuyen_qua!$B$2:$B$5,MIN(4,MAX(1,(INDEX(boss_input_vu_khi!$C$2:$C$94,MATCH($C$106,boss_input_vu_khi!$A$2:$A$94,0)))-($E$106)-1))),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boss_input_vu_khi_suy_ra!$I$2:$I$94,MATCH($C$107,boss_input_vu_khi_suy_ra!$A$2:$A$94,0)),INDEX(boss_input_bang_xuyen_qua!$B$2:$B$5,MIN(4,MAX(1,(INDEX(boss_input_vu_khi!$C$2:$C$94,MATCH($C$107,boss_input_vu_khi!$A$2:$A$94,0)))-($E$107)-1))),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boss_input_vu_khi_suy_ra!$I$2:$I$94,MATCH($C$108,boss_input_vu_khi_suy_ra!$A$2:$A$94,0)),INDEX(boss_input_bang_xuyen_qua!$B$2:$B$5,MIN(4,MAX(1,(INDEX(boss_input_vu_khi!$C$2:$C$94,MATCH($C$108,boss_input_vu_khi!$A$2:$A$94,0)))-($E$108)-1))),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boss_input_vu_khi_suy_ra!$I$2:$I$94,MATCH($C$109,boss_input_vu_khi_suy_ra!$A$2:$A$94,0)),INDEX(boss_input_bang_xuyen_qua!$B$2:$B$5,MIN(4,MAX(1,(INDEX(boss_input_vu_khi!$C$2:$C$94,MATCH($C$109,boss_input_vu_khi!$A$2:$A$94,0)))-($E$109)-1))),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boss_input_vu_khi_suy_ra!$I$2:$I$94,MATCH($C$110,boss_input_vu_khi_suy_ra!$A$2:$A$94,0)),INDEX(boss_input_bang_xuyen_qua!$B$2:$B$5,MIN(4,MAX(1,(INDEX(boss_input_vu_khi!$C$2:$C$94,MATCH($C$110,boss_input_vu_khi!$A$2:$A$94,0)))-($E$110)-1))),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boss_input_vu_khi_suy_ra!$I$2:$I$94,MATCH($C$111,boss_input_vu_khi_suy_ra!$A$2:$A$94,0)),INDEX(boss_input_bang_xuyen_qua!$B$2:$B$5,MIN(4,MAX(1,(INDEX(boss_input_vu_khi!$C$2:$C$94,MATCH($C$111,boss_input_vu_khi!$A$2:$A$94,0)))-($E$111)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boss_input_vu_khi_suy_ra!$I$2:$I$94,MATCH($C$112,boss_input_vu_khi_suy_ra!$A$2:$A$94,0)),INDEX(boss_input_bang_xuyen_qua!$B$2:$B$5,MIN(4,MAX(1,(INDEX(boss_input_vu_khi!$C$2:$C$94,MATCH($C$112,boss_input_vu_khi!$A$2:$A$94,0)))-($E$112)-1))),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boss_input_vu_khi_suy_ra!$I$2:$I$94,MATCH($C$113,boss_input_vu_khi_suy_ra!$A$2:$A$94,0)),INDEX(boss_input_bang_xuyen_qua!$B$2:$B$5,MIN(4,MAX(1,(INDEX(boss_input_vu_khi!$C$2:$C$94,MATCH($C$113,boss_input_vu_khi!$A$2:$A$94,0)))-($E$113)-1))),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boss_input_vu_khi_suy_ra!$I$2:$I$94,MATCH($C$114,boss_input_vu_khi_suy_ra!$A$2:$A$94,0)),INDEX(boss_input_bang_xuyen_qua!$B$2:$B$5,MIN(4,MAX(1,(INDEX(boss_input_vu_khi!$C$2:$C$94,MATCH($C$114,boss_input_vu_khi!$A$2:$A$94,0)))-($E$114)-1))),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boss_input_vu_khi_suy_ra!$I$2:$I$94,MATCH($C$115,boss_input_vu_khi_suy_ra!$A$2:$A$94,0)),INDEX(boss_input_bang_xuyen_qua!$B$2:$B$5,MIN(4,MAX(1,(INDEX(boss_input_vu_khi!$C$2:$C$94,MATCH($C$115,boss_input_vu_khi!$A$2:$A$94,0)))-($E$115)-1))),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boss_input_vu_khi_suy_ra!$I$2:$I$94,MATCH($C$116,boss_input_vu_khi_suy_ra!$A$2:$A$94,0)),INDEX(boss_input_bang_xuyen_qua!$B$2:$B$5,MIN(4,MAX(1,(INDEX(boss_input_vu_khi!$C$2:$C$94,MATCH($C$116,boss_input_vu_khi!$A$2:$A$94,0)))-($E$116)-1))),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boss_input_vu_khi_suy_ra!$I$2:$I$94,MATCH($C$117,boss_input_vu_khi_suy_ra!$A$2:$A$94,0)),INDEX(boss_input_bang_xuyen_qua!$B$2:$B$5,MIN(4,MAX(1,(INDEX(boss_input_vu_khi!$C$2:$C$94,MATCH($C$117,boss_input_vu_khi!$A$2:$A$94,0)))-($E$117)-1))),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boss_input_vu_khi_suy_ra!$I$2:$I$94,MATCH($C$118,boss_input_vu_khi_suy_ra!$A$2:$A$94,0)),INDEX(boss_input_bang_xuyen_qua!$B$2:$B$5,MIN(4,MAX(1,(INDEX(boss_input_vu_khi!$C$2:$C$94,MATCH($C$118,boss_input_vu_khi!$A$2:$A$94,0)))-($E$118)-1))),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boss_input_vu_khi_suy_ra!$I$2:$I$94,MATCH($C$119,boss_input_vu_khi_suy_ra!$A$2:$A$94,0)),INDEX(boss_input_bang_xuyen_qua!$B$2:$B$5,MIN(4,MAX(1,(INDEX(boss_input_vu_khi!$C$2:$C$94,MATCH($C$119,boss_input_vu_khi!$A$2:$A$94,0)))-($E$119)-1))),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boss_input_vu_khi_suy_ra!$I$2:$I$94,MATCH($C$120,boss_input_vu_khi_suy_ra!$A$2:$A$94,0)),INDEX(boss_input_bang_xuyen_qua!$B$2:$B$5,MIN(4,MAX(1,(INDEX(boss_input_vu_khi!$C$2:$C$94,MATCH($C$120,boss_input_vu_khi!$A$2:$A$94,0)))-($E$120)-1))),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boss_input_vu_khi_suy_ra!$I$2:$I$94,MATCH($C$121,boss_input_vu_khi_suy_ra!$A$2:$A$94,0)),INDEX(boss_input_bang_xuyen_qua!$B$2:$B$5,MIN(4,MAX(1,(INDEX(boss_input_vu_khi!$C$2:$C$94,MATCH($C$121,boss_input_vu_khi!$A$2:$A$94,0)))-($E$121)-1)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boss_input_vu_khi_suy_ra!$I$2:$I$94,MATCH($C$122,boss_input_vu_khi_suy_ra!$A$2:$A$94,0)),INDEX(boss_input_bang_xuyen_qua!$B$2:$B$5,MIN(4,MAX(1,(INDEX(boss_input_vu_khi!$C$2:$C$94,MATCH($C$122,boss_input_vu_khi!$A$2:$A$94,0)))-($E$122)-1))),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boss_input_vu_khi_suy_ra!$I$2:$I$94,MATCH($C$123,boss_input_vu_khi_suy_ra!$A$2:$A$94,0)),INDEX(boss_input_bang_xuyen_qua!$B$2:$B$5,MIN(4,MAX(1,(INDEX(boss_input_vu_khi!$C$2:$C$94,MATCH($C$123,boss_input_vu_khi!$A$2:$A$94,0)))-($E$123)-1))),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boss_input_vu_khi_suy_ra!$I$2:$I$94,MATCH($C$124,boss_input_vu_khi_suy_ra!$A$2:$A$94,0)),INDEX(boss_input_bang_xuyen_qua!$B$2:$B$5,MIN(4,MAX(1,(INDEX(boss_input_vu_khi!$C$2:$C$94,MATCH($C$124,boss_input_vu_khi!$A$2:$A$94,0)))-($E$124)-1))),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boss_input_vu_khi_suy_ra!$I$2:$I$94,MATCH($C$125,boss_input_vu_khi_suy_ra!$A$2:$A$94,0)),INDEX(boss_input_bang_xuyen_qua!$B$2:$B$5,MIN(4,MAX(1,(INDEX(boss_input_vu_khi!$C$2:$C$94,MATCH($C$125,boss_input_vu_khi!$A$2:$A$94,0)))-($E$125)-1))),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boss_input_vu_khi_suy_ra!$I$2:$I$94,MATCH($C$126,boss_input_vu_khi_suy_ra!$A$2:$A$94,0)),INDEX(boss_input_bang_xuyen_qua!$B$2:$B$5,MIN(4,MAX(1,(INDEX(boss_input_vu_khi!$C$2:$C$94,MATCH($C$126,boss_input_vu_khi!$A$2:$A$94,0)))-($E$126)-1))),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boss_input_vu_khi_suy_ra!$I$2:$I$94,MATCH($C$127,boss_input_vu_khi_suy_ra!$A$2:$A$94,0)),INDEX(boss_input_bang_xuyen_qua!$B$2:$B$5,MIN(4,MAX(1,(INDEX(boss_input_vu_khi!$C$2:$C$94,MATCH($C$127,boss_input_vu_khi!$A$2:$A$94,0)))-($E$127)-1))),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boss_input_vu_khi_suy_ra!$I$2:$I$94,MATCH($C$128,boss_input_vu_khi_suy_ra!$A$2:$A$94,0)),INDEX(boss_input_bang_xuyen_qua!$B$2:$B$5,MIN(4,MAX(1,(INDEX(boss_input_vu_khi!$C$2:$C$94,MATCH($C$128,boss_input_vu_khi!$A$2:$A$94,0)))-($E$128)-1))),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boss_input_vu_khi_suy_ra!$I$2:$I$94,MATCH($C$129,boss_input_vu_khi_suy_ra!$A$2:$A$94,0)),INDEX(boss_input_bang_xuyen_qua!$B$2:$B$5,MIN(4,MAX(1,(INDEX(boss_input_vu_khi!$C$2:$C$94,MATCH($C$129,boss_input_vu_khi!$A$2:$A$94,0)))-($E$129)-1))),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boss_input_vu_khi_suy_ra!$I$2:$I$94,MATCH($C$130,boss_input_vu_khi_suy_ra!$A$2:$A$94,0)),INDEX(boss_input_bang_xuyen_qua!$B$2:$B$5,MIN(4,MAX(1,(INDEX(boss_input_vu_khi!$C$2:$C$94,MATCH($C$130,boss_input_vu_khi!$A$2:$A$94,0)))-($E$130)-1))),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boss_input_vu_khi_suy_ra!$I$2:$I$94,MATCH($C$131,boss_input_vu_khi_suy_ra!$A$2:$A$94,0)),INDEX(boss_input_bang_xuyen_qua!$B$2:$B$5,MIN(4,MAX(1,(INDEX(boss_input_vu_khi!$C$2:$C$94,MATCH($C$131,boss_input_vu_khi!$A$2:$A$94,0)))-($E$131)-1)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boss_input_vu_khi_suy_ra!$I$2:$I$94,MATCH($C$132,boss_input_vu_khi_suy_ra!$A$2:$A$94,0)),INDEX(boss_input_bang_xuyen_qua!$B$2:$B$5,MIN(4,MAX(1,(INDEX(boss_input_vu_khi!$C$2:$C$94,MATCH($C$132,boss_input_vu_khi!$A$2:$A$94,0)))-($E$132)-1))),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boss_input_vu_khi_suy_ra!$I$2:$I$94,MATCH($C$133,boss_input_vu_khi_suy_ra!$A$2:$A$94,0)),INDEX(boss_input_bang_xuyen_qua!$B$2:$B$5,MIN(4,MAX(1,(INDEX(boss_input_vu_khi!$C$2:$C$94,MATCH($C$133,boss_input_vu_khi!$A$2:$A$94,0)))-($E$133)-1))),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boss_input_vu_khi_suy_ra!$I$2:$I$94,MATCH($C$134,boss_input_vu_khi_suy_ra!$A$2:$A$94,0)),INDEX(boss_input_bang_xuyen_qua!$B$2:$B$5,MIN(4,MAX(1,(INDEX(boss_input_vu_khi!$C$2:$C$94,MATCH($C$134,boss_input_vu_khi!$A$2:$A$94,0)))-($E$134)-1))),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boss_input_vu_khi_suy_ra!$I$2:$I$94,MATCH($C$135,boss_input_vu_khi_suy_ra!$A$2:$A$94,0)),INDEX(boss_input_bang_xuyen_qua!$B$2:$B$5,MIN(4,MAX(1,(INDEX(boss_input_vu_khi!$C$2:$C$94,MATCH($C$135,boss_input_vu_khi!$A$2:$A$94,0)))-($E$135)-1))),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boss_input_vu_khi_suy_ra!$I$2:$I$94,MATCH($C$136,boss_input_vu_khi_suy_ra!$A$2:$A$94,0)),INDEX(boss_input_bang_xuyen_qua!$B$2:$B$5,MIN(4,MAX(1,(INDEX(boss_input_vu_khi!$C$2:$C$94,MATCH($C$136,boss_input_vu_khi!$A$2:$A$94,0)))-($E$136)-1))),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boss_input_vu_khi_suy_ra!$I$2:$I$94,MATCH($C$137,boss_input_vu_khi_suy_ra!$A$2:$A$94,0)),INDEX(boss_input_bang_xuyen_qua!$B$2:$B$5,MIN(4,MAX(1,(INDEX(boss_input_vu_khi!$C$2:$C$94,MATCH($C$137,boss_input_vu_khi!$A$2:$A$94,0)))-($E$137)-1))),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boss_input_vu_khi_suy_ra!$I$2:$I$94,MATCH($C$138,boss_input_vu_khi_suy_ra!$A$2:$A$94,0)),INDEX(boss_input_bang_xuyen_qua!$B$2:$B$5,MIN(4,MAX(1,(INDEX(boss_input_vu_khi!$C$2:$C$94,MATCH($C$138,boss_input_vu_khi!$A$2:$A$94,0)))-($E$138)-1))),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boss_input_vu_khi_suy_ra!$I$2:$I$94,MATCH($C$139,boss_input_vu_khi_suy_ra!$A$2:$A$94,0)),INDEX(boss_input_bang_xuyen_qua!$B$2:$B$5,MIN(4,MAX(1,(INDEX(boss_input_vu_khi!$C$2:$C$94,MATCH($C$139,boss_input_vu_khi!$A$2:$A$94,0)))-($E$139)-1))),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boss_input_vu_khi_suy_ra!$I$2:$I$94,MATCH($C$140,boss_input_vu_khi_suy_ra!$A$2:$A$94,0)),INDEX(boss_input_bang_xuyen_qua!$B$2:$B$5,MIN(4,MAX(1,(INDEX(boss_input_vu_khi!$C$2:$C$94,MATCH($C$140,boss_input_vu_khi!$A$2:$A$94,0)))-($E$140)-1))),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boss_input_vu_khi_suy_ra!$I$2:$I$94,MATCH($C$141,boss_input_vu_khi_suy_ra!$A$2:$A$94,0)),INDEX(boss_input_bang_xuyen_qua!$B$2:$B$5,MIN(4,MAX(1,(INDEX(boss_input_vu_khi!$C$2:$C$94,MATCH($C$141,boss_input_vu_khi!$A$2:$A$94,0)))-($E$141)-1)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boss_input_vu_khi_suy_ra!$I$2:$I$94,MATCH($C$142,boss_input_vu_khi_suy_ra!$A$2:$A$94,0)),INDEX(boss_input_bang_xuyen_qua!$B$2:$B$5,MIN(4,MAX(1,(INDEX(boss_input_vu_khi!$C$2:$C$94,MATCH($C$142,boss_input_vu_khi!$A$2:$A$94,0)))-($E$142)-1))),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889.2773567999999</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boss_input_vu_khi_suy_ra!$I$2:$I$94,MATCH($C$143,boss_input_vu_khi_suy_ra!$A$2:$A$94,0)),INDEX(boss_input_bang_xuyen_qua!$B$2:$B$5,MIN(4,MAX(1,(INDEX(boss_input_vu_khi!$C$2:$C$94,MATCH($C$143,boss_input_vu_khi!$A$2:$A$94,0)))-($E$143)-1))),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1007.84767104</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boss_input_vu_khi_suy_ra!$I$2:$I$94,MATCH($C$144,boss_input_vu_khi_suy_ra!$A$2:$A$94,0)),INDEX(boss_input_bang_xuyen_qua!$B$2:$B$5,MIN(4,MAX(1,(INDEX(boss_input_vu_khi!$C$2:$C$94,MATCH($C$144,boss_input_vu_khi!$A$2:$A$94,0)))-($E$144)-1))),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481.6919016</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boss_input_vu_khi_suy_ra!$I$2:$I$94,MATCH($C$145,boss_input_vu_khi_suy_ra!$A$2:$A$94,0)),INDEX(boss_input_bang_xuyen_qua!$B$2:$B$5,MIN(4,MAX(1,(INDEX(boss_input_vu_khi!$C$2:$C$94,MATCH($C$145,boss_input_vu_khi!$A$2:$A$94,0)))-($E$145)-1))),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741.0644639999999</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boss_input_vu_khi_suy_ra!$I$2:$I$94,MATCH($C$146,boss_input_vu_khi_suy_ra!$A$2:$A$94,0)),INDEX(boss_input_bang_xuyen_qua!$B$2:$B$5,MIN(4,MAX(1,(INDEX(boss_input_vu_khi!$C$2:$C$94,MATCH($C$146,boss_input_vu_khi!$A$2:$A$94,0)))-($E$146)-1))),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481.6919016</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boss_input_vu_khi_suy_ra!$I$2:$I$94,MATCH($C$147,boss_input_vu_khi_suy_ra!$A$2:$A$94,0)),INDEX(boss_input_bang_xuyen_qua!$B$2:$B$5,MIN(4,MAX(1,(INDEX(boss_input_vu_khi!$C$2:$C$94,MATCH($C$147,boss_input_vu_khi!$A$2:$A$94,0)))-($E$147)-1))),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1369.6188912</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boss_input_vu_khi_suy_ra!$I$2:$I$94,MATCH($C$148,boss_input_vu_khi_suy_ra!$A$2:$A$94,0)),INDEX(boss_input_bang_xuyen_qua!$B$2:$B$5,MIN(4,MAX(1,(INDEX(boss_input_vu_khi!$C$2:$C$94,MATCH($C$148,boss_input_vu_khi!$A$2:$A$94,0)))-($E$148)-1))),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1552.23474336</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boss_input_vu_khi_suy_ra!$I$2:$I$94,MATCH($C$149,boss_input_vu_khi_suy_ra!$A$2:$A$94,0)),INDEX(boss_input_bang_xuyen_qua!$B$2:$B$5,MIN(4,MAX(1,(INDEX(boss_input_vu_khi!$C$2:$C$94,MATCH($C$149,boss_input_vu_khi!$A$2:$A$94,0)))-($E$149)-1))),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741.8768994</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boss_input_vu_khi_suy_ra!$I$2:$I$94,MATCH($C$150,boss_input_vu_khi_suy_ra!$A$2:$A$94,0)),INDEX(boss_input_bang_xuyen_qua!$B$2:$B$5,MIN(4,MAX(1,(INDEX(boss_input_vu_khi!$C$2:$C$94,MATCH($C$150,boss_input_vu_khi!$A$2:$A$94,0)))-($E$150)-1))),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1141.349076</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boss_input_vu_khi_suy_ra!$I$2:$I$94,MATCH($C$151,boss_input_vu_khi_suy_ra!$A$2:$A$94,0)),INDEX(boss_input_bang_xuyen_qua!$B$2:$B$5,MIN(4,MAX(1,(INDEX(boss_input_vu_khi!$C$2:$C$94,MATCH($C$151,boss_input_vu_khi!$A$2:$A$94,0)))-($E$151)-1)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741.8768994</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boss_input_vu_khi_suy_ra!$I$2:$I$94,MATCH($C$152,boss_input_vu_khi_suy_ra!$A$2:$A$94,0)),INDEX(boss_input_bang_xuyen_qua!$B$2:$B$5,MIN(4,MAX(1,(INDEX(boss_input_vu_khi!$C$2:$C$94,MATCH($C$152,boss_input_vu_khi!$A$2:$A$94,0)))-($E$152)-1))),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boss_input_vu_khi_suy_ra!$I$2:$I$94,MATCH($C$153,boss_input_vu_khi_suy_ra!$A$2:$A$94,0)),INDEX(boss_input_bang_xuyen_qua!$B$2:$B$5,MIN(4,MAX(1,(INDEX(boss_input_vu_khi!$C$2:$C$94,MATCH($C$153,boss_input_vu_khi!$A$2:$A$94,0)))-($E$153)-1))),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boss_input_vu_khi_suy_ra!$I$2:$I$94,MATCH($C$154,boss_input_vu_khi_suy_ra!$A$2:$A$94,0)),INDEX(boss_input_bang_xuyen_qua!$B$2:$B$5,MIN(4,MAX(1,(INDEX(boss_input_vu_khi!$C$2:$C$94,MATCH($C$154,boss_input_vu_khi!$A$2:$A$94,0)))-($E$154)-1))),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boss_input_vu_khi_suy_ra!$I$2:$I$94,MATCH($C$155,boss_input_vu_khi_suy_ra!$A$2:$A$94,0)),INDEX(boss_input_bang_xuyen_qua!$B$2:$B$5,MIN(4,MAX(1,(INDEX(boss_input_vu_khi!$C$2:$C$94,MATCH($C$155,boss_input_vu_khi!$A$2:$A$94,0)))-($E$155)-1))),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boss_input_vu_khi_suy_ra!$I$2:$I$94,MATCH($C$156,boss_input_vu_khi_suy_ra!$A$2:$A$94,0)),INDEX(boss_input_bang_xuyen_qua!$B$2:$B$5,MIN(4,MAX(1,(INDEX(boss_input_vu_khi!$C$2:$C$94,MATCH($C$156,boss_input_vu_khi!$A$2:$A$94,0)))-($E$156)-1))),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boss_input_vu_khi_suy_ra!$I$2:$I$94,MATCH($C$157,boss_input_vu_khi_suy_ra!$A$2:$A$94,0)),INDEX(boss_input_bang_xuyen_qua!$B$2:$B$5,MIN(4,MAX(1,(INDEX(boss_input_vu_khi!$C$2:$C$94,MATCH($C$157,boss_input_vu_khi!$A$2:$A$94,0)))-($E$157)-1))),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boss_input_vu_khi_suy_ra!$I$2:$I$94,MATCH($C$158,boss_input_vu_khi_suy_ra!$A$2:$A$94,0)),INDEX(boss_input_bang_xuyen_qua!$B$2:$B$5,MIN(4,MAX(1,(INDEX(boss_input_vu_khi!$C$2:$C$94,MATCH($C$158,boss_input_vu_khi!$A$2:$A$94,0)))-($E$158)-1))),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boss_input_vu_khi_suy_ra!$I$2:$I$94,MATCH($C$159,boss_input_vu_khi_suy_ra!$A$2:$A$94,0)),INDEX(boss_input_bang_xuyen_qua!$B$2:$B$5,MIN(4,MAX(1,(INDEX(boss_input_vu_khi!$C$2:$C$94,MATCH($C$159,boss_input_vu_khi!$A$2:$A$94,0)))-($E$159)-1))),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boss_input_vu_khi_suy_ra!$I$2:$I$94,MATCH($C$160,boss_input_vu_khi_suy_ra!$A$2:$A$94,0)),INDEX(boss_input_bang_xuyen_qua!$B$2:$B$5,MIN(4,MAX(1,(INDEX(boss_input_vu_khi!$C$2:$C$94,MATCH($C$160,boss_input_vu_khi!$A$2:$A$94,0)))-($E$160)-1))),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boss_input_vu_khi_suy_ra!$I$2:$I$94,MATCH($C$161,boss_input_vu_khi_suy_ra!$A$2:$A$94,0)),INDEX(boss_input_bang_xuyen_qua!$B$2:$B$5,MIN(4,MAX(1,(INDEX(boss_input_vu_khi!$C$2:$C$94,MATCH($C$161,boss_input_vu_khi!$A$2:$A$94,0)))-($E$161)-1)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boss_input_vu_khi_suy_ra!$I$2:$I$94,MATCH($C$162,boss_input_vu_khi_suy_ra!$A$2:$A$94,0)),INDEX(boss_input_bang_xuyen_qua!$B$2:$B$5,MIN(4,MAX(1,(INDEX(boss_input_vu_khi!$C$2:$C$94,MATCH($C$162,boss_input_vu_khi!$A$2:$A$94,0)))-($E$162)-1))),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boss_input_vu_khi_suy_ra!$I$2:$I$94,MATCH($C$163,boss_input_vu_khi_suy_ra!$A$2:$A$94,0)),INDEX(boss_input_bang_xuyen_qua!$B$2:$B$5,MIN(4,MAX(1,(INDEX(boss_input_vu_khi!$C$2:$C$94,MATCH($C$163,boss_input_vu_khi!$A$2:$A$94,0)))-($E$163)-1))),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boss_input_vu_khi_suy_ra!$I$2:$I$94,MATCH($C$164,boss_input_vu_khi_suy_ra!$A$2:$A$94,0)),INDEX(boss_input_bang_xuyen_qua!$B$2:$B$5,MIN(4,MAX(1,(INDEX(boss_input_vu_khi!$C$2:$C$94,MATCH($C$164,boss_input_vu_khi!$A$2:$A$94,0)))-($E$164)-1))),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boss_input_vu_khi_suy_ra!$I$2:$I$94,MATCH($C$165,boss_input_vu_khi_suy_ra!$A$2:$A$94,0)),INDEX(boss_input_bang_xuyen_qua!$B$2:$B$5,MIN(4,MAX(1,(INDEX(boss_input_vu_khi!$C$2:$C$94,MATCH($C$165,boss_input_vu_khi!$A$2:$A$94,0)))-($E$165)-1))),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boss_input_vu_khi_suy_ra!$I$2:$I$94,MATCH($C$166,boss_input_vu_khi_suy_ra!$A$2:$A$94,0)),INDEX(boss_input_bang_xuyen_qua!$B$2:$B$5,MIN(4,MAX(1,(INDEX(boss_input_vu_khi!$C$2:$C$94,MATCH($C$166,boss_input_vu_khi!$A$2:$A$94,0)))-($E$166)-1))),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8" customWidth="1" min="2" max="2"/>
    <col width="8" customWidth="1" min="3" max="3"/>
    <col width="9"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BOSS_BROADSIDE_RECOMPUTE</t>
        </is>
      </c>
      <c r="B2" t="inlineStr">
        <is>
          <t>BOSS</t>
        </is>
      </c>
      <c r="C2" t="inlineStr">
        <is>
          <t>P2</t>
        </is>
      </c>
      <c r="D2" t="inlineStr"/>
      <c r="E2" t="inlineStr">
        <is>
          <t>a broken part took mounts away: broadside recomputed</t>
        </is>
      </c>
      <c r="F2" t="inlineStr">
        <is>
          <t>Assets/MachineBrigade/Scripts/Sim/AI/P5/ReasonCodes.cs:208</t>
        </is>
      </c>
      <c r="G2" t="inlineStr"/>
    </row>
    <row r="3">
      <c r="A3" t="inlineStr">
        <is>
          <t>BOSS_ESCORT_SPAWN_REJECT</t>
        </is>
      </c>
      <c r="B3" t="inlineStr">
        <is>
          <t>BOSS</t>
        </is>
      </c>
      <c r="C3" t="inlineStr">
        <is>
          <t>P5</t>
        </is>
      </c>
      <c r="D3" t="inlineStr"/>
      <c r="E3" t="inlineStr">
        <is>
          <t>an escort / factory spawn refused (no map influence there)</t>
        </is>
      </c>
      <c r="F3" t="inlineStr">
        <is>
          <t>Assets/MachineBrigade/Scripts/Sim/AI/P5/ReasonCodes.cs:213</t>
        </is>
      </c>
      <c r="G3" t="inlineStr"/>
    </row>
    <row r="4">
      <c r="A4" t="inlineStr">
        <is>
          <t>BOSS_HULL_ARMOUR_FACING</t>
        </is>
      </c>
      <c r="B4" t="inlineStr">
        <is>
          <t>BOSS</t>
        </is>
      </c>
      <c r="C4" t="inlineStr">
        <is>
          <t>P0C</t>
        </is>
      </c>
      <c r="D4" t="inlineStr"/>
      <c r="E4" t="inlineStr">
        <is>
          <t>standing, the front turned to the heaviest fire (granted)</t>
        </is>
      </c>
      <c r="F4" t="inlineStr">
        <is>
          <t>Assets/MachineBrigade/Scripts/Sim/AI/P5/ReasonCodes.cs:204</t>
        </is>
      </c>
      <c r="G4" t="inlineStr"/>
    </row>
    <row r="5">
      <c r="A5" t="inlineStr">
        <is>
          <t>BOSS_HULL_COLLISION</t>
        </is>
      </c>
      <c r="B5" t="inlineStr">
        <is>
          <t>BOSS</t>
        </is>
      </c>
      <c r="C5" t="inlineStr">
        <is>
          <t>P0C</t>
        </is>
      </c>
      <c r="D5" t="inlineStr"/>
      <c r="E5" t="inlineStr">
        <is>
          <t>turning away from a predicted collision or a wreck</t>
        </is>
      </c>
      <c r="F5" t="inlineStr">
        <is>
          <t>Assets/MachineBrigade/Scripts/Sim/AI/P5/ReasonCodes.cs:205</t>
        </is>
      </c>
      <c r="G5" t="inlineStr"/>
    </row>
    <row r="6">
      <c r="A6" t="inlineStr">
        <is>
          <t>BOSS_HULL_ESCAPE</t>
        </is>
      </c>
      <c r="B6" t="inlineStr">
        <is>
          <t>BOSS</t>
        </is>
      </c>
      <c r="C6" t="inlineStr">
        <is>
          <t>P0C</t>
        </is>
      </c>
      <c r="D6" t="inlineStr"/>
      <c r="E6" t="inlineStr">
        <is>
          <t>the scripted escape run owns the hull</t>
        </is>
      </c>
      <c r="F6" t="inlineStr">
        <is>
          <t>Assets/MachineBrigade/Scripts/Sim/AI/P5/ReasonCodes.cs:202</t>
        </is>
      </c>
      <c r="G6" t="inlineStr"/>
    </row>
    <row r="7">
      <c r="A7" t="inlineStr">
        <is>
          <t>BOSS_HULL_HOLD</t>
        </is>
      </c>
      <c r="B7" t="inlineStr">
        <is>
          <t>BOSS</t>
        </is>
      </c>
      <c r="C7" t="inlineStr">
        <is>
          <t>P0C</t>
        </is>
      </c>
      <c r="D7" t="inlineStr"/>
      <c r="E7" t="inlineStr">
        <is>
          <t>holding / stopped</t>
        </is>
      </c>
      <c r="F7" t="inlineStr">
        <is>
          <t>Assets/MachineBrigade/Scripts/Sim/AI/P5/ReasonCodes.cs:206</t>
        </is>
      </c>
      <c r="G7" t="inlineStr"/>
    </row>
    <row r="8">
      <c r="A8" t="inlineStr">
        <is>
          <t>BOSS_HULL_PHASE</t>
        </is>
      </c>
      <c r="B8" t="inlineStr">
        <is>
          <t>BOSS</t>
        </is>
      </c>
      <c r="C8" t="inlineStr">
        <is>
          <t>P0C</t>
        </is>
      </c>
      <c r="D8" t="inlineStr"/>
      <c r="E8" t="inlineStr">
        <is>
          <t>a new phase's route goal owns the hull</t>
        </is>
      </c>
      <c r="F8" t="inlineStr">
        <is>
          <t>Assets/MachineBrigade/Scripts/Sim/AI/P5/ReasonCodes.cs:201</t>
        </is>
      </c>
      <c r="G8" t="inlineStr"/>
    </row>
    <row r="9">
      <c r="A9" t="inlineStr">
        <is>
          <t>BOSS_HULL_ROUTE_OWNS_HEADING</t>
        </is>
      </c>
      <c r="B9" t="inlineStr">
        <is>
          <t>BOSS</t>
        </is>
      </c>
      <c r="C9" t="inlineStr">
        <is>
          <t>P0C</t>
        </is>
      </c>
      <c r="D9" t="inlineStr"/>
      <c r="E9" t="inlineStr">
        <is>
          <t>the route / lane owns the hull heading (no target steers it)</t>
        </is>
      </c>
      <c r="F9" t="inlineStr">
        <is>
          <t>Assets/MachineBrigade/Scripts/Sim/AI/P5/ReasonCodes.cs:200</t>
        </is>
      </c>
      <c r="G9" t="inlineStr"/>
    </row>
    <row r="10">
      <c r="A10" t="inlineStr">
        <is>
          <t>BOSS_HULL_WEAPON_ALIGNMENT</t>
        </is>
      </c>
      <c r="B10" t="inlineStr">
        <is>
          <t>BOSS</t>
        </is>
      </c>
      <c r="C10" t="inlineStr">
        <is>
          <t>P0C</t>
        </is>
      </c>
      <c r="D10" t="inlineStr"/>
      <c r="E10" t="inlineStr">
        <is>
          <t>a hull-fixed weapon's alignment request granted</t>
        </is>
      </c>
      <c r="F10" t="inlineStr">
        <is>
          <t>Assets/MachineBrigade/Scripts/Sim/AI/P5/ReasonCodes.cs:203</t>
        </is>
      </c>
      <c r="G10" t="inlineStr"/>
    </row>
    <row r="11">
      <c r="A11" t="inlineStr">
        <is>
          <t>BOSS_PATTERN_LEARNT</t>
        </is>
      </c>
      <c r="B11" t="inlineStr">
        <is>
          <t>BOSS</t>
        </is>
      </c>
      <c r="C11" t="inlineStr">
        <is>
          <t>P4</t>
        </is>
      </c>
      <c r="D11" t="inlineStr"/>
      <c r="E11" t="inlineStr">
        <is>
          <t>a follow-up pattern learnt this match</t>
        </is>
      </c>
      <c r="F11" t="inlineStr">
        <is>
          <t>Assets/MachineBrigade/Scripts/Sim/AI/P5/ReasonCodes.cs:211</t>
        </is>
      </c>
      <c r="G11" t="inlineStr"/>
    </row>
    <row r="12">
      <c r="A12" t="inlineStr">
        <is>
          <t>BOSS_PHASE_ROUTE</t>
        </is>
      </c>
      <c r="B12" t="inlineStr">
        <is>
          <t>BOSS</t>
        </is>
      </c>
      <c r="C12" t="inlineStr">
        <is>
          <t>P0C</t>
        </is>
      </c>
      <c r="D12" t="inlineStr"/>
      <c r="E12" t="inlineStr">
        <is>
          <t>a phase began: new route goal, 3 s mission lock</t>
        </is>
      </c>
      <c r="F12" t="inlineStr">
        <is>
          <t>Assets/MachineBrigade/Scripts/Sim/AI/P5/ReasonCodes.cs:207</t>
        </is>
      </c>
      <c r="G12" t="inlineStr"/>
    </row>
    <row r="13">
      <c r="A13" t="inlineStr">
        <is>
          <t>BOSS_PRESSURE_BUDGET_DEFER</t>
        </is>
      </c>
      <c r="B13" t="inlineStr">
        <is>
          <t>BOSS</t>
        </is>
      </c>
      <c r="C13" t="inlineStr">
        <is>
          <t>P4</t>
        </is>
      </c>
      <c r="D13" t="inlineStr"/>
      <c r="E13" t="inlineStr">
        <is>
          <t>a big attack waits for the pressure budget</t>
        </is>
      </c>
      <c r="F13" t="inlineStr">
        <is>
          <t>Assets/MachineBrigade/Scripts/Sim/AI/P5/ReasonCodes.cs:212</t>
        </is>
      </c>
      <c r="G13" t="inlineStr"/>
    </row>
    <row r="14">
      <c r="A14" t="inlineStr">
        <is>
          <t>BOSS_TELEGRAPH_ESCAPE_SECTOR</t>
        </is>
      </c>
      <c r="B14" t="inlineStr">
        <is>
          <t>BOSS</t>
        </is>
      </c>
      <c r="C14" t="inlineStr">
        <is>
          <t>P4</t>
        </is>
      </c>
      <c r="D14" t="inlineStr"/>
      <c r="E14" t="inlineStr">
        <is>
          <t>escape sectors under a telegraphed attack</t>
        </is>
      </c>
      <c r="F14" t="inlineStr">
        <is>
          <t>Assets/MachineBrigade/Scripts/Sim/AI/P5/ReasonCodes.cs:210</t>
        </is>
      </c>
      <c r="G14" t="inlineStr"/>
    </row>
    <row r="15">
      <c r="A15" t="inlineStr">
        <is>
          <t>BOSS_WEAKPOINT_UTILITY</t>
        </is>
      </c>
      <c r="B15" t="inlineStr">
        <is>
          <t>BOSS</t>
        </is>
      </c>
      <c r="C15" t="inlineStr">
        <is>
          <t>P4</t>
        </is>
      </c>
      <c r="D15" t="inlineStr"/>
      <c r="E15" t="inlineStr">
        <is>
          <t>aim at the weakpoint by utility</t>
        </is>
      </c>
      <c r="F15" t="inlineStr">
        <is>
          <t>Assets/MachineBrigade/Scripts/Sim/AI/P5/ReasonCodes.cs:209</t>
        </is>
      </c>
      <c r="G15" t="inlineStr"/>
    </row>
    <row r="16">
      <c r="A16" t="inlineStr">
        <is>
          <t>NAVAL_BROADSIDE_OFFSET</t>
        </is>
      </c>
      <c r="B16" t="inlineStr">
        <is>
          <t>NAVAL</t>
        </is>
      </c>
      <c r="C16" t="inlineStr">
        <is>
          <t>P0C</t>
        </is>
      </c>
      <c r="D16" t="inlineStr"/>
      <c r="E16" t="inlineStr">
        <is>
          <t>the broadside controller's offset holds the hull</t>
        </is>
      </c>
      <c r="F16" t="inlineStr">
        <is>
          <t>Assets/MachineBrigade/Scripts/Sim/AI/P5/ReasonCodes.cs:216</t>
        </is>
      </c>
      <c r="G16" t="inlineStr"/>
    </row>
    <row r="17">
      <c r="A17" t="inlineStr">
        <is>
          <t>NAVAL_CPA_AVOID</t>
        </is>
      </c>
      <c r="B17" t="inlineStr">
        <is>
          <t>NAVAL</t>
        </is>
      </c>
      <c r="C17" t="inlineStr">
        <is>
          <t>P0C</t>
        </is>
      </c>
      <c r="D17" t="inlineStr"/>
      <c r="E17" t="inlineStr">
        <is>
          <t>closest-approach avoidance turned the hull</t>
        </is>
      </c>
      <c r="F17" t="inlineStr">
        <is>
          <t>Assets/MachineBrigade/Scripts/Sim/AI/P5/ReasonCodes.cs:217</t>
        </is>
      </c>
      <c r="G17" t="inlineStr"/>
    </row>
    <row r="18">
      <c r="A18" t="inlineStr">
        <is>
          <t>NAVAL_REVERSE_FORBIDDEN</t>
        </is>
      </c>
      <c r="B18" t="inlineStr">
        <is>
          <t>NAVAL</t>
        </is>
      </c>
      <c r="C18" t="inlineStr">
        <is>
          <t>P5</t>
        </is>
      </c>
      <c r="D18" t="inlineStr"/>
      <c r="E18" t="inlineStr">
        <is>
          <t>a boss ship's speed would have gone below 0 or a reverse was asked: refused, counted, logged as an error</t>
        </is>
      </c>
      <c r="F18" t="inlineStr">
        <is>
          <t>Assets/MachineBrigade/Scripts/Sim/AI/P5/ReasonCodes.cs:219</t>
        </is>
      </c>
      <c r="G18" t="inlineStr"/>
    </row>
    <row r="19">
      <c r="A19" t="inlineStr">
        <is>
          <t>NAVAL_TURNABOUT_NO_REVERSE</t>
        </is>
      </c>
      <c r="B19" t="inlineStr">
        <is>
          <t>NAVAL</t>
        </is>
      </c>
      <c r="C19" t="inlineStr">
        <is>
          <t>P0C</t>
        </is>
      </c>
      <c r="D19" t="inlineStr"/>
      <c r="E19" t="inlineStr">
        <is>
          <t>coming about forward for a goal behind (never reverse)</t>
        </is>
      </c>
      <c r="F19" t="inlineStr">
        <is>
          <t>Assets/MachineBrigade/Scripts/Sim/AI/P5/ReasonCodes.cs:218</t>
        </is>
      </c>
      <c r="G19" t="inlineStr"/>
    </row>
  </sheetData>
  <autoFilter ref="A1:G19"/>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1</v>
      </c>
      <c r="K16" t="inlineStr">
        <is>
          <t>TOO_FAST_FOR_CLASS (pháo nòng dài (khe thật x1/0,7)): tỷ lệ khe 0.584 ngoài ngưỡng [0.6;2] của bản kiểm nhịp bắn; chưa có lý do riêng trong fix_weapon_reasons.json</t>
        </is>
      </c>
      <c r="L16">
        <f>IF(ISNUMBER($H$16),AND(NOT($J$16),OR($G$16&lt;$H$16,$G$16&gt;$I$16)),FALSE)</f>
        <v/>
      </c>
      <c r="M16" t="inlineStr"/>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1</v>
      </c>
      <c r="K22" t="inlineStr">
        <is>
          <t>TOO_SLOW_FOR_CLASS (pháo nòng dài (khe thật x1/0,7)): tỷ lệ khe 2.94 ngoài ngưỡng [0.6;2] của bản kiểm nhịp bắn; chưa có lý do riêng trong fix_weapon_reasons.json</t>
        </is>
      </c>
      <c r="L22">
        <f>IF(ISNUMBER($H$22),AND(NOT($J$22),OR($G$22&lt;$H$22,$G$22&gt;$I$22)),FALSE)</f>
        <v/>
      </c>
      <c r="M22" t="inlineStr"/>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1</v>
      </c>
      <c r="K23" t="inlineStr">
        <is>
          <t>TOO_SLOW_FOR_CLASS (pháo nòng dài (khe thật x1/0,7)): tỷ lệ khe 2.87 ngoài ngưỡng [0.6;2] của bản kiểm nhịp bắn; chưa có lý do riêng trong fix_weapon_reasons.json</t>
        </is>
      </c>
      <c r="L23">
        <f>IF(ISNUMBER($H$23),AND(NOT($J$23),OR($G$23&lt;$H$23,$G$23&gt;$I$23)),FALSE)</f>
        <v/>
      </c>
      <c r="M23" t="inlineStr"/>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1</v>
      </c>
      <c r="K47" t="inlineStr">
        <is>
          <t>TOO_SLOW_FOR_CLASS (tên lửa): tỷ lệ khe 2.43 ngoài ngưỡng [0.6;2] của bản kiểm nhịp bắn; chưa có lý do riêng trong fix_weapon_reasons.json</t>
        </is>
      </c>
      <c r="L47">
        <f>IF(ISNUMBER($H$47),AND(NOT($J$47),OR($G$47&lt;$H$47,$G$47&gt;$I$47)),FALSE)</f>
        <v/>
      </c>
      <c r="M47" t="inlineStr"/>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1</v>
      </c>
      <c r="K48" t="inlineStr">
        <is>
          <t>TOO_FAST_FOR_CLASS (pháo nòng dài (khe thật x1/0,7)): tỷ lệ khe 0.583 ngoài ngưỡng [0.6;2] của bản kiểm nhịp bắn; chưa có lý do riêng trong fix_weapon_reasons.json</t>
        </is>
      </c>
      <c r="L48">
        <f>IF(ISNUMBER($H$48),AND(NOT($J$48),OR($G$48&lt;$H$48,$G$48&gt;$I$48)),FALSE)</f>
        <v/>
      </c>
      <c r="M48" t="inlineStr"/>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1</v>
      </c>
      <c r="K55" t="inlineStr">
        <is>
          <t>TOO_SLOW_FOR_CLASS (pháo tự động): tỷ lệ khe 7.13 ngoài ngưỡng [0.6;2] của bản kiểm nhịp bắn; chưa có lý do riêng trong fix_weapon_reasons.json</t>
        </is>
      </c>
      <c r="L55">
        <f>IF(ISNUMBER($H$55),AND(NOT($J$55),OR($G$55&lt;$H$55,$G$55&gt;$I$55)),FALSE)</f>
        <v/>
      </c>
      <c r="M55" t="inlineStr"/>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1</v>
      </c>
      <c r="K64" t="inlineStr">
        <is>
          <t>TOO_FAST_FOR_CLASS (tên lửa): tỷ lệ khe 0.55 ngoài ngưỡng [0.6;2] của bản kiểm nhịp bắn; chưa có lý do riêng trong fix_weapon_reasons.json</t>
        </is>
      </c>
      <c r="L64">
        <f>IF(ISNUMBER($H$64),AND(NOT($J$64),OR($G$64&lt;$H$64,$G$64&gt;$I$64)),FALSE)</f>
        <v/>
      </c>
      <c r="M64" t="inlineStr"/>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1</v>
      </c>
      <c r="K72" t="inlineStr">
        <is>
          <t>TOO_FAST_FOR_CLASS (tên lửa): tỷ lệ khe 0.55 ngoài ngưỡng [0.6;2] của bản kiểm nhịp bắn; chưa có lý do riêng trong fix_weapon_reasons.json</t>
        </is>
      </c>
      <c r="L72">
        <f>IF(ISNUMBER($H$72),AND(NOT($J$72),OR($G$72&lt;$H$72,$G$72&gt;$I$72)),FALSE)</f>
        <v/>
      </c>
      <c r="M72" t="inlineStr"/>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1</v>
      </c>
      <c r="K83" t="inlineStr">
        <is>
          <t>TOO_FAST_FOR_CLASS (tên lửa): tỷ lệ khe 0.55 ngoài ngưỡng [0.6;2] của bản kiểm nhịp bắn; chưa có lý do riêng trong fix_weapon_reasons.json</t>
        </is>
      </c>
      <c r="L83">
        <f>IF(ISNUMBER($H$83),AND(NOT($J$83),OR($G$83&lt;$H$83,$G$83&gt;$I$83)),FALSE)</f>
        <v/>
      </c>
      <c r="M83" t="inlineStr"/>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1</v>
      </c>
      <c r="K100" t="inlineStr">
        <is>
          <t>TOO_SLOW_FOR_CLASS (tên lửa): tỷ lệ khe 9 ngoài ngưỡng [0.6;2] của bản kiểm nhịp bắn; chưa có lý do riêng trong fix_weapon_reasons.json</t>
        </is>
      </c>
      <c r="L100">
        <f>IF(ISNUMBER($H$100),AND(NOT($J$100),OR($G$100&lt;$H$100,$G$100&gt;$I$100)),FALSE)</f>
        <v/>
      </c>
      <c r="M100" t="inlineStr"/>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1</v>
      </c>
      <c r="K106" t="inlineStr">
        <is>
          <t>TOO_SLOW_FOR_CLASS (cao xạ): tỷ lệ khe 6.36 ngoài ngưỡng [0.6;2] của bản kiểm nhịp bắn; chưa có lý do riêng trong fix_weapon_reasons.json</t>
        </is>
      </c>
      <c r="L106">
        <f>IF(ISNUMBER($H$106),AND(NOT($J$106),OR($G$106&lt;$H$106,$G$106&gt;$I$106)),FALSE)</f>
        <v/>
      </c>
      <c r="M106" t="inlineStr"/>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1</v>
      </c>
      <c r="K109" t="inlineStr">
        <is>
          <t>TOO_FAST_FOR_CLASS (tên lửa): tỷ lệ khe 0.55 ngoài ngưỡng [0.6;2] của bản kiểm nhịp bắn; chưa có lý do riêng trong fix_weapon_reasons.json</t>
        </is>
      </c>
      <c r="L109">
        <f>IF(ISNUMBER($H$109),AND(NOT($J$109),OR($G$109&lt;$H$109,$G$109&gt;$I$109)),FALSE)</f>
        <v/>
      </c>
      <c r="M109" t="inlineStr"/>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ok</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ok</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ok</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ok</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14" customWidth="1" min="2" max="2"/>
    <col width="22" customWidth="1" min="3" max="3"/>
    <col width="12" customWidth="1" min="4" max="4"/>
    <col width="13" customWidth="1" min="5" max="5"/>
    <col width="8" customWidth="1" min="6" max="6"/>
    <col width="18" customWidth="1" min="7" max="7"/>
    <col width="16" customWidth="1" min="8" max="8"/>
    <col width="32"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bosses.bossBrain.activeDpsTarget</t>
        </is>
      </c>
      <c r="B2" t="inlineStr">
        <is>
          <t>bossBrain</t>
        </is>
      </c>
      <c r="C2" t="inlineStr">
        <is>
          <t>activeDpsTarget</t>
        </is>
      </c>
      <c r="D2" t="n">
        <v>0.65</v>
      </c>
      <c r="F2" t="inlineStr">
        <is>
          <t>share</t>
        </is>
      </c>
      <c r="G2" t="inlineStr">
        <is>
          <t>nguong</t>
        </is>
      </c>
      <c r="H2" t="inlineStr">
        <is>
          <t>03</t>
        </is>
      </c>
      <c r="I2" t="inlineStr">
        <is>
          <t>BossBrain.ActiveDpsTarget</t>
        </is>
      </c>
      <c r="J2" t="inlineStr">
        <is>
          <t>Assets/MachineBrigade/Resources/Data/tunables.json: bosses.bossBrain.activeDpsTarget</t>
        </is>
      </c>
      <c r="K2" t="inlineStr">
        <is>
          <t>{"value":0.65,"unit":"share","kind":"nguong","linh_vuc":"03","code":"BossBrain.ActiveDpsTarget"}</t>
        </is>
      </c>
    </row>
    <row r="3">
      <c r="A3" t="inlineStr">
        <is>
          <t>bosses.bossBrain.alignFlipSeconds</t>
        </is>
      </c>
      <c r="B3" t="inlineStr">
        <is>
          <t>bossBrain</t>
        </is>
      </c>
      <c r="C3" t="inlineStr">
        <is>
          <t>alignFlipSeconds</t>
        </is>
      </c>
      <c r="D3" t="n">
        <v>3</v>
      </c>
      <c r="F3" t="inlineStr">
        <is>
          <t>s</t>
        </is>
      </c>
      <c r="G3" t="inlineStr">
        <is>
          <t>thoi_gian</t>
        </is>
      </c>
      <c r="H3" t="inlineStr">
        <is>
          <t>03</t>
        </is>
      </c>
      <c r="I3" t="inlineStr">
        <is>
          <t>BossBrain.AlignFlipSeconds</t>
        </is>
      </c>
      <c r="J3" t="inlineStr">
        <is>
          <t>Assets/MachineBrigade/Resources/Data/tunables.json: bosses.bossBrain.alignFlipSeconds</t>
        </is>
      </c>
      <c r="K3" t="inlineStr">
        <is>
          <t>{"value":3.0,"unit":"s","kind":"thoi_gian","linh_vuc":"03","code":"BossBrain.AlignFlipSeconds"}</t>
        </is>
      </c>
    </row>
    <row r="4">
      <c r="A4" t="inlineStr">
        <is>
          <t>bosses.bossBrain.bossSeparationExtra</t>
        </is>
      </c>
      <c r="B4" t="inlineStr">
        <is>
          <t>bossBrain</t>
        </is>
      </c>
      <c r="C4" t="inlineStr">
        <is>
          <t>bossSeparationExtra</t>
        </is>
      </c>
      <c r="D4" t="n">
        <v>10</v>
      </c>
      <c r="F4" t="inlineStr">
        <is>
          <t>m</t>
        </is>
      </c>
      <c r="G4" t="inlineStr">
        <is>
          <t>ban_kinh</t>
        </is>
      </c>
      <c r="H4" t="inlineStr">
        <is>
          <t>03</t>
        </is>
      </c>
      <c r="I4" t="inlineStr">
        <is>
          <t>BossBrain.BossSeparationExtra</t>
        </is>
      </c>
      <c r="J4" t="inlineStr">
        <is>
          <t>Assets/MachineBrigade/Resources/Data/tunables.json: bosses.bossBrain.bossSeparationExtra</t>
        </is>
      </c>
      <c r="K4" t="inlineStr">
        <is>
          <t>{"value":10.0,"unit":"m","kind":"ban_kinh","linh_vuc":"03","code":"BossBrain.BossSeparationExtra"}</t>
        </is>
      </c>
    </row>
    <row r="5">
      <c r="A5" t="inlineStr">
        <is>
          <t>bosses.bossBrain.brainTicks</t>
        </is>
      </c>
      <c r="B5" t="inlineStr">
        <is>
          <t>bossBrain</t>
        </is>
      </c>
      <c r="C5" t="inlineStr">
        <is>
          <t>brainTicks</t>
        </is>
      </c>
      <c r="D5" t="n">
        <v>2</v>
      </c>
      <c r="F5" t="inlineStr">
        <is>
          <t>ticks</t>
        </is>
      </c>
      <c r="G5" t="inlineStr">
        <is>
          <t>thoi_gian</t>
        </is>
      </c>
      <c r="H5" t="inlineStr">
        <is>
          <t>03</t>
        </is>
      </c>
      <c r="I5" t="inlineStr">
        <is>
          <t>BossBrain.BrainTicks</t>
        </is>
      </c>
      <c r="J5" t="inlineStr">
        <is>
          <t>Assets/MachineBrigade/Resources/Data/tunables.json: bosses.bossBrain.brainTicks</t>
        </is>
      </c>
      <c r="K5" t="inlineStr">
        <is>
          <t>{"value":2,"unit":"ticks","kind":"thoi_gian","linh_vuc":"03","code":"BossBrain.BrainTicks"}</t>
        </is>
      </c>
    </row>
    <row r="6">
      <c r="A6" t="inlineStr">
        <is>
          <t>bosses.bossBrain.broadsideEnterDeg</t>
        </is>
      </c>
      <c r="B6" t="inlineStr">
        <is>
          <t>bossBrain</t>
        </is>
      </c>
      <c r="C6" t="inlineStr">
        <is>
          <t>broadsideEnterDeg</t>
        </is>
      </c>
      <c r="D6" t="n">
        <v>8</v>
      </c>
      <c r="F6" t="inlineStr">
        <is>
          <t>deg</t>
        </is>
      </c>
      <c r="G6" t="inlineStr">
        <is>
          <t>nguong</t>
        </is>
      </c>
      <c r="H6" t="inlineStr">
        <is>
          <t>03</t>
        </is>
      </c>
      <c r="I6" t="inlineStr">
        <is>
          <t>BossBrain.BroadsideEnterDeg</t>
        </is>
      </c>
      <c r="J6" t="inlineStr">
        <is>
          <t>Assets/MachineBrigade/Resources/Data/tunables.json: bosses.bossBrain.broadsideEnterDeg</t>
        </is>
      </c>
      <c r="K6" t="inlineStr">
        <is>
          <t>{"value":8.0,"unit":"deg","kind":"nguong","linh_vuc":"03","code":"BossBrain.BroadsideEnterDeg"}</t>
        </is>
      </c>
    </row>
    <row r="7">
      <c r="A7" t="inlineStr">
        <is>
          <t>bosses.bossBrain.broadsideLeaveDeg</t>
        </is>
      </c>
      <c r="B7" t="inlineStr">
        <is>
          <t>bossBrain</t>
        </is>
      </c>
      <c r="C7" t="inlineStr">
        <is>
          <t>broadsideLeaveDeg</t>
        </is>
      </c>
      <c r="D7" t="n">
        <v>15</v>
      </c>
      <c r="F7" t="inlineStr">
        <is>
          <t>deg</t>
        </is>
      </c>
      <c r="G7" t="inlineStr">
        <is>
          <t>nguong</t>
        </is>
      </c>
      <c r="H7" t="inlineStr">
        <is>
          <t>03</t>
        </is>
      </c>
      <c r="I7" t="inlineStr">
        <is>
          <t>BossBrain.BroadsideLeaveDeg</t>
        </is>
      </c>
      <c r="J7" t="inlineStr">
        <is>
          <t>Assets/MachineBrigade/Resources/Data/tunables.json: bosses.bossBrain.broadsideLeaveDeg</t>
        </is>
      </c>
      <c r="K7" t="inlineStr">
        <is>
          <t>{"value":15.0,"unit":"deg","kind":"nguong","linh_vuc":"03","code":"BossBrain.BroadsideLeaveDeg"}</t>
        </is>
      </c>
    </row>
    <row r="8">
      <c r="A8" t="inlineStr">
        <is>
          <t>bosses.bossBrain.broadsideMaxDeg</t>
        </is>
      </c>
      <c r="B8" t="inlineStr">
        <is>
          <t>bossBrain</t>
        </is>
      </c>
      <c r="C8" t="inlineStr">
        <is>
          <t>broadsideMaxDeg</t>
        </is>
      </c>
      <c r="D8" t="n">
        <v>80</v>
      </c>
      <c r="F8" t="inlineStr">
        <is>
          <t>deg</t>
        </is>
      </c>
      <c r="G8" t="inlineStr">
        <is>
          <t>nguong</t>
        </is>
      </c>
      <c r="H8" t="inlineStr">
        <is>
          <t>03</t>
        </is>
      </c>
      <c r="I8" t="inlineStr">
        <is>
          <t>BossBrain.BroadsideMaxDeg</t>
        </is>
      </c>
      <c r="J8" t="inlineStr">
        <is>
          <t>Assets/MachineBrigade/Resources/Data/tunables.json: bosses.bossBrain.broadsideMaxDeg</t>
        </is>
      </c>
      <c r="K8" t="inlineStr">
        <is>
          <t>{"value":80.0,"unit":"deg","kind":"nguong","linh_vuc":"03","code":"BossBrain.BroadsideMaxDeg"}</t>
        </is>
      </c>
    </row>
    <row r="9">
      <c r="A9" t="inlineStr">
        <is>
          <t>bosses.bossBrain.broadsideRoutePenalty</t>
        </is>
      </c>
      <c r="B9" t="inlineStr">
        <is>
          <t>bossBrain</t>
        </is>
      </c>
      <c r="C9" t="inlineStr">
        <is>
          <t>broadsideRoutePenalty</t>
        </is>
      </c>
      <c r="D9" t="n">
        <v>0.25</v>
      </c>
      <c r="F9" t="inlineStr">
        <is>
          <t>share</t>
        </is>
      </c>
      <c r="G9" t="inlineStr">
        <is>
          <t>nguong</t>
        </is>
      </c>
      <c r="H9" t="inlineStr">
        <is>
          <t>03</t>
        </is>
      </c>
      <c r="I9" t="inlineStr">
        <is>
          <t>BossBrain.BroadsideRoutePenalty</t>
        </is>
      </c>
      <c r="J9" t="inlineStr">
        <is>
          <t>Assets/MachineBrigade/Resources/Data/tunables.json: bosses.bossBrain.broadsideRoutePenalty</t>
        </is>
      </c>
      <c r="K9" t="inlineStr">
        <is>
          <t>{"value":0.25,"unit":"share","kind":"nguong","linh_vuc":"03","code":"BossBrain.BroadsideRoutePenalty"}</t>
        </is>
      </c>
    </row>
    <row r="10">
      <c r="A10" t="inlineStr">
        <is>
          <t>bosses.bossBrain.broadsideSmoothing</t>
        </is>
      </c>
      <c r="B10" t="inlineStr">
        <is>
          <t>bossBrain</t>
        </is>
      </c>
      <c r="C10" t="inlineStr">
        <is>
          <t>broadsideSmoothing</t>
        </is>
      </c>
      <c r="D10" t="n">
        <v>0.15</v>
      </c>
      <c r="F10" t="inlineStr">
        <is>
          <t>share</t>
        </is>
      </c>
      <c r="G10" t="inlineStr">
        <is>
          <t>nguong</t>
        </is>
      </c>
      <c r="H10" t="inlineStr">
        <is>
          <t>03</t>
        </is>
      </c>
      <c r="I10" t="inlineStr">
        <is>
          <t>BossBrain.BroadsideSmoothing</t>
        </is>
      </c>
      <c r="J10" t="inlineStr">
        <is>
          <t>Assets/MachineBrigade/Resources/Data/tunables.json: bosses.bossBrain.broadsideSmoothing</t>
        </is>
      </c>
      <c r="K10" t="inlineStr">
        <is>
          <t>{"value":0.15,"unit":"share","kind":"nguong","linh_vuc":"03","code":"BossBrain.BroadsideSmoothing"}</t>
        </is>
      </c>
    </row>
    <row r="11">
      <c r="A11" t="inlineStr">
        <is>
          <t>bosses.bossBrain.broadsideStepDeg</t>
        </is>
      </c>
      <c r="B11" t="inlineStr">
        <is>
          <t>bossBrain</t>
        </is>
      </c>
      <c r="C11" t="inlineStr">
        <is>
          <t>broadsideStepDeg</t>
        </is>
      </c>
      <c r="D11" t="n">
        <v>20</v>
      </c>
      <c r="F11" t="inlineStr">
        <is>
          <t>deg</t>
        </is>
      </c>
      <c r="G11" t="inlineStr">
        <is>
          <t>nguong</t>
        </is>
      </c>
      <c r="H11" t="inlineStr">
        <is>
          <t>03</t>
        </is>
      </c>
      <c r="I11" t="inlineStr">
        <is>
          <t>BossBrain.BroadsideStepDeg</t>
        </is>
      </c>
      <c r="J11" t="inlineStr">
        <is>
          <t>Assets/MachineBrigade/Resources/Data/tunables.json: bosses.bossBrain.broadsideStepDeg</t>
        </is>
      </c>
      <c r="K11" t="inlineStr">
        <is>
          <t>{"value":20.0,"unit":"deg","kind":"nguong","linh_vuc":"03","code":"BossBrain.BroadsideStepDeg"}</t>
        </is>
      </c>
    </row>
    <row r="12">
      <c r="A12" t="inlineStr">
        <is>
          <t>bosses.bossBrain.broadsideTurnCost</t>
        </is>
      </c>
      <c r="B12" t="inlineStr">
        <is>
          <t>bossBrain</t>
        </is>
      </c>
      <c r="C12" t="inlineStr">
        <is>
          <t>broadsideTurnCost</t>
        </is>
      </c>
      <c r="D12" t="n">
        <v>0.08</v>
      </c>
      <c r="F12" t="inlineStr">
        <is>
          <t>share</t>
        </is>
      </c>
      <c r="G12" t="inlineStr">
        <is>
          <t>nguong</t>
        </is>
      </c>
      <c r="H12" t="inlineStr">
        <is>
          <t>03</t>
        </is>
      </c>
      <c r="I12" t="inlineStr">
        <is>
          <t>BossBrain.BroadsideTurnCost</t>
        </is>
      </c>
      <c r="J12" t="inlineStr">
        <is>
          <t>Assets/MachineBrigade/Resources/Data/tunables.json: bosses.bossBrain.broadsideTurnCost</t>
        </is>
      </c>
      <c r="K12" t="inlineStr">
        <is>
          <t>{"value":0.08,"unit":"share","kind":"nguong","linh_vuc":"03","code":"BossBrain.BroadsideTurnCost"}</t>
        </is>
      </c>
    </row>
    <row r="13">
      <c r="A13" t="inlineStr">
        <is>
          <t>bosses.bossBrain.cadenceGap</t>
        </is>
      </c>
      <c r="B13" t="inlineStr">
        <is>
          <t>bossBrain</t>
        </is>
      </c>
      <c r="C13" t="inlineStr">
        <is>
          <t>cadenceGap</t>
        </is>
      </c>
      <c r="D13" t="n">
        <v>0.35</v>
      </c>
      <c r="F13" t="inlineStr">
        <is>
          <t>s</t>
        </is>
      </c>
      <c r="G13" t="inlineStr">
        <is>
          <t>thoi_gian</t>
        </is>
      </c>
      <c r="H13" t="inlineStr">
        <is>
          <t>03</t>
        </is>
      </c>
      <c r="I13" t="inlineStr">
        <is>
          <t>BossBrain.CadenceGap</t>
        </is>
      </c>
      <c r="J13" t="inlineStr">
        <is>
          <t>Assets/MachineBrigade/Resources/Data/tunables.json: bosses.bossBrain.cadenceGap</t>
        </is>
      </c>
      <c r="K13" t="inlineStr">
        <is>
          <t>{"value":0.35,"unit":"s","kind":"thoi_gian","linh_vuc":"03","code":"BossBrain.CadenceGap"}</t>
        </is>
      </c>
    </row>
    <row r="14">
      <c r="A14" t="inlineStr">
        <is>
          <t>bosses.bossBrain.cadenceHeavyCooldown</t>
        </is>
      </c>
      <c r="B14" t="inlineStr">
        <is>
          <t>bossBrain</t>
        </is>
      </c>
      <c r="C14" t="inlineStr">
        <is>
          <t>cadenceHeavyCooldown</t>
        </is>
      </c>
      <c r="D14" t="n">
        <v>1</v>
      </c>
      <c r="F14" t="inlineStr">
        <is>
          <t>s</t>
        </is>
      </c>
      <c r="G14" t="inlineStr">
        <is>
          <t>thoi_gian</t>
        </is>
      </c>
      <c r="H14" t="inlineStr">
        <is>
          <t>03</t>
        </is>
      </c>
      <c r="I14" t="inlineStr">
        <is>
          <t>BossBrain.CadenceHeavyCooldown</t>
        </is>
      </c>
      <c r="J14" t="inlineStr">
        <is>
          <t>Assets/MachineBrigade/Resources/Data/tunables.json: bosses.bossBrain.cadenceHeavyCooldown</t>
        </is>
      </c>
      <c r="K14" t="inlineStr">
        <is>
          <t>{"value":1.0,"unit":"s","kind":"thoi_gian","linh_vuc":"03","code":"BossBrain.CadenceHeavyCooldown"}</t>
        </is>
      </c>
    </row>
    <row r="15">
      <c r="A15" t="inlineStr">
        <is>
          <t>bosses.bossBrain.chaseLeash</t>
        </is>
      </c>
      <c r="B15" t="inlineStr">
        <is>
          <t>bossBrain</t>
        </is>
      </c>
      <c r="C15" t="inlineStr">
        <is>
          <t>chaseLeash</t>
        </is>
      </c>
      <c r="D15" t="n">
        <v>30</v>
      </c>
      <c r="F15" t="inlineStr">
        <is>
          <t>m</t>
        </is>
      </c>
      <c r="G15" t="inlineStr">
        <is>
          <t>ban_kinh</t>
        </is>
      </c>
      <c r="H15" t="inlineStr">
        <is>
          <t>03</t>
        </is>
      </c>
      <c r="I15" t="inlineStr">
        <is>
          <t>BossBrain.ChaseLeash</t>
        </is>
      </c>
      <c r="J15" t="inlineStr">
        <is>
          <t>Assets/MachineBrigade/Resources/Data/tunables.json: bosses.bossBrain.chaseLeash</t>
        </is>
      </c>
      <c r="K15" t="inlineStr">
        <is>
          <t>{"value":30.0,"unit":"m","kind":"ban_kinh","linh_vuc":"03","code":"BossBrain.ChaseLeash"}</t>
        </is>
      </c>
    </row>
    <row r="16">
      <c r="A16" t="inlineStr">
        <is>
          <t>bosses.bossBrain.corridorClearMax</t>
        </is>
      </c>
      <c r="B16" t="inlineStr">
        <is>
          <t>bossBrain</t>
        </is>
      </c>
      <c r="C16" t="inlineStr">
        <is>
          <t>corridorClearMax</t>
        </is>
      </c>
      <c r="D16" t="n">
        <v>35</v>
      </c>
      <c r="F16" t="inlineStr">
        <is>
          <t>m</t>
        </is>
      </c>
      <c r="G16" t="inlineStr">
        <is>
          <t>ban_kinh</t>
        </is>
      </c>
      <c r="H16" t="inlineStr">
        <is>
          <t>03</t>
        </is>
      </c>
      <c r="I16" t="inlineStr">
        <is>
          <t>BossBrain.CorridorClearMax</t>
        </is>
      </c>
      <c r="J16" t="inlineStr">
        <is>
          <t>Assets/MachineBrigade/Resources/Data/tunables.json: bosses.bossBrain.corridorClearMax</t>
        </is>
      </c>
      <c r="K16" t="inlineStr">
        <is>
          <t>{"value":35.0,"unit":"m","kind":"ban_kinh","linh_vuc":"03","code":"BossBrain.CorridorClearMax"}</t>
        </is>
      </c>
    </row>
    <row r="17">
      <c r="A17" t="inlineStr">
        <is>
          <t>bosses.bossBrain.corridorClearMin</t>
        </is>
      </c>
      <c r="B17" t="inlineStr">
        <is>
          <t>bossBrain</t>
        </is>
      </c>
      <c r="C17" t="inlineStr">
        <is>
          <t>corridorClearMin</t>
        </is>
      </c>
      <c r="D17" t="n">
        <v>25</v>
      </c>
      <c r="F17" t="inlineStr">
        <is>
          <t>m</t>
        </is>
      </c>
      <c r="G17" t="inlineStr">
        <is>
          <t>ban_kinh</t>
        </is>
      </c>
      <c r="H17" t="inlineStr">
        <is>
          <t>03</t>
        </is>
      </c>
      <c r="I17" t="inlineStr">
        <is>
          <t>BossBrain.CorridorClearMin</t>
        </is>
      </c>
      <c r="J17" t="inlineStr">
        <is>
          <t>Assets/MachineBrigade/Resources/Data/tunables.json: bosses.bossBrain.corridorClearMin</t>
        </is>
      </c>
      <c r="K17" t="inlineStr">
        <is>
          <t>{"value":25.0,"unit":"m","kind":"ban_kinh","linh_vuc":"03","code":"BossBrain.CorridorClearMin"}</t>
        </is>
      </c>
    </row>
    <row r="18">
      <c r="A18" t="inlineStr">
        <is>
          <t>bosses.bossBrain.corridorMargin</t>
        </is>
      </c>
      <c r="B18" t="inlineStr">
        <is>
          <t>bossBrain</t>
        </is>
      </c>
      <c r="C18" t="inlineStr">
        <is>
          <t>corridorMargin</t>
        </is>
      </c>
      <c r="D18" t="n">
        <v>2.5</v>
      </c>
      <c r="F18" t="inlineStr">
        <is>
          <t>m</t>
        </is>
      </c>
      <c r="G18" t="inlineStr">
        <is>
          <t>ban_kinh</t>
        </is>
      </c>
      <c r="H18" t="inlineStr">
        <is>
          <t>03</t>
        </is>
      </c>
      <c r="I18" t="inlineStr">
        <is>
          <t>BossBrain.CorridorMargin</t>
        </is>
      </c>
      <c r="J18" t="inlineStr">
        <is>
          <t>Assets/MachineBrigade/Resources/Data/tunables.json: bosses.bossBrain.corridorMargin</t>
        </is>
      </c>
      <c r="K18" t="inlineStr">
        <is>
          <t>{"value":2.5,"unit":"m","kind":"ban_kinh","linh_vuc":"03","code":"BossBrain.CorridorMargin"}</t>
        </is>
      </c>
    </row>
    <row r="19">
      <c r="A19" t="inlineStr">
        <is>
          <t>bosses.bossBrain.corridorTicks</t>
        </is>
      </c>
      <c r="B19" t="inlineStr">
        <is>
          <t>bossBrain</t>
        </is>
      </c>
      <c r="C19" t="inlineStr">
        <is>
          <t>corridorTicks</t>
        </is>
      </c>
      <c r="D19" t="n">
        <v>5</v>
      </c>
      <c r="F19" t="inlineStr">
        <is>
          <t>ticks</t>
        </is>
      </c>
      <c r="G19" t="inlineStr">
        <is>
          <t>thoi_gian</t>
        </is>
      </c>
      <c r="H19" t="inlineStr">
        <is>
          <t>03</t>
        </is>
      </c>
      <c r="I19" t="inlineStr">
        <is>
          <t>BossBrain.CorridorTicks</t>
        </is>
      </c>
      <c r="J19" t="inlineStr">
        <is>
          <t>Assets/MachineBrigade/Resources/Data/tunables.json: bosses.bossBrain.corridorTicks</t>
        </is>
      </c>
      <c r="K19" t="inlineStr">
        <is>
          <t>{"value":5,"unit":"ticks","kind":"thoi_gian","linh_vuc":"03","code":"BossBrain.CorridorTicks"}</t>
        </is>
      </c>
    </row>
    <row r="20">
      <c r="A20" t="inlineStr">
        <is>
          <t>bosses.bossBrain.cpaHorizonMax</t>
        </is>
      </c>
      <c r="B20" t="inlineStr">
        <is>
          <t>bossBrain</t>
        </is>
      </c>
      <c r="C20" t="inlineStr">
        <is>
          <t>cpaHorizonMax</t>
        </is>
      </c>
      <c r="D20" t="n">
        <v>10</v>
      </c>
      <c r="F20" t="inlineStr">
        <is>
          <t>s</t>
        </is>
      </c>
      <c r="G20" t="inlineStr">
        <is>
          <t>thoi_gian</t>
        </is>
      </c>
      <c r="H20" t="inlineStr">
        <is>
          <t>03</t>
        </is>
      </c>
      <c r="I20" t="inlineStr">
        <is>
          <t>BossBrain.CpaHorizonMax</t>
        </is>
      </c>
      <c r="J20" t="inlineStr">
        <is>
          <t>Assets/MachineBrigade/Resources/Data/tunables.json: bosses.bossBrain.cpaHorizonMax</t>
        </is>
      </c>
      <c r="K20" t="inlineStr">
        <is>
          <t>{"value":10.0,"unit":"s","kind":"thoi_gian","linh_vuc":"03","code":"BossBrain.CpaHorizonMax"}</t>
        </is>
      </c>
    </row>
    <row r="21">
      <c r="A21" t="inlineStr">
        <is>
          <t>bosses.bossBrain.cpaHorizonMin</t>
        </is>
      </c>
      <c r="B21" t="inlineStr">
        <is>
          <t>bossBrain</t>
        </is>
      </c>
      <c r="C21" t="inlineStr">
        <is>
          <t>cpaHorizonMin</t>
        </is>
      </c>
      <c r="D21" t="n">
        <v>6</v>
      </c>
      <c r="F21" t="inlineStr">
        <is>
          <t>s</t>
        </is>
      </c>
      <c r="G21" t="inlineStr">
        <is>
          <t>thoi_gian</t>
        </is>
      </c>
      <c r="H21" t="inlineStr">
        <is>
          <t>03</t>
        </is>
      </c>
      <c r="I21" t="inlineStr">
        <is>
          <t>BossBrain.CpaHorizonMin</t>
        </is>
      </c>
      <c r="J21" t="inlineStr">
        <is>
          <t>Assets/MachineBrigade/Resources/Data/tunables.json: bosses.bossBrain.cpaHorizonMin</t>
        </is>
      </c>
      <c r="K21" t="inlineStr">
        <is>
          <t>{"value":6.0,"unit":"s","kind":"thoi_gian","linh_vuc":"03","code":"BossBrain.CpaHorizonMin"}</t>
        </is>
      </c>
    </row>
    <row r="22">
      <c r="A22" t="inlineStr">
        <is>
          <t>bosses.bossBrain.cpaLateralClear</t>
        </is>
      </c>
      <c r="B22" t="inlineStr">
        <is>
          <t>bossBrain</t>
        </is>
      </c>
      <c r="C22" t="inlineStr">
        <is>
          <t>cpaLateralClear</t>
        </is>
      </c>
      <c r="D22" t="n">
        <v>2.5</v>
      </c>
      <c r="F22" t="inlineStr">
        <is>
          <t>m</t>
        </is>
      </c>
      <c r="G22" t="inlineStr">
        <is>
          <t>ban_kinh</t>
        </is>
      </c>
      <c r="H22" t="inlineStr">
        <is>
          <t>03</t>
        </is>
      </c>
      <c r="I22" t="inlineStr">
        <is>
          <t>BossBrain.CpaLateralClear</t>
        </is>
      </c>
      <c r="J22" t="inlineStr">
        <is>
          <t>Assets/MachineBrigade/Resources/Data/tunables.json: bosses.bossBrain.cpaLateralClear</t>
        </is>
      </c>
      <c r="K22" t="inlineStr">
        <is>
          <t>{"value":2.5,"unit":"m","kind":"ban_kinh","linh_vuc":"03","code":"BossBrain.CpaLateralClear"}</t>
        </is>
      </c>
    </row>
    <row r="23">
      <c r="A23" t="inlineStr">
        <is>
          <t>bosses.bossBrain.cpaMaxTurnDeg</t>
        </is>
      </c>
      <c r="B23" t="inlineStr">
        <is>
          <t>bossBrain</t>
        </is>
      </c>
      <c r="C23" t="inlineStr">
        <is>
          <t>cpaMaxTurnDeg</t>
        </is>
      </c>
      <c r="D23" t="n">
        <v>25</v>
      </c>
      <c r="F23" t="inlineStr">
        <is>
          <t>deg</t>
        </is>
      </c>
      <c r="G23" t="inlineStr">
        <is>
          <t>nguong</t>
        </is>
      </c>
      <c r="H23" t="inlineStr">
        <is>
          <t>03</t>
        </is>
      </c>
      <c r="I23" t="inlineStr">
        <is>
          <t>BossBrain.CpaMaxTurnDeg</t>
        </is>
      </c>
      <c r="J23" t="inlineStr">
        <is>
          <t>Assets/MachineBrigade/Resources/Data/tunables.json: bosses.bossBrain.cpaMaxTurnDeg</t>
        </is>
      </c>
      <c r="K23" t="inlineStr">
        <is>
          <t>{"value":25.0,"unit":"deg","kind":"nguong","linh_vuc":"03","code":"BossBrain.CpaMaxTurnDeg"}</t>
        </is>
      </c>
    </row>
    <row r="24">
      <c r="A24" t="inlineStr">
        <is>
          <t>bosses.bossBrain.cpaMinThrottle</t>
        </is>
      </c>
      <c r="B24" t="inlineStr">
        <is>
          <t>bossBrain</t>
        </is>
      </c>
      <c r="C24" t="inlineStr">
        <is>
          <t>cpaMinThrottle</t>
        </is>
      </c>
      <c r="D24" t="n">
        <v>0.35</v>
      </c>
      <c r="F24" t="inlineStr">
        <is>
          <t>share</t>
        </is>
      </c>
      <c r="G24" t="inlineStr">
        <is>
          <t>nguong</t>
        </is>
      </c>
      <c r="H24" t="inlineStr">
        <is>
          <t>03</t>
        </is>
      </c>
      <c r="I24" t="inlineStr">
        <is>
          <t>BossBrain.CpaMinThrottle</t>
        </is>
      </c>
      <c r="J24" t="inlineStr">
        <is>
          <t>Assets/MachineBrigade/Resources/Data/tunables.json: bosses.bossBrain.cpaMinThrottle</t>
        </is>
      </c>
      <c r="K24" t="inlineStr">
        <is>
          <t>{"value":0.35,"unit":"share","kind":"nguong","linh_vuc":"03","code":"BossBrain.CpaMinThrottle"}</t>
        </is>
      </c>
    </row>
    <row r="25">
      <c r="A25" t="inlineStr">
        <is>
          <t>bosses.bossBrain.cruiseThrottleMin</t>
        </is>
      </c>
      <c r="B25" t="inlineStr">
        <is>
          <t>bossBrain</t>
        </is>
      </c>
      <c r="C25" t="inlineStr">
        <is>
          <t>cruiseThrottleMin</t>
        </is>
      </c>
      <c r="D25" t="n">
        <v>0.6</v>
      </c>
      <c r="F25" t="inlineStr">
        <is>
          <t>share</t>
        </is>
      </c>
      <c r="G25" t="inlineStr">
        <is>
          <t>nguong</t>
        </is>
      </c>
      <c r="H25" t="inlineStr">
        <is>
          <t>03</t>
        </is>
      </c>
      <c r="I25" t="inlineStr">
        <is>
          <t>BossBrain.CruiseThrottleMin</t>
        </is>
      </c>
      <c r="J25" t="inlineStr">
        <is>
          <t>Assets/MachineBrigade/Resources/Data/tunables.json: bosses.bossBrain.cruiseThrottleMin</t>
        </is>
      </c>
      <c r="K25" t="inlineStr">
        <is>
          <t>{"value":0.6,"unit":"share","kind":"nguong","linh_vuc":"03","code":"BossBrain.CruiseThrottleMin"}</t>
        </is>
      </c>
    </row>
    <row r="26">
      <c r="A26" t="inlineStr">
        <is>
          <t>bosses.bossBrain.escortInnerGap</t>
        </is>
      </c>
      <c r="B26" t="inlineStr">
        <is>
          <t>bossBrain</t>
        </is>
      </c>
      <c r="C26" t="inlineStr">
        <is>
          <t>escortInnerGap</t>
        </is>
      </c>
      <c r="D26" t="n">
        <v>4</v>
      </c>
      <c r="F26" t="inlineStr">
        <is>
          <t>m</t>
        </is>
      </c>
      <c r="G26" t="inlineStr">
        <is>
          <t>ban_kinh</t>
        </is>
      </c>
      <c r="H26" t="inlineStr">
        <is>
          <t>03</t>
        </is>
      </c>
      <c r="I26" t="inlineStr">
        <is>
          <t>BossBrain.EscortInnerGap</t>
        </is>
      </c>
      <c r="J26" t="inlineStr">
        <is>
          <t>Assets/MachineBrigade/Resources/Data/tunables.json: bosses.bossBrain.escortInnerGap</t>
        </is>
      </c>
      <c r="K26" t="inlineStr">
        <is>
          <t>{"value":4.0,"unit":"m","kind":"ban_kinh","linh_vuc":"03","code":"BossBrain.EscortInnerGap"}</t>
        </is>
      </c>
    </row>
    <row r="27">
      <c r="A27" t="inlineStr">
        <is>
          <t>bosses.bossBrain.escortScreenMax</t>
        </is>
      </c>
      <c r="B27" t="inlineStr">
        <is>
          <t>bossBrain</t>
        </is>
      </c>
      <c r="C27" t="inlineStr">
        <is>
          <t>escortScreenMax</t>
        </is>
      </c>
      <c r="D27" t="n">
        <v>18</v>
      </c>
      <c r="F27" t="inlineStr">
        <is>
          <t>m</t>
        </is>
      </c>
      <c r="G27" t="inlineStr">
        <is>
          <t>ban_kinh</t>
        </is>
      </c>
      <c r="H27" t="inlineStr">
        <is>
          <t>03</t>
        </is>
      </c>
      <c r="I27" t="inlineStr">
        <is>
          <t>BossBrain.EscortScreenMax</t>
        </is>
      </c>
      <c r="J27" t="inlineStr">
        <is>
          <t>Assets/MachineBrigade/Resources/Data/tunables.json: bosses.bossBrain.escortScreenMax</t>
        </is>
      </c>
      <c r="K27" t="inlineStr">
        <is>
          <t>{"value":18.0,"unit":"m","kind":"ban_kinh","linh_vuc":"03","code":"BossBrain.EscortScreenMax"}</t>
        </is>
      </c>
    </row>
    <row r="28">
      <c r="A28" t="inlineStr">
        <is>
          <t>bosses.bossBrain.escortScreenMin</t>
        </is>
      </c>
      <c r="B28" t="inlineStr">
        <is>
          <t>bossBrain</t>
        </is>
      </c>
      <c r="C28" t="inlineStr">
        <is>
          <t>escortScreenMin</t>
        </is>
      </c>
      <c r="D28" t="n">
        <v>10</v>
      </c>
      <c r="F28" t="inlineStr">
        <is>
          <t>m</t>
        </is>
      </c>
      <c r="G28" t="inlineStr">
        <is>
          <t>ban_kinh</t>
        </is>
      </c>
      <c r="H28" t="inlineStr">
        <is>
          <t>03</t>
        </is>
      </c>
      <c r="I28" t="inlineStr">
        <is>
          <t>BossBrain.EscortScreenMin</t>
        </is>
      </c>
      <c r="J28" t="inlineStr">
        <is>
          <t>Assets/MachineBrigade/Resources/Data/tunables.json: bosses.bossBrain.escortScreenMin</t>
        </is>
      </c>
      <c r="K28" t="inlineStr">
        <is>
          <t>{"value":10.0,"unit":"m","kind":"ban_kinh","linh_vuc":"03","code":"BossBrain.EscortScreenMin"}</t>
        </is>
      </c>
    </row>
    <row r="29">
      <c r="A29" t="inlineStr">
        <is>
          <t>bosses.bossBrain.escortSupportMax</t>
        </is>
      </c>
      <c r="B29" t="inlineStr">
        <is>
          <t>bossBrain</t>
        </is>
      </c>
      <c r="C29" t="inlineStr">
        <is>
          <t>escortSupportMax</t>
        </is>
      </c>
      <c r="D29" t="n">
        <v>30</v>
      </c>
      <c r="F29" t="inlineStr">
        <is>
          <t>m</t>
        </is>
      </c>
      <c r="G29" t="inlineStr">
        <is>
          <t>ban_kinh</t>
        </is>
      </c>
      <c r="H29" t="inlineStr">
        <is>
          <t>03</t>
        </is>
      </c>
      <c r="I29" t="inlineStr">
        <is>
          <t>BossBrain.EscortSupportMax</t>
        </is>
      </c>
      <c r="J29" t="inlineStr">
        <is>
          <t>Assets/MachineBrigade/Resources/Data/tunables.json: bosses.bossBrain.escortSupportMax</t>
        </is>
      </c>
      <c r="K29" t="inlineStr">
        <is>
          <t>{"value":30.0,"unit":"m","kind":"ban_kinh","linh_vuc":"03","code":"BossBrain.EscortSupportMax"}</t>
        </is>
      </c>
    </row>
    <row r="30">
      <c r="A30" t="inlineStr">
        <is>
          <t>bosses.bossBrain.escortSupportMin</t>
        </is>
      </c>
      <c r="B30" t="inlineStr">
        <is>
          <t>bossBrain</t>
        </is>
      </c>
      <c r="C30" t="inlineStr">
        <is>
          <t>escortSupportMin</t>
        </is>
      </c>
      <c r="D30" t="n">
        <v>18</v>
      </c>
      <c r="F30" t="inlineStr">
        <is>
          <t>m</t>
        </is>
      </c>
      <c r="G30" t="inlineStr">
        <is>
          <t>ban_kinh</t>
        </is>
      </c>
      <c r="H30" t="inlineStr">
        <is>
          <t>03</t>
        </is>
      </c>
      <c r="I30" t="inlineStr">
        <is>
          <t>BossBrain.EscortSupportMin</t>
        </is>
      </c>
      <c r="J30" t="inlineStr">
        <is>
          <t>Assets/MachineBrigade/Resources/Data/tunables.json: bosses.bossBrain.escortSupportMin</t>
        </is>
      </c>
      <c r="K30" t="inlineStr">
        <is>
          <t>{"value":18.0,"unit":"m","kind":"ban_kinh","linh_vuc":"03","code":"BossBrain.EscortSupportMin"}</t>
        </is>
      </c>
    </row>
    <row r="31">
      <c r="A31" t="inlineStr">
        <is>
          <t>bosses.bossBrain.groundReverseCooldown</t>
        </is>
      </c>
      <c r="B31" t="inlineStr">
        <is>
          <t>bossBrain</t>
        </is>
      </c>
      <c r="C31" t="inlineStr">
        <is>
          <t>groundReverseCooldown</t>
        </is>
      </c>
      <c r="D31" t="n">
        <v>8</v>
      </c>
      <c r="F31" t="inlineStr">
        <is>
          <t>s</t>
        </is>
      </c>
      <c r="G31" t="inlineStr">
        <is>
          <t>thoi_gian</t>
        </is>
      </c>
      <c r="H31" t="inlineStr">
        <is>
          <t>03</t>
        </is>
      </c>
      <c r="I31" t="inlineStr">
        <is>
          <t>BossBrain.GroundReverseCooldown</t>
        </is>
      </c>
      <c r="J31" t="inlineStr">
        <is>
          <t>Assets/MachineBrigade/Resources/Data/tunables.json: bosses.bossBrain.groundReverseCooldown</t>
        </is>
      </c>
      <c r="K31" t="inlineStr">
        <is>
          <t>{"value":8.0,"unit":"s","kind":"thoi_gian","linh_vuc":"03","code":"BossBrain.GroundReverseCooldown"}</t>
        </is>
      </c>
    </row>
    <row r="32">
      <c r="A32" t="inlineStr">
        <is>
          <t>bosses.bossBrain.headingDeadbandDeg</t>
        </is>
      </c>
      <c r="B32" t="inlineStr">
        <is>
          <t>bossBrain</t>
        </is>
      </c>
      <c r="C32" t="inlineStr">
        <is>
          <t>headingDeadbandDeg</t>
        </is>
      </c>
      <c r="D32" t="n">
        <v>5</v>
      </c>
      <c r="F32" t="inlineStr">
        <is>
          <t>deg</t>
        </is>
      </c>
      <c r="G32" t="inlineStr">
        <is>
          <t>nguong</t>
        </is>
      </c>
      <c r="H32" t="inlineStr">
        <is>
          <t>03</t>
        </is>
      </c>
      <c r="I32" t="inlineStr">
        <is>
          <t>BossBrain.HeadingDeadbandDeg</t>
        </is>
      </c>
      <c r="J32" t="inlineStr">
        <is>
          <t>Assets/MachineBrigade/Resources/Data/tunables.json: bosses.bossBrain.headingDeadbandDeg</t>
        </is>
      </c>
      <c r="K32" t="inlineStr">
        <is>
          <t>{"value":5.0,"unit":"deg","kind":"nguong","linh_vuc":"03","code":"BossBrain.HeadingDeadbandDeg"}</t>
        </is>
      </c>
    </row>
    <row r="33">
      <c r="A33" t="inlineStr">
        <is>
          <t>bosses.bossBrain.holdBonus</t>
        </is>
      </c>
      <c r="B33" t="inlineStr">
        <is>
          <t>bossBrain</t>
        </is>
      </c>
      <c r="C33" t="inlineStr">
        <is>
          <t>holdBonus</t>
        </is>
      </c>
      <c r="D33" t="n">
        <v>0.05</v>
      </c>
      <c r="F33" t="inlineStr">
        <is>
          <t>share</t>
        </is>
      </c>
      <c r="G33" t="inlineStr">
        <is>
          <t>nguong</t>
        </is>
      </c>
      <c r="H33" t="inlineStr">
        <is>
          <t>03</t>
        </is>
      </c>
      <c r="I33" t="inlineStr">
        <is>
          <t>BossBrain.HoldBonus</t>
        </is>
      </c>
      <c r="J33" t="inlineStr">
        <is>
          <t>Assets/MachineBrigade/Resources/Data/tunables.json: bosses.bossBrain.holdBonus</t>
        </is>
      </c>
      <c r="K33" t="inlineStr">
        <is>
          <t>{"value":0.05,"unit":"share","kind":"nguong","linh_vuc":"03","code":"BossBrain.HoldBonus"}</t>
        </is>
      </c>
    </row>
    <row r="34">
      <c r="A34" t="inlineStr">
        <is>
          <t>bosses.bossBrain.lookAheadMaxLengths</t>
        </is>
      </c>
      <c r="B34" t="inlineStr">
        <is>
          <t>bossBrain</t>
        </is>
      </c>
      <c r="C34" t="inlineStr">
        <is>
          <t>lookAheadMaxLengths</t>
        </is>
      </c>
      <c r="D34" t="n">
        <v>4</v>
      </c>
      <c r="F34" t="inlineStr">
        <is>
          <t>x</t>
        </is>
      </c>
      <c r="G34" t="inlineStr">
        <is>
          <t>nguong</t>
        </is>
      </c>
      <c r="H34" t="inlineStr">
        <is>
          <t>03</t>
        </is>
      </c>
      <c r="I34" t="inlineStr">
        <is>
          <t>BossBrain.LookAheadMaxLengths</t>
        </is>
      </c>
      <c r="J34" t="inlineStr">
        <is>
          <t>Assets/MachineBrigade/Resources/Data/tunables.json: bosses.bossBrain.lookAheadMaxLengths</t>
        </is>
      </c>
      <c r="K34" t="inlineStr">
        <is>
          <t>{"value":4.0,"unit":"x","kind":"nguong","linh_vuc":"03","code":"BossBrain.LookAheadMaxLengths"}</t>
        </is>
      </c>
    </row>
    <row r="35">
      <c r="A35" t="inlineStr">
        <is>
          <t>bosses.bossBrain.lookAheadMinLengths</t>
        </is>
      </c>
      <c r="B35" t="inlineStr">
        <is>
          <t>bossBrain</t>
        </is>
      </c>
      <c r="C35" t="inlineStr">
        <is>
          <t>lookAheadMinLengths</t>
        </is>
      </c>
      <c r="D35" t="n">
        <v>1.5</v>
      </c>
      <c r="F35" t="inlineStr">
        <is>
          <t>x</t>
        </is>
      </c>
      <c r="G35" t="inlineStr">
        <is>
          <t>nguong</t>
        </is>
      </c>
      <c r="H35" t="inlineStr">
        <is>
          <t>03</t>
        </is>
      </c>
      <c r="I35" t="inlineStr">
        <is>
          <t>BossBrain.LookAheadMinLengths</t>
        </is>
      </c>
      <c r="J35" t="inlineStr">
        <is>
          <t>Assets/MachineBrigade/Resources/Data/tunables.json: bosses.bossBrain.lookAheadMinLengths</t>
        </is>
      </c>
      <c r="K35" t="inlineStr">
        <is>
          <t>{"value":1.5,"unit":"x","kind":"nguong","linh_vuc":"03","code":"BossBrain.LookAheadMinLengths"}</t>
        </is>
      </c>
    </row>
    <row r="36">
      <c r="A36" t="inlineStr">
        <is>
          <t>bosses.bossBrain.lookAheadSeconds</t>
        </is>
      </c>
      <c r="B36" t="inlineStr">
        <is>
          <t>bossBrain</t>
        </is>
      </c>
      <c r="C36" t="inlineStr">
        <is>
          <t>lookAheadSeconds</t>
        </is>
      </c>
      <c r="D36" t="n">
        <v>6</v>
      </c>
      <c r="F36" t="inlineStr">
        <is>
          <t>s</t>
        </is>
      </c>
      <c r="G36" t="inlineStr">
        <is>
          <t>thoi_gian</t>
        </is>
      </c>
      <c r="H36" t="inlineStr">
        <is>
          <t>03</t>
        </is>
      </c>
      <c r="I36" t="inlineStr">
        <is>
          <t>BossBrain.LookAheadSeconds</t>
        </is>
      </c>
      <c r="J36" t="inlineStr">
        <is>
          <t>Assets/MachineBrigade/Resources/Data/tunables.json: bosses.bossBrain.lookAheadSeconds</t>
        </is>
      </c>
      <c r="K36" t="inlineStr">
        <is>
          <t>{"value":6.0,"unit":"s","kind":"thoi_gian","linh_vuc":"03","code":"BossBrain.LookAheadSeconds"}</t>
        </is>
      </c>
    </row>
    <row r="37">
      <c r="A37" t="inlineStr">
        <is>
          <t>bosses.bossBrain.phaseMoveSeconds</t>
        </is>
      </c>
      <c r="B37" t="inlineStr">
        <is>
          <t>bossBrain</t>
        </is>
      </c>
      <c r="C37" t="inlineStr">
        <is>
          <t>phaseMoveSeconds</t>
        </is>
      </c>
      <c r="D37" t="n">
        <v>3</v>
      </c>
      <c r="F37" t="inlineStr">
        <is>
          <t>s</t>
        </is>
      </c>
      <c r="G37" t="inlineStr">
        <is>
          <t>thoi_gian</t>
        </is>
      </c>
      <c r="H37" t="inlineStr">
        <is>
          <t>03</t>
        </is>
      </c>
      <c r="I37" t="inlineStr">
        <is>
          <t>BossBrain.PhaseMoveSeconds</t>
        </is>
      </c>
      <c r="J37" t="inlineStr">
        <is>
          <t>Assets/MachineBrigade/Resources/Data/tunables.json: bosses.bossBrain.phaseMoveSeconds</t>
        </is>
      </c>
      <c r="K37" t="inlineStr">
        <is>
          <t>{"value":3.0,"unit":"s","kind":"thoi_gian","linh_vuc":"03","code":"BossBrain.PhaseMoveSeconds"}</t>
        </is>
      </c>
    </row>
    <row r="38">
      <c r="A38" t="inlineStr">
        <is>
          <t>bosses.bossBrain.planningFactor</t>
        </is>
      </c>
      <c r="B38" t="inlineStr">
        <is>
          <t>bossBrain</t>
        </is>
      </c>
      <c r="C38" t="inlineStr">
        <is>
          <t>planningFactor</t>
        </is>
      </c>
      <c r="D38" t="n">
        <v>1.1</v>
      </c>
      <c r="F38" t="inlineStr">
        <is>
          <t>x</t>
        </is>
      </c>
      <c r="G38" t="inlineStr">
        <is>
          <t>nguong</t>
        </is>
      </c>
      <c r="H38" t="inlineStr">
        <is>
          <t>03</t>
        </is>
      </c>
      <c r="I38" t="inlineStr">
        <is>
          <t>BossBrain.PlanningFactor</t>
        </is>
      </c>
      <c r="J38" t="inlineStr">
        <is>
          <t>Assets/MachineBrigade/Resources/Data/tunables.json: bosses.bossBrain.planningFactor</t>
        </is>
      </c>
      <c r="K38" t="inlineStr">
        <is>
          <t>{"value":1.1,"unit":"x","kind":"nguong","linh_vuc":"03","code":"BossBrain.PlanningFactor"}</t>
        </is>
      </c>
    </row>
    <row r="39">
      <c r="A39" t="inlineStr">
        <is>
          <t>bosses.bossBrain.shipSeparationExtra</t>
        </is>
      </c>
      <c r="B39" t="inlineStr">
        <is>
          <t>bossBrain</t>
        </is>
      </c>
      <c r="C39" t="inlineStr">
        <is>
          <t>shipSeparationExtra</t>
        </is>
      </c>
      <c r="D39" t="n">
        <v>4</v>
      </c>
      <c r="F39" t="inlineStr">
        <is>
          <t>m</t>
        </is>
      </c>
      <c r="G39" t="inlineStr">
        <is>
          <t>ban_kinh</t>
        </is>
      </c>
      <c r="H39" t="inlineStr">
        <is>
          <t>03</t>
        </is>
      </c>
      <c r="I39" t="inlineStr">
        <is>
          <t>BossBrain.ShipSeparationExtra</t>
        </is>
      </c>
      <c r="J39" t="inlineStr">
        <is>
          <t>Assets/MachineBrigade/Resources/Data/tunables.json: bosses.bossBrain.shipSeparationExtra</t>
        </is>
      </c>
      <c r="K39" t="inlineStr">
        <is>
          <t>{"value":4.0,"unit":"m","kind":"ban_kinh","linh_vuc":"03","code":"BossBrain.ShipSeparationExtra"}</t>
        </is>
      </c>
    </row>
    <row r="40">
      <c r="A40" t="inlineStr">
        <is>
          <t>bosses.bossBrain.turnaboutThrottle</t>
        </is>
      </c>
      <c r="B40" t="inlineStr">
        <is>
          <t>bossBrain</t>
        </is>
      </c>
      <c r="C40" t="inlineStr">
        <is>
          <t>turnaboutThrottle</t>
        </is>
      </c>
      <c r="D40" t="n">
        <v>0.25</v>
      </c>
      <c r="F40" t="inlineStr">
        <is>
          <t>share</t>
        </is>
      </c>
      <c r="G40" t="inlineStr">
        <is>
          <t>nguong</t>
        </is>
      </c>
      <c r="H40" t="inlineStr">
        <is>
          <t>03</t>
        </is>
      </c>
      <c r="I40" t="inlineStr">
        <is>
          <t>BossBrain.TurnaboutThrottle</t>
        </is>
      </c>
      <c r="J40" t="inlineStr">
        <is>
          <t>Assets/MachineBrigade/Resources/Data/tunables.json: bosses.bossBrain.turnaboutThrottle</t>
        </is>
      </c>
      <c r="K40" t="inlineStr">
        <is>
          <t>{"value":0.25,"unit":"share","kind":"nguong","linh_vuc":"03","code":"BossBrain.TurnaboutThrottle"}</t>
        </is>
      </c>
    </row>
    <row r="41">
      <c r="A41" t="inlineStr">
        <is>
          <t>bosses.bossHunt.airDefenceMains</t>
        </is>
      </c>
      <c r="B41" t="inlineStr">
        <is>
          <t>bossHunt</t>
        </is>
      </c>
      <c r="C41" t="inlineStr">
        <is>
          <t>airDefenceMains</t>
        </is>
      </c>
      <c r="D41" t="n">
        <v>1</v>
      </c>
      <c r="F41" t="inlineStr">
        <is>
          <t>count</t>
        </is>
      </c>
      <c r="G41" t="inlineStr">
        <is>
          <t>gioi_han_thuc_the</t>
        </is>
      </c>
      <c r="H41" t="inlineStr">
        <is>
          <t>03</t>
        </is>
      </c>
      <c r="I41" t="inlineStr">
        <is>
          <t>BossHunt.AirDefenceMains</t>
        </is>
      </c>
      <c r="J41" t="inlineStr">
        <is>
          <t>Assets/MachineBrigade/Resources/Data/tunables.json: bosses.bossHunt.airDefenceMains</t>
        </is>
      </c>
      <c r="K41" t="inlineStr">
        <is>
          <t>{"value":1,"unit":"count","kind":"gioi_han_thuc_the","linh_vuc":"03","code":"BossHunt.AirDefenceMains"}</t>
        </is>
      </c>
    </row>
    <row r="42">
      <c r="A42" t="inlineStr">
        <is>
          <t>bosses.bossHunt.airDefenceMinis</t>
        </is>
      </c>
      <c r="B42" t="inlineStr">
        <is>
          <t>bossHunt</t>
        </is>
      </c>
      <c r="C42" t="inlineStr">
        <is>
          <t>airDefenceMinis</t>
        </is>
      </c>
      <c r="D42" t="n">
        <v>3</v>
      </c>
      <c r="F42" t="inlineStr">
        <is>
          <t>count</t>
        </is>
      </c>
      <c r="G42" t="inlineStr">
        <is>
          <t>gioi_han_thuc_the</t>
        </is>
      </c>
      <c r="H42" t="inlineStr">
        <is>
          <t>03</t>
        </is>
      </c>
      <c r="I42" t="inlineStr">
        <is>
          <t>BossHunt.AirDefenceMinis</t>
        </is>
      </c>
      <c r="J42" t="inlineStr">
        <is>
          <t>Assets/MachineBrigade/Resources/Data/tunables.json: bosses.bossHunt.airDefenceMinis</t>
        </is>
      </c>
      <c r="K42" t="inlineStr">
        <is>
          <t>{"value":3,"unit":"count","kind":"gioi_han_thuc_the","linh_vuc":"03","code":"BossHunt.AirDefenceMinis"}</t>
        </is>
      </c>
    </row>
    <row r="43">
      <c r="A43" t="inlineStr">
        <is>
          <t>bosses.bossHunt.fullFrom</t>
        </is>
      </c>
      <c r="B43" t="inlineStr">
        <is>
          <t>bossHunt</t>
        </is>
      </c>
      <c r="C43" t="inlineStr">
        <is>
          <t>fullFrom</t>
        </is>
      </c>
      <c r="D43" t="n">
        <v>0.8</v>
      </c>
      <c r="F43" t="inlineStr">
        <is>
          <t>x</t>
        </is>
      </c>
      <c r="G43" t="inlineStr">
        <is>
          <t>sat_thuong</t>
        </is>
      </c>
      <c r="H43" t="inlineStr">
        <is>
          <t>03</t>
        </is>
      </c>
      <c r="I43" t="inlineStr">
        <is>
          <t>BossHunt.FullFrom</t>
        </is>
      </c>
      <c r="J43" t="inlineStr">
        <is>
          <t>Assets/MachineBrigade/Resources/Data/tunables.json: bosses.bossHunt.fullFrom</t>
        </is>
      </c>
      <c r="K43" t="inlineStr">
        <is>
          <t>{"value":0.8,"unit":"x","kind":"sat_thuong","linh_vuc":"03","code":"BossHunt.FullFrom"}</t>
        </is>
      </c>
    </row>
    <row r="44">
      <c r="A44" t="inlineStr">
        <is>
          <t>bosses.bossHunt.fullTo</t>
        </is>
      </c>
      <c r="B44" t="inlineStr">
        <is>
          <t>bossHunt</t>
        </is>
      </c>
      <c r="C44" t="inlineStr">
        <is>
          <t>fullTo</t>
        </is>
      </c>
      <c r="D44" t="n">
        <v>1.3</v>
      </c>
      <c r="F44" t="inlineStr">
        <is>
          <t>x</t>
        </is>
      </c>
      <c r="G44" t="inlineStr">
        <is>
          <t>sat_thuong</t>
        </is>
      </c>
      <c r="H44" t="inlineStr">
        <is>
          <t>03</t>
        </is>
      </c>
      <c r="I44" t="inlineStr">
        <is>
          <t>BossHunt.FullTo</t>
        </is>
      </c>
      <c r="J44" t="inlineStr">
        <is>
          <t>Assets/MachineBrigade/Resources/Data/tunables.json: bosses.bossHunt.fullTo</t>
        </is>
      </c>
      <c r="K44" t="inlineStr">
        <is>
          <t>{"value":1.3,"unit":"x","kind":"sat_thuong","linh_vuc":"03","code":"BossHunt.FullTo"}</t>
        </is>
      </c>
    </row>
    <row r="45">
      <c r="A45" t="inlineStr">
        <is>
          <t>bosses.bossHunt.weeklyMains</t>
        </is>
      </c>
      <c r="B45" t="inlineStr">
        <is>
          <t>bossHunt</t>
        </is>
      </c>
      <c r="C45" t="inlineStr">
        <is>
          <t>weeklyMains</t>
        </is>
      </c>
      <c r="D45" t="n">
        <v>3</v>
      </c>
      <c r="F45" t="inlineStr">
        <is>
          <t>count</t>
        </is>
      </c>
      <c r="G45" t="inlineStr">
        <is>
          <t>gioi_han_thuc_the</t>
        </is>
      </c>
      <c r="H45" t="inlineStr">
        <is>
          <t>03</t>
        </is>
      </c>
      <c r="I45" t="inlineStr">
        <is>
          <t>BossHunt.WeeklyMains</t>
        </is>
      </c>
      <c r="J45" t="inlineStr">
        <is>
          <t>Assets/MachineBrigade/Resources/Data/tunables.json: bosses.bossHunt.weeklyMains</t>
        </is>
      </c>
      <c r="K45" t="inlineStr">
        <is>
          <t>{"value":3,"unit":"count","kind":"gioi_han_thuc_the","linh_vuc":"03","code":"BossHunt.WeeklyMains"}</t>
        </is>
      </c>
    </row>
    <row r="46">
      <c r="A46" t="inlineStr">
        <is>
          <t>bosses.bossHunt.weeklyMinis</t>
        </is>
      </c>
      <c r="B46" t="inlineStr">
        <is>
          <t>bossHunt</t>
        </is>
      </c>
      <c r="C46" t="inlineStr">
        <is>
          <t>weeklyMinis</t>
        </is>
      </c>
      <c r="D46" t="n">
        <v>7</v>
      </c>
      <c r="F46" t="inlineStr">
        <is>
          <t>count</t>
        </is>
      </c>
      <c r="G46" t="inlineStr">
        <is>
          <t>gioi_han_thuc_the</t>
        </is>
      </c>
      <c r="H46" t="inlineStr">
        <is>
          <t>03</t>
        </is>
      </c>
      <c r="I46" t="inlineStr">
        <is>
          <t>BossHunt.WeeklyMinis</t>
        </is>
      </c>
      <c r="J46" t="inlineStr">
        <is>
          <t>Assets/MachineBrigade/Resources/Data/tunables.json: bosses.bossHunt.weeklyMinis</t>
        </is>
      </c>
      <c r="K46" t="inlineStr">
        <is>
          <t>{"value":7,"unit":"count","kind":"gioi_han_thuc_the","linh_vuc":"03","code":"BossHunt.WeeklyMinis"}</t>
        </is>
      </c>
    </row>
    <row r="47">
      <c r="A47" t="inlineStr">
        <is>
          <t>bosses.bossHunt.weeklyStep</t>
        </is>
      </c>
      <c r="B47" t="inlineStr">
        <is>
          <t>bossHunt</t>
        </is>
      </c>
      <c r="C47" t="inlineStr">
        <is>
          <t>weeklyStep</t>
        </is>
      </c>
      <c r="D47" t="n">
        <v>0.06</v>
      </c>
      <c r="F47" t="inlineStr">
        <is>
          <t>x</t>
        </is>
      </c>
      <c r="G47" t="inlineStr">
        <is>
          <t>sat_thuong</t>
        </is>
      </c>
      <c r="H47" t="inlineStr">
        <is>
          <t>03</t>
        </is>
      </c>
      <c r="I47" t="inlineStr">
        <is>
          <t>BossHunt.WeeklyStep</t>
        </is>
      </c>
      <c r="J47" t="inlineStr">
        <is>
          <t>Assets/MachineBrigade/Resources/Data/tunables.json: bosses.bossHunt.weeklyStep</t>
        </is>
      </c>
      <c r="K47" t="inlineStr">
        <is>
          <t>{"value":0.06,"unit":"x","kind":"sat_thuong","linh_vuc":"03","code":"BossHunt.WeeklyStep"}</t>
        </is>
      </c>
    </row>
    <row r="48">
      <c r="A48" t="inlineStr">
        <is>
          <t>bosses.bossHunts.weeklyMinutes</t>
        </is>
      </c>
      <c r="B48" t="inlineStr">
        <is>
          <t>bossHunts</t>
        </is>
      </c>
      <c r="C48" t="inlineStr">
        <is>
          <t>weeklyMinutes</t>
        </is>
      </c>
      <c r="D48" t="n">
        <v>30</v>
      </c>
      <c r="F48" t="inlineStr">
        <is>
          <t>min</t>
        </is>
      </c>
      <c r="G48" t="inlineStr">
        <is>
          <t>thoi_gian</t>
        </is>
      </c>
      <c r="H48" t="inlineStr">
        <is>
          <t>03</t>
        </is>
      </c>
      <c r="I48" t="inlineStr">
        <is>
          <t>BossHunts.WeeklyMinutes</t>
        </is>
      </c>
      <c r="J48" t="inlineStr">
        <is>
          <t>Assets/MachineBrigade/Resources/Data/tunables.json: bosses.bossHunts.weeklyMinutes</t>
        </is>
      </c>
      <c r="K48" t="inlineStr">
        <is>
          <t>{"value":30.0,"unit":"min","kind":"thoi_gian","linh_vuc":"03","code":"BossHunts.WeeklyMinutes"}</t>
        </is>
      </c>
    </row>
    <row r="49">
      <c r="A49" t="inlineStr">
        <is>
          <t>bosses.bossRushRules.fullMainSeconds</t>
        </is>
      </c>
      <c r="B49" t="inlineStr">
        <is>
          <t>bossRushRules</t>
        </is>
      </c>
      <c r="C49" t="inlineStr">
        <is>
          <t>fullMainSeconds</t>
        </is>
      </c>
      <c r="D49" t="n">
        <v>150</v>
      </c>
      <c r="F49" t="inlineStr">
        <is>
          <t>s</t>
        </is>
      </c>
      <c r="G49" t="inlineStr">
        <is>
          <t>thoi_gian</t>
        </is>
      </c>
      <c r="H49" t="inlineStr">
        <is>
          <t>03</t>
        </is>
      </c>
      <c r="I49" t="inlineStr">
        <is>
          <t>BossHuntSession (full hunt)</t>
        </is>
      </c>
      <c r="J49" t="inlineStr">
        <is>
          <t>Assets/MachineBrigade/Resources/Data/tunables.json: bosses.bossRushRules.fullMainSeconds</t>
        </is>
      </c>
      <c r="K49" t="inlineStr">
        <is>
          <t>{"value":150.0,"unit":"s","kind":"thoi_gian","linh_vuc":"03","code":"BossHuntSession (full hunt)"}</t>
        </is>
      </c>
    </row>
    <row r="50">
      <c r="A50" t="inlineStr">
        <is>
          <t>bosses.bossRushRules.fullMiniSeconds</t>
        </is>
      </c>
      <c r="B50" t="inlineStr">
        <is>
          <t>bossRushRules</t>
        </is>
      </c>
      <c r="C50" t="inlineStr">
        <is>
          <t>fullMiniSeconds</t>
        </is>
      </c>
      <c r="D50" t="n">
        <v>60</v>
      </c>
      <c r="F50" t="inlineStr">
        <is>
          <t>s</t>
        </is>
      </c>
      <c r="G50" t="inlineStr">
        <is>
          <t>thoi_gian</t>
        </is>
      </c>
      <c r="H50" t="inlineStr">
        <is>
          <t>03</t>
        </is>
      </c>
      <c r="I50" t="inlineStr">
        <is>
          <t>BossHuntSession (full hunt)</t>
        </is>
      </c>
      <c r="J50" t="inlineStr">
        <is>
          <t>Assets/MachineBrigade/Resources/Data/tunables.json: bosses.bossRushRules.fullMiniSeconds</t>
        </is>
      </c>
      <c r="K50" t="inlineStr">
        <is>
          <t>{"value":60.0,"unit":"s","kind":"thoi_gian","linh_vuc":"03","code":"BossHuntSession (full hunt)"}</t>
        </is>
      </c>
    </row>
    <row r="51">
      <c r="A51" t="inlineStr">
        <is>
          <t>bosses.bossRushRules.hpShare</t>
        </is>
      </c>
      <c r="B51" t="inlineStr">
        <is>
          <t>bossRushRules</t>
        </is>
      </c>
      <c r="C51" t="inlineStr">
        <is>
          <t>hpShare</t>
        </is>
      </c>
      <c r="D51" t="n">
        <v>0.6</v>
      </c>
      <c r="F51" t="inlineStr">
        <is>
          <t>share</t>
        </is>
      </c>
      <c r="G51" t="inlineStr">
        <is>
          <t>sat_thuong</t>
        </is>
      </c>
      <c r="H51" t="inlineStr">
        <is>
          <t>03</t>
        </is>
      </c>
      <c r="I51" t="inlineStr">
        <is>
          <t>BossRushRules.HpShare</t>
        </is>
      </c>
      <c r="J51" t="inlineStr">
        <is>
          <t>Assets/MachineBrigade/Resources/Data/tunables.json: bosses.bossRushRules.hpShare</t>
        </is>
      </c>
      <c r="K51" t="inlineStr">
        <is>
          <t>{"value":0.6,"unit":"share","kind":"sat_thuong","linh_vuc":"03","code":"BossRushRules.HpShare"}</t>
        </is>
      </c>
    </row>
    <row r="52">
      <c r="A52" t="inlineStr">
        <is>
          <t>bosses.bossRushRules.mainSeconds</t>
        </is>
      </c>
      <c r="B52" t="inlineStr">
        <is>
          <t>bossRushRules</t>
        </is>
      </c>
      <c r="C52" t="inlineStr">
        <is>
          <t>mainSeconds</t>
        </is>
      </c>
      <c r="D52" t="n">
        <v>168</v>
      </c>
      <c r="F52" t="inlineStr">
        <is>
          <t>s</t>
        </is>
      </c>
      <c r="G52" t="inlineStr">
        <is>
          <t>thoi_gian</t>
        </is>
      </c>
      <c r="H52" t="inlineStr">
        <is>
          <t>03</t>
        </is>
      </c>
      <c r="I52" t="inlineStr">
        <is>
          <t>BossRushRules.MainSeconds</t>
        </is>
      </c>
      <c r="J52" t="inlineStr">
        <is>
          <t>Assets/MachineBrigade/Resources/Data/tunables.json: bosses.bossRushRules.mainSeconds</t>
        </is>
      </c>
      <c r="K52" t="inlineStr">
        <is>
          <t>{"value":168.0,"unit":"s","kind":"thoi_gian","linh_vuc":"03","code":"BossRushRules.MainSeconds"}</t>
        </is>
      </c>
    </row>
    <row r="53">
      <c r="A53" t="inlineStr">
        <is>
          <t>bosses.bossRushRules.miniSeconds</t>
        </is>
      </c>
      <c r="B53" t="inlineStr">
        <is>
          <t>bossRushRules</t>
        </is>
      </c>
      <c r="C53" t="inlineStr">
        <is>
          <t>miniSeconds</t>
        </is>
      </c>
      <c r="D53" t="n">
        <v>66</v>
      </c>
      <c r="F53" t="inlineStr">
        <is>
          <t>s</t>
        </is>
      </c>
      <c r="G53" t="inlineStr">
        <is>
          <t>thoi_gian</t>
        </is>
      </c>
      <c r="H53" t="inlineStr">
        <is>
          <t>03</t>
        </is>
      </c>
      <c r="I53" t="inlineStr">
        <is>
          <t>BossRushRules.MiniSeconds</t>
        </is>
      </c>
      <c r="J53" t="inlineStr">
        <is>
          <t>Assets/MachineBrigade/Resources/Data/tunables.json: bosses.bossRushRules.miniSeconds</t>
        </is>
      </c>
      <c r="K53" t="inlineStr">
        <is>
          <t>{"value":66.0,"unit":"s","kind":"thoi_gian","linh_vuc":"03","code":"BossRushRules.MiniSeconds"}</t>
        </is>
      </c>
    </row>
    <row r="54">
      <c r="A54" t="inlineStr">
        <is>
          <t>bosses.bossSystem.bodyShare</t>
        </is>
      </c>
      <c r="B54" t="inlineStr">
        <is>
          <t>bossSystem</t>
        </is>
      </c>
      <c r="C54" t="inlineStr">
        <is>
          <t>bodyShare</t>
        </is>
      </c>
      <c r="D54" t="n">
        <v>0.4</v>
      </c>
      <c r="F54" t="inlineStr">
        <is>
          <t>share</t>
        </is>
      </c>
      <c r="G54" t="inlineStr">
        <is>
          <t>nguong</t>
        </is>
      </c>
      <c r="H54" t="inlineStr">
        <is>
          <t>03</t>
        </is>
      </c>
      <c r="I54" t="inlineStr">
        <is>
          <t>BossSystem.BodyShare</t>
        </is>
      </c>
      <c r="J54" t="inlineStr">
        <is>
          <t>Assets/MachineBrigade/Resources/Data/tunables.json: bosses.bossSystem.bodyShare</t>
        </is>
      </c>
      <c r="K54" t="inlineStr">
        <is>
          <t>{"value":0.4,"unit":"share","kind":"nguong","linh_vuc":"03","code":"BossSystem.BodyShare"}</t>
        </is>
      </c>
    </row>
    <row r="55">
      <c r="A55" t="inlineStr">
        <is>
          <t>bosses.bossSystem.escortTicks</t>
        </is>
      </c>
      <c r="B55" t="inlineStr">
        <is>
          <t>bossSystem</t>
        </is>
      </c>
      <c r="C55" t="inlineStr">
        <is>
          <t>escortTicks</t>
        </is>
      </c>
      <c r="D55" t="n">
        <v>10</v>
      </c>
      <c r="F55" t="inlineStr">
        <is>
          <t>ticks</t>
        </is>
      </c>
      <c r="G55" t="inlineStr">
        <is>
          <t>thoi_gian</t>
        </is>
      </c>
      <c r="H55" t="inlineStr">
        <is>
          <t>03</t>
        </is>
      </c>
      <c r="I55" t="inlineStr">
        <is>
          <t>BossSystem.EscortTicks</t>
        </is>
      </c>
      <c r="J55" t="inlineStr">
        <is>
          <t>Assets/MachineBrigade/Resources/Data/tunables.json: bosses.bossSystem.escortTicks</t>
        </is>
      </c>
      <c r="K55" t="inlineStr">
        <is>
          <t>{"value":10,"unit":"ticks","kind":"thoi_gian","linh_vuc":"03","code":"BossSystem.EscortTicks"}</t>
        </is>
      </c>
    </row>
    <row r="56">
      <c r="A56" t="inlineStr">
        <is>
          <t>bosses.bossSystem.flyerTicks</t>
        </is>
      </c>
      <c r="B56" t="inlineStr">
        <is>
          <t>bossSystem</t>
        </is>
      </c>
      <c r="C56" t="inlineStr">
        <is>
          <t>flyerTicks</t>
        </is>
      </c>
      <c r="D56" t="n">
        <v>5</v>
      </c>
      <c r="F56" t="inlineStr">
        <is>
          <t>ticks</t>
        </is>
      </c>
      <c r="G56" t="inlineStr">
        <is>
          <t>thoi_gian</t>
        </is>
      </c>
      <c r="H56" t="inlineStr">
        <is>
          <t>03</t>
        </is>
      </c>
      <c r="I56" t="inlineStr">
        <is>
          <t>BossSystem.FlyerTicks</t>
        </is>
      </c>
      <c r="J56" t="inlineStr">
        <is>
          <t>Assets/MachineBrigade/Resources/Data/tunables.json: bosses.bossSystem.flyerTicks</t>
        </is>
      </c>
      <c r="K56" t="inlineStr">
        <is>
          <t>{"value":5,"unit":"ticks","kind":"thoi_gian","linh_vuc":"03","code":"BossSystem.FlyerTicks"}</t>
        </is>
      </c>
    </row>
    <row r="57">
      <c r="A57" t="inlineStr">
        <is>
          <t>bosses.bossSystem.missileTopSpeed</t>
        </is>
      </c>
      <c r="B57" t="inlineStr">
        <is>
          <t>bossSystem</t>
        </is>
      </c>
      <c r="C57" t="inlineStr">
        <is>
          <t>missileTopSpeed</t>
        </is>
      </c>
      <c r="D57" t="n">
        <v>24</v>
      </c>
      <c r="F57" t="inlineStr">
        <is>
          <t>m/s</t>
        </is>
      </c>
      <c r="G57" t="inlineStr">
        <is>
          <t>tan_suat</t>
        </is>
      </c>
      <c r="H57" t="inlineStr">
        <is>
          <t>03</t>
        </is>
      </c>
      <c r="I57" t="inlineStr">
        <is>
          <t>BossSystem.MissileTopSpeed</t>
        </is>
      </c>
      <c r="J57" t="inlineStr">
        <is>
          <t>Assets/MachineBrigade/Resources/Data/tunables.json: bosses.bossSystem.missileTopSpeed</t>
        </is>
      </c>
      <c r="K57" t="inlineStr">
        <is>
          <t>{"value":24.0,"unit":"m/s","kind":"tan_suat","linh_vuc":"03","code":"BossSystem.MissileTopSpeed"}</t>
        </is>
      </c>
    </row>
    <row r="58">
      <c r="A58" t="inlineStr">
        <is>
          <t>bosses.huntSupports.cap</t>
        </is>
      </c>
      <c r="B58" t="inlineStr">
        <is>
          <t>huntSupports</t>
        </is>
      </c>
      <c r="C58" t="inlineStr">
        <is>
          <t>cap</t>
        </is>
      </c>
      <c r="D58" t="n">
        <v>0.4</v>
      </c>
      <c r="F58" t="inlineStr">
        <is>
          <t>share</t>
        </is>
      </c>
      <c r="G58" t="inlineStr">
        <is>
          <t>tran</t>
        </is>
      </c>
      <c r="H58" t="inlineStr">
        <is>
          <t>03</t>
        </is>
      </c>
      <c r="I58" t="inlineStr">
        <is>
          <t>HuntSupports.Cap</t>
        </is>
      </c>
      <c r="J58" t="inlineStr">
        <is>
          <t>Assets/MachineBrigade/Resources/Data/tunables.json: bosses.huntSupports.cap</t>
        </is>
      </c>
      <c r="K58" t="inlineStr">
        <is>
          <t>{"value":0.4,"unit":"share","kind":"tran","linh_vuc":"03","code":"HuntSupports.Cap"}</t>
        </is>
      </c>
    </row>
    <row r="59">
      <c r="A59" t="inlineStr">
        <is>
          <t>bosses.navalSystem.bigShipLength</t>
        </is>
      </c>
      <c r="B59" t="inlineStr">
        <is>
          <t>navalSystem</t>
        </is>
      </c>
      <c r="C59" t="inlineStr">
        <is>
          <t>bigShipLength</t>
        </is>
      </c>
      <c r="D59" t="n">
        <v>25</v>
      </c>
      <c r="F59" t="inlineStr">
        <is>
          <t>m</t>
        </is>
      </c>
      <c r="G59" t="inlineStr">
        <is>
          <t>ban_kinh</t>
        </is>
      </c>
      <c r="H59" t="inlineStr">
        <is>
          <t>03</t>
        </is>
      </c>
      <c r="I59" t="inlineStr">
        <is>
          <t>NavalSystem.BigShipLength</t>
        </is>
      </c>
      <c r="J59" t="inlineStr">
        <is>
          <t>Assets/MachineBrigade/Resources/Data/tunables.json: bosses.navalSystem.bigShipLength</t>
        </is>
      </c>
      <c r="K59" t="inlineStr">
        <is>
          <t>{"value":25.0,"unit":"m","kind":"ban_kinh","linh_vuc":"03","code":"NavalSystem.BigShipLength"}</t>
        </is>
      </c>
    </row>
    <row r="60">
      <c r="A60" t="inlineStr">
        <is>
          <t>bosses.navalSystem.captureRadius</t>
        </is>
      </c>
      <c r="B60" t="inlineStr">
        <is>
          <t>navalSystem</t>
        </is>
      </c>
      <c r="C60" t="inlineStr">
        <is>
          <t>captureRadius</t>
        </is>
      </c>
      <c r="D60" t="n">
        <v>11</v>
      </c>
      <c r="F60" t="inlineStr">
        <is>
          <t>m</t>
        </is>
      </c>
      <c r="G60" t="inlineStr">
        <is>
          <t>ban_kinh</t>
        </is>
      </c>
      <c r="H60" t="inlineStr">
        <is>
          <t>03</t>
        </is>
      </c>
      <c r="I60" t="inlineStr">
        <is>
          <t>NavalSystem.CaptureRadius</t>
        </is>
      </c>
      <c r="J60" t="inlineStr">
        <is>
          <t>Assets/MachineBrigade/Resources/Data/tunables.json: bosses.navalSystem.captureRadius</t>
        </is>
      </c>
      <c r="K60" t="inlineStr">
        <is>
          <t>{"value":11.0,"unit":"m","kind":"ban_kinh","linh_vuc":"03","code":"NavalSystem.CaptureRadius"}</t>
        </is>
      </c>
    </row>
    <row r="61">
      <c r="A61" t="inlineStr">
        <is>
          <t>bosses.navalSystem.closeRate</t>
        </is>
      </c>
      <c r="B61" t="inlineStr">
        <is>
          <t>navalSystem</t>
        </is>
      </c>
      <c r="C61" t="inlineStr">
        <is>
          <t>closeRate</t>
        </is>
      </c>
      <c r="D61" t="n">
        <v>0.25</v>
      </c>
      <c r="F61" t="inlineStr">
        <is>
          <t>share/s</t>
        </is>
      </c>
      <c r="G61" t="inlineStr">
        <is>
          <t>tan_suat</t>
        </is>
      </c>
      <c r="H61" t="inlineStr">
        <is>
          <t>03</t>
        </is>
      </c>
      <c r="I61" t="inlineStr">
        <is>
          <t>NavalSystem.CloseRate</t>
        </is>
      </c>
      <c r="J61" t="inlineStr">
        <is>
          <t>Assets/MachineBrigade/Resources/Data/tunables.json: bosses.navalSystem.closeRate</t>
        </is>
      </c>
      <c r="K61" t="inlineStr">
        <is>
          <t>{"value":0.25,"unit":"share/s","kind":"tan_suat","linh_vuc":"03","code":"NavalSystem.CloseRate"}</t>
        </is>
      </c>
    </row>
    <row r="62">
      <c r="A62" t="inlineStr">
        <is>
          <t>bosses.navalSystem.gapExtra</t>
        </is>
      </c>
      <c r="B62" t="inlineStr">
        <is>
          <t>navalSystem</t>
        </is>
      </c>
      <c r="C62" t="inlineStr">
        <is>
          <t>gapExtra</t>
        </is>
      </c>
      <c r="D62" t="n">
        <v>10</v>
      </c>
      <c r="F62" t="inlineStr">
        <is>
          <t>m</t>
        </is>
      </c>
      <c r="G62" t="inlineStr">
        <is>
          <t>ban_kinh</t>
        </is>
      </c>
      <c r="H62" t="inlineStr">
        <is>
          <t>03</t>
        </is>
      </c>
      <c r="I62" t="inlineStr">
        <is>
          <t>NavalSystem.GapExtra</t>
        </is>
      </c>
      <c r="J62" t="inlineStr">
        <is>
          <t>Assets/MachineBrigade/Resources/Data/tunables.json: bosses.navalSystem.gapExtra</t>
        </is>
      </c>
      <c r="K62" t="inlineStr">
        <is>
          <t>{"value":10.0,"unit":"m","kind":"ban_kinh","linh_vuc":"03","code":"NavalSystem.GapExtra"}</t>
        </is>
      </c>
    </row>
    <row r="63">
      <c r="A63" t="inlineStr">
        <is>
          <t>bosses.navalSystem.holdAfterTicks</t>
        </is>
      </c>
      <c r="B63" t="inlineStr">
        <is>
          <t>navalSystem</t>
        </is>
      </c>
      <c r="C63" t="inlineStr">
        <is>
          <t>holdAfterTicks</t>
        </is>
      </c>
      <c r="D63" t="n">
        <v>60</v>
      </c>
      <c r="F63" t="inlineStr">
        <is>
          <t>ticks</t>
        </is>
      </c>
      <c r="G63" t="inlineStr">
        <is>
          <t>thoi_gian</t>
        </is>
      </c>
      <c r="H63" t="inlineStr">
        <is>
          <t>03</t>
        </is>
      </c>
      <c r="I63" t="inlineStr">
        <is>
          <t>NavalSystem.HoldAfterTicks</t>
        </is>
      </c>
      <c r="J63" t="inlineStr">
        <is>
          <t>Assets/MachineBrigade/Resources/Data/tunables.json: bosses.navalSystem.holdAfterTicks</t>
        </is>
      </c>
      <c r="K63" t="inlineStr">
        <is>
          <t>{"value":60,"unit":"ticks","kind":"thoi_gian","linh_vuc":"03","code":"NavalSystem.HoldAfterTicks"}</t>
        </is>
      </c>
    </row>
    <row r="64">
      <c r="A64" t="inlineStr">
        <is>
          <t>bosses.navalSystem.holdMinTicks</t>
        </is>
      </c>
      <c r="B64" t="inlineStr">
        <is>
          <t>navalSystem</t>
        </is>
      </c>
      <c r="C64" t="inlineStr">
        <is>
          <t>holdMinTicks</t>
        </is>
      </c>
      <c r="D64" t="n">
        <v>40</v>
      </c>
      <c r="F64" t="inlineStr">
        <is>
          <t>ticks</t>
        </is>
      </c>
      <c r="G64" t="inlineStr">
        <is>
          <t>thoi_gian</t>
        </is>
      </c>
      <c r="H64" t="inlineStr">
        <is>
          <t>03</t>
        </is>
      </c>
      <c r="I64" t="inlineStr">
        <is>
          <t>NavalSystem.HoldMinTicks</t>
        </is>
      </c>
      <c r="J64" t="inlineStr">
        <is>
          <t>Assets/MachineBrigade/Resources/Data/tunables.json: bosses.navalSystem.holdMinTicks</t>
        </is>
      </c>
      <c r="K64" t="inlineStr">
        <is>
          <t>{"value":40,"unit":"ticks","kind":"thoi_gian","linh_vuc":"03","code":"NavalSystem.HoldMinTicks"}</t>
        </is>
      </c>
    </row>
    <row r="65">
      <c r="A65" t="inlineStr">
        <is>
          <t>bosses.navalSystem.lighthouseRadius</t>
        </is>
      </c>
      <c r="B65" t="inlineStr">
        <is>
          <t>navalSystem</t>
        </is>
      </c>
      <c r="C65" t="inlineStr">
        <is>
          <t>lighthouseRadius</t>
        </is>
      </c>
      <c r="D65" t="n">
        <v>14</v>
      </c>
      <c r="F65" t="inlineStr">
        <is>
          <t>m</t>
        </is>
      </c>
      <c r="G65" t="inlineStr">
        <is>
          <t>ban_kinh</t>
        </is>
      </c>
      <c r="H65" t="inlineStr">
        <is>
          <t>03</t>
        </is>
      </c>
      <c r="I65" t="inlineStr">
        <is>
          <t>NavalSystem.LighthouseRadius</t>
        </is>
      </c>
      <c r="J65" t="inlineStr">
        <is>
          <t>Assets/MachineBrigade/Resources/Data/tunables.json: bosses.navalSystem.lighthouseRadius</t>
        </is>
      </c>
      <c r="K65" t="inlineStr">
        <is>
          <t>{"value":14.0,"unit":"m","kind":"ban_kinh","linh_vuc":"03","code":"NavalSystem.LighthouseRadius"}</t>
        </is>
      </c>
    </row>
    <row r="66">
      <c r="A66" t="inlineStr">
        <is>
          <t>bosses.navalSystem.slotSample</t>
        </is>
      </c>
      <c r="B66" t="inlineStr">
        <is>
          <t>navalSystem</t>
        </is>
      </c>
      <c r="C66" t="inlineStr">
        <is>
          <t>slotSample</t>
        </is>
      </c>
      <c r="D66" t="n">
        <v>8</v>
      </c>
      <c r="F66" t="inlineStr">
        <is>
          <t>m</t>
        </is>
      </c>
      <c r="G66" t="inlineStr">
        <is>
          <t>ban_kinh</t>
        </is>
      </c>
      <c r="H66" t="inlineStr">
        <is>
          <t>03</t>
        </is>
      </c>
      <c r="I66" t="inlineStr">
        <is>
          <t>NavalSystem.SlotSample</t>
        </is>
      </c>
      <c r="J66" t="inlineStr">
        <is>
          <t>Assets/MachineBrigade/Resources/Data/tunables.json: bosses.navalSystem.slotSample</t>
        </is>
      </c>
      <c r="K66" t="inlineStr">
        <is>
          <t>{"value":8.0,"unit":"m","kind":"ban_kinh","linh_vuc":"03","code":"NavalSystem.SlotSample"}</t>
        </is>
      </c>
    </row>
    <row r="67">
      <c r="A67" t="inlineStr">
        <is>
          <t>bosses.navalSystem.slotSlack</t>
        </is>
      </c>
      <c r="B67" t="inlineStr">
        <is>
          <t>navalSystem</t>
        </is>
      </c>
      <c r="C67" t="inlineStr">
        <is>
          <t>slotSlack</t>
        </is>
      </c>
      <c r="D67" t="n">
        <v>4</v>
      </c>
      <c r="F67" t="inlineStr">
        <is>
          <t>m</t>
        </is>
      </c>
      <c r="G67" t="inlineStr">
        <is>
          <t>ban_kinh</t>
        </is>
      </c>
      <c r="H67" t="inlineStr">
        <is>
          <t>03</t>
        </is>
      </c>
      <c r="I67" t="inlineStr">
        <is>
          <t>NavalSystem.SlotSlack</t>
        </is>
      </c>
      <c r="J67" t="inlineStr">
        <is>
          <t>Assets/MachineBrigade/Resources/Data/tunables.json: bosses.navalSystem.slotSlack</t>
        </is>
      </c>
      <c r="K67" t="inlineStr">
        <is>
          <t>{"value":4.0,"unit":"m","kind":"ban_kinh","linh_vuc":"03","code":"NavalSystem.SlotSlack"}</t>
        </is>
      </c>
    </row>
    <row r="68">
      <c r="A68" t="inlineStr">
        <is>
          <t>bosses.navalSystem.turnWarn</t>
        </is>
      </c>
      <c r="B68" t="inlineStr">
        <is>
          <t>navalSystem</t>
        </is>
      </c>
      <c r="C68" t="inlineStr">
        <is>
          <t>turnWarn</t>
        </is>
      </c>
      <c r="D68" t="n">
        <v>45</v>
      </c>
      <c r="F68" t="inlineStr">
        <is>
          <t>deg</t>
        </is>
      </c>
      <c r="G68" t="inlineStr">
        <is>
          <t>thoi_gian</t>
        </is>
      </c>
      <c r="H68" t="inlineStr">
        <is>
          <t>03</t>
        </is>
      </c>
      <c r="I68" t="inlineStr">
        <is>
          <t>NavalSystem.TurnWarn</t>
        </is>
      </c>
      <c r="J68" t="inlineStr">
        <is>
          <t>Assets/MachineBrigade/Resources/Data/tunables.json: bosses.navalSystem.turnWarn</t>
        </is>
      </c>
      <c r="K68" t="inlineStr">
        <is>
          <t>{"value":45.0,"unit":"deg","kind":"thoi_gian","linh_vuc":"03","code":"NavalSystem.TurnWarn"}</t>
        </is>
      </c>
    </row>
  </sheetData>
  <autoFilter ref="A1:K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