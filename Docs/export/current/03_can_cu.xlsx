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ap" sheetId="1" state="visible" r:id="rId1"/>
    <sheet name="Thap_vu_khi" sheetId="2" state="visible" r:id="rId2"/>
    <sheet name="Tuong" sheetId="3" state="visible" r:id="rId3"/>
    <sheet name="Tuong_luat" sheetId="4" state="visible" r:id="rId4"/>
    <sheet name="Nha_chinh" sheetId="5" state="visible" r:id="rId5"/>
    <sheet name="Nha_chinh_vu_khi" sheetId="6" state="visible" r:id="rId6"/>
    <sheet name="Nha_chinh_kieu" sheetId="7" state="visible" r:id="rId7"/>
    <sheet name="Nha_chinh_kieu_cap" sheetId="8" state="visible" r:id="rId8"/>
    <sheet name="Nha_chinh_luat" sheetId="9" state="visible" r:id="rId9"/>
    <sheet name="Mo_dun_tien_ich" sheetId="10" state="visible" r:id="rId10"/>
    <sheet name="Loadout_can_cu" sheetId="11" state="visible" r:id="rId11"/>
    <sheet name="Xay_lai" sheetId="12" state="visible" r:id="rId12"/>
    <sheet name="Can_cu_luat" sheetId="13" state="visible" r:id="rId13"/>
    <sheet name="Dot_phong_thu" sheetId="14" state="visible" r:id="rId14"/>
    <sheet name="Can_cu_AI_kieu" sheetId="15" state="visible" r:id="rId15"/>
    <sheet name="cc_input_vu_khi" sheetId="16" state="visible" r:id="rId16"/>
    <sheet name="cc_input_vu_khi_suy_ra" sheetId="17" state="visible" r:id="rId17"/>
    <sheet name="cc_input_bang_xuyen_giap" sheetId="18" state="visible" r:id="rId18"/>
    <sheet name="Thap_gia_cong_thuc" sheetId="19" state="visible" r:id="rId19"/>
    <sheet name="Tuong_duong_xe_cong_trinh" sheetId="20" state="visible" r:id="rId20"/>
    <sheet name="Nha_chinh_so_sanh" sheetId="21" state="visible" r:id="rId21"/>
    <sheet name="Can_cu_AI_cap" sheetId="22" state="visible" r:id="rId22"/>
    <sheet name="Can_cu_tham_chieu" sheetId="23" state="visible" r:id="rId23"/>
    <sheet name="Can_cu_so_sanh_that" sheetId="24" state="visible" r:id="rId24"/>
    <sheet name="cc_input_nhip_that" sheetId="25" state="visible" r:id="rId25"/>
    <sheet name="cc_input_ty_le_nhip" sheetId="26" state="visible" r:id="rId26"/>
    <sheet name="Anh_can_cu" sheetId="27" state="visible" r:id="rId27"/>
    <sheet name="Anh_can_cu_vien" sheetId="28" state="visible" r:id="rId28"/>
    <sheet name="Anh_can_cu_mui_ten" sheetId="29" state="visible" r:id="rId29"/>
    <sheet name="Hang_so_can_cu" sheetId="30" state="visible" r:id="rId30"/>
  </sheets>
  <definedNames>
    <definedName name="_xlnm._FilterDatabase" localSheetId="0" hidden="1">'Thap'!$A$1:$EN$57</definedName>
    <definedName name="_xlnm._FilterDatabase" localSheetId="1" hidden="1">'Thap_vu_khi'!$A$1:$J$8</definedName>
    <definedName name="_xlnm._FilterDatabase" localSheetId="2" hidden="1">'Tuong'!$A$1:$CC$4</definedName>
    <definedName name="_xlnm._FilterDatabase" localSheetId="3" hidden="1">'Tuong_luat'!$A$1:$H$12</definedName>
    <definedName name="_xlnm._FilterDatabase" localSheetId="4" hidden="1">'Nha_chinh'!$A$1:$CF$5</definedName>
    <definedName name="_xlnm._FilterDatabase" localSheetId="5" hidden="1">'Nha_chinh_vu_khi'!$A$1:$H$12</definedName>
    <definedName name="_xlnm._FilterDatabase" localSheetId="6" hidden="1">'Nha_chinh_kieu'!$A$1:$O$4</definedName>
    <definedName name="_xlnm._FilterDatabase" localSheetId="7" hidden="1">'Nha_chinh_kieu_cap'!$A$1:$L$16</definedName>
    <definedName name="_xlnm._FilterDatabase" localSheetId="8" hidden="1">'Nha_chinh_luat'!$A$1:$H$14</definedName>
    <definedName name="_xlnm._FilterDatabase" localSheetId="9" hidden="1">'Mo_dun_tien_ich'!$A$1:$CL$5</definedName>
    <definedName name="_xlnm._FilterDatabase" localSheetId="10" hidden="1">'Loadout_can_cu'!$A$1:$I$11</definedName>
    <definedName name="_xlnm._FilterDatabase" localSheetId="11" hidden="1">'Xay_lai'!$A$1:$F$4</definedName>
    <definedName name="_xlnm._FilterDatabase" localSheetId="12" hidden="1">'Can_cu_luat'!$A$1:$H$22</definedName>
    <definedName name="_xlnm._FilterDatabase" localSheetId="13" hidden="1">'Dot_phong_thu'!$A$1:$J$6</definedName>
    <definedName name="_xlnm._FilterDatabase" localSheetId="14" hidden="1">'Can_cu_AI_kieu'!$A$1:$F$88</definedName>
    <definedName name="_xlnm._FilterDatabase" localSheetId="15" hidden="1">'cc_input_vu_khi'!$A$1:$E$11</definedName>
    <definedName name="_xlnm._FilterDatabase" localSheetId="16" hidden="1">'cc_input_vu_khi_suy_ra'!$A$1:$F$11</definedName>
    <definedName name="_xlnm._FilterDatabase" localSheetId="17" hidden="1">'cc_input_bang_xuyen_giap'!$A$1:$D$7</definedName>
    <definedName name="_xlnm._FilterDatabase" localSheetId="18" hidden="1">'Thap_gia_cong_thuc'!$A$1:$V$42</definedName>
    <definedName name="_xlnm._FilterDatabase" localSheetId="19" hidden="1">'Tuong_duong_xe_cong_trinh'!$A$1:$M$42</definedName>
    <definedName name="_xlnm._FilterDatabase" localSheetId="20" hidden="1">'Nha_chinh_so_sanh'!$A$1:$M$21</definedName>
    <definedName name="_xlnm._FilterDatabase" localSheetId="21" hidden="1">'Can_cu_AI_cap'!$A$1:$H$5</definedName>
    <definedName name="_xlnm._FilterDatabase" localSheetId="22" hidden="1">'Can_cu_tham_chieu'!$A$1:$AH$70</definedName>
    <definedName name="_xlnm._FilterDatabase" localSheetId="23" hidden="1">'Can_cu_so_sanh_that'!$A$1:$R$33</definedName>
    <definedName name="_xlnm._FilterDatabase" localSheetId="24" hidden="1">'cc_input_nhip_that'!$A$1:$F$31</definedName>
    <definedName name="_xlnm._FilterDatabase" localSheetId="25" hidden="1">'cc_input_ty_le_nhip'!$A$1:$E$31</definedName>
    <definedName name="_xlnm._FilterDatabase" localSheetId="26" hidden="1">'Anh_can_cu'!$A$1:$X$21</definedName>
    <definedName name="_xlnm._FilterDatabase" localSheetId="27" hidden="1">'Anh_can_cu_vien'!$A$1:$G$143</definedName>
    <definedName name="_xlnm._FilterDatabase" localSheetId="28" hidden="1">'Anh_can_cu_mui_ten'!$A$1:$J$53</definedName>
    <definedName name="_xlnm._FilterDatabase" localSheetId="29" hidden="1">'Hang_so_can_cu'!$A$1:$K$34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5" customWidth="1" min="2" max="2"/>
    <col width="32" customWidth="1" min="3" max="3"/>
    <col width="17" customWidth="1" min="4" max="4"/>
    <col width="8" customWidth="1" min="5" max="5"/>
    <col width="8" customWidth="1" min="6" max="6"/>
    <col width="17" customWidth="1" min="7" max="7"/>
    <col width="9" customWidth="1" min="8" max="8"/>
    <col width="8" customWidth="1" min="9" max="9"/>
    <col width="19" customWidth="1" min="10" max="10"/>
    <col width="12" customWidth="1" min="11" max="11"/>
    <col width="11" customWidth="1" min="12" max="12"/>
    <col width="10" customWidth="1" min="13" max="13"/>
    <col width="10" customWidth="1" min="14" max="14"/>
    <col width="12" customWidth="1" min="15" max="15"/>
    <col width="12" customWidth="1" min="16" max="16"/>
    <col width="17" customWidth="1" min="17" max="17"/>
    <col width="17" customWidth="1" min="18" max="18"/>
    <col width="12" customWidth="1" min="19" max="19"/>
    <col width="12" customWidth="1" min="20" max="20"/>
    <col width="8" customWidth="1" min="21" max="21"/>
    <col width="8" customWidth="1" min="22" max="22"/>
    <col width="8" customWidth="1" min="23" max="23"/>
    <col width="10" customWidth="1" min="24" max="24"/>
    <col width="10" customWidth="1" min="25" max="25"/>
    <col width="14" customWidth="1" min="26" max="26"/>
    <col width="14" customWidth="1" min="27" max="27"/>
    <col width="10" customWidth="1" min="28" max="28"/>
    <col width="21" customWidth="1" min="29" max="29"/>
    <col width="23" customWidth="1" min="30" max="30"/>
    <col width="44" customWidth="1" min="31" max="31"/>
    <col width="9" customWidth="1" min="32" max="32"/>
    <col width="8" customWidth="1" min="33" max="33"/>
    <col width="14" customWidth="1" min="34" max="34"/>
    <col width="13" customWidth="1" min="35" max="35"/>
    <col width="24" customWidth="1" min="36" max="36"/>
    <col width="16" customWidth="1" min="37" max="37"/>
    <col width="15" customWidth="1" min="38" max="38"/>
    <col width="13" customWidth="1" min="39" max="39"/>
    <col width="14" customWidth="1" min="40" max="40"/>
    <col width="12" customWidth="1" min="41" max="41"/>
    <col width="18" customWidth="1" min="42" max="42"/>
    <col width="16" customWidth="1" min="43" max="43"/>
    <col width="17" customWidth="1" min="44" max="44"/>
    <col width="15" customWidth="1" min="45" max="45"/>
    <col width="16" customWidth="1" min="46" max="46"/>
    <col width="14" customWidth="1" min="47" max="47"/>
    <col width="16" customWidth="1" min="48" max="48"/>
    <col width="14" customWidth="1" min="49" max="49"/>
    <col width="18" customWidth="1" min="50" max="50"/>
    <col width="16" customWidth="1" min="51" max="51"/>
    <col width="18" customWidth="1" min="52" max="52"/>
    <col width="16" customWidth="1" min="53" max="53"/>
    <col width="20" customWidth="1" min="54" max="54"/>
    <col width="18" customWidth="1" min="55" max="55"/>
    <col width="18" customWidth="1" min="56" max="56"/>
    <col width="44" customWidth="1" min="57" max="57"/>
    <col width="27" customWidth="1" min="58" max="58"/>
    <col width="25" customWidth="1" min="59" max="59"/>
    <col width="17" customWidth="1" min="60" max="60"/>
    <col width="10" customWidth="1" min="61" max="61"/>
    <col width="8" customWidth="1" min="62" max="62"/>
    <col width="27" customWidth="1" min="63" max="63"/>
    <col width="14" customWidth="1" min="64" max="64"/>
    <col width="17" customWidth="1" min="65" max="65"/>
    <col width="20" customWidth="1" min="66" max="66"/>
    <col width="15" customWidth="1" min="67" max="67"/>
    <col width="15" customWidth="1" min="68" max="68"/>
    <col width="9" customWidth="1" min="69" max="69"/>
    <col width="24" customWidth="1" min="70" max="70"/>
    <col width="17" customWidth="1" min="71" max="71"/>
    <col width="8" customWidth="1" min="72" max="72"/>
    <col width="14" customWidth="1" min="73" max="73"/>
    <col width="13" customWidth="1" min="74" max="74"/>
    <col width="13" customWidth="1" min="75" max="75"/>
    <col width="12" customWidth="1" min="76" max="76"/>
    <col width="18" customWidth="1" min="77" max="77"/>
    <col width="18" customWidth="1" min="78" max="78"/>
    <col width="17" customWidth="1" min="79" max="79"/>
    <col width="17" customWidth="1" min="80" max="80"/>
    <col width="16" customWidth="1" min="81" max="81"/>
    <col width="21" customWidth="1" min="82" max="82"/>
    <col width="17" customWidth="1" min="83" max="83"/>
    <col width="43" customWidth="1" min="84" max="84"/>
    <col width="8" customWidth="1" min="85" max="85"/>
    <col width="23" customWidth="1" min="86" max="86"/>
    <col width="25" customWidth="1" min="87" max="87"/>
    <col width="27" customWidth="1" min="88" max="88"/>
    <col width="8" customWidth="1" min="89" max="89"/>
    <col width="24" customWidth="1" min="90" max="90"/>
    <col width="25" customWidth="1" min="91" max="91"/>
    <col width="26" customWidth="1" min="92" max="92"/>
    <col width="22" customWidth="1" min="93" max="93"/>
    <col width="9" customWidth="1" min="94" max="94"/>
    <col width="15" customWidth="1" min="95" max="95"/>
    <col width="17" customWidth="1" min="96" max="96"/>
    <col width="15" customWidth="1" min="97" max="97"/>
    <col width="20" customWidth="1" min="98" max="98"/>
    <col width="11" customWidth="1" min="99" max="99"/>
    <col width="14" customWidth="1" min="100" max="100"/>
    <col width="15" customWidth="1" min="101" max="101"/>
    <col width="16" customWidth="1" min="102" max="102"/>
    <col width="13" customWidth="1" min="103" max="103"/>
    <col width="34" customWidth="1" min="104" max="104"/>
    <col width="8" customWidth="1" min="105" max="105"/>
    <col width="17" customWidth="1" min="106" max="106"/>
    <col width="8" customWidth="1" min="107" max="107"/>
    <col width="10" customWidth="1" min="108" max="108"/>
    <col width="10" customWidth="1" min="109" max="109"/>
    <col width="11" customWidth="1" min="110" max="110"/>
    <col width="24" customWidth="1" min="111" max="111"/>
    <col width="21" customWidth="1" min="112" max="112"/>
    <col width="21" customWidth="1" min="113" max="113"/>
    <col width="20" customWidth="1" min="114" max="114"/>
    <col width="12" customWidth="1" min="115" max="115"/>
    <col width="11" customWidth="1" min="116" max="116"/>
    <col width="22" customWidth="1" min="117" max="117"/>
    <col width="10" customWidth="1" min="118" max="118"/>
    <col width="10" customWidth="1" min="119" max="119"/>
    <col width="12" customWidth="1" min="120" max="120"/>
    <col width="14" customWidth="1" min="121" max="121"/>
    <col width="13" customWidth="1" min="122" max="122"/>
    <col width="14" customWidth="1" min="123" max="123"/>
    <col width="12" customWidth="1" min="124" max="124"/>
    <col width="16" customWidth="1" min="125" max="125"/>
    <col width="8" customWidth="1" min="126" max="126"/>
    <col width="11" customWidth="1" min="127" max="127"/>
    <col width="13" customWidth="1" min="128" max="128"/>
    <col width="18" customWidth="1" min="129" max="129"/>
    <col width="11" customWidth="1" min="130" max="130"/>
    <col width="8" customWidth="1" min="131" max="131"/>
    <col width="27" customWidth="1" min="132" max="132"/>
    <col width="26" customWidth="1" min="133" max="133"/>
    <col width="27" customWidth="1" min="134" max="134"/>
    <col width="17" customWidth="1" min="135" max="135"/>
    <col width="24" customWidth="1" min="136" max="136"/>
    <col width="10" customWidth="1" min="137" max="137"/>
    <col width="10" customWidth="1" min="138" max="138"/>
    <col width="16" customWidth="1" min="139" max="139"/>
    <col width="18" customWidth="1" min="140" max="140"/>
    <col width="23" customWidth="1" min="141" max="141"/>
    <col width="9" customWidth="1" min="142" max="142"/>
    <col width="60" customWidth="1" min="143" max="143"/>
    <col width="60" customWidth="1" min="144" max="144"/>
  </cols>
  <sheetData>
    <row r="1">
      <c r="A1" s="1" t="inlineStr">
        <is>
          <t>id</t>
        </is>
      </c>
      <c r="B1" s="1" t="inlineStr">
        <is>
          <t>ten_en</t>
        </is>
      </c>
      <c r="C1" s="1" t="inlineStr">
        <is>
          <t>ten_vi</t>
        </is>
      </c>
      <c r="D1" s="1" t="inlineStr">
        <is>
          <t>ten_ngan_vi</t>
        </is>
      </c>
      <c r="E1" s="1" t="inlineStr">
        <is>
          <t>lop</t>
        </is>
      </c>
      <c r="F1" s="1" t="inlineStr">
        <is>
          <t>nhanh</t>
        </is>
      </c>
      <c r="G1" s="1" t="inlineStr">
        <is>
          <t>ke_thua_tu</t>
        </is>
      </c>
      <c r="H1" s="1" t="inlineStr">
        <is>
          <t>base_cp</t>
        </is>
      </c>
      <c r="I1" s="1" t="inlineStr">
        <is>
          <t>mau_hp</t>
        </is>
      </c>
      <c r="J1" s="1" t="inlineStr">
        <is>
          <t>mau_trong_tran_hp</t>
        </is>
      </c>
      <c r="K1" s="1" t="inlineStr">
        <is>
          <t>giap_truoc</t>
        </is>
      </c>
      <c r="L1" s="1" t="inlineStr">
        <is>
          <t>giap_hong</t>
        </is>
      </c>
      <c r="M1" s="1" t="inlineStr">
        <is>
          <t>giap_sau</t>
        </is>
      </c>
      <c r="N1" s="1" t="inlineStr">
        <is>
          <t>giap_noc</t>
        </is>
      </c>
      <c r="O1" s="1" t="inlineStr">
        <is>
          <t>cong_trinh</t>
        </is>
      </c>
      <c r="P1" s="1" t="inlineStr">
        <is>
          <t>toc_do_m_s</t>
        </is>
      </c>
      <c r="Q1" s="1" t="inlineStr">
        <is>
          <t>xoay_than_deg_s</t>
        </is>
      </c>
      <c r="R1" s="1" t="inlineStr">
        <is>
          <t>xoay_thap_deg_s</t>
        </is>
      </c>
      <c r="S1" s="1" t="inlineStr">
        <is>
          <t>tam_nhin_m</t>
        </is>
      </c>
      <c r="T1" s="1" t="inlineStr">
        <is>
          <t>ban_kinh_m</t>
        </is>
      </c>
      <c r="U1" s="1" t="inlineStr">
        <is>
          <t>dai_m</t>
        </is>
      </c>
      <c r="V1" s="1" t="inlineStr">
        <is>
          <t>rong_m</t>
        </is>
      </c>
      <c r="W1" s="1" t="inlineStr">
        <is>
          <t>bay</t>
        </is>
      </c>
      <c r="X1" s="1" t="inlineStr">
        <is>
          <t>do_cao_m</t>
        </is>
      </c>
      <c r="Y1" s="1" t="inlineStr">
        <is>
          <t>dung_yen</t>
        </is>
      </c>
      <c r="Z1" s="1" t="inlineStr">
        <is>
          <t>ban_khi_chay</t>
        </is>
      </c>
      <c r="AA1" s="1" t="inlineStr">
        <is>
          <t>toc_do_chiem</t>
        </is>
      </c>
      <c r="AB1" s="1" t="inlineStr">
        <is>
          <t>tha_du_s</t>
        </is>
      </c>
      <c r="AC1" s="1" t="inlineStr">
        <is>
          <t>he_so_sat_thuong_ra</t>
        </is>
      </c>
      <c r="AD1" s="1" t="inlineStr">
        <is>
          <t>vu_khi_chinh</t>
        </is>
      </c>
      <c r="AE1" s="1" t="inlineStr">
        <is>
          <t>vu_khi_phu</t>
        </is>
      </c>
      <c r="AF1" s="1" t="inlineStr">
        <is>
          <t>noi_tai</t>
        </is>
      </c>
      <c r="AG1" s="1" t="inlineStr">
        <is>
          <t>tu_ve</t>
        </is>
      </c>
      <c r="AH1" s="1" t="inlineStr">
        <is>
          <t>so_lan_tu_ve</t>
        </is>
      </c>
      <c r="AI1" s="1" t="inlineStr">
        <is>
          <t>hoi_tu_ve_s</t>
        </is>
      </c>
      <c r="AJ1" s="1" t="inlineStr">
        <is>
          <t>mo_hinh</t>
        </is>
      </c>
      <c r="AK1" s="1" t="inlineStr">
        <is>
          <t>so_voi_ban_goc</t>
        </is>
      </c>
      <c r="AL1" s="1" t="inlineStr">
        <is>
          <t>base_cp_truoc</t>
        </is>
      </c>
      <c r="AM1" s="1" t="inlineStr">
        <is>
          <t>base_cp_sau</t>
        </is>
      </c>
      <c r="AN1" s="1" t="inlineStr">
        <is>
          <t>mau_hp_truoc</t>
        </is>
      </c>
      <c r="AO1" s="1" t="inlineStr">
        <is>
          <t>mau_hp_sau</t>
        </is>
      </c>
      <c r="AP1" s="1" t="inlineStr">
        <is>
          <t>giap_truoc_truoc</t>
        </is>
      </c>
      <c r="AQ1" s="1" t="inlineStr">
        <is>
          <t>giap_truoc_sau</t>
        </is>
      </c>
      <c r="AR1" s="1" t="inlineStr">
        <is>
          <t>giap_hong_truoc</t>
        </is>
      </c>
      <c r="AS1" s="1" t="inlineStr">
        <is>
          <t>giap_hong_sau</t>
        </is>
      </c>
      <c r="AT1" s="1" t="inlineStr">
        <is>
          <t>giap_sau_truoc</t>
        </is>
      </c>
      <c r="AU1" s="1" t="inlineStr">
        <is>
          <t>giap_sau_sau</t>
        </is>
      </c>
      <c r="AV1" s="1" t="inlineStr">
        <is>
          <t>giap_noc_truoc</t>
        </is>
      </c>
      <c r="AW1" s="1" t="inlineStr">
        <is>
          <t>giap_noc_sau</t>
        </is>
      </c>
      <c r="AX1" s="1" t="inlineStr">
        <is>
          <t>toc_do_m_s_truoc</t>
        </is>
      </c>
      <c r="AY1" s="1" t="inlineStr">
        <is>
          <t>toc_do_m_s_sau</t>
        </is>
      </c>
      <c r="AZ1" s="1" t="inlineStr">
        <is>
          <t>tam_nhin_m_truoc</t>
        </is>
      </c>
      <c r="BA1" s="1" t="inlineStr">
        <is>
          <t>tam_nhin_m_sau</t>
        </is>
      </c>
      <c r="BB1" s="1" t="inlineStr">
        <is>
          <t>vu_khi_chinh_truoc</t>
        </is>
      </c>
      <c r="BC1" s="1" t="inlineStr">
        <is>
          <t>vu_khi_chinh_sau</t>
        </is>
      </c>
      <c r="BD1" s="1" t="inlineStr">
        <is>
          <t>vu_khi_phu_truoc</t>
        </is>
      </c>
      <c r="BE1" s="1" t="inlineStr">
        <is>
          <t>vu_khi_phu_sau</t>
        </is>
      </c>
      <c r="BF1" s="1" t="inlineStr">
        <is>
          <t>he_so_sat_thuong_ra_truoc</t>
        </is>
      </c>
      <c r="BG1" s="1" t="inlineStr">
        <is>
          <t>he_so_sat_thuong_ra_sau</t>
        </is>
      </c>
      <c r="BH1" s="1" t="inlineStr">
        <is>
          <t>the_goc</t>
        </is>
      </c>
      <c r="BI1" s="1" t="inlineStr">
        <is>
          <t>nhanh_ab</t>
        </is>
      </c>
      <c r="BJ1" s="1" t="inlineStr">
        <is>
          <t>co_o</t>
        </is>
      </c>
      <c r="BK1" s="1" t="inlineStr">
        <is>
          <t>vai_tro</t>
        </is>
      </c>
      <c r="BL1" s="1" t="inlineStr">
        <is>
          <t>trong_roster</t>
        </is>
      </c>
      <c r="BM1" s="1" t="inlineStr">
        <is>
          <t>base_rebuild_cp</t>
        </is>
      </c>
      <c r="BN1" s="1" t="inlineStr">
        <is>
          <t>runtime_rebuild_cp</t>
        </is>
      </c>
      <c r="BO1" s="1" t="inlineStr">
        <is>
          <t>xay_lai_cho_s</t>
        </is>
      </c>
      <c r="BP1" s="1" t="inlineStr">
        <is>
          <t>xay_lai_tha_s</t>
        </is>
      </c>
      <c r="BQ1" s="1" t="inlineStr">
        <is>
          <t>mo_khoa</t>
        </is>
      </c>
      <c r="BR1" s="1" t="inlineStr">
        <is>
          <t>the_cu_gop_vao</t>
        </is>
      </c>
      <c r="BS1" s="1" t="inlineStr">
        <is>
          <t>co_can_bang</t>
        </is>
      </c>
      <c r="BT1" s="1" t="inlineStr">
        <is>
          <t>armour</t>
        </is>
      </c>
      <c r="BU1" s="1" t="inlineStr">
        <is>
          <t>armour_front</t>
        </is>
      </c>
      <c r="BV1" s="1" t="inlineStr">
        <is>
          <t>armour_rear</t>
        </is>
      </c>
      <c r="BW1" s="1" t="inlineStr">
        <is>
          <t>armour_side</t>
        </is>
      </c>
      <c r="BX1" s="1" t="inlineStr">
        <is>
          <t>armour_top</t>
        </is>
      </c>
      <c r="BY1" s="1" t="inlineStr">
        <is>
          <t>art</t>
        </is>
      </c>
      <c r="BZ1" s="1" t="inlineStr">
        <is>
          <t>balloon_radius_m</t>
        </is>
      </c>
      <c r="CA1" s="1" t="inlineStr">
        <is>
          <t>balloon_scatter</t>
        </is>
      </c>
      <c r="CB1" s="1" t="inlineStr">
        <is>
          <t>blast_wall_cone</t>
        </is>
      </c>
      <c r="CC1" s="1" t="inlineStr">
        <is>
          <t>blast_wall_cut</t>
        </is>
      </c>
      <c r="CD1" s="1" t="inlineStr">
        <is>
          <t>blast_wall_radius_m</t>
        </is>
      </c>
      <c r="CE1" s="1" t="inlineStr">
        <is>
          <t>branch_of</t>
        </is>
      </c>
      <c r="CF1" s="1" t="inlineStr">
        <is>
          <t>branches</t>
        </is>
      </c>
      <c r="CG1" s="1" t="inlineStr">
        <is>
          <t>class</t>
        </is>
      </c>
      <c r="CH1" s="1" t="inlineStr">
        <is>
          <t>counter_battery_bonus</t>
        </is>
      </c>
      <c r="CI1" s="1" t="inlineStr">
        <is>
          <t>counter_battery_range_m</t>
        </is>
      </c>
      <c r="CJ1" s="1" t="inlineStr">
        <is>
          <t>counter_battery_seconds_s</t>
        </is>
      </c>
      <c r="CK1" s="1" t="inlineStr">
        <is>
          <t>cp</t>
        </is>
      </c>
      <c r="CL1" s="1" t="inlineStr">
        <is>
          <t>death_explosion_damage</t>
        </is>
      </c>
      <c r="CM1" s="1" t="inlineStr">
        <is>
          <t>death_explosion_delay_s</t>
        </is>
      </c>
      <c r="CN1" s="1" t="inlineStr">
        <is>
          <t>death_explosion_radius_m</t>
        </is>
      </c>
      <c r="CO1" s="1" t="inlineStr">
        <is>
          <t>death_explosion_tier</t>
        </is>
      </c>
      <c r="CP1" s="1" t="inlineStr">
        <is>
          <t>dome_hp</t>
        </is>
      </c>
      <c r="CQ1" s="1" t="inlineStr">
        <is>
          <t>dome_radius_m</t>
        </is>
      </c>
      <c r="CR1" s="1" t="inlineStr">
        <is>
          <t>dome_recharge_s</t>
        </is>
      </c>
      <c r="CS1" s="1" t="inlineStr">
        <is>
          <t>erect_seconds</t>
        </is>
      </c>
      <c r="CT1" s="1" t="inlineStr">
        <is>
          <t>fires_while_moving</t>
        </is>
      </c>
      <c r="CU1" s="1" t="inlineStr">
        <is>
          <t>fort_size</t>
        </is>
      </c>
      <c r="CV1" s="1" t="inlineStr">
        <is>
          <t>hangar_alive</t>
        </is>
      </c>
      <c r="CW1" s="1" t="inlineStr">
        <is>
          <t>hangar_budget</t>
        </is>
      </c>
      <c r="CX1" s="1" t="inlineStr">
        <is>
          <t>hangar_every_s</t>
        </is>
      </c>
      <c r="CY1" s="1" t="inlineStr">
        <is>
          <t>hangar_post</t>
        </is>
      </c>
      <c r="CZ1" s="1" t="inlineStr">
        <is>
          <t>hangar_units</t>
        </is>
      </c>
      <c r="DA1" s="1" t="inlineStr">
        <is>
          <t>hp</t>
        </is>
      </c>
      <c r="DB1" s="1" t="inlineStr">
        <is>
          <t>inherits</t>
        </is>
      </c>
      <c r="DC1" s="1" t="inlineStr">
        <is>
          <t>jammer</t>
        </is>
      </c>
      <c r="DD1" s="1" t="inlineStr">
        <is>
          <t>length_m</t>
        </is>
      </c>
      <c r="DE1" s="1" t="inlineStr">
        <is>
          <t>main_aim</t>
        </is>
      </c>
      <c r="DF1" s="1" t="inlineStr">
        <is>
          <t>main_slot</t>
        </is>
      </c>
      <c r="DG1" s="1" t="inlineStr">
        <is>
          <t>model</t>
        </is>
      </c>
      <c r="DH1" s="1" t="inlineStr">
        <is>
          <t>model_size_height_m</t>
        </is>
      </c>
      <c r="DI1" s="1" t="inlineStr">
        <is>
          <t>model_size_length_m</t>
        </is>
      </c>
      <c r="DJ1" s="1" t="inlineStr">
        <is>
          <t>model_size_width_m</t>
        </is>
      </c>
      <c r="DK1" s="1" t="inlineStr">
        <is>
          <t>naval_only</t>
        </is>
      </c>
      <c r="DL1" s="1" t="inlineStr">
        <is>
          <t>no_branch</t>
        </is>
      </c>
      <c r="DM1" s="1" t="inlineStr">
        <is>
          <t>outgoing_damage_mult</t>
        </is>
      </c>
      <c r="DN1" s="1" t="inlineStr">
        <is>
          <t>passable</t>
        </is>
      </c>
      <c r="DO1" s="1" t="inlineStr">
        <is>
          <t>radius_m</t>
        </is>
      </c>
      <c r="DP1" s="1" t="inlineStr">
        <is>
          <t>rebuild_cp</t>
        </is>
      </c>
      <c r="DQ1" s="1" t="inlineStr">
        <is>
          <t>relay_income</t>
        </is>
      </c>
      <c r="DR1" s="1" t="inlineStr">
        <is>
          <t>relay_quiet</t>
        </is>
      </c>
      <c r="DS1" s="1" t="inlineStr">
        <is>
          <t>relay_second</t>
        </is>
      </c>
      <c r="DT1" s="1" t="inlineStr">
        <is>
          <t>reveal_air</t>
        </is>
      </c>
      <c r="DU1" s="1" t="inlineStr">
        <is>
          <t>reveal_stealth</t>
        </is>
      </c>
      <c r="DV1" s="1" t="inlineStr">
        <is>
          <t>scale</t>
        </is>
      </c>
      <c r="DW1" s="1" t="inlineStr">
        <is>
          <t>secondary</t>
        </is>
      </c>
      <c r="DX1" s="1" t="inlineStr">
        <is>
          <t>shelter_cut</t>
        </is>
      </c>
      <c r="DY1" s="1" t="inlineStr">
        <is>
          <t>shelter_radius_m</t>
        </is>
      </c>
      <c r="DZ1" s="1" t="inlineStr">
        <is>
          <t>speed_m_s</t>
        </is>
      </c>
      <c r="EA1" s="1" t="inlineStr">
        <is>
          <t>static</t>
        </is>
      </c>
      <c r="EB1" s="1" t="inlineStr">
        <is>
          <t>tower_range_aura_radius_m</t>
        </is>
      </c>
      <c r="EC1" s="1" t="inlineStr">
        <is>
          <t>tower_range_aura_range_m</t>
        </is>
      </c>
      <c r="ED1" s="1" t="inlineStr">
        <is>
          <t>tower_role</t>
        </is>
      </c>
      <c r="EE1" s="1" t="inlineStr">
        <is>
          <t>turn_rate_deg_s</t>
        </is>
      </c>
      <c r="EF1" s="1" t="inlineStr">
        <is>
          <t>turret_turn_rate_deg_s</t>
        </is>
      </c>
      <c r="EG1" s="1" t="inlineStr">
        <is>
          <t>vision_m</t>
        </is>
      </c>
      <c r="EH1" s="1" t="inlineStr">
        <is>
          <t>wards_hp</t>
        </is>
      </c>
      <c r="EI1" s="1" t="inlineStr">
        <is>
          <t>wards_radius_m</t>
        </is>
      </c>
      <c r="EJ1" s="1" t="inlineStr">
        <is>
          <t>wards_recharge_s</t>
        </is>
      </c>
      <c r="EK1" s="1" t="inlineStr">
        <is>
          <t>weapon</t>
        </is>
      </c>
      <c r="EL1" s="1" t="inlineStr">
        <is>
          <t>width_m</t>
        </is>
      </c>
      <c r="EM1" s="1" t="inlineStr">
        <is>
          <t>nguon</t>
        </is>
      </c>
      <c r="EN1" s="1" t="inlineStr">
        <is>
          <t>raw_json</t>
        </is>
      </c>
    </row>
    <row r="2">
      <c r="A2" t="inlineStr">
        <is>
          <t>aa_gun_tower</t>
        </is>
      </c>
      <c r="B2" t="inlineStr">
        <is>
          <t>40 mm AA gun</t>
        </is>
      </c>
      <c r="C2" t="inlineStr">
        <is>
          <t>Pháo phòng không 40 mm</t>
        </is>
      </c>
      <c r="D2" t="inlineStr">
        <is>
          <t>Pháo PK 40 mm</t>
        </is>
      </c>
      <c r="E2" t="inlineStr"/>
      <c r="F2" t="inlineStr"/>
      <c r="G2" t="inlineStr"/>
      <c r="H2" t="n">
        <v>0</v>
      </c>
      <c r="I2" t="n">
        <v>1273</v>
      </c>
      <c r="J2" t="n">
        <v>2800.6</v>
      </c>
      <c r="K2" t="n">
        <v>2</v>
      </c>
      <c r="L2" t="n">
        <v>2</v>
      </c>
      <c r="M2" t="n">
        <v>2</v>
      </c>
      <c r="N2" t="n">
        <v>2</v>
      </c>
      <c r="O2" t="b">
        <v>1</v>
      </c>
      <c r="P2" t="n">
        <v>0</v>
      </c>
      <c r="Q2" t="n">
        <v>1</v>
      </c>
      <c r="R2" t="n">
        <v>120</v>
      </c>
      <c r="S2" t="n">
        <v>56</v>
      </c>
      <c r="T2" t="n">
        <v>2.4</v>
      </c>
      <c r="U2" t="n">
        <v>5</v>
      </c>
      <c r="V2" t="n">
        <v>5</v>
      </c>
      <c r="W2" t="b">
        <v>0</v>
      </c>
      <c r="X2" t="n">
        <v>0</v>
      </c>
      <c r="Y2" t="b">
        <v>1</v>
      </c>
      <c r="Z2" t="b">
        <v>1</v>
      </c>
      <c r="AA2" t="n">
        <v>1</v>
      </c>
      <c r="AB2" t="n">
        <v>3.5</v>
      </c>
      <c r="AC2" t="n">
        <v>1</v>
      </c>
      <c r="AD2" t="inlineStr">
        <is>
          <t>bofors_l70</t>
        </is>
      </c>
      <c r="AE2" t="inlineStr"/>
      <c r="AF2" t="inlineStr"/>
      <c r="AG2" t="inlineStr">
        <is>
          <t>none</t>
        </is>
      </c>
      <c r="AH2" t="inlineStr"/>
      <c r="AI2" t="inlineStr"/>
      <c r="AJ2" t="inlineStr">
        <is>
          <t>aa_gun_tower</t>
        </is>
      </c>
      <c r="AK2" t="inlineStr">
        <is>
          <t>giong</t>
        </is>
      </c>
      <c r="BH2" t="inlineStr"/>
      <c r="BI2" t="inlineStr"/>
      <c r="BJ2" t="inlineStr">
        <is>
          <t>Medium</t>
        </is>
      </c>
      <c r="BK2" t="inlineStr"/>
      <c r="BL2" t="b">
        <v>0</v>
      </c>
      <c r="BM2" t="n">
        <v>4</v>
      </c>
      <c r="BN2" t="n">
        <v>4</v>
      </c>
      <c r="BO2" t="n">
        <v>40</v>
      </c>
      <c r="BP2" t="n">
        <v>3.5</v>
      </c>
      <c r="BQ2" t="inlineStr">
        <is>
          <t>Campaign</t>
        </is>
      </c>
      <c r="BR2" t="inlineStr">
        <is>
          <t>aa_gun_tower</t>
        </is>
      </c>
      <c r="BS2" t="inlineStr"/>
      <c r="BT2" t="n">
        <v>2</v>
      </c>
      <c r="CK2" t="n">
        <v>0</v>
      </c>
      <c r="CL2" t="n">
        <v>90</v>
      </c>
      <c r="CM2" t="n">
        <v>0.4</v>
      </c>
      <c r="CN2" t="n">
        <v>7</v>
      </c>
      <c r="CO2" t="inlineStr">
        <is>
          <t>Huge</t>
        </is>
      </c>
      <c r="CU2" t="inlineStr">
        <is>
          <t>Medium</t>
        </is>
      </c>
      <c r="DA2" t="n">
        <v>1273</v>
      </c>
      <c r="DD2" t="n">
        <v>5</v>
      </c>
      <c r="DH2" t="n">
        <v>3.2</v>
      </c>
      <c r="DI2" t="n">
        <v>5.5</v>
      </c>
      <c r="DJ2" t="n">
        <v>5.5</v>
      </c>
      <c r="DO2" t="n">
        <v>2.4</v>
      </c>
      <c r="DW2" t="inlineStr"/>
      <c r="DZ2" t="n">
        <v>0</v>
      </c>
      <c r="EA2" t="b">
        <v>1</v>
      </c>
      <c r="EE2" t="n">
        <v>1</v>
      </c>
      <c r="EF2" t="n">
        <v>120</v>
      </c>
      <c r="EG2" t="n">
        <v>56</v>
      </c>
      <c r="EK2" t="inlineStr">
        <is>
          <t>bofors_l70</t>
        </is>
      </c>
      <c r="EL2" t="n">
        <v>5</v>
      </c>
      <c r="EM2" t="inlineStr">
        <is>
          <t>Assets/MachineBrigade/Resources/Data/balance.json: vehicles[121]</t>
        </is>
      </c>
      <c r="EN2" t="inlineStr">
        <is>
          <t>{"id":"aa_gun_tower","modelSize":[5.5,5.5,3.2],"fort":{"size":"Medium"},"static":true,"armour":2,"hp":1273,"speed":0,"turnRate":1,"turretTurnRate":120,"radius":2.4,"length":5.0,"width":5.0,"cp":0,"vision":56,"weapon":"bofors_l70","secondary":[],"deathExplosion":{"damage":90,"radius":7,"delay":0.4,"tier":"Huge"}}</t>
        </is>
      </c>
    </row>
    <row r="3">
      <c r="A3" t="inlineStr">
        <is>
          <t>aa_turret</t>
        </is>
      </c>
      <c r="B3" t="inlineStr">
        <is>
          <t>AA turret</t>
        </is>
      </c>
      <c r="C3" t="inlineStr">
        <is>
          <t>Tháp phòng không</t>
        </is>
      </c>
      <c r="D3" t="inlineStr">
        <is>
          <t>Tháp PK</t>
        </is>
      </c>
      <c r="E3" t="inlineStr"/>
      <c r="F3" t="inlineStr"/>
      <c r="G3" t="inlineStr"/>
      <c r="H3" t="n">
        <v>0</v>
      </c>
      <c r="I3" t="n">
        <v>1100</v>
      </c>
      <c r="J3" t="n">
        <v>2420</v>
      </c>
      <c r="K3" t="n">
        <v>2</v>
      </c>
      <c r="L3" t="n">
        <v>2</v>
      </c>
      <c r="M3" t="n">
        <v>2</v>
      </c>
      <c r="N3" t="n">
        <v>2</v>
      </c>
      <c r="O3" t="b">
        <v>1</v>
      </c>
      <c r="P3" t="n">
        <v>0</v>
      </c>
      <c r="Q3" t="n">
        <v>1</v>
      </c>
      <c r="R3" t="n">
        <v>200</v>
      </c>
      <c r="S3" t="n">
        <v>60</v>
      </c>
      <c r="T3" t="n">
        <v>2.3</v>
      </c>
      <c r="U3" t="n">
        <v>4.5</v>
      </c>
      <c r="V3" t="n">
        <v>4.5</v>
      </c>
      <c r="W3" t="b">
        <v>0</v>
      </c>
      <c r="X3" t="n">
        <v>0</v>
      </c>
      <c r="Y3" t="b">
        <v>1</v>
      </c>
      <c r="Z3" t="b">
        <v>1</v>
      </c>
      <c r="AA3" t="n">
        <v>1</v>
      </c>
      <c r="AB3" t="n">
        <v>3.5</v>
      </c>
      <c r="AC3" t="n">
        <v>1</v>
      </c>
      <c r="AD3" t="inlineStr">
        <is>
          <t>tower_flak_30</t>
        </is>
      </c>
      <c r="AE3" t="inlineStr">
        <is>
          <t>sam</t>
        </is>
      </c>
      <c r="AF3" t="inlineStr"/>
      <c r="AG3" t="inlineStr">
        <is>
          <t>none</t>
        </is>
      </c>
      <c r="AH3" t="inlineStr"/>
      <c r="AI3" t="inlineStr"/>
      <c r="AJ3" t="inlineStr">
        <is>
          <t>aa_turret</t>
        </is>
      </c>
      <c r="AK3" t="inlineStr">
        <is>
          <t>giong</t>
        </is>
      </c>
      <c r="BH3" t="inlineStr"/>
      <c r="BI3" t="inlineStr"/>
      <c r="BJ3" t="inlineStr">
        <is>
          <t>Small</t>
        </is>
      </c>
      <c r="BK3" t="inlineStr"/>
      <c r="BL3" t="b">
        <v>1</v>
      </c>
      <c r="BM3" t="n">
        <v>6</v>
      </c>
      <c r="BN3" t="n">
        <v>6</v>
      </c>
      <c r="BO3" t="n">
        <v>25</v>
      </c>
      <c r="BP3" t="n">
        <v>2.5</v>
      </c>
      <c r="BQ3" t="inlineStr">
        <is>
          <t>Starter</t>
        </is>
      </c>
      <c r="BR3" t="inlineStr">
        <is>
          <t>aa_turret</t>
        </is>
      </c>
      <c r="BS3" t="inlineStr"/>
      <c r="BT3" t="n">
        <v>2</v>
      </c>
      <c r="CF3" t="inlineStr">
        <is>
          <t>aa_turret.flak;aa_turret.sam</t>
        </is>
      </c>
      <c r="CK3" t="n">
        <v>0</v>
      </c>
      <c r="CL3" t="n">
        <v>90</v>
      </c>
      <c r="CM3" t="n">
        <v>0.4</v>
      </c>
      <c r="CN3" t="n">
        <v>7</v>
      </c>
      <c r="CO3" t="inlineStr">
        <is>
          <t>Huge</t>
        </is>
      </c>
      <c r="CU3" t="inlineStr">
        <is>
          <t>Small</t>
        </is>
      </c>
      <c r="DA3" t="n">
        <v>1100</v>
      </c>
      <c r="DD3" t="n">
        <v>4.5</v>
      </c>
      <c r="DM3" t="n">
        <v>1</v>
      </c>
      <c r="DO3" t="n">
        <v>2.3</v>
      </c>
      <c r="DP3" t="n">
        <v>6</v>
      </c>
      <c r="DZ3" t="n">
        <v>0</v>
      </c>
      <c r="EA3" t="b">
        <v>1</v>
      </c>
      <c r="EE3" t="n">
        <v>1</v>
      </c>
      <c r="EF3" t="n">
        <v>200</v>
      </c>
      <c r="EG3" t="n">
        <v>60</v>
      </c>
      <c r="EK3" t="inlineStr">
        <is>
          <t>tower_flak_30</t>
        </is>
      </c>
      <c r="EL3" t="n">
        <v>4.5</v>
      </c>
      <c r="EM3" t="inlineStr">
        <is>
          <t>Assets/MachineBrigade/Resources/Data/balance.json: vehicles[70]</t>
        </is>
      </c>
      <c r="EN3" t="inlineStr">
        <is>
          <t>{"id":"aa_turret","outgoingDamageMult":1,"rebuildCp":6,"branches":["aa_turret.flak","aa_turret.sam"],"fort":{"size":"Small"},"static":true,"armour":2,"hp":1100,"speed":0,"turnRate":1,"turretTurnRate":200,"radius":2.3,"length":4.5,"width":4.5,"cp":0,"vision":60,"weapon":"tower_flak_30","secondary":[{"weapon":"sam","slot":"missile","aim":"Turret"}],"deathExplosion":{"damage":90,"radius":7,"delay":0.4,"tier":"Huge"}}</t>
        </is>
      </c>
    </row>
    <row r="4">
      <c r="A4" t="inlineStr">
        <is>
          <t>aa_turret.flak</t>
        </is>
      </c>
      <c r="B4" t="inlineStr"/>
      <c r="C4" t="inlineStr"/>
      <c r="D4" t="inlineStr">
        <is>
          <t>Tháp cao xạ</t>
        </is>
      </c>
      <c r="E4" t="inlineStr"/>
      <c r="F4" t="inlineStr"/>
      <c r="G4" t="inlineStr">
        <is>
          <t>aa_turret</t>
        </is>
      </c>
      <c r="H4" t="n">
        <v>0</v>
      </c>
      <c r="I4" t="n">
        <v>1100</v>
      </c>
      <c r="J4" t="n">
        <v>2420</v>
      </c>
      <c r="K4" t="n">
        <v>2</v>
      </c>
      <c r="L4" t="n">
        <v>2</v>
      </c>
      <c r="M4" t="n">
        <v>2</v>
      </c>
      <c r="N4" t="n">
        <v>2</v>
      </c>
      <c r="O4" t="b">
        <v>1</v>
      </c>
      <c r="P4" t="n">
        <v>0</v>
      </c>
      <c r="Q4" t="n">
        <v>1</v>
      </c>
      <c r="R4" t="n">
        <v>200</v>
      </c>
      <c r="S4" t="n">
        <v>60</v>
      </c>
      <c r="T4" t="n">
        <v>2.3</v>
      </c>
      <c r="U4" t="n">
        <v>4.5</v>
      </c>
      <c r="V4" t="n">
        <v>4.5</v>
      </c>
      <c r="W4" t="b">
        <v>0</v>
      </c>
      <c r="X4" t="n">
        <v>0</v>
      </c>
      <c r="Y4" t="b">
        <v>1</v>
      </c>
      <c r="Z4" t="b">
        <v>1</v>
      </c>
      <c r="AA4" t="n">
        <v>1</v>
      </c>
      <c r="AB4" t="n">
        <v>3.5</v>
      </c>
      <c r="AC4" t="n">
        <v>0.7869</v>
      </c>
      <c r="AD4" t="inlineStr">
        <is>
          <t>flak_quad</t>
        </is>
      </c>
      <c r="AE4" t="inlineStr"/>
      <c r="AF4" t="inlineStr"/>
      <c r="AG4" t="inlineStr">
        <is>
          <t>none</t>
        </is>
      </c>
      <c r="AH4" t="inlineStr"/>
      <c r="AI4" t="inlineStr"/>
      <c r="AJ4" t="inlineStr">
        <is>
          <t>aa_turret</t>
        </is>
      </c>
      <c r="AK4" t="inlineStr">
        <is>
          <t>doi</t>
        </is>
      </c>
      <c r="BF4" t="n">
        <v>1</v>
      </c>
      <c r="BG4" t="n">
        <v>0.7869</v>
      </c>
      <c r="BH4" t="inlineStr">
        <is>
          <t>aa_turret</t>
        </is>
      </c>
      <c r="BI4" t="inlineStr">
        <is>
          <t>flak</t>
        </is>
      </c>
      <c r="BJ4" t="inlineStr">
        <is>
          <t>Small</t>
        </is>
      </c>
      <c r="BK4" t="inlineStr">
        <is>
          <t>aa_gun_23_drones_helis</t>
        </is>
      </c>
      <c r="BL4" t="b">
        <v>0</v>
      </c>
      <c r="BM4" t="n">
        <v>6</v>
      </c>
      <c r="BN4" t="n">
        <v>6</v>
      </c>
      <c r="BO4" t="n">
        <v>25</v>
      </c>
      <c r="BP4" t="n">
        <v>2.5</v>
      </c>
      <c r="BQ4" t="inlineStr">
        <is>
          <t>Campaign</t>
        </is>
      </c>
      <c r="BR4" t="inlineStr">
        <is>
          <t>aa_turret</t>
        </is>
      </c>
      <c r="BS4" t="inlineStr">
        <is>
          <t>giam_dps_giu_mau</t>
        </is>
      </c>
      <c r="BY4" t="inlineStr">
        <is>
          <t>aa_turret_a</t>
        </is>
      </c>
      <c r="CE4" t="inlineStr">
        <is>
          <t>aa_turret</t>
        </is>
      </c>
      <c r="DB4" t="inlineStr">
        <is>
          <t>aa_turret</t>
        </is>
      </c>
      <c r="DM4" t="n">
        <v>0.7869</v>
      </c>
      <c r="DP4" t="n">
        <v>6</v>
      </c>
      <c r="DW4" t="inlineStr"/>
      <c r="ED4" t="inlineStr">
        <is>
          <t>aa_gun_23_drones_helis</t>
        </is>
      </c>
      <c r="EK4" t="inlineStr">
        <is>
          <t>flak_quad</t>
        </is>
      </c>
      <c r="EM4" t="inlineStr">
        <is>
          <t>Assets/MachineBrigade/Resources/Data/balance.json: vehicles[102]</t>
        </is>
      </c>
      <c r="EN4" t="inlineStr">
        <is>
          <t>{"id":"aa_turret.flak","outgoingDamageMult":0.7869,"rebuildCp":6,"towerRole":"aa_gun_23_drones_helis","art":"aa_turret_a","inherits":"aa_turret","branchOf":"aa_turret","weapon":"flak_quad","secondary":[]}</t>
        </is>
      </c>
    </row>
    <row r="5">
      <c r="A5" t="inlineStr">
        <is>
          <t>aa_turret.sam</t>
        </is>
      </c>
      <c r="B5" t="inlineStr"/>
      <c r="C5" t="inlineStr"/>
      <c r="D5" t="inlineStr">
        <is>
          <t>Stinger</t>
        </is>
      </c>
      <c r="E5" t="inlineStr"/>
      <c r="F5" t="inlineStr"/>
      <c r="G5" t="inlineStr">
        <is>
          <t>aa_turret</t>
        </is>
      </c>
      <c r="H5" t="n">
        <v>0</v>
      </c>
      <c r="I5" t="n">
        <v>1100</v>
      </c>
      <c r="J5" t="n">
        <v>2420</v>
      </c>
      <c r="K5" t="n">
        <v>2</v>
      </c>
      <c r="L5" t="n">
        <v>2</v>
      </c>
      <c r="M5" t="n">
        <v>2</v>
      </c>
      <c r="N5" t="n">
        <v>2</v>
      </c>
      <c r="O5" t="b">
        <v>1</v>
      </c>
      <c r="P5" t="n">
        <v>0</v>
      </c>
      <c r="Q5" t="n">
        <v>1</v>
      </c>
      <c r="R5" t="n">
        <v>200</v>
      </c>
      <c r="S5" t="n">
        <v>60</v>
      </c>
      <c r="T5" t="n">
        <v>2.3</v>
      </c>
      <c r="U5" t="n">
        <v>4.5</v>
      </c>
      <c r="V5" t="n">
        <v>4.5</v>
      </c>
      <c r="W5" t="b">
        <v>0</v>
      </c>
      <c r="X5" t="n">
        <v>0</v>
      </c>
      <c r="Y5" t="b">
        <v>1</v>
      </c>
      <c r="Z5" t="b">
        <v>1</v>
      </c>
      <c r="AA5" t="n">
        <v>1</v>
      </c>
      <c r="AB5" t="n">
        <v>3.5</v>
      </c>
      <c r="AC5" t="n">
        <v>1</v>
      </c>
      <c r="AD5" t="inlineStr">
        <is>
          <t>stinger_post</t>
        </is>
      </c>
      <c r="AE5" t="inlineStr"/>
      <c r="AF5" t="inlineStr"/>
      <c r="AG5" t="inlineStr">
        <is>
          <t>none</t>
        </is>
      </c>
      <c r="AH5" t="inlineStr"/>
      <c r="AI5" t="inlineStr"/>
      <c r="AJ5" t="inlineStr">
        <is>
          <t>aa_turret</t>
        </is>
      </c>
      <c r="AK5" t="inlineStr">
        <is>
          <t>doi</t>
        </is>
      </c>
      <c r="AZ5" t="n">
        <v>64</v>
      </c>
      <c r="BA5" t="n">
        <v>60</v>
      </c>
      <c r="BB5" t="inlineStr">
        <is>
          <t>sam_post</t>
        </is>
      </c>
      <c r="BC5" t="inlineStr">
        <is>
          <t>stinger_post</t>
        </is>
      </c>
      <c r="BH5" t="inlineStr">
        <is>
          <t>aa_turret</t>
        </is>
      </c>
      <c r="BI5" t="inlineStr">
        <is>
          <t>sam</t>
        </is>
      </c>
      <c r="BJ5" t="inlineStr">
        <is>
          <t>Small</t>
        </is>
      </c>
      <c r="BK5" t="inlineStr">
        <is>
          <t>aa_manpads_aircraft</t>
        </is>
      </c>
      <c r="BL5" t="b">
        <v>0</v>
      </c>
      <c r="BM5" t="n">
        <v>5</v>
      </c>
      <c r="BN5" t="n">
        <v>5</v>
      </c>
      <c r="BO5" t="n">
        <v>25</v>
      </c>
      <c r="BP5" t="n">
        <v>2.5</v>
      </c>
      <c r="BQ5" t="inlineStr">
        <is>
          <t>Campaign</t>
        </is>
      </c>
      <c r="BR5" t="inlineStr">
        <is>
          <t>aa_turret</t>
        </is>
      </c>
      <c r="BS5" t="inlineStr"/>
      <c r="BY5" t="inlineStr">
        <is>
          <t>aa_turret_b</t>
        </is>
      </c>
      <c r="CE5" t="inlineStr">
        <is>
          <t>aa_turret</t>
        </is>
      </c>
      <c r="DB5" t="inlineStr">
        <is>
          <t>aa_turret</t>
        </is>
      </c>
      <c r="DF5" t="inlineStr">
        <is>
          <t>missile</t>
        </is>
      </c>
      <c r="DM5" t="n">
        <v>1</v>
      </c>
      <c r="DP5" t="n">
        <v>5</v>
      </c>
      <c r="DW5" t="inlineStr"/>
      <c r="ED5" t="inlineStr">
        <is>
          <t>aa_manpads_aircraft</t>
        </is>
      </c>
      <c r="EG5" t="n">
        <v>60</v>
      </c>
      <c r="EK5" t="inlineStr">
        <is>
          <t>stinger_post</t>
        </is>
      </c>
      <c r="EM5" t="inlineStr">
        <is>
          <t>Assets/MachineBrigade/Resources/Data/balance.json: vehicles[103]</t>
        </is>
      </c>
      <c r="EN5" t="inlineStr">
        <is>
          <t>{"id":"aa_turret.sam","outgoingDamageMult":1,"rebuildCp":5,"towerRole":"aa_manpads_aircraft","art":"aa_turret_b","inherits":"aa_turret","branchOf":"aa_turret","weapon":"stinger_post","mainSlot":"missile","vision":60,"secondary":[]}</t>
        </is>
      </c>
    </row>
    <row r="6">
      <c r="A6" t="inlineStr">
        <is>
          <t>aircraft_hangar</t>
        </is>
      </c>
      <c r="B6" t="inlineStr">
        <is>
          <t>Aircraft hangar</t>
        </is>
      </c>
      <c r="C6" t="inlineStr">
        <is>
          <t>Nhà chứa máy bay</t>
        </is>
      </c>
      <c r="D6" t="inlineStr">
        <is>
          <t>Nhà chứa máy bay</t>
        </is>
      </c>
      <c r="E6" t="inlineStr"/>
      <c r="F6" t="inlineStr"/>
      <c r="G6" t="inlineStr"/>
      <c r="H6" t="n">
        <v>0</v>
      </c>
      <c r="I6" t="n">
        <v>1800</v>
      </c>
      <c r="J6" t="n">
        <v>3960</v>
      </c>
      <c r="K6" t="n">
        <v>2</v>
      </c>
      <c r="L6" t="n">
        <v>2</v>
      </c>
      <c r="M6" t="n">
        <v>2</v>
      </c>
      <c r="N6" t="n">
        <v>2</v>
      </c>
      <c r="O6" t="b">
        <v>1</v>
      </c>
      <c r="P6" t="n">
        <v>0</v>
      </c>
      <c r="Q6" t="n">
        <v>1</v>
      </c>
      <c r="R6" t="n">
        <v>1</v>
      </c>
      <c r="S6" t="n">
        <v>50</v>
      </c>
      <c r="T6" t="n">
        <v>3.6</v>
      </c>
      <c r="U6" t="n">
        <v>8</v>
      </c>
      <c r="V6" t="n">
        <v>8</v>
      </c>
      <c r="W6" t="b">
        <v>0</v>
      </c>
      <c r="X6" t="n">
        <v>0</v>
      </c>
      <c r="Y6" t="b">
        <v>1</v>
      </c>
      <c r="Z6" t="b">
        <v>1</v>
      </c>
      <c r="AA6" t="n">
        <v>1</v>
      </c>
      <c r="AB6" t="n">
        <v>3.5</v>
      </c>
      <c r="AC6" t="n">
        <v>1</v>
      </c>
      <c r="AD6" t="inlineStr">
        <is>
          <t>none</t>
        </is>
      </c>
      <c r="AE6" t="inlineStr"/>
      <c r="AF6" t="inlineStr"/>
      <c r="AG6" t="inlineStr">
        <is>
          <t>none</t>
        </is>
      </c>
      <c r="AH6" t="inlineStr"/>
      <c r="AI6" t="inlineStr"/>
      <c r="AJ6" t="inlineStr">
        <is>
          <t>aircraft_hangar</t>
        </is>
      </c>
      <c r="AK6" t="inlineStr">
        <is>
          <t>moi</t>
        </is>
      </c>
      <c r="BH6" t="inlineStr"/>
      <c r="BI6" t="inlineStr"/>
      <c r="BJ6" t="inlineStr">
        <is>
          <t>Medium</t>
        </is>
      </c>
      <c r="BK6" t="inlineStr"/>
      <c r="BL6" t="b">
        <v>1</v>
      </c>
      <c r="BM6" t="n">
        <v>8</v>
      </c>
      <c r="BN6" t="n">
        <v>8</v>
      </c>
      <c r="BO6" t="n">
        <v>40</v>
      </c>
      <c r="BP6" t="n">
        <v>3.5</v>
      </c>
      <c r="BQ6" t="inlineStr">
        <is>
          <t>Campaign</t>
        </is>
      </c>
      <c r="BR6" t="inlineStr">
        <is>
          <t>aircraft_hangar</t>
        </is>
      </c>
      <c r="BS6" t="inlineStr"/>
      <c r="BT6" t="n">
        <v>2</v>
      </c>
      <c r="CK6" t="n">
        <v>0</v>
      </c>
      <c r="CL6" t="n">
        <v>120</v>
      </c>
      <c r="CM6" t="n">
        <v>0.4</v>
      </c>
      <c r="CN6" t="n">
        <v>8</v>
      </c>
      <c r="CO6" t="inlineStr">
        <is>
          <t>Huge</t>
        </is>
      </c>
      <c r="CU6" t="inlineStr">
        <is>
          <t>Medium</t>
        </is>
      </c>
      <c r="CV6" t="n">
        <v>2</v>
      </c>
      <c r="CW6" t="n">
        <v>12</v>
      </c>
      <c r="CX6" t="n">
        <v>60</v>
      </c>
      <c r="CY6" t="n">
        <v>30</v>
      </c>
      <c r="CZ6" t="inlineStr">
        <is>
          <t>scout_heli;recon_drone</t>
        </is>
      </c>
      <c r="DA6" t="n">
        <v>1800</v>
      </c>
      <c r="DD6" t="n">
        <v>8</v>
      </c>
      <c r="DG6" t="inlineStr">
        <is>
          <t>aircraft_hangar</t>
        </is>
      </c>
      <c r="DH6" t="n">
        <v>5.32</v>
      </c>
      <c r="DI6" t="n">
        <v>8</v>
      </c>
      <c r="DJ6" t="n">
        <v>7.72</v>
      </c>
      <c r="DO6" t="n">
        <v>3.6</v>
      </c>
      <c r="DP6" t="n">
        <v>8</v>
      </c>
      <c r="DZ6" t="n">
        <v>0</v>
      </c>
      <c r="EA6" t="b">
        <v>1</v>
      </c>
      <c r="EE6" t="n">
        <v>1</v>
      </c>
      <c r="EF6" t="n">
        <v>1</v>
      </c>
      <c r="EG6" t="n">
        <v>50</v>
      </c>
      <c r="EK6" t="inlineStr">
        <is>
          <t>none</t>
        </is>
      </c>
      <c r="EL6" t="n">
        <v>8</v>
      </c>
      <c r="EM6" t="inlineStr">
        <is>
          <t>Assets/MachineBrigade/Resources/Data/balance.json: vehicles[75]</t>
        </is>
      </c>
      <c r="EN6" t="inlineStr">
        <is>
          <t>{"id":"aircraft_hangar","rebuildCp":8,"model":"aircraft_hangar","modelSize":[8.0,7.72,5.32],"fort":{"size":"Medium"},"static":true,"armour":2,"hp":1800,"speed":0,"turnRate":1,"turretTurnRate":1,"radius":3.6,"length":8,"width":8,"cp":0,"vision":50,"weapon":"none","hangar":{"units":["scout_heli","recon_drone"],"every":60,"alive":2,"budget":12,"post":30},"deathExplosion":{"damage":120,"radius":8,"delay":0.4,"tier":"Huge"}}</t>
        </is>
      </c>
    </row>
    <row r="7">
      <c r="A7" t="inlineStr">
        <is>
          <t>atgm_tower</t>
        </is>
      </c>
      <c r="B7" t="inlineStr">
        <is>
          <t>ATGM tower</t>
        </is>
      </c>
      <c r="C7" t="inlineStr">
        <is>
          <t>Tháp tên lửa chống tăng</t>
        </is>
      </c>
      <c r="D7" t="inlineStr">
        <is>
          <t>Tháp ATGM</t>
        </is>
      </c>
      <c r="E7" t="inlineStr"/>
      <c r="F7" t="inlineStr"/>
      <c r="G7" t="inlineStr"/>
      <c r="H7" t="n">
        <v>0</v>
      </c>
      <c r="I7" t="n">
        <v>900</v>
      </c>
      <c r="J7" t="n">
        <v>1980</v>
      </c>
      <c r="K7" t="n">
        <v>2</v>
      </c>
      <c r="L7" t="n">
        <v>2</v>
      </c>
      <c r="M7" t="n">
        <v>2</v>
      </c>
      <c r="N7" t="n">
        <v>2</v>
      </c>
      <c r="O7" t="b">
        <v>1</v>
      </c>
      <c r="P7" t="n">
        <v>0</v>
      </c>
      <c r="Q7" t="n">
        <v>1</v>
      </c>
      <c r="R7" t="n">
        <v>90</v>
      </c>
      <c r="S7" t="n">
        <v>55</v>
      </c>
      <c r="T7" t="n">
        <v>2.3</v>
      </c>
      <c r="U7" t="n">
        <v>4.8</v>
      </c>
      <c r="V7" t="n">
        <v>4.8</v>
      </c>
      <c r="W7" t="b">
        <v>0</v>
      </c>
      <c r="X7" t="n">
        <v>0</v>
      </c>
      <c r="Y7" t="b">
        <v>1</v>
      </c>
      <c r="Z7" t="b">
        <v>1</v>
      </c>
      <c r="AA7" t="n">
        <v>1</v>
      </c>
      <c r="AB7" t="n">
        <v>3.5</v>
      </c>
      <c r="AC7" t="n">
        <v>1</v>
      </c>
      <c r="AD7" t="inlineStr">
        <is>
          <t>tower_kornet</t>
        </is>
      </c>
      <c r="AE7" t="inlineStr"/>
      <c r="AF7" t="inlineStr"/>
      <c r="AG7" t="inlineStr">
        <is>
          <t>none</t>
        </is>
      </c>
      <c r="AH7" t="inlineStr"/>
      <c r="AI7" t="inlineStr"/>
      <c r="AJ7" t="inlineStr">
        <is>
          <t>atgm_tower</t>
        </is>
      </c>
      <c r="AK7" t="inlineStr">
        <is>
          <t>giong</t>
        </is>
      </c>
      <c r="BH7" t="inlineStr"/>
      <c r="BI7" t="inlineStr"/>
      <c r="BJ7" t="inlineStr">
        <is>
          <t>Medium</t>
        </is>
      </c>
      <c r="BK7" t="inlineStr"/>
      <c r="BL7" t="b">
        <v>1</v>
      </c>
      <c r="BM7" t="n">
        <v>7</v>
      </c>
      <c r="BN7" t="n">
        <v>7</v>
      </c>
      <c r="BO7" t="n">
        <v>40</v>
      </c>
      <c r="BP7" t="n">
        <v>3.5</v>
      </c>
      <c r="BQ7" t="inlineStr">
        <is>
          <t>Campaign</t>
        </is>
      </c>
      <c r="BR7" t="inlineStr">
        <is>
          <t>atgm_tower</t>
        </is>
      </c>
      <c r="BS7" t="inlineStr"/>
      <c r="BT7" t="n">
        <v>2</v>
      </c>
      <c r="CF7" t="inlineStr">
        <is>
          <t>atgm_tower.top;atgm_tower.multi</t>
        </is>
      </c>
      <c r="CK7" t="n">
        <v>0</v>
      </c>
      <c r="CL7" t="n">
        <v>90</v>
      </c>
      <c r="CM7" t="n">
        <v>0.3</v>
      </c>
      <c r="CN7" t="n">
        <v>6</v>
      </c>
      <c r="CO7" t="inlineStr">
        <is>
          <t>Large</t>
        </is>
      </c>
      <c r="CU7" t="inlineStr">
        <is>
          <t>Medium</t>
        </is>
      </c>
      <c r="DA7" t="n">
        <v>900</v>
      </c>
      <c r="DD7" t="n">
        <v>4.8</v>
      </c>
      <c r="DF7" t="inlineStr">
        <is>
          <t>missile</t>
        </is>
      </c>
      <c r="DO7" t="n">
        <v>2.3</v>
      </c>
      <c r="DP7" t="n">
        <v>7</v>
      </c>
      <c r="DZ7" t="n">
        <v>0</v>
      </c>
      <c r="EA7" t="b">
        <v>1</v>
      </c>
      <c r="EE7" t="n">
        <v>1</v>
      </c>
      <c r="EF7" t="n">
        <v>90</v>
      </c>
      <c r="EG7" t="n">
        <v>55</v>
      </c>
      <c r="EK7" t="inlineStr">
        <is>
          <t>tower_kornet</t>
        </is>
      </c>
      <c r="EL7" t="n">
        <v>4.8</v>
      </c>
      <c r="EM7" t="inlineStr">
        <is>
          <t>Assets/MachineBrigade/Resources/Data/balance.json: vehicles[68]</t>
        </is>
      </c>
      <c r="EN7" t="inlineStr">
        <is>
          <t>{"id":"atgm_tower","rebuildCp":7,"branches":["atgm_tower.top","atgm_tower.multi"],"fort":{"size":"Medium"},"static":true,"armour":2,"hp":900,"speed":0,"turnRate":1,"turretTurnRate":90,"radius":2.3,"length":4.8,"width":4.8,"cp":0,"vision":55,"weapon":"tower_kornet","mainSlot":"missile","deathExplosion":{"damage":90,"radius":6,"delay":0.3,"tier":"Large"}}</t>
        </is>
      </c>
    </row>
    <row r="8">
      <c r="A8" t="inlineStr">
        <is>
          <t>atgm_tower.multi</t>
        </is>
      </c>
      <c r="B8" t="inlineStr"/>
      <c r="C8" t="inlineStr"/>
      <c r="D8" t="inlineStr">
        <is>
          <t>Đa năng</t>
        </is>
      </c>
      <c r="E8" t="inlineStr"/>
      <c r="F8" t="inlineStr"/>
      <c r="G8" t="inlineStr">
        <is>
          <t>atgm_tower</t>
        </is>
      </c>
      <c r="H8" t="n">
        <v>0</v>
      </c>
      <c r="I8" t="n">
        <v>900</v>
      </c>
      <c r="J8" t="n">
        <v>1980</v>
      </c>
      <c r="K8" t="n">
        <v>2</v>
      </c>
      <c r="L8" t="n">
        <v>2</v>
      </c>
      <c r="M8" t="n">
        <v>2</v>
      </c>
      <c r="N8" t="n">
        <v>2</v>
      </c>
      <c r="O8" t="b">
        <v>1</v>
      </c>
      <c r="P8" t="n">
        <v>0</v>
      </c>
      <c r="Q8" t="n">
        <v>1</v>
      </c>
      <c r="R8" t="n">
        <v>90</v>
      </c>
      <c r="S8" t="n">
        <v>55</v>
      </c>
      <c r="T8" t="n">
        <v>2.3</v>
      </c>
      <c r="U8" t="n">
        <v>4.8</v>
      </c>
      <c r="V8" t="n">
        <v>4.8</v>
      </c>
      <c r="W8" t="b">
        <v>0</v>
      </c>
      <c r="X8" t="n">
        <v>0</v>
      </c>
      <c r="Y8" t="b">
        <v>1</v>
      </c>
      <c r="Z8" t="b">
        <v>1</v>
      </c>
      <c r="AA8" t="n">
        <v>1</v>
      </c>
      <c r="AB8" t="n">
        <v>3.5</v>
      </c>
      <c r="AC8" t="n">
        <v>1</v>
      </c>
      <c r="AD8" t="inlineStr">
        <is>
          <t>kornet_multi</t>
        </is>
      </c>
      <c r="AE8" t="inlineStr"/>
      <c r="AF8" t="inlineStr"/>
      <c r="AG8" t="inlineStr">
        <is>
          <t>none</t>
        </is>
      </c>
      <c r="AH8" t="inlineStr"/>
      <c r="AI8" t="inlineStr"/>
      <c r="AJ8" t="inlineStr">
        <is>
          <t>atgm_tower</t>
        </is>
      </c>
      <c r="AK8" t="inlineStr">
        <is>
          <t>giong</t>
        </is>
      </c>
      <c r="BH8" t="inlineStr">
        <is>
          <t>atgm_tower</t>
        </is>
      </c>
      <c r="BI8" t="inlineStr">
        <is>
          <t>multi</t>
        </is>
      </c>
      <c r="BJ8" t="inlineStr">
        <is>
          <t>Medium</t>
        </is>
      </c>
      <c r="BK8" t="inlineStr">
        <is>
          <t>atgm_multi</t>
        </is>
      </c>
      <c r="BL8" t="b">
        <v>0</v>
      </c>
      <c r="BM8" t="n">
        <v>6</v>
      </c>
      <c r="BN8" t="n">
        <v>6</v>
      </c>
      <c r="BO8" t="n">
        <v>40</v>
      </c>
      <c r="BP8" t="n">
        <v>3.5</v>
      </c>
      <c r="BQ8" t="inlineStr">
        <is>
          <t>Campaign</t>
        </is>
      </c>
      <c r="BR8" t="inlineStr">
        <is>
          <t>atgm_tower</t>
        </is>
      </c>
      <c r="BS8" t="inlineStr"/>
      <c r="BY8" t="inlineStr">
        <is>
          <t>atgm_tower_b</t>
        </is>
      </c>
      <c r="CE8" t="inlineStr">
        <is>
          <t>atgm_tower</t>
        </is>
      </c>
      <c r="DB8" t="inlineStr">
        <is>
          <t>atgm_tower</t>
        </is>
      </c>
      <c r="DP8" t="n">
        <v>6</v>
      </c>
      <c r="ED8" t="inlineStr">
        <is>
          <t>atgm_multi</t>
        </is>
      </c>
      <c r="EK8" t="inlineStr">
        <is>
          <t>kornet_multi</t>
        </is>
      </c>
      <c r="EM8" t="inlineStr">
        <is>
          <t>Assets/MachineBrigade/Resources/Data/balance.json: vehicles[88]</t>
        </is>
      </c>
      <c r="EN8" t="inlineStr">
        <is>
          <t>{"id":"atgm_tower.multi","rebuildCp":6,"towerRole":"atgm_multi","art":"atgm_tower_b","inherits":"atgm_tower","branchOf":"atgm_tower","weapon":"kornet_multi"}</t>
        </is>
      </c>
    </row>
    <row r="9">
      <c r="A9" t="inlineStr">
        <is>
          <t>atgm_tower.top</t>
        </is>
      </c>
      <c r="B9" t="inlineStr"/>
      <c r="C9" t="inlineStr"/>
      <c r="D9" t="inlineStr">
        <is>
          <t>Đánh từ trên</t>
        </is>
      </c>
      <c r="E9" t="inlineStr"/>
      <c r="F9" t="inlineStr"/>
      <c r="G9" t="inlineStr">
        <is>
          <t>atgm_tower</t>
        </is>
      </c>
      <c r="H9" t="n">
        <v>0</v>
      </c>
      <c r="I9" t="n">
        <v>900</v>
      </c>
      <c r="J9" t="n">
        <v>1980</v>
      </c>
      <c r="K9" t="n">
        <v>2</v>
      </c>
      <c r="L9" t="n">
        <v>2</v>
      </c>
      <c r="M9" t="n">
        <v>2</v>
      </c>
      <c r="N9" t="n">
        <v>2</v>
      </c>
      <c r="O9" t="b">
        <v>1</v>
      </c>
      <c r="P9" t="n">
        <v>0</v>
      </c>
      <c r="Q9" t="n">
        <v>1</v>
      </c>
      <c r="R9" t="n">
        <v>90</v>
      </c>
      <c r="S9" t="n">
        <v>55</v>
      </c>
      <c r="T9" t="n">
        <v>2.3</v>
      </c>
      <c r="U9" t="n">
        <v>4.8</v>
      </c>
      <c r="V9" t="n">
        <v>4.8</v>
      </c>
      <c r="W9" t="b">
        <v>0</v>
      </c>
      <c r="X9" t="n">
        <v>0</v>
      </c>
      <c r="Y9" t="b">
        <v>1</v>
      </c>
      <c r="Z9" t="b">
        <v>1</v>
      </c>
      <c r="AA9" t="n">
        <v>1</v>
      </c>
      <c r="AB9" t="n">
        <v>3.5</v>
      </c>
      <c r="AC9" t="n">
        <v>1</v>
      </c>
      <c r="AD9" t="inlineStr">
        <is>
          <t>kornet_top</t>
        </is>
      </c>
      <c r="AE9" t="inlineStr"/>
      <c r="AF9" t="inlineStr"/>
      <c r="AG9" t="inlineStr">
        <is>
          <t>none</t>
        </is>
      </c>
      <c r="AH9" t="inlineStr"/>
      <c r="AI9" t="inlineStr"/>
      <c r="AJ9" t="inlineStr">
        <is>
          <t>atgm_tower</t>
        </is>
      </c>
      <c r="AK9" t="inlineStr">
        <is>
          <t>giong</t>
        </is>
      </c>
      <c r="BH9" t="inlineStr">
        <is>
          <t>atgm_tower</t>
        </is>
      </c>
      <c r="BI9" t="inlineStr">
        <is>
          <t>top</t>
        </is>
      </c>
      <c r="BJ9" t="inlineStr">
        <is>
          <t>Medium</t>
        </is>
      </c>
      <c r="BK9" t="inlineStr">
        <is>
          <t>atgm_top_attack</t>
        </is>
      </c>
      <c r="BL9" t="b">
        <v>0</v>
      </c>
      <c r="BM9" t="n">
        <v>7</v>
      </c>
      <c r="BN9" t="n">
        <v>7</v>
      </c>
      <c r="BO9" t="n">
        <v>40</v>
      </c>
      <c r="BP9" t="n">
        <v>3.5</v>
      </c>
      <c r="BQ9" t="inlineStr">
        <is>
          <t>Campaign</t>
        </is>
      </c>
      <c r="BR9" t="inlineStr">
        <is>
          <t>atgm_tower</t>
        </is>
      </c>
      <c r="BS9" t="inlineStr"/>
      <c r="BY9" t="inlineStr">
        <is>
          <t>atgm_tower_a</t>
        </is>
      </c>
      <c r="CE9" t="inlineStr">
        <is>
          <t>atgm_tower</t>
        </is>
      </c>
      <c r="DB9" t="inlineStr">
        <is>
          <t>atgm_tower</t>
        </is>
      </c>
      <c r="DP9" t="n">
        <v>7</v>
      </c>
      <c r="ED9" t="inlineStr">
        <is>
          <t>atgm_top_attack</t>
        </is>
      </c>
      <c r="EK9" t="inlineStr">
        <is>
          <t>kornet_top</t>
        </is>
      </c>
      <c r="EM9" t="inlineStr">
        <is>
          <t>Assets/MachineBrigade/Resources/Data/balance.json: vehicles[87]</t>
        </is>
      </c>
      <c r="EN9" t="inlineStr">
        <is>
          <t>{"id":"atgm_tower.top","rebuildCp":7,"towerRole":"atgm_top_attack","art":"atgm_tower_a","inherits":"atgm_tower","branchOf":"atgm_tower","weapon":"kornet_top"}</t>
        </is>
      </c>
    </row>
    <row r="10">
      <c r="A10" t="inlineStr">
        <is>
          <t>barrage_balloon</t>
        </is>
      </c>
      <c r="B10" t="inlineStr">
        <is>
          <t>Radar aerostat (JLENS)</t>
        </is>
      </c>
      <c r="C10" t="inlineStr">
        <is>
          <t>Khí cầu neo radar (JLENS)</t>
        </is>
      </c>
      <c r="D10" t="inlineStr">
        <is>
          <t>Khí cầu radar</t>
        </is>
      </c>
      <c r="E10" t="inlineStr"/>
      <c r="F10" t="inlineStr"/>
      <c r="G10" t="inlineStr"/>
      <c r="H10" t="n">
        <v>0</v>
      </c>
      <c r="I10" t="n">
        <v>364</v>
      </c>
      <c r="J10" t="n">
        <v>800.8</v>
      </c>
      <c r="K10" t="n">
        <v>0</v>
      </c>
      <c r="L10" t="n">
        <v>0</v>
      </c>
      <c r="M10" t="n">
        <v>0</v>
      </c>
      <c r="N10" t="n">
        <v>0</v>
      </c>
      <c r="O10" t="b">
        <v>1</v>
      </c>
      <c r="P10" t="n">
        <v>0</v>
      </c>
      <c r="Q10" t="n">
        <v>1</v>
      </c>
      <c r="R10" t="n">
        <v>1</v>
      </c>
      <c r="S10" t="n">
        <v>1</v>
      </c>
      <c r="T10" t="n">
        <v>2</v>
      </c>
      <c r="U10" t="n">
        <v>4</v>
      </c>
      <c r="V10" t="n">
        <v>4</v>
      </c>
      <c r="W10" t="b">
        <v>0</v>
      </c>
      <c r="X10" t="n">
        <v>0</v>
      </c>
      <c r="Y10" t="b">
        <v>1</v>
      </c>
      <c r="Z10" t="b">
        <v>1</v>
      </c>
      <c r="AA10" t="n">
        <v>1</v>
      </c>
      <c r="AB10" t="n">
        <v>3.5</v>
      </c>
      <c r="AC10" t="n">
        <v>1</v>
      </c>
      <c r="AD10" t="inlineStr">
        <is>
          <t>none</t>
        </is>
      </c>
      <c r="AE10" t="inlineStr"/>
      <c r="AF10" t="inlineStr"/>
      <c r="AG10" t="inlineStr">
        <is>
          <t>none</t>
        </is>
      </c>
      <c r="AH10" t="inlineStr"/>
      <c r="AI10" t="inlineStr"/>
      <c r="AJ10" t="inlineStr">
        <is>
          <t>barrage_balloon</t>
        </is>
      </c>
      <c r="AK10" t="inlineStr">
        <is>
          <t>giong</t>
        </is>
      </c>
      <c r="BH10" t="inlineStr"/>
      <c r="BI10" t="inlineStr"/>
      <c r="BJ10" t="inlineStr">
        <is>
          <t>Small</t>
        </is>
      </c>
      <c r="BK10" t="inlineStr"/>
      <c r="BL10" t="b">
        <v>0</v>
      </c>
      <c r="BM10" t="n">
        <v>2</v>
      </c>
      <c r="BN10" t="n">
        <v>2</v>
      </c>
      <c r="BO10" t="n">
        <v>25</v>
      </c>
      <c r="BP10" t="n">
        <v>2.5</v>
      </c>
      <c r="BQ10" t="inlineStr">
        <is>
          <t>Campaign</t>
        </is>
      </c>
      <c r="BR10" t="inlineStr">
        <is>
          <t>barrage_balloon</t>
        </is>
      </c>
      <c r="BS10" t="inlineStr"/>
      <c r="BT10" t="n">
        <v>0</v>
      </c>
      <c r="BZ10" t="n">
        <v>40</v>
      </c>
      <c r="CA10" t="n">
        <v>0.5</v>
      </c>
      <c r="CK10" t="n">
        <v>0</v>
      </c>
      <c r="CU10" t="inlineStr">
        <is>
          <t>Small</t>
        </is>
      </c>
      <c r="DA10" t="n">
        <v>364</v>
      </c>
      <c r="DD10" t="n">
        <v>4</v>
      </c>
      <c r="DH10" t="n">
        <v>16</v>
      </c>
      <c r="DI10" t="n">
        <v>9</v>
      </c>
      <c r="DJ10" t="n">
        <v>4</v>
      </c>
      <c r="DO10" t="n">
        <v>2</v>
      </c>
      <c r="DT10" t="n">
        <v>45</v>
      </c>
      <c r="DZ10" t="n">
        <v>0</v>
      </c>
      <c r="EA10" t="b">
        <v>1</v>
      </c>
      <c r="EE10" t="n">
        <v>1</v>
      </c>
      <c r="EF10" t="n">
        <v>1</v>
      </c>
      <c r="EG10" t="n">
        <v>1</v>
      </c>
      <c r="EK10" t="inlineStr">
        <is>
          <t>none</t>
        </is>
      </c>
      <c r="EL10" t="n">
        <v>4</v>
      </c>
      <c r="EM10" t="inlineStr">
        <is>
          <t>Assets/MachineBrigade/Resources/Data/balance.json: vehicles[117]</t>
        </is>
      </c>
      <c r="EN10" t="inlineStr">
        <is>
          <t>{"id":"barrage_balloon","modelSize":[9.0,4.0,16.0],"fort":{"size":"Small"},"static":true,"armour":0,"hp":364,"speed":0,"turnRate":1,"turretTurnRate":1,"radius":2.0,"length":4.0,"width":4.0,"cp":0,"vision":1,"weapon":"none","balloon":{"radius":40,"scatter":0.5},"revealAir":45}</t>
        </is>
      </c>
    </row>
    <row r="11">
      <c r="A11" t="inlineStr">
        <is>
          <t>blast_wall</t>
        </is>
      </c>
      <c r="B11" t="inlineStr">
        <is>
          <t>Gabion blast wall</t>
        </is>
      </c>
      <c r="C11" t="inlineStr">
        <is>
          <t>Tường chắn đạn</t>
        </is>
      </c>
      <c r="D11" t="inlineStr">
        <is>
          <t>Tường chắn đạn</t>
        </is>
      </c>
      <c r="E11" t="inlineStr"/>
      <c r="F11" t="inlineStr"/>
      <c r="G11" t="inlineStr"/>
      <c r="H11" t="n">
        <v>0</v>
      </c>
      <c r="I11" t="n">
        <v>1364</v>
      </c>
      <c r="J11" t="n">
        <v>3000.8</v>
      </c>
      <c r="K11" t="n">
        <v>3</v>
      </c>
      <c r="L11" t="n">
        <v>3</v>
      </c>
      <c r="M11" t="n">
        <v>3</v>
      </c>
      <c r="N11" t="n">
        <v>3</v>
      </c>
      <c r="O11" t="b">
        <v>1</v>
      </c>
      <c r="P11" t="n">
        <v>0</v>
      </c>
      <c r="Q11" t="n">
        <v>1</v>
      </c>
      <c r="R11" t="n">
        <v>1</v>
      </c>
      <c r="S11" t="n">
        <v>1</v>
      </c>
      <c r="T11" t="n">
        <v>2.2</v>
      </c>
      <c r="U11" t="n">
        <v>1.9</v>
      </c>
      <c r="V11" t="n">
        <v>4.8</v>
      </c>
      <c r="W11" t="b">
        <v>0</v>
      </c>
      <c r="X11" t="n">
        <v>0</v>
      </c>
      <c r="Y11" t="b">
        <v>1</v>
      </c>
      <c r="Z11" t="b">
        <v>1</v>
      </c>
      <c r="AA11" t="n">
        <v>1</v>
      </c>
      <c r="AB11" t="n">
        <v>3.5</v>
      </c>
      <c r="AC11" t="n">
        <v>1</v>
      </c>
      <c r="AD11" t="inlineStr">
        <is>
          <t>none</t>
        </is>
      </c>
      <c r="AE11" t="inlineStr"/>
      <c r="AF11" t="inlineStr"/>
      <c r="AG11" t="inlineStr">
        <is>
          <t>none</t>
        </is>
      </c>
      <c r="AH11" t="inlineStr"/>
      <c r="AI11" t="inlineStr"/>
      <c r="AJ11" t="inlineStr">
        <is>
          <t>blast_wall</t>
        </is>
      </c>
      <c r="AK11" t="inlineStr">
        <is>
          <t>giong</t>
        </is>
      </c>
      <c r="BH11" t="inlineStr"/>
      <c r="BI11" t="inlineStr"/>
      <c r="BJ11" t="inlineStr">
        <is>
          <t>Small</t>
        </is>
      </c>
      <c r="BK11" t="inlineStr"/>
      <c r="BL11" t="b">
        <v>0</v>
      </c>
      <c r="BM11" t="n">
        <v>2</v>
      </c>
      <c r="BN11" t="n">
        <v>2</v>
      </c>
      <c r="BO11" t="n">
        <v>25</v>
      </c>
      <c r="BP11" t="n">
        <v>2.5</v>
      </c>
      <c r="BQ11" t="inlineStr">
        <is>
          <t>Campaign</t>
        </is>
      </c>
      <c r="BR11" t="inlineStr">
        <is>
          <t>blast_wall</t>
        </is>
      </c>
      <c r="BS11" t="inlineStr"/>
      <c r="BT11" t="n">
        <v>3</v>
      </c>
      <c r="CB11" t="n">
        <v>50</v>
      </c>
      <c r="CC11" t="n">
        <v>0.3</v>
      </c>
      <c r="CD11" t="n">
        <v>10</v>
      </c>
      <c r="CK11" t="n">
        <v>0</v>
      </c>
      <c r="CU11" t="inlineStr">
        <is>
          <t>Small</t>
        </is>
      </c>
      <c r="DA11" t="n">
        <v>1364</v>
      </c>
      <c r="DD11" t="n">
        <v>1.9</v>
      </c>
      <c r="DH11" t="n">
        <v>2.4</v>
      </c>
      <c r="DI11" t="n">
        <v>1.9</v>
      </c>
      <c r="DJ11" t="n">
        <v>4.8</v>
      </c>
      <c r="DN11" t="b">
        <v>1</v>
      </c>
      <c r="DO11" t="n">
        <v>2.2</v>
      </c>
      <c r="DZ11" t="n">
        <v>0</v>
      </c>
      <c r="EA11" t="b">
        <v>1</v>
      </c>
      <c r="EE11" t="n">
        <v>1</v>
      </c>
      <c r="EF11" t="n">
        <v>1</v>
      </c>
      <c r="EG11" t="n">
        <v>1</v>
      </c>
      <c r="EK11" t="inlineStr">
        <is>
          <t>none</t>
        </is>
      </c>
      <c r="EL11" t="n">
        <v>4.8</v>
      </c>
      <c r="EM11" t="inlineStr">
        <is>
          <t>Assets/MachineBrigade/Resources/Data/balance.json: vehicles[115]</t>
        </is>
      </c>
      <c r="EN11" t="inlineStr">
        <is>
          <t>{"id":"blast_wall","modelSize":[1.9,4.8,2.4],"fort":{"size":"Small"},"static":true,"passable":true,"armour":3,"hp":1364,"speed":0,"turnRate":1,"turretTurnRate":1,"radius":2.2,"length":1.9,"width":4.8,"cp":0,"vision":1,"weapon":"none","blastWall":{"radius":10,"cut":0.3,"cone":50}}</t>
        </is>
      </c>
    </row>
    <row r="12">
      <c r="A12" t="inlineStr">
        <is>
          <t>bulwark_post</t>
        </is>
      </c>
      <c r="B12" t="inlineStr">
        <is>
          <t>Field gun post</t>
        </is>
      </c>
      <c r="C12" t="inlineStr">
        <is>
          <t>Ụ súng dã chiến</t>
        </is>
      </c>
      <c r="D12" t="inlineStr">
        <is>
          <t>Ụ súng</t>
        </is>
      </c>
      <c r="E12" t="inlineStr">
        <is>
          <t>Defense</t>
        </is>
      </c>
      <c r="F12" t="inlineStr"/>
      <c r="G12" t="inlineStr"/>
      <c r="H12" t="n">
        <v>0</v>
      </c>
      <c r="I12" t="n">
        <v>500</v>
      </c>
      <c r="J12" t="n">
        <v>1100</v>
      </c>
      <c r="K12" t="n">
        <v>1</v>
      </c>
      <c r="L12" t="n">
        <v>1</v>
      </c>
      <c r="M12" t="n">
        <v>1</v>
      </c>
      <c r="N12" t="n">
        <v>1</v>
      </c>
      <c r="O12" t="b">
        <v>1</v>
      </c>
      <c r="P12" t="n">
        <v>0</v>
      </c>
      <c r="Q12" t="n">
        <v>1</v>
      </c>
      <c r="R12" t="n">
        <v>160</v>
      </c>
      <c r="S12" t="n">
        <v>34</v>
      </c>
      <c r="T12" t="n">
        <v>1.6</v>
      </c>
      <c r="U12" t="n">
        <v>2.72</v>
      </c>
      <c r="V12" t="n">
        <v>2.72</v>
      </c>
      <c r="W12" t="b">
        <v>0</v>
      </c>
      <c r="X12" t="n">
        <v>0</v>
      </c>
      <c r="Y12" t="b">
        <v>1</v>
      </c>
      <c r="Z12" t="b">
        <v>1</v>
      </c>
      <c r="AA12" t="n">
        <v>1</v>
      </c>
      <c r="AB12" t="n">
        <v>3.5</v>
      </c>
      <c r="AC12" t="n">
        <v>1</v>
      </c>
      <c r="AD12" t="inlineStr">
        <is>
          <t>bunker_hmg</t>
        </is>
      </c>
      <c r="AE12" t="inlineStr"/>
      <c r="AF12" t="inlineStr"/>
      <c r="AG12" t="inlineStr">
        <is>
          <t>none</t>
        </is>
      </c>
      <c r="AH12" t="inlineStr"/>
      <c r="AI12" t="inlineStr"/>
      <c r="AJ12" t="inlineStr">
        <is>
          <t>bulwark_post</t>
        </is>
      </c>
      <c r="AK12" t="inlineStr">
        <is>
          <t>giong</t>
        </is>
      </c>
      <c r="BH12" t="inlineStr"/>
      <c r="BI12" t="inlineStr"/>
      <c r="BJ12" t="inlineStr"/>
      <c r="BK12" t="inlineStr"/>
      <c r="BL12" t="b">
        <v>0</v>
      </c>
      <c r="BM12" t="inlineStr"/>
      <c r="BN12" t="n">
        <v>2</v>
      </c>
      <c r="BO12" t="inlineStr"/>
      <c r="BP12" t="inlineStr"/>
      <c r="BQ12" t="inlineStr">
        <is>
          <t>Campaign</t>
        </is>
      </c>
      <c r="BR12" t="inlineStr">
        <is>
          <t>bulwark_post</t>
        </is>
      </c>
      <c r="BS12" t="inlineStr"/>
      <c r="BT12" t="n">
        <v>1</v>
      </c>
      <c r="CG12" t="inlineStr">
        <is>
          <t>Defense</t>
        </is>
      </c>
      <c r="CK12" t="n">
        <v>0</v>
      </c>
      <c r="CL12" t="n">
        <v>40</v>
      </c>
      <c r="CM12" t="n">
        <v>0.2</v>
      </c>
      <c r="CN12" t="n">
        <v>4</v>
      </c>
      <c r="CO12" t="inlineStr">
        <is>
          <t>Large</t>
        </is>
      </c>
      <c r="DA12" t="n">
        <v>500</v>
      </c>
      <c r="DD12" t="n">
        <v>3.4</v>
      </c>
      <c r="DG12" t="inlineStr">
        <is>
          <t>bulwark_post</t>
        </is>
      </c>
      <c r="DO12" t="n">
        <v>1.6</v>
      </c>
      <c r="DV12" t="n">
        <v>0.8</v>
      </c>
      <c r="DZ12" t="n">
        <v>0</v>
      </c>
      <c r="EA12" t="b">
        <v>1</v>
      </c>
      <c r="EE12" t="n">
        <v>1</v>
      </c>
      <c r="EF12" t="n">
        <v>160</v>
      </c>
      <c r="EG12" t="n">
        <v>34</v>
      </c>
      <c r="EK12" t="inlineStr">
        <is>
          <t>bunker_hmg</t>
        </is>
      </c>
      <c r="EL12" t="n">
        <v>3.4</v>
      </c>
      <c r="EM12" t="inlineStr">
        <is>
          <t>Assets/MachineBrigade/Resources/Data/balance.json: vehicles[106]</t>
        </is>
      </c>
      <c r="EN12" t="inlineStr">
        <is>
          <t>{"id":"bulwark_post","class":"Defense","static":true,"model":"bulwark_post","armour":1,"hp":500,"speed":0,"turnRate":1,"turretTurnRate":160,"radius":1.6,"length":3.4,"width":3.4,"scale":0.8,"cp":0,"vision":34,"weapon":"bunker_hmg","deathExplosion":{"damage":40,"radius":4,"delay":0.2,"tier":"Large"}}</t>
        </is>
      </c>
    </row>
    <row r="13">
      <c r="A13" t="inlineStr">
        <is>
          <t>bunker_shelter_tower</t>
        </is>
      </c>
      <c r="B13" t="inlineStr">
        <is>
          <t>Bunker (medium slot)</t>
        </is>
      </c>
      <c r="C13" t="inlineStr">
        <is>
          <t>Hầm ngầm che quân</t>
        </is>
      </c>
      <c r="D13" t="inlineStr">
        <is>
          <t>Hầm ngầm</t>
        </is>
      </c>
      <c r="E13" t="inlineStr"/>
      <c r="F13" t="inlineStr"/>
      <c r="G13" t="inlineStr"/>
      <c r="H13" t="n">
        <v>0</v>
      </c>
      <c r="I13" t="n">
        <v>1818</v>
      </c>
      <c r="J13" t="n">
        <v>3999.6</v>
      </c>
      <c r="K13" t="n">
        <v>3</v>
      </c>
      <c r="L13" t="n">
        <v>3</v>
      </c>
      <c r="M13" t="n">
        <v>3</v>
      </c>
      <c r="N13" t="n">
        <v>3</v>
      </c>
      <c r="O13" t="b">
        <v>1</v>
      </c>
      <c r="P13" t="n">
        <v>0</v>
      </c>
      <c r="Q13" t="n">
        <v>1</v>
      </c>
      <c r="R13" t="n">
        <v>1</v>
      </c>
      <c r="S13" t="n">
        <v>30</v>
      </c>
      <c r="T13" t="n">
        <v>2.6</v>
      </c>
      <c r="U13" t="n">
        <v>6</v>
      </c>
      <c r="V13" t="n">
        <v>5</v>
      </c>
      <c r="W13" t="b">
        <v>0</v>
      </c>
      <c r="X13" t="n">
        <v>0</v>
      </c>
      <c r="Y13" t="b">
        <v>1</v>
      </c>
      <c r="Z13" t="b">
        <v>1</v>
      </c>
      <c r="AA13" t="n">
        <v>1</v>
      </c>
      <c r="AB13" t="n">
        <v>3.5</v>
      </c>
      <c r="AC13" t="n">
        <v>1</v>
      </c>
      <c r="AD13" t="inlineStr">
        <is>
          <t>none</t>
        </is>
      </c>
      <c r="AE13" t="inlineStr"/>
      <c r="AF13" t="inlineStr"/>
      <c r="AG13" t="inlineStr">
        <is>
          <t>none</t>
        </is>
      </c>
      <c r="AH13" t="inlineStr"/>
      <c r="AI13" t="inlineStr"/>
      <c r="AJ13" t="inlineStr">
        <is>
          <t>bunker_shelter_tower</t>
        </is>
      </c>
      <c r="AK13" t="inlineStr">
        <is>
          <t>giong</t>
        </is>
      </c>
      <c r="BH13" t="inlineStr"/>
      <c r="BI13" t="inlineStr"/>
      <c r="BJ13" t="inlineStr">
        <is>
          <t>Medium</t>
        </is>
      </c>
      <c r="BK13" t="inlineStr"/>
      <c r="BL13" t="b">
        <v>0</v>
      </c>
      <c r="BM13" t="n">
        <v>4</v>
      </c>
      <c r="BN13" t="n">
        <v>4</v>
      </c>
      <c r="BO13" t="n">
        <v>40</v>
      </c>
      <c r="BP13" t="n">
        <v>3.5</v>
      </c>
      <c r="BQ13" t="inlineStr">
        <is>
          <t>Campaign</t>
        </is>
      </c>
      <c r="BR13" t="inlineStr">
        <is>
          <t>bunker_shelter_tower</t>
        </is>
      </c>
      <c r="BS13" t="inlineStr"/>
      <c r="BT13" t="n">
        <v>3</v>
      </c>
      <c r="CK13" t="n">
        <v>0</v>
      </c>
      <c r="CU13" t="inlineStr">
        <is>
          <t>Medium</t>
        </is>
      </c>
      <c r="DA13" t="n">
        <v>1818</v>
      </c>
      <c r="DD13" t="n">
        <v>6</v>
      </c>
      <c r="DG13" t="inlineStr">
        <is>
          <t>bunker_shelter_tower</t>
        </is>
      </c>
      <c r="DH13" t="n">
        <v>2.2</v>
      </c>
      <c r="DI13" t="n">
        <v>6</v>
      </c>
      <c r="DJ13" t="n">
        <v>5</v>
      </c>
      <c r="DO13" t="n">
        <v>2.6</v>
      </c>
      <c r="DX13" t="n">
        <v>0.5</v>
      </c>
      <c r="DY13" t="n">
        <v>18</v>
      </c>
      <c r="DZ13" t="n">
        <v>0</v>
      </c>
      <c r="EA13" t="b">
        <v>1</v>
      </c>
      <c r="EE13" t="n">
        <v>1</v>
      </c>
      <c r="EF13" t="n">
        <v>1</v>
      </c>
      <c r="EG13" t="n">
        <v>30</v>
      </c>
      <c r="EK13" t="inlineStr">
        <is>
          <t>none</t>
        </is>
      </c>
      <c r="EL13" t="n">
        <v>5</v>
      </c>
      <c r="EM13" t="inlineStr">
        <is>
          <t>Assets/MachineBrigade/Resources/Data/balance.json: vehicles[130]</t>
        </is>
      </c>
      <c r="EN13" t="inlineStr">
        <is>
          <t>{"id":"bunker_shelter_tower","model":"bunker_shelter_tower","modelSize":[6.0,5.0,2.2],"fort":{"size":"Medium"},"static":true,"armour":3,"hp":1818,"speed":0,"turnRate":1,"turretTurnRate":1,"radius":2.6,"length":6.0,"width":5.0,"cp":0,"vision":30,"weapon":"none","shelter":{"radius":18,"cut":0.5}}</t>
        </is>
      </c>
    </row>
    <row r="14">
      <c r="A14" t="inlineStr">
        <is>
          <t>c_ram</t>
        </is>
      </c>
      <c r="B14" t="inlineStr">
        <is>
          <t>C-RAM interceptor</t>
        </is>
      </c>
      <c r="C14" t="inlineStr">
        <is>
          <t>Trạm đánh chặn C-RAM</t>
        </is>
      </c>
      <c r="D14" t="inlineStr">
        <is>
          <t>C-RAM</t>
        </is>
      </c>
      <c r="E14" t="inlineStr"/>
      <c r="F14" t="inlineStr"/>
      <c r="G14" t="inlineStr"/>
      <c r="H14" t="n">
        <v>0</v>
      </c>
      <c r="I14" t="n">
        <v>1300</v>
      </c>
      <c r="J14" t="n">
        <v>2860</v>
      </c>
      <c r="K14" t="n">
        <v>1</v>
      </c>
      <c r="L14" t="n">
        <v>1</v>
      </c>
      <c r="M14" t="n">
        <v>1</v>
      </c>
      <c r="N14" t="n">
        <v>1</v>
      </c>
      <c r="O14" t="b">
        <v>1</v>
      </c>
      <c r="P14" t="n">
        <v>0</v>
      </c>
      <c r="Q14" t="n">
        <v>1</v>
      </c>
      <c r="R14" t="n">
        <v>240</v>
      </c>
      <c r="S14" t="n">
        <v>60</v>
      </c>
      <c r="T14" t="n">
        <v>2.5</v>
      </c>
      <c r="U14" t="n">
        <v>5.5</v>
      </c>
      <c r="V14" t="n">
        <v>5.5</v>
      </c>
      <c r="W14" t="b">
        <v>0</v>
      </c>
      <c r="X14" t="n">
        <v>0</v>
      </c>
      <c r="Y14" t="b">
        <v>1</v>
      </c>
      <c r="Z14" t="b">
        <v>1</v>
      </c>
      <c r="AA14" t="n">
        <v>1</v>
      </c>
      <c r="AB14" t="n">
        <v>3.5</v>
      </c>
      <c r="AC14" t="n">
        <v>1</v>
      </c>
      <c r="AD14" t="inlineStr">
        <is>
          <t>c_ram_gatling</t>
        </is>
      </c>
      <c r="AE14" t="inlineStr"/>
      <c r="AF14" t="inlineStr"/>
      <c r="AG14" t="inlineStr">
        <is>
          <t>aps</t>
        </is>
      </c>
      <c r="AH14" t="n">
        <v>4</v>
      </c>
      <c r="AI14" t="n">
        <v>0.6</v>
      </c>
      <c r="AJ14" t="inlineStr">
        <is>
          <t>c_ram</t>
        </is>
      </c>
      <c r="AK14" t="inlineStr">
        <is>
          <t>giong</t>
        </is>
      </c>
      <c r="BH14" t="inlineStr"/>
      <c r="BI14" t="inlineStr"/>
      <c r="BJ14" t="inlineStr">
        <is>
          <t>Medium</t>
        </is>
      </c>
      <c r="BK14" t="inlineStr"/>
      <c r="BL14" t="b">
        <v>1</v>
      </c>
      <c r="BM14" t="n">
        <v>5</v>
      </c>
      <c r="BN14" t="n">
        <v>5</v>
      </c>
      <c r="BO14" t="n">
        <v>40</v>
      </c>
      <c r="BP14" t="n">
        <v>3.5</v>
      </c>
      <c r="BQ14" t="inlineStr">
        <is>
          <t>Campaign</t>
        </is>
      </c>
      <c r="BR14" t="inlineStr">
        <is>
          <t>c_ram</t>
        </is>
      </c>
      <c r="BS14" t="inlineStr"/>
      <c r="BT14" t="n">
        <v>1</v>
      </c>
      <c r="CF14" t="inlineStr">
        <is>
          <t>c_ram.centurion;c_ram.dome</t>
        </is>
      </c>
      <c r="CK14" t="n">
        <v>0</v>
      </c>
      <c r="CL14" t="n">
        <v>90</v>
      </c>
      <c r="CM14" t="n">
        <v>0.4</v>
      </c>
      <c r="CN14" t="n">
        <v>7</v>
      </c>
      <c r="CO14" t="inlineStr">
        <is>
          <t>Huge</t>
        </is>
      </c>
      <c r="CU14" t="inlineStr">
        <is>
          <t>Medium</t>
        </is>
      </c>
      <c r="DA14" t="n">
        <v>1300</v>
      </c>
      <c r="DD14" t="n">
        <v>5.5</v>
      </c>
      <c r="DO14" t="n">
        <v>2.5</v>
      </c>
      <c r="DP14" t="n">
        <v>5</v>
      </c>
      <c r="DZ14" t="n">
        <v>0</v>
      </c>
      <c r="EA14" t="b">
        <v>1</v>
      </c>
      <c r="EE14" t="n">
        <v>1</v>
      </c>
      <c r="EF14" t="n">
        <v>240</v>
      </c>
      <c r="EG14" t="n">
        <v>60</v>
      </c>
      <c r="EK14" t="inlineStr">
        <is>
          <t>c_ram_gatling</t>
        </is>
      </c>
      <c r="EL14" t="n">
        <v>5.5</v>
      </c>
      <c r="EM14" t="inlineStr">
        <is>
          <t>Assets/MachineBrigade/Resources/Data/balance.json: vehicles[72]</t>
        </is>
      </c>
      <c r="EN14" t="inlineStr">
        <is>
          <t>{"id":"c_ram","rebuildCp":5,"branches":["c_ram.centurion","c_ram.dome"],"fort":{"size":"Medium"},"static":true,"armour":1,"hp":1300,"speed":0,"turnRate":1,"turretTurnRate":240,"radius":2.5,"length":5.5,"width":5.5,"cp":0,"vision":60,"weapon":"c_ram_gatling","aps":{"radius":35,"charges":4,"recharge":0.6,"rockets":true,"shells":0.3,"burst":0.5},"deathExplosion":{"damage":90,"radius":7,"delay":0.4,"tier":"Huge"}}</t>
        </is>
      </c>
    </row>
    <row r="15">
      <c r="A15" t="inlineStr">
        <is>
          <t>c_ram.centurion</t>
        </is>
      </c>
      <c r="B15" t="inlineStr"/>
      <c r="C15" t="inlineStr"/>
      <c r="D15" t="inlineStr">
        <is>
          <t>Centurion</t>
        </is>
      </c>
      <c r="E15" t="inlineStr"/>
      <c r="F15" t="inlineStr"/>
      <c r="G15" t="inlineStr">
        <is>
          <t>c_ram</t>
        </is>
      </c>
      <c r="H15" t="n">
        <v>0</v>
      </c>
      <c r="I15" t="n">
        <v>1300</v>
      </c>
      <c r="J15" t="n">
        <v>2860</v>
      </c>
      <c r="K15" t="n">
        <v>1</v>
      </c>
      <c r="L15" t="n">
        <v>1</v>
      </c>
      <c r="M15" t="n">
        <v>1</v>
      </c>
      <c r="N15" t="n">
        <v>1</v>
      </c>
      <c r="O15" t="b">
        <v>1</v>
      </c>
      <c r="P15" t="n">
        <v>0</v>
      </c>
      <c r="Q15" t="n">
        <v>1</v>
      </c>
      <c r="R15" t="n">
        <v>240</v>
      </c>
      <c r="S15" t="n">
        <v>60</v>
      </c>
      <c r="T15" t="n">
        <v>2.5</v>
      </c>
      <c r="U15" t="n">
        <v>5.5</v>
      </c>
      <c r="V15" t="n">
        <v>5.5</v>
      </c>
      <c r="W15" t="b">
        <v>0</v>
      </c>
      <c r="X15" t="n">
        <v>0</v>
      </c>
      <c r="Y15" t="b">
        <v>1</v>
      </c>
      <c r="Z15" t="b">
        <v>1</v>
      </c>
      <c r="AA15" t="n">
        <v>1</v>
      </c>
      <c r="AB15" t="n">
        <v>3.5</v>
      </c>
      <c r="AC15" t="n">
        <v>1</v>
      </c>
      <c r="AD15" t="inlineStr">
        <is>
          <t>c_ram_gatling</t>
        </is>
      </c>
      <c r="AE15" t="inlineStr"/>
      <c r="AF15" t="inlineStr"/>
      <c r="AG15" t="inlineStr">
        <is>
          <t>aps</t>
        </is>
      </c>
      <c r="AH15" t="n">
        <v>5</v>
      </c>
      <c r="AI15" t="n">
        <v>0.35</v>
      </c>
      <c r="AJ15" t="inlineStr">
        <is>
          <t>c_ram</t>
        </is>
      </c>
      <c r="AK15" t="inlineStr">
        <is>
          <t>giong</t>
        </is>
      </c>
      <c r="BH15" t="inlineStr">
        <is>
          <t>c_ram</t>
        </is>
      </c>
      <c r="BI15" t="inlineStr">
        <is>
          <t>centurion</t>
        </is>
      </c>
      <c r="BJ15" t="inlineStr">
        <is>
          <t>Medium</t>
        </is>
      </c>
      <c r="BK15" t="inlineStr">
        <is>
          <t>intercept_close_fast</t>
        </is>
      </c>
      <c r="BL15" t="b">
        <v>0</v>
      </c>
      <c r="BM15" t="n">
        <v>5</v>
      </c>
      <c r="BN15" t="n">
        <v>5</v>
      </c>
      <c r="BO15" t="n">
        <v>40</v>
      </c>
      <c r="BP15" t="n">
        <v>3.5</v>
      </c>
      <c r="BQ15" t="inlineStr">
        <is>
          <t>Campaign</t>
        </is>
      </c>
      <c r="BR15" t="inlineStr">
        <is>
          <t>c_ram</t>
        </is>
      </c>
      <c r="BS15" t="inlineStr"/>
      <c r="BY15" t="inlineStr">
        <is>
          <t>c_ram_a</t>
        </is>
      </c>
      <c r="CE15" t="inlineStr">
        <is>
          <t>c_ram</t>
        </is>
      </c>
      <c r="DB15" t="inlineStr">
        <is>
          <t>c_ram</t>
        </is>
      </c>
      <c r="DP15" t="n">
        <v>5</v>
      </c>
      <c r="ED15" t="inlineStr">
        <is>
          <t>intercept_close_fast</t>
        </is>
      </c>
      <c r="EM15" t="inlineStr">
        <is>
          <t>Assets/MachineBrigade/Resources/Data/balance.json: vehicles[91]</t>
        </is>
      </c>
      <c r="EN15" t="inlineStr">
        <is>
          <t>{"id":"c_ram.centurion","rebuildCp":5,"towerRole":"intercept_close_fast","art":"c_ram_a","inherits":"c_ram","branchOf":"c_ram","aps":{"radius":35,"charges":5,"recharge":0.35,"rockets":true,"shells":0.4,"burst":0.3}}</t>
        </is>
      </c>
    </row>
    <row r="16">
      <c r="A16" t="inlineStr">
        <is>
          <t>c_ram.dome</t>
        </is>
      </c>
      <c r="B16" t="inlineStr"/>
      <c r="C16" t="inlineStr"/>
      <c r="D16" t="inlineStr">
        <is>
          <t>Vòm Sắt</t>
        </is>
      </c>
      <c r="E16" t="inlineStr"/>
      <c r="F16" t="inlineStr"/>
      <c r="G16" t="inlineStr">
        <is>
          <t>c_ram</t>
        </is>
      </c>
      <c r="H16" t="n">
        <v>0</v>
      </c>
      <c r="I16" t="n">
        <v>1300</v>
      </c>
      <c r="J16" t="n">
        <v>2860</v>
      </c>
      <c r="K16" t="n">
        <v>1</v>
      </c>
      <c r="L16" t="n">
        <v>1</v>
      </c>
      <c r="M16" t="n">
        <v>1</v>
      </c>
      <c r="N16" t="n">
        <v>1</v>
      </c>
      <c r="O16" t="b">
        <v>1</v>
      </c>
      <c r="P16" t="n">
        <v>0</v>
      </c>
      <c r="Q16" t="n">
        <v>1</v>
      </c>
      <c r="R16" t="n">
        <v>240</v>
      </c>
      <c r="S16" t="n">
        <v>64</v>
      </c>
      <c r="T16" t="n">
        <v>2.5</v>
      </c>
      <c r="U16" t="n">
        <v>5.5</v>
      </c>
      <c r="V16" t="n">
        <v>5.5</v>
      </c>
      <c r="W16" t="b">
        <v>0</v>
      </c>
      <c r="X16" t="n">
        <v>0</v>
      </c>
      <c r="Y16" t="b">
        <v>1</v>
      </c>
      <c r="Z16" t="b">
        <v>1</v>
      </c>
      <c r="AA16" t="n">
        <v>1</v>
      </c>
      <c r="AB16" t="n">
        <v>3.5</v>
      </c>
      <c r="AC16" t="n">
        <v>1</v>
      </c>
      <c r="AD16" t="inlineStr">
        <is>
          <t>tamir</t>
        </is>
      </c>
      <c r="AE16" t="inlineStr"/>
      <c r="AF16" t="inlineStr"/>
      <c r="AG16" t="inlineStr">
        <is>
          <t>aps</t>
        </is>
      </c>
      <c r="AH16" t="n">
        <v>6</v>
      </c>
      <c r="AI16" t="inlineStr"/>
      <c r="AJ16" t="inlineStr">
        <is>
          <t>c_ram</t>
        </is>
      </c>
      <c r="AK16" t="inlineStr">
        <is>
          <t>giong</t>
        </is>
      </c>
      <c r="BH16" t="inlineStr">
        <is>
          <t>c_ram</t>
        </is>
      </c>
      <c r="BI16" t="inlineStr">
        <is>
          <t>dome</t>
        </is>
      </c>
      <c r="BJ16" t="inlineStr">
        <is>
          <t>Medium</t>
        </is>
      </c>
      <c r="BK16" t="inlineStr">
        <is>
          <t>intercept_far_slow</t>
        </is>
      </c>
      <c r="BL16" t="b">
        <v>0</v>
      </c>
      <c r="BM16" t="n">
        <v>5</v>
      </c>
      <c r="BN16" t="n">
        <v>5</v>
      </c>
      <c r="BO16" t="n">
        <v>40</v>
      </c>
      <c r="BP16" t="n">
        <v>3.5</v>
      </c>
      <c r="BQ16" t="inlineStr">
        <is>
          <t>Campaign</t>
        </is>
      </c>
      <c r="BR16" t="inlineStr">
        <is>
          <t>c_ram</t>
        </is>
      </c>
      <c r="BS16" t="inlineStr"/>
      <c r="BY16" t="inlineStr">
        <is>
          <t>c_ram_b</t>
        </is>
      </c>
      <c r="CE16" t="inlineStr">
        <is>
          <t>c_ram</t>
        </is>
      </c>
      <c r="DB16" t="inlineStr">
        <is>
          <t>c_ram</t>
        </is>
      </c>
      <c r="DP16" t="n">
        <v>5</v>
      </c>
      <c r="ED16" t="inlineStr">
        <is>
          <t>intercept_far_slow</t>
        </is>
      </c>
      <c r="EG16" t="n">
        <v>64</v>
      </c>
      <c r="EK16" t="inlineStr">
        <is>
          <t>tamir</t>
        </is>
      </c>
      <c r="EM16" t="inlineStr">
        <is>
          <t>Assets/MachineBrigade/Resources/Data/balance.json: vehicles[92]</t>
        </is>
      </c>
      <c r="EN16" t="inlineStr">
        <is>
          <t>{"id":"c_ram.dome","rebuildCp":5,"towerRole":"intercept_far_slow","art":"c_ram_b","inherits":"c_ram","branchOf":"c_ram","weapon":"tamir","vision":64,"aps":{"radius":60,"charges":6,"reload":12,"rockets":true,"shells":0.5,"direct":false,"missiles":true}}</t>
        </is>
      </c>
    </row>
    <row r="17">
      <c r="A17" t="inlineStr">
        <is>
          <t>coastal_battery</t>
        </is>
      </c>
      <c r="B17" t="inlineStr">
        <is>
          <t>Coastal Battery</t>
        </is>
      </c>
      <c r="C17" t="inlineStr">
        <is>
          <t>Trận địa pháo bờ biển</t>
        </is>
      </c>
      <c r="D17" t="inlineStr">
        <is>
          <t>Pháo bờ biển</t>
        </is>
      </c>
      <c r="E17" t="inlineStr">
        <is>
          <t>Defense</t>
        </is>
      </c>
      <c r="F17" t="inlineStr"/>
      <c r="G17" t="inlineStr"/>
      <c r="H17" t="n">
        <v>0</v>
      </c>
      <c r="I17" t="n">
        <v>3000</v>
      </c>
      <c r="J17" t="n">
        <v>6600</v>
      </c>
      <c r="K17" t="n">
        <v>4</v>
      </c>
      <c r="L17" t="n">
        <v>3</v>
      </c>
      <c r="M17" t="n">
        <v>3</v>
      </c>
      <c r="N17" t="n">
        <v>3</v>
      </c>
      <c r="O17" t="b">
        <v>1</v>
      </c>
      <c r="P17" t="n">
        <v>0</v>
      </c>
      <c r="Q17" t="n">
        <v>1</v>
      </c>
      <c r="R17" t="n">
        <v>18</v>
      </c>
      <c r="S17" t="n">
        <v>130</v>
      </c>
      <c r="T17" t="n">
        <v>3.8</v>
      </c>
      <c r="U17" t="n">
        <v>8</v>
      </c>
      <c r="V17" t="n">
        <v>8</v>
      </c>
      <c r="W17" t="b">
        <v>0</v>
      </c>
      <c r="X17" t="n">
        <v>0</v>
      </c>
      <c r="Y17" t="b">
        <v>1</v>
      </c>
      <c r="Z17" t="b">
        <v>1</v>
      </c>
      <c r="AA17" t="n">
        <v>1</v>
      </c>
      <c r="AB17" t="n">
        <v>3.5</v>
      </c>
      <c r="AC17" t="n">
        <v>1</v>
      </c>
      <c r="AD17" t="inlineStr">
        <is>
          <t>gun_155_coastal</t>
        </is>
      </c>
      <c r="AE17" t="inlineStr"/>
      <c r="AF17" t="inlineStr"/>
      <c r="AG17" t="inlineStr">
        <is>
          <t>none</t>
        </is>
      </c>
      <c r="AH17" t="inlineStr"/>
      <c r="AI17" t="inlineStr"/>
      <c r="AJ17" t="inlineStr">
        <is>
          <t>coastal_battery</t>
        </is>
      </c>
      <c r="AK17" t="inlineStr">
        <is>
          <t>giong</t>
        </is>
      </c>
      <c r="BH17" t="inlineStr"/>
      <c r="BI17" t="inlineStr"/>
      <c r="BJ17" t="inlineStr"/>
      <c r="BK17" t="inlineStr"/>
      <c r="BL17" t="b">
        <v>0</v>
      </c>
      <c r="BM17" t="inlineStr"/>
      <c r="BN17" t="n">
        <v>2</v>
      </c>
      <c r="BO17" t="inlineStr"/>
      <c r="BP17" t="inlineStr"/>
      <c r="BQ17" t="inlineStr">
        <is>
          <t>Campaign</t>
        </is>
      </c>
      <c r="BR17" t="inlineStr">
        <is>
          <t>coastal_battery</t>
        </is>
      </c>
      <c r="BS17" t="inlineStr"/>
      <c r="BU17" t="n">
        <v>4</v>
      </c>
      <c r="BV17" t="n">
        <v>3</v>
      </c>
      <c r="BW17" t="n">
        <v>3</v>
      </c>
      <c r="BX17" t="n">
        <v>3</v>
      </c>
      <c r="CG17" t="inlineStr">
        <is>
          <t>Defense</t>
        </is>
      </c>
      <c r="CK17" t="n">
        <v>0</v>
      </c>
      <c r="CL17" t="n">
        <v>220</v>
      </c>
      <c r="CM17" t="n">
        <v>0.5</v>
      </c>
      <c r="CN17" t="n">
        <v>12</v>
      </c>
      <c r="CO17" t="inlineStr">
        <is>
          <t>Ultimate</t>
        </is>
      </c>
      <c r="DA17" t="n">
        <v>3000</v>
      </c>
      <c r="DD17" t="n">
        <v>8</v>
      </c>
      <c r="DG17" t="inlineStr">
        <is>
          <t>coastal_battery</t>
        </is>
      </c>
      <c r="DK17" t="b">
        <v>1</v>
      </c>
      <c r="DO17" t="n">
        <v>3.8</v>
      </c>
      <c r="DZ17" t="n">
        <v>0</v>
      </c>
      <c r="EA17" t="b">
        <v>1</v>
      </c>
      <c r="EE17" t="n">
        <v>1</v>
      </c>
      <c r="EF17" t="n">
        <v>18</v>
      </c>
      <c r="EG17" t="n">
        <v>130</v>
      </c>
      <c r="EK17" t="inlineStr">
        <is>
          <t>gun_155_coastal</t>
        </is>
      </c>
      <c r="EL17" t="n">
        <v>8</v>
      </c>
      <c r="EM17" t="inlineStr">
        <is>
          <t>Assets/MachineBrigade/Resources/Data/balance.json: vehicles[158]</t>
        </is>
      </c>
      <c r="EN17" t="inlineStr">
        <is>
          <t>{"id":"coastal_battery","class":"Defense","static":true,"model":"coastal_battery","armour":[4,3,3,3],"hp":3000,"speed":0,"turnRate":1,"turretTurnRate":18,"radius":3.8,"length":8,"width":8,"cp":0,"vision":130,"weapon":"gun_155_coastal","navalOnly":true,"deathExplosion":{"damage":220,"radius":12,"delay":0.5,"tier":"Ultimate"}}</t>
        </is>
      </c>
    </row>
    <row r="18">
      <c r="A18" t="inlineStr">
        <is>
          <t>cp_relay</t>
        </is>
      </c>
      <c r="B18" t="inlineStr">
        <is>
          <t>CP relay</t>
        </is>
      </c>
      <c r="C18" t="inlineStr">
        <is>
          <t>Trạm tiếp tế CP</t>
        </is>
      </c>
      <c r="D18" t="inlineStr">
        <is>
          <t>Trạm CP</t>
        </is>
      </c>
      <c r="E18" t="inlineStr"/>
      <c r="F18" t="inlineStr"/>
      <c r="G18" t="inlineStr"/>
      <c r="H18" t="n">
        <v>0</v>
      </c>
      <c r="I18" t="n">
        <v>600</v>
      </c>
      <c r="J18" t="n">
        <v>1320</v>
      </c>
      <c r="K18" t="n">
        <v>1</v>
      </c>
      <c r="L18" t="n">
        <v>1</v>
      </c>
      <c r="M18" t="n">
        <v>1</v>
      </c>
      <c r="N18" t="n">
        <v>1</v>
      </c>
      <c r="O18" t="b">
        <v>1</v>
      </c>
      <c r="P18" t="n">
        <v>0</v>
      </c>
      <c r="Q18" t="n">
        <v>1</v>
      </c>
      <c r="R18" t="n">
        <v>1</v>
      </c>
      <c r="S18" t="n">
        <v>30</v>
      </c>
      <c r="T18" t="n">
        <v>1.8</v>
      </c>
      <c r="U18" t="n">
        <v>4</v>
      </c>
      <c r="V18" t="n">
        <v>4</v>
      </c>
      <c r="W18" t="b">
        <v>0</v>
      </c>
      <c r="X18" t="n">
        <v>0</v>
      </c>
      <c r="Y18" t="b">
        <v>1</v>
      </c>
      <c r="Z18" t="b">
        <v>1</v>
      </c>
      <c r="AA18" t="n">
        <v>1</v>
      </c>
      <c r="AB18" t="n">
        <v>3.5</v>
      </c>
      <c r="AC18" t="n">
        <v>1</v>
      </c>
      <c r="AD18" t="inlineStr">
        <is>
          <t>none</t>
        </is>
      </c>
      <c r="AE18" t="inlineStr"/>
      <c r="AF18" t="inlineStr"/>
      <c r="AG18" t="inlineStr">
        <is>
          <t>none</t>
        </is>
      </c>
      <c r="AH18" t="inlineStr"/>
      <c r="AI18" t="inlineStr"/>
      <c r="AJ18" t="inlineStr">
        <is>
          <t>cp_relay</t>
        </is>
      </c>
      <c r="AK18" t="inlineStr">
        <is>
          <t>giong</t>
        </is>
      </c>
      <c r="BH18" t="inlineStr"/>
      <c r="BI18" t="inlineStr">
        <is>
          <t>noBranch</t>
        </is>
      </c>
      <c r="BJ18" t="inlineStr">
        <is>
          <t>Small</t>
        </is>
      </c>
      <c r="BK18" t="inlineStr">
        <is>
          <t>cp_income</t>
        </is>
      </c>
      <c r="BL18" t="b">
        <v>1</v>
      </c>
      <c r="BM18" t="n">
        <v>6</v>
      </c>
      <c r="BN18" t="n">
        <v>6</v>
      </c>
      <c r="BO18" t="n">
        <v>25</v>
      </c>
      <c r="BP18" t="n">
        <v>2.5</v>
      </c>
      <c r="BQ18" t="inlineStr">
        <is>
          <t>Campaign</t>
        </is>
      </c>
      <c r="BR18" t="inlineStr">
        <is>
          <t>cp_relay</t>
        </is>
      </c>
      <c r="BS18" t="inlineStr"/>
      <c r="BT18" t="n">
        <v>1</v>
      </c>
      <c r="CK18" t="n">
        <v>0</v>
      </c>
      <c r="CL18" t="n">
        <v>50</v>
      </c>
      <c r="CM18" t="n">
        <v>0.3</v>
      </c>
      <c r="CN18" t="n">
        <v>5</v>
      </c>
      <c r="CO18" t="inlineStr">
        <is>
          <t>Large</t>
        </is>
      </c>
      <c r="CU18" t="inlineStr">
        <is>
          <t>Small</t>
        </is>
      </c>
      <c r="DA18" t="n">
        <v>600</v>
      </c>
      <c r="DD18" t="n">
        <v>4</v>
      </c>
      <c r="DL18" t="b">
        <v>1</v>
      </c>
      <c r="DO18" t="n">
        <v>1.8</v>
      </c>
      <c r="DP18" t="n">
        <v>6</v>
      </c>
      <c r="DQ18" t="n">
        <v>0.1</v>
      </c>
      <c r="DR18" t="n">
        <v>5</v>
      </c>
      <c r="DS18" t="n">
        <v>0.06</v>
      </c>
      <c r="DZ18" t="n">
        <v>0</v>
      </c>
      <c r="EA18" t="b">
        <v>1</v>
      </c>
      <c r="ED18" t="inlineStr">
        <is>
          <t>cp_income</t>
        </is>
      </c>
      <c r="EE18" t="n">
        <v>1</v>
      </c>
      <c r="EF18" t="n">
        <v>1</v>
      </c>
      <c r="EG18" t="n">
        <v>30</v>
      </c>
      <c r="EK18" t="inlineStr">
        <is>
          <t>none</t>
        </is>
      </c>
      <c r="EL18" t="n">
        <v>4</v>
      </c>
      <c r="EM18" t="inlineStr">
        <is>
          <t>Assets/MachineBrigade/Resources/Data/balance.json: vehicles[109]</t>
        </is>
      </c>
      <c r="EN18" t="inlineStr">
        <is>
          <t>{"id":"cp_relay","rebuildCp":6,"towerRole":"cp_income","noBranch":true,"fort":{"size":"Small"},"static":true,"armour":1,"hp":600,"speed":0,"turnRate":1,"turretTurnRate":1,"radius":1.8,"length":4,"width":4,"cp":0,"vision":30,"weapon":"none","relay":{"income":0.1,"second":0.06,"quiet":5},"deathExplosion":{"damage":50,"radius":5,"delay":0.3,"tier":"Large"}}</t>
        </is>
      </c>
    </row>
    <row r="19">
      <c r="A19" t="inlineStr">
        <is>
          <t>drone_hangar</t>
        </is>
      </c>
      <c r="B19" t="inlineStr">
        <is>
          <t>Drone hangar</t>
        </is>
      </c>
      <c r="C19" t="inlineStr">
        <is>
          <t>Nhà chứa drone</t>
        </is>
      </c>
      <c r="D19" t="inlineStr">
        <is>
          <t>Nhà chứa drone</t>
        </is>
      </c>
      <c r="E19" t="inlineStr"/>
      <c r="F19" t="inlineStr"/>
      <c r="G19" t="inlineStr"/>
      <c r="H19" t="n">
        <v>0</v>
      </c>
      <c r="I19" t="n">
        <v>2200</v>
      </c>
      <c r="J19" t="n">
        <v>4840</v>
      </c>
      <c r="K19" t="n">
        <v>2</v>
      </c>
      <c r="L19" t="n">
        <v>2</v>
      </c>
      <c r="M19" t="n">
        <v>2</v>
      </c>
      <c r="N19" t="n">
        <v>2</v>
      </c>
      <c r="O19" t="b">
        <v>1</v>
      </c>
      <c r="P19" t="n">
        <v>0</v>
      </c>
      <c r="Q19" t="n">
        <v>1</v>
      </c>
      <c r="R19" t="n">
        <v>1</v>
      </c>
      <c r="S19" t="n">
        <v>60</v>
      </c>
      <c r="T19" t="n">
        <v>3.6</v>
      </c>
      <c r="U19" t="n">
        <v>8</v>
      </c>
      <c r="V19" t="n">
        <v>8</v>
      </c>
      <c r="W19" t="b">
        <v>0</v>
      </c>
      <c r="X19" t="n">
        <v>0</v>
      </c>
      <c r="Y19" t="b">
        <v>1</v>
      </c>
      <c r="Z19" t="b">
        <v>1</v>
      </c>
      <c r="AA19" t="n">
        <v>1</v>
      </c>
      <c r="AB19" t="n">
        <v>3.5</v>
      </c>
      <c r="AC19" t="n">
        <v>1</v>
      </c>
      <c r="AD19" t="inlineStr">
        <is>
          <t>fpv_hangar</t>
        </is>
      </c>
      <c r="AE19" t="inlineStr"/>
      <c r="AF19" t="inlineStr"/>
      <c r="AG19" t="inlineStr">
        <is>
          <t>none</t>
        </is>
      </c>
      <c r="AH19" t="inlineStr"/>
      <c r="AI19" t="inlineStr"/>
      <c r="AJ19" t="inlineStr">
        <is>
          <t>drone_hangar</t>
        </is>
      </c>
      <c r="AK19" t="inlineStr">
        <is>
          <t>giong</t>
        </is>
      </c>
      <c r="BH19" t="inlineStr"/>
      <c r="BI19" t="inlineStr"/>
      <c r="BJ19" t="inlineStr">
        <is>
          <t>Large</t>
        </is>
      </c>
      <c r="BK19" t="inlineStr"/>
      <c r="BL19" t="b">
        <v>1</v>
      </c>
      <c r="BM19" t="n">
        <v>12</v>
      </c>
      <c r="BN19" t="n">
        <v>12</v>
      </c>
      <c r="BO19" t="n">
        <v>60</v>
      </c>
      <c r="BP19" t="n">
        <v>5</v>
      </c>
      <c r="BQ19" t="inlineStr">
        <is>
          <t>Campaign</t>
        </is>
      </c>
      <c r="BR19" t="inlineStr">
        <is>
          <t>drone_hangar</t>
        </is>
      </c>
      <c r="BS19" t="inlineStr"/>
      <c r="BT19" t="n">
        <v>2</v>
      </c>
      <c r="CF19" t="inlineStr">
        <is>
          <t>drone_hangar.lancet;drone_hangar.swarm</t>
        </is>
      </c>
      <c r="CK19" t="n">
        <v>0</v>
      </c>
      <c r="CL19" t="n">
        <v>160</v>
      </c>
      <c r="CM19" t="n">
        <v>0.4</v>
      </c>
      <c r="CN19" t="n">
        <v>10</v>
      </c>
      <c r="CO19" t="inlineStr">
        <is>
          <t>Ultimate</t>
        </is>
      </c>
      <c r="CU19" t="inlineStr">
        <is>
          <t>Large</t>
        </is>
      </c>
      <c r="DA19" t="n">
        <v>2200</v>
      </c>
      <c r="DD19" t="n">
        <v>8</v>
      </c>
      <c r="DE19" t="inlineStr">
        <is>
          <t>Hull</t>
        </is>
      </c>
      <c r="DF19" t="inlineStr">
        <is>
          <t>door_l</t>
        </is>
      </c>
      <c r="DO19" t="n">
        <v>3.6</v>
      </c>
      <c r="DP19" t="n">
        <v>12</v>
      </c>
      <c r="DZ19" t="n">
        <v>0</v>
      </c>
      <c r="EA19" t="b">
        <v>1</v>
      </c>
      <c r="EE19" t="n">
        <v>1</v>
      </c>
      <c r="EF19" t="n">
        <v>1</v>
      </c>
      <c r="EG19" t="n">
        <v>60</v>
      </c>
      <c r="EK19" t="inlineStr">
        <is>
          <t>fpv_hangar</t>
        </is>
      </c>
      <c r="EL19" t="n">
        <v>8</v>
      </c>
      <c r="EM19" t="inlineStr">
        <is>
          <t>Assets/MachineBrigade/Resources/Data/balance.json: vehicles[73]</t>
        </is>
      </c>
      <c r="EN19" t="inlineStr">
        <is>
          <t>{"id":"drone_hangar","rebuildCp":12,"branches":["drone_hangar.lancet","drone_hangar.swarm"],"fort":{"size":"Large"},"static":true,"armour":2,"hp":2200,"speed":0,"turnRate":1,"turretTurnRate":1,"radius":3.6,"length":8,"width":8,"cp":0,"vision":60,"weapon":"fpv_hangar","mainSlot":"door_l","mainAim":"Hull","deathExplosion":{"damage":160,"radius":10,"delay":0.4,"tier":"Ultimate"}}</t>
        </is>
      </c>
    </row>
    <row r="20">
      <c r="A20" t="inlineStr">
        <is>
          <t>drone_hangar.lancet</t>
        </is>
      </c>
      <c r="B20" t="inlineStr"/>
      <c r="C20" t="inlineStr"/>
      <c r="D20" t="inlineStr">
        <is>
          <t>Lancet</t>
        </is>
      </c>
      <c r="E20" t="inlineStr"/>
      <c r="F20" t="inlineStr"/>
      <c r="G20" t="inlineStr">
        <is>
          <t>drone_hangar</t>
        </is>
      </c>
      <c r="H20" t="n">
        <v>0</v>
      </c>
      <c r="I20" t="n">
        <v>2200</v>
      </c>
      <c r="J20" t="n">
        <v>4840</v>
      </c>
      <c r="K20" t="n">
        <v>2</v>
      </c>
      <c r="L20" t="n">
        <v>2</v>
      </c>
      <c r="M20" t="n">
        <v>2</v>
      </c>
      <c r="N20" t="n">
        <v>2</v>
      </c>
      <c r="O20" t="b">
        <v>1</v>
      </c>
      <c r="P20" t="n">
        <v>0</v>
      </c>
      <c r="Q20" t="n">
        <v>1</v>
      </c>
      <c r="R20" t="n">
        <v>1</v>
      </c>
      <c r="S20" t="n">
        <v>60</v>
      </c>
      <c r="T20" t="n">
        <v>3.6</v>
      </c>
      <c r="U20" t="n">
        <v>8</v>
      </c>
      <c r="V20" t="n">
        <v>8</v>
      </c>
      <c r="W20" t="b">
        <v>0</v>
      </c>
      <c r="X20" t="n">
        <v>0</v>
      </c>
      <c r="Y20" t="b">
        <v>1</v>
      </c>
      <c r="Z20" t="b">
        <v>1</v>
      </c>
      <c r="AA20" t="n">
        <v>1</v>
      </c>
      <c r="AB20" t="n">
        <v>3.5</v>
      </c>
      <c r="AC20" t="n">
        <v>1</v>
      </c>
      <c r="AD20" t="inlineStr">
        <is>
          <t>lancet_hangar</t>
        </is>
      </c>
      <c r="AE20" t="inlineStr"/>
      <c r="AF20" t="inlineStr"/>
      <c r="AG20" t="inlineStr">
        <is>
          <t>none</t>
        </is>
      </c>
      <c r="AH20" t="inlineStr"/>
      <c r="AI20" t="inlineStr"/>
      <c r="AJ20" t="inlineStr">
        <is>
          <t>drone_hangar</t>
        </is>
      </c>
      <c r="AK20" t="inlineStr">
        <is>
          <t>giong</t>
        </is>
      </c>
      <c r="BH20" t="inlineStr">
        <is>
          <t>drone_hangar</t>
        </is>
      </c>
      <c r="BI20" t="inlineStr">
        <is>
          <t>lancet</t>
        </is>
      </c>
      <c r="BJ20" t="inlineStr">
        <is>
          <t>Large</t>
        </is>
      </c>
      <c r="BK20" t="inlineStr">
        <is>
          <t>drone_loitering</t>
        </is>
      </c>
      <c r="BL20" t="b">
        <v>0</v>
      </c>
      <c r="BM20" t="n">
        <v>14</v>
      </c>
      <c r="BN20" t="n">
        <v>14</v>
      </c>
      <c r="BO20" t="n">
        <v>60</v>
      </c>
      <c r="BP20" t="n">
        <v>5</v>
      </c>
      <c r="BQ20" t="inlineStr">
        <is>
          <t>Campaign</t>
        </is>
      </c>
      <c r="BR20" t="inlineStr">
        <is>
          <t>drone_hangar</t>
        </is>
      </c>
      <c r="BS20" t="inlineStr"/>
      <c r="BY20" t="inlineStr">
        <is>
          <t>drone_hangar_a</t>
        </is>
      </c>
      <c r="CE20" t="inlineStr">
        <is>
          <t>drone_hangar</t>
        </is>
      </c>
      <c r="DB20" t="inlineStr">
        <is>
          <t>drone_hangar</t>
        </is>
      </c>
      <c r="DP20" t="n">
        <v>14</v>
      </c>
      <c r="ED20" t="inlineStr">
        <is>
          <t>drone_loitering</t>
        </is>
      </c>
      <c r="EK20" t="inlineStr">
        <is>
          <t>lancet_hangar</t>
        </is>
      </c>
      <c r="EM20" t="inlineStr">
        <is>
          <t>Assets/MachineBrigade/Resources/Data/balance.json: vehicles[95]</t>
        </is>
      </c>
      <c r="EN20" t="inlineStr">
        <is>
          <t>{"id":"drone_hangar.lancet","rebuildCp":14,"towerRole":"drone_loitering","art":"drone_hangar_a","inherits":"drone_hangar","branchOf":"drone_hangar","weapon":"lancet_hangar"}</t>
        </is>
      </c>
    </row>
    <row r="21">
      <c r="A21" t="inlineStr">
        <is>
          <t>drone_hangar.swarm</t>
        </is>
      </c>
      <c r="B21" t="inlineStr"/>
      <c r="C21" t="inlineStr"/>
      <c r="D21" t="inlineStr">
        <is>
          <t>Bầy đàn</t>
        </is>
      </c>
      <c r="E21" t="inlineStr"/>
      <c r="F21" t="inlineStr"/>
      <c r="G21" t="inlineStr">
        <is>
          <t>drone_hangar</t>
        </is>
      </c>
      <c r="H21" t="n">
        <v>0</v>
      </c>
      <c r="I21" t="n">
        <v>2200</v>
      </c>
      <c r="J21" t="n">
        <v>4840</v>
      </c>
      <c r="K21" t="n">
        <v>2</v>
      </c>
      <c r="L21" t="n">
        <v>2</v>
      </c>
      <c r="M21" t="n">
        <v>2</v>
      </c>
      <c r="N21" t="n">
        <v>2</v>
      </c>
      <c r="O21" t="b">
        <v>1</v>
      </c>
      <c r="P21" t="n">
        <v>0</v>
      </c>
      <c r="Q21" t="n">
        <v>1</v>
      </c>
      <c r="R21" t="n">
        <v>1</v>
      </c>
      <c r="S21" t="n">
        <v>60</v>
      </c>
      <c r="T21" t="n">
        <v>3.6</v>
      </c>
      <c r="U21" t="n">
        <v>8</v>
      </c>
      <c r="V21" t="n">
        <v>8</v>
      </c>
      <c r="W21" t="b">
        <v>0</v>
      </c>
      <c r="X21" t="n">
        <v>0</v>
      </c>
      <c r="Y21" t="b">
        <v>1</v>
      </c>
      <c r="Z21" t="b">
        <v>1</v>
      </c>
      <c r="AA21" t="n">
        <v>1</v>
      </c>
      <c r="AB21" t="n">
        <v>3.5</v>
      </c>
      <c r="AC21" t="n">
        <v>1</v>
      </c>
      <c r="AD21" t="inlineStr">
        <is>
          <t>fpv_hangar_swarm</t>
        </is>
      </c>
      <c r="AE21" t="inlineStr"/>
      <c r="AF21" t="inlineStr"/>
      <c r="AG21" t="inlineStr">
        <is>
          <t>none</t>
        </is>
      </c>
      <c r="AH21" t="inlineStr"/>
      <c r="AI21" t="inlineStr"/>
      <c r="AJ21" t="inlineStr">
        <is>
          <t>drone_hangar</t>
        </is>
      </c>
      <c r="AK21" t="inlineStr">
        <is>
          <t>giong</t>
        </is>
      </c>
      <c r="BH21" t="inlineStr">
        <is>
          <t>drone_hangar</t>
        </is>
      </c>
      <c r="BI21" t="inlineStr">
        <is>
          <t>swarm</t>
        </is>
      </c>
      <c r="BJ21" t="inlineStr">
        <is>
          <t>Large</t>
        </is>
      </c>
      <c r="BK21" t="inlineStr">
        <is>
          <t>drone_fpv_swarm</t>
        </is>
      </c>
      <c r="BL21" t="b">
        <v>0</v>
      </c>
      <c r="BM21" t="n">
        <v>14</v>
      </c>
      <c r="BN21" t="n">
        <v>14</v>
      </c>
      <c r="BO21" t="n">
        <v>60</v>
      </c>
      <c r="BP21" t="n">
        <v>5</v>
      </c>
      <c r="BQ21" t="inlineStr">
        <is>
          <t>Campaign</t>
        </is>
      </c>
      <c r="BR21" t="inlineStr">
        <is>
          <t>drone_hangar</t>
        </is>
      </c>
      <c r="BS21" t="inlineStr"/>
      <c r="BY21" t="inlineStr">
        <is>
          <t>drone_hangar_b</t>
        </is>
      </c>
      <c r="CE21" t="inlineStr">
        <is>
          <t>drone_hangar</t>
        </is>
      </c>
      <c r="DB21" t="inlineStr">
        <is>
          <t>drone_hangar</t>
        </is>
      </c>
      <c r="DP21" t="n">
        <v>14</v>
      </c>
      <c r="ED21" t="inlineStr">
        <is>
          <t>drone_fpv_swarm</t>
        </is>
      </c>
      <c r="EK21" t="inlineStr">
        <is>
          <t>fpv_hangar_swarm</t>
        </is>
      </c>
      <c r="EM21" t="inlineStr">
        <is>
          <t>Assets/MachineBrigade/Resources/Data/balance.json: vehicles[96]</t>
        </is>
      </c>
      <c r="EN21" t="inlineStr">
        <is>
          <t>{"id":"drone_hangar.swarm","rebuildCp":14,"towerRole":"drone_fpv_swarm","art":"drone_hangar_b","inherits":"drone_hangar","branchOf":"drone_hangar","weapon":"fpv_hangar_swarm"}</t>
        </is>
      </c>
    </row>
    <row r="22">
      <c r="A22" t="inlineStr">
        <is>
          <t>drone_net_tower</t>
        </is>
      </c>
      <c r="B22" t="inlineStr">
        <is>
          <t>Drone net corridor</t>
        </is>
      </c>
      <c r="C22" t="inlineStr">
        <is>
          <t>Lưới chắn drone</t>
        </is>
      </c>
      <c r="D22" t="inlineStr">
        <is>
          <t>Lưới drone</t>
        </is>
      </c>
      <c r="E22" t="inlineStr"/>
      <c r="F22" t="inlineStr"/>
      <c r="G22" t="inlineStr"/>
      <c r="H22" t="n">
        <v>0</v>
      </c>
      <c r="I22" t="n">
        <v>364</v>
      </c>
      <c r="J22" t="n">
        <v>800.8</v>
      </c>
      <c r="K22" t="n">
        <v>0</v>
      </c>
      <c r="L22" t="n">
        <v>0</v>
      </c>
      <c r="M22" t="n">
        <v>0</v>
      </c>
      <c r="N22" t="n">
        <v>0</v>
      </c>
      <c r="O22" t="b">
        <v>1</v>
      </c>
      <c r="P22" t="n">
        <v>0</v>
      </c>
      <c r="Q22" t="n">
        <v>1</v>
      </c>
      <c r="R22" t="n">
        <v>1</v>
      </c>
      <c r="S22" t="n">
        <v>20</v>
      </c>
      <c r="T22" t="n">
        <v>1.6</v>
      </c>
      <c r="U22" t="n">
        <v>3</v>
      </c>
      <c r="V22" t="n">
        <v>8</v>
      </c>
      <c r="W22" t="b">
        <v>0</v>
      </c>
      <c r="X22" t="n">
        <v>0</v>
      </c>
      <c r="Y22" t="b">
        <v>1</v>
      </c>
      <c r="Z22" t="b">
        <v>1</v>
      </c>
      <c r="AA22" t="n">
        <v>1</v>
      </c>
      <c r="AB22" t="n">
        <v>3.5</v>
      </c>
      <c r="AC22" t="n">
        <v>1</v>
      </c>
      <c r="AD22" t="inlineStr">
        <is>
          <t>net_zap</t>
        </is>
      </c>
      <c r="AE22" t="inlineStr"/>
      <c r="AF22" t="inlineStr"/>
      <c r="AG22" t="inlineStr">
        <is>
          <t>none</t>
        </is>
      </c>
      <c r="AH22" t="inlineStr"/>
      <c r="AI22" t="inlineStr"/>
      <c r="AJ22" t="inlineStr">
        <is>
          <t>drone_net_tower</t>
        </is>
      </c>
      <c r="AK22" t="inlineStr">
        <is>
          <t>giong</t>
        </is>
      </c>
      <c r="BH22" t="inlineStr"/>
      <c r="BI22" t="inlineStr"/>
      <c r="BJ22" t="inlineStr">
        <is>
          <t>Small</t>
        </is>
      </c>
      <c r="BK22" t="inlineStr"/>
      <c r="BL22" t="b">
        <v>0</v>
      </c>
      <c r="BM22" t="n">
        <v>2</v>
      </c>
      <c r="BN22" t="n">
        <v>2</v>
      </c>
      <c r="BO22" t="n">
        <v>25</v>
      </c>
      <c r="BP22" t="n">
        <v>2.5</v>
      </c>
      <c r="BQ22" t="inlineStr">
        <is>
          <t>Campaign</t>
        </is>
      </c>
      <c r="BR22" t="inlineStr">
        <is>
          <t>drone_net_tower</t>
        </is>
      </c>
      <c r="BS22" t="inlineStr"/>
      <c r="BT22" t="n">
        <v>0</v>
      </c>
      <c r="CK22" t="n">
        <v>0</v>
      </c>
      <c r="CU22" t="inlineStr">
        <is>
          <t>Small</t>
        </is>
      </c>
      <c r="DA22" t="n">
        <v>364</v>
      </c>
      <c r="DD22" t="n">
        <v>3</v>
      </c>
      <c r="DG22" t="inlineStr">
        <is>
          <t>drone_net_tower</t>
        </is>
      </c>
      <c r="DH22" t="n">
        <v>4.6</v>
      </c>
      <c r="DI22" t="n">
        <v>6</v>
      </c>
      <c r="DJ22" t="n">
        <v>4</v>
      </c>
      <c r="DN22" t="b">
        <v>1</v>
      </c>
      <c r="DO22" t="n">
        <v>1.6</v>
      </c>
      <c r="DZ22" t="n">
        <v>0</v>
      </c>
      <c r="EA22" t="b">
        <v>1</v>
      </c>
      <c r="EE22" t="n">
        <v>1</v>
      </c>
      <c r="EF22" t="n">
        <v>1</v>
      </c>
      <c r="EG22" t="n">
        <v>20</v>
      </c>
      <c r="EK22" t="inlineStr">
        <is>
          <t>net_zap</t>
        </is>
      </c>
      <c r="EL22" t="n">
        <v>8</v>
      </c>
      <c r="EM22" t="inlineStr">
        <is>
          <t>Assets/MachineBrigade/Resources/Data/balance.json: vehicles[133]</t>
        </is>
      </c>
      <c r="EN22" t="inlineStr">
        <is>
          <t>{"id":"drone_net_tower","model":"drone_net_tower","modelSize":[6.0,4.0,4.6],"fort":{"size":"Small"},"static":true,"passable":true,"armour":0,"hp":364,"speed":0,"turnRate":1,"turretTurnRate":1,"radius":1.6,"length":3.0,"width":8.0,"cp":0,"vision":20,"weapon":"net_zap"}</t>
        </is>
      </c>
    </row>
    <row r="23">
      <c r="A23" t="inlineStr">
        <is>
          <t>ew_tower</t>
        </is>
      </c>
      <c r="B23" t="inlineStr">
        <is>
          <t>EW tower</t>
        </is>
      </c>
      <c r="C23" t="inlineStr">
        <is>
          <t>Tháp gây nhiễu EW</t>
        </is>
      </c>
      <c r="D23" t="inlineStr">
        <is>
          <t>Tháp EW</t>
        </is>
      </c>
      <c r="E23" t="inlineStr"/>
      <c r="F23" t="inlineStr"/>
      <c r="G23" t="inlineStr"/>
      <c r="H23" t="n">
        <v>0</v>
      </c>
      <c r="I23" t="n">
        <v>800</v>
      </c>
      <c r="J23" t="n">
        <v>1760</v>
      </c>
      <c r="K23" t="n">
        <v>1</v>
      </c>
      <c r="L23" t="n">
        <v>1</v>
      </c>
      <c r="M23" t="n">
        <v>1</v>
      </c>
      <c r="N23" t="n">
        <v>1</v>
      </c>
      <c r="O23" t="b">
        <v>1</v>
      </c>
      <c r="P23" t="n">
        <v>0</v>
      </c>
      <c r="Q23" t="n">
        <v>1</v>
      </c>
      <c r="R23" t="n">
        <v>60</v>
      </c>
      <c r="S23" t="n">
        <v>50</v>
      </c>
      <c r="T23" t="n">
        <v>1.8</v>
      </c>
      <c r="U23" t="n">
        <v>4</v>
      </c>
      <c r="V23" t="n">
        <v>4</v>
      </c>
      <c r="W23" t="b">
        <v>0</v>
      </c>
      <c r="X23" t="n">
        <v>0</v>
      </c>
      <c r="Y23" t="b">
        <v>1</v>
      </c>
      <c r="Z23" t="b">
        <v>1</v>
      </c>
      <c r="AA23" t="n">
        <v>1</v>
      </c>
      <c r="AB23" t="n">
        <v>3.5</v>
      </c>
      <c r="AC23" t="n">
        <v>1</v>
      </c>
      <c r="AD23" t="inlineStr">
        <is>
          <t>none</t>
        </is>
      </c>
      <c r="AE23" t="inlineStr"/>
      <c r="AF23" t="inlineStr"/>
      <c r="AG23" t="inlineStr">
        <is>
          <t>none</t>
        </is>
      </c>
      <c r="AH23" t="inlineStr"/>
      <c r="AI23" t="inlineStr"/>
      <c r="AJ23" t="inlineStr">
        <is>
          <t>ew_tower</t>
        </is>
      </c>
      <c r="AK23" t="inlineStr">
        <is>
          <t>giong</t>
        </is>
      </c>
      <c r="BH23" t="inlineStr"/>
      <c r="BI23" t="inlineStr"/>
      <c r="BJ23" t="inlineStr">
        <is>
          <t>Small</t>
        </is>
      </c>
      <c r="BK23" t="inlineStr"/>
      <c r="BL23" t="b">
        <v>1</v>
      </c>
      <c r="BM23" t="n">
        <v>3</v>
      </c>
      <c r="BN23" t="n">
        <v>3</v>
      </c>
      <c r="BO23" t="n">
        <v>25</v>
      </c>
      <c r="BP23" t="n">
        <v>2.5</v>
      </c>
      <c r="BQ23" t="inlineStr">
        <is>
          <t>Campaign</t>
        </is>
      </c>
      <c r="BR23" t="inlineStr">
        <is>
          <t>ew_tower</t>
        </is>
      </c>
      <c r="BS23" t="inlineStr"/>
      <c r="BT23" t="n">
        <v>1</v>
      </c>
      <c r="CF23" t="inlineStr">
        <is>
          <t>ew_tower.drone;ew_tower.spoof</t>
        </is>
      </c>
      <c r="CK23" t="n">
        <v>0</v>
      </c>
      <c r="CL23" t="n">
        <v>60</v>
      </c>
      <c r="CM23" t="n">
        <v>0.3</v>
      </c>
      <c r="CN23" t="n">
        <v>5</v>
      </c>
      <c r="CO23" t="inlineStr">
        <is>
          <t>Large</t>
        </is>
      </c>
      <c r="CU23" t="inlineStr">
        <is>
          <t>Small</t>
        </is>
      </c>
      <c r="DA23" t="n">
        <v>800</v>
      </c>
      <c r="DC23" t="n">
        <v>30</v>
      </c>
      <c r="DD23" t="n">
        <v>4</v>
      </c>
      <c r="DO23" t="n">
        <v>1.8</v>
      </c>
      <c r="DP23" t="n">
        <v>3</v>
      </c>
      <c r="DZ23" t="n">
        <v>0</v>
      </c>
      <c r="EA23" t="b">
        <v>1</v>
      </c>
      <c r="EE23" t="n">
        <v>1</v>
      </c>
      <c r="EF23" t="n">
        <v>60</v>
      </c>
      <c r="EG23" t="n">
        <v>50</v>
      </c>
      <c r="EK23" t="inlineStr">
        <is>
          <t>none</t>
        </is>
      </c>
      <c r="EL23" t="n">
        <v>4</v>
      </c>
      <c r="EM23" t="inlineStr">
        <is>
          <t>Assets/MachineBrigade/Resources/Data/balance.json: vehicles[71]</t>
        </is>
      </c>
      <c r="EN23" t="inlineStr">
        <is>
          <t>{"id":"ew_tower","rebuildCp":3,"branches":["ew_tower.drone","ew_tower.spoof"],"fort":{"size":"Small"},"static":true,"armour":1,"hp":800,"speed":0,"turnRate":1,"turretTurnRate":60,"radius":1.8,"length":4,"width":4,"cp":0,"vision":50,"weapon":"none","jammer":30,"deathExplosion":{"damage":60,"radius":5,"delay":0.3,"tier":"Large"}}</t>
        </is>
      </c>
    </row>
    <row r="24">
      <c r="A24" t="inlineStr">
        <is>
          <t>ew_tower.drone</t>
        </is>
      </c>
      <c r="B24" t="inlineStr"/>
      <c r="C24" t="inlineStr"/>
      <c r="D24" t="inlineStr">
        <is>
          <t>Chống drone</t>
        </is>
      </c>
      <c r="E24" t="inlineStr"/>
      <c r="F24" t="inlineStr"/>
      <c r="G24" t="inlineStr">
        <is>
          <t>ew_tower</t>
        </is>
      </c>
      <c r="H24" t="n">
        <v>0</v>
      </c>
      <c r="I24" t="n">
        <v>800</v>
      </c>
      <c r="J24" t="n">
        <v>1760</v>
      </c>
      <c r="K24" t="n">
        <v>1</v>
      </c>
      <c r="L24" t="n">
        <v>1</v>
      </c>
      <c r="M24" t="n">
        <v>1</v>
      </c>
      <c r="N24" t="n">
        <v>1</v>
      </c>
      <c r="O24" t="b">
        <v>1</v>
      </c>
      <c r="P24" t="n">
        <v>0</v>
      </c>
      <c r="Q24" t="n">
        <v>1</v>
      </c>
      <c r="R24" t="n">
        <v>60</v>
      </c>
      <c r="S24" t="n">
        <v>50</v>
      </c>
      <c r="T24" t="n">
        <v>1.8</v>
      </c>
      <c r="U24" t="n">
        <v>4</v>
      </c>
      <c r="V24" t="n">
        <v>4</v>
      </c>
      <c r="W24" t="b">
        <v>0</v>
      </c>
      <c r="X24" t="n">
        <v>0</v>
      </c>
      <c r="Y24" t="b">
        <v>1</v>
      </c>
      <c r="Z24" t="b">
        <v>1</v>
      </c>
      <c r="AA24" t="n">
        <v>1</v>
      </c>
      <c r="AB24" t="n">
        <v>3.5</v>
      </c>
      <c r="AC24" t="n">
        <v>1</v>
      </c>
      <c r="AD24" t="inlineStr">
        <is>
          <t>none</t>
        </is>
      </c>
      <c r="AE24" t="inlineStr"/>
      <c r="AF24" t="inlineStr"/>
      <c r="AG24" t="inlineStr">
        <is>
          <t>none</t>
        </is>
      </c>
      <c r="AH24" t="inlineStr"/>
      <c r="AI24" t="inlineStr"/>
      <c r="AJ24" t="inlineStr">
        <is>
          <t>ew_tower</t>
        </is>
      </c>
      <c r="AK24" t="inlineStr">
        <is>
          <t>giong</t>
        </is>
      </c>
      <c r="BH24" t="inlineStr">
        <is>
          <t>ew_tower</t>
        </is>
      </c>
      <c r="BI24" t="inlineStr">
        <is>
          <t>drone</t>
        </is>
      </c>
      <c r="BJ24" t="inlineStr">
        <is>
          <t>Small</t>
        </is>
      </c>
      <c r="BK24" t="inlineStr">
        <is>
          <t>jam_drones_guided</t>
        </is>
      </c>
      <c r="BL24" t="b">
        <v>0</v>
      </c>
      <c r="BM24" t="n">
        <v>3</v>
      </c>
      <c r="BN24" t="n">
        <v>3</v>
      </c>
      <c r="BO24" t="n">
        <v>25</v>
      </c>
      <c r="BP24" t="n">
        <v>2.5</v>
      </c>
      <c r="BQ24" t="inlineStr">
        <is>
          <t>Campaign</t>
        </is>
      </c>
      <c r="BR24" t="inlineStr">
        <is>
          <t>ew_tower</t>
        </is>
      </c>
      <c r="BS24" t="inlineStr"/>
      <c r="BY24" t="inlineStr">
        <is>
          <t>ew_tower_a</t>
        </is>
      </c>
      <c r="CE24" t="inlineStr">
        <is>
          <t>ew_tower</t>
        </is>
      </c>
      <c r="DB24" t="inlineStr">
        <is>
          <t>ew_tower</t>
        </is>
      </c>
      <c r="DC24" t="n">
        <v>45</v>
      </c>
      <c r="DP24" t="n">
        <v>3</v>
      </c>
      <c r="ED24" t="inlineStr">
        <is>
          <t>jam_drones_guided</t>
        </is>
      </c>
      <c r="EM24" t="inlineStr">
        <is>
          <t>Assets/MachineBrigade/Resources/Data/balance.json: vehicles[80]</t>
        </is>
      </c>
      <c r="EN24" t="inlineStr">
        <is>
          <t>{"id":"ew_tower.drone","rebuildCp":3,"towerRole":"jam_drones_guided","art":"ew_tower_a","inherits":"ew_tower","branchOf":"ew_tower","jammer":45}</t>
        </is>
      </c>
    </row>
    <row r="25">
      <c r="A25" t="inlineStr">
        <is>
          <t>ew_tower.spoof</t>
        </is>
      </c>
      <c r="B25" t="inlineStr"/>
      <c r="C25" t="inlineStr"/>
      <c r="D25" t="inlineStr">
        <is>
          <t>Đánh lừa radar</t>
        </is>
      </c>
      <c r="E25" t="inlineStr"/>
      <c r="F25" t="inlineStr"/>
      <c r="G25" t="inlineStr">
        <is>
          <t>ew_tower</t>
        </is>
      </c>
      <c r="H25" t="n">
        <v>0</v>
      </c>
      <c r="I25" t="n">
        <v>800</v>
      </c>
      <c r="J25" t="n">
        <v>1760</v>
      </c>
      <c r="K25" t="n">
        <v>1</v>
      </c>
      <c r="L25" t="n">
        <v>1</v>
      </c>
      <c r="M25" t="n">
        <v>1</v>
      </c>
      <c r="N25" t="n">
        <v>1</v>
      </c>
      <c r="O25" t="b">
        <v>1</v>
      </c>
      <c r="P25" t="n">
        <v>0</v>
      </c>
      <c r="Q25" t="n">
        <v>1</v>
      </c>
      <c r="R25" t="n">
        <v>60</v>
      </c>
      <c r="S25" t="n">
        <v>50</v>
      </c>
      <c r="T25" t="n">
        <v>1.8</v>
      </c>
      <c r="U25" t="n">
        <v>4</v>
      </c>
      <c r="V25" t="n">
        <v>4</v>
      </c>
      <c r="W25" t="b">
        <v>0</v>
      </c>
      <c r="X25" t="n">
        <v>0</v>
      </c>
      <c r="Y25" t="b">
        <v>1</v>
      </c>
      <c r="Z25" t="b">
        <v>1</v>
      </c>
      <c r="AA25" t="n">
        <v>1</v>
      </c>
      <c r="AB25" t="n">
        <v>3.5</v>
      </c>
      <c r="AC25" t="n">
        <v>1</v>
      </c>
      <c r="AD25" t="inlineStr">
        <is>
          <t>none</t>
        </is>
      </c>
      <c r="AE25" t="inlineStr"/>
      <c r="AF25" t="inlineStr"/>
      <c r="AG25" t="inlineStr">
        <is>
          <t>none</t>
        </is>
      </c>
      <c r="AH25" t="inlineStr"/>
      <c r="AI25" t="inlineStr"/>
      <c r="AJ25" t="inlineStr">
        <is>
          <t>ew_tower</t>
        </is>
      </c>
      <c r="AK25" t="inlineStr">
        <is>
          <t>giong</t>
        </is>
      </c>
      <c r="BH25" t="inlineStr">
        <is>
          <t>ew_tower</t>
        </is>
      </c>
      <c r="BI25" t="inlineStr">
        <is>
          <t>spoof</t>
        </is>
      </c>
      <c r="BJ25" t="inlineStr">
        <is>
          <t>Small</t>
        </is>
      </c>
      <c r="BK25" t="inlineStr">
        <is>
          <t>radar_spoof_counterbattery</t>
        </is>
      </c>
      <c r="BL25" t="b">
        <v>0</v>
      </c>
      <c r="BM25" t="n">
        <v>3</v>
      </c>
      <c r="BN25" t="n">
        <v>3</v>
      </c>
      <c r="BO25" t="n">
        <v>25</v>
      </c>
      <c r="BP25" t="n">
        <v>2.5</v>
      </c>
      <c r="BQ25" t="inlineStr">
        <is>
          <t>Campaign</t>
        </is>
      </c>
      <c r="BR25" t="inlineStr">
        <is>
          <t>ew_tower</t>
        </is>
      </c>
      <c r="BS25" t="inlineStr"/>
      <c r="BY25" t="inlineStr">
        <is>
          <t>ew_tower_b</t>
        </is>
      </c>
      <c r="CE25" t="inlineStr">
        <is>
          <t>ew_tower</t>
        </is>
      </c>
      <c r="CH25" t="n">
        <v>0</v>
      </c>
      <c r="CI25" t="n">
        <v>80</v>
      </c>
      <c r="CJ25" t="n">
        <v>6</v>
      </c>
      <c r="DB25" t="inlineStr">
        <is>
          <t>ew_tower</t>
        </is>
      </c>
      <c r="DP25" t="n">
        <v>3</v>
      </c>
      <c r="ED25" t="inlineStr">
        <is>
          <t>radar_spoof_counterbattery</t>
        </is>
      </c>
      <c r="EM25" t="inlineStr">
        <is>
          <t>Assets/MachineBrigade/Resources/Data/balance.json: vehicles[81]</t>
        </is>
      </c>
      <c r="EN25" t="inlineStr">
        <is>
          <t>{"id":"ew_tower.spoof","rebuildCp":3,"towerRole":"radar_spoof_counterbattery","art":"ew_tower_b","inherits":"ew_tower","branchOf":"ew_tower","counterBattery":{"range":80,"seconds":6,"bonus":0}}</t>
        </is>
      </c>
    </row>
    <row r="26">
      <c r="A26" t="inlineStr">
        <is>
          <t>flare_searchlight_tower</t>
        </is>
      </c>
      <c r="B26" t="inlineStr">
        <is>
          <t>Flare tower (small slot)</t>
        </is>
      </c>
      <c r="C26" t="inlineStr">
        <is>
          <t>Tháp pháo sáng (ô nhỏ)</t>
        </is>
      </c>
      <c r="D26" t="inlineStr">
        <is>
          <t>Tháp pháo sáng</t>
        </is>
      </c>
      <c r="E26" t="inlineStr"/>
      <c r="F26" t="inlineStr"/>
      <c r="G26" t="inlineStr"/>
      <c r="H26" t="n">
        <v>0</v>
      </c>
      <c r="I26" t="n">
        <v>455</v>
      </c>
      <c r="J26" t="n">
        <v>1001</v>
      </c>
      <c r="K26" t="n">
        <v>1</v>
      </c>
      <c r="L26" t="n">
        <v>1</v>
      </c>
      <c r="M26" t="n">
        <v>1</v>
      </c>
      <c r="N26" t="n">
        <v>1</v>
      </c>
      <c r="O26" t="b">
        <v>1</v>
      </c>
      <c r="P26" t="n">
        <v>0</v>
      </c>
      <c r="Q26" t="n">
        <v>1</v>
      </c>
      <c r="R26" t="n">
        <v>90</v>
      </c>
      <c r="S26" t="n">
        <v>55</v>
      </c>
      <c r="T26" t="n">
        <v>1.8</v>
      </c>
      <c r="U26" t="n">
        <v>3.6</v>
      </c>
      <c r="V26" t="n">
        <v>3.6</v>
      </c>
      <c r="W26" t="b">
        <v>0</v>
      </c>
      <c r="X26" t="n">
        <v>0</v>
      </c>
      <c r="Y26" t="b">
        <v>1</v>
      </c>
      <c r="Z26" t="b">
        <v>1</v>
      </c>
      <c r="AA26" t="n">
        <v>1</v>
      </c>
      <c r="AB26" t="n">
        <v>3.5</v>
      </c>
      <c r="AC26" t="n">
        <v>1</v>
      </c>
      <c r="AD26" t="inlineStr">
        <is>
          <t>illum_flare</t>
        </is>
      </c>
      <c r="AE26" t="inlineStr"/>
      <c r="AF26" t="inlineStr"/>
      <c r="AG26" t="inlineStr">
        <is>
          <t>flare</t>
        </is>
      </c>
      <c r="AH26" t="n">
        <v>0</v>
      </c>
      <c r="AI26" t="n">
        <v>0</v>
      </c>
      <c r="AJ26" t="inlineStr">
        <is>
          <t>flare_searchlight_tower</t>
        </is>
      </c>
      <c r="AK26" t="inlineStr">
        <is>
          <t>giong</t>
        </is>
      </c>
      <c r="BH26" t="inlineStr"/>
      <c r="BI26" t="inlineStr"/>
      <c r="BJ26" t="inlineStr">
        <is>
          <t>Small</t>
        </is>
      </c>
      <c r="BK26" t="inlineStr"/>
      <c r="BL26" t="b">
        <v>0</v>
      </c>
      <c r="BM26" t="n">
        <v>2</v>
      </c>
      <c r="BN26" t="n">
        <v>2</v>
      </c>
      <c r="BO26" t="n">
        <v>25</v>
      </c>
      <c r="BP26" t="n">
        <v>2.5</v>
      </c>
      <c r="BQ26" t="inlineStr">
        <is>
          <t>Campaign</t>
        </is>
      </c>
      <c r="BR26" t="inlineStr">
        <is>
          <t>flare_searchlight_tower</t>
        </is>
      </c>
      <c r="BS26" t="inlineStr"/>
      <c r="BT26" t="n">
        <v>1</v>
      </c>
      <c r="CK26" t="n">
        <v>0</v>
      </c>
      <c r="CL26" t="n">
        <v>25</v>
      </c>
      <c r="CM26" t="n">
        <v>0.2</v>
      </c>
      <c r="CN26" t="n">
        <v>4</v>
      </c>
      <c r="CO26" t="inlineStr">
        <is>
          <t>Large</t>
        </is>
      </c>
      <c r="CU26" t="inlineStr">
        <is>
          <t>Small</t>
        </is>
      </c>
      <c r="DA26" t="n">
        <v>455</v>
      </c>
      <c r="DD26" t="n">
        <v>3.6</v>
      </c>
      <c r="DG26" t="inlineStr">
        <is>
          <t>flare_searchlight_tower</t>
        </is>
      </c>
      <c r="DH26" t="n">
        <v>5</v>
      </c>
      <c r="DI26" t="n">
        <v>3.6</v>
      </c>
      <c r="DJ26" t="n">
        <v>3.6</v>
      </c>
      <c r="DO26" t="n">
        <v>1.8</v>
      </c>
      <c r="DZ26" t="n">
        <v>0</v>
      </c>
      <c r="EA26" t="b">
        <v>1</v>
      </c>
      <c r="EE26" t="n">
        <v>1</v>
      </c>
      <c r="EF26" t="n">
        <v>90</v>
      </c>
      <c r="EG26" t="n">
        <v>55</v>
      </c>
      <c r="EK26" t="inlineStr">
        <is>
          <t>illum_flare</t>
        </is>
      </c>
      <c r="EL26" t="n">
        <v>3.6</v>
      </c>
      <c r="EM26" t="inlineStr">
        <is>
          <t>Assets/MachineBrigade/Resources/Data/balance.json: vehicles[128]</t>
        </is>
      </c>
      <c r="EN26" t="inlineStr">
        <is>
          <t>{"id":"flare_searchlight_tower","model":"flare_searchlight_tower","modelSize":[3.6,3.6,5.0],"fort":{"size":"Small"},"static":true,"armour":1,"hp":455,"speed":0,"turnRate":1,"turretTurnRate":90,"radius":1.8,"length":3.6,"width":3.6,"cp":0,"vision":55,"weapon":"illum_flare","flares":{"every":15,"range":40,"radius":25,"seconds":15},"deathExplosion":{"damage":25,"radius":4,"delay":0.2,"tier":"Large"}}</t>
        </is>
      </c>
    </row>
    <row r="27">
      <c r="A27" t="inlineStr">
        <is>
          <t>flare_tower</t>
        </is>
      </c>
      <c r="B27" t="inlineStr">
        <is>
          <t>Flare tower</t>
        </is>
      </c>
      <c r="C27" t="inlineStr">
        <is>
          <t>Tháp pháo sáng</t>
        </is>
      </c>
      <c r="D27" t="inlineStr">
        <is>
          <t>Tháp pháo sáng</t>
        </is>
      </c>
      <c r="E27" t="inlineStr"/>
      <c r="F27" t="inlineStr"/>
      <c r="G27" t="inlineStr"/>
      <c r="H27" t="n">
        <v>0</v>
      </c>
      <c r="I27" t="n">
        <v>455</v>
      </c>
      <c r="J27" t="n">
        <v>1001</v>
      </c>
      <c r="K27" t="n">
        <v>1</v>
      </c>
      <c r="L27" t="n">
        <v>1</v>
      </c>
      <c r="M27" t="n">
        <v>1</v>
      </c>
      <c r="N27" t="n">
        <v>1</v>
      </c>
      <c r="O27" t="b">
        <v>1</v>
      </c>
      <c r="P27" t="n">
        <v>0</v>
      </c>
      <c r="Q27" t="n">
        <v>1</v>
      </c>
      <c r="R27" t="n">
        <v>90</v>
      </c>
      <c r="S27" t="n">
        <v>60</v>
      </c>
      <c r="T27" t="n">
        <v>1.8</v>
      </c>
      <c r="U27" t="n">
        <v>3.6</v>
      </c>
      <c r="V27" t="n">
        <v>3.6</v>
      </c>
      <c r="W27" t="b">
        <v>0</v>
      </c>
      <c r="X27" t="n">
        <v>0</v>
      </c>
      <c r="Y27" t="b">
        <v>1</v>
      </c>
      <c r="Z27" t="b">
        <v>1</v>
      </c>
      <c r="AA27" t="n">
        <v>1</v>
      </c>
      <c r="AB27" t="n">
        <v>3.5</v>
      </c>
      <c r="AC27" t="n">
        <v>1</v>
      </c>
      <c r="AD27" t="inlineStr">
        <is>
          <t>illum_flare</t>
        </is>
      </c>
      <c r="AE27" t="inlineStr"/>
      <c r="AF27" t="inlineStr"/>
      <c r="AG27" t="inlineStr">
        <is>
          <t>flare</t>
        </is>
      </c>
      <c r="AH27" t="n">
        <v>0</v>
      </c>
      <c r="AI27" t="n">
        <v>0</v>
      </c>
      <c r="AJ27" t="inlineStr">
        <is>
          <t>flare_tower</t>
        </is>
      </c>
      <c r="AK27" t="inlineStr">
        <is>
          <t>giong</t>
        </is>
      </c>
      <c r="BH27" t="inlineStr"/>
      <c r="BI27" t="inlineStr"/>
      <c r="BJ27" t="inlineStr">
        <is>
          <t>Small</t>
        </is>
      </c>
      <c r="BK27" t="inlineStr"/>
      <c r="BL27" t="b">
        <v>0</v>
      </c>
      <c r="BM27" t="n">
        <v>2</v>
      </c>
      <c r="BN27" t="n">
        <v>2</v>
      </c>
      <c r="BO27" t="n">
        <v>25</v>
      </c>
      <c r="BP27" t="n">
        <v>2.5</v>
      </c>
      <c r="BQ27" t="inlineStr">
        <is>
          <t>Campaign</t>
        </is>
      </c>
      <c r="BR27" t="inlineStr">
        <is>
          <t>flare_tower</t>
        </is>
      </c>
      <c r="BS27" t="inlineStr"/>
      <c r="BT27" t="n">
        <v>1</v>
      </c>
      <c r="CK27" t="n">
        <v>0</v>
      </c>
      <c r="CL27" t="n">
        <v>30</v>
      </c>
      <c r="CM27" t="n">
        <v>0.2</v>
      </c>
      <c r="CN27" t="n">
        <v>4</v>
      </c>
      <c r="CO27" t="inlineStr">
        <is>
          <t>Large</t>
        </is>
      </c>
      <c r="CU27" t="inlineStr">
        <is>
          <t>Small</t>
        </is>
      </c>
      <c r="DA27" t="n">
        <v>455</v>
      </c>
      <c r="DD27" t="n">
        <v>3.6</v>
      </c>
      <c r="DH27" t="n">
        <v>5</v>
      </c>
      <c r="DI27" t="n">
        <v>3.6</v>
      </c>
      <c r="DJ27" t="n">
        <v>3.6</v>
      </c>
      <c r="DO27" t="n">
        <v>1.8</v>
      </c>
      <c r="DZ27" t="n">
        <v>0</v>
      </c>
      <c r="EA27" t="b">
        <v>1</v>
      </c>
      <c r="EE27" t="n">
        <v>1</v>
      </c>
      <c r="EF27" t="n">
        <v>90</v>
      </c>
      <c r="EG27" t="n">
        <v>60</v>
      </c>
      <c r="EK27" t="inlineStr">
        <is>
          <t>illum_flare</t>
        </is>
      </c>
      <c r="EL27" t="n">
        <v>3.6</v>
      </c>
      <c r="EM27" t="inlineStr">
        <is>
          <t>Assets/MachineBrigade/Resources/Data/balance.json: vehicles[118]</t>
        </is>
      </c>
      <c r="EN27" t="inlineStr">
        <is>
          <t>{"id":"flare_tower","modelSize":[3.6,3.6,5.0],"fort":{"size":"Small"},"static":true,"armour":1,"hp":455,"speed":0,"turnRate":1,"turretTurnRate":90,"radius":1.8,"length":3.6,"width":3.6,"cp":0,"vision":60,"weapon":"illum_flare","flares":{"every":15,"range":40,"radius":30,"seconds":15},"deathExplosion":{"damage":30,"radius":4,"delay":0.2,"tier":"Large"}}</t>
        </is>
      </c>
    </row>
    <row r="28">
      <c r="A28" t="inlineStr">
        <is>
          <t>guard_tower</t>
        </is>
      </c>
      <c r="B28" t="inlineStr">
        <is>
          <t>Guard tower</t>
        </is>
      </c>
      <c r="C28" t="inlineStr">
        <is>
          <t>Tháp canh</t>
        </is>
      </c>
      <c r="D28" t="inlineStr">
        <is>
          <t>Tháp canh</t>
        </is>
      </c>
      <c r="E28" t="inlineStr"/>
      <c r="F28" t="inlineStr"/>
      <c r="G28" t="inlineStr"/>
      <c r="H28" t="n">
        <v>0</v>
      </c>
      <c r="I28" t="n">
        <v>700</v>
      </c>
      <c r="J28" t="n">
        <v>1540</v>
      </c>
      <c r="K28" t="n">
        <v>1</v>
      </c>
      <c r="L28" t="n">
        <v>1</v>
      </c>
      <c r="M28" t="n">
        <v>1</v>
      </c>
      <c r="N28" t="n">
        <v>1</v>
      </c>
      <c r="O28" t="b">
        <v>1</v>
      </c>
      <c r="P28" t="n">
        <v>0</v>
      </c>
      <c r="Q28" t="n">
        <v>1</v>
      </c>
      <c r="R28" t="n">
        <v>200</v>
      </c>
      <c r="S28" t="n">
        <v>60</v>
      </c>
      <c r="T28" t="n">
        <v>1.8</v>
      </c>
      <c r="U28" t="n">
        <v>3.5</v>
      </c>
      <c r="V28" t="n">
        <v>3.5</v>
      </c>
      <c r="W28" t="b">
        <v>0</v>
      </c>
      <c r="X28" t="n">
        <v>0</v>
      </c>
      <c r="Y28" t="b">
        <v>1</v>
      </c>
      <c r="Z28" t="b">
        <v>1</v>
      </c>
      <c r="AA28" t="n">
        <v>1</v>
      </c>
      <c r="AB28" t="n">
        <v>3.5</v>
      </c>
      <c r="AC28" t="n">
        <v>1</v>
      </c>
      <c r="AD28" t="inlineStr">
        <is>
          <t>tower_hmg</t>
        </is>
      </c>
      <c r="AE28" t="inlineStr"/>
      <c r="AF28" t="inlineStr"/>
      <c r="AG28" t="inlineStr">
        <is>
          <t>none</t>
        </is>
      </c>
      <c r="AH28" t="inlineStr"/>
      <c r="AI28" t="inlineStr"/>
      <c r="AJ28" t="inlineStr">
        <is>
          <t>guard_tower</t>
        </is>
      </c>
      <c r="AK28" t="inlineStr">
        <is>
          <t>giong</t>
        </is>
      </c>
      <c r="BH28" t="inlineStr"/>
      <c r="BI28" t="inlineStr"/>
      <c r="BJ28" t="inlineStr">
        <is>
          <t>Small</t>
        </is>
      </c>
      <c r="BK28" t="inlineStr"/>
      <c r="BL28" t="b">
        <v>1</v>
      </c>
      <c r="BM28" t="n">
        <v>5</v>
      </c>
      <c r="BN28" t="n">
        <v>5</v>
      </c>
      <c r="BO28" t="n">
        <v>25</v>
      </c>
      <c r="BP28" t="n">
        <v>2.5</v>
      </c>
      <c r="BQ28" t="inlineStr">
        <is>
          <t>Starter</t>
        </is>
      </c>
      <c r="BR28" t="inlineStr">
        <is>
          <t>guard_tower</t>
        </is>
      </c>
      <c r="BS28" t="inlineStr"/>
      <c r="BT28" t="n">
        <v>1</v>
      </c>
      <c r="CF28" t="inlineStr">
        <is>
          <t>guard_tower.watch;guard_tower.nest</t>
        </is>
      </c>
      <c r="CK28" t="n">
        <v>0</v>
      </c>
      <c r="CL28" t="n">
        <v>60</v>
      </c>
      <c r="CM28" t="n">
        <v>0.3</v>
      </c>
      <c r="CN28" t="n">
        <v>5</v>
      </c>
      <c r="CO28" t="inlineStr">
        <is>
          <t>Large</t>
        </is>
      </c>
      <c r="CU28" t="inlineStr">
        <is>
          <t>Small</t>
        </is>
      </c>
      <c r="DA28" t="n">
        <v>700</v>
      </c>
      <c r="DD28" t="n">
        <v>3.5</v>
      </c>
      <c r="DO28" t="n">
        <v>1.8</v>
      </c>
      <c r="DP28" t="n">
        <v>5</v>
      </c>
      <c r="DU28" t="b">
        <v>1</v>
      </c>
      <c r="DW28" t="inlineStr"/>
      <c r="DZ28" t="n">
        <v>0</v>
      </c>
      <c r="EA28" t="b">
        <v>1</v>
      </c>
      <c r="EB28" t="n">
        <v>25</v>
      </c>
      <c r="EC28" t="n">
        <v>0.1</v>
      </c>
      <c r="EE28" t="n">
        <v>1</v>
      </c>
      <c r="EF28" t="n">
        <v>200</v>
      </c>
      <c r="EG28" t="n">
        <v>60</v>
      </c>
      <c r="EK28" t="inlineStr">
        <is>
          <t>tower_hmg</t>
        </is>
      </c>
      <c r="EL28" t="n">
        <v>3.5</v>
      </c>
      <c r="EM28" t="inlineStr">
        <is>
          <t>Assets/MachineBrigade/Resources/Data/balance.json: vehicles[107]</t>
        </is>
      </c>
      <c r="EN28" t="inlineStr">
        <is>
          <t>{"id":"guard_tower","rebuildCp":5,"branches":["guard_tower.watch","guard_tower.nest"],"fort":{"size":"Small"},"static":true,"armour":1,"hp":700,"speed":0,"turnRate":1,"turretTurnRate":200,"radius":1.8,"length":3.5,"width":3.5,"cp":0,"vision":60,"revealStealth":true,"towerRangeAura":{"radius":25,"range":0.1},"weapon":"tower_hmg","secondary":[],"deathExplosion":{"damage":60,"radius":5,"delay":0.3,"tier":"Large"}}</t>
        </is>
      </c>
    </row>
    <row r="29">
      <c r="A29" t="inlineStr">
        <is>
          <t>guard_tower.nest</t>
        </is>
      </c>
      <c r="B29" t="inlineStr"/>
      <c r="C29" t="inlineStr"/>
      <c r="D29" t="inlineStr">
        <is>
          <t>Ổ súng</t>
        </is>
      </c>
      <c r="E29" t="inlineStr"/>
      <c r="F29" t="inlineStr"/>
      <c r="G29" t="inlineStr">
        <is>
          <t>guard_tower</t>
        </is>
      </c>
      <c r="H29" t="n">
        <v>0</v>
      </c>
      <c r="I29" t="n">
        <v>700</v>
      </c>
      <c r="J29" t="n">
        <v>1540</v>
      </c>
      <c r="K29" t="n">
        <v>1</v>
      </c>
      <c r="L29" t="n">
        <v>1</v>
      </c>
      <c r="M29" t="n">
        <v>1</v>
      </c>
      <c r="N29" t="n">
        <v>1</v>
      </c>
      <c r="O29" t="b">
        <v>1</v>
      </c>
      <c r="P29" t="n">
        <v>0</v>
      </c>
      <c r="Q29" t="n">
        <v>1</v>
      </c>
      <c r="R29" t="n">
        <v>200</v>
      </c>
      <c r="S29" t="n">
        <v>48</v>
      </c>
      <c r="T29" t="n">
        <v>1.8</v>
      </c>
      <c r="U29" t="n">
        <v>3.5</v>
      </c>
      <c r="V29" t="n">
        <v>3.5</v>
      </c>
      <c r="W29" t="b">
        <v>0</v>
      </c>
      <c r="X29" t="n">
        <v>0</v>
      </c>
      <c r="Y29" t="b">
        <v>1</v>
      </c>
      <c r="Z29" t="b">
        <v>1</v>
      </c>
      <c r="AA29" t="n">
        <v>1</v>
      </c>
      <c r="AB29" t="n">
        <v>3.5</v>
      </c>
      <c r="AC29" t="n">
        <v>1</v>
      </c>
      <c r="AD29" t="inlineStr">
        <is>
          <t>tower_ac25</t>
        </is>
      </c>
      <c r="AE29" t="inlineStr"/>
      <c r="AF29" t="inlineStr"/>
      <c r="AG29" t="inlineStr">
        <is>
          <t>none</t>
        </is>
      </c>
      <c r="AH29" t="inlineStr"/>
      <c r="AI29" t="inlineStr"/>
      <c r="AJ29" t="inlineStr">
        <is>
          <t>guard_tower</t>
        </is>
      </c>
      <c r="AK29" t="inlineStr">
        <is>
          <t>giong</t>
        </is>
      </c>
      <c r="BH29" t="inlineStr">
        <is>
          <t>guard_tower</t>
        </is>
      </c>
      <c r="BI29" t="inlineStr">
        <is>
          <t>nest</t>
        </is>
      </c>
      <c r="BJ29" t="inlineStr">
        <is>
          <t>Small</t>
        </is>
      </c>
      <c r="BK29" t="inlineStr">
        <is>
          <t>autocannon_25</t>
        </is>
      </c>
      <c r="BL29" t="b">
        <v>0</v>
      </c>
      <c r="BM29" t="n">
        <v>5</v>
      </c>
      <c r="BN29" t="n">
        <v>5</v>
      </c>
      <c r="BO29" t="n">
        <v>25</v>
      </c>
      <c r="BP29" t="n">
        <v>2.5</v>
      </c>
      <c r="BQ29" t="inlineStr">
        <is>
          <t>Campaign</t>
        </is>
      </c>
      <c r="BR29" t="inlineStr">
        <is>
          <t>guard_tower</t>
        </is>
      </c>
      <c r="BS29" t="inlineStr"/>
      <c r="BY29" t="inlineStr">
        <is>
          <t>guard_tower_b</t>
        </is>
      </c>
      <c r="CE29" t="inlineStr">
        <is>
          <t>guard_tower</t>
        </is>
      </c>
      <c r="DB29" t="inlineStr">
        <is>
          <t>guard_tower</t>
        </is>
      </c>
      <c r="DP29" t="n">
        <v>5</v>
      </c>
      <c r="ED29" t="inlineStr">
        <is>
          <t>autocannon_25</t>
        </is>
      </c>
      <c r="EG29" t="n">
        <v>48</v>
      </c>
      <c r="EK29" t="inlineStr">
        <is>
          <t>tower_ac25</t>
        </is>
      </c>
      <c r="EM29" t="inlineStr">
        <is>
          <t>Assets/MachineBrigade/Resources/Data/balance.json: vehicles[77]</t>
        </is>
      </c>
      <c r="EN29" t="inlineStr">
        <is>
          <t>{"id":"guard_tower.nest","rebuildCp":5,"towerRole":"autocannon_25","art":"guard_tower_b","inherits":"guard_tower","branchOf":"guard_tower","weapon":"tower_ac25","vision":48}</t>
        </is>
      </c>
    </row>
    <row r="30">
      <c r="A30" t="inlineStr">
        <is>
          <t>guard_tower.watch</t>
        </is>
      </c>
      <c r="B30" t="inlineStr"/>
      <c r="C30" t="inlineStr"/>
      <c r="D30" t="inlineStr">
        <is>
          <t>Tháp quan sát</t>
        </is>
      </c>
      <c r="E30" t="inlineStr"/>
      <c r="F30" t="inlineStr"/>
      <c r="G30" t="inlineStr">
        <is>
          <t>guard_tower</t>
        </is>
      </c>
      <c r="H30" t="n">
        <v>0</v>
      </c>
      <c r="I30" t="n">
        <v>700</v>
      </c>
      <c r="J30" t="n">
        <v>1540</v>
      </c>
      <c r="K30" t="n">
        <v>1</v>
      </c>
      <c r="L30" t="n">
        <v>1</v>
      </c>
      <c r="M30" t="n">
        <v>1</v>
      </c>
      <c r="N30" t="n">
        <v>1</v>
      </c>
      <c r="O30" t="b">
        <v>1</v>
      </c>
      <c r="P30" t="n">
        <v>0</v>
      </c>
      <c r="Q30" t="n">
        <v>1</v>
      </c>
      <c r="R30" t="n">
        <v>200</v>
      </c>
      <c r="S30" t="n">
        <v>78</v>
      </c>
      <c r="T30" t="n">
        <v>1.8</v>
      </c>
      <c r="U30" t="n">
        <v>3.5</v>
      </c>
      <c r="V30" t="n">
        <v>3.5</v>
      </c>
      <c r="W30" t="b">
        <v>0</v>
      </c>
      <c r="X30" t="n">
        <v>0</v>
      </c>
      <c r="Y30" t="b">
        <v>1</v>
      </c>
      <c r="Z30" t="b">
        <v>1</v>
      </c>
      <c r="AA30" t="n">
        <v>1</v>
      </c>
      <c r="AB30" t="n">
        <v>3.5</v>
      </c>
      <c r="AC30" t="n">
        <v>1</v>
      </c>
      <c r="AD30" t="inlineStr">
        <is>
          <t>tower_hmg</t>
        </is>
      </c>
      <c r="AE30" t="inlineStr"/>
      <c r="AF30" t="inlineStr"/>
      <c r="AG30" t="inlineStr">
        <is>
          <t>none</t>
        </is>
      </c>
      <c r="AH30" t="inlineStr"/>
      <c r="AI30" t="inlineStr"/>
      <c r="AJ30" t="inlineStr">
        <is>
          <t>guard_tower</t>
        </is>
      </c>
      <c r="AK30" t="inlineStr">
        <is>
          <t>giong</t>
        </is>
      </c>
      <c r="BH30" t="inlineStr">
        <is>
          <t>guard_tower</t>
        </is>
      </c>
      <c r="BI30" t="inlineStr">
        <is>
          <t>watch</t>
        </is>
      </c>
      <c r="BJ30" t="inlineStr">
        <is>
          <t>Small</t>
        </is>
      </c>
      <c r="BK30" t="inlineStr">
        <is>
          <t>observation_reach</t>
        </is>
      </c>
      <c r="BL30" t="b">
        <v>0</v>
      </c>
      <c r="BM30" t="n">
        <v>5</v>
      </c>
      <c r="BN30" t="n">
        <v>5</v>
      </c>
      <c r="BO30" t="n">
        <v>25</v>
      </c>
      <c r="BP30" t="n">
        <v>2.5</v>
      </c>
      <c r="BQ30" t="inlineStr">
        <is>
          <t>Campaign</t>
        </is>
      </c>
      <c r="BR30" t="inlineStr">
        <is>
          <t>guard_tower</t>
        </is>
      </c>
      <c r="BS30" t="inlineStr"/>
      <c r="BY30" t="inlineStr">
        <is>
          <t>guard_tower_a</t>
        </is>
      </c>
      <c r="CE30" t="inlineStr">
        <is>
          <t>guard_tower</t>
        </is>
      </c>
      <c r="DB30" t="inlineStr">
        <is>
          <t>guard_tower</t>
        </is>
      </c>
      <c r="DP30" t="n">
        <v>5</v>
      </c>
      <c r="EB30" t="n">
        <v>35</v>
      </c>
      <c r="EC30" t="n">
        <v>0.15</v>
      </c>
      <c r="ED30" t="inlineStr">
        <is>
          <t>observation_reach</t>
        </is>
      </c>
      <c r="EG30" t="n">
        <v>78</v>
      </c>
      <c r="EM30" t="inlineStr">
        <is>
          <t>Assets/MachineBrigade/Resources/Data/balance.json: vehicles[76]</t>
        </is>
      </c>
      <c r="EN30" t="inlineStr">
        <is>
          <t>{"id":"guard_tower.watch","rebuildCp":5,"towerRole":"observation_reach","art":"guard_tower_a","inherits":"guard_tower","branchOf":"guard_tower","vision":78,"towerRangeAura":{"radius":35,"range":0.15}}</t>
        </is>
      </c>
    </row>
    <row r="31">
      <c r="A31" t="inlineStr">
        <is>
          <t>gun_turret</t>
        </is>
      </c>
      <c r="B31" t="inlineStr">
        <is>
          <t>Gun turret</t>
        </is>
      </c>
      <c r="C31" t="inlineStr">
        <is>
          <t>Tháp pháo</t>
        </is>
      </c>
      <c r="D31" t="inlineStr">
        <is>
          <t>Tháp pháo</t>
        </is>
      </c>
      <c r="E31" t="inlineStr"/>
      <c r="F31" t="inlineStr"/>
      <c r="G31" t="inlineStr"/>
      <c r="H31" t="n">
        <v>0</v>
      </c>
      <c r="I31" t="n">
        <v>1800</v>
      </c>
      <c r="J31" t="n">
        <v>3960</v>
      </c>
      <c r="K31" t="n">
        <v>3</v>
      </c>
      <c r="L31" t="n">
        <v>3</v>
      </c>
      <c r="M31" t="n">
        <v>3</v>
      </c>
      <c r="N31" t="n">
        <v>3</v>
      </c>
      <c r="O31" t="b">
        <v>1</v>
      </c>
      <c r="P31" t="n">
        <v>0</v>
      </c>
      <c r="Q31" t="n">
        <v>1</v>
      </c>
      <c r="R31" t="n">
        <v>28</v>
      </c>
      <c r="S31" t="n">
        <v>42</v>
      </c>
      <c r="T31" t="n">
        <v>2.5</v>
      </c>
      <c r="U31" t="n">
        <v>5</v>
      </c>
      <c r="V31" t="n">
        <v>5</v>
      </c>
      <c r="W31" t="b">
        <v>0</v>
      </c>
      <c r="X31" t="n">
        <v>0</v>
      </c>
      <c r="Y31" t="b">
        <v>1</v>
      </c>
      <c r="Z31" t="b">
        <v>1</v>
      </c>
      <c r="AA31" t="n">
        <v>1</v>
      </c>
      <c r="AB31" t="n">
        <v>3.5</v>
      </c>
      <c r="AC31" t="n">
        <v>1</v>
      </c>
      <c r="AD31" t="inlineStr">
        <is>
          <t>turret_gun_120</t>
        </is>
      </c>
      <c r="AE31" t="inlineStr"/>
      <c r="AF31" t="inlineStr"/>
      <c r="AG31" t="inlineStr">
        <is>
          <t>none</t>
        </is>
      </c>
      <c r="AH31" t="inlineStr"/>
      <c r="AI31" t="inlineStr"/>
      <c r="AJ31" t="inlineStr">
        <is>
          <t>gun_turret</t>
        </is>
      </c>
      <c r="AK31" t="inlineStr">
        <is>
          <t>giong</t>
        </is>
      </c>
      <c r="BH31" t="inlineStr"/>
      <c r="BI31" t="inlineStr"/>
      <c r="BJ31" t="inlineStr">
        <is>
          <t>Medium</t>
        </is>
      </c>
      <c r="BK31" t="inlineStr"/>
      <c r="BL31" t="b">
        <v>1</v>
      </c>
      <c r="BM31" t="n">
        <v>11</v>
      </c>
      <c r="BN31" t="n">
        <v>11</v>
      </c>
      <c r="BO31" t="n">
        <v>40</v>
      </c>
      <c r="BP31" t="n">
        <v>3.5</v>
      </c>
      <c r="BQ31" t="inlineStr">
        <is>
          <t>Starter</t>
        </is>
      </c>
      <c r="BR31" t="inlineStr">
        <is>
          <t>gun_turret</t>
        </is>
      </c>
      <c r="BS31" t="inlineStr"/>
      <c r="BT31" t="n">
        <v>3</v>
      </c>
      <c r="CF31" t="inlineStr">
        <is>
          <t>gun_turret.long;gun_turret.auto</t>
        </is>
      </c>
      <c r="CK31" t="n">
        <v>0</v>
      </c>
      <c r="CL31" t="n">
        <v>120</v>
      </c>
      <c r="CM31" t="n">
        <v>0.4</v>
      </c>
      <c r="CN31" t="n">
        <v>8</v>
      </c>
      <c r="CO31" t="inlineStr">
        <is>
          <t>Huge</t>
        </is>
      </c>
      <c r="CU31" t="inlineStr">
        <is>
          <t>Medium</t>
        </is>
      </c>
      <c r="DA31" t="n">
        <v>1800</v>
      </c>
      <c r="DD31" t="n">
        <v>5</v>
      </c>
      <c r="DO31" t="n">
        <v>2.5</v>
      </c>
      <c r="DP31" t="n">
        <v>11</v>
      </c>
      <c r="DW31" t="inlineStr"/>
      <c r="DZ31" t="n">
        <v>0</v>
      </c>
      <c r="EA31" t="b">
        <v>1</v>
      </c>
      <c r="EE31" t="n">
        <v>1</v>
      </c>
      <c r="EF31" t="n">
        <v>28</v>
      </c>
      <c r="EG31" t="n">
        <v>42</v>
      </c>
      <c r="EK31" t="inlineStr">
        <is>
          <t>turret_gun_120</t>
        </is>
      </c>
      <c r="EL31" t="n">
        <v>5</v>
      </c>
      <c r="EM31" t="inlineStr">
        <is>
          <t>Assets/MachineBrigade/Resources/Data/balance.json: vehicles[69]</t>
        </is>
      </c>
      <c r="EN31" t="inlineStr">
        <is>
          <t>{"id":"gun_turret","rebuildCp":11,"branches":["gun_turret.long","gun_turret.auto"],"fort":{"size":"Medium"},"static":true,"armour":3,"hp":1800,"speed":0,"turnRate":1,"turretTurnRate":28,"radius":2.5,"length":5,"width":5,"cp":0,"vision":42,"weapon":"turret_gun_120","secondary":[],"deathExplosion":{"damage":120,"radius":8,"delay":0.4,"tier":"Huge"}}</t>
        </is>
      </c>
    </row>
    <row r="32">
      <c r="A32" t="inlineStr">
        <is>
          <t>gun_turret.auto</t>
        </is>
      </c>
      <c r="B32" t="inlineStr"/>
      <c r="C32" t="inlineStr"/>
      <c r="D32" t="inlineStr">
        <is>
          <t>Pháo 57 mm</t>
        </is>
      </c>
      <c r="E32" t="inlineStr"/>
      <c r="F32" t="inlineStr"/>
      <c r="G32" t="inlineStr">
        <is>
          <t>gun_turret</t>
        </is>
      </c>
      <c r="H32" t="n">
        <v>0</v>
      </c>
      <c r="I32" t="n">
        <v>1800</v>
      </c>
      <c r="J32" t="n">
        <v>3960</v>
      </c>
      <c r="K32" t="n">
        <v>3</v>
      </c>
      <c r="L32" t="n">
        <v>3</v>
      </c>
      <c r="M32" t="n">
        <v>3</v>
      </c>
      <c r="N32" t="n">
        <v>3</v>
      </c>
      <c r="O32" t="b">
        <v>1</v>
      </c>
      <c r="P32" t="n">
        <v>0</v>
      </c>
      <c r="Q32" t="n">
        <v>1</v>
      </c>
      <c r="R32" t="n">
        <v>28</v>
      </c>
      <c r="S32" t="n">
        <v>42</v>
      </c>
      <c r="T32" t="n">
        <v>2.5</v>
      </c>
      <c r="U32" t="n">
        <v>5</v>
      </c>
      <c r="V32" t="n">
        <v>5</v>
      </c>
      <c r="W32" t="b">
        <v>0</v>
      </c>
      <c r="X32" t="n">
        <v>0</v>
      </c>
      <c r="Y32" t="b">
        <v>1</v>
      </c>
      <c r="Z32" t="b">
        <v>1</v>
      </c>
      <c r="AA32" t="n">
        <v>1</v>
      </c>
      <c r="AB32" t="n">
        <v>3.5</v>
      </c>
      <c r="AC32" t="n">
        <v>1</v>
      </c>
      <c r="AD32" t="inlineStr">
        <is>
          <t>gun_57_auto</t>
        </is>
      </c>
      <c r="AE32" t="inlineStr"/>
      <c r="AF32" t="inlineStr"/>
      <c r="AG32" t="inlineStr">
        <is>
          <t>none</t>
        </is>
      </c>
      <c r="AH32" t="inlineStr"/>
      <c r="AI32" t="inlineStr"/>
      <c r="AJ32" t="inlineStr">
        <is>
          <t>gun_turret</t>
        </is>
      </c>
      <c r="AK32" t="inlineStr">
        <is>
          <t>giong</t>
        </is>
      </c>
      <c r="BH32" t="inlineStr">
        <is>
          <t>gun_turret</t>
        </is>
      </c>
      <c r="BI32" t="inlineStr">
        <is>
          <t>auto</t>
        </is>
      </c>
      <c r="BJ32" t="inlineStr">
        <is>
          <t>Medium</t>
        </is>
      </c>
      <c r="BK32" t="inlineStr">
        <is>
          <t>gun_57_light</t>
        </is>
      </c>
      <c r="BL32" t="b">
        <v>0</v>
      </c>
      <c r="BM32" t="n">
        <v>11</v>
      </c>
      <c r="BN32" t="n">
        <v>11</v>
      </c>
      <c r="BO32" t="n">
        <v>40</v>
      </c>
      <c r="BP32" t="n">
        <v>3.5</v>
      </c>
      <c r="BQ32" t="inlineStr">
        <is>
          <t>Campaign</t>
        </is>
      </c>
      <c r="BR32" t="inlineStr">
        <is>
          <t>gun_turret</t>
        </is>
      </c>
      <c r="BS32" t="inlineStr"/>
      <c r="BY32" t="inlineStr">
        <is>
          <t>gun_turret_b</t>
        </is>
      </c>
      <c r="CE32" t="inlineStr">
        <is>
          <t>gun_turret</t>
        </is>
      </c>
      <c r="DB32" t="inlineStr">
        <is>
          <t>gun_turret</t>
        </is>
      </c>
      <c r="DP32" t="n">
        <v>11</v>
      </c>
      <c r="ED32" t="inlineStr">
        <is>
          <t>gun_57_light</t>
        </is>
      </c>
      <c r="EK32" t="inlineStr">
        <is>
          <t>gun_57_auto</t>
        </is>
      </c>
      <c r="EM32" t="inlineStr">
        <is>
          <t>Assets/MachineBrigade/Resources/Data/balance.json: vehicles[86]</t>
        </is>
      </c>
      <c r="EN32" t="inlineStr">
        <is>
          <t>{"id":"gun_turret.auto","rebuildCp":11,"towerRole":"gun_57_light","art":"gun_turret_b","inherits":"gun_turret","branchOf":"gun_turret","weapon":"gun_57_auto"}</t>
        </is>
      </c>
    </row>
    <row r="33">
      <c r="A33" t="inlineStr">
        <is>
          <t>gun_turret.long</t>
        </is>
      </c>
      <c r="B33" t="inlineStr"/>
      <c r="C33" t="inlineStr"/>
      <c r="D33" t="inlineStr">
        <is>
          <t>Pháo bắn tỉa</t>
        </is>
      </c>
      <c r="E33" t="inlineStr"/>
      <c r="F33" t="inlineStr"/>
      <c r="G33" t="inlineStr">
        <is>
          <t>gun_turret</t>
        </is>
      </c>
      <c r="H33" t="n">
        <v>0</v>
      </c>
      <c r="I33" t="n">
        <v>1800</v>
      </c>
      <c r="J33" t="n">
        <v>3960</v>
      </c>
      <c r="K33" t="n">
        <v>3</v>
      </c>
      <c r="L33" t="n">
        <v>3</v>
      </c>
      <c r="M33" t="n">
        <v>3</v>
      </c>
      <c r="N33" t="n">
        <v>3</v>
      </c>
      <c r="O33" t="b">
        <v>1</v>
      </c>
      <c r="P33" t="n">
        <v>0</v>
      </c>
      <c r="Q33" t="n">
        <v>1</v>
      </c>
      <c r="R33" t="n">
        <v>28</v>
      </c>
      <c r="S33" t="n">
        <v>42</v>
      </c>
      <c r="T33" t="n">
        <v>2.5</v>
      </c>
      <c r="U33" t="n">
        <v>5</v>
      </c>
      <c r="V33" t="n">
        <v>5</v>
      </c>
      <c r="W33" t="b">
        <v>0</v>
      </c>
      <c r="X33" t="n">
        <v>0</v>
      </c>
      <c r="Y33" t="b">
        <v>1</v>
      </c>
      <c r="Z33" t="b">
        <v>1</v>
      </c>
      <c r="AA33" t="n">
        <v>1</v>
      </c>
      <c r="AB33" t="n">
        <v>3.5</v>
      </c>
      <c r="AC33" t="n">
        <v>1</v>
      </c>
      <c r="AD33" t="inlineStr">
        <is>
          <t>turret_gun_120_long</t>
        </is>
      </c>
      <c r="AE33" t="inlineStr"/>
      <c r="AF33" t="inlineStr"/>
      <c r="AG33" t="inlineStr">
        <is>
          <t>none</t>
        </is>
      </c>
      <c r="AH33" t="inlineStr"/>
      <c r="AI33" t="inlineStr"/>
      <c r="AJ33" t="inlineStr">
        <is>
          <t>gun_turret</t>
        </is>
      </c>
      <c r="AK33" t="inlineStr">
        <is>
          <t>giong</t>
        </is>
      </c>
      <c r="BH33" t="inlineStr">
        <is>
          <t>gun_turret</t>
        </is>
      </c>
      <c r="BI33" t="inlineStr">
        <is>
          <t>long</t>
        </is>
      </c>
      <c r="BJ33" t="inlineStr">
        <is>
          <t>Medium</t>
        </is>
      </c>
      <c r="BK33" t="inlineStr">
        <is>
          <t>gun_sniper_120</t>
        </is>
      </c>
      <c r="BL33" t="b">
        <v>0</v>
      </c>
      <c r="BM33" t="n">
        <v>11</v>
      </c>
      <c r="BN33" t="n">
        <v>11</v>
      </c>
      <c r="BO33" t="n">
        <v>40</v>
      </c>
      <c r="BP33" t="n">
        <v>3.5</v>
      </c>
      <c r="BQ33" t="inlineStr">
        <is>
          <t>Campaign</t>
        </is>
      </c>
      <c r="BR33" t="inlineStr">
        <is>
          <t>gun_turret</t>
        </is>
      </c>
      <c r="BS33" t="inlineStr"/>
      <c r="BY33" t="inlineStr">
        <is>
          <t>gun_turret_a</t>
        </is>
      </c>
      <c r="CE33" t="inlineStr">
        <is>
          <t>gun_turret</t>
        </is>
      </c>
      <c r="DB33" t="inlineStr">
        <is>
          <t>gun_turret</t>
        </is>
      </c>
      <c r="DP33" t="n">
        <v>11</v>
      </c>
      <c r="ED33" t="inlineStr">
        <is>
          <t>gun_sniper_120</t>
        </is>
      </c>
      <c r="EK33" t="inlineStr">
        <is>
          <t>turret_gun_120_long</t>
        </is>
      </c>
      <c r="EM33" t="inlineStr">
        <is>
          <t>Assets/MachineBrigade/Resources/Data/balance.json: vehicles[85]</t>
        </is>
      </c>
      <c r="EN33" t="inlineStr">
        <is>
          <t>{"id":"gun_turret.long","rebuildCp":11,"towerRole":"gun_sniper_120","art":"gun_turret_a","inherits":"gun_turret","branchOf":"gun_turret","weapon":"turret_gun_120_long"}</t>
        </is>
      </c>
    </row>
    <row r="34">
      <c r="A34" t="inlineStr">
        <is>
          <t>heavy_turret</t>
        </is>
      </c>
      <c r="B34" t="inlineStr">
        <is>
          <t>Heavy gun turret</t>
        </is>
      </c>
      <c r="C34" t="inlineStr">
        <is>
          <t>Tháp pháo hạng nặng</t>
        </is>
      </c>
      <c r="D34" t="inlineStr">
        <is>
          <t>Pháo hạng nặng</t>
        </is>
      </c>
      <c r="E34" t="inlineStr"/>
      <c r="F34" t="inlineStr"/>
      <c r="G34" t="inlineStr"/>
      <c r="H34" t="n">
        <v>0</v>
      </c>
      <c r="I34" t="n">
        <v>2800</v>
      </c>
      <c r="J34" t="n">
        <v>6160</v>
      </c>
      <c r="K34" t="n">
        <v>4</v>
      </c>
      <c r="L34" t="n">
        <v>3</v>
      </c>
      <c r="M34" t="n">
        <v>3</v>
      </c>
      <c r="N34" t="n">
        <v>3</v>
      </c>
      <c r="O34" t="b">
        <v>1</v>
      </c>
      <c r="P34" t="n">
        <v>0</v>
      </c>
      <c r="Q34" t="n">
        <v>1</v>
      </c>
      <c r="R34" t="n">
        <v>20</v>
      </c>
      <c r="S34" t="n">
        <v>60</v>
      </c>
      <c r="T34" t="n">
        <v>3.8</v>
      </c>
      <c r="U34" t="n">
        <v>8</v>
      </c>
      <c r="V34" t="n">
        <v>8</v>
      </c>
      <c r="W34" t="b">
        <v>0</v>
      </c>
      <c r="X34" t="n">
        <v>0</v>
      </c>
      <c r="Y34" t="b">
        <v>1</v>
      </c>
      <c r="Z34" t="b">
        <v>1</v>
      </c>
      <c r="AA34" t="n">
        <v>1</v>
      </c>
      <c r="AB34" t="n">
        <v>3.5</v>
      </c>
      <c r="AC34" t="n">
        <v>1</v>
      </c>
      <c r="AD34" t="inlineStr">
        <is>
          <t>gun_155_twin_ap</t>
        </is>
      </c>
      <c r="AE34" t="inlineStr"/>
      <c r="AF34" t="inlineStr"/>
      <c r="AG34" t="inlineStr">
        <is>
          <t>none</t>
        </is>
      </c>
      <c r="AH34" t="inlineStr"/>
      <c r="AI34" t="inlineStr"/>
      <c r="AJ34" t="inlineStr">
        <is>
          <t>heavy_turret</t>
        </is>
      </c>
      <c r="AK34" t="inlineStr">
        <is>
          <t>giong</t>
        </is>
      </c>
      <c r="BH34" t="inlineStr"/>
      <c r="BI34" t="inlineStr"/>
      <c r="BJ34" t="inlineStr">
        <is>
          <t>Large</t>
        </is>
      </c>
      <c r="BK34" t="inlineStr"/>
      <c r="BL34" t="b">
        <v>1</v>
      </c>
      <c r="BM34" t="n">
        <v>18</v>
      </c>
      <c r="BN34" t="n">
        <v>18</v>
      </c>
      <c r="BO34" t="n">
        <v>60</v>
      </c>
      <c r="BP34" t="n">
        <v>5</v>
      </c>
      <c r="BQ34" t="inlineStr">
        <is>
          <t>Campaign</t>
        </is>
      </c>
      <c r="BR34" t="inlineStr">
        <is>
          <t>heavy_turret</t>
        </is>
      </c>
      <c r="BS34" t="inlineStr"/>
      <c r="BU34" t="n">
        <v>4</v>
      </c>
      <c r="BV34" t="n">
        <v>3</v>
      </c>
      <c r="BW34" t="n">
        <v>3</v>
      </c>
      <c r="BX34" t="n">
        <v>3</v>
      </c>
      <c r="CF34" t="inlineStr">
        <is>
          <t>heavy_turret.coastal;heavy_turret.bastion</t>
        </is>
      </c>
      <c r="CK34" t="n">
        <v>0</v>
      </c>
      <c r="CL34" t="n">
        <v>220</v>
      </c>
      <c r="CM34" t="n">
        <v>0.5</v>
      </c>
      <c r="CN34" t="n">
        <v>12</v>
      </c>
      <c r="CO34" t="inlineStr">
        <is>
          <t>Ultimate</t>
        </is>
      </c>
      <c r="CU34" t="inlineStr">
        <is>
          <t>Large</t>
        </is>
      </c>
      <c r="DA34" t="n">
        <v>2800</v>
      </c>
      <c r="DD34" t="n">
        <v>8</v>
      </c>
      <c r="DO34" t="n">
        <v>3.8</v>
      </c>
      <c r="DP34" t="n">
        <v>18</v>
      </c>
      <c r="DW34" t="inlineStr"/>
      <c r="DZ34" t="n">
        <v>0</v>
      </c>
      <c r="EA34" t="b">
        <v>1</v>
      </c>
      <c r="EE34" t="n">
        <v>1</v>
      </c>
      <c r="EF34" t="n">
        <v>20</v>
      </c>
      <c r="EG34" t="n">
        <v>60</v>
      </c>
      <c r="EK34" t="inlineStr">
        <is>
          <t>gun_155_twin_ap</t>
        </is>
      </c>
      <c r="EL34" t="n">
        <v>8</v>
      </c>
      <c r="EM34" t="inlineStr">
        <is>
          <t>Assets/MachineBrigade/Resources/Data/balance.json: vehicles[66]</t>
        </is>
      </c>
      <c r="EN34" t="inlineStr">
        <is>
          <t>{"id":"heavy_turret","rebuildCp":18,"branches":["heavy_turret.coastal","heavy_turret.bastion"],"fort":{"size":"Large"},"static":true,"armour":[4,3,3,3],"hp":2800,"speed":0,"turnRate":1,"turretTurnRate":20,"radius":3.8,"length":8,"width":8,"cp":0,"vision":60,"weapon":"gun_155_twin_ap","secondary":[],"deathExplosion":{"damage":220,"radius":12,"delay":0.5,"tier":"Ultimate"}}</t>
        </is>
      </c>
    </row>
    <row r="35">
      <c r="A35" t="inlineStr">
        <is>
          <t>heavy_turret.bastion</t>
        </is>
      </c>
      <c r="B35" t="inlineStr"/>
      <c r="C35" t="inlineStr"/>
      <c r="D35" t="inlineStr">
        <is>
          <t>Pháo đài thép</t>
        </is>
      </c>
      <c r="E35" t="inlineStr"/>
      <c r="F35" t="inlineStr"/>
      <c r="G35" t="inlineStr">
        <is>
          <t>heavy_turret</t>
        </is>
      </c>
      <c r="H35" t="n">
        <v>0</v>
      </c>
      <c r="I35" t="n">
        <v>4340</v>
      </c>
      <c r="J35" t="n">
        <v>9548</v>
      </c>
      <c r="K35" t="n">
        <v>4</v>
      </c>
      <c r="L35" t="n">
        <v>3</v>
      </c>
      <c r="M35" t="n">
        <v>3</v>
      </c>
      <c r="N35" t="n">
        <v>3</v>
      </c>
      <c r="O35" t="b">
        <v>1</v>
      </c>
      <c r="P35" t="n">
        <v>0</v>
      </c>
      <c r="Q35" t="n">
        <v>1</v>
      </c>
      <c r="R35" t="n">
        <v>20</v>
      </c>
      <c r="S35" t="n">
        <v>60</v>
      </c>
      <c r="T35" t="n">
        <v>3.8</v>
      </c>
      <c r="U35" t="n">
        <v>8</v>
      </c>
      <c r="V35" t="n">
        <v>8</v>
      </c>
      <c r="W35" t="b">
        <v>0</v>
      </c>
      <c r="X35" t="n">
        <v>0</v>
      </c>
      <c r="Y35" t="b">
        <v>1</v>
      </c>
      <c r="Z35" t="b">
        <v>1</v>
      </c>
      <c r="AA35" t="n">
        <v>1</v>
      </c>
      <c r="AB35" t="n">
        <v>3.5</v>
      </c>
      <c r="AC35" t="n">
        <v>1</v>
      </c>
      <c r="AD35" t="inlineStr">
        <is>
          <t>gun_155_twin_ap</t>
        </is>
      </c>
      <c r="AE35" t="inlineStr">
        <is>
          <t>hmg_roof;hmg_roof</t>
        </is>
      </c>
      <c r="AF35" t="inlineStr"/>
      <c r="AG35" t="inlineStr">
        <is>
          <t>none</t>
        </is>
      </c>
      <c r="AH35" t="inlineStr"/>
      <c r="AI35" t="inlineStr"/>
      <c r="AJ35" t="inlineStr">
        <is>
          <t>heavy_turret</t>
        </is>
      </c>
      <c r="AK35" t="inlineStr">
        <is>
          <t>giong</t>
        </is>
      </c>
      <c r="BH35" t="inlineStr">
        <is>
          <t>heavy_turret</t>
        </is>
      </c>
      <c r="BI35" t="inlineStr">
        <is>
          <t>bastion</t>
        </is>
      </c>
      <c r="BJ35" t="inlineStr">
        <is>
          <t>Large</t>
        </is>
      </c>
      <c r="BK35" t="inlineStr">
        <is>
          <t>fortress_close_defence</t>
        </is>
      </c>
      <c r="BL35" t="b">
        <v>0</v>
      </c>
      <c r="BM35" t="n">
        <v>18</v>
      </c>
      <c r="BN35" t="n">
        <v>18</v>
      </c>
      <c r="BO35" t="n">
        <v>60</v>
      </c>
      <c r="BP35" t="n">
        <v>5</v>
      </c>
      <c r="BQ35" t="inlineStr">
        <is>
          <t>Campaign</t>
        </is>
      </c>
      <c r="BR35" t="inlineStr">
        <is>
          <t>heavy_turret</t>
        </is>
      </c>
      <c r="BS35" t="inlineStr"/>
      <c r="BY35" t="inlineStr">
        <is>
          <t>heavy_turret_b</t>
        </is>
      </c>
      <c r="CE35" t="inlineStr">
        <is>
          <t>heavy_turret</t>
        </is>
      </c>
      <c r="DA35" t="n">
        <v>4340</v>
      </c>
      <c r="DB35" t="inlineStr">
        <is>
          <t>heavy_turret</t>
        </is>
      </c>
      <c r="DP35" t="n">
        <v>18</v>
      </c>
      <c r="ED35" t="inlineStr">
        <is>
          <t>fortress_close_defence</t>
        </is>
      </c>
      <c r="EM35" t="inlineStr">
        <is>
          <t>Assets/MachineBrigade/Resources/Data/balance.json: vehicles[98]</t>
        </is>
      </c>
      <c r="EN35" t="inlineStr">
        <is>
          <t>{"id":"heavy_turret.bastion","rebuildCp":18,"towerRole":"fortress_close_defence","art":"heavy_turret_b","secondary":[{"weapon":"hmg_roof","slot":"gun","aim":"Free"},{"weapon":"hmg_roof","slot":"gun","aim":"Free"}],"inherits":"heavy_turret","branchOf":"heavy_turret","hp":4340}</t>
        </is>
      </c>
    </row>
    <row r="36">
      <c r="A36" t="inlineStr">
        <is>
          <t>heavy_turret.coastal</t>
        </is>
      </c>
      <c r="B36" t="inlineStr"/>
      <c r="C36" t="inlineStr"/>
      <c r="D36" t="inlineStr">
        <is>
          <t>Pháo bờ biển</t>
        </is>
      </c>
      <c r="E36" t="inlineStr"/>
      <c r="F36" t="inlineStr"/>
      <c r="G36" t="inlineStr">
        <is>
          <t>heavy_turret</t>
        </is>
      </c>
      <c r="H36" t="n">
        <v>0</v>
      </c>
      <c r="I36" t="n">
        <v>2800</v>
      </c>
      <c r="J36" t="n">
        <v>6160</v>
      </c>
      <c r="K36" t="n">
        <v>4</v>
      </c>
      <c r="L36" t="n">
        <v>3</v>
      </c>
      <c r="M36" t="n">
        <v>3</v>
      </c>
      <c r="N36" t="n">
        <v>3</v>
      </c>
      <c r="O36" t="b">
        <v>1</v>
      </c>
      <c r="P36" t="n">
        <v>0</v>
      </c>
      <c r="Q36" t="n">
        <v>1</v>
      </c>
      <c r="R36" t="n">
        <v>20</v>
      </c>
      <c r="S36" t="n">
        <v>60</v>
      </c>
      <c r="T36" t="n">
        <v>3.8</v>
      </c>
      <c r="U36" t="n">
        <v>8</v>
      </c>
      <c r="V36" t="n">
        <v>8</v>
      </c>
      <c r="W36" t="b">
        <v>0</v>
      </c>
      <c r="X36" t="n">
        <v>0</v>
      </c>
      <c r="Y36" t="b">
        <v>1</v>
      </c>
      <c r="Z36" t="b">
        <v>1</v>
      </c>
      <c r="AA36" t="n">
        <v>1</v>
      </c>
      <c r="AB36" t="n">
        <v>3.5</v>
      </c>
      <c r="AC36" t="n">
        <v>1</v>
      </c>
      <c r="AD36" t="inlineStr">
        <is>
          <t>gun_155_twin_coastlr</t>
        </is>
      </c>
      <c r="AE36" t="inlineStr"/>
      <c r="AF36" t="inlineStr"/>
      <c r="AG36" t="inlineStr">
        <is>
          <t>none</t>
        </is>
      </c>
      <c r="AH36" t="inlineStr"/>
      <c r="AI36" t="inlineStr"/>
      <c r="AJ36" t="inlineStr">
        <is>
          <t>heavy_turret</t>
        </is>
      </c>
      <c r="AK36" t="inlineStr">
        <is>
          <t>giong</t>
        </is>
      </c>
      <c r="BH36" t="inlineStr">
        <is>
          <t>heavy_turret</t>
        </is>
      </c>
      <c r="BI36" t="inlineStr">
        <is>
          <t>coastal</t>
        </is>
      </c>
      <c r="BJ36" t="inlineStr">
        <is>
          <t>Large</t>
        </is>
      </c>
      <c r="BK36" t="inlineStr">
        <is>
          <t>gun_coastal_long</t>
        </is>
      </c>
      <c r="BL36" t="b">
        <v>0</v>
      </c>
      <c r="BM36" t="n">
        <v>18</v>
      </c>
      <c r="BN36" t="n">
        <v>18</v>
      </c>
      <c r="BO36" t="n">
        <v>60</v>
      </c>
      <c r="BP36" t="n">
        <v>5</v>
      </c>
      <c r="BQ36" t="inlineStr">
        <is>
          <t>Campaign</t>
        </is>
      </c>
      <c r="BR36" t="inlineStr">
        <is>
          <t>heavy_turret</t>
        </is>
      </c>
      <c r="BS36" t="inlineStr"/>
      <c r="BY36" t="inlineStr">
        <is>
          <t>heavy_turret_a</t>
        </is>
      </c>
      <c r="CE36" t="inlineStr">
        <is>
          <t>heavy_turret</t>
        </is>
      </c>
      <c r="DB36" t="inlineStr">
        <is>
          <t>heavy_turret</t>
        </is>
      </c>
      <c r="DP36" t="n">
        <v>18</v>
      </c>
      <c r="ED36" t="inlineStr">
        <is>
          <t>gun_coastal_long</t>
        </is>
      </c>
      <c r="EK36" t="inlineStr">
        <is>
          <t>gun_155_twin_coastlr</t>
        </is>
      </c>
      <c r="EM36" t="inlineStr">
        <is>
          <t>Assets/MachineBrigade/Resources/Data/balance.json: vehicles[97]</t>
        </is>
      </c>
      <c r="EN36" t="inlineStr">
        <is>
          <t>{"id":"heavy_turret.coastal","rebuildCp":18,"towerRole":"gun_coastal_long","art":"heavy_turret_a","inherits":"heavy_turret","branchOf":"heavy_turret","weapon":"gun_155_twin_coastlr"}</t>
        </is>
      </c>
    </row>
    <row r="37">
      <c r="A37" t="inlineStr">
        <is>
          <t>laser_ad_station</t>
        </is>
      </c>
      <c r="B37" t="inlineStr">
        <is>
          <t>Laser Defence Tower</t>
        </is>
      </c>
      <c r="C37" t="inlineStr">
        <is>
          <t>Tháp la-de phòng thủ</t>
        </is>
      </c>
      <c r="D37" t="inlineStr">
        <is>
          <t>Tháp la-de</t>
        </is>
      </c>
      <c r="E37" t="inlineStr"/>
      <c r="F37" t="inlineStr"/>
      <c r="G37" t="inlineStr"/>
      <c r="H37" t="n">
        <v>0</v>
      </c>
      <c r="I37" t="n">
        <v>1136</v>
      </c>
      <c r="J37" t="n">
        <v>2499.2</v>
      </c>
      <c r="K37" t="n">
        <v>1</v>
      </c>
      <c r="L37" t="n">
        <v>1</v>
      </c>
      <c r="M37" t="n">
        <v>1</v>
      </c>
      <c r="N37" t="n">
        <v>1</v>
      </c>
      <c r="O37" t="b">
        <v>1</v>
      </c>
      <c r="P37" t="n">
        <v>0</v>
      </c>
      <c r="Q37" t="n">
        <v>1</v>
      </c>
      <c r="R37" t="n">
        <v>180</v>
      </c>
      <c r="S37" t="n">
        <v>56</v>
      </c>
      <c r="T37" t="n">
        <v>2.5</v>
      </c>
      <c r="U37" t="n">
        <v>5.5</v>
      </c>
      <c r="V37" t="n">
        <v>4</v>
      </c>
      <c r="W37" t="b">
        <v>0</v>
      </c>
      <c r="X37" t="n">
        <v>0</v>
      </c>
      <c r="Y37" t="b">
        <v>1</v>
      </c>
      <c r="Z37" t="b">
        <v>1</v>
      </c>
      <c r="AA37" t="n">
        <v>1</v>
      </c>
      <c r="AB37" t="n">
        <v>3.5</v>
      </c>
      <c r="AC37" t="n">
        <v>1</v>
      </c>
      <c r="AD37" t="inlineStr">
        <is>
          <t>laser_50kw</t>
        </is>
      </c>
      <c r="AE37" t="inlineStr"/>
      <c r="AF37" t="inlineStr"/>
      <c r="AG37" t="inlineStr">
        <is>
          <t>aps</t>
        </is>
      </c>
      <c r="AH37" t="n">
        <v>1</v>
      </c>
      <c r="AI37" t="n">
        <v>0.8</v>
      </c>
      <c r="AJ37" t="inlineStr">
        <is>
          <t>laser_ad_station</t>
        </is>
      </c>
      <c r="AK37" t="inlineStr">
        <is>
          <t>giong</t>
        </is>
      </c>
      <c r="BH37" t="inlineStr"/>
      <c r="BI37" t="inlineStr"/>
      <c r="BJ37" t="inlineStr">
        <is>
          <t>Medium</t>
        </is>
      </c>
      <c r="BK37" t="inlineStr"/>
      <c r="BL37" t="b">
        <v>1</v>
      </c>
      <c r="BM37" t="n">
        <v>5</v>
      </c>
      <c r="BN37" t="n">
        <v>5</v>
      </c>
      <c r="BO37" t="n">
        <v>40</v>
      </c>
      <c r="BP37" t="n">
        <v>3.5</v>
      </c>
      <c r="BQ37" t="inlineStr">
        <is>
          <t>Premium</t>
        </is>
      </c>
      <c r="BR37" t="inlineStr">
        <is>
          <t>laser_ad_station</t>
        </is>
      </c>
      <c r="BS37" t="inlineStr"/>
      <c r="BT37" t="n">
        <v>1</v>
      </c>
      <c r="CF37" t="inlineStr">
        <is>
          <t>laser_ad_station.laser</t>
        </is>
      </c>
      <c r="CK37" t="n">
        <v>0</v>
      </c>
      <c r="CL37" t="n">
        <v>80</v>
      </c>
      <c r="CM37" t="n">
        <v>0.4</v>
      </c>
      <c r="CN37" t="n">
        <v>7</v>
      </c>
      <c r="CO37" t="inlineStr">
        <is>
          <t>Huge</t>
        </is>
      </c>
      <c r="CU37" t="inlineStr">
        <is>
          <t>Medium</t>
        </is>
      </c>
      <c r="DA37" t="n">
        <v>1136</v>
      </c>
      <c r="DD37" t="n">
        <v>5.5</v>
      </c>
      <c r="DH37" t="n">
        <v>6.6</v>
      </c>
      <c r="DI37" t="n">
        <v>6</v>
      </c>
      <c r="DJ37" t="n">
        <v>3.85</v>
      </c>
      <c r="DO37" t="n">
        <v>2.5</v>
      </c>
      <c r="DP37" t="n">
        <v>5</v>
      </c>
      <c r="DZ37" t="n">
        <v>0</v>
      </c>
      <c r="EA37" t="b">
        <v>1</v>
      </c>
      <c r="EE37" t="n">
        <v>1</v>
      </c>
      <c r="EF37" t="n">
        <v>180</v>
      </c>
      <c r="EG37" t="n">
        <v>56</v>
      </c>
      <c r="EK37" t="inlineStr">
        <is>
          <t>laser_50kw</t>
        </is>
      </c>
      <c r="EL37" t="n">
        <v>4</v>
      </c>
      <c r="EM37" t="inlineStr">
        <is>
          <t>Assets/MachineBrigade/Resources/Data/balance.json: vehicles[119]</t>
        </is>
      </c>
      <c r="EN37" t="inlineStr">
        <is>
          <t>{"id":"laser_ad_station","rebuildCp":5,"branches":["laser_ad_station.laser"],"modelSize":[6.0,3.85,6.6],"fort":{"size":"Medium"},"static":true,"armour":1,"hp":1136,"speed":0,"turnRate":1,"turretTurnRate":180,"radius":2.5,"length":5.5,"width":4.0,"cp":0,"vision":56,"weapon":"laser_50kw","aps":{"radius":40,"shells":0,"charges":1,"recharge":0.8,"rockets":true,"laser":true},"deathExplosion":{"damage":80,"radius":7,"delay":0.4,"tier":"Huge"}}</t>
        </is>
      </c>
    </row>
    <row r="38">
      <c r="A38" t="inlineStr">
        <is>
          <t>laser_ad_station.laser</t>
        </is>
      </c>
      <c r="B38" t="inlineStr"/>
      <c r="C38" t="inlineStr"/>
      <c r="D38" t="inlineStr">
        <is>
          <t>La-de</t>
        </is>
      </c>
      <c r="E38" t="inlineStr"/>
      <c r="F38" t="inlineStr"/>
      <c r="G38" t="inlineStr">
        <is>
          <t>laser_ad_station</t>
        </is>
      </c>
      <c r="H38" t="n">
        <v>0</v>
      </c>
      <c r="I38" t="n">
        <v>1136</v>
      </c>
      <c r="J38" t="n">
        <v>2499.2</v>
      </c>
      <c r="K38" t="n">
        <v>1</v>
      </c>
      <c r="L38" t="n">
        <v>1</v>
      </c>
      <c r="M38" t="n">
        <v>1</v>
      </c>
      <c r="N38" t="n">
        <v>1</v>
      </c>
      <c r="O38" t="b">
        <v>1</v>
      </c>
      <c r="P38" t="n">
        <v>0</v>
      </c>
      <c r="Q38" t="n">
        <v>1</v>
      </c>
      <c r="R38" t="n">
        <v>180</v>
      </c>
      <c r="S38" t="n">
        <v>56</v>
      </c>
      <c r="T38" t="n">
        <v>2.5</v>
      </c>
      <c r="U38" t="n">
        <v>5.5</v>
      </c>
      <c r="V38" t="n">
        <v>4</v>
      </c>
      <c r="W38" t="b">
        <v>0</v>
      </c>
      <c r="X38" t="n">
        <v>0</v>
      </c>
      <c r="Y38" t="b">
        <v>1</v>
      </c>
      <c r="Z38" t="b">
        <v>1</v>
      </c>
      <c r="AA38" t="n">
        <v>1</v>
      </c>
      <c r="AB38" t="n">
        <v>3.5</v>
      </c>
      <c r="AC38" t="n">
        <v>1</v>
      </c>
      <c r="AD38" t="inlineStr">
        <is>
          <t>laser_50kw</t>
        </is>
      </c>
      <c r="AE38" t="inlineStr"/>
      <c r="AF38" t="inlineStr"/>
      <c r="AG38" t="inlineStr">
        <is>
          <t>aps</t>
        </is>
      </c>
      <c r="AH38" t="n">
        <v>1</v>
      </c>
      <c r="AI38" t="n">
        <v>0.8</v>
      </c>
      <c r="AJ38" t="inlineStr">
        <is>
          <t>laser_ad_station</t>
        </is>
      </c>
      <c r="AK38" t="inlineStr">
        <is>
          <t>moi</t>
        </is>
      </c>
      <c r="BH38" t="inlineStr">
        <is>
          <t>laser_ad_station</t>
        </is>
      </c>
      <c r="BI38" t="inlineStr">
        <is>
          <t>laser</t>
        </is>
      </c>
      <c r="BJ38" t="inlineStr">
        <is>
          <t>Medium</t>
        </is>
      </c>
      <c r="BK38" t="inlineStr">
        <is>
          <t>antidrone_laser</t>
        </is>
      </c>
      <c r="BL38" t="b">
        <v>0</v>
      </c>
      <c r="BM38" t="n">
        <v>5</v>
      </c>
      <c r="BN38" t="n">
        <v>5</v>
      </c>
      <c r="BO38" t="n">
        <v>40</v>
      </c>
      <c r="BP38" t="n">
        <v>3.5</v>
      </c>
      <c r="BQ38" t="inlineStr">
        <is>
          <t>Campaign</t>
        </is>
      </c>
      <c r="BR38" t="inlineStr">
        <is>
          <t>laser_ad_station</t>
        </is>
      </c>
      <c r="BS38" t="inlineStr"/>
      <c r="CE38" t="inlineStr">
        <is>
          <t>laser_ad_station</t>
        </is>
      </c>
      <c r="DB38" t="inlineStr">
        <is>
          <t>laser_ad_station</t>
        </is>
      </c>
      <c r="DP38" t="n">
        <v>5</v>
      </c>
      <c r="ED38" t="inlineStr">
        <is>
          <t>antidrone_laser</t>
        </is>
      </c>
      <c r="EM38" t="inlineStr">
        <is>
          <t>Assets/MachineBrigade/Resources/Data/balance.json: vehicles[120]</t>
        </is>
      </c>
      <c r="EN38" t="inlineStr">
        <is>
          <t>{"id":"laser_ad_station.laser","rebuildCp":5,"inherits":"laser_ad_station","branchOf":"laser_ad_station","towerRole":"antidrone_laser"}</t>
        </is>
      </c>
    </row>
    <row r="39">
      <c r="A39" t="inlineStr">
        <is>
          <t>manpads_tower</t>
        </is>
      </c>
      <c r="B39" t="inlineStr">
        <is>
          <t>MANPADS post</t>
        </is>
      </c>
      <c r="C39" t="inlineStr">
        <is>
          <t>Tổ tên lửa vác vai</t>
        </is>
      </c>
      <c r="D39" t="inlineStr">
        <is>
          <t>Tổ vác vai</t>
        </is>
      </c>
      <c r="E39" t="inlineStr"/>
      <c r="F39" t="inlineStr"/>
      <c r="G39" t="inlineStr"/>
      <c r="H39" t="n">
        <v>0</v>
      </c>
      <c r="I39" t="n">
        <v>545</v>
      </c>
      <c r="J39" t="n">
        <v>1199</v>
      </c>
      <c r="K39" t="n">
        <v>1</v>
      </c>
      <c r="L39" t="n">
        <v>1</v>
      </c>
      <c r="M39" t="n">
        <v>1</v>
      </c>
      <c r="N39" t="n">
        <v>1</v>
      </c>
      <c r="O39" t="b">
        <v>1</v>
      </c>
      <c r="P39" t="n">
        <v>0</v>
      </c>
      <c r="Q39" t="n">
        <v>1</v>
      </c>
      <c r="R39" t="n">
        <v>120</v>
      </c>
      <c r="S39" t="n">
        <v>40</v>
      </c>
      <c r="T39" t="n">
        <v>1.7</v>
      </c>
      <c r="U39" t="n">
        <v>3</v>
      </c>
      <c r="V39" t="n">
        <v>3</v>
      </c>
      <c r="W39" t="b">
        <v>0</v>
      </c>
      <c r="X39" t="n">
        <v>0</v>
      </c>
      <c r="Y39" t="b">
        <v>1</v>
      </c>
      <c r="Z39" t="b">
        <v>1</v>
      </c>
      <c r="AA39" t="n">
        <v>1</v>
      </c>
      <c r="AB39" t="n">
        <v>3.5</v>
      </c>
      <c r="AC39" t="n">
        <v>1</v>
      </c>
      <c r="AD39" t="inlineStr">
        <is>
          <t>sam</t>
        </is>
      </c>
      <c r="AE39" t="inlineStr"/>
      <c r="AF39" t="inlineStr"/>
      <c r="AG39" t="inlineStr">
        <is>
          <t>none</t>
        </is>
      </c>
      <c r="AH39" t="inlineStr"/>
      <c r="AI39" t="inlineStr"/>
      <c r="AJ39" t="inlineStr">
        <is>
          <t>manpads_tower</t>
        </is>
      </c>
      <c r="AK39" t="inlineStr">
        <is>
          <t>giong</t>
        </is>
      </c>
      <c r="BH39" t="inlineStr"/>
      <c r="BI39" t="inlineStr"/>
      <c r="BJ39" t="inlineStr">
        <is>
          <t>Small</t>
        </is>
      </c>
      <c r="BK39" t="inlineStr"/>
      <c r="BL39" t="b">
        <v>0</v>
      </c>
      <c r="BM39" t="n">
        <v>2</v>
      </c>
      <c r="BN39" t="n">
        <v>2</v>
      </c>
      <c r="BO39" t="n">
        <v>25</v>
      </c>
      <c r="BP39" t="n">
        <v>2.5</v>
      </c>
      <c r="BQ39" t="inlineStr">
        <is>
          <t>Campaign</t>
        </is>
      </c>
      <c r="BR39" t="inlineStr">
        <is>
          <t>manpads_tower</t>
        </is>
      </c>
      <c r="BS39" t="inlineStr"/>
      <c r="BT39" t="n">
        <v>1</v>
      </c>
      <c r="CK39" t="n">
        <v>0</v>
      </c>
      <c r="CU39" t="inlineStr">
        <is>
          <t>Small</t>
        </is>
      </c>
      <c r="DA39" t="n">
        <v>545</v>
      </c>
      <c r="DD39" t="n">
        <v>3</v>
      </c>
      <c r="DG39" t="inlineStr">
        <is>
          <t>manpads_tower</t>
        </is>
      </c>
      <c r="DH39" t="n">
        <v>2.4</v>
      </c>
      <c r="DI39" t="n">
        <v>3.2</v>
      </c>
      <c r="DJ39" t="n">
        <v>3.2</v>
      </c>
      <c r="DO39" t="n">
        <v>1.7</v>
      </c>
      <c r="DZ39" t="n">
        <v>0</v>
      </c>
      <c r="EA39" t="b">
        <v>1</v>
      </c>
      <c r="EE39" t="n">
        <v>1</v>
      </c>
      <c r="EF39" t="n">
        <v>120</v>
      </c>
      <c r="EG39" t="n">
        <v>40</v>
      </c>
      <c r="EK39" t="inlineStr">
        <is>
          <t>sam</t>
        </is>
      </c>
      <c r="EL39" t="n">
        <v>3</v>
      </c>
      <c r="EM39" t="inlineStr">
        <is>
          <t>Assets/MachineBrigade/Resources/Data/balance.json: vehicles[135]</t>
        </is>
      </c>
      <c r="EN39" t="inlineStr">
        <is>
          <t>{"id":"manpads_tower","model":"manpads_tower","modelSize":[3.2,3.2,2.4],"fort":{"size":"Small"},"static":true,"armour":1,"hp":545,"speed":0,"turnRate":1,"turretTurnRate":120,"radius":1.7,"length":3.0,"width":3.0,"cp":0,"vision":40,"weapon":"sam"}</t>
        </is>
      </c>
    </row>
    <row r="40">
      <c r="A40" t="inlineStr">
        <is>
          <t>mg_bunker</t>
        </is>
      </c>
      <c r="B40" t="inlineStr">
        <is>
          <t>MG bunker</t>
        </is>
      </c>
      <c r="C40" t="inlineStr">
        <is>
          <t>Lô cốt súng máy</t>
        </is>
      </c>
      <c r="D40" t="inlineStr">
        <is>
          <t>Lô cốt</t>
        </is>
      </c>
      <c r="E40" t="inlineStr"/>
      <c r="F40" t="inlineStr"/>
      <c r="G40" t="inlineStr"/>
      <c r="H40" t="n">
        <v>0</v>
      </c>
      <c r="I40" t="n">
        <v>1500</v>
      </c>
      <c r="J40" t="n">
        <v>3300</v>
      </c>
      <c r="K40" t="n">
        <v>3</v>
      </c>
      <c r="L40" t="n">
        <v>2</v>
      </c>
      <c r="M40" t="n">
        <v>2</v>
      </c>
      <c r="N40" t="n">
        <v>2</v>
      </c>
      <c r="O40" t="b">
        <v>1</v>
      </c>
      <c r="P40" t="n">
        <v>0</v>
      </c>
      <c r="Q40" t="n">
        <v>1</v>
      </c>
      <c r="R40" t="n">
        <v>120</v>
      </c>
      <c r="S40" t="n">
        <v>36</v>
      </c>
      <c r="T40" t="n">
        <v>2</v>
      </c>
      <c r="U40" t="n">
        <v>4</v>
      </c>
      <c r="V40" t="n">
        <v>4</v>
      </c>
      <c r="W40" t="b">
        <v>0</v>
      </c>
      <c r="X40" t="n">
        <v>0</v>
      </c>
      <c r="Y40" t="b">
        <v>1</v>
      </c>
      <c r="Z40" t="b">
        <v>1</v>
      </c>
      <c r="AA40" t="n">
        <v>1</v>
      </c>
      <c r="AB40" t="n">
        <v>3.5</v>
      </c>
      <c r="AC40" t="n">
        <v>0.6086</v>
      </c>
      <c r="AD40" t="inlineStr">
        <is>
          <t>bunker_hmg</t>
        </is>
      </c>
      <c r="AE40" t="inlineStr">
        <is>
          <t>bunker_pkm;bunker_pkm;bunker_pkm;bunker_pkm</t>
        </is>
      </c>
      <c r="AF40" t="inlineStr"/>
      <c r="AG40" t="inlineStr">
        <is>
          <t>none</t>
        </is>
      </c>
      <c r="AH40" t="inlineStr"/>
      <c r="AI40" t="inlineStr"/>
      <c r="AJ40" t="inlineStr">
        <is>
          <t>mg_bunker</t>
        </is>
      </c>
      <c r="AK40" t="inlineStr">
        <is>
          <t>doi</t>
        </is>
      </c>
      <c r="BD40" t="inlineStr"/>
      <c r="BE40" t="inlineStr">
        <is>
          <t>bunker_pkm;bunker_pkm;bunker_pkm;bunker_pkm</t>
        </is>
      </c>
      <c r="BF40" t="n">
        <v>1</v>
      </c>
      <c r="BG40" t="n">
        <v>0.6086</v>
      </c>
      <c r="BH40" t="inlineStr"/>
      <c r="BI40" t="inlineStr"/>
      <c r="BJ40" t="inlineStr">
        <is>
          <t>Small</t>
        </is>
      </c>
      <c r="BK40" t="inlineStr"/>
      <c r="BL40" t="b">
        <v>1</v>
      </c>
      <c r="BM40" t="n">
        <v>6</v>
      </c>
      <c r="BN40" t="n">
        <v>6</v>
      </c>
      <c r="BO40" t="n">
        <v>25</v>
      </c>
      <c r="BP40" t="n">
        <v>2.5</v>
      </c>
      <c r="BQ40" t="inlineStr">
        <is>
          <t>Starter</t>
        </is>
      </c>
      <c r="BR40" t="inlineStr">
        <is>
          <t>mg_bunker</t>
        </is>
      </c>
      <c r="BS40" t="inlineStr">
        <is>
          <t>giam_dps_giu_mau</t>
        </is>
      </c>
      <c r="BU40" t="n">
        <v>3</v>
      </c>
      <c r="BV40" t="n">
        <v>2</v>
      </c>
      <c r="BW40" t="n">
        <v>2</v>
      </c>
      <c r="BX40" t="n">
        <v>2</v>
      </c>
      <c r="CF40" t="inlineStr">
        <is>
          <t>mg_bunker.twin;mg_bunker.flame</t>
        </is>
      </c>
      <c r="CK40" t="n">
        <v>0</v>
      </c>
      <c r="CL40" t="n">
        <v>70</v>
      </c>
      <c r="CM40" t="n">
        <v>0.3</v>
      </c>
      <c r="CN40" t="n">
        <v>6</v>
      </c>
      <c r="CO40" t="inlineStr">
        <is>
          <t>Large</t>
        </is>
      </c>
      <c r="CU40" t="inlineStr">
        <is>
          <t>Small</t>
        </is>
      </c>
      <c r="DA40" t="n">
        <v>1500</v>
      </c>
      <c r="DD40" t="n">
        <v>4</v>
      </c>
      <c r="DM40" t="n">
        <v>0.6086</v>
      </c>
      <c r="DO40" t="n">
        <v>2</v>
      </c>
      <c r="DP40" t="n">
        <v>6</v>
      </c>
      <c r="DZ40" t="n">
        <v>0</v>
      </c>
      <c r="EA40" t="b">
        <v>1</v>
      </c>
      <c r="EE40" t="n">
        <v>1</v>
      </c>
      <c r="EF40" t="n">
        <v>120</v>
      </c>
      <c r="EG40" t="n">
        <v>36</v>
      </c>
      <c r="EK40" t="inlineStr">
        <is>
          <t>bunker_hmg</t>
        </is>
      </c>
      <c r="EL40" t="n">
        <v>4</v>
      </c>
      <c r="EM40" t="inlineStr">
        <is>
          <t>Assets/MachineBrigade/Resources/Data/balance.json: vehicles[105]</t>
        </is>
      </c>
      <c r="EN40" t="inlineStr">
        <is>
          <t>{"id":"mg_bunker","outgoingDamageMult":0.6086,"rebuildCp":6,"branches":["mg_bunker.twin","mg_bunker.flame"],"fort":{"size":"Small"},"static":true,"armour":[3,2,2,2],"hp":1500,"speed":0,"turnRate":1,"turretTurnRate":120,"radius":2.0,"length":4,"width":4,"cp":0,"vision":36,"weapon":"bunker_hmg","deathExplosion":{"damage":70,"radius":6,"delay":0.3,"tier":"Large"},"secondary":[{"weapon":"bunker_pkm","slot":"mg","aim":"Free","arc":[-30,40]},{"weapon":"bunker_pkm","slot":"mg","aim":"Free","arc":[30,40]},{"weapon":"bunker_pkm","slot":"mg","aim":"Free","arc":[-90,40]},{"weapon":"bunker_pkm","slot":"mg","aim":"Free","arc":[90,40]}]}</t>
        </is>
      </c>
    </row>
    <row r="41">
      <c r="A41" t="inlineStr">
        <is>
          <t>mg_bunker.flame</t>
        </is>
      </c>
      <c r="B41" t="inlineStr"/>
      <c r="C41" t="inlineStr"/>
      <c r="D41" t="inlineStr">
        <is>
          <t>Lô cốt lửa</t>
        </is>
      </c>
      <c r="E41" t="inlineStr"/>
      <c r="F41" t="inlineStr"/>
      <c r="G41" t="inlineStr">
        <is>
          <t>mg_bunker</t>
        </is>
      </c>
      <c r="H41" t="n">
        <v>0</v>
      </c>
      <c r="I41" t="n">
        <v>1500</v>
      </c>
      <c r="J41" t="n">
        <v>3300</v>
      </c>
      <c r="K41" t="n">
        <v>3</v>
      </c>
      <c r="L41" t="n">
        <v>2</v>
      </c>
      <c r="M41" t="n">
        <v>2</v>
      </c>
      <c r="N41" t="n">
        <v>2</v>
      </c>
      <c r="O41" t="b">
        <v>1</v>
      </c>
      <c r="P41" t="n">
        <v>0</v>
      </c>
      <c r="Q41" t="n">
        <v>1</v>
      </c>
      <c r="R41" t="n">
        <v>120</v>
      </c>
      <c r="S41" t="n">
        <v>36</v>
      </c>
      <c r="T41" t="n">
        <v>2</v>
      </c>
      <c r="U41" t="n">
        <v>4</v>
      </c>
      <c r="V41" t="n">
        <v>4</v>
      </c>
      <c r="W41" t="b">
        <v>0</v>
      </c>
      <c r="X41" t="n">
        <v>0</v>
      </c>
      <c r="Y41" t="b">
        <v>1</v>
      </c>
      <c r="Z41" t="b">
        <v>1</v>
      </c>
      <c r="AA41" t="n">
        <v>1</v>
      </c>
      <c r="AB41" t="n">
        <v>3.5</v>
      </c>
      <c r="AC41" t="n">
        <v>0.3248</v>
      </c>
      <c r="AD41" t="inlineStr">
        <is>
          <t>bunker_flame</t>
        </is>
      </c>
      <c r="AE41" t="inlineStr"/>
      <c r="AF41" t="inlineStr"/>
      <c r="AG41" t="inlineStr">
        <is>
          <t>none</t>
        </is>
      </c>
      <c r="AH41" t="inlineStr"/>
      <c r="AI41" t="inlineStr"/>
      <c r="AJ41" t="inlineStr">
        <is>
          <t>mg_bunker</t>
        </is>
      </c>
      <c r="AK41" t="inlineStr">
        <is>
          <t>doi</t>
        </is>
      </c>
      <c r="BF41" t="n">
        <v>1</v>
      </c>
      <c r="BG41" t="n">
        <v>0.3248</v>
      </c>
      <c r="BH41" t="inlineStr">
        <is>
          <t>mg_bunker</t>
        </is>
      </c>
      <c r="BI41" t="inlineStr">
        <is>
          <t>flame</t>
        </is>
      </c>
      <c r="BJ41" t="inlineStr">
        <is>
          <t>Small</t>
        </is>
      </c>
      <c r="BK41" t="inlineStr">
        <is>
          <t>flame_close</t>
        </is>
      </c>
      <c r="BL41" t="b">
        <v>0</v>
      </c>
      <c r="BM41" t="n">
        <v>6</v>
      </c>
      <c r="BN41" t="n">
        <v>6</v>
      </c>
      <c r="BO41" t="n">
        <v>25</v>
      </c>
      <c r="BP41" t="n">
        <v>2.5</v>
      </c>
      <c r="BQ41" t="inlineStr">
        <is>
          <t>Campaign</t>
        </is>
      </c>
      <c r="BR41" t="inlineStr">
        <is>
          <t>mg_bunker</t>
        </is>
      </c>
      <c r="BS41" t="inlineStr">
        <is>
          <t>giam_dps_giu_mau</t>
        </is>
      </c>
      <c r="BY41" t="inlineStr">
        <is>
          <t>mg_bunker_b</t>
        </is>
      </c>
      <c r="CE41" t="inlineStr">
        <is>
          <t>mg_bunker</t>
        </is>
      </c>
      <c r="DB41" t="inlineStr">
        <is>
          <t>mg_bunker</t>
        </is>
      </c>
      <c r="DM41" t="n">
        <v>0.3248</v>
      </c>
      <c r="DP41" t="n">
        <v>6</v>
      </c>
      <c r="DW41" t="inlineStr"/>
      <c r="ED41" t="inlineStr">
        <is>
          <t>flame_close</t>
        </is>
      </c>
      <c r="EK41" t="inlineStr">
        <is>
          <t>bunker_flame</t>
        </is>
      </c>
      <c r="EM41" t="inlineStr">
        <is>
          <t>Assets/MachineBrigade/Resources/Data/balance.json: vehicles[79]</t>
        </is>
      </c>
      <c r="EN41" t="inlineStr">
        <is>
          <t>{"id":"mg_bunker.flame","outgoingDamageMult":0.3248,"rebuildCp":6,"towerRole":"flame_close","art":"mg_bunker_b","inherits":"mg_bunker","branchOf":"mg_bunker","weapon":"bunker_flame","secondary":[]}</t>
        </is>
      </c>
    </row>
    <row r="42">
      <c r="A42" t="inlineStr">
        <is>
          <t>mg_bunker.twin</t>
        </is>
      </c>
      <c r="B42" t="inlineStr"/>
      <c r="C42" t="inlineStr"/>
      <c r="D42" t="inlineStr">
        <is>
          <t>Súng máy đôi</t>
        </is>
      </c>
      <c r="E42" t="inlineStr"/>
      <c r="F42" t="inlineStr"/>
      <c r="G42" t="inlineStr">
        <is>
          <t>mg_bunker</t>
        </is>
      </c>
      <c r="H42" t="n">
        <v>0</v>
      </c>
      <c r="I42" t="n">
        <v>1500</v>
      </c>
      <c r="J42" t="n">
        <v>3300</v>
      </c>
      <c r="K42" t="n">
        <v>3</v>
      </c>
      <c r="L42" t="n">
        <v>2</v>
      </c>
      <c r="M42" t="n">
        <v>2</v>
      </c>
      <c r="N42" t="n">
        <v>2</v>
      </c>
      <c r="O42" t="b">
        <v>1</v>
      </c>
      <c r="P42" t="n">
        <v>0</v>
      </c>
      <c r="Q42" t="n">
        <v>1</v>
      </c>
      <c r="R42" t="n">
        <v>120</v>
      </c>
      <c r="S42" t="n">
        <v>36</v>
      </c>
      <c r="T42" t="n">
        <v>2</v>
      </c>
      <c r="U42" t="n">
        <v>4</v>
      </c>
      <c r="V42" t="n">
        <v>4</v>
      </c>
      <c r="W42" t="b">
        <v>0</v>
      </c>
      <c r="X42" t="n">
        <v>0</v>
      </c>
      <c r="Y42" t="b">
        <v>1</v>
      </c>
      <c r="Z42" t="b">
        <v>1</v>
      </c>
      <c r="AA42" t="n">
        <v>1</v>
      </c>
      <c r="AB42" t="n">
        <v>3.5</v>
      </c>
      <c r="AC42" t="n">
        <v>0.5036</v>
      </c>
      <c r="AD42" t="inlineStr">
        <is>
          <t>bunker_hmg_twin</t>
        </is>
      </c>
      <c r="AE42" t="inlineStr">
        <is>
          <t>bunker_pkm;bunker_pkm;bunker_pkm;bunker_pkm</t>
        </is>
      </c>
      <c r="AF42" t="inlineStr"/>
      <c r="AG42" t="inlineStr">
        <is>
          <t>none</t>
        </is>
      </c>
      <c r="AH42" t="inlineStr"/>
      <c r="AI42" t="inlineStr"/>
      <c r="AJ42" t="inlineStr">
        <is>
          <t>mg_bunker</t>
        </is>
      </c>
      <c r="AK42" t="inlineStr">
        <is>
          <t>doi</t>
        </is>
      </c>
      <c r="BD42" t="inlineStr"/>
      <c r="BE42" t="inlineStr">
        <is>
          <t>bunker_pkm;bunker_pkm;bunker_pkm;bunker_pkm</t>
        </is>
      </c>
      <c r="BF42" t="n">
        <v>1</v>
      </c>
      <c r="BG42" t="n">
        <v>0.5036</v>
      </c>
      <c r="BH42" t="inlineStr">
        <is>
          <t>mg_bunker</t>
        </is>
      </c>
      <c r="BI42" t="inlineStr">
        <is>
          <t>twin</t>
        </is>
      </c>
      <c r="BJ42" t="inlineStr">
        <is>
          <t>Small</t>
        </is>
      </c>
      <c r="BK42" t="inlineStr">
        <is>
          <t>mg_twin</t>
        </is>
      </c>
      <c r="BL42" t="b">
        <v>0</v>
      </c>
      <c r="BM42" t="n">
        <v>6</v>
      </c>
      <c r="BN42" t="n">
        <v>6</v>
      </c>
      <c r="BO42" t="n">
        <v>25</v>
      </c>
      <c r="BP42" t="n">
        <v>2.5</v>
      </c>
      <c r="BQ42" t="inlineStr">
        <is>
          <t>Campaign</t>
        </is>
      </c>
      <c r="BR42" t="inlineStr">
        <is>
          <t>mg_bunker</t>
        </is>
      </c>
      <c r="BS42" t="inlineStr">
        <is>
          <t>giam_dps_giu_mau</t>
        </is>
      </c>
      <c r="BY42" t="inlineStr">
        <is>
          <t>mg_bunker_a</t>
        </is>
      </c>
      <c r="CE42" t="inlineStr">
        <is>
          <t>mg_bunker</t>
        </is>
      </c>
      <c r="DB42" t="inlineStr">
        <is>
          <t>mg_bunker</t>
        </is>
      </c>
      <c r="DM42" t="n">
        <v>0.5036</v>
      </c>
      <c r="DP42" t="n">
        <v>6</v>
      </c>
      <c r="ED42" t="inlineStr">
        <is>
          <t>mg_twin</t>
        </is>
      </c>
      <c r="EK42" t="inlineStr">
        <is>
          <t>bunker_hmg_twin</t>
        </is>
      </c>
      <c r="EM42" t="inlineStr">
        <is>
          <t>Assets/MachineBrigade/Resources/Data/balance.json: vehicles[78]</t>
        </is>
      </c>
      <c r="EN42" t="inlineStr">
        <is>
          <t>{"id":"mg_bunker.twin","outgoingDamageMult":0.5036,"rebuildCp":6,"towerRole":"mg_twin","art":"mg_bunker_a","inherits":"mg_bunker","branchOf":"mg_bunker","weapon":"bunker_hmg_twin"}</t>
        </is>
      </c>
    </row>
    <row r="43">
      <c r="A43" t="inlineStr">
        <is>
          <t>missile_battery</t>
        </is>
      </c>
      <c r="B43" t="inlineStr">
        <is>
          <t>Long-range SAM site</t>
        </is>
      </c>
      <c r="C43" t="inlineStr">
        <is>
          <t>Trạm tên lửa phòng không tầm xa</t>
        </is>
      </c>
      <c r="D43" t="inlineStr">
        <is>
          <t>Trạm PK tầm xa</t>
        </is>
      </c>
      <c r="E43" t="inlineStr"/>
      <c r="F43" t="inlineStr"/>
      <c r="G43" t="inlineStr"/>
      <c r="H43" t="n">
        <v>0</v>
      </c>
      <c r="I43" t="n">
        <v>1900</v>
      </c>
      <c r="J43" t="n">
        <v>4180</v>
      </c>
      <c r="K43" t="n">
        <v>1</v>
      </c>
      <c r="L43" t="n">
        <v>1</v>
      </c>
      <c r="M43" t="n">
        <v>1</v>
      </c>
      <c r="N43" t="n">
        <v>1</v>
      </c>
      <c r="O43" t="b">
        <v>1</v>
      </c>
      <c r="P43" t="n">
        <v>0</v>
      </c>
      <c r="Q43" t="n">
        <v>1</v>
      </c>
      <c r="R43" t="n">
        <v>70</v>
      </c>
      <c r="S43" t="n">
        <v>95</v>
      </c>
      <c r="T43" t="n">
        <v>3.8</v>
      </c>
      <c r="U43" t="n">
        <v>7</v>
      </c>
      <c r="V43" t="n">
        <v>9</v>
      </c>
      <c r="W43" t="b">
        <v>0</v>
      </c>
      <c r="X43" t="n">
        <v>0</v>
      </c>
      <c r="Y43" t="b">
        <v>1</v>
      </c>
      <c r="Z43" t="b">
        <v>1</v>
      </c>
      <c r="AA43" t="n">
        <v>1</v>
      </c>
      <c r="AB43" t="n">
        <v>3.5</v>
      </c>
      <c r="AC43" t="n">
        <v>1</v>
      </c>
      <c r="AD43" t="inlineStr">
        <is>
          <t>patriot</t>
        </is>
      </c>
      <c r="AE43" t="inlineStr"/>
      <c r="AF43" t="inlineStr"/>
      <c r="AG43" t="inlineStr">
        <is>
          <t>none</t>
        </is>
      </c>
      <c r="AH43" t="inlineStr"/>
      <c r="AI43" t="inlineStr"/>
      <c r="AJ43" t="inlineStr">
        <is>
          <t>missile_battery</t>
        </is>
      </c>
      <c r="AK43" t="inlineStr">
        <is>
          <t>giong</t>
        </is>
      </c>
      <c r="BH43" t="inlineStr"/>
      <c r="BI43" t="inlineStr"/>
      <c r="BJ43" t="inlineStr">
        <is>
          <t>Large</t>
        </is>
      </c>
      <c r="BK43" t="inlineStr"/>
      <c r="BL43" t="b">
        <v>1</v>
      </c>
      <c r="BM43" t="n">
        <v>13</v>
      </c>
      <c r="BN43" t="n">
        <v>13</v>
      </c>
      <c r="BO43" t="n">
        <v>60</v>
      </c>
      <c r="BP43" t="n">
        <v>5</v>
      </c>
      <c r="BQ43" t="inlineStr">
        <is>
          <t>Campaign</t>
        </is>
      </c>
      <c r="BR43" t="inlineStr">
        <is>
          <t>missile_battery</t>
        </is>
      </c>
      <c r="BS43" t="inlineStr"/>
      <c r="BT43" t="n">
        <v>1</v>
      </c>
      <c r="CF43" t="inlineStr">
        <is>
          <t>missile_battery.pac3;missile_battery.lrr</t>
        </is>
      </c>
      <c r="CK43" t="n">
        <v>0</v>
      </c>
      <c r="CL43" t="n">
        <v>200</v>
      </c>
      <c r="CM43" t="n">
        <v>0.4</v>
      </c>
      <c r="CN43" t="n">
        <v>12</v>
      </c>
      <c r="CO43" t="inlineStr">
        <is>
          <t>Ultimate</t>
        </is>
      </c>
      <c r="CS43" t="n">
        <v>1.2</v>
      </c>
      <c r="CU43" t="inlineStr">
        <is>
          <t>Large</t>
        </is>
      </c>
      <c r="DA43" t="n">
        <v>1900</v>
      </c>
      <c r="DD43" t="n">
        <v>7</v>
      </c>
      <c r="DO43" t="n">
        <v>3.8</v>
      </c>
      <c r="DP43" t="n">
        <v>13</v>
      </c>
      <c r="DW43" t="inlineStr"/>
      <c r="DZ43" t="n">
        <v>0</v>
      </c>
      <c r="EA43" t="b">
        <v>1</v>
      </c>
      <c r="EE43" t="n">
        <v>1</v>
      </c>
      <c r="EF43" t="n">
        <v>70</v>
      </c>
      <c r="EG43" t="n">
        <v>95</v>
      </c>
      <c r="EK43" t="inlineStr">
        <is>
          <t>patriot</t>
        </is>
      </c>
      <c r="EL43" t="n">
        <v>9</v>
      </c>
      <c r="EM43" t="inlineStr">
        <is>
          <t>Assets/MachineBrigade/Resources/Data/balance.json: vehicles[67]</t>
        </is>
      </c>
      <c r="EN43" t="inlineStr">
        <is>
          <t>{"id":"missile_battery","erectSeconds":1.2,"rebuildCp":13,"branches":["missile_battery.pac3","missile_battery.lrr"],"fort":{"size":"Large"},"static":true,"armour":1,"hp":1900,"speed":0,"turnRate":1,"turretTurnRate":70,"radius":3.8,"length":7,"width":9,"cp":0,"vision":95,"weapon":"patriot","secondary":[],"deathExplosion":{"damage":200,"radius":12,"delay":0.4,"tier":"Ultimate"}}</t>
        </is>
      </c>
    </row>
    <row r="44">
      <c r="A44" t="inlineStr">
        <is>
          <t>missile_battery.lrr</t>
        </is>
      </c>
      <c r="B44" t="inlineStr"/>
      <c r="C44" t="inlineStr"/>
      <c r="D44" t="inlineStr">
        <is>
          <t>Radar tầm xa</t>
        </is>
      </c>
      <c r="E44" t="inlineStr"/>
      <c r="F44" t="inlineStr"/>
      <c r="G44" t="inlineStr">
        <is>
          <t>missile_battery</t>
        </is>
      </c>
      <c r="H44" t="n">
        <v>0</v>
      </c>
      <c r="I44" t="n">
        <v>1900</v>
      </c>
      <c r="J44" t="n">
        <v>4180</v>
      </c>
      <c r="K44" t="n">
        <v>1</v>
      </c>
      <c r="L44" t="n">
        <v>1</v>
      </c>
      <c r="M44" t="n">
        <v>1</v>
      </c>
      <c r="N44" t="n">
        <v>1</v>
      </c>
      <c r="O44" t="b">
        <v>1</v>
      </c>
      <c r="P44" t="n">
        <v>0</v>
      </c>
      <c r="Q44" t="n">
        <v>1</v>
      </c>
      <c r="R44" t="n">
        <v>70</v>
      </c>
      <c r="S44" t="n">
        <v>110</v>
      </c>
      <c r="T44" t="n">
        <v>3.8</v>
      </c>
      <c r="U44" t="n">
        <v>7</v>
      </c>
      <c r="V44" t="n">
        <v>9</v>
      </c>
      <c r="W44" t="b">
        <v>0</v>
      </c>
      <c r="X44" t="n">
        <v>0</v>
      </c>
      <c r="Y44" t="b">
        <v>1</v>
      </c>
      <c r="Z44" t="b">
        <v>1</v>
      </c>
      <c r="AA44" t="n">
        <v>1</v>
      </c>
      <c r="AB44" t="n">
        <v>3.5</v>
      </c>
      <c r="AC44" t="n">
        <v>1</v>
      </c>
      <c r="AD44" t="inlineStr">
        <is>
          <t>sam_battery_lrr</t>
        </is>
      </c>
      <c r="AE44" t="inlineStr"/>
      <c r="AF44" t="inlineStr"/>
      <c r="AG44" t="inlineStr">
        <is>
          <t>none</t>
        </is>
      </c>
      <c r="AH44" t="inlineStr"/>
      <c r="AI44" t="inlineStr"/>
      <c r="AJ44" t="inlineStr">
        <is>
          <t>missile_battery</t>
        </is>
      </c>
      <c r="AK44" t="inlineStr">
        <is>
          <t>giong</t>
        </is>
      </c>
      <c r="BH44" t="inlineStr">
        <is>
          <t>missile_battery</t>
        </is>
      </c>
      <c r="BI44" t="inlineStr">
        <is>
          <t>lrr</t>
        </is>
      </c>
      <c r="BJ44" t="inlineStr">
        <is>
          <t>Large</t>
        </is>
      </c>
      <c r="BK44" t="inlineStr">
        <is>
          <t>sam_long_radar</t>
        </is>
      </c>
      <c r="BL44" t="b">
        <v>0</v>
      </c>
      <c r="BM44" t="n">
        <v>12</v>
      </c>
      <c r="BN44" t="n">
        <v>12</v>
      </c>
      <c r="BO44" t="n">
        <v>60</v>
      </c>
      <c r="BP44" t="n">
        <v>5</v>
      </c>
      <c r="BQ44" t="inlineStr">
        <is>
          <t>Campaign</t>
        </is>
      </c>
      <c r="BR44" t="inlineStr">
        <is>
          <t>missile_battery</t>
        </is>
      </c>
      <c r="BS44" t="inlineStr"/>
      <c r="BY44" t="inlineStr">
        <is>
          <t>missile_battery_b</t>
        </is>
      </c>
      <c r="CE44" t="inlineStr">
        <is>
          <t>missile_battery</t>
        </is>
      </c>
      <c r="DB44" t="inlineStr">
        <is>
          <t>missile_battery</t>
        </is>
      </c>
      <c r="DP44" t="n">
        <v>12</v>
      </c>
      <c r="DT44" t="n">
        <v>140</v>
      </c>
      <c r="ED44" t="inlineStr">
        <is>
          <t>sam_long_radar</t>
        </is>
      </c>
      <c r="EG44" t="n">
        <v>110</v>
      </c>
      <c r="EK44" t="inlineStr">
        <is>
          <t>sam_battery_lrr</t>
        </is>
      </c>
      <c r="EM44" t="inlineStr">
        <is>
          <t>Assets/MachineBrigade/Resources/Data/balance.json: vehicles[94]</t>
        </is>
      </c>
      <c r="EN44" t="inlineStr">
        <is>
          <t>{"id":"missile_battery.lrr","rebuildCp":12,"towerRole":"sam_long_radar","art":"missile_battery_b","revealAir":140,"inherits":"missile_battery","branchOf":"missile_battery","weapon":"sam_battery_lrr","vision":110}</t>
        </is>
      </c>
    </row>
    <row r="45">
      <c r="A45" t="inlineStr">
        <is>
          <t>missile_battery.pac3</t>
        </is>
      </c>
      <c r="B45" t="inlineStr"/>
      <c r="C45" t="inlineStr"/>
      <c r="D45" t="inlineStr">
        <is>
          <t>PAC-3</t>
        </is>
      </c>
      <c r="E45" t="inlineStr"/>
      <c r="F45" t="inlineStr"/>
      <c r="G45" t="inlineStr">
        <is>
          <t>missile_battery</t>
        </is>
      </c>
      <c r="H45" t="n">
        <v>0</v>
      </c>
      <c r="I45" t="n">
        <v>1900</v>
      </c>
      <c r="J45" t="n">
        <v>4180</v>
      </c>
      <c r="K45" t="n">
        <v>1</v>
      </c>
      <c r="L45" t="n">
        <v>1</v>
      </c>
      <c r="M45" t="n">
        <v>1</v>
      </c>
      <c r="N45" t="n">
        <v>1</v>
      </c>
      <c r="O45" t="b">
        <v>1</v>
      </c>
      <c r="P45" t="n">
        <v>0</v>
      </c>
      <c r="Q45" t="n">
        <v>1</v>
      </c>
      <c r="R45" t="n">
        <v>70</v>
      </c>
      <c r="S45" t="n">
        <v>95</v>
      </c>
      <c r="T45" t="n">
        <v>3.8</v>
      </c>
      <c r="U45" t="n">
        <v>7</v>
      </c>
      <c r="V45" t="n">
        <v>9</v>
      </c>
      <c r="W45" t="b">
        <v>0</v>
      </c>
      <c r="X45" t="n">
        <v>0</v>
      </c>
      <c r="Y45" t="b">
        <v>1</v>
      </c>
      <c r="Z45" t="b">
        <v>1</v>
      </c>
      <c r="AA45" t="n">
        <v>1</v>
      </c>
      <c r="AB45" t="n">
        <v>3.5</v>
      </c>
      <c r="AC45" t="n">
        <v>1</v>
      </c>
      <c r="AD45" t="inlineStr">
        <is>
          <t>sam_pac3</t>
        </is>
      </c>
      <c r="AE45" t="inlineStr"/>
      <c r="AF45" t="inlineStr"/>
      <c r="AG45" t="inlineStr">
        <is>
          <t>aps</t>
        </is>
      </c>
      <c r="AH45" t="n">
        <v>4</v>
      </c>
      <c r="AI45" t="inlineStr"/>
      <c r="AJ45" t="inlineStr">
        <is>
          <t>missile_battery</t>
        </is>
      </c>
      <c r="AK45" t="inlineStr">
        <is>
          <t>giong</t>
        </is>
      </c>
      <c r="BH45" t="inlineStr">
        <is>
          <t>missile_battery</t>
        </is>
      </c>
      <c r="BI45" t="inlineStr">
        <is>
          <t>pac3</t>
        </is>
      </c>
      <c r="BJ45" t="inlineStr">
        <is>
          <t>Large</t>
        </is>
      </c>
      <c r="BK45" t="inlineStr">
        <is>
          <t>intercept_heavy_missiles</t>
        </is>
      </c>
      <c r="BL45" t="b">
        <v>0</v>
      </c>
      <c r="BM45" t="n">
        <v>9</v>
      </c>
      <c r="BN45" t="n">
        <v>9</v>
      </c>
      <c r="BO45" t="n">
        <v>60</v>
      </c>
      <c r="BP45" t="n">
        <v>5</v>
      </c>
      <c r="BQ45" t="inlineStr">
        <is>
          <t>Campaign</t>
        </is>
      </c>
      <c r="BR45" t="inlineStr">
        <is>
          <t>missile_battery</t>
        </is>
      </c>
      <c r="BS45" t="inlineStr"/>
      <c r="BY45" t="inlineStr">
        <is>
          <t>missile_battery_a</t>
        </is>
      </c>
      <c r="CE45" t="inlineStr">
        <is>
          <t>missile_battery</t>
        </is>
      </c>
      <c r="DB45" t="inlineStr">
        <is>
          <t>missile_battery</t>
        </is>
      </c>
      <c r="DP45" t="n">
        <v>9</v>
      </c>
      <c r="ED45" t="inlineStr">
        <is>
          <t>intercept_heavy_missiles</t>
        </is>
      </c>
      <c r="EK45" t="inlineStr">
        <is>
          <t>sam_pac3</t>
        </is>
      </c>
      <c r="EM45" t="inlineStr">
        <is>
          <t>Assets/MachineBrigade/Resources/Data/balance.json: vehicles[93]</t>
        </is>
      </c>
      <c r="EN45" t="inlineStr">
        <is>
          <t>{"id":"missile_battery.pac3","rebuildCp":9,"towerRole":"intercept_heavy_missiles","art":"missile_battery_a","aps":{"radius":72,"charges":4,"reload":16,"heavy":true,"direct":false,"missiles":true},"inherits":"missile_battery","branchOf":"missile_battery","weapon":"sam_pac3"}</t>
        </is>
      </c>
    </row>
    <row r="46">
      <c r="A46" t="inlineStr">
        <is>
          <t>one_shot_atgm_tower</t>
        </is>
      </c>
      <c r="B46" t="inlineStr">
        <is>
          <t>One-shot ATGM battery</t>
        </is>
      </c>
      <c r="C46" t="inlineStr">
        <is>
          <t>Bệ tên lửa phòng thủ một lần</t>
        </is>
      </c>
      <c r="D46" t="inlineStr">
        <is>
          <t>TL một lần</t>
        </is>
      </c>
      <c r="E46" t="inlineStr"/>
      <c r="F46" t="inlineStr"/>
      <c r="G46" t="inlineStr"/>
      <c r="H46" t="n">
        <v>0</v>
      </c>
      <c r="I46" t="n">
        <v>909</v>
      </c>
      <c r="J46" t="n">
        <v>1999.8</v>
      </c>
      <c r="K46" t="n">
        <v>2</v>
      </c>
      <c r="L46" t="n">
        <v>2</v>
      </c>
      <c r="M46" t="n">
        <v>2</v>
      </c>
      <c r="N46" t="n">
        <v>2</v>
      </c>
      <c r="O46" t="b">
        <v>1</v>
      </c>
      <c r="P46" t="n">
        <v>0</v>
      </c>
      <c r="Q46" t="n">
        <v>1</v>
      </c>
      <c r="R46" t="n">
        <v>90</v>
      </c>
      <c r="S46" t="n">
        <v>40</v>
      </c>
      <c r="T46" t="n">
        <v>2.3</v>
      </c>
      <c r="U46" t="n">
        <v>4.8</v>
      </c>
      <c r="V46" t="n">
        <v>4.8</v>
      </c>
      <c r="W46" t="b">
        <v>0</v>
      </c>
      <c r="X46" t="n">
        <v>0</v>
      </c>
      <c r="Y46" t="b">
        <v>1</v>
      </c>
      <c r="Z46" t="b">
        <v>1</v>
      </c>
      <c r="AA46" t="n">
        <v>1</v>
      </c>
      <c r="AB46" t="n">
        <v>3.5</v>
      </c>
      <c r="AC46" t="n">
        <v>1</v>
      </c>
      <c r="AD46" t="inlineStr">
        <is>
          <t>one_shot_kornet</t>
        </is>
      </c>
      <c r="AE46" t="inlineStr"/>
      <c r="AF46" t="inlineStr"/>
      <c r="AG46" t="inlineStr">
        <is>
          <t>none</t>
        </is>
      </c>
      <c r="AH46" t="inlineStr"/>
      <c r="AI46" t="inlineStr"/>
      <c r="AJ46" t="inlineStr">
        <is>
          <t>one_shot_atgm_tower</t>
        </is>
      </c>
      <c r="AK46" t="inlineStr">
        <is>
          <t>giong</t>
        </is>
      </c>
      <c r="BH46" t="inlineStr"/>
      <c r="BI46" t="inlineStr"/>
      <c r="BJ46" t="inlineStr">
        <is>
          <t>Medium</t>
        </is>
      </c>
      <c r="BK46" t="inlineStr"/>
      <c r="BL46" t="b">
        <v>0</v>
      </c>
      <c r="BM46" t="n">
        <v>4</v>
      </c>
      <c r="BN46" t="n">
        <v>4</v>
      </c>
      <c r="BO46" t="n">
        <v>40</v>
      </c>
      <c r="BP46" t="n">
        <v>3.5</v>
      </c>
      <c r="BQ46" t="inlineStr">
        <is>
          <t>Campaign</t>
        </is>
      </c>
      <c r="BR46" t="inlineStr">
        <is>
          <t>one_shot_atgm_tower</t>
        </is>
      </c>
      <c r="BS46" t="inlineStr"/>
      <c r="BT46" t="n">
        <v>2</v>
      </c>
      <c r="CK46" t="n">
        <v>0</v>
      </c>
      <c r="CL46" t="n">
        <v>80</v>
      </c>
      <c r="CM46" t="n">
        <v>0.4</v>
      </c>
      <c r="CN46" t="n">
        <v>7</v>
      </c>
      <c r="CO46" t="inlineStr">
        <is>
          <t>Huge</t>
        </is>
      </c>
      <c r="CU46" t="inlineStr">
        <is>
          <t>Medium</t>
        </is>
      </c>
      <c r="DA46" t="n">
        <v>909</v>
      </c>
      <c r="DD46" t="n">
        <v>4.8</v>
      </c>
      <c r="DG46" t="inlineStr">
        <is>
          <t>one_shot_atgm_tower</t>
        </is>
      </c>
      <c r="DH46" t="n">
        <v>3.6</v>
      </c>
      <c r="DI46" t="n">
        <v>4.8</v>
      </c>
      <c r="DJ46" t="n">
        <v>4.8</v>
      </c>
      <c r="DO46" t="n">
        <v>2.3</v>
      </c>
      <c r="DZ46" t="n">
        <v>0</v>
      </c>
      <c r="EA46" t="b">
        <v>1</v>
      </c>
      <c r="EE46" t="n">
        <v>1</v>
      </c>
      <c r="EF46" t="n">
        <v>90</v>
      </c>
      <c r="EG46" t="n">
        <v>40</v>
      </c>
      <c r="EK46" t="inlineStr">
        <is>
          <t>one_shot_kornet</t>
        </is>
      </c>
      <c r="EL46" t="n">
        <v>4.8</v>
      </c>
      <c r="EM46" t="inlineStr">
        <is>
          <t>Assets/MachineBrigade/Resources/Data/balance.json: vehicles[134]</t>
        </is>
      </c>
      <c r="EN46" t="inlineStr">
        <is>
          <t>{"id":"one_shot_atgm_tower","model":"one_shot_atgm_tower","modelSize":[4.8,4.8,3.6],"fort":{"size":"Medium"},"static":true,"armour":2,"hp":909,"speed":0,"turnRate":1,"turretTurnRate":90,"radius":2.3,"length":4.8,"width":4.8,"cp":0,"vision":40,"weapon":"one_shot_kornet","deathExplosion":{"damage":80,"radius":7,"delay":0.4,"tier":"Huge"}}</t>
        </is>
      </c>
    </row>
    <row r="47">
      <c r="A47" t="inlineStr">
        <is>
          <t>recoilless_gun_tower</t>
        </is>
      </c>
      <c r="B47" t="inlineStr">
        <is>
          <t>Recoilless gun post</t>
        </is>
      </c>
      <c r="C47" t="inlineStr">
        <is>
          <t>Ụ súng không giật</t>
        </is>
      </c>
      <c r="D47" t="inlineStr">
        <is>
          <t>Súng không giật</t>
        </is>
      </c>
      <c r="E47" t="inlineStr"/>
      <c r="F47" t="inlineStr"/>
      <c r="G47" t="inlineStr"/>
      <c r="H47" t="n">
        <v>0</v>
      </c>
      <c r="I47" t="n">
        <v>545</v>
      </c>
      <c r="J47" t="n">
        <v>1199</v>
      </c>
      <c r="K47" t="n">
        <v>1</v>
      </c>
      <c r="L47" t="n">
        <v>1</v>
      </c>
      <c r="M47" t="n">
        <v>1</v>
      </c>
      <c r="N47" t="n">
        <v>1</v>
      </c>
      <c r="O47" t="b">
        <v>1</v>
      </c>
      <c r="P47" t="n">
        <v>0</v>
      </c>
      <c r="Q47" t="n">
        <v>1</v>
      </c>
      <c r="R47" t="n">
        <v>120</v>
      </c>
      <c r="S47" t="n">
        <v>32</v>
      </c>
      <c r="T47" t="n">
        <v>1.8</v>
      </c>
      <c r="U47" t="n">
        <v>3.5</v>
      </c>
      <c r="V47" t="n">
        <v>3.5</v>
      </c>
      <c r="W47" t="b">
        <v>0</v>
      </c>
      <c r="X47" t="n">
        <v>0</v>
      </c>
      <c r="Y47" t="b">
        <v>1</v>
      </c>
      <c r="Z47" t="b">
        <v>1</v>
      </c>
      <c r="AA47" t="n">
        <v>1</v>
      </c>
      <c r="AB47" t="n">
        <v>3.5</v>
      </c>
      <c r="AC47" t="n">
        <v>1</v>
      </c>
      <c r="AD47" t="inlineStr">
        <is>
          <t>spg9_73mm</t>
        </is>
      </c>
      <c r="AE47" t="inlineStr"/>
      <c r="AF47" t="inlineStr"/>
      <c r="AG47" t="inlineStr">
        <is>
          <t>none</t>
        </is>
      </c>
      <c r="AH47" t="inlineStr"/>
      <c r="AI47" t="inlineStr"/>
      <c r="AJ47" t="inlineStr">
        <is>
          <t>recoilless_gun_tower</t>
        </is>
      </c>
      <c r="AK47" t="inlineStr">
        <is>
          <t>giong</t>
        </is>
      </c>
      <c r="BH47" t="inlineStr"/>
      <c r="BI47" t="inlineStr"/>
      <c r="BJ47" t="inlineStr">
        <is>
          <t>Small</t>
        </is>
      </c>
      <c r="BK47" t="inlineStr"/>
      <c r="BL47" t="b">
        <v>0</v>
      </c>
      <c r="BM47" t="n">
        <v>2</v>
      </c>
      <c r="BN47" t="n">
        <v>2</v>
      </c>
      <c r="BO47" t="n">
        <v>25</v>
      </c>
      <c r="BP47" t="n">
        <v>2.5</v>
      </c>
      <c r="BQ47" t="inlineStr">
        <is>
          <t>Campaign</t>
        </is>
      </c>
      <c r="BR47" t="inlineStr">
        <is>
          <t>recoilless_gun_tower</t>
        </is>
      </c>
      <c r="BS47" t="inlineStr"/>
      <c r="BT47" t="n">
        <v>1</v>
      </c>
      <c r="CK47" t="n">
        <v>0</v>
      </c>
      <c r="CL47" t="n">
        <v>40</v>
      </c>
      <c r="CM47" t="n">
        <v>0.25</v>
      </c>
      <c r="CN47" t="n">
        <v>5</v>
      </c>
      <c r="CO47" t="inlineStr">
        <is>
          <t>Large</t>
        </is>
      </c>
      <c r="CU47" t="inlineStr">
        <is>
          <t>Small</t>
        </is>
      </c>
      <c r="DA47" t="n">
        <v>545</v>
      </c>
      <c r="DD47" t="n">
        <v>3.5</v>
      </c>
      <c r="DG47" t="inlineStr">
        <is>
          <t>recoilless_gun_tower</t>
        </is>
      </c>
      <c r="DH47" t="n">
        <v>3</v>
      </c>
      <c r="DI47" t="n">
        <v>4.2</v>
      </c>
      <c r="DJ47" t="n">
        <v>4.2</v>
      </c>
      <c r="DO47" t="n">
        <v>1.8</v>
      </c>
      <c r="DZ47" t="n">
        <v>0</v>
      </c>
      <c r="EA47" t="b">
        <v>1</v>
      </c>
      <c r="EE47" t="n">
        <v>1</v>
      </c>
      <c r="EF47" t="n">
        <v>120</v>
      </c>
      <c r="EG47" t="n">
        <v>32</v>
      </c>
      <c r="EK47" t="inlineStr">
        <is>
          <t>spg9_73mm</t>
        </is>
      </c>
      <c r="EL47" t="n">
        <v>3.5</v>
      </c>
      <c r="EM47" t="inlineStr">
        <is>
          <t>Assets/MachineBrigade/Resources/Data/balance.json: vehicles[129]</t>
        </is>
      </c>
      <c r="EN47" t="inlineStr">
        <is>
          <t>{"id":"recoilless_gun_tower","model":"recoilless_gun_tower","modelSize":[4.2,4.2,3.0],"fort":{"size":"Small"},"static":true,"armour":1,"hp":545,"speed":0,"turnRate":1,"turretTurnRate":120,"radius":1.8,"length":3.5,"width":3.5,"cp":0,"vision":32,"weapon":"spg9_73mm","deathExplosion":{"damage":40,"radius":5,"delay":0.25,"tier":"Large"}}</t>
        </is>
      </c>
    </row>
    <row r="48">
      <c r="A48" t="inlineStr">
        <is>
          <t>rocket_turret</t>
        </is>
      </c>
      <c r="B48" t="inlineStr">
        <is>
          <t>Rocket battery</t>
        </is>
      </c>
      <c r="C48" t="inlineStr">
        <is>
          <t>Dàn rốc-két</t>
        </is>
      </c>
      <c r="D48" t="inlineStr">
        <is>
          <t>Dàn rốc-két</t>
        </is>
      </c>
      <c r="E48" t="inlineStr"/>
      <c r="F48" t="inlineStr"/>
      <c r="G48" t="inlineStr"/>
      <c r="H48" t="n">
        <v>0</v>
      </c>
      <c r="I48" t="n">
        <v>1100</v>
      </c>
      <c r="J48" t="n">
        <v>2420</v>
      </c>
      <c r="K48" t="n">
        <v>1</v>
      </c>
      <c r="L48" t="n">
        <v>1</v>
      </c>
      <c r="M48" t="n">
        <v>1</v>
      </c>
      <c r="N48" t="n">
        <v>1</v>
      </c>
      <c r="O48" t="b">
        <v>1</v>
      </c>
      <c r="P48" t="n">
        <v>0</v>
      </c>
      <c r="Q48" t="n">
        <v>1</v>
      </c>
      <c r="R48" t="n">
        <v>90</v>
      </c>
      <c r="S48" t="n">
        <v>55</v>
      </c>
      <c r="T48" t="n">
        <v>2.3</v>
      </c>
      <c r="U48" t="n">
        <v>4.5</v>
      </c>
      <c r="V48" t="n">
        <v>4.5</v>
      </c>
      <c r="W48" t="b">
        <v>0</v>
      </c>
      <c r="X48" t="n">
        <v>0</v>
      </c>
      <c r="Y48" t="b">
        <v>1</v>
      </c>
      <c r="Z48" t="b">
        <v>1</v>
      </c>
      <c r="AA48" t="n">
        <v>1</v>
      </c>
      <c r="AB48" t="n">
        <v>3.5</v>
      </c>
      <c r="AC48" t="n">
        <v>1</v>
      </c>
      <c r="AD48" t="inlineStr">
        <is>
          <t>turret_rockets</t>
        </is>
      </c>
      <c r="AE48" t="inlineStr"/>
      <c r="AF48" t="inlineStr"/>
      <c r="AG48" t="inlineStr">
        <is>
          <t>none</t>
        </is>
      </c>
      <c r="AH48" t="inlineStr"/>
      <c r="AI48" t="inlineStr"/>
      <c r="AJ48" t="inlineStr">
        <is>
          <t>rocket_turret</t>
        </is>
      </c>
      <c r="AK48" t="inlineStr">
        <is>
          <t>giong</t>
        </is>
      </c>
      <c r="BH48" t="inlineStr"/>
      <c r="BI48" t="inlineStr"/>
      <c r="BJ48" t="inlineStr">
        <is>
          <t>Medium</t>
        </is>
      </c>
      <c r="BK48" t="inlineStr"/>
      <c r="BL48" t="b">
        <v>1</v>
      </c>
      <c r="BM48" t="n">
        <v>11</v>
      </c>
      <c r="BN48" t="n">
        <v>11</v>
      </c>
      <c r="BO48" t="n">
        <v>40</v>
      </c>
      <c r="BP48" t="n">
        <v>3.5</v>
      </c>
      <c r="BQ48" t="inlineStr">
        <is>
          <t>Campaign</t>
        </is>
      </c>
      <c r="BR48" t="inlineStr">
        <is>
          <t>rocket_turret</t>
        </is>
      </c>
      <c r="BS48" t="inlineStr"/>
      <c r="BT48" t="n">
        <v>1</v>
      </c>
      <c r="CF48" t="inlineStr">
        <is>
          <t>rocket_turret.cluster;rocket_turret.guided</t>
        </is>
      </c>
      <c r="CK48" t="n">
        <v>0</v>
      </c>
      <c r="CL48" t="n">
        <v>140</v>
      </c>
      <c r="CM48" t="n">
        <v>0.4</v>
      </c>
      <c r="CN48" t="n">
        <v>9</v>
      </c>
      <c r="CO48" t="inlineStr">
        <is>
          <t>Huge</t>
        </is>
      </c>
      <c r="CU48" t="inlineStr">
        <is>
          <t>Medium</t>
        </is>
      </c>
      <c r="DA48" t="n">
        <v>1100</v>
      </c>
      <c r="DD48" t="n">
        <v>4.5</v>
      </c>
      <c r="DO48" t="n">
        <v>2.3</v>
      </c>
      <c r="DP48" t="n">
        <v>11</v>
      </c>
      <c r="DW48" t="inlineStr"/>
      <c r="DZ48" t="n">
        <v>0</v>
      </c>
      <c r="EA48" t="b">
        <v>1</v>
      </c>
      <c r="EE48" t="n">
        <v>1</v>
      </c>
      <c r="EF48" t="n">
        <v>90</v>
      </c>
      <c r="EG48" t="n">
        <v>55</v>
      </c>
      <c r="EK48" t="inlineStr">
        <is>
          <t>turret_rockets</t>
        </is>
      </c>
      <c r="EL48" t="n">
        <v>4.5</v>
      </c>
      <c r="EM48" t="inlineStr">
        <is>
          <t>Assets/MachineBrigade/Resources/Data/balance.json: vehicles[104]</t>
        </is>
      </c>
      <c r="EN48" t="inlineStr">
        <is>
          <t>{"id":"rocket_turret","rebuildCp":11,"branches":["rocket_turret.cluster","rocket_turret.guided"],"fort":{"size":"Medium"},"static":true,"armour":1,"hp":1100,"speed":0,"turnRate":1,"turretTurnRate":90,"radius":2.3,"length":4.5,"width":4.5,"cp":0,"vision":55,"weapon":"turret_rockets","secondary":[],"deathExplosion":{"damage":140,"radius":9,"delay":0.4,"tier":"Huge"}}</t>
        </is>
      </c>
    </row>
    <row r="49">
      <c r="A49" t="inlineStr">
        <is>
          <t>rocket_turret.cluster</t>
        </is>
      </c>
      <c r="B49" t="inlineStr"/>
      <c r="C49" t="inlineStr"/>
      <c r="D49" t="inlineStr">
        <is>
          <t>Rốc-két chùm</t>
        </is>
      </c>
      <c r="E49" t="inlineStr"/>
      <c r="F49" t="inlineStr"/>
      <c r="G49" t="inlineStr">
        <is>
          <t>rocket_turret</t>
        </is>
      </c>
      <c r="H49" t="n">
        <v>0</v>
      </c>
      <c r="I49" t="n">
        <v>1100</v>
      </c>
      <c r="J49" t="n">
        <v>2420</v>
      </c>
      <c r="K49" t="n">
        <v>1</v>
      </c>
      <c r="L49" t="n">
        <v>1</v>
      </c>
      <c r="M49" t="n">
        <v>1</v>
      </c>
      <c r="N49" t="n">
        <v>1</v>
      </c>
      <c r="O49" t="b">
        <v>1</v>
      </c>
      <c r="P49" t="n">
        <v>0</v>
      </c>
      <c r="Q49" t="n">
        <v>1</v>
      </c>
      <c r="R49" t="n">
        <v>90</v>
      </c>
      <c r="S49" t="n">
        <v>55</v>
      </c>
      <c r="T49" t="n">
        <v>2.3</v>
      </c>
      <c r="U49" t="n">
        <v>4.5</v>
      </c>
      <c r="V49" t="n">
        <v>4.5</v>
      </c>
      <c r="W49" t="b">
        <v>0</v>
      </c>
      <c r="X49" t="n">
        <v>0</v>
      </c>
      <c r="Y49" t="b">
        <v>1</v>
      </c>
      <c r="Z49" t="b">
        <v>1</v>
      </c>
      <c r="AA49" t="n">
        <v>1</v>
      </c>
      <c r="AB49" t="n">
        <v>3.5</v>
      </c>
      <c r="AC49" t="n">
        <v>1</v>
      </c>
      <c r="AD49" t="inlineStr">
        <is>
          <t>turret_rockets_cluster</t>
        </is>
      </c>
      <c r="AE49" t="inlineStr"/>
      <c r="AF49" t="inlineStr"/>
      <c r="AG49" t="inlineStr">
        <is>
          <t>none</t>
        </is>
      </c>
      <c r="AH49" t="inlineStr"/>
      <c r="AI49" t="inlineStr"/>
      <c r="AJ49" t="inlineStr">
        <is>
          <t>rocket_turret</t>
        </is>
      </c>
      <c r="AK49" t="inlineStr">
        <is>
          <t>giong</t>
        </is>
      </c>
      <c r="BH49" t="inlineStr">
        <is>
          <t>rocket_turret</t>
        </is>
      </c>
      <c r="BI49" t="inlineStr">
        <is>
          <t>cluster</t>
        </is>
      </c>
      <c r="BJ49" t="inlineStr">
        <is>
          <t>Medium</t>
        </is>
      </c>
      <c r="BK49" t="inlineStr">
        <is>
          <t>rockets_cluster</t>
        </is>
      </c>
      <c r="BL49" t="b">
        <v>0</v>
      </c>
      <c r="BM49" t="n">
        <v>10</v>
      </c>
      <c r="BN49" t="n">
        <v>10</v>
      </c>
      <c r="BO49" t="n">
        <v>40</v>
      </c>
      <c r="BP49" t="n">
        <v>3.5</v>
      </c>
      <c r="BQ49" t="inlineStr">
        <is>
          <t>Campaign</t>
        </is>
      </c>
      <c r="BR49" t="inlineStr">
        <is>
          <t>rocket_turret</t>
        </is>
      </c>
      <c r="BS49" t="inlineStr"/>
      <c r="BY49" t="inlineStr">
        <is>
          <t>rocket_turret_a</t>
        </is>
      </c>
      <c r="CE49" t="inlineStr">
        <is>
          <t>rocket_turret</t>
        </is>
      </c>
      <c r="DB49" t="inlineStr">
        <is>
          <t>rocket_turret</t>
        </is>
      </c>
      <c r="DP49" t="n">
        <v>10</v>
      </c>
      <c r="ED49" t="inlineStr">
        <is>
          <t>rockets_cluster</t>
        </is>
      </c>
      <c r="EK49" t="inlineStr">
        <is>
          <t>turret_rockets_cluster</t>
        </is>
      </c>
      <c r="EM49" t="inlineStr">
        <is>
          <t>Assets/MachineBrigade/Resources/Data/balance.json: vehicles[89]</t>
        </is>
      </c>
      <c r="EN49" t="inlineStr">
        <is>
          <t>{"id":"rocket_turret.cluster","rebuildCp":10,"towerRole":"rockets_cluster","art":"rocket_turret_a","inherits":"rocket_turret","branchOf":"rocket_turret","weapon":"turret_rockets_cluster"}</t>
        </is>
      </c>
    </row>
    <row r="50">
      <c r="A50" t="inlineStr">
        <is>
          <t>rocket_turret.guided</t>
        </is>
      </c>
      <c r="B50" t="inlineStr"/>
      <c r="C50" t="inlineStr"/>
      <c r="D50" t="inlineStr">
        <is>
          <t>Dẫn đường</t>
        </is>
      </c>
      <c r="E50" t="inlineStr"/>
      <c r="F50" t="inlineStr"/>
      <c r="G50" t="inlineStr">
        <is>
          <t>rocket_turret</t>
        </is>
      </c>
      <c r="H50" t="n">
        <v>0</v>
      </c>
      <c r="I50" t="n">
        <v>1100</v>
      </c>
      <c r="J50" t="n">
        <v>2420</v>
      </c>
      <c r="K50" t="n">
        <v>1</v>
      </c>
      <c r="L50" t="n">
        <v>1</v>
      </c>
      <c r="M50" t="n">
        <v>1</v>
      </c>
      <c r="N50" t="n">
        <v>1</v>
      </c>
      <c r="O50" t="b">
        <v>1</v>
      </c>
      <c r="P50" t="n">
        <v>0</v>
      </c>
      <c r="Q50" t="n">
        <v>1</v>
      </c>
      <c r="R50" t="n">
        <v>90</v>
      </c>
      <c r="S50" t="n">
        <v>95</v>
      </c>
      <c r="T50" t="n">
        <v>2.3</v>
      </c>
      <c r="U50" t="n">
        <v>4.5</v>
      </c>
      <c r="V50" t="n">
        <v>4.5</v>
      </c>
      <c r="W50" t="b">
        <v>0</v>
      </c>
      <c r="X50" t="n">
        <v>0</v>
      </c>
      <c r="Y50" t="b">
        <v>1</v>
      </c>
      <c r="Z50" t="b">
        <v>1</v>
      </c>
      <c r="AA50" t="n">
        <v>1</v>
      </c>
      <c r="AB50" t="n">
        <v>3.5</v>
      </c>
      <c r="AC50" t="n">
        <v>1</v>
      </c>
      <c r="AD50" t="inlineStr">
        <is>
          <t>turret_gmlrs</t>
        </is>
      </c>
      <c r="AE50" t="inlineStr"/>
      <c r="AF50" t="inlineStr"/>
      <c r="AG50" t="inlineStr">
        <is>
          <t>none</t>
        </is>
      </c>
      <c r="AH50" t="inlineStr"/>
      <c r="AI50" t="inlineStr"/>
      <c r="AJ50" t="inlineStr">
        <is>
          <t>rocket_turret</t>
        </is>
      </c>
      <c r="AK50" t="inlineStr">
        <is>
          <t>giong</t>
        </is>
      </c>
      <c r="BH50" t="inlineStr">
        <is>
          <t>rocket_turret</t>
        </is>
      </c>
      <c r="BI50" t="inlineStr">
        <is>
          <t>guided</t>
        </is>
      </c>
      <c r="BJ50" t="inlineStr">
        <is>
          <t>Medium</t>
        </is>
      </c>
      <c r="BK50" t="inlineStr">
        <is>
          <t>rockets_guided</t>
        </is>
      </c>
      <c r="BL50" t="b">
        <v>0</v>
      </c>
      <c r="BM50" t="n">
        <v>9</v>
      </c>
      <c r="BN50" t="n">
        <v>9</v>
      </c>
      <c r="BO50" t="n">
        <v>40</v>
      </c>
      <c r="BP50" t="n">
        <v>3.5</v>
      </c>
      <c r="BQ50" t="inlineStr">
        <is>
          <t>Campaign</t>
        </is>
      </c>
      <c r="BR50" t="inlineStr">
        <is>
          <t>rocket_turret</t>
        </is>
      </c>
      <c r="BS50" t="inlineStr"/>
      <c r="BY50" t="inlineStr">
        <is>
          <t>rocket_turret_b</t>
        </is>
      </c>
      <c r="CE50" t="inlineStr">
        <is>
          <t>rocket_turret</t>
        </is>
      </c>
      <c r="DB50" t="inlineStr">
        <is>
          <t>rocket_turret</t>
        </is>
      </c>
      <c r="DP50" t="n">
        <v>9</v>
      </c>
      <c r="ED50" t="inlineStr">
        <is>
          <t>rockets_guided</t>
        </is>
      </c>
      <c r="EG50" t="n">
        <v>95</v>
      </c>
      <c r="EK50" t="inlineStr">
        <is>
          <t>turret_gmlrs</t>
        </is>
      </c>
      <c r="EM50" t="inlineStr">
        <is>
          <t>Assets/MachineBrigade/Resources/Data/balance.json: vehicles[90]</t>
        </is>
      </c>
      <c r="EN50" t="inlineStr">
        <is>
          <t>{"id":"rocket_turret.guided","rebuildCp":9,"towerRole":"rockets_guided","art":"rocket_turret_b","vision":95,"inherits":"rocket_turret","branchOf":"rocket_turret","weapon":"turret_gmlrs"}</t>
        </is>
      </c>
    </row>
    <row r="51">
      <c r="A51" t="inlineStr">
        <is>
          <t>shield_tower</t>
        </is>
      </c>
      <c r="B51" t="inlineStr">
        <is>
          <t>Shield generator</t>
        </is>
      </c>
      <c r="C51" t="inlineStr">
        <is>
          <t>Máy phát khiên</t>
        </is>
      </c>
      <c r="D51" t="inlineStr">
        <is>
          <t>Máy phát khiên</t>
        </is>
      </c>
      <c r="E51" t="inlineStr"/>
      <c r="F51" t="inlineStr"/>
      <c r="G51" t="inlineStr"/>
      <c r="H51" t="n">
        <v>0</v>
      </c>
      <c r="I51" t="n">
        <v>2000</v>
      </c>
      <c r="J51" t="n">
        <v>4400</v>
      </c>
      <c r="K51" t="n">
        <v>2</v>
      </c>
      <c r="L51" t="n">
        <v>2</v>
      </c>
      <c r="M51" t="n">
        <v>2</v>
      </c>
      <c r="N51" t="n">
        <v>2</v>
      </c>
      <c r="O51" t="b">
        <v>1</v>
      </c>
      <c r="P51" t="n">
        <v>0</v>
      </c>
      <c r="Q51" t="n">
        <v>1</v>
      </c>
      <c r="R51" t="n">
        <v>1</v>
      </c>
      <c r="S51" t="n">
        <v>40</v>
      </c>
      <c r="T51" t="n">
        <v>3.2</v>
      </c>
      <c r="U51" t="n">
        <v>7</v>
      </c>
      <c r="V51" t="n">
        <v>7</v>
      </c>
      <c r="W51" t="b">
        <v>0</v>
      </c>
      <c r="X51" t="n">
        <v>0</v>
      </c>
      <c r="Y51" t="b">
        <v>1</v>
      </c>
      <c r="Z51" t="b">
        <v>1</v>
      </c>
      <c r="AA51" t="n">
        <v>1</v>
      </c>
      <c r="AB51" t="n">
        <v>3.5</v>
      </c>
      <c r="AC51" t="n">
        <v>1</v>
      </c>
      <c r="AD51" t="inlineStr">
        <is>
          <t>none</t>
        </is>
      </c>
      <c r="AE51" t="inlineStr"/>
      <c r="AF51" t="inlineStr"/>
      <c r="AG51" t="inlineStr">
        <is>
          <t>none</t>
        </is>
      </c>
      <c r="AH51" t="inlineStr"/>
      <c r="AI51" t="inlineStr"/>
      <c r="AJ51" t="inlineStr">
        <is>
          <t>shield_tower</t>
        </is>
      </c>
      <c r="AK51" t="inlineStr">
        <is>
          <t>giong</t>
        </is>
      </c>
      <c r="BH51" t="inlineStr"/>
      <c r="BI51" t="inlineStr"/>
      <c r="BJ51" t="inlineStr">
        <is>
          <t>Large</t>
        </is>
      </c>
      <c r="BK51" t="inlineStr"/>
      <c r="BL51" t="b">
        <v>1</v>
      </c>
      <c r="BM51" t="n">
        <v>10</v>
      </c>
      <c r="BN51" t="n">
        <v>10</v>
      </c>
      <c r="BO51" t="n">
        <v>60</v>
      </c>
      <c r="BP51" t="n">
        <v>5</v>
      </c>
      <c r="BQ51" t="inlineStr">
        <is>
          <t>Campaign</t>
        </is>
      </c>
      <c r="BR51" t="inlineStr">
        <is>
          <t>shield_tower</t>
        </is>
      </c>
      <c r="BS51" t="inlineStr"/>
      <c r="BT51" t="n">
        <v>2</v>
      </c>
      <c r="CF51" t="inlineStr">
        <is>
          <t>shield_tower.bulwark;shield_tower.ward</t>
        </is>
      </c>
      <c r="CK51" t="n">
        <v>0</v>
      </c>
      <c r="CL51" t="n">
        <v>160</v>
      </c>
      <c r="CM51" t="n">
        <v>0.4</v>
      </c>
      <c r="CN51" t="n">
        <v>9</v>
      </c>
      <c r="CO51" t="inlineStr">
        <is>
          <t>Huge</t>
        </is>
      </c>
      <c r="CP51" t="n">
        <v>3000</v>
      </c>
      <c r="CQ51" t="n">
        <v>25</v>
      </c>
      <c r="CR51" t="n">
        <v>30</v>
      </c>
      <c r="CU51" t="inlineStr">
        <is>
          <t>Large</t>
        </is>
      </c>
      <c r="DA51" t="n">
        <v>2000</v>
      </c>
      <c r="DD51" t="n">
        <v>7</v>
      </c>
      <c r="DO51" t="n">
        <v>3.2</v>
      </c>
      <c r="DP51" t="n">
        <v>10</v>
      </c>
      <c r="DZ51" t="n">
        <v>0</v>
      </c>
      <c r="EA51" t="b">
        <v>1</v>
      </c>
      <c r="EE51" t="n">
        <v>1</v>
      </c>
      <c r="EF51" t="n">
        <v>1</v>
      </c>
      <c r="EG51" t="n">
        <v>40</v>
      </c>
      <c r="EK51" t="inlineStr">
        <is>
          <t>none</t>
        </is>
      </c>
      <c r="EL51" t="n">
        <v>7</v>
      </c>
      <c r="EM51" t="inlineStr">
        <is>
          <t>Assets/MachineBrigade/Resources/Data/balance.json: vehicles[108]</t>
        </is>
      </c>
      <c r="EN51" t="inlineStr">
        <is>
          <t>{"id":"shield_tower","rebuildCp":10,"branches":["shield_tower.bulwark","shield_tower.ward"],"fort":{"size":"Large"},"static":true,"armour":2,"hp":2000,"speed":0,"turnRate":1,"turretTurnRate":1,"radius":3.2,"length":7,"width":7,"cp":0,"vision":40,"weapon":"none","dome":{"radius":25,"hp":3000,"recharge":30},"deathExplosion":{"damage":160,"radius":9,"delay":0.4,"tier":"Huge"}}</t>
        </is>
      </c>
    </row>
    <row r="52">
      <c r="A52" t="inlineStr">
        <is>
          <t>shield_tower.bulwark</t>
        </is>
      </c>
      <c r="B52" t="inlineStr"/>
      <c r="C52" t="inlineStr"/>
      <c r="D52" t="inlineStr">
        <is>
          <t>Vòm khiên</t>
        </is>
      </c>
      <c r="E52" t="inlineStr"/>
      <c r="F52" t="inlineStr"/>
      <c r="G52" t="inlineStr">
        <is>
          <t>shield_tower</t>
        </is>
      </c>
      <c r="H52" t="n">
        <v>0</v>
      </c>
      <c r="I52" t="n">
        <v>2000</v>
      </c>
      <c r="J52" t="n">
        <v>4400</v>
      </c>
      <c r="K52" t="n">
        <v>2</v>
      </c>
      <c r="L52" t="n">
        <v>2</v>
      </c>
      <c r="M52" t="n">
        <v>2</v>
      </c>
      <c r="N52" t="n">
        <v>2</v>
      </c>
      <c r="O52" t="b">
        <v>1</v>
      </c>
      <c r="P52" t="n">
        <v>0</v>
      </c>
      <c r="Q52" t="n">
        <v>1</v>
      </c>
      <c r="R52" t="n">
        <v>1</v>
      </c>
      <c r="S52" t="n">
        <v>40</v>
      </c>
      <c r="T52" t="n">
        <v>3.2</v>
      </c>
      <c r="U52" t="n">
        <v>7</v>
      </c>
      <c r="V52" t="n">
        <v>7</v>
      </c>
      <c r="W52" t="b">
        <v>0</v>
      </c>
      <c r="X52" t="n">
        <v>0</v>
      </c>
      <c r="Y52" t="b">
        <v>1</v>
      </c>
      <c r="Z52" t="b">
        <v>1</v>
      </c>
      <c r="AA52" t="n">
        <v>1</v>
      </c>
      <c r="AB52" t="n">
        <v>3.5</v>
      </c>
      <c r="AC52" t="n">
        <v>1</v>
      </c>
      <c r="AD52" t="inlineStr">
        <is>
          <t>none</t>
        </is>
      </c>
      <c r="AE52" t="inlineStr"/>
      <c r="AF52" t="inlineStr"/>
      <c r="AG52" t="inlineStr">
        <is>
          <t>none</t>
        </is>
      </c>
      <c r="AH52" t="inlineStr"/>
      <c r="AI52" t="inlineStr"/>
      <c r="AJ52" t="inlineStr">
        <is>
          <t>shield_tower</t>
        </is>
      </c>
      <c r="AK52" t="inlineStr">
        <is>
          <t>giong</t>
        </is>
      </c>
      <c r="BH52" t="inlineStr">
        <is>
          <t>shield_tower</t>
        </is>
      </c>
      <c r="BI52" t="inlineStr">
        <is>
          <t>bulwark</t>
        </is>
      </c>
      <c r="BJ52" t="inlineStr">
        <is>
          <t>Large</t>
        </is>
      </c>
      <c r="BK52" t="inlineStr">
        <is>
          <t>shield_dome</t>
        </is>
      </c>
      <c r="BL52" t="b">
        <v>0</v>
      </c>
      <c r="BM52" t="n">
        <v>10</v>
      </c>
      <c r="BN52" t="n">
        <v>10</v>
      </c>
      <c r="BO52" t="n">
        <v>60</v>
      </c>
      <c r="BP52" t="n">
        <v>5</v>
      </c>
      <c r="BQ52" t="inlineStr">
        <is>
          <t>Campaign</t>
        </is>
      </c>
      <c r="BR52" t="inlineStr">
        <is>
          <t>shield_tower</t>
        </is>
      </c>
      <c r="BS52" t="inlineStr"/>
      <c r="BY52" t="inlineStr">
        <is>
          <t>shield_tower_a</t>
        </is>
      </c>
      <c r="CE52" t="inlineStr">
        <is>
          <t>shield_tower</t>
        </is>
      </c>
      <c r="CP52" t="n">
        <v>4200</v>
      </c>
      <c r="CQ52" t="n">
        <v>25</v>
      </c>
      <c r="CR52" t="n">
        <v>28</v>
      </c>
      <c r="DB52" t="inlineStr">
        <is>
          <t>shield_tower</t>
        </is>
      </c>
      <c r="DP52" t="n">
        <v>10</v>
      </c>
      <c r="ED52" t="inlineStr">
        <is>
          <t>shield_dome</t>
        </is>
      </c>
      <c r="EM52" t="inlineStr">
        <is>
          <t>Assets/MachineBrigade/Resources/Data/balance.json: vehicles[110]</t>
        </is>
      </c>
      <c r="EN52" t="inlineStr">
        <is>
          <t>{"id":"shield_tower.bulwark","rebuildCp":10,"towerRole":"shield_dome","art":"shield_tower_a","inherits":"shield_tower","branchOf":"shield_tower","dome":{"radius":25,"hp":4200,"recharge":28}}</t>
        </is>
      </c>
    </row>
    <row r="53">
      <c r="A53" t="inlineStr">
        <is>
          <t>shield_tower.ward</t>
        </is>
      </c>
      <c r="B53" t="inlineStr"/>
      <c r="C53" t="inlineStr"/>
      <c r="D53" t="inlineStr">
        <is>
          <t>Lá chắn tháp</t>
        </is>
      </c>
      <c r="E53" t="inlineStr"/>
      <c r="F53" t="inlineStr"/>
      <c r="G53" t="inlineStr"/>
      <c r="H53" t="n">
        <v>0</v>
      </c>
      <c r="I53" t="n">
        <v>2000</v>
      </c>
      <c r="J53" t="n">
        <v>4400</v>
      </c>
      <c r="K53" t="n">
        <v>2</v>
      </c>
      <c r="L53" t="n">
        <v>2</v>
      </c>
      <c r="M53" t="n">
        <v>2</v>
      </c>
      <c r="N53" t="n">
        <v>2</v>
      </c>
      <c r="O53" t="b">
        <v>1</v>
      </c>
      <c r="P53" t="n">
        <v>0</v>
      </c>
      <c r="Q53" t="n">
        <v>1</v>
      </c>
      <c r="R53" t="n">
        <v>1</v>
      </c>
      <c r="S53" t="n">
        <v>40</v>
      </c>
      <c r="T53" t="n">
        <v>3.2</v>
      </c>
      <c r="U53" t="n">
        <v>7</v>
      </c>
      <c r="V53" t="n">
        <v>7</v>
      </c>
      <c r="W53" t="b">
        <v>0</v>
      </c>
      <c r="X53" t="n">
        <v>0</v>
      </c>
      <c r="Y53" t="b">
        <v>1</v>
      </c>
      <c r="Z53" t="b">
        <v>1</v>
      </c>
      <c r="AA53" t="n">
        <v>1</v>
      </c>
      <c r="AB53" t="n">
        <v>3.5</v>
      </c>
      <c r="AC53" t="n">
        <v>1</v>
      </c>
      <c r="AD53" t="inlineStr">
        <is>
          <t>none</t>
        </is>
      </c>
      <c r="AE53" t="inlineStr"/>
      <c r="AF53" t="inlineStr"/>
      <c r="AG53" t="inlineStr">
        <is>
          <t>none</t>
        </is>
      </c>
      <c r="AH53" t="inlineStr"/>
      <c r="AI53" t="inlineStr"/>
      <c r="AJ53" t="inlineStr">
        <is>
          <t>shield_tower</t>
        </is>
      </c>
      <c r="AK53" t="inlineStr">
        <is>
          <t>giong</t>
        </is>
      </c>
      <c r="BH53" t="inlineStr">
        <is>
          <t>shield_tower</t>
        </is>
      </c>
      <c r="BI53" t="inlineStr">
        <is>
          <t>ward</t>
        </is>
      </c>
      <c r="BJ53" t="inlineStr">
        <is>
          <t>Large</t>
        </is>
      </c>
      <c r="BK53" t="inlineStr">
        <is>
          <t>tower_shields</t>
        </is>
      </c>
      <c r="BL53" t="b">
        <v>0</v>
      </c>
      <c r="BM53" t="n">
        <v>10</v>
      </c>
      <c r="BN53" t="n">
        <v>10</v>
      </c>
      <c r="BO53" t="n">
        <v>60</v>
      </c>
      <c r="BP53" t="n">
        <v>5</v>
      </c>
      <c r="BQ53" t="inlineStr">
        <is>
          <t>Campaign</t>
        </is>
      </c>
      <c r="BR53" t="inlineStr">
        <is>
          <t>shield_tower</t>
        </is>
      </c>
      <c r="BS53" t="inlineStr"/>
      <c r="BT53" t="n">
        <v>2</v>
      </c>
      <c r="BY53" t="inlineStr">
        <is>
          <t>shield_tower_b</t>
        </is>
      </c>
      <c r="CE53" t="inlineStr">
        <is>
          <t>shield_tower</t>
        </is>
      </c>
      <c r="CK53" t="n">
        <v>0</v>
      </c>
      <c r="CL53" t="n">
        <v>160</v>
      </c>
      <c r="CM53" t="n">
        <v>0.4</v>
      </c>
      <c r="CN53" t="n">
        <v>9</v>
      </c>
      <c r="CO53" t="inlineStr">
        <is>
          <t>Huge</t>
        </is>
      </c>
      <c r="CU53" t="inlineStr">
        <is>
          <t>Large</t>
        </is>
      </c>
      <c r="DA53" t="n">
        <v>2000</v>
      </c>
      <c r="DD53" t="n">
        <v>7</v>
      </c>
      <c r="DG53" t="inlineStr">
        <is>
          <t>shield_tower</t>
        </is>
      </c>
      <c r="DO53" t="n">
        <v>3.2</v>
      </c>
      <c r="DP53" t="n">
        <v>10</v>
      </c>
      <c r="DZ53" t="n">
        <v>0</v>
      </c>
      <c r="EA53" t="b">
        <v>1</v>
      </c>
      <c r="ED53" t="inlineStr">
        <is>
          <t>tower_shields</t>
        </is>
      </c>
      <c r="EE53" t="n">
        <v>1</v>
      </c>
      <c r="EF53" t="n">
        <v>1</v>
      </c>
      <c r="EG53" t="n">
        <v>40</v>
      </c>
      <c r="EH53" t="n">
        <v>1200</v>
      </c>
      <c r="EI53" t="n">
        <v>28</v>
      </c>
      <c r="EJ53" t="n">
        <v>6</v>
      </c>
      <c r="EK53" t="inlineStr">
        <is>
          <t>none</t>
        </is>
      </c>
      <c r="EL53" t="n">
        <v>7</v>
      </c>
      <c r="EM53" t="inlineStr">
        <is>
          <t>Assets/MachineBrigade/Resources/Data/balance.json: vehicles[111]</t>
        </is>
      </c>
      <c r="EN53" t="inlineStr">
        <is>
          <t>{"id":"shield_tower.ward","rebuildCp":10,"towerRole":"tower_shields","art":"shield_tower_b","branchOf":"shield_tower","model":"shield_tower","fort":{"size":"Large"},"static":true,"armour":2,"hp":2000,"speed":0,"turnRate":1,"turretTurnRate":1,"radius":3.2,"length":7,"width":7,"cp":0,"vision":40,"weapon":"none","wards":{"radius":28,"hp":1200,"recharge":6},"deathExplosion":{"damage":160,"radius":9,"delay":0.4,"tier":"Huge"}}</t>
        </is>
      </c>
    </row>
    <row r="54">
      <c r="A54" t="inlineStr">
        <is>
          <t>spawn_bastion</t>
        </is>
      </c>
      <c r="B54" t="inlineStr">
        <is>
          <t>Camp bastion</t>
        </is>
      </c>
      <c r="C54" t="inlineStr">
        <is>
          <t>Tháp căn cứ</t>
        </is>
      </c>
      <c r="D54" t="inlineStr">
        <is>
          <t>Tháp căn cứ</t>
        </is>
      </c>
      <c r="E54" t="inlineStr">
        <is>
          <t>Defense</t>
        </is>
      </c>
      <c r="F54" t="inlineStr"/>
      <c r="G54" t="inlineStr"/>
      <c r="H54" t="n">
        <v>0</v>
      </c>
      <c r="I54" t="n">
        <v>5000</v>
      </c>
      <c r="J54" t="n">
        <v>11000</v>
      </c>
      <c r="K54" t="n">
        <v>4</v>
      </c>
      <c r="L54" t="n">
        <v>3</v>
      </c>
      <c r="M54" t="n">
        <v>3</v>
      </c>
      <c r="N54" t="n">
        <v>3</v>
      </c>
      <c r="O54" t="b">
        <v>1</v>
      </c>
      <c r="P54" t="n">
        <v>0</v>
      </c>
      <c r="Q54" t="n">
        <v>1</v>
      </c>
      <c r="R54" t="n">
        <v>90</v>
      </c>
      <c r="S54" t="n">
        <v>44</v>
      </c>
      <c r="T54" t="n">
        <v>3.8</v>
      </c>
      <c r="U54" t="n">
        <v>8</v>
      </c>
      <c r="V54" t="n">
        <v>8</v>
      </c>
      <c r="W54" t="b">
        <v>0</v>
      </c>
      <c r="X54" t="n">
        <v>0</v>
      </c>
      <c r="Y54" t="b">
        <v>1</v>
      </c>
      <c r="Z54" t="b">
        <v>1</v>
      </c>
      <c r="AA54" t="n">
        <v>1</v>
      </c>
      <c r="AB54" t="n">
        <v>3.5</v>
      </c>
      <c r="AC54" t="n">
        <v>1</v>
      </c>
      <c r="AD54" t="inlineStr">
        <is>
          <t>bastion_gun</t>
        </is>
      </c>
      <c r="AE54" t="inlineStr"/>
      <c r="AF54" t="inlineStr"/>
      <c r="AG54" t="inlineStr">
        <is>
          <t>none</t>
        </is>
      </c>
      <c r="AH54" t="inlineStr"/>
      <c r="AI54" t="inlineStr"/>
      <c r="AJ54" t="inlineStr">
        <is>
          <t>heavy_turret</t>
        </is>
      </c>
      <c r="AK54" t="inlineStr">
        <is>
          <t>giong</t>
        </is>
      </c>
      <c r="BH54" t="inlineStr"/>
      <c r="BI54" t="inlineStr"/>
      <c r="BJ54" t="inlineStr"/>
      <c r="BK54" t="inlineStr"/>
      <c r="BL54" t="b">
        <v>0</v>
      </c>
      <c r="BM54" t="inlineStr"/>
      <c r="BN54" t="n">
        <v>2</v>
      </c>
      <c r="BO54" t="inlineStr"/>
      <c r="BP54" t="inlineStr"/>
      <c r="BQ54" t="inlineStr">
        <is>
          <t>Campaign</t>
        </is>
      </c>
      <c r="BR54" t="inlineStr">
        <is>
          <t>spawn_bastion</t>
        </is>
      </c>
      <c r="BS54" t="inlineStr"/>
      <c r="BU54" t="n">
        <v>4</v>
      </c>
      <c r="BV54" t="n">
        <v>3</v>
      </c>
      <c r="BW54" t="n">
        <v>3</v>
      </c>
      <c r="BX54" t="n">
        <v>3</v>
      </c>
      <c r="CG54" t="inlineStr">
        <is>
          <t>Defense</t>
        </is>
      </c>
      <c r="CK54" t="n">
        <v>0</v>
      </c>
      <c r="CT54" t="b">
        <v>1</v>
      </c>
      <c r="DA54" t="n">
        <v>5000</v>
      </c>
      <c r="DD54" t="n">
        <v>8</v>
      </c>
      <c r="DG54" t="inlineStr">
        <is>
          <t>heavy_turret</t>
        </is>
      </c>
      <c r="DO54" t="n">
        <v>3.8</v>
      </c>
      <c r="DW54" t="inlineStr"/>
      <c r="DZ54" t="n">
        <v>0</v>
      </c>
      <c r="EA54" t="b">
        <v>1</v>
      </c>
      <c r="EE54" t="n">
        <v>1</v>
      </c>
      <c r="EF54" t="n">
        <v>90</v>
      </c>
      <c r="EG54" t="n">
        <v>44</v>
      </c>
      <c r="EK54" t="inlineStr">
        <is>
          <t>bastion_gun</t>
        </is>
      </c>
      <c r="EL54" t="n">
        <v>8</v>
      </c>
      <c r="EM54" t="inlineStr">
        <is>
          <t>Assets/MachineBrigade/Resources/Data/balance.json: vehicles[65]</t>
        </is>
      </c>
      <c r="EN54" t="inlineStr">
        <is>
          <t>{"id":"spawn_bastion","class":"Defense","static":true,"model":"heavy_turret","armour":[4,3,3,3],"hp":5000,"speed":0,"turnRate":1,"turretTurnRate":90,"radius":3.8,"length":8,"width":8,"cp":0,"vision":44,"firesWhileMoving":true,"weapon":"bastion_gun","secondary":[]}</t>
        </is>
      </c>
    </row>
    <row r="55">
      <c r="A55" t="inlineStr">
        <is>
          <t>super_gun</t>
        </is>
      </c>
      <c r="B55" t="inlineStr">
        <is>
          <t>Super-gun</t>
        </is>
      </c>
      <c r="C55" t="inlineStr">
        <is>
          <t>Siêu pháo</t>
        </is>
      </c>
      <c r="D55" t="inlineStr">
        <is>
          <t>Siêu pháo</t>
        </is>
      </c>
      <c r="E55" t="inlineStr">
        <is>
          <t>Defense</t>
        </is>
      </c>
      <c r="F55" t="inlineStr"/>
      <c r="G55" t="inlineStr"/>
      <c r="H55" t="n">
        <v>0</v>
      </c>
      <c r="I55" t="n">
        <v>5200</v>
      </c>
      <c r="J55" t="n">
        <v>11440</v>
      </c>
      <c r="K55" t="n">
        <v>3</v>
      </c>
      <c r="L55" t="n">
        <v>3</v>
      </c>
      <c r="M55" t="n">
        <v>3</v>
      </c>
      <c r="N55" t="n">
        <v>3</v>
      </c>
      <c r="O55" t="b">
        <v>1</v>
      </c>
      <c r="P55" t="n">
        <v>0</v>
      </c>
      <c r="Q55" t="n">
        <v>1</v>
      </c>
      <c r="R55" t="n">
        <v>12</v>
      </c>
      <c r="S55" t="n">
        <v>40</v>
      </c>
      <c r="T55" t="n">
        <v>7</v>
      </c>
      <c r="U55" t="n">
        <v>14.4</v>
      </c>
      <c r="V55" t="n">
        <v>14.4</v>
      </c>
      <c r="W55" t="b">
        <v>0</v>
      </c>
      <c r="X55" t="n">
        <v>0</v>
      </c>
      <c r="Y55" t="b">
        <v>1</v>
      </c>
      <c r="Z55" t="b">
        <v>1</v>
      </c>
      <c r="AA55" t="n">
        <v>1</v>
      </c>
      <c r="AB55" t="n">
        <v>3.5</v>
      </c>
      <c r="AC55" t="n">
        <v>1</v>
      </c>
      <c r="AD55" t="inlineStr">
        <is>
          <t>none</t>
        </is>
      </c>
      <c r="AE55" t="inlineStr"/>
      <c r="AF55" t="inlineStr"/>
      <c r="AG55" t="inlineStr">
        <is>
          <t>none</t>
        </is>
      </c>
      <c r="AH55" t="inlineStr"/>
      <c r="AI55" t="inlineStr"/>
      <c r="AJ55" t="inlineStr">
        <is>
          <t>super_gun</t>
        </is>
      </c>
      <c r="AK55" t="inlineStr">
        <is>
          <t>giong</t>
        </is>
      </c>
      <c r="BH55" t="inlineStr"/>
      <c r="BI55" t="inlineStr"/>
      <c r="BJ55" t="inlineStr"/>
      <c r="BK55" t="inlineStr"/>
      <c r="BL55" t="b">
        <v>0</v>
      </c>
      <c r="BM55" t="inlineStr"/>
      <c r="BN55" t="n">
        <v>2</v>
      </c>
      <c r="BO55" t="inlineStr"/>
      <c r="BP55" t="inlineStr"/>
      <c r="BQ55" t="inlineStr">
        <is>
          <t>Campaign</t>
        </is>
      </c>
      <c r="BR55" t="inlineStr">
        <is>
          <t>super_gun</t>
        </is>
      </c>
      <c r="BS55" t="inlineStr"/>
      <c r="BT55" t="n">
        <v>3</v>
      </c>
      <c r="CG55" t="inlineStr">
        <is>
          <t>Defense</t>
        </is>
      </c>
      <c r="CK55" t="n">
        <v>0</v>
      </c>
      <c r="CL55" t="n">
        <v>380</v>
      </c>
      <c r="CM55" t="n">
        <v>0.6</v>
      </c>
      <c r="CN55" t="n">
        <v>18</v>
      </c>
      <c r="CO55" t="inlineStr">
        <is>
          <t>Ultimate</t>
        </is>
      </c>
      <c r="DA55" t="n">
        <v>5200</v>
      </c>
      <c r="DD55" t="n">
        <v>8</v>
      </c>
      <c r="DG55" t="inlineStr">
        <is>
          <t>super_gun</t>
        </is>
      </c>
      <c r="DO55" t="n">
        <v>7</v>
      </c>
      <c r="DV55" t="n">
        <v>1.8</v>
      </c>
      <c r="DZ55" t="n">
        <v>0</v>
      </c>
      <c r="EA55" t="b">
        <v>1</v>
      </c>
      <c r="EE55" t="n">
        <v>1</v>
      </c>
      <c r="EF55" t="n">
        <v>12</v>
      </c>
      <c r="EG55" t="n">
        <v>40</v>
      </c>
      <c r="EK55" t="inlineStr">
        <is>
          <t>none</t>
        </is>
      </c>
      <c r="EL55" t="n">
        <v>8</v>
      </c>
      <c r="EM55" t="inlineStr">
        <is>
          <t>Assets/MachineBrigade/Resources/Data/balance.json: vehicles[64]</t>
        </is>
      </c>
      <c r="EN55" t="inlineStr">
        <is>
          <t>{"id":"super_gun","class":"Defense","static":true,"model":"super_gun","scale":1.8,"armour":3,"hp":5200,"speed":0,"turnRate":1,"turretTurnRate":12,"radius":7,"length":8,"width":8,"cp":0,"vision":40,"weapon":"none","deathExplosion":{"damage":380,"radius":18,"delay":0.6,"tier":"Ultimate"}}</t>
        </is>
      </c>
    </row>
    <row r="56">
      <c r="A56" t="inlineStr">
        <is>
          <t>targeting_station</t>
        </is>
      </c>
      <c r="B56" t="inlineStr">
        <is>
          <t>Fire-control post</t>
        </is>
      </c>
      <c r="C56" t="inlineStr">
        <is>
          <t>Trạm chỉ thị mục tiêu</t>
        </is>
      </c>
      <c r="D56" t="inlineStr">
        <is>
          <t>Trạm chỉ thị</t>
        </is>
      </c>
      <c r="E56" t="inlineStr">
        <is>
          <t>Defense</t>
        </is>
      </c>
      <c r="F56" t="inlineStr"/>
      <c r="G56" t="inlineStr"/>
      <c r="H56" t="n">
        <v>0</v>
      </c>
      <c r="I56" t="n">
        <v>700</v>
      </c>
      <c r="J56" t="n">
        <v>1540</v>
      </c>
      <c r="K56" t="n">
        <v>1</v>
      </c>
      <c r="L56" t="n">
        <v>1</v>
      </c>
      <c r="M56" t="n">
        <v>1</v>
      </c>
      <c r="N56" t="n">
        <v>1</v>
      </c>
      <c r="O56" t="b">
        <v>1</v>
      </c>
      <c r="P56" t="n">
        <v>0</v>
      </c>
      <c r="Q56" t="n">
        <v>1</v>
      </c>
      <c r="R56" t="n">
        <v>1</v>
      </c>
      <c r="S56" t="n">
        <v>110</v>
      </c>
      <c r="T56" t="n">
        <v>3.4</v>
      </c>
      <c r="U56" t="n">
        <v>8</v>
      </c>
      <c r="V56" t="n">
        <v>6.5</v>
      </c>
      <c r="W56" t="b">
        <v>0</v>
      </c>
      <c r="X56" t="n">
        <v>0</v>
      </c>
      <c r="Y56" t="b">
        <v>1</v>
      </c>
      <c r="Z56" t="b">
        <v>1</v>
      </c>
      <c r="AA56" t="n">
        <v>1</v>
      </c>
      <c r="AB56" t="n">
        <v>3.5</v>
      </c>
      <c r="AC56" t="n">
        <v>1</v>
      </c>
      <c r="AD56" t="inlineStr">
        <is>
          <t>none</t>
        </is>
      </c>
      <c r="AE56" t="inlineStr"/>
      <c r="AF56" t="inlineStr"/>
      <c r="AG56" t="inlineStr">
        <is>
          <t>none</t>
        </is>
      </c>
      <c r="AH56" t="inlineStr"/>
      <c r="AI56" t="inlineStr"/>
      <c r="AJ56" t="inlineStr">
        <is>
          <t>targeting_station</t>
        </is>
      </c>
      <c r="AK56" t="inlineStr">
        <is>
          <t>giong</t>
        </is>
      </c>
      <c r="BH56" t="inlineStr"/>
      <c r="BI56" t="inlineStr"/>
      <c r="BJ56" t="inlineStr"/>
      <c r="BK56" t="inlineStr"/>
      <c r="BL56" t="b">
        <v>0</v>
      </c>
      <c r="BM56" t="inlineStr"/>
      <c r="BN56" t="n">
        <v>2</v>
      </c>
      <c r="BO56" t="inlineStr"/>
      <c r="BP56" t="inlineStr"/>
      <c r="BQ56" t="inlineStr">
        <is>
          <t>Campaign</t>
        </is>
      </c>
      <c r="BR56" t="inlineStr">
        <is>
          <t>targeting_station</t>
        </is>
      </c>
      <c r="BS56" t="inlineStr"/>
      <c r="BT56" t="n">
        <v>1</v>
      </c>
      <c r="CG56" t="inlineStr">
        <is>
          <t>Defense</t>
        </is>
      </c>
      <c r="CK56" t="n">
        <v>0</v>
      </c>
      <c r="CL56" t="n">
        <v>80</v>
      </c>
      <c r="CM56" t="n">
        <v>0.3</v>
      </c>
      <c r="CN56" t="n">
        <v>6</v>
      </c>
      <c r="CO56" t="inlineStr">
        <is>
          <t>Huge</t>
        </is>
      </c>
      <c r="DA56" t="n">
        <v>700</v>
      </c>
      <c r="DD56" t="n">
        <v>8</v>
      </c>
      <c r="DO56" t="n">
        <v>3.4</v>
      </c>
      <c r="DZ56" t="n">
        <v>0</v>
      </c>
      <c r="EA56" t="b">
        <v>1</v>
      </c>
      <c r="EE56" t="n">
        <v>1</v>
      </c>
      <c r="EF56" t="n">
        <v>1</v>
      </c>
      <c r="EG56" t="n">
        <v>110</v>
      </c>
      <c r="EK56" t="inlineStr">
        <is>
          <t>none</t>
        </is>
      </c>
      <c r="EL56" t="n">
        <v>6.5</v>
      </c>
      <c r="EM56" t="inlineStr">
        <is>
          <t>Assets/MachineBrigade/Resources/Data/balance.json: vehicles[149]</t>
        </is>
      </c>
      <c r="EN56" t="inlineStr">
        <is>
          <t>{"id":"targeting_station","class":"Defense","static":true,"armour":1,"hp":700,"speed":0,"turnRate":1,"turretTurnRate":1,"radius":3.4,"length":8,"width":6.5,"cp":0,"vision":110,"weapon":"none","deathExplosion":{"damage":80,"radius":6,"delay":0.3,"tier":"Huge"}}</t>
        </is>
      </c>
    </row>
    <row r="57">
      <c r="A57" t="inlineStr">
        <is>
          <t>vehicle_hangar</t>
        </is>
      </c>
      <c r="B57" t="inlineStr">
        <is>
          <t>Vehicle hangar</t>
        </is>
      </c>
      <c r="C57" t="inlineStr">
        <is>
          <t>Nhà chứa xe</t>
        </is>
      </c>
      <c r="D57" t="inlineStr">
        <is>
          <t>Nhà chứa xe</t>
        </is>
      </c>
      <c r="E57" t="inlineStr"/>
      <c r="F57" t="inlineStr"/>
      <c r="G57" t="inlineStr"/>
      <c r="H57" t="n">
        <v>0</v>
      </c>
      <c r="I57" t="n">
        <v>1800</v>
      </c>
      <c r="J57" t="n">
        <v>3960</v>
      </c>
      <c r="K57" t="n">
        <v>2</v>
      </c>
      <c r="L57" t="n">
        <v>2</v>
      </c>
      <c r="M57" t="n">
        <v>2</v>
      </c>
      <c r="N57" t="n">
        <v>2</v>
      </c>
      <c r="O57" t="b">
        <v>1</v>
      </c>
      <c r="P57" t="n">
        <v>0</v>
      </c>
      <c r="Q57" t="n">
        <v>1</v>
      </c>
      <c r="R57" t="n">
        <v>1</v>
      </c>
      <c r="S57" t="n">
        <v>50</v>
      </c>
      <c r="T57" t="n">
        <v>3.6</v>
      </c>
      <c r="U57" t="n">
        <v>8</v>
      </c>
      <c r="V57" t="n">
        <v>8</v>
      </c>
      <c r="W57" t="b">
        <v>0</v>
      </c>
      <c r="X57" t="n">
        <v>0</v>
      </c>
      <c r="Y57" t="b">
        <v>1</v>
      </c>
      <c r="Z57" t="b">
        <v>1</v>
      </c>
      <c r="AA57" t="n">
        <v>1</v>
      </c>
      <c r="AB57" t="n">
        <v>3.5</v>
      </c>
      <c r="AC57" t="n">
        <v>1</v>
      </c>
      <c r="AD57" t="inlineStr">
        <is>
          <t>none</t>
        </is>
      </c>
      <c r="AE57" t="inlineStr"/>
      <c r="AF57" t="inlineStr"/>
      <c r="AG57" t="inlineStr">
        <is>
          <t>none</t>
        </is>
      </c>
      <c r="AH57" t="inlineStr"/>
      <c r="AI57" t="inlineStr"/>
      <c r="AJ57" t="inlineStr">
        <is>
          <t>vehicle_hangar_base</t>
        </is>
      </c>
      <c r="AK57" t="inlineStr">
        <is>
          <t>moi</t>
        </is>
      </c>
      <c r="BH57" t="inlineStr"/>
      <c r="BI57" t="inlineStr"/>
      <c r="BJ57" t="inlineStr">
        <is>
          <t>Medium</t>
        </is>
      </c>
      <c r="BK57" t="inlineStr"/>
      <c r="BL57" t="b">
        <v>1</v>
      </c>
      <c r="BM57" t="n">
        <v>8</v>
      </c>
      <c r="BN57" t="n">
        <v>8</v>
      </c>
      <c r="BO57" t="n">
        <v>40</v>
      </c>
      <c r="BP57" t="n">
        <v>3.5</v>
      </c>
      <c r="BQ57" t="inlineStr">
        <is>
          <t>Campaign</t>
        </is>
      </c>
      <c r="BR57" t="inlineStr">
        <is>
          <t>vehicle_hangar</t>
        </is>
      </c>
      <c r="BS57" t="inlineStr"/>
      <c r="BT57" t="n">
        <v>2</v>
      </c>
      <c r="CK57" t="n">
        <v>0</v>
      </c>
      <c r="CL57" t="n">
        <v>120</v>
      </c>
      <c r="CM57" t="n">
        <v>0.4</v>
      </c>
      <c r="CN57" t="n">
        <v>8</v>
      </c>
      <c r="CO57" t="inlineStr">
        <is>
          <t>Huge</t>
        </is>
      </c>
      <c r="CU57" t="inlineStr">
        <is>
          <t>Medium</t>
        </is>
      </c>
      <c r="CV57" t="n">
        <v>2</v>
      </c>
      <c r="CW57" t="n">
        <v>5</v>
      </c>
      <c r="CX57" t="n">
        <v>60</v>
      </c>
      <c r="CY57" t="n">
        <v>20</v>
      </c>
      <c r="CZ57" t="inlineStr">
        <is>
          <t>scout_jeep;armored_car;light_tank</t>
        </is>
      </c>
      <c r="DA57" t="n">
        <v>1800</v>
      </c>
      <c r="DD57" t="n">
        <v>8</v>
      </c>
      <c r="DG57" t="inlineStr">
        <is>
          <t>vehicle_hangar_base</t>
        </is>
      </c>
      <c r="DH57" t="n">
        <v>4.93</v>
      </c>
      <c r="DI57" t="n">
        <v>8</v>
      </c>
      <c r="DJ57" t="n">
        <v>7.5</v>
      </c>
      <c r="DO57" t="n">
        <v>3.6</v>
      </c>
      <c r="DP57" t="n">
        <v>8</v>
      </c>
      <c r="DZ57" t="n">
        <v>0</v>
      </c>
      <c r="EA57" t="b">
        <v>1</v>
      </c>
      <c r="EE57" t="n">
        <v>1</v>
      </c>
      <c r="EF57" t="n">
        <v>1</v>
      </c>
      <c r="EG57" t="n">
        <v>50</v>
      </c>
      <c r="EK57" t="inlineStr">
        <is>
          <t>none</t>
        </is>
      </c>
      <c r="EL57" t="n">
        <v>8</v>
      </c>
      <c r="EM57" t="inlineStr">
        <is>
          <t>Assets/MachineBrigade/Resources/Data/balance.json: vehicles[74]</t>
        </is>
      </c>
      <c r="EN57" t="inlineStr">
        <is>
          <t>{"id":"vehicle_hangar","rebuildCp":8,"model":"vehicle_hangar_base","modelSize":[8.0,7.5,4.93],"fort":{"size":"Medium"},"static":true,"armour":2,"hp":1800,"speed":0,"turnRate":1,"turretTurnRate":1,"radius":3.6,"length":8,"width":8,"cp":0,"vision":50,"weapon":"none","hangar":{"units":["scout_jeep","armored_car","light_tank"],"every":60,"alive":2,"budget":5,"post":20},"deathExplosion":{"damage":120,"radius":8,"delay":0.4,"tier":"Huge"}}</t>
        </is>
      </c>
    </row>
  </sheetData>
  <autoFilter ref="A1:EN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1" customWidth="1" min="2" max="2"/>
    <col width="8" customWidth="1" min="3" max="3"/>
    <col width="11" customWidth="1" min="4" max="4"/>
    <col width="8" customWidth="1" min="5" max="5"/>
    <col width="20" customWidth="1" min="6" max="6"/>
    <col width="18" customWidth="1" min="7" max="7"/>
    <col width="8" customWidth="1" min="8" max="8"/>
    <col width="60" customWidth="1" min="9" max="9"/>
    <col width="60" customWidth="1" min="10" max="10"/>
  </cols>
  <sheetData>
    <row r="1">
      <c r="A1" s="1" t="inlineStr">
        <is>
          <t>id</t>
        </is>
      </c>
      <c r="B1" s="1" t="inlineStr">
        <is>
          <t>thap_id</t>
        </is>
      </c>
      <c r="C1" s="1" t="inlineStr">
        <is>
          <t>thu_tu</t>
        </is>
      </c>
      <c r="D1" s="1" t="inlineStr">
        <is>
          <t>weapon</t>
        </is>
      </c>
      <c r="E1" s="1" t="inlineStr">
        <is>
          <t>aim</t>
        </is>
      </c>
      <c r="F1" s="1" t="inlineStr">
        <is>
          <t>arc_deg_center_deg</t>
        </is>
      </c>
      <c r="G1" s="1" t="inlineStr">
        <is>
          <t>arc_deg_half_deg</t>
        </is>
      </c>
      <c r="H1" s="1" t="inlineStr">
        <is>
          <t>slot</t>
        </is>
      </c>
      <c r="I1" s="1" t="inlineStr">
        <is>
          <t>nguon</t>
        </is>
      </c>
      <c r="J1" s="1" t="inlineStr">
        <is>
          <t>raw_json</t>
        </is>
      </c>
    </row>
    <row r="2">
      <c r="A2" t="inlineStr">
        <is>
          <t>aa_turret/0</t>
        </is>
      </c>
      <c r="B2" t="inlineStr">
        <is>
          <t>aa_turret</t>
        </is>
      </c>
      <c r="C2" t="n">
        <v>0</v>
      </c>
      <c r="D2" t="inlineStr">
        <is>
          <t>sam</t>
        </is>
      </c>
      <c r="E2" t="inlineStr">
        <is>
          <t>Turret</t>
        </is>
      </c>
      <c r="H2" t="inlineStr">
        <is>
          <t>missile</t>
        </is>
      </c>
      <c r="I2" t="inlineStr">
        <is>
          <t>Assets/MachineBrigade/Resources/Data/balance.json: vehicles[70].secondary[0]</t>
        </is>
      </c>
      <c r="J2" t="inlineStr">
        <is>
          <t>{"weapon":"sam","slot":"missile","aim":"Turret"}</t>
        </is>
      </c>
    </row>
    <row r="3">
      <c r="A3" t="inlineStr">
        <is>
          <t>heavy_turret.bastion/0</t>
        </is>
      </c>
      <c r="B3" t="inlineStr">
        <is>
          <t>heavy_turret.bastion</t>
        </is>
      </c>
      <c r="C3" t="n">
        <v>0</v>
      </c>
      <c r="D3" t="inlineStr">
        <is>
          <t>hmg_roof</t>
        </is>
      </c>
      <c r="E3" t="inlineStr">
        <is>
          <t>Free</t>
        </is>
      </c>
      <c r="H3" t="inlineStr">
        <is>
          <t>gun</t>
        </is>
      </c>
      <c r="I3" t="inlineStr">
        <is>
          <t>Assets/MachineBrigade/Resources/Data/balance.json: vehicles[98].secondary[0]</t>
        </is>
      </c>
      <c r="J3" t="inlineStr">
        <is>
          <t>{"weapon":"hmg_roof","slot":"gun","aim":"Free"}</t>
        </is>
      </c>
    </row>
    <row r="4">
      <c r="A4" t="inlineStr">
        <is>
          <t>heavy_turret.bastion/1</t>
        </is>
      </c>
      <c r="B4" t="inlineStr">
        <is>
          <t>heavy_turret.bastion</t>
        </is>
      </c>
      <c r="C4" t="n">
        <v>1</v>
      </c>
      <c r="D4" t="inlineStr">
        <is>
          <t>hmg_roof</t>
        </is>
      </c>
      <c r="E4" t="inlineStr">
        <is>
          <t>Free</t>
        </is>
      </c>
      <c r="H4" t="inlineStr">
        <is>
          <t>gun</t>
        </is>
      </c>
      <c r="I4" t="inlineStr">
        <is>
          <t>Assets/MachineBrigade/Resources/Data/balance.json: vehicles[98].secondary[1]</t>
        </is>
      </c>
      <c r="J4" t="inlineStr">
        <is>
          <t>{"weapon":"hmg_roof","slot":"gun","aim":"Free"}</t>
        </is>
      </c>
    </row>
    <row r="5">
      <c r="A5" t="inlineStr">
        <is>
          <t>mg_bunker/0</t>
        </is>
      </c>
      <c r="B5" t="inlineStr">
        <is>
          <t>mg_bunker</t>
        </is>
      </c>
      <c r="C5" t="n">
        <v>0</v>
      </c>
      <c r="D5" t="inlineStr">
        <is>
          <t>bunker_pkm</t>
        </is>
      </c>
      <c r="E5" t="inlineStr">
        <is>
          <t>Free</t>
        </is>
      </c>
      <c r="F5" t="n">
        <v>-30</v>
      </c>
      <c r="G5" t="n">
        <v>40</v>
      </c>
      <c r="H5" t="inlineStr">
        <is>
          <t>mg</t>
        </is>
      </c>
      <c r="I5" t="inlineStr">
        <is>
          <t>Assets/MachineBrigade/Resources/Data/balance.json: vehicles[105].secondary[0]</t>
        </is>
      </c>
      <c r="J5" t="inlineStr">
        <is>
          <t>{"weapon":"bunker_pkm","slot":"mg","aim":"Free","arc":[-30,40]}</t>
        </is>
      </c>
    </row>
    <row r="6">
      <c r="A6" t="inlineStr">
        <is>
          <t>mg_bunker/1</t>
        </is>
      </c>
      <c r="B6" t="inlineStr">
        <is>
          <t>mg_bunker</t>
        </is>
      </c>
      <c r="C6" t="n">
        <v>1</v>
      </c>
      <c r="D6" t="inlineStr">
        <is>
          <t>bunker_pkm</t>
        </is>
      </c>
      <c r="E6" t="inlineStr">
        <is>
          <t>Free</t>
        </is>
      </c>
      <c r="F6" t="n">
        <v>30</v>
      </c>
      <c r="G6" t="n">
        <v>40</v>
      </c>
      <c r="H6" t="inlineStr">
        <is>
          <t>mg</t>
        </is>
      </c>
      <c r="I6" t="inlineStr">
        <is>
          <t>Assets/MachineBrigade/Resources/Data/balance.json: vehicles[105].secondary[1]</t>
        </is>
      </c>
      <c r="J6" t="inlineStr">
        <is>
          <t>{"weapon":"bunker_pkm","slot":"mg","aim":"Free","arc":[30,40]}</t>
        </is>
      </c>
    </row>
    <row r="7">
      <c r="A7" t="inlineStr">
        <is>
          <t>mg_bunker/2</t>
        </is>
      </c>
      <c r="B7" t="inlineStr">
        <is>
          <t>mg_bunker</t>
        </is>
      </c>
      <c r="C7" t="n">
        <v>2</v>
      </c>
      <c r="D7" t="inlineStr">
        <is>
          <t>bunker_pkm</t>
        </is>
      </c>
      <c r="E7" t="inlineStr">
        <is>
          <t>Free</t>
        </is>
      </c>
      <c r="F7" t="n">
        <v>-90</v>
      </c>
      <c r="G7" t="n">
        <v>40</v>
      </c>
      <c r="H7" t="inlineStr">
        <is>
          <t>mg</t>
        </is>
      </c>
      <c r="I7" t="inlineStr">
        <is>
          <t>Assets/MachineBrigade/Resources/Data/balance.json: vehicles[105].secondary[2]</t>
        </is>
      </c>
      <c r="J7" t="inlineStr">
        <is>
          <t>{"weapon":"bunker_pkm","slot":"mg","aim":"Free","arc":[-90,40]}</t>
        </is>
      </c>
    </row>
    <row r="8">
      <c r="A8" t="inlineStr">
        <is>
          <t>mg_bunker/3</t>
        </is>
      </c>
      <c r="B8" t="inlineStr">
        <is>
          <t>mg_bunker</t>
        </is>
      </c>
      <c r="C8" t="n">
        <v>3</v>
      </c>
      <c r="D8" t="inlineStr">
        <is>
          <t>bunker_pkm</t>
        </is>
      </c>
      <c r="E8" t="inlineStr">
        <is>
          <t>Free</t>
        </is>
      </c>
      <c r="F8" t="n">
        <v>90</v>
      </c>
      <c r="G8" t="n">
        <v>40</v>
      </c>
      <c r="H8" t="inlineStr">
        <is>
          <t>mg</t>
        </is>
      </c>
      <c r="I8" t="inlineStr">
        <is>
          <t>Assets/MachineBrigade/Resources/Data/balance.json: vehicles[105].secondary[3]</t>
        </is>
      </c>
      <c r="J8" t="inlineStr">
        <is>
          <t>{"weapon":"bunker_pkm","slot":"mg","aim":"Free","arc":[90,40]}</t>
        </is>
      </c>
    </row>
  </sheetData>
  <autoFilter ref="A1:J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3" customWidth="1" min="4" max="4"/>
    <col width="8" customWidth="1" min="5" max="5"/>
    <col width="8" customWidth="1" min="6" max="6"/>
    <col width="12" customWidth="1" min="7" max="7"/>
    <col width="9" customWidth="1" min="8" max="8"/>
    <col width="8" customWidth="1" min="9" max="9"/>
    <col width="19" customWidth="1" min="10" max="10"/>
    <col width="12" customWidth="1" min="11" max="11"/>
    <col width="11" customWidth="1" min="12" max="12"/>
    <col width="10" customWidth="1" min="13" max="13"/>
    <col width="10" customWidth="1" min="14" max="14"/>
    <col width="12" customWidth="1" min="15" max="15"/>
    <col width="12" customWidth="1" min="16" max="16"/>
    <col width="17" customWidth="1" min="17" max="17"/>
    <col width="17" customWidth="1" min="18" max="18"/>
    <col width="12" customWidth="1" min="19" max="19"/>
    <col width="12" customWidth="1" min="20" max="20"/>
    <col width="8" customWidth="1" min="21" max="21"/>
    <col width="8" customWidth="1" min="22" max="22"/>
    <col width="8" customWidth="1" min="23" max="23"/>
    <col width="10" customWidth="1" min="24" max="24"/>
    <col width="10" customWidth="1" min="25" max="25"/>
    <col width="14" customWidth="1" min="26" max="26"/>
    <col width="14" customWidth="1" min="27" max="27"/>
    <col width="10" customWidth="1" min="28" max="28"/>
    <col width="21" customWidth="1" min="29" max="29"/>
    <col width="14" customWidth="1" min="30" max="30"/>
    <col width="12" customWidth="1" min="31" max="31"/>
    <col width="9" customWidth="1" min="32" max="32"/>
    <col width="8" customWidth="1" min="33" max="33"/>
    <col width="14" customWidth="1" min="34" max="34"/>
    <col width="13" customWidth="1" min="35" max="35"/>
    <col width="11" customWidth="1" min="36" max="36"/>
    <col width="16" customWidth="1" min="37" max="37"/>
    <col width="15" customWidth="1" min="38" max="38"/>
    <col width="13" customWidth="1" min="39" max="39"/>
    <col width="14" customWidth="1" min="40" max="40"/>
    <col width="12" customWidth="1" min="41" max="41"/>
    <col width="18" customWidth="1" min="42" max="42"/>
    <col width="16" customWidth="1" min="43" max="43"/>
    <col width="17" customWidth="1" min="44" max="44"/>
    <col width="15" customWidth="1" min="45" max="45"/>
    <col width="16" customWidth="1" min="46" max="46"/>
    <col width="14" customWidth="1" min="47" max="47"/>
    <col width="16" customWidth="1" min="48" max="48"/>
    <col width="14" customWidth="1" min="49" max="49"/>
    <col width="18" customWidth="1" min="50" max="50"/>
    <col width="16" customWidth="1" min="51" max="51"/>
    <col width="18" customWidth="1" min="52" max="52"/>
    <col width="16" customWidth="1" min="53" max="53"/>
    <col width="20" customWidth="1" min="54" max="54"/>
    <col width="18" customWidth="1" min="55" max="55"/>
    <col width="18" customWidth="1" min="56" max="56"/>
    <col width="16" customWidth="1" min="57" max="57"/>
    <col width="27" customWidth="1" min="58" max="58"/>
    <col width="25" customWidth="1" min="59" max="59"/>
    <col width="9" customWidth="1" min="60" max="60"/>
    <col width="18" customWidth="1" min="61" max="61"/>
    <col width="12" customWidth="1" min="62" max="62"/>
    <col width="9" customWidth="1" min="63" max="63"/>
    <col width="20" customWidth="1" min="64" max="64"/>
    <col width="8" customWidth="1" min="65" max="65"/>
    <col width="8" customWidth="1" min="66" max="66"/>
    <col width="8" customWidth="1" min="67" max="67"/>
    <col width="8" customWidth="1" min="68" max="68"/>
    <col width="10" customWidth="1" min="69" max="69"/>
    <col width="10" customWidth="1" min="70" max="70"/>
    <col width="10" customWidth="1" min="71" max="71"/>
    <col width="11" customWidth="1" min="72" max="72"/>
    <col width="8" customWidth="1" min="73" max="73"/>
    <col width="17" customWidth="1" min="74" max="74"/>
    <col width="24" customWidth="1" min="75" max="75"/>
    <col width="10" customWidth="1" min="76" max="76"/>
    <col width="8" customWidth="1" min="77" max="77"/>
    <col width="8" customWidth="1" min="78" max="78"/>
    <col width="9" customWidth="1" min="79" max="79"/>
    <col width="60" customWidth="1" min="80" max="80"/>
    <col width="60" customWidth="1" min="81" max="81"/>
  </cols>
  <sheetData>
    <row r="1">
      <c r="A1" s="1" t="inlineStr">
        <is>
          <t>id</t>
        </is>
      </c>
      <c r="B1" s="1" t="inlineStr">
        <is>
          <t>ten_en</t>
        </is>
      </c>
      <c r="C1" s="1" t="inlineStr">
        <is>
          <t>ten_vi</t>
        </is>
      </c>
      <c r="D1" s="1" t="inlineStr">
        <is>
          <t>ten_ngan_vi</t>
        </is>
      </c>
      <c r="E1" s="1" t="inlineStr">
        <is>
          <t>lop</t>
        </is>
      </c>
      <c r="F1" s="1" t="inlineStr">
        <is>
          <t>nhanh</t>
        </is>
      </c>
      <c r="G1" s="1" t="inlineStr">
        <is>
          <t>ke_thua_tu</t>
        </is>
      </c>
      <c r="H1" s="1" t="inlineStr">
        <is>
          <t>base_cp</t>
        </is>
      </c>
      <c r="I1" s="1" t="inlineStr">
        <is>
          <t>mau_hp</t>
        </is>
      </c>
      <c r="J1" s="1" t="inlineStr">
        <is>
          <t>mau_trong_tran_hp</t>
        </is>
      </c>
      <c r="K1" s="1" t="inlineStr">
        <is>
          <t>giap_truoc</t>
        </is>
      </c>
      <c r="L1" s="1" t="inlineStr">
        <is>
          <t>giap_hong</t>
        </is>
      </c>
      <c r="M1" s="1" t="inlineStr">
        <is>
          <t>giap_sau</t>
        </is>
      </c>
      <c r="N1" s="1" t="inlineStr">
        <is>
          <t>giap_noc</t>
        </is>
      </c>
      <c r="O1" s="1" t="inlineStr">
        <is>
          <t>cong_trinh</t>
        </is>
      </c>
      <c r="P1" s="1" t="inlineStr">
        <is>
          <t>toc_do_m_s</t>
        </is>
      </c>
      <c r="Q1" s="1" t="inlineStr">
        <is>
          <t>xoay_than_deg_s</t>
        </is>
      </c>
      <c r="R1" s="1" t="inlineStr">
        <is>
          <t>xoay_thap_deg_s</t>
        </is>
      </c>
      <c r="S1" s="1" t="inlineStr">
        <is>
          <t>tam_nhin_m</t>
        </is>
      </c>
      <c r="T1" s="1" t="inlineStr">
        <is>
          <t>ban_kinh_m</t>
        </is>
      </c>
      <c r="U1" s="1" t="inlineStr">
        <is>
          <t>dai_m</t>
        </is>
      </c>
      <c r="V1" s="1" t="inlineStr">
        <is>
          <t>rong_m</t>
        </is>
      </c>
      <c r="W1" s="1" t="inlineStr">
        <is>
          <t>bay</t>
        </is>
      </c>
      <c r="X1" s="1" t="inlineStr">
        <is>
          <t>do_cao_m</t>
        </is>
      </c>
      <c r="Y1" s="1" t="inlineStr">
        <is>
          <t>dung_yen</t>
        </is>
      </c>
      <c r="Z1" s="1" t="inlineStr">
        <is>
          <t>ban_khi_chay</t>
        </is>
      </c>
      <c r="AA1" s="1" t="inlineStr">
        <is>
          <t>toc_do_chiem</t>
        </is>
      </c>
      <c r="AB1" s="1" t="inlineStr">
        <is>
          <t>tha_du_s</t>
        </is>
      </c>
      <c r="AC1" s="1" t="inlineStr">
        <is>
          <t>he_so_sat_thuong_ra</t>
        </is>
      </c>
      <c r="AD1" s="1" t="inlineStr">
        <is>
          <t>vu_khi_chinh</t>
        </is>
      </c>
      <c r="AE1" s="1" t="inlineStr">
        <is>
          <t>vu_khi_phu</t>
        </is>
      </c>
      <c r="AF1" s="1" t="inlineStr">
        <is>
          <t>noi_tai</t>
        </is>
      </c>
      <c r="AG1" s="1" t="inlineStr">
        <is>
          <t>tu_ve</t>
        </is>
      </c>
      <c r="AH1" s="1" t="inlineStr">
        <is>
          <t>so_lan_tu_ve</t>
        </is>
      </c>
      <c r="AI1" s="1" t="inlineStr">
        <is>
          <t>hoi_tu_ve_s</t>
        </is>
      </c>
      <c r="AJ1" s="1" t="inlineStr">
        <is>
          <t>mo_hinh</t>
        </is>
      </c>
      <c r="AK1" s="1" t="inlineStr">
        <is>
          <t>so_voi_ban_goc</t>
        </is>
      </c>
      <c r="AL1" s="1" t="inlineStr">
        <is>
          <t>base_cp_truoc</t>
        </is>
      </c>
      <c r="AM1" s="1" t="inlineStr">
        <is>
          <t>base_cp_sau</t>
        </is>
      </c>
      <c r="AN1" s="1" t="inlineStr">
        <is>
          <t>mau_hp_truoc</t>
        </is>
      </c>
      <c r="AO1" s="1" t="inlineStr">
        <is>
          <t>mau_hp_sau</t>
        </is>
      </c>
      <c r="AP1" s="1" t="inlineStr">
        <is>
          <t>giap_truoc_truoc</t>
        </is>
      </c>
      <c r="AQ1" s="1" t="inlineStr">
        <is>
          <t>giap_truoc_sau</t>
        </is>
      </c>
      <c r="AR1" s="1" t="inlineStr">
        <is>
          <t>giap_hong_truoc</t>
        </is>
      </c>
      <c r="AS1" s="1" t="inlineStr">
        <is>
          <t>giap_hong_sau</t>
        </is>
      </c>
      <c r="AT1" s="1" t="inlineStr">
        <is>
          <t>giap_sau_truoc</t>
        </is>
      </c>
      <c r="AU1" s="1" t="inlineStr">
        <is>
          <t>giap_sau_sau</t>
        </is>
      </c>
      <c r="AV1" s="1" t="inlineStr">
        <is>
          <t>giap_noc_truoc</t>
        </is>
      </c>
      <c r="AW1" s="1" t="inlineStr">
        <is>
          <t>giap_noc_sau</t>
        </is>
      </c>
      <c r="AX1" s="1" t="inlineStr">
        <is>
          <t>toc_do_m_s_truoc</t>
        </is>
      </c>
      <c r="AY1" s="1" t="inlineStr">
        <is>
          <t>toc_do_m_s_sau</t>
        </is>
      </c>
      <c r="AZ1" s="1" t="inlineStr">
        <is>
          <t>tam_nhin_m_truoc</t>
        </is>
      </c>
      <c r="BA1" s="1" t="inlineStr">
        <is>
          <t>tam_nhin_m_sau</t>
        </is>
      </c>
      <c r="BB1" s="1" t="inlineStr">
        <is>
          <t>vu_khi_chinh_truoc</t>
        </is>
      </c>
      <c r="BC1" s="1" t="inlineStr">
        <is>
          <t>vu_khi_chinh_sau</t>
        </is>
      </c>
      <c r="BD1" s="1" t="inlineStr">
        <is>
          <t>vu_khi_phu_truoc</t>
        </is>
      </c>
      <c r="BE1" s="1" t="inlineStr">
        <is>
          <t>vu_khi_phu_sau</t>
        </is>
      </c>
      <c r="BF1" s="1" t="inlineStr">
        <is>
          <t>he_so_sat_thuong_ra_truoc</t>
        </is>
      </c>
      <c r="BG1" s="1" t="inlineStr">
        <is>
          <t>he_so_sat_thuong_ra_sau</t>
        </is>
      </c>
      <c r="BH1" s="1" t="inlineStr">
        <is>
          <t>loai</t>
        </is>
      </c>
      <c r="BI1" s="1" t="inlineStr">
        <is>
          <t>do_ben_tuong_doi</t>
        </is>
      </c>
      <c r="BJ1" s="1" t="inlineStr">
        <is>
          <t>tuong_them</t>
        </is>
      </c>
      <c r="BK1" s="1" t="inlineStr">
        <is>
          <t>co_sung</t>
        </is>
      </c>
      <c r="BL1" s="1" t="inlineStr">
        <is>
          <t>trang_thai_navmesh</t>
        </is>
      </c>
      <c r="BM1" s="1" t="inlineStr">
        <is>
          <t>armour</t>
        </is>
      </c>
      <c r="BN1" s="1" t="inlineStr">
        <is>
          <t>card</t>
        </is>
      </c>
      <c r="BO1" s="1" t="inlineStr">
        <is>
          <t>cp</t>
        </is>
      </c>
      <c r="BP1" s="1" t="inlineStr">
        <is>
          <t>hp</t>
        </is>
      </c>
      <c r="BQ1" s="1" t="inlineStr">
        <is>
          <t>length_m</t>
        </is>
      </c>
      <c r="BR1" s="1" t="inlineStr">
        <is>
          <t>obstacle</t>
        </is>
      </c>
      <c r="BS1" s="1" t="inlineStr">
        <is>
          <t>radius_m</t>
        </is>
      </c>
      <c r="BT1" s="1" t="inlineStr">
        <is>
          <t>speed_m_s</t>
        </is>
      </c>
      <c r="BU1" s="1" t="inlineStr">
        <is>
          <t>static</t>
        </is>
      </c>
      <c r="BV1" s="1" t="inlineStr">
        <is>
          <t>turn_rate_deg_s</t>
        </is>
      </c>
      <c r="BW1" s="1" t="inlineStr">
        <is>
          <t>turret_turn_rate_deg_s</t>
        </is>
      </c>
      <c r="BX1" s="1" t="inlineStr">
        <is>
          <t>vision_m</t>
        </is>
      </c>
      <c r="BY1" s="1" t="inlineStr">
        <is>
          <t>wall</t>
        </is>
      </c>
      <c r="BZ1" s="1" t="inlineStr">
        <is>
          <t>weapon</t>
        </is>
      </c>
      <c r="CA1" s="1" t="inlineStr">
        <is>
          <t>width_m</t>
        </is>
      </c>
      <c r="CB1" s="1" t="inlineStr">
        <is>
          <t>nguon</t>
        </is>
      </c>
      <c r="CC1" s="1" t="inlineStr">
        <is>
          <t>raw_json</t>
        </is>
      </c>
    </row>
    <row r="2">
      <c r="A2" t="inlineStr">
        <is>
          <t>wall_gun</t>
        </is>
      </c>
      <c r="B2" t="inlineStr">
        <is>
          <t>Gun wall</t>
        </is>
      </c>
      <c r="C2" t="inlineStr">
        <is>
          <t>Tường gắn súng</t>
        </is>
      </c>
      <c r="D2" t="inlineStr">
        <is>
          <t>Tường súng</t>
        </is>
      </c>
      <c r="E2" t="inlineStr"/>
      <c r="F2" t="inlineStr"/>
      <c r="G2" t="inlineStr"/>
      <c r="H2" t="n">
        <v>0</v>
      </c>
      <c r="I2" t="n">
        <v>2880</v>
      </c>
      <c r="J2" t="n">
        <v>6336</v>
      </c>
      <c r="K2" t="n">
        <v>3</v>
      </c>
      <c r="L2" t="n">
        <v>3</v>
      </c>
      <c r="M2" t="n">
        <v>3</v>
      </c>
      <c r="N2" t="n">
        <v>3</v>
      </c>
      <c r="O2" t="b">
        <v>1</v>
      </c>
      <c r="P2" t="n">
        <v>0</v>
      </c>
      <c r="Q2" t="n">
        <v>1</v>
      </c>
      <c r="R2" t="n">
        <v>1</v>
      </c>
      <c r="S2" t="n">
        <v>1</v>
      </c>
      <c r="T2" t="n">
        <v>1.5</v>
      </c>
      <c r="U2" t="n">
        <v>2</v>
      </c>
      <c r="V2" t="n">
        <v>12</v>
      </c>
      <c r="W2" t="b">
        <v>0</v>
      </c>
      <c r="X2" t="n">
        <v>0</v>
      </c>
      <c r="Y2" t="b">
        <v>1</v>
      </c>
      <c r="Z2" t="b">
        <v>1</v>
      </c>
      <c r="AA2" t="n">
        <v>1</v>
      </c>
      <c r="AB2" t="n">
        <v>3.5</v>
      </c>
      <c r="AC2" t="n">
        <v>1</v>
      </c>
      <c r="AD2" t="inlineStr">
        <is>
          <t>none</t>
        </is>
      </c>
      <c r="AE2" t="inlineStr"/>
      <c r="AF2" t="inlineStr"/>
      <c r="AG2" t="inlineStr">
        <is>
          <t>none</t>
        </is>
      </c>
      <c r="AH2" t="inlineStr"/>
      <c r="AI2" t="inlineStr"/>
      <c r="AJ2" t="inlineStr">
        <is>
          <t>wall_gun</t>
        </is>
      </c>
      <c r="AK2" t="inlineStr">
        <is>
          <t>moi</t>
        </is>
      </c>
      <c r="BH2" t="inlineStr">
        <is>
          <t>gun_wall</t>
        </is>
      </c>
      <c r="BI2" t="n">
        <v>1.2</v>
      </c>
      <c r="BJ2" t="inlineStr"/>
      <c r="BK2" t="b">
        <v>1</v>
      </c>
      <c r="BL2" t="inlineStr">
        <is>
          <t>obstacle</t>
        </is>
      </c>
      <c r="BM2" t="n">
        <v>3</v>
      </c>
      <c r="BN2" t="b">
        <v>0</v>
      </c>
      <c r="BO2" t="n">
        <v>0</v>
      </c>
      <c r="BP2" t="n">
        <v>2880</v>
      </c>
      <c r="BQ2" t="n">
        <v>2</v>
      </c>
      <c r="BR2" t="b">
        <v>1</v>
      </c>
      <c r="BS2" t="n">
        <v>1.5</v>
      </c>
      <c r="BT2" t="n">
        <v>0</v>
      </c>
      <c r="BU2" t="b">
        <v>1</v>
      </c>
      <c r="BV2" t="n">
        <v>1</v>
      </c>
      <c r="BW2" t="n">
        <v>1</v>
      </c>
      <c r="BX2" t="n">
        <v>1</v>
      </c>
      <c r="BY2" t="b">
        <v>1</v>
      </c>
      <c r="BZ2" t="inlineStr">
        <is>
          <t>none</t>
        </is>
      </c>
      <c r="CA2" t="n">
        <v>12</v>
      </c>
      <c r="CB2" t="inlineStr">
        <is>
          <t>Assets/MachineBrigade/Resources/Data/balance.json: vehicles[84]</t>
        </is>
      </c>
      <c r="CC2" t="inlineStr">
        <is>
          <t>{"id":"wall_gun","card":false,"wall":true,"static":true,"obstacle":true,"armour":3,"hp":2880,"speed":0,"turnRate":1,"turretTurnRate":1,"radius":1.5,"length":2,"width":12,"cp":0,"vision":1,"weapon":"none"}</t>
        </is>
      </c>
    </row>
    <row r="3">
      <c r="A3" t="inlineStr">
        <is>
          <t>wall_hesco</t>
        </is>
      </c>
      <c r="B3" t="inlineStr">
        <is>
          <t>HESCO wall</t>
        </is>
      </c>
      <c r="C3" t="inlineStr">
        <is>
          <t>Tường HESCO</t>
        </is>
      </c>
      <c r="D3" t="inlineStr">
        <is>
          <t>HESCO</t>
        </is>
      </c>
      <c r="E3" t="inlineStr"/>
      <c r="F3" t="inlineStr"/>
      <c r="G3" t="inlineStr"/>
      <c r="H3" t="n">
        <v>0</v>
      </c>
      <c r="I3" t="n">
        <v>2400</v>
      </c>
      <c r="J3" t="n">
        <v>5280</v>
      </c>
      <c r="K3" t="n">
        <v>3</v>
      </c>
      <c r="L3" t="n">
        <v>3</v>
      </c>
      <c r="M3" t="n">
        <v>3</v>
      </c>
      <c r="N3" t="n">
        <v>3</v>
      </c>
      <c r="O3" t="b">
        <v>1</v>
      </c>
      <c r="P3" t="n">
        <v>0</v>
      </c>
      <c r="Q3" t="n">
        <v>1</v>
      </c>
      <c r="R3" t="n">
        <v>1</v>
      </c>
      <c r="S3" t="n">
        <v>1</v>
      </c>
      <c r="T3" t="n">
        <v>1.5</v>
      </c>
      <c r="U3" t="n">
        <v>2</v>
      </c>
      <c r="V3" t="n">
        <v>12</v>
      </c>
      <c r="W3" t="b">
        <v>0</v>
      </c>
      <c r="X3" t="n">
        <v>0</v>
      </c>
      <c r="Y3" t="b">
        <v>1</v>
      </c>
      <c r="Z3" t="b">
        <v>1</v>
      </c>
      <c r="AA3" t="n">
        <v>1</v>
      </c>
      <c r="AB3" t="n">
        <v>3.5</v>
      </c>
      <c r="AC3" t="n">
        <v>1</v>
      </c>
      <c r="AD3" t="inlineStr">
        <is>
          <t>none</t>
        </is>
      </c>
      <c r="AE3" t="inlineStr"/>
      <c r="AF3" t="inlineStr"/>
      <c r="AG3" t="inlineStr">
        <is>
          <t>none</t>
        </is>
      </c>
      <c r="AH3" t="inlineStr"/>
      <c r="AI3" t="inlineStr"/>
      <c r="AJ3" t="inlineStr">
        <is>
          <t>wall_hesco</t>
        </is>
      </c>
      <c r="AK3" t="inlineStr">
        <is>
          <t>moi</t>
        </is>
      </c>
      <c r="BH3" t="inlineStr">
        <is>
          <t>hesco</t>
        </is>
      </c>
      <c r="BI3" t="n">
        <v>1</v>
      </c>
      <c r="BJ3" t="inlineStr"/>
      <c r="BK3" t="inlineStr"/>
      <c r="BL3" t="inlineStr">
        <is>
          <t>obstacle</t>
        </is>
      </c>
      <c r="BM3" t="n">
        <v>3</v>
      </c>
      <c r="BN3" t="b">
        <v>0</v>
      </c>
      <c r="BO3" t="n">
        <v>0</v>
      </c>
      <c r="BP3" t="n">
        <v>2400</v>
      </c>
      <c r="BQ3" t="n">
        <v>2</v>
      </c>
      <c r="BR3" t="b">
        <v>1</v>
      </c>
      <c r="BS3" t="n">
        <v>1.5</v>
      </c>
      <c r="BT3" t="n">
        <v>0</v>
      </c>
      <c r="BU3" t="b">
        <v>1</v>
      </c>
      <c r="BV3" t="n">
        <v>1</v>
      </c>
      <c r="BW3" t="n">
        <v>1</v>
      </c>
      <c r="BX3" t="n">
        <v>1</v>
      </c>
      <c r="BY3" t="b">
        <v>1</v>
      </c>
      <c r="BZ3" t="inlineStr">
        <is>
          <t>none</t>
        </is>
      </c>
      <c r="CA3" t="n">
        <v>12</v>
      </c>
      <c r="CB3" t="inlineStr">
        <is>
          <t>Assets/MachineBrigade/Resources/Data/balance.json: vehicles[82]</t>
        </is>
      </c>
      <c r="CC3" t="inlineStr">
        <is>
          <t>{"id":"wall_hesco","card":false,"wall":true,"static":true,"obstacle":true,"armour":3,"hp":2400,"speed":0,"turnRate":1,"turretTurnRate":1,"radius":1.5,"length":2,"width":12,"cp":0,"vision":1,"weapon":"none"}</t>
        </is>
      </c>
    </row>
    <row r="4">
      <c r="A4" t="inlineStr">
        <is>
          <t>wall_t</t>
        </is>
      </c>
      <c r="B4" t="inlineStr">
        <is>
          <t>T-wall</t>
        </is>
      </c>
      <c r="C4" t="inlineStr">
        <is>
          <t>Tường chữ T</t>
        </is>
      </c>
      <c r="D4" t="inlineStr">
        <is>
          <t>Tường T</t>
        </is>
      </c>
      <c r="E4" t="inlineStr"/>
      <c r="F4" t="inlineStr"/>
      <c r="G4" t="inlineStr"/>
      <c r="H4" t="n">
        <v>0</v>
      </c>
      <c r="I4" t="n">
        <v>3840</v>
      </c>
      <c r="J4" t="n">
        <v>8448</v>
      </c>
      <c r="K4" t="n">
        <v>4</v>
      </c>
      <c r="L4" t="n">
        <v>4</v>
      </c>
      <c r="M4" t="n">
        <v>4</v>
      </c>
      <c r="N4" t="n">
        <v>4</v>
      </c>
      <c r="O4" t="b">
        <v>1</v>
      </c>
      <c r="P4" t="n">
        <v>0</v>
      </c>
      <c r="Q4" t="n">
        <v>1</v>
      </c>
      <c r="R4" t="n">
        <v>1</v>
      </c>
      <c r="S4" t="n">
        <v>1</v>
      </c>
      <c r="T4" t="n">
        <v>1.5</v>
      </c>
      <c r="U4" t="n">
        <v>2</v>
      </c>
      <c r="V4" t="n">
        <v>12</v>
      </c>
      <c r="W4" t="b">
        <v>0</v>
      </c>
      <c r="X4" t="n">
        <v>0</v>
      </c>
      <c r="Y4" t="b">
        <v>1</v>
      </c>
      <c r="Z4" t="b">
        <v>1</v>
      </c>
      <c r="AA4" t="n">
        <v>1</v>
      </c>
      <c r="AB4" t="n">
        <v>3.5</v>
      </c>
      <c r="AC4" t="n">
        <v>1</v>
      </c>
      <c r="AD4" t="inlineStr">
        <is>
          <t>none</t>
        </is>
      </c>
      <c r="AE4" t="inlineStr"/>
      <c r="AF4" t="inlineStr"/>
      <c r="AG4" t="inlineStr">
        <is>
          <t>none</t>
        </is>
      </c>
      <c r="AH4" t="inlineStr"/>
      <c r="AI4" t="inlineStr"/>
      <c r="AJ4" t="inlineStr">
        <is>
          <t>wall_t</t>
        </is>
      </c>
      <c r="AK4" t="inlineStr">
        <is>
          <t>moi</t>
        </is>
      </c>
      <c r="BH4" t="inlineStr">
        <is>
          <t>t_wall</t>
        </is>
      </c>
      <c r="BI4" t="n">
        <v>1.6</v>
      </c>
      <c r="BJ4" t="b">
        <v>1</v>
      </c>
      <c r="BK4" t="inlineStr"/>
      <c r="BL4" t="inlineStr">
        <is>
          <t>obstacle</t>
        </is>
      </c>
      <c r="BM4" t="n">
        <v>4</v>
      </c>
      <c r="BN4" t="b">
        <v>0</v>
      </c>
      <c r="BO4" t="n">
        <v>0</v>
      </c>
      <c r="BP4" t="n">
        <v>3840</v>
      </c>
      <c r="BQ4" t="n">
        <v>2</v>
      </c>
      <c r="BR4" t="b">
        <v>1</v>
      </c>
      <c r="BS4" t="n">
        <v>1.5</v>
      </c>
      <c r="BT4" t="n">
        <v>0</v>
      </c>
      <c r="BU4" t="b">
        <v>1</v>
      </c>
      <c r="BV4" t="n">
        <v>1</v>
      </c>
      <c r="BW4" t="n">
        <v>1</v>
      </c>
      <c r="BX4" t="n">
        <v>1</v>
      </c>
      <c r="BY4" t="b">
        <v>1</v>
      </c>
      <c r="BZ4" t="inlineStr">
        <is>
          <t>none</t>
        </is>
      </c>
      <c r="CA4" t="n">
        <v>12</v>
      </c>
      <c r="CB4" t="inlineStr">
        <is>
          <t>Assets/MachineBrigade/Resources/Data/balance.json: vehicles[83]</t>
        </is>
      </c>
      <c r="CC4" t="inlineStr">
        <is>
          <t>{"id":"wall_t","card":false,"wall":true,"static":true,"obstacle":true,"armour":4,"hp":3840,"speed":0,"turnRate":1,"turretTurnRate":1,"radius":1.5,"length":2,"width":12,"cp":0,"vision":1,"weapon":"none"}</t>
        </is>
      </c>
    </row>
  </sheetData>
  <autoFilter ref="A1:C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8" customWidth="1" min="3" max="3"/>
    <col width="12" customWidth="1" min="4" max="4"/>
    <col width="59" customWidth="1" min="5" max="5"/>
    <col width="8" customWidth="1" min="6" max="6"/>
    <col width="60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ai.brandt</t>
        </is>
      </c>
      <c r="B2" t="inlineStr">
        <is>
          <t>base.walls</t>
        </is>
      </c>
      <c r="C2" t="inlineStr">
        <is>
          <t>brandt</t>
        </is>
      </c>
      <c r="E2" t="inlineStr">
        <is>
          <t>t_wall</t>
        </is>
      </c>
      <c r="F2" t="inlineStr"/>
      <c r="G2" t="inlineStr">
        <is>
          <t>Assets/MachineBrigade/Resources/Data/balance.json: base.walls.ai.brandt</t>
        </is>
      </c>
      <c r="H2" t="inlineStr">
        <is>
          <t>"t_wall"</t>
        </is>
      </c>
    </row>
    <row r="3">
      <c r="A3" t="inlineStr">
        <is>
          <t>ai.default</t>
        </is>
      </c>
      <c r="B3" t="inlineStr">
        <is>
          <t>base.walls</t>
        </is>
      </c>
      <c r="C3" t="inlineStr">
        <is>
          <t>default</t>
        </is>
      </c>
      <c r="E3" t="inlineStr">
        <is>
          <t>hesco</t>
        </is>
      </c>
      <c r="F3" t="inlineStr"/>
      <c r="G3" t="inlineStr">
        <is>
          <t>Assets/MachineBrigade/Resources/Data/balance.json: base.walls.ai.default</t>
        </is>
      </c>
      <c r="H3" t="inlineStr">
        <is>
          <t>"hesco"</t>
        </is>
      </c>
    </row>
    <row r="4">
      <c r="A4" t="inlineStr">
        <is>
          <t>ai.kessler</t>
        </is>
      </c>
      <c r="B4" t="inlineStr">
        <is>
          <t>base.walls</t>
        </is>
      </c>
      <c r="C4" t="inlineStr">
        <is>
          <t>kessler</t>
        </is>
      </c>
      <c r="E4" t="inlineStr">
        <is>
          <t>t_wall</t>
        </is>
      </c>
      <c r="F4" t="inlineStr"/>
      <c r="G4" t="inlineStr">
        <is>
          <t>Assets/MachineBrigade/Resources/Data/balance.json: base.walls.ai.kessler</t>
        </is>
      </c>
      <c r="H4" t="inlineStr">
        <is>
          <t>"t_wall"</t>
        </is>
      </c>
    </row>
    <row r="5">
      <c r="A5" t="inlineStr">
        <is>
          <t>ai.varga</t>
        </is>
      </c>
      <c r="B5" t="inlineStr">
        <is>
          <t>base.walls</t>
        </is>
      </c>
      <c r="C5" t="inlineStr">
        <is>
          <t>varga</t>
        </is>
      </c>
      <c r="E5" t="inlineStr">
        <is>
          <t>gun_wall</t>
        </is>
      </c>
      <c r="F5" t="inlineStr"/>
      <c r="G5" t="inlineStr">
        <is>
          <t>Assets/MachineBrigade/Resources/Data/balance.json: base.walls.ai.varga</t>
        </is>
      </c>
      <c r="H5" t="inlineStr">
        <is>
          <t>"gun_wall"</t>
        </is>
      </c>
    </row>
    <row r="6">
      <c r="A6" t="inlineStr">
        <is>
          <t>breakerMultiplier</t>
        </is>
      </c>
      <c r="B6" t="inlineStr">
        <is>
          <t>base.walls</t>
        </is>
      </c>
      <c r="C6" t="inlineStr">
        <is>
          <t>breakerMultiplier</t>
        </is>
      </c>
      <c r="D6" t="n">
        <v>1.5</v>
      </c>
      <c r="F6" t="inlineStr"/>
      <c r="G6" t="inlineStr">
        <is>
          <t>Assets/MachineBrigade/Resources/Data/balance.json: base.walls.breakerMultiplier</t>
        </is>
      </c>
      <c r="H6" t="inlineStr">
        <is>
          <t>1.5</t>
        </is>
      </c>
    </row>
    <row r="7">
      <c r="A7" t="inlineStr">
        <is>
          <t>breakers</t>
        </is>
      </c>
      <c r="B7" t="inlineStr">
        <is>
          <t>base.walls</t>
        </is>
      </c>
      <c r="C7" t="inlineStr">
        <is>
          <t>breakers</t>
        </is>
      </c>
      <c r="E7" t="inlineStr">
        <is>
          <t>armored_bulldozer;engineer_vehicle;demolition_line_vehicle</t>
        </is>
      </c>
      <c r="F7" t="inlineStr"/>
      <c r="G7" t="inlineStr">
        <is>
          <t>Assets/MachineBrigade/Resources/Data/balance.json: base.walls.breakers</t>
        </is>
      </c>
      <c r="H7" t="inlineStr">
        <is>
          <t>["armored_bulldozer","engineer_vehicle","demolition_line_vehicle"]</t>
        </is>
      </c>
    </row>
    <row r="8">
      <c r="A8" t="inlineStr">
        <is>
          <t>campLines</t>
        </is>
      </c>
      <c r="B8" t="inlineStr">
        <is>
          <t>base.walls</t>
        </is>
      </c>
      <c r="C8" t="inlineStr">
        <is>
          <t>campLines</t>
        </is>
      </c>
      <c r="D8" t="n">
        <v>2</v>
      </c>
      <c r="F8" t="inlineStr"/>
      <c r="G8" t="inlineStr">
        <is>
          <t>Assets/MachineBrigade/Resources/Data/balance.json: base.walls.campLines</t>
        </is>
      </c>
      <c r="H8" t="inlineStr">
        <is>
          <t>2</t>
        </is>
      </c>
    </row>
    <row r="9">
      <c r="A9" t="inlineStr">
        <is>
          <t>default</t>
        </is>
      </c>
      <c r="B9" t="inlineStr">
        <is>
          <t>base.walls</t>
        </is>
      </c>
      <c r="C9" t="inlineStr">
        <is>
          <t>default</t>
        </is>
      </c>
      <c r="E9" t="inlineStr">
        <is>
          <t>hesco</t>
        </is>
      </c>
      <c r="F9" t="inlineStr"/>
      <c r="G9" t="inlineStr">
        <is>
          <t>Assets/MachineBrigade/Resources/Data/balance.json: base.walls.default</t>
        </is>
      </c>
      <c r="H9" t="inlineStr">
        <is>
          <t>"hesco"</t>
        </is>
      </c>
    </row>
    <row r="10">
      <c r="A10" t="inlineStr">
        <is>
          <t>fortressLines</t>
        </is>
      </c>
      <c r="B10" t="inlineStr">
        <is>
          <t>base.walls</t>
        </is>
      </c>
      <c r="C10" t="inlineStr">
        <is>
          <t>fortressLines</t>
        </is>
      </c>
      <c r="D10" t="n">
        <v>3</v>
      </c>
      <c r="F10" t="inlineStr"/>
      <c r="G10" t="inlineStr">
        <is>
          <t>Assets/MachineBrigade/Resources/Data/balance.json: base.walls.fortressLines</t>
        </is>
      </c>
      <c r="H10" t="inlineStr">
        <is>
          <t>3</t>
        </is>
      </c>
    </row>
    <row r="11">
      <c r="A11" t="inlineStr">
        <is>
          <t>rubbleSlow</t>
        </is>
      </c>
      <c r="B11" t="inlineStr">
        <is>
          <t>base.walls</t>
        </is>
      </c>
      <c r="C11" t="inlineStr">
        <is>
          <t>rubbleSlow</t>
        </is>
      </c>
      <c r="D11" t="n">
        <v>0.2</v>
      </c>
      <c r="F11" t="inlineStr"/>
      <c r="G11" t="inlineStr">
        <is>
          <t>Assets/MachineBrigade/Resources/Data/balance.json: base.walls.rubbleSlow</t>
        </is>
      </c>
      <c r="H11" t="inlineStr">
        <is>
          <t>0.2</t>
        </is>
      </c>
    </row>
    <row r="12">
      <c r="A12" t="inlineStr">
        <is>
          <t>segmentHp</t>
        </is>
      </c>
      <c r="B12" t="inlineStr">
        <is>
          <t>base.walls</t>
        </is>
      </c>
      <c r="C12" t="inlineStr">
        <is>
          <t>segmentHp</t>
        </is>
      </c>
      <c r="D12" t="n">
        <v>2400</v>
      </c>
      <c r="F12" t="inlineStr"/>
      <c r="G12" t="inlineStr">
        <is>
          <t>Assets/MachineBrigade/Resources/Data/balance.json: base.walls.segmentHp</t>
        </is>
      </c>
      <c r="H12" t="inlineStr">
        <is>
          <t>2400</t>
        </is>
      </c>
    </row>
  </sheetData>
  <autoFilter ref="A1:H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7" customWidth="1" min="2" max="2"/>
    <col width="34" customWidth="1" min="3" max="3"/>
    <col width="13" customWidth="1" min="4" max="4"/>
    <col width="8" customWidth="1" min="5" max="5"/>
    <col width="8" customWidth="1" min="6" max="6"/>
    <col width="13" customWidth="1" min="7" max="7"/>
    <col width="9" customWidth="1" min="8" max="8"/>
    <col width="8" customWidth="1" min="9" max="9"/>
    <col width="19" customWidth="1" min="10" max="10"/>
    <col width="12" customWidth="1" min="11" max="11"/>
    <col width="11" customWidth="1" min="12" max="12"/>
    <col width="10" customWidth="1" min="13" max="13"/>
    <col width="10" customWidth="1" min="14" max="14"/>
    <col width="12" customWidth="1" min="15" max="15"/>
    <col width="12" customWidth="1" min="16" max="16"/>
    <col width="17" customWidth="1" min="17" max="17"/>
    <col width="17" customWidth="1" min="18" max="18"/>
    <col width="12" customWidth="1" min="19" max="19"/>
    <col width="12" customWidth="1" min="20" max="20"/>
    <col width="8" customWidth="1" min="21" max="21"/>
    <col width="8" customWidth="1" min="22" max="22"/>
    <col width="8" customWidth="1" min="23" max="23"/>
    <col width="10" customWidth="1" min="24" max="24"/>
    <col width="10" customWidth="1" min="25" max="25"/>
    <col width="14" customWidth="1" min="26" max="26"/>
    <col width="14" customWidth="1" min="27" max="27"/>
    <col width="10" customWidth="1" min="28" max="28"/>
    <col width="21" customWidth="1" min="29" max="29"/>
    <col width="14" customWidth="1" min="30" max="30"/>
    <col width="44" customWidth="1" min="31" max="31"/>
    <col width="9" customWidth="1" min="32" max="32"/>
    <col width="8" customWidth="1" min="33" max="33"/>
    <col width="14" customWidth="1" min="34" max="34"/>
    <col width="13" customWidth="1" min="35" max="35"/>
    <col width="13" customWidth="1" min="36" max="36"/>
    <col width="16" customWidth="1" min="37" max="37"/>
    <col width="15" customWidth="1" min="38" max="38"/>
    <col width="13" customWidth="1" min="39" max="39"/>
    <col width="14" customWidth="1" min="40" max="40"/>
    <col width="12" customWidth="1" min="41" max="41"/>
    <col width="18" customWidth="1" min="42" max="42"/>
    <col width="16" customWidth="1" min="43" max="43"/>
    <col width="17" customWidth="1" min="44" max="44"/>
    <col width="15" customWidth="1" min="45" max="45"/>
    <col width="16" customWidth="1" min="46" max="46"/>
    <col width="14" customWidth="1" min="47" max="47"/>
    <col width="16" customWidth="1" min="48" max="48"/>
    <col width="14" customWidth="1" min="49" max="49"/>
    <col width="18" customWidth="1" min="50" max="50"/>
    <col width="16" customWidth="1" min="51" max="51"/>
    <col width="18" customWidth="1" min="52" max="52"/>
    <col width="16" customWidth="1" min="53" max="53"/>
    <col width="20" customWidth="1" min="54" max="54"/>
    <col width="18" customWidth="1" min="55" max="55"/>
    <col width="18" customWidth="1" min="56" max="56"/>
    <col width="16" customWidth="1" min="57" max="57"/>
    <col width="27" customWidth="1" min="58" max="58"/>
    <col width="25" customWidth="1" min="59" max="59"/>
    <col width="8" customWidth="1" min="60" max="60"/>
    <col width="8" customWidth="1" min="61" max="61"/>
    <col width="8" customWidth="1" min="62" max="62"/>
    <col width="24" customWidth="1" min="63" max="63"/>
    <col width="25" customWidth="1" min="64" max="64"/>
    <col width="26" customWidth="1" min="65" max="65"/>
    <col width="22" customWidth="1" min="66" max="66"/>
    <col width="20" customWidth="1" min="67" max="67"/>
    <col width="11" customWidth="1" min="68" max="68"/>
    <col width="13" customWidth="1" min="69" max="69"/>
    <col width="8" customWidth="1" min="70" max="70"/>
    <col width="13" customWidth="1" min="71" max="71"/>
    <col width="10" customWidth="1" min="72" max="72"/>
    <col width="13" customWidth="1" min="73" max="73"/>
    <col width="10" customWidth="1" min="74" max="74"/>
    <col width="8" customWidth="1" min="75" max="75"/>
    <col width="11" customWidth="1" min="76" max="76"/>
    <col width="8" customWidth="1" min="77" max="77"/>
    <col width="17" customWidth="1" min="78" max="78"/>
    <col width="24" customWidth="1" min="79" max="79"/>
    <col width="10" customWidth="1" min="80" max="80"/>
    <col width="12" customWidth="1" min="81" max="81"/>
    <col width="9" customWidth="1" min="82" max="82"/>
    <col width="60" customWidth="1" min="83" max="83"/>
    <col width="60" customWidth="1" min="84" max="84"/>
  </cols>
  <sheetData>
    <row r="1">
      <c r="A1" s="1" t="inlineStr">
        <is>
          <t>id</t>
        </is>
      </c>
      <c r="B1" s="1" t="inlineStr">
        <is>
          <t>ten_en</t>
        </is>
      </c>
      <c r="C1" s="1" t="inlineStr">
        <is>
          <t>ten_vi</t>
        </is>
      </c>
      <c r="D1" s="1" t="inlineStr">
        <is>
          <t>ten_ngan_vi</t>
        </is>
      </c>
      <c r="E1" s="1" t="inlineStr">
        <is>
          <t>lop</t>
        </is>
      </c>
      <c r="F1" s="1" t="inlineStr">
        <is>
          <t>nhanh</t>
        </is>
      </c>
      <c r="G1" s="1" t="inlineStr">
        <is>
          <t>ke_thua_tu</t>
        </is>
      </c>
      <c r="H1" s="1" t="inlineStr">
        <is>
          <t>base_cp</t>
        </is>
      </c>
      <c r="I1" s="1" t="inlineStr">
        <is>
          <t>mau_hp</t>
        </is>
      </c>
      <c r="J1" s="1" t="inlineStr">
        <is>
          <t>mau_trong_tran_hp</t>
        </is>
      </c>
      <c r="K1" s="1" t="inlineStr">
        <is>
          <t>giap_truoc</t>
        </is>
      </c>
      <c r="L1" s="1" t="inlineStr">
        <is>
          <t>giap_hong</t>
        </is>
      </c>
      <c r="M1" s="1" t="inlineStr">
        <is>
          <t>giap_sau</t>
        </is>
      </c>
      <c r="N1" s="1" t="inlineStr">
        <is>
          <t>giap_noc</t>
        </is>
      </c>
      <c r="O1" s="1" t="inlineStr">
        <is>
          <t>cong_trinh</t>
        </is>
      </c>
      <c r="P1" s="1" t="inlineStr">
        <is>
          <t>toc_do_m_s</t>
        </is>
      </c>
      <c r="Q1" s="1" t="inlineStr">
        <is>
          <t>xoay_than_deg_s</t>
        </is>
      </c>
      <c r="R1" s="1" t="inlineStr">
        <is>
          <t>xoay_thap_deg_s</t>
        </is>
      </c>
      <c r="S1" s="1" t="inlineStr">
        <is>
          <t>tam_nhin_m</t>
        </is>
      </c>
      <c r="T1" s="1" t="inlineStr">
        <is>
          <t>ban_kinh_m</t>
        </is>
      </c>
      <c r="U1" s="1" t="inlineStr">
        <is>
          <t>dai_m</t>
        </is>
      </c>
      <c r="V1" s="1" t="inlineStr">
        <is>
          <t>rong_m</t>
        </is>
      </c>
      <c r="W1" s="1" t="inlineStr">
        <is>
          <t>bay</t>
        </is>
      </c>
      <c r="X1" s="1" t="inlineStr">
        <is>
          <t>do_cao_m</t>
        </is>
      </c>
      <c r="Y1" s="1" t="inlineStr">
        <is>
          <t>dung_yen</t>
        </is>
      </c>
      <c r="Z1" s="1" t="inlineStr">
        <is>
          <t>ban_khi_chay</t>
        </is>
      </c>
      <c r="AA1" s="1" t="inlineStr">
        <is>
          <t>toc_do_chiem</t>
        </is>
      </c>
      <c r="AB1" s="1" t="inlineStr">
        <is>
          <t>tha_du_s</t>
        </is>
      </c>
      <c r="AC1" s="1" t="inlineStr">
        <is>
          <t>he_so_sat_thuong_ra</t>
        </is>
      </c>
      <c r="AD1" s="1" t="inlineStr">
        <is>
          <t>vu_khi_chinh</t>
        </is>
      </c>
      <c r="AE1" s="1" t="inlineStr">
        <is>
          <t>vu_khi_phu</t>
        </is>
      </c>
      <c r="AF1" s="1" t="inlineStr">
        <is>
          <t>noi_tai</t>
        </is>
      </c>
      <c r="AG1" s="1" t="inlineStr">
        <is>
          <t>tu_ve</t>
        </is>
      </c>
      <c r="AH1" s="1" t="inlineStr">
        <is>
          <t>so_lan_tu_ve</t>
        </is>
      </c>
      <c r="AI1" s="1" t="inlineStr">
        <is>
          <t>hoi_tu_ve_s</t>
        </is>
      </c>
      <c r="AJ1" s="1" t="inlineStr">
        <is>
          <t>mo_hinh</t>
        </is>
      </c>
      <c r="AK1" s="1" t="inlineStr">
        <is>
          <t>so_voi_ban_goc</t>
        </is>
      </c>
      <c r="AL1" s="1" t="inlineStr">
        <is>
          <t>base_cp_truoc</t>
        </is>
      </c>
      <c r="AM1" s="1" t="inlineStr">
        <is>
          <t>base_cp_sau</t>
        </is>
      </c>
      <c r="AN1" s="1" t="inlineStr">
        <is>
          <t>mau_hp_truoc</t>
        </is>
      </c>
      <c r="AO1" s="1" t="inlineStr">
        <is>
          <t>mau_hp_sau</t>
        </is>
      </c>
      <c r="AP1" s="1" t="inlineStr">
        <is>
          <t>giap_truoc_truoc</t>
        </is>
      </c>
      <c r="AQ1" s="1" t="inlineStr">
        <is>
          <t>giap_truoc_sau</t>
        </is>
      </c>
      <c r="AR1" s="1" t="inlineStr">
        <is>
          <t>giap_hong_truoc</t>
        </is>
      </c>
      <c r="AS1" s="1" t="inlineStr">
        <is>
          <t>giap_hong_sau</t>
        </is>
      </c>
      <c r="AT1" s="1" t="inlineStr">
        <is>
          <t>giap_sau_truoc</t>
        </is>
      </c>
      <c r="AU1" s="1" t="inlineStr">
        <is>
          <t>giap_sau_sau</t>
        </is>
      </c>
      <c r="AV1" s="1" t="inlineStr">
        <is>
          <t>giap_noc_truoc</t>
        </is>
      </c>
      <c r="AW1" s="1" t="inlineStr">
        <is>
          <t>giap_noc_sau</t>
        </is>
      </c>
      <c r="AX1" s="1" t="inlineStr">
        <is>
          <t>toc_do_m_s_truoc</t>
        </is>
      </c>
      <c r="AY1" s="1" t="inlineStr">
        <is>
          <t>toc_do_m_s_sau</t>
        </is>
      </c>
      <c r="AZ1" s="1" t="inlineStr">
        <is>
          <t>tam_nhin_m_truoc</t>
        </is>
      </c>
      <c r="BA1" s="1" t="inlineStr">
        <is>
          <t>tam_nhin_m_sau</t>
        </is>
      </c>
      <c r="BB1" s="1" t="inlineStr">
        <is>
          <t>vu_khi_chinh_truoc</t>
        </is>
      </c>
      <c r="BC1" s="1" t="inlineStr">
        <is>
          <t>vu_khi_chinh_sau</t>
        </is>
      </c>
      <c r="BD1" s="1" t="inlineStr">
        <is>
          <t>vu_khi_phu_truoc</t>
        </is>
      </c>
      <c r="BE1" s="1" t="inlineStr">
        <is>
          <t>vu_khi_phu_sau</t>
        </is>
      </c>
      <c r="BF1" s="1" t="inlineStr">
        <is>
          <t>he_so_sat_thuong_ra_truoc</t>
        </is>
      </c>
      <c r="BG1" s="1" t="inlineStr">
        <is>
          <t>he_so_sat_thuong_ra_sau</t>
        </is>
      </c>
      <c r="BH1" s="1" t="inlineStr">
        <is>
          <t>armour</t>
        </is>
      </c>
      <c r="BI1" s="1" t="inlineStr">
        <is>
          <t>class</t>
        </is>
      </c>
      <c r="BJ1" s="1" t="inlineStr">
        <is>
          <t>cp</t>
        </is>
      </c>
      <c r="BK1" s="1" t="inlineStr">
        <is>
          <t>death_explosion_damage</t>
        </is>
      </c>
      <c r="BL1" s="1" t="inlineStr">
        <is>
          <t>death_explosion_delay_s</t>
        </is>
      </c>
      <c r="BM1" s="1" t="inlineStr">
        <is>
          <t>death_explosion_radius_m</t>
        </is>
      </c>
      <c r="BN1" s="1" t="inlineStr">
        <is>
          <t>death_explosion_tier</t>
        </is>
      </c>
      <c r="BO1" s="1" t="inlineStr">
        <is>
          <t>fires_while_moving</t>
        </is>
      </c>
      <c r="BP1" s="1" t="inlineStr">
        <is>
          <t>fort_kind</t>
        </is>
      </c>
      <c r="BQ1" s="1" t="inlineStr">
        <is>
          <t>fort_points</t>
        </is>
      </c>
      <c r="BR1" s="1" t="inlineStr">
        <is>
          <t>hp</t>
        </is>
      </c>
      <c r="BS1" s="1" t="inlineStr">
        <is>
          <t>inherits</t>
        </is>
      </c>
      <c r="BT1" s="1" t="inlineStr">
        <is>
          <t>length_m</t>
        </is>
      </c>
      <c r="BU1" s="1" t="inlineStr">
        <is>
          <t>model</t>
        </is>
      </c>
      <c r="BV1" s="1" t="inlineStr">
        <is>
          <t>radius_m</t>
        </is>
      </c>
      <c r="BW1" s="1" t="inlineStr">
        <is>
          <t>scale</t>
        </is>
      </c>
      <c r="BX1" s="1" t="inlineStr">
        <is>
          <t>speed_m_s</t>
        </is>
      </c>
      <c r="BY1" s="1" t="inlineStr">
        <is>
          <t>static</t>
        </is>
      </c>
      <c r="BZ1" s="1" t="inlineStr">
        <is>
          <t>turn_rate_deg_s</t>
        </is>
      </c>
      <c r="CA1" s="1" t="inlineStr">
        <is>
          <t>turret_turn_rate_deg_s</t>
        </is>
      </c>
      <c r="CB1" s="1" t="inlineStr">
        <is>
          <t>vision_m</t>
        </is>
      </c>
      <c r="CC1" s="1" t="inlineStr">
        <is>
          <t>weapon</t>
        </is>
      </c>
      <c r="CD1" s="1" t="inlineStr">
        <is>
          <t>width_m</t>
        </is>
      </c>
      <c r="CE1" s="1" t="inlineStr">
        <is>
          <t>nguon</t>
        </is>
      </c>
      <c r="CF1" s="1" t="inlineStr">
        <is>
          <t>raw_json</t>
        </is>
      </c>
    </row>
    <row r="2">
      <c r="A2" t="inlineStr">
        <is>
          <t>headquarters</t>
        </is>
      </c>
      <c r="B2" t="inlineStr">
        <is>
          <t>Headquarters</t>
        </is>
      </c>
      <c r="C2" t="inlineStr">
        <is>
          <t>Sở chỉ huy</t>
        </is>
      </c>
      <c r="D2" t="inlineStr">
        <is>
          <t>Sở chỉ huy</t>
        </is>
      </c>
      <c r="E2" t="inlineStr">
        <is>
          <t>Defense</t>
        </is>
      </c>
      <c r="F2" t="inlineStr"/>
      <c r="G2" t="inlineStr"/>
      <c r="H2" t="n">
        <v>0</v>
      </c>
      <c r="I2" t="n">
        <v>9000</v>
      </c>
      <c r="J2" t="n">
        <v>19800</v>
      </c>
      <c r="K2" t="n">
        <v>4</v>
      </c>
      <c r="L2" t="n">
        <v>4</v>
      </c>
      <c r="M2" t="n">
        <v>4</v>
      </c>
      <c r="N2" t="n">
        <v>4</v>
      </c>
      <c r="O2" t="b">
        <v>1</v>
      </c>
      <c r="P2" t="n">
        <v>0</v>
      </c>
      <c r="Q2" t="n">
        <v>1</v>
      </c>
      <c r="R2" t="n">
        <v>90</v>
      </c>
      <c r="S2" t="n">
        <v>50</v>
      </c>
      <c r="T2" t="n">
        <v>6.8</v>
      </c>
      <c r="U2" t="n">
        <v>12</v>
      </c>
      <c r="V2" t="n">
        <v>14</v>
      </c>
      <c r="W2" t="b">
        <v>0</v>
      </c>
      <c r="X2" t="n">
        <v>0</v>
      </c>
      <c r="Y2" t="b">
        <v>1</v>
      </c>
      <c r="Z2" t="b">
        <v>1</v>
      </c>
      <c r="AA2" t="n">
        <v>1</v>
      </c>
      <c r="AB2" t="n">
        <v>3.5</v>
      </c>
      <c r="AC2" t="n">
        <v>1</v>
      </c>
      <c r="AD2" t="inlineStr">
        <is>
          <t>bastion_gun</t>
        </is>
      </c>
      <c r="AE2" t="inlineStr">
        <is>
          <t>hq_flak;hq_flak;mg_coax</t>
        </is>
      </c>
      <c r="AF2" t="inlineStr"/>
      <c r="AG2" t="inlineStr">
        <is>
          <t>none</t>
        </is>
      </c>
      <c r="AH2" t="inlineStr"/>
      <c r="AI2" t="inlineStr"/>
      <c r="AJ2" t="inlineStr">
        <is>
          <t>headquarters</t>
        </is>
      </c>
      <c r="AK2" t="inlineStr">
        <is>
          <t>giong</t>
        </is>
      </c>
      <c r="BH2" t="n">
        <v>4</v>
      </c>
      <c r="BI2" t="inlineStr">
        <is>
          <t>Defense</t>
        </is>
      </c>
      <c r="BJ2" t="n">
        <v>0</v>
      </c>
      <c r="BK2" t="n">
        <v>260</v>
      </c>
      <c r="BL2" t="n">
        <v>0.8</v>
      </c>
      <c r="BM2" t="n">
        <v>14</v>
      </c>
      <c r="BN2" t="inlineStr">
        <is>
          <t>Ultimate</t>
        </is>
      </c>
      <c r="BO2" t="b">
        <v>1</v>
      </c>
      <c r="BP2" t="inlineStr">
        <is>
          <t>Hq</t>
        </is>
      </c>
      <c r="BQ2" t="n">
        <v>0</v>
      </c>
      <c r="BR2" t="n">
        <v>9000</v>
      </c>
      <c r="BT2" t="n">
        <v>12</v>
      </c>
      <c r="BU2" t="inlineStr">
        <is>
          <t>headquarters</t>
        </is>
      </c>
      <c r="BV2" t="n">
        <v>6.8</v>
      </c>
      <c r="BW2" t="n">
        <v>1</v>
      </c>
      <c r="BX2" t="n">
        <v>0</v>
      </c>
      <c r="BY2" t="b">
        <v>1</v>
      </c>
      <c r="BZ2" t="n">
        <v>1</v>
      </c>
      <c r="CA2" t="n">
        <v>90</v>
      </c>
      <c r="CB2" t="n">
        <v>50</v>
      </c>
      <c r="CC2" t="inlineStr">
        <is>
          <t>bastion_gun</t>
        </is>
      </c>
      <c r="CD2" t="n">
        <v>14</v>
      </c>
      <c r="CE2" t="inlineStr">
        <is>
          <t>Assets/MachineBrigade/Resources/Data/balance.json: vehicles[60]</t>
        </is>
      </c>
      <c r="CF2" t="inlineStr">
        <is>
          <t>{"id":"headquarters","class":"Defense","static":true,"model":"headquarters","armour":4,"hp":9000,"speed":0,"turnRate":1,"turretTurnRate":90,"radius":6.8,"length":12,"width":14,"scale":1.0,"cp":0,"vision":50,"firesWhileMoving":true,"weapon":"bastion_gun","fort":{"points":0,"kind":"Hq"},"secondary":[{"weapon":"hq_flak","slot":"mg","aim":"Free"},{"weapon":"hq_flak","slot":"mg","aim":"Free"},{"weapon":"mg_coax","slot":"coax","aim":"Turret"}],"deathExplosion":{"damage":260,"radius":14,"delay":0.8,"tier":"Ultimate"}}</t>
        </is>
      </c>
    </row>
    <row r="3">
      <c r="A3" t="inlineStr">
        <is>
          <t>headquarters.fortress_air</t>
        </is>
      </c>
      <c r="B3" t="inlineStr">
        <is>
          <t>Headquarters · AA Fortress</t>
        </is>
      </c>
      <c r="C3" t="inlineStr">
        <is>
          <t>Sở chỉ huy · Pháo đài phòng không</t>
        </is>
      </c>
      <c r="D3" t="inlineStr">
        <is>
          <t>Pháo đài PK</t>
        </is>
      </c>
      <c r="E3" t="inlineStr">
        <is>
          <t>Defense</t>
        </is>
      </c>
      <c r="F3" t="inlineStr"/>
      <c r="G3" t="inlineStr">
        <is>
          <t>headquarters</t>
        </is>
      </c>
      <c r="H3" t="n">
        <v>0</v>
      </c>
      <c r="I3" t="n">
        <v>9000</v>
      </c>
      <c r="J3" t="n">
        <v>19800</v>
      </c>
      <c r="K3" t="n">
        <v>4</v>
      </c>
      <c r="L3" t="n">
        <v>4</v>
      </c>
      <c r="M3" t="n">
        <v>4</v>
      </c>
      <c r="N3" t="n">
        <v>4</v>
      </c>
      <c r="O3" t="b">
        <v>1</v>
      </c>
      <c r="P3" t="n">
        <v>0</v>
      </c>
      <c r="Q3" t="n">
        <v>1</v>
      </c>
      <c r="R3" t="n">
        <v>90</v>
      </c>
      <c r="S3" t="n">
        <v>50</v>
      </c>
      <c r="T3" t="n">
        <v>6.8</v>
      </c>
      <c r="U3" t="n">
        <v>12</v>
      </c>
      <c r="V3" t="n">
        <v>14</v>
      </c>
      <c r="W3" t="b">
        <v>0</v>
      </c>
      <c r="X3" t="n">
        <v>0</v>
      </c>
      <c r="Y3" t="b">
        <v>1</v>
      </c>
      <c r="Z3" t="b">
        <v>1</v>
      </c>
      <c r="AA3" t="n">
        <v>1</v>
      </c>
      <c r="AB3" t="n">
        <v>3.5</v>
      </c>
      <c r="AC3" t="n">
        <v>1</v>
      </c>
      <c r="AD3" t="inlineStr">
        <is>
          <t>bastion_gun</t>
        </is>
      </c>
      <c r="AE3" t="inlineStr">
        <is>
          <t>hq_flak;hq_flak;mg_coax;bofors_l70</t>
        </is>
      </c>
      <c r="AF3" t="inlineStr"/>
      <c r="AG3" t="inlineStr">
        <is>
          <t>none</t>
        </is>
      </c>
      <c r="AH3" t="inlineStr"/>
      <c r="AI3" t="inlineStr"/>
      <c r="AJ3" t="inlineStr">
        <is>
          <t>headquarters</t>
        </is>
      </c>
      <c r="AK3" t="inlineStr">
        <is>
          <t>moi</t>
        </is>
      </c>
      <c r="BS3" t="inlineStr">
        <is>
          <t>headquarters</t>
        </is>
      </c>
      <c r="CE3" t="inlineStr">
        <is>
          <t>Assets/MachineBrigade/Resources/Data/balance.json: vehicles[62]</t>
        </is>
      </c>
      <c r="CF3" t="inlineStr">
        <is>
          <t>{"id":"headquarters.fortress_air","inherits":"headquarters","secondary":[{"weapon":"hq_flak","slot":"mg","aim":"Free"},{"weapon":"hq_flak","slot":"mg","aim":"Free"},{"weapon":"mg_coax","slot":"coax","aim":"Turret"},{"weapon":"bofors_l70","slot":"gun","aim":"Free"}]}</t>
        </is>
      </c>
    </row>
    <row r="4">
      <c r="A4" t="inlineStr">
        <is>
          <t>headquarters.fortress_ground</t>
        </is>
      </c>
      <c r="B4" t="inlineStr">
        <is>
          <t>Headquarters · Fortress</t>
        </is>
      </c>
      <c r="C4" t="inlineStr">
        <is>
          <t>Sở chỉ huy · Pháo đài</t>
        </is>
      </c>
      <c r="D4" t="inlineStr">
        <is>
          <t>SCH Pháo đài</t>
        </is>
      </c>
      <c r="E4" t="inlineStr">
        <is>
          <t>Defense</t>
        </is>
      </c>
      <c r="F4" t="inlineStr"/>
      <c r="G4" t="inlineStr">
        <is>
          <t>headquarters</t>
        </is>
      </c>
      <c r="H4" t="n">
        <v>0</v>
      </c>
      <c r="I4" t="n">
        <v>9000</v>
      </c>
      <c r="J4" t="n">
        <v>19800</v>
      </c>
      <c r="K4" t="n">
        <v>4</v>
      </c>
      <c r="L4" t="n">
        <v>4</v>
      </c>
      <c r="M4" t="n">
        <v>4</v>
      </c>
      <c r="N4" t="n">
        <v>4</v>
      </c>
      <c r="O4" t="b">
        <v>1</v>
      </c>
      <c r="P4" t="n">
        <v>0</v>
      </c>
      <c r="Q4" t="n">
        <v>1</v>
      </c>
      <c r="R4" t="n">
        <v>90</v>
      </c>
      <c r="S4" t="n">
        <v>50</v>
      </c>
      <c r="T4" t="n">
        <v>6.8</v>
      </c>
      <c r="U4" t="n">
        <v>12</v>
      </c>
      <c r="V4" t="n">
        <v>14</v>
      </c>
      <c r="W4" t="b">
        <v>0</v>
      </c>
      <c r="X4" t="n">
        <v>0</v>
      </c>
      <c r="Y4" t="b">
        <v>1</v>
      </c>
      <c r="Z4" t="b">
        <v>1</v>
      </c>
      <c r="AA4" t="n">
        <v>1</v>
      </c>
      <c r="AB4" t="n">
        <v>3.5</v>
      </c>
      <c r="AC4" t="n">
        <v>1</v>
      </c>
      <c r="AD4" t="inlineStr">
        <is>
          <t>bastion_gun</t>
        </is>
      </c>
      <c r="AE4" t="inlineStr">
        <is>
          <t>hq_flak;hq_flak;mg_coax;turret_gun_120_long</t>
        </is>
      </c>
      <c r="AF4" t="inlineStr"/>
      <c r="AG4" t="inlineStr">
        <is>
          <t>none</t>
        </is>
      </c>
      <c r="AH4" t="inlineStr"/>
      <c r="AI4" t="inlineStr"/>
      <c r="AJ4" t="inlineStr">
        <is>
          <t>headquarters</t>
        </is>
      </c>
      <c r="AK4" t="inlineStr">
        <is>
          <t>moi</t>
        </is>
      </c>
      <c r="BS4" t="inlineStr">
        <is>
          <t>headquarters</t>
        </is>
      </c>
      <c r="CE4" t="inlineStr">
        <is>
          <t>Assets/MachineBrigade/Resources/Data/balance.json: vehicles[61]</t>
        </is>
      </c>
      <c r="CF4" t="inlineStr">
        <is>
          <t>{"id":"headquarters.fortress_ground","inherits":"headquarters","secondary":[{"weapon":"hq_flak","slot":"mg","aim":"Free"},{"weapon":"hq_flak","slot":"mg","aim":"Free"},{"weapon":"mg_coax","slot":"coax","aim":"Turret"},{"weapon":"turret_gun_120_long","slot":"gun","aim":"Free"}]}</t>
        </is>
      </c>
    </row>
    <row r="5">
      <c r="A5" t="inlineStr">
        <is>
          <t>headquarters.shield</t>
        </is>
      </c>
      <c r="B5" t="inlineStr">
        <is>
          <t>Headquarters · Shield</t>
        </is>
      </c>
      <c r="C5" t="inlineStr">
        <is>
          <t>Sở chỉ huy · Lá chắn</t>
        </is>
      </c>
      <c r="D5" t="inlineStr">
        <is>
          <t>SCH Lá chắn</t>
        </is>
      </c>
      <c r="E5" t="inlineStr">
        <is>
          <t>Defense</t>
        </is>
      </c>
      <c r="F5" t="inlineStr"/>
      <c r="G5" t="inlineStr">
        <is>
          <t>headquarters</t>
        </is>
      </c>
      <c r="H5" t="n">
        <v>0</v>
      </c>
      <c r="I5" t="n">
        <v>9000</v>
      </c>
      <c r="J5" t="n">
        <v>19800</v>
      </c>
      <c r="K5" t="n">
        <v>4</v>
      </c>
      <c r="L5" t="n">
        <v>4</v>
      </c>
      <c r="M5" t="n">
        <v>4</v>
      </c>
      <c r="N5" t="n">
        <v>4</v>
      </c>
      <c r="O5" t="b">
        <v>1</v>
      </c>
      <c r="P5" t="n">
        <v>0</v>
      </c>
      <c r="Q5" t="n">
        <v>1</v>
      </c>
      <c r="R5" t="n">
        <v>90</v>
      </c>
      <c r="S5" t="n">
        <v>50</v>
      </c>
      <c r="T5" t="n">
        <v>6.8</v>
      </c>
      <c r="U5" t="n">
        <v>12</v>
      </c>
      <c r="V5" t="n">
        <v>14</v>
      </c>
      <c r="W5" t="b">
        <v>0</v>
      </c>
      <c r="X5" t="n">
        <v>0</v>
      </c>
      <c r="Y5" t="b">
        <v>1</v>
      </c>
      <c r="Z5" t="b">
        <v>1</v>
      </c>
      <c r="AA5" t="n">
        <v>1</v>
      </c>
      <c r="AB5" t="n">
        <v>3.5</v>
      </c>
      <c r="AC5" t="n">
        <v>1</v>
      </c>
      <c r="AD5" t="inlineStr">
        <is>
          <t>bastion_gun</t>
        </is>
      </c>
      <c r="AE5" t="inlineStr">
        <is>
          <t>hq_flak;hq_flak;mg_coax</t>
        </is>
      </c>
      <c r="AF5" t="inlineStr"/>
      <c r="AG5" t="inlineStr">
        <is>
          <t>aps</t>
        </is>
      </c>
      <c r="AH5" t="n">
        <v>6</v>
      </c>
      <c r="AI5" t="n">
        <v>0.6</v>
      </c>
      <c r="AJ5" t="inlineStr">
        <is>
          <t>headquarters</t>
        </is>
      </c>
      <c r="AK5" t="inlineStr">
        <is>
          <t>moi</t>
        </is>
      </c>
      <c r="BS5" t="inlineStr">
        <is>
          <t>headquarters</t>
        </is>
      </c>
      <c r="CE5" t="inlineStr">
        <is>
          <t>Assets/MachineBrigade/Resources/Data/balance.json: vehicles[63]</t>
        </is>
      </c>
      <c r="CF5" t="inlineStr">
        <is>
          <t>{"id":"headquarters.shield","inherits":"headquarters","aps":{"radius":45,"charges":6,"recharge":0.6,"rockets":true,"shells":0.3,"burst":0.5}}</t>
        </is>
      </c>
    </row>
  </sheetData>
  <autoFilter ref="A1:C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9" customWidth="1" min="2" max="2"/>
    <col width="8" customWidth="1" min="3" max="3"/>
    <col width="20" customWidth="1" min="4" max="4"/>
    <col width="8" customWidth="1" min="5" max="5"/>
    <col width="8" customWidth="1" min="6" max="6"/>
    <col width="60" customWidth="1" min="7" max="7"/>
    <col width="59" customWidth="1" min="8" max="8"/>
  </cols>
  <sheetData>
    <row r="1">
      <c r="A1" s="1" t="inlineStr">
        <is>
          <t>id</t>
        </is>
      </c>
      <c r="B1" s="1" t="inlineStr">
        <is>
          <t>nha_chinh_id</t>
        </is>
      </c>
      <c r="C1" s="1" t="inlineStr">
        <is>
          <t>thu_tu</t>
        </is>
      </c>
      <c r="D1" s="1" t="inlineStr">
        <is>
          <t>weapon</t>
        </is>
      </c>
      <c r="E1" s="1" t="inlineStr">
        <is>
          <t>aim</t>
        </is>
      </c>
      <c r="F1" s="1" t="inlineStr">
        <is>
          <t>slot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headquarters.fortress_air/0</t>
        </is>
      </c>
      <c r="B2" t="inlineStr">
        <is>
          <t>headquarters.fortress_air</t>
        </is>
      </c>
      <c r="C2" t="n">
        <v>0</v>
      </c>
      <c r="D2" t="inlineStr">
        <is>
          <t>hq_flak</t>
        </is>
      </c>
      <c r="E2" t="inlineStr">
        <is>
          <t>Free</t>
        </is>
      </c>
      <c r="F2" t="inlineStr">
        <is>
          <t>mg</t>
        </is>
      </c>
      <c r="G2" t="inlineStr">
        <is>
          <t>Assets/MachineBrigade/Resources/Data/balance.json: vehicles[62].secondary[0]</t>
        </is>
      </c>
      <c r="H2" t="inlineStr">
        <is>
          <t>{"weapon":"hq_flak","slot":"mg","aim":"Free"}</t>
        </is>
      </c>
    </row>
    <row r="3">
      <c r="A3" t="inlineStr">
        <is>
          <t>headquarters.fortress_air/1</t>
        </is>
      </c>
      <c r="B3" t="inlineStr">
        <is>
          <t>headquarters.fortress_air</t>
        </is>
      </c>
      <c r="C3" t="n">
        <v>1</v>
      </c>
      <c r="D3" t="inlineStr">
        <is>
          <t>hq_flak</t>
        </is>
      </c>
      <c r="E3" t="inlineStr">
        <is>
          <t>Free</t>
        </is>
      </c>
      <c r="F3" t="inlineStr">
        <is>
          <t>mg</t>
        </is>
      </c>
      <c r="G3" t="inlineStr">
        <is>
          <t>Assets/MachineBrigade/Resources/Data/balance.json: vehicles[62].secondary[1]</t>
        </is>
      </c>
      <c r="H3" t="inlineStr">
        <is>
          <t>{"weapon":"hq_flak","slot":"mg","aim":"Free"}</t>
        </is>
      </c>
    </row>
    <row r="4">
      <c r="A4" t="inlineStr">
        <is>
          <t>headquarters.fortress_air/2</t>
        </is>
      </c>
      <c r="B4" t="inlineStr">
        <is>
          <t>headquarters.fortress_air</t>
        </is>
      </c>
      <c r="C4" t="n">
        <v>2</v>
      </c>
      <c r="D4" t="inlineStr">
        <is>
          <t>mg_coax</t>
        </is>
      </c>
      <c r="E4" t="inlineStr">
        <is>
          <t>Turret</t>
        </is>
      </c>
      <c r="F4" t="inlineStr">
        <is>
          <t>coax</t>
        </is>
      </c>
      <c r="G4" t="inlineStr">
        <is>
          <t>Assets/MachineBrigade/Resources/Data/balance.json: vehicles[62].secondary[2]</t>
        </is>
      </c>
      <c r="H4" t="inlineStr">
        <is>
          <t>{"weapon":"mg_coax","slot":"coax","aim":"Turret"}</t>
        </is>
      </c>
    </row>
    <row r="5">
      <c r="A5" t="inlineStr">
        <is>
          <t>headquarters.fortress_air/3</t>
        </is>
      </c>
      <c r="B5" t="inlineStr">
        <is>
          <t>headquarters.fortress_air</t>
        </is>
      </c>
      <c r="C5" t="n">
        <v>3</v>
      </c>
      <c r="D5" t="inlineStr">
        <is>
          <t>bofors_l70</t>
        </is>
      </c>
      <c r="E5" t="inlineStr">
        <is>
          <t>Free</t>
        </is>
      </c>
      <c r="F5" t="inlineStr">
        <is>
          <t>gun</t>
        </is>
      </c>
      <c r="G5" t="inlineStr">
        <is>
          <t>Assets/MachineBrigade/Resources/Data/balance.json: vehicles[62].secondary[3]</t>
        </is>
      </c>
      <c r="H5" t="inlineStr">
        <is>
          <t>{"weapon":"bofors_l70","slot":"gun","aim":"Free"}</t>
        </is>
      </c>
    </row>
    <row r="6">
      <c r="A6" t="inlineStr">
        <is>
          <t>headquarters.fortress_ground/0</t>
        </is>
      </c>
      <c r="B6" t="inlineStr">
        <is>
          <t>headquarters.fortress_ground</t>
        </is>
      </c>
      <c r="C6" t="n">
        <v>0</v>
      </c>
      <c r="D6" t="inlineStr">
        <is>
          <t>hq_flak</t>
        </is>
      </c>
      <c r="E6" t="inlineStr">
        <is>
          <t>Free</t>
        </is>
      </c>
      <c r="F6" t="inlineStr">
        <is>
          <t>mg</t>
        </is>
      </c>
      <c r="G6" t="inlineStr">
        <is>
          <t>Assets/MachineBrigade/Resources/Data/balance.json: vehicles[61].secondary[0]</t>
        </is>
      </c>
      <c r="H6" t="inlineStr">
        <is>
          <t>{"weapon":"hq_flak","slot":"mg","aim":"Free"}</t>
        </is>
      </c>
    </row>
    <row r="7">
      <c r="A7" t="inlineStr">
        <is>
          <t>headquarters.fortress_ground/1</t>
        </is>
      </c>
      <c r="B7" t="inlineStr">
        <is>
          <t>headquarters.fortress_ground</t>
        </is>
      </c>
      <c r="C7" t="n">
        <v>1</v>
      </c>
      <c r="D7" t="inlineStr">
        <is>
          <t>hq_flak</t>
        </is>
      </c>
      <c r="E7" t="inlineStr">
        <is>
          <t>Free</t>
        </is>
      </c>
      <c r="F7" t="inlineStr">
        <is>
          <t>mg</t>
        </is>
      </c>
      <c r="G7" t="inlineStr">
        <is>
          <t>Assets/MachineBrigade/Resources/Data/balance.json: vehicles[61].secondary[1]</t>
        </is>
      </c>
      <c r="H7" t="inlineStr">
        <is>
          <t>{"weapon":"hq_flak","slot":"mg","aim":"Free"}</t>
        </is>
      </c>
    </row>
    <row r="8">
      <c r="A8" t="inlineStr">
        <is>
          <t>headquarters.fortress_ground/2</t>
        </is>
      </c>
      <c r="B8" t="inlineStr">
        <is>
          <t>headquarters.fortress_ground</t>
        </is>
      </c>
      <c r="C8" t="n">
        <v>2</v>
      </c>
      <c r="D8" t="inlineStr">
        <is>
          <t>mg_coax</t>
        </is>
      </c>
      <c r="E8" t="inlineStr">
        <is>
          <t>Turret</t>
        </is>
      </c>
      <c r="F8" t="inlineStr">
        <is>
          <t>coax</t>
        </is>
      </c>
      <c r="G8" t="inlineStr">
        <is>
          <t>Assets/MachineBrigade/Resources/Data/balance.json: vehicles[61].secondary[2]</t>
        </is>
      </c>
      <c r="H8" t="inlineStr">
        <is>
          <t>{"weapon":"mg_coax","slot":"coax","aim":"Turret"}</t>
        </is>
      </c>
    </row>
    <row r="9">
      <c r="A9" t="inlineStr">
        <is>
          <t>headquarters.fortress_ground/3</t>
        </is>
      </c>
      <c r="B9" t="inlineStr">
        <is>
          <t>headquarters.fortress_ground</t>
        </is>
      </c>
      <c r="C9" t="n">
        <v>3</v>
      </c>
      <c r="D9" t="inlineStr">
        <is>
          <t>turret_gun_120_long</t>
        </is>
      </c>
      <c r="E9" t="inlineStr">
        <is>
          <t>Free</t>
        </is>
      </c>
      <c r="F9" t="inlineStr">
        <is>
          <t>gun</t>
        </is>
      </c>
      <c r="G9" t="inlineStr">
        <is>
          <t>Assets/MachineBrigade/Resources/Data/balance.json: vehicles[61].secondary[3]</t>
        </is>
      </c>
      <c r="H9" t="inlineStr">
        <is>
          <t>{"weapon":"turret_gun_120_long","slot":"gun","aim":"Free"}</t>
        </is>
      </c>
    </row>
    <row r="10">
      <c r="A10" t="inlineStr">
        <is>
          <t>headquarters/0</t>
        </is>
      </c>
      <c r="B10" t="inlineStr">
        <is>
          <t>headquarters</t>
        </is>
      </c>
      <c r="C10" t="n">
        <v>0</v>
      </c>
      <c r="D10" t="inlineStr">
        <is>
          <t>hq_flak</t>
        </is>
      </c>
      <c r="E10" t="inlineStr">
        <is>
          <t>Free</t>
        </is>
      </c>
      <c r="F10" t="inlineStr">
        <is>
          <t>mg</t>
        </is>
      </c>
      <c r="G10" t="inlineStr">
        <is>
          <t>Assets/MachineBrigade/Resources/Data/balance.json: vehicles[60].secondary[0]</t>
        </is>
      </c>
      <c r="H10" t="inlineStr">
        <is>
          <t>{"weapon":"hq_flak","slot":"mg","aim":"Free"}</t>
        </is>
      </c>
    </row>
    <row r="11">
      <c r="A11" t="inlineStr">
        <is>
          <t>headquarters/1</t>
        </is>
      </c>
      <c r="B11" t="inlineStr">
        <is>
          <t>headquarters</t>
        </is>
      </c>
      <c r="C11" t="n">
        <v>1</v>
      </c>
      <c r="D11" t="inlineStr">
        <is>
          <t>hq_flak</t>
        </is>
      </c>
      <c r="E11" t="inlineStr">
        <is>
          <t>Free</t>
        </is>
      </c>
      <c r="F11" t="inlineStr">
        <is>
          <t>mg</t>
        </is>
      </c>
      <c r="G11" t="inlineStr">
        <is>
          <t>Assets/MachineBrigade/Resources/Data/balance.json: vehicles[60].secondary[1]</t>
        </is>
      </c>
      <c r="H11" t="inlineStr">
        <is>
          <t>{"weapon":"hq_flak","slot":"mg","aim":"Free"}</t>
        </is>
      </c>
    </row>
    <row r="12">
      <c r="A12" t="inlineStr">
        <is>
          <t>headquarters/2</t>
        </is>
      </c>
      <c r="B12" t="inlineStr">
        <is>
          <t>headquarters</t>
        </is>
      </c>
      <c r="C12" t="n">
        <v>2</v>
      </c>
      <c r="D12" t="inlineStr">
        <is>
          <t>mg_coax</t>
        </is>
      </c>
      <c r="E12" t="inlineStr">
        <is>
          <t>Turret</t>
        </is>
      </c>
      <c r="F12" t="inlineStr">
        <is>
          <t>coax</t>
        </is>
      </c>
      <c r="G12" t="inlineStr">
        <is>
          <t>Assets/MachineBrigade/Resources/Data/balance.json: vehicles[60].secondary[2]</t>
        </is>
      </c>
      <c r="H12" t="inlineStr">
        <is>
          <t>{"weapon":"mg_coax","slot":"coax","aim":"Turret"}</t>
        </is>
      </c>
    </row>
  </sheetData>
  <autoFilter ref="A1:H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5" customWidth="1" min="2" max="2"/>
    <col width="14" customWidth="1" min="3" max="3"/>
    <col width="26" customWidth="1" min="4" max="4"/>
    <col width="11" customWidth="1" min="5" max="5"/>
    <col width="34" customWidth="1" min="6" max="6"/>
    <col width="9" customWidth="1" min="7" max="7"/>
    <col width="8" customWidth="1" min="8" max="8"/>
    <col width="16" customWidth="1" min="9" max="9"/>
    <col width="29" customWidth="1" min="10" max="10"/>
    <col width="20" customWidth="1" min="11" max="11"/>
    <col width="15" customWidth="1" min="12" max="12"/>
    <col width="8" customWidth="1" min="13" max="13"/>
    <col width="60" customWidth="1" min="14" max="14"/>
    <col width="60" customWidth="1" min="15" max="15"/>
  </cols>
  <sheetData>
    <row r="1">
      <c r="A1" s="1" t="inlineStr">
        <is>
          <t>id</t>
        </is>
      </c>
      <c r="B1" s="1" t="inlineStr">
        <is>
          <t>nha_chinh</t>
        </is>
      </c>
      <c r="C1" s="1" t="inlineStr">
        <is>
          <t>ai_air_share</t>
        </is>
      </c>
      <c r="D1" s="1" t="inlineStr">
        <is>
          <t>air</t>
        </is>
      </c>
      <c r="E1" s="1" t="inlineStr">
        <is>
          <t>barrage</t>
        </is>
      </c>
      <c r="F1" s="1" t="inlineStr">
        <is>
          <t>callable</t>
        </is>
      </c>
      <c r="G1" s="1" t="inlineStr">
        <is>
          <t>charges</t>
        </is>
      </c>
      <c r="H1" s="1" t="inlineStr">
        <is>
          <t>clear</t>
        </is>
      </c>
      <c r="I1" s="1" t="inlineStr">
        <is>
          <t>dome_seconds_s</t>
        </is>
      </c>
      <c r="J1" s="1" t="inlineStr">
        <is>
          <t>ground</t>
        </is>
      </c>
      <c r="K1" s="1" t="inlineStr">
        <is>
          <t>hq</t>
        </is>
      </c>
      <c r="L1" s="1" t="inlineStr">
        <is>
          <t>regen_delay_s</t>
        </is>
      </c>
      <c r="M1" s="1" t="inlineStr">
        <is>
          <t>stock</t>
        </is>
      </c>
      <c r="N1" s="1" t="inlineStr">
        <is>
          <t>nguon</t>
        </is>
      </c>
      <c r="O1" s="1" t="inlineStr">
        <is>
          <t>raw_json</t>
        </is>
      </c>
    </row>
    <row r="2">
      <c r="A2" t="inlineStr">
        <is>
          <t>fortress</t>
        </is>
      </c>
      <c r="B2" t="inlineStr">
        <is>
          <t>headquarters.fortress_ground;headquarters.fortress_air</t>
        </is>
      </c>
      <c r="C2" t="n">
        <v>0.3</v>
      </c>
      <c r="D2" t="inlineStr">
        <is>
          <t>headquarters.fortress_air</t>
        </is>
      </c>
      <c r="E2" t="inlineStr">
        <is>
          <t>hq_barrage</t>
        </is>
      </c>
      <c r="J2" t="inlineStr">
        <is>
          <t>headquarters.fortress_ground</t>
        </is>
      </c>
      <c r="N2" t="inlineStr">
        <is>
          <t>Assets/MachineBrigade/Resources/Data/balance.json: base.hqTypes.fortress</t>
        </is>
      </c>
      <c r="O2" t="inlineStr">
        <is>
          <t>{"ground":"headquarters.fortress_ground","air":"headquarters.fortress_air","barrage":"hq_barrage","scale":[0.29,0.36,0.42,0.49,0.55],"airScale":[0.16,0.2,0.23,0.27,0.31],"aiAirShare":0.3}</t>
        </is>
      </c>
    </row>
    <row r="3">
      <c r="A3" t="inlineStr">
        <is>
          <t>garrison</t>
        </is>
      </c>
      <c r="B3" t="inlineStr"/>
      <c r="F3" t="inlineStr">
        <is>
          <t>scout_jeep;armored_car;light_tank</t>
        </is>
      </c>
      <c r="H3" t="n">
        <v>30</v>
      </c>
      <c r="M3" t="n">
        <v>2</v>
      </c>
      <c r="N3" t="inlineStr">
        <is>
          <t>Assets/MachineBrigade/Resources/Data/balance.json: base.hqTypes.garrison</t>
        </is>
      </c>
      <c r="O3" t="inlineStr">
        <is>
          <t>{"every":[120.0,100.0,100.0,130.0,170.0],"stock":2,"clear":30,"caps":[6,8,10,12,15],"squads":[{"units":["light_tank"]},{"units":["armored_car","scout_jeep"]},{"units":["light_tank","armored_car"]},{"units":["main_battle_tank"]},{"units":["main_battle_tank","scout_jeep"]}],"callable":["scout_jeep","armored_car","light_tank"]}</t>
        </is>
      </c>
    </row>
    <row r="4">
      <c r="A4" t="inlineStr">
        <is>
          <t>shield</t>
        </is>
      </c>
      <c r="B4" t="inlineStr">
        <is>
          <t>headquarters.shield</t>
        </is>
      </c>
      <c r="G4" t="n">
        <v>4</v>
      </c>
      <c r="I4" t="n">
        <v>10</v>
      </c>
      <c r="K4" t="inlineStr">
        <is>
          <t>headquarters.shield</t>
        </is>
      </c>
      <c r="L4" t="n">
        <v>5</v>
      </c>
      <c r="N4" t="inlineStr">
        <is>
          <t>Assets/MachineBrigade/Resources/Data/balance.json: base.hqTypes.shield</t>
        </is>
      </c>
      <c r="O4" t="inlineStr">
        <is>
          <t>{"hq":"headquarters.shield","scale":[0.15,0.19,0.24,0.26,0.29],"charges":4,"regenDelay":5,"regen":[0.00059,0.00073,0.0009,0.00092,0.00096],"dome":[0.024,0.029,0.036,0.04,0.043],"domeSeconds":10}</t>
        </is>
      </c>
    </row>
  </sheetData>
  <autoFilter ref="A1:O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28" customWidth="1" min="10" max="10"/>
    <col width="60" customWidth="1" min="11" max="11"/>
    <col width="10" customWidth="1" min="12" max="12"/>
  </cols>
  <sheetData>
    <row r="1">
      <c r="A1" s="1" t="inlineStr">
        <is>
          <t>id</t>
        </is>
      </c>
      <c r="B1" s="1" t="inlineStr">
        <is>
          <t>kieu</t>
        </is>
      </c>
      <c r="C1" s="1" t="inlineStr">
        <is>
          <t>cap_hq</t>
        </is>
      </c>
      <c r="D1" s="1" t="inlineStr">
        <is>
          <t>scale</t>
        </is>
      </c>
      <c r="E1" s="1" t="inlineStr">
        <is>
          <t>airScale</t>
        </is>
      </c>
      <c r="F1" s="1" t="inlineStr">
        <is>
          <t>every</t>
        </is>
      </c>
      <c r="G1" s="1" t="inlineStr">
        <is>
          <t>caps</t>
        </is>
      </c>
      <c r="H1" s="1" t="inlineStr">
        <is>
          <t>regen</t>
        </is>
      </c>
      <c r="I1" s="1" t="inlineStr">
        <is>
          <t>dome</t>
        </is>
      </c>
      <c r="J1" s="1" t="inlineStr">
        <is>
          <t>squads_units</t>
        </is>
      </c>
      <c r="K1" s="1" t="inlineStr">
        <is>
          <t>nguon</t>
        </is>
      </c>
      <c r="L1" s="1" t="inlineStr">
        <is>
          <t>raw_json</t>
        </is>
      </c>
    </row>
    <row r="2">
      <c r="A2" t="inlineStr">
        <is>
          <t>fortress/1</t>
        </is>
      </c>
      <c r="B2" t="inlineStr">
        <is>
          <t>fortress</t>
        </is>
      </c>
      <c r="C2" t="n">
        <v>1</v>
      </c>
      <c r="D2" t="n">
        <v>0.29</v>
      </c>
      <c r="E2" t="n">
        <v>0.16</v>
      </c>
      <c r="K2" t="inlineStr">
        <is>
          <t>Assets/MachineBrigade/Resources/Data/balance.json: base.hqTypes.fortress [cấp 1]</t>
        </is>
      </c>
      <c r="L2" t="inlineStr"/>
    </row>
    <row r="3">
      <c r="A3" t="inlineStr">
        <is>
          <t>fortress/2</t>
        </is>
      </c>
      <c r="B3" t="inlineStr">
        <is>
          <t>fortress</t>
        </is>
      </c>
      <c r="C3" t="n">
        <v>2</v>
      </c>
      <c r="D3" t="n">
        <v>0.36</v>
      </c>
      <c r="E3" t="n">
        <v>0.2</v>
      </c>
      <c r="K3" t="inlineStr">
        <is>
          <t>Assets/MachineBrigade/Resources/Data/balance.json: base.hqTypes.fortress [cấp 2]</t>
        </is>
      </c>
      <c r="L3" t="inlineStr"/>
    </row>
    <row r="4">
      <c r="A4" t="inlineStr">
        <is>
          <t>fortress/3</t>
        </is>
      </c>
      <c r="B4" t="inlineStr">
        <is>
          <t>fortress</t>
        </is>
      </c>
      <c r="C4" t="n">
        <v>3</v>
      </c>
      <c r="D4" t="n">
        <v>0.42</v>
      </c>
      <c r="E4" t="n">
        <v>0.23</v>
      </c>
      <c r="K4" t="inlineStr">
        <is>
          <t>Assets/MachineBrigade/Resources/Data/balance.json: base.hqTypes.fortress [cấp 3]</t>
        </is>
      </c>
      <c r="L4" t="inlineStr"/>
    </row>
    <row r="5">
      <c r="A5" t="inlineStr">
        <is>
          <t>fortress/4</t>
        </is>
      </c>
      <c r="B5" t="inlineStr">
        <is>
          <t>fortress</t>
        </is>
      </c>
      <c r="C5" t="n">
        <v>4</v>
      </c>
      <c r="D5" t="n">
        <v>0.49</v>
      </c>
      <c r="E5" t="n">
        <v>0.27</v>
      </c>
      <c r="K5" t="inlineStr">
        <is>
          <t>Assets/MachineBrigade/Resources/Data/balance.json: base.hqTypes.fortress [cấp 4]</t>
        </is>
      </c>
      <c r="L5" t="inlineStr"/>
    </row>
    <row r="6">
      <c r="A6" t="inlineStr">
        <is>
          <t>fortress/5</t>
        </is>
      </c>
      <c r="B6" t="inlineStr">
        <is>
          <t>fortress</t>
        </is>
      </c>
      <c r="C6" t="n">
        <v>5</v>
      </c>
      <c r="D6" t="n">
        <v>0.55</v>
      </c>
      <c r="E6" t="n">
        <v>0.31</v>
      </c>
      <c r="K6" t="inlineStr">
        <is>
          <t>Assets/MachineBrigade/Resources/Data/balance.json: base.hqTypes.fortress [cấp 5]</t>
        </is>
      </c>
      <c r="L6" t="inlineStr"/>
    </row>
    <row r="7">
      <c r="A7" t="inlineStr">
        <is>
          <t>garrison/1</t>
        </is>
      </c>
      <c r="B7" t="inlineStr">
        <is>
          <t>garrison</t>
        </is>
      </c>
      <c r="C7" t="n">
        <v>1</v>
      </c>
      <c r="F7" t="n">
        <v>120</v>
      </c>
      <c r="G7" t="n">
        <v>6</v>
      </c>
      <c r="J7" t="inlineStr">
        <is>
          <t>light_tank</t>
        </is>
      </c>
      <c r="K7" t="inlineStr">
        <is>
          <t>Assets/MachineBrigade/Resources/Data/balance.json: base.hqTypes.garrison [cấp 1]</t>
        </is>
      </c>
      <c r="L7" t="inlineStr"/>
    </row>
    <row r="8">
      <c r="A8" t="inlineStr">
        <is>
          <t>garrison/2</t>
        </is>
      </c>
      <c r="B8" t="inlineStr">
        <is>
          <t>garrison</t>
        </is>
      </c>
      <c r="C8" t="n">
        <v>2</v>
      </c>
      <c r="F8" t="n">
        <v>100</v>
      </c>
      <c r="G8" t="n">
        <v>8</v>
      </c>
      <c r="J8" t="inlineStr">
        <is>
          <t>armored_car;scout_jeep</t>
        </is>
      </c>
      <c r="K8" t="inlineStr">
        <is>
          <t>Assets/MachineBrigade/Resources/Data/balance.json: base.hqTypes.garrison [cấp 2]</t>
        </is>
      </c>
      <c r="L8" t="inlineStr"/>
    </row>
    <row r="9">
      <c r="A9" t="inlineStr">
        <is>
          <t>garrison/3</t>
        </is>
      </c>
      <c r="B9" t="inlineStr">
        <is>
          <t>garrison</t>
        </is>
      </c>
      <c r="C9" t="n">
        <v>3</v>
      </c>
      <c r="F9" t="n">
        <v>100</v>
      </c>
      <c r="G9" t="n">
        <v>10</v>
      </c>
      <c r="J9" t="inlineStr">
        <is>
          <t>light_tank;armored_car</t>
        </is>
      </c>
      <c r="K9" t="inlineStr">
        <is>
          <t>Assets/MachineBrigade/Resources/Data/balance.json: base.hqTypes.garrison [cấp 3]</t>
        </is>
      </c>
      <c r="L9" t="inlineStr"/>
    </row>
    <row r="10">
      <c r="A10" t="inlineStr">
        <is>
          <t>garrison/4</t>
        </is>
      </c>
      <c r="B10" t="inlineStr">
        <is>
          <t>garrison</t>
        </is>
      </c>
      <c r="C10" t="n">
        <v>4</v>
      </c>
      <c r="F10" t="n">
        <v>130</v>
      </c>
      <c r="G10" t="n">
        <v>12</v>
      </c>
      <c r="J10" t="inlineStr">
        <is>
          <t>main_battle_tank</t>
        </is>
      </c>
      <c r="K10" t="inlineStr">
        <is>
          <t>Assets/MachineBrigade/Resources/Data/balance.json: base.hqTypes.garrison [cấp 4]</t>
        </is>
      </c>
      <c r="L10" t="inlineStr"/>
    </row>
    <row r="11">
      <c r="A11" t="inlineStr">
        <is>
          <t>garrison/5</t>
        </is>
      </c>
      <c r="B11" t="inlineStr">
        <is>
          <t>garrison</t>
        </is>
      </c>
      <c r="C11" t="n">
        <v>5</v>
      </c>
      <c r="F11" t="n">
        <v>170</v>
      </c>
      <c r="G11" t="n">
        <v>15</v>
      </c>
      <c r="J11" t="inlineStr">
        <is>
          <t>main_battle_tank;scout_jeep</t>
        </is>
      </c>
      <c r="K11" t="inlineStr">
        <is>
          <t>Assets/MachineBrigade/Resources/Data/balance.json: base.hqTypes.garrison [cấp 5]</t>
        </is>
      </c>
      <c r="L11" t="inlineStr"/>
    </row>
    <row r="12">
      <c r="A12" t="inlineStr">
        <is>
          <t>shield/1</t>
        </is>
      </c>
      <c r="B12" t="inlineStr">
        <is>
          <t>shield</t>
        </is>
      </c>
      <c r="C12" t="n">
        <v>1</v>
      </c>
      <c r="D12" t="n">
        <v>0.15</v>
      </c>
      <c r="H12" t="n">
        <v>0.00059</v>
      </c>
      <c r="I12" t="n">
        <v>0.024</v>
      </c>
      <c r="K12" t="inlineStr">
        <is>
          <t>Assets/MachineBrigade/Resources/Data/balance.json: base.hqTypes.shield [cấp 1]</t>
        </is>
      </c>
      <c r="L12" t="inlineStr"/>
    </row>
    <row r="13">
      <c r="A13" t="inlineStr">
        <is>
          <t>shield/2</t>
        </is>
      </c>
      <c r="B13" t="inlineStr">
        <is>
          <t>shield</t>
        </is>
      </c>
      <c r="C13" t="n">
        <v>2</v>
      </c>
      <c r="D13" t="n">
        <v>0.19</v>
      </c>
      <c r="H13" t="n">
        <v>0.00073</v>
      </c>
      <c r="I13" t="n">
        <v>0.029</v>
      </c>
      <c r="K13" t="inlineStr">
        <is>
          <t>Assets/MachineBrigade/Resources/Data/balance.json: base.hqTypes.shield [cấp 2]</t>
        </is>
      </c>
      <c r="L13" t="inlineStr"/>
    </row>
    <row r="14">
      <c r="A14" t="inlineStr">
        <is>
          <t>shield/3</t>
        </is>
      </c>
      <c r="B14" t="inlineStr">
        <is>
          <t>shield</t>
        </is>
      </c>
      <c r="C14" t="n">
        <v>3</v>
      </c>
      <c r="D14" t="n">
        <v>0.24</v>
      </c>
      <c r="H14" t="n">
        <v>0.0009</v>
      </c>
      <c r="I14" t="n">
        <v>0.036</v>
      </c>
      <c r="K14" t="inlineStr">
        <is>
          <t>Assets/MachineBrigade/Resources/Data/balance.json: base.hqTypes.shield [cấp 3]</t>
        </is>
      </c>
      <c r="L14" t="inlineStr"/>
    </row>
    <row r="15">
      <c r="A15" t="inlineStr">
        <is>
          <t>shield/4</t>
        </is>
      </c>
      <c r="B15" t="inlineStr">
        <is>
          <t>shield</t>
        </is>
      </c>
      <c r="C15" t="n">
        <v>4</v>
      </c>
      <c r="D15" t="n">
        <v>0.26</v>
      </c>
      <c r="H15" t="n">
        <v>0.00092</v>
      </c>
      <c r="I15" t="n">
        <v>0.04</v>
      </c>
      <c r="K15" t="inlineStr">
        <is>
          <t>Assets/MachineBrigade/Resources/Data/balance.json: base.hqTypes.shield [cấp 4]</t>
        </is>
      </c>
      <c r="L15" t="inlineStr"/>
    </row>
    <row r="16">
      <c r="A16" t="inlineStr">
        <is>
          <t>shield/5</t>
        </is>
      </c>
      <c r="B16" t="inlineStr">
        <is>
          <t>shield</t>
        </is>
      </c>
      <c r="C16" t="n">
        <v>5</v>
      </c>
      <c r="D16" t="n">
        <v>0.29</v>
      </c>
      <c r="H16" t="n">
        <v>0.00096</v>
      </c>
      <c r="I16" t="n">
        <v>0.043</v>
      </c>
      <c r="K16" t="inlineStr">
        <is>
          <t>Assets/MachineBrigade/Resources/Data/balance.json: base.hqTypes.shield [cấp 5]</t>
        </is>
      </c>
      <c r="L16" t="inlineStr"/>
    </row>
  </sheetData>
  <autoFilter ref="A1:L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4" customWidth="1" min="3" max="3"/>
    <col width="12" customWidth="1" min="4" max="4"/>
    <col width="13" customWidth="1" min="5" max="5"/>
    <col width="8" customWidth="1" min="6" max="6"/>
    <col width="60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hq</t>
        </is>
      </c>
      <c r="B2" t="inlineStr">
        <is>
          <t>base</t>
        </is>
      </c>
      <c r="C2" t="inlineStr">
        <is>
          <t>hq</t>
        </is>
      </c>
      <c r="E2" t="inlineStr">
        <is>
          <t>headquarters</t>
        </is>
      </c>
      <c r="F2" t="inlineStr"/>
      <c r="G2" t="inlineStr">
        <is>
          <t>Assets/MachineBrigade/Resources/Data/balance.json: base.hq</t>
        </is>
      </c>
      <c r="H2" t="inlineStr">
        <is>
          <t>"headquarters"</t>
        </is>
      </c>
    </row>
    <row r="3">
      <c r="A3" t="inlineStr">
        <is>
          <t>hqTypes.ai.Easy</t>
        </is>
      </c>
      <c r="B3" t="inlineStr">
        <is>
          <t>base.hqTypes</t>
        </is>
      </c>
      <c r="C3" t="inlineStr">
        <is>
          <t>Easy</t>
        </is>
      </c>
      <c r="E3" t="inlineStr">
        <is>
          <t>garrison</t>
        </is>
      </c>
      <c r="F3" t="inlineStr"/>
      <c r="G3" t="inlineStr">
        <is>
          <t>Assets/MachineBrigade/Resources/Data/balance.json: base.hqTypes.ai.Easy</t>
        </is>
      </c>
      <c r="H3" t="inlineStr">
        <is>
          <t>"garrison"</t>
        </is>
      </c>
    </row>
    <row r="4">
      <c r="A4" t="inlineStr">
        <is>
          <t>hqTypes.ai.Hard</t>
        </is>
      </c>
      <c r="B4" t="inlineStr">
        <is>
          <t>base.hqTypes</t>
        </is>
      </c>
      <c r="C4" t="inlineStr">
        <is>
          <t>Hard</t>
        </is>
      </c>
      <c r="E4" t="inlineStr">
        <is>
          <t>shield</t>
        </is>
      </c>
      <c r="F4" t="inlineStr"/>
      <c r="G4" t="inlineStr">
        <is>
          <t>Assets/MachineBrigade/Resources/Data/balance.json: base.hqTypes.ai.Hard</t>
        </is>
      </c>
      <c r="H4" t="inlineStr">
        <is>
          <t>"shield"</t>
        </is>
      </c>
    </row>
    <row r="5">
      <c r="A5" t="inlineStr">
        <is>
          <t>hqTypes.ai.Normal</t>
        </is>
      </c>
      <c r="B5" t="inlineStr">
        <is>
          <t>base.hqTypes</t>
        </is>
      </c>
      <c r="C5" t="inlineStr">
        <is>
          <t>Normal</t>
        </is>
      </c>
      <c r="E5" t="inlineStr">
        <is>
          <t>fortress</t>
        </is>
      </c>
      <c r="F5" t="inlineStr"/>
      <c r="G5" t="inlineStr">
        <is>
          <t>Assets/MachineBrigade/Resources/Data/balance.json: base.hqTypes.ai.Normal</t>
        </is>
      </c>
      <c r="H5" t="inlineStr">
        <is>
          <t>"fortress"</t>
        </is>
      </c>
    </row>
    <row r="6">
      <c r="A6" t="inlineStr">
        <is>
          <t>hqTypes.ai.VeryHard</t>
        </is>
      </c>
      <c r="B6" t="inlineStr">
        <is>
          <t>base.hqTypes</t>
        </is>
      </c>
      <c r="C6" t="inlineStr">
        <is>
          <t>VeryHard</t>
        </is>
      </c>
      <c r="E6" t="inlineStr">
        <is>
          <t>fortress</t>
        </is>
      </c>
      <c r="F6" t="inlineStr"/>
      <c r="G6" t="inlineStr">
        <is>
          <t>Assets/MachineBrigade/Resources/Data/balance.json: base.hqTypes.ai.VeryHard</t>
        </is>
      </c>
      <c r="H6" t="inlineStr">
        <is>
          <t>"fortress"</t>
        </is>
      </c>
    </row>
    <row r="7">
      <c r="A7" t="inlineStr">
        <is>
          <t>hqTypes.ai.aurel</t>
        </is>
      </c>
      <c r="B7" t="inlineStr">
        <is>
          <t>base.hqTypes</t>
        </is>
      </c>
      <c r="C7" t="inlineStr">
        <is>
          <t>aurel</t>
        </is>
      </c>
      <c r="E7" t="inlineStr">
        <is>
          <t>shield</t>
        </is>
      </c>
      <c r="F7" t="inlineStr"/>
      <c r="G7" t="inlineStr">
        <is>
          <t>Assets/MachineBrigade/Resources/Data/balance.json: base.hqTypes.ai.aurel</t>
        </is>
      </c>
      <c r="H7" t="inlineStr">
        <is>
          <t>"shield"</t>
        </is>
      </c>
    </row>
    <row r="8">
      <c r="A8" t="inlineStr">
        <is>
          <t>hqTypes.ai.brandt</t>
        </is>
      </c>
      <c r="B8" t="inlineStr">
        <is>
          <t>base.hqTypes</t>
        </is>
      </c>
      <c r="C8" t="inlineStr">
        <is>
          <t>brandt</t>
        </is>
      </c>
      <c r="E8" t="inlineStr">
        <is>
          <t>fortress</t>
        </is>
      </c>
      <c r="F8" t="inlineStr"/>
      <c r="G8" t="inlineStr">
        <is>
          <t>Assets/MachineBrigade/Resources/Data/balance.json: base.hqTypes.ai.brandt</t>
        </is>
      </c>
      <c r="H8" t="inlineStr">
        <is>
          <t>"fortress"</t>
        </is>
      </c>
    </row>
    <row r="9">
      <c r="A9" t="inlineStr">
        <is>
          <t>hqTypes.ai.kessler</t>
        </is>
      </c>
      <c r="B9" t="inlineStr">
        <is>
          <t>base.hqTypes</t>
        </is>
      </c>
      <c r="C9" t="inlineStr">
        <is>
          <t>kessler</t>
        </is>
      </c>
      <c r="E9" t="inlineStr">
        <is>
          <t>fortress</t>
        </is>
      </c>
      <c r="F9" t="inlineStr"/>
      <c r="G9" t="inlineStr">
        <is>
          <t>Assets/MachineBrigade/Resources/Data/balance.json: base.hqTypes.ai.kessler</t>
        </is>
      </c>
      <c r="H9" t="inlineStr">
        <is>
          <t>"fortress"</t>
        </is>
      </c>
    </row>
    <row r="10">
      <c r="A10" t="inlineStr">
        <is>
          <t>hqTypes.ai.orlov</t>
        </is>
      </c>
      <c r="B10" t="inlineStr">
        <is>
          <t>base.hqTypes</t>
        </is>
      </c>
      <c r="C10" t="inlineStr">
        <is>
          <t>orlov</t>
        </is>
      </c>
      <c r="E10" t="inlineStr">
        <is>
          <t>shield</t>
        </is>
      </c>
      <c r="F10" t="inlineStr"/>
      <c r="G10" t="inlineStr">
        <is>
          <t>Assets/MachineBrigade/Resources/Data/balance.json: base.hqTypes.ai.orlov</t>
        </is>
      </c>
      <c r="H10" t="inlineStr">
        <is>
          <t>"shield"</t>
        </is>
      </c>
    </row>
    <row r="11">
      <c r="A11" t="inlineStr">
        <is>
          <t>hqTypes.ai.varga</t>
        </is>
      </c>
      <c r="B11" t="inlineStr">
        <is>
          <t>base.hqTypes</t>
        </is>
      </c>
      <c r="C11" t="inlineStr">
        <is>
          <t>varga</t>
        </is>
      </c>
      <c r="E11" t="inlineStr">
        <is>
          <t>garrison</t>
        </is>
      </c>
      <c r="F11" t="inlineStr"/>
      <c r="G11" t="inlineStr">
        <is>
          <t>Assets/MachineBrigade/Resources/Data/balance.json: base.hqTypes.ai.varga</t>
        </is>
      </c>
      <c r="H11" t="inlineStr">
        <is>
          <t>"garrison"</t>
        </is>
      </c>
    </row>
    <row r="12">
      <c r="A12" t="inlineStr">
        <is>
          <t>hqTypes.default</t>
        </is>
      </c>
      <c r="B12" t="inlineStr">
        <is>
          <t>base.hqTypes</t>
        </is>
      </c>
      <c r="C12" t="inlineStr">
        <is>
          <t>default</t>
        </is>
      </c>
      <c r="E12" t="inlineStr">
        <is>
          <t>fortress</t>
        </is>
      </c>
      <c r="F12" t="inlineStr"/>
      <c r="G12" t="inlineStr">
        <is>
          <t>Assets/MachineBrigade/Resources/Data/balance.json: base.hqTypes.default</t>
        </is>
      </c>
      <c r="H12" t="inlineStr">
        <is>
          <t>"fortress"</t>
        </is>
      </c>
    </row>
    <row r="13">
      <c r="A13" t="inlineStr">
        <is>
          <t>hqTypes.radius</t>
        </is>
      </c>
      <c r="B13" t="inlineStr">
        <is>
          <t>base.hqTypes</t>
        </is>
      </c>
      <c r="C13" t="inlineStr">
        <is>
          <t>radius</t>
        </is>
      </c>
      <c r="D13" t="n">
        <v>45</v>
      </c>
      <c r="F13" t="inlineStr">
        <is>
          <t>m</t>
        </is>
      </c>
      <c r="G13" t="inlineStr">
        <is>
          <t>Assets/MachineBrigade/Resources/Data/balance.json: base.hqTypes.radius</t>
        </is>
      </c>
      <c r="H13" t="inlineStr">
        <is>
          <t>45</t>
        </is>
      </c>
    </row>
    <row r="14">
      <c r="A14" t="inlineStr">
        <is>
          <t>hqTypes.skillCooldown</t>
        </is>
      </c>
      <c r="B14" t="inlineStr">
        <is>
          <t>base.hqTypes</t>
        </is>
      </c>
      <c r="C14" t="inlineStr">
        <is>
          <t>skillCooldown</t>
        </is>
      </c>
      <c r="D14" t="n">
        <v>120</v>
      </c>
      <c r="F14" t="inlineStr">
        <is>
          <t>s</t>
        </is>
      </c>
      <c r="G14" t="inlineStr">
        <is>
          <t>Assets/MachineBrigade/Resources/Data/balance.json: base.hqTypes.skillCooldown</t>
        </is>
      </c>
      <c r="H14" t="inlineStr">
        <is>
          <t>120</t>
        </is>
      </c>
    </row>
  </sheetData>
  <autoFilter ref="A1:H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3" customWidth="1" min="2" max="2"/>
    <col width="28" customWidth="1" min="3" max="3"/>
    <col width="15" customWidth="1" min="4" max="4"/>
    <col width="8" customWidth="1" min="5" max="5"/>
    <col width="8" customWidth="1" min="6" max="6"/>
    <col width="12" customWidth="1" min="7" max="7"/>
    <col width="9" customWidth="1" min="8" max="8"/>
    <col width="8" customWidth="1" min="9" max="9"/>
    <col width="19" customWidth="1" min="10" max="10"/>
    <col width="12" customWidth="1" min="11" max="11"/>
    <col width="11" customWidth="1" min="12" max="12"/>
    <col width="10" customWidth="1" min="13" max="13"/>
    <col width="10" customWidth="1" min="14" max="14"/>
    <col width="12" customWidth="1" min="15" max="15"/>
    <col width="12" customWidth="1" min="16" max="16"/>
    <col width="17" customWidth="1" min="17" max="17"/>
    <col width="17" customWidth="1" min="18" max="18"/>
    <col width="12" customWidth="1" min="19" max="19"/>
    <col width="12" customWidth="1" min="20" max="20"/>
    <col width="8" customWidth="1" min="21" max="21"/>
    <col width="8" customWidth="1" min="22" max="22"/>
    <col width="8" customWidth="1" min="23" max="23"/>
    <col width="10" customWidth="1" min="24" max="24"/>
    <col width="10" customWidth="1" min="25" max="25"/>
    <col width="14" customWidth="1" min="26" max="26"/>
    <col width="14" customWidth="1" min="27" max="27"/>
    <col width="10" customWidth="1" min="28" max="28"/>
    <col width="21" customWidth="1" min="29" max="29"/>
    <col width="14" customWidth="1" min="30" max="30"/>
    <col width="12" customWidth="1" min="31" max="31"/>
    <col width="9" customWidth="1" min="32" max="32"/>
    <col width="8" customWidth="1" min="33" max="33"/>
    <col width="14" customWidth="1" min="34" max="34"/>
    <col width="13" customWidth="1" min="35" max="35"/>
    <col width="20" customWidth="1" min="36" max="36"/>
    <col width="16" customWidth="1" min="37" max="37"/>
    <col width="15" customWidth="1" min="38" max="38"/>
    <col width="13" customWidth="1" min="39" max="39"/>
    <col width="14" customWidth="1" min="40" max="40"/>
    <col width="12" customWidth="1" min="41" max="41"/>
    <col width="18" customWidth="1" min="42" max="42"/>
    <col width="16" customWidth="1" min="43" max="43"/>
    <col width="17" customWidth="1" min="44" max="44"/>
    <col width="15" customWidth="1" min="45" max="45"/>
    <col width="16" customWidth="1" min="46" max="46"/>
    <col width="14" customWidth="1" min="47" max="47"/>
    <col width="16" customWidth="1" min="48" max="48"/>
    <col width="14" customWidth="1" min="49" max="49"/>
    <col width="18" customWidth="1" min="50" max="50"/>
    <col width="16" customWidth="1" min="51" max="51"/>
    <col width="18" customWidth="1" min="52" max="52"/>
    <col width="16" customWidth="1" min="53" max="53"/>
    <col width="20" customWidth="1" min="54" max="54"/>
    <col width="18" customWidth="1" min="55" max="55"/>
    <col width="18" customWidth="1" min="56" max="56"/>
    <col width="16" customWidth="1" min="57" max="57"/>
    <col width="27" customWidth="1" min="58" max="58"/>
    <col width="25" customWidth="1" min="59" max="59"/>
    <col width="8" customWidth="1" min="60" max="60"/>
    <col width="13" customWidth="1" min="61" max="61"/>
    <col width="9" customWidth="1" min="62" max="62"/>
    <col width="14" customWidth="1" min="63" max="63"/>
    <col width="14" customWidth="1" min="64" max="64"/>
    <col width="16" customWidth="1" min="65" max="65"/>
    <col width="8" customWidth="1" min="66" max="66"/>
    <col width="24" customWidth="1" min="67" max="67"/>
    <col width="25" customWidth="1" min="68" max="68"/>
    <col width="26" customWidth="1" min="69" max="69"/>
    <col width="22" customWidth="1" min="70" max="70"/>
    <col width="11" customWidth="1" min="71" max="71"/>
    <col width="11" customWidth="1" min="72" max="72"/>
    <col width="8" customWidth="1" min="73" max="73"/>
    <col width="10" customWidth="1" min="74" max="74"/>
    <col width="8" customWidth="1" min="75" max="75"/>
    <col width="21" customWidth="1" min="76" max="76"/>
    <col width="21" customWidth="1" min="77" max="77"/>
    <col width="20" customWidth="1" min="78" max="78"/>
    <col width="10" customWidth="1" min="79" max="79"/>
    <col width="10" customWidth="1" min="80" max="80"/>
    <col width="11" customWidth="1" min="81" max="81"/>
    <col width="8" customWidth="1" min="82" max="82"/>
    <col width="17" customWidth="1" min="83" max="83"/>
    <col width="24" customWidth="1" min="84" max="84"/>
    <col width="16" customWidth="1" min="85" max="85"/>
    <col width="10" customWidth="1" min="86" max="86"/>
    <col width="8" customWidth="1" min="87" max="87"/>
    <col width="9" customWidth="1" min="88" max="88"/>
    <col width="60" customWidth="1" min="89" max="89"/>
    <col width="60" customWidth="1" min="90" max="90"/>
  </cols>
  <sheetData>
    <row r="1">
      <c r="A1" s="1" t="inlineStr">
        <is>
          <t>id</t>
        </is>
      </c>
      <c r="B1" s="1" t="inlineStr">
        <is>
          <t>ten_en</t>
        </is>
      </c>
      <c r="C1" s="1" t="inlineStr">
        <is>
          <t>ten_vi</t>
        </is>
      </c>
      <c r="D1" s="1" t="inlineStr">
        <is>
          <t>ten_ngan_vi</t>
        </is>
      </c>
      <c r="E1" s="1" t="inlineStr">
        <is>
          <t>lop</t>
        </is>
      </c>
      <c r="F1" s="1" t="inlineStr">
        <is>
          <t>nhanh</t>
        </is>
      </c>
      <c r="G1" s="1" t="inlineStr">
        <is>
          <t>ke_thua_tu</t>
        </is>
      </c>
      <c r="H1" s="1" t="inlineStr">
        <is>
          <t>base_cp</t>
        </is>
      </c>
      <c r="I1" s="1" t="inlineStr">
        <is>
          <t>mau_hp</t>
        </is>
      </c>
      <c r="J1" s="1" t="inlineStr">
        <is>
          <t>mau_trong_tran_hp</t>
        </is>
      </c>
      <c r="K1" s="1" t="inlineStr">
        <is>
          <t>giap_truoc</t>
        </is>
      </c>
      <c r="L1" s="1" t="inlineStr">
        <is>
          <t>giap_hong</t>
        </is>
      </c>
      <c r="M1" s="1" t="inlineStr">
        <is>
          <t>giap_sau</t>
        </is>
      </c>
      <c r="N1" s="1" t="inlineStr">
        <is>
          <t>giap_noc</t>
        </is>
      </c>
      <c r="O1" s="1" t="inlineStr">
        <is>
          <t>cong_trinh</t>
        </is>
      </c>
      <c r="P1" s="1" t="inlineStr">
        <is>
          <t>toc_do_m_s</t>
        </is>
      </c>
      <c r="Q1" s="1" t="inlineStr">
        <is>
          <t>xoay_than_deg_s</t>
        </is>
      </c>
      <c r="R1" s="1" t="inlineStr">
        <is>
          <t>xoay_thap_deg_s</t>
        </is>
      </c>
      <c r="S1" s="1" t="inlineStr">
        <is>
          <t>tam_nhin_m</t>
        </is>
      </c>
      <c r="T1" s="1" t="inlineStr">
        <is>
          <t>ban_kinh_m</t>
        </is>
      </c>
      <c r="U1" s="1" t="inlineStr">
        <is>
          <t>dai_m</t>
        </is>
      </c>
      <c r="V1" s="1" t="inlineStr">
        <is>
          <t>rong_m</t>
        </is>
      </c>
      <c r="W1" s="1" t="inlineStr">
        <is>
          <t>bay</t>
        </is>
      </c>
      <c r="X1" s="1" t="inlineStr">
        <is>
          <t>do_cao_m</t>
        </is>
      </c>
      <c r="Y1" s="1" t="inlineStr">
        <is>
          <t>dung_yen</t>
        </is>
      </c>
      <c r="Z1" s="1" t="inlineStr">
        <is>
          <t>ban_khi_chay</t>
        </is>
      </c>
      <c r="AA1" s="1" t="inlineStr">
        <is>
          <t>toc_do_chiem</t>
        </is>
      </c>
      <c r="AB1" s="1" t="inlineStr">
        <is>
          <t>tha_du_s</t>
        </is>
      </c>
      <c r="AC1" s="1" t="inlineStr">
        <is>
          <t>he_so_sat_thuong_ra</t>
        </is>
      </c>
      <c r="AD1" s="1" t="inlineStr">
        <is>
          <t>vu_khi_chinh</t>
        </is>
      </c>
      <c r="AE1" s="1" t="inlineStr">
        <is>
          <t>vu_khi_phu</t>
        </is>
      </c>
      <c r="AF1" s="1" t="inlineStr">
        <is>
          <t>noi_tai</t>
        </is>
      </c>
      <c r="AG1" s="1" t="inlineStr">
        <is>
          <t>tu_ve</t>
        </is>
      </c>
      <c r="AH1" s="1" t="inlineStr">
        <is>
          <t>so_lan_tu_ve</t>
        </is>
      </c>
      <c r="AI1" s="1" t="inlineStr">
        <is>
          <t>hoi_tu_ve_s</t>
        </is>
      </c>
      <c r="AJ1" s="1" t="inlineStr">
        <is>
          <t>mo_hinh</t>
        </is>
      </c>
      <c r="AK1" s="1" t="inlineStr">
        <is>
          <t>so_voi_ban_goc</t>
        </is>
      </c>
      <c r="AL1" s="1" t="inlineStr">
        <is>
          <t>base_cp_truoc</t>
        </is>
      </c>
      <c r="AM1" s="1" t="inlineStr">
        <is>
          <t>base_cp_sau</t>
        </is>
      </c>
      <c r="AN1" s="1" t="inlineStr">
        <is>
          <t>mau_hp_truoc</t>
        </is>
      </c>
      <c r="AO1" s="1" t="inlineStr">
        <is>
          <t>mau_hp_sau</t>
        </is>
      </c>
      <c r="AP1" s="1" t="inlineStr">
        <is>
          <t>giap_truoc_truoc</t>
        </is>
      </c>
      <c r="AQ1" s="1" t="inlineStr">
        <is>
          <t>giap_truoc_sau</t>
        </is>
      </c>
      <c r="AR1" s="1" t="inlineStr">
        <is>
          <t>giap_hong_truoc</t>
        </is>
      </c>
      <c r="AS1" s="1" t="inlineStr">
        <is>
          <t>giap_hong_sau</t>
        </is>
      </c>
      <c r="AT1" s="1" t="inlineStr">
        <is>
          <t>giap_sau_truoc</t>
        </is>
      </c>
      <c r="AU1" s="1" t="inlineStr">
        <is>
          <t>giap_sau_sau</t>
        </is>
      </c>
      <c r="AV1" s="1" t="inlineStr">
        <is>
          <t>giap_noc_truoc</t>
        </is>
      </c>
      <c r="AW1" s="1" t="inlineStr">
        <is>
          <t>giap_noc_sau</t>
        </is>
      </c>
      <c r="AX1" s="1" t="inlineStr">
        <is>
          <t>toc_do_m_s_truoc</t>
        </is>
      </c>
      <c r="AY1" s="1" t="inlineStr">
        <is>
          <t>toc_do_m_s_sau</t>
        </is>
      </c>
      <c r="AZ1" s="1" t="inlineStr">
        <is>
          <t>tam_nhin_m_truoc</t>
        </is>
      </c>
      <c r="BA1" s="1" t="inlineStr">
        <is>
          <t>tam_nhin_m_sau</t>
        </is>
      </c>
      <c r="BB1" s="1" t="inlineStr">
        <is>
          <t>vu_khi_chinh_truoc</t>
        </is>
      </c>
      <c r="BC1" s="1" t="inlineStr">
        <is>
          <t>vu_khi_chinh_sau</t>
        </is>
      </c>
      <c r="BD1" s="1" t="inlineStr">
        <is>
          <t>vu_khi_phu_truoc</t>
        </is>
      </c>
      <c r="BE1" s="1" t="inlineStr">
        <is>
          <t>vu_khi_phu_sau</t>
        </is>
      </c>
      <c r="BF1" s="1" t="inlineStr">
        <is>
          <t>he_so_sat_thuong_ra_truoc</t>
        </is>
      </c>
      <c r="BG1" s="1" t="inlineStr">
        <is>
          <t>he_so_sat_thuong_ra_sau</t>
        </is>
      </c>
      <c r="BH1" s="1" t="inlineStr">
        <is>
          <t>armour</t>
        </is>
      </c>
      <c r="BI1" s="1" t="inlineStr">
        <is>
          <t>aura_damage</t>
        </is>
      </c>
      <c r="BJ1" s="1" t="inlineStr">
        <is>
          <t>aura_hp</t>
        </is>
      </c>
      <c r="BK1" s="1" t="inlineStr">
        <is>
          <t>aura_range_m</t>
        </is>
      </c>
      <c r="BL1" s="1" t="inlineStr">
        <is>
          <t>aura_reach_m</t>
        </is>
      </c>
      <c r="BM1" s="1" t="inlineStr">
        <is>
          <t>aura_speed_m_s</t>
        </is>
      </c>
      <c r="BN1" s="1" t="inlineStr">
        <is>
          <t>cp</t>
        </is>
      </c>
      <c r="BO1" s="1" t="inlineStr">
        <is>
          <t>death_explosion_damage</t>
        </is>
      </c>
      <c r="BP1" s="1" t="inlineStr">
        <is>
          <t>death_explosion_delay_s</t>
        </is>
      </c>
      <c r="BQ1" s="1" t="inlineStr">
        <is>
          <t>death_explosion_radius_m</t>
        </is>
      </c>
      <c r="BR1" s="1" t="inlineStr">
        <is>
          <t>death_explosion_tier</t>
        </is>
      </c>
      <c r="BS1" s="1" t="inlineStr">
        <is>
          <t>fort_kind</t>
        </is>
      </c>
      <c r="BT1" s="1" t="inlineStr">
        <is>
          <t>fort_size</t>
        </is>
      </c>
      <c r="BU1" s="1" t="inlineStr">
        <is>
          <t>hp</t>
        </is>
      </c>
      <c r="BV1" s="1" t="inlineStr">
        <is>
          <t>length_m</t>
        </is>
      </c>
      <c r="BW1" s="1" t="inlineStr">
        <is>
          <t>model</t>
        </is>
      </c>
      <c r="BX1" s="1" t="inlineStr">
        <is>
          <t>model_size_height_m</t>
        </is>
      </c>
      <c r="BY1" s="1" t="inlineStr">
        <is>
          <t>model_size_length_m</t>
        </is>
      </c>
      <c r="BZ1" s="1" t="inlineStr">
        <is>
          <t>model_size_width_m</t>
        </is>
      </c>
      <c r="CA1" s="1" t="inlineStr">
        <is>
          <t>passable</t>
        </is>
      </c>
      <c r="CB1" s="1" t="inlineStr">
        <is>
          <t>radius_m</t>
        </is>
      </c>
      <c r="CC1" s="1" t="inlineStr">
        <is>
          <t>speed_m_s</t>
        </is>
      </c>
      <c r="CD1" s="1" t="inlineStr">
        <is>
          <t>static</t>
        </is>
      </c>
      <c r="CE1" s="1" t="inlineStr">
        <is>
          <t>turn_rate_deg_s</t>
        </is>
      </c>
      <c r="CF1" s="1" t="inlineStr">
        <is>
          <t>turret_turn_rate_deg_s</t>
        </is>
      </c>
      <c r="CG1" s="1" t="inlineStr">
        <is>
          <t>utility_supply</t>
        </is>
      </c>
      <c r="CH1" s="1" t="inlineStr">
        <is>
          <t>vision_m</t>
        </is>
      </c>
      <c r="CI1" s="1" t="inlineStr">
        <is>
          <t>weapon</t>
        </is>
      </c>
      <c r="CJ1" s="1" t="inlineStr">
        <is>
          <t>width_m</t>
        </is>
      </c>
      <c r="CK1" s="1" t="inlineStr">
        <is>
          <t>nguon</t>
        </is>
      </c>
      <c r="CL1" s="1" t="inlineStr">
        <is>
          <t>raw_json</t>
        </is>
      </c>
    </row>
    <row r="2">
      <c r="A2" t="inlineStr">
        <is>
          <t>airfield</t>
        </is>
      </c>
      <c r="B2" t="inlineStr">
        <is>
          <t>Airfield</t>
        </is>
      </c>
      <c r="C2" t="inlineStr">
        <is>
          <t>Sân bay dã chiến</t>
        </is>
      </c>
      <c r="D2" t="inlineStr">
        <is>
          <t>Sân bay</t>
        </is>
      </c>
      <c r="E2" t="inlineStr"/>
      <c r="F2" t="inlineStr"/>
      <c r="G2" t="inlineStr"/>
      <c r="H2" t="n">
        <v>0</v>
      </c>
      <c r="I2" t="n">
        <v>1600</v>
      </c>
      <c r="J2" t="n">
        <v>3520</v>
      </c>
      <c r="K2" t="n">
        <v>1</v>
      </c>
      <c r="L2" t="n">
        <v>1</v>
      </c>
      <c r="M2" t="n">
        <v>1</v>
      </c>
      <c r="N2" t="n">
        <v>1</v>
      </c>
      <c r="O2" t="b">
        <v>1</v>
      </c>
      <c r="P2" t="n">
        <v>0</v>
      </c>
      <c r="Q2" t="n">
        <v>1</v>
      </c>
      <c r="R2" t="n">
        <v>1</v>
      </c>
      <c r="S2" t="n">
        <v>30</v>
      </c>
      <c r="T2" t="n">
        <v>3</v>
      </c>
      <c r="U2" t="n">
        <v>6</v>
      </c>
      <c r="V2" t="n">
        <v>6</v>
      </c>
      <c r="W2" t="b">
        <v>0</v>
      </c>
      <c r="X2" t="n">
        <v>0</v>
      </c>
      <c r="Y2" t="b">
        <v>1</v>
      </c>
      <c r="Z2" t="b">
        <v>1</v>
      </c>
      <c r="AA2" t="n">
        <v>1</v>
      </c>
      <c r="AB2" t="n">
        <v>3.5</v>
      </c>
      <c r="AC2" t="n">
        <v>1</v>
      </c>
      <c r="AD2" t="inlineStr">
        <is>
          <t>none</t>
        </is>
      </c>
      <c r="AE2" t="inlineStr"/>
      <c r="AF2" t="inlineStr"/>
      <c r="AG2" t="inlineStr">
        <is>
          <t>none</t>
        </is>
      </c>
      <c r="AH2" t="inlineStr"/>
      <c r="AI2" t="inlineStr"/>
      <c r="AJ2" t="inlineStr">
        <is>
          <t>helipad</t>
        </is>
      </c>
      <c r="AK2" t="inlineStr">
        <is>
          <t>giong</t>
        </is>
      </c>
      <c r="BH2" t="n">
        <v>1</v>
      </c>
      <c r="BI2" t="n">
        <v>0.1</v>
      </c>
      <c r="BL2" t="inlineStr">
        <is>
          <t>Aircraft</t>
        </is>
      </c>
      <c r="BM2" t="n">
        <v>0.1</v>
      </c>
      <c r="BN2" t="n">
        <v>0</v>
      </c>
      <c r="BS2" t="inlineStr">
        <is>
          <t>Utility</t>
        </is>
      </c>
      <c r="BT2" t="inlineStr">
        <is>
          <t>Medium</t>
        </is>
      </c>
      <c r="BU2" t="n">
        <v>1600</v>
      </c>
      <c r="BV2" t="n">
        <v>6</v>
      </c>
      <c r="BW2" t="inlineStr">
        <is>
          <t>helipad</t>
        </is>
      </c>
      <c r="CA2" t="b">
        <v>1</v>
      </c>
      <c r="CB2" t="n">
        <v>3</v>
      </c>
      <c r="CC2" t="n">
        <v>0</v>
      </c>
      <c r="CD2" t="b">
        <v>1</v>
      </c>
      <c r="CE2" t="n">
        <v>1</v>
      </c>
      <c r="CF2" t="n">
        <v>1</v>
      </c>
      <c r="CH2" t="n">
        <v>30</v>
      </c>
      <c r="CI2" t="inlineStr">
        <is>
          <t>none</t>
        </is>
      </c>
      <c r="CJ2" t="n">
        <v>6</v>
      </c>
      <c r="CK2" t="inlineStr">
        <is>
          <t>Assets/MachineBrigade/Resources/Data/balance.json: vehicles[100]</t>
        </is>
      </c>
      <c r="CL2" t="inlineStr">
        <is>
          <t>{"id":"airfield","fort":{"size":"Medium","kind":"Utility"},"model":"helipad","static":true,"passable":true,"armour":1,"hp":1600,"speed":0,"turnRate":1,"turretTurnRate":1,"radius":3,"length":6,"width":6,"cp":0,"vision":30,"weapon":"none","aura":{"reach":"Aircraft","damage":0.1,"speed":0.1}}</t>
        </is>
      </c>
    </row>
    <row r="3">
      <c r="A3" t="inlineStr">
        <is>
          <t>fire_control_centre</t>
        </is>
      </c>
      <c r="B3" t="inlineStr">
        <is>
          <t>Defence Command Centre</t>
        </is>
      </c>
      <c r="C3" t="inlineStr">
        <is>
          <t>Trung tâm chỉ huy phòng thủ</t>
        </is>
      </c>
      <c r="D3" t="inlineStr">
        <is>
          <t>TT phòng thủ</t>
        </is>
      </c>
      <c r="E3" t="inlineStr"/>
      <c r="F3" t="inlineStr"/>
      <c r="G3" t="inlineStr"/>
      <c r="H3" t="n">
        <v>0</v>
      </c>
      <c r="I3" t="n">
        <v>1136</v>
      </c>
      <c r="J3" t="n">
        <v>2499.2</v>
      </c>
      <c r="K3" t="n">
        <v>1</v>
      </c>
      <c r="L3" t="n">
        <v>1</v>
      </c>
      <c r="M3" t="n">
        <v>1</v>
      </c>
      <c r="N3" t="n">
        <v>1</v>
      </c>
      <c r="O3" t="b">
        <v>1</v>
      </c>
      <c r="P3" t="n">
        <v>0</v>
      </c>
      <c r="Q3" t="n">
        <v>1</v>
      </c>
      <c r="R3" t="n">
        <v>1</v>
      </c>
      <c r="S3" t="n">
        <v>40</v>
      </c>
      <c r="T3" t="n">
        <v>3</v>
      </c>
      <c r="U3" t="n">
        <v>6</v>
      </c>
      <c r="V3" t="n">
        <v>6</v>
      </c>
      <c r="W3" t="b">
        <v>0</v>
      </c>
      <c r="X3" t="n">
        <v>0</v>
      </c>
      <c r="Y3" t="b">
        <v>1</v>
      </c>
      <c r="Z3" t="b">
        <v>1</v>
      </c>
      <c r="AA3" t="n">
        <v>1</v>
      </c>
      <c r="AB3" t="n">
        <v>3.5</v>
      </c>
      <c r="AC3" t="n">
        <v>1</v>
      </c>
      <c r="AD3" t="inlineStr">
        <is>
          <t>none</t>
        </is>
      </c>
      <c r="AE3" t="inlineStr"/>
      <c r="AF3" t="inlineStr"/>
      <c r="AG3" t="inlineStr">
        <is>
          <t>none</t>
        </is>
      </c>
      <c r="AH3" t="inlineStr"/>
      <c r="AI3" t="inlineStr"/>
      <c r="AJ3" t="inlineStr">
        <is>
          <t>fire_control_centre</t>
        </is>
      </c>
      <c r="AK3" t="inlineStr">
        <is>
          <t>giong</t>
        </is>
      </c>
      <c r="BH3" t="n">
        <v>1</v>
      </c>
      <c r="BJ3" t="n">
        <v>0.1</v>
      </c>
      <c r="BK3" t="n">
        <v>0.15</v>
      </c>
      <c r="BL3" t="inlineStr">
        <is>
          <t>Structures</t>
        </is>
      </c>
      <c r="BN3" t="n">
        <v>0</v>
      </c>
      <c r="BO3" t="n">
        <v>90</v>
      </c>
      <c r="BP3" t="n">
        <v>0.4</v>
      </c>
      <c r="BQ3" t="n">
        <v>7</v>
      </c>
      <c r="BR3" t="inlineStr">
        <is>
          <t>Huge</t>
        </is>
      </c>
      <c r="BS3" t="inlineStr">
        <is>
          <t>Utility</t>
        </is>
      </c>
      <c r="BT3" t="inlineStr">
        <is>
          <t>Medium</t>
        </is>
      </c>
      <c r="BU3" t="n">
        <v>1136</v>
      </c>
      <c r="BV3" t="n">
        <v>6</v>
      </c>
      <c r="BX3" t="n">
        <v>5.5</v>
      </c>
      <c r="BY3" t="n">
        <v>6</v>
      </c>
      <c r="BZ3" t="n">
        <v>6</v>
      </c>
      <c r="CB3" t="n">
        <v>3</v>
      </c>
      <c r="CC3" t="n">
        <v>0</v>
      </c>
      <c r="CD3" t="b">
        <v>1</v>
      </c>
      <c r="CE3" t="n">
        <v>1</v>
      </c>
      <c r="CF3" t="n">
        <v>1</v>
      </c>
      <c r="CH3" t="n">
        <v>40</v>
      </c>
      <c r="CI3" t="inlineStr">
        <is>
          <t>none</t>
        </is>
      </c>
      <c r="CJ3" t="n">
        <v>6</v>
      </c>
      <c r="CK3" t="inlineStr">
        <is>
          <t>Assets/MachineBrigade/Resources/Data/balance.json: vehicles[116]</t>
        </is>
      </c>
      <c r="CL3" t="inlineStr">
        <is>
          <t>{"id":"fire_control_centre","modelSize":[6.0,6.0,5.5],"fort":{"size":"Medium","kind":"Utility"},"static":true,"armour":1,"hp":1136,"speed":0,"turnRate":1,"turretTurnRate":1,"radius":3,"length":6,"width":6,"cp":0,"vision":40,"weapon":"none","aura":{"reach":"Structures","range":0.15,"hp":0.1},"deathExplosion":{"damage":90,"radius":7,"delay":0.4,"tier":"Huge"}}</t>
        </is>
      </c>
    </row>
    <row r="4">
      <c r="A4" t="inlineStr">
        <is>
          <t>logistics_station</t>
        </is>
      </c>
      <c r="B4" t="inlineStr">
        <is>
          <t>Logistics station</t>
        </is>
      </c>
      <c r="C4" t="inlineStr">
        <is>
          <t>Trạm hậu cần</t>
        </is>
      </c>
      <c r="D4" t="inlineStr">
        <is>
          <t>Trạm hậu cần</t>
        </is>
      </c>
      <c r="E4" t="inlineStr"/>
      <c r="F4" t="inlineStr"/>
      <c r="G4" t="inlineStr"/>
      <c r="H4" t="n">
        <v>0</v>
      </c>
      <c r="I4" t="n">
        <v>1400</v>
      </c>
      <c r="J4" t="n">
        <v>3080</v>
      </c>
      <c r="K4" t="n">
        <v>1</v>
      </c>
      <c r="L4" t="n">
        <v>1</v>
      </c>
      <c r="M4" t="n">
        <v>1</v>
      </c>
      <c r="N4" t="n">
        <v>1</v>
      </c>
      <c r="O4" t="b">
        <v>1</v>
      </c>
      <c r="P4" t="n">
        <v>0</v>
      </c>
      <c r="Q4" t="n">
        <v>1</v>
      </c>
      <c r="R4" t="n">
        <v>1</v>
      </c>
      <c r="S4" t="n">
        <v>30</v>
      </c>
      <c r="T4" t="n">
        <v>3</v>
      </c>
      <c r="U4" t="n">
        <v>6</v>
      </c>
      <c r="V4" t="n">
        <v>6</v>
      </c>
      <c r="W4" t="b">
        <v>0</v>
      </c>
      <c r="X4" t="n">
        <v>0</v>
      </c>
      <c r="Y4" t="b">
        <v>1</v>
      </c>
      <c r="Z4" t="b">
        <v>1</v>
      </c>
      <c r="AA4" t="n">
        <v>1</v>
      </c>
      <c r="AB4" t="n">
        <v>3.5</v>
      </c>
      <c r="AC4" t="n">
        <v>1</v>
      </c>
      <c r="AD4" t="inlineStr">
        <is>
          <t>none</t>
        </is>
      </c>
      <c r="AE4" t="inlineStr"/>
      <c r="AF4" t="inlineStr"/>
      <c r="AG4" t="inlineStr">
        <is>
          <t>none</t>
        </is>
      </c>
      <c r="AH4" t="inlineStr"/>
      <c r="AI4" t="inlineStr"/>
      <c r="AJ4" t="inlineStr">
        <is>
          <t>logistics_station</t>
        </is>
      </c>
      <c r="AK4" t="inlineStr">
        <is>
          <t>giong</t>
        </is>
      </c>
      <c r="BH4" t="n">
        <v>1</v>
      </c>
      <c r="BN4" t="n">
        <v>0</v>
      </c>
      <c r="BO4" t="n">
        <v>160</v>
      </c>
      <c r="BP4" t="n">
        <v>0.4</v>
      </c>
      <c r="BQ4" t="n">
        <v>9</v>
      </c>
      <c r="BR4" t="inlineStr">
        <is>
          <t>Huge</t>
        </is>
      </c>
      <c r="BS4" t="inlineStr">
        <is>
          <t>Utility</t>
        </is>
      </c>
      <c r="BT4" t="inlineStr">
        <is>
          <t>Medium</t>
        </is>
      </c>
      <c r="BU4" t="n">
        <v>1400</v>
      </c>
      <c r="BV4" t="n">
        <v>6</v>
      </c>
      <c r="CB4" t="n">
        <v>3</v>
      </c>
      <c r="CC4" t="n">
        <v>0</v>
      </c>
      <c r="CD4" t="b">
        <v>1</v>
      </c>
      <c r="CE4" t="n">
        <v>1</v>
      </c>
      <c r="CF4" t="n">
        <v>1</v>
      </c>
      <c r="CG4" t="n">
        <v>8</v>
      </c>
      <c r="CH4" t="n">
        <v>30</v>
      </c>
      <c r="CI4" t="inlineStr">
        <is>
          <t>none</t>
        </is>
      </c>
      <c r="CJ4" t="n">
        <v>6</v>
      </c>
      <c r="CK4" t="inlineStr">
        <is>
          <t>Assets/MachineBrigade/Resources/Data/balance.json: vehicles[101]</t>
        </is>
      </c>
      <c r="CL4" t="inlineStr">
        <is>
          <t>{"id":"logistics_station","fort":{"size":"Medium","kind":"Utility"},"static":true,"armour":1,"hp":1400,"speed":0,"turnRate":1,"turretTurnRate":1,"radius":3,"length":6,"width":6,"cp":0,"vision":30,"weapon":"none","utility":{"supply":8},"deathExplosion":{"damage":160,"radius":9,"delay":0.4,"tier":"Huge"}}</t>
        </is>
      </c>
    </row>
    <row r="5">
      <c r="A5" t="inlineStr">
        <is>
          <t>repair_bay</t>
        </is>
      </c>
      <c r="B5" t="inlineStr">
        <is>
          <t>Repair bay</t>
        </is>
      </c>
      <c r="C5" t="inlineStr">
        <is>
          <t>Xưởng sửa chữa</t>
        </is>
      </c>
      <c r="D5" t="inlineStr">
        <is>
          <t>Xưởng sửa chữa</t>
        </is>
      </c>
      <c r="E5" t="inlineStr"/>
      <c r="F5" t="inlineStr"/>
      <c r="G5" t="inlineStr"/>
      <c r="H5" t="n">
        <v>0</v>
      </c>
      <c r="I5" t="n">
        <v>1600</v>
      </c>
      <c r="J5" t="n">
        <v>3520</v>
      </c>
      <c r="K5" t="n">
        <v>2</v>
      </c>
      <c r="L5" t="n">
        <v>2</v>
      </c>
      <c r="M5" t="n">
        <v>2</v>
      </c>
      <c r="N5" t="n">
        <v>2</v>
      </c>
      <c r="O5" t="b">
        <v>1</v>
      </c>
      <c r="P5" t="n">
        <v>0</v>
      </c>
      <c r="Q5" t="n">
        <v>1</v>
      </c>
      <c r="R5" t="n">
        <v>1</v>
      </c>
      <c r="S5" t="n">
        <v>30</v>
      </c>
      <c r="T5" t="n">
        <v>3</v>
      </c>
      <c r="U5" t="n">
        <v>6</v>
      </c>
      <c r="V5" t="n">
        <v>6</v>
      </c>
      <c r="W5" t="b">
        <v>0</v>
      </c>
      <c r="X5" t="n">
        <v>0</v>
      </c>
      <c r="Y5" t="b">
        <v>1</v>
      </c>
      <c r="Z5" t="b">
        <v>1</v>
      </c>
      <c r="AA5" t="n">
        <v>1</v>
      </c>
      <c r="AB5" t="n">
        <v>3.5</v>
      </c>
      <c r="AC5" t="n">
        <v>1</v>
      </c>
      <c r="AD5" t="inlineStr">
        <is>
          <t>none</t>
        </is>
      </c>
      <c r="AE5" t="inlineStr"/>
      <c r="AF5" t="inlineStr"/>
      <c r="AG5" t="inlineStr">
        <is>
          <t>none</t>
        </is>
      </c>
      <c r="AH5" t="inlineStr"/>
      <c r="AI5" t="inlineStr"/>
      <c r="AJ5" t="inlineStr">
        <is>
          <t>repair_bay</t>
        </is>
      </c>
      <c r="AK5" t="inlineStr">
        <is>
          <t>giong</t>
        </is>
      </c>
      <c r="BH5" t="n">
        <v>2</v>
      </c>
      <c r="BI5" t="n">
        <v>0.1</v>
      </c>
      <c r="BJ5" t="n">
        <v>0.1</v>
      </c>
      <c r="BL5" t="inlineStr">
        <is>
          <t>Ground</t>
        </is>
      </c>
      <c r="BN5" t="n">
        <v>0</v>
      </c>
      <c r="BS5" t="inlineStr">
        <is>
          <t>Utility</t>
        </is>
      </c>
      <c r="BT5" t="inlineStr">
        <is>
          <t>Medium</t>
        </is>
      </c>
      <c r="BU5" t="n">
        <v>1600</v>
      </c>
      <c r="BV5" t="n">
        <v>6</v>
      </c>
      <c r="CB5" t="n">
        <v>3</v>
      </c>
      <c r="CC5" t="n">
        <v>0</v>
      </c>
      <c r="CD5" t="b">
        <v>1</v>
      </c>
      <c r="CE5" t="n">
        <v>1</v>
      </c>
      <c r="CF5" t="n">
        <v>1</v>
      </c>
      <c r="CH5" t="n">
        <v>30</v>
      </c>
      <c r="CI5" t="inlineStr">
        <is>
          <t>none</t>
        </is>
      </c>
      <c r="CJ5" t="n">
        <v>6</v>
      </c>
      <c r="CK5" t="inlineStr">
        <is>
          <t>Assets/MachineBrigade/Resources/Data/balance.json: vehicles[99]</t>
        </is>
      </c>
      <c r="CL5" t="inlineStr">
        <is>
          <t>{"id":"repair_bay","fort":{"size":"Medium","kind":"Utility"},"static":true,"armour":2,"hp":1600,"speed":0,"turnRate":1,"turretTurnRate":1,"radius":3,"length":6,"width":6,"cp":0,"vision":30,"weapon":"none","aura":{"reach":"Ground","damage":0.1,"hp":0.1}}</t>
        </is>
      </c>
    </row>
  </sheetData>
  <autoFilter ref="A1:CL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60" customWidth="1" min="8" max="8"/>
    <col width="45" customWidth="1" min="9" max="9"/>
  </cols>
  <sheetData>
    <row r="1">
      <c r="A1" s="1" t="inlineStr">
        <is>
          <t>id</t>
        </is>
      </c>
      <c r="B1" s="1" t="inlineStr">
        <is>
          <t>bang</t>
        </is>
      </c>
      <c r="C1" s="1" t="inlineStr">
        <is>
          <t>cap_hq</t>
        </is>
      </c>
      <c r="D1" s="1" t="inlineStr">
        <is>
          <t>large</t>
        </is>
      </c>
      <c r="E1" s="1" t="inlineStr">
        <is>
          <t>medium</t>
        </is>
      </c>
      <c r="F1" s="1" t="inlineStr">
        <is>
          <t>small</t>
        </is>
      </c>
      <c r="G1" s="1" t="inlineStr">
        <is>
          <t>utility</t>
        </is>
      </c>
      <c r="H1" s="1" t="inlineStr">
        <is>
          <t>nguon</t>
        </is>
      </c>
      <c r="I1" s="1" t="inlineStr">
        <is>
          <t>raw_json</t>
        </is>
      </c>
    </row>
    <row r="2">
      <c r="A2" t="inlineStr">
        <is>
          <t>levels/1</t>
        </is>
      </c>
      <c r="B2" t="inlineStr">
        <is>
          <t>levels</t>
        </is>
      </c>
      <c r="C2" t="n">
        <v>1</v>
      </c>
      <c r="D2" t="n">
        <v>0</v>
      </c>
      <c r="E2" t="n">
        <v>1</v>
      </c>
      <c r="F2" t="n">
        <v>3</v>
      </c>
      <c r="G2" t="n">
        <v>1</v>
      </c>
      <c r="H2" t="inlineStr">
        <is>
          <t>Assets/MachineBrigade/Resources/Data/balance.json: base.levels[0]</t>
        </is>
      </c>
      <c r="I2" t="inlineStr">
        <is>
          <t>{"small":3,"medium":1,"large":0,"utility":1}</t>
        </is>
      </c>
    </row>
    <row r="3">
      <c r="A3" t="inlineStr">
        <is>
          <t>levels/2</t>
        </is>
      </c>
      <c r="B3" t="inlineStr">
        <is>
          <t>levels</t>
        </is>
      </c>
      <c r="C3" t="n">
        <v>2</v>
      </c>
      <c r="D3" t="n">
        <v>0</v>
      </c>
      <c r="E3" t="n">
        <v>2</v>
      </c>
      <c r="F3" t="n">
        <v>4</v>
      </c>
      <c r="G3" t="n">
        <v>1</v>
      </c>
      <c r="H3" t="inlineStr">
        <is>
          <t>Assets/MachineBrigade/Resources/Data/balance.json: base.levels[1]</t>
        </is>
      </c>
      <c r="I3" t="inlineStr">
        <is>
          <t>{"small":4,"medium":2,"large":0,"utility":1}</t>
        </is>
      </c>
    </row>
    <row r="4">
      <c r="A4" t="inlineStr">
        <is>
          <t>levels/3</t>
        </is>
      </c>
      <c r="B4" t="inlineStr">
        <is>
          <t>levels</t>
        </is>
      </c>
      <c r="C4" t="n">
        <v>3</v>
      </c>
      <c r="D4" t="n">
        <v>1</v>
      </c>
      <c r="E4" t="n">
        <v>2</v>
      </c>
      <c r="F4" t="n">
        <v>4</v>
      </c>
      <c r="G4" t="n">
        <v>2</v>
      </c>
      <c r="H4" t="inlineStr">
        <is>
          <t>Assets/MachineBrigade/Resources/Data/balance.json: base.levels[2]</t>
        </is>
      </c>
      <c r="I4" t="inlineStr">
        <is>
          <t>{"small":4,"medium":2,"large":1,"utility":2}</t>
        </is>
      </c>
    </row>
    <row r="5">
      <c r="A5" t="inlineStr">
        <is>
          <t>levels/4</t>
        </is>
      </c>
      <c r="B5" t="inlineStr">
        <is>
          <t>levels</t>
        </is>
      </c>
      <c r="C5" t="n">
        <v>4</v>
      </c>
      <c r="D5" t="n">
        <v>1</v>
      </c>
      <c r="E5" t="n">
        <v>3</v>
      </c>
      <c r="F5" t="n">
        <v>5</v>
      </c>
      <c r="G5" t="n">
        <v>2</v>
      </c>
      <c r="H5" t="inlineStr">
        <is>
          <t>Assets/MachineBrigade/Resources/Data/balance.json: base.levels[3]</t>
        </is>
      </c>
      <c r="I5" t="inlineStr">
        <is>
          <t>{"small":5,"medium":3,"large":1,"utility":2}</t>
        </is>
      </c>
    </row>
    <row r="6">
      <c r="A6" t="inlineStr">
        <is>
          <t>levels/5</t>
        </is>
      </c>
      <c r="B6" t="inlineStr">
        <is>
          <t>levels</t>
        </is>
      </c>
      <c r="C6" t="n">
        <v>5</v>
      </c>
      <c r="D6" t="n">
        <v>2</v>
      </c>
      <c r="E6" t="n">
        <v>3</v>
      </c>
      <c r="F6" t="n">
        <v>6</v>
      </c>
      <c r="G6" t="n">
        <v>3</v>
      </c>
      <c r="H6" t="inlineStr">
        <is>
          <t>Assets/MachineBrigade/Resources/Data/balance.json: base.levels[4]</t>
        </is>
      </c>
      <c r="I6" t="inlineStr">
        <is>
          <t>{"small":6,"medium":3,"large":2,"utility":3}</t>
        </is>
      </c>
    </row>
    <row r="7">
      <c r="A7" t="inlineStr">
        <is>
          <t>longLevels/1</t>
        </is>
      </c>
      <c r="B7" t="inlineStr">
        <is>
          <t>longLevels</t>
        </is>
      </c>
      <c r="C7" t="n">
        <v>1</v>
      </c>
      <c r="D7" t="n">
        <v>0</v>
      </c>
      <c r="E7" t="n">
        <v>1</v>
      </c>
      <c r="F7" t="n">
        <v>4</v>
      </c>
      <c r="G7" t="n">
        <v>1</v>
      </c>
      <c r="H7" t="inlineStr">
        <is>
          <t>Assets/MachineBrigade/Resources/Data/balance.json: base.longLevels[0]</t>
        </is>
      </c>
      <c r="I7" t="inlineStr">
        <is>
          <t>{"small":4,"medium":1,"large":0,"utility":1}</t>
        </is>
      </c>
    </row>
    <row r="8">
      <c r="A8" t="inlineStr">
        <is>
          <t>longLevels/2</t>
        </is>
      </c>
      <c r="B8" t="inlineStr">
        <is>
          <t>longLevels</t>
        </is>
      </c>
      <c r="C8" t="n">
        <v>2</v>
      </c>
      <c r="D8" t="n">
        <v>1</v>
      </c>
      <c r="E8" t="n">
        <v>2</v>
      </c>
      <c r="F8" t="n">
        <v>5</v>
      </c>
      <c r="G8" t="n">
        <v>1</v>
      </c>
      <c r="H8" t="inlineStr">
        <is>
          <t>Assets/MachineBrigade/Resources/Data/balance.json: base.longLevels[1]</t>
        </is>
      </c>
      <c r="I8" t="inlineStr">
        <is>
          <t>{"small":5,"medium":2,"large":1,"utility":1}</t>
        </is>
      </c>
    </row>
    <row r="9">
      <c r="A9" t="inlineStr">
        <is>
          <t>longLevels/3</t>
        </is>
      </c>
      <c r="B9" t="inlineStr">
        <is>
          <t>longLevels</t>
        </is>
      </c>
      <c r="C9" t="n">
        <v>3</v>
      </c>
      <c r="D9" t="n">
        <v>1</v>
      </c>
      <c r="E9" t="n">
        <v>3</v>
      </c>
      <c r="F9" t="n">
        <v>6</v>
      </c>
      <c r="G9" t="n">
        <v>2</v>
      </c>
      <c r="H9" t="inlineStr">
        <is>
          <t>Assets/MachineBrigade/Resources/Data/balance.json: base.longLevels[2]</t>
        </is>
      </c>
      <c r="I9" t="inlineStr">
        <is>
          <t>{"small":6,"medium":3,"large":1,"utility":2}</t>
        </is>
      </c>
    </row>
    <row r="10">
      <c r="A10" t="inlineStr">
        <is>
          <t>longLevels/4</t>
        </is>
      </c>
      <c r="B10" t="inlineStr">
        <is>
          <t>longLevels</t>
        </is>
      </c>
      <c r="C10" t="n">
        <v>4</v>
      </c>
      <c r="D10" t="n">
        <v>2</v>
      </c>
      <c r="E10" t="n">
        <v>4</v>
      </c>
      <c r="F10" t="n">
        <v>7</v>
      </c>
      <c r="G10" t="n">
        <v>3</v>
      </c>
      <c r="H10" t="inlineStr">
        <is>
          <t>Assets/MachineBrigade/Resources/Data/balance.json: base.longLevels[3]</t>
        </is>
      </c>
      <c r="I10" t="inlineStr">
        <is>
          <t>{"small":7,"medium":4,"large":2,"utility":3}</t>
        </is>
      </c>
    </row>
    <row r="11">
      <c r="A11" t="inlineStr">
        <is>
          <t>longLevels/5</t>
        </is>
      </c>
      <c r="B11" t="inlineStr">
        <is>
          <t>longLevels</t>
        </is>
      </c>
      <c r="C11" t="n">
        <v>5</v>
      </c>
      <c r="D11" t="n">
        <v>3</v>
      </c>
      <c r="E11" t="n">
        <v>5</v>
      </c>
      <c r="F11" t="n">
        <v>8</v>
      </c>
      <c r="G11" t="n">
        <v>4</v>
      </c>
      <c r="H11" t="inlineStr">
        <is>
          <t>Assets/MachineBrigade/Resources/Data/balance.json: base.longLevels[4]</t>
        </is>
      </c>
      <c r="I11" t="inlineStr">
        <is>
          <t>{"small":8,"medium":5,"large":3,"utility":4}</t>
        </is>
      </c>
    </row>
  </sheetData>
  <autoFilter ref="A1:I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60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cooldown_s</t>
        </is>
      </c>
      <c r="C1" s="1" t="inlineStr">
        <is>
          <t>cp</t>
        </is>
      </c>
      <c r="D1" s="1" t="inlineStr">
        <is>
          <t>drop</t>
        </is>
      </c>
      <c r="E1" s="1" t="inlineStr">
        <is>
          <t>nguon</t>
        </is>
      </c>
      <c r="F1" s="1" t="inlineStr">
        <is>
          <t>raw_json</t>
        </is>
      </c>
    </row>
    <row r="2">
      <c r="A2" t="inlineStr">
        <is>
          <t>large</t>
        </is>
      </c>
      <c r="B2" t="n">
        <v>60</v>
      </c>
      <c r="C2" t="n">
        <v>7</v>
      </c>
      <c r="D2" t="n">
        <v>5</v>
      </c>
      <c r="E2" t="inlineStr">
        <is>
          <t>Assets/MachineBrigade/Resources/Data/balance.json: base.rebuild.large</t>
        </is>
      </c>
      <c r="F2" t="inlineStr">
        <is>
          <t>{"cp":7,"cooldown":60,"drop":5}</t>
        </is>
      </c>
    </row>
    <row r="3">
      <c r="A3" t="inlineStr">
        <is>
          <t>medium</t>
        </is>
      </c>
      <c r="B3" t="n">
        <v>40</v>
      </c>
      <c r="C3" t="n">
        <v>4</v>
      </c>
      <c r="D3" t="n">
        <v>3.5</v>
      </c>
      <c r="E3" t="inlineStr">
        <is>
          <t>Assets/MachineBrigade/Resources/Data/balance.json: base.rebuild.medium</t>
        </is>
      </c>
      <c r="F3" t="inlineStr">
        <is>
          <t>{"cp":4,"cooldown":40,"drop":3.5}</t>
        </is>
      </c>
    </row>
    <row r="4">
      <c r="A4" t="inlineStr">
        <is>
          <t>small</t>
        </is>
      </c>
      <c r="B4" t="n">
        <v>25</v>
      </c>
      <c r="C4" t="n">
        <v>2</v>
      </c>
      <c r="D4" t="n">
        <v>2.5</v>
      </c>
      <c r="E4" t="inlineStr">
        <is>
          <t>Assets/MachineBrigade/Resources/Data/balance.json: base.rebuild.small</t>
        </is>
      </c>
      <c r="F4" t="inlineStr">
        <is>
          <t>{"cp":2,"cooldown":25,"drop":2.5}</t>
        </is>
      </c>
    </row>
  </sheetData>
  <autoFilter ref="A1:F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7" customWidth="1" min="2" max="2"/>
    <col width="15" customWidth="1" min="3" max="3"/>
    <col width="12" customWidth="1" min="4" max="4"/>
    <col width="60" customWidth="1" min="5" max="5"/>
    <col width="8" customWidth="1" min="6" max="6"/>
    <col width="60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base.roster</t>
        </is>
      </c>
      <c r="B2" t="inlineStr">
        <is>
          <t>base.roster</t>
        </is>
      </c>
      <c r="C2" t="inlineStr"/>
      <c r="E2" t="inlineStr">
        <is>
          <t>guard_tower;mg_bunker;aa_turret;ew_tower;cp_relay;atgm_tower;gun_turret;c_ram;rocket_turret;laser_ad_station;heavy_turret;missile_battery;drone_hangar;shield_tower;vehicle_hangar;aircraft_hangar</t>
        </is>
      </c>
      <c r="F2" t="inlineStr"/>
      <c r="G2" t="inlineStr">
        <is>
          <t>Assets/MachineBrigade/Resources/Data/balance.json: base.roster</t>
        </is>
      </c>
      <c r="H2" t="inlineStr">
        <is>
          <t>["guard_tower","mg_bunker","aa_turret","ew_tower","cp_relay","atgm_tower","gun_turret","c_ram","rocket_turret","laser_ad_station","heavy_turret","missile_battery","drone_hangar","shield_tower","vehicle_hangar","aircraft_hangar"]</t>
        </is>
      </c>
    </row>
    <row r="3">
      <c r="A3" t="inlineStr">
        <is>
          <t>longForward.medium</t>
        </is>
      </c>
      <c r="B3" t="inlineStr">
        <is>
          <t>base.longForward</t>
        </is>
      </c>
      <c r="C3" t="inlineStr">
        <is>
          <t>medium</t>
        </is>
      </c>
      <c r="D3" t="n">
        <v>2</v>
      </c>
      <c r="F3" t="inlineStr"/>
      <c r="G3" t="inlineStr">
        <is>
          <t>Assets/MachineBrigade/Resources/Data/balance.json: base.longForward.medium</t>
        </is>
      </c>
      <c r="H3" t="inlineStr">
        <is>
          <t>2</t>
        </is>
      </c>
    </row>
    <row r="4">
      <c r="A4" t="inlineStr">
        <is>
          <t>longForward.small</t>
        </is>
      </c>
      <c r="B4" t="inlineStr">
        <is>
          <t>base.longForward</t>
        </is>
      </c>
      <c r="C4" t="inlineStr">
        <is>
          <t>small</t>
        </is>
      </c>
      <c r="D4" t="n">
        <v>6</v>
      </c>
      <c r="F4" t="inlineStr"/>
      <c r="G4" t="inlineStr">
        <is>
          <t>Assets/MachineBrigade/Resources/Data/balance.json: base.longForward.small</t>
        </is>
      </c>
      <c r="H4" t="inlineStr">
        <is>
          <t>6</t>
        </is>
      </c>
    </row>
    <row r="5">
      <c r="A5" t="inlineStr">
        <is>
          <t>outpost.cp</t>
        </is>
      </c>
      <c r="B5" t="inlineStr">
        <is>
          <t>base.outpost</t>
        </is>
      </c>
      <c r="C5" t="inlineStr">
        <is>
          <t>cp</t>
        </is>
      </c>
      <c r="D5" t="n">
        <v>6</v>
      </c>
      <c r="F5" t="inlineStr">
        <is>
          <t>CP</t>
        </is>
      </c>
      <c r="G5" t="inlineStr">
        <is>
          <t>Assets/MachineBrigade/Resources/Data/balance.json: base.outpost.cp</t>
        </is>
      </c>
      <c r="H5" t="inlineStr">
        <is>
          <t>6</t>
        </is>
      </c>
    </row>
    <row r="6">
      <c r="A6" t="inlineStr">
        <is>
          <t>outpost.slots</t>
        </is>
      </c>
      <c r="B6" t="inlineStr">
        <is>
          <t>base.outpost</t>
        </is>
      </c>
      <c r="C6" t="inlineStr">
        <is>
          <t>slots</t>
        </is>
      </c>
      <c r="D6" t="n">
        <v>2</v>
      </c>
      <c r="F6" t="inlineStr"/>
      <c r="G6" t="inlineStr">
        <is>
          <t>Assets/MachineBrigade/Resources/Data/balance.json: base.outpost.slots</t>
        </is>
      </c>
      <c r="H6" t="inlineStr">
        <is>
          <t>2</t>
        </is>
      </c>
    </row>
    <row r="7">
      <c r="A7" t="inlineStr">
        <is>
          <t>rebuild.delay</t>
        </is>
      </c>
      <c r="B7" t="inlineStr">
        <is>
          <t>base.rebuild</t>
        </is>
      </c>
      <c r="C7" t="inlineStr">
        <is>
          <t>delay</t>
        </is>
      </c>
      <c r="D7" t="n">
        <v>4</v>
      </c>
      <c r="F7" t="inlineStr">
        <is>
          <t>s</t>
        </is>
      </c>
      <c r="G7" t="inlineStr">
        <is>
          <t>Assets/MachineBrigade/Resources/Data/balance.json: base.rebuild.delay</t>
        </is>
      </c>
      <c r="H7" t="inlineStr">
        <is>
          <t>4</t>
        </is>
      </c>
    </row>
    <row r="8">
      <c r="A8" t="inlineStr">
        <is>
          <t>rebuild.enemyRadius</t>
        </is>
      </c>
      <c r="B8" t="inlineStr">
        <is>
          <t>base.rebuild</t>
        </is>
      </c>
      <c r="C8" t="inlineStr">
        <is>
          <t>enemyRadius</t>
        </is>
      </c>
      <c r="D8" t="n">
        <v>20</v>
      </c>
      <c r="F8" t="inlineStr">
        <is>
          <t>m</t>
        </is>
      </c>
      <c r="G8" t="inlineStr">
        <is>
          <t>Assets/MachineBrigade/Resources/Data/balance.json: base.rebuild.enemyRadius</t>
        </is>
      </c>
      <c r="H8" t="inlineStr">
        <is>
          <t>20</t>
        </is>
      </c>
    </row>
    <row r="9">
      <c r="A9" t="inlineStr">
        <is>
          <t>rebuild.hqRescue</t>
        </is>
      </c>
      <c r="B9" t="inlineStr">
        <is>
          <t>base.rebuild</t>
        </is>
      </c>
      <c r="C9" t="inlineStr">
        <is>
          <t>hqRescue</t>
        </is>
      </c>
      <c r="D9" t="n">
        <v>0.25</v>
      </c>
      <c r="F9" t="inlineStr"/>
      <c r="G9" t="inlineStr">
        <is>
          <t>Assets/MachineBrigade/Resources/Data/balance.json: base.rebuild.hqRescue</t>
        </is>
      </c>
      <c r="H9" t="inlineStr">
        <is>
          <t>0.25</t>
        </is>
      </c>
    </row>
    <row r="10">
      <c r="A10" t="inlineStr">
        <is>
          <t>rebuild.showdownCutoff</t>
        </is>
      </c>
      <c r="B10" t="inlineStr">
        <is>
          <t>base.rebuild</t>
        </is>
      </c>
      <c r="C10" t="inlineStr">
        <is>
          <t>showdownCutoff</t>
        </is>
      </c>
      <c r="D10" t="n">
        <v>600</v>
      </c>
      <c r="F10" t="inlineStr">
        <is>
          <t>s</t>
        </is>
      </c>
      <c r="G10" t="inlineStr">
        <is>
          <t>Assets/MachineBrigade/Resources/Data/balance.json: base.rebuild.showdownCutoff</t>
        </is>
      </c>
      <c r="H10" t="inlineStr">
        <is>
          <t>600</t>
        </is>
      </c>
    </row>
    <row r="11">
      <c r="A11" t="inlineStr">
        <is>
          <t>roles.Assault</t>
        </is>
      </c>
      <c r="B11" t="inlineStr">
        <is>
          <t>base.roles</t>
        </is>
      </c>
      <c r="C11" t="inlineStr">
        <is>
          <t>Assault</t>
        </is>
      </c>
      <c r="E11" t="inlineStr">
        <is>
          <t>Target</t>
        </is>
      </c>
      <c r="F11" t="inlineStr"/>
      <c r="G11" t="inlineStr">
        <is>
          <t>Assets/MachineBrigade/Resources/Data/balance.json: base.roles.Assault</t>
        </is>
      </c>
      <c r="H11" t="inlineStr">
        <is>
          <t>"Target"</t>
        </is>
      </c>
    </row>
    <row r="12">
      <c r="A12" t="inlineStr">
        <is>
          <t>roles.BossRush</t>
        </is>
      </c>
      <c r="B12" t="inlineStr">
        <is>
          <t>base.roles</t>
        </is>
      </c>
      <c r="C12" t="inlineStr">
        <is>
          <t>BossRush</t>
        </is>
      </c>
      <c r="E12" t="inlineStr">
        <is>
          <t>None</t>
        </is>
      </c>
      <c r="F12" t="inlineStr"/>
      <c r="G12" t="inlineStr">
        <is>
          <t>Assets/MachineBrigade/Resources/Data/balance.json: base.roles.BossRush</t>
        </is>
      </c>
      <c r="H12" t="inlineStr">
        <is>
          <t>"None"</t>
        </is>
      </c>
    </row>
    <row r="13">
      <c r="A13" t="inlineStr">
        <is>
          <t>roles.Campaign</t>
        </is>
      </c>
      <c r="B13" t="inlineStr">
        <is>
          <t>base.roles</t>
        </is>
      </c>
      <c r="C13" t="inlineStr">
        <is>
          <t>Campaign</t>
        </is>
      </c>
      <c r="E13" t="inlineStr">
        <is>
          <t>None</t>
        </is>
      </c>
      <c r="F13" t="inlineStr"/>
      <c r="G13" t="inlineStr">
        <is>
          <t>Assets/MachineBrigade/Resources/Data/balance.json: base.roles.Campaign</t>
        </is>
      </c>
      <c r="H13" t="inlineStr">
        <is>
          <t>"None"</t>
        </is>
      </c>
    </row>
    <row r="14">
      <c r="A14" t="inlineStr">
        <is>
          <t>roles.Conquest</t>
        </is>
      </c>
      <c r="B14" t="inlineStr">
        <is>
          <t>base.roles</t>
        </is>
      </c>
      <c r="C14" t="inlineStr">
        <is>
          <t>Conquest</t>
        </is>
      </c>
      <c r="E14" t="inlineStr">
        <is>
          <t>Anchor</t>
        </is>
      </c>
      <c r="F14" t="inlineStr"/>
      <c r="G14" t="inlineStr">
        <is>
          <t>Assets/MachineBrigade/Resources/Data/balance.json: base.roles.Conquest</t>
        </is>
      </c>
      <c r="H14" t="inlineStr">
        <is>
          <t>"Anchor"</t>
        </is>
      </c>
    </row>
    <row r="15">
      <c r="A15" t="inlineStr">
        <is>
          <t>roles.Deathmatch</t>
        </is>
      </c>
      <c r="B15" t="inlineStr">
        <is>
          <t>base.roles</t>
        </is>
      </c>
      <c r="C15" t="inlineStr">
        <is>
          <t>Deathmatch</t>
        </is>
      </c>
      <c r="E15" t="inlineStr">
        <is>
          <t>Anchor</t>
        </is>
      </c>
      <c r="F15" t="inlineStr"/>
      <c r="G15" t="inlineStr">
        <is>
          <t>Assets/MachineBrigade/Resources/Data/balance.json: base.roles.Deathmatch</t>
        </is>
      </c>
      <c r="H15" t="inlineStr">
        <is>
          <t>"Anchor"</t>
        </is>
      </c>
    </row>
    <row r="16">
      <c r="A16" t="inlineStr">
        <is>
          <t>roles.Defend</t>
        </is>
      </c>
      <c r="B16" t="inlineStr">
        <is>
          <t>base.roles</t>
        </is>
      </c>
      <c r="C16" t="inlineStr">
        <is>
          <t>Defend</t>
        </is>
      </c>
      <c r="E16" t="inlineStr">
        <is>
          <t>Defend</t>
        </is>
      </c>
      <c r="F16" t="inlineStr"/>
      <c r="G16" t="inlineStr">
        <is>
          <t>Assets/MachineBrigade/Resources/Data/balance.json: base.roles.Defend</t>
        </is>
      </c>
      <c r="H16" t="inlineStr">
        <is>
          <t>"Defend"</t>
        </is>
      </c>
    </row>
    <row r="17">
      <c r="A17" t="inlineStr">
        <is>
          <t>roles.Endless</t>
        </is>
      </c>
      <c r="B17" t="inlineStr">
        <is>
          <t>base.roles</t>
        </is>
      </c>
      <c r="C17" t="inlineStr">
        <is>
          <t>Endless</t>
        </is>
      </c>
      <c r="E17" t="inlineStr">
        <is>
          <t>Defend</t>
        </is>
      </c>
      <c r="F17" t="inlineStr"/>
      <c r="G17" t="inlineStr">
        <is>
          <t>Assets/MachineBrigade/Resources/Data/balance.json: base.roles.Endless</t>
        </is>
      </c>
      <c r="H17" t="inlineStr">
        <is>
          <t>"Defend"</t>
        </is>
      </c>
    </row>
    <row r="18">
      <c r="A18" t="inlineStr">
        <is>
          <t>roles.KingOfTheHill</t>
        </is>
      </c>
      <c r="B18" t="inlineStr">
        <is>
          <t>base.roles</t>
        </is>
      </c>
      <c r="C18" t="inlineStr">
        <is>
          <t>KingOfTheHill</t>
        </is>
      </c>
      <c r="E18" t="inlineStr">
        <is>
          <t>Anchor</t>
        </is>
      </c>
      <c r="F18" t="inlineStr"/>
      <c r="G18" t="inlineStr">
        <is>
          <t>Assets/MachineBrigade/Resources/Data/balance.json: base.roles.KingOfTheHill</t>
        </is>
      </c>
      <c r="H18" t="inlineStr">
        <is>
          <t>"Anchor"</t>
        </is>
      </c>
    </row>
    <row r="19">
      <c r="A19" t="inlineStr">
        <is>
          <t>roles.Showdown</t>
        </is>
      </c>
      <c r="B19" t="inlineStr">
        <is>
          <t>base.roles</t>
        </is>
      </c>
      <c r="C19" t="inlineStr">
        <is>
          <t>Showdown</t>
        </is>
      </c>
      <c r="E19" t="inlineStr">
        <is>
          <t>Target</t>
        </is>
      </c>
      <c r="F19" t="inlineStr"/>
      <c r="G19" t="inlineStr">
        <is>
          <t>Assets/MachineBrigade/Resources/Data/balance.json: base.roles.Showdown</t>
        </is>
      </c>
      <c r="H19" t="inlineStr">
        <is>
          <t>"Target"</t>
        </is>
      </c>
    </row>
    <row r="20">
      <c r="A20" t="inlineStr">
        <is>
          <t>roles.Siege</t>
        </is>
      </c>
      <c r="B20" t="inlineStr">
        <is>
          <t>base.roles</t>
        </is>
      </c>
      <c r="C20" t="inlineStr">
        <is>
          <t>Siege</t>
        </is>
      </c>
      <c r="E20" t="inlineStr">
        <is>
          <t>Target</t>
        </is>
      </c>
      <c r="F20" t="inlineStr"/>
      <c r="G20" t="inlineStr">
        <is>
          <t>Assets/MachineBrigade/Resources/Data/balance.json: base.roles.Siege</t>
        </is>
      </c>
      <c r="H20" t="inlineStr">
        <is>
          <t>"Target"</t>
        </is>
      </c>
    </row>
    <row r="21">
      <c r="A21" t="inlineStr">
        <is>
          <t>roles.Survival</t>
        </is>
      </c>
      <c r="B21" t="inlineStr">
        <is>
          <t>base.roles</t>
        </is>
      </c>
      <c r="C21" t="inlineStr">
        <is>
          <t>Survival</t>
        </is>
      </c>
      <c r="E21" t="inlineStr">
        <is>
          <t>None</t>
        </is>
      </c>
      <c r="F21" t="inlineStr"/>
      <c r="G21" t="inlineStr">
        <is>
          <t>Assets/MachineBrigade/Resources/Data/balance.json: base.roles.Survival</t>
        </is>
      </c>
      <c r="H21" t="inlineStr">
        <is>
          <t>"None"</t>
        </is>
      </c>
    </row>
    <row r="22">
      <c r="A22" t="inlineStr">
        <is>
          <t>roles.Weekly</t>
        </is>
      </c>
      <c r="B22" t="inlineStr">
        <is>
          <t>base.roles</t>
        </is>
      </c>
      <c r="C22" t="inlineStr">
        <is>
          <t>Weekly</t>
        </is>
      </c>
      <c r="E22" t="inlineStr">
        <is>
          <t>Target</t>
        </is>
      </c>
      <c r="F22" t="inlineStr"/>
      <c r="G22" t="inlineStr">
        <is>
          <t>Assets/MachineBrigade/Resources/Data/balance.json: base.roles.Weekly</t>
        </is>
      </c>
      <c r="H22" t="inlineStr">
        <is>
          <t>"Target"</t>
        </is>
      </c>
    </row>
  </sheetData>
  <autoFilter ref="A1:H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0" customWidth="1" min="2" max="2"/>
    <col width="36" customWidth="1" min="3" max="3"/>
    <col width="29" customWidth="1" min="4" max="4"/>
    <col width="38" customWidth="1" min="5" max="5"/>
    <col width="14" customWidth="1" min="6" max="6"/>
    <col width="27" customWidth="1" min="7" max="7"/>
    <col width="8" customWidth="1" min="8" max="8"/>
    <col width="60" customWidth="1" min="9" max="9"/>
    <col width="60" customWidth="1" min="10" max="10"/>
  </cols>
  <sheetData>
    <row r="1">
      <c r="A1" s="1" t="inlineStr">
        <is>
          <t>id</t>
        </is>
      </c>
      <c r="B1" s="1" t="inlineStr">
        <is>
          <t>small</t>
        </is>
      </c>
      <c r="C1" s="1" t="inlineStr">
        <is>
          <t>medium</t>
        </is>
      </c>
      <c r="D1" s="1" t="inlineStr">
        <is>
          <t>large</t>
        </is>
      </c>
      <c r="E1" s="1" t="inlineStr">
        <is>
          <t>utilities</t>
        </is>
      </c>
      <c r="F1" s="1" t="inlineStr">
        <is>
          <t>he_so_do_kho</t>
        </is>
      </c>
      <c r="G1" s="1" t="inlineStr">
        <is>
          <t>duong_cong_dot</t>
        </is>
      </c>
      <c r="H1" s="1" t="inlineStr">
        <is>
          <t>cap_hq</t>
        </is>
      </c>
      <c r="I1" s="1" t="inlineStr">
        <is>
          <t>nguon</t>
        </is>
      </c>
      <c r="J1" s="1" t="inlineStr">
        <is>
          <t>raw_json</t>
        </is>
      </c>
    </row>
    <row r="2">
      <c r="A2" t="inlineStr">
        <is>
          <t>hq1</t>
        </is>
      </c>
      <c r="B2" t="inlineStr">
        <is>
          <t>guard_tower;mg_bunker;aa_turret</t>
        </is>
      </c>
      <c r="C2" t="inlineStr">
        <is>
          <t>gun_turret</t>
        </is>
      </c>
      <c r="E2" t="inlineStr">
        <is>
          <t>repair_bay</t>
        </is>
      </c>
      <c r="F2" t="n">
        <v>0.75</v>
      </c>
      <c r="G2" t="inlineStr">
        <is>
          <t>2;4;5;6;8;9;10;12;13;14</t>
        </is>
      </c>
      <c r="H2" t="n">
        <v>1</v>
      </c>
      <c r="I2" t="inlineStr">
        <is>
          <t>Assets/MachineBrigade/Resources/Data/balance.json: base.reference[0]</t>
        </is>
      </c>
      <c r="J2" t="inlineStr">
        <is>
          <t>{"level":1,"small":["guard_tower","mg_bunker","aa_turret"],"medium":["gun_turret"],"utilities":["repair_bay"]}</t>
        </is>
      </c>
    </row>
    <row r="3">
      <c r="A3" t="inlineStr">
        <is>
          <t>hq2</t>
        </is>
      </c>
      <c r="B3" t="inlineStr">
        <is>
          <t>guard_tower;mg_bunker;aa_turret;mg_bunker</t>
        </is>
      </c>
      <c r="C3" t="inlineStr">
        <is>
          <t>gun_turret;atgm_tower</t>
        </is>
      </c>
      <c r="E3" t="inlineStr">
        <is>
          <t>repair_bay</t>
        </is>
      </c>
      <c r="F3" t="n">
        <v>0.8722</v>
      </c>
      <c r="G3" t="inlineStr">
        <is>
          <t>3;4;6;7;9;10;12;14;15;17</t>
        </is>
      </c>
      <c r="H3" t="n">
        <v>2</v>
      </c>
      <c r="I3" t="inlineStr">
        <is>
          <t>Assets/MachineBrigade/Resources/Data/balance.json: base.reference[1]</t>
        </is>
      </c>
      <c r="J3" t="inlineStr">
        <is>
          <t>{"level":2,"small":["guard_tower","mg_bunker","aa_turret","mg_bunker"],"medium":["gun_turret","atgm_tower"],"utilities":["repair_bay"]}</t>
        </is>
      </c>
    </row>
    <row r="4">
      <c r="A4" t="inlineStr">
        <is>
          <t>hq3</t>
        </is>
      </c>
      <c r="B4" t="inlineStr">
        <is>
          <t>guard_tower;mg_bunker;aa_turret;mg_bunker</t>
        </is>
      </c>
      <c r="C4" t="inlineStr">
        <is>
          <t>gun_turret;rocket_turret</t>
        </is>
      </c>
      <c r="D4" t="inlineStr">
        <is>
          <t>heavy_turret</t>
        </is>
      </c>
      <c r="E4" t="inlineStr">
        <is>
          <t>repair_bay;logistics_station</t>
        </is>
      </c>
      <c r="F4" t="n">
        <v>1.0414</v>
      </c>
      <c r="G4" t="inlineStr">
        <is>
          <t>3;5;7;9;11;12;14;16;18;20</t>
        </is>
      </c>
      <c r="H4" t="n">
        <v>3</v>
      </c>
      <c r="I4" t="inlineStr">
        <is>
          <t>Assets/MachineBrigade/Resources/Data/balance.json: base.reference[2]</t>
        </is>
      </c>
      <c r="J4" t="inlineStr">
        <is>
          <t>{"level":3,"small":["guard_tower","mg_bunker","aa_turret","mg_bunker"],"medium":["gun_turret","rocket_turret"],"large":["heavy_turret"],"utilities":["repair_bay","logistics_station"]}</t>
        </is>
      </c>
    </row>
    <row r="5">
      <c r="A5" t="inlineStr">
        <is>
          <t>hq4</t>
        </is>
      </c>
      <c r="B5" t="inlineStr">
        <is>
          <t>guard_tower;mg_bunker;aa_turret;mg_bunker;guard_tower</t>
        </is>
      </c>
      <c r="C5" t="inlineStr">
        <is>
          <t>gun_turret;atgm_tower;rocket_turret</t>
        </is>
      </c>
      <c r="D5" t="inlineStr">
        <is>
          <t>heavy_turret</t>
        </is>
      </c>
      <c r="E5" t="inlineStr">
        <is>
          <t>repair_bay;logistics_station</t>
        </is>
      </c>
      <c r="F5" t="n">
        <v>1.1887</v>
      </c>
      <c r="G5" t="inlineStr">
        <is>
          <t>4;6;8;10;12;14;16;19;21;23</t>
        </is>
      </c>
      <c r="H5" t="n">
        <v>4</v>
      </c>
      <c r="I5" t="inlineStr">
        <is>
          <t>Assets/MachineBrigade/Resources/Data/balance.json: base.reference[3]</t>
        </is>
      </c>
      <c r="J5" t="inlineStr">
        <is>
          <t>{"level":4,"small":["guard_tower","mg_bunker","aa_turret","mg_bunker","guard_tower"],"medium":["gun_turret","atgm_tower","rocket_turret"],"large":["heavy_turret"],"utilities":["repair_bay","logistics_station"]}</t>
        </is>
      </c>
    </row>
    <row r="6">
      <c r="A6" t="inlineStr">
        <is>
          <t>hq5</t>
        </is>
      </c>
      <c r="B6" t="inlineStr">
        <is>
          <t>guard_tower;mg_bunker;aa_turret;mg_bunker;guard_tower;ew_tower</t>
        </is>
      </c>
      <c r="C6" t="inlineStr">
        <is>
          <t>gun_turret;atgm_tower;c_ram</t>
        </is>
      </c>
      <c r="D6" t="inlineStr">
        <is>
          <t>heavy_turret;missile_battery</t>
        </is>
      </c>
      <c r="E6" t="inlineStr">
        <is>
          <t>repair_bay;logistics_station;airfield</t>
        </is>
      </c>
      <c r="F6" t="n">
        <v>1.3554</v>
      </c>
      <c r="G6" t="inlineStr">
        <is>
          <t>4;7;9;11;14;16;19;21;24;26</t>
        </is>
      </c>
      <c r="H6" t="n">
        <v>5</v>
      </c>
      <c r="I6" t="inlineStr">
        <is>
          <t>Assets/MachineBrigade/Resources/Data/balance.json: base.reference[4]</t>
        </is>
      </c>
      <c r="J6" t="inlineStr">
        <is>
          <t>{"level":5,"small":["guard_tower","mg_bunker","aa_turret","mg_bunker","guard_tower","ew_tower"],"medium":["gun_turret","atgm_tower","c_ram"],"large":["heavy_turret","missile_battery"],"utilities":["repair_bay","logistics_station","airfield"]}</t>
        </is>
      </c>
    </row>
  </sheetData>
  <autoFilter ref="A1:J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10" customWidth="1" min="4" max="4"/>
    <col width="60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kieu</t>
        </is>
      </c>
      <c r="C1" s="1" t="inlineStr">
        <is>
          <t>thap</t>
        </is>
      </c>
      <c r="D1" s="1" t="inlineStr">
        <is>
          <t>trong_so</t>
        </is>
      </c>
      <c r="E1" s="1" t="inlineStr">
        <is>
          <t>nguon</t>
        </is>
      </c>
      <c r="F1" s="1" t="inlineStr">
        <is>
          <t>raw_json</t>
        </is>
      </c>
    </row>
    <row r="2">
      <c r="A2" t="inlineStr">
        <is>
          <t>air/aa_turret</t>
        </is>
      </c>
      <c r="B2" t="inlineStr">
        <is>
          <t>air</t>
        </is>
      </c>
      <c r="C2" t="inlineStr">
        <is>
          <t>aa_turret</t>
        </is>
      </c>
      <c r="D2" t="n">
        <v>2</v>
      </c>
      <c r="E2" t="inlineStr">
        <is>
          <t>Assets/MachineBrigade/Resources/Data/balance.json: base.ai.styles.air.aa_turret</t>
        </is>
      </c>
      <c r="F2" t="inlineStr">
        <is>
          <t>2.0</t>
        </is>
      </c>
    </row>
    <row r="3">
      <c r="A3" t="inlineStr">
        <is>
          <t>air/c_ram</t>
        </is>
      </c>
      <c r="B3" t="inlineStr">
        <is>
          <t>air</t>
        </is>
      </c>
      <c r="C3" t="inlineStr">
        <is>
          <t>c_ram</t>
        </is>
      </c>
      <c r="D3" t="n">
        <v>1.2</v>
      </c>
      <c r="E3" t="inlineStr">
        <is>
          <t>Assets/MachineBrigade/Resources/Data/balance.json: base.ai.styles.air.c_ram</t>
        </is>
      </c>
      <c r="F3" t="inlineStr">
        <is>
          <t>1.2</t>
        </is>
      </c>
    </row>
    <row r="4">
      <c r="A4" t="inlineStr">
        <is>
          <t>air/fire_control_centre</t>
        </is>
      </c>
      <c r="B4" t="inlineStr">
        <is>
          <t>air</t>
        </is>
      </c>
      <c r="C4" t="inlineStr">
        <is>
          <t>fire_control_centre</t>
        </is>
      </c>
      <c r="D4" t="n">
        <v>1</v>
      </c>
      <c r="E4" t="inlineStr">
        <is>
          <t>Assets/MachineBrigade/Resources/Data/balance.json: base.ai.styles.air.fire_control_centre</t>
        </is>
      </c>
      <c r="F4" t="inlineStr">
        <is>
          <t>1.0</t>
        </is>
      </c>
    </row>
    <row r="5">
      <c r="A5" t="inlineStr">
        <is>
          <t>air/guard_tower</t>
        </is>
      </c>
      <c r="B5" t="inlineStr">
        <is>
          <t>air</t>
        </is>
      </c>
      <c r="C5" t="inlineStr">
        <is>
          <t>guard_tower</t>
        </is>
      </c>
      <c r="D5" t="n">
        <v>0.8</v>
      </c>
      <c r="E5" t="inlineStr">
        <is>
          <t>Assets/MachineBrigade/Resources/Data/balance.json: base.ai.styles.air.guard_tower</t>
        </is>
      </c>
      <c r="F5" t="inlineStr">
        <is>
          <t>0.8</t>
        </is>
      </c>
    </row>
    <row r="6">
      <c r="A6" t="inlineStr">
        <is>
          <t>air/laser_ad_station</t>
        </is>
      </c>
      <c r="B6" t="inlineStr">
        <is>
          <t>air</t>
        </is>
      </c>
      <c r="C6" t="inlineStr">
        <is>
          <t>laser_ad_station</t>
        </is>
      </c>
      <c r="D6" t="n">
        <v>1</v>
      </c>
      <c r="E6" t="inlineStr">
        <is>
          <t>Assets/MachineBrigade/Resources/Data/balance.json: base.ai.styles.air.laser_ad_station</t>
        </is>
      </c>
      <c r="F6" t="inlineStr">
        <is>
          <t>1.0</t>
        </is>
      </c>
    </row>
    <row r="7">
      <c r="A7" t="inlineStr">
        <is>
          <t>air/missile_battery</t>
        </is>
      </c>
      <c r="B7" t="inlineStr">
        <is>
          <t>air</t>
        </is>
      </c>
      <c r="C7" t="inlineStr">
        <is>
          <t>missile_battery</t>
        </is>
      </c>
      <c r="D7" t="n">
        <v>1.6</v>
      </c>
      <c r="E7" t="inlineStr">
        <is>
          <t>Assets/MachineBrigade/Resources/Data/balance.json: base.ai.styles.air.missile_battery</t>
        </is>
      </c>
      <c r="F7" t="inlineStr">
        <is>
          <t>1.6</t>
        </is>
      </c>
    </row>
    <row r="8">
      <c r="A8" t="inlineStr">
        <is>
          <t>armour/aa_turret</t>
        </is>
      </c>
      <c r="B8" t="inlineStr">
        <is>
          <t>armour</t>
        </is>
      </c>
      <c r="C8" t="inlineStr">
        <is>
          <t>aa_turret</t>
        </is>
      </c>
      <c r="D8" t="n">
        <v>0.8</v>
      </c>
      <c r="E8" t="inlineStr">
        <is>
          <t>Assets/MachineBrigade/Resources/Data/balance.json: base.ai.styles.armour.aa_turret</t>
        </is>
      </c>
      <c r="F8" t="inlineStr">
        <is>
          <t>0.8</t>
        </is>
      </c>
    </row>
    <row r="9">
      <c r="A9" t="inlineStr">
        <is>
          <t>armour/fire_control_centre</t>
        </is>
      </c>
      <c r="B9" t="inlineStr">
        <is>
          <t>armour</t>
        </is>
      </c>
      <c r="C9" t="inlineStr">
        <is>
          <t>fire_control_centre</t>
        </is>
      </c>
      <c r="D9" t="n">
        <v>1</v>
      </c>
      <c r="E9" t="inlineStr">
        <is>
          <t>Assets/MachineBrigade/Resources/Data/balance.json: base.ai.styles.armour.fire_control_centre</t>
        </is>
      </c>
      <c r="F9" t="inlineStr">
        <is>
          <t>1.0</t>
        </is>
      </c>
    </row>
    <row r="10">
      <c r="A10" t="inlineStr">
        <is>
          <t>armour/guard_tower</t>
        </is>
      </c>
      <c r="B10" t="inlineStr">
        <is>
          <t>armour</t>
        </is>
      </c>
      <c r="C10" t="inlineStr">
        <is>
          <t>guard_tower</t>
        </is>
      </c>
      <c r="D10" t="n">
        <v>0.6</v>
      </c>
      <c r="E10" t="inlineStr">
        <is>
          <t>Assets/MachineBrigade/Resources/Data/balance.json: base.ai.styles.armour.guard_tower</t>
        </is>
      </c>
      <c r="F10" t="inlineStr">
        <is>
          <t>0.6</t>
        </is>
      </c>
    </row>
    <row r="11">
      <c r="A11" t="inlineStr">
        <is>
          <t>armour/gun_turret</t>
        </is>
      </c>
      <c r="B11" t="inlineStr">
        <is>
          <t>armour</t>
        </is>
      </c>
      <c r="C11" t="inlineStr">
        <is>
          <t>gun_turret</t>
        </is>
      </c>
      <c r="D11" t="n">
        <v>2</v>
      </c>
      <c r="E11" t="inlineStr">
        <is>
          <t>Assets/MachineBrigade/Resources/Data/balance.json: base.ai.styles.armour.gun_turret</t>
        </is>
      </c>
      <c r="F11" t="inlineStr">
        <is>
          <t>2.0</t>
        </is>
      </c>
    </row>
    <row r="12">
      <c r="A12" t="inlineStr">
        <is>
          <t>armour/heavy_turret</t>
        </is>
      </c>
      <c r="B12" t="inlineStr">
        <is>
          <t>armour</t>
        </is>
      </c>
      <c r="C12" t="inlineStr">
        <is>
          <t>heavy_turret</t>
        </is>
      </c>
      <c r="D12" t="n">
        <v>1.4</v>
      </c>
      <c r="E12" t="inlineStr">
        <is>
          <t>Assets/MachineBrigade/Resources/Data/balance.json: base.ai.styles.armour.heavy_turret</t>
        </is>
      </c>
      <c r="F12" t="inlineStr">
        <is>
          <t>1.4</t>
        </is>
      </c>
    </row>
    <row r="13">
      <c r="A13" t="inlineStr">
        <is>
          <t>armour/mg_bunker</t>
        </is>
      </c>
      <c r="B13" t="inlineStr">
        <is>
          <t>armour</t>
        </is>
      </c>
      <c r="C13" t="inlineStr">
        <is>
          <t>mg_bunker</t>
        </is>
      </c>
      <c r="D13" t="n">
        <v>1</v>
      </c>
      <c r="E13" t="inlineStr">
        <is>
          <t>Assets/MachineBrigade/Resources/Data/balance.json: base.ai.styles.armour.mg_bunker</t>
        </is>
      </c>
      <c r="F13" t="inlineStr">
        <is>
          <t>1.0</t>
        </is>
      </c>
    </row>
    <row r="14">
      <c r="A14" t="inlineStr">
        <is>
          <t>armour/shield_tower</t>
        </is>
      </c>
      <c r="B14" t="inlineStr">
        <is>
          <t>armour</t>
        </is>
      </c>
      <c r="C14" t="inlineStr">
        <is>
          <t>shield_tower</t>
        </is>
      </c>
      <c r="D14" t="n">
        <v>0.8</v>
      </c>
      <c r="E14" t="inlineStr">
        <is>
          <t>Assets/MachineBrigade/Resources/Data/balance.json: base.ai.styles.armour.shield_tower</t>
        </is>
      </c>
      <c r="F14" t="inlineStr">
        <is>
          <t>0.8</t>
        </is>
      </c>
    </row>
    <row r="15">
      <c r="A15" t="inlineStr">
        <is>
          <t>artillery/aa_turret</t>
        </is>
      </c>
      <c r="B15" t="inlineStr">
        <is>
          <t>artillery</t>
        </is>
      </c>
      <c r="C15" t="inlineStr">
        <is>
          <t>aa_turret</t>
        </is>
      </c>
      <c r="D15" t="n">
        <v>0.8</v>
      </c>
      <c r="E15" t="inlineStr">
        <is>
          <t>Assets/MachineBrigade/Resources/Data/balance.json: base.ai.styles.artillery.aa_turret</t>
        </is>
      </c>
      <c r="F15" t="inlineStr">
        <is>
          <t>0.8</t>
        </is>
      </c>
    </row>
    <row r="16">
      <c r="A16" t="inlineStr">
        <is>
          <t>artillery/fire_control_centre</t>
        </is>
      </c>
      <c r="B16" t="inlineStr">
        <is>
          <t>artillery</t>
        </is>
      </c>
      <c r="C16" t="inlineStr">
        <is>
          <t>fire_control_centre</t>
        </is>
      </c>
      <c r="D16" t="n">
        <v>1</v>
      </c>
      <c r="E16" t="inlineStr">
        <is>
          <t>Assets/MachineBrigade/Resources/Data/balance.json: base.ai.styles.artillery.fire_control_centre</t>
        </is>
      </c>
      <c r="F16" t="inlineStr">
        <is>
          <t>1.0</t>
        </is>
      </c>
    </row>
    <row r="17">
      <c r="A17" t="inlineStr">
        <is>
          <t>artillery/gun_turret</t>
        </is>
      </c>
      <c r="B17" t="inlineStr">
        <is>
          <t>artillery</t>
        </is>
      </c>
      <c r="C17" t="inlineStr">
        <is>
          <t>gun_turret</t>
        </is>
      </c>
      <c r="D17" t="n">
        <v>0.8</v>
      </c>
      <c r="E17" t="inlineStr">
        <is>
          <t>Assets/MachineBrigade/Resources/Data/balance.json: base.ai.styles.artillery.gun_turret</t>
        </is>
      </c>
      <c r="F17" t="inlineStr">
        <is>
          <t>0.8</t>
        </is>
      </c>
    </row>
    <row r="18">
      <c r="A18" t="inlineStr">
        <is>
          <t>artillery/rocket_turret</t>
        </is>
      </c>
      <c r="B18" t="inlineStr">
        <is>
          <t>artillery</t>
        </is>
      </c>
      <c r="C18" t="inlineStr">
        <is>
          <t>rocket_turret</t>
        </is>
      </c>
      <c r="D18" t="n">
        <v>1.6</v>
      </c>
      <c r="E18" t="inlineStr">
        <is>
          <t>Assets/MachineBrigade/Resources/Data/balance.json: base.ai.styles.artillery.rocket_turret</t>
        </is>
      </c>
      <c r="F18" t="inlineStr">
        <is>
          <t>1.6</t>
        </is>
      </c>
    </row>
    <row r="19">
      <c r="A19" t="inlineStr">
        <is>
          <t>aurel/*</t>
        </is>
      </c>
      <c r="B19" t="inlineStr">
        <is>
          <t>aurel</t>
        </is>
      </c>
      <c r="C19" t="inlineStr"/>
      <c r="D19" t="n">
        <v>0.8</v>
      </c>
      <c r="E19" t="inlineStr">
        <is>
          <t>Assets/MachineBrigade/Resources/Data/balance.json: base.ai.styles.aurel["*"]</t>
        </is>
      </c>
      <c r="F19" t="inlineStr">
        <is>
          <t>0.8</t>
        </is>
      </c>
    </row>
    <row r="20">
      <c r="A20" t="inlineStr">
        <is>
          <t>aurel/atgm_tower</t>
        </is>
      </c>
      <c r="B20" t="inlineStr">
        <is>
          <t>aurel</t>
        </is>
      </c>
      <c r="C20" t="inlineStr">
        <is>
          <t>atgm_tower</t>
        </is>
      </c>
      <c r="D20" t="n">
        <v>1.2</v>
      </c>
      <c r="E20" t="inlineStr">
        <is>
          <t>Assets/MachineBrigade/Resources/Data/balance.json: base.ai.styles.aurel.atgm_tower</t>
        </is>
      </c>
      <c r="F20" t="inlineStr">
        <is>
          <t>1.2</t>
        </is>
      </c>
    </row>
    <row r="21">
      <c r="A21" t="inlineStr">
        <is>
          <t>aurel/c_ram</t>
        </is>
      </c>
      <c r="B21" t="inlineStr">
        <is>
          <t>aurel</t>
        </is>
      </c>
      <c r="C21" t="inlineStr">
        <is>
          <t>c_ram</t>
        </is>
      </c>
      <c r="D21" t="n">
        <v>1.2</v>
      </c>
      <c r="E21" t="inlineStr">
        <is>
          <t>Assets/MachineBrigade/Resources/Data/balance.json: base.ai.styles.aurel.c_ram</t>
        </is>
      </c>
      <c r="F21" t="inlineStr">
        <is>
          <t>1.2</t>
        </is>
      </c>
    </row>
    <row r="22">
      <c r="A22" t="inlineStr">
        <is>
          <t>aurel/fire_control_centre</t>
        </is>
      </c>
      <c r="B22" t="inlineStr">
        <is>
          <t>aurel</t>
        </is>
      </c>
      <c r="C22" t="inlineStr">
        <is>
          <t>fire_control_centre</t>
        </is>
      </c>
      <c r="D22" t="n">
        <v>1.2</v>
      </c>
      <c r="E22" t="inlineStr">
        <is>
          <t>Assets/MachineBrigade/Resources/Data/balance.json: base.ai.styles.aurel.fire_control_centre</t>
        </is>
      </c>
      <c r="F22" t="inlineStr">
        <is>
          <t>1.2</t>
        </is>
      </c>
    </row>
    <row r="23">
      <c r="A23" t="inlineStr">
        <is>
          <t>aurel/heavy_turret</t>
        </is>
      </c>
      <c r="B23" t="inlineStr">
        <is>
          <t>aurel</t>
        </is>
      </c>
      <c r="C23" t="inlineStr">
        <is>
          <t>heavy_turret</t>
        </is>
      </c>
      <c r="D23" t="n">
        <v>1.6</v>
      </c>
      <c r="E23" t="inlineStr">
        <is>
          <t>Assets/MachineBrigade/Resources/Data/balance.json: base.ai.styles.aurel.heavy_turret</t>
        </is>
      </c>
      <c r="F23" t="inlineStr">
        <is>
          <t>1.6</t>
        </is>
      </c>
    </row>
    <row r="24">
      <c r="A24" t="inlineStr">
        <is>
          <t>aurel/heavy_turret.bastion</t>
        </is>
      </c>
      <c r="B24" t="inlineStr">
        <is>
          <t>aurel</t>
        </is>
      </c>
      <c r="C24" t="inlineStr">
        <is>
          <t>heavy_turret.bastion</t>
        </is>
      </c>
      <c r="D24" t="n">
        <v>1.2</v>
      </c>
      <c r="E24" t="inlineStr">
        <is>
          <t>Assets/MachineBrigade/Resources/Data/balance.json: base.ai.styles.aurel["heavy_turret.bastion"]</t>
        </is>
      </c>
      <c r="F24" t="inlineStr">
        <is>
          <t>1.2</t>
        </is>
      </c>
    </row>
    <row r="25">
      <c r="A25" t="inlineStr">
        <is>
          <t>aurel/missile_battery</t>
        </is>
      </c>
      <c r="B25" t="inlineStr">
        <is>
          <t>aurel</t>
        </is>
      </c>
      <c r="C25" t="inlineStr">
        <is>
          <t>missile_battery</t>
        </is>
      </c>
      <c r="D25" t="n">
        <v>1.4</v>
      </c>
      <c r="E25" t="inlineStr">
        <is>
          <t>Assets/MachineBrigade/Resources/Data/balance.json: base.ai.styles.aurel.missile_battery</t>
        </is>
      </c>
      <c r="F25" t="inlineStr">
        <is>
          <t>1.4</t>
        </is>
      </c>
    </row>
    <row r="26">
      <c r="A26" t="inlineStr">
        <is>
          <t>aurel/missile_battery.pac3</t>
        </is>
      </c>
      <c r="B26" t="inlineStr">
        <is>
          <t>aurel</t>
        </is>
      </c>
      <c r="C26" t="inlineStr">
        <is>
          <t>missile_battery.pac3</t>
        </is>
      </c>
      <c r="D26" t="n">
        <v>1.3</v>
      </c>
      <c r="E26" t="inlineStr">
        <is>
          <t>Assets/MachineBrigade/Resources/Data/balance.json: base.ai.styles.aurel["missile_battery.pac3"]</t>
        </is>
      </c>
      <c r="F26" t="inlineStr">
        <is>
          <t>1.3</t>
        </is>
      </c>
    </row>
    <row r="27">
      <c r="A27" t="inlineStr">
        <is>
          <t>aurel/shield_tower.bulwark</t>
        </is>
      </c>
      <c r="B27" t="inlineStr">
        <is>
          <t>aurel</t>
        </is>
      </c>
      <c r="C27" t="inlineStr">
        <is>
          <t>shield_tower.bulwark</t>
        </is>
      </c>
      <c r="D27" t="n">
        <v>1.2</v>
      </c>
      <c r="E27" t="inlineStr">
        <is>
          <t>Assets/MachineBrigade/Resources/Data/balance.json: base.ai.styles.aurel["shield_tower.bulwark"]</t>
        </is>
      </c>
      <c r="F27" t="inlineStr">
        <is>
          <t>1.2</t>
        </is>
      </c>
    </row>
    <row r="28">
      <c r="A28" t="inlineStr">
        <is>
          <t>default/aa_gun_tower</t>
        </is>
      </c>
      <c r="B28" t="inlineStr">
        <is>
          <t>default</t>
        </is>
      </c>
      <c r="C28" t="inlineStr">
        <is>
          <t>aa_gun_tower</t>
        </is>
      </c>
      <c r="D28" t="n">
        <v>0.8</v>
      </c>
      <c r="E28" t="inlineStr">
        <is>
          <t>Assets/MachineBrigade/Resources/Data/balance.json: base.ai.styles.default.aa_gun_tower</t>
        </is>
      </c>
      <c r="F28" t="inlineStr">
        <is>
          <t>0.8</t>
        </is>
      </c>
    </row>
    <row r="29">
      <c r="A29" t="inlineStr">
        <is>
          <t>default/aa_turret</t>
        </is>
      </c>
      <c r="B29" t="inlineStr">
        <is>
          <t>default</t>
        </is>
      </c>
      <c r="C29" t="inlineStr">
        <is>
          <t>aa_turret</t>
        </is>
      </c>
      <c r="D29" t="n">
        <v>1.2</v>
      </c>
      <c r="E29" t="inlineStr">
        <is>
          <t>Assets/MachineBrigade/Resources/Data/balance.json: base.ai.styles.default.aa_turret</t>
        </is>
      </c>
      <c r="F29" t="inlineStr">
        <is>
          <t>1.2</t>
        </is>
      </c>
    </row>
    <row r="30">
      <c r="A30" t="inlineStr">
        <is>
          <t>default/aircraft_hangar</t>
        </is>
      </c>
      <c r="B30" t="inlineStr">
        <is>
          <t>default</t>
        </is>
      </c>
      <c r="C30" t="inlineStr">
        <is>
          <t>aircraft_hangar</t>
        </is>
      </c>
      <c r="D30" t="n">
        <v>0.3</v>
      </c>
      <c r="E30" t="inlineStr">
        <is>
          <t>Assets/MachineBrigade/Resources/Data/balance.json: base.ai.styles.default.aircraft_hangar</t>
        </is>
      </c>
      <c r="F30" t="inlineStr">
        <is>
          <t>0.3</t>
        </is>
      </c>
    </row>
    <row r="31">
      <c r="A31" t="inlineStr">
        <is>
          <t>default/atgm_tower</t>
        </is>
      </c>
      <c r="B31" t="inlineStr">
        <is>
          <t>default</t>
        </is>
      </c>
      <c r="C31" t="inlineStr">
        <is>
          <t>atgm_tower</t>
        </is>
      </c>
      <c r="D31" t="n">
        <v>1</v>
      </c>
      <c r="E31" t="inlineStr">
        <is>
          <t>Assets/MachineBrigade/Resources/Data/balance.json: base.ai.styles.default.atgm_tower</t>
        </is>
      </c>
      <c r="F31" t="inlineStr">
        <is>
          <t>1.0</t>
        </is>
      </c>
    </row>
    <row r="32">
      <c r="A32" t="inlineStr">
        <is>
          <t>default/barrage_balloon</t>
        </is>
      </c>
      <c r="B32" t="inlineStr">
        <is>
          <t>default</t>
        </is>
      </c>
      <c r="C32" t="inlineStr">
        <is>
          <t>barrage_balloon</t>
        </is>
      </c>
      <c r="D32" t="n">
        <v>0.3</v>
      </c>
      <c r="E32" t="inlineStr">
        <is>
          <t>Assets/MachineBrigade/Resources/Data/balance.json: base.ai.styles.default.barrage_balloon</t>
        </is>
      </c>
      <c r="F32" t="inlineStr">
        <is>
          <t>0.3</t>
        </is>
      </c>
    </row>
    <row r="33">
      <c r="A33" t="inlineStr">
        <is>
          <t>default/blast_wall</t>
        </is>
      </c>
      <c r="B33" t="inlineStr">
        <is>
          <t>default</t>
        </is>
      </c>
      <c r="C33" t="inlineStr">
        <is>
          <t>blast_wall</t>
        </is>
      </c>
      <c r="D33" t="n">
        <v>0.4</v>
      </c>
      <c r="E33" t="inlineStr">
        <is>
          <t>Assets/MachineBrigade/Resources/Data/balance.json: base.ai.styles.default.blast_wall</t>
        </is>
      </c>
      <c r="F33" t="inlineStr">
        <is>
          <t>0.4</t>
        </is>
      </c>
    </row>
    <row r="34">
      <c r="A34" t="inlineStr">
        <is>
          <t>default/bunker_shelter_tower</t>
        </is>
      </c>
      <c r="B34" t="inlineStr">
        <is>
          <t>default</t>
        </is>
      </c>
      <c r="C34" t="inlineStr">
        <is>
          <t>bunker_shelter_tower</t>
        </is>
      </c>
      <c r="D34" t="n">
        <v>0.3</v>
      </c>
      <c r="E34" t="inlineStr">
        <is>
          <t>Assets/MachineBrigade/Resources/Data/balance.json: base.ai.styles.default.bunker_shelter_tower</t>
        </is>
      </c>
      <c r="F34" t="inlineStr">
        <is>
          <t>0.3</t>
        </is>
      </c>
    </row>
    <row r="35">
      <c r="A35" t="inlineStr">
        <is>
          <t>default/c_ram</t>
        </is>
      </c>
      <c r="B35" t="inlineStr">
        <is>
          <t>default</t>
        </is>
      </c>
      <c r="C35" t="inlineStr">
        <is>
          <t>c_ram</t>
        </is>
      </c>
      <c r="D35" t="n">
        <v>0.8</v>
      </c>
      <c r="E35" t="inlineStr">
        <is>
          <t>Assets/MachineBrigade/Resources/Data/balance.json: base.ai.styles.default.c_ram</t>
        </is>
      </c>
      <c r="F35" t="inlineStr">
        <is>
          <t>0.8</t>
        </is>
      </c>
    </row>
    <row r="36">
      <c r="A36" t="inlineStr">
        <is>
          <t>default/cp_relay</t>
        </is>
      </c>
      <c r="B36" t="inlineStr">
        <is>
          <t>default</t>
        </is>
      </c>
      <c r="C36" t="inlineStr">
        <is>
          <t>cp_relay</t>
        </is>
      </c>
      <c r="D36" t="n">
        <v>0.35</v>
      </c>
      <c r="E36" t="inlineStr">
        <is>
          <t>Assets/MachineBrigade/Resources/Data/balance.json: base.ai.styles.default.cp_relay</t>
        </is>
      </c>
      <c r="F36" t="inlineStr">
        <is>
          <t>0.35</t>
        </is>
      </c>
    </row>
    <row r="37">
      <c r="A37" t="inlineStr">
        <is>
          <t>default/drone_hangar</t>
        </is>
      </c>
      <c r="B37" t="inlineStr">
        <is>
          <t>default</t>
        </is>
      </c>
      <c r="C37" t="inlineStr">
        <is>
          <t>drone_hangar</t>
        </is>
      </c>
      <c r="D37" t="n">
        <v>0.6</v>
      </c>
      <c r="E37" t="inlineStr">
        <is>
          <t>Assets/MachineBrigade/Resources/Data/balance.json: base.ai.styles.default.drone_hangar</t>
        </is>
      </c>
      <c r="F37" t="inlineStr">
        <is>
          <t>0.6</t>
        </is>
      </c>
    </row>
    <row r="38">
      <c r="A38" t="inlineStr">
        <is>
          <t>default/drone_net_tower</t>
        </is>
      </c>
      <c r="B38" t="inlineStr">
        <is>
          <t>default</t>
        </is>
      </c>
      <c r="C38" t="inlineStr">
        <is>
          <t>drone_net_tower</t>
        </is>
      </c>
      <c r="D38" t="n">
        <v>0.4</v>
      </c>
      <c r="E38" t="inlineStr">
        <is>
          <t>Assets/MachineBrigade/Resources/Data/balance.json: base.ai.styles.default.drone_net_tower</t>
        </is>
      </c>
      <c r="F38" t="inlineStr">
        <is>
          <t>0.4</t>
        </is>
      </c>
    </row>
    <row r="39">
      <c r="A39" t="inlineStr">
        <is>
          <t>default/ew_tower</t>
        </is>
      </c>
      <c r="B39" t="inlineStr">
        <is>
          <t>default</t>
        </is>
      </c>
      <c r="C39" t="inlineStr">
        <is>
          <t>ew_tower</t>
        </is>
      </c>
      <c r="D39" t="n">
        <v>0.6</v>
      </c>
      <c r="E39" t="inlineStr">
        <is>
          <t>Assets/MachineBrigade/Resources/Data/balance.json: base.ai.styles.default.ew_tower</t>
        </is>
      </c>
      <c r="F39" t="inlineStr">
        <is>
          <t>0.6</t>
        </is>
      </c>
    </row>
    <row r="40">
      <c r="A40" t="inlineStr">
        <is>
          <t>default/fire_control_centre</t>
        </is>
      </c>
      <c r="B40" t="inlineStr">
        <is>
          <t>default</t>
        </is>
      </c>
      <c r="C40" t="inlineStr">
        <is>
          <t>fire_control_centre</t>
        </is>
      </c>
      <c r="D40" t="n">
        <v>1</v>
      </c>
      <c r="E40" t="inlineStr">
        <is>
          <t>Assets/MachineBrigade/Resources/Data/balance.json: base.ai.styles.default.fire_control_centre</t>
        </is>
      </c>
      <c r="F40" t="inlineStr">
        <is>
          <t>1.0</t>
        </is>
      </c>
    </row>
    <row r="41">
      <c r="A41" t="inlineStr">
        <is>
          <t>default/flare_searchlight_tower</t>
        </is>
      </c>
      <c r="B41" t="inlineStr">
        <is>
          <t>default</t>
        </is>
      </c>
      <c r="C41" t="inlineStr">
        <is>
          <t>flare_searchlight_tower</t>
        </is>
      </c>
      <c r="D41" t="n">
        <v>0.2</v>
      </c>
      <c r="E41" t="inlineStr">
        <is>
          <t>Assets/MachineBrigade/Resources/Data/balance.json: base.ai.styles.default.flare_searchlight_tower</t>
        </is>
      </c>
      <c r="F41" t="inlineStr">
        <is>
          <t>0.2</t>
        </is>
      </c>
    </row>
    <row r="42">
      <c r="A42" t="inlineStr">
        <is>
          <t>default/flare_tower</t>
        </is>
      </c>
      <c r="B42" t="inlineStr">
        <is>
          <t>default</t>
        </is>
      </c>
      <c r="C42" t="inlineStr">
        <is>
          <t>flare_tower</t>
        </is>
      </c>
      <c r="D42" t="n">
        <v>0.25</v>
      </c>
      <c r="E42" t="inlineStr">
        <is>
          <t>Assets/MachineBrigade/Resources/Data/balance.json: base.ai.styles.default.flare_tower</t>
        </is>
      </c>
      <c r="F42" t="inlineStr">
        <is>
          <t>0.25</t>
        </is>
      </c>
    </row>
    <row r="43">
      <c r="A43" t="inlineStr">
        <is>
          <t>default/guard_tower</t>
        </is>
      </c>
      <c r="B43" t="inlineStr">
        <is>
          <t>default</t>
        </is>
      </c>
      <c r="C43" t="inlineStr">
        <is>
          <t>guard_tower</t>
        </is>
      </c>
      <c r="D43" t="n">
        <v>1</v>
      </c>
      <c r="E43" t="inlineStr">
        <is>
          <t>Assets/MachineBrigade/Resources/Data/balance.json: base.ai.styles.default.guard_tower</t>
        </is>
      </c>
      <c r="F43" t="inlineStr">
        <is>
          <t>1.0</t>
        </is>
      </c>
    </row>
    <row r="44">
      <c r="A44" t="inlineStr">
        <is>
          <t>default/gun_turret</t>
        </is>
      </c>
      <c r="B44" t="inlineStr">
        <is>
          <t>default</t>
        </is>
      </c>
      <c r="C44" t="inlineStr">
        <is>
          <t>gun_turret</t>
        </is>
      </c>
      <c r="D44" t="n">
        <v>1.2</v>
      </c>
      <c r="E44" t="inlineStr">
        <is>
          <t>Assets/MachineBrigade/Resources/Data/balance.json: base.ai.styles.default.gun_turret</t>
        </is>
      </c>
      <c r="F44" t="inlineStr">
        <is>
          <t>1.2</t>
        </is>
      </c>
    </row>
    <row r="45">
      <c r="A45" t="inlineStr">
        <is>
          <t>default/heavy_turret</t>
        </is>
      </c>
      <c r="B45" t="inlineStr">
        <is>
          <t>default</t>
        </is>
      </c>
      <c r="C45" t="inlineStr">
        <is>
          <t>heavy_turret</t>
        </is>
      </c>
      <c r="D45" t="n">
        <v>0.6</v>
      </c>
      <c r="E45" t="inlineStr">
        <is>
          <t>Assets/MachineBrigade/Resources/Data/balance.json: base.ai.styles.default.heavy_turret</t>
        </is>
      </c>
      <c r="F45" t="inlineStr">
        <is>
          <t>0.6</t>
        </is>
      </c>
    </row>
    <row r="46">
      <c r="A46" t="inlineStr">
        <is>
          <t>default/laser_ad_station</t>
        </is>
      </c>
      <c r="B46" t="inlineStr">
        <is>
          <t>default</t>
        </is>
      </c>
      <c r="C46" t="inlineStr">
        <is>
          <t>laser_ad_station</t>
        </is>
      </c>
      <c r="D46" t="n">
        <v>0.5</v>
      </c>
      <c r="E46" t="inlineStr">
        <is>
          <t>Assets/MachineBrigade/Resources/Data/balance.json: base.ai.styles.default.laser_ad_station</t>
        </is>
      </c>
      <c r="F46" t="inlineStr">
        <is>
          <t>0.5</t>
        </is>
      </c>
    </row>
    <row r="47">
      <c r="A47" t="inlineStr">
        <is>
          <t>default/manpads_tower</t>
        </is>
      </c>
      <c r="B47" t="inlineStr">
        <is>
          <t>default</t>
        </is>
      </c>
      <c r="C47" t="inlineStr">
        <is>
          <t>manpads_tower</t>
        </is>
      </c>
      <c r="D47" t="n">
        <v>0.5</v>
      </c>
      <c r="E47" t="inlineStr">
        <is>
          <t>Assets/MachineBrigade/Resources/Data/balance.json: base.ai.styles.default.manpads_tower</t>
        </is>
      </c>
      <c r="F47" t="inlineStr">
        <is>
          <t>0.5</t>
        </is>
      </c>
    </row>
    <row r="48">
      <c r="A48" t="inlineStr">
        <is>
          <t>default/mg_bunker</t>
        </is>
      </c>
      <c r="B48" t="inlineStr">
        <is>
          <t>default</t>
        </is>
      </c>
      <c r="C48" t="inlineStr">
        <is>
          <t>mg_bunker</t>
        </is>
      </c>
      <c r="D48" t="n">
        <v>1</v>
      </c>
      <c r="E48" t="inlineStr">
        <is>
          <t>Assets/MachineBrigade/Resources/Data/balance.json: base.ai.styles.default.mg_bunker</t>
        </is>
      </c>
      <c r="F48" t="inlineStr">
        <is>
          <t>1.0</t>
        </is>
      </c>
    </row>
    <row r="49">
      <c r="A49" t="inlineStr">
        <is>
          <t>default/missile_battery</t>
        </is>
      </c>
      <c r="B49" t="inlineStr">
        <is>
          <t>default</t>
        </is>
      </c>
      <c r="C49" t="inlineStr">
        <is>
          <t>missile_battery</t>
        </is>
      </c>
      <c r="D49" t="n">
        <v>0.6</v>
      </c>
      <c r="E49" t="inlineStr">
        <is>
          <t>Assets/MachineBrigade/Resources/Data/balance.json: base.ai.styles.default.missile_battery</t>
        </is>
      </c>
      <c r="F49" t="inlineStr">
        <is>
          <t>0.6</t>
        </is>
      </c>
    </row>
    <row r="50">
      <c r="A50" t="inlineStr">
        <is>
          <t>default/one_shot_atgm_tower</t>
        </is>
      </c>
      <c r="B50" t="inlineStr">
        <is>
          <t>default</t>
        </is>
      </c>
      <c r="C50" t="inlineStr">
        <is>
          <t>one_shot_atgm_tower</t>
        </is>
      </c>
      <c r="D50" t="n">
        <v>0.4</v>
      </c>
      <c r="E50" t="inlineStr">
        <is>
          <t>Assets/MachineBrigade/Resources/Data/balance.json: base.ai.styles.default.one_shot_atgm_tower</t>
        </is>
      </c>
      <c r="F50" t="inlineStr">
        <is>
          <t>0.4</t>
        </is>
      </c>
    </row>
    <row r="51">
      <c r="A51" t="inlineStr">
        <is>
          <t>default/recoilless_gun_tower</t>
        </is>
      </c>
      <c r="B51" t="inlineStr">
        <is>
          <t>default</t>
        </is>
      </c>
      <c r="C51" t="inlineStr">
        <is>
          <t>recoilless_gun_tower</t>
        </is>
      </c>
      <c r="D51" t="n">
        <v>0.6</v>
      </c>
      <c r="E51" t="inlineStr">
        <is>
          <t>Assets/MachineBrigade/Resources/Data/balance.json: base.ai.styles.default.recoilless_gun_tower</t>
        </is>
      </c>
      <c r="F51" t="inlineStr">
        <is>
          <t>0.6</t>
        </is>
      </c>
    </row>
    <row r="52">
      <c r="A52" t="inlineStr">
        <is>
          <t>default/rocket_turret</t>
        </is>
      </c>
      <c r="B52" t="inlineStr">
        <is>
          <t>default</t>
        </is>
      </c>
      <c r="C52" t="inlineStr">
        <is>
          <t>rocket_turret</t>
        </is>
      </c>
      <c r="D52" t="n">
        <v>0.8</v>
      </c>
      <c r="E52" t="inlineStr">
        <is>
          <t>Assets/MachineBrigade/Resources/Data/balance.json: base.ai.styles.default.rocket_turret</t>
        </is>
      </c>
      <c r="F52" t="inlineStr">
        <is>
          <t>0.8</t>
        </is>
      </c>
    </row>
    <row r="53">
      <c r="A53" t="inlineStr">
        <is>
          <t>default/shield_tower</t>
        </is>
      </c>
      <c r="B53" t="inlineStr">
        <is>
          <t>default</t>
        </is>
      </c>
      <c r="C53" t="inlineStr">
        <is>
          <t>shield_tower</t>
        </is>
      </c>
      <c r="D53" t="n">
        <v>0.5</v>
      </c>
      <c r="E53" t="inlineStr">
        <is>
          <t>Assets/MachineBrigade/Resources/Data/balance.json: base.ai.styles.default.shield_tower</t>
        </is>
      </c>
      <c r="F53" t="inlineStr">
        <is>
          <t>0.5</t>
        </is>
      </c>
    </row>
    <row r="54">
      <c r="A54" t="inlineStr">
        <is>
          <t>default/vehicle_hangar</t>
        </is>
      </c>
      <c r="B54" t="inlineStr">
        <is>
          <t>default</t>
        </is>
      </c>
      <c r="C54" t="inlineStr">
        <is>
          <t>vehicle_hangar</t>
        </is>
      </c>
      <c r="D54" t="n">
        <v>0.5</v>
      </c>
      <c r="E54" t="inlineStr">
        <is>
          <t>Assets/MachineBrigade/Resources/Data/balance.json: base.ai.styles.default.vehicle_hangar</t>
        </is>
      </c>
      <c r="F54" t="inlineStr">
        <is>
          <t>0.5</t>
        </is>
      </c>
    </row>
    <row r="55">
      <c r="A55" t="inlineStr">
        <is>
          <t>kessler/*</t>
        </is>
      </c>
      <c r="B55" t="inlineStr">
        <is>
          <t>kessler</t>
        </is>
      </c>
      <c r="C55" t="inlineStr"/>
      <c r="D55" t="n">
        <v>1</v>
      </c>
      <c r="E55" t="inlineStr">
        <is>
          <t>Assets/MachineBrigade/Resources/Data/balance.json: base.ai.styles.kessler["*"]</t>
        </is>
      </c>
      <c r="F55" t="inlineStr">
        <is>
          <t>1.0</t>
        </is>
      </c>
    </row>
    <row r="56">
      <c r="A56" t="inlineStr">
        <is>
          <t>orlov/aa_turret</t>
        </is>
      </c>
      <c r="B56" t="inlineStr">
        <is>
          <t>orlov</t>
        </is>
      </c>
      <c r="C56" t="inlineStr">
        <is>
          <t>aa_turret</t>
        </is>
      </c>
      <c r="D56" t="n">
        <v>0.8</v>
      </c>
      <c r="E56" t="inlineStr">
        <is>
          <t>Assets/MachineBrigade/Resources/Data/balance.json: base.ai.styles.orlov.aa_turret</t>
        </is>
      </c>
      <c r="F56" t="inlineStr">
        <is>
          <t>0.8</t>
        </is>
      </c>
    </row>
    <row r="57">
      <c r="A57" t="inlineStr">
        <is>
          <t>orlov/fire_control_centre</t>
        </is>
      </c>
      <c r="B57" t="inlineStr">
        <is>
          <t>orlov</t>
        </is>
      </c>
      <c r="C57" t="inlineStr">
        <is>
          <t>fire_control_centre</t>
        </is>
      </c>
      <c r="D57" t="n">
        <v>1.2</v>
      </c>
      <c r="E57" t="inlineStr">
        <is>
          <t>Assets/MachineBrigade/Resources/Data/balance.json: base.ai.styles.orlov.fire_control_centre</t>
        </is>
      </c>
      <c r="F57" t="inlineStr">
        <is>
          <t>1.2</t>
        </is>
      </c>
    </row>
    <row r="58">
      <c r="A58" t="inlineStr">
        <is>
          <t>orlov/guard_tower</t>
        </is>
      </c>
      <c r="B58" t="inlineStr">
        <is>
          <t>orlov</t>
        </is>
      </c>
      <c r="C58" t="inlineStr">
        <is>
          <t>guard_tower</t>
        </is>
      </c>
      <c r="D58" t="n">
        <v>1.2</v>
      </c>
      <c r="E58" t="inlineStr">
        <is>
          <t>Assets/MachineBrigade/Resources/Data/balance.json: base.ai.styles.orlov.guard_tower</t>
        </is>
      </c>
      <c r="F58" t="inlineStr">
        <is>
          <t>1.2</t>
        </is>
      </c>
    </row>
    <row r="59">
      <c r="A59" t="inlineStr">
        <is>
          <t>orlov/gun_turret</t>
        </is>
      </c>
      <c r="B59" t="inlineStr">
        <is>
          <t>orlov</t>
        </is>
      </c>
      <c r="C59" t="inlineStr">
        <is>
          <t>gun_turret</t>
        </is>
      </c>
      <c r="D59" t="n">
        <v>0.8</v>
      </c>
      <c r="E59" t="inlineStr">
        <is>
          <t>Assets/MachineBrigade/Resources/Data/balance.json: base.ai.styles.orlov.gun_turret</t>
        </is>
      </c>
      <c r="F59" t="inlineStr">
        <is>
          <t>0.8</t>
        </is>
      </c>
    </row>
    <row r="60">
      <c r="A60" t="inlineStr">
        <is>
          <t>orlov/rocket_turret</t>
        </is>
      </c>
      <c r="B60" t="inlineStr">
        <is>
          <t>orlov</t>
        </is>
      </c>
      <c r="C60" t="inlineStr">
        <is>
          <t>rocket_turret</t>
        </is>
      </c>
      <c r="D60" t="n">
        <v>1.8</v>
      </c>
      <c r="E60" t="inlineStr">
        <is>
          <t>Assets/MachineBrigade/Resources/Data/balance.json: base.ai.styles.orlov.rocket_turret</t>
        </is>
      </c>
      <c r="F60" t="inlineStr">
        <is>
          <t>1.8</t>
        </is>
      </c>
    </row>
    <row r="61">
      <c r="A61" t="inlineStr">
        <is>
          <t>orlov/rocket_turret.guided</t>
        </is>
      </c>
      <c r="B61" t="inlineStr">
        <is>
          <t>orlov</t>
        </is>
      </c>
      <c r="C61" t="inlineStr">
        <is>
          <t>rocket_turret.guided</t>
        </is>
      </c>
      <c r="D61" t="n">
        <v>1.3</v>
      </c>
      <c r="E61" t="inlineStr">
        <is>
          <t>Assets/MachineBrigade/Resources/Data/balance.json: base.ai.styles.orlov["rocket_turret.guided"]</t>
        </is>
      </c>
      <c r="F61" t="inlineStr">
        <is>
          <t>1.3</t>
        </is>
      </c>
    </row>
    <row r="62">
      <c r="A62" t="inlineStr">
        <is>
          <t>quaden/aa_turret</t>
        </is>
      </c>
      <c r="B62" t="inlineStr">
        <is>
          <t>quaden</t>
        </is>
      </c>
      <c r="C62" t="inlineStr">
        <is>
          <t>aa_turret</t>
        </is>
      </c>
      <c r="D62" t="n">
        <v>2.4</v>
      </c>
      <c r="E62" t="inlineStr">
        <is>
          <t>Assets/MachineBrigade/Resources/Data/balance.json: base.ai.styles.quaden.aa_turret</t>
        </is>
      </c>
      <c r="F62" t="inlineStr">
        <is>
          <t>2.4</t>
        </is>
      </c>
    </row>
    <row r="63">
      <c r="A63" t="inlineStr">
        <is>
          <t>quaden/aa_turret.sam</t>
        </is>
      </c>
      <c r="B63" t="inlineStr">
        <is>
          <t>quaden</t>
        </is>
      </c>
      <c r="C63" t="inlineStr">
        <is>
          <t>aa_turret.sam</t>
        </is>
      </c>
      <c r="D63" t="n">
        <v>1.3</v>
      </c>
      <c r="E63" t="inlineStr">
        <is>
          <t>Assets/MachineBrigade/Resources/Data/balance.json: base.ai.styles.quaden["aa_turret.sam"]</t>
        </is>
      </c>
      <c r="F63" t="inlineStr">
        <is>
          <t>1.3</t>
        </is>
      </c>
    </row>
    <row r="64">
      <c r="A64" t="inlineStr">
        <is>
          <t>quaden/c_ram</t>
        </is>
      </c>
      <c r="B64" t="inlineStr">
        <is>
          <t>quaden</t>
        </is>
      </c>
      <c r="C64" t="inlineStr">
        <is>
          <t>c_ram</t>
        </is>
      </c>
      <c r="D64" t="n">
        <v>1.4</v>
      </c>
      <c r="E64" t="inlineStr">
        <is>
          <t>Assets/MachineBrigade/Resources/Data/balance.json: base.ai.styles.quaden.c_ram</t>
        </is>
      </c>
      <c r="F64" t="inlineStr">
        <is>
          <t>1.4</t>
        </is>
      </c>
    </row>
    <row r="65">
      <c r="A65" t="inlineStr">
        <is>
          <t>quaden/c_ram.dome</t>
        </is>
      </c>
      <c r="B65" t="inlineStr">
        <is>
          <t>quaden</t>
        </is>
      </c>
      <c r="C65" t="inlineStr">
        <is>
          <t>c_ram.dome</t>
        </is>
      </c>
      <c r="D65" t="n">
        <v>1.2</v>
      </c>
      <c r="E65" t="inlineStr">
        <is>
          <t>Assets/MachineBrigade/Resources/Data/balance.json: base.ai.styles.quaden["c_ram.dome"]</t>
        </is>
      </c>
      <c r="F65" t="inlineStr">
        <is>
          <t>1.2</t>
        </is>
      </c>
    </row>
    <row r="66">
      <c r="A66" t="inlineStr">
        <is>
          <t>quaden/guard_tower</t>
        </is>
      </c>
      <c r="B66" t="inlineStr">
        <is>
          <t>quaden</t>
        </is>
      </c>
      <c r="C66" t="inlineStr">
        <is>
          <t>guard_tower</t>
        </is>
      </c>
      <c r="D66" t="n">
        <v>1</v>
      </c>
      <c r="E66" t="inlineStr">
        <is>
          <t>Assets/MachineBrigade/Resources/Data/balance.json: base.ai.styles.quaden.guard_tower</t>
        </is>
      </c>
      <c r="F66" t="inlineStr">
        <is>
          <t>1.0</t>
        </is>
      </c>
    </row>
    <row r="67">
      <c r="A67" t="inlineStr">
        <is>
          <t>quaden/gun_turret</t>
        </is>
      </c>
      <c r="B67" t="inlineStr">
        <is>
          <t>quaden</t>
        </is>
      </c>
      <c r="C67" t="inlineStr">
        <is>
          <t>gun_turret</t>
        </is>
      </c>
      <c r="D67" t="n">
        <v>0.6</v>
      </c>
      <c r="E67" t="inlineStr">
        <is>
          <t>Assets/MachineBrigade/Resources/Data/balance.json: base.ai.styles.quaden.gun_turret</t>
        </is>
      </c>
      <c r="F67" t="inlineStr">
        <is>
          <t>0.6</t>
        </is>
      </c>
    </row>
    <row r="68">
      <c r="A68" t="inlineStr">
        <is>
          <t>quaden/laser_ad_station</t>
        </is>
      </c>
      <c r="B68" t="inlineStr">
        <is>
          <t>quaden</t>
        </is>
      </c>
      <c r="C68" t="inlineStr">
        <is>
          <t>laser_ad_station</t>
        </is>
      </c>
      <c r="D68" t="n">
        <v>0.8</v>
      </c>
      <c r="E68" t="inlineStr">
        <is>
          <t>Assets/MachineBrigade/Resources/Data/balance.json: base.ai.styles.quaden.laser_ad_station</t>
        </is>
      </c>
      <c r="F68" t="inlineStr">
        <is>
          <t>0.8</t>
        </is>
      </c>
    </row>
    <row r="69">
      <c r="A69" t="inlineStr">
        <is>
          <t>quaden/missile_battery</t>
        </is>
      </c>
      <c r="B69" t="inlineStr">
        <is>
          <t>quaden</t>
        </is>
      </c>
      <c r="C69" t="inlineStr">
        <is>
          <t>missile_battery</t>
        </is>
      </c>
      <c r="D69" t="n">
        <v>2.2</v>
      </c>
      <c r="E69" t="inlineStr">
        <is>
          <t>Assets/MachineBrigade/Resources/Data/balance.json: base.ai.styles.quaden.missile_battery</t>
        </is>
      </c>
      <c r="F69" t="inlineStr">
        <is>
          <t>2.2</t>
        </is>
      </c>
    </row>
    <row r="70">
      <c r="A70" t="inlineStr">
        <is>
          <t>quaden/missile_battery.lrr</t>
        </is>
      </c>
      <c r="B70" t="inlineStr">
        <is>
          <t>quaden</t>
        </is>
      </c>
      <c r="C70" t="inlineStr">
        <is>
          <t>missile_battery.lrr</t>
        </is>
      </c>
      <c r="D70" t="n">
        <v>1.3</v>
      </c>
      <c r="E70" t="inlineStr">
        <is>
          <t>Assets/MachineBrigade/Resources/Data/balance.json: base.ai.styles.quaden["missile_battery.lrr"]</t>
        </is>
      </c>
      <c r="F70" t="inlineStr">
        <is>
          <t>1.3</t>
        </is>
      </c>
    </row>
    <row r="71">
      <c r="A71" t="inlineStr">
        <is>
          <t>sen/aa_turret</t>
        </is>
      </c>
      <c r="B71" t="inlineStr">
        <is>
          <t>sen</t>
        </is>
      </c>
      <c r="C71" t="inlineStr">
        <is>
          <t>aa_turret</t>
        </is>
      </c>
      <c r="D71" t="n">
        <v>1</v>
      </c>
      <c r="E71" t="inlineStr">
        <is>
          <t>Assets/MachineBrigade/Resources/Data/balance.json: base.ai.styles.sen.aa_turret</t>
        </is>
      </c>
      <c r="F71" t="inlineStr">
        <is>
          <t>1.0</t>
        </is>
      </c>
    </row>
    <row r="72">
      <c r="A72" t="inlineStr">
        <is>
          <t>sen/c_ram</t>
        </is>
      </c>
      <c r="B72" t="inlineStr">
        <is>
          <t>sen</t>
        </is>
      </c>
      <c r="C72" t="inlineStr">
        <is>
          <t>c_ram</t>
        </is>
      </c>
      <c r="D72" t="n">
        <v>1.2</v>
      </c>
      <c r="E72" t="inlineStr">
        <is>
          <t>Assets/MachineBrigade/Resources/Data/balance.json: base.ai.styles.sen.c_ram</t>
        </is>
      </c>
      <c r="F72" t="inlineStr">
        <is>
          <t>1.2</t>
        </is>
      </c>
    </row>
    <row r="73">
      <c r="A73" t="inlineStr">
        <is>
          <t>sen/drone_hangar</t>
        </is>
      </c>
      <c r="B73" t="inlineStr">
        <is>
          <t>sen</t>
        </is>
      </c>
      <c r="C73" t="inlineStr">
        <is>
          <t>drone_hangar</t>
        </is>
      </c>
      <c r="D73" t="n">
        <v>2.6</v>
      </c>
      <c r="E73" t="inlineStr">
        <is>
          <t>Assets/MachineBrigade/Resources/Data/balance.json: base.ai.styles.sen.drone_hangar</t>
        </is>
      </c>
      <c r="F73" t="inlineStr">
        <is>
          <t>2.6</t>
        </is>
      </c>
    </row>
    <row r="74">
      <c r="A74" t="inlineStr">
        <is>
          <t>sen/drone_hangar.swarm</t>
        </is>
      </c>
      <c r="B74" t="inlineStr">
        <is>
          <t>sen</t>
        </is>
      </c>
      <c r="C74" t="inlineStr">
        <is>
          <t>drone_hangar.swarm</t>
        </is>
      </c>
      <c r="D74" t="n">
        <v>1.3</v>
      </c>
      <c r="E74" t="inlineStr">
        <is>
          <t>Assets/MachineBrigade/Resources/Data/balance.json: base.ai.styles.sen["drone_hangar.swarm"]</t>
        </is>
      </c>
      <c r="F74" t="inlineStr">
        <is>
          <t>1.3</t>
        </is>
      </c>
    </row>
    <row r="75">
      <c r="A75" t="inlineStr">
        <is>
          <t>sen/ew_tower</t>
        </is>
      </c>
      <c r="B75" t="inlineStr">
        <is>
          <t>sen</t>
        </is>
      </c>
      <c r="C75" t="inlineStr">
        <is>
          <t>ew_tower</t>
        </is>
      </c>
      <c r="D75" t="n">
        <v>1.6</v>
      </c>
      <c r="E75" t="inlineStr">
        <is>
          <t>Assets/MachineBrigade/Resources/Data/balance.json: base.ai.styles.sen.ew_tower</t>
        </is>
      </c>
      <c r="F75" t="inlineStr">
        <is>
          <t>1.6</t>
        </is>
      </c>
    </row>
    <row r="76">
      <c r="A76" t="inlineStr">
        <is>
          <t>sen/ew_tower.drone</t>
        </is>
      </c>
      <c r="B76" t="inlineStr">
        <is>
          <t>sen</t>
        </is>
      </c>
      <c r="C76" t="inlineStr">
        <is>
          <t>ew_tower.drone</t>
        </is>
      </c>
      <c r="D76" t="n">
        <v>1.3</v>
      </c>
      <c r="E76" t="inlineStr">
        <is>
          <t>Assets/MachineBrigade/Resources/Data/balance.json: base.ai.styles.sen["ew_tower.drone"]</t>
        </is>
      </c>
      <c r="F76" t="inlineStr">
        <is>
          <t>1.3</t>
        </is>
      </c>
    </row>
    <row r="77">
      <c r="A77" t="inlineStr">
        <is>
          <t>sen/guard_tower</t>
        </is>
      </c>
      <c r="B77" t="inlineStr">
        <is>
          <t>sen</t>
        </is>
      </c>
      <c r="C77" t="inlineStr">
        <is>
          <t>guard_tower</t>
        </is>
      </c>
      <c r="D77" t="n">
        <v>1</v>
      </c>
      <c r="E77" t="inlineStr">
        <is>
          <t>Assets/MachineBrigade/Resources/Data/balance.json: base.ai.styles.sen.guard_tower</t>
        </is>
      </c>
      <c r="F77" t="inlineStr">
        <is>
          <t>1.0</t>
        </is>
      </c>
    </row>
    <row r="78">
      <c r="A78" t="inlineStr">
        <is>
          <t>sen/gun_turret</t>
        </is>
      </c>
      <c r="B78" t="inlineStr">
        <is>
          <t>sen</t>
        </is>
      </c>
      <c r="C78" t="inlineStr">
        <is>
          <t>gun_turret</t>
        </is>
      </c>
      <c r="D78" t="n">
        <v>0.8</v>
      </c>
      <c r="E78" t="inlineStr">
        <is>
          <t>Assets/MachineBrigade/Resources/Data/balance.json: base.ai.styles.sen.gun_turret</t>
        </is>
      </c>
      <c r="F78" t="inlineStr">
        <is>
          <t>0.8</t>
        </is>
      </c>
    </row>
    <row r="79">
      <c r="A79" t="inlineStr">
        <is>
          <t>sen/laser_ad_station</t>
        </is>
      </c>
      <c r="B79" t="inlineStr">
        <is>
          <t>sen</t>
        </is>
      </c>
      <c r="C79" t="inlineStr">
        <is>
          <t>laser_ad_station</t>
        </is>
      </c>
      <c r="D79" t="n">
        <v>1.2</v>
      </c>
      <c r="E79" t="inlineStr">
        <is>
          <t>Assets/MachineBrigade/Resources/Data/balance.json: base.ai.styles.sen.laser_ad_station</t>
        </is>
      </c>
      <c r="F79" t="inlineStr">
        <is>
          <t>1.2</t>
        </is>
      </c>
    </row>
    <row r="80">
      <c r="A80" t="inlineStr">
        <is>
          <t>varga/aa_turret</t>
        </is>
      </c>
      <c r="B80" t="inlineStr">
        <is>
          <t>varga</t>
        </is>
      </c>
      <c r="C80" t="inlineStr">
        <is>
          <t>aa_turret</t>
        </is>
      </c>
      <c r="D80" t="n">
        <v>0.8</v>
      </c>
      <c r="E80" t="inlineStr">
        <is>
          <t>Assets/MachineBrigade/Resources/Data/balance.json: base.ai.styles.varga.aa_turret</t>
        </is>
      </c>
      <c r="F80" t="inlineStr">
        <is>
          <t>0.8</t>
        </is>
      </c>
    </row>
    <row r="81">
      <c r="A81" t="inlineStr">
        <is>
          <t>varga/atgm_tower</t>
        </is>
      </c>
      <c r="B81" t="inlineStr">
        <is>
          <t>varga</t>
        </is>
      </c>
      <c r="C81" t="inlineStr">
        <is>
          <t>atgm_tower</t>
        </is>
      </c>
      <c r="D81" t="n">
        <v>2.4</v>
      </c>
      <c r="E81" t="inlineStr">
        <is>
          <t>Assets/MachineBrigade/Resources/Data/balance.json: base.ai.styles.varga.atgm_tower</t>
        </is>
      </c>
      <c r="F81" t="inlineStr">
        <is>
          <t>2.4</t>
        </is>
      </c>
    </row>
    <row r="82">
      <c r="A82" t="inlineStr">
        <is>
          <t>varga/atgm_tower.top</t>
        </is>
      </c>
      <c r="B82" t="inlineStr">
        <is>
          <t>varga</t>
        </is>
      </c>
      <c r="C82" t="inlineStr">
        <is>
          <t>atgm_tower.top</t>
        </is>
      </c>
      <c r="D82" t="n">
        <v>1.3</v>
      </c>
      <c r="E82" t="inlineStr">
        <is>
          <t>Assets/MachineBrigade/Resources/Data/balance.json: base.ai.styles.varga["atgm_tower.top"]</t>
        </is>
      </c>
      <c r="F82" t="inlineStr">
        <is>
          <t>1.3</t>
        </is>
      </c>
    </row>
    <row r="83">
      <c r="A83" t="inlineStr">
        <is>
          <t>varga/fire_control_centre</t>
        </is>
      </c>
      <c r="B83" t="inlineStr">
        <is>
          <t>varga</t>
        </is>
      </c>
      <c r="C83" t="inlineStr">
        <is>
          <t>fire_control_centre</t>
        </is>
      </c>
      <c r="D83" t="n">
        <v>1</v>
      </c>
      <c r="E83" t="inlineStr">
        <is>
          <t>Assets/MachineBrigade/Resources/Data/balance.json: base.ai.styles.varga.fire_control_centre</t>
        </is>
      </c>
      <c r="F83" t="inlineStr">
        <is>
          <t>1.0</t>
        </is>
      </c>
    </row>
    <row r="84">
      <c r="A84" t="inlineStr">
        <is>
          <t>varga/guard_tower</t>
        </is>
      </c>
      <c r="B84" t="inlineStr">
        <is>
          <t>varga</t>
        </is>
      </c>
      <c r="C84" t="inlineStr">
        <is>
          <t>guard_tower</t>
        </is>
      </c>
      <c r="D84" t="n">
        <v>0.6</v>
      </c>
      <c r="E84" t="inlineStr">
        <is>
          <t>Assets/MachineBrigade/Resources/Data/balance.json: base.ai.styles.varga.guard_tower</t>
        </is>
      </c>
      <c r="F84" t="inlineStr">
        <is>
          <t>0.6</t>
        </is>
      </c>
    </row>
    <row r="85">
      <c r="A85" t="inlineStr">
        <is>
          <t>varga/gun_turret</t>
        </is>
      </c>
      <c r="B85" t="inlineStr">
        <is>
          <t>varga</t>
        </is>
      </c>
      <c r="C85" t="inlineStr">
        <is>
          <t>gun_turret</t>
        </is>
      </c>
      <c r="D85" t="n">
        <v>1.8</v>
      </c>
      <c r="E85" t="inlineStr">
        <is>
          <t>Assets/MachineBrigade/Resources/Data/balance.json: base.ai.styles.varga.gun_turret</t>
        </is>
      </c>
      <c r="F85" t="inlineStr">
        <is>
          <t>1.8</t>
        </is>
      </c>
    </row>
    <row r="86">
      <c r="A86" t="inlineStr">
        <is>
          <t>varga/gun_turret.long</t>
        </is>
      </c>
      <c r="B86" t="inlineStr">
        <is>
          <t>varga</t>
        </is>
      </c>
      <c r="C86" t="inlineStr">
        <is>
          <t>gun_turret.long</t>
        </is>
      </c>
      <c r="D86" t="n">
        <v>1.3</v>
      </c>
      <c r="E86" t="inlineStr">
        <is>
          <t>Assets/MachineBrigade/Resources/Data/balance.json: base.ai.styles.varga["gun_turret.long"]</t>
        </is>
      </c>
      <c r="F86" t="inlineStr">
        <is>
          <t>1.3</t>
        </is>
      </c>
    </row>
    <row r="87">
      <c r="A87" t="inlineStr">
        <is>
          <t>varga/heavy_turret</t>
        </is>
      </c>
      <c r="B87" t="inlineStr">
        <is>
          <t>varga</t>
        </is>
      </c>
      <c r="C87" t="inlineStr">
        <is>
          <t>heavy_turret</t>
        </is>
      </c>
      <c r="D87" t="n">
        <v>1.6</v>
      </c>
      <c r="E87" t="inlineStr">
        <is>
          <t>Assets/MachineBrigade/Resources/Data/balance.json: base.ai.styles.varga.heavy_turret</t>
        </is>
      </c>
      <c r="F87" t="inlineStr">
        <is>
          <t>1.6</t>
        </is>
      </c>
    </row>
    <row r="88">
      <c r="A88" t="inlineStr">
        <is>
          <t>varga/mg_bunker</t>
        </is>
      </c>
      <c r="B88" t="inlineStr">
        <is>
          <t>varga</t>
        </is>
      </c>
      <c r="C88" t="inlineStr">
        <is>
          <t>mg_bunker</t>
        </is>
      </c>
      <c r="D88" t="n">
        <v>1</v>
      </c>
      <c r="E88" t="inlineStr">
        <is>
          <t>Assets/MachineBrigade/Resources/Data/balance.json: base.ai.styles.varga.mg_bunker</t>
        </is>
      </c>
      <c r="F88" t="inlineStr">
        <is>
          <t>1.0</t>
        </is>
      </c>
    </row>
  </sheetData>
  <autoFilter ref="A1:F8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1" customWidth="1" min="2" max="2"/>
    <col width="8" customWidth="1" min="3" max="3"/>
    <col width="45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sat_thuong_moi_phat</t>
        </is>
      </c>
      <c r="C1" s="1" t="inlineStr">
        <is>
          <t>xuyen</t>
        </is>
      </c>
      <c r="D1" s="1" t="inlineStr">
        <is>
          <t>nguon</t>
        </is>
      </c>
      <c r="E1" s="1" t="inlineStr">
        <is>
          <t>raw_json</t>
        </is>
      </c>
    </row>
    <row r="2">
      <c r="A2" t="inlineStr">
        <is>
          <t>gun_105_wheeled</t>
        </is>
      </c>
      <c r="B2" t="n">
        <v>369</v>
      </c>
      <c r="C2" t="n">
        <v>4</v>
      </c>
      <c r="D2" t="inlineStr">
        <is>
          <t>01_chien_dau/Vu_khi (id gun_105_wheeled)</t>
        </is>
      </c>
      <c r="E2" t="inlineStr"/>
    </row>
    <row r="3">
      <c r="A3" t="inlineStr">
        <is>
          <t>gun_105_wheeled_he</t>
        </is>
      </c>
      <c r="B3" t="n">
        <v>369</v>
      </c>
      <c r="C3" t="n">
        <v>2</v>
      </c>
      <c r="D3" t="inlineStr">
        <is>
          <t>01_chien_dau/Vu_khi (id gun_105_wheeled_he)</t>
        </is>
      </c>
      <c r="E3" t="inlineStr"/>
    </row>
    <row r="4">
      <c r="A4" t="inlineStr">
        <is>
          <t>gun_120_twin_he</t>
        </is>
      </c>
      <c r="B4" t="n">
        <v>343</v>
      </c>
      <c r="C4" t="n">
        <v>2</v>
      </c>
      <c r="D4" t="inlineStr">
        <is>
          <t>01_chien_dau/Vu_khi (id gun_120_twin_he)</t>
        </is>
      </c>
      <c r="E4" t="inlineStr"/>
    </row>
    <row r="5">
      <c r="A5" t="inlineStr">
        <is>
          <t>gun_120mm_he</t>
        </is>
      </c>
      <c r="B5" t="n">
        <v>343</v>
      </c>
      <c r="C5" t="n">
        <v>2</v>
      </c>
      <c r="D5" t="inlineStr">
        <is>
          <t>01_chien_dau/Vu_khi (id gun_120mm_he)</t>
        </is>
      </c>
      <c r="E5" t="inlineStr"/>
    </row>
    <row r="6">
      <c r="A6" t="inlineStr">
        <is>
          <t>gun_152</t>
        </is>
      </c>
      <c r="B6" t="n">
        <v>457</v>
      </c>
      <c r="C6" t="n">
        <v>4</v>
      </c>
      <c r="D6" t="inlineStr">
        <is>
          <t>01_chien_dau/Vu_khi (id gun_152)</t>
        </is>
      </c>
      <c r="E6" t="inlineStr"/>
    </row>
    <row r="7">
      <c r="A7" t="inlineStr">
        <is>
          <t>ifv_30</t>
        </is>
      </c>
      <c r="B7" t="n">
        <v>22</v>
      </c>
      <c r="C7" t="n">
        <v>2</v>
      </c>
      <c r="D7" t="inlineStr">
        <is>
          <t>01_chien_dau/Vu_khi (id ifv_30)</t>
        </is>
      </c>
      <c r="E7" t="inlineStr"/>
    </row>
    <row r="8">
      <c r="A8" t="inlineStr">
        <is>
          <t>mlrs_rockets</t>
        </is>
      </c>
      <c r="B8" t="n">
        <v>100</v>
      </c>
      <c r="C8" t="n">
        <v>3</v>
      </c>
      <c r="D8" t="inlineStr">
        <is>
          <t>01_chien_dau/Vu_khi (id mlrs_rockets)</t>
        </is>
      </c>
      <c r="E8" t="inlineStr"/>
    </row>
    <row r="9">
      <c r="A9" t="inlineStr">
        <is>
          <t>recoilless_106</t>
        </is>
      </c>
      <c r="B9" t="n">
        <v>314</v>
      </c>
      <c r="C9" t="n">
        <v>3</v>
      </c>
      <c r="D9" t="inlineStr">
        <is>
          <t>01_chien_dau/Vu_khi (id recoilless_106)</t>
        </is>
      </c>
      <c r="E9" t="inlineStr"/>
    </row>
    <row r="10">
      <c r="A10" t="inlineStr">
        <is>
          <t>technical_rockets</t>
        </is>
      </c>
      <c r="B10" t="n">
        <v>49.5</v>
      </c>
      <c r="C10" t="n">
        <v>2</v>
      </c>
      <c r="D10" t="inlineStr">
        <is>
          <t>01_chien_dau/Vu_khi (id technical_rockets)</t>
        </is>
      </c>
      <c r="E10" t="inlineStr"/>
    </row>
    <row r="11">
      <c r="A11" t="inlineStr">
        <is>
          <t>thermobaric_rockets</t>
        </is>
      </c>
      <c r="B11" t="n">
        <v>97</v>
      </c>
      <c r="C11" t="n">
        <v>3</v>
      </c>
      <c r="D11" t="inlineStr">
        <is>
          <t>01_chien_dau/Vu_khi (id thermobaric_rockets)</t>
        </is>
      </c>
      <c r="E11" t="inlineStr"/>
    </row>
  </sheetData>
  <autoFilter ref="A1:E1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8" customWidth="1" min="4" max="4"/>
    <col width="52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danh_tu_tren</t>
        </is>
      </c>
      <c r="C1" s="1" t="inlineStr">
        <is>
          <t>ban_mat_dat</t>
        </is>
      </c>
      <c r="D1" s="1" t="inlineStr">
        <is>
          <t>he_so_cong_trinh</t>
        </is>
      </c>
      <c r="E1" s="1" t="inlineStr">
        <is>
          <t>nguon</t>
        </is>
      </c>
      <c r="F1" s="1" t="inlineStr">
        <is>
          <t>raw_json</t>
        </is>
      </c>
    </row>
    <row r="2">
      <c r="A2" t="inlineStr">
        <is>
          <t>gun_105_wheeled</t>
        </is>
      </c>
      <c r="B2" t="b">
        <v>0</v>
      </c>
      <c r="C2" t="b">
        <v>1</v>
      </c>
      <c r="D2" t="n">
        <v>0.6</v>
      </c>
      <c r="E2" t="inlineStr">
        <is>
          <t>01_chien_dau/Vu_khi_suy_ra (id gun_105_wheeled)</t>
        </is>
      </c>
      <c r="F2" t="inlineStr"/>
    </row>
    <row r="3">
      <c r="A3" t="inlineStr">
        <is>
          <t>gun_105_wheeled_he</t>
        </is>
      </c>
      <c r="B3" t="b">
        <v>0</v>
      </c>
      <c r="C3" t="b">
        <v>1</v>
      </c>
      <c r="D3" t="n">
        <v>1.5</v>
      </c>
      <c r="E3" t="inlineStr">
        <is>
          <t>01_chien_dau/Vu_khi_suy_ra (id gun_105_wheeled_he)</t>
        </is>
      </c>
      <c r="F3" t="inlineStr"/>
    </row>
    <row r="4">
      <c r="A4" t="inlineStr">
        <is>
          <t>gun_120_twin_he</t>
        </is>
      </c>
      <c r="B4" t="b">
        <v>0</v>
      </c>
      <c r="C4" t="b">
        <v>1</v>
      </c>
      <c r="D4" t="n">
        <v>1.5</v>
      </c>
      <c r="E4" t="inlineStr">
        <is>
          <t>01_chien_dau/Vu_khi_suy_ra (id gun_120_twin_he)</t>
        </is>
      </c>
      <c r="F4" t="inlineStr"/>
    </row>
    <row r="5">
      <c r="A5" t="inlineStr">
        <is>
          <t>gun_120mm_he</t>
        </is>
      </c>
      <c r="B5" t="b">
        <v>0</v>
      </c>
      <c r="C5" t="b">
        <v>1</v>
      </c>
      <c r="D5" t="n">
        <v>1.5</v>
      </c>
      <c r="E5" t="inlineStr">
        <is>
          <t>01_chien_dau/Vu_khi_suy_ra (id gun_120mm_he)</t>
        </is>
      </c>
      <c r="F5" t="inlineStr"/>
    </row>
    <row r="6">
      <c r="A6" t="inlineStr">
        <is>
          <t>gun_152</t>
        </is>
      </c>
      <c r="B6" t="b">
        <v>0</v>
      </c>
      <c r="C6" t="b">
        <v>1</v>
      </c>
      <c r="D6" t="n">
        <v>0.6</v>
      </c>
      <c r="E6" t="inlineStr">
        <is>
          <t>01_chien_dau/Vu_khi_suy_ra (id gun_152)</t>
        </is>
      </c>
      <c r="F6" t="inlineStr"/>
    </row>
    <row r="7">
      <c r="A7" t="inlineStr">
        <is>
          <t>ifv_30</t>
        </is>
      </c>
      <c r="B7" t="b">
        <v>0</v>
      </c>
      <c r="C7" t="b">
        <v>1</v>
      </c>
      <c r="D7" t="n">
        <v>0.6</v>
      </c>
      <c r="E7" t="inlineStr">
        <is>
          <t>01_chien_dau/Vu_khi_suy_ra (id ifv_30)</t>
        </is>
      </c>
      <c r="F7" t="inlineStr"/>
    </row>
    <row r="8">
      <c r="A8" t="inlineStr">
        <is>
          <t>mlrs_rockets</t>
        </is>
      </c>
      <c r="B8" t="b">
        <v>1</v>
      </c>
      <c r="C8" t="b">
        <v>1</v>
      </c>
      <c r="D8" t="n">
        <v>1.5</v>
      </c>
      <c r="E8" t="inlineStr">
        <is>
          <t>01_chien_dau/Vu_khi_suy_ra (id mlrs_rockets)</t>
        </is>
      </c>
      <c r="F8" t="inlineStr"/>
    </row>
    <row r="9">
      <c r="A9" t="inlineStr">
        <is>
          <t>recoilless_106</t>
        </is>
      </c>
      <c r="B9" t="b">
        <v>0</v>
      </c>
      <c r="C9" t="b">
        <v>1</v>
      </c>
      <c r="D9" t="n">
        <v>0.6</v>
      </c>
      <c r="E9" t="inlineStr">
        <is>
          <t>01_chien_dau/Vu_khi_suy_ra (id recoilless_106)</t>
        </is>
      </c>
      <c r="F9" t="inlineStr"/>
    </row>
    <row r="10">
      <c r="A10" t="inlineStr">
        <is>
          <t>technical_rockets</t>
        </is>
      </c>
      <c r="B10" t="b">
        <v>1</v>
      </c>
      <c r="C10" t="b">
        <v>1</v>
      </c>
      <c r="D10" t="n">
        <v>1.5</v>
      </c>
      <c r="E10" t="inlineStr">
        <is>
          <t>01_chien_dau/Vu_khi_suy_ra (id technical_rockets)</t>
        </is>
      </c>
      <c r="F10" t="inlineStr"/>
    </row>
    <row r="11">
      <c r="A11" t="inlineStr">
        <is>
          <t>thermobaric_rockets</t>
        </is>
      </c>
      <c r="B11" t="b">
        <v>1</v>
      </c>
      <c r="C11" t="b">
        <v>1</v>
      </c>
      <c r="D11" t="n">
        <v>2</v>
      </c>
      <c r="E11" t="inlineStr">
        <is>
          <t>01_chien_dau/Vu_khi_suy_ra (id thermobaric_rockets)</t>
        </is>
      </c>
      <c r="F11" t="inlineStr"/>
    </row>
  </sheetData>
  <autoFilter ref="A1:F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41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he_so</t>
        </is>
      </c>
      <c r="C1" s="1" t="inlineStr">
        <is>
          <t>nguon</t>
        </is>
      </c>
      <c r="D1" s="1" t="inlineStr">
        <is>
          <t>raw_json</t>
        </is>
      </c>
    </row>
    <row r="2">
      <c r="A2" t="inlineStr">
        <is>
          <t>buoc_0</t>
        </is>
      </c>
      <c r="B2" t="n">
        <v>1.2</v>
      </c>
      <c r="C2" t="inlineStr">
        <is>
          <t>01_chien_dau/Bang_xuyen_giap (id buoc_0)</t>
        </is>
      </c>
      <c r="D2" t="inlineStr"/>
    </row>
    <row r="3">
      <c r="A3" t="inlineStr">
        <is>
          <t>buoc_1</t>
        </is>
      </c>
      <c r="B3" t="n">
        <v>1</v>
      </c>
      <c r="C3" t="inlineStr">
        <is>
          <t>01_chien_dau/Bang_xuyen_giap (id buoc_1)</t>
        </is>
      </c>
      <c r="D3" t="inlineStr"/>
    </row>
    <row r="4">
      <c r="A4" t="inlineStr">
        <is>
          <t>buoc_2</t>
        </is>
      </c>
      <c r="B4" t="n">
        <v>0.85</v>
      </c>
      <c r="C4" t="inlineStr">
        <is>
          <t>01_chien_dau/Bang_xuyen_giap (id buoc_2)</t>
        </is>
      </c>
      <c r="D4" t="inlineStr"/>
    </row>
    <row r="5">
      <c r="A5" t="inlineStr">
        <is>
          <t>buoc_3</t>
        </is>
      </c>
      <c r="B5" t="n">
        <v>0.5</v>
      </c>
      <c r="C5" t="inlineStr">
        <is>
          <t>01_chien_dau/Bang_xuyen_giap (id buoc_3)</t>
        </is>
      </c>
      <c r="D5" t="inlineStr"/>
    </row>
    <row r="6">
      <c r="A6" t="inlineStr">
        <is>
          <t>buoc_4</t>
        </is>
      </c>
      <c r="B6" t="n">
        <v>0.25</v>
      </c>
      <c r="C6" t="inlineStr">
        <is>
          <t>01_chien_dau/Bang_xuyen_giap (id buoc_4)</t>
        </is>
      </c>
      <c r="D6" t="inlineStr"/>
    </row>
    <row r="7">
      <c r="A7" t="inlineStr">
        <is>
          <t>buoc_5</t>
        </is>
      </c>
      <c r="B7" t="n">
        <v>0.1</v>
      </c>
      <c r="C7" t="inlineStr">
        <is>
          <t>01_chien_dau/Bang_xuyen_giap (id buoc_5)</t>
        </is>
      </c>
      <c r="D7" t="inlineStr"/>
    </row>
  </sheetData>
  <autoFilter ref="A1:D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8" customWidth="1" min="2" max="2"/>
    <col width="15" customWidth="1" min="3" max="3"/>
    <col width="11" customWidth="1" min="4" max="4"/>
    <col width="20" customWidth="1" min="5" max="5"/>
    <col width="19" customWidth="1" min="6" max="6"/>
    <col width="19" customWidth="1" min="7" max="7"/>
    <col width="19" customWidth="1" min="8" max="8"/>
    <col width="12" customWidth="1" min="9" max="9"/>
    <col width="16" customWidth="1" min="10" max="10"/>
    <col width="18" customWidth="1" min="11" max="11"/>
    <col width="13" customWidth="1" min="12" max="12"/>
    <col width="12" customWidth="1" min="13" max="13"/>
    <col width="13" customWidth="1" min="14" max="14"/>
    <col width="13" customWidth="1" min="15" max="15"/>
    <col width="57" customWidth="1" min="16" max="16"/>
    <col width="60" customWidth="1" min="17" max="17"/>
    <col width="60" customWidth="1" min="18" max="18"/>
    <col width="38" customWidth="1" min="19" max="19"/>
    <col width="19" customWidth="1" min="20" max="20"/>
    <col width="6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co_o</t>
        </is>
      </c>
      <c r="C1" s="1" t="inlineStr">
        <is>
          <t>vai_tro_gia</t>
        </is>
      </c>
      <c r="D1" s="1" t="inlineStr">
        <is>
          <t>cach_tinh</t>
        </is>
      </c>
      <c r="E1" s="1" t="inlineStr">
        <is>
          <t>he_so_trung_vi_doa</t>
        </is>
      </c>
      <c r="F1" s="1" t="inlineStr">
        <is>
          <t>role_dps</t>
        </is>
      </c>
      <c r="G1" s="1" t="inlineStr">
        <is>
          <t>mau_tren_cp_nhom</t>
        </is>
      </c>
      <c r="H1" s="1" t="inlineStr">
        <is>
          <t>dps_tren_cp_nhom</t>
        </is>
      </c>
      <c r="I1" s="1" t="inlineStr">
        <is>
          <t>so_xe_nhom</t>
        </is>
      </c>
      <c r="J1" s="1" t="inlineStr">
        <is>
          <t>he_so_dung_yen</t>
        </is>
      </c>
      <c r="K1" s="1" t="inlineStr">
        <is>
          <t>gia_tri_tien_ich</t>
        </is>
      </c>
      <c r="L1" s="1" t="inlineStr">
        <is>
          <t>gia_tri_moc</t>
        </is>
      </c>
      <c r="M1" s="1" t="inlineStr">
        <is>
          <t>gia_moc_cp</t>
        </is>
      </c>
      <c r="N1" s="1" t="inlineStr">
        <is>
          <t>can_duoi_cp</t>
        </is>
      </c>
      <c r="O1" s="1" t="inlineStr">
        <is>
          <t>can_tren_cp</t>
        </is>
      </c>
      <c r="P1" s="1" t="inlineStr">
        <is>
          <t>effective_hp</t>
        </is>
      </c>
      <c r="Q1" s="1" t="inlineStr">
        <is>
          <t>equivalent_cp</t>
        </is>
      </c>
      <c r="R1" s="1" t="inlineStr">
        <is>
          <t>gia_tho</t>
        </is>
      </c>
      <c r="S1" s="1" t="inlineStr">
        <is>
          <t>gia_cong_thuc_cp</t>
        </is>
      </c>
      <c r="T1" s="1" t="inlineStr">
        <is>
          <t>lech_voi_game</t>
        </is>
      </c>
      <c r="U1" s="1" t="inlineStr">
        <is>
          <t>nguon</t>
        </is>
      </c>
      <c r="V1" s="1" t="inlineStr">
        <is>
          <t>raw_json</t>
        </is>
      </c>
    </row>
    <row r="2">
      <c r="A2" t="inlineStr">
        <is>
          <t>aa_turret</t>
        </is>
      </c>
      <c r="B2" t="inlineStr">
        <is>
          <t>Small</t>
        </is>
      </c>
      <c r="C2" t="inlineStr">
        <is>
          <t>air</t>
        </is>
      </c>
      <c r="D2" t="inlineStr">
        <is>
          <t>chien_dau</t>
        </is>
      </c>
      <c r="E2" t="n">
        <v>0.9375</v>
      </c>
      <c r="F2" t="n">
        <v>219.4167303643507</v>
      </c>
      <c r="G2" t="n">
        <v>173.8</v>
      </c>
      <c r="H2" t="n">
        <v>36.01866666666667</v>
      </c>
      <c r="I2" t="n">
        <v>7</v>
      </c>
      <c r="J2" t="n">
        <v>0.625</v>
      </c>
      <c r="N2" t="n">
        <v>3</v>
      </c>
      <c r="O2" t="n">
        <v>6</v>
      </c>
      <c r="P2">
        <f>IF($D$2="chien_dau",Thap!$J$3/MAX(0.000001,$E$2),"")</f>
        <v/>
      </c>
      <c r="Q2">
        <f>IF($D$2="chien_dau",SQRT(MAX(0,($P$2/$G$2)*($F$2/$H$2))),"")</f>
        <v/>
      </c>
      <c r="R2">
        <f>IF($D$2="chien_dau",$Q$2*$J$2*1.25,IF($D$2="san",$N$2,IF($D$2="relay",$K$2,IF($L$2&gt;0,$M$2*SQRT($K$2/$L$2),$N$2))))</f>
        <v/>
      </c>
      <c r="S2">
        <f>MAX($N$2,MIN($O$2,ROUND($R$2,0)))</f>
        <v/>
      </c>
      <c r="T2">
        <f>$S$2-Thap!$BN$3</f>
        <v/>
      </c>
      <c r="U2" t="inlineStr">
        <is>
          <t>Tools/balance/p32_tower_prices.py Model.price('aa_turret')</t>
        </is>
      </c>
      <c r="V2" t="inlineStr"/>
    </row>
    <row r="3">
      <c r="A3" t="inlineStr">
        <is>
          <t>aa_turret.flak</t>
        </is>
      </c>
      <c r="B3" t="inlineStr">
        <is>
          <t>Small</t>
        </is>
      </c>
      <c r="C3" t="inlineStr">
        <is>
          <t>air</t>
        </is>
      </c>
      <c r="D3" t="inlineStr">
        <is>
          <t>chien_dau</t>
        </is>
      </c>
      <c r="E3" t="n">
        <v>0.9375</v>
      </c>
      <c r="F3" t="n">
        <v>240.3845953002611</v>
      </c>
      <c r="G3" t="n">
        <v>173.8</v>
      </c>
      <c r="H3" t="n">
        <v>36.01866666666667</v>
      </c>
      <c r="I3" t="n">
        <v>7</v>
      </c>
      <c r="J3" t="n">
        <v>0.625</v>
      </c>
      <c r="N3" t="n">
        <v>3</v>
      </c>
      <c r="O3" t="n">
        <v>6</v>
      </c>
      <c r="P3">
        <f>IF($D$3="chien_dau",Thap!$J$4/MAX(0.000001,$E$3),"")</f>
        <v/>
      </c>
      <c r="Q3">
        <f>IF($D$3="chien_dau",SQRT(MAX(0,($P$3/$G$3)*($F$3/$H$3))),"")</f>
        <v/>
      </c>
      <c r="R3">
        <f>IF($D$3="chien_dau",$Q$3*$J$3*1.25,IF($D$3="san",$N$3,IF($D$3="relay",$K$3,IF($L$3&gt;0,$M$3*SQRT($K$3/$L$3),$N$3))))</f>
        <v/>
      </c>
      <c r="S3">
        <f>MAX($N$3,MIN($O$3,ROUND($R$3,0)))</f>
        <v/>
      </c>
      <c r="T3">
        <f>$S$3-Thap!$BN$4</f>
        <v/>
      </c>
      <c r="U3" t="inlineStr">
        <is>
          <t>Tools/balance/p32_tower_prices.py Model.price('aa_turret.flak')</t>
        </is>
      </c>
      <c r="V3" t="inlineStr"/>
    </row>
    <row r="4">
      <c r="A4" t="inlineStr">
        <is>
          <t>aa_turret.sam</t>
        </is>
      </c>
      <c r="B4" t="inlineStr">
        <is>
          <t>Small</t>
        </is>
      </c>
      <c r="C4" t="inlineStr">
        <is>
          <t>air</t>
        </is>
      </c>
      <c r="D4" t="inlineStr">
        <is>
          <t>chien_dau</t>
        </is>
      </c>
      <c r="E4" t="n">
        <v>0.9375</v>
      </c>
      <c r="F4" t="n">
        <v>49.64061096136568</v>
      </c>
      <c r="G4" t="n">
        <v>173.8</v>
      </c>
      <c r="H4" t="n">
        <v>36.01866666666667</v>
      </c>
      <c r="I4" t="n">
        <v>7</v>
      </c>
      <c r="J4" t="n">
        <v>0.725</v>
      </c>
      <c r="N4" t="n">
        <v>3</v>
      </c>
      <c r="O4" t="n">
        <v>6</v>
      </c>
      <c r="P4">
        <f>IF($D$4="chien_dau",Thap!$J$5/MAX(0.000001,$E$4),"")</f>
        <v/>
      </c>
      <c r="Q4">
        <f>IF($D$4="chien_dau",SQRT(MAX(0,($P$4/$G$4)*($F$4/$H$4))),"")</f>
        <v/>
      </c>
      <c r="R4">
        <f>IF($D$4="chien_dau",$Q$4*$J$4*1.25,IF($D$4="san",$N$4,IF($D$4="relay",$K$4,IF($L$4&gt;0,$M$4*SQRT($K$4/$L$4),$N$4))))</f>
        <v/>
      </c>
      <c r="S4">
        <f>MAX($N$4,MIN($O$4,ROUND($R$4,0)))</f>
        <v/>
      </c>
      <c r="T4">
        <f>$S$4-Thap!$BN$5</f>
        <v/>
      </c>
      <c r="U4" t="inlineStr">
        <is>
          <t>Tools/balance/p32_tower_prices.py Model.price('aa_turret.sam')</t>
        </is>
      </c>
      <c r="V4" t="inlineStr"/>
    </row>
    <row r="5">
      <c r="A5" t="inlineStr">
        <is>
          <t>aircraft_hangar</t>
        </is>
      </c>
      <c r="B5" t="inlineStr">
        <is>
          <t>Medium</t>
        </is>
      </c>
      <c r="C5" t="inlineStr">
        <is>
          <t>multi</t>
        </is>
      </c>
      <c r="D5" t="inlineStr">
        <is>
          <t>chien_dau</t>
        </is>
      </c>
      <c r="E5" t="n">
        <v>1.275</v>
      </c>
      <c r="F5" t="n">
        <v>0</v>
      </c>
      <c r="G5" t="n">
        <v>172.8789682539683</v>
      </c>
      <c r="H5" t="n">
        <v>9.804349614137468</v>
      </c>
      <c r="I5" t="n">
        <v>46</v>
      </c>
      <c r="J5" t="n">
        <v>0.575</v>
      </c>
      <c r="N5" t="n">
        <v>5</v>
      </c>
      <c r="O5" t="n">
        <v>11</v>
      </c>
      <c r="P5">
        <f>IF($D$5="chien_dau",Thap!$J$6/MAX(0.000001,$E$5),"")</f>
        <v/>
      </c>
      <c r="Q5">
        <f>IF($D$5="chien_dau",SQRT(MAX(0,($P$5/$G$5)*($F$5/$H$5))),"")</f>
        <v/>
      </c>
      <c r="R5">
        <f>IF($D$5="chien_dau",$Q$5*$J$5*1.25,IF($D$5="san",$N$5,IF($D$5="relay",$K$5,IF($L$5&gt;0,$M$5*SQRT($K$5/$L$5),$N$5))))</f>
        <v/>
      </c>
      <c r="S5">
        <f>MAX($N$5,MIN($O$5,ROUND($R$5,0)))</f>
        <v/>
      </c>
      <c r="T5">
        <f>$S$5-Thap!$BN$6</f>
        <v/>
      </c>
      <c r="U5" t="inlineStr">
        <is>
          <t>Tools/balance/p32_tower_prices.py Model.price('aircraft_hangar')</t>
        </is>
      </c>
      <c r="V5" t="inlineStr"/>
    </row>
    <row r="6">
      <c r="A6" t="inlineStr">
        <is>
          <t>atgm_tower</t>
        </is>
      </c>
      <c r="B6" t="inlineStr">
        <is>
          <t>Medium</t>
        </is>
      </c>
      <c r="C6" t="inlineStr">
        <is>
          <t>at</t>
        </is>
      </c>
      <c r="D6" t="inlineStr">
        <is>
          <t>chien_dau</t>
        </is>
      </c>
      <c r="E6" t="n">
        <v>1.275</v>
      </c>
      <c r="F6" t="n">
        <v>76.66666666666667</v>
      </c>
      <c r="G6" t="n">
        <v>328.4901960784314</v>
      </c>
      <c r="H6" t="n">
        <v>7.673242140110352</v>
      </c>
      <c r="I6" t="n">
        <v>14</v>
      </c>
      <c r="J6" t="n">
        <v>0.625</v>
      </c>
      <c r="N6" t="n">
        <v>5</v>
      </c>
      <c r="O6" t="n">
        <v>11</v>
      </c>
      <c r="P6">
        <f>IF($D$6="chien_dau",Thap!$J$7/MAX(0.000001,$E$6),"")</f>
        <v/>
      </c>
      <c r="Q6">
        <f>IF($D$6="chien_dau",SQRT(MAX(0,($P$6/$G$6)*($F$6/$H$6))),"")</f>
        <v/>
      </c>
      <c r="R6">
        <f>IF($D$6="chien_dau",$Q$6*$J$6*1.25,IF($D$6="san",$N$6,IF($D$6="relay",$K$6,IF($L$6&gt;0,$M$6*SQRT($K$6/$L$6),$N$6))))</f>
        <v/>
      </c>
      <c r="S6">
        <f>MAX($N$6,MIN($O$6,ROUND($R$6,0)))</f>
        <v/>
      </c>
      <c r="T6">
        <f>$S$6-Thap!$BN$7</f>
        <v/>
      </c>
      <c r="U6" t="inlineStr">
        <is>
          <t>Tools/balance/p32_tower_prices.py Model.price('atgm_tower')</t>
        </is>
      </c>
      <c r="V6" t="inlineStr"/>
    </row>
    <row r="7">
      <c r="A7" t="inlineStr">
        <is>
          <t>atgm_tower.multi</t>
        </is>
      </c>
      <c r="B7" t="inlineStr">
        <is>
          <t>Medium</t>
        </is>
      </c>
      <c r="C7" t="inlineStr">
        <is>
          <t>at</t>
        </is>
      </c>
      <c r="D7" t="inlineStr">
        <is>
          <t>chien_dau</t>
        </is>
      </c>
      <c r="E7" t="n">
        <v>1.275</v>
      </c>
      <c r="F7" t="n">
        <v>65.16666666666667</v>
      </c>
      <c r="G7" t="n">
        <v>328.4901960784314</v>
      </c>
      <c r="H7" t="n">
        <v>7.673242140110352</v>
      </c>
      <c r="I7" t="n">
        <v>14</v>
      </c>
      <c r="J7" t="n">
        <v>0.625</v>
      </c>
      <c r="N7" t="n">
        <v>5</v>
      </c>
      <c r="O7" t="n">
        <v>11</v>
      </c>
      <c r="P7">
        <f>IF($D$7="chien_dau",Thap!$J$8/MAX(0.000001,$E$7),"")</f>
        <v/>
      </c>
      <c r="Q7">
        <f>IF($D$7="chien_dau",SQRT(MAX(0,($P$7/$G$7)*($F$7/$H$7))),"")</f>
        <v/>
      </c>
      <c r="R7">
        <f>IF($D$7="chien_dau",$Q$7*$J$7*1.25,IF($D$7="san",$N$7,IF($D$7="relay",$K$7,IF($L$7&gt;0,$M$7*SQRT($K$7/$L$7),$N$7))))</f>
        <v/>
      </c>
      <c r="S7">
        <f>MAX($N$7,MIN($O$7,ROUND($R$7,0)))</f>
        <v/>
      </c>
      <c r="T7">
        <f>$S$7-Thap!$BN$8</f>
        <v/>
      </c>
      <c r="U7" t="inlineStr">
        <is>
          <t>Tools/balance/p32_tower_prices.py Model.price('atgm_tower.multi')</t>
        </is>
      </c>
      <c r="V7" t="inlineStr"/>
    </row>
    <row r="8">
      <c r="A8" t="inlineStr">
        <is>
          <t>atgm_tower.top</t>
        </is>
      </c>
      <c r="B8" t="inlineStr">
        <is>
          <t>Medium</t>
        </is>
      </c>
      <c r="C8" t="inlineStr">
        <is>
          <t>at</t>
        </is>
      </c>
      <c r="D8" t="inlineStr">
        <is>
          <t>chien_dau</t>
        </is>
      </c>
      <c r="E8" t="n">
        <v>1.275</v>
      </c>
      <c r="F8" t="n">
        <v>81.82692307692308</v>
      </c>
      <c r="G8" t="n">
        <v>328.4901960784314</v>
      </c>
      <c r="H8" t="n">
        <v>7.673242140110352</v>
      </c>
      <c r="I8" t="n">
        <v>14</v>
      </c>
      <c r="J8" t="n">
        <v>0.625</v>
      </c>
      <c r="N8" t="n">
        <v>5</v>
      </c>
      <c r="O8" t="n">
        <v>11</v>
      </c>
      <c r="P8">
        <f>IF($D$8="chien_dau",Thap!$J$9/MAX(0.000001,$E$8),"")</f>
        <v/>
      </c>
      <c r="Q8">
        <f>IF($D$8="chien_dau",SQRT(MAX(0,($P$8/$G$8)*($F$8/$H$8))),"")</f>
        <v/>
      </c>
      <c r="R8">
        <f>IF($D$8="chien_dau",$Q$8*$J$8*1.25,IF($D$8="san",$N$8,IF($D$8="relay",$K$8,IF($L$8&gt;0,$M$8*SQRT($K$8/$L$8),$N$8))))</f>
        <v/>
      </c>
      <c r="S8">
        <f>MAX($N$8,MIN($O$8,ROUND($R$8,0)))</f>
        <v/>
      </c>
      <c r="T8">
        <f>$S$8-Thap!$BN$9</f>
        <v/>
      </c>
      <c r="U8" t="inlineStr">
        <is>
          <t>Tools/balance/p32_tower_prices.py Model.price('atgm_tower.top')</t>
        </is>
      </c>
      <c r="V8" t="inlineStr"/>
    </row>
    <row r="9">
      <c r="A9" t="inlineStr">
        <is>
          <t>c_ram</t>
        </is>
      </c>
      <c r="B9" t="inlineStr">
        <is>
          <t>Medium</t>
        </is>
      </c>
      <c r="C9" t="inlineStr">
        <is>
          <t>util:intercept</t>
        </is>
      </c>
      <c r="D9" t="inlineStr">
        <is>
          <t>intercept</t>
        </is>
      </c>
      <c r="K9" t="n">
        <v>100</v>
      </c>
      <c r="L9" t="n">
        <v>100</v>
      </c>
      <c r="M9" t="n">
        <v>5</v>
      </c>
      <c r="N9" t="n">
        <v>5</v>
      </c>
      <c r="O9" t="n">
        <v>11</v>
      </c>
      <c r="P9">
        <f>IF($D$9="chien_dau",Thap!$J$14/MAX(0.000001,$E$9),"")</f>
        <v/>
      </c>
      <c r="Q9">
        <f>IF($D$9="chien_dau",SQRT(MAX(0,($P$9/$G$9)*($F$9/$H$9))),"")</f>
        <v/>
      </c>
      <c r="R9">
        <f>IF($D$9="chien_dau",$Q$9*$J$9*1.25,IF($D$9="san",$N$9,IF($D$9="relay",$K$9,IF($L$9&gt;0,$M$9*SQRT($K$9/$L$9),$N$9))))</f>
        <v/>
      </c>
      <c r="S9">
        <f>MAX($N$9,MIN($O$9,ROUND($R$9,0)))</f>
        <v/>
      </c>
      <c r="T9">
        <f>$S$9-Thap!$BN$14</f>
        <v/>
      </c>
      <c r="U9" t="inlineStr">
        <is>
          <t>Tools/balance/p32_tower_prices.py Model.price('c_ram')</t>
        </is>
      </c>
      <c r="V9" t="inlineStr"/>
    </row>
    <row r="10">
      <c r="A10" t="inlineStr">
        <is>
          <t>c_ram.centurion</t>
        </is>
      </c>
      <c r="B10" t="inlineStr">
        <is>
          <t>Medium</t>
        </is>
      </c>
      <c r="C10" t="inlineStr">
        <is>
          <t>util:intercept</t>
        </is>
      </c>
      <c r="D10" t="inlineStr">
        <is>
          <t>intercept</t>
        </is>
      </c>
      <c r="K10" t="n">
        <v>120</v>
      </c>
      <c r="L10" t="n">
        <v>100</v>
      </c>
      <c r="M10" t="n">
        <v>5</v>
      </c>
      <c r="N10" t="n">
        <v>5</v>
      </c>
      <c r="O10" t="n">
        <v>11</v>
      </c>
      <c r="P10">
        <f>IF($D$10="chien_dau",Thap!$J$15/MAX(0.000001,$E$10),"")</f>
        <v/>
      </c>
      <c r="Q10">
        <f>IF($D$10="chien_dau",SQRT(MAX(0,($P$10/$G$10)*($F$10/$H$10))),"")</f>
        <v/>
      </c>
      <c r="R10">
        <f>IF($D$10="chien_dau",$Q$10*$J$10*1.25,IF($D$10="san",$N$10,IF($D$10="relay",$K$10,IF($L$10&gt;0,$M$10*SQRT($K$10/$L$10),$N$10))))</f>
        <v/>
      </c>
      <c r="S10">
        <f>MAX($N$10,MIN($O$10,ROUND($R$10,0)))</f>
        <v/>
      </c>
      <c r="T10">
        <f>$S$10-Thap!$BN$15</f>
        <v/>
      </c>
      <c r="U10" t="inlineStr">
        <is>
          <t>Tools/balance/p32_tower_prices.py Model.price('c_ram.centurion')</t>
        </is>
      </c>
      <c r="V10" t="inlineStr"/>
    </row>
    <row r="11">
      <c r="A11" t="inlineStr">
        <is>
          <t>c_ram.dome</t>
        </is>
      </c>
      <c r="B11" t="inlineStr">
        <is>
          <t>Medium</t>
        </is>
      </c>
      <c r="C11" t="inlineStr">
        <is>
          <t>util:intercept</t>
        </is>
      </c>
      <c r="D11" t="inlineStr">
        <is>
          <t>intercept</t>
        </is>
      </c>
      <c r="K11" t="n">
        <v>88.16326530612244</v>
      </c>
      <c r="L11" t="n">
        <v>100</v>
      </c>
      <c r="M11" t="n">
        <v>5</v>
      </c>
      <c r="N11" t="n">
        <v>5</v>
      </c>
      <c r="O11" t="n">
        <v>11</v>
      </c>
      <c r="P11">
        <f>IF($D$11="chien_dau",Thap!$J$16/MAX(0.000001,$E$11),"")</f>
        <v/>
      </c>
      <c r="Q11">
        <f>IF($D$11="chien_dau",SQRT(MAX(0,($P$11/$G$11)*($F$11/$H$11))),"")</f>
        <v/>
      </c>
      <c r="R11">
        <f>IF($D$11="chien_dau",$Q$11*$J$11*1.25,IF($D$11="san",$N$11,IF($D$11="relay",$K$11,IF($L$11&gt;0,$M$11*SQRT($K$11/$L$11),$N$11))))</f>
        <v/>
      </c>
      <c r="S11">
        <f>MAX($N$11,MIN($O$11,ROUND($R$11,0)))</f>
        <v/>
      </c>
      <c r="T11">
        <f>$S$11-Thap!$BN$16</f>
        <v/>
      </c>
      <c r="U11" t="inlineStr">
        <is>
          <t>Tools/balance/p32_tower_prices.py Model.price('c_ram.dome')</t>
        </is>
      </c>
      <c r="V11" t="inlineStr"/>
    </row>
    <row r="12">
      <c r="A12" t="inlineStr">
        <is>
          <t>cp_relay</t>
        </is>
      </c>
      <c r="B12" t="inlineStr">
        <is>
          <t>Small</t>
        </is>
      </c>
      <c r="C12" t="inlineStr">
        <is>
          <t>util:relay</t>
        </is>
      </c>
      <c r="D12" t="inlineStr">
        <is>
          <t>relay</t>
        </is>
      </c>
      <c r="K12" t="n">
        <v>10.8</v>
      </c>
      <c r="N12" t="n">
        <v>3</v>
      </c>
      <c r="O12" t="n">
        <v>6</v>
      </c>
      <c r="P12">
        <f>IF($D$12="chien_dau",Thap!$J$18/MAX(0.000001,$E$12),"")</f>
        <v/>
      </c>
      <c r="Q12">
        <f>IF($D$12="chien_dau",SQRT(MAX(0,($P$12/$G$12)*($F$12/$H$12))),"")</f>
        <v/>
      </c>
      <c r="R12">
        <f>IF($D$12="chien_dau",$Q$12*$J$12*1.25,IF($D$12="san",$N$12,IF($D$12="relay",$K$12,IF($L$12&gt;0,$M$12*SQRT($K$12/$L$12),$N$12))))</f>
        <v/>
      </c>
      <c r="S12">
        <f>MAX($N$12,MIN($O$12,ROUND($R$12,0)))</f>
        <v/>
      </c>
      <c r="T12">
        <f>$S$12-Thap!$BN$18</f>
        <v/>
      </c>
      <c r="U12" t="inlineStr">
        <is>
          <t>Tools/balance/p32_tower_prices.py Model.price('cp_relay')</t>
        </is>
      </c>
      <c r="V12" t="inlineStr"/>
    </row>
    <row r="13">
      <c r="A13" t="inlineStr">
        <is>
          <t>drone_hangar</t>
        </is>
      </c>
      <c r="B13" t="inlineStr">
        <is>
          <t>Large</t>
        </is>
      </c>
      <c r="C13" t="inlineStr">
        <is>
          <t>multi</t>
        </is>
      </c>
      <c r="D13" t="inlineStr">
        <is>
          <t>chien_dau</t>
        </is>
      </c>
      <c r="E13" t="n">
        <v>1.275</v>
      </c>
      <c r="F13" t="n">
        <v>44.66666666666667</v>
      </c>
      <c r="G13" t="n">
        <v>172.8789682539683</v>
      </c>
      <c r="H13" t="n">
        <v>9.804349614137468</v>
      </c>
      <c r="I13" t="n">
        <v>46</v>
      </c>
      <c r="J13" t="n">
        <v>0.725</v>
      </c>
      <c r="N13" t="n">
        <v>9</v>
      </c>
      <c r="O13" t="n">
        <v>18</v>
      </c>
      <c r="P13">
        <f>IF($D$13="chien_dau",Thap!$J$19/MAX(0.000001,$E$13),"")</f>
        <v/>
      </c>
      <c r="Q13">
        <f>IF($D$13="chien_dau",SQRT(MAX(0,($P$13/$G$13)*($F$13/$H$13))),"")</f>
        <v/>
      </c>
      <c r="R13">
        <f>IF($D$13="chien_dau",$Q$13*$J$13*1.25,IF($D$13="san",$N$13,IF($D$13="relay",$K$13,IF($L$13&gt;0,$M$13*SQRT($K$13/$L$13),$N$13))))</f>
        <v/>
      </c>
      <c r="S13">
        <f>MAX($N$13,MIN($O$13,ROUND($R$13,0)))</f>
        <v/>
      </c>
      <c r="T13">
        <f>$S$13-Thap!$BN$19</f>
        <v/>
      </c>
      <c r="U13" t="inlineStr">
        <is>
          <t>Tools/balance/p32_tower_prices.py Model.price('drone_hangar')</t>
        </is>
      </c>
      <c r="V13" t="inlineStr"/>
    </row>
    <row r="14">
      <c r="A14" t="inlineStr">
        <is>
          <t>drone_hangar.lancet</t>
        </is>
      </c>
      <c r="B14" t="inlineStr">
        <is>
          <t>Large</t>
        </is>
      </c>
      <c r="C14" t="inlineStr">
        <is>
          <t>multi</t>
        </is>
      </c>
      <c r="D14" t="inlineStr">
        <is>
          <t>chien_dau</t>
        </is>
      </c>
      <c r="E14" t="n">
        <v>1.275</v>
      </c>
      <c r="F14" t="n">
        <v>64.16666666666667</v>
      </c>
      <c r="G14" t="n">
        <v>172.8789682539683</v>
      </c>
      <c r="H14" t="n">
        <v>9.804349614137468</v>
      </c>
      <c r="I14" t="n">
        <v>46</v>
      </c>
      <c r="J14" t="n">
        <v>0.725</v>
      </c>
      <c r="N14" t="n">
        <v>9</v>
      </c>
      <c r="O14" t="n">
        <v>18</v>
      </c>
      <c r="P14">
        <f>IF($D$14="chien_dau",Thap!$J$20/MAX(0.000001,$E$14),"")</f>
        <v/>
      </c>
      <c r="Q14">
        <f>IF($D$14="chien_dau",SQRT(MAX(0,($P$14/$G$14)*($F$14/$H$14))),"")</f>
        <v/>
      </c>
      <c r="R14">
        <f>IF($D$14="chien_dau",$Q$14*$J$14*1.25,IF($D$14="san",$N$14,IF($D$14="relay",$K$14,IF($L$14&gt;0,$M$14*SQRT($K$14/$L$14),$N$14))))</f>
        <v/>
      </c>
      <c r="S14">
        <f>MAX($N$14,MIN($O$14,ROUND($R$14,0)))</f>
        <v/>
      </c>
      <c r="T14">
        <f>$S$14-Thap!$BN$20</f>
        <v/>
      </c>
      <c r="U14" t="inlineStr">
        <is>
          <t>Tools/balance/p32_tower_prices.py Model.price('drone_hangar.lancet')</t>
        </is>
      </c>
      <c r="V14" t="inlineStr"/>
    </row>
    <row r="15">
      <c r="A15" t="inlineStr">
        <is>
          <t>drone_hangar.swarm</t>
        </is>
      </c>
      <c r="B15" t="inlineStr">
        <is>
          <t>Large</t>
        </is>
      </c>
      <c r="C15" t="inlineStr">
        <is>
          <t>multi</t>
        </is>
      </c>
      <c r="D15" t="inlineStr">
        <is>
          <t>chien_dau</t>
        </is>
      </c>
      <c r="E15" t="n">
        <v>1.275</v>
      </c>
      <c r="F15" t="n">
        <v>59.36708860759494</v>
      </c>
      <c r="G15" t="n">
        <v>172.8789682539683</v>
      </c>
      <c r="H15" t="n">
        <v>9.804349614137468</v>
      </c>
      <c r="I15" t="n">
        <v>46</v>
      </c>
      <c r="J15" t="n">
        <v>0.725</v>
      </c>
      <c r="N15" t="n">
        <v>9</v>
      </c>
      <c r="O15" t="n">
        <v>18</v>
      </c>
      <c r="P15">
        <f>IF($D$15="chien_dau",Thap!$J$21/MAX(0.000001,$E$15),"")</f>
        <v/>
      </c>
      <c r="Q15">
        <f>IF($D$15="chien_dau",SQRT(MAX(0,($P$15/$G$15)*($F$15/$H$15))),"")</f>
        <v/>
      </c>
      <c r="R15">
        <f>IF($D$15="chien_dau",$Q$15*$J$15*1.25,IF($D$15="san",$N$15,IF($D$15="relay",$K$15,IF($L$15&gt;0,$M$15*SQRT($K$15/$L$15),$N$15))))</f>
        <v/>
      </c>
      <c r="S15">
        <f>MAX($N$15,MIN($O$15,ROUND($R$15,0)))</f>
        <v/>
      </c>
      <c r="T15">
        <f>$S$15-Thap!$BN$21</f>
        <v/>
      </c>
      <c r="U15" t="inlineStr">
        <is>
          <t>Tools/balance/p32_tower_prices.py Model.price('drone_hangar.swarm')</t>
        </is>
      </c>
      <c r="V15" t="inlineStr"/>
    </row>
    <row r="16">
      <c r="A16" t="inlineStr">
        <is>
          <t>ew_tower</t>
        </is>
      </c>
      <c r="B16" t="inlineStr">
        <is>
          <t>Small</t>
        </is>
      </c>
      <c r="C16" t="inlineStr">
        <is>
          <t>util:floor</t>
        </is>
      </c>
      <c r="D16" t="inlineStr">
        <is>
          <t>san</t>
        </is>
      </c>
      <c r="N16" t="n">
        <v>3</v>
      </c>
      <c r="O16" t="n">
        <v>6</v>
      </c>
      <c r="P16">
        <f>IF($D$16="chien_dau",Thap!$J$23/MAX(0.000001,$E$16),"")</f>
        <v/>
      </c>
      <c r="Q16">
        <f>IF($D$16="chien_dau",SQRT(MAX(0,($P$16/$G$16)*($F$16/$H$16))),"")</f>
        <v/>
      </c>
      <c r="R16">
        <f>IF($D$16="chien_dau",$Q$16*$J$16*1.25,IF($D$16="san",$N$16,IF($D$16="relay",$K$16,IF($L$16&gt;0,$M$16*SQRT($K$16/$L$16),$N$16))))</f>
        <v/>
      </c>
      <c r="S16">
        <f>MAX($N$16,MIN($O$16,ROUND($R$16,0)))</f>
        <v/>
      </c>
      <c r="T16">
        <f>$S$16-Thap!$BN$23</f>
        <v/>
      </c>
      <c r="U16" t="inlineStr">
        <is>
          <t>Tools/balance/p32_tower_prices.py Model.price('ew_tower')</t>
        </is>
      </c>
      <c r="V16" t="inlineStr"/>
    </row>
    <row r="17">
      <c r="A17" t="inlineStr">
        <is>
          <t>ew_tower.drone</t>
        </is>
      </c>
      <c r="B17" t="inlineStr">
        <is>
          <t>Small</t>
        </is>
      </c>
      <c r="C17" t="inlineStr">
        <is>
          <t>util:floor</t>
        </is>
      </c>
      <c r="D17" t="inlineStr">
        <is>
          <t>san</t>
        </is>
      </c>
      <c r="N17" t="n">
        <v>3</v>
      </c>
      <c r="O17" t="n">
        <v>6</v>
      </c>
      <c r="P17">
        <f>IF($D$17="chien_dau",Thap!$J$24/MAX(0.000001,$E$17),"")</f>
        <v/>
      </c>
      <c r="Q17">
        <f>IF($D$17="chien_dau",SQRT(MAX(0,($P$17/$G$17)*($F$17/$H$17))),"")</f>
        <v/>
      </c>
      <c r="R17">
        <f>IF($D$17="chien_dau",$Q$17*$J$17*1.25,IF($D$17="san",$N$17,IF($D$17="relay",$K$17,IF($L$17&gt;0,$M$17*SQRT($K$17/$L$17),$N$17))))</f>
        <v/>
      </c>
      <c r="S17">
        <f>MAX($N$17,MIN($O$17,ROUND($R$17,0)))</f>
        <v/>
      </c>
      <c r="T17">
        <f>$S$17-Thap!$BN$24</f>
        <v/>
      </c>
      <c r="U17" t="inlineStr">
        <is>
          <t>Tools/balance/p32_tower_prices.py Model.price('ew_tower.drone')</t>
        </is>
      </c>
      <c r="V17" t="inlineStr"/>
    </row>
    <row r="18">
      <c r="A18" t="inlineStr">
        <is>
          <t>ew_tower.spoof</t>
        </is>
      </c>
      <c r="B18" t="inlineStr">
        <is>
          <t>Small</t>
        </is>
      </c>
      <c r="C18" t="inlineStr">
        <is>
          <t>util:floor</t>
        </is>
      </c>
      <c r="D18" t="inlineStr">
        <is>
          <t>san</t>
        </is>
      </c>
      <c r="N18" t="n">
        <v>3</v>
      </c>
      <c r="O18" t="n">
        <v>6</v>
      </c>
      <c r="P18">
        <f>IF($D$18="chien_dau",Thap!$J$25/MAX(0.000001,$E$18),"")</f>
        <v/>
      </c>
      <c r="Q18">
        <f>IF($D$18="chien_dau",SQRT(MAX(0,($P$18/$G$18)*($F$18/$H$18))),"")</f>
        <v/>
      </c>
      <c r="R18">
        <f>IF($D$18="chien_dau",$Q$18*$J$18*1.25,IF($D$18="san",$N$18,IF($D$18="relay",$K$18,IF($L$18&gt;0,$M$18*SQRT($K$18/$L$18),$N$18))))</f>
        <v/>
      </c>
      <c r="S18">
        <f>MAX($N$18,MIN($O$18,ROUND($R$18,0)))</f>
        <v/>
      </c>
      <c r="T18">
        <f>$S$18-Thap!$BN$25</f>
        <v/>
      </c>
      <c r="U18" t="inlineStr">
        <is>
          <t>Tools/balance/p32_tower_prices.py Model.price('ew_tower.spoof')</t>
        </is>
      </c>
      <c r="V18" t="inlineStr"/>
    </row>
    <row r="19">
      <c r="A19" t="inlineStr">
        <is>
          <t>guard_tower</t>
        </is>
      </c>
      <c r="B19" t="inlineStr">
        <is>
          <t>Small</t>
        </is>
      </c>
      <c r="C19" t="inlineStr">
        <is>
          <t>light</t>
        </is>
      </c>
      <c r="D19" t="inlineStr">
        <is>
          <t>chien_dau</t>
        </is>
      </c>
      <c r="E19" t="n">
        <v>1.11</v>
      </c>
      <c r="F19" t="n">
        <v>64.59999999999999</v>
      </c>
      <c r="G19" t="n">
        <v>220</v>
      </c>
      <c r="H19" t="n">
        <v>20.84288116757437</v>
      </c>
      <c r="I19" t="n">
        <v>7</v>
      </c>
      <c r="J19" t="n">
        <v>0.575</v>
      </c>
      <c r="N19" t="n">
        <v>3</v>
      </c>
      <c r="O19" t="n">
        <v>6</v>
      </c>
      <c r="P19">
        <f>IF($D$19="chien_dau",Thap!$J$28/MAX(0.000001,$E$19),"")</f>
        <v/>
      </c>
      <c r="Q19">
        <f>IF($D$19="chien_dau",SQRT(MAX(0,($P$19/$G$19)*($F$19/$H$19))),"")</f>
        <v/>
      </c>
      <c r="R19">
        <f>IF($D$19="chien_dau",$Q$19*$J$19*1.25,IF($D$19="san",$N$19,IF($D$19="relay",$K$19,IF($L$19&gt;0,$M$19*SQRT($K$19/$L$19),$N$19))))</f>
        <v/>
      </c>
      <c r="S19">
        <f>MAX($N$19,MIN($O$19,ROUND($R$19,0)))</f>
        <v/>
      </c>
      <c r="T19">
        <f>$S$19-Thap!$BN$28</f>
        <v/>
      </c>
      <c r="U19" t="inlineStr">
        <is>
          <t>Tools/balance/p32_tower_prices.py Model.price('guard_tower')</t>
        </is>
      </c>
      <c r="V19" t="inlineStr"/>
    </row>
    <row r="20">
      <c r="A20" t="inlineStr">
        <is>
          <t>guard_tower.nest</t>
        </is>
      </c>
      <c r="B20" t="inlineStr">
        <is>
          <t>Small</t>
        </is>
      </c>
      <c r="C20" t="inlineStr">
        <is>
          <t>light</t>
        </is>
      </c>
      <c r="D20" t="inlineStr">
        <is>
          <t>chien_dau</t>
        </is>
      </c>
      <c r="E20" t="n">
        <v>1.11</v>
      </c>
      <c r="F20" t="n">
        <v>66.66666666666667</v>
      </c>
      <c r="G20" t="n">
        <v>220</v>
      </c>
      <c r="H20" t="n">
        <v>20.84288116757437</v>
      </c>
      <c r="I20" t="n">
        <v>7</v>
      </c>
      <c r="J20" t="n">
        <v>0.575</v>
      </c>
      <c r="N20" t="n">
        <v>3</v>
      </c>
      <c r="O20" t="n">
        <v>6</v>
      </c>
      <c r="P20">
        <f>IF($D$20="chien_dau",Thap!$J$29/MAX(0.000001,$E$20),"")</f>
        <v/>
      </c>
      <c r="Q20">
        <f>IF($D$20="chien_dau",SQRT(MAX(0,($P$20/$G$20)*($F$20/$H$20))),"")</f>
        <v/>
      </c>
      <c r="R20">
        <f>IF($D$20="chien_dau",$Q$20*$J$20*1.25,IF($D$20="san",$N$20,IF($D$20="relay",$K$20,IF($L$20&gt;0,$M$20*SQRT($K$20/$L$20),$N$20))))</f>
        <v/>
      </c>
      <c r="S20">
        <f>MAX($N$20,MIN($O$20,ROUND($R$20,0)))</f>
        <v/>
      </c>
      <c r="T20">
        <f>$S$20-Thap!$BN$29</f>
        <v/>
      </c>
      <c r="U20" t="inlineStr">
        <is>
          <t>Tools/balance/p32_tower_prices.py Model.price('guard_tower.nest')</t>
        </is>
      </c>
      <c r="V20" t="inlineStr"/>
    </row>
    <row r="21">
      <c r="A21" t="inlineStr">
        <is>
          <t>guard_tower.watch</t>
        </is>
      </c>
      <c r="B21" t="inlineStr">
        <is>
          <t>Small</t>
        </is>
      </c>
      <c r="C21" t="inlineStr">
        <is>
          <t>light</t>
        </is>
      </c>
      <c r="D21" t="inlineStr">
        <is>
          <t>chien_dau</t>
        </is>
      </c>
      <c r="E21" t="n">
        <v>1.11</v>
      </c>
      <c r="F21" t="n">
        <v>66.89159454305413</v>
      </c>
      <c r="G21" t="n">
        <v>220</v>
      </c>
      <c r="H21" t="n">
        <v>20.84288116757437</v>
      </c>
      <c r="I21" t="n">
        <v>7</v>
      </c>
      <c r="J21" t="n">
        <v>0.575</v>
      </c>
      <c r="N21" t="n">
        <v>3</v>
      </c>
      <c r="O21" t="n">
        <v>6</v>
      </c>
      <c r="P21">
        <f>IF($D$21="chien_dau",Thap!$J$30/MAX(0.000001,$E$21),"")</f>
        <v/>
      </c>
      <c r="Q21">
        <f>IF($D$21="chien_dau",SQRT(MAX(0,($P$21/$G$21)*($F$21/$H$21))),"")</f>
        <v/>
      </c>
      <c r="R21">
        <f>IF($D$21="chien_dau",$Q$21*$J$21*1.25,IF($D$21="san",$N$21,IF($D$21="relay",$K$21,IF($L$21&gt;0,$M$21*SQRT($K$21/$L$21),$N$21))))</f>
        <v/>
      </c>
      <c r="S21">
        <f>MAX($N$21,MIN($O$21,ROUND($R$21,0)))</f>
        <v/>
      </c>
      <c r="T21">
        <f>$S$21-Thap!$BN$30</f>
        <v/>
      </c>
      <c r="U21" t="inlineStr">
        <is>
          <t>Tools/balance/p32_tower_prices.py Model.price('guard_tower.watch')</t>
        </is>
      </c>
      <c r="V21" t="inlineStr"/>
    </row>
    <row r="22">
      <c r="A22" t="inlineStr">
        <is>
          <t>gun_turret</t>
        </is>
      </c>
      <c r="B22" t="inlineStr">
        <is>
          <t>Medium</t>
        </is>
      </c>
      <c r="C22" t="inlineStr">
        <is>
          <t>at</t>
        </is>
      </c>
      <c r="D22" t="inlineStr">
        <is>
          <t>chien_dau</t>
        </is>
      </c>
      <c r="E22" t="n">
        <v>0.75</v>
      </c>
      <c r="F22" t="n">
        <v>77.12080700048615</v>
      </c>
      <c r="G22" t="n">
        <v>328.4901960784314</v>
      </c>
      <c r="H22" t="n">
        <v>7.673242140110352</v>
      </c>
      <c r="I22" t="n">
        <v>14</v>
      </c>
      <c r="J22" t="n">
        <v>0.625</v>
      </c>
      <c r="N22" t="n">
        <v>5</v>
      </c>
      <c r="O22" t="n">
        <v>11</v>
      </c>
      <c r="P22">
        <f>IF($D$22="chien_dau",Thap!$J$31/MAX(0.000001,$E$22),"")</f>
        <v/>
      </c>
      <c r="Q22">
        <f>IF($D$22="chien_dau",SQRT(MAX(0,($P$22/$G$22)*($F$22/$H$22))),"")</f>
        <v/>
      </c>
      <c r="R22">
        <f>IF($D$22="chien_dau",$Q$22*$J$22*1.25,IF($D$22="san",$N$22,IF($D$22="relay",$K$22,IF($L$22&gt;0,$M$22*SQRT($K$22/$L$22),$N$22))))</f>
        <v/>
      </c>
      <c r="S22">
        <f>MAX($N$22,MIN($O$22,ROUND($R$22,0)))</f>
        <v/>
      </c>
      <c r="T22">
        <f>$S$22-Thap!$BN$31</f>
        <v/>
      </c>
      <c r="U22" t="inlineStr">
        <is>
          <t>Tools/balance/p32_tower_prices.py Model.price('gun_turret')</t>
        </is>
      </c>
      <c r="V22" t="inlineStr"/>
    </row>
    <row r="23">
      <c r="A23" t="inlineStr">
        <is>
          <t>gun_turret.auto</t>
        </is>
      </c>
      <c r="B23" t="inlineStr">
        <is>
          <t>Medium</t>
        </is>
      </c>
      <c r="C23" t="inlineStr">
        <is>
          <t>light</t>
        </is>
      </c>
      <c r="D23" t="inlineStr">
        <is>
          <t>chien_dau</t>
        </is>
      </c>
      <c r="E23" t="n">
        <v>0.75</v>
      </c>
      <c r="F23" t="n">
        <v>77.77777777777777</v>
      </c>
      <c r="G23" t="n">
        <v>183.3333333333333</v>
      </c>
      <c r="H23" t="n">
        <v>20.84288116757437</v>
      </c>
      <c r="I23" t="n">
        <v>7</v>
      </c>
      <c r="J23" t="n">
        <v>0.625</v>
      </c>
      <c r="N23" t="n">
        <v>5</v>
      </c>
      <c r="O23" t="n">
        <v>11</v>
      </c>
      <c r="P23">
        <f>IF($D$23="chien_dau",Thap!$J$32/MAX(0.000001,$E$23),"")</f>
        <v/>
      </c>
      <c r="Q23">
        <f>IF($D$23="chien_dau",SQRT(MAX(0,($P$23/$G$23)*($F$23/$H$23))),"")</f>
        <v/>
      </c>
      <c r="R23">
        <f>IF($D$23="chien_dau",$Q$23*$J$23*1.25,IF($D$23="san",$N$23,IF($D$23="relay",$K$23,IF($L$23&gt;0,$M$23*SQRT($K$23/$L$23),$N$23))))</f>
        <v/>
      </c>
      <c r="S23">
        <f>MAX($N$23,MIN($O$23,ROUND($R$23,0)))</f>
        <v/>
      </c>
      <c r="T23">
        <f>$S$23-Thap!$BN$32</f>
        <v/>
      </c>
      <c r="U23" t="inlineStr">
        <is>
          <t>Tools/balance/p32_tower_prices.py Model.price('gun_turret.auto')</t>
        </is>
      </c>
      <c r="V23" t="inlineStr"/>
    </row>
    <row r="24">
      <c r="A24" t="inlineStr">
        <is>
          <t>gun_turret.long</t>
        </is>
      </c>
      <c r="B24" t="inlineStr">
        <is>
          <t>Medium</t>
        </is>
      </c>
      <c r="C24" t="inlineStr">
        <is>
          <t>at</t>
        </is>
      </c>
      <c r="D24" t="inlineStr">
        <is>
          <t>chien_dau</t>
        </is>
      </c>
      <c r="E24" t="n">
        <v>0.75</v>
      </c>
      <c r="F24" t="n">
        <v>67.72572249147372</v>
      </c>
      <c r="G24" t="n">
        <v>328.4901960784314</v>
      </c>
      <c r="H24" t="n">
        <v>7.673242140110352</v>
      </c>
      <c r="I24" t="n">
        <v>14</v>
      </c>
      <c r="J24" t="n">
        <v>0.625</v>
      </c>
      <c r="N24" t="n">
        <v>5</v>
      </c>
      <c r="O24" t="n">
        <v>11</v>
      </c>
      <c r="P24">
        <f>IF($D$24="chien_dau",Thap!$J$33/MAX(0.000001,$E$24),"")</f>
        <v/>
      </c>
      <c r="Q24">
        <f>IF($D$24="chien_dau",SQRT(MAX(0,($P$24/$G$24)*($F$24/$H$24))),"")</f>
        <v/>
      </c>
      <c r="R24">
        <f>IF($D$24="chien_dau",$Q$24*$J$24*1.25,IF($D$24="san",$N$24,IF($D$24="relay",$K$24,IF($L$24&gt;0,$M$24*SQRT($K$24/$L$24),$N$24))))</f>
        <v/>
      </c>
      <c r="S24">
        <f>MAX($N$24,MIN($O$24,ROUND($R$24,0)))</f>
        <v/>
      </c>
      <c r="T24">
        <f>$S$24-Thap!$BN$33</f>
        <v/>
      </c>
      <c r="U24" t="inlineStr">
        <is>
          <t>Tools/balance/p32_tower_prices.py Model.price('gun_turret.long')</t>
        </is>
      </c>
      <c r="V24" t="inlineStr"/>
    </row>
    <row r="25">
      <c r="A25" t="inlineStr">
        <is>
          <t>heavy_turret</t>
        </is>
      </c>
      <c r="B25" t="inlineStr">
        <is>
          <t>Large</t>
        </is>
      </c>
      <c r="C25" t="inlineStr">
        <is>
          <t>at</t>
        </is>
      </c>
      <c r="D25" t="inlineStr">
        <is>
          <t>chien_dau</t>
        </is>
      </c>
      <c r="E25" t="n">
        <v>0.51</v>
      </c>
      <c r="F25" t="n">
        <v>50.04729474082482</v>
      </c>
      <c r="G25" t="n">
        <v>328.4901960784314</v>
      </c>
      <c r="H25" t="n">
        <v>7.673242140110352</v>
      </c>
      <c r="I25" t="n">
        <v>14</v>
      </c>
      <c r="J25" t="n">
        <v>0.625</v>
      </c>
      <c r="N25" t="n">
        <v>9</v>
      </c>
      <c r="O25" t="n">
        <v>18</v>
      </c>
      <c r="P25">
        <f>IF($D$25="chien_dau",Thap!$J$34/MAX(0.000001,$E$25),"")</f>
        <v/>
      </c>
      <c r="Q25">
        <f>IF($D$25="chien_dau",SQRT(MAX(0,($P$25/$G$25)*($F$25/$H$25))),"")</f>
        <v/>
      </c>
      <c r="R25">
        <f>IF($D$25="chien_dau",$Q$25*$J$25*1.25,IF($D$25="san",$N$25,IF($D$25="relay",$K$25,IF($L$25&gt;0,$M$25*SQRT($K$25/$L$25),$N$25))))</f>
        <v/>
      </c>
      <c r="S25">
        <f>MAX($N$25,MIN($O$25,ROUND($R$25,0)))</f>
        <v/>
      </c>
      <c r="T25">
        <f>$S$25-Thap!$BN$34</f>
        <v/>
      </c>
      <c r="U25" t="inlineStr">
        <is>
          <t>Tools/balance/p32_tower_prices.py Model.price('heavy_turret')</t>
        </is>
      </c>
      <c r="V25" t="inlineStr"/>
    </row>
    <row r="26">
      <c r="A26" t="inlineStr">
        <is>
          <t>heavy_turret.bastion</t>
        </is>
      </c>
      <c r="B26" t="inlineStr">
        <is>
          <t>Large</t>
        </is>
      </c>
      <c r="C26" t="inlineStr">
        <is>
          <t>at</t>
        </is>
      </c>
      <c r="D26" t="inlineStr">
        <is>
          <t>chien_dau</t>
        </is>
      </c>
      <c r="E26" t="n">
        <v>0.51</v>
      </c>
      <c r="F26" t="n">
        <v>87.8363598073736</v>
      </c>
      <c r="G26" t="n">
        <v>328.4901960784314</v>
      </c>
      <c r="H26" t="n">
        <v>7.673242140110352</v>
      </c>
      <c r="I26" t="n">
        <v>14</v>
      </c>
      <c r="J26" t="n">
        <v>0.625</v>
      </c>
      <c r="N26" t="n">
        <v>9</v>
      </c>
      <c r="O26" t="n">
        <v>18</v>
      </c>
      <c r="P26">
        <f>IF($D$26="chien_dau",Thap!$J$35/MAX(0.000001,$E$26),"")</f>
        <v/>
      </c>
      <c r="Q26">
        <f>IF($D$26="chien_dau",SQRT(MAX(0,($P$26/$G$26)*($F$26/$H$26))),"")</f>
        <v/>
      </c>
      <c r="R26">
        <f>IF($D$26="chien_dau",$Q$26*$J$26*1.25,IF($D$26="san",$N$26,IF($D$26="relay",$K$26,IF($L$26&gt;0,$M$26*SQRT($K$26/$L$26),$N$26))))</f>
        <v/>
      </c>
      <c r="S26">
        <f>MAX($N$26,MIN($O$26,ROUND($R$26,0)))</f>
        <v/>
      </c>
      <c r="T26">
        <f>$S$26-Thap!$BN$35</f>
        <v/>
      </c>
      <c r="U26" t="inlineStr">
        <is>
          <t>Tools/balance/p32_tower_prices.py Model.price('heavy_turret.bastion')</t>
        </is>
      </c>
      <c r="V26" t="inlineStr"/>
    </row>
    <row r="27">
      <c r="A27" t="inlineStr">
        <is>
          <t>heavy_turret.coastal</t>
        </is>
      </c>
      <c r="B27" t="inlineStr">
        <is>
          <t>Large</t>
        </is>
      </c>
      <c r="C27" t="inlineStr">
        <is>
          <t>ground</t>
        </is>
      </c>
      <c r="D27" t="inlineStr">
        <is>
          <t>chien_dau</t>
        </is>
      </c>
      <c r="E27" t="n">
        <v>0.51</v>
      </c>
      <c r="F27" t="n">
        <v>49.96776191754897</v>
      </c>
      <c r="G27" t="n">
        <v>126.6920634920635</v>
      </c>
      <c r="H27" t="n">
        <v>8.921784075803</v>
      </c>
      <c r="I27" t="n">
        <v>10</v>
      </c>
      <c r="J27" t="n">
        <v>0.725</v>
      </c>
      <c r="N27" t="n">
        <v>9</v>
      </c>
      <c r="O27" t="n">
        <v>18</v>
      </c>
      <c r="P27">
        <f>IF($D$27="chien_dau",Thap!$J$36/MAX(0.000001,$E$27),"")</f>
        <v/>
      </c>
      <c r="Q27">
        <f>IF($D$27="chien_dau",SQRT(MAX(0,($P$27/$G$27)*($F$27/$H$27))),"")</f>
        <v/>
      </c>
      <c r="R27">
        <f>IF($D$27="chien_dau",$Q$27*$J$27*1.25,IF($D$27="san",$N$27,IF($D$27="relay",$K$27,IF($L$27&gt;0,$M$27*SQRT($K$27/$L$27),$N$27))))</f>
        <v/>
      </c>
      <c r="S27">
        <f>MAX($N$27,MIN($O$27,ROUND($R$27,0)))</f>
        <v/>
      </c>
      <c r="T27">
        <f>$S$27-Thap!$BN$36</f>
        <v/>
      </c>
      <c r="U27" t="inlineStr">
        <is>
          <t>Tools/balance/p32_tower_prices.py Model.price('heavy_turret.coastal')</t>
        </is>
      </c>
      <c r="V27" t="inlineStr"/>
    </row>
    <row r="28">
      <c r="A28" t="inlineStr">
        <is>
          <t>laser_ad_station</t>
        </is>
      </c>
      <c r="B28" t="inlineStr">
        <is>
          <t>Medium</t>
        </is>
      </c>
      <c r="C28" t="inlineStr">
        <is>
          <t>util:intercept</t>
        </is>
      </c>
      <c r="D28" t="inlineStr">
        <is>
          <t>intercept</t>
        </is>
      </c>
      <c r="K28" t="n">
        <v>97.95918367346938</v>
      </c>
      <c r="L28" t="n">
        <v>100</v>
      </c>
      <c r="M28" t="n">
        <v>5</v>
      </c>
      <c r="N28" t="n">
        <v>5</v>
      </c>
      <c r="O28" t="n">
        <v>11</v>
      </c>
      <c r="P28">
        <f>IF($D$28="chien_dau",Thap!$J$37/MAX(0.000001,$E$28),"")</f>
        <v/>
      </c>
      <c r="Q28">
        <f>IF($D$28="chien_dau",SQRT(MAX(0,($P$28/$G$28)*($F$28/$H$28))),"")</f>
        <v/>
      </c>
      <c r="R28">
        <f>IF($D$28="chien_dau",$Q$28*$J$28*1.25,IF($D$28="san",$N$28,IF($D$28="relay",$K$28,IF($L$28&gt;0,$M$28*SQRT($K$28/$L$28),$N$28))))</f>
        <v/>
      </c>
      <c r="S28">
        <f>MAX($N$28,MIN($O$28,ROUND($R$28,0)))</f>
        <v/>
      </c>
      <c r="T28">
        <f>$S$28-Thap!$BN$37</f>
        <v/>
      </c>
      <c r="U28" t="inlineStr">
        <is>
          <t>Tools/balance/p32_tower_prices.py Model.price('laser_ad_station')</t>
        </is>
      </c>
      <c r="V28" t="inlineStr"/>
    </row>
    <row r="29">
      <c r="A29" t="inlineStr">
        <is>
          <t>laser_ad_station.laser</t>
        </is>
      </c>
      <c r="B29" t="inlineStr">
        <is>
          <t>Medium</t>
        </is>
      </c>
      <c r="C29" t="inlineStr">
        <is>
          <t>util:intercept</t>
        </is>
      </c>
      <c r="D29" t="inlineStr">
        <is>
          <t>intercept</t>
        </is>
      </c>
      <c r="K29" t="n">
        <v>97.95918367346938</v>
      </c>
      <c r="L29" t="n">
        <v>100</v>
      </c>
      <c r="M29" t="n">
        <v>5</v>
      </c>
      <c r="N29" t="n">
        <v>5</v>
      </c>
      <c r="O29" t="n">
        <v>11</v>
      </c>
      <c r="P29">
        <f>IF($D$29="chien_dau",Thap!$J$38/MAX(0.000001,$E$29),"")</f>
        <v/>
      </c>
      <c r="Q29">
        <f>IF($D$29="chien_dau",SQRT(MAX(0,($P$29/$G$29)*($F$29/$H$29))),"")</f>
        <v/>
      </c>
      <c r="R29">
        <f>IF($D$29="chien_dau",$Q$29*$J$29*1.25,IF($D$29="san",$N$29,IF($D$29="relay",$K$29,IF($L$29&gt;0,$M$29*SQRT($K$29/$L$29),$N$29))))</f>
        <v/>
      </c>
      <c r="S29">
        <f>MAX($N$29,MIN($O$29,ROUND($R$29,0)))</f>
        <v/>
      </c>
      <c r="T29">
        <f>$S$29-Thap!$BN$38</f>
        <v/>
      </c>
      <c r="U29" t="inlineStr">
        <is>
          <t>Tools/balance/p32_tower_prices.py Model.price('laser_ad_station.laser')</t>
        </is>
      </c>
      <c r="V29" t="inlineStr"/>
    </row>
    <row r="30">
      <c r="A30" t="inlineStr">
        <is>
          <t>mg_bunker</t>
        </is>
      </c>
      <c r="B30" t="inlineStr">
        <is>
          <t>Small</t>
        </is>
      </c>
      <c r="C30" t="inlineStr">
        <is>
          <t>light</t>
        </is>
      </c>
      <c r="D30" t="inlineStr">
        <is>
          <t>chien_dau</t>
        </is>
      </c>
      <c r="E30" t="n">
        <v>0.63</v>
      </c>
      <c r="F30" t="n">
        <v>68.31672538673928</v>
      </c>
      <c r="G30" t="n">
        <v>220</v>
      </c>
      <c r="H30" t="n">
        <v>20.84288116757437</v>
      </c>
      <c r="I30" t="n">
        <v>7</v>
      </c>
      <c r="J30" t="n">
        <v>0.625</v>
      </c>
      <c r="N30" t="n">
        <v>3</v>
      </c>
      <c r="O30" t="n">
        <v>6</v>
      </c>
      <c r="P30">
        <f>IF($D$30="chien_dau",Thap!$J$40/MAX(0.000001,$E$30),"")</f>
        <v/>
      </c>
      <c r="Q30">
        <f>IF($D$30="chien_dau",SQRT(MAX(0,($P$30/$G$30)*($F$30/$H$30))),"")</f>
        <v/>
      </c>
      <c r="R30">
        <f>IF($D$30="chien_dau",$Q$30*$J$30*1.25,IF($D$30="san",$N$30,IF($D$30="relay",$K$30,IF($L$30&gt;0,$M$30*SQRT($K$30/$L$30),$N$30))))</f>
        <v/>
      </c>
      <c r="S30">
        <f>MAX($N$30,MIN($O$30,ROUND($R$30,0)))</f>
        <v/>
      </c>
      <c r="T30">
        <f>$S$30-Thap!$BN$40</f>
        <v/>
      </c>
      <c r="U30" t="inlineStr">
        <is>
          <t>Tools/balance/p32_tower_prices.py Model.price('mg_bunker')</t>
        </is>
      </c>
      <c r="V30" t="inlineStr"/>
    </row>
    <row r="31">
      <c r="A31" t="inlineStr">
        <is>
          <t>mg_bunker.flame</t>
        </is>
      </c>
      <c r="B31" t="inlineStr">
        <is>
          <t>Small</t>
        </is>
      </c>
      <c r="C31" t="inlineStr">
        <is>
          <t>light</t>
        </is>
      </c>
      <c r="D31" t="inlineStr">
        <is>
          <t>chien_dau</t>
        </is>
      </c>
      <c r="E31" t="n">
        <v>0.63</v>
      </c>
      <c r="F31" t="n">
        <v>55.21599999999999</v>
      </c>
      <c r="G31" t="n">
        <v>220</v>
      </c>
      <c r="H31" t="n">
        <v>20.84288116757437</v>
      </c>
      <c r="I31" t="n">
        <v>7</v>
      </c>
      <c r="J31" t="n">
        <v>0.575</v>
      </c>
      <c r="N31" t="n">
        <v>3</v>
      </c>
      <c r="O31" t="n">
        <v>6</v>
      </c>
      <c r="P31">
        <f>IF($D$31="chien_dau",Thap!$J$41/MAX(0.000001,$E$31),"")</f>
        <v/>
      </c>
      <c r="Q31">
        <f>IF($D$31="chien_dau",SQRT(MAX(0,($P$31/$G$31)*($F$31/$H$31))),"")</f>
        <v/>
      </c>
      <c r="R31">
        <f>IF($D$31="chien_dau",$Q$31*$J$31*1.25,IF($D$31="san",$N$31,IF($D$31="relay",$K$31,IF($L$31&gt;0,$M$31*SQRT($K$31/$L$31),$N$31))))</f>
        <v/>
      </c>
      <c r="S31">
        <f>MAX($N$31,MIN($O$31,ROUND($R$31,0)))</f>
        <v/>
      </c>
      <c r="T31">
        <f>$S$31-Thap!$BN$41</f>
        <v/>
      </c>
      <c r="U31" t="inlineStr">
        <is>
          <t>Tools/balance/p32_tower_prices.py Model.price('mg_bunker.flame')</t>
        </is>
      </c>
      <c r="V31" t="inlineStr"/>
    </row>
    <row r="32">
      <c r="A32" t="inlineStr">
        <is>
          <t>mg_bunker.twin</t>
        </is>
      </c>
      <c r="B32" t="inlineStr">
        <is>
          <t>Small</t>
        </is>
      </c>
      <c r="C32" t="inlineStr">
        <is>
          <t>light</t>
        </is>
      </c>
      <c r="D32" t="inlineStr">
        <is>
          <t>chien_dau</t>
        </is>
      </c>
      <c r="E32" t="n">
        <v>0.63</v>
      </c>
      <c r="F32" t="n">
        <v>65.64693864521485</v>
      </c>
      <c r="G32" t="n">
        <v>220</v>
      </c>
      <c r="H32" t="n">
        <v>20.84288116757437</v>
      </c>
      <c r="I32" t="n">
        <v>7</v>
      </c>
      <c r="J32" t="n">
        <v>0.575</v>
      </c>
      <c r="N32" t="n">
        <v>3</v>
      </c>
      <c r="O32" t="n">
        <v>6</v>
      </c>
      <c r="P32">
        <f>IF($D$32="chien_dau",Thap!$J$42/MAX(0.000001,$E$32),"")</f>
        <v/>
      </c>
      <c r="Q32">
        <f>IF($D$32="chien_dau",SQRT(MAX(0,($P$32/$G$32)*($F$32/$H$32))),"")</f>
        <v/>
      </c>
      <c r="R32">
        <f>IF($D$32="chien_dau",$Q$32*$J$32*1.25,IF($D$32="san",$N$32,IF($D$32="relay",$K$32,IF($L$32&gt;0,$M$32*SQRT($K$32/$L$32),$N$32))))</f>
        <v/>
      </c>
      <c r="S32">
        <f>MAX($N$32,MIN($O$32,ROUND($R$32,0)))</f>
        <v/>
      </c>
      <c r="T32">
        <f>$S$32-Thap!$BN$42</f>
        <v/>
      </c>
      <c r="U32" t="inlineStr">
        <is>
          <t>Tools/balance/p32_tower_prices.py Model.price('mg_bunker.twin')</t>
        </is>
      </c>
      <c r="V32" t="inlineStr"/>
    </row>
    <row r="33">
      <c r="A33" t="inlineStr">
        <is>
          <t>missile_battery</t>
        </is>
      </c>
      <c r="B33" t="inlineStr">
        <is>
          <t>Large</t>
        </is>
      </c>
      <c r="C33" t="inlineStr">
        <is>
          <t>air</t>
        </is>
      </c>
      <c r="D33" t="inlineStr">
        <is>
          <t>chien_dau</t>
        </is>
      </c>
      <c r="E33" t="n">
        <v>1.5</v>
      </c>
      <c r="F33" t="n">
        <v>276.25</v>
      </c>
      <c r="G33" t="n">
        <v>144.8333333333333</v>
      </c>
      <c r="H33" t="n">
        <v>36.01866666666667</v>
      </c>
      <c r="I33" t="n">
        <v>7</v>
      </c>
      <c r="J33" t="n">
        <v>0.725</v>
      </c>
      <c r="N33" t="n">
        <v>9</v>
      </c>
      <c r="O33" t="n">
        <v>18</v>
      </c>
      <c r="P33">
        <f>IF($D$33="chien_dau",Thap!$J$43/MAX(0.000001,$E$33),"")</f>
        <v/>
      </c>
      <c r="Q33">
        <f>IF($D$33="chien_dau",SQRT(MAX(0,($P$33/$G$33)*($F$33/$H$33))),"")</f>
        <v/>
      </c>
      <c r="R33">
        <f>IF($D$33="chien_dau",$Q$33*$J$33*1.25,IF($D$33="san",$N$33,IF($D$33="relay",$K$33,IF($L$33&gt;0,$M$33*SQRT($K$33/$L$33),$N$33))))</f>
        <v/>
      </c>
      <c r="S33">
        <f>MAX($N$33,MIN($O$33,ROUND($R$33,0)))</f>
        <v/>
      </c>
      <c r="T33">
        <f>$S$33-Thap!$BN$43</f>
        <v/>
      </c>
      <c r="U33" t="inlineStr">
        <is>
          <t>Tools/balance/p32_tower_prices.py Model.price('missile_battery')</t>
        </is>
      </c>
      <c r="V33" t="inlineStr"/>
    </row>
    <row r="34">
      <c r="A34" t="inlineStr">
        <is>
          <t>missile_battery.lrr</t>
        </is>
      </c>
      <c r="B34" t="inlineStr">
        <is>
          <t>Large</t>
        </is>
      </c>
      <c r="C34" t="inlineStr">
        <is>
          <t>air</t>
        </is>
      </c>
      <c r="D34" t="inlineStr">
        <is>
          <t>chien_dau</t>
        </is>
      </c>
      <c r="E34" t="n">
        <v>1.5</v>
      </c>
      <c r="F34" t="n">
        <v>226.6666666666667</v>
      </c>
      <c r="G34" t="n">
        <v>144.8333333333333</v>
      </c>
      <c r="H34" t="n">
        <v>36.01866666666667</v>
      </c>
      <c r="I34" t="n">
        <v>7</v>
      </c>
      <c r="J34" t="n">
        <v>0.725</v>
      </c>
      <c r="N34" t="n">
        <v>9</v>
      </c>
      <c r="O34" t="n">
        <v>18</v>
      </c>
      <c r="P34">
        <f>IF($D$34="chien_dau",Thap!$J$44/MAX(0.000001,$E$34),"")</f>
        <v/>
      </c>
      <c r="Q34">
        <f>IF($D$34="chien_dau",SQRT(MAX(0,($P$34/$G$34)*($F$34/$H$34))),"")</f>
        <v/>
      </c>
      <c r="R34">
        <f>IF($D$34="chien_dau",$Q$34*$J$34*1.25,IF($D$34="san",$N$34,IF($D$34="relay",$K$34,IF($L$34&gt;0,$M$34*SQRT($K$34/$L$34),$N$34))))</f>
        <v/>
      </c>
      <c r="S34">
        <f>MAX($N$34,MIN($O$34,ROUND($R$34,0)))</f>
        <v/>
      </c>
      <c r="T34">
        <f>$S$34-Thap!$BN$44</f>
        <v/>
      </c>
      <c r="U34" t="inlineStr">
        <is>
          <t>Tools/balance/p32_tower_prices.py Model.price('missile_battery.lrr')</t>
        </is>
      </c>
      <c r="V34" t="inlineStr"/>
    </row>
    <row r="35">
      <c r="A35" t="inlineStr">
        <is>
          <t>missile_battery.pac3</t>
        </is>
      </c>
      <c r="B35" t="inlineStr">
        <is>
          <t>Large</t>
        </is>
      </c>
      <c r="C35" t="inlineStr">
        <is>
          <t>air</t>
        </is>
      </c>
      <c r="D35" t="inlineStr">
        <is>
          <t>chien_dau</t>
        </is>
      </c>
      <c r="E35" t="n">
        <v>1.5</v>
      </c>
      <c r="F35" t="n">
        <v>139.7014925373134</v>
      </c>
      <c r="G35" t="n">
        <v>144.8333333333333</v>
      </c>
      <c r="H35" t="n">
        <v>36.01866666666667</v>
      </c>
      <c r="I35" t="n">
        <v>7</v>
      </c>
      <c r="J35" t="n">
        <v>0.725</v>
      </c>
      <c r="N35" t="n">
        <v>9</v>
      </c>
      <c r="O35" t="n">
        <v>18</v>
      </c>
      <c r="P35">
        <f>IF($D$35="chien_dau",Thap!$J$45/MAX(0.000001,$E$35),"")</f>
        <v/>
      </c>
      <c r="Q35">
        <f>IF($D$35="chien_dau",SQRT(MAX(0,($P$35/$G$35)*($F$35/$H$35))),"")</f>
        <v/>
      </c>
      <c r="R35">
        <f>IF($D$35="chien_dau",$Q$35*$J$35*1.25,IF($D$35="san",$N$35,IF($D$35="relay",$K$35,IF($L$35&gt;0,$M$35*SQRT($K$35/$L$35),$N$35))))</f>
        <v/>
      </c>
      <c r="S35">
        <f>MAX($N$35,MIN($O$35,ROUND($R$35,0)))</f>
        <v/>
      </c>
      <c r="T35">
        <f>$S$35-Thap!$BN$45</f>
        <v/>
      </c>
      <c r="U35" t="inlineStr">
        <is>
          <t>Tools/balance/p32_tower_prices.py Model.price('missile_battery.pac3')</t>
        </is>
      </c>
      <c r="V35" t="inlineStr"/>
    </row>
    <row r="36">
      <c r="A36" t="inlineStr">
        <is>
          <t>rocket_turret</t>
        </is>
      </c>
      <c r="B36" t="inlineStr">
        <is>
          <t>Medium</t>
        </is>
      </c>
      <c r="C36" t="inlineStr">
        <is>
          <t>ground</t>
        </is>
      </c>
      <c r="D36" t="inlineStr">
        <is>
          <t>chien_dau</t>
        </is>
      </c>
      <c r="E36" t="n">
        <v>1.5</v>
      </c>
      <c r="F36" t="n">
        <v>57.04054054054053</v>
      </c>
      <c r="G36" t="n">
        <v>126.6920634920635</v>
      </c>
      <c r="H36" t="n">
        <v>8.921784075803</v>
      </c>
      <c r="I36" t="n">
        <v>10</v>
      </c>
      <c r="J36" t="n">
        <v>0.725</v>
      </c>
      <c r="N36" t="n">
        <v>5</v>
      </c>
      <c r="O36" t="n">
        <v>11</v>
      </c>
      <c r="P36">
        <f>IF($D$36="chien_dau",Thap!$J$48/MAX(0.000001,$E$36),"")</f>
        <v/>
      </c>
      <c r="Q36">
        <f>IF($D$36="chien_dau",SQRT(MAX(0,($P$36/$G$36)*($F$36/$H$36))),"")</f>
        <v/>
      </c>
      <c r="R36">
        <f>IF($D$36="chien_dau",$Q$36*$J$36*1.25,IF($D$36="san",$N$36,IF($D$36="relay",$K$36,IF($L$36&gt;0,$M$36*SQRT($K$36/$L$36),$N$36))))</f>
        <v/>
      </c>
      <c r="S36">
        <f>MAX($N$36,MIN($O$36,ROUND($R$36,0)))</f>
        <v/>
      </c>
      <c r="T36">
        <f>$S$36-Thap!$BN$48</f>
        <v/>
      </c>
      <c r="U36" t="inlineStr">
        <is>
          <t>Tools/balance/p32_tower_prices.py Model.price('rocket_turret')</t>
        </is>
      </c>
      <c r="V36" t="inlineStr"/>
    </row>
    <row r="37">
      <c r="A37" t="inlineStr">
        <is>
          <t>rocket_turret.cluster</t>
        </is>
      </c>
      <c r="B37" t="inlineStr">
        <is>
          <t>Medium</t>
        </is>
      </c>
      <c r="C37" t="inlineStr">
        <is>
          <t>ground</t>
        </is>
      </c>
      <c r="D37" t="inlineStr">
        <is>
          <t>chien_dau</t>
        </is>
      </c>
      <c r="E37" t="n">
        <v>1.5</v>
      </c>
      <c r="F37" t="n">
        <v>51.14732142857143</v>
      </c>
      <c r="G37" t="n">
        <v>126.6920634920635</v>
      </c>
      <c r="H37" t="n">
        <v>8.921784075803</v>
      </c>
      <c r="I37" t="n">
        <v>10</v>
      </c>
      <c r="J37" t="n">
        <v>0.725</v>
      </c>
      <c r="N37" t="n">
        <v>5</v>
      </c>
      <c r="O37" t="n">
        <v>11</v>
      </c>
      <c r="P37">
        <f>IF($D$37="chien_dau",Thap!$J$49/MAX(0.000001,$E$37),"")</f>
        <v/>
      </c>
      <c r="Q37">
        <f>IF($D$37="chien_dau",SQRT(MAX(0,($P$37/$G$37)*($F$37/$H$37))),"")</f>
        <v/>
      </c>
      <c r="R37">
        <f>IF($D$37="chien_dau",$Q$37*$J$37*1.25,IF($D$37="san",$N$37,IF($D$37="relay",$K$37,IF($L$37&gt;0,$M$37*SQRT($K$37/$L$37),$N$37))))</f>
        <v/>
      </c>
      <c r="S37">
        <f>MAX($N$37,MIN($O$37,ROUND($R$37,0)))</f>
        <v/>
      </c>
      <c r="T37">
        <f>$S$37-Thap!$BN$49</f>
        <v/>
      </c>
      <c r="U37" t="inlineStr">
        <is>
          <t>Tools/balance/p32_tower_prices.py Model.price('rocket_turret.cluster')</t>
        </is>
      </c>
      <c r="V37" t="inlineStr"/>
    </row>
    <row r="38">
      <c r="A38" t="inlineStr">
        <is>
          <t>rocket_turret.guided</t>
        </is>
      </c>
      <c r="B38" t="inlineStr">
        <is>
          <t>Medium</t>
        </is>
      </c>
      <c r="C38" t="inlineStr">
        <is>
          <t>ground</t>
        </is>
      </c>
      <c r="D38" t="inlineStr">
        <is>
          <t>chien_dau</t>
        </is>
      </c>
      <c r="E38" t="n">
        <v>1.5</v>
      </c>
      <c r="F38" t="n">
        <v>37.5</v>
      </c>
      <c r="G38" t="n">
        <v>126.6920634920635</v>
      </c>
      <c r="H38" t="n">
        <v>8.921784075803</v>
      </c>
      <c r="I38" t="n">
        <v>10</v>
      </c>
      <c r="J38" t="n">
        <v>0.725</v>
      </c>
      <c r="N38" t="n">
        <v>5</v>
      </c>
      <c r="O38" t="n">
        <v>11</v>
      </c>
      <c r="P38">
        <f>IF($D$38="chien_dau",Thap!$J$50/MAX(0.000001,$E$38),"")</f>
        <v/>
      </c>
      <c r="Q38">
        <f>IF($D$38="chien_dau",SQRT(MAX(0,($P$38/$G$38)*($F$38/$H$38))),"")</f>
        <v/>
      </c>
      <c r="R38">
        <f>IF($D$38="chien_dau",$Q$38*$J$38*1.25,IF($D$38="san",$N$38,IF($D$38="relay",$K$38,IF($L$38&gt;0,$M$38*SQRT($K$38/$L$38),$N$38))))</f>
        <v/>
      </c>
      <c r="S38">
        <f>MAX($N$38,MIN($O$38,ROUND($R$38,0)))</f>
        <v/>
      </c>
      <c r="T38">
        <f>$S$38-Thap!$BN$50</f>
        <v/>
      </c>
      <c r="U38" t="inlineStr">
        <is>
          <t>Tools/balance/p32_tower_prices.py Model.price('rocket_turret.guided')</t>
        </is>
      </c>
      <c r="V38" t="inlineStr"/>
    </row>
    <row r="39">
      <c r="A39" t="inlineStr">
        <is>
          <t>shield_tower</t>
        </is>
      </c>
      <c r="B39" t="inlineStr">
        <is>
          <t>Large</t>
        </is>
      </c>
      <c r="C39" t="inlineStr">
        <is>
          <t>util:protect</t>
        </is>
      </c>
      <c r="D39" t="inlineStr">
        <is>
          <t>protect</t>
        </is>
      </c>
      <c r="K39" t="n">
        <v>3600</v>
      </c>
      <c r="L39" t="n">
        <v>3600</v>
      </c>
      <c r="M39" t="n">
        <v>9</v>
      </c>
      <c r="N39" t="n">
        <v>9</v>
      </c>
      <c r="O39" t="n">
        <v>18</v>
      </c>
      <c r="P39">
        <f>IF($D$39="chien_dau",Thap!$J$51/MAX(0.000001,$E$39),"")</f>
        <v/>
      </c>
      <c r="Q39">
        <f>IF($D$39="chien_dau",SQRT(MAX(0,($P$39/$G$39)*($F$39/$H$39))),"")</f>
        <v/>
      </c>
      <c r="R39">
        <f>IF($D$39="chien_dau",$Q$39*$J$39*1.25,IF($D$39="san",$N$39,IF($D$39="relay",$K$39,IF($L$39&gt;0,$M$39*SQRT($K$39/$L$39),$N$39))))</f>
        <v/>
      </c>
      <c r="S39">
        <f>MAX($N$39,MIN($O$39,ROUND($R$39,0)))</f>
        <v/>
      </c>
      <c r="T39">
        <f>$S$39-Thap!$BN$51</f>
        <v/>
      </c>
      <c r="U39" t="inlineStr">
        <is>
          <t>Tools/balance/p32_tower_prices.py Model.price('shield_tower')</t>
        </is>
      </c>
      <c r="V39" t="inlineStr"/>
    </row>
    <row r="40">
      <c r="A40" t="inlineStr">
        <is>
          <t>shield_tower.bulwark</t>
        </is>
      </c>
      <c r="B40" t="inlineStr">
        <is>
          <t>Large</t>
        </is>
      </c>
      <c r="C40" t="inlineStr">
        <is>
          <t>util:protect</t>
        </is>
      </c>
      <c r="D40" t="inlineStr">
        <is>
          <t>protect</t>
        </is>
      </c>
      <c r="K40" t="n">
        <v>3600</v>
      </c>
      <c r="L40" t="n">
        <v>3600</v>
      </c>
      <c r="M40" t="n">
        <v>9</v>
      </c>
      <c r="N40" t="n">
        <v>9</v>
      </c>
      <c r="O40" t="n">
        <v>18</v>
      </c>
      <c r="P40">
        <f>IF($D$40="chien_dau",Thap!$J$52/MAX(0.000001,$E$40),"")</f>
        <v/>
      </c>
      <c r="Q40">
        <f>IF($D$40="chien_dau",SQRT(MAX(0,($P$40/$G$40)*($F$40/$H$40))),"")</f>
        <v/>
      </c>
      <c r="R40">
        <f>IF($D$40="chien_dau",$Q$40*$J$40*1.25,IF($D$40="san",$N$40,IF($D$40="relay",$K$40,IF($L$40&gt;0,$M$40*SQRT($K$40/$L$40),$N$40))))</f>
        <v/>
      </c>
      <c r="S40">
        <f>MAX($N$40,MIN($O$40,ROUND($R$40,0)))</f>
        <v/>
      </c>
      <c r="T40">
        <f>$S$40-Thap!$BN$52</f>
        <v/>
      </c>
      <c r="U40" t="inlineStr">
        <is>
          <t>Tools/balance/p32_tower_prices.py Model.price('shield_tower.bulwark')</t>
        </is>
      </c>
      <c r="V40" t="inlineStr"/>
    </row>
    <row r="41">
      <c r="A41" t="inlineStr">
        <is>
          <t>shield_tower.ward</t>
        </is>
      </c>
      <c r="B41" t="inlineStr">
        <is>
          <t>Large</t>
        </is>
      </c>
      <c r="C41" t="inlineStr">
        <is>
          <t>util:protect</t>
        </is>
      </c>
      <c r="D41" t="inlineStr">
        <is>
          <t>protect</t>
        </is>
      </c>
      <c r="K41" t="n">
        <v>3600</v>
      </c>
      <c r="L41" t="n">
        <v>3600</v>
      </c>
      <c r="M41" t="n">
        <v>9</v>
      </c>
      <c r="N41" t="n">
        <v>9</v>
      </c>
      <c r="O41" t="n">
        <v>18</v>
      </c>
      <c r="P41">
        <f>IF($D$41="chien_dau",Thap!$J$53/MAX(0.000001,$E$41),"")</f>
        <v/>
      </c>
      <c r="Q41">
        <f>IF($D$41="chien_dau",SQRT(MAX(0,($P$41/$G$41)*($F$41/$H$41))),"")</f>
        <v/>
      </c>
      <c r="R41">
        <f>IF($D$41="chien_dau",$Q$41*$J$41*1.25,IF($D$41="san",$N$41,IF($D$41="relay",$K$41,IF($L$41&gt;0,$M$41*SQRT($K$41/$L$41),$N$41))))</f>
        <v/>
      </c>
      <c r="S41">
        <f>MAX($N$41,MIN($O$41,ROUND($R$41,0)))</f>
        <v/>
      </c>
      <c r="T41">
        <f>$S$41-Thap!$BN$53</f>
        <v/>
      </c>
      <c r="U41" t="inlineStr">
        <is>
          <t>Tools/balance/p32_tower_prices.py Model.price('shield_tower.ward')</t>
        </is>
      </c>
      <c r="V41" t="inlineStr"/>
    </row>
    <row r="42">
      <c r="A42" t="inlineStr">
        <is>
          <t>vehicle_hangar</t>
        </is>
      </c>
      <c r="B42" t="inlineStr">
        <is>
          <t>Medium</t>
        </is>
      </c>
      <c r="C42" t="inlineStr">
        <is>
          <t>multi</t>
        </is>
      </c>
      <c r="D42" t="inlineStr">
        <is>
          <t>chien_dau</t>
        </is>
      </c>
      <c r="E42" t="n">
        <v>1.275</v>
      </c>
      <c r="F42" t="n">
        <v>0</v>
      </c>
      <c r="G42" t="n">
        <v>172.8789682539683</v>
      </c>
      <c r="H42" t="n">
        <v>9.804349614137468</v>
      </c>
      <c r="I42" t="n">
        <v>46</v>
      </c>
      <c r="J42" t="n">
        <v>0.575</v>
      </c>
      <c r="N42" t="n">
        <v>5</v>
      </c>
      <c r="O42" t="n">
        <v>11</v>
      </c>
      <c r="P42">
        <f>IF($D$42="chien_dau",Thap!$J$57/MAX(0.000001,$E$42),"")</f>
        <v/>
      </c>
      <c r="Q42">
        <f>IF($D$42="chien_dau",SQRT(MAX(0,($P$42/$G$42)*($F$42/$H$42))),"")</f>
        <v/>
      </c>
      <c r="R42">
        <f>IF($D$42="chien_dau",$Q$42*$J$42*1.25,IF($D$42="san",$N$42,IF($D$42="relay",$K$42,IF($L$42&gt;0,$M$42*SQRT($K$42/$L$42),$N$42))))</f>
        <v/>
      </c>
      <c r="S42">
        <f>MAX($N$42,MIN($O$42,ROUND($R$42,0)))</f>
        <v/>
      </c>
      <c r="T42">
        <f>$S$42-Thap!$BN$57</f>
        <v/>
      </c>
      <c r="U42" t="inlineStr">
        <is>
          <t>Tools/balance/p32_tower_prices.py Model.price('vehicle_hangar')</t>
        </is>
      </c>
      <c r="V42" t="inlineStr"/>
    </row>
  </sheetData>
  <autoFilter ref="A1:V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7" customWidth="1" min="2" max="2"/>
    <col width="42" customWidth="1" min="3" max="3"/>
    <col width="16" customWidth="1" min="4" max="4"/>
    <col width="60" customWidth="1" min="5" max="5"/>
    <col width="19" customWidth="1" min="6" max="6"/>
    <col width="60" customWidth="1" min="7" max="7"/>
    <col width="15" customWidth="1" min="8" max="8"/>
    <col width="60" customWidth="1" min="9" max="9"/>
    <col width="20" customWidth="1" min="10" max="10"/>
    <col width="60" customWidth="1" min="11" max="11"/>
    <col width="60" customWidth="1" min="12" max="12"/>
    <col width="10" customWidth="1" min="13" max="13"/>
  </cols>
  <sheetData>
    <row r="1">
      <c r="A1" s="1" t="inlineStr">
        <is>
          <t>id</t>
        </is>
      </c>
      <c r="B1" s="1" t="inlineStr">
        <is>
          <t>gia_tri_tuong_duong_xe_cp</t>
        </is>
      </c>
      <c r="C1" s="1" t="inlineStr">
        <is>
          <t>ty_le_so_voi_gia</t>
        </is>
      </c>
      <c r="D1" s="1" t="inlineStr">
        <is>
          <t>doa_kinetic</t>
        </is>
      </c>
      <c r="E1" s="1" t="inlineStr">
        <is>
          <t>so_phat_kinetic</t>
        </is>
      </c>
      <c r="F1" s="1" t="inlineStr">
        <is>
          <t>doa_he</t>
        </is>
      </c>
      <c r="G1" s="1" t="inlineStr">
        <is>
          <t>so_phat_he</t>
        </is>
      </c>
      <c r="H1" s="1" t="inlineStr">
        <is>
          <t>doa_shaped</t>
        </is>
      </c>
      <c r="I1" s="1" t="inlineStr">
        <is>
          <t>so_phat_shaped</t>
        </is>
      </c>
      <c r="J1" s="1" t="inlineStr">
        <is>
          <t>doa_artillery</t>
        </is>
      </c>
      <c r="K1" s="1" t="inlineStr">
        <is>
          <t>so_phat_artillery</t>
        </is>
      </c>
      <c r="L1" s="1" t="inlineStr">
        <is>
          <t>nguon</t>
        </is>
      </c>
      <c r="M1" s="1" t="inlineStr">
        <is>
          <t>raw_json</t>
        </is>
      </c>
    </row>
    <row r="2">
      <c r="A2" t="inlineStr">
        <is>
          <t>aa_turret</t>
        </is>
      </c>
      <c r="B2">
        <f>Thap_gia_cong_thuc!$Q$2</f>
        <v/>
      </c>
      <c r="C2">
        <f>IF(ISNUMBER($B$2),$B$2/Thap!$BN$3,"")</f>
        <v/>
      </c>
      <c r="D2" t="inlineStr">
        <is>
          <t>ifv_30</t>
        </is>
      </c>
      <c r="E2">
        <f>IF($D$2="","",IF(INDEX(cc_input_vu_khi!$B$2:$B$11,MATCH($D$2,cc_input_vu_khi!$A$2:$A$11,0))*INDEX(cc_input_bang_xuyen_giap!$B$2:$B$7,MIN(6,MAX(1,IF(INDEX(cc_input_vu_khi_suy_ra!$B$2:$B$11,MATCH($D$2,cc_input_vu_khi_suy_ra!$A$2:$A$11,0)),MAX(1,2-(INDEX(cc_input_vu_khi!$C$2:$C$11,MATCH($D$2,cc_input_vu_khi!$A$2:$A$11,0))-Thap!$K$3)),2-(INDEX(cc_input_vu_khi!$C$2:$C$11,MATCH($D$2,cc_input_vu_khi!$A$2:$A$11,0))-Thap!$K$3))+1)))*INDEX(cc_input_vu_khi_suy_ra!$D$2:$D$11,MATCH($D$2,cc_input_vu_khi_suy_ra!$A$2:$A$11,0))&gt;0,CEILING(Thap!$J$3/(INDEX(cc_input_vu_khi!$B$2:$B$11,MATCH($D$2,cc_input_vu_khi!$A$2:$A$11,0))*INDEX(cc_input_bang_xuyen_giap!$B$2:$B$7,MIN(6,MAX(1,IF(INDEX(cc_input_vu_khi_suy_ra!$B$2:$B$11,MATCH($D$2,cc_input_vu_khi_suy_ra!$A$2:$A$11,0)),MAX(1,2-(INDEX(cc_input_vu_khi!$C$2:$C$11,MATCH($D$2,cc_input_vu_khi!$A$2:$A$11,0))-Thap!$K$3)),2-(INDEX(cc_input_vu_khi!$C$2:$C$11,MATCH($D$2,cc_input_vu_khi!$A$2:$A$11,0))-Thap!$K$3))+1)))*INDEX(cc_input_vu_khi_suy_ra!$D$2:$D$11,MATCH($D$2,cc_input_vu_khi_suy_ra!$A$2:$A$11,0))),1),""))</f>
        <v/>
      </c>
      <c r="F2" t="inlineStr">
        <is>
          <t>gun_120mm_he</t>
        </is>
      </c>
      <c r="G2">
        <f>IF($F$2="","",IF(INDEX(cc_input_vu_khi!$B$2:$B$11,MATCH($F$2,cc_input_vu_khi!$A$2:$A$11,0))*INDEX(cc_input_bang_xuyen_giap!$B$2:$B$7,MIN(6,MAX(1,IF(INDEX(cc_input_vu_khi_suy_ra!$B$2:$B$11,MATCH($F$2,cc_input_vu_khi_suy_ra!$A$2:$A$11,0)),MAX(1,2-(INDEX(cc_input_vu_khi!$C$2:$C$11,MATCH($F$2,cc_input_vu_khi!$A$2:$A$11,0))-Thap!$K$3)),2-(INDEX(cc_input_vu_khi!$C$2:$C$11,MATCH($F$2,cc_input_vu_khi!$A$2:$A$11,0))-Thap!$K$3))+1)))*INDEX(cc_input_vu_khi_suy_ra!$D$2:$D$11,MATCH($F$2,cc_input_vu_khi_suy_ra!$A$2:$A$11,0))&gt;0,CEILING(Thap!$J$3/(INDEX(cc_input_vu_khi!$B$2:$B$11,MATCH($F$2,cc_input_vu_khi!$A$2:$A$11,0))*INDEX(cc_input_bang_xuyen_giap!$B$2:$B$7,MIN(6,MAX(1,IF(INDEX(cc_input_vu_khi_suy_ra!$B$2:$B$11,MATCH($F$2,cc_input_vu_khi_suy_ra!$A$2:$A$11,0)),MAX(1,2-(INDEX(cc_input_vu_khi!$C$2:$C$11,MATCH($F$2,cc_input_vu_khi!$A$2:$A$11,0))-Thap!$K$3)),2-(INDEX(cc_input_vu_khi!$C$2:$C$11,MATCH($F$2,cc_input_vu_khi!$A$2:$A$11,0))-Thap!$K$3))+1)))*INDEX(cc_input_vu_khi_suy_ra!$D$2:$D$11,MATCH($F$2,cc_input_vu_khi_suy_ra!$A$2:$A$11,0))),1),""))</f>
        <v/>
      </c>
      <c r="H2" t="inlineStr">
        <is>
          <t>recoilless_106</t>
        </is>
      </c>
      <c r="I2">
        <f>IF($H$2="","",IF(INDEX(cc_input_vu_khi!$B$2:$B$11,MATCH($H$2,cc_input_vu_khi!$A$2:$A$11,0))*INDEX(cc_input_bang_xuyen_giap!$B$2:$B$7,MIN(6,MAX(1,IF(INDEX(cc_input_vu_khi_suy_ra!$B$2:$B$11,MATCH($H$2,cc_input_vu_khi_suy_ra!$A$2:$A$11,0)),MAX(1,2-(INDEX(cc_input_vu_khi!$C$2:$C$11,MATCH($H$2,cc_input_vu_khi!$A$2:$A$11,0))-Thap!$K$3)),2-(INDEX(cc_input_vu_khi!$C$2:$C$11,MATCH($H$2,cc_input_vu_khi!$A$2:$A$11,0))-Thap!$K$3))+1)))*INDEX(cc_input_vu_khi_suy_ra!$D$2:$D$11,MATCH($H$2,cc_input_vu_khi_suy_ra!$A$2:$A$11,0))&gt;0,CEILING(Thap!$J$3/(INDEX(cc_input_vu_khi!$B$2:$B$11,MATCH($H$2,cc_input_vu_khi!$A$2:$A$11,0))*INDEX(cc_input_bang_xuyen_giap!$B$2:$B$7,MIN(6,MAX(1,IF(INDEX(cc_input_vu_khi_suy_ra!$B$2:$B$11,MATCH($H$2,cc_input_vu_khi_suy_ra!$A$2:$A$11,0)),MAX(1,2-(INDEX(cc_input_vu_khi!$C$2:$C$11,MATCH($H$2,cc_input_vu_khi!$A$2:$A$11,0))-Thap!$K$3)),2-(INDEX(cc_input_vu_khi!$C$2:$C$11,MATCH($H$2,cc_input_vu_khi!$A$2:$A$11,0))-Thap!$K$3))+1)))*INDEX(cc_input_vu_khi_suy_ra!$D$2:$D$11,MATCH($H$2,cc_input_vu_khi_suy_ra!$A$2:$A$11,0))),1),""))</f>
        <v/>
      </c>
      <c r="J2" t="inlineStr">
        <is>
          <t>technical_rockets</t>
        </is>
      </c>
      <c r="K2">
        <f>IF($J$2="","",IF(INDEX(cc_input_vu_khi!$B$2:$B$11,MATCH($J$2,cc_input_vu_khi!$A$2:$A$11,0))*INDEX(cc_input_bang_xuyen_giap!$B$2:$B$7,MIN(6,MAX(1,IF(INDEX(cc_input_vu_khi_suy_ra!$B$2:$B$11,MATCH($J$2,cc_input_vu_khi_suy_ra!$A$2:$A$11,0)),MAX(1,2-(INDEX(cc_input_vu_khi!$C$2:$C$11,MATCH($J$2,cc_input_vu_khi!$A$2:$A$11,0))-Thap!$K$3)),2-(INDEX(cc_input_vu_khi!$C$2:$C$11,MATCH($J$2,cc_input_vu_khi!$A$2:$A$11,0))-Thap!$K$3))+1)))*INDEX(cc_input_vu_khi_suy_ra!$D$2:$D$11,MATCH($J$2,cc_input_vu_khi_suy_ra!$A$2:$A$11,0))&gt;0,CEILING(Thap!$J$3/(INDEX(cc_input_vu_khi!$B$2:$B$11,MATCH($J$2,cc_input_vu_khi!$A$2:$A$11,0))*INDEX(cc_input_bang_xuyen_giap!$B$2:$B$7,MIN(6,MAX(1,IF(INDEX(cc_input_vu_khi_suy_ra!$B$2:$B$11,MATCH($J$2,cc_input_vu_khi_suy_ra!$A$2:$A$11,0)),MAX(1,2-(INDEX(cc_input_vu_khi!$C$2:$C$11,MATCH($J$2,cc_input_vu_khi!$A$2:$A$11,0))-Thap!$K$3)),2-(INDEX(cc_input_vu_khi!$C$2:$C$11,MATCH($J$2,cc_input_vu_khi!$A$2:$A$11,0))-Thap!$K$3))+1)))*INDEX(cc_input_vu_khi_suy_ra!$D$2:$D$11,MATCH($J$2,cc_input_vu_khi_suy_ra!$A$2:$A$11,0))),1),""))</f>
        <v/>
      </c>
      <c r="L2" t="inlineStr">
        <is>
          <t>Tools/balance/p32_tower_prices.py Model.price('aa_turret') + threats('Small')</t>
        </is>
      </c>
      <c r="M2" t="inlineStr"/>
    </row>
    <row r="3">
      <c r="A3" t="inlineStr">
        <is>
          <t>aa_turret.flak</t>
        </is>
      </c>
      <c r="B3">
        <f>Thap_gia_cong_thuc!$Q$3</f>
        <v/>
      </c>
      <c r="C3">
        <f>IF(ISNUMBER($B$3),$B$3/Thap!$BN$4,"")</f>
        <v/>
      </c>
      <c r="D3" t="inlineStr">
        <is>
          <t>ifv_30</t>
        </is>
      </c>
      <c r="E3">
        <f>IF($D$3="","",IF(INDEX(cc_input_vu_khi!$B$2:$B$11,MATCH($D$3,cc_input_vu_khi!$A$2:$A$11,0))*INDEX(cc_input_bang_xuyen_giap!$B$2:$B$7,MIN(6,MAX(1,IF(INDEX(cc_input_vu_khi_suy_ra!$B$2:$B$11,MATCH($D$3,cc_input_vu_khi_suy_ra!$A$2:$A$11,0)),MAX(1,2-(INDEX(cc_input_vu_khi!$C$2:$C$11,MATCH($D$3,cc_input_vu_khi!$A$2:$A$11,0))-Thap!$K$4)),2-(INDEX(cc_input_vu_khi!$C$2:$C$11,MATCH($D$3,cc_input_vu_khi!$A$2:$A$11,0))-Thap!$K$4))+1)))*INDEX(cc_input_vu_khi_suy_ra!$D$2:$D$11,MATCH($D$3,cc_input_vu_khi_suy_ra!$A$2:$A$11,0))&gt;0,CEILING(Thap!$J$4/(INDEX(cc_input_vu_khi!$B$2:$B$11,MATCH($D$3,cc_input_vu_khi!$A$2:$A$11,0))*INDEX(cc_input_bang_xuyen_giap!$B$2:$B$7,MIN(6,MAX(1,IF(INDEX(cc_input_vu_khi_suy_ra!$B$2:$B$11,MATCH($D$3,cc_input_vu_khi_suy_ra!$A$2:$A$11,0)),MAX(1,2-(INDEX(cc_input_vu_khi!$C$2:$C$11,MATCH($D$3,cc_input_vu_khi!$A$2:$A$11,0))-Thap!$K$4)),2-(INDEX(cc_input_vu_khi!$C$2:$C$11,MATCH($D$3,cc_input_vu_khi!$A$2:$A$11,0))-Thap!$K$4))+1)))*INDEX(cc_input_vu_khi_suy_ra!$D$2:$D$11,MATCH($D$3,cc_input_vu_khi_suy_ra!$A$2:$A$11,0))),1),""))</f>
        <v/>
      </c>
      <c r="F3" t="inlineStr">
        <is>
          <t>gun_120mm_he</t>
        </is>
      </c>
      <c r="G3">
        <f>IF($F$3="","",IF(INDEX(cc_input_vu_khi!$B$2:$B$11,MATCH($F$3,cc_input_vu_khi!$A$2:$A$11,0))*INDEX(cc_input_bang_xuyen_giap!$B$2:$B$7,MIN(6,MAX(1,IF(INDEX(cc_input_vu_khi_suy_ra!$B$2:$B$11,MATCH($F$3,cc_input_vu_khi_suy_ra!$A$2:$A$11,0)),MAX(1,2-(INDEX(cc_input_vu_khi!$C$2:$C$11,MATCH($F$3,cc_input_vu_khi!$A$2:$A$11,0))-Thap!$K$4)),2-(INDEX(cc_input_vu_khi!$C$2:$C$11,MATCH($F$3,cc_input_vu_khi!$A$2:$A$11,0))-Thap!$K$4))+1)))*INDEX(cc_input_vu_khi_suy_ra!$D$2:$D$11,MATCH($F$3,cc_input_vu_khi_suy_ra!$A$2:$A$11,0))&gt;0,CEILING(Thap!$J$4/(INDEX(cc_input_vu_khi!$B$2:$B$11,MATCH($F$3,cc_input_vu_khi!$A$2:$A$11,0))*INDEX(cc_input_bang_xuyen_giap!$B$2:$B$7,MIN(6,MAX(1,IF(INDEX(cc_input_vu_khi_suy_ra!$B$2:$B$11,MATCH($F$3,cc_input_vu_khi_suy_ra!$A$2:$A$11,0)),MAX(1,2-(INDEX(cc_input_vu_khi!$C$2:$C$11,MATCH($F$3,cc_input_vu_khi!$A$2:$A$11,0))-Thap!$K$4)),2-(INDEX(cc_input_vu_khi!$C$2:$C$11,MATCH($F$3,cc_input_vu_khi!$A$2:$A$11,0))-Thap!$K$4))+1)))*INDEX(cc_input_vu_khi_suy_ra!$D$2:$D$11,MATCH($F$3,cc_input_vu_khi_suy_ra!$A$2:$A$11,0))),1),""))</f>
        <v/>
      </c>
      <c r="H3" t="inlineStr">
        <is>
          <t>recoilless_106</t>
        </is>
      </c>
      <c r="I3">
        <f>IF($H$3="","",IF(INDEX(cc_input_vu_khi!$B$2:$B$11,MATCH($H$3,cc_input_vu_khi!$A$2:$A$11,0))*INDEX(cc_input_bang_xuyen_giap!$B$2:$B$7,MIN(6,MAX(1,IF(INDEX(cc_input_vu_khi_suy_ra!$B$2:$B$11,MATCH($H$3,cc_input_vu_khi_suy_ra!$A$2:$A$11,0)),MAX(1,2-(INDEX(cc_input_vu_khi!$C$2:$C$11,MATCH($H$3,cc_input_vu_khi!$A$2:$A$11,0))-Thap!$K$4)),2-(INDEX(cc_input_vu_khi!$C$2:$C$11,MATCH($H$3,cc_input_vu_khi!$A$2:$A$11,0))-Thap!$K$4))+1)))*INDEX(cc_input_vu_khi_suy_ra!$D$2:$D$11,MATCH($H$3,cc_input_vu_khi_suy_ra!$A$2:$A$11,0))&gt;0,CEILING(Thap!$J$4/(INDEX(cc_input_vu_khi!$B$2:$B$11,MATCH($H$3,cc_input_vu_khi!$A$2:$A$11,0))*INDEX(cc_input_bang_xuyen_giap!$B$2:$B$7,MIN(6,MAX(1,IF(INDEX(cc_input_vu_khi_suy_ra!$B$2:$B$11,MATCH($H$3,cc_input_vu_khi_suy_ra!$A$2:$A$11,0)),MAX(1,2-(INDEX(cc_input_vu_khi!$C$2:$C$11,MATCH($H$3,cc_input_vu_khi!$A$2:$A$11,0))-Thap!$K$4)),2-(INDEX(cc_input_vu_khi!$C$2:$C$11,MATCH($H$3,cc_input_vu_khi!$A$2:$A$11,0))-Thap!$K$4))+1)))*INDEX(cc_input_vu_khi_suy_ra!$D$2:$D$11,MATCH($H$3,cc_input_vu_khi_suy_ra!$A$2:$A$11,0))),1),""))</f>
        <v/>
      </c>
      <c r="J3" t="inlineStr">
        <is>
          <t>technical_rockets</t>
        </is>
      </c>
      <c r="K3">
        <f>IF($J$3="","",IF(INDEX(cc_input_vu_khi!$B$2:$B$11,MATCH($J$3,cc_input_vu_khi!$A$2:$A$11,0))*INDEX(cc_input_bang_xuyen_giap!$B$2:$B$7,MIN(6,MAX(1,IF(INDEX(cc_input_vu_khi_suy_ra!$B$2:$B$11,MATCH($J$3,cc_input_vu_khi_suy_ra!$A$2:$A$11,0)),MAX(1,2-(INDEX(cc_input_vu_khi!$C$2:$C$11,MATCH($J$3,cc_input_vu_khi!$A$2:$A$11,0))-Thap!$K$4)),2-(INDEX(cc_input_vu_khi!$C$2:$C$11,MATCH($J$3,cc_input_vu_khi!$A$2:$A$11,0))-Thap!$K$4))+1)))*INDEX(cc_input_vu_khi_suy_ra!$D$2:$D$11,MATCH($J$3,cc_input_vu_khi_suy_ra!$A$2:$A$11,0))&gt;0,CEILING(Thap!$J$4/(INDEX(cc_input_vu_khi!$B$2:$B$11,MATCH($J$3,cc_input_vu_khi!$A$2:$A$11,0))*INDEX(cc_input_bang_xuyen_giap!$B$2:$B$7,MIN(6,MAX(1,IF(INDEX(cc_input_vu_khi_suy_ra!$B$2:$B$11,MATCH($J$3,cc_input_vu_khi_suy_ra!$A$2:$A$11,0)),MAX(1,2-(INDEX(cc_input_vu_khi!$C$2:$C$11,MATCH($J$3,cc_input_vu_khi!$A$2:$A$11,0))-Thap!$K$4)),2-(INDEX(cc_input_vu_khi!$C$2:$C$11,MATCH($J$3,cc_input_vu_khi!$A$2:$A$11,0))-Thap!$K$4))+1)))*INDEX(cc_input_vu_khi_suy_ra!$D$2:$D$11,MATCH($J$3,cc_input_vu_khi_suy_ra!$A$2:$A$11,0))),1),""))</f>
        <v/>
      </c>
      <c r="L3" t="inlineStr">
        <is>
          <t>Tools/balance/p32_tower_prices.py Model.price('aa_turret.flak') + threats('Small')</t>
        </is>
      </c>
      <c r="M3" t="inlineStr"/>
    </row>
    <row r="4">
      <c r="A4" t="inlineStr">
        <is>
          <t>aa_turret.sam</t>
        </is>
      </c>
      <c r="B4">
        <f>Thap_gia_cong_thuc!$Q$4</f>
        <v/>
      </c>
      <c r="C4">
        <f>IF(ISNUMBER($B$4),$B$4/Thap!$BN$5,"")</f>
        <v/>
      </c>
      <c r="D4" t="inlineStr">
        <is>
          <t>ifv_30</t>
        </is>
      </c>
      <c r="E4">
        <f>IF($D$4="","",IF(INDEX(cc_input_vu_khi!$B$2:$B$11,MATCH($D$4,cc_input_vu_khi!$A$2:$A$11,0))*INDEX(cc_input_bang_xuyen_giap!$B$2:$B$7,MIN(6,MAX(1,IF(INDEX(cc_input_vu_khi_suy_ra!$B$2:$B$11,MATCH($D$4,cc_input_vu_khi_suy_ra!$A$2:$A$11,0)),MAX(1,2-(INDEX(cc_input_vu_khi!$C$2:$C$11,MATCH($D$4,cc_input_vu_khi!$A$2:$A$11,0))-Thap!$K$5)),2-(INDEX(cc_input_vu_khi!$C$2:$C$11,MATCH($D$4,cc_input_vu_khi!$A$2:$A$11,0))-Thap!$K$5))+1)))*INDEX(cc_input_vu_khi_suy_ra!$D$2:$D$11,MATCH($D$4,cc_input_vu_khi_suy_ra!$A$2:$A$11,0))&gt;0,CEILING(Thap!$J$5/(INDEX(cc_input_vu_khi!$B$2:$B$11,MATCH($D$4,cc_input_vu_khi!$A$2:$A$11,0))*INDEX(cc_input_bang_xuyen_giap!$B$2:$B$7,MIN(6,MAX(1,IF(INDEX(cc_input_vu_khi_suy_ra!$B$2:$B$11,MATCH($D$4,cc_input_vu_khi_suy_ra!$A$2:$A$11,0)),MAX(1,2-(INDEX(cc_input_vu_khi!$C$2:$C$11,MATCH($D$4,cc_input_vu_khi!$A$2:$A$11,0))-Thap!$K$5)),2-(INDEX(cc_input_vu_khi!$C$2:$C$11,MATCH($D$4,cc_input_vu_khi!$A$2:$A$11,0))-Thap!$K$5))+1)))*INDEX(cc_input_vu_khi_suy_ra!$D$2:$D$11,MATCH($D$4,cc_input_vu_khi_suy_ra!$A$2:$A$11,0))),1),""))</f>
        <v/>
      </c>
      <c r="F4" t="inlineStr">
        <is>
          <t>gun_120mm_he</t>
        </is>
      </c>
      <c r="G4">
        <f>IF($F$4="","",IF(INDEX(cc_input_vu_khi!$B$2:$B$11,MATCH($F$4,cc_input_vu_khi!$A$2:$A$11,0))*INDEX(cc_input_bang_xuyen_giap!$B$2:$B$7,MIN(6,MAX(1,IF(INDEX(cc_input_vu_khi_suy_ra!$B$2:$B$11,MATCH($F$4,cc_input_vu_khi_suy_ra!$A$2:$A$11,0)),MAX(1,2-(INDEX(cc_input_vu_khi!$C$2:$C$11,MATCH($F$4,cc_input_vu_khi!$A$2:$A$11,0))-Thap!$K$5)),2-(INDEX(cc_input_vu_khi!$C$2:$C$11,MATCH($F$4,cc_input_vu_khi!$A$2:$A$11,0))-Thap!$K$5))+1)))*INDEX(cc_input_vu_khi_suy_ra!$D$2:$D$11,MATCH($F$4,cc_input_vu_khi_suy_ra!$A$2:$A$11,0))&gt;0,CEILING(Thap!$J$5/(INDEX(cc_input_vu_khi!$B$2:$B$11,MATCH($F$4,cc_input_vu_khi!$A$2:$A$11,0))*INDEX(cc_input_bang_xuyen_giap!$B$2:$B$7,MIN(6,MAX(1,IF(INDEX(cc_input_vu_khi_suy_ra!$B$2:$B$11,MATCH($F$4,cc_input_vu_khi_suy_ra!$A$2:$A$11,0)),MAX(1,2-(INDEX(cc_input_vu_khi!$C$2:$C$11,MATCH($F$4,cc_input_vu_khi!$A$2:$A$11,0))-Thap!$K$5)),2-(INDEX(cc_input_vu_khi!$C$2:$C$11,MATCH($F$4,cc_input_vu_khi!$A$2:$A$11,0))-Thap!$K$5))+1)))*INDEX(cc_input_vu_khi_suy_ra!$D$2:$D$11,MATCH($F$4,cc_input_vu_khi_suy_ra!$A$2:$A$11,0))),1),""))</f>
        <v/>
      </c>
      <c r="H4" t="inlineStr">
        <is>
          <t>recoilless_106</t>
        </is>
      </c>
      <c r="I4">
        <f>IF($H$4="","",IF(INDEX(cc_input_vu_khi!$B$2:$B$11,MATCH($H$4,cc_input_vu_khi!$A$2:$A$11,0))*INDEX(cc_input_bang_xuyen_giap!$B$2:$B$7,MIN(6,MAX(1,IF(INDEX(cc_input_vu_khi_suy_ra!$B$2:$B$11,MATCH($H$4,cc_input_vu_khi_suy_ra!$A$2:$A$11,0)),MAX(1,2-(INDEX(cc_input_vu_khi!$C$2:$C$11,MATCH($H$4,cc_input_vu_khi!$A$2:$A$11,0))-Thap!$K$5)),2-(INDEX(cc_input_vu_khi!$C$2:$C$11,MATCH($H$4,cc_input_vu_khi!$A$2:$A$11,0))-Thap!$K$5))+1)))*INDEX(cc_input_vu_khi_suy_ra!$D$2:$D$11,MATCH($H$4,cc_input_vu_khi_suy_ra!$A$2:$A$11,0))&gt;0,CEILING(Thap!$J$5/(INDEX(cc_input_vu_khi!$B$2:$B$11,MATCH($H$4,cc_input_vu_khi!$A$2:$A$11,0))*INDEX(cc_input_bang_xuyen_giap!$B$2:$B$7,MIN(6,MAX(1,IF(INDEX(cc_input_vu_khi_suy_ra!$B$2:$B$11,MATCH($H$4,cc_input_vu_khi_suy_ra!$A$2:$A$11,0)),MAX(1,2-(INDEX(cc_input_vu_khi!$C$2:$C$11,MATCH($H$4,cc_input_vu_khi!$A$2:$A$11,0))-Thap!$K$5)),2-(INDEX(cc_input_vu_khi!$C$2:$C$11,MATCH($H$4,cc_input_vu_khi!$A$2:$A$11,0))-Thap!$K$5))+1)))*INDEX(cc_input_vu_khi_suy_ra!$D$2:$D$11,MATCH($H$4,cc_input_vu_khi_suy_ra!$A$2:$A$11,0))),1),""))</f>
        <v/>
      </c>
      <c r="J4" t="inlineStr">
        <is>
          <t>technical_rockets</t>
        </is>
      </c>
      <c r="K4">
        <f>IF($J$4="","",IF(INDEX(cc_input_vu_khi!$B$2:$B$11,MATCH($J$4,cc_input_vu_khi!$A$2:$A$11,0))*INDEX(cc_input_bang_xuyen_giap!$B$2:$B$7,MIN(6,MAX(1,IF(INDEX(cc_input_vu_khi_suy_ra!$B$2:$B$11,MATCH($J$4,cc_input_vu_khi_suy_ra!$A$2:$A$11,0)),MAX(1,2-(INDEX(cc_input_vu_khi!$C$2:$C$11,MATCH($J$4,cc_input_vu_khi!$A$2:$A$11,0))-Thap!$K$5)),2-(INDEX(cc_input_vu_khi!$C$2:$C$11,MATCH($J$4,cc_input_vu_khi!$A$2:$A$11,0))-Thap!$K$5))+1)))*INDEX(cc_input_vu_khi_suy_ra!$D$2:$D$11,MATCH($J$4,cc_input_vu_khi_suy_ra!$A$2:$A$11,0))&gt;0,CEILING(Thap!$J$5/(INDEX(cc_input_vu_khi!$B$2:$B$11,MATCH($J$4,cc_input_vu_khi!$A$2:$A$11,0))*INDEX(cc_input_bang_xuyen_giap!$B$2:$B$7,MIN(6,MAX(1,IF(INDEX(cc_input_vu_khi_suy_ra!$B$2:$B$11,MATCH($J$4,cc_input_vu_khi_suy_ra!$A$2:$A$11,0)),MAX(1,2-(INDEX(cc_input_vu_khi!$C$2:$C$11,MATCH($J$4,cc_input_vu_khi!$A$2:$A$11,0))-Thap!$K$5)),2-(INDEX(cc_input_vu_khi!$C$2:$C$11,MATCH($J$4,cc_input_vu_khi!$A$2:$A$11,0))-Thap!$K$5))+1)))*INDEX(cc_input_vu_khi_suy_ra!$D$2:$D$11,MATCH($J$4,cc_input_vu_khi_suy_ra!$A$2:$A$11,0))),1),""))</f>
        <v/>
      </c>
      <c r="L4" t="inlineStr">
        <is>
          <t>Tools/balance/p32_tower_prices.py Model.price('aa_turret.sam') + threats('Small')</t>
        </is>
      </c>
      <c r="M4" t="inlineStr"/>
    </row>
    <row r="5">
      <c r="A5" t="inlineStr">
        <is>
          <t>aircraft_hangar</t>
        </is>
      </c>
      <c r="B5">
        <f>Thap_gia_cong_thuc!$Q$5</f>
        <v/>
      </c>
      <c r="C5">
        <f>IF(ISNUMBER($B$5),$B$5/Thap!$BN$6,"")</f>
        <v/>
      </c>
      <c r="D5" t="inlineStr">
        <is>
          <t>gun_105_wheeled</t>
        </is>
      </c>
      <c r="E5">
        <f>IF($D$5="","",IF(INDEX(cc_input_vu_khi!$B$2:$B$11,MATCH($D$5,cc_input_vu_khi!$A$2:$A$11,0))*INDEX(cc_input_bang_xuyen_giap!$B$2:$B$7,MIN(6,MAX(1,IF(INDEX(cc_input_vu_khi_suy_ra!$B$2:$B$11,MATCH($D$5,cc_input_vu_khi_suy_ra!$A$2:$A$11,0)),MAX(1,2-(INDEX(cc_input_vu_khi!$C$2:$C$11,MATCH($D$5,cc_input_vu_khi!$A$2:$A$11,0))-Thap!$K$6)),2-(INDEX(cc_input_vu_khi!$C$2:$C$11,MATCH($D$5,cc_input_vu_khi!$A$2:$A$11,0))-Thap!$K$6))+1)))*INDEX(cc_input_vu_khi_suy_ra!$D$2:$D$11,MATCH($D$5,cc_input_vu_khi_suy_ra!$A$2:$A$11,0))&gt;0,CEILING(Thap!$J$6/(INDEX(cc_input_vu_khi!$B$2:$B$11,MATCH($D$5,cc_input_vu_khi!$A$2:$A$11,0))*INDEX(cc_input_bang_xuyen_giap!$B$2:$B$7,MIN(6,MAX(1,IF(INDEX(cc_input_vu_khi_suy_ra!$B$2:$B$11,MATCH($D$5,cc_input_vu_khi_suy_ra!$A$2:$A$11,0)),MAX(1,2-(INDEX(cc_input_vu_khi!$C$2:$C$11,MATCH($D$5,cc_input_vu_khi!$A$2:$A$11,0))-Thap!$K$6)),2-(INDEX(cc_input_vu_khi!$C$2:$C$11,MATCH($D$5,cc_input_vu_khi!$A$2:$A$11,0))-Thap!$K$6))+1)))*INDEX(cc_input_vu_khi_suy_ra!$D$2:$D$11,MATCH($D$5,cc_input_vu_khi_suy_ra!$A$2:$A$11,0))),1),""))</f>
        <v/>
      </c>
      <c r="F5" t="inlineStr">
        <is>
          <t>gun_105_wheeled_he</t>
        </is>
      </c>
      <c r="G5">
        <f>IF($F$5="","",IF(INDEX(cc_input_vu_khi!$B$2:$B$11,MATCH($F$5,cc_input_vu_khi!$A$2:$A$11,0))*INDEX(cc_input_bang_xuyen_giap!$B$2:$B$7,MIN(6,MAX(1,IF(INDEX(cc_input_vu_khi_suy_ra!$B$2:$B$11,MATCH($F$5,cc_input_vu_khi_suy_ra!$A$2:$A$11,0)),MAX(1,2-(INDEX(cc_input_vu_khi!$C$2:$C$11,MATCH($F$5,cc_input_vu_khi!$A$2:$A$11,0))-Thap!$K$6)),2-(INDEX(cc_input_vu_khi!$C$2:$C$11,MATCH($F$5,cc_input_vu_khi!$A$2:$A$11,0))-Thap!$K$6))+1)))*INDEX(cc_input_vu_khi_suy_ra!$D$2:$D$11,MATCH($F$5,cc_input_vu_khi_suy_ra!$A$2:$A$11,0))&gt;0,CEILING(Thap!$J$6/(INDEX(cc_input_vu_khi!$B$2:$B$11,MATCH($F$5,cc_input_vu_khi!$A$2:$A$11,0))*INDEX(cc_input_bang_xuyen_giap!$B$2:$B$7,MIN(6,MAX(1,IF(INDEX(cc_input_vu_khi_suy_ra!$B$2:$B$11,MATCH($F$5,cc_input_vu_khi_suy_ra!$A$2:$A$11,0)),MAX(1,2-(INDEX(cc_input_vu_khi!$C$2:$C$11,MATCH($F$5,cc_input_vu_khi!$A$2:$A$11,0))-Thap!$K$6)),2-(INDEX(cc_input_vu_khi!$C$2:$C$11,MATCH($F$5,cc_input_vu_khi!$A$2:$A$11,0))-Thap!$K$6))+1)))*INDEX(cc_input_vu_khi_suy_ra!$D$2:$D$11,MATCH($F$5,cc_input_vu_khi_suy_ra!$A$2:$A$11,0))),1),""))</f>
        <v/>
      </c>
      <c r="H5" t="inlineStr"/>
      <c r="I5">
        <f>IF($H$5="","",IF(INDEX(cc_input_vu_khi!$B$2:$B$11,MATCH($H$5,cc_input_vu_khi!$A$2:$A$11,0))*INDEX(cc_input_bang_xuyen_giap!$B$2:$B$7,MIN(6,MAX(1,IF(INDEX(cc_input_vu_khi_suy_ra!$B$2:$B$11,MATCH($H$5,cc_input_vu_khi_suy_ra!$A$2:$A$11,0)),MAX(1,2-(INDEX(cc_input_vu_khi!$C$2:$C$11,MATCH($H$5,cc_input_vu_khi!$A$2:$A$11,0))-Thap!$K$6)),2-(INDEX(cc_input_vu_khi!$C$2:$C$11,MATCH($H$5,cc_input_vu_khi!$A$2:$A$11,0))-Thap!$K$6))+1)))*INDEX(cc_input_vu_khi_suy_ra!$D$2:$D$11,MATCH($H$5,cc_input_vu_khi_suy_ra!$A$2:$A$11,0))&gt;0,CEILING(Thap!$J$6/(INDEX(cc_input_vu_khi!$B$2:$B$11,MATCH($H$5,cc_input_vu_khi!$A$2:$A$11,0))*INDEX(cc_input_bang_xuyen_giap!$B$2:$B$7,MIN(6,MAX(1,IF(INDEX(cc_input_vu_khi_suy_ra!$B$2:$B$11,MATCH($H$5,cc_input_vu_khi_suy_ra!$A$2:$A$11,0)),MAX(1,2-(INDEX(cc_input_vu_khi!$C$2:$C$11,MATCH($H$5,cc_input_vu_khi!$A$2:$A$11,0))-Thap!$K$6)),2-(INDEX(cc_input_vu_khi!$C$2:$C$11,MATCH($H$5,cc_input_vu_khi!$A$2:$A$11,0))-Thap!$K$6))+1)))*INDEX(cc_input_vu_khi_suy_ra!$D$2:$D$11,MATCH($H$5,cc_input_vu_khi_suy_ra!$A$2:$A$11,0))),1),""))</f>
        <v/>
      </c>
      <c r="J5" t="inlineStr">
        <is>
          <t>mlrs_rockets</t>
        </is>
      </c>
      <c r="K5">
        <f>IF($J$5="","",IF(INDEX(cc_input_vu_khi!$B$2:$B$11,MATCH($J$5,cc_input_vu_khi!$A$2:$A$11,0))*INDEX(cc_input_bang_xuyen_giap!$B$2:$B$7,MIN(6,MAX(1,IF(INDEX(cc_input_vu_khi_suy_ra!$B$2:$B$11,MATCH($J$5,cc_input_vu_khi_suy_ra!$A$2:$A$11,0)),MAX(1,2-(INDEX(cc_input_vu_khi!$C$2:$C$11,MATCH($J$5,cc_input_vu_khi!$A$2:$A$11,0))-Thap!$K$6)),2-(INDEX(cc_input_vu_khi!$C$2:$C$11,MATCH($J$5,cc_input_vu_khi!$A$2:$A$11,0))-Thap!$K$6))+1)))*INDEX(cc_input_vu_khi_suy_ra!$D$2:$D$11,MATCH($J$5,cc_input_vu_khi_suy_ra!$A$2:$A$11,0))&gt;0,CEILING(Thap!$J$6/(INDEX(cc_input_vu_khi!$B$2:$B$11,MATCH($J$5,cc_input_vu_khi!$A$2:$A$11,0))*INDEX(cc_input_bang_xuyen_giap!$B$2:$B$7,MIN(6,MAX(1,IF(INDEX(cc_input_vu_khi_suy_ra!$B$2:$B$11,MATCH($J$5,cc_input_vu_khi_suy_ra!$A$2:$A$11,0)),MAX(1,2-(INDEX(cc_input_vu_khi!$C$2:$C$11,MATCH($J$5,cc_input_vu_khi!$A$2:$A$11,0))-Thap!$K$6)),2-(INDEX(cc_input_vu_khi!$C$2:$C$11,MATCH($J$5,cc_input_vu_khi!$A$2:$A$11,0))-Thap!$K$6))+1)))*INDEX(cc_input_vu_khi_suy_ra!$D$2:$D$11,MATCH($J$5,cc_input_vu_khi_suy_ra!$A$2:$A$11,0))),1),""))</f>
        <v/>
      </c>
      <c r="L5" t="inlineStr">
        <is>
          <t>Tools/balance/p32_tower_prices.py Model.price('aircraft_hangar') + threats('Medium')</t>
        </is>
      </c>
      <c r="M5" t="inlineStr"/>
    </row>
    <row r="6">
      <c r="A6" t="inlineStr">
        <is>
          <t>atgm_tower</t>
        </is>
      </c>
      <c r="B6">
        <f>Thap_gia_cong_thuc!$Q$6</f>
        <v/>
      </c>
      <c r="C6">
        <f>IF(ISNUMBER($B$6),$B$6/Thap!$BN$7,"")</f>
        <v/>
      </c>
      <c r="D6" t="inlineStr">
        <is>
          <t>gun_105_wheeled</t>
        </is>
      </c>
      <c r="E6">
        <f>IF($D$6="","",IF(INDEX(cc_input_vu_khi!$B$2:$B$11,MATCH($D$6,cc_input_vu_khi!$A$2:$A$11,0))*INDEX(cc_input_bang_xuyen_giap!$B$2:$B$7,MIN(6,MAX(1,IF(INDEX(cc_input_vu_khi_suy_ra!$B$2:$B$11,MATCH($D$6,cc_input_vu_khi_suy_ra!$A$2:$A$11,0)),MAX(1,2-(INDEX(cc_input_vu_khi!$C$2:$C$11,MATCH($D$6,cc_input_vu_khi!$A$2:$A$11,0))-Thap!$K$7)),2-(INDEX(cc_input_vu_khi!$C$2:$C$11,MATCH($D$6,cc_input_vu_khi!$A$2:$A$11,0))-Thap!$K$7))+1)))*INDEX(cc_input_vu_khi_suy_ra!$D$2:$D$11,MATCH($D$6,cc_input_vu_khi_suy_ra!$A$2:$A$11,0))&gt;0,CEILING(Thap!$J$7/(INDEX(cc_input_vu_khi!$B$2:$B$11,MATCH($D$6,cc_input_vu_khi!$A$2:$A$11,0))*INDEX(cc_input_bang_xuyen_giap!$B$2:$B$7,MIN(6,MAX(1,IF(INDEX(cc_input_vu_khi_suy_ra!$B$2:$B$11,MATCH($D$6,cc_input_vu_khi_suy_ra!$A$2:$A$11,0)),MAX(1,2-(INDEX(cc_input_vu_khi!$C$2:$C$11,MATCH($D$6,cc_input_vu_khi!$A$2:$A$11,0))-Thap!$K$7)),2-(INDEX(cc_input_vu_khi!$C$2:$C$11,MATCH($D$6,cc_input_vu_khi!$A$2:$A$11,0))-Thap!$K$7))+1)))*INDEX(cc_input_vu_khi_suy_ra!$D$2:$D$11,MATCH($D$6,cc_input_vu_khi_suy_ra!$A$2:$A$11,0))),1),""))</f>
        <v/>
      </c>
      <c r="F6" t="inlineStr">
        <is>
          <t>gun_105_wheeled_he</t>
        </is>
      </c>
      <c r="G6">
        <f>IF($F$6="","",IF(INDEX(cc_input_vu_khi!$B$2:$B$11,MATCH($F$6,cc_input_vu_khi!$A$2:$A$11,0))*INDEX(cc_input_bang_xuyen_giap!$B$2:$B$7,MIN(6,MAX(1,IF(INDEX(cc_input_vu_khi_suy_ra!$B$2:$B$11,MATCH($F$6,cc_input_vu_khi_suy_ra!$A$2:$A$11,0)),MAX(1,2-(INDEX(cc_input_vu_khi!$C$2:$C$11,MATCH($F$6,cc_input_vu_khi!$A$2:$A$11,0))-Thap!$K$7)),2-(INDEX(cc_input_vu_khi!$C$2:$C$11,MATCH($F$6,cc_input_vu_khi!$A$2:$A$11,0))-Thap!$K$7))+1)))*INDEX(cc_input_vu_khi_suy_ra!$D$2:$D$11,MATCH($F$6,cc_input_vu_khi_suy_ra!$A$2:$A$11,0))&gt;0,CEILING(Thap!$J$7/(INDEX(cc_input_vu_khi!$B$2:$B$11,MATCH($F$6,cc_input_vu_khi!$A$2:$A$11,0))*INDEX(cc_input_bang_xuyen_giap!$B$2:$B$7,MIN(6,MAX(1,IF(INDEX(cc_input_vu_khi_suy_ra!$B$2:$B$11,MATCH($F$6,cc_input_vu_khi_suy_ra!$A$2:$A$11,0)),MAX(1,2-(INDEX(cc_input_vu_khi!$C$2:$C$11,MATCH($F$6,cc_input_vu_khi!$A$2:$A$11,0))-Thap!$K$7)),2-(INDEX(cc_input_vu_khi!$C$2:$C$11,MATCH($F$6,cc_input_vu_khi!$A$2:$A$11,0))-Thap!$K$7))+1)))*INDEX(cc_input_vu_khi_suy_ra!$D$2:$D$11,MATCH($F$6,cc_input_vu_khi_suy_ra!$A$2:$A$11,0))),1),""))</f>
        <v/>
      </c>
      <c r="H6" t="inlineStr"/>
      <c r="I6">
        <f>IF($H$6="","",IF(INDEX(cc_input_vu_khi!$B$2:$B$11,MATCH($H$6,cc_input_vu_khi!$A$2:$A$11,0))*INDEX(cc_input_bang_xuyen_giap!$B$2:$B$7,MIN(6,MAX(1,IF(INDEX(cc_input_vu_khi_suy_ra!$B$2:$B$11,MATCH($H$6,cc_input_vu_khi_suy_ra!$A$2:$A$11,0)),MAX(1,2-(INDEX(cc_input_vu_khi!$C$2:$C$11,MATCH($H$6,cc_input_vu_khi!$A$2:$A$11,0))-Thap!$K$7)),2-(INDEX(cc_input_vu_khi!$C$2:$C$11,MATCH($H$6,cc_input_vu_khi!$A$2:$A$11,0))-Thap!$K$7))+1)))*INDEX(cc_input_vu_khi_suy_ra!$D$2:$D$11,MATCH($H$6,cc_input_vu_khi_suy_ra!$A$2:$A$11,0))&gt;0,CEILING(Thap!$J$7/(INDEX(cc_input_vu_khi!$B$2:$B$11,MATCH($H$6,cc_input_vu_khi!$A$2:$A$11,0))*INDEX(cc_input_bang_xuyen_giap!$B$2:$B$7,MIN(6,MAX(1,IF(INDEX(cc_input_vu_khi_suy_ra!$B$2:$B$11,MATCH($H$6,cc_input_vu_khi_suy_ra!$A$2:$A$11,0)),MAX(1,2-(INDEX(cc_input_vu_khi!$C$2:$C$11,MATCH($H$6,cc_input_vu_khi!$A$2:$A$11,0))-Thap!$K$7)),2-(INDEX(cc_input_vu_khi!$C$2:$C$11,MATCH($H$6,cc_input_vu_khi!$A$2:$A$11,0))-Thap!$K$7))+1)))*INDEX(cc_input_vu_khi_suy_ra!$D$2:$D$11,MATCH($H$6,cc_input_vu_khi_suy_ra!$A$2:$A$11,0))),1),""))</f>
        <v/>
      </c>
      <c r="J6" t="inlineStr">
        <is>
          <t>mlrs_rockets</t>
        </is>
      </c>
      <c r="K6">
        <f>IF($J$6="","",IF(INDEX(cc_input_vu_khi!$B$2:$B$11,MATCH($J$6,cc_input_vu_khi!$A$2:$A$11,0))*INDEX(cc_input_bang_xuyen_giap!$B$2:$B$7,MIN(6,MAX(1,IF(INDEX(cc_input_vu_khi_suy_ra!$B$2:$B$11,MATCH($J$6,cc_input_vu_khi_suy_ra!$A$2:$A$11,0)),MAX(1,2-(INDEX(cc_input_vu_khi!$C$2:$C$11,MATCH($J$6,cc_input_vu_khi!$A$2:$A$11,0))-Thap!$K$7)),2-(INDEX(cc_input_vu_khi!$C$2:$C$11,MATCH($J$6,cc_input_vu_khi!$A$2:$A$11,0))-Thap!$K$7))+1)))*INDEX(cc_input_vu_khi_suy_ra!$D$2:$D$11,MATCH($J$6,cc_input_vu_khi_suy_ra!$A$2:$A$11,0))&gt;0,CEILING(Thap!$J$7/(INDEX(cc_input_vu_khi!$B$2:$B$11,MATCH($J$6,cc_input_vu_khi!$A$2:$A$11,0))*INDEX(cc_input_bang_xuyen_giap!$B$2:$B$7,MIN(6,MAX(1,IF(INDEX(cc_input_vu_khi_suy_ra!$B$2:$B$11,MATCH($J$6,cc_input_vu_khi_suy_ra!$A$2:$A$11,0)),MAX(1,2-(INDEX(cc_input_vu_khi!$C$2:$C$11,MATCH($J$6,cc_input_vu_khi!$A$2:$A$11,0))-Thap!$K$7)),2-(INDEX(cc_input_vu_khi!$C$2:$C$11,MATCH($J$6,cc_input_vu_khi!$A$2:$A$11,0))-Thap!$K$7))+1)))*INDEX(cc_input_vu_khi_suy_ra!$D$2:$D$11,MATCH($J$6,cc_input_vu_khi_suy_ra!$A$2:$A$11,0))),1),""))</f>
        <v/>
      </c>
      <c r="L6" t="inlineStr">
        <is>
          <t>Tools/balance/p32_tower_prices.py Model.price('atgm_tower') + threats('Medium')</t>
        </is>
      </c>
      <c r="M6" t="inlineStr"/>
    </row>
    <row r="7">
      <c r="A7" t="inlineStr">
        <is>
          <t>atgm_tower.multi</t>
        </is>
      </c>
      <c r="B7">
        <f>Thap_gia_cong_thuc!$Q$7</f>
        <v/>
      </c>
      <c r="C7">
        <f>IF(ISNUMBER($B$7),$B$7/Thap!$BN$8,"")</f>
        <v/>
      </c>
      <c r="D7" t="inlineStr">
        <is>
          <t>gun_105_wheeled</t>
        </is>
      </c>
      <c r="E7">
        <f>IF($D$7="","",IF(INDEX(cc_input_vu_khi!$B$2:$B$11,MATCH($D$7,cc_input_vu_khi!$A$2:$A$11,0))*INDEX(cc_input_bang_xuyen_giap!$B$2:$B$7,MIN(6,MAX(1,IF(INDEX(cc_input_vu_khi_suy_ra!$B$2:$B$11,MATCH($D$7,cc_input_vu_khi_suy_ra!$A$2:$A$11,0)),MAX(1,2-(INDEX(cc_input_vu_khi!$C$2:$C$11,MATCH($D$7,cc_input_vu_khi!$A$2:$A$11,0))-Thap!$K$8)),2-(INDEX(cc_input_vu_khi!$C$2:$C$11,MATCH($D$7,cc_input_vu_khi!$A$2:$A$11,0))-Thap!$K$8))+1)))*INDEX(cc_input_vu_khi_suy_ra!$D$2:$D$11,MATCH($D$7,cc_input_vu_khi_suy_ra!$A$2:$A$11,0))&gt;0,CEILING(Thap!$J$8/(INDEX(cc_input_vu_khi!$B$2:$B$11,MATCH($D$7,cc_input_vu_khi!$A$2:$A$11,0))*INDEX(cc_input_bang_xuyen_giap!$B$2:$B$7,MIN(6,MAX(1,IF(INDEX(cc_input_vu_khi_suy_ra!$B$2:$B$11,MATCH($D$7,cc_input_vu_khi_suy_ra!$A$2:$A$11,0)),MAX(1,2-(INDEX(cc_input_vu_khi!$C$2:$C$11,MATCH($D$7,cc_input_vu_khi!$A$2:$A$11,0))-Thap!$K$8)),2-(INDEX(cc_input_vu_khi!$C$2:$C$11,MATCH($D$7,cc_input_vu_khi!$A$2:$A$11,0))-Thap!$K$8))+1)))*INDEX(cc_input_vu_khi_suy_ra!$D$2:$D$11,MATCH($D$7,cc_input_vu_khi_suy_ra!$A$2:$A$11,0))),1),""))</f>
        <v/>
      </c>
      <c r="F7" t="inlineStr">
        <is>
          <t>gun_105_wheeled_he</t>
        </is>
      </c>
      <c r="G7">
        <f>IF($F$7="","",IF(INDEX(cc_input_vu_khi!$B$2:$B$11,MATCH($F$7,cc_input_vu_khi!$A$2:$A$11,0))*INDEX(cc_input_bang_xuyen_giap!$B$2:$B$7,MIN(6,MAX(1,IF(INDEX(cc_input_vu_khi_suy_ra!$B$2:$B$11,MATCH($F$7,cc_input_vu_khi_suy_ra!$A$2:$A$11,0)),MAX(1,2-(INDEX(cc_input_vu_khi!$C$2:$C$11,MATCH($F$7,cc_input_vu_khi!$A$2:$A$11,0))-Thap!$K$8)),2-(INDEX(cc_input_vu_khi!$C$2:$C$11,MATCH($F$7,cc_input_vu_khi!$A$2:$A$11,0))-Thap!$K$8))+1)))*INDEX(cc_input_vu_khi_suy_ra!$D$2:$D$11,MATCH($F$7,cc_input_vu_khi_suy_ra!$A$2:$A$11,0))&gt;0,CEILING(Thap!$J$8/(INDEX(cc_input_vu_khi!$B$2:$B$11,MATCH($F$7,cc_input_vu_khi!$A$2:$A$11,0))*INDEX(cc_input_bang_xuyen_giap!$B$2:$B$7,MIN(6,MAX(1,IF(INDEX(cc_input_vu_khi_suy_ra!$B$2:$B$11,MATCH($F$7,cc_input_vu_khi_suy_ra!$A$2:$A$11,0)),MAX(1,2-(INDEX(cc_input_vu_khi!$C$2:$C$11,MATCH($F$7,cc_input_vu_khi!$A$2:$A$11,0))-Thap!$K$8)),2-(INDEX(cc_input_vu_khi!$C$2:$C$11,MATCH($F$7,cc_input_vu_khi!$A$2:$A$11,0))-Thap!$K$8))+1)))*INDEX(cc_input_vu_khi_suy_ra!$D$2:$D$11,MATCH($F$7,cc_input_vu_khi_suy_ra!$A$2:$A$11,0))),1),""))</f>
        <v/>
      </c>
      <c r="H7" t="inlineStr"/>
      <c r="I7">
        <f>IF($H$7="","",IF(INDEX(cc_input_vu_khi!$B$2:$B$11,MATCH($H$7,cc_input_vu_khi!$A$2:$A$11,0))*INDEX(cc_input_bang_xuyen_giap!$B$2:$B$7,MIN(6,MAX(1,IF(INDEX(cc_input_vu_khi_suy_ra!$B$2:$B$11,MATCH($H$7,cc_input_vu_khi_suy_ra!$A$2:$A$11,0)),MAX(1,2-(INDEX(cc_input_vu_khi!$C$2:$C$11,MATCH($H$7,cc_input_vu_khi!$A$2:$A$11,0))-Thap!$K$8)),2-(INDEX(cc_input_vu_khi!$C$2:$C$11,MATCH($H$7,cc_input_vu_khi!$A$2:$A$11,0))-Thap!$K$8))+1)))*INDEX(cc_input_vu_khi_suy_ra!$D$2:$D$11,MATCH($H$7,cc_input_vu_khi_suy_ra!$A$2:$A$11,0))&gt;0,CEILING(Thap!$J$8/(INDEX(cc_input_vu_khi!$B$2:$B$11,MATCH($H$7,cc_input_vu_khi!$A$2:$A$11,0))*INDEX(cc_input_bang_xuyen_giap!$B$2:$B$7,MIN(6,MAX(1,IF(INDEX(cc_input_vu_khi_suy_ra!$B$2:$B$11,MATCH($H$7,cc_input_vu_khi_suy_ra!$A$2:$A$11,0)),MAX(1,2-(INDEX(cc_input_vu_khi!$C$2:$C$11,MATCH($H$7,cc_input_vu_khi!$A$2:$A$11,0))-Thap!$K$8)),2-(INDEX(cc_input_vu_khi!$C$2:$C$11,MATCH($H$7,cc_input_vu_khi!$A$2:$A$11,0))-Thap!$K$8))+1)))*INDEX(cc_input_vu_khi_suy_ra!$D$2:$D$11,MATCH($H$7,cc_input_vu_khi_suy_ra!$A$2:$A$11,0))),1),""))</f>
        <v/>
      </c>
      <c r="J7" t="inlineStr">
        <is>
          <t>mlrs_rockets</t>
        </is>
      </c>
      <c r="K7">
        <f>IF($J$7="","",IF(INDEX(cc_input_vu_khi!$B$2:$B$11,MATCH($J$7,cc_input_vu_khi!$A$2:$A$11,0))*INDEX(cc_input_bang_xuyen_giap!$B$2:$B$7,MIN(6,MAX(1,IF(INDEX(cc_input_vu_khi_suy_ra!$B$2:$B$11,MATCH($J$7,cc_input_vu_khi_suy_ra!$A$2:$A$11,0)),MAX(1,2-(INDEX(cc_input_vu_khi!$C$2:$C$11,MATCH($J$7,cc_input_vu_khi!$A$2:$A$11,0))-Thap!$K$8)),2-(INDEX(cc_input_vu_khi!$C$2:$C$11,MATCH($J$7,cc_input_vu_khi!$A$2:$A$11,0))-Thap!$K$8))+1)))*INDEX(cc_input_vu_khi_suy_ra!$D$2:$D$11,MATCH($J$7,cc_input_vu_khi_suy_ra!$A$2:$A$11,0))&gt;0,CEILING(Thap!$J$8/(INDEX(cc_input_vu_khi!$B$2:$B$11,MATCH($J$7,cc_input_vu_khi!$A$2:$A$11,0))*INDEX(cc_input_bang_xuyen_giap!$B$2:$B$7,MIN(6,MAX(1,IF(INDEX(cc_input_vu_khi_suy_ra!$B$2:$B$11,MATCH($J$7,cc_input_vu_khi_suy_ra!$A$2:$A$11,0)),MAX(1,2-(INDEX(cc_input_vu_khi!$C$2:$C$11,MATCH($J$7,cc_input_vu_khi!$A$2:$A$11,0))-Thap!$K$8)),2-(INDEX(cc_input_vu_khi!$C$2:$C$11,MATCH($J$7,cc_input_vu_khi!$A$2:$A$11,0))-Thap!$K$8))+1)))*INDEX(cc_input_vu_khi_suy_ra!$D$2:$D$11,MATCH($J$7,cc_input_vu_khi_suy_ra!$A$2:$A$11,0))),1),""))</f>
        <v/>
      </c>
      <c r="L7" t="inlineStr">
        <is>
          <t>Tools/balance/p32_tower_prices.py Model.price('atgm_tower.multi') + threats('Medium')</t>
        </is>
      </c>
      <c r="M7" t="inlineStr"/>
    </row>
    <row r="8">
      <c r="A8" t="inlineStr">
        <is>
          <t>atgm_tower.top</t>
        </is>
      </c>
      <c r="B8">
        <f>Thap_gia_cong_thuc!$Q$8</f>
        <v/>
      </c>
      <c r="C8">
        <f>IF(ISNUMBER($B$8),$B$8/Thap!$BN$9,"")</f>
        <v/>
      </c>
      <c r="D8" t="inlineStr">
        <is>
          <t>gun_105_wheeled</t>
        </is>
      </c>
      <c r="E8">
        <f>IF($D$8="","",IF(INDEX(cc_input_vu_khi!$B$2:$B$11,MATCH($D$8,cc_input_vu_khi!$A$2:$A$11,0))*INDEX(cc_input_bang_xuyen_giap!$B$2:$B$7,MIN(6,MAX(1,IF(INDEX(cc_input_vu_khi_suy_ra!$B$2:$B$11,MATCH($D$8,cc_input_vu_khi_suy_ra!$A$2:$A$11,0)),MAX(1,2-(INDEX(cc_input_vu_khi!$C$2:$C$11,MATCH($D$8,cc_input_vu_khi!$A$2:$A$11,0))-Thap!$K$9)),2-(INDEX(cc_input_vu_khi!$C$2:$C$11,MATCH($D$8,cc_input_vu_khi!$A$2:$A$11,0))-Thap!$K$9))+1)))*INDEX(cc_input_vu_khi_suy_ra!$D$2:$D$11,MATCH($D$8,cc_input_vu_khi_suy_ra!$A$2:$A$11,0))&gt;0,CEILING(Thap!$J$9/(INDEX(cc_input_vu_khi!$B$2:$B$11,MATCH($D$8,cc_input_vu_khi!$A$2:$A$11,0))*INDEX(cc_input_bang_xuyen_giap!$B$2:$B$7,MIN(6,MAX(1,IF(INDEX(cc_input_vu_khi_suy_ra!$B$2:$B$11,MATCH($D$8,cc_input_vu_khi_suy_ra!$A$2:$A$11,0)),MAX(1,2-(INDEX(cc_input_vu_khi!$C$2:$C$11,MATCH($D$8,cc_input_vu_khi!$A$2:$A$11,0))-Thap!$K$9)),2-(INDEX(cc_input_vu_khi!$C$2:$C$11,MATCH($D$8,cc_input_vu_khi!$A$2:$A$11,0))-Thap!$K$9))+1)))*INDEX(cc_input_vu_khi_suy_ra!$D$2:$D$11,MATCH($D$8,cc_input_vu_khi_suy_ra!$A$2:$A$11,0))),1),""))</f>
        <v/>
      </c>
      <c r="F8" t="inlineStr">
        <is>
          <t>gun_105_wheeled_he</t>
        </is>
      </c>
      <c r="G8">
        <f>IF($F$8="","",IF(INDEX(cc_input_vu_khi!$B$2:$B$11,MATCH($F$8,cc_input_vu_khi!$A$2:$A$11,0))*INDEX(cc_input_bang_xuyen_giap!$B$2:$B$7,MIN(6,MAX(1,IF(INDEX(cc_input_vu_khi_suy_ra!$B$2:$B$11,MATCH($F$8,cc_input_vu_khi_suy_ra!$A$2:$A$11,0)),MAX(1,2-(INDEX(cc_input_vu_khi!$C$2:$C$11,MATCH($F$8,cc_input_vu_khi!$A$2:$A$11,0))-Thap!$K$9)),2-(INDEX(cc_input_vu_khi!$C$2:$C$11,MATCH($F$8,cc_input_vu_khi!$A$2:$A$11,0))-Thap!$K$9))+1)))*INDEX(cc_input_vu_khi_suy_ra!$D$2:$D$11,MATCH($F$8,cc_input_vu_khi_suy_ra!$A$2:$A$11,0))&gt;0,CEILING(Thap!$J$9/(INDEX(cc_input_vu_khi!$B$2:$B$11,MATCH($F$8,cc_input_vu_khi!$A$2:$A$11,0))*INDEX(cc_input_bang_xuyen_giap!$B$2:$B$7,MIN(6,MAX(1,IF(INDEX(cc_input_vu_khi_suy_ra!$B$2:$B$11,MATCH($F$8,cc_input_vu_khi_suy_ra!$A$2:$A$11,0)),MAX(1,2-(INDEX(cc_input_vu_khi!$C$2:$C$11,MATCH($F$8,cc_input_vu_khi!$A$2:$A$11,0))-Thap!$K$9)),2-(INDEX(cc_input_vu_khi!$C$2:$C$11,MATCH($F$8,cc_input_vu_khi!$A$2:$A$11,0))-Thap!$K$9))+1)))*INDEX(cc_input_vu_khi_suy_ra!$D$2:$D$11,MATCH($F$8,cc_input_vu_khi_suy_ra!$A$2:$A$11,0))),1),""))</f>
        <v/>
      </c>
      <c r="H8" t="inlineStr"/>
      <c r="I8">
        <f>IF($H$8="","",IF(INDEX(cc_input_vu_khi!$B$2:$B$11,MATCH($H$8,cc_input_vu_khi!$A$2:$A$11,0))*INDEX(cc_input_bang_xuyen_giap!$B$2:$B$7,MIN(6,MAX(1,IF(INDEX(cc_input_vu_khi_suy_ra!$B$2:$B$11,MATCH($H$8,cc_input_vu_khi_suy_ra!$A$2:$A$11,0)),MAX(1,2-(INDEX(cc_input_vu_khi!$C$2:$C$11,MATCH($H$8,cc_input_vu_khi!$A$2:$A$11,0))-Thap!$K$9)),2-(INDEX(cc_input_vu_khi!$C$2:$C$11,MATCH($H$8,cc_input_vu_khi!$A$2:$A$11,0))-Thap!$K$9))+1)))*INDEX(cc_input_vu_khi_suy_ra!$D$2:$D$11,MATCH($H$8,cc_input_vu_khi_suy_ra!$A$2:$A$11,0))&gt;0,CEILING(Thap!$J$9/(INDEX(cc_input_vu_khi!$B$2:$B$11,MATCH($H$8,cc_input_vu_khi!$A$2:$A$11,0))*INDEX(cc_input_bang_xuyen_giap!$B$2:$B$7,MIN(6,MAX(1,IF(INDEX(cc_input_vu_khi_suy_ra!$B$2:$B$11,MATCH($H$8,cc_input_vu_khi_suy_ra!$A$2:$A$11,0)),MAX(1,2-(INDEX(cc_input_vu_khi!$C$2:$C$11,MATCH($H$8,cc_input_vu_khi!$A$2:$A$11,0))-Thap!$K$9)),2-(INDEX(cc_input_vu_khi!$C$2:$C$11,MATCH($H$8,cc_input_vu_khi!$A$2:$A$11,0))-Thap!$K$9))+1)))*INDEX(cc_input_vu_khi_suy_ra!$D$2:$D$11,MATCH($H$8,cc_input_vu_khi_suy_ra!$A$2:$A$11,0))),1),""))</f>
        <v/>
      </c>
      <c r="J8" t="inlineStr">
        <is>
          <t>mlrs_rockets</t>
        </is>
      </c>
      <c r="K8">
        <f>IF($J$8="","",IF(INDEX(cc_input_vu_khi!$B$2:$B$11,MATCH($J$8,cc_input_vu_khi!$A$2:$A$11,0))*INDEX(cc_input_bang_xuyen_giap!$B$2:$B$7,MIN(6,MAX(1,IF(INDEX(cc_input_vu_khi_suy_ra!$B$2:$B$11,MATCH($J$8,cc_input_vu_khi_suy_ra!$A$2:$A$11,0)),MAX(1,2-(INDEX(cc_input_vu_khi!$C$2:$C$11,MATCH($J$8,cc_input_vu_khi!$A$2:$A$11,0))-Thap!$K$9)),2-(INDEX(cc_input_vu_khi!$C$2:$C$11,MATCH($J$8,cc_input_vu_khi!$A$2:$A$11,0))-Thap!$K$9))+1)))*INDEX(cc_input_vu_khi_suy_ra!$D$2:$D$11,MATCH($J$8,cc_input_vu_khi_suy_ra!$A$2:$A$11,0))&gt;0,CEILING(Thap!$J$9/(INDEX(cc_input_vu_khi!$B$2:$B$11,MATCH($J$8,cc_input_vu_khi!$A$2:$A$11,0))*INDEX(cc_input_bang_xuyen_giap!$B$2:$B$7,MIN(6,MAX(1,IF(INDEX(cc_input_vu_khi_suy_ra!$B$2:$B$11,MATCH($J$8,cc_input_vu_khi_suy_ra!$A$2:$A$11,0)),MAX(1,2-(INDEX(cc_input_vu_khi!$C$2:$C$11,MATCH($J$8,cc_input_vu_khi!$A$2:$A$11,0))-Thap!$K$9)),2-(INDEX(cc_input_vu_khi!$C$2:$C$11,MATCH($J$8,cc_input_vu_khi!$A$2:$A$11,0))-Thap!$K$9))+1)))*INDEX(cc_input_vu_khi_suy_ra!$D$2:$D$11,MATCH($J$8,cc_input_vu_khi_suy_ra!$A$2:$A$11,0))),1),""))</f>
        <v/>
      </c>
      <c r="L8" t="inlineStr">
        <is>
          <t>Tools/balance/p32_tower_prices.py Model.price('atgm_tower.top') + threats('Medium')</t>
        </is>
      </c>
      <c r="M8" t="inlineStr"/>
    </row>
    <row r="9">
      <c r="A9" t="inlineStr">
        <is>
          <t>c_ram</t>
        </is>
      </c>
      <c r="B9">
        <f>Thap_gia_cong_thuc!$Q$9</f>
        <v/>
      </c>
      <c r="C9">
        <f>IF(ISNUMBER($B$9),$B$9/Thap!$BN$14,"")</f>
        <v/>
      </c>
      <c r="D9" t="inlineStr">
        <is>
          <t>gun_105_wheeled</t>
        </is>
      </c>
      <c r="E9">
        <f>IF($D$9="","",IF(INDEX(cc_input_vu_khi!$B$2:$B$11,MATCH($D$9,cc_input_vu_khi!$A$2:$A$11,0))*INDEX(cc_input_bang_xuyen_giap!$B$2:$B$7,MIN(6,MAX(1,IF(INDEX(cc_input_vu_khi_suy_ra!$B$2:$B$11,MATCH($D$9,cc_input_vu_khi_suy_ra!$A$2:$A$11,0)),MAX(1,2-(INDEX(cc_input_vu_khi!$C$2:$C$11,MATCH($D$9,cc_input_vu_khi!$A$2:$A$11,0))-Thap!$K$14)),2-(INDEX(cc_input_vu_khi!$C$2:$C$11,MATCH($D$9,cc_input_vu_khi!$A$2:$A$11,0))-Thap!$K$14))+1)))*INDEX(cc_input_vu_khi_suy_ra!$D$2:$D$11,MATCH($D$9,cc_input_vu_khi_suy_ra!$A$2:$A$11,0))&gt;0,CEILING(Thap!$J$14/(INDEX(cc_input_vu_khi!$B$2:$B$11,MATCH($D$9,cc_input_vu_khi!$A$2:$A$11,0))*INDEX(cc_input_bang_xuyen_giap!$B$2:$B$7,MIN(6,MAX(1,IF(INDEX(cc_input_vu_khi_suy_ra!$B$2:$B$11,MATCH($D$9,cc_input_vu_khi_suy_ra!$A$2:$A$11,0)),MAX(1,2-(INDEX(cc_input_vu_khi!$C$2:$C$11,MATCH($D$9,cc_input_vu_khi!$A$2:$A$11,0))-Thap!$K$14)),2-(INDEX(cc_input_vu_khi!$C$2:$C$11,MATCH($D$9,cc_input_vu_khi!$A$2:$A$11,0))-Thap!$K$14))+1)))*INDEX(cc_input_vu_khi_suy_ra!$D$2:$D$11,MATCH($D$9,cc_input_vu_khi_suy_ra!$A$2:$A$11,0))),1),""))</f>
        <v/>
      </c>
      <c r="F9" t="inlineStr">
        <is>
          <t>gun_105_wheeled_he</t>
        </is>
      </c>
      <c r="G9">
        <f>IF($F$9="","",IF(INDEX(cc_input_vu_khi!$B$2:$B$11,MATCH($F$9,cc_input_vu_khi!$A$2:$A$11,0))*INDEX(cc_input_bang_xuyen_giap!$B$2:$B$7,MIN(6,MAX(1,IF(INDEX(cc_input_vu_khi_suy_ra!$B$2:$B$11,MATCH($F$9,cc_input_vu_khi_suy_ra!$A$2:$A$11,0)),MAX(1,2-(INDEX(cc_input_vu_khi!$C$2:$C$11,MATCH($F$9,cc_input_vu_khi!$A$2:$A$11,0))-Thap!$K$14)),2-(INDEX(cc_input_vu_khi!$C$2:$C$11,MATCH($F$9,cc_input_vu_khi!$A$2:$A$11,0))-Thap!$K$14))+1)))*INDEX(cc_input_vu_khi_suy_ra!$D$2:$D$11,MATCH($F$9,cc_input_vu_khi_suy_ra!$A$2:$A$11,0))&gt;0,CEILING(Thap!$J$14/(INDEX(cc_input_vu_khi!$B$2:$B$11,MATCH($F$9,cc_input_vu_khi!$A$2:$A$11,0))*INDEX(cc_input_bang_xuyen_giap!$B$2:$B$7,MIN(6,MAX(1,IF(INDEX(cc_input_vu_khi_suy_ra!$B$2:$B$11,MATCH($F$9,cc_input_vu_khi_suy_ra!$A$2:$A$11,0)),MAX(1,2-(INDEX(cc_input_vu_khi!$C$2:$C$11,MATCH($F$9,cc_input_vu_khi!$A$2:$A$11,0))-Thap!$K$14)),2-(INDEX(cc_input_vu_khi!$C$2:$C$11,MATCH($F$9,cc_input_vu_khi!$A$2:$A$11,0))-Thap!$K$14))+1)))*INDEX(cc_input_vu_khi_suy_ra!$D$2:$D$11,MATCH($F$9,cc_input_vu_khi_suy_ra!$A$2:$A$11,0))),1),""))</f>
        <v/>
      </c>
      <c r="H9" t="inlineStr"/>
      <c r="I9">
        <f>IF($H$9="","",IF(INDEX(cc_input_vu_khi!$B$2:$B$11,MATCH($H$9,cc_input_vu_khi!$A$2:$A$11,0))*INDEX(cc_input_bang_xuyen_giap!$B$2:$B$7,MIN(6,MAX(1,IF(INDEX(cc_input_vu_khi_suy_ra!$B$2:$B$11,MATCH($H$9,cc_input_vu_khi_suy_ra!$A$2:$A$11,0)),MAX(1,2-(INDEX(cc_input_vu_khi!$C$2:$C$11,MATCH($H$9,cc_input_vu_khi!$A$2:$A$11,0))-Thap!$K$14)),2-(INDEX(cc_input_vu_khi!$C$2:$C$11,MATCH($H$9,cc_input_vu_khi!$A$2:$A$11,0))-Thap!$K$14))+1)))*INDEX(cc_input_vu_khi_suy_ra!$D$2:$D$11,MATCH($H$9,cc_input_vu_khi_suy_ra!$A$2:$A$11,0))&gt;0,CEILING(Thap!$J$14/(INDEX(cc_input_vu_khi!$B$2:$B$11,MATCH($H$9,cc_input_vu_khi!$A$2:$A$11,0))*INDEX(cc_input_bang_xuyen_giap!$B$2:$B$7,MIN(6,MAX(1,IF(INDEX(cc_input_vu_khi_suy_ra!$B$2:$B$11,MATCH($H$9,cc_input_vu_khi_suy_ra!$A$2:$A$11,0)),MAX(1,2-(INDEX(cc_input_vu_khi!$C$2:$C$11,MATCH($H$9,cc_input_vu_khi!$A$2:$A$11,0))-Thap!$K$14)),2-(INDEX(cc_input_vu_khi!$C$2:$C$11,MATCH($H$9,cc_input_vu_khi!$A$2:$A$11,0))-Thap!$K$14))+1)))*INDEX(cc_input_vu_khi_suy_ra!$D$2:$D$11,MATCH($H$9,cc_input_vu_khi_suy_ra!$A$2:$A$11,0))),1),""))</f>
        <v/>
      </c>
      <c r="J9" t="inlineStr">
        <is>
          <t>mlrs_rockets</t>
        </is>
      </c>
      <c r="K9">
        <f>IF($J$9="","",IF(INDEX(cc_input_vu_khi!$B$2:$B$11,MATCH($J$9,cc_input_vu_khi!$A$2:$A$11,0))*INDEX(cc_input_bang_xuyen_giap!$B$2:$B$7,MIN(6,MAX(1,IF(INDEX(cc_input_vu_khi_suy_ra!$B$2:$B$11,MATCH($J$9,cc_input_vu_khi_suy_ra!$A$2:$A$11,0)),MAX(1,2-(INDEX(cc_input_vu_khi!$C$2:$C$11,MATCH($J$9,cc_input_vu_khi!$A$2:$A$11,0))-Thap!$K$14)),2-(INDEX(cc_input_vu_khi!$C$2:$C$11,MATCH($J$9,cc_input_vu_khi!$A$2:$A$11,0))-Thap!$K$14))+1)))*INDEX(cc_input_vu_khi_suy_ra!$D$2:$D$11,MATCH($J$9,cc_input_vu_khi_suy_ra!$A$2:$A$11,0))&gt;0,CEILING(Thap!$J$14/(INDEX(cc_input_vu_khi!$B$2:$B$11,MATCH($J$9,cc_input_vu_khi!$A$2:$A$11,0))*INDEX(cc_input_bang_xuyen_giap!$B$2:$B$7,MIN(6,MAX(1,IF(INDEX(cc_input_vu_khi_suy_ra!$B$2:$B$11,MATCH($J$9,cc_input_vu_khi_suy_ra!$A$2:$A$11,0)),MAX(1,2-(INDEX(cc_input_vu_khi!$C$2:$C$11,MATCH($J$9,cc_input_vu_khi!$A$2:$A$11,0))-Thap!$K$14)),2-(INDEX(cc_input_vu_khi!$C$2:$C$11,MATCH($J$9,cc_input_vu_khi!$A$2:$A$11,0))-Thap!$K$14))+1)))*INDEX(cc_input_vu_khi_suy_ra!$D$2:$D$11,MATCH($J$9,cc_input_vu_khi_suy_ra!$A$2:$A$11,0))),1),""))</f>
        <v/>
      </c>
      <c r="L9" t="inlineStr">
        <is>
          <t>Tools/balance/p32_tower_prices.py Model.price('c_ram') + threats('Medium')</t>
        </is>
      </c>
      <c r="M9" t="inlineStr"/>
    </row>
    <row r="10">
      <c r="A10" t="inlineStr">
        <is>
          <t>c_ram.centurion</t>
        </is>
      </c>
      <c r="B10">
        <f>Thap_gia_cong_thuc!$Q$10</f>
        <v/>
      </c>
      <c r="C10">
        <f>IF(ISNUMBER($B$10),$B$10/Thap!$BN$15,"")</f>
        <v/>
      </c>
      <c r="D10" t="inlineStr">
        <is>
          <t>gun_105_wheeled</t>
        </is>
      </c>
      <c r="E10">
        <f>IF($D$10="","",IF(INDEX(cc_input_vu_khi!$B$2:$B$11,MATCH($D$10,cc_input_vu_khi!$A$2:$A$11,0))*INDEX(cc_input_bang_xuyen_giap!$B$2:$B$7,MIN(6,MAX(1,IF(INDEX(cc_input_vu_khi_suy_ra!$B$2:$B$11,MATCH($D$10,cc_input_vu_khi_suy_ra!$A$2:$A$11,0)),MAX(1,2-(INDEX(cc_input_vu_khi!$C$2:$C$11,MATCH($D$10,cc_input_vu_khi!$A$2:$A$11,0))-Thap!$K$15)),2-(INDEX(cc_input_vu_khi!$C$2:$C$11,MATCH($D$10,cc_input_vu_khi!$A$2:$A$11,0))-Thap!$K$15))+1)))*INDEX(cc_input_vu_khi_suy_ra!$D$2:$D$11,MATCH($D$10,cc_input_vu_khi_suy_ra!$A$2:$A$11,0))&gt;0,CEILING(Thap!$J$15/(INDEX(cc_input_vu_khi!$B$2:$B$11,MATCH($D$10,cc_input_vu_khi!$A$2:$A$11,0))*INDEX(cc_input_bang_xuyen_giap!$B$2:$B$7,MIN(6,MAX(1,IF(INDEX(cc_input_vu_khi_suy_ra!$B$2:$B$11,MATCH($D$10,cc_input_vu_khi_suy_ra!$A$2:$A$11,0)),MAX(1,2-(INDEX(cc_input_vu_khi!$C$2:$C$11,MATCH($D$10,cc_input_vu_khi!$A$2:$A$11,0))-Thap!$K$15)),2-(INDEX(cc_input_vu_khi!$C$2:$C$11,MATCH($D$10,cc_input_vu_khi!$A$2:$A$11,0))-Thap!$K$15))+1)))*INDEX(cc_input_vu_khi_suy_ra!$D$2:$D$11,MATCH($D$10,cc_input_vu_khi_suy_ra!$A$2:$A$11,0))),1),""))</f>
        <v/>
      </c>
      <c r="F10" t="inlineStr">
        <is>
          <t>gun_105_wheeled_he</t>
        </is>
      </c>
      <c r="G10">
        <f>IF($F$10="","",IF(INDEX(cc_input_vu_khi!$B$2:$B$11,MATCH($F$10,cc_input_vu_khi!$A$2:$A$11,0))*INDEX(cc_input_bang_xuyen_giap!$B$2:$B$7,MIN(6,MAX(1,IF(INDEX(cc_input_vu_khi_suy_ra!$B$2:$B$11,MATCH($F$10,cc_input_vu_khi_suy_ra!$A$2:$A$11,0)),MAX(1,2-(INDEX(cc_input_vu_khi!$C$2:$C$11,MATCH($F$10,cc_input_vu_khi!$A$2:$A$11,0))-Thap!$K$15)),2-(INDEX(cc_input_vu_khi!$C$2:$C$11,MATCH($F$10,cc_input_vu_khi!$A$2:$A$11,0))-Thap!$K$15))+1)))*INDEX(cc_input_vu_khi_suy_ra!$D$2:$D$11,MATCH($F$10,cc_input_vu_khi_suy_ra!$A$2:$A$11,0))&gt;0,CEILING(Thap!$J$15/(INDEX(cc_input_vu_khi!$B$2:$B$11,MATCH($F$10,cc_input_vu_khi!$A$2:$A$11,0))*INDEX(cc_input_bang_xuyen_giap!$B$2:$B$7,MIN(6,MAX(1,IF(INDEX(cc_input_vu_khi_suy_ra!$B$2:$B$11,MATCH($F$10,cc_input_vu_khi_suy_ra!$A$2:$A$11,0)),MAX(1,2-(INDEX(cc_input_vu_khi!$C$2:$C$11,MATCH($F$10,cc_input_vu_khi!$A$2:$A$11,0))-Thap!$K$15)),2-(INDEX(cc_input_vu_khi!$C$2:$C$11,MATCH($F$10,cc_input_vu_khi!$A$2:$A$11,0))-Thap!$K$15))+1)))*INDEX(cc_input_vu_khi_suy_ra!$D$2:$D$11,MATCH($F$10,cc_input_vu_khi_suy_ra!$A$2:$A$11,0))),1),""))</f>
        <v/>
      </c>
      <c r="H10" t="inlineStr"/>
      <c r="I10">
        <f>IF($H$10="","",IF(INDEX(cc_input_vu_khi!$B$2:$B$11,MATCH($H$10,cc_input_vu_khi!$A$2:$A$11,0))*INDEX(cc_input_bang_xuyen_giap!$B$2:$B$7,MIN(6,MAX(1,IF(INDEX(cc_input_vu_khi_suy_ra!$B$2:$B$11,MATCH($H$10,cc_input_vu_khi_suy_ra!$A$2:$A$11,0)),MAX(1,2-(INDEX(cc_input_vu_khi!$C$2:$C$11,MATCH($H$10,cc_input_vu_khi!$A$2:$A$11,0))-Thap!$K$15)),2-(INDEX(cc_input_vu_khi!$C$2:$C$11,MATCH($H$10,cc_input_vu_khi!$A$2:$A$11,0))-Thap!$K$15))+1)))*INDEX(cc_input_vu_khi_suy_ra!$D$2:$D$11,MATCH($H$10,cc_input_vu_khi_suy_ra!$A$2:$A$11,0))&gt;0,CEILING(Thap!$J$15/(INDEX(cc_input_vu_khi!$B$2:$B$11,MATCH($H$10,cc_input_vu_khi!$A$2:$A$11,0))*INDEX(cc_input_bang_xuyen_giap!$B$2:$B$7,MIN(6,MAX(1,IF(INDEX(cc_input_vu_khi_suy_ra!$B$2:$B$11,MATCH($H$10,cc_input_vu_khi_suy_ra!$A$2:$A$11,0)),MAX(1,2-(INDEX(cc_input_vu_khi!$C$2:$C$11,MATCH($H$10,cc_input_vu_khi!$A$2:$A$11,0))-Thap!$K$15)),2-(INDEX(cc_input_vu_khi!$C$2:$C$11,MATCH($H$10,cc_input_vu_khi!$A$2:$A$11,0))-Thap!$K$15))+1)))*INDEX(cc_input_vu_khi_suy_ra!$D$2:$D$11,MATCH($H$10,cc_input_vu_khi_suy_ra!$A$2:$A$11,0))),1),""))</f>
        <v/>
      </c>
      <c r="J10" t="inlineStr">
        <is>
          <t>mlrs_rockets</t>
        </is>
      </c>
      <c r="K10">
        <f>IF($J$10="","",IF(INDEX(cc_input_vu_khi!$B$2:$B$11,MATCH($J$10,cc_input_vu_khi!$A$2:$A$11,0))*INDEX(cc_input_bang_xuyen_giap!$B$2:$B$7,MIN(6,MAX(1,IF(INDEX(cc_input_vu_khi_suy_ra!$B$2:$B$11,MATCH($J$10,cc_input_vu_khi_suy_ra!$A$2:$A$11,0)),MAX(1,2-(INDEX(cc_input_vu_khi!$C$2:$C$11,MATCH($J$10,cc_input_vu_khi!$A$2:$A$11,0))-Thap!$K$15)),2-(INDEX(cc_input_vu_khi!$C$2:$C$11,MATCH($J$10,cc_input_vu_khi!$A$2:$A$11,0))-Thap!$K$15))+1)))*INDEX(cc_input_vu_khi_suy_ra!$D$2:$D$11,MATCH($J$10,cc_input_vu_khi_suy_ra!$A$2:$A$11,0))&gt;0,CEILING(Thap!$J$15/(INDEX(cc_input_vu_khi!$B$2:$B$11,MATCH($J$10,cc_input_vu_khi!$A$2:$A$11,0))*INDEX(cc_input_bang_xuyen_giap!$B$2:$B$7,MIN(6,MAX(1,IF(INDEX(cc_input_vu_khi_suy_ra!$B$2:$B$11,MATCH($J$10,cc_input_vu_khi_suy_ra!$A$2:$A$11,0)),MAX(1,2-(INDEX(cc_input_vu_khi!$C$2:$C$11,MATCH($J$10,cc_input_vu_khi!$A$2:$A$11,0))-Thap!$K$15)),2-(INDEX(cc_input_vu_khi!$C$2:$C$11,MATCH($J$10,cc_input_vu_khi!$A$2:$A$11,0))-Thap!$K$15))+1)))*INDEX(cc_input_vu_khi_suy_ra!$D$2:$D$11,MATCH($J$10,cc_input_vu_khi_suy_ra!$A$2:$A$11,0))),1),""))</f>
        <v/>
      </c>
      <c r="L10" t="inlineStr">
        <is>
          <t>Tools/balance/p32_tower_prices.py Model.price('c_ram.centurion') + threats('Medium')</t>
        </is>
      </c>
      <c r="M10" t="inlineStr"/>
    </row>
    <row r="11">
      <c r="A11" t="inlineStr">
        <is>
          <t>c_ram.dome</t>
        </is>
      </c>
      <c r="B11">
        <f>Thap_gia_cong_thuc!$Q$11</f>
        <v/>
      </c>
      <c r="C11">
        <f>IF(ISNUMBER($B$11),$B$11/Thap!$BN$16,"")</f>
        <v/>
      </c>
      <c r="D11" t="inlineStr">
        <is>
          <t>gun_105_wheeled</t>
        </is>
      </c>
      <c r="E11">
        <f>IF($D$11="","",IF(INDEX(cc_input_vu_khi!$B$2:$B$11,MATCH($D$11,cc_input_vu_khi!$A$2:$A$11,0))*INDEX(cc_input_bang_xuyen_giap!$B$2:$B$7,MIN(6,MAX(1,IF(INDEX(cc_input_vu_khi_suy_ra!$B$2:$B$11,MATCH($D$11,cc_input_vu_khi_suy_ra!$A$2:$A$11,0)),MAX(1,2-(INDEX(cc_input_vu_khi!$C$2:$C$11,MATCH($D$11,cc_input_vu_khi!$A$2:$A$11,0))-Thap!$K$16)),2-(INDEX(cc_input_vu_khi!$C$2:$C$11,MATCH($D$11,cc_input_vu_khi!$A$2:$A$11,0))-Thap!$K$16))+1)))*INDEX(cc_input_vu_khi_suy_ra!$D$2:$D$11,MATCH($D$11,cc_input_vu_khi_suy_ra!$A$2:$A$11,0))&gt;0,CEILING(Thap!$J$16/(INDEX(cc_input_vu_khi!$B$2:$B$11,MATCH($D$11,cc_input_vu_khi!$A$2:$A$11,0))*INDEX(cc_input_bang_xuyen_giap!$B$2:$B$7,MIN(6,MAX(1,IF(INDEX(cc_input_vu_khi_suy_ra!$B$2:$B$11,MATCH($D$11,cc_input_vu_khi_suy_ra!$A$2:$A$11,0)),MAX(1,2-(INDEX(cc_input_vu_khi!$C$2:$C$11,MATCH($D$11,cc_input_vu_khi!$A$2:$A$11,0))-Thap!$K$16)),2-(INDEX(cc_input_vu_khi!$C$2:$C$11,MATCH($D$11,cc_input_vu_khi!$A$2:$A$11,0))-Thap!$K$16))+1)))*INDEX(cc_input_vu_khi_suy_ra!$D$2:$D$11,MATCH($D$11,cc_input_vu_khi_suy_ra!$A$2:$A$11,0))),1),""))</f>
        <v/>
      </c>
      <c r="F11" t="inlineStr">
        <is>
          <t>gun_105_wheeled_he</t>
        </is>
      </c>
      <c r="G11">
        <f>IF($F$11="","",IF(INDEX(cc_input_vu_khi!$B$2:$B$11,MATCH($F$11,cc_input_vu_khi!$A$2:$A$11,0))*INDEX(cc_input_bang_xuyen_giap!$B$2:$B$7,MIN(6,MAX(1,IF(INDEX(cc_input_vu_khi_suy_ra!$B$2:$B$11,MATCH($F$11,cc_input_vu_khi_suy_ra!$A$2:$A$11,0)),MAX(1,2-(INDEX(cc_input_vu_khi!$C$2:$C$11,MATCH($F$11,cc_input_vu_khi!$A$2:$A$11,0))-Thap!$K$16)),2-(INDEX(cc_input_vu_khi!$C$2:$C$11,MATCH($F$11,cc_input_vu_khi!$A$2:$A$11,0))-Thap!$K$16))+1)))*INDEX(cc_input_vu_khi_suy_ra!$D$2:$D$11,MATCH($F$11,cc_input_vu_khi_suy_ra!$A$2:$A$11,0))&gt;0,CEILING(Thap!$J$16/(INDEX(cc_input_vu_khi!$B$2:$B$11,MATCH($F$11,cc_input_vu_khi!$A$2:$A$11,0))*INDEX(cc_input_bang_xuyen_giap!$B$2:$B$7,MIN(6,MAX(1,IF(INDEX(cc_input_vu_khi_suy_ra!$B$2:$B$11,MATCH($F$11,cc_input_vu_khi_suy_ra!$A$2:$A$11,0)),MAX(1,2-(INDEX(cc_input_vu_khi!$C$2:$C$11,MATCH($F$11,cc_input_vu_khi!$A$2:$A$11,0))-Thap!$K$16)),2-(INDEX(cc_input_vu_khi!$C$2:$C$11,MATCH($F$11,cc_input_vu_khi!$A$2:$A$11,0))-Thap!$K$16))+1)))*INDEX(cc_input_vu_khi_suy_ra!$D$2:$D$11,MATCH($F$11,cc_input_vu_khi_suy_ra!$A$2:$A$11,0))),1),""))</f>
        <v/>
      </c>
      <c r="H11" t="inlineStr"/>
      <c r="I11">
        <f>IF($H$11="","",IF(INDEX(cc_input_vu_khi!$B$2:$B$11,MATCH($H$11,cc_input_vu_khi!$A$2:$A$11,0))*INDEX(cc_input_bang_xuyen_giap!$B$2:$B$7,MIN(6,MAX(1,IF(INDEX(cc_input_vu_khi_suy_ra!$B$2:$B$11,MATCH($H$11,cc_input_vu_khi_suy_ra!$A$2:$A$11,0)),MAX(1,2-(INDEX(cc_input_vu_khi!$C$2:$C$11,MATCH($H$11,cc_input_vu_khi!$A$2:$A$11,0))-Thap!$K$16)),2-(INDEX(cc_input_vu_khi!$C$2:$C$11,MATCH($H$11,cc_input_vu_khi!$A$2:$A$11,0))-Thap!$K$16))+1)))*INDEX(cc_input_vu_khi_suy_ra!$D$2:$D$11,MATCH($H$11,cc_input_vu_khi_suy_ra!$A$2:$A$11,0))&gt;0,CEILING(Thap!$J$16/(INDEX(cc_input_vu_khi!$B$2:$B$11,MATCH($H$11,cc_input_vu_khi!$A$2:$A$11,0))*INDEX(cc_input_bang_xuyen_giap!$B$2:$B$7,MIN(6,MAX(1,IF(INDEX(cc_input_vu_khi_suy_ra!$B$2:$B$11,MATCH($H$11,cc_input_vu_khi_suy_ra!$A$2:$A$11,0)),MAX(1,2-(INDEX(cc_input_vu_khi!$C$2:$C$11,MATCH($H$11,cc_input_vu_khi!$A$2:$A$11,0))-Thap!$K$16)),2-(INDEX(cc_input_vu_khi!$C$2:$C$11,MATCH($H$11,cc_input_vu_khi!$A$2:$A$11,0))-Thap!$K$16))+1)))*INDEX(cc_input_vu_khi_suy_ra!$D$2:$D$11,MATCH($H$11,cc_input_vu_khi_suy_ra!$A$2:$A$11,0))),1),""))</f>
        <v/>
      </c>
      <c r="J11" t="inlineStr">
        <is>
          <t>mlrs_rockets</t>
        </is>
      </c>
      <c r="K11">
        <f>IF($J$11="","",IF(INDEX(cc_input_vu_khi!$B$2:$B$11,MATCH($J$11,cc_input_vu_khi!$A$2:$A$11,0))*INDEX(cc_input_bang_xuyen_giap!$B$2:$B$7,MIN(6,MAX(1,IF(INDEX(cc_input_vu_khi_suy_ra!$B$2:$B$11,MATCH($J$11,cc_input_vu_khi_suy_ra!$A$2:$A$11,0)),MAX(1,2-(INDEX(cc_input_vu_khi!$C$2:$C$11,MATCH($J$11,cc_input_vu_khi!$A$2:$A$11,0))-Thap!$K$16)),2-(INDEX(cc_input_vu_khi!$C$2:$C$11,MATCH($J$11,cc_input_vu_khi!$A$2:$A$11,0))-Thap!$K$16))+1)))*INDEX(cc_input_vu_khi_suy_ra!$D$2:$D$11,MATCH($J$11,cc_input_vu_khi_suy_ra!$A$2:$A$11,0))&gt;0,CEILING(Thap!$J$16/(INDEX(cc_input_vu_khi!$B$2:$B$11,MATCH($J$11,cc_input_vu_khi!$A$2:$A$11,0))*INDEX(cc_input_bang_xuyen_giap!$B$2:$B$7,MIN(6,MAX(1,IF(INDEX(cc_input_vu_khi_suy_ra!$B$2:$B$11,MATCH($J$11,cc_input_vu_khi_suy_ra!$A$2:$A$11,0)),MAX(1,2-(INDEX(cc_input_vu_khi!$C$2:$C$11,MATCH($J$11,cc_input_vu_khi!$A$2:$A$11,0))-Thap!$K$16)),2-(INDEX(cc_input_vu_khi!$C$2:$C$11,MATCH($J$11,cc_input_vu_khi!$A$2:$A$11,0))-Thap!$K$16))+1)))*INDEX(cc_input_vu_khi_suy_ra!$D$2:$D$11,MATCH($J$11,cc_input_vu_khi_suy_ra!$A$2:$A$11,0))),1),""))</f>
        <v/>
      </c>
      <c r="L11" t="inlineStr">
        <is>
          <t>Tools/balance/p32_tower_prices.py Model.price('c_ram.dome') + threats('Medium')</t>
        </is>
      </c>
      <c r="M11" t="inlineStr"/>
    </row>
    <row r="12">
      <c r="A12" t="inlineStr">
        <is>
          <t>cp_relay</t>
        </is>
      </c>
      <c r="B12">
        <f>Thap_gia_cong_thuc!$Q$12</f>
        <v/>
      </c>
      <c r="C12">
        <f>IF(ISNUMBER($B$12),$B$12/Thap!$BN$18,"")</f>
        <v/>
      </c>
      <c r="D12" t="inlineStr">
        <is>
          <t>ifv_30</t>
        </is>
      </c>
      <c r="E12">
        <f>IF($D$12="","",IF(INDEX(cc_input_vu_khi!$B$2:$B$11,MATCH($D$12,cc_input_vu_khi!$A$2:$A$11,0))*INDEX(cc_input_bang_xuyen_giap!$B$2:$B$7,MIN(6,MAX(1,IF(INDEX(cc_input_vu_khi_suy_ra!$B$2:$B$11,MATCH($D$12,cc_input_vu_khi_suy_ra!$A$2:$A$11,0)),MAX(1,2-(INDEX(cc_input_vu_khi!$C$2:$C$11,MATCH($D$12,cc_input_vu_khi!$A$2:$A$11,0))-Thap!$K$18)),2-(INDEX(cc_input_vu_khi!$C$2:$C$11,MATCH($D$12,cc_input_vu_khi!$A$2:$A$11,0))-Thap!$K$18))+1)))*INDEX(cc_input_vu_khi_suy_ra!$D$2:$D$11,MATCH($D$12,cc_input_vu_khi_suy_ra!$A$2:$A$11,0))&gt;0,CEILING(Thap!$J$18/(INDEX(cc_input_vu_khi!$B$2:$B$11,MATCH($D$12,cc_input_vu_khi!$A$2:$A$11,0))*INDEX(cc_input_bang_xuyen_giap!$B$2:$B$7,MIN(6,MAX(1,IF(INDEX(cc_input_vu_khi_suy_ra!$B$2:$B$11,MATCH($D$12,cc_input_vu_khi_suy_ra!$A$2:$A$11,0)),MAX(1,2-(INDEX(cc_input_vu_khi!$C$2:$C$11,MATCH($D$12,cc_input_vu_khi!$A$2:$A$11,0))-Thap!$K$18)),2-(INDEX(cc_input_vu_khi!$C$2:$C$11,MATCH($D$12,cc_input_vu_khi!$A$2:$A$11,0))-Thap!$K$18))+1)))*INDEX(cc_input_vu_khi_suy_ra!$D$2:$D$11,MATCH($D$12,cc_input_vu_khi_suy_ra!$A$2:$A$11,0))),1),""))</f>
        <v/>
      </c>
      <c r="F12" t="inlineStr">
        <is>
          <t>gun_120mm_he</t>
        </is>
      </c>
      <c r="G12">
        <f>IF($F$12="","",IF(INDEX(cc_input_vu_khi!$B$2:$B$11,MATCH($F$12,cc_input_vu_khi!$A$2:$A$11,0))*INDEX(cc_input_bang_xuyen_giap!$B$2:$B$7,MIN(6,MAX(1,IF(INDEX(cc_input_vu_khi_suy_ra!$B$2:$B$11,MATCH($F$12,cc_input_vu_khi_suy_ra!$A$2:$A$11,0)),MAX(1,2-(INDEX(cc_input_vu_khi!$C$2:$C$11,MATCH($F$12,cc_input_vu_khi!$A$2:$A$11,0))-Thap!$K$18)),2-(INDEX(cc_input_vu_khi!$C$2:$C$11,MATCH($F$12,cc_input_vu_khi!$A$2:$A$11,0))-Thap!$K$18))+1)))*INDEX(cc_input_vu_khi_suy_ra!$D$2:$D$11,MATCH($F$12,cc_input_vu_khi_suy_ra!$A$2:$A$11,0))&gt;0,CEILING(Thap!$J$18/(INDEX(cc_input_vu_khi!$B$2:$B$11,MATCH($F$12,cc_input_vu_khi!$A$2:$A$11,0))*INDEX(cc_input_bang_xuyen_giap!$B$2:$B$7,MIN(6,MAX(1,IF(INDEX(cc_input_vu_khi_suy_ra!$B$2:$B$11,MATCH($F$12,cc_input_vu_khi_suy_ra!$A$2:$A$11,0)),MAX(1,2-(INDEX(cc_input_vu_khi!$C$2:$C$11,MATCH($F$12,cc_input_vu_khi!$A$2:$A$11,0))-Thap!$K$18)),2-(INDEX(cc_input_vu_khi!$C$2:$C$11,MATCH($F$12,cc_input_vu_khi!$A$2:$A$11,0))-Thap!$K$18))+1)))*INDEX(cc_input_vu_khi_suy_ra!$D$2:$D$11,MATCH($F$12,cc_input_vu_khi_suy_ra!$A$2:$A$11,0))),1),""))</f>
        <v/>
      </c>
      <c r="H12" t="inlineStr">
        <is>
          <t>recoilless_106</t>
        </is>
      </c>
      <c r="I12">
        <f>IF($H$12="","",IF(INDEX(cc_input_vu_khi!$B$2:$B$11,MATCH($H$12,cc_input_vu_khi!$A$2:$A$11,0))*INDEX(cc_input_bang_xuyen_giap!$B$2:$B$7,MIN(6,MAX(1,IF(INDEX(cc_input_vu_khi_suy_ra!$B$2:$B$11,MATCH($H$12,cc_input_vu_khi_suy_ra!$A$2:$A$11,0)),MAX(1,2-(INDEX(cc_input_vu_khi!$C$2:$C$11,MATCH($H$12,cc_input_vu_khi!$A$2:$A$11,0))-Thap!$K$18)),2-(INDEX(cc_input_vu_khi!$C$2:$C$11,MATCH($H$12,cc_input_vu_khi!$A$2:$A$11,0))-Thap!$K$18))+1)))*INDEX(cc_input_vu_khi_suy_ra!$D$2:$D$11,MATCH($H$12,cc_input_vu_khi_suy_ra!$A$2:$A$11,0))&gt;0,CEILING(Thap!$J$18/(INDEX(cc_input_vu_khi!$B$2:$B$11,MATCH($H$12,cc_input_vu_khi!$A$2:$A$11,0))*INDEX(cc_input_bang_xuyen_giap!$B$2:$B$7,MIN(6,MAX(1,IF(INDEX(cc_input_vu_khi_suy_ra!$B$2:$B$11,MATCH($H$12,cc_input_vu_khi_suy_ra!$A$2:$A$11,0)),MAX(1,2-(INDEX(cc_input_vu_khi!$C$2:$C$11,MATCH($H$12,cc_input_vu_khi!$A$2:$A$11,0))-Thap!$K$18)),2-(INDEX(cc_input_vu_khi!$C$2:$C$11,MATCH($H$12,cc_input_vu_khi!$A$2:$A$11,0))-Thap!$K$18))+1)))*INDEX(cc_input_vu_khi_suy_ra!$D$2:$D$11,MATCH($H$12,cc_input_vu_khi_suy_ra!$A$2:$A$11,0))),1),""))</f>
        <v/>
      </c>
      <c r="J12" t="inlineStr">
        <is>
          <t>technical_rockets</t>
        </is>
      </c>
      <c r="K12">
        <f>IF($J$12="","",IF(INDEX(cc_input_vu_khi!$B$2:$B$11,MATCH($J$12,cc_input_vu_khi!$A$2:$A$11,0))*INDEX(cc_input_bang_xuyen_giap!$B$2:$B$7,MIN(6,MAX(1,IF(INDEX(cc_input_vu_khi_suy_ra!$B$2:$B$11,MATCH($J$12,cc_input_vu_khi_suy_ra!$A$2:$A$11,0)),MAX(1,2-(INDEX(cc_input_vu_khi!$C$2:$C$11,MATCH($J$12,cc_input_vu_khi!$A$2:$A$11,0))-Thap!$K$18)),2-(INDEX(cc_input_vu_khi!$C$2:$C$11,MATCH($J$12,cc_input_vu_khi!$A$2:$A$11,0))-Thap!$K$18))+1)))*INDEX(cc_input_vu_khi_suy_ra!$D$2:$D$11,MATCH($J$12,cc_input_vu_khi_suy_ra!$A$2:$A$11,0))&gt;0,CEILING(Thap!$J$18/(INDEX(cc_input_vu_khi!$B$2:$B$11,MATCH($J$12,cc_input_vu_khi!$A$2:$A$11,0))*INDEX(cc_input_bang_xuyen_giap!$B$2:$B$7,MIN(6,MAX(1,IF(INDEX(cc_input_vu_khi_suy_ra!$B$2:$B$11,MATCH($J$12,cc_input_vu_khi_suy_ra!$A$2:$A$11,0)),MAX(1,2-(INDEX(cc_input_vu_khi!$C$2:$C$11,MATCH($J$12,cc_input_vu_khi!$A$2:$A$11,0))-Thap!$K$18)),2-(INDEX(cc_input_vu_khi!$C$2:$C$11,MATCH($J$12,cc_input_vu_khi!$A$2:$A$11,0))-Thap!$K$18))+1)))*INDEX(cc_input_vu_khi_suy_ra!$D$2:$D$11,MATCH($J$12,cc_input_vu_khi_suy_ra!$A$2:$A$11,0))),1),""))</f>
        <v/>
      </c>
      <c r="L12" t="inlineStr">
        <is>
          <t>Tools/balance/p32_tower_prices.py Model.price('cp_relay') + threats('Small')</t>
        </is>
      </c>
      <c r="M12" t="inlineStr"/>
    </row>
    <row r="13">
      <c r="A13" t="inlineStr">
        <is>
          <t>drone_hangar</t>
        </is>
      </c>
      <c r="B13">
        <f>Thap_gia_cong_thuc!$Q$13</f>
        <v/>
      </c>
      <c r="C13">
        <f>IF(ISNUMBER($B$13),$B$13/Thap!$BN$19,"")</f>
        <v/>
      </c>
      <c r="D13" t="inlineStr">
        <is>
          <t>gun_152</t>
        </is>
      </c>
      <c r="E13">
        <f>IF($D$13="","",IF(INDEX(cc_input_vu_khi!$B$2:$B$11,MATCH($D$13,cc_input_vu_khi!$A$2:$A$11,0))*INDEX(cc_input_bang_xuyen_giap!$B$2:$B$7,MIN(6,MAX(1,IF(INDEX(cc_input_vu_khi_suy_ra!$B$2:$B$11,MATCH($D$13,cc_input_vu_khi_suy_ra!$A$2:$A$11,0)),MAX(1,2-(INDEX(cc_input_vu_khi!$C$2:$C$11,MATCH($D$13,cc_input_vu_khi!$A$2:$A$11,0))-Thap!$K$19)),2-(INDEX(cc_input_vu_khi!$C$2:$C$11,MATCH($D$13,cc_input_vu_khi!$A$2:$A$11,0))-Thap!$K$19))+1)))*INDEX(cc_input_vu_khi_suy_ra!$D$2:$D$11,MATCH($D$13,cc_input_vu_khi_suy_ra!$A$2:$A$11,0))&gt;0,CEILING(Thap!$J$19/(INDEX(cc_input_vu_khi!$B$2:$B$11,MATCH($D$13,cc_input_vu_khi!$A$2:$A$11,0))*INDEX(cc_input_bang_xuyen_giap!$B$2:$B$7,MIN(6,MAX(1,IF(INDEX(cc_input_vu_khi_suy_ra!$B$2:$B$11,MATCH($D$13,cc_input_vu_khi_suy_ra!$A$2:$A$11,0)),MAX(1,2-(INDEX(cc_input_vu_khi!$C$2:$C$11,MATCH($D$13,cc_input_vu_khi!$A$2:$A$11,0))-Thap!$K$19)),2-(INDEX(cc_input_vu_khi!$C$2:$C$11,MATCH($D$13,cc_input_vu_khi!$A$2:$A$11,0))-Thap!$K$19))+1)))*INDEX(cc_input_vu_khi_suy_ra!$D$2:$D$11,MATCH($D$13,cc_input_vu_khi_suy_ra!$A$2:$A$11,0))),1),""))</f>
        <v/>
      </c>
      <c r="F13" t="inlineStr">
        <is>
          <t>gun_120_twin_he</t>
        </is>
      </c>
      <c r="G13">
        <f>IF($F$13="","",IF(INDEX(cc_input_vu_khi!$B$2:$B$11,MATCH($F$13,cc_input_vu_khi!$A$2:$A$11,0))*INDEX(cc_input_bang_xuyen_giap!$B$2:$B$7,MIN(6,MAX(1,IF(INDEX(cc_input_vu_khi_suy_ra!$B$2:$B$11,MATCH($F$13,cc_input_vu_khi_suy_ra!$A$2:$A$11,0)),MAX(1,2-(INDEX(cc_input_vu_khi!$C$2:$C$11,MATCH($F$13,cc_input_vu_khi!$A$2:$A$11,0))-Thap!$K$19)),2-(INDEX(cc_input_vu_khi!$C$2:$C$11,MATCH($F$13,cc_input_vu_khi!$A$2:$A$11,0))-Thap!$K$19))+1)))*INDEX(cc_input_vu_khi_suy_ra!$D$2:$D$11,MATCH($F$13,cc_input_vu_khi_suy_ra!$A$2:$A$11,0))&gt;0,CEILING(Thap!$J$19/(INDEX(cc_input_vu_khi!$B$2:$B$11,MATCH($F$13,cc_input_vu_khi!$A$2:$A$11,0))*INDEX(cc_input_bang_xuyen_giap!$B$2:$B$7,MIN(6,MAX(1,IF(INDEX(cc_input_vu_khi_suy_ra!$B$2:$B$11,MATCH($F$13,cc_input_vu_khi_suy_ra!$A$2:$A$11,0)),MAX(1,2-(INDEX(cc_input_vu_khi!$C$2:$C$11,MATCH($F$13,cc_input_vu_khi!$A$2:$A$11,0))-Thap!$K$19)),2-(INDEX(cc_input_vu_khi!$C$2:$C$11,MATCH($F$13,cc_input_vu_khi!$A$2:$A$11,0))-Thap!$K$19))+1)))*INDEX(cc_input_vu_khi_suy_ra!$D$2:$D$11,MATCH($F$13,cc_input_vu_khi_suy_ra!$A$2:$A$11,0))),1),""))</f>
        <v/>
      </c>
      <c r="H13" t="inlineStr"/>
      <c r="I13">
        <f>IF($H$13="","",IF(INDEX(cc_input_vu_khi!$B$2:$B$11,MATCH($H$13,cc_input_vu_khi!$A$2:$A$11,0))*INDEX(cc_input_bang_xuyen_giap!$B$2:$B$7,MIN(6,MAX(1,IF(INDEX(cc_input_vu_khi_suy_ra!$B$2:$B$11,MATCH($H$13,cc_input_vu_khi_suy_ra!$A$2:$A$11,0)),MAX(1,2-(INDEX(cc_input_vu_khi!$C$2:$C$11,MATCH($H$13,cc_input_vu_khi!$A$2:$A$11,0))-Thap!$K$19)),2-(INDEX(cc_input_vu_khi!$C$2:$C$11,MATCH($H$13,cc_input_vu_khi!$A$2:$A$11,0))-Thap!$K$19))+1)))*INDEX(cc_input_vu_khi_suy_ra!$D$2:$D$11,MATCH($H$13,cc_input_vu_khi_suy_ra!$A$2:$A$11,0))&gt;0,CEILING(Thap!$J$19/(INDEX(cc_input_vu_khi!$B$2:$B$11,MATCH($H$13,cc_input_vu_khi!$A$2:$A$11,0))*INDEX(cc_input_bang_xuyen_giap!$B$2:$B$7,MIN(6,MAX(1,IF(INDEX(cc_input_vu_khi_suy_ra!$B$2:$B$11,MATCH($H$13,cc_input_vu_khi_suy_ra!$A$2:$A$11,0)),MAX(1,2-(INDEX(cc_input_vu_khi!$C$2:$C$11,MATCH($H$13,cc_input_vu_khi!$A$2:$A$11,0))-Thap!$K$19)),2-(INDEX(cc_input_vu_khi!$C$2:$C$11,MATCH($H$13,cc_input_vu_khi!$A$2:$A$11,0))-Thap!$K$19))+1)))*INDEX(cc_input_vu_khi_suy_ra!$D$2:$D$11,MATCH($H$13,cc_input_vu_khi_suy_ra!$A$2:$A$11,0))),1),""))</f>
        <v/>
      </c>
      <c r="J13" t="inlineStr">
        <is>
          <t>thermobaric_rockets</t>
        </is>
      </c>
      <c r="K13">
        <f>IF($J$13="","",IF(INDEX(cc_input_vu_khi!$B$2:$B$11,MATCH($J$13,cc_input_vu_khi!$A$2:$A$11,0))*INDEX(cc_input_bang_xuyen_giap!$B$2:$B$7,MIN(6,MAX(1,IF(INDEX(cc_input_vu_khi_suy_ra!$B$2:$B$11,MATCH($J$13,cc_input_vu_khi_suy_ra!$A$2:$A$11,0)),MAX(1,2-(INDEX(cc_input_vu_khi!$C$2:$C$11,MATCH($J$13,cc_input_vu_khi!$A$2:$A$11,0))-Thap!$K$19)),2-(INDEX(cc_input_vu_khi!$C$2:$C$11,MATCH($J$13,cc_input_vu_khi!$A$2:$A$11,0))-Thap!$K$19))+1)))*INDEX(cc_input_vu_khi_suy_ra!$D$2:$D$11,MATCH($J$13,cc_input_vu_khi_suy_ra!$A$2:$A$11,0))&gt;0,CEILING(Thap!$J$19/(INDEX(cc_input_vu_khi!$B$2:$B$11,MATCH($J$13,cc_input_vu_khi!$A$2:$A$11,0))*INDEX(cc_input_bang_xuyen_giap!$B$2:$B$7,MIN(6,MAX(1,IF(INDEX(cc_input_vu_khi_suy_ra!$B$2:$B$11,MATCH($J$13,cc_input_vu_khi_suy_ra!$A$2:$A$11,0)),MAX(1,2-(INDEX(cc_input_vu_khi!$C$2:$C$11,MATCH($J$13,cc_input_vu_khi!$A$2:$A$11,0))-Thap!$K$19)),2-(INDEX(cc_input_vu_khi!$C$2:$C$11,MATCH($J$13,cc_input_vu_khi!$A$2:$A$11,0))-Thap!$K$19))+1)))*INDEX(cc_input_vu_khi_suy_ra!$D$2:$D$11,MATCH($J$13,cc_input_vu_khi_suy_ra!$A$2:$A$11,0))),1),""))</f>
        <v/>
      </c>
      <c r="L13" t="inlineStr">
        <is>
          <t>Tools/balance/p32_tower_prices.py Model.price('drone_hangar') + threats('Large')</t>
        </is>
      </c>
      <c r="M13" t="inlineStr"/>
    </row>
    <row r="14">
      <c r="A14" t="inlineStr">
        <is>
          <t>drone_hangar.lancet</t>
        </is>
      </c>
      <c r="B14">
        <f>Thap_gia_cong_thuc!$Q$14</f>
        <v/>
      </c>
      <c r="C14">
        <f>IF(ISNUMBER($B$14),$B$14/Thap!$BN$20,"")</f>
        <v/>
      </c>
      <c r="D14" t="inlineStr">
        <is>
          <t>gun_152</t>
        </is>
      </c>
      <c r="E14">
        <f>IF($D$14="","",IF(INDEX(cc_input_vu_khi!$B$2:$B$11,MATCH($D$14,cc_input_vu_khi!$A$2:$A$11,0))*INDEX(cc_input_bang_xuyen_giap!$B$2:$B$7,MIN(6,MAX(1,IF(INDEX(cc_input_vu_khi_suy_ra!$B$2:$B$11,MATCH($D$14,cc_input_vu_khi_suy_ra!$A$2:$A$11,0)),MAX(1,2-(INDEX(cc_input_vu_khi!$C$2:$C$11,MATCH($D$14,cc_input_vu_khi!$A$2:$A$11,0))-Thap!$K$20)),2-(INDEX(cc_input_vu_khi!$C$2:$C$11,MATCH($D$14,cc_input_vu_khi!$A$2:$A$11,0))-Thap!$K$20))+1)))*INDEX(cc_input_vu_khi_suy_ra!$D$2:$D$11,MATCH($D$14,cc_input_vu_khi_suy_ra!$A$2:$A$11,0))&gt;0,CEILING(Thap!$J$20/(INDEX(cc_input_vu_khi!$B$2:$B$11,MATCH($D$14,cc_input_vu_khi!$A$2:$A$11,0))*INDEX(cc_input_bang_xuyen_giap!$B$2:$B$7,MIN(6,MAX(1,IF(INDEX(cc_input_vu_khi_suy_ra!$B$2:$B$11,MATCH($D$14,cc_input_vu_khi_suy_ra!$A$2:$A$11,0)),MAX(1,2-(INDEX(cc_input_vu_khi!$C$2:$C$11,MATCH($D$14,cc_input_vu_khi!$A$2:$A$11,0))-Thap!$K$20)),2-(INDEX(cc_input_vu_khi!$C$2:$C$11,MATCH($D$14,cc_input_vu_khi!$A$2:$A$11,0))-Thap!$K$20))+1)))*INDEX(cc_input_vu_khi_suy_ra!$D$2:$D$11,MATCH($D$14,cc_input_vu_khi_suy_ra!$A$2:$A$11,0))),1),""))</f>
        <v/>
      </c>
      <c r="F14" t="inlineStr">
        <is>
          <t>gun_120_twin_he</t>
        </is>
      </c>
      <c r="G14">
        <f>IF($F$14="","",IF(INDEX(cc_input_vu_khi!$B$2:$B$11,MATCH($F$14,cc_input_vu_khi!$A$2:$A$11,0))*INDEX(cc_input_bang_xuyen_giap!$B$2:$B$7,MIN(6,MAX(1,IF(INDEX(cc_input_vu_khi_suy_ra!$B$2:$B$11,MATCH($F$14,cc_input_vu_khi_suy_ra!$A$2:$A$11,0)),MAX(1,2-(INDEX(cc_input_vu_khi!$C$2:$C$11,MATCH($F$14,cc_input_vu_khi!$A$2:$A$11,0))-Thap!$K$20)),2-(INDEX(cc_input_vu_khi!$C$2:$C$11,MATCH($F$14,cc_input_vu_khi!$A$2:$A$11,0))-Thap!$K$20))+1)))*INDEX(cc_input_vu_khi_suy_ra!$D$2:$D$11,MATCH($F$14,cc_input_vu_khi_suy_ra!$A$2:$A$11,0))&gt;0,CEILING(Thap!$J$20/(INDEX(cc_input_vu_khi!$B$2:$B$11,MATCH($F$14,cc_input_vu_khi!$A$2:$A$11,0))*INDEX(cc_input_bang_xuyen_giap!$B$2:$B$7,MIN(6,MAX(1,IF(INDEX(cc_input_vu_khi_suy_ra!$B$2:$B$11,MATCH($F$14,cc_input_vu_khi_suy_ra!$A$2:$A$11,0)),MAX(1,2-(INDEX(cc_input_vu_khi!$C$2:$C$11,MATCH($F$14,cc_input_vu_khi!$A$2:$A$11,0))-Thap!$K$20)),2-(INDEX(cc_input_vu_khi!$C$2:$C$11,MATCH($F$14,cc_input_vu_khi!$A$2:$A$11,0))-Thap!$K$20))+1)))*INDEX(cc_input_vu_khi_suy_ra!$D$2:$D$11,MATCH($F$14,cc_input_vu_khi_suy_ra!$A$2:$A$11,0))),1),""))</f>
        <v/>
      </c>
      <c r="H14" t="inlineStr"/>
      <c r="I14">
        <f>IF($H$14="","",IF(INDEX(cc_input_vu_khi!$B$2:$B$11,MATCH($H$14,cc_input_vu_khi!$A$2:$A$11,0))*INDEX(cc_input_bang_xuyen_giap!$B$2:$B$7,MIN(6,MAX(1,IF(INDEX(cc_input_vu_khi_suy_ra!$B$2:$B$11,MATCH($H$14,cc_input_vu_khi_suy_ra!$A$2:$A$11,0)),MAX(1,2-(INDEX(cc_input_vu_khi!$C$2:$C$11,MATCH($H$14,cc_input_vu_khi!$A$2:$A$11,0))-Thap!$K$20)),2-(INDEX(cc_input_vu_khi!$C$2:$C$11,MATCH($H$14,cc_input_vu_khi!$A$2:$A$11,0))-Thap!$K$20))+1)))*INDEX(cc_input_vu_khi_suy_ra!$D$2:$D$11,MATCH($H$14,cc_input_vu_khi_suy_ra!$A$2:$A$11,0))&gt;0,CEILING(Thap!$J$20/(INDEX(cc_input_vu_khi!$B$2:$B$11,MATCH($H$14,cc_input_vu_khi!$A$2:$A$11,0))*INDEX(cc_input_bang_xuyen_giap!$B$2:$B$7,MIN(6,MAX(1,IF(INDEX(cc_input_vu_khi_suy_ra!$B$2:$B$11,MATCH($H$14,cc_input_vu_khi_suy_ra!$A$2:$A$11,0)),MAX(1,2-(INDEX(cc_input_vu_khi!$C$2:$C$11,MATCH($H$14,cc_input_vu_khi!$A$2:$A$11,0))-Thap!$K$20)),2-(INDEX(cc_input_vu_khi!$C$2:$C$11,MATCH($H$14,cc_input_vu_khi!$A$2:$A$11,0))-Thap!$K$20))+1)))*INDEX(cc_input_vu_khi_suy_ra!$D$2:$D$11,MATCH($H$14,cc_input_vu_khi_suy_ra!$A$2:$A$11,0))),1),""))</f>
        <v/>
      </c>
      <c r="J14" t="inlineStr">
        <is>
          <t>thermobaric_rockets</t>
        </is>
      </c>
      <c r="K14">
        <f>IF($J$14="","",IF(INDEX(cc_input_vu_khi!$B$2:$B$11,MATCH($J$14,cc_input_vu_khi!$A$2:$A$11,0))*INDEX(cc_input_bang_xuyen_giap!$B$2:$B$7,MIN(6,MAX(1,IF(INDEX(cc_input_vu_khi_suy_ra!$B$2:$B$11,MATCH($J$14,cc_input_vu_khi_suy_ra!$A$2:$A$11,0)),MAX(1,2-(INDEX(cc_input_vu_khi!$C$2:$C$11,MATCH($J$14,cc_input_vu_khi!$A$2:$A$11,0))-Thap!$K$20)),2-(INDEX(cc_input_vu_khi!$C$2:$C$11,MATCH($J$14,cc_input_vu_khi!$A$2:$A$11,0))-Thap!$K$20))+1)))*INDEX(cc_input_vu_khi_suy_ra!$D$2:$D$11,MATCH($J$14,cc_input_vu_khi_suy_ra!$A$2:$A$11,0))&gt;0,CEILING(Thap!$J$20/(INDEX(cc_input_vu_khi!$B$2:$B$11,MATCH($J$14,cc_input_vu_khi!$A$2:$A$11,0))*INDEX(cc_input_bang_xuyen_giap!$B$2:$B$7,MIN(6,MAX(1,IF(INDEX(cc_input_vu_khi_suy_ra!$B$2:$B$11,MATCH($J$14,cc_input_vu_khi_suy_ra!$A$2:$A$11,0)),MAX(1,2-(INDEX(cc_input_vu_khi!$C$2:$C$11,MATCH($J$14,cc_input_vu_khi!$A$2:$A$11,0))-Thap!$K$20)),2-(INDEX(cc_input_vu_khi!$C$2:$C$11,MATCH($J$14,cc_input_vu_khi!$A$2:$A$11,0))-Thap!$K$20))+1)))*INDEX(cc_input_vu_khi_suy_ra!$D$2:$D$11,MATCH($J$14,cc_input_vu_khi_suy_ra!$A$2:$A$11,0))),1),""))</f>
        <v/>
      </c>
      <c r="L14" t="inlineStr">
        <is>
          <t>Tools/balance/p32_tower_prices.py Model.price('drone_hangar.lancet') + threats('Large')</t>
        </is>
      </c>
      <c r="M14" t="inlineStr"/>
    </row>
    <row r="15">
      <c r="A15" t="inlineStr">
        <is>
          <t>drone_hangar.swarm</t>
        </is>
      </c>
      <c r="B15">
        <f>Thap_gia_cong_thuc!$Q$15</f>
        <v/>
      </c>
      <c r="C15">
        <f>IF(ISNUMBER($B$15),$B$15/Thap!$BN$21,"")</f>
        <v/>
      </c>
      <c r="D15" t="inlineStr">
        <is>
          <t>gun_152</t>
        </is>
      </c>
      <c r="E15">
        <f>IF($D$15="","",IF(INDEX(cc_input_vu_khi!$B$2:$B$11,MATCH($D$15,cc_input_vu_khi!$A$2:$A$11,0))*INDEX(cc_input_bang_xuyen_giap!$B$2:$B$7,MIN(6,MAX(1,IF(INDEX(cc_input_vu_khi_suy_ra!$B$2:$B$11,MATCH($D$15,cc_input_vu_khi_suy_ra!$A$2:$A$11,0)),MAX(1,2-(INDEX(cc_input_vu_khi!$C$2:$C$11,MATCH($D$15,cc_input_vu_khi!$A$2:$A$11,0))-Thap!$K$21)),2-(INDEX(cc_input_vu_khi!$C$2:$C$11,MATCH($D$15,cc_input_vu_khi!$A$2:$A$11,0))-Thap!$K$21))+1)))*INDEX(cc_input_vu_khi_suy_ra!$D$2:$D$11,MATCH($D$15,cc_input_vu_khi_suy_ra!$A$2:$A$11,0))&gt;0,CEILING(Thap!$J$21/(INDEX(cc_input_vu_khi!$B$2:$B$11,MATCH($D$15,cc_input_vu_khi!$A$2:$A$11,0))*INDEX(cc_input_bang_xuyen_giap!$B$2:$B$7,MIN(6,MAX(1,IF(INDEX(cc_input_vu_khi_suy_ra!$B$2:$B$11,MATCH($D$15,cc_input_vu_khi_suy_ra!$A$2:$A$11,0)),MAX(1,2-(INDEX(cc_input_vu_khi!$C$2:$C$11,MATCH($D$15,cc_input_vu_khi!$A$2:$A$11,0))-Thap!$K$21)),2-(INDEX(cc_input_vu_khi!$C$2:$C$11,MATCH($D$15,cc_input_vu_khi!$A$2:$A$11,0))-Thap!$K$21))+1)))*INDEX(cc_input_vu_khi_suy_ra!$D$2:$D$11,MATCH($D$15,cc_input_vu_khi_suy_ra!$A$2:$A$11,0))),1),""))</f>
        <v/>
      </c>
      <c r="F15" t="inlineStr">
        <is>
          <t>gun_120_twin_he</t>
        </is>
      </c>
      <c r="G15">
        <f>IF($F$15="","",IF(INDEX(cc_input_vu_khi!$B$2:$B$11,MATCH($F$15,cc_input_vu_khi!$A$2:$A$11,0))*INDEX(cc_input_bang_xuyen_giap!$B$2:$B$7,MIN(6,MAX(1,IF(INDEX(cc_input_vu_khi_suy_ra!$B$2:$B$11,MATCH($F$15,cc_input_vu_khi_suy_ra!$A$2:$A$11,0)),MAX(1,2-(INDEX(cc_input_vu_khi!$C$2:$C$11,MATCH($F$15,cc_input_vu_khi!$A$2:$A$11,0))-Thap!$K$21)),2-(INDEX(cc_input_vu_khi!$C$2:$C$11,MATCH($F$15,cc_input_vu_khi!$A$2:$A$11,0))-Thap!$K$21))+1)))*INDEX(cc_input_vu_khi_suy_ra!$D$2:$D$11,MATCH($F$15,cc_input_vu_khi_suy_ra!$A$2:$A$11,0))&gt;0,CEILING(Thap!$J$21/(INDEX(cc_input_vu_khi!$B$2:$B$11,MATCH($F$15,cc_input_vu_khi!$A$2:$A$11,0))*INDEX(cc_input_bang_xuyen_giap!$B$2:$B$7,MIN(6,MAX(1,IF(INDEX(cc_input_vu_khi_suy_ra!$B$2:$B$11,MATCH($F$15,cc_input_vu_khi_suy_ra!$A$2:$A$11,0)),MAX(1,2-(INDEX(cc_input_vu_khi!$C$2:$C$11,MATCH($F$15,cc_input_vu_khi!$A$2:$A$11,0))-Thap!$K$21)),2-(INDEX(cc_input_vu_khi!$C$2:$C$11,MATCH($F$15,cc_input_vu_khi!$A$2:$A$11,0))-Thap!$K$21))+1)))*INDEX(cc_input_vu_khi_suy_ra!$D$2:$D$11,MATCH($F$15,cc_input_vu_khi_suy_ra!$A$2:$A$11,0))),1),""))</f>
        <v/>
      </c>
      <c r="H15" t="inlineStr"/>
      <c r="I15">
        <f>IF($H$15="","",IF(INDEX(cc_input_vu_khi!$B$2:$B$11,MATCH($H$15,cc_input_vu_khi!$A$2:$A$11,0))*INDEX(cc_input_bang_xuyen_giap!$B$2:$B$7,MIN(6,MAX(1,IF(INDEX(cc_input_vu_khi_suy_ra!$B$2:$B$11,MATCH($H$15,cc_input_vu_khi_suy_ra!$A$2:$A$11,0)),MAX(1,2-(INDEX(cc_input_vu_khi!$C$2:$C$11,MATCH($H$15,cc_input_vu_khi!$A$2:$A$11,0))-Thap!$K$21)),2-(INDEX(cc_input_vu_khi!$C$2:$C$11,MATCH($H$15,cc_input_vu_khi!$A$2:$A$11,0))-Thap!$K$21))+1)))*INDEX(cc_input_vu_khi_suy_ra!$D$2:$D$11,MATCH($H$15,cc_input_vu_khi_suy_ra!$A$2:$A$11,0))&gt;0,CEILING(Thap!$J$21/(INDEX(cc_input_vu_khi!$B$2:$B$11,MATCH($H$15,cc_input_vu_khi!$A$2:$A$11,0))*INDEX(cc_input_bang_xuyen_giap!$B$2:$B$7,MIN(6,MAX(1,IF(INDEX(cc_input_vu_khi_suy_ra!$B$2:$B$11,MATCH($H$15,cc_input_vu_khi_suy_ra!$A$2:$A$11,0)),MAX(1,2-(INDEX(cc_input_vu_khi!$C$2:$C$11,MATCH($H$15,cc_input_vu_khi!$A$2:$A$11,0))-Thap!$K$21)),2-(INDEX(cc_input_vu_khi!$C$2:$C$11,MATCH($H$15,cc_input_vu_khi!$A$2:$A$11,0))-Thap!$K$21))+1)))*INDEX(cc_input_vu_khi_suy_ra!$D$2:$D$11,MATCH($H$15,cc_input_vu_khi_suy_ra!$A$2:$A$11,0))),1),""))</f>
        <v/>
      </c>
      <c r="J15" t="inlineStr">
        <is>
          <t>thermobaric_rockets</t>
        </is>
      </c>
      <c r="K15">
        <f>IF($J$15="","",IF(INDEX(cc_input_vu_khi!$B$2:$B$11,MATCH($J$15,cc_input_vu_khi!$A$2:$A$11,0))*INDEX(cc_input_bang_xuyen_giap!$B$2:$B$7,MIN(6,MAX(1,IF(INDEX(cc_input_vu_khi_suy_ra!$B$2:$B$11,MATCH($J$15,cc_input_vu_khi_suy_ra!$A$2:$A$11,0)),MAX(1,2-(INDEX(cc_input_vu_khi!$C$2:$C$11,MATCH($J$15,cc_input_vu_khi!$A$2:$A$11,0))-Thap!$K$21)),2-(INDEX(cc_input_vu_khi!$C$2:$C$11,MATCH($J$15,cc_input_vu_khi!$A$2:$A$11,0))-Thap!$K$21))+1)))*INDEX(cc_input_vu_khi_suy_ra!$D$2:$D$11,MATCH($J$15,cc_input_vu_khi_suy_ra!$A$2:$A$11,0))&gt;0,CEILING(Thap!$J$21/(INDEX(cc_input_vu_khi!$B$2:$B$11,MATCH($J$15,cc_input_vu_khi!$A$2:$A$11,0))*INDEX(cc_input_bang_xuyen_giap!$B$2:$B$7,MIN(6,MAX(1,IF(INDEX(cc_input_vu_khi_suy_ra!$B$2:$B$11,MATCH($J$15,cc_input_vu_khi_suy_ra!$A$2:$A$11,0)),MAX(1,2-(INDEX(cc_input_vu_khi!$C$2:$C$11,MATCH($J$15,cc_input_vu_khi!$A$2:$A$11,0))-Thap!$K$21)),2-(INDEX(cc_input_vu_khi!$C$2:$C$11,MATCH($J$15,cc_input_vu_khi!$A$2:$A$11,0))-Thap!$K$21))+1)))*INDEX(cc_input_vu_khi_suy_ra!$D$2:$D$11,MATCH($J$15,cc_input_vu_khi_suy_ra!$A$2:$A$11,0))),1),""))</f>
        <v/>
      </c>
      <c r="L15" t="inlineStr">
        <is>
          <t>Tools/balance/p32_tower_prices.py Model.price('drone_hangar.swarm') + threats('Large')</t>
        </is>
      </c>
      <c r="M15" t="inlineStr"/>
    </row>
    <row r="16">
      <c r="A16" t="inlineStr">
        <is>
          <t>ew_tower</t>
        </is>
      </c>
      <c r="B16">
        <f>Thap_gia_cong_thuc!$Q$16</f>
        <v/>
      </c>
      <c r="C16">
        <f>IF(ISNUMBER($B$16),$B$16/Thap!$BN$23,"")</f>
        <v/>
      </c>
      <c r="D16" t="inlineStr">
        <is>
          <t>ifv_30</t>
        </is>
      </c>
      <c r="E16">
        <f>IF($D$16="","",IF(INDEX(cc_input_vu_khi!$B$2:$B$11,MATCH($D$16,cc_input_vu_khi!$A$2:$A$11,0))*INDEX(cc_input_bang_xuyen_giap!$B$2:$B$7,MIN(6,MAX(1,IF(INDEX(cc_input_vu_khi_suy_ra!$B$2:$B$11,MATCH($D$16,cc_input_vu_khi_suy_ra!$A$2:$A$11,0)),MAX(1,2-(INDEX(cc_input_vu_khi!$C$2:$C$11,MATCH($D$16,cc_input_vu_khi!$A$2:$A$11,0))-Thap!$K$23)),2-(INDEX(cc_input_vu_khi!$C$2:$C$11,MATCH($D$16,cc_input_vu_khi!$A$2:$A$11,0))-Thap!$K$23))+1)))*INDEX(cc_input_vu_khi_suy_ra!$D$2:$D$11,MATCH($D$16,cc_input_vu_khi_suy_ra!$A$2:$A$11,0))&gt;0,CEILING(Thap!$J$23/(INDEX(cc_input_vu_khi!$B$2:$B$11,MATCH($D$16,cc_input_vu_khi!$A$2:$A$11,0))*INDEX(cc_input_bang_xuyen_giap!$B$2:$B$7,MIN(6,MAX(1,IF(INDEX(cc_input_vu_khi_suy_ra!$B$2:$B$11,MATCH($D$16,cc_input_vu_khi_suy_ra!$A$2:$A$11,0)),MAX(1,2-(INDEX(cc_input_vu_khi!$C$2:$C$11,MATCH($D$16,cc_input_vu_khi!$A$2:$A$11,0))-Thap!$K$23)),2-(INDEX(cc_input_vu_khi!$C$2:$C$11,MATCH($D$16,cc_input_vu_khi!$A$2:$A$11,0))-Thap!$K$23))+1)))*INDEX(cc_input_vu_khi_suy_ra!$D$2:$D$11,MATCH($D$16,cc_input_vu_khi_suy_ra!$A$2:$A$11,0))),1),""))</f>
        <v/>
      </c>
      <c r="F16" t="inlineStr">
        <is>
          <t>gun_120mm_he</t>
        </is>
      </c>
      <c r="G16">
        <f>IF($F$16="","",IF(INDEX(cc_input_vu_khi!$B$2:$B$11,MATCH($F$16,cc_input_vu_khi!$A$2:$A$11,0))*INDEX(cc_input_bang_xuyen_giap!$B$2:$B$7,MIN(6,MAX(1,IF(INDEX(cc_input_vu_khi_suy_ra!$B$2:$B$11,MATCH($F$16,cc_input_vu_khi_suy_ra!$A$2:$A$11,0)),MAX(1,2-(INDEX(cc_input_vu_khi!$C$2:$C$11,MATCH($F$16,cc_input_vu_khi!$A$2:$A$11,0))-Thap!$K$23)),2-(INDEX(cc_input_vu_khi!$C$2:$C$11,MATCH($F$16,cc_input_vu_khi!$A$2:$A$11,0))-Thap!$K$23))+1)))*INDEX(cc_input_vu_khi_suy_ra!$D$2:$D$11,MATCH($F$16,cc_input_vu_khi_suy_ra!$A$2:$A$11,0))&gt;0,CEILING(Thap!$J$23/(INDEX(cc_input_vu_khi!$B$2:$B$11,MATCH($F$16,cc_input_vu_khi!$A$2:$A$11,0))*INDEX(cc_input_bang_xuyen_giap!$B$2:$B$7,MIN(6,MAX(1,IF(INDEX(cc_input_vu_khi_suy_ra!$B$2:$B$11,MATCH($F$16,cc_input_vu_khi_suy_ra!$A$2:$A$11,0)),MAX(1,2-(INDEX(cc_input_vu_khi!$C$2:$C$11,MATCH($F$16,cc_input_vu_khi!$A$2:$A$11,0))-Thap!$K$23)),2-(INDEX(cc_input_vu_khi!$C$2:$C$11,MATCH($F$16,cc_input_vu_khi!$A$2:$A$11,0))-Thap!$K$23))+1)))*INDEX(cc_input_vu_khi_suy_ra!$D$2:$D$11,MATCH($F$16,cc_input_vu_khi_suy_ra!$A$2:$A$11,0))),1),""))</f>
        <v/>
      </c>
      <c r="H16" t="inlineStr">
        <is>
          <t>recoilless_106</t>
        </is>
      </c>
      <c r="I16">
        <f>IF($H$16="","",IF(INDEX(cc_input_vu_khi!$B$2:$B$11,MATCH($H$16,cc_input_vu_khi!$A$2:$A$11,0))*INDEX(cc_input_bang_xuyen_giap!$B$2:$B$7,MIN(6,MAX(1,IF(INDEX(cc_input_vu_khi_suy_ra!$B$2:$B$11,MATCH($H$16,cc_input_vu_khi_suy_ra!$A$2:$A$11,0)),MAX(1,2-(INDEX(cc_input_vu_khi!$C$2:$C$11,MATCH($H$16,cc_input_vu_khi!$A$2:$A$11,0))-Thap!$K$23)),2-(INDEX(cc_input_vu_khi!$C$2:$C$11,MATCH($H$16,cc_input_vu_khi!$A$2:$A$11,0))-Thap!$K$23))+1)))*INDEX(cc_input_vu_khi_suy_ra!$D$2:$D$11,MATCH($H$16,cc_input_vu_khi_suy_ra!$A$2:$A$11,0))&gt;0,CEILING(Thap!$J$23/(INDEX(cc_input_vu_khi!$B$2:$B$11,MATCH($H$16,cc_input_vu_khi!$A$2:$A$11,0))*INDEX(cc_input_bang_xuyen_giap!$B$2:$B$7,MIN(6,MAX(1,IF(INDEX(cc_input_vu_khi_suy_ra!$B$2:$B$11,MATCH($H$16,cc_input_vu_khi_suy_ra!$A$2:$A$11,0)),MAX(1,2-(INDEX(cc_input_vu_khi!$C$2:$C$11,MATCH($H$16,cc_input_vu_khi!$A$2:$A$11,0))-Thap!$K$23)),2-(INDEX(cc_input_vu_khi!$C$2:$C$11,MATCH($H$16,cc_input_vu_khi!$A$2:$A$11,0))-Thap!$K$23))+1)))*INDEX(cc_input_vu_khi_suy_ra!$D$2:$D$11,MATCH($H$16,cc_input_vu_khi_suy_ra!$A$2:$A$11,0))),1),""))</f>
        <v/>
      </c>
      <c r="J16" t="inlineStr">
        <is>
          <t>technical_rockets</t>
        </is>
      </c>
      <c r="K16">
        <f>IF($J$16="","",IF(INDEX(cc_input_vu_khi!$B$2:$B$11,MATCH($J$16,cc_input_vu_khi!$A$2:$A$11,0))*INDEX(cc_input_bang_xuyen_giap!$B$2:$B$7,MIN(6,MAX(1,IF(INDEX(cc_input_vu_khi_suy_ra!$B$2:$B$11,MATCH($J$16,cc_input_vu_khi_suy_ra!$A$2:$A$11,0)),MAX(1,2-(INDEX(cc_input_vu_khi!$C$2:$C$11,MATCH($J$16,cc_input_vu_khi!$A$2:$A$11,0))-Thap!$K$23)),2-(INDEX(cc_input_vu_khi!$C$2:$C$11,MATCH($J$16,cc_input_vu_khi!$A$2:$A$11,0))-Thap!$K$23))+1)))*INDEX(cc_input_vu_khi_suy_ra!$D$2:$D$11,MATCH($J$16,cc_input_vu_khi_suy_ra!$A$2:$A$11,0))&gt;0,CEILING(Thap!$J$23/(INDEX(cc_input_vu_khi!$B$2:$B$11,MATCH($J$16,cc_input_vu_khi!$A$2:$A$11,0))*INDEX(cc_input_bang_xuyen_giap!$B$2:$B$7,MIN(6,MAX(1,IF(INDEX(cc_input_vu_khi_suy_ra!$B$2:$B$11,MATCH($J$16,cc_input_vu_khi_suy_ra!$A$2:$A$11,0)),MAX(1,2-(INDEX(cc_input_vu_khi!$C$2:$C$11,MATCH($J$16,cc_input_vu_khi!$A$2:$A$11,0))-Thap!$K$23)),2-(INDEX(cc_input_vu_khi!$C$2:$C$11,MATCH($J$16,cc_input_vu_khi!$A$2:$A$11,0))-Thap!$K$23))+1)))*INDEX(cc_input_vu_khi_suy_ra!$D$2:$D$11,MATCH($J$16,cc_input_vu_khi_suy_ra!$A$2:$A$11,0))),1),""))</f>
        <v/>
      </c>
      <c r="L16" t="inlineStr">
        <is>
          <t>Tools/balance/p32_tower_prices.py Model.price('ew_tower') + threats('Small')</t>
        </is>
      </c>
      <c r="M16" t="inlineStr"/>
    </row>
    <row r="17">
      <c r="A17" t="inlineStr">
        <is>
          <t>ew_tower.drone</t>
        </is>
      </c>
      <c r="B17">
        <f>Thap_gia_cong_thuc!$Q$17</f>
        <v/>
      </c>
      <c r="C17">
        <f>IF(ISNUMBER($B$17),$B$17/Thap!$BN$24,"")</f>
        <v/>
      </c>
      <c r="D17" t="inlineStr">
        <is>
          <t>ifv_30</t>
        </is>
      </c>
      <c r="E17">
        <f>IF($D$17="","",IF(INDEX(cc_input_vu_khi!$B$2:$B$11,MATCH($D$17,cc_input_vu_khi!$A$2:$A$11,0))*INDEX(cc_input_bang_xuyen_giap!$B$2:$B$7,MIN(6,MAX(1,IF(INDEX(cc_input_vu_khi_suy_ra!$B$2:$B$11,MATCH($D$17,cc_input_vu_khi_suy_ra!$A$2:$A$11,0)),MAX(1,2-(INDEX(cc_input_vu_khi!$C$2:$C$11,MATCH($D$17,cc_input_vu_khi!$A$2:$A$11,0))-Thap!$K$24)),2-(INDEX(cc_input_vu_khi!$C$2:$C$11,MATCH($D$17,cc_input_vu_khi!$A$2:$A$11,0))-Thap!$K$24))+1)))*INDEX(cc_input_vu_khi_suy_ra!$D$2:$D$11,MATCH($D$17,cc_input_vu_khi_suy_ra!$A$2:$A$11,0))&gt;0,CEILING(Thap!$J$24/(INDEX(cc_input_vu_khi!$B$2:$B$11,MATCH($D$17,cc_input_vu_khi!$A$2:$A$11,0))*INDEX(cc_input_bang_xuyen_giap!$B$2:$B$7,MIN(6,MAX(1,IF(INDEX(cc_input_vu_khi_suy_ra!$B$2:$B$11,MATCH($D$17,cc_input_vu_khi_suy_ra!$A$2:$A$11,0)),MAX(1,2-(INDEX(cc_input_vu_khi!$C$2:$C$11,MATCH($D$17,cc_input_vu_khi!$A$2:$A$11,0))-Thap!$K$24)),2-(INDEX(cc_input_vu_khi!$C$2:$C$11,MATCH($D$17,cc_input_vu_khi!$A$2:$A$11,0))-Thap!$K$24))+1)))*INDEX(cc_input_vu_khi_suy_ra!$D$2:$D$11,MATCH($D$17,cc_input_vu_khi_suy_ra!$A$2:$A$11,0))),1),""))</f>
        <v/>
      </c>
      <c r="F17" t="inlineStr">
        <is>
          <t>gun_120mm_he</t>
        </is>
      </c>
      <c r="G17">
        <f>IF($F$17="","",IF(INDEX(cc_input_vu_khi!$B$2:$B$11,MATCH($F$17,cc_input_vu_khi!$A$2:$A$11,0))*INDEX(cc_input_bang_xuyen_giap!$B$2:$B$7,MIN(6,MAX(1,IF(INDEX(cc_input_vu_khi_suy_ra!$B$2:$B$11,MATCH($F$17,cc_input_vu_khi_suy_ra!$A$2:$A$11,0)),MAX(1,2-(INDEX(cc_input_vu_khi!$C$2:$C$11,MATCH($F$17,cc_input_vu_khi!$A$2:$A$11,0))-Thap!$K$24)),2-(INDEX(cc_input_vu_khi!$C$2:$C$11,MATCH($F$17,cc_input_vu_khi!$A$2:$A$11,0))-Thap!$K$24))+1)))*INDEX(cc_input_vu_khi_suy_ra!$D$2:$D$11,MATCH($F$17,cc_input_vu_khi_suy_ra!$A$2:$A$11,0))&gt;0,CEILING(Thap!$J$24/(INDEX(cc_input_vu_khi!$B$2:$B$11,MATCH($F$17,cc_input_vu_khi!$A$2:$A$11,0))*INDEX(cc_input_bang_xuyen_giap!$B$2:$B$7,MIN(6,MAX(1,IF(INDEX(cc_input_vu_khi_suy_ra!$B$2:$B$11,MATCH($F$17,cc_input_vu_khi_suy_ra!$A$2:$A$11,0)),MAX(1,2-(INDEX(cc_input_vu_khi!$C$2:$C$11,MATCH($F$17,cc_input_vu_khi!$A$2:$A$11,0))-Thap!$K$24)),2-(INDEX(cc_input_vu_khi!$C$2:$C$11,MATCH($F$17,cc_input_vu_khi!$A$2:$A$11,0))-Thap!$K$24))+1)))*INDEX(cc_input_vu_khi_suy_ra!$D$2:$D$11,MATCH($F$17,cc_input_vu_khi_suy_ra!$A$2:$A$11,0))),1),""))</f>
        <v/>
      </c>
      <c r="H17" t="inlineStr">
        <is>
          <t>recoilless_106</t>
        </is>
      </c>
      <c r="I17">
        <f>IF($H$17="","",IF(INDEX(cc_input_vu_khi!$B$2:$B$11,MATCH($H$17,cc_input_vu_khi!$A$2:$A$11,0))*INDEX(cc_input_bang_xuyen_giap!$B$2:$B$7,MIN(6,MAX(1,IF(INDEX(cc_input_vu_khi_suy_ra!$B$2:$B$11,MATCH($H$17,cc_input_vu_khi_suy_ra!$A$2:$A$11,0)),MAX(1,2-(INDEX(cc_input_vu_khi!$C$2:$C$11,MATCH($H$17,cc_input_vu_khi!$A$2:$A$11,0))-Thap!$K$24)),2-(INDEX(cc_input_vu_khi!$C$2:$C$11,MATCH($H$17,cc_input_vu_khi!$A$2:$A$11,0))-Thap!$K$24))+1)))*INDEX(cc_input_vu_khi_suy_ra!$D$2:$D$11,MATCH($H$17,cc_input_vu_khi_suy_ra!$A$2:$A$11,0))&gt;0,CEILING(Thap!$J$24/(INDEX(cc_input_vu_khi!$B$2:$B$11,MATCH($H$17,cc_input_vu_khi!$A$2:$A$11,0))*INDEX(cc_input_bang_xuyen_giap!$B$2:$B$7,MIN(6,MAX(1,IF(INDEX(cc_input_vu_khi_suy_ra!$B$2:$B$11,MATCH($H$17,cc_input_vu_khi_suy_ra!$A$2:$A$11,0)),MAX(1,2-(INDEX(cc_input_vu_khi!$C$2:$C$11,MATCH($H$17,cc_input_vu_khi!$A$2:$A$11,0))-Thap!$K$24)),2-(INDEX(cc_input_vu_khi!$C$2:$C$11,MATCH($H$17,cc_input_vu_khi!$A$2:$A$11,0))-Thap!$K$24))+1)))*INDEX(cc_input_vu_khi_suy_ra!$D$2:$D$11,MATCH($H$17,cc_input_vu_khi_suy_ra!$A$2:$A$11,0))),1),""))</f>
        <v/>
      </c>
      <c r="J17" t="inlineStr">
        <is>
          <t>technical_rockets</t>
        </is>
      </c>
      <c r="K17">
        <f>IF($J$17="","",IF(INDEX(cc_input_vu_khi!$B$2:$B$11,MATCH($J$17,cc_input_vu_khi!$A$2:$A$11,0))*INDEX(cc_input_bang_xuyen_giap!$B$2:$B$7,MIN(6,MAX(1,IF(INDEX(cc_input_vu_khi_suy_ra!$B$2:$B$11,MATCH($J$17,cc_input_vu_khi_suy_ra!$A$2:$A$11,0)),MAX(1,2-(INDEX(cc_input_vu_khi!$C$2:$C$11,MATCH($J$17,cc_input_vu_khi!$A$2:$A$11,0))-Thap!$K$24)),2-(INDEX(cc_input_vu_khi!$C$2:$C$11,MATCH($J$17,cc_input_vu_khi!$A$2:$A$11,0))-Thap!$K$24))+1)))*INDEX(cc_input_vu_khi_suy_ra!$D$2:$D$11,MATCH($J$17,cc_input_vu_khi_suy_ra!$A$2:$A$11,0))&gt;0,CEILING(Thap!$J$24/(INDEX(cc_input_vu_khi!$B$2:$B$11,MATCH($J$17,cc_input_vu_khi!$A$2:$A$11,0))*INDEX(cc_input_bang_xuyen_giap!$B$2:$B$7,MIN(6,MAX(1,IF(INDEX(cc_input_vu_khi_suy_ra!$B$2:$B$11,MATCH($J$17,cc_input_vu_khi_suy_ra!$A$2:$A$11,0)),MAX(1,2-(INDEX(cc_input_vu_khi!$C$2:$C$11,MATCH($J$17,cc_input_vu_khi!$A$2:$A$11,0))-Thap!$K$24)),2-(INDEX(cc_input_vu_khi!$C$2:$C$11,MATCH($J$17,cc_input_vu_khi!$A$2:$A$11,0))-Thap!$K$24))+1)))*INDEX(cc_input_vu_khi_suy_ra!$D$2:$D$11,MATCH($J$17,cc_input_vu_khi_suy_ra!$A$2:$A$11,0))),1),""))</f>
        <v/>
      </c>
      <c r="L17" t="inlineStr">
        <is>
          <t>Tools/balance/p32_tower_prices.py Model.price('ew_tower.drone') + threats('Small')</t>
        </is>
      </c>
      <c r="M17" t="inlineStr"/>
    </row>
    <row r="18">
      <c r="A18" t="inlineStr">
        <is>
          <t>ew_tower.spoof</t>
        </is>
      </c>
      <c r="B18">
        <f>Thap_gia_cong_thuc!$Q$18</f>
        <v/>
      </c>
      <c r="C18">
        <f>IF(ISNUMBER($B$18),$B$18/Thap!$BN$25,"")</f>
        <v/>
      </c>
      <c r="D18" t="inlineStr">
        <is>
          <t>ifv_30</t>
        </is>
      </c>
      <c r="E18">
        <f>IF($D$18="","",IF(INDEX(cc_input_vu_khi!$B$2:$B$11,MATCH($D$18,cc_input_vu_khi!$A$2:$A$11,0))*INDEX(cc_input_bang_xuyen_giap!$B$2:$B$7,MIN(6,MAX(1,IF(INDEX(cc_input_vu_khi_suy_ra!$B$2:$B$11,MATCH($D$18,cc_input_vu_khi_suy_ra!$A$2:$A$11,0)),MAX(1,2-(INDEX(cc_input_vu_khi!$C$2:$C$11,MATCH($D$18,cc_input_vu_khi!$A$2:$A$11,0))-Thap!$K$25)),2-(INDEX(cc_input_vu_khi!$C$2:$C$11,MATCH($D$18,cc_input_vu_khi!$A$2:$A$11,0))-Thap!$K$25))+1)))*INDEX(cc_input_vu_khi_suy_ra!$D$2:$D$11,MATCH($D$18,cc_input_vu_khi_suy_ra!$A$2:$A$11,0))&gt;0,CEILING(Thap!$J$25/(INDEX(cc_input_vu_khi!$B$2:$B$11,MATCH($D$18,cc_input_vu_khi!$A$2:$A$11,0))*INDEX(cc_input_bang_xuyen_giap!$B$2:$B$7,MIN(6,MAX(1,IF(INDEX(cc_input_vu_khi_suy_ra!$B$2:$B$11,MATCH($D$18,cc_input_vu_khi_suy_ra!$A$2:$A$11,0)),MAX(1,2-(INDEX(cc_input_vu_khi!$C$2:$C$11,MATCH($D$18,cc_input_vu_khi!$A$2:$A$11,0))-Thap!$K$25)),2-(INDEX(cc_input_vu_khi!$C$2:$C$11,MATCH($D$18,cc_input_vu_khi!$A$2:$A$11,0))-Thap!$K$25))+1)))*INDEX(cc_input_vu_khi_suy_ra!$D$2:$D$11,MATCH($D$18,cc_input_vu_khi_suy_ra!$A$2:$A$11,0))),1),""))</f>
        <v/>
      </c>
      <c r="F18" t="inlineStr">
        <is>
          <t>gun_120mm_he</t>
        </is>
      </c>
      <c r="G18">
        <f>IF($F$18="","",IF(INDEX(cc_input_vu_khi!$B$2:$B$11,MATCH($F$18,cc_input_vu_khi!$A$2:$A$11,0))*INDEX(cc_input_bang_xuyen_giap!$B$2:$B$7,MIN(6,MAX(1,IF(INDEX(cc_input_vu_khi_suy_ra!$B$2:$B$11,MATCH($F$18,cc_input_vu_khi_suy_ra!$A$2:$A$11,0)),MAX(1,2-(INDEX(cc_input_vu_khi!$C$2:$C$11,MATCH($F$18,cc_input_vu_khi!$A$2:$A$11,0))-Thap!$K$25)),2-(INDEX(cc_input_vu_khi!$C$2:$C$11,MATCH($F$18,cc_input_vu_khi!$A$2:$A$11,0))-Thap!$K$25))+1)))*INDEX(cc_input_vu_khi_suy_ra!$D$2:$D$11,MATCH($F$18,cc_input_vu_khi_suy_ra!$A$2:$A$11,0))&gt;0,CEILING(Thap!$J$25/(INDEX(cc_input_vu_khi!$B$2:$B$11,MATCH($F$18,cc_input_vu_khi!$A$2:$A$11,0))*INDEX(cc_input_bang_xuyen_giap!$B$2:$B$7,MIN(6,MAX(1,IF(INDEX(cc_input_vu_khi_suy_ra!$B$2:$B$11,MATCH($F$18,cc_input_vu_khi_suy_ra!$A$2:$A$11,0)),MAX(1,2-(INDEX(cc_input_vu_khi!$C$2:$C$11,MATCH($F$18,cc_input_vu_khi!$A$2:$A$11,0))-Thap!$K$25)),2-(INDEX(cc_input_vu_khi!$C$2:$C$11,MATCH($F$18,cc_input_vu_khi!$A$2:$A$11,0))-Thap!$K$25))+1)))*INDEX(cc_input_vu_khi_suy_ra!$D$2:$D$11,MATCH($F$18,cc_input_vu_khi_suy_ra!$A$2:$A$11,0))),1),""))</f>
        <v/>
      </c>
      <c r="H18" t="inlineStr">
        <is>
          <t>recoilless_106</t>
        </is>
      </c>
      <c r="I18">
        <f>IF($H$18="","",IF(INDEX(cc_input_vu_khi!$B$2:$B$11,MATCH($H$18,cc_input_vu_khi!$A$2:$A$11,0))*INDEX(cc_input_bang_xuyen_giap!$B$2:$B$7,MIN(6,MAX(1,IF(INDEX(cc_input_vu_khi_suy_ra!$B$2:$B$11,MATCH($H$18,cc_input_vu_khi_suy_ra!$A$2:$A$11,0)),MAX(1,2-(INDEX(cc_input_vu_khi!$C$2:$C$11,MATCH($H$18,cc_input_vu_khi!$A$2:$A$11,0))-Thap!$K$25)),2-(INDEX(cc_input_vu_khi!$C$2:$C$11,MATCH($H$18,cc_input_vu_khi!$A$2:$A$11,0))-Thap!$K$25))+1)))*INDEX(cc_input_vu_khi_suy_ra!$D$2:$D$11,MATCH($H$18,cc_input_vu_khi_suy_ra!$A$2:$A$11,0))&gt;0,CEILING(Thap!$J$25/(INDEX(cc_input_vu_khi!$B$2:$B$11,MATCH($H$18,cc_input_vu_khi!$A$2:$A$11,0))*INDEX(cc_input_bang_xuyen_giap!$B$2:$B$7,MIN(6,MAX(1,IF(INDEX(cc_input_vu_khi_suy_ra!$B$2:$B$11,MATCH($H$18,cc_input_vu_khi_suy_ra!$A$2:$A$11,0)),MAX(1,2-(INDEX(cc_input_vu_khi!$C$2:$C$11,MATCH($H$18,cc_input_vu_khi!$A$2:$A$11,0))-Thap!$K$25)),2-(INDEX(cc_input_vu_khi!$C$2:$C$11,MATCH($H$18,cc_input_vu_khi!$A$2:$A$11,0))-Thap!$K$25))+1)))*INDEX(cc_input_vu_khi_suy_ra!$D$2:$D$11,MATCH($H$18,cc_input_vu_khi_suy_ra!$A$2:$A$11,0))),1),""))</f>
        <v/>
      </c>
      <c r="J18" t="inlineStr">
        <is>
          <t>technical_rockets</t>
        </is>
      </c>
      <c r="K18">
        <f>IF($J$18="","",IF(INDEX(cc_input_vu_khi!$B$2:$B$11,MATCH($J$18,cc_input_vu_khi!$A$2:$A$11,0))*INDEX(cc_input_bang_xuyen_giap!$B$2:$B$7,MIN(6,MAX(1,IF(INDEX(cc_input_vu_khi_suy_ra!$B$2:$B$11,MATCH($J$18,cc_input_vu_khi_suy_ra!$A$2:$A$11,0)),MAX(1,2-(INDEX(cc_input_vu_khi!$C$2:$C$11,MATCH($J$18,cc_input_vu_khi!$A$2:$A$11,0))-Thap!$K$25)),2-(INDEX(cc_input_vu_khi!$C$2:$C$11,MATCH($J$18,cc_input_vu_khi!$A$2:$A$11,0))-Thap!$K$25))+1)))*INDEX(cc_input_vu_khi_suy_ra!$D$2:$D$11,MATCH($J$18,cc_input_vu_khi_suy_ra!$A$2:$A$11,0))&gt;0,CEILING(Thap!$J$25/(INDEX(cc_input_vu_khi!$B$2:$B$11,MATCH($J$18,cc_input_vu_khi!$A$2:$A$11,0))*INDEX(cc_input_bang_xuyen_giap!$B$2:$B$7,MIN(6,MAX(1,IF(INDEX(cc_input_vu_khi_suy_ra!$B$2:$B$11,MATCH($J$18,cc_input_vu_khi_suy_ra!$A$2:$A$11,0)),MAX(1,2-(INDEX(cc_input_vu_khi!$C$2:$C$11,MATCH($J$18,cc_input_vu_khi!$A$2:$A$11,0))-Thap!$K$25)),2-(INDEX(cc_input_vu_khi!$C$2:$C$11,MATCH($J$18,cc_input_vu_khi!$A$2:$A$11,0))-Thap!$K$25))+1)))*INDEX(cc_input_vu_khi_suy_ra!$D$2:$D$11,MATCH($J$18,cc_input_vu_khi_suy_ra!$A$2:$A$11,0))),1),""))</f>
        <v/>
      </c>
      <c r="L18" t="inlineStr">
        <is>
          <t>Tools/balance/p32_tower_prices.py Model.price('ew_tower.spoof') + threats('Small')</t>
        </is>
      </c>
      <c r="M18" t="inlineStr"/>
    </row>
    <row r="19">
      <c r="A19" t="inlineStr">
        <is>
          <t>guard_tower</t>
        </is>
      </c>
      <c r="B19">
        <f>Thap_gia_cong_thuc!$Q$19</f>
        <v/>
      </c>
      <c r="C19">
        <f>IF(ISNUMBER($B$19),$B$19/Thap!$BN$28,"")</f>
        <v/>
      </c>
      <c r="D19" t="inlineStr">
        <is>
          <t>ifv_30</t>
        </is>
      </c>
      <c r="E19">
        <f>IF($D$19="","",IF(INDEX(cc_input_vu_khi!$B$2:$B$11,MATCH($D$19,cc_input_vu_khi!$A$2:$A$11,0))*INDEX(cc_input_bang_xuyen_giap!$B$2:$B$7,MIN(6,MAX(1,IF(INDEX(cc_input_vu_khi_suy_ra!$B$2:$B$11,MATCH($D$19,cc_input_vu_khi_suy_ra!$A$2:$A$11,0)),MAX(1,2-(INDEX(cc_input_vu_khi!$C$2:$C$11,MATCH($D$19,cc_input_vu_khi!$A$2:$A$11,0))-Thap!$K$28)),2-(INDEX(cc_input_vu_khi!$C$2:$C$11,MATCH($D$19,cc_input_vu_khi!$A$2:$A$11,0))-Thap!$K$28))+1)))*INDEX(cc_input_vu_khi_suy_ra!$D$2:$D$11,MATCH($D$19,cc_input_vu_khi_suy_ra!$A$2:$A$11,0))&gt;0,CEILING(Thap!$J$28/(INDEX(cc_input_vu_khi!$B$2:$B$11,MATCH($D$19,cc_input_vu_khi!$A$2:$A$11,0))*INDEX(cc_input_bang_xuyen_giap!$B$2:$B$7,MIN(6,MAX(1,IF(INDEX(cc_input_vu_khi_suy_ra!$B$2:$B$11,MATCH($D$19,cc_input_vu_khi_suy_ra!$A$2:$A$11,0)),MAX(1,2-(INDEX(cc_input_vu_khi!$C$2:$C$11,MATCH($D$19,cc_input_vu_khi!$A$2:$A$11,0))-Thap!$K$28)),2-(INDEX(cc_input_vu_khi!$C$2:$C$11,MATCH($D$19,cc_input_vu_khi!$A$2:$A$11,0))-Thap!$K$28))+1)))*INDEX(cc_input_vu_khi_suy_ra!$D$2:$D$11,MATCH($D$19,cc_input_vu_khi_suy_ra!$A$2:$A$11,0))),1),""))</f>
        <v/>
      </c>
      <c r="F19" t="inlineStr">
        <is>
          <t>gun_120mm_he</t>
        </is>
      </c>
      <c r="G19">
        <f>IF($F$19="","",IF(INDEX(cc_input_vu_khi!$B$2:$B$11,MATCH($F$19,cc_input_vu_khi!$A$2:$A$11,0))*INDEX(cc_input_bang_xuyen_giap!$B$2:$B$7,MIN(6,MAX(1,IF(INDEX(cc_input_vu_khi_suy_ra!$B$2:$B$11,MATCH($F$19,cc_input_vu_khi_suy_ra!$A$2:$A$11,0)),MAX(1,2-(INDEX(cc_input_vu_khi!$C$2:$C$11,MATCH($F$19,cc_input_vu_khi!$A$2:$A$11,0))-Thap!$K$28)),2-(INDEX(cc_input_vu_khi!$C$2:$C$11,MATCH($F$19,cc_input_vu_khi!$A$2:$A$11,0))-Thap!$K$28))+1)))*INDEX(cc_input_vu_khi_suy_ra!$D$2:$D$11,MATCH($F$19,cc_input_vu_khi_suy_ra!$A$2:$A$11,0))&gt;0,CEILING(Thap!$J$28/(INDEX(cc_input_vu_khi!$B$2:$B$11,MATCH($F$19,cc_input_vu_khi!$A$2:$A$11,0))*INDEX(cc_input_bang_xuyen_giap!$B$2:$B$7,MIN(6,MAX(1,IF(INDEX(cc_input_vu_khi_suy_ra!$B$2:$B$11,MATCH($F$19,cc_input_vu_khi_suy_ra!$A$2:$A$11,0)),MAX(1,2-(INDEX(cc_input_vu_khi!$C$2:$C$11,MATCH($F$19,cc_input_vu_khi!$A$2:$A$11,0))-Thap!$K$28)),2-(INDEX(cc_input_vu_khi!$C$2:$C$11,MATCH($F$19,cc_input_vu_khi!$A$2:$A$11,0))-Thap!$K$28))+1)))*INDEX(cc_input_vu_khi_suy_ra!$D$2:$D$11,MATCH($F$19,cc_input_vu_khi_suy_ra!$A$2:$A$11,0))),1),""))</f>
        <v/>
      </c>
      <c r="H19" t="inlineStr">
        <is>
          <t>recoilless_106</t>
        </is>
      </c>
      <c r="I19">
        <f>IF($H$19="","",IF(INDEX(cc_input_vu_khi!$B$2:$B$11,MATCH($H$19,cc_input_vu_khi!$A$2:$A$11,0))*INDEX(cc_input_bang_xuyen_giap!$B$2:$B$7,MIN(6,MAX(1,IF(INDEX(cc_input_vu_khi_suy_ra!$B$2:$B$11,MATCH($H$19,cc_input_vu_khi_suy_ra!$A$2:$A$11,0)),MAX(1,2-(INDEX(cc_input_vu_khi!$C$2:$C$11,MATCH($H$19,cc_input_vu_khi!$A$2:$A$11,0))-Thap!$K$28)),2-(INDEX(cc_input_vu_khi!$C$2:$C$11,MATCH($H$19,cc_input_vu_khi!$A$2:$A$11,0))-Thap!$K$28))+1)))*INDEX(cc_input_vu_khi_suy_ra!$D$2:$D$11,MATCH($H$19,cc_input_vu_khi_suy_ra!$A$2:$A$11,0))&gt;0,CEILING(Thap!$J$28/(INDEX(cc_input_vu_khi!$B$2:$B$11,MATCH($H$19,cc_input_vu_khi!$A$2:$A$11,0))*INDEX(cc_input_bang_xuyen_giap!$B$2:$B$7,MIN(6,MAX(1,IF(INDEX(cc_input_vu_khi_suy_ra!$B$2:$B$11,MATCH($H$19,cc_input_vu_khi_suy_ra!$A$2:$A$11,0)),MAX(1,2-(INDEX(cc_input_vu_khi!$C$2:$C$11,MATCH($H$19,cc_input_vu_khi!$A$2:$A$11,0))-Thap!$K$28)),2-(INDEX(cc_input_vu_khi!$C$2:$C$11,MATCH($H$19,cc_input_vu_khi!$A$2:$A$11,0))-Thap!$K$28))+1)))*INDEX(cc_input_vu_khi_suy_ra!$D$2:$D$11,MATCH($H$19,cc_input_vu_khi_suy_ra!$A$2:$A$11,0))),1),""))</f>
        <v/>
      </c>
      <c r="J19" t="inlineStr">
        <is>
          <t>technical_rockets</t>
        </is>
      </c>
      <c r="K19">
        <f>IF($J$19="","",IF(INDEX(cc_input_vu_khi!$B$2:$B$11,MATCH($J$19,cc_input_vu_khi!$A$2:$A$11,0))*INDEX(cc_input_bang_xuyen_giap!$B$2:$B$7,MIN(6,MAX(1,IF(INDEX(cc_input_vu_khi_suy_ra!$B$2:$B$11,MATCH($J$19,cc_input_vu_khi_suy_ra!$A$2:$A$11,0)),MAX(1,2-(INDEX(cc_input_vu_khi!$C$2:$C$11,MATCH($J$19,cc_input_vu_khi!$A$2:$A$11,0))-Thap!$K$28)),2-(INDEX(cc_input_vu_khi!$C$2:$C$11,MATCH($J$19,cc_input_vu_khi!$A$2:$A$11,0))-Thap!$K$28))+1)))*INDEX(cc_input_vu_khi_suy_ra!$D$2:$D$11,MATCH($J$19,cc_input_vu_khi_suy_ra!$A$2:$A$11,0))&gt;0,CEILING(Thap!$J$28/(INDEX(cc_input_vu_khi!$B$2:$B$11,MATCH($J$19,cc_input_vu_khi!$A$2:$A$11,0))*INDEX(cc_input_bang_xuyen_giap!$B$2:$B$7,MIN(6,MAX(1,IF(INDEX(cc_input_vu_khi_suy_ra!$B$2:$B$11,MATCH($J$19,cc_input_vu_khi_suy_ra!$A$2:$A$11,0)),MAX(1,2-(INDEX(cc_input_vu_khi!$C$2:$C$11,MATCH($J$19,cc_input_vu_khi!$A$2:$A$11,0))-Thap!$K$28)),2-(INDEX(cc_input_vu_khi!$C$2:$C$11,MATCH($J$19,cc_input_vu_khi!$A$2:$A$11,0))-Thap!$K$28))+1)))*INDEX(cc_input_vu_khi_suy_ra!$D$2:$D$11,MATCH($J$19,cc_input_vu_khi_suy_ra!$A$2:$A$11,0))),1),""))</f>
        <v/>
      </c>
      <c r="L19" t="inlineStr">
        <is>
          <t>Tools/balance/p32_tower_prices.py Model.price('guard_tower') + threats('Small')</t>
        </is>
      </c>
      <c r="M19" t="inlineStr"/>
    </row>
    <row r="20">
      <c r="A20" t="inlineStr">
        <is>
          <t>guard_tower.nest</t>
        </is>
      </c>
      <c r="B20">
        <f>Thap_gia_cong_thuc!$Q$20</f>
        <v/>
      </c>
      <c r="C20">
        <f>IF(ISNUMBER($B$20),$B$20/Thap!$BN$29,"")</f>
        <v/>
      </c>
      <c r="D20" t="inlineStr">
        <is>
          <t>ifv_30</t>
        </is>
      </c>
      <c r="E20">
        <f>IF($D$20="","",IF(INDEX(cc_input_vu_khi!$B$2:$B$11,MATCH($D$20,cc_input_vu_khi!$A$2:$A$11,0))*INDEX(cc_input_bang_xuyen_giap!$B$2:$B$7,MIN(6,MAX(1,IF(INDEX(cc_input_vu_khi_suy_ra!$B$2:$B$11,MATCH($D$20,cc_input_vu_khi_suy_ra!$A$2:$A$11,0)),MAX(1,2-(INDEX(cc_input_vu_khi!$C$2:$C$11,MATCH($D$20,cc_input_vu_khi!$A$2:$A$11,0))-Thap!$K$29)),2-(INDEX(cc_input_vu_khi!$C$2:$C$11,MATCH($D$20,cc_input_vu_khi!$A$2:$A$11,0))-Thap!$K$29))+1)))*INDEX(cc_input_vu_khi_suy_ra!$D$2:$D$11,MATCH($D$20,cc_input_vu_khi_suy_ra!$A$2:$A$11,0))&gt;0,CEILING(Thap!$J$29/(INDEX(cc_input_vu_khi!$B$2:$B$11,MATCH($D$20,cc_input_vu_khi!$A$2:$A$11,0))*INDEX(cc_input_bang_xuyen_giap!$B$2:$B$7,MIN(6,MAX(1,IF(INDEX(cc_input_vu_khi_suy_ra!$B$2:$B$11,MATCH($D$20,cc_input_vu_khi_suy_ra!$A$2:$A$11,0)),MAX(1,2-(INDEX(cc_input_vu_khi!$C$2:$C$11,MATCH($D$20,cc_input_vu_khi!$A$2:$A$11,0))-Thap!$K$29)),2-(INDEX(cc_input_vu_khi!$C$2:$C$11,MATCH($D$20,cc_input_vu_khi!$A$2:$A$11,0))-Thap!$K$29))+1)))*INDEX(cc_input_vu_khi_suy_ra!$D$2:$D$11,MATCH($D$20,cc_input_vu_khi_suy_ra!$A$2:$A$11,0))),1),""))</f>
        <v/>
      </c>
      <c r="F20" t="inlineStr">
        <is>
          <t>gun_120mm_he</t>
        </is>
      </c>
      <c r="G20">
        <f>IF($F$20="","",IF(INDEX(cc_input_vu_khi!$B$2:$B$11,MATCH($F$20,cc_input_vu_khi!$A$2:$A$11,0))*INDEX(cc_input_bang_xuyen_giap!$B$2:$B$7,MIN(6,MAX(1,IF(INDEX(cc_input_vu_khi_suy_ra!$B$2:$B$11,MATCH($F$20,cc_input_vu_khi_suy_ra!$A$2:$A$11,0)),MAX(1,2-(INDEX(cc_input_vu_khi!$C$2:$C$11,MATCH($F$20,cc_input_vu_khi!$A$2:$A$11,0))-Thap!$K$29)),2-(INDEX(cc_input_vu_khi!$C$2:$C$11,MATCH($F$20,cc_input_vu_khi!$A$2:$A$11,0))-Thap!$K$29))+1)))*INDEX(cc_input_vu_khi_suy_ra!$D$2:$D$11,MATCH($F$20,cc_input_vu_khi_suy_ra!$A$2:$A$11,0))&gt;0,CEILING(Thap!$J$29/(INDEX(cc_input_vu_khi!$B$2:$B$11,MATCH($F$20,cc_input_vu_khi!$A$2:$A$11,0))*INDEX(cc_input_bang_xuyen_giap!$B$2:$B$7,MIN(6,MAX(1,IF(INDEX(cc_input_vu_khi_suy_ra!$B$2:$B$11,MATCH($F$20,cc_input_vu_khi_suy_ra!$A$2:$A$11,0)),MAX(1,2-(INDEX(cc_input_vu_khi!$C$2:$C$11,MATCH($F$20,cc_input_vu_khi!$A$2:$A$11,0))-Thap!$K$29)),2-(INDEX(cc_input_vu_khi!$C$2:$C$11,MATCH($F$20,cc_input_vu_khi!$A$2:$A$11,0))-Thap!$K$29))+1)))*INDEX(cc_input_vu_khi_suy_ra!$D$2:$D$11,MATCH($F$20,cc_input_vu_khi_suy_ra!$A$2:$A$11,0))),1),""))</f>
        <v/>
      </c>
      <c r="H20" t="inlineStr">
        <is>
          <t>recoilless_106</t>
        </is>
      </c>
      <c r="I20">
        <f>IF($H$20="","",IF(INDEX(cc_input_vu_khi!$B$2:$B$11,MATCH($H$20,cc_input_vu_khi!$A$2:$A$11,0))*INDEX(cc_input_bang_xuyen_giap!$B$2:$B$7,MIN(6,MAX(1,IF(INDEX(cc_input_vu_khi_suy_ra!$B$2:$B$11,MATCH($H$20,cc_input_vu_khi_suy_ra!$A$2:$A$11,0)),MAX(1,2-(INDEX(cc_input_vu_khi!$C$2:$C$11,MATCH($H$20,cc_input_vu_khi!$A$2:$A$11,0))-Thap!$K$29)),2-(INDEX(cc_input_vu_khi!$C$2:$C$11,MATCH($H$20,cc_input_vu_khi!$A$2:$A$11,0))-Thap!$K$29))+1)))*INDEX(cc_input_vu_khi_suy_ra!$D$2:$D$11,MATCH($H$20,cc_input_vu_khi_suy_ra!$A$2:$A$11,0))&gt;0,CEILING(Thap!$J$29/(INDEX(cc_input_vu_khi!$B$2:$B$11,MATCH($H$20,cc_input_vu_khi!$A$2:$A$11,0))*INDEX(cc_input_bang_xuyen_giap!$B$2:$B$7,MIN(6,MAX(1,IF(INDEX(cc_input_vu_khi_suy_ra!$B$2:$B$11,MATCH($H$20,cc_input_vu_khi_suy_ra!$A$2:$A$11,0)),MAX(1,2-(INDEX(cc_input_vu_khi!$C$2:$C$11,MATCH($H$20,cc_input_vu_khi!$A$2:$A$11,0))-Thap!$K$29)),2-(INDEX(cc_input_vu_khi!$C$2:$C$11,MATCH($H$20,cc_input_vu_khi!$A$2:$A$11,0))-Thap!$K$29))+1)))*INDEX(cc_input_vu_khi_suy_ra!$D$2:$D$11,MATCH($H$20,cc_input_vu_khi_suy_ra!$A$2:$A$11,0))),1),""))</f>
        <v/>
      </c>
      <c r="J20" t="inlineStr">
        <is>
          <t>technical_rockets</t>
        </is>
      </c>
      <c r="K20">
        <f>IF($J$20="","",IF(INDEX(cc_input_vu_khi!$B$2:$B$11,MATCH($J$20,cc_input_vu_khi!$A$2:$A$11,0))*INDEX(cc_input_bang_xuyen_giap!$B$2:$B$7,MIN(6,MAX(1,IF(INDEX(cc_input_vu_khi_suy_ra!$B$2:$B$11,MATCH($J$20,cc_input_vu_khi_suy_ra!$A$2:$A$11,0)),MAX(1,2-(INDEX(cc_input_vu_khi!$C$2:$C$11,MATCH($J$20,cc_input_vu_khi!$A$2:$A$11,0))-Thap!$K$29)),2-(INDEX(cc_input_vu_khi!$C$2:$C$11,MATCH($J$20,cc_input_vu_khi!$A$2:$A$11,0))-Thap!$K$29))+1)))*INDEX(cc_input_vu_khi_suy_ra!$D$2:$D$11,MATCH($J$20,cc_input_vu_khi_suy_ra!$A$2:$A$11,0))&gt;0,CEILING(Thap!$J$29/(INDEX(cc_input_vu_khi!$B$2:$B$11,MATCH($J$20,cc_input_vu_khi!$A$2:$A$11,0))*INDEX(cc_input_bang_xuyen_giap!$B$2:$B$7,MIN(6,MAX(1,IF(INDEX(cc_input_vu_khi_suy_ra!$B$2:$B$11,MATCH($J$20,cc_input_vu_khi_suy_ra!$A$2:$A$11,0)),MAX(1,2-(INDEX(cc_input_vu_khi!$C$2:$C$11,MATCH($J$20,cc_input_vu_khi!$A$2:$A$11,0))-Thap!$K$29)),2-(INDEX(cc_input_vu_khi!$C$2:$C$11,MATCH($J$20,cc_input_vu_khi!$A$2:$A$11,0))-Thap!$K$29))+1)))*INDEX(cc_input_vu_khi_suy_ra!$D$2:$D$11,MATCH($J$20,cc_input_vu_khi_suy_ra!$A$2:$A$11,0))),1),""))</f>
        <v/>
      </c>
      <c r="L20" t="inlineStr">
        <is>
          <t>Tools/balance/p32_tower_prices.py Model.price('guard_tower.nest') + threats('Small')</t>
        </is>
      </c>
      <c r="M20" t="inlineStr"/>
    </row>
    <row r="21">
      <c r="A21" t="inlineStr">
        <is>
          <t>guard_tower.watch</t>
        </is>
      </c>
      <c r="B21">
        <f>Thap_gia_cong_thuc!$Q$21</f>
        <v/>
      </c>
      <c r="C21">
        <f>IF(ISNUMBER($B$21),$B$21/Thap!$BN$30,"")</f>
        <v/>
      </c>
      <c r="D21" t="inlineStr">
        <is>
          <t>ifv_30</t>
        </is>
      </c>
      <c r="E21">
        <f>IF($D$21="","",IF(INDEX(cc_input_vu_khi!$B$2:$B$11,MATCH($D$21,cc_input_vu_khi!$A$2:$A$11,0))*INDEX(cc_input_bang_xuyen_giap!$B$2:$B$7,MIN(6,MAX(1,IF(INDEX(cc_input_vu_khi_suy_ra!$B$2:$B$11,MATCH($D$21,cc_input_vu_khi_suy_ra!$A$2:$A$11,0)),MAX(1,2-(INDEX(cc_input_vu_khi!$C$2:$C$11,MATCH($D$21,cc_input_vu_khi!$A$2:$A$11,0))-Thap!$K$30)),2-(INDEX(cc_input_vu_khi!$C$2:$C$11,MATCH($D$21,cc_input_vu_khi!$A$2:$A$11,0))-Thap!$K$30))+1)))*INDEX(cc_input_vu_khi_suy_ra!$D$2:$D$11,MATCH($D$21,cc_input_vu_khi_suy_ra!$A$2:$A$11,0))&gt;0,CEILING(Thap!$J$30/(INDEX(cc_input_vu_khi!$B$2:$B$11,MATCH($D$21,cc_input_vu_khi!$A$2:$A$11,0))*INDEX(cc_input_bang_xuyen_giap!$B$2:$B$7,MIN(6,MAX(1,IF(INDEX(cc_input_vu_khi_suy_ra!$B$2:$B$11,MATCH($D$21,cc_input_vu_khi_suy_ra!$A$2:$A$11,0)),MAX(1,2-(INDEX(cc_input_vu_khi!$C$2:$C$11,MATCH($D$21,cc_input_vu_khi!$A$2:$A$11,0))-Thap!$K$30)),2-(INDEX(cc_input_vu_khi!$C$2:$C$11,MATCH($D$21,cc_input_vu_khi!$A$2:$A$11,0))-Thap!$K$30))+1)))*INDEX(cc_input_vu_khi_suy_ra!$D$2:$D$11,MATCH($D$21,cc_input_vu_khi_suy_ra!$A$2:$A$11,0))),1),""))</f>
        <v/>
      </c>
      <c r="F21" t="inlineStr">
        <is>
          <t>gun_120mm_he</t>
        </is>
      </c>
      <c r="G21">
        <f>IF($F$21="","",IF(INDEX(cc_input_vu_khi!$B$2:$B$11,MATCH($F$21,cc_input_vu_khi!$A$2:$A$11,0))*INDEX(cc_input_bang_xuyen_giap!$B$2:$B$7,MIN(6,MAX(1,IF(INDEX(cc_input_vu_khi_suy_ra!$B$2:$B$11,MATCH($F$21,cc_input_vu_khi_suy_ra!$A$2:$A$11,0)),MAX(1,2-(INDEX(cc_input_vu_khi!$C$2:$C$11,MATCH($F$21,cc_input_vu_khi!$A$2:$A$11,0))-Thap!$K$30)),2-(INDEX(cc_input_vu_khi!$C$2:$C$11,MATCH($F$21,cc_input_vu_khi!$A$2:$A$11,0))-Thap!$K$30))+1)))*INDEX(cc_input_vu_khi_suy_ra!$D$2:$D$11,MATCH($F$21,cc_input_vu_khi_suy_ra!$A$2:$A$11,0))&gt;0,CEILING(Thap!$J$30/(INDEX(cc_input_vu_khi!$B$2:$B$11,MATCH($F$21,cc_input_vu_khi!$A$2:$A$11,0))*INDEX(cc_input_bang_xuyen_giap!$B$2:$B$7,MIN(6,MAX(1,IF(INDEX(cc_input_vu_khi_suy_ra!$B$2:$B$11,MATCH($F$21,cc_input_vu_khi_suy_ra!$A$2:$A$11,0)),MAX(1,2-(INDEX(cc_input_vu_khi!$C$2:$C$11,MATCH($F$21,cc_input_vu_khi!$A$2:$A$11,0))-Thap!$K$30)),2-(INDEX(cc_input_vu_khi!$C$2:$C$11,MATCH($F$21,cc_input_vu_khi!$A$2:$A$11,0))-Thap!$K$30))+1)))*INDEX(cc_input_vu_khi_suy_ra!$D$2:$D$11,MATCH($F$21,cc_input_vu_khi_suy_ra!$A$2:$A$11,0))),1),""))</f>
        <v/>
      </c>
      <c r="H21" t="inlineStr">
        <is>
          <t>recoilless_106</t>
        </is>
      </c>
      <c r="I21">
        <f>IF($H$21="","",IF(INDEX(cc_input_vu_khi!$B$2:$B$11,MATCH($H$21,cc_input_vu_khi!$A$2:$A$11,0))*INDEX(cc_input_bang_xuyen_giap!$B$2:$B$7,MIN(6,MAX(1,IF(INDEX(cc_input_vu_khi_suy_ra!$B$2:$B$11,MATCH($H$21,cc_input_vu_khi_suy_ra!$A$2:$A$11,0)),MAX(1,2-(INDEX(cc_input_vu_khi!$C$2:$C$11,MATCH($H$21,cc_input_vu_khi!$A$2:$A$11,0))-Thap!$K$30)),2-(INDEX(cc_input_vu_khi!$C$2:$C$11,MATCH($H$21,cc_input_vu_khi!$A$2:$A$11,0))-Thap!$K$30))+1)))*INDEX(cc_input_vu_khi_suy_ra!$D$2:$D$11,MATCH($H$21,cc_input_vu_khi_suy_ra!$A$2:$A$11,0))&gt;0,CEILING(Thap!$J$30/(INDEX(cc_input_vu_khi!$B$2:$B$11,MATCH($H$21,cc_input_vu_khi!$A$2:$A$11,0))*INDEX(cc_input_bang_xuyen_giap!$B$2:$B$7,MIN(6,MAX(1,IF(INDEX(cc_input_vu_khi_suy_ra!$B$2:$B$11,MATCH($H$21,cc_input_vu_khi_suy_ra!$A$2:$A$11,0)),MAX(1,2-(INDEX(cc_input_vu_khi!$C$2:$C$11,MATCH($H$21,cc_input_vu_khi!$A$2:$A$11,0))-Thap!$K$30)),2-(INDEX(cc_input_vu_khi!$C$2:$C$11,MATCH($H$21,cc_input_vu_khi!$A$2:$A$11,0))-Thap!$K$30))+1)))*INDEX(cc_input_vu_khi_suy_ra!$D$2:$D$11,MATCH($H$21,cc_input_vu_khi_suy_ra!$A$2:$A$11,0))),1),""))</f>
        <v/>
      </c>
      <c r="J21" t="inlineStr">
        <is>
          <t>technical_rockets</t>
        </is>
      </c>
      <c r="K21">
        <f>IF($J$21="","",IF(INDEX(cc_input_vu_khi!$B$2:$B$11,MATCH($J$21,cc_input_vu_khi!$A$2:$A$11,0))*INDEX(cc_input_bang_xuyen_giap!$B$2:$B$7,MIN(6,MAX(1,IF(INDEX(cc_input_vu_khi_suy_ra!$B$2:$B$11,MATCH($J$21,cc_input_vu_khi_suy_ra!$A$2:$A$11,0)),MAX(1,2-(INDEX(cc_input_vu_khi!$C$2:$C$11,MATCH($J$21,cc_input_vu_khi!$A$2:$A$11,0))-Thap!$K$30)),2-(INDEX(cc_input_vu_khi!$C$2:$C$11,MATCH($J$21,cc_input_vu_khi!$A$2:$A$11,0))-Thap!$K$30))+1)))*INDEX(cc_input_vu_khi_suy_ra!$D$2:$D$11,MATCH($J$21,cc_input_vu_khi_suy_ra!$A$2:$A$11,0))&gt;0,CEILING(Thap!$J$30/(INDEX(cc_input_vu_khi!$B$2:$B$11,MATCH($J$21,cc_input_vu_khi!$A$2:$A$11,0))*INDEX(cc_input_bang_xuyen_giap!$B$2:$B$7,MIN(6,MAX(1,IF(INDEX(cc_input_vu_khi_suy_ra!$B$2:$B$11,MATCH($J$21,cc_input_vu_khi_suy_ra!$A$2:$A$11,0)),MAX(1,2-(INDEX(cc_input_vu_khi!$C$2:$C$11,MATCH($J$21,cc_input_vu_khi!$A$2:$A$11,0))-Thap!$K$30)),2-(INDEX(cc_input_vu_khi!$C$2:$C$11,MATCH($J$21,cc_input_vu_khi!$A$2:$A$11,0))-Thap!$K$30))+1)))*INDEX(cc_input_vu_khi_suy_ra!$D$2:$D$11,MATCH($J$21,cc_input_vu_khi_suy_ra!$A$2:$A$11,0))),1),""))</f>
        <v/>
      </c>
      <c r="L21" t="inlineStr">
        <is>
          <t>Tools/balance/p32_tower_prices.py Model.price('guard_tower.watch') + threats('Small')</t>
        </is>
      </c>
      <c r="M21" t="inlineStr"/>
    </row>
    <row r="22">
      <c r="A22" t="inlineStr">
        <is>
          <t>gun_turret</t>
        </is>
      </c>
      <c r="B22">
        <f>Thap_gia_cong_thuc!$Q$22</f>
        <v/>
      </c>
      <c r="C22">
        <f>IF(ISNUMBER($B$22),$B$22/Thap!$BN$31,"")</f>
        <v/>
      </c>
      <c r="D22" t="inlineStr">
        <is>
          <t>gun_105_wheeled</t>
        </is>
      </c>
      <c r="E22">
        <f>IF($D$22="","",IF(INDEX(cc_input_vu_khi!$B$2:$B$11,MATCH($D$22,cc_input_vu_khi!$A$2:$A$11,0))*INDEX(cc_input_bang_xuyen_giap!$B$2:$B$7,MIN(6,MAX(1,IF(INDEX(cc_input_vu_khi_suy_ra!$B$2:$B$11,MATCH($D$22,cc_input_vu_khi_suy_ra!$A$2:$A$11,0)),MAX(1,2-(INDEX(cc_input_vu_khi!$C$2:$C$11,MATCH($D$22,cc_input_vu_khi!$A$2:$A$11,0))-Thap!$K$31)),2-(INDEX(cc_input_vu_khi!$C$2:$C$11,MATCH($D$22,cc_input_vu_khi!$A$2:$A$11,0))-Thap!$K$31))+1)))*INDEX(cc_input_vu_khi_suy_ra!$D$2:$D$11,MATCH($D$22,cc_input_vu_khi_suy_ra!$A$2:$A$11,0))&gt;0,CEILING(Thap!$J$31/(INDEX(cc_input_vu_khi!$B$2:$B$11,MATCH($D$22,cc_input_vu_khi!$A$2:$A$11,0))*INDEX(cc_input_bang_xuyen_giap!$B$2:$B$7,MIN(6,MAX(1,IF(INDEX(cc_input_vu_khi_suy_ra!$B$2:$B$11,MATCH($D$22,cc_input_vu_khi_suy_ra!$A$2:$A$11,0)),MAX(1,2-(INDEX(cc_input_vu_khi!$C$2:$C$11,MATCH($D$22,cc_input_vu_khi!$A$2:$A$11,0))-Thap!$K$31)),2-(INDEX(cc_input_vu_khi!$C$2:$C$11,MATCH($D$22,cc_input_vu_khi!$A$2:$A$11,0))-Thap!$K$31))+1)))*INDEX(cc_input_vu_khi_suy_ra!$D$2:$D$11,MATCH($D$22,cc_input_vu_khi_suy_ra!$A$2:$A$11,0))),1),""))</f>
        <v/>
      </c>
      <c r="F22" t="inlineStr">
        <is>
          <t>gun_105_wheeled_he</t>
        </is>
      </c>
      <c r="G22">
        <f>IF($F$22="","",IF(INDEX(cc_input_vu_khi!$B$2:$B$11,MATCH($F$22,cc_input_vu_khi!$A$2:$A$11,0))*INDEX(cc_input_bang_xuyen_giap!$B$2:$B$7,MIN(6,MAX(1,IF(INDEX(cc_input_vu_khi_suy_ra!$B$2:$B$11,MATCH($F$22,cc_input_vu_khi_suy_ra!$A$2:$A$11,0)),MAX(1,2-(INDEX(cc_input_vu_khi!$C$2:$C$11,MATCH($F$22,cc_input_vu_khi!$A$2:$A$11,0))-Thap!$K$31)),2-(INDEX(cc_input_vu_khi!$C$2:$C$11,MATCH($F$22,cc_input_vu_khi!$A$2:$A$11,0))-Thap!$K$31))+1)))*INDEX(cc_input_vu_khi_suy_ra!$D$2:$D$11,MATCH($F$22,cc_input_vu_khi_suy_ra!$A$2:$A$11,0))&gt;0,CEILING(Thap!$J$31/(INDEX(cc_input_vu_khi!$B$2:$B$11,MATCH($F$22,cc_input_vu_khi!$A$2:$A$11,0))*INDEX(cc_input_bang_xuyen_giap!$B$2:$B$7,MIN(6,MAX(1,IF(INDEX(cc_input_vu_khi_suy_ra!$B$2:$B$11,MATCH($F$22,cc_input_vu_khi_suy_ra!$A$2:$A$11,0)),MAX(1,2-(INDEX(cc_input_vu_khi!$C$2:$C$11,MATCH($F$22,cc_input_vu_khi!$A$2:$A$11,0))-Thap!$K$31)),2-(INDEX(cc_input_vu_khi!$C$2:$C$11,MATCH($F$22,cc_input_vu_khi!$A$2:$A$11,0))-Thap!$K$31))+1)))*INDEX(cc_input_vu_khi_suy_ra!$D$2:$D$11,MATCH($F$22,cc_input_vu_khi_suy_ra!$A$2:$A$11,0))),1),""))</f>
        <v/>
      </c>
      <c r="H22" t="inlineStr"/>
      <c r="I22">
        <f>IF($H$22="","",IF(INDEX(cc_input_vu_khi!$B$2:$B$11,MATCH($H$22,cc_input_vu_khi!$A$2:$A$11,0))*INDEX(cc_input_bang_xuyen_giap!$B$2:$B$7,MIN(6,MAX(1,IF(INDEX(cc_input_vu_khi_suy_ra!$B$2:$B$11,MATCH($H$22,cc_input_vu_khi_suy_ra!$A$2:$A$11,0)),MAX(1,2-(INDEX(cc_input_vu_khi!$C$2:$C$11,MATCH($H$22,cc_input_vu_khi!$A$2:$A$11,0))-Thap!$K$31)),2-(INDEX(cc_input_vu_khi!$C$2:$C$11,MATCH($H$22,cc_input_vu_khi!$A$2:$A$11,0))-Thap!$K$31))+1)))*INDEX(cc_input_vu_khi_suy_ra!$D$2:$D$11,MATCH($H$22,cc_input_vu_khi_suy_ra!$A$2:$A$11,0))&gt;0,CEILING(Thap!$J$31/(INDEX(cc_input_vu_khi!$B$2:$B$11,MATCH($H$22,cc_input_vu_khi!$A$2:$A$11,0))*INDEX(cc_input_bang_xuyen_giap!$B$2:$B$7,MIN(6,MAX(1,IF(INDEX(cc_input_vu_khi_suy_ra!$B$2:$B$11,MATCH($H$22,cc_input_vu_khi_suy_ra!$A$2:$A$11,0)),MAX(1,2-(INDEX(cc_input_vu_khi!$C$2:$C$11,MATCH($H$22,cc_input_vu_khi!$A$2:$A$11,0))-Thap!$K$31)),2-(INDEX(cc_input_vu_khi!$C$2:$C$11,MATCH($H$22,cc_input_vu_khi!$A$2:$A$11,0))-Thap!$K$31))+1)))*INDEX(cc_input_vu_khi_suy_ra!$D$2:$D$11,MATCH($H$22,cc_input_vu_khi_suy_ra!$A$2:$A$11,0))),1),""))</f>
        <v/>
      </c>
      <c r="J22" t="inlineStr">
        <is>
          <t>mlrs_rockets</t>
        </is>
      </c>
      <c r="K22">
        <f>IF($J$22="","",IF(INDEX(cc_input_vu_khi!$B$2:$B$11,MATCH($J$22,cc_input_vu_khi!$A$2:$A$11,0))*INDEX(cc_input_bang_xuyen_giap!$B$2:$B$7,MIN(6,MAX(1,IF(INDEX(cc_input_vu_khi_suy_ra!$B$2:$B$11,MATCH($J$22,cc_input_vu_khi_suy_ra!$A$2:$A$11,0)),MAX(1,2-(INDEX(cc_input_vu_khi!$C$2:$C$11,MATCH($J$22,cc_input_vu_khi!$A$2:$A$11,0))-Thap!$K$31)),2-(INDEX(cc_input_vu_khi!$C$2:$C$11,MATCH($J$22,cc_input_vu_khi!$A$2:$A$11,0))-Thap!$K$31))+1)))*INDEX(cc_input_vu_khi_suy_ra!$D$2:$D$11,MATCH($J$22,cc_input_vu_khi_suy_ra!$A$2:$A$11,0))&gt;0,CEILING(Thap!$J$31/(INDEX(cc_input_vu_khi!$B$2:$B$11,MATCH($J$22,cc_input_vu_khi!$A$2:$A$11,0))*INDEX(cc_input_bang_xuyen_giap!$B$2:$B$7,MIN(6,MAX(1,IF(INDEX(cc_input_vu_khi_suy_ra!$B$2:$B$11,MATCH($J$22,cc_input_vu_khi_suy_ra!$A$2:$A$11,0)),MAX(1,2-(INDEX(cc_input_vu_khi!$C$2:$C$11,MATCH($J$22,cc_input_vu_khi!$A$2:$A$11,0))-Thap!$K$31)),2-(INDEX(cc_input_vu_khi!$C$2:$C$11,MATCH($J$22,cc_input_vu_khi!$A$2:$A$11,0))-Thap!$K$31))+1)))*INDEX(cc_input_vu_khi_suy_ra!$D$2:$D$11,MATCH($J$22,cc_input_vu_khi_suy_ra!$A$2:$A$11,0))),1),""))</f>
        <v/>
      </c>
      <c r="L22" t="inlineStr">
        <is>
          <t>Tools/balance/p32_tower_prices.py Model.price('gun_turret') + threats('Medium')</t>
        </is>
      </c>
      <c r="M22" t="inlineStr"/>
    </row>
    <row r="23">
      <c r="A23" t="inlineStr">
        <is>
          <t>gun_turret.auto</t>
        </is>
      </c>
      <c r="B23">
        <f>Thap_gia_cong_thuc!$Q$23</f>
        <v/>
      </c>
      <c r="C23">
        <f>IF(ISNUMBER($B$23),$B$23/Thap!$BN$32,"")</f>
        <v/>
      </c>
      <c r="D23" t="inlineStr">
        <is>
          <t>gun_105_wheeled</t>
        </is>
      </c>
      <c r="E23">
        <f>IF($D$23="","",IF(INDEX(cc_input_vu_khi!$B$2:$B$11,MATCH($D$23,cc_input_vu_khi!$A$2:$A$11,0))*INDEX(cc_input_bang_xuyen_giap!$B$2:$B$7,MIN(6,MAX(1,IF(INDEX(cc_input_vu_khi_suy_ra!$B$2:$B$11,MATCH($D$23,cc_input_vu_khi_suy_ra!$A$2:$A$11,0)),MAX(1,2-(INDEX(cc_input_vu_khi!$C$2:$C$11,MATCH($D$23,cc_input_vu_khi!$A$2:$A$11,0))-Thap!$K$32)),2-(INDEX(cc_input_vu_khi!$C$2:$C$11,MATCH($D$23,cc_input_vu_khi!$A$2:$A$11,0))-Thap!$K$32))+1)))*INDEX(cc_input_vu_khi_suy_ra!$D$2:$D$11,MATCH($D$23,cc_input_vu_khi_suy_ra!$A$2:$A$11,0))&gt;0,CEILING(Thap!$J$32/(INDEX(cc_input_vu_khi!$B$2:$B$11,MATCH($D$23,cc_input_vu_khi!$A$2:$A$11,0))*INDEX(cc_input_bang_xuyen_giap!$B$2:$B$7,MIN(6,MAX(1,IF(INDEX(cc_input_vu_khi_suy_ra!$B$2:$B$11,MATCH($D$23,cc_input_vu_khi_suy_ra!$A$2:$A$11,0)),MAX(1,2-(INDEX(cc_input_vu_khi!$C$2:$C$11,MATCH($D$23,cc_input_vu_khi!$A$2:$A$11,0))-Thap!$K$32)),2-(INDEX(cc_input_vu_khi!$C$2:$C$11,MATCH($D$23,cc_input_vu_khi!$A$2:$A$11,0))-Thap!$K$32))+1)))*INDEX(cc_input_vu_khi_suy_ra!$D$2:$D$11,MATCH($D$23,cc_input_vu_khi_suy_ra!$A$2:$A$11,0))),1),""))</f>
        <v/>
      </c>
      <c r="F23" t="inlineStr">
        <is>
          <t>gun_105_wheeled_he</t>
        </is>
      </c>
      <c r="G23">
        <f>IF($F$23="","",IF(INDEX(cc_input_vu_khi!$B$2:$B$11,MATCH($F$23,cc_input_vu_khi!$A$2:$A$11,0))*INDEX(cc_input_bang_xuyen_giap!$B$2:$B$7,MIN(6,MAX(1,IF(INDEX(cc_input_vu_khi_suy_ra!$B$2:$B$11,MATCH($F$23,cc_input_vu_khi_suy_ra!$A$2:$A$11,0)),MAX(1,2-(INDEX(cc_input_vu_khi!$C$2:$C$11,MATCH($F$23,cc_input_vu_khi!$A$2:$A$11,0))-Thap!$K$32)),2-(INDEX(cc_input_vu_khi!$C$2:$C$11,MATCH($F$23,cc_input_vu_khi!$A$2:$A$11,0))-Thap!$K$32))+1)))*INDEX(cc_input_vu_khi_suy_ra!$D$2:$D$11,MATCH($F$23,cc_input_vu_khi_suy_ra!$A$2:$A$11,0))&gt;0,CEILING(Thap!$J$32/(INDEX(cc_input_vu_khi!$B$2:$B$11,MATCH($F$23,cc_input_vu_khi!$A$2:$A$11,0))*INDEX(cc_input_bang_xuyen_giap!$B$2:$B$7,MIN(6,MAX(1,IF(INDEX(cc_input_vu_khi_suy_ra!$B$2:$B$11,MATCH($F$23,cc_input_vu_khi_suy_ra!$A$2:$A$11,0)),MAX(1,2-(INDEX(cc_input_vu_khi!$C$2:$C$11,MATCH($F$23,cc_input_vu_khi!$A$2:$A$11,0))-Thap!$K$32)),2-(INDEX(cc_input_vu_khi!$C$2:$C$11,MATCH($F$23,cc_input_vu_khi!$A$2:$A$11,0))-Thap!$K$32))+1)))*INDEX(cc_input_vu_khi_suy_ra!$D$2:$D$11,MATCH($F$23,cc_input_vu_khi_suy_ra!$A$2:$A$11,0))),1),""))</f>
        <v/>
      </c>
      <c r="H23" t="inlineStr"/>
      <c r="I23">
        <f>IF($H$23="","",IF(INDEX(cc_input_vu_khi!$B$2:$B$11,MATCH($H$23,cc_input_vu_khi!$A$2:$A$11,0))*INDEX(cc_input_bang_xuyen_giap!$B$2:$B$7,MIN(6,MAX(1,IF(INDEX(cc_input_vu_khi_suy_ra!$B$2:$B$11,MATCH($H$23,cc_input_vu_khi_suy_ra!$A$2:$A$11,0)),MAX(1,2-(INDEX(cc_input_vu_khi!$C$2:$C$11,MATCH($H$23,cc_input_vu_khi!$A$2:$A$11,0))-Thap!$K$32)),2-(INDEX(cc_input_vu_khi!$C$2:$C$11,MATCH($H$23,cc_input_vu_khi!$A$2:$A$11,0))-Thap!$K$32))+1)))*INDEX(cc_input_vu_khi_suy_ra!$D$2:$D$11,MATCH($H$23,cc_input_vu_khi_suy_ra!$A$2:$A$11,0))&gt;0,CEILING(Thap!$J$32/(INDEX(cc_input_vu_khi!$B$2:$B$11,MATCH($H$23,cc_input_vu_khi!$A$2:$A$11,0))*INDEX(cc_input_bang_xuyen_giap!$B$2:$B$7,MIN(6,MAX(1,IF(INDEX(cc_input_vu_khi_suy_ra!$B$2:$B$11,MATCH($H$23,cc_input_vu_khi_suy_ra!$A$2:$A$11,0)),MAX(1,2-(INDEX(cc_input_vu_khi!$C$2:$C$11,MATCH($H$23,cc_input_vu_khi!$A$2:$A$11,0))-Thap!$K$32)),2-(INDEX(cc_input_vu_khi!$C$2:$C$11,MATCH($H$23,cc_input_vu_khi!$A$2:$A$11,0))-Thap!$K$32))+1)))*INDEX(cc_input_vu_khi_suy_ra!$D$2:$D$11,MATCH($H$23,cc_input_vu_khi_suy_ra!$A$2:$A$11,0))),1),""))</f>
        <v/>
      </c>
      <c r="J23" t="inlineStr">
        <is>
          <t>mlrs_rockets</t>
        </is>
      </c>
      <c r="K23">
        <f>IF($J$23="","",IF(INDEX(cc_input_vu_khi!$B$2:$B$11,MATCH($J$23,cc_input_vu_khi!$A$2:$A$11,0))*INDEX(cc_input_bang_xuyen_giap!$B$2:$B$7,MIN(6,MAX(1,IF(INDEX(cc_input_vu_khi_suy_ra!$B$2:$B$11,MATCH($J$23,cc_input_vu_khi_suy_ra!$A$2:$A$11,0)),MAX(1,2-(INDEX(cc_input_vu_khi!$C$2:$C$11,MATCH($J$23,cc_input_vu_khi!$A$2:$A$11,0))-Thap!$K$32)),2-(INDEX(cc_input_vu_khi!$C$2:$C$11,MATCH($J$23,cc_input_vu_khi!$A$2:$A$11,0))-Thap!$K$32))+1)))*INDEX(cc_input_vu_khi_suy_ra!$D$2:$D$11,MATCH($J$23,cc_input_vu_khi_suy_ra!$A$2:$A$11,0))&gt;0,CEILING(Thap!$J$32/(INDEX(cc_input_vu_khi!$B$2:$B$11,MATCH($J$23,cc_input_vu_khi!$A$2:$A$11,0))*INDEX(cc_input_bang_xuyen_giap!$B$2:$B$7,MIN(6,MAX(1,IF(INDEX(cc_input_vu_khi_suy_ra!$B$2:$B$11,MATCH($J$23,cc_input_vu_khi_suy_ra!$A$2:$A$11,0)),MAX(1,2-(INDEX(cc_input_vu_khi!$C$2:$C$11,MATCH($J$23,cc_input_vu_khi!$A$2:$A$11,0))-Thap!$K$32)),2-(INDEX(cc_input_vu_khi!$C$2:$C$11,MATCH($J$23,cc_input_vu_khi!$A$2:$A$11,0))-Thap!$K$32))+1)))*INDEX(cc_input_vu_khi_suy_ra!$D$2:$D$11,MATCH($J$23,cc_input_vu_khi_suy_ra!$A$2:$A$11,0))),1),""))</f>
        <v/>
      </c>
      <c r="L23" t="inlineStr">
        <is>
          <t>Tools/balance/p32_tower_prices.py Model.price('gun_turret.auto') + threats('Medium')</t>
        </is>
      </c>
      <c r="M23" t="inlineStr"/>
    </row>
    <row r="24">
      <c r="A24" t="inlineStr">
        <is>
          <t>gun_turret.long</t>
        </is>
      </c>
      <c r="B24">
        <f>Thap_gia_cong_thuc!$Q$24</f>
        <v/>
      </c>
      <c r="C24">
        <f>IF(ISNUMBER($B$24),$B$24/Thap!$BN$33,"")</f>
        <v/>
      </c>
      <c r="D24" t="inlineStr">
        <is>
          <t>gun_105_wheeled</t>
        </is>
      </c>
      <c r="E24">
        <f>IF($D$24="","",IF(INDEX(cc_input_vu_khi!$B$2:$B$11,MATCH($D$24,cc_input_vu_khi!$A$2:$A$11,0))*INDEX(cc_input_bang_xuyen_giap!$B$2:$B$7,MIN(6,MAX(1,IF(INDEX(cc_input_vu_khi_suy_ra!$B$2:$B$11,MATCH($D$24,cc_input_vu_khi_suy_ra!$A$2:$A$11,0)),MAX(1,2-(INDEX(cc_input_vu_khi!$C$2:$C$11,MATCH($D$24,cc_input_vu_khi!$A$2:$A$11,0))-Thap!$K$33)),2-(INDEX(cc_input_vu_khi!$C$2:$C$11,MATCH($D$24,cc_input_vu_khi!$A$2:$A$11,0))-Thap!$K$33))+1)))*INDEX(cc_input_vu_khi_suy_ra!$D$2:$D$11,MATCH($D$24,cc_input_vu_khi_suy_ra!$A$2:$A$11,0))&gt;0,CEILING(Thap!$J$33/(INDEX(cc_input_vu_khi!$B$2:$B$11,MATCH($D$24,cc_input_vu_khi!$A$2:$A$11,0))*INDEX(cc_input_bang_xuyen_giap!$B$2:$B$7,MIN(6,MAX(1,IF(INDEX(cc_input_vu_khi_suy_ra!$B$2:$B$11,MATCH($D$24,cc_input_vu_khi_suy_ra!$A$2:$A$11,0)),MAX(1,2-(INDEX(cc_input_vu_khi!$C$2:$C$11,MATCH($D$24,cc_input_vu_khi!$A$2:$A$11,0))-Thap!$K$33)),2-(INDEX(cc_input_vu_khi!$C$2:$C$11,MATCH($D$24,cc_input_vu_khi!$A$2:$A$11,0))-Thap!$K$33))+1)))*INDEX(cc_input_vu_khi_suy_ra!$D$2:$D$11,MATCH($D$24,cc_input_vu_khi_suy_ra!$A$2:$A$11,0))),1),""))</f>
        <v/>
      </c>
      <c r="F24" t="inlineStr">
        <is>
          <t>gun_105_wheeled_he</t>
        </is>
      </c>
      <c r="G24">
        <f>IF($F$24="","",IF(INDEX(cc_input_vu_khi!$B$2:$B$11,MATCH($F$24,cc_input_vu_khi!$A$2:$A$11,0))*INDEX(cc_input_bang_xuyen_giap!$B$2:$B$7,MIN(6,MAX(1,IF(INDEX(cc_input_vu_khi_suy_ra!$B$2:$B$11,MATCH($F$24,cc_input_vu_khi_suy_ra!$A$2:$A$11,0)),MAX(1,2-(INDEX(cc_input_vu_khi!$C$2:$C$11,MATCH($F$24,cc_input_vu_khi!$A$2:$A$11,0))-Thap!$K$33)),2-(INDEX(cc_input_vu_khi!$C$2:$C$11,MATCH($F$24,cc_input_vu_khi!$A$2:$A$11,0))-Thap!$K$33))+1)))*INDEX(cc_input_vu_khi_suy_ra!$D$2:$D$11,MATCH($F$24,cc_input_vu_khi_suy_ra!$A$2:$A$11,0))&gt;0,CEILING(Thap!$J$33/(INDEX(cc_input_vu_khi!$B$2:$B$11,MATCH($F$24,cc_input_vu_khi!$A$2:$A$11,0))*INDEX(cc_input_bang_xuyen_giap!$B$2:$B$7,MIN(6,MAX(1,IF(INDEX(cc_input_vu_khi_suy_ra!$B$2:$B$11,MATCH($F$24,cc_input_vu_khi_suy_ra!$A$2:$A$11,0)),MAX(1,2-(INDEX(cc_input_vu_khi!$C$2:$C$11,MATCH($F$24,cc_input_vu_khi!$A$2:$A$11,0))-Thap!$K$33)),2-(INDEX(cc_input_vu_khi!$C$2:$C$11,MATCH($F$24,cc_input_vu_khi!$A$2:$A$11,0))-Thap!$K$33))+1)))*INDEX(cc_input_vu_khi_suy_ra!$D$2:$D$11,MATCH($F$24,cc_input_vu_khi_suy_ra!$A$2:$A$11,0))),1),""))</f>
        <v/>
      </c>
      <c r="H24" t="inlineStr"/>
      <c r="I24">
        <f>IF($H$24="","",IF(INDEX(cc_input_vu_khi!$B$2:$B$11,MATCH($H$24,cc_input_vu_khi!$A$2:$A$11,0))*INDEX(cc_input_bang_xuyen_giap!$B$2:$B$7,MIN(6,MAX(1,IF(INDEX(cc_input_vu_khi_suy_ra!$B$2:$B$11,MATCH($H$24,cc_input_vu_khi_suy_ra!$A$2:$A$11,0)),MAX(1,2-(INDEX(cc_input_vu_khi!$C$2:$C$11,MATCH($H$24,cc_input_vu_khi!$A$2:$A$11,0))-Thap!$K$33)),2-(INDEX(cc_input_vu_khi!$C$2:$C$11,MATCH($H$24,cc_input_vu_khi!$A$2:$A$11,0))-Thap!$K$33))+1)))*INDEX(cc_input_vu_khi_suy_ra!$D$2:$D$11,MATCH($H$24,cc_input_vu_khi_suy_ra!$A$2:$A$11,0))&gt;0,CEILING(Thap!$J$33/(INDEX(cc_input_vu_khi!$B$2:$B$11,MATCH($H$24,cc_input_vu_khi!$A$2:$A$11,0))*INDEX(cc_input_bang_xuyen_giap!$B$2:$B$7,MIN(6,MAX(1,IF(INDEX(cc_input_vu_khi_suy_ra!$B$2:$B$11,MATCH($H$24,cc_input_vu_khi_suy_ra!$A$2:$A$11,0)),MAX(1,2-(INDEX(cc_input_vu_khi!$C$2:$C$11,MATCH($H$24,cc_input_vu_khi!$A$2:$A$11,0))-Thap!$K$33)),2-(INDEX(cc_input_vu_khi!$C$2:$C$11,MATCH($H$24,cc_input_vu_khi!$A$2:$A$11,0))-Thap!$K$33))+1)))*INDEX(cc_input_vu_khi_suy_ra!$D$2:$D$11,MATCH($H$24,cc_input_vu_khi_suy_ra!$A$2:$A$11,0))),1),""))</f>
        <v/>
      </c>
      <c r="J24" t="inlineStr">
        <is>
          <t>mlrs_rockets</t>
        </is>
      </c>
      <c r="K24">
        <f>IF($J$24="","",IF(INDEX(cc_input_vu_khi!$B$2:$B$11,MATCH($J$24,cc_input_vu_khi!$A$2:$A$11,0))*INDEX(cc_input_bang_xuyen_giap!$B$2:$B$7,MIN(6,MAX(1,IF(INDEX(cc_input_vu_khi_suy_ra!$B$2:$B$11,MATCH($J$24,cc_input_vu_khi_suy_ra!$A$2:$A$11,0)),MAX(1,2-(INDEX(cc_input_vu_khi!$C$2:$C$11,MATCH($J$24,cc_input_vu_khi!$A$2:$A$11,0))-Thap!$K$33)),2-(INDEX(cc_input_vu_khi!$C$2:$C$11,MATCH($J$24,cc_input_vu_khi!$A$2:$A$11,0))-Thap!$K$33))+1)))*INDEX(cc_input_vu_khi_suy_ra!$D$2:$D$11,MATCH($J$24,cc_input_vu_khi_suy_ra!$A$2:$A$11,0))&gt;0,CEILING(Thap!$J$33/(INDEX(cc_input_vu_khi!$B$2:$B$11,MATCH($J$24,cc_input_vu_khi!$A$2:$A$11,0))*INDEX(cc_input_bang_xuyen_giap!$B$2:$B$7,MIN(6,MAX(1,IF(INDEX(cc_input_vu_khi_suy_ra!$B$2:$B$11,MATCH($J$24,cc_input_vu_khi_suy_ra!$A$2:$A$11,0)),MAX(1,2-(INDEX(cc_input_vu_khi!$C$2:$C$11,MATCH($J$24,cc_input_vu_khi!$A$2:$A$11,0))-Thap!$K$33)),2-(INDEX(cc_input_vu_khi!$C$2:$C$11,MATCH($J$24,cc_input_vu_khi!$A$2:$A$11,0))-Thap!$K$33))+1)))*INDEX(cc_input_vu_khi_suy_ra!$D$2:$D$11,MATCH($J$24,cc_input_vu_khi_suy_ra!$A$2:$A$11,0))),1),""))</f>
        <v/>
      </c>
      <c r="L24" t="inlineStr">
        <is>
          <t>Tools/balance/p32_tower_prices.py Model.price('gun_turret.long') + threats('Medium')</t>
        </is>
      </c>
      <c r="M24" t="inlineStr"/>
    </row>
    <row r="25">
      <c r="A25" t="inlineStr">
        <is>
          <t>heavy_turret</t>
        </is>
      </c>
      <c r="B25">
        <f>Thap_gia_cong_thuc!$Q$25</f>
        <v/>
      </c>
      <c r="C25">
        <f>IF(ISNUMBER($B$25),$B$25/Thap!$BN$34,"")</f>
        <v/>
      </c>
      <c r="D25" t="inlineStr">
        <is>
          <t>gun_152</t>
        </is>
      </c>
      <c r="E25">
        <f>IF($D$25="","",IF(INDEX(cc_input_vu_khi!$B$2:$B$11,MATCH($D$25,cc_input_vu_khi!$A$2:$A$11,0))*INDEX(cc_input_bang_xuyen_giap!$B$2:$B$7,MIN(6,MAX(1,IF(INDEX(cc_input_vu_khi_suy_ra!$B$2:$B$11,MATCH($D$25,cc_input_vu_khi_suy_ra!$A$2:$A$11,0)),MAX(1,2-(INDEX(cc_input_vu_khi!$C$2:$C$11,MATCH($D$25,cc_input_vu_khi!$A$2:$A$11,0))-Thap!$K$34)),2-(INDEX(cc_input_vu_khi!$C$2:$C$11,MATCH($D$25,cc_input_vu_khi!$A$2:$A$11,0))-Thap!$K$34))+1)))*INDEX(cc_input_vu_khi_suy_ra!$D$2:$D$11,MATCH($D$25,cc_input_vu_khi_suy_ra!$A$2:$A$11,0))&gt;0,CEILING(Thap!$J$34/(INDEX(cc_input_vu_khi!$B$2:$B$11,MATCH($D$25,cc_input_vu_khi!$A$2:$A$11,0))*INDEX(cc_input_bang_xuyen_giap!$B$2:$B$7,MIN(6,MAX(1,IF(INDEX(cc_input_vu_khi_suy_ra!$B$2:$B$11,MATCH($D$25,cc_input_vu_khi_suy_ra!$A$2:$A$11,0)),MAX(1,2-(INDEX(cc_input_vu_khi!$C$2:$C$11,MATCH($D$25,cc_input_vu_khi!$A$2:$A$11,0))-Thap!$K$34)),2-(INDEX(cc_input_vu_khi!$C$2:$C$11,MATCH($D$25,cc_input_vu_khi!$A$2:$A$11,0))-Thap!$K$34))+1)))*INDEX(cc_input_vu_khi_suy_ra!$D$2:$D$11,MATCH($D$25,cc_input_vu_khi_suy_ra!$A$2:$A$11,0))),1),""))</f>
        <v/>
      </c>
      <c r="F25" t="inlineStr">
        <is>
          <t>gun_120_twin_he</t>
        </is>
      </c>
      <c r="G25">
        <f>IF($F$25="","",IF(INDEX(cc_input_vu_khi!$B$2:$B$11,MATCH($F$25,cc_input_vu_khi!$A$2:$A$11,0))*INDEX(cc_input_bang_xuyen_giap!$B$2:$B$7,MIN(6,MAX(1,IF(INDEX(cc_input_vu_khi_suy_ra!$B$2:$B$11,MATCH($F$25,cc_input_vu_khi_suy_ra!$A$2:$A$11,0)),MAX(1,2-(INDEX(cc_input_vu_khi!$C$2:$C$11,MATCH($F$25,cc_input_vu_khi!$A$2:$A$11,0))-Thap!$K$34)),2-(INDEX(cc_input_vu_khi!$C$2:$C$11,MATCH($F$25,cc_input_vu_khi!$A$2:$A$11,0))-Thap!$K$34))+1)))*INDEX(cc_input_vu_khi_suy_ra!$D$2:$D$11,MATCH($F$25,cc_input_vu_khi_suy_ra!$A$2:$A$11,0))&gt;0,CEILING(Thap!$J$34/(INDEX(cc_input_vu_khi!$B$2:$B$11,MATCH($F$25,cc_input_vu_khi!$A$2:$A$11,0))*INDEX(cc_input_bang_xuyen_giap!$B$2:$B$7,MIN(6,MAX(1,IF(INDEX(cc_input_vu_khi_suy_ra!$B$2:$B$11,MATCH($F$25,cc_input_vu_khi_suy_ra!$A$2:$A$11,0)),MAX(1,2-(INDEX(cc_input_vu_khi!$C$2:$C$11,MATCH($F$25,cc_input_vu_khi!$A$2:$A$11,0))-Thap!$K$34)),2-(INDEX(cc_input_vu_khi!$C$2:$C$11,MATCH($F$25,cc_input_vu_khi!$A$2:$A$11,0))-Thap!$K$34))+1)))*INDEX(cc_input_vu_khi_suy_ra!$D$2:$D$11,MATCH($F$25,cc_input_vu_khi_suy_ra!$A$2:$A$11,0))),1),""))</f>
        <v/>
      </c>
      <c r="H25" t="inlineStr"/>
      <c r="I25">
        <f>IF($H$25="","",IF(INDEX(cc_input_vu_khi!$B$2:$B$11,MATCH($H$25,cc_input_vu_khi!$A$2:$A$11,0))*INDEX(cc_input_bang_xuyen_giap!$B$2:$B$7,MIN(6,MAX(1,IF(INDEX(cc_input_vu_khi_suy_ra!$B$2:$B$11,MATCH($H$25,cc_input_vu_khi_suy_ra!$A$2:$A$11,0)),MAX(1,2-(INDEX(cc_input_vu_khi!$C$2:$C$11,MATCH($H$25,cc_input_vu_khi!$A$2:$A$11,0))-Thap!$K$34)),2-(INDEX(cc_input_vu_khi!$C$2:$C$11,MATCH($H$25,cc_input_vu_khi!$A$2:$A$11,0))-Thap!$K$34))+1)))*INDEX(cc_input_vu_khi_suy_ra!$D$2:$D$11,MATCH($H$25,cc_input_vu_khi_suy_ra!$A$2:$A$11,0))&gt;0,CEILING(Thap!$J$34/(INDEX(cc_input_vu_khi!$B$2:$B$11,MATCH($H$25,cc_input_vu_khi!$A$2:$A$11,0))*INDEX(cc_input_bang_xuyen_giap!$B$2:$B$7,MIN(6,MAX(1,IF(INDEX(cc_input_vu_khi_suy_ra!$B$2:$B$11,MATCH($H$25,cc_input_vu_khi_suy_ra!$A$2:$A$11,0)),MAX(1,2-(INDEX(cc_input_vu_khi!$C$2:$C$11,MATCH($H$25,cc_input_vu_khi!$A$2:$A$11,0))-Thap!$K$34)),2-(INDEX(cc_input_vu_khi!$C$2:$C$11,MATCH($H$25,cc_input_vu_khi!$A$2:$A$11,0))-Thap!$K$34))+1)))*INDEX(cc_input_vu_khi_suy_ra!$D$2:$D$11,MATCH($H$25,cc_input_vu_khi_suy_ra!$A$2:$A$11,0))),1),""))</f>
        <v/>
      </c>
      <c r="J25" t="inlineStr">
        <is>
          <t>thermobaric_rockets</t>
        </is>
      </c>
      <c r="K25">
        <f>IF($J$25="","",IF(INDEX(cc_input_vu_khi!$B$2:$B$11,MATCH($J$25,cc_input_vu_khi!$A$2:$A$11,0))*INDEX(cc_input_bang_xuyen_giap!$B$2:$B$7,MIN(6,MAX(1,IF(INDEX(cc_input_vu_khi_suy_ra!$B$2:$B$11,MATCH($J$25,cc_input_vu_khi_suy_ra!$A$2:$A$11,0)),MAX(1,2-(INDEX(cc_input_vu_khi!$C$2:$C$11,MATCH($J$25,cc_input_vu_khi!$A$2:$A$11,0))-Thap!$K$34)),2-(INDEX(cc_input_vu_khi!$C$2:$C$11,MATCH($J$25,cc_input_vu_khi!$A$2:$A$11,0))-Thap!$K$34))+1)))*INDEX(cc_input_vu_khi_suy_ra!$D$2:$D$11,MATCH($J$25,cc_input_vu_khi_suy_ra!$A$2:$A$11,0))&gt;0,CEILING(Thap!$J$34/(INDEX(cc_input_vu_khi!$B$2:$B$11,MATCH($J$25,cc_input_vu_khi!$A$2:$A$11,0))*INDEX(cc_input_bang_xuyen_giap!$B$2:$B$7,MIN(6,MAX(1,IF(INDEX(cc_input_vu_khi_suy_ra!$B$2:$B$11,MATCH($J$25,cc_input_vu_khi_suy_ra!$A$2:$A$11,0)),MAX(1,2-(INDEX(cc_input_vu_khi!$C$2:$C$11,MATCH($J$25,cc_input_vu_khi!$A$2:$A$11,0))-Thap!$K$34)),2-(INDEX(cc_input_vu_khi!$C$2:$C$11,MATCH($J$25,cc_input_vu_khi!$A$2:$A$11,0))-Thap!$K$34))+1)))*INDEX(cc_input_vu_khi_suy_ra!$D$2:$D$11,MATCH($J$25,cc_input_vu_khi_suy_ra!$A$2:$A$11,0))),1),""))</f>
        <v/>
      </c>
      <c r="L25" t="inlineStr">
        <is>
          <t>Tools/balance/p32_tower_prices.py Model.price('heavy_turret') + threats('Large')</t>
        </is>
      </c>
      <c r="M25" t="inlineStr"/>
    </row>
    <row r="26">
      <c r="A26" t="inlineStr">
        <is>
          <t>heavy_turret.bastion</t>
        </is>
      </c>
      <c r="B26">
        <f>Thap_gia_cong_thuc!$Q$26</f>
        <v/>
      </c>
      <c r="C26">
        <f>IF(ISNUMBER($B$26),$B$26/Thap!$BN$35,"")</f>
        <v/>
      </c>
      <c r="D26" t="inlineStr">
        <is>
          <t>gun_152</t>
        </is>
      </c>
      <c r="E26">
        <f>IF($D$26="","",IF(INDEX(cc_input_vu_khi!$B$2:$B$11,MATCH($D$26,cc_input_vu_khi!$A$2:$A$11,0))*INDEX(cc_input_bang_xuyen_giap!$B$2:$B$7,MIN(6,MAX(1,IF(INDEX(cc_input_vu_khi_suy_ra!$B$2:$B$11,MATCH($D$26,cc_input_vu_khi_suy_ra!$A$2:$A$11,0)),MAX(1,2-(INDEX(cc_input_vu_khi!$C$2:$C$11,MATCH($D$26,cc_input_vu_khi!$A$2:$A$11,0))-Thap!$K$35)),2-(INDEX(cc_input_vu_khi!$C$2:$C$11,MATCH($D$26,cc_input_vu_khi!$A$2:$A$11,0))-Thap!$K$35))+1)))*INDEX(cc_input_vu_khi_suy_ra!$D$2:$D$11,MATCH($D$26,cc_input_vu_khi_suy_ra!$A$2:$A$11,0))&gt;0,CEILING(Thap!$J$35/(INDEX(cc_input_vu_khi!$B$2:$B$11,MATCH($D$26,cc_input_vu_khi!$A$2:$A$11,0))*INDEX(cc_input_bang_xuyen_giap!$B$2:$B$7,MIN(6,MAX(1,IF(INDEX(cc_input_vu_khi_suy_ra!$B$2:$B$11,MATCH($D$26,cc_input_vu_khi_suy_ra!$A$2:$A$11,0)),MAX(1,2-(INDEX(cc_input_vu_khi!$C$2:$C$11,MATCH($D$26,cc_input_vu_khi!$A$2:$A$11,0))-Thap!$K$35)),2-(INDEX(cc_input_vu_khi!$C$2:$C$11,MATCH($D$26,cc_input_vu_khi!$A$2:$A$11,0))-Thap!$K$35))+1)))*INDEX(cc_input_vu_khi_suy_ra!$D$2:$D$11,MATCH($D$26,cc_input_vu_khi_suy_ra!$A$2:$A$11,0))),1),""))</f>
        <v/>
      </c>
      <c r="F26" t="inlineStr">
        <is>
          <t>gun_120_twin_he</t>
        </is>
      </c>
      <c r="G26">
        <f>IF($F$26="","",IF(INDEX(cc_input_vu_khi!$B$2:$B$11,MATCH($F$26,cc_input_vu_khi!$A$2:$A$11,0))*INDEX(cc_input_bang_xuyen_giap!$B$2:$B$7,MIN(6,MAX(1,IF(INDEX(cc_input_vu_khi_suy_ra!$B$2:$B$11,MATCH($F$26,cc_input_vu_khi_suy_ra!$A$2:$A$11,0)),MAX(1,2-(INDEX(cc_input_vu_khi!$C$2:$C$11,MATCH($F$26,cc_input_vu_khi!$A$2:$A$11,0))-Thap!$K$35)),2-(INDEX(cc_input_vu_khi!$C$2:$C$11,MATCH($F$26,cc_input_vu_khi!$A$2:$A$11,0))-Thap!$K$35))+1)))*INDEX(cc_input_vu_khi_suy_ra!$D$2:$D$11,MATCH($F$26,cc_input_vu_khi_suy_ra!$A$2:$A$11,0))&gt;0,CEILING(Thap!$J$35/(INDEX(cc_input_vu_khi!$B$2:$B$11,MATCH($F$26,cc_input_vu_khi!$A$2:$A$11,0))*INDEX(cc_input_bang_xuyen_giap!$B$2:$B$7,MIN(6,MAX(1,IF(INDEX(cc_input_vu_khi_suy_ra!$B$2:$B$11,MATCH($F$26,cc_input_vu_khi_suy_ra!$A$2:$A$11,0)),MAX(1,2-(INDEX(cc_input_vu_khi!$C$2:$C$11,MATCH($F$26,cc_input_vu_khi!$A$2:$A$11,0))-Thap!$K$35)),2-(INDEX(cc_input_vu_khi!$C$2:$C$11,MATCH($F$26,cc_input_vu_khi!$A$2:$A$11,0))-Thap!$K$35))+1)))*INDEX(cc_input_vu_khi_suy_ra!$D$2:$D$11,MATCH($F$26,cc_input_vu_khi_suy_ra!$A$2:$A$11,0))),1),""))</f>
        <v/>
      </c>
      <c r="H26" t="inlineStr"/>
      <c r="I26">
        <f>IF($H$26="","",IF(INDEX(cc_input_vu_khi!$B$2:$B$11,MATCH($H$26,cc_input_vu_khi!$A$2:$A$11,0))*INDEX(cc_input_bang_xuyen_giap!$B$2:$B$7,MIN(6,MAX(1,IF(INDEX(cc_input_vu_khi_suy_ra!$B$2:$B$11,MATCH($H$26,cc_input_vu_khi_suy_ra!$A$2:$A$11,0)),MAX(1,2-(INDEX(cc_input_vu_khi!$C$2:$C$11,MATCH($H$26,cc_input_vu_khi!$A$2:$A$11,0))-Thap!$K$35)),2-(INDEX(cc_input_vu_khi!$C$2:$C$11,MATCH($H$26,cc_input_vu_khi!$A$2:$A$11,0))-Thap!$K$35))+1)))*INDEX(cc_input_vu_khi_suy_ra!$D$2:$D$11,MATCH($H$26,cc_input_vu_khi_suy_ra!$A$2:$A$11,0))&gt;0,CEILING(Thap!$J$35/(INDEX(cc_input_vu_khi!$B$2:$B$11,MATCH($H$26,cc_input_vu_khi!$A$2:$A$11,0))*INDEX(cc_input_bang_xuyen_giap!$B$2:$B$7,MIN(6,MAX(1,IF(INDEX(cc_input_vu_khi_suy_ra!$B$2:$B$11,MATCH($H$26,cc_input_vu_khi_suy_ra!$A$2:$A$11,0)),MAX(1,2-(INDEX(cc_input_vu_khi!$C$2:$C$11,MATCH($H$26,cc_input_vu_khi!$A$2:$A$11,0))-Thap!$K$35)),2-(INDEX(cc_input_vu_khi!$C$2:$C$11,MATCH($H$26,cc_input_vu_khi!$A$2:$A$11,0))-Thap!$K$35))+1)))*INDEX(cc_input_vu_khi_suy_ra!$D$2:$D$11,MATCH($H$26,cc_input_vu_khi_suy_ra!$A$2:$A$11,0))),1),""))</f>
        <v/>
      </c>
      <c r="J26" t="inlineStr">
        <is>
          <t>thermobaric_rockets</t>
        </is>
      </c>
      <c r="K26">
        <f>IF($J$26="","",IF(INDEX(cc_input_vu_khi!$B$2:$B$11,MATCH($J$26,cc_input_vu_khi!$A$2:$A$11,0))*INDEX(cc_input_bang_xuyen_giap!$B$2:$B$7,MIN(6,MAX(1,IF(INDEX(cc_input_vu_khi_suy_ra!$B$2:$B$11,MATCH($J$26,cc_input_vu_khi_suy_ra!$A$2:$A$11,0)),MAX(1,2-(INDEX(cc_input_vu_khi!$C$2:$C$11,MATCH($J$26,cc_input_vu_khi!$A$2:$A$11,0))-Thap!$K$35)),2-(INDEX(cc_input_vu_khi!$C$2:$C$11,MATCH($J$26,cc_input_vu_khi!$A$2:$A$11,0))-Thap!$K$35))+1)))*INDEX(cc_input_vu_khi_suy_ra!$D$2:$D$11,MATCH($J$26,cc_input_vu_khi_suy_ra!$A$2:$A$11,0))&gt;0,CEILING(Thap!$J$35/(INDEX(cc_input_vu_khi!$B$2:$B$11,MATCH($J$26,cc_input_vu_khi!$A$2:$A$11,0))*INDEX(cc_input_bang_xuyen_giap!$B$2:$B$7,MIN(6,MAX(1,IF(INDEX(cc_input_vu_khi_suy_ra!$B$2:$B$11,MATCH($J$26,cc_input_vu_khi_suy_ra!$A$2:$A$11,0)),MAX(1,2-(INDEX(cc_input_vu_khi!$C$2:$C$11,MATCH($J$26,cc_input_vu_khi!$A$2:$A$11,0))-Thap!$K$35)),2-(INDEX(cc_input_vu_khi!$C$2:$C$11,MATCH($J$26,cc_input_vu_khi!$A$2:$A$11,0))-Thap!$K$35))+1)))*INDEX(cc_input_vu_khi_suy_ra!$D$2:$D$11,MATCH($J$26,cc_input_vu_khi_suy_ra!$A$2:$A$11,0))),1),""))</f>
        <v/>
      </c>
      <c r="L26" t="inlineStr">
        <is>
          <t>Tools/balance/p32_tower_prices.py Model.price('heavy_turret.bastion') + threats('Large')</t>
        </is>
      </c>
      <c r="M26" t="inlineStr"/>
    </row>
    <row r="27">
      <c r="A27" t="inlineStr">
        <is>
          <t>heavy_turret.coastal</t>
        </is>
      </c>
      <c r="B27">
        <f>Thap_gia_cong_thuc!$Q$27</f>
        <v/>
      </c>
      <c r="C27">
        <f>IF(ISNUMBER($B$27),$B$27/Thap!$BN$36,"")</f>
        <v/>
      </c>
      <c r="D27" t="inlineStr">
        <is>
          <t>gun_152</t>
        </is>
      </c>
      <c r="E27">
        <f>IF($D$27="","",IF(INDEX(cc_input_vu_khi!$B$2:$B$11,MATCH($D$27,cc_input_vu_khi!$A$2:$A$11,0))*INDEX(cc_input_bang_xuyen_giap!$B$2:$B$7,MIN(6,MAX(1,IF(INDEX(cc_input_vu_khi_suy_ra!$B$2:$B$11,MATCH($D$27,cc_input_vu_khi_suy_ra!$A$2:$A$11,0)),MAX(1,2-(INDEX(cc_input_vu_khi!$C$2:$C$11,MATCH($D$27,cc_input_vu_khi!$A$2:$A$11,0))-Thap!$K$36)),2-(INDEX(cc_input_vu_khi!$C$2:$C$11,MATCH($D$27,cc_input_vu_khi!$A$2:$A$11,0))-Thap!$K$36))+1)))*INDEX(cc_input_vu_khi_suy_ra!$D$2:$D$11,MATCH($D$27,cc_input_vu_khi_suy_ra!$A$2:$A$11,0))&gt;0,CEILING(Thap!$J$36/(INDEX(cc_input_vu_khi!$B$2:$B$11,MATCH($D$27,cc_input_vu_khi!$A$2:$A$11,0))*INDEX(cc_input_bang_xuyen_giap!$B$2:$B$7,MIN(6,MAX(1,IF(INDEX(cc_input_vu_khi_suy_ra!$B$2:$B$11,MATCH($D$27,cc_input_vu_khi_suy_ra!$A$2:$A$11,0)),MAX(1,2-(INDEX(cc_input_vu_khi!$C$2:$C$11,MATCH($D$27,cc_input_vu_khi!$A$2:$A$11,0))-Thap!$K$36)),2-(INDEX(cc_input_vu_khi!$C$2:$C$11,MATCH($D$27,cc_input_vu_khi!$A$2:$A$11,0))-Thap!$K$36))+1)))*INDEX(cc_input_vu_khi_suy_ra!$D$2:$D$11,MATCH($D$27,cc_input_vu_khi_suy_ra!$A$2:$A$11,0))),1),""))</f>
        <v/>
      </c>
      <c r="F27" t="inlineStr">
        <is>
          <t>gun_120_twin_he</t>
        </is>
      </c>
      <c r="G27">
        <f>IF($F$27="","",IF(INDEX(cc_input_vu_khi!$B$2:$B$11,MATCH($F$27,cc_input_vu_khi!$A$2:$A$11,0))*INDEX(cc_input_bang_xuyen_giap!$B$2:$B$7,MIN(6,MAX(1,IF(INDEX(cc_input_vu_khi_suy_ra!$B$2:$B$11,MATCH($F$27,cc_input_vu_khi_suy_ra!$A$2:$A$11,0)),MAX(1,2-(INDEX(cc_input_vu_khi!$C$2:$C$11,MATCH($F$27,cc_input_vu_khi!$A$2:$A$11,0))-Thap!$K$36)),2-(INDEX(cc_input_vu_khi!$C$2:$C$11,MATCH($F$27,cc_input_vu_khi!$A$2:$A$11,0))-Thap!$K$36))+1)))*INDEX(cc_input_vu_khi_suy_ra!$D$2:$D$11,MATCH($F$27,cc_input_vu_khi_suy_ra!$A$2:$A$11,0))&gt;0,CEILING(Thap!$J$36/(INDEX(cc_input_vu_khi!$B$2:$B$11,MATCH($F$27,cc_input_vu_khi!$A$2:$A$11,0))*INDEX(cc_input_bang_xuyen_giap!$B$2:$B$7,MIN(6,MAX(1,IF(INDEX(cc_input_vu_khi_suy_ra!$B$2:$B$11,MATCH($F$27,cc_input_vu_khi_suy_ra!$A$2:$A$11,0)),MAX(1,2-(INDEX(cc_input_vu_khi!$C$2:$C$11,MATCH($F$27,cc_input_vu_khi!$A$2:$A$11,0))-Thap!$K$36)),2-(INDEX(cc_input_vu_khi!$C$2:$C$11,MATCH($F$27,cc_input_vu_khi!$A$2:$A$11,0))-Thap!$K$36))+1)))*INDEX(cc_input_vu_khi_suy_ra!$D$2:$D$11,MATCH($F$27,cc_input_vu_khi_suy_ra!$A$2:$A$11,0))),1),""))</f>
        <v/>
      </c>
      <c r="H27" t="inlineStr"/>
      <c r="I27">
        <f>IF($H$27="","",IF(INDEX(cc_input_vu_khi!$B$2:$B$11,MATCH($H$27,cc_input_vu_khi!$A$2:$A$11,0))*INDEX(cc_input_bang_xuyen_giap!$B$2:$B$7,MIN(6,MAX(1,IF(INDEX(cc_input_vu_khi_suy_ra!$B$2:$B$11,MATCH($H$27,cc_input_vu_khi_suy_ra!$A$2:$A$11,0)),MAX(1,2-(INDEX(cc_input_vu_khi!$C$2:$C$11,MATCH($H$27,cc_input_vu_khi!$A$2:$A$11,0))-Thap!$K$36)),2-(INDEX(cc_input_vu_khi!$C$2:$C$11,MATCH($H$27,cc_input_vu_khi!$A$2:$A$11,0))-Thap!$K$36))+1)))*INDEX(cc_input_vu_khi_suy_ra!$D$2:$D$11,MATCH($H$27,cc_input_vu_khi_suy_ra!$A$2:$A$11,0))&gt;0,CEILING(Thap!$J$36/(INDEX(cc_input_vu_khi!$B$2:$B$11,MATCH($H$27,cc_input_vu_khi!$A$2:$A$11,0))*INDEX(cc_input_bang_xuyen_giap!$B$2:$B$7,MIN(6,MAX(1,IF(INDEX(cc_input_vu_khi_suy_ra!$B$2:$B$11,MATCH($H$27,cc_input_vu_khi_suy_ra!$A$2:$A$11,0)),MAX(1,2-(INDEX(cc_input_vu_khi!$C$2:$C$11,MATCH($H$27,cc_input_vu_khi!$A$2:$A$11,0))-Thap!$K$36)),2-(INDEX(cc_input_vu_khi!$C$2:$C$11,MATCH($H$27,cc_input_vu_khi!$A$2:$A$11,0))-Thap!$K$36))+1)))*INDEX(cc_input_vu_khi_suy_ra!$D$2:$D$11,MATCH($H$27,cc_input_vu_khi_suy_ra!$A$2:$A$11,0))),1),""))</f>
        <v/>
      </c>
      <c r="J27" t="inlineStr">
        <is>
          <t>thermobaric_rockets</t>
        </is>
      </c>
      <c r="K27">
        <f>IF($J$27="","",IF(INDEX(cc_input_vu_khi!$B$2:$B$11,MATCH($J$27,cc_input_vu_khi!$A$2:$A$11,0))*INDEX(cc_input_bang_xuyen_giap!$B$2:$B$7,MIN(6,MAX(1,IF(INDEX(cc_input_vu_khi_suy_ra!$B$2:$B$11,MATCH($J$27,cc_input_vu_khi_suy_ra!$A$2:$A$11,0)),MAX(1,2-(INDEX(cc_input_vu_khi!$C$2:$C$11,MATCH($J$27,cc_input_vu_khi!$A$2:$A$11,0))-Thap!$K$36)),2-(INDEX(cc_input_vu_khi!$C$2:$C$11,MATCH($J$27,cc_input_vu_khi!$A$2:$A$11,0))-Thap!$K$36))+1)))*INDEX(cc_input_vu_khi_suy_ra!$D$2:$D$11,MATCH($J$27,cc_input_vu_khi_suy_ra!$A$2:$A$11,0))&gt;0,CEILING(Thap!$J$36/(INDEX(cc_input_vu_khi!$B$2:$B$11,MATCH($J$27,cc_input_vu_khi!$A$2:$A$11,0))*INDEX(cc_input_bang_xuyen_giap!$B$2:$B$7,MIN(6,MAX(1,IF(INDEX(cc_input_vu_khi_suy_ra!$B$2:$B$11,MATCH($J$27,cc_input_vu_khi_suy_ra!$A$2:$A$11,0)),MAX(1,2-(INDEX(cc_input_vu_khi!$C$2:$C$11,MATCH($J$27,cc_input_vu_khi!$A$2:$A$11,0))-Thap!$K$36)),2-(INDEX(cc_input_vu_khi!$C$2:$C$11,MATCH($J$27,cc_input_vu_khi!$A$2:$A$11,0))-Thap!$K$36))+1)))*INDEX(cc_input_vu_khi_suy_ra!$D$2:$D$11,MATCH($J$27,cc_input_vu_khi_suy_ra!$A$2:$A$11,0))),1),""))</f>
        <v/>
      </c>
      <c r="L27" t="inlineStr">
        <is>
          <t>Tools/balance/p32_tower_prices.py Model.price('heavy_turret.coastal') + threats('Large')</t>
        </is>
      </c>
      <c r="M27" t="inlineStr"/>
    </row>
    <row r="28">
      <c r="A28" t="inlineStr">
        <is>
          <t>laser_ad_station</t>
        </is>
      </c>
      <c r="B28">
        <f>Thap_gia_cong_thuc!$Q$28</f>
        <v/>
      </c>
      <c r="C28">
        <f>IF(ISNUMBER($B$28),$B$28/Thap!$BN$37,"")</f>
        <v/>
      </c>
      <c r="D28" t="inlineStr">
        <is>
          <t>gun_105_wheeled</t>
        </is>
      </c>
      <c r="E28">
        <f>IF($D$28="","",IF(INDEX(cc_input_vu_khi!$B$2:$B$11,MATCH($D$28,cc_input_vu_khi!$A$2:$A$11,0))*INDEX(cc_input_bang_xuyen_giap!$B$2:$B$7,MIN(6,MAX(1,IF(INDEX(cc_input_vu_khi_suy_ra!$B$2:$B$11,MATCH($D$28,cc_input_vu_khi_suy_ra!$A$2:$A$11,0)),MAX(1,2-(INDEX(cc_input_vu_khi!$C$2:$C$11,MATCH($D$28,cc_input_vu_khi!$A$2:$A$11,0))-Thap!$K$37)),2-(INDEX(cc_input_vu_khi!$C$2:$C$11,MATCH($D$28,cc_input_vu_khi!$A$2:$A$11,0))-Thap!$K$37))+1)))*INDEX(cc_input_vu_khi_suy_ra!$D$2:$D$11,MATCH($D$28,cc_input_vu_khi_suy_ra!$A$2:$A$11,0))&gt;0,CEILING(Thap!$J$37/(INDEX(cc_input_vu_khi!$B$2:$B$11,MATCH($D$28,cc_input_vu_khi!$A$2:$A$11,0))*INDEX(cc_input_bang_xuyen_giap!$B$2:$B$7,MIN(6,MAX(1,IF(INDEX(cc_input_vu_khi_suy_ra!$B$2:$B$11,MATCH($D$28,cc_input_vu_khi_suy_ra!$A$2:$A$11,0)),MAX(1,2-(INDEX(cc_input_vu_khi!$C$2:$C$11,MATCH($D$28,cc_input_vu_khi!$A$2:$A$11,0))-Thap!$K$37)),2-(INDEX(cc_input_vu_khi!$C$2:$C$11,MATCH($D$28,cc_input_vu_khi!$A$2:$A$11,0))-Thap!$K$37))+1)))*INDEX(cc_input_vu_khi_suy_ra!$D$2:$D$11,MATCH($D$28,cc_input_vu_khi_suy_ra!$A$2:$A$11,0))),1),""))</f>
        <v/>
      </c>
      <c r="F28" t="inlineStr">
        <is>
          <t>gun_105_wheeled_he</t>
        </is>
      </c>
      <c r="G28">
        <f>IF($F$28="","",IF(INDEX(cc_input_vu_khi!$B$2:$B$11,MATCH($F$28,cc_input_vu_khi!$A$2:$A$11,0))*INDEX(cc_input_bang_xuyen_giap!$B$2:$B$7,MIN(6,MAX(1,IF(INDEX(cc_input_vu_khi_suy_ra!$B$2:$B$11,MATCH($F$28,cc_input_vu_khi_suy_ra!$A$2:$A$11,0)),MAX(1,2-(INDEX(cc_input_vu_khi!$C$2:$C$11,MATCH($F$28,cc_input_vu_khi!$A$2:$A$11,0))-Thap!$K$37)),2-(INDEX(cc_input_vu_khi!$C$2:$C$11,MATCH($F$28,cc_input_vu_khi!$A$2:$A$11,0))-Thap!$K$37))+1)))*INDEX(cc_input_vu_khi_suy_ra!$D$2:$D$11,MATCH($F$28,cc_input_vu_khi_suy_ra!$A$2:$A$11,0))&gt;0,CEILING(Thap!$J$37/(INDEX(cc_input_vu_khi!$B$2:$B$11,MATCH($F$28,cc_input_vu_khi!$A$2:$A$11,0))*INDEX(cc_input_bang_xuyen_giap!$B$2:$B$7,MIN(6,MAX(1,IF(INDEX(cc_input_vu_khi_suy_ra!$B$2:$B$11,MATCH($F$28,cc_input_vu_khi_suy_ra!$A$2:$A$11,0)),MAX(1,2-(INDEX(cc_input_vu_khi!$C$2:$C$11,MATCH($F$28,cc_input_vu_khi!$A$2:$A$11,0))-Thap!$K$37)),2-(INDEX(cc_input_vu_khi!$C$2:$C$11,MATCH($F$28,cc_input_vu_khi!$A$2:$A$11,0))-Thap!$K$37))+1)))*INDEX(cc_input_vu_khi_suy_ra!$D$2:$D$11,MATCH($F$28,cc_input_vu_khi_suy_ra!$A$2:$A$11,0))),1),""))</f>
        <v/>
      </c>
      <c r="H28" t="inlineStr"/>
      <c r="I28">
        <f>IF($H$28="","",IF(INDEX(cc_input_vu_khi!$B$2:$B$11,MATCH($H$28,cc_input_vu_khi!$A$2:$A$11,0))*INDEX(cc_input_bang_xuyen_giap!$B$2:$B$7,MIN(6,MAX(1,IF(INDEX(cc_input_vu_khi_suy_ra!$B$2:$B$11,MATCH($H$28,cc_input_vu_khi_suy_ra!$A$2:$A$11,0)),MAX(1,2-(INDEX(cc_input_vu_khi!$C$2:$C$11,MATCH($H$28,cc_input_vu_khi!$A$2:$A$11,0))-Thap!$K$37)),2-(INDEX(cc_input_vu_khi!$C$2:$C$11,MATCH($H$28,cc_input_vu_khi!$A$2:$A$11,0))-Thap!$K$37))+1)))*INDEX(cc_input_vu_khi_suy_ra!$D$2:$D$11,MATCH($H$28,cc_input_vu_khi_suy_ra!$A$2:$A$11,0))&gt;0,CEILING(Thap!$J$37/(INDEX(cc_input_vu_khi!$B$2:$B$11,MATCH($H$28,cc_input_vu_khi!$A$2:$A$11,0))*INDEX(cc_input_bang_xuyen_giap!$B$2:$B$7,MIN(6,MAX(1,IF(INDEX(cc_input_vu_khi_suy_ra!$B$2:$B$11,MATCH($H$28,cc_input_vu_khi_suy_ra!$A$2:$A$11,0)),MAX(1,2-(INDEX(cc_input_vu_khi!$C$2:$C$11,MATCH($H$28,cc_input_vu_khi!$A$2:$A$11,0))-Thap!$K$37)),2-(INDEX(cc_input_vu_khi!$C$2:$C$11,MATCH($H$28,cc_input_vu_khi!$A$2:$A$11,0))-Thap!$K$37))+1)))*INDEX(cc_input_vu_khi_suy_ra!$D$2:$D$11,MATCH($H$28,cc_input_vu_khi_suy_ra!$A$2:$A$11,0))),1),""))</f>
        <v/>
      </c>
      <c r="J28" t="inlineStr">
        <is>
          <t>mlrs_rockets</t>
        </is>
      </c>
      <c r="K28">
        <f>IF($J$28="","",IF(INDEX(cc_input_vu_khi!$B$2:$B$11,MATCH($J$28,cc_input_vu_khi!$A$2:$A$11,0))*INDEX(cc_input_bang_xuyen_giap!$B$2:$B$7,MIN(6,MAX(1,IF(INDEX(cc_input_vu_khi_suy_ra!$B$2:$B$11,MATCH($J$28,cc_input_vu_khi_suy_ra!$A$2:$A$11,0)),MAX(1,2-(INDEX(cc_input_vu_khi!$C$2:$C$11,MATCH($J$28,cc_input_vu_khi!$A$2:$A$11,0))-Thap!$K$37)),2-(INDEX(cc_input_vu_khi!$C$2:$C$11,MATCH($J$28,cc_input_vu_khi!$A$2:$A$11,0))-Thap!$K$37))+1)))*INDEX(cc_input_vu_khi_suy_ra!$D$2:$D$11,MATCH($J$28,cc_input_vu_khi_suy_ra!$A$2:$A$11,0))&gt;0,CEILING(Thap!$J$37/(INDEX(cc_input_vu_khi!$B$2:$B$11,MATCH($J$28,cc_input_vu_khi!$A$2:$A$11,0))*INDEX(cc_input_bang_xuyen_giap!$B$2:$B$7,MIN(6,MAX(1,IF(INDEX(cc_input_vu_khi_suy_ra!$B$2:$B$11,MATCH($J$28,cc_input_vu_khi_suy_ra!$A$2:$A$11,0)),MAX(1,2-(INDEX(cc_input_vu_khi!$C$2:$C$11,MATCH($J$28,cc_input_vu_khi!$A$2:$A$11,0))-Thap!$K$37)),2-(INDEX(cc_input_vu_khi!$C$2:$C$11,MATCH($J$28,cc_input_vu_khi!$A$2:$A$11,0))-Thap!$K$37))+1)))*INDEX(cc_input_vu_khi_suy_ra!$D$2:$D$11,MATCH($J$28,cc_input_vu_khi_suy_ra!$A$2:$A$11,0))),1),""))</f>
        <v/>
      </c>
      <c r="L28" t="inlineStr">
        <is>
          <t>Tools/balance/p32_tower_prices.py Model.price('laser_ad_station') + threats('Medium')</t>
        </is>
      </c>
      <c r="M28" t="inlineStr"/>
    </row>
    <row r="29">
      <c r="A29" t="inlineStr">
        <is>
          <t>laser_ad_station.laser</t>
        </is>
      </c>
      <c r="B29">
        <f>Thap_gia_cong_thuc!$Q$29</f>
        <v/>
      </c>
      <c r="C29">
        <f>IF(ISNUMBER($B$29),$B$29/Thap!$BN$38,"")</f>
        <v/>
      </c>
      <c r="D29" t="inlineStr">
        <is>
          <t>gun_105_wheeled</t>
        </is>
      </c>
      <c r="E29">
        <f>IF($D$29="","",IF(INDEX(cc_input_vu_khi!$B$2:$B$11,MATCH($D$29,cc_input_vu_khi!$A$2:$A$11,0))*INDEX(cc_input_bang_xuyen_giap!$B$2:$B$7,MIN(6,MAX(1,IF(INDEX(cc_input_vu_khi_suy_ra!$B$2:$B$11,MATCH($D$29,cc_input_vu_khi_suy_ra!$A$2:$A$11,0)),MAX(1,2-(INDEX(cc_input_vu_khi!$C$2:$C$11,MATCH($D$29,cc_input_vu_khi!$A$2:$A$11,0))-Thap!$K$38)),2-(INDEX(cc_input_vu_khi!$C$2:$C$11,MATCH($D$29,cc_input_vu_khi!$A$2:$A$11,0))-Thap!$K$38))+1)))*INDEX(cc_input_vu_khi_suy_ra!$D$2:$D$11,MATCH($D$29,cc_input_vu_khi_suy_ra!$A$2:$A$11,0))&gt;0,CEILING(Thap!$J$38/(INDEX(cc_input_vu_khi!$B$2:$B$11,MATCH($D$29,cc_input_vu_khi!$A$2:$A$11,0))*INDEX(cc_input_bang_xuyen_giap!$B$2:$B$7,MIN(6,MAX(1,IF(INDEX(cc_input_vu_khi_suy_ra!$B$2:$B$11,MATCH($D$29,cc_input_vu_khi_suy_ra!$A$2:$A$11,0)),MAX(1,2-(INDEX(cc_input_vu_khi!$C$2:$C$11,MATCH($D$29,cc_input_vu_khi!$A$2:$A$11,0))-Thap!$K$38)),2-(INDEX(cc_input_vu_khi!$C$2:$C$11,MATCH($D$29,cc_input_vu_khi!$A$2:$A$11,0))-Thap!$K$38))+1)))*INDEX(cc_input_vu_khi_suy_ra!$D$2:$D$11,MATCH($D$29,cc_input_vu_khi_suy_ra!$A$2:$A$11,0))),1),""))</f>
        <v/>
      </c>
      <c r="F29" t="inlineStr">
        <is>
          <t>gun_105_wheeled_he</t>
        </is>
      </c>
      <c r="G29">
        <f>IF($F$29="","",IF(INDEX(cc_input_vu_khi!$B$2:$B$11,MATCH($F$29,cc_input_vu_khi!$A$2:$A$11,0))*INDEX(cc_input_bang_xuyen_giap!$B$2:$B$7,MIN(6,MAX(1,IF(INDEX(cc_input_vu_khi_suy_ra!$B$2:$B$11,MATCH($F$29,cc_input_vu_khi_suy_ra!$A$2:$A$11,0)),MAX(1,2-(INDEX(cc_input_vu_khi!$C$2:$C$11,MATCH($F$29,cc_input_vu_khi!$A$2:$A$11,0))-Thap!$K$38)),2-(INDEX(cc_input_vu_khi!$C$2:$C$11,MATCH($F$29,cc_input_vu_khi!$A$2:$A$11,0))-Thap!$K$38))+1)))*INDEX(cc_input_vu_khi_suy_ra!$D$2:$D$11,MATCH($F$29,cc_input_vu_khi_suy_ra!$A$2:$A$11,0))&gt;0,CEILING(Thap!$J$38/(INDEX(cc_input_vu_khi!$B$2:$B$11,MATCH($F$29,cc_input_vu_khi!$A$2:$A$11,0))*INDEX(cc_input_bang_xuyen_giap!$B$2:$B$7,MIN(6,MAX(1,IF(INDEX(cc_input_vu_khi_suy_ra!$B$2:$B$11,MATCH($F$29,cc_input_vu_khi_suy_ra!$A$2:$A$11,0)),MAX(1,2-(INDEX(cc_input_vu_khi!$C$2:$C$11,MATCH($F$29,cc_input_vu_khi!$A$2:$A$11,0))-Thap!$K$38)),2-(INDEX(cc_input_vu_khi!$C$2:$C$11,MATCH($F$29,cc_input_vu_khi!$A$2:$A$11,0))-Thap!$K$38))+1)))*INDEX(cc_input_vu_khi_suy_ra!$D$2:$D$11,MATCH($F$29,cc_input_vu_khi_suy_ra!$A$2:$A$11,0))),1),""))</f>
        <v/>
      </c>
      <c r="H29" t="inlineStr"/>
      <c r="I29">
        <f>IF($H$29="","",IF(INDEX(cc_input_vu_khi!$B$2:$B$11,MATCH($H$29,cc_input_vu_khi!$A$2:$A$11,0))*INDEX(cc_input_bang_xuyen_giap!$B$2:$B$7,MIN(6,MAX(1,IF(INDEX(cc_input_vu_khi_suy_ra!$B$2:$B$11,MATCH($H$29,cc_input_vu_khi_suy_ra!$A$2:$A$11,0)),MAX(1,2-(INDEX(cc_input_vu_khi!$C$2:$C$11,MATCH($H$29,cc_input_vu_khi!$A$2:$A$11,0))-Thap!$K$38)),2-(INDEX(cc_input_vu_khi!$C$2:$C$11,MATCH($H$29,cc_input_vu_khi!$A$2:$A$11,0))-Thap!$K$38))+1)))*INDEX(cc_input_vu_khi_suy_ra!$D$2:$D$11,MATCH($H$29,cc_input_vu_khi_suy_ra!$A$2:$A$11,0))&gt;0,CEILING(Thap!$J$38/(INDEX(cc_input_vu_khi!$B$2:$B$11,MATCH($H$29,cc_input_vu_khi!$A$2:$A$11,0))*INDEX(cc_input_bang_xuyen_giap!$B$2:$B$7,MIN(6,MAX(1,IF(INDEX(cc_input_vu_khi_suy_ra!$B$2:$B$11,MATCH($H$29,cc_input_vu_khi_suy_ra!$A$2:$A$11,0)),MAX(1,2-(INDEX(cc_input_vu_khi!$C$2:$C$11,MATCH($H$29,cc_input_vu_khi!$A$2:$A$11,0))-Thap!$K$38)),2-(INDEX(cc_input_vu_khi!$C$2:$C$11,MATCH($H$29,cc_input_vu_khi!$A$2:$A$11,0))-Thap!$K$38))+1)))*INDEX(cc_input_vu_khi_suy_ra!$D$2:$D$11,MATCH($H$29,cc_input_vu_khi_suy_ra!$A$2:$A$11,0))),1),""))</f>
        <v/>
      </c>
      <c r="J29" t="inlineStr">
        <is>
          <t>mlrs_rockets</t>
        </is>
      </c>
      <c r="K29">
        <f>IF($J$29="","",IF(INDEX(cc_input_vu_khi!$B$2:$B$11,MATCH($J$29,cc_input_vu_khi!$A$2:$A$11,0))*INDEX(cc_input_bang_xuyen_giap!$B$2:$B$7,MIN(6,MAX(1,IF(INDEX(cc_input_vu_khi_suy_ra!$B$2:$B$11,MATCH($J$29,cc_input_vu_khi_suy_ra!$A$2:$A$11,0)),MAX(1,2-(INDEX(cc_input_vu_khi!$C$2:$C$11,MATCH($J$29,cc_input_vu_khi!$A$2:$A$11,0))-Thap!$K$38)),2-(INDEX(cc_input_vu_khi!$C$2:$C$11,MATCH($J$29,cc_input_vu_khi!$A$2:$A$11,0))-Thap!$K$38))+1)))*INDEX(cc_input_vu_khi_suy_ra!$D$2:$D$11,MATCH($J$29,cc_input_vu_khi_suy_ra!$A$2:$A$11,0))&gt;0,CEILING(Thap!$J$38/(INDEX(cc_input_vu_khi!$B$2:$B$11,MATCH($J$29,cc_input_vu_khi!$A$2:$A$11,0))*INDEX(cc_input_bang_xuyen_giap!$B$2:$B$7,MIN(6,MAX(1,IF(INDEX(cc_input_vu_khi_suy_ra!$B$2:$B$11,MATCH($J$29,cc_input_vu_khi_suy_ra!$A$2:$A$11,0)),MAX(1,2-(INDEX(cc_input_vu_khi!$C$2:$C$11,MATCH($J$29,cc_input_vu_khi!$A$2:$A$11,0))-Thap!$K$38)),2-(INDEX(cc_input_vu_khi!$C$2:$C$11,MATCH($J$29,cc_input_vu_khi!$A$2:$A$11,0))-Thap!$K$38))+1)))*INDEX(cc_input_vu_khi_suy_ra!$D$2:$D$11,MATCH($J$29,cc_input_vu_khi_suy_ra!$A$2:$A$11,0))),1),""))</f>
        <v/>
      </c>
      <c r="L29" t="inlineStr">
        <is>
          <t>Tools/balance/p32_tower_prices.py Model.price('laser_ad_station.laser') + threats('Medium')</t>
        </is>
      </c>
      <c r="M29" t="inlineStr"/>
    </row>
    <row r="30">
      <c r="A30" t="inlineStr">
        <is>
          <t>mg_bunker</t>
        </is>
      </c>
      <c r="B30">
        <f>Thap_gia_cong_thuc!$Q$30</f>
        <v/>
      </c>
      <c r="C30">
        <f>IF(ISNUMBER($B$30),$B$30/Thap!$BN$40,"")</f>
        <v/>
      </c>
      <c r="D30" t="inlineStr">
        <is>
          <t>ifv_30</t>
        </is>
      </c>
      <c r="E30">
        <f>IF($D$30="","",IF(INDEX(cc_input_vu_khi!$B$2:$B$11,MATCH($D$30,cc_input_vu_khi!$A$2:$A$11,0))*INDEX(cc_input_bang_xuyen_giap!$B$2:$B$7,MIN(6,MAX(1,IF(INDEX(cc_input_vu_khi_suy_ra!$B$2:$B$11,MATCH($D$30,cc_input_vu_khi_suy_ra!$A$2:$A$11,0)),MAX(1,2-(INDEX(cc_input_vu_khi!$C$2:$C$11,MATCH($D$30,cc_input_vu_khi!$A$2:$A$11,0))-Thap!$K$40)),2-(INDEX(cc_input_vu_khi!$C$2:$C$11,MATCH($D$30,cc_input_vu_khi!$A$2:$A$11,0))-Thap!$K$40))+1)))*INDEX(cc_input_vu_khi_suy_ra!$D$2:$D$11,MATCH($D$30,cc_input_vu_khi_suy_ra!$A$2:$A$11,0))&gt;0,CEILING(Thap!$J$40/(INDEX(cc_input_vu_khi!$B$2:$B$11,MATCH($D$30,cc_input_vu_khi!$A$2:$A$11,0))*INDEX(cc_input_bang_xuyen_giap!$B$2:$B$7,MIN(6,MAX(1,IF(INDEX(cc_input_vu_khi_suy_ra!$B$2:$B$11,MATCH($D$30,cc_input_vu_khi_suy_ra!$A$2:$A$11,0)),MAX(1,2-(INDEX(cc_input_vu_khi!$C$2:$C$11,MATCH($D$30,cc_input_vu_khi!$A$2:$A$11,0))-Thap!$K$40)),2-(INDEX(cc_input_vu_khi!$C$2:$C$11,MATCH($D$30,cc_input_vu_khi!$A$2:$A$11,0))-Thap!$K$40))+1)))*INDEX(cc_input_vu_khi_suy_ra!$D$2:$D$11,MATCH($D$30,cc_input_vu_khi_suy_ra!$A$2:$A$11,0))),1),""))</f>
        <v/>
      </c>
      <c r="F30" t="inlineStr">
        <is>
          <t>gun_120mm_he</t>
        </is>
      </c>
      <c r="G30">
        <f>IF($F$30="","",IF(INDEX(cc_input_vu_khi!$B$2:$B$11,MATCH($F$30,cc_input_vu_khi!$A$2:$A$11,0))*INDEX(cc_input_bang_xuyen_giap!$B$2:$B$7,MIN(6,MAX(1,IF(INDEX(cc_input_vu_khi_suy_ra!$B$2:$B$11,MATCH($F$30,cc_input_vu_khi_suy_ra!$A$2:$A$11,0)),MAX(1,2-(INDEX(cc_input_vu_khi!$C$2:$C$11,MATCH($F$30,cc_input_vu_khi!$A$2:$A$11,0))-Thap!$K$40)),2-(INDEX(cc_input_vu_khi!$C$2:$C$11,MATCH($F$30,cc_input_vu_khi!$A$2:$A$11,0))-Thap!$K$40))+1)))*INDEX(cc_input_vu_khi_suy_ra!$D$2:$D$11,MATCH($F$30,cc_input_vu_khi_suy_ra!$A$2:$A$11,0))&gt;0,CEILING(Thap!$J$40/(INDEX(cc_input_vu_khi!$B$2:$B$11,MATCH($F$30,cc_input_vu_khi!$A$2:$A$11,0))*INDEX(cc_input_bang_xuyen_giap!$B$2:$B$7,MIN(6,MAX(1,IF(INDEX(cc_input_vu_khi_suy_ra!$B$2:$B$11,MATCH($F$30,cc_input_vu_khi_suy_ra!$A$2:$A$11,0)),MAX(1,2-(INDEX(cc_input_vu_khi!$C$2:$C$11,MATCH($F$30,cc_input_vu_khi!$A$2:$A$11,0))-Thap!$K$40)),2-(INDEX(cc_input_vu_khi!$C$2:$C$11,MATCH($F$30,cc_input_vu_khi!$A$2:$A$11,0))-Thap!$K$40))+1)))*INDEX(cc_input_vu_khi_suy_ra!$D$2:$D$11,MATCH($F$30,cc_input_vu_khi_suy_ra!$A$2:$A$11,0))),1),""))</f>
        <v/>
      </c>
      <c r="H30" t="inlineStr">
        <is>
          <t>recoilless_106</t>
        </is>
      </c>
      <c r="I30">
        <f>IF($H$30="","",IF(INDEX(cc_input_vu_khi!$B$2:$B$11,MATCH($H$30,cc_input_vu_khi!$A$2:$A$11,0))*INDEX(cc_input_bang_xuyen_giap!$B$2:$B$7,MIN(6,MAX(1,IF(INDEX(cc_input_vu_khi_suy_ra!$B$2:$B$11,MATCH($H$30,cc_input_vu_khi_suy_ra!$A$2:$A$11,0)),MAX(1,2-(INDEX(cc_input_vu_khi!$C$2:$C$11,MATCH($H$30,cc_input_vu_khi!$A$2:$A$11,0))-Thap!$K$40)),2-(INDEX(cc_input_vu_khi!$C$2:$C$11,MATCH($H$30,cc_input_vu_khi!$A$2:$A$11,0))-Thap!$K$40))+1)))*INDEX(cc_input_vu_khi_suy_ra!$D$2:$D$11,MATCH($H$30,cc_input_vu_khi_suy_ra!$A$2:$A$11,0))&gt;0,CEILING(Thap!$J$40/(INDEX(cc_input_vu_khi!$B$2:$B$11,MATCH($H$30,cc_input_vu_khi!$A$2:$A$11,0))*INDEX(cc_input_bang_xuyen_giap!$B$2:$B$7,MIN(6,MAX(1,IF(INDEX(cc_input_vu_khi_suy_ra!$B$2:$B$11,MATCH($H$30,cc_input_vu_khi_suy_ra!$A$2:$A$11,0)),MAX(1,2-(INDEX(cc_input_vu_khi!$C$2:$C$11,MATCH($H$30,cc_input_vu_khi!$A$2:$A$11,0))-Thap!$K$40)),2-(INDEX(cc_input_vu_khi!$C$2:$C$11,MATCH($H$30,cc_input_vu_khi!$A$2:$A$11,0))-Thap!$K$40))+1)))*INDEX(cc_input_vu_khi_suy_ra!$D$2:$D$11,MATCH($H$30,cc_input_vu_khi_suy_ra!$A$2:$A$11,0))),1),""))</f>
        <v/>
      </c>
      <c r="J30" t="inlineStr">
        <is>
          <t>technical_rockets</t>
        </is>
      </c>
      <c r="K30">
        <f>IF($J$30="","",IF(INDEX(cc_input_vu_khi!$B$2:$B$11,MATCH($J$30,cc_input_vu_khi!$A$2:$A$11,0))*INDEX(cc_input_bang_xuyen_giap!$B$2:$B$7,MIN(6,MAX(1,IF(INDEX(cc_input_vu_khi_suy_ra!$B$2:$B$11,MATCH($J$30,cc_input_vu_khi_suy_ra!$A$2:$A$11,0)),MAX(1,2-(INDEX(cc_input_vu_khi!$C$2:$C$11,MATCH($J$30,cc_input_vu_khi!$A$2:$A$11,0))-Thap!$K$40)),2-(INDEX(cc_input_vu_khi!$C$2:$C$11,MATCH($J$30,cc_input_vu_khi!$A$2:$A$11,0))-Thap!$K$40))+1)))*INDEX(cc_input_vu_khi_suy_ra!$D$2:$D$11,MATCH($J$30,cc_input_vu_khi_suy_ra!$A$2:$A$11,0))&gt;0,CEILING(Thap!$J$40/(INDEX(cc_input_vu_khi!$B$2:$B$11,MATCH($J$30,cc_input_vu_khi!$A$2:$A$11,0))*INDEX(cc_input_bang_xuyen_giap!$B$2:$B$7,MIN(6,MAX(1,IF(INDEX(cc_input_vu_khi_suy_ra!$B$2:$B$11,MATCH($J$30,cc_input_vu_khi_suy_ra!$A$2:$A$11,0)),MAX(1,2-(INDEX(cc_input_vu_khi!$C$2:$C$11,MATCH($J$30,cc_input_vu_khi!$A$2:$A$11,0))-Thap!$K$40)),2-(INDEX(cc_input_vu_khi!$C$2:$C$11,MATCH($J$30,cc_input_vu_khi!$A$2:$A$11,0))-Thap!$K$40))+1)))*INDEX(cc_input_vu_khi_suy_ra!$D$2:$D$11,MATCH($J$30,cc_input_vu_khi_suy_ra!$A$2:$A$11,0))),1),""))</f>
        <v/>
      </c>
      <c r="L30" t="inlineStr">
        <is>
          <t>Tools/balance/p32_tower_prices.py Model.price('mg_bunker') + threats('Small')</t>
        </is>
      </c>
      <c r="M30" t="inlineStr"/>
    </row>
    <row r="31">
      <c r="A31" t="inlineStr">
        <is>
          <t>mg_bunker.flame</t>
        </is>
      </c>
      <c r="B31">
        <f>Thap_gia_cong_thuc!$Q$31</f>
        <v/>
      </c>
      <c r="C31">
        <f>IF(ISNUMBER($B$31),$B$31/Thap!$BN$41,"")</f>
        <v/>
      </c>
      <c r="D31" t="inlineStr">
        <is>
          <t>ifv_30</t>
        </is>
      </c>
      <c r="E31">
        <f>IF($D$31="","",IF(INDEX(cc_input_vu_khi!$B$2:$B$11,MATCH($D$31,cc_input_vu_khi!$A$2:$A$11,0))*INDEX(cc_input_bang_xuyen_giap!$B$2:$B$7,MIN(6,MAX(1,IF(INDEX(cc_input_vu_khi_suy_ra!$B$2:$B$11,MATCH($D$31,cc_input_vu_khi_suy_ra!$A$2:$A$11,0)),MAX(1,2-(INDEX(cc_input_vu_khi!$C$2:$C$11,MATCH($D$31,cc_input_vu_khi!$A$2:$A$11,0))-Thap!$K$41)),2-(INDEX(cc_input_vu_khi!$C$2:$C$11,MATCH($D$31,cc_input_vu_khi!$A$2:$A$11,0))-Thap!$K$41))+1)))*INDEX(cc_input_vu_khi_suy_ra!$D$2:$D$11,MATCH($D$31,cc_input_vu_khi_suy_ra!$A$2:$A$11,0))&gt;0,CEILING(Thap!$J$41/(INDEX(cc_input_vu_khi!$B$2:$B$11,MATCH($D$31,cc_input_vu_khi!$A$2:$A$11,0))*INDEX(cc_input_bang_xuyen_giap!$B$2:$B$7,MIN(6,MAX(1,IF(INDEX(cc_input_vu_khi_suy_ra!$B$2:$B$11,MATCH($D$31,cc_input_vu_khi_suy_ra!$A$2:$A$11,0)),MAX(1,2-(INDEX(cc_input_vu_khi!$C$2:$C$11,MATCH($D$31,cc_input_vu_khi!$A$2:$A$11,0))-Thap!$K$41)),2-(INDEX(cc_input_vu_khi!$C$2:$C$11,MATCH($D$31,cc_input_vu_khi!$A$2:$A$11,0))-Thap!$K$41))+1)))*INDEX(cc_input_vu_khi_suy_ra!$D$2:$D$11,MATCH($D$31,cc_input_vu_khi_suy_ra!$A$2:$A$11,0))),1),""))</f>
        <v/>
      </c>
      <c r="F31" t="inlineStr">
        <is>
          <t>gun_120mm_he</t>
        </is>
      </c>
      <c r="G31">
        <f>IF($F$31="","",IF(INDEX(cc_input_vu_khi!$B$2:$B$11,MATCH($F$31,cc_input_vu_khi!$A$2:$A$11,0))*INDEX(cc_input_bang_xuyen_giap!$B$2:$B$7,MIN(6,MAX(1,IF(INDEX(cc_input_vu_khi_suy_ra!$B$2:$B$11,MATCH($F$31,cc_input_vu_khi_suy_ra!$A$2:$A$11,0)),MAX(1,2-(INDEX(cc_input_vu_khi!$C$2:$C$11,MATCH($F$31,cc_input_vu_khi!$A$2:$A$11,0))-Thap!$K$41)),2-(INDEX(cc_input_vu_khi!$C$2:$C$11,MATCH($F$31,cc_input_vu_khi!$A$2:$A$11,0))-Thap!$K$41))+1)))*INDEX(cc_input_vu_khi_suy_ra!$D$2:$D$11,MATCH($F$31,cc_input_vu_khi_suy_ra!$A$2:$A$11,0))&gt;0,CEILING(Thap!$J$41/(INDEX(cc_input_vu_khi!$B$2:$B$11,MATCH($F$31,cc_input_vu_khi!$A$2:$A$11,0))*INDEX(cc_input_bang_xuyen_giap!$B$2:$B$7,MIN(6,MAX(1,IF(INDEX(cc_input_vu_khi_suy_ra!$B$2:$B$11,MATCH($F$31,cc_input_vu_khi_suy_ra!$A$2:$A$11,0)),MAX(1,2-(INDEX(cc_input_vu_khi!$C$2:$C$11,MATCH($F$31,cc_input_vu_khi!$A$2:$A$11,0))-Thap!$K$41)),2-(INDEX(cc_input_vu_khi!$C$2:$C$11,MATCH($F$31,cc_input_vu_khi!$A$2:$A$11,0))-Thap!$K$41))+1)))*INDEX(cc_input_vu_khi_suy_ra!$D$2:$D$11,MATCH($F$31,cc_input_vu_khi_suy_ra!$A$2:$A$11,0))),1),""))</f>
        <v/>
      </c>
      <c r="H31" t="inlineStr">
        <is>
          <t>recoilless_106</t>
        </is>
      </c>
      <c r="I31">
        <f>IF($H$31="","",IF(INDEX(cc_input_vu_khi!$B$2:$B$11,MATCH($H$31,cc_input_vu_khi!$A$2:$A$11,0))*INDEX(cc_input_bang_xuyen_giap!$B$2:$B$7,MIN(6,MAX(1,IF(INDEX(cc_input_vu_khi_suy_ra!$B$2:$B$11,MATCH($H$31,cc_input_vu_khi_suy_ra!$A$2:$A$11,0)),MAX(1,2-(INDEX(cc_input_vu_khi!$C$2:$C$11,MATCH($H$31,cc_input_vu_khi!$A$2:$A$11,0))-Thap!$K$41)),2-(INDEX(cc_input_vu_khi!$C$2:$C$11,MATCH($H$31,cc_input_vu_khi!$A$2:$A$11,0))-Thap!$K$41))+1)))*INDEX(cc_input_vu_khi_suy_ra!$D$2:$D$11,MATCH($H$31,cc_input_vu_khi_suy_ra!$A$2:$A$11,0))&gt;0,CEILING(Thap!$J$41/(INDEX(cc_input_vu_khi!$B$2:$B$11,MATCH($H$31,cc_input_vu_khi!$A$2:$A$11,0))*INDEX(cc_input_bang_xuyen_giap!$B$2:$B$7,MIN(6,MAX(1,IF(INDEX(cc_input_vu_khi_suy_ra!$B$2:$B$11,MATCH($H$31,cc_input_vu_khi_suy_ra!$A$2:$A$11,0)),MAX(1,2-(INDEX(cc_input_vu_khi!$C$2:$C$11,MATCH($H$31,cc_input_vu_khi!$A$2:$A$11,0))-Thap!$K$41)),2-(INDEX(cc_input_vu_khi!$C$2:$C$11,MATCH($H$31,cc_input_vu_khi!$A$2:$A$11,0))-Thap!$K$41))+1)))*INDEX(cc_input_vu_khi_suy_ra!$D$2:$D$11,MATCH($H$31,cc_input_vu_khi_suy_ra!$A$2:$A$11,0))),1),""))</f>
        <v/>
      </c>
      <c r="J31" t="inlineStr">
        <is>
          <t>technical_rockets</t>
        </is>
      </c>
      <c r="K31">
        <f>IF($J$31="","",IF(INDEX(cc_input_vu_khi!$B$2:$B$11,MATCH($J$31,cc_input_vu_khi!$A$2:$A$11,0))*INDEX(cc_input_bang_xuyen_giap!$B$2:$B$7,MIN(6,MAX(1,IF(INDEX(cc_input_vu_khi_suy_ra!$B$2:$B$11,MATCH($J$31,cc_input_vu_khi_suy_ra!$A$2:$A$11,0)),MAX(1,2-(INDEX(cc_input_vu_khi!$C$2:$C$11,MATCH($J$31,cc_input_vu_khi!$A$2:$A$11,0))-Thap!$K$41)),2-(INDEX(cc_input_vu_khi!$C$2:$C$11,MATCH($J$31,cc_input_vu_khi!$A$2:$A$11,0))-Thap!$K$41))+1)))*INDEX(cc_input_vu_khi_suy_ra!$D$2:$D$11,MATCH($J$31,cc_input_vu_khi_suy_ra!$A$2:$A$11,0))&gt;0,CEILING(Thap!$J$41/(INDEX(cc_input_vu_khi!$B$2:$B$11,MATCH($J$31,cc_input_vu_khi!$A$2:$A$11,0))*INDEX(cc_input_bang_xuyen_giap!$B$2:$B$7,MIN(6,MAX(1,IF(INDEX(cc_input_vu_khi_suy_ra!$B$2:$B$11,MATCH($J$31,cc_input_vu_khi_suy_ra!$A$2:$A$11,0)),MAX(1,2-(INDEX(cc_input_vu_khi!$C$2:$C$11,MATCH($J$31,cc_input_vu_khi!$A$2:$A$11,0))-Thap!$K$41)),2-(INDEX(cc_input_vu_khi!$C$2:$C$11,MATCH($J$31,cc_input_vu_khi!$A$2:$A$11,0))-Thap!$K$41))+1)))*INDEX(cc_input_vu_khi_suy_ra!$D$2:$D$11,MATCH($J$31,cc_input_vu_khi_suy_ra!$A$2:$A$11,0))),1),""))</f>
        <v/>
      </c>
      <c r="L31" t="inlineStr">
        <is>
          <t>Tools/balance/p32_tower_prices.py Model.price('mg_bunker.flame') + threats('Small')</t>
        </is>
      </c>
      <c r="M31" t="inlineStr"/>
    </row>
    <row r="32">
      <c r="A32" t="inlineStr">
        <is>
          <t>mg_bunker.twin</t>
        </is>
      </c>
      <c r="B32">
        <f>Thap_gia_cong_thuc!$Q$32</f>
        <v/>
      </c>
      <c r="C32">
        <f>IF(ISNUMBER($B$32),$B$32/Thap!$BN$42,"")</f>
        <v/>
      </c>
      <c r="D32" t="inlineStr">
        <is>
          <t>ifv_30</t>
        </is>
      </c>
      <c r="E32">
        <f>IF($D$32="","",IF(INDEX(cc_input_vu_khi!$B$2:$B$11,MATCH($D$32,cc_input_vu_khi!$A$2:$A$11,0))*INDEX(cc_input_bang_xuyen_giap!$B$2:$B$7,MIN(6,MAX(1,IF(INDEX(cc_input_vu_khi_suy_ra!$B$2:$B$11,MATCH($D$32,cc_input_vu_khi_suy_ra!$A$2:$A$11,0)),MAX(1,2-(INDEX(cc_input_vu_khi!$C$2:$C$11,MATCH($D$32,cc_input_vu_khi!$A$2:$A$11,0))-Thap!$K$42)),2-(INDEX(cc_input_vu_khi!$C$2:$C$11,MATCH($D$32,cc_input_vu_khi!$A$2:$A$11,0))-Thap!$K$42))+1)))*INDEX(cc_input_vu_khi_suy_ra!$D$2:$D$11,MATCH($D$32,cc_input_vu_khi_suy_ra!$A$2:$A$11,0))&gt;0,CEILING(Thap!$J$42/(INDEX(cc_input_vu_khi!$B$2:$B$11,MATCH($D$32,cc_input_vu_khi!$A$2:$A$11,0))*INDEX(cc_input_bang_xuyen_giap!$B$2:$B$7,MIN(6,MAX(1,IF(INDEX(cc_input_vu_khi_suy_ra!$B$2:$B$11,MATCH($D$32,cc_input_vu_khi_suy_ra!$A$2:$A$11,0)),MAX(1,2-(INDEX(cc_input_vu_khi!$C$2:$C$11,MATCH($D$32,cc_input_vu_khi!$A$2:$A$11,0))-Thap!$K$42)),2-(INDEX(cc_input_vu_khi!$C$2:$C$11,MATCH($D$32,cc_input_vu_khi!$A$2:$A$11,0))-Thap!$K$42))+1)))*INDEX(cc_input_vu_khi_suy_ra!$D$2:$D$11,MATCH($D$32,cc_input_vu_khi_suy_ra!$A$2:$A$11,0))),1),""))</f>
        <v/>
      </c>
      <c r="F32" t="inlineStr">
        <is>
          <t>gun_120mm_he</t>
        </is>
      </c>
      <c r="G32">
        <f>IF($F$32="","",IF(INDEX(cc_input_vu_khi!$B$2:$B$11,MATCH($F$32,cc_input_vu_khi!$A$2:$A$11,0))*INDEX(cc_input_bang_xuyen_giap!$B$2:$B$7,MIN(6,MAX(1,IF(INDEX(cc_input_vu_khi_suy_ra!$B$2:$B$11,MATCH($F$32,cc_input_vu_khi_suy_ra!$A$2:$A$11,0)),MAX(1,2-(INDEX(cc_input_vu_khi!$C$2:$C$11,MATCH($F$32,cc_input_vu_khi!$A$2:$A$11,0))-Thap!$K$42)),2-(INDEX(cc_input_vu_khi!$C$2:$C$11,MATCH($F$32,cc_input_vu_khi!$A$2:$A$11,0))-Thap!$K$42))+1)))*INDEX(cc_input_vu_khi_suy_ra!$D$2:$D$11,MATCH($F$32,cc_input_vu_khi_suy_ra!$A$2:$A$11,0))&gt;0,CEILING(Thap!$J$42/(INDEX(cc_input_vu_khi!$B$2:$B$11,MATCH($F$32,cc_input_vu_khi!$A$2:$A$11,0))*INDEX(cc_input_bang_xuyen_giap!$B$2:$B$7,MIN(6,MAX(1,IF(INDEX(cc_input_vu_khi_suy_ra!$B$2:$B$11,MATCH($F$32,cc_input_vu_khi_suy_ra!$A$2:$A$11,0)),MAX(1,2-(INDEX(cc_input_vu_khi!$C$2:$C$11,MATCH($F$32,cc_input_vu_khi!$A$2:$A$11,0))-Thap!$K$42)),2-(INDEX(cc_input_vu_khi!$C$2:$C$11,MATCH($F$32,cc_input_vu_khi!$A$2:$A$11,0))-Thap!$K$42))+1)))*INDEX(cc_input_vu_khi_suy_ra!$D$2:$D$11,MATCH($F$32,cc_input_vu_khi_suy_ra!$A$2:$A$11,0))),1),""))</f>
        <v/>
      </c>
      <c r="H32" t="inlineStr">
        <is>
          <t>recoilless_106</t>
        </is>
      </c>
      <c r="I32">
        <f>IF($H$32="","",IF(INDEX(cc_input_vu_khi!$B$2:$B$11,MATCH($H$32,cc_input_vu_khi!$A$2:$A$11,0))*INDEX(cc_input_bang_xuyen_giap!$B$2:$B$7,MIN(6,MAX(1,IF(INDEX(cc_input_vu_khi_suy_ra!$B$2:$B$11,MATCH($H$32,cc_input_vu_khi_suy_ra!$A$2:$A$11,0)),MAX(1,2-(INDEX(cc_input_vu_khi!$C$2:$C$11,MATCH($H$32,cc_input_vu_khi!$A$2:$A$11,0))-Thap!$K$42)),2-(INDEX(cc_input_vu_khi!$C$2:$C$11,MATCH($H$32,cc_input_vu_khi!$A$2:$A$11,0))-Thap!$K$42))+1)))*INDEX(cc_input_vu_khi_suy_ra!$D$2:$D$11,MATCH($H$32,cc_input_vu_khi_suy_ra!$A$2:$A$11,0))&gt;0,CEILING(Thap!$J$42/(INDEX(cc_input_vu_khi!$B$2:$B$11,MATCH($H$32,cc_input_vu_khi!$A$2:$A$11,0))*INDEX(cc_input_bang_xuyen_giap!$B$2:$B$7,MIN(6,MAX(1,IF(INDEX(cc_input_vu_khi_suy_ra!$B$2:$B$11,MATCH($H$32,cc_input_vu_khi_suy_ra!$A$2:$A$11,0)),MAX(1,2-(INDEX(cc_input_vu_khi!$C$2:$C$11,MATCH($H$32,cc_input_vu_khi!$A$2:$A$11,0))-Thap!$K$42)),2-(INDEX(cc_input_vu_khi!$C$2:$C$11,MATCH($H$32,cc_input_vu_khi!$A$2:$A$11,0))-Thap!$K$42))+1)))*INDEX(cc_input_vu_khi_suy_ra!$D$2:$D$11,MATCH($H$32,cc_input_vu_khi_suy_ra!$A$2:$A$11,0))),1),""))</f>
        <v/>
      </c>
      <c r="J32" t="inlineStr">
        <is>
          <t>technical_rockets</t>
        </is>
      </c>
      <c r="K32">
        <f>IF($J$32="","",IF(INDEX(cc_input_vu_khi!$B$2:$B$11,MATCH($J$32,cc_input_vu_khi!$A$2:$A$11,0))*INDEX(cc_input_bang_xuyen_giap!$B$2:$B$7,MIN(6,MAX(1,IF(INDEX(cc_input_vu_khi_suy_ra!$B$2:$B$11,MATCH($J$32,cc_input_vu_khi_suy_ra!$A$2:$A$11,0)),MAX(1,2-(INDEX(cc_input_vu_khi!$C$2:$C$11,MATCH($J$32,cc_input_vu_khi!$A$2:$A$11,0))-Thap!$K$42)),2-(INDEX(cc_input_vu_khi!$C$2:$C$11,MATCH($J$32,cc_input_vu_khi!$A$2:$A$11,0))-Thap!$K$42))+1)))*INDEX(cc_input_vu_khi_suy_ra!$D$2:$D$11,MATCH($J$32,cc_input_vu_khi_suy_ra!$A$2:$A$11,0))&gt;0,CEILING(Thap!$J$42/(INDEX(cc_input_vu_khi!$B$2:$B$11,MATCH($J$32,cc_input_vu_khi!$A$2:$A$11,0))*INDEX(cc_input_bang_xuyen_giap!$B$2:$B$7,MIN(6,MAX(1,IF(INDEX(cc_input_vu_khi_suy_ra!$B$2:$B$11,MATCH($J$32,cc_input_vu_khi_suy_ra!$A$2:$A$11,0)),MAX(1,2-(INDEX(cc_input_vu_khi!$C$2:$C$11,MATCH($J$32,cc_input_vu_khi!$A$2:$A$11,0))-Thap!$K$42)),2-(INDEX(cc_input_vu_khi!$C$2:$C$11,MATCH($J$32,cc_input_vu_khi!$A$2:$A$11,0))-Thap!$K$42))+1)))*INDEX(cc_input_vu_khi_suy_ra!$D$2:$D$11,MATCH($J$32,cc_input_vu_khi_suy_ra!$A$2:$A$11,0))),1),""))</f>
        <v/>
      </c>
      <c r="L32" t="inlineStr">
        <is>
          <t>Tools/balance/p32_tower_prices.py Model.price('mg_bunker.twin') + threats('Small')</t>
        </is>
      </c>
      <c r="M32" t="inlineStr"/>
    </row>
    <row r="33">
      <c r="A33" t="inlineStr">
        <is>
          <t>missile_battery</t>
        </is>
      </c>
      <c r="B33">
        <f>Thap_gia_cong_thuc!$Q$33</f>
        <v/>
      </c>
      <c r="C33">
        <f>IF(ISNUMBER($B$33),$B$33/Thap!$BN$43,"")</f>
        <v/>
      </c>
      <c r="D33" t="inlineStr">
        <is>
          <t>gun_152</t>
        </is>
      </c>
      <c r="E33">
        <f>IF($D$33="","",IF(INDEX(cc_input_vu_khi!$B$2:$B$11,MATCH($D$33,cc_input_vu_khi!$A$2:$A$11,0))*INDEX(cc_input_bang_xuyen_giap!$B$2:$B$7,MIN(6,MAX(1,IF(INDEX(cc_input_vu_khi_suy_ra!$B$2:$B$11,MATCH($D$33,cc_input_vu_khi_suy_ra!$A$2:$A$11,0)),MAX(1,2-(INDEX(cc_input_vu_khi!$C$2:$C$11,MATCH($D$33,cc_input_vu_khi!$A$2:$A$11,0))-Thap!$K$43)),2-(INDEX(cc_input_vu_khi!$C$2:$C$11,MATCH($D$33,cc_input_vu_khi!$A$2:$A$11,0))-Thap!$K$43))+1)))*INDEX(cc_input_vu_khi_suy_ra!$D$2:$D$11,MATCH($D$33,cc_input_vu_khi_suy_ra!$A$2:$A$11,0))&gt;0,CEILING(Thap!$J$43/(INDEX(cc_input_vu_khi!$B$2:$B$11,MATCH($D$33,cc_input_vu_khi!$A$2:$A$11,0))*INDEX(cc_input_bang_xuyen_giap!$B$2:$B$7,MIN(6,MAX(1,IF(INDEX(cc_input_vu_khi_suy_ra!$B$2:$B$11,MATCH($D$33,cc_input_vu_khi_suy_ra!$A$2:$A$11,0)),MAX(1,2-(INDEX(cc_input_vu_khi!$C$2:$C$11,MATCH($D$33,cc_input_vu_khi!$A$2:$A$11,0))-Thap!$K$43)),2-(INDEX(cc_input_vu_khi!$C$2:$C$11,MATCH($D$33,cc_input_vu_khi!$A$2:$A$11,0))-Thap!$K$43))+1)))*INDEX(cc_input_vu_khi_suy_ra!$D$2:$D$11,MATCH($D$33,cc_input_vu_khi_suy_ra!$A$2:$A$11,0))),1),""))</f>
        <v/>
      </c>
      <c r="F33" t="inlineStr">
        <is>
          <t>gun_120_twin_he</t>
        </is>
      </c>
      <c r="G33">
        <f>IF($F$33="","",IF(INDEX(cc_input_vu_khi!$B$2:$B$11,MATCH($F$33,cc_input_vu_khi!$A$2:$A$11,0))*INDEX(cc_input_bang_xuyen_giap!$B$2:$B$7,MIN(6,MAX(1,IF(INDEX(cc_input_vu_khi_suy_ra!$B$2:$B$11,MATCH($F$33,cc_input_vu_khi_suy_ra!$A$2:$A$11,0)),MAX(1,2-(INDEX(cc_input_vu_khi!$C$2:$C$11,MATCH($F$33,cc_input_vu_khi!$A$2:$A$11,0))-Thap!$K$43)),2-(INDEX(cc_input_vu_khi!$C$2:$C$11,MATCH($F$33,cc_input_vu_khi!$A$2:$A$11,0))-Thap!$K$43))+1)))*INDEX(cc_input_vu_khi_suy_ra!$D$2:$D$11,MATCH($F$33,cc_input_vu_khi_suy_ra!$A$2:$A$11,0))&gt;0,CEILING(Thap!$J$43/(INDEX(cc_input_vu_khi!$B$2:$B$11,MATCH($F$33,cc_input_vu_khi!$A$2:$A$11,0))*INDEX(cc_input_bang_xuyen_giap!$B$2:$B$7,MIN(6,MAX(1,IF(INDEX(cc_input_vu_khi_suy_ra!$B$2:$B$11,MATCH($F$33,cc_input_vu_khi_suy_ra!$A$2:$A$11,0)),MAX(1,2-(INDEX(cc_input_vu_khi!$C$2:$C$11,MATCH($F$33,cc_input_vu_khi!$A$2:$A$11,0))-Thap!$K$43)),2-(INDEX(cc_input_vu_khi!$C$2:$C$11,MATCH($F$33,cc_input_vu_khi!$A$2:$A$11,0))-Thap!$K$43))+1)))*INDEX(cc_input_vu_khi_suy_ra!$D$2:$D$11,MATCH($F$33,cc_input_vu_khi_suy_ra!$A$2:$A$11,0))),1),""))</f>
        <v/>
      </c>
      <c r="H33" t="inlineStr"/>
      <c r="I33">
        <f>IF($H$33="","",IF(INDEX(cc_input_vu_khi!$B$2:$B$11,MATCH($H$33,cc_input_vu_khi!$A$2:$A$11,0))*INDEX(cc_input_bang_xuyen_giap!$B$2:$B$7,MIN(6,MAX(1,IF(INDEX(cc_input_vu_khi_suy_ra!$B$2:$B$11,MATCH($H$33,cc_input_vu_khi_suy_ra!$A$2:$A$11,0)),MAX(1,2-(INDEX(cc_input_vu_khi!$C$2:$C$11,MATCH($H$33,cc_input_vu_khi!$A$2:$A$11,0))-Thap!$K$43)),2-(INDEX(cc_input_vu_khi!$C$2:$C$11,MATCH($H$33,cc_input_vu_khi!$A$2:$A$11,0))-Thap!$K$43))+1)))*INDEX(cc_input_vu_khi_suy_ra!$D$2:$D$11,MATCH($H$33,cc_input_vu_khi_suy_ra!$A$2:$A$11,0))&gt;0,CEILING(Thap!$J$43/(INDEX(cc_input_vu_khi!$B$2:$B$11,MATCH($H$33,cc_input_vu_khi!$A$2:$A$11,0))*INDEX(cc_input_bang_xuyen_giap!$B$2:$B$7,MIN(6,MAX(1,IF(INDEX(cc_input_vu_khi_suy_ra!$B$2:$B$11,MATCH($H$33,cc_input_vu_khi_suy_ra!$A$2:$A$11,0)),MAX(1,2-(INDEX(cc_input_vu_khi!$C$2:$C$11,MATCH($H$33,cc_input_vu_khi!$A$2:$A$11,0))-Thap!$K$43)),2-(INDEX(cc_input_vu_khi!$C$2:$C$11,MATCH($H$33,cc_input_vu_khi!$A$2:$A$11,0))-Thap!$K$43))+1)))*INDEX(cc_input_vu_khi_suy_ra!$D$2:$D$11,MATCH($H$33,cc_input_vu_khi_suy_ra!$A$2:$A$11,0))),1),""))</f>
        <v/>
      </c>
      <c r="J33" t="inlineStr">
        <is>
          <t>thermobaric_rockets</t>
        </is>
      </c>
      <c r="K33">
        <f>IF($J$33="","",IF(INDEX(cc_input_vu_khi!$B$2:$B$11,MATCH($J$33,cc_input_vu_khi!$A$2:$A$11,0))*INDEX(cc_input_bang_xuyen_giap!$B$2:$B$7,MIN(6,MAX(1,IF(INDEX(cc_input_vu_khi_suy_ra!$B$2:$B$11,MATCH($J$33,cc_input_vu_khi_suy_ra!$A$2:$A$11,0)),MAX(1,2-(INDEX(cc_input_vu_khi!$C$2:$C$11,MATCH($J$33,cc_input_vu_khi!$A$2:$A$11,0))-Thap!$K$43)),2-(INDEX(cc_input_vu_khi!$C$2:$C$11,MATCH($J$33,cc_input_vu_khi!$A$2:$A$11,0))-Thap!$K$43))+1)))*INDEX(cc_input_vu_khi_suy_ra!$D$2:$D$11,MATCH($J$33,cc_input_vu_khi_suy_ra!$A$2:$A$11,0))&gt;0,CEILING(Thap!$J$43/(INDEX(cc_input_vu_khi!$B$2:$B$11,MATCH($J$33,cc_input_vu_khi!$A$2:$A$11,0))*INDEX(cc_input_bang_xuyen_giap!$B$2:$B$7,MIN(6,MAX(1,IF(INDEX(cc_input_vu_khi_suy_ra!$B$2:$B$11,MATCH($J$33,cc_input_vu_khi_suy_ra!$A$2:$A$11,0)),MAX(1,2-(INDEX(cc_input_vu_khi!$C$2:$C$11,MATCH($J$33,cc_input_vu_khi!$A$2:$A$11,0))-Thap!$K$43)),2-(INDEX(cc_input_vu_khi!$C$2:$C$11,MATCH($J$33,cc_input_vu_khi!$A$2:$A$11,0))-Thap!$K$43))+1)))*INDEX(cc_input_vu_khi_suy_ra!$D$2:$D$11,MATCH($J$33,cc_input_vu_khi_suy_ra!$A$2:$A$11,0))),1),""))</f>
        <v/>
      </c>
      <c r="L33" t="inlineStr">
        <is>
          <t>Tools/balance/p32_tower_prices.py Model.price('missile_battery') + threats('Large')</t>
        </is>
      </c>
      <c r="M33" t="inlineStr"/>
    </row>
    <row r="34">
      <c r="A34" t="inlineStr">
        <is>
          <t>missile_battery.lrr</t>
        </is>
      </c>
      <c r="B34">
        <f>Thap_gia_cong_thuc!$Q$34</f>
        <v/>
      </c>
      <c r="C34">
        <f>IF(ISNUMBER($B$34),$B$34/Thap!$BN$44,"")</f>
        <v/>
      </c>
      <c r="D34" t="inlineStr">
        <is>
          <t>gun_152</t>
        </is>
      </c>
      <c r="E34">
        <f>IF($D$34="","",IF(INDEX(cc_input_vu_khi!$B$2:$B$11,MATCH($D$34,cc_input_vu_khi!$A$2:$A$11,0))*INDEX(cc_input_bang_xuyen_giap!$B$2:$B$7,MIN(6,MAX(1,IF(INDEX(cc_input_vu_khi_suy_ra!$B$2:$B$11,MATCH($D$34,cc_input_vu_khi_suy_ra!$A$2:$A$11,0)),MAX(1,2-(INDEX(cc_input_vu_khi!$C$2:$C$11,MATCH($D$34,cc_input_vu_khi!$A$2:$A$11,0))-Thap!$K$44)),2-(INDEX(cc_input_vu_khi!$C$2:$C$11,MATCH($D$34,cc_input_vu_khi!$A$2:$A$11,0))-Thap!$K$44))+1)))*INDEX(cc_input_vu_khi_suy_ra!$D$2:$D$11,MATCH($D$34,cc_input_vu_khi_suy_ra!$A$2:$A$11,0))&gt;0,CEILING(Thap!$J$44/(INDEX(cc_input_vu_khi!$B$2:$B$11,MATCH($D$34,cc_input_vu_khi!$A$2:$A$11,0))*INDEX(cc_input_bang_xuyen_giap!$B$2:$B$7,MIN(6,MAX(1,IF(INDEX(cc_input_vu_khi_suy_ra!$B$2:$B$11,MATCH($D$34,cc_input_vu_khi_suy_ra!$A$2:$A$11,0)),MAX(1,2-(INDEX(cc_input_vu_khi!$C$2:$C$11,MATCH($D$34,cc_input_vu_khi!$A$2:$A$11,0))-Thap!$K$44)),2-(INDEX(cc_input_vu_khi!$C$2:$C$11,MATCH($D$34,cc_input_vu_khi!$A$2:$A$11,0))-Thap!$K$44))+1)))*INDEX(cc_input_vu_khi_suy_ra!$D$2:$D$11,MATCH($D$34,cc_input_vu_khi_suy_ra!$A$2:$A$11,0))),1),""))</f>
        <v/>
      </c>
      <c r="F34" t="inlineStr">
        <is>
          <t>gun_120_twin_he</t>
        </is>
      </c>
      <c r="G34">
        <f>IF($F$34="","",IF(INDEX(cc_input_vu_khi!$B$2:$B$11,MATCH($F$34,cc_input_vu_khi!$A$2:$A$11,0))*INDEX(cc_input_bang_xuyen_giap!$B$2:$B$7,MIN(6,MAX(1,IF(INDEX(cc_input_vu_khi_suy_ra!$B$2:$B$11,MATCH($F$34,cc_input_vu_khi_suy_ra!$A$2:$A$11,0)),MAX(1,2-(INDEX(cc_input_vu_khi!$C$2:$C$11,MATCH($F$34,cc_input_vu_khi!$A$2:$A$11,0))-Thap!$K$44)),2-(INDEX(cc_input_vu_khi!$C$2:$C$11,MATCH($F$34,cc_input_vu_khi!$A$2:$A$11,0))-Thap!$K$44))+1)))*INDEX(cc_input_vu_khi_suy_ra!$D$2:$D$11,MATCH($F$34,cc_input_vu_khi_suy_ra!$A$2:$A$11,0))&gt;0,CEILING(Thap!$J$44/(INDEX(cc_input_vu_khi!$B$2:$B$11,MATCH($F$34,cc_input_vu_khi!$A$2:$A$11,0))*INDEX(cc_input_bang_xuyen_giap!$B$2:$B$7,MIN(6,MAX(1,IF(INDEX(cc_input_vu_khi_suy_ra!$B$2:$B$11,MATCH($F$34,cc_input_vu_khi_suy_ra!$A$2:$A$11,0)),MAX(1,2-(INDEX(cc_input_vu_khi!$C$2:$C$11,MATCH($F$34,cc_input_vu_khi!$A$2:$A$11,0))-Thap!$K$44)),2-(INDEX(cc_input_vu_khi!$C$2:$C$11,MATCH($F$34,cc_input_vu_khi!$A$2:$A$11,0))-Thap!$K$44))+1)))*INDEX(cc_input_vu_khi_suy_ra!$D$2:$D$11,MATCH($F$34,cc_input_vu_khi_suy_ra!$A$2:$A$11,0))),1),""))</f>
        <v/>
      </c>
      <c r="H34" t="inlineStr"/>
      <c r="I34">
        <f>IF($H$34="","",IF(INDEX(cc_input_vu_khi!$B$2:$B$11,MATCH($H$34,cc_input_vu_khi!$A$2:$A$11,0))*INDEX(cc_input_bang_xuyen_giap!$B$2:$B$7,MIN(6,MAX(1,IF(INDEX(cc_input_vu_khi_suy_ra!$B$2:$B$11,MATCH($H$34,cc_input_vu_khi_suy_ra!$A$2:$A$11,0)),MAX(1,2-(INDEX(cc_input_vu_khi!$C$2:$C$11,MATCH($H$34,cc_input_vu_khi!$A$2:$A$11,0))-Thap!$K$44)),2-(INDEX(cc_input_vu_khi!$C$2:$C$11,MATCH($H$34,cc_input_vu_khi!$A$2:$A$11,0))-Thap!$K$44))+1)))*INDEX(cc_input_vu_khi_suy_ra!$D$2:$D$11,MATCH($H$34,cc_input_vu_khi_suy_ra!$A$2:$A$11,0))&gt;0,CEILING(Thap!$J$44/(INDEX(cc_input_vu_khi!$B$2:$B$11,MATCH($H$34,cc_input_vu_khi!$A$2:$A$11,0))*INDEX(cc_input_bang_xuyen_giap!$B$2:$B$7,MIN(6,MAX(1,IF(INDEX(cc_input_vu_khi_suy_ra!$B$2:$B$11,MATCH($H$34,cc_input_vu_khi_suy_ra!$A$2:$A$11,0)),MAX(1,2-(INDEX(cc_input_vu_khi!$C$2:$C$11,MATCH($H$34,cc_input_vu_khi!$A$2:$A$11,0))-Thap!$K$44)),2-(INDEX(cc_input_vu_khi!$C$2:$C$11,MATCH($H$34,cc_input_vu_khi!$A$2:$A$11,0))-Thap!$K$44))+1)))*INDEX(cc_input_vu_khi_suy_ra!$D$2:$D$11,MATCH($H$34,cc_input_vu_khi_suy_ra!$A$2:$A$11,0))),1),""))</f>
        <v/>
      </c>
      <c r="J34" t="inlineStr">
        <is>
          <t>thermobaric_rockets</t>
        </is>
      </c>
      <c r="K34">
        <f>IF($J$34="","",IF(INDEX(cc_input_vu_khi!$B$2:$B$11,MATCH($J$34,cc_input_vu_khi!$A$2:$A$11,0))*INDEX(cc_input_bang_xuyen_giap!$B$2:$B$7,MIN(6,MAX(1,IF(INDEX(cc_input_vu_khi_suy_ra!$B$2:$B$11,MATCH($J$34,cc_input_vu_khi_suy_ra!$A$2:$A$11,0)),MAX(1,2-(INDEX(cc_input_vu_khi!$C$2:$C$11,MATCH($J$34,cc_input_vu_khi!$A$2:$A$11,0))-Thap!$K$44)),2-(INDEX(cc_input_vu_khi!$C$2:$C$11,MATCH($J$34,cc_input_vu_khi!$A$2:$A$11,0))-Thap!$K$44))+1)))*INDEX(cc_input_vu_khi_suy_ra!$D$2:$D$11,MATCH($J$34,cc_input_vu_khi_suy_ra!$A$2:$A$11,0))&gt;0,CEILING(Thap!$J$44/(INDEX(cc_input_vu_khi!$B$2:$B$11,MATCH($J$34,cc_input_vu_khi!$A$2:$A$11,0))*INDEX(cc_input_bang_xuyen_giap!$B$2:$B$7,MIN(6,MAX(1,IF(INDEX(cc_input_vu_khi_suy_ra!$B$2:$B$11,MATCH($J$34,cc_input_vu_khi_suy_ra!$A$2:$A$11,0)),MAX(1,2-(INDEX(cc_input_vu_khi!$C$2:$C$11,MATCH($J$34,cc_input_vu_khi!$A$2:$A$11,0))-Thap!$K$44)),2-(INDEX(cc_input_vu_khi!$C$2:$C$11,MATCH($J$34,cc_input_vu_khi!$A$2:$A$11,0))-Thap!$K$44))+1)))*INDEX(cc_input_vu_khi_suy_ra!$D$2:$D$11,MATCH($J$34,cc_input_vu_khi_suy_ra!$A$2:$A$11,0))),1),""))</f>
        <v/>
      </c>
      <c r="L34" t="inlineStr">
        <is>
          <t>Tools/balance/p32_tower_prices.py Model.price('missile_battery.lrr') + threats('Large')</t>
        </is>
      </c>
      <c r="M34" t="inlineStr"/>
    </row>
    <row r="35">
      <c r="A35" t="inlineStr">
        <is>
          <t>missile_battery.pac3</t>
        </is>
      </c>
      <c r="B35">
        <f>Thap_gia_cong_thuc!$Q$35</f>
        <v/>
      </c>
      <c r="C35">
        <f>IF(ISNUMBER($B$35),$B$35/Thap!$BN$45,"")</f>
        <v/>
      </c>
      <c r="D35" t="inlineStr">
        <is>
          <t>gun_152</t>
        </is>
      </c>
      <c r="E35">
        <f>IF($D$35="","",IF(INDEX(cc_input_vu_khi!$B$2:$B$11,MATCH($D$35,cc_input_vu_khi!$A$2:$A$11,0))*INDEX(cc_input_bang_xuyen_giap!$B$2:$B$7,MIN(6,MAX(1,IF(INDEX(cc_input_vu_khi_suy_ra!$B$2:$B$11,MATCH($D$35,cc_input_vu_khi_suy_ra!$A$2:$A$11,0)),MAX(1,2-(INDEX(cc_input_vu_khi!$C$2:$C$11,MATCH($D$35,cc_input_vu_khi!$A$2:$A$11,0))-Thap!$K$45)),2-(INDEX(cc_input_vu_khi!$C$2:$C$11,MATCH($D$35,cc_input_vu_khi!$A$2:$A$11,0))-Thap!$K$45))+1)))*INDEX(cc_input_vu_khi_suy_ra!$D$2:$D$11,MATCH($D$35,cc_input_vu_khi_suy_ra!$A$2:$A$11,0))&gt;0,CEILING(Thap!$J$45/(INDEX(cc_input_vu_khi!$B$2:$B$11,MATCH($D$35,cc_input_vu_khi!$A$2:$A$11,0))*INDEX(cc_input_bang_xuyen_giap!$B$2:$B$7,MIN(6,MAX(1,IF(INDEX(cc_input_vu_khi_suy_ra!$B$2:$B$11,MATCH($D$35,cc_input_vu_khi_suy_ra!$A$2:$A$11,0)),MAX(1,2-(INDEX(cc_input_vu_khi!$C$2:$C$11,MATCH($D$35,cc_input_vu_khi!$A$2:$A$11,0))-Thap!$K$45)),2-(INDEX(cc_input_vu_khi!$C$2:$C$11,MATCH($D$35,cc_input_vu_khi!$A$2:$A$11,0))-Thap!$K$45))+1)))*INDEX(cc_input_vu_khi_suy_ra!$D$2:$D$11,MATCH($D$35,cc_input_vu_khi_suy_ra!$A$2:$A$11,0))),1),""))</f>
        <v/>
      </c>
      <c r="F35" t="inlineStr">
        <is>
          <t>gun_120_twin_he</t>
        </is>
      </c>
      <c r="G35">
        <f>IF($F$35="","",IF(INDEX(cc_input_vu_khi!$B$2:$B$11,MATCH($F$35,cc_input_vu_khi!$A$2:$A$11,0))*INDEX(cc_input_bang_xuyen_giap!$B$2:$B$7,MIN(6,MAX(1,IF(INDEX(cc_input_vu_khi_suy_ra!$B$2:$B$11,MATCH($F$35,cc_input_vu_khi_suy_ra!$A$2:$A$11,0)),MAX(1,2-(INDEX(cc_input_vu_khi!$C$2:$C$11,MATCH($F$35,cc_input_vu_khi!$A$2:$A$11,0))-Thap!$K$45)),2-(INDEX(cc_input_vu_khi!$C$2:$C$11,MATCH($F$35,cc_input_vu_khi!$A$2:$A$11,0))-Thap!$K$45))+1)))*INDEX(cc_input_vu_khi_suy_ra!$D$2:$D$11,MATCH($F$35,cc_input_vu_khi_suy_ra!$A$2:$A$11,0))&gt;0,CEILING(Thap!$J$45/(INDEX(cc_input_vu_khi!$B$2:$B$11,MATCH($F$35,cc_input_vu_khi!$A$2:$A$11,0))*INDEX(cc_input_bang_xuyen_giap!$B$2:$B$7,MIN(6,MAX(1,IF(INDEX(cc_input_vu_khi_suy_ra!$B$2:$B$11,MATCH($F$35,cc_input_vu_khi_suy_ra!$A$2:$A$11,0)),MAX(1,2-(INDEX(cc_input_vu_khi!$C$2:$C$11,MATCH($F$35,cc_input_vu_khi!$A$2:$A$11,0))-Thap!$K$45)),2-(INDEX(cc_input_vu_khi!$C$2:$C$11,MATCH($F$35,cc_input_vu_khi!$A$2:$A$11,0))-Thap!$K$45))+1)))*INDEX(cc_input_vu_khi_suy_ra!$D$2:$D$11,MATCH($F$35,cc_input_vu_khi_suy_ra!$A$2:$A$11,0))),1),""))</f>
        <v/>
      </c>
      <c r="H35" t="inlineStr"/>
      <c r="I35">
        <f>IF($H$35="","",IF(INDEX(cc_input_vu_khi!$B$2:$B$11,MATCH($H$35,cc_input_vu_khi!$A$2:$A$11,0))*INDEX(cc_input_bang_xuyen_giap!$B$2:$B$7,MIN(6,MAX(1,IF(INDEX(cc_input_vu_khi_suy_ra!$B$2:$B$11,MATCH($H$35,cc_input_vu_khi_suy_ra!$A$2:$A$11,0)),MAX(1,2-(INDEX(cc_input_vu_khi!$C$2:$C$11,MATCH($H$35,cc_input_vu_khi!$A$2:$A$11,0))-Thap!$K$45)),2-(INDEX(cc_input_vu_khi!$C$2:$C$11,MATCH($H$35,cc_input_vu_khi!$A$2:$A$11,0))-Thap!$K$45))+1)))*INDEX(cc_input_vu_khi_suy_ra!$D$2:$D$11,MATCH($H$35,cc_input_vu_khi_suy_ra!$A$2:$A$11,0))&gt;0,CEILING(Thap!$J$45/(INDEX(cc_input_vu_khi!$B$2:$B$11,MATCH($H$35,cc_input_vu_khi!$A$2:$A$11,0))*INDEX(cc_input_bang_xuyen_giap!$B$2:$B$7,MIN(6,MAX(1,IF(INDEX(cc_input_vu_khi_suy_ra!$B$2:$B$11,MATCH($H$35,cc_input_vu_khi_suy_ra!$A$2:$A$11,0)),MAX(1,2-(INDEX(cc_input_vu_khi!$C$2:$C$11,MATCH($H$35,cc_input_vu_khi!$A$2:$A$11,0))-Thap!$K$45)),2-(INDEX(cc_input_vu_khi!$C$2:$C$11,MATCH($H$35,cc_input_vu_khi!$A$2:$A$11,0))-Thap!$K$45))+1)))*INDEX(cc_input_vu_khi_suy_ra!$D$2:$D$11,MATCH($H$35,cc_input_vu_khi_suy_ra!$A$2:$A$11,0))),1),""))</f>
        <v/>
      </c>
      <c r="J35" t="inlineStr">
        <is>
          <t>thermobaric_rockets</t>
        </is>
      </c>
      <c r="K35">
        <f>IF($J$35="","",IF(INDEX(cc_input_vu_khi!$B$2:$B$11,MATCH($J$35,cc_input_vu_khi!$A$2:$A$11,0))*INDEX(cc_input_bang_xuyen_giap!$B$2:$B$7,MIN(6,MAX(1,IF(INDEX(cc_input_vu_khi_suy_ra!$B$2:$B$11,MATCH($J$35,cc_input_vu_khi_suy_ra!$A$2:$A$11,0)),MAX(1,2-(INDEX(cc_input_vu_khi!$C$2:$C$11,MATCH($J$35,cc_input_vu_khi!$A$2:$A$11,0))-Thap!$K$45)),2-(INDEX(cc_input_vu_khi!$C$2:$C$11,MATCH($J$35,cc_input_vu_khi!$A$2:$A$11,0))-Thap!$K$45))+1)))*INDEX(cc_input_vu_khi_suy_ra!$D$2:$D$11,MATCH($J$35,cc_input_vu_khi_suy_ra!$A$2:$A$11,0))&gt;0,CEILING(Thap!$J$45/(INDEX(cc_input_vu_khi!$B$2:$B$11,MATCH($J$35,cc_input_vu_khi!$A$2:$A$11,0))*INDEX(cc_input_bang_xuyen_giap!$B$2:$B$7,MIN(6,MAX(1,IF(INDEX(cc_input_vu_khi_suy_ra!$B$2:$B$11,MATCH($J$35,cc_input_vu_khi_suy_ra!$A$2:$A$11,0)),MAX(1,2-(INDEX(cc_input_vu_khi!$C$2:$C$11,MATCH($J$35,cc_input_vu_khi!$A$2:$A$11,0))-Thap!$K$45)),2-(INDEX(cc_input_vu_khi!$C$2:$C$11,MATCH($J$35,cc_input_vu_khi!$A$2:$A$11,0))-Thap!$K$45))+1)))*INDEX(cc_input_vu_khi_suy_ra!$D$2:$D$11,MATCH($J$35,cc_input_vu_khi_suy_ra!$A$2:$A$11,0))),1),""))</f>
        <v/>
      </c>
      <c r="L35" t="inlineStr">
        <is>
          <t>Tools/balance/p32_tower_prices.py Model.price('missile_battery.pac3') + threats('Large')</t>
        </is>
      </c>
      <c r="M35" t="inlineStr"/>
    </row>
    <row r="36">
      <c r="A36" t="inlineStr">
        <is>
          <t>rocket_turret</t>
        </is>
      </c>
      <c r="B36">
        <f>Thap_gia_cong_thuc!$Q$36</f>
        <v/>
      </c>
      <c r="C36">
        <f>IF(ISNUMBER($B$36),$B$36/Thap!$BN$48,"")</f>
        <v/>
      </c>
      <c r="D36" t="inlineStr">
        <is>
          <t>gun_105_wheeled</t>
        </is>
      </c>
      <c r="E36">
        <f>IF($D$36="","",IF(INDEX(cc_input_vu_khi!$B$2:$B$11,MATCH($D$36,cc_input_vu_khi!$A$2:$A$11,0))*INDEX(cc_input_bang_xuyen_giap!$B$2:$B$7,MIN(6,MAX(1,IF(INDEX(cc_input_vu_khi_suy_ra!$B$2:$B$11,MATCH($D$36,cc_input_vu_khi_suy_ra!$A$2:$A$11,0)),MAX(1,2-(INDEX(cc_input_vu_khi!$C$2:$C$11,MATCH($D$36,cc_input_vu_khi!$A$2:$A$11,0))-Thap!$K$48)),2-(INDEX(cc_input_vu_khi!$C$2:$C$11,MATCH($D$36,cc_input_vu_khi!$A$2:$A$11,0))-Thap!$K$48))+1)))*INDEX(cc_input_vu_khi_suy_ra!$D$2:$D$11,MATCH($D$36,cc_input_vu_khi_suy_ra!$A$2:$A$11,0))&gt;0,CEILING(Thap!$J$48/(INDEX(cc_input_vu_khi!$B$2:$B$11,MATCH($D$36,cc_input_vu_khi!$A$2:$A$11,0))*INDEX(cc_input_bang_xuyen_giap!$B$2:$B$7,MIN(6,MAX(1,IF(INDEX(cc_input_vu_khi_suy_ra!$B$2:$B$11,MATCH($D$36,cc_input_vu_khi_suy_ra!$A$2:$A$11,0)),MAX(1,2-(INDEX(cc_input_vu_khi!$C$2:$C$11,MATCH($D$36,cc_input_vu_khi!$A$2:$A$11,0))-Thap!$K$48)),2-(INDEX(cc_input_vu_khi!$C$2:$C$11,MATCH($D$36,cc_input_vu_khi!$A$2:$A$11,0))-Thap!$K$48))+1)))*INDEX(cc_input_vu_khi_suy_ra!$D$2:$D$11,MATCH($D$36,cc_input_vu_khi_suy_ra!$A$2:$A$11,0))),1),""))</f>
        <v/>
      </c>
      <c r="F36" t="inlineStr">
        <is>
          <t>gun_105_wheeled_he</t>
        </is>
      </c>
      <c r="G36">
        <f>IF($F$36="","",IF(INDEX(cc_input_vu_khi!$B$2:$B$11,MATCH($F$36,cc_input_vu_khi!$A$2:$A$11,0))*INDEX(cc_input_bang_xuyen_giap!$B$2:$B$7,MIN(6,MAX(1,IF(INDEX(cc_input_vu_khi_suy_ra!$B$2:$B$11,MATCH($F$36,cc_input_vu_khi_suy_ra!$A$2:$A$11,0)),MAX(1,2-(INDEX(cc_input_vu_khi!$C$2:$C$11,MATCH($F$36,cc_input_vu_khi!$A$2:$A$11,0))-Thap!$K$48)),2-(INDEX(cc_input_vu_khi!$C$2:$C$11,MATCH($F$36,cc_input_vu_khi!$A$2:$A$11,0))-Thap!$K$48))+1)))*INDEX(cc_input_vu_khi_suy_ra!$D$2:$D$11,MATCH($F$36,cc_input_vu_khi_suy_ra!$A$2:$A$11,0))&gt;0,CEILING(Thap!$J$48/(INDEX(cc_input_vu_khi!$B$2:$B$11,MATCH($F$36,cc_input_vu_khi!$A$2:$A$11,0))*INDEX(cc_input_bang_xuyen_giap!$B$2:$B$7,MIN(6,MAX(1,IF(INDEX(cc_input_vu_khi_suy_ra!$B$2:$B$11,MATCH($F$36,cc_input_vu_khi_suy_ra!$A$2:$A$11,0)),MAX(1,2-(INDEX(cc_input_vu_khi!$C$2:$C$11,MATCH($F$36,cc_input_vu_khi!$A$2:$A$11,0))-Thap!$K$48)),2-(INDEX(cc_input_vu_khi!$C$2:$C$11,MATCH($F$36,cc_input_vu_khi!$A$2:$A$11,0))-Thap!$K$48))+1)))*INDEX(cc_input_vu_khi_suy_ra!$D$2:$D$11,MATCH($F$36,cc_input_vu_khi_suy_ra!$A$2:$A$11,0))),1),""))</f>
        <v/>
      </c>
      <c r="H36" t="inlineStr"/>
      <c r="I36">
        <f>IF($H$36="","",IF(INDEX(cc_input_vu_khi!$B$2:$B$11,MATCH($H$36,cc_input_vu_khi!$A$2:$A$11,0))*INDEX(cc_input_bang_xuyen_giap!$B$2:$B$7,MIN(6,MAX(1,IF(INDEX(cc_input_vu_khi_suy_ra!$B$2:$B$11,MATCH($H$36,cc_input_vu_khi_suy_ra!$A$2:$A$11,0)),MAX(1,2-(INDEX(cc_input_vu_khi!$C$2:$C$11,MATCH($H$36,cc_input_vu_khi!$A$2:$A$11,0))-Thap!$K$48)),2-(INDEX(cc_input_vu_khi!$C$2:$C$11,MATCH($H$36,cc_input_vu_khi!$A$2:$A$11,0))-Thap!$K$48))+1)))*INDEX(cc_input_vu_khi_suy_ra!$D$2:$D$11,MATCH($H$36,cc_input_vu_khi_suy_ra!$A$2:$A$11,0))&gt;0,CEILING(Thap!$J$48/(INDEX(cc_input_vu_khi!$B$2:$B$11,MATCH($H$36,cc_input_vu_khi!$A$2:$A$11,0))*INDEX(cc_input_bang_xuyen_giap!$B$2:$B$7,MIN(6,MAX(1,IF(INDEX(cc_input_vu_khi_suy_ra!$B$2:$B$11,MATCH($H$36,cc_input_vu_khi_suy_ra!$A$2:$A$11,0)),MAX(1,2-(INDEX(cc_input_vu_khi!$C$2:$C$11,MATCH($H$36,cc_input_vu_khi!$A$2:$A$11,0))-Thap!$K$48)),2-(INDEX(cc_input_vu_khi!$C$2:$C$11,MATCH($H$36,cc_input_vu_khi!$A$2:$A$11,0))-Thap!$K$48))+1)))*INDEX(cc_input_vu_khi_suy_ra!$D$2:$D$11,MATCH($H$36,cc_input_vu_khi_suy_ra!$A$2:$A$11,0))),1),""))</f>
        <v/>
      </c>
      <c r="J36" t="inlineStr">
        <is>
          <t>mlrs_rockets</t>
        </is>
      </c>
      <c r="K36">
        <f>IF($J$36="","",IF(INDEX(cc_input_vu_khi!$B$2:$B$11,MATCH($J$36,cc_input_vu_khi!$A$2:$A$11,0))*INDEX(cc_input_bang_xuyen_giap!$B$2:$B$7,MIN(6,MAX(1,IF(INDEX(cc_input_vu_khi_suy_ra!$B$2:$B$11,MATCH($J$36,cc_input_vu_khi_suy_ra!$A$2:$A$11,0)),MAX(1,2-(INDEX(cc_input_vu_khi!$C$2:$C$11,MATCH($J$36,cc_input_vu_khi!$A$2:$A$11,0))-Thap!$K$48)),2-(INDEX(cc_input_vu_khi!$C$2:$C$11,MATCH($J$36,cc_input_vu_khi!$A$2:$A$11,0))-Thap!$K$48))+1)))*INDEX(cc_input_vu_khi_suy_ra!$D$2:$D$11,MATCH($J$36,cc_input_vu_khi_suy_ra!$A$2:$A$11,0))&gt;0,CEILING(Thap!$J$48/(INDEX(cc_input_vu_khi!$B$2:$B$11,MATCH($J$36,cc_input_vu_khi!$A$2:$A$11,0))*INDEX(cc_input_bang_xuyen_giap!$B$2:$B$7,MIN(6,MAX(1,IF(INDEX(cc_input_vu_khi_suy_ra!$B$2:$B$11,MATCH($J$36,cc_input_vu_khi_suy_ra!$A$2:$A$11,0)),MAX(1,2-(INDEX(cc_input_vu_khi!$C$2:$C$11,MATCH($J$36,cc_input_vu_khi!$A$2:$A$11,0))-Thap!$K$48)),2-(INDEX(cc_input_vu_khi!$C$2:$C$11,MATCH($J$36,cc_input_vu_khi!$A$2:$A$11,0))-Thap!$K$48))+1)))*INDEX(cc_input_vu_khi_suy_ra!$D$2:$D$11,MATCH($J$36,cc_input_vu_khi_suy_ra!$A$2:$A$11,0))),1),""))</f>
        <v/>
      </c>
      <c r="L36" t="inlineStr">
        <is>
          <t>Tools/balance/p32_tower_prices.py Model.price('rocket_turret') + threats('Medium')</t>
        </is>
      </c>
      <c r="M36" t="inlineStr"/>
    </row>
    <row r="37">
      <c r="A37" t="inlineStr">
        <is>
          <t>rocket_turret.cluster</t>
        </is>
      </c>
      <c r="B37">
        <f>Thap_gia_cong_thuc!$Q$37</f>
        <v/>
      </c>
      <c r="C37">
        <f>IF(ISNUMBER($B$37),$B$37/Thap!$BN$49,"")</f>
        <v/>
      </c>
      <c r="D37" t="inlineStr">
        <is>
          <t>gun_105_wheeled</t>
        </is>
      </c>
      <c r="E37">
        <f>IF($D$37="","",IF(INDEX(cc_input_vu_khi!$B$2:$B$11,MATCH($D$37,cc_input_vu_khi!$A$2:$A$11,0))*INDEX(cc_input_bang_xuyen_giap!$B$2:$B$7,MIN(6,MAX(1,IF(INDEX(cc_input_vu_khi_suy_ra!$B$2:$B$11,MATCH($D$37,cc_input_vu_khi_suy_ra!$A$2:$A$11,0)),MAX(1,2-(INDEX(cc_input_vu_khi!$C$2:$C$11,MATCH($D$37,cc_input_vu_khi!$A$2:$A$11,0))-Thap!$K$49)),2-(INDEX(cc_input_vu_khi!$C$2:$C$11,MATCH($D$37,cc_input_vu_khi!$A$2:$A$11,0))-Thap!$K$49))+1)))*INDEX(cc_input_vu_khi_suy_ra!$D$2:$D$11,MATCH($D$37,cc_input_vu_khi_suy_ra!$A$2:$A$11,0))&gt;0,CEILING(Thap!$J$49/(INDEX(cc_input_vu_khi!$B$2:$B$11,MATCH($D$37,cc_input_vu_khi!$A$2:$A$11,0))*INDEX(cc_input_bang_xuyen_giap!$B$2:$B$7,MIN(6,MAX(1,IF(INDEX(cc_input_vu_khi_suy_ra!$B$2:$B$11,MATCH($D$37,cc_input_vu_khi_suy_ra!$A$2:$A$11,0)),MAX(1,2-(INDEX(cc_input_vu_khi!$C$2:$C$11,MATCH($D$37,cc_input_vu_khi!$A$2:$A$11,0))-Thap!$K$49)),2-(INDEX(cc_input_vu_khi!$C$2:$C$11,MATCH($D$37,cc_input_vu_khi!$A$2:$A$11,0))-Thap!$K$49))+1)))*INDEX(cc_input_vu_khi_suy_ra!$D$2:$D$11,MATCH($D$37,cc_input_vu_khi_suy_ra!$A$2:$A$11,0))),1),""))</f>
        <v/>
      </c>
      <c r="F37" t="inlineStr">
        <is>
          <t>gun_105_wheeled_he</t>
        </is>
      </c>
      <c r="G37">
        <f>IF($F$37="","",IF(INDEX(cc_input_vu_khi!$B$2:$B$11,MATCH($F$37,cc_input_vu_khi!$A$2:$A$11,0))*INDEX(cc_input_bang_xuyen_giap!$B$2:$B$7,MIN(6,MAX(1,IF(INDEX(cc_input_vu_khi_suy_ra!$B$2:$B$11,MATCH($F$37,cc_input_vu_khi_suy_ra!$A$2:$A$11,0)),MAX(1,2-(INDEX(cc_input_vu_khi!$C$2:$C$11,MATCH($F$37,cc_input_vu_khi!$A$2:$A$11,0))-Thap!$K$49)),2-(INDEX(cc_input_vu_khi!$C$2:$C$11,MATCH($F$37,cc_input_vu_khi!$A$2:$A$11,0))-Thap!$K$49))+1)))*INDEX(cc_input_vu_khi_suy_ra!$D$2:$D$11,MATCH($F$37,cc_input_vu_khi_suy_ra!$A$2:$A$11,0))&gt;0,CEILING(Thap!$J$49/(INDEX(cc_input_vu_khi!$B$2:$B$11,MATCH($F$37,cc_input_vu_khi!$A$2:$A$11,0))*INDEX(cc_input_bang_xuyen_giap!$B$2:$B$7,MIN(6,MAX(1,IF(INDEX(cc_input_vu_khi_suy_ra!$B$2:$B$11,MATCH($F$37,cc_input_vu_khi_suy_ra!$A$2:$A$11,0)),MAX(1,2-(INDEX(cc_input_vu_khi!$C$2:$C$11,MATCH($F$37,cc_input_vu_khi!$A$2:$A$11,0))-Thap!$K$49)),2-(INDEX(cc_input_vu_khi!$C$2:$C$11,MATCH($F$37,cc_input_vu_khi!$A$2:$A$11,0))-Thap!$K$49))+1)))*INDEX(cc_input_vu_khi_suy_ra!$D$2:$D$11,MATCH($F$37,cc_input_vu_khi_suy_ra!$A$2:$A$11,0))),1),""))</f>
        <v/>
      </c>
      <c r="H37" t="inlineStr"/>
      <c r="I37">
        <f>IF($H$37="","",IF(INDEX(cc_input_vu_khi!$B$2:$B$11,MATCH($H$37,cc_input_vu_khi!$A$2:$A$11,0))*INDEX(cc_input_bang_xuyen_giap!$B$2:$B$7,MIN(6,MAX(1,IF(INDEX(cc_input_vu_khi_suy_ra!$B$2:$B$11,MATCH($H$37,cc_input_vu_khi_suy_ra!$A$2:$A$11,0)),MAX(1,2-(INDEX(cc_input_vu_khi!$C$2:$C$11,MATCH($H$37,cc_input_vu_khi!$A$2:$A$11,0))-Thap!$K$49)),2-(INDEX(cc_input_vu_khi!$C$2:$C$11,MATCH($H$37,cc_input_vu_khi!$A$2:$A$11,0))-Thap!$K$49))+1)))*INDEX(cc_input_vu_khi_suy_ra!$D$2:$D$11,MATCH($H$37,cc_input_vu_khi_suy_ra!$A$2:$A$11,0))&gt;0,CEILING(Thap!$J$49/(INDEX(cc_input_vu_khi!$B$2:$B$11,MATCH($H$37,cc_input_vu_khi!$A$2:$A$11,0))*INDEX(cc_input_bang_xuyen_giap!$B$2:$B$7,MIN(6,MAX(1,IF(INDEX(cc_input_vu_khi_suy_ra!$B$2:$B$11,MATCH($H$37,cc_input_vu_khi_suy_ra!$A$2:$A$11,0)),MAX(1,2-(INDEX(cc_input_vu_khi!$C$2:$C$11,MATCH($H$37,cc_input_vu_khi!$A$2:$A$11,0))-Thap!$K$49)),2-(INDEX(cc_input_vu_khi!$C$2:$C$11,MATCH($H$37,cc_input_vu_khi!$A$2:$A$11,0))-Thap!$K$49))+1)))*INDEX(cc_input_vu_khi_suy_ra!$D$2:$D$11,MATCH($H$37,cc_input_vu_khi_suy_ra!$A$2:$A$11,0))),1),""))</f>
        <v/>
      </c>
      <c r="J37" t="inlineStr">
        <is>
          <t>mlrs_rockets</t>
        </is>
      </c>
      <c r="K37">
        <f>IF($J$37="","",IF(INDEX(cc_input_vu_khi!$B$2:$B$11,MATCH($J$37,cc_input_vu_khi!$A$2:$A$11,0))*INDEX(cc_input_bang_xuyen_giap!$B$2:$B$7,MIN(6,MAX(1,IF(INDEX(cc_input_vu_khi_suy_ra!$B$2:$B$11,MATCH($J$37,cc_input_vu_khi_suy_ra!$A$2:$A$11,0)),MAX(1,2-(INDEX(cc_input_vu_khi!$C$2:$C$11,MATCH($J$37,cc_input_vu_khi!$A$2:$A$11,0))-Thap!$K$49)),2-(INDEX(cc_input_vu_khi!$C$2:$C$11,MATCH($J$37,cc_input_vu_khi!$A$2:$A$11,0))-Thap!$K$49))+1)))*INDEX(cc_input_vu_khi_suy_ra!$D$2:$D$11,MATCH($J$37,cc_input_vu_khi_suy_ra!$A$2:$A$11,0))&gt;0,CEILING(Thap!$J$49/(INDEX(cc_input_vu_khi!$B$2:$B$11,MATCH($J$37,cc_input_vu_khi!$A$2:$A$11,0))*INDEX(cc_input_bang_xuyen_giap!$B$2:$B$7,MIN(6,MAX(1,IF(INDEX(cc_input_vu_khi_suy_ra!$B$2:$B$11,MATCH($J$37,cc_input_vu_khi_suy_ra!$A$2:$A$11,0)),MAX(1,2-(INDEX(cc_input_vu_khi!$C$2:$C$11,MATCH($J$37,cc_input_vu_khi!$A$2:$A$11,0))-Thap!$K$49)),2-(INDEX(cc_input_vu_khi!$C$2:$C$11,MATCH($J$37,cc_input_vu_khi!$A$2:$A$11,0))-Thap!$K$49))+1)))*INDEX(cc_input_vu_khi_suy_ra!$D$2:$D$11,MATCH($J$37,cc_input_vu_khi_suy_ra!$A$2:$A$11,0))),1),""))</f>
        <v/>
      </c>
      <c r="L37" t="inlineStr">
        <is>
          <t>Tools/balance/p32_tower_prices.py Model.price('rocket_turret.cluster') + threats('Medium')</t>
        </is>
      </c>
      <c r="M37" t="inlineStr"/>
    </row>
    <row r="38">
      <c r="A38" t="inlineStr">
        <is>
          <t>rocket_turret.guided</t>
        </is>
      </c>
      <c r="B38">
        <f>Thap_gia_cong_thuc!$Q$38</f>
        <v/>
      </c>
      <c r="C38">
        <f>IF(ISNUMBER($B$38),$B$38/Thap!$BN$50,"")</f>
        <v/>
      </c>
      <c r="D38" t="inlineStr">
        <is>
          <t>gun_105_wheeled</t>
        </is>
      </c>
      <c r="E38">
        <f>IF($D$38="","",IF(INDEX(cc_input_vu_khi!$B$2:$B$11,MATCH($D$38,cc_input_vu_khi!$A$2:$A$11,0))*INDEX(cc_input_bang_xuyen_giap!$B$2:$B$7,MIN(6,MAX(1,IF(INDEX(cc_input_vu_khi_suy_ra!$B$2:$B$11,MATCH($D$38,cc_input_vu_khi_suy_ra!$A$2:$A$11,0)),MAX(1,2-(INDEX(cc_input_vu_khi!$C$2:$C$11,MATCH($D$38,cc_input_vu_khi!$A$2:$A$11,0))-Thap!$K$50)),2-(INDEX(cc_input_vu_khi!$C$2:$C$11,MATCH($D$38,cc_input_vu_khi!$A$2:$A$11,0))-Thap!$K$50))+1)))*INDEX(cc_input_vu_khi_suy_ra!$D$2:$D$11,MATCH($D$38,cc_input_vu_khi_suy_ra!$A$2:$A$11,0))&gt;0,CEILING(Thap!$J$50/(INDEX(cc_input_vu_khi!$B$2:$B$11,MATCH($D$38,cc_input_vu_khi!$A$2:$A$11,0))*INDEX(cc_input_bang_xuyen_giap!$B$2:$B$7,MIN(6,MAX(1,IF(INDEX(cc_input_vu_khi_suy_ra!$B$2:$B$11,MATCH($D$38,cc_input_vu_khi_suy_ra!$A$2:$A$11,0)),MAX(1,2-(INDEX(cc_input_vu_khi!$C$2:$C$11,MATCH($D$38,cc_input_vu_khi!$A$2:$A$11,0))-Thap!$K$50)),2-(INDEX(cc_input_vu_khi!$C$2:$C$11,MATCH($D$38,cc_input_vu_khi!$A$2:$A$11,0))-Thap!$K$50))+1)))*INDEX(cc_input_vu_khi_suy_ra!$D$2:$D$11,MATCH($D$38,cc_input_vu_khi_suy_ra!$A$2:$A$11,0))),1),""))</f>
        <v/>
      </c>
      <c r="F38" t="inlineStr">
        <is>
          <t>gun_105_wheeled_he</t>
        </is>
      </c>
      <c r="G38">
        <f>IF($F$38="","",IF(INDEX(cc_input_vu_khi!$B$2:$B$11,MATCH($F$38,cc_input_vu_khi!$A$2:$A$11,0))*INDEX(cc_input_bang_xuyen_giap!$B$2:$B$7,MIN(6,MAX(1,IF(INDEX(cc_input_vu_khi_suy_ra!$B$2:$B$11,MATCH($F$38,cc_input_vu_khi_suy_ra!$A$2:$A$11,0)),MAX(1,2-(INDEX(cc_input_vu_khi!$C$2:$C$11,MATCH($F$38,cc_input_vu_khi!$A$2:$A$11,0))-Thap!$K$50)),2-(INDEX(cc_input_vu_khi!$C$2:$C$11,MATCH($F$38,cc_input_vu_khi!$A$2:$A$11,0))-Thap!$K$50))+1)))*INDEX(cc_input_vu_khi_suy_ra!$D$2:$D$11,MATCH($F$38,cc_input_vu_khi_suy_ra!$A$2:$A$11,0))&gt;0,CEILING(Thap!$J$50/(INDEX(cc_input_vu_khi!$B$2:$B$11,MATCH($F$38,cc_input_vu_khi!$A$2:$A$11,0))*INDEX(cc_input_bang_xuyen_giap!$B$2:$B$7,MIN(6,MAX(1,IF(INDEX(cc_input_vu_khi_suy_ra!$B$2:$B$11,MATCH($F$38,cc_input_vu_khi_suy_ra!$A$2:$A$11,0)),MAX(1,2-(INDEX(cc_input_vu_khi!$C$2:$C$11,MATCH($F$38,cc_input_vu_khi!$A$2:$A$11,0))-Thap!$K$50)),2-(INDEX(cc_input_vu_khi!$C$2:$C$11,MATCH($F$38,cc_input_vu_khi!$A$2:$A$11,0))-Thap!$K$50))+1)))*INDEX(cc_input_vu_khi_suy_ra!$D$2:$D$11,MATCH($F$38,cc_input_vu_khi_suy_ra!$A$2:$A$11,0))),1),""))</f>
        <v/>
      </c>
      <c r="H38" t="inlineStr"/>
      <c r="I38">
        <f>IF($H$38="","",IF(INDEX(cc_input_vu_khi!$B$2:$B$11,MATCH($H$38,cc_input_vu_khi!$A$2:$A$11,0))*INDEX(cc_input_bang_xuyen_giap!$B$2:$B$7,MIN(6,MAX(1,IF(INDEX(cc_input_vu_khi_suy_ra!$B$2:$B$11,MATCH($H$38,cc_input_vu_khi_suy_ra!$A$2:$A$11,0)),MAX(1,2-(INDEX(cc_input_vu_khi!$C$2:$C$11,MATCH($H$38,cc_input_vu_khi!$A$2:$A$11,0))-Thap!$K$50)),2-(INDEX(cc_input_vu_khi!$C$2:$C$11,MATCH($H$38,cc_input_vu_khi!$A$2:$A$11,0))-Thap!$K$50))+1)))*INDEX(cc_input_vu_khi_suy_ra!$D$2:$D$11,MATCH($H$38,cc_input_vu_khi_suy_ra!$A$2:$A$11,0))&gt;0,CEILING(Thap!$J$50/(INDEX(cc_input_vu_khi!$B$2:$B$11,MATCH($H$38,cc_input_vu_khi!$A$2:$A$11,0))*INDEX(cc_input_bang_xuyen_giap!$B$2:$B$7,MIN(6,MAX(1,IF(INDEX(cc_input_vu_khi_suy_ra!$B$2:$B$11,MATCH($H$38,cc_input_vu_khi_suy_ra!$A$2:$A$11,0)),MAX(1,2-(INDEX(cc_input_vu_khi!$C$2:$C$11,MATCH($H$38,cc_input_vu_khi!$A$2:$A$11,0))-Thap!$K$50)),2-(INDEX(cc_input_vu_khi!$C$2:$C$11,MATCH($H$38,cc_input_vu_khi!$A$2:$A$11,0))-Thap!$K$50))+1)))*INDEX(cc_input_vu_khi_suy_ra!$D$2:$D$11,MATCH($H$38,cc_input_vu_khi_suy_ra!$A$2:$A$11,0))),1),""))</f>
        <v/>
      </c>
      <c r="J38" t="inlineStr">
        <is>
          <t>mlrs_rockets</t>
        </is>
      </c>
      <c r="K38">
        <f>IF($J$38="","",IF(INDEX(cc_input_vu_khi!$B$2:$B$11,MATCH($J$38,cc_input_vu_khi!$A$2:$A$11,0))*INDEX(cc_input_bang_xuyen_giap!$B$2:$B$7,MIN(6,MAX(1,IF(INDEX(cc_input_vu_khi_suy_ra!$B$2:$B$11,MATCH($J$38,cc_input_vu_khi_suy_ra!$A$2:$A$11,0)),MAX(1,2-(INDEX(cc_input_vu_khi!$C$2:$C$11,MATCH($J$38,cc_input_vu_khi!$A$2:$A$11,0))-Thap!$K$50)),2-(INDEX(cc_input_vu_khi!$C$2:$C$11,MATCH($J$38,cc_input_vu_khi!$A$2:$A$11,0))-Thap!$K$50))+1)))*INDEX(cc_input_vu_khi_suy_ra!$D$2:$D$11,MATCH($J$38,cc_input_vu_khi_suy_ra!$A$2:$A$11,0))&gt;0,CEILING(Thap!$J$50/(INDEX(cc_input_vu_khi!$B$2:$B$11,MATCH($J$38,cc_input_vu_khi!$A$2:$A$11,0))*INDEX(cc_input_bang_xuyen_giap!$B$2:$B$7,MIN(6,MAX(1,IF(INDEX(cc_input_vu_khi_suy_ra!$B$2:$B$11,MATCH($J$38,cc_input_vu_khi_suy_ra!$A$2:$A$11,0)),MAX(1,2-(INDEX(cc_input_vu_khi!$C$2:$C$11,MATCH($J$38,cc_input_vu_khi!$A$2:$A$11,0))-Thap!$K$50)),2-(INDEX(cc_input_vu_khi!$C$2:$C$11,MATCH($J$38,cc_input_vu_khi!$A$2:$A$11,0))-Thap!$K$50))+1)))*INDEX(cc_input_vu_khi_suy_ra!$D$2:$D$11,MATCH($J$38,cc_input_vu_khi_suy_ra!$A$2:$A$11,0))),1),""))</f>
        <v/>
      </c>
      <c r="L38" t="inlineStr">
        <is>
          <t>Tools/balance/p32_tower_prices.py Model.price('rocket_turret.guided') + threats('Medium')</t>
        </is>
      </c>
      <c r="M38" t="inlineStr"/>
    </row>
    <row r="39">
      <c r="A39" t="inlineStr">
        <is>
          <t>shield_tower</t>
        </is>
      </c>
      <c r="B39">
        <f>Thap_gia_cong_thuc!$Q$39</f>
        <v/>
      </c>
      <c r="C39">
        <f>IF(ISNUMBER($B$39),$B$39/Thap!$BN$51,"")</f>
        <v/>
      </c>
      <c r="D39" t="inlineStr">
        <is>
          <t>gun_152</t>
        </is>
      </c>
      <c r="E39">
        <f>IF($D$39="","",IF(INDEX(cc_input_vu_khi!$B$2:$B$11,MATCH($D$39,cc_input_vu_khi!$A$2:$A$11,0))*INDEX(cc_input_bang_xuyen_giap!$B$2:$B$7,MIN(6,MAX(1,IF(INDEX(cc_input_vu_khi_suy_ra!$B$2:$B$11,MATCH($D$39,cc_input_vu_khi_suy_ra!$A$2:$A$11,0)),MAX(1,2-(INDEX(cc_input_vu_khi!$C$2:$C$11,MATCH($D$39,cc_input_vu_khi!$A$2:$A$11,0))-Thap!$K$51)),2-(INDEX(cc_input_vu_khi!$C$2:$C$11,MATCH($D$39,cc_input_vu_khi!$A$2:$A$11,0))-Thap!$K$51))+1)))*INDEX(cc_input_vu_khi_suy_ra!$D$2:$D$11,MATCH($D$39,cc_input_vu_khi_suy_ra!$A$2:$A$11,0))&gt;0,CEILING(Thap!$J$51/(INDEX(cc_input_vu_khi!$B$2:$B$11,MATCH($D$39,cc_input_vu_khi!$A$2:$A$11,0))*INDEX(cc_input_bang_xuyen_giap!$B$2:$B$7,MIN(6,MAX(1,IF(INDEX(cc_input_vu_khi_suy_ra!$B$2:$B$11,MATCH($D$39,cc_input_vu_khi_suy_ra!$A$2:$A$11,0)),MAX(1,2-(INDEX(cc_input_vu_khi!$C$2:$C$11,MATCH($D$39,cc_input_vu_khi!$A$2:$A$11,0))-Thap!$K$51)),2-(INDEX(cc_input_vu_khi!$C$2:$C$11,MATCH($D$39,cc_input_vu_khi!$A$2:$A$11,0))-Thap!$K$51))+1)))*INDEX(cc_input_vu_khi_suy_ra!$D$2:$D$11,MATCH($D$39,cc_input_vu_khi_suy_ra!$A$2:$A$11,0))),1),""))</f>
        <v/>
      </c>
      <c r="F39" t="inlineStr">
        <is>
          <t>gun_120_twin_he</t>
        </is>
      </c>
      <c r="G39">
        <f>IF($F$39="","",IF(INDEX(cc_input_vu_khi!$B$2:$B$11,MATCH($F$39,cc_input_vu_khi!$A$2:$A$11,0))*INDEX(cc_input_bang_xuyen_giap!$B$2:$B$7,MIN(6,MAX(1,IF(INDEX(cc_input_vu_khi_suy_ra!$B$2:$B$11,MATCH($F$39,cc_input_vu_khi_suy_ra!$A$2:$A$11,0)),MAX(1,2-(INDEX(cc_input_vu_khi!$C$2:$C$11,MATCH($F$39,cc_input_vu_khi!$A$2:$A$11,0))-Thap!$K$51)),2-(INDEX(cc_input_vu_khi!$C$2:$C$11,MATCH($F$39,cc_input_vu_khi!$A$2:$A$11,0))-Thap!$K$51))+1)))*INDEX(cc_input_vu_khi_suy_ra!$D$2:$D$11,MATCH($F$39,cc_input_vu_khi_suy_ra!$A$2:$A$11,0))&gt;0,CEILING(Thap!$J$51/(INDEX(cc_input_vu_khi!$B$2:$B$11,MATCH($F$39,cc_input_vu_khi!$A$2:$A$11,0))*INDEX(cc_input_bang_xuyen_giap!$B$2:$B$7,MIN(6,MAX(1,IF(INDEX(cc_input_vu_khi_suy_ra!$B$2:$B$11,MATCH($F$39,cc_input_vu_khi_suy_ra!$A$2:$A$11,0)),MAX(1,2-(INDEX(cc_input_vu_khi!$C$2:$C$11,MATCH($F$39,cc_input_vu_khi!$A$2:$A$11,0))-Thap!$K$51)),2-(INDEX(cc_input_vu_khi!$C$2:$C$11,MATCH($F$39,cc_input_vu_khi!$A$2:$A$11,0))-Thap!$K$51))+1)))*INDEX(cc_input_vu_khi_suy_ra!$D$2:$D$11,MATCH($F$39,cc_input_vu_khi_suy_ra!$A$2:$A$11,0))),1),""))</f>
        <v/>
      </c>
      <c r="H39" t="inlineStr"/>
      <c r="I39">
        <f>IF($H$39="","",IF(INDEX(cc_input_vu_khi!$B$2:$B$11,MATCH($H$39,cc_input_vu_khi!$A$2:$A$11,0))*INDEX(cc_input_bang_xuyen_giap!$B$2:$B$7,MIN(6,MAX(1,IF(INDEX(cc_input_vu_khi_suy_ra!$B$2:$B$11,MATCH($H$39,cc_input_vu_khi_suy_ra!$A$2:$A$11,0)),MAX(1,2-(INDEX(cc_input_vu_khi!$C$2:$C$11,MATCH($H$39,cc_input_vu_khi!$A$2:$A$11,0))-Thap!$K$51)),2-(INDEX(cc_input_vu_khi!$C$2:$C$11,MATCH($H$39,cc_input_vu_khi!$A$2:$A$11,0))-Thap!$K$51))+1)))*INDEX(cc_input_vu_khi_suy_ra!$D$2:$D$11,MATCH($H$39,cc_input_vu_khi_suy_ra!$A$2:$A$11,0))&gt;0,CEILING(Thap!$J$51/(INDEX(cc_input_vu_khi!$B$2:$B$11,MATCH($H$39,cc_input_vu_khi!$A$2:$A$11,0))*INDEX(cc_input_bang_xuyen_giap!$B$2:$B$7,MIN(6,MAX(1,IF(INDEX(cc_input_vu_khi_suy_ra!$B$2:$B$11,MATCH($H$39,cc_input_vu_khi_suy_ra!$A$2:$A$11,0)),MAX(1,2-(INDEX(cc_input_vu_khi!$C$2:$C$11,MATCH($H$39,cc_input_vu_khi!$A$2:$A$11,0))-Thap!$K$51)),2-(INDEX(cc_input_vu_khi!$C$2:$C$11,MATCH($H$39,cc_input_vu_khi!$A$2:$A$11,0))-Thap!$K$51))+1)))*INDEX(cc_input_vu_khi_suy_ra!$D$2:$D$11,MATCH($H$39,cc_input_vu_khi_suy_ra!$A$2:$A$11,0))),1),""))</f>
        <v/>
      </c>
      <c r="J39" t="inlineStr">
        <is>
          <t>thermobaric_rockets</t>
        </is>
      </c>
      <c r="K39">
        <f>IF($J$39="","",IF(INDEX(cc_input_vu_khi!$B$2:$B$11,MATCH($J$39,cc_input_vu_khi!$A$2:$A$11,0))*INDEX(cc_input_bang_xuyen_giap!$B$2:$B$7,MIN(6,MAX(1,IF(INDEX(cc_input_vu_khi_suy_ra!$B$2:$B$11,MATCH($J$39,cc_input_vu_khi_suy_ra!$A$2:$A$11,0)),MAX(1,2-(INDEX(cc_input_vu_khi!$C$2:$C$11,MATCH($J$39,cc_input_vu_khi!$A$2:$A$11,0))-Thap!$K$51)),2-(INDEX(cc_input_vu_khi!$C$2:$C$11,MATCH($J$39,cc_input_vu_khi!$A$2:$A$11,0))-Thap!$K$51))+1)))*INDEX(cc_input_vu_khi_suy_ra!$D$2:$D$11,MATCH($J$39,cc_input_vu_khi_suy_ra!$A$2:$A$11,0))&gt;0,CEILING(Thap!$J$51/(INDEX(cc_input_vu_khi!$B$2:$B$11,MATCH($J$39,cc_input_vu_khi!$A$2:$A$11,0))*INDEX(cc_input_bang_xuyen_giap!$B$2:$B$7,MIN(6,MAX(1,IF(INDEX(cc_input_vu_khi_suy_ra!$B$2:$B$11,MATCH($J$39,cc_input_vu_khi_suy_ra!$A$2:$A$11,0)),MAX(1,2-(INDEX(cc_input_vu_khi!$C$2:$C$11,MATCH($J$39,cc_input_vu_khi!$A$2:$A$11,0))-Thap!$K$51)),2-(INDEX(cc_input_vu_khi!$C$2:$C$11,MATCH($J$39,cc_input_vu_khi!$A$2:$A$11,0))-Thap!$K$51))+1)))*INDEX(cc_input_vu_khi_suy_ra!$D$2:$D$11,MATCH($J$39,cc_input_vu_khi_suy_ra!$A$2:$A$11,0))),1),""))</f>
        <v/>
      </c>
      <c r="L39" t="inlineStr">
        <is>
          <t>Tools/balance/p32_tower_prices.py Model.price('shield_tower') + threats('Large')</t>
        </is>
      </c>
      <c r="M39" t="inlineStr"/>
    </row>
    <row r="40">
      <c r="A40" t="inlineStr">
        <is>
          <t>shield_tower.bulwark</t>
        </is>
      </c>
      <c r="B40">
        <f>Thap_gia_cong_thuc!$Q$40</f>
        <v/>
      </c>
      <c r="C40">
        <f>IF(ISNUMBER($B$40),$B$40/Thap!$BN$52,"")</f>
        <v/>
      </c>
      <c r="D40" t="inlineStr">
        <is>
          <t>gun_152</t>
        </is>
      </c>
      <c r="E40">
        <f>IF($D$40="","",IF(INDEX(cc_input_vu_khi!$B$2:$B$11,MATCH($D$40,cc_input_vu_khi!$A$2:$A$11,0))*INDEX(cc_input_bang_xuyen_giap!$B$2:$B$7,MIN(6,MAX(1,IF(INDEX(cc_input_vu_khi_suy_ra!$B$2:$B$11,MATCH($D$40,cc_input_vu_khi_suy_ra!$A$2:$A$11,0)),MAX(1,2-(INDEX(cc_input_vu_khi!$C$2:$C$11,MATCH($D$40,cc_input_vu_khi!$A$2:$A$11,0))-Thap!$K$52)),2-(INDEX(cc_input_vu_khi!$C$2:$C$11,MATCH($D$40,cc_input_vu_khi!$A$2:$A$11,0))-Thap!$K$52))+1)))*INDEX(cc_input_vu_khi_suy_ra!$D$2:$D$11,MATCH($D$40,cc_input_vu_khi_suy_ra!$A$2:$A$11,0))&gt;0,CEILING(Thap!$J$52/(INDEX(cc_input_vu_khi!$B$2:$B$11,MATCH($D$40,cc_input_vu_khi!$A$2:$A$11,0))*INDEX(cc_input_bang_xuyen_giap!$B$2:$B$7,MIN(6,MAX(1,IF(INDEX(cc_input_vu_khi_suy_ra!$B$2:$B$11,MATCH($D$40,cc_input_vu_khi_suy_ra!$A$2:$A$11,0)),MAX(1,2-(INDEX(cc_input_vu_khi!$C$2:$C$11,MATCH($D$40,cc_input_vu_khi!$A$2:$A$11,0))-Thap!$K$52)),2-(INDEX(cc_input_vu_khi!$C$2:$C$11,MATCH($D$40,cc_input_vu_khi!$A$2:$A$11,0))-Thap!$K$52))+1)))*INDEX(cc_input_vu_khi_suy_ra!$D$2:$D$11,MATCH($D$40,cc_input_vu_khi_suy_ra!$A$2:$A$11,0))),1),""))</f>
        <v/>
      </c>
      <c r="F40" t="inlineStr">
        <is>
          <t>gun_120_twin_he</t>
        </is>
      </c>
      <c r="G40">
        <f>IF($F$40="","",IF(INDEX(cc_input_vu_khi!$B$2:$B$11,MATCH($F$40,cc_input_vu_khi!$A$2:$A$11,0))*INDEX(cc_input_bang_xuyen_giap!$B$2:$B$7,MIN(6,MAX(1,IF(INDEX(cc_input_vu_khi_suy_ra!$B$2:$B$11,MATCH($F$40,cc_input_vu_khi_suy_ra!$A$2:$A$11,0)),MAX(1,2-(INDEX(cc_input_vu_khi!$C$2:$C$11,MATCH($F$40,cc_input_vu_khi!$A$2:$A$11,0))-Thap!$K$52)),2-(INDEX(cc_input_vu_khi!$C$2:$C$11,MATCH($F$40,cc_input_vu_khi!$A$2:$A$11,0))-Thap!$K$52))+1)))*INDEX(cc_input_vu_khi_suy_ra!$D$2:$D$11,MATCH($F$40,cc_input_vu_khi_suy_ra!$A$2:$A$11,0))&gt;0,CEILING(Thap!$J$52/(INDEX(cc_input_vu_khi!$B$2:$B$11,MATCH($F$40,cc_input_vu_khi!$A$2:$A$11,0))*INDEX(cc_input_bang_xuyen_giap!$B$2:$B$7,MIN(6,MAX(1,IF(INDEX(cc_input_vu_khi_suy_ra!$B$2:$B$11,MATCH($F$40,cc_input_vu_khi_suy_ra!$A$2:$A$11,0)),MAX(1,2-(INDEX(cc_input_vu_khi!$C$2:$C$11,MATCH($F$40,cc_input_vu_khi!$A$2:$A$11,0))-Thap!$K$52)),2-(INDEX(cc_input_vu_khi!$C$2:$C$11,MATCH($F$40,cc_input_vu_khi!$A$2:$A$11,0))-Thap!$K$52))+1)))*INDEX(cc_input_vu_khi_suy_ra!$D$2:$D$11,MATCH($F$40,cc_input_vu_khi_suy_ra!$A$2:$A$11,0))),1),""))</f>
        <v/>
      </c>
      <c r="H40" t="inlineStr"/>
      <c r="I40">
        <f>IF($H$40="","",IF(INDEX(cc_input_vu_khi!$B$2:$B$11,MATCH($H$40,cc_input_vu_khi!$A$2:$A$11,0))*INDEX(cc_input_bang_xuyen_giap!$B$2:$B$7,MIN(6,MAX(1,IF(INDEX(cc_input_vu_khi_suy_ra!$B$2:$B$11,MATCH($H$40,cc_input_vu_khi_suy_ra!$A$2:$A$11,0)),MAX(1,2-(INDEX(cc_input_vu_khi!$C$2:$C$11,MATCH($H$40,cc_input_vu_khi!$A$2:$A$11,0))-Thap!$K$52)),2-(INDEX(cc_input_vu_khi!$C$2:$C$11,MATCH($H$40,cc_input_vu_khi!$A$2:$A$11,0))-Thap!$K$52))+1)))*INDEX(cc_input_vu_khi_suy_ra!$D$2:$D$11,MATCH($H$40,cc_input_vu_khi_suy_ra!$A$2:$A$11,0))&gt;0,CEILING(Thap!$J$52/(INDEX(cc_input_vu_khi!$B$2:$B$11,MATCH($H$40,cc_input_vu_khi!$A$2:$A$11,0))*INDEX(cc_input_bang_xuyen_giap!$B$2:$B$7,MIN(6,MAX(1,IF(INDEX(cc_input_vu_khi_suy_ra!$B$2:$B$11,MATCH($H$40,cc_input_vu_khi_suy_ra!$A$2:$A$11,0)),MAX(1,2-(INDEX(cc_input_vu_khi!$C$2:$C$11,MATCH($H$40,cc_input_vu_khi!$A$2:$A$11,0))-Thap!$K$52)),2-(INDEX(cc_input_vu_khi!$C$2:$C$11,MATCH($H$40,cc_input_vu_khi!$A$2:$A$11,0))-Thap!$K$52))+1)))*INDEX(cc_input_vu_khi_suy_ra!$D$2:$D$11,MATCH($H$40,cc_input_vu_khi_suy_ra!$A$2:$A$11,0))),1),""))</f>
        <v/>
      </c>
      <c r="J40" t="inlineStr">
        <is>
          <t>thermobaric_rockets</t>
        </is>
      </c>
      <c r="K40">
        <f>IF($J$40="","",IF(INDEX(cc_input_vu_khi!$B$2:$B$11,MATCH($J$40,cc_input_vu_khi!$A$2:$A$11,0))*INDEX(cc_input_bang_xuyen_giap!$B$2:$B$7,MIN(6,MAX(1,IF(INDEX(cc_input_vu_khi_suy_ra!$B$2:$B$11,MATCH($J$40,cc_input_vu_khi_suy_ra!$A$2:$A$11,0)),MAX(1,2-(INDEX(cc_input_vu_khi!$C$2:$C$11,MATCH($J$40,cc_input_vu_khi!$A$2:$A$11,0))-Thap!$K$52)),2-(INDEX(cc_input_vu_khi!$C$2:$C$11,MATCH($J$40,cc_input_vu_khi!$A$2:$A$11,0))-Thap!$K$52))+1)))*INDEX(cc_input_vu_khi_suy_ra!$D$2:$D$11,MATCH($J$40,cc_input_vu_khi_suy_ra!$A$2:$A$11,0))&gt;0,CEILING(Thap!$J$52/(INDEX(cc_input_vu_khi!$B$2:$B$11,MATCH($J$40,cc_input_vu_khi!$A$2:$A$11,0))*INDEX(cc_input_bang_xuyen_giap!$B$2:$B$7,MIN(6,MAX(1,IF(INDEX(cc_input_vu_khi_suy_ra!$B$2:$B$11,MATCH($J$40,cc_input_vu_khi_suy_ra!$A$2:$A$11,0)),MAX(1,2-(INDEX(cc_input_vu_khi!$C$2:$C$11,MATCH($J$40,cc_input_vu_khi!$A$2:$A$11,0))-Thap!$K$52)),2-(INDEX(cc_input_vu_khi!$C$2:$C$11,MATCH($J$40,cc_input_vu_khi!$A$2:$A$11,0))-Thap!$K$52))+1)))*INDEX(cc_input_vu_khi_suy_ra!$D$2:$D$11,MATCH($J$40,cc_input_vu_khi_suy_ra!$A$2:$A$11,0))),1),""))</f>
        <v/>
      </c>
      <c r="L40" t="inlineStr">
        <is>
          <t>Tools/balance/p32_tower_prices.py Model.price('shield_tower.bulwark') + threats('Large')</t>
        </is>
      </c>
      <c r="M40" t="inlineStr"/>
    </row>
    <row r="41">
      <c r="A41" t="inlineStr">
        <is>
          <t>shield_tower.ward</t>
        </is>
      </c>
      <c r="B41">
        <f>Thap_gia_cong_thuc!$Q$41</f>
        <v/>
      </c>
      <c r="C41">
        <f>IF(ISNUMBER($B$41),$B$41/Thap!$BN$53,"")</f>
        <v/>
      </c>
      <c r="D41" t="inlineStr">
        <is>
          <t>gun_152</t>
        </is>
      </c>
      <c r="E41">
        <f>IF($D$41="","",IF(INDEX(cc_input_vu_khi!$B$2:$B$11,MATCH($D$41,cc_input_vu_khi!$A$2:$A$11,0))*INDEX(cc_input_bang_xuyen_giap!$B$2:$B$7,MIN(6,MAX(1,IF(INDEX(cc_input_vu_khi_suy_ra!$B$2:$B$11,MATCH($D$41,cc_input_vu_khi_suy_ra!$A$2:$A$11,0)),MAX(1,2-(INDEX(cc_input_vu_khi!$C$2:$C$11,MATCH($D$41,cc_input_vu_khi!$A$2:$A$11,0))-Thap!$K$53)),2-(INDEX(cc_input_vu_khi!$C$2:$C$11,MATCH($D$41,cc_input_vu_khi!$A$2:$A$11,0))-Thap!$K$53))+1)))*INDEX(cc_input_vu_khi_suy_ra!$D$2:$D$11,MATCH($D$41,cc_input_vu_khi_suy_ra!$A$2:$A$11,0))&gt;0,CEILING(Thap!$J$53/(INDEX(cc_input_vu_khi!$B$2:$B$11,MATCH($D$41,cc_input_vu_khi!$A$2:$A$11,0))*INDEX(cc_input_bang_xuyen_giap!$B$2:$B$7,MIN(6,MAX(1,IF(INDEX(cc_input_vu_khi_suy_ra!$B$2:$B$11,MATCH($D$41,cc_input_vu_khi_suy_ra!$A$2:$A$11,0)),MAX(1,2-(INDEX(cc_input_vu_khi!$C$2:$C$11,MATCH($D$41,cc_input_vu_khi!$A$2:$A$11,0))-Thap!$K$53)),2-(INDEX(cc_input_vu_khi!$C$2:$C$11,MATCH($D$41,cc_input_vu_khi!$A$2:$A$11,0))-Thap!$K$53))+1)))*INDEX(cc_input_vu_khi_suy_ra!$D$2:$D$11,MATCH($D$41,cc_input_vu_khi_suy_ra!$A$2:$A$11,0))),1),""))</f>
        <v/>
      </c>
      <c r="F41" t="inlineStr">
        <is>
          <t>gun_120_twin_he</t>
        </is>
      </c>
      <c r="G41">
        <f>IF($F$41="","",IF(INDEX(cc_input_vu_khi!$B$2:$B$11,MATCH($F$41,cc_input_vu_khi!$A$2:$A$11,0))*INDEX(cc_input_bang_xuyen_giap!$B$2:$B$7,MIN(6,MAX(1,IF(INDEX(cc_input_vu_khi_suy_ra!$B$2:$B$11,MATCH($F$41,cc_input_vu_khi_suy_ra!$A$2:$A$11,0)),MAX(1,2-(INDEX(cc_input_vu_khi!$C$2:$C$11,MATCH($F$41,cc_input_vu_khi!$A$2:$A$11,0))-Thap!$K$53)),2-(INDEX(cc_input_vu_khi!$C$2:$C$11,MATCH($F$41,cc_input_vu_khi!$A$2:$A$11,0))-Thap!$K$53))+1)))*INDEX(cc_input_vu_khi_suy_ra!$D$2:$D$11,MATCH($F$41,cc_input_vu_khi_suy_ra!$A$2:$A$11,0))&gt;0,CEILING(Thap!$J$53/(INDEX(cc_input_vu_khi!$B$2:$B$11,MATCH($F$41,cc_input_vu_khi!$A$2:$A$11,0))*INDEX(cc_input_bang_xuyen_giap!$B$2:$B$7,MIN(6,MAX(1,IF(INDEX(cc_input_vu_khi_suy_ra!$B$2:$B$11,MATCH($F$41,cc_input_vu_khi_suy_ra!$A$2:$A$11,0)),MAX(1,2-(INDEX(cc_input_vu_khi!$C$2:$C$11,MATCH($F$41,cc_input_vu_khi!$A$2:$A$11,0))-Thap!$K$53)),2-(INDEX(cc_input_vu_khi!$C$2:$C$11,MATCH($F$41,cc_input_vu_khi!$A$2:$A$11,0))-Thap!$K$53))+1)))*INDEX(cc_input_vu_khi_suy_ra!$D$2:$D$11,MATCH($F$41,cc_input_vu_khi_suy_ra!$A$2:$A$11,0))),1),""))</f>
        <v/>
      </c>
      <c r="H41" t="inlineStr"/>
      <c r="I41">
        <f>IF($H$41="","",IF(INDEX(cc_input_vu_khi!$B$2:$B$11,MATCH($H$41,cc_input_vu_khi!$A$2:$A$11,0))*INDEX(cc_input_bang_xuyen_giap!$B$2:$B$7,MIN(6,MAX(1,IF(INDEX(cc_input_vu_khi_suy_ra!$B$2:$B$11,MATCH($H$41,cc_input_vu_khi_suy_ra!$A$2:$A$11,0)),MAX(1,2-(INDEX(cc_input_vu_khi!$C$2:$C$11,MATCH($H$41,cc_input_vu_khi!$A$2:$A$11,0))-Thap!$K$53)),2-(INDEX(cc_input_vu_khi!$C$2:$C$11,MATCH($H$41,cc_input_vu_khi!$A$2:$A$11,0))-Thap!$K$53))+1)))*INDEX(cc_input_vu_khi_suy_ra!$D$2:$D$11,MATCH($H$41,cc_input_vu_khi_suy_ra!$A$2:$A$11,0))&gt;0,CEILING(Thap!$J$53/(INDEX(cc_input_vu_khi!$B$2:$B$11,MATCH($H$41,cc_input_vu_khi!$A$2:$A$11,0))*INDEX(cc_input_bang_xuyen_giap!$B$2:$B$7,MIN(6,MAX(1,IF(INDEX(cc_input_vu_khi_suy_ra!$B$2:$B$11,MATCH($H$41,cc_input_vu_khi_suy_ra!$A$2:$A$11,0)),MAX(1,2-(INDEX(cc_input_vu_khi!$C$2:$C$11,MATCH($H$41,cc_input_vu_khi!$A$2:$A$11,0))-Thap!$K$53)),2-(INDEX(cc_input_vu_khi!$C$2:$C$11,MATCH($H$41,cc_input_vu_khi!$A$2:$A$11,0))-Thap!$K$53))+1)))*INDEX(cc_input_vu_khi_suy_ra!$D$2:$D$11,MATCH($H$41,cc_input_vu_khi_suy_ra!$A$2:$A$11,0))),1),""))</f>
        <v/>
      </c>
      <c r="J41" t="inlineStr">
        <is>
          <t>thermobaric_rockets</t>
        </is>
      </c>
      <c r="K41">
        <f>IF($J$41="","",IF(INDEX(cc_input_vu_khi!$B$2:$B$11,MATCH($J$41,cc_input_vu_khi!$A$2:$A$11,0))*INDEX(cc_input_bang_xuyen_giap!$B$2:$B$7,MIN(6,MAX(1,IF(INDEX(cc_input_vu_khi_suy_ra!$B$2:$B$11,MATCH($J$41,cc_input_vu_khi_suy_ra!$A$2:$A$11,0)),MAX(1,2-(INDEX(cc_input_vu_khi!$C$2:$C$11,MATCH($J$41,cc_input_vu_khi!$A$2:$A$11,0))-Thap!$K$53)),2-(INDEX(cc_input_vu_khi!$C$2:$C$11,MATCH($J$41,cc_input_vu_khi!$A$2:$A$11,0))-Thap!$K$53))+1)))*INDEX(cc_input_vu_khi_suy_ra!$D$2:$D$11,MATCH($J$41,cc_input_vu_khi_suy_ra!$A$2:$A$11,0))&gt;0,CEILING(Thap!$J$53/(INDEX(cc_input_vu_khi!$B$2:$B$11,MATCH($J$41,cc_input_vu_khi!$A$2:$A$11,0))*INDEX(cc_input_bang_xuyen_giap!$B$2:$B$7,MIN(6,MAX(1,IF(INDEX(cc_input_vu_khi_suy_ra!$B$2:$B$11,MATCH($J$41,cc_input_vu_khi_suy_ra!$A$2:$A$11,0)),MAX(1,2-(INDEX(cc_input_vu_khi!$C$2:$C$11,MATCH($J$41,cc_input_vu_khi!$A$2:$A$11,0))-Thap!$K$53)),2-(INDEX(cc_input_vu_khi!$C$2:$C$11,MATCH($J$41,cc_input_vu_khi!$A$2:$A$11,0))-Thap!$K$53))+1)))*INDEX(cc_input_vu_khi_suy_ra!$D$2:$D$11,MATCH($J$41,cc_input_vu_khi_suy_ra!$A$2:$A$11,0))),1),""))</f>
        <v/>
      </c>
      <c r="L41" t="inlineStr">
        <is>
          <t>Tools/balance/p32_tower_prices.py Model.price('shield_tower.ward') + threats('Large')</t>
        </is>
      </c>
      <c r="M41" t="inlineStr"/>
    </row>
    <row r="42">
      <c r="A42" t="inlineStr">
        <is>
          <t>vehicle_hangar</t>
        </is>
      </c>
      <c r="B42">
        <f>Thap_gia_cong_thuc!$Q$42</f>
        <v/>
      </c>
      <c r="C42">
        <f>IF(ISNUMBER($B$42),$B$42/Thap!$BN$57,"")</f>
        <v/>
      </c>
      <c r="D42" t="inlineStr">
        <is>
          <t>gun_105_wheeled</t>
        </is>
      </c>
      <c r="E42">
        <f>IF($D$42="","",IF(INDEX(cc_input_vu_khi!$B$2:$B$11,MATCH($D$42,cc_input_vu_khi!$A$2:$A$11,0))*INDEX(cc_input_bang_xuyen_giap!$B$2:$B$7,MIN(6,MAX(1,IF(INDEX(cc_input_vu_khi_suy_ra!$B$2:$B$11,MATCH($D$42,cc_input_vu_khi_suy_ra!$A$2:$A$11,0)),MAX(1,2-(INDEX(cc_input_vu_khi!$C$2:$C$11,MATCH($D$42,cc_input_vu_khi!$A$2:$A$11,0))-Thap!$K$57)),2-(INDEX(cc_input_vu_khi!$C$2:$C$11,MATCH($D$42,cc_input_vu_khi!$A$2:$A$11,0))-Thap!$K$57))+1)))*INDEX(cc_input_vu_khi_suy_ra!$D$2:$D$11,MATCH($D$42,cc_input_vu_khi_suy_ra!$A$2:$A$11,0))&gt;0,CEILING(Thap!$J$57/(INDEX(cc_input_vu_khi!$B$2:$B$11,MATCH($D$42,cc_input_vu_khi!$A$2:$A$11,0))*INDEX(cc_input_bang_xuyen_giap!$B$2:$B$7,MIN(6,MAX(1,IF(INDEX(cc_input_vu_khi_suy_ra!$B$2:$B$11,MATCH($D$42,cc_input_vu_khi_suy_ra!$A$2:$A$11,0)),MAX(1,2-(INDEX(cc_input_vu_khi!$C$2:$C$11,MATCH($D$42,cc_input_vu_khi!$A$2:$A$11,0))-Thap!$K$57)),2-(INDEX(cc_input_vu_khi!$C$2:$C$11,MATCH($D$42,cc_input_vu_khi!$A$2:$A$11,0))-Thap!$K$57))+1)))*INDEX(cc_input_vu_khi_suy_ra!$D$2:$D$11,MATCH($D$42,cc_input_vu_khi_suy_ra!$A$2:$A$11,0))),1),""))</f>
        <v/>
      </c>
      <c r="F42" t="inlineStr">
        <is>
          <t>gun_105_wheeled_he</t>
        </is>
      </c>
      <c r="G42">
        <f>IF($F$42="","",IF(INDEX(cc_input_vu_khi!$B$2:$B$11,MATCH($F$42,cc_input_vu_khi!$A$2:$A$11,0))*INDEX(cc_input_bang_xuyen_giap!$B$2:$B$7,MIN(6,MAX(1,IF(INDEX(cc_input_vu_khi_suy_ra!$B$2:$B$11,MATCH($F$42,cc_input_vu_khi_suy_ra!$A$2:$A$11,0)),MAX(1,2-(INDEX(cc_input_vu_khi!$C$2:$C$11,MATCH($F$42,cc_input_vu_khi!$A$2:$A$11,0))-Thap!$K$57)),2-(INDEX(cc_input_vu_khi!$C$2:$C$11,MATCH($F$42,cc_input_vu_khi!$A$2:$A$11,0))-Thap!$K$57))+1)))*INDEX(cc_input_vu_khi_suy_ra!$D$2:$D$11,MATCH($F$42,cc_input_vu_khi_suy_ra!$A$2:$A$11,0))&gt;0,CEILING(Thap!$J$57/(INDEX(cc_input_vu_khi!$B$2:$B$11,MATCH($F$42,cc_input_vu_khi!$A$2:$A$11,0))*INDEX(cc_input_bang_xuyen_giap!$B$2:$B$7,MIN(6,MAX(1,IF(INDEX(cc_input_vu_khi_suy_ra!$B$2:$B$11,MATCH($F$42,cc_input_vu_khi_suy_ra!$A$2:$A$11,0)),MAX(1,2-(INDEX(cc_input_vu_khi!$C$2:$C$11,MATCH($F$42,cc_input_vu_khi!$A$2:$A$11,0))-Thap!$K$57)),2-(INDEX(cc_input_vu_khi!$C$2:$C$11,MATCH($F$42,cc_input_vu_khi!$A$2:$A$11,0))-Thap!$K$57))+1)))*INDEX(cc_input_vu_khi_suy_ra!$D$2:$D$11,MATCH($F$42,cc_input_vu_khi_suy_ra!$A$2:$A$11,0))),1),""))</f>
        <v/>
      </c>
      <c r="H42" t="inlineStr"/>
      <c r="I42">
        <f>IF($H$42="","",IF(INDEX(cc_input_vu_khi!$B$2:$B$11,MATCH($H$42,cc_input_vu_khi!$A$2:$A$11,0))*INDEX(cc_input_bang_xuyen_giap!$B$2:$B$7,MIN(6,MAX(1,IF(INDEX(cc_input_vu_khi_suy_ra!$B$2:$B$11,MATCH($H$42,cc_input_vu_khi_suy_ra!$A$2:$A$11,0)),MAX(1,2-(INDEX(cc_input_vu_khi!$C$2:$C$11,MATCH($H$42,cc_input_vu_khi!$A$2:$A$11,0))-Thap!$K$57)),2-(INDEX(cc_input_vu_khi!$C$2:$C$11,MATCH($H$42,cc_input_vu_khi!$A$2:$A$11,0))-Thap!$K$57))+1)))*INDEX(cc_input_vu_khi_suy_ra!$D$2:$D$11,MATCH($H$42,cc_input_vu_khi_suy_ra!$A$2:$A$11,0))&gt;0,CEILING(Thap!$J$57/(INDEX(cc_input_vu_khi!$B$2:$B$11,MATCH($H$42,cc_input_vu_khi!$A$2:$A$11,0))*INDEX(cc_input_bang_xuyen_giap!$B$2:$B$7,MIN(6,MAX(1,IF(INDEX(cc_input_vu_khi_suy_ra!$B$2:$B$11,MATCH($H$42,cc_input_vu_khi_suy_ra!$A$2:$A$11,0)),MAX(1,2-(INDEX(cc_input_vu_khi!$C$2:$C$11,MATCH($H$42,cc_input_vu_khi!$A$2:$A$11,0))-Thap!$K$57)),2-(INDEX(cc_input_vu_khi!$C$2:$C$11,MATCH($H$42,cc_input_vu_khi!$A$2:$A$11,0))-Thap!$K$57))+1)))*INDEX(cc_input_vu_khi_suy_ra!$D$2:$D$11,MATCH($H$42,cc_input_vu_khi_suy_ra!$A$2:$A$11,0))),1),""))</f>
        <v/>
      </c>
      <c r="J42" t="inlineStr">
        <is>
          <t>mlrs_rockets</t>
        </is>
      </c>
      <c r="K42">
        <f>IF($J$42="","",IF(INDEX(cc_input_vu_khi!$B$2:$B$11,MATCH($J$42,cc_input_vu_khi!$A$2:$A$11,0))*INDEX(cc_input_bang_xuyen_giap!$B$2:$B$7,MIN(6,MAX(1,IF(INDEX(cc_input_vu_khi_suy_ra!$B$2:$B$11,MATCH($J$42,cc_input_vu_khi_suy_ra!$A$2:$A$11,0)),MAX(1,2-(INDEX(cc_input_vu_khi!$C$2:$C$11,MATCH($J$42,cc_input_vu_khi!$A$2:$A$11,0))-Thap!$K$57)),2-(INDEX(cc_input_vu_khi!$C$2:$C$11,MATCH($J$42,cc_input_vu_khi!$A$2:$A$11,0))-Thap!$K$57))+1)))*INDEX(cc_input_vu_khi_suy_ra!$D$2:$D$11,MATCH($J$42,cc_input_vu_khi_suy_ra!$A$2:$A$11,0))&gt;0,CEILING(Thap!$J$57/(INDEX(cc_input_vu_khi!$B$2:$B$11,MATCH($J$42,cc_input_vu_khi!$A$2:$A$11,0))*INDEX(cc_input_bang_xuyen_giap!$B$2:$B$7,MIN(6,MAX(1,IF(INDEX(cc_input_vu_khi_suy_ra!$B$2:$B$11,MATCH($J$42,cc_input_vu_khi_suy_ra!$A$2:$A$11,0)),MAX(1,2-(INDEX(cc_input_vu_khi!$C$2:$C$11,MATCH($J$42,cc_input_vu_khi!$A$2:$A$11,0))-Thap!$K$57)),2-(INDEX(cc_input_vu_khi!$C$2:$C$11,MATCH($J$42,cc_input_vu_khi!$A$2:$A$11,0))-Thap!$K$57))+1)))*INDEX(cc_input_vu_khi_suy_ra!$D$2:$D$11,MATCH($J$42,cc_input_vu_khi_suy_ra!$A$2:$A$11,0))),1),""))</f>
        <v/>
      </c>
      <c r="L42" t="inlineStr">
        <is>
          <t>Tools/balance/p32_tower_prices.py Model.price('vehicle_hangar') + threats('Medium')</t>
        </is>
      </c>
      <c r="M42" t="inlineStr"/>
    </row>
  </sheetData>
  <autoFilter ref="A1:M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8" customWidth="1" min="3" max="3"/>
    <col width="18" customWidth="1" min="4" max="4"/>
    <col width="18" customWidth="1" min="5" max="5"/>
    <col width="19" customWidth="1" min="6" max="6"/>
    <col width="19" customWidth="1" min="7" max="7"/>
    <col width="19" customWidth="1" min="8" max="8"/>
    <col width="10" customWidth="1" min="9" max="9"/>
    <col width="27" customWidth="1" min="10" max="10"/>
    <col width="51" customWidth="1" min="11" max="11"/>
    <col width="50" customWidth="1" min="12" max="12"/>
    <col width="10" customWidth="1" min="13" max="13"/>
  </cols>
  <sheetData>
    <row r="1">
      <c r="A1" s="1" t="inlineStr">
        <is>
          <t>id</t>
        </is>
      </c>
      <c r="B1" s="1" t="inlineStr">
        <is>
          <t>kieu</t>
        </is>
      </c>
      <c r="C1" s="1" t="inlineStr">
        <is>
          <t>cap_hq</t>
        </is>
      </c>
      <c r="D1" s="1" t="inlineStr">
        <is>
          <t>muc_tieu_duoi_cp</t>
        </is>
      </c>
      <c r="E1" s="1" t="inlineStr">
        <is>
          <t>muc_tieu_tren_cp</t>
        </is>
      </c>
      <c r="F1" s="1" t="inlineStr">
        <is>
          <t>thanh_phan_1</t>
        </is>
      </c>
      <c r="G1" s="1" t="inlineStr">
        <is>
          <t>thanh_phan_2</t>
        </is>
      </c>
      <c r="H1" s="1" t="inlineStr">
        <is>
          <t>thanh_phan_3</t>
        </is>
      </c>
      <c r="I1" s="1" t="inlineStr">
        <is>
          <t>chia_cho</t>
        </is>
      </c>
      <c r="J1" s="1" t="inlineStr">
        <is>
          <t>gia_tri_moi_phut_cp</t>
        </is>
      </c>
      <c r="K1" s="1" t="inlineStr">
        <is>
          <t>dai</t>
        </is>
      </c>
      <c r="L1" s="1" t="inlineStr">
        <is>
          <t>nguon</t>
        </is>
      </c>
      <c r="M1" s="1" t="inlineStr">
        <is>
          <t>raw_json</t>
        </is>
      </c>
    </row>
    <row r="2">
      <c r="A2" t="inlineStr">
        <is>
          <t>fortress/1</t>
        </is>
      </c>
      <c r="B2" t="inlineStr">
        <is>
          <t>fortress</t>
        </is>
      </c>
      <c r="C2" t="n">
        <v>1</v>
      </c>
      <c r="D2" t="n">
        <v>4</v>
      </c>
      <c r="E2" t="n">
        <v>5</v>
      </c>
      <c r="F2" t="n">
        <v>2.721315755988609</v>
      </c>
      <c r="G2" t="n">
        <v>1.477624011502516</v>
      </c>
      <c r="H2" t="n">
        <v>0</v>
      </c>
      <c r="I2" t="n">
        <v>1</v>
      </c>
      <c r="J2">
        <f>($F$2+$G$2+$H$2)/$I$2</f>
        <v/>
      </c>
      <c r="K2">
        <f>IF($J$2&lt;$D$2,"low",IF($J$2&gt;$E$2,"high","in"))</f>
        <v/>
      </c>
      <c r="L2" t="inlineStr">
        <is>
          <t>Tools/balance/p32_hq_types.py HqModel.fortress(1)</t>
        </is>
      </c>
      <c r="M2" t="inlineStr"/>
    </row>
    <row r="3">
      <c r="A3" t="inlineStr">
        <is>
          <t>fortress/2</t>
        </is>
      </c>
      <c r="B3" t="inlineStr">
        <is>
          <t>fortress</t>
        </is>
      </c>
      <c r="C3" t="n">
        <v>2</v>
      </c>
      <c r="D3" t="n">
        <v>5</v>
      </c>
      <c r="E3" t="n">
        <v>6</v>
      </c>
      <c r="F3" t="n">
        <v>3.378185076399653</v>
      </c>
      <c r="G3" t="n">
        <v>1.834291876347951</v>
      </c>
      <c r="H3" t="n">
        <v>0</v>
      </c>
      <c r="I3" t="n">
        <v>1</v>
      </c>
      <c r="J3">
        <f>($F$3+$G$3+$H$3)/$I$3</f>
        <v/>
      </c>
      <c r="K3">
        <f>IF($J$3&lt;$D$3,"low",IF($J$3&gt;$E$3,"high","in"))</f>
        <v/>
      </c>
      <c r="L3" t="inlineStr">
        <is>
          <t>Tools/balance/p32_hq_types.py HqModel.fortress(2)</t>
        </is>
      </c>
      <c r="M3" t="inlineStr"/>
    </row>
    <row r="4">
      <c r="A4" t="inlineStr">
        <is>
          <t>fortress/3</t>
        </is>
      </c>
      <c r="B4" t="inlineStr">
        <is>
          <t>fortress</t>
        </is>
      </c>
      <c r="C4" t="n">
        <v>3</v>
      </c>
      <c r="D4" t="n">
        <v>6</v>
      </c>
      <c r="E4" t="n">
        <v>7</v>
      </c>
      <c r="F4" t="n">
        <v>3.941215922466261</v>
      </c>
      <c r="G4" t="n">
        <v>2.14000718907261</v>
      </c>
      <c r="H4" t="n">
        <v>0</v>
      </c>
      <c r="I4" t="n">
        <v>1</v>
      </c>
      <c r="J4">
        <f>($F$4+$G$4+$H$4)/$I$4</f>
        <v/>
      </c>
      <c r="K4">
        <f>IF($J$4&lt;$D$4,"low",IF($J$4&gt;$E$4,"high","in"))</f>
        <v/>
      </c>
      <c r="L4" t="inlineStr">
        <is>
          <t>Tools/balance/p32_hq_types.py HqModel.fortress(3)</t>
        </is>
      </c>
      <c r="M4" t="inlineStr"/>
    </row>
    <row r="5">
      <c r="A5" t="inlineStr">
        <is>
          <t>fortress/4</t>
        </is>
      </c>
      <c r="B5" t="inlineStr">
        <is>
          <t>fortress</t>
        </is>
      </c>
      <c r="C5" t="n">
        <v>4</v>
      </c>
      <c r="D5" t="n">
        <v>7</v>
      </c>
      <c r="E5" t="n">
        <v>8</v>
      </c>
      <c r="F5" t="n">
        <v>4.598085242877305</v>
      </c>
      <c r="G5" t="n">
        <v>2.496675053918044</v>
      </c>
      <c r="H5" t="n">
        <v>0</v>
      </c>
      <c r="I5" t="n">
        <v>1</v>
      </c>
      <c r="J5">
        <f>($F$5+$G$5+$H$5)/$I$5</f>
        <v/>
      </c>
      <c r="K5">
        <f>IF($J$5&lt;$D$5,"low",IF($J$5&gt;$E$5,"high","in"))</f>
        <v/>
      </c>
      <c r="L5" t="inlineStr">
        <is>
          <t>Tools/balance/p32_hq_types.py HqModel.fortress(4)</t>
        </is>
      </c>
      <c r="M5" t="inlineStr"/>
    </row>
    <row r="6">
      <c r="A6" t="inlineStr">
        <is>
          <t>fortress/5</t>
        </is>
      </c>
      <c r="B6" t="inlineStr">
        <is>
          <t>fortress</t>
        </is>
      </c>
      <c r="C6" t="n">
        <v>5</v>
      </c>
      <c r="D6" t="n">
        <v>8</v>
      </c>
      <c r="E6" t="n">
        <v>9</v>
      </c>
      <c r="F6" t="n">
        <v>5.161116088943914</v>
      </c>
      <c r="G6" t="n">
        <v>2.802390366642703</v>
      </c>
      <c r="H6" t="n">
        <v>0</v>
      </c>
      <c r="I6" t="n">
        <v>1</v>
      </c>
      <c r="J6">
        <f>($F$6+$G$6+$H$6)/$I$6</f>
        <v/>
      </c>
      <c r="K6">
        <f>IF($J$6&lt;$D$6,"low",IF($J$6&gt;$E$6,"high","in"))</f>
        <v/>
      </c>
      <c r="L6" t="inlineStr">
        <is>
          <t>Tools/balance/p32_hq_types.py HqModel.fortress(5)</t>
        </is>
      </c>
      <c r="M6" t="inlineStr"/>
    </row>
    <row r="7">
      <c r="A7" t="inlineStr">
        <is>
          <t>fortress_air/1</t>
        </is>
      </c>
      <c r="B7" t="inlineStr">
        <is>
          <t>fortress_air</t>
        </is>
      </c>
      <c r="C7" t="n">
        <v>1</v>
      </c>
      <c r="D7" t="n">
        <v>4</v>
      </c>
      <c r="E7" t="n">
        <v>5</v>
      </c>
      <c r="F7" t="n">
        <v>4.548638458315877</v>
      </c>
      <c r="G7" t="n">
        <v>0.8152408339324227</v>
      </c>
      <c r="H7" t="n">
        <v>0</v>
      </c>
      <c r="I7" t="n">
        <v>1</v>
      </c>
      <c r="J7">
        <f>($F$7+$G$7+$H$7)/$I$7</f>
        <v/>
      </c>
      <c r="K7">
        <f>IF($J$7&lt;$D$7,"low",IF($J$7&gt;$E$7,"high","in"))</f>
        <v/>
      </c>
      <c r="L7" t="inlineStr">
        <is>
          <t>Tools/balance/p32_hq_types.py HqModel.fortress(1)</t>
        </is>
      </c>
      <c r="M7" t="inlineStr"/>
    </row>
    <row r="8">
      <c r="A8" t="inlineStr">
        <is>
          <t>fortress_air/2</t>
        </is>
      </c>
      <c r="B8" t="inlineStr">
        <is>
          <t>fortress_air</t>
        </is>
      </c>
      <c r="C8" t="n">
        <v>2</v>
      </c>
      <c r="D8" t="n">
        <v>5</v>
      </c>
      <c r="E8" t="n">
        <v>6</v>
      </c>
      <c r="F8" t="n">
        <v>5.685798072894848</v>
      </c>
      <c r="G8" t="n">
        <v>1.019051042415528</v>
      </c>
      <c r="H8" t="n">
        <v>0</v>
      </c>
      <c r="I8" t="n">
        <v>1</v>
      </c>
      <c r="J8">
        <f>($F$8+$G$8+$H$8)/$I$8</f>
        <v/>
      </c>
      <c r="K8">
        <f>IF($J$8&lt;$D$8,"low",IF($J$8&gt;$E$8,"high","in"))</f>
        <v/>
      </c>
      <c r="L8" t="inlineStr">
        <is>
          <t>Tools/balance/p32_hq_types.py HqModel.fortress(2)</t>
        </is>
      </c>
      <c r="M8" t="inlineStr"/>
    </row>
    <row r="9">
      <c r="A9" t="inlineStr">
        <is>
          <t>fortress_air/3</t>
        </is>
      </c>
      <c r="B9" t="inlineStr">
        <is>
          <t>fortress_air</t>
        </is>
      </c>
      <c r="C9" t="n">
        <v>3</v>
      </c>
      <c r="D9" t="n">
        <v>6</v>
      </c>
      <c r="E9" t="n">
        <v>7</v>
      </c>
      <c r="F9" t="n">
        <v>6.538667783829075</v>
      </c>
      <c r="G9" t="n">
        <v>1.171908698777858</v>
      </c>
      <c r="H9" t="n">
        <v>0</v>
      </c>
      <c r="I9" t="n">
        <v>1</v>
      </c>
      <c r="J9">
        <f>($F$9+$G$9+$H$9)/$I$9</f>
        <v/>
      </c>
      <c r="K9">
        <f>IF($J$9&lt;$D$9,"low",IF($J$9&gt;$E$9,"high","in"))</f>
        <v/>
      </c>
      <c r="L9" t="inlineStr">
        <is>
          <t>Tools/balance/p32_hq_types.py HqModel.fortress(3)</t>
        </is>
      </c>
      <c r="M9" t="inlineStr"/>
    </row>
    <row r="10">
      <c r="A10" t="inlineStr">
        <is>
          <t>fortress_air/4</t>
        </is>
      </c>
      <c r="B10" t="inlineStr">
        <is>
          <t>fortress_air</t>
        </is>
      </c>
      <c r="C10" t="n">
        <v>4</v>
      </c>
      <c r="D10" t="n">
        <v>7</v>
      </c>
      <c r="E10" t="n">
        <v>8</v>
      </c>
      <c r="F10" t="n">
        <v>7.675827398408043</v>
      </c>
      <c r="G10" t="n">
        <v>1.375718907260963</v>
      </c>
      <c r="H10" t="n">
        <v>0</v>
      </c>
      <c r="I10" t="n">
        <v>1</v>
      </c>
      <c r="J10">
        <f>($F$10+$G$10+$H$10)/$I$10</f>
        <v/>
      </c>
      <c r="K10">
        <f>IF($J$10&lt;$D$10,"low",IF($J$10&gt;$E$10,"high","in"))</f>
        <v/>
      </c>
      <c r="L10" t="inlineStr">
        <is>
          <t>Tools/balance/p32_hq_types.py HqModel.fortress(4)</t>
        </is>
      </c>
      <c r="M10" t="inlineStr"/>
    </row>
    <row r="11">
      <c r="A11" t="inlineStr">
        <is>
          <t>fortress_air/5</t>
        </is>
      </c>
      <c r="B11" t="inlineStr">
        <is>
          <t>fortress_air</t>
        </is>
      </c>
      <c r="C11" t="n">
        <v>5</v>
      </c>
      <c r="D11" t="n">
        <v>8</v>
      </c>
      <c r="E11" t="n">
        <v>9</v>
      </c>
      <c r="F11" t="n">
        <v>8.812987012987012</v>
      </c>
      <c r="G11" t="n">
        <v>1.579529115744069</v>
      </c>
      <c r="H11" t="n">
        <v>0</v>
      </c>
      <c r="I11" t="n">
        <v>1</v>
      </c>
      <c r="J11">
        <f>($F$11+$G$11+$H$11)/$I$11</f>
        <v/>
      </c>
      <c r="K11">
        <f>IF($J$11&lt;$D$11,"low",IF($J$11&gt;$E$11,"high","in"))</f>
        <v/>
      </c>
      <c r="L11" t="inlineStr">
        <is>
          <t>Tools/balance/p32_hq_types.py HqModel.fortress(5)</t>
        </is>
      </c>
      <c r="M11" t="inlineStr"/>
    </row>
    <row r="12">
      <c r="A12" t="inlineStr">
        <is>
          <t>garrison/1</t>
        </is>
      </c>
      <c r="B12" t="inlineStr">
        <is>
          <t>garrison</t>
        </is>
      </c>
      <c r="C12" t="n">
        <v>1</v>
      </c>
      <c r="D12" t="n">
        <v>4</v>
      </c>
      <c r="E12" t="n">
        <v>5</v>
      </c>
      <c r="F12" t="n">
        <v>6</v>
      </c>
      <c r="G12" t="n">
        <v>3</v>
      </c>
      <c r="H12" t="n">
        <v>0</v>
      </c>
      <c r="I12" t="n">
        <v>2</v>
      </c>
      <c r="J12">
        <f>($F$12+$G$12+$H$12)/$I$12</f>
        <v/>
      </c>
      <c r="K12">
        <f>IF($J$12&lt;$D$12,"low",IF($J$12&gt;$E$12,"high","in"))</f>
        <v/>
      </c>
      <c r="L12" t="inlineStr">
        <is>
          <t>Tools/balance/p32_hq_types.py HqModel.garrison(1)</t>
        </is>
      </c>
      <c r="M12" t="inlineStr"/>
    </row>
    <row r="13">
      <c r="A13" t="inlineStr">
        <is>
          <t>garrison/2</t>
        </is>
      </c>
      <c r="B13" t="inlineStr">
        <is>
          <t>garrison</t>
        </is>
      </c>
      <c r="C13" t="n">
        <v>2</v>
      </c>
      <c r="D13" t="n">
        <v>5</v>
      </c>
      <c r="E13" t="n">
        <v>6</v>
      </c>
      <c r="F13" t="n">
        <v>5</v>
      </c>
      <c r="G13" t="n">
        <v>6</v>
      </c>
      <c r="H13" t="n">
        <v>0</v>
      </c>
      <c r="I13" t="n">
        <v>2</v>
      </c>
      <c r="J13">
        <f>($F$13+$G$13+$H$13)/$I$13</f>
        <v/>
      </c>
      <c r="K13">
        <f>IF($J$13&lt;$D$13,"low",IF($J$13&gt;$E$13,"high","in"))</f>
        <v/>
      </c>
      <c r="L13" t="inlineStr">
        <is>
          <t>Tools/balance/p32_hq_types.py HqModel.garrison(2)</t>
        </is>
      </c>
      <c r="M13" t="inlineStr"/>
    </row>
    <row r="14">
      <c r="A14" t="inlineStr">
        <is>
          <t>garrison/3</t>
        </is>
      </c>
      <c r="B14" t="inlineStr">
        <is>
          <t>garrison</t>
        </is>
      </c>
      <c r="C14" t="n">
        <v>3</v>
      </c>
      <c r="D14" t="n">
        <v>6</v>
      </c>
      <c r="E14" t="n">
        <v>7</v>
      </c>
      <c r="F14" t="n">
        <v>5.999999999999999</v>
      </c>
      <c r="G14" t="n">
        <v>7.2</v>
      </c>
      <c r="H14" t="n">
        <v>0</v>
      </c>
      <c r="I14" t="n">
        <v>2</v>
      </c>
      <c r="J14">
        <f>($F$14+$G$14+$H$14)/$I$14</f>
        <v/>
      </c>
      <c r="K14">
        <f>IF($J$14&lt;$D$14,"low",IF($J$14&gt;$E$14,"high","in"))</f>
        <v/>
      </c>
      <c r="L14" t="inlineStr">
        <is>
          <t>Tools/balance/p32_hq_types.py HqModel.garrison(3)</t>
        </is>
      </c>
      <c r="M14" t="inlineStr"/>
    </row>
    <row r="15">
      <c r="A15" t="inlineStr">
        <is>
          <t>garrison/4</t>
        </is>
      </c>
      <c r="B15" t="inlineStr">
        <is>
          <t>garrison</t>
        </is>
      </c>
      <c r="C15" t="n">
        <v>4</v>
      </c>
      <c r="D15" t="n">
        <v>7</v>
      </c>
      <c r="E15" t="n">
        <v>8</v>
      </c>
      <c r="F15" t="n">
        <v>8</v>
      </c>
      <c r="G15" t="n">
        <v>7.384615384615385</v>
      </c>
      <c r="H15" t="n">
        <v>0</v>
      </c>
      <c r="I15" t="n">
        <v>2</v>
      </c>
      <c r="J15">
        <f>($F$15+$G$15+$H$15)/$I$15</f>
        <v/>
      </c>
      <c r="K15">
        <f>IF($J$15&lt;$D$15,"low",IF($J$15&gt;$E$15,"high","in"))</f>
        <v/>
      </c>
      <c r="L15" t="inlineStr">
        <is>
          <t>Tools/balance/p32_hq_types.py HqModel.garrison(4)</t>
        </is>
      </c>
      <c r="M15" t="inlineStr"/>
    </row>
    <row r="16">
      <c r="A16" t="inlineStr">
        <is>
          <t>garrison/5</t>
        </is>
      </c>
      <c r="B16" t="inlineStr">
        <is>
          <t>garrison</t>
        </is>
      </c>
      <c r="C16" t="n">
        <v>5</v>
      </c>
      <c r="D16" t="n">
        <v>8</v>
      </c>
      <c r="E16" t="n">
        <v>9</v>
      </c>
      <c r="F16" t="n">
        <v>10</v>
      </c>
      <c r="G16" t="n">
        <v>7.058823529411764</v>
      </c>
      <c r="H16" t="n">
        <v>0</v>
      </c>
      <c r="I16" t="n">
        <v>2</v>
      </c>
      <c r="J16">
        <f>($F$16+$G$16+$H$16)/$I$16</f>
        <v/>
      </c>
      <c r="K16">
        <f>IF($J$16&lt;$D$16,"low",IF($J$16&gt;$E$16,"high","in"))</f>
        <v/>
      </c>
      <c r="L16" t="inlineStr">
        <is>
          <t>Tools/balance/p32_hq_types.py HqModel.garrison(5)</t>
        </is>
      </c>
      <c r="M16" t="inlineStr"/>
    </row>
    <row r="17">
      <c r="A17" t="inlineStr">
        <is>
          <t>shield/1</t>
        </is>
      </c>
      <c r="B17" t="inlineStr">
        <is>
          <t>shield</t>
        </is>
      </c>
      <c r="C17" t="n">
        <v>1</v>
      </c>
      <c r="D17" t="n">
        <v>4</v>
      </c>
      <c r="E17" t="n">
        <v>5</v>
      </c>
      <c r="F17" t="n">
        <v>2.718776550552251</v>
      </c>
      <c r="G17" t="n">
        <v>1.140129403306974</v>
      </c>
      <c r="H17" t="n">
        <v>0.9317038102084829</v>
      </c>
      <c r="I17" t="n">
        <v>1</v>
      </c>
      <c r="J17">
        <f>($F$17+$G$17+$H$17)/$I$17</f>
        <v/>
      </c>
      <c r="K17">
        <f>IF($J$17&lt;$D$17,"low",IF($J$17&gt;$E$17,"high","in"))</f>
        <v/>
      </c>
      <c r="L17" t="inlineStr">
        <is>
          <t>Tools/balance/p32_hq_types.py HqModel.shield(1)</t>
        </is>
      </c>
      <c r="M17" t="inlineStr"/>
    </row>
    <row r="18">
      <c r="A18" t="inlineStr">
        <is>
          <t>shield/2</t>
        </is>
      </c>
      <c r="B18" t="inlineStr">
        <is>
          <t>shield</t>
        </is>
      </c>
      <c r="C18" t="n">
        <v>2</v>
      </c>
      <c r="D18" t="n">
        <v>5</v>
      </c>
      <c r="E18" t="n">
        <v>6</v>
      </c>
      <c r="F18" t="n">
        <v>2.718776550552251</v>
      </c>
      <c r="G18" t="n">
        <v>2.116002875629044</v>
      </c>
      <c r="H18" t="n">
        <v>1.125808770668584</v>
      </c>
      <c r="I18" t="n">
        <v>1</v>
      </c>
      <c r="J18">
        <f>($F$18+$G$18+$H$18)/$I$18</f>
        <v/>
      </c>
      <c r="K18">
        <f>IF($J$18&lt;$D$18,"low",IF($J$18&gt;$E$18,"high","in"))</f>
        <v/>
      </c>
      <c r="L18" t="inlineStr">
        <is>
          <t>Tools/balance/p32_hq_types.py HqModel.shield(2)</t>
        </is>
      </c>
      <c r="M18" t="inlineStr"/>
    </row>
    <row r="19">
      <c r="A19" t="inlineStr">
        <is>
          <t>shield/3</t>
        </is>
      </c>
      <c r="B19" t="inlineStr">
        <is>
          <t>shield</t>
        </is>
      </c>
      <c r="C19" t="n">
        <v>3</v>
      </c>
      <c r="D19" t="n">
        <v>6</v>
      </c>
      <c r="E19" t="n">
        <v>7</v>
      </c>
      <c r="F19" t="n">
        <v>2.718776550552251</v>
      </c>
      <c r="G19" t="n">
        <v>3.043565780014378</v>
      </c>
      <c r="H19" t="n">
        <v>1.397555715312724</v>
      </c>
      <c r="I19" t="n">
        <v>1</v>
      </c>
      <c r="J19">
        <f>($F$19+$G$19+$H$19)/$I$19</f>
        <v/>
      </c>
      <c r="K19">
        <f>IF($J$19&lt;$D$19,"low",IF($J$19&gt;$E$19,"high","in"))</f>
        <v/>
      </c>
      <c r="L19" t="inlineStr">
        <is>
          <t>Tools/balance/p32_hq_types.py HqModel.shield(3)</t>
        </is>
      </c>
      <c r="M19" t="inlineStr"/>
    </row>
    <row r="20">
      <c r="A20" t="inlineStr">
        <is>
          <t>shield/4</t>
        </is>
      </c>
      <c r="B20" t="inlineStr">
        <is>
          <t>shield</t>
        </is>
      </c>
      <c r="C20" t="n">
        <v>4</v>
      </c>
      <c r="D20" t="n">
        <v>7</v>
      </c>
      <c r="E20" t="n">
        <v>8</v>
      </c>
      <c r="F20" t="n">
        <v>2.718776550552251</v>
      </c>
      <c r="G20" t="n">
        <v>4.000115025161755</v>
      </c>
      <c r="H20" t="n">
        <v>1.552839683680805</v>
      </c>
      <c r="I20" t="n">
        <v>1</v>
      </c>
      <c r="J20">
        <f>($F$20+$G$20+$H$20)/$I$20</f>
        <v/>
      </c>
      <c r="K20">
        <f>IF($J$20&lt;$D$20,"low",IF($J$20&gt;$E$20,"high","in"))</f>
        <v/>
      </c>
      <c r="L20" t="inlineStr">
        <is>
          <t>Tools/balance/p32_hq_types.py HqModel.shield(4)</t>
        </is>
      </c>
      <c r="M20" t="inlineStr"/>
    </row>
    <row r="21">
      <c r="A21" t="inlineStr">
        <is>
          <t>shield/5</t>
        </is>
      </c>
      <c r="B21" t="inlineStr">
        <is>
          <t>shield</t>
        </is>
      </c>
      <c r="C21" t="n">
        <v>5</v>
      </c>
      <c r="D21" t="n">
        <v>8</v>
      </c>
      <c r="E21" t="n">
        <v>9</v>
      </c>
      <c r="F21" t="n">
        <v>2.718776550552251</v>
      </c>
      <c r="G21" t="n">
        <v>5.101595974119339</v>
      </c>
      <c r="H21" t="n">
        <v>1.669302659956865</v>
      </c>
      <c r="I21" t="n">
        <v>1</v>
      </c>
      <c r="J21">
        <f>($F$21+$G$21+$H$21)/$I$21</f>
        <v/>
      </c>
      <c r="K21">
        <f>IF($J$21&lt;$D$21,"low",IF($J$21&gt;$E$21,"high","in"))</f>
        <v/>
      </c>
      <c r="L21" t="inlineStr">
        <is>
          <t>Tools/balance/p32_hq_types.py HqModel.shield(5)</t>
        </is>
      </c>
      <c r="M21" t="inlineStr"/>
    </row>
  </sheetData>
  <autoFilter ref="A1:M2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9" customWidth="1" min="3" max="3"/>
    <col width="12" customWidth="1" min="4" max="4"/>
    <col width="13" customWidth="1" min="5" max="5"/>
    <col width="8" customWidth="1" min="6" max="6"/>
    <col width="6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Easy</t>
        </is>
      </c>
      <c r="B2" t="inlineStr">
        <is>
          <t>base.ai.levels</t>
        </is>
      </c>
      <c r="C2" t="inlineStr">
        <is>
          <t>Easy</t>
        </is>
      </c>
      <c r="D2" t="n">
        <v>2</v>
      </c>
      <c r="F2" t="inlineStr"/>
      <c r="G2" t="inlineStr">
        <is>
          <t>Assets/MachineBrigade/Resources/Data/balance.json: base.ai.levels.Easy</t>
        </is>
      </c>
      <c r="H2" t="inlineStr">
        <is>
          <t>2</t>
        </is>
      </c>
    </row>
    <row r="3">
      <c r="A3" t="inlineStr">
        <is>
          <t>Hard</t>
        </is>
      </c>
      <c r="B3" t="inlineStr">
        <is>
          <t>base.ai.levels</t>
        </is>
      </c>
      <c r="C3" t="inlineStr">
        <is>
          <t>Hard</t>
        </is>
      </c>
      <c r="D3" t="n">
        <v>5</v>
      </c>
      <c r="F3" t="inlineStr"/>
      <c r="G3" t="inlineStr">
        <is>
          <t>Assets/MachineBrigade/Resources/Data/balance.json: base.ai.levels.Hard</t>
        </is>
      </c>
      <c r="H3" t="inlineStr">
        <is>
          <t>5</t>
        </is>
      </c>
    </row>
    <row r="4">
      <c r="A4" t="inlineStr">
        <is>
          <t>Normal</t>
        </is>
      </c>
      <c r="B4" t="inlineStr">
        <is>
          <t>base.ai.levels</t>
        </is>
      </c>
      <c r="C4" t="inlineStr">
        <is>
          <t>Normal</t>
        </is>
      </c>
      <c r="D4" t="n">
        <v>3</v>
      </c>
      <c r="F4" t="inlineStr"/>
      <c r="G4" t="inlineStr">
        <is>
          <t>Assets/MachineBrigade/Resources/Data/balance.json: base.ai.levels.Normal</t>
        </is>
      </c>
      <c r="H4" t="inlineStr">
        <is>
          <t>3</t>
        </is>
      </c>
    </row>
    <row r="5">
      <c r="A5" t="inlineStr">
        <is>
          <t>VeryHard</t>
        </is>
      </c>
      <c r="B5" t="inlineStr">
        <is>
          <t>base.ai.levels</t>
        </is>
      </c>
      <c r="C5" t="inlineStr">
        <is>
          <t>VeryHard</t>
        </is>
      </c>
      <c r="D5" t="n">
        <v>5</v>
      </c>
      <c r="F5" t="inlineStr"/>
      <c r="G5" t="inlineStr">
        <is>
          <t>Assets/MachineBrigade/Resources/Data/balance.json: base.ai.levels.VeryHard</t>
        </is>
      </c>
      <c r="H5" t="inlineStr">
        <is>
          <t>5</t>
        </is>
      </c>
    </row>
  </sheetData>
  <autoFilter ref="A1:H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9" customWidth="1" min="2" max="2"/>
    <col width="36" customWidth="1" min="3" max="3"/>
    <col width="17" customWidth="1" min="4" max="4"/>
    <col width="60" customWidth="1" min="5" max="5"/>
    <col width="12" customWidth="1" min="6" max="6"/>
    <col width="21" customWidth="1" min="7" max="7"/>
    <col width="31" customWidth="1" min="8" max="8"/>
    <col width="57" customWidth="1" min="9" max="9"/>
    <col width="17" customWidth="1" min="10" max="10"/>
    <col width="60" customWidth="1" min="11" max="11"/>
    <col width="23" customWidth="1" min="12" max="12"/>
    <col width="12" customWidth="1" min="13" max="13"/>
    <col width="24" customWidth="1" min="14" max="14"/>
    <col width="13" customWidth="1" min="15" max="15"/>
    <col width="60" customWidth="1" min="16" max="16"/>
    <col width="60" customWidth="1" min="17" max="17"/>
    <col width="60" customWidth="1" min="18" max="18"/>
    <col width="17" customWidth="1" min="19" max="19"/>
    <col width="18" customWidth="1" min="20" max="20"/>
    <col width="17" customWidth="1" min="21" max="21"/>
    <col width="26" customWidth="1" min="22" max="22"/>
    <col width="23" customWidth="1" min="23" max="23"/>
    <col width="23" customWidth="1" min="24" max="24"/>
    <col width="60" customWidth="1" min="25" max="25"/>
    <col width="60" customWidth="1" min="26" max="26"/>
    <col width="42" customWidth="1" min="27" max="27"/>
    <col width="21" customWidth="1" min="28" max="28"/>
    <col width="60" customWidth="1" min="29" max="29"/>
    <col width="17" customWidth="1" min="30" max="30"/>
    <col width="16" customWidth="1" min="31" max="31"/>
    <col width="20" customWidth="1" min="32" max="32"/>
    <col width="60" customWidth="1" min="33" max="33"/>
    <col width="10" customWidth="1" min="34" max="34"/>
  </cols>
  <sheetData>
    <row r="1">
      <c r="A1" s="1" t="inlineStr">
        <is>
          <t>id</t>
        </is>
      </c>
      <c r="B1" s="1" t="inlineStr">
        <is>
          <t>entity_id</t>
        </is>
      </c>
      <c r="C1" s="1" t="inlineStr">
        <is>
          <t>ten_hien_thi</t>
        </is>
      </c>
      <c r="D1" s="1" t="inlineStr">
        <is>
          <t>loai_tham_chieu</t>
        </is>
      </c>
      <c r="E1" s="1" t="inlineStr">
        <is>
          <t>ten_mau_that</t>
        </is>
      </c>
      <c r="F1" s="1" t="inlineStr">
        <is>
          <t>quoc_gia</t>
        </is>
      </c>
      <c r="G1" s="1" t="inlineStr">
        <is>
          <t>nam_dua_vao_su_dung</t>
        </is>
      </c>
      <c r="H1" s="1" t="inlineStr">
        <is>
          <t>ten_game</t>
        </is>
      </c>
      <c r="I1" s="1" t="inlineStr">
        <is>
          <t>co_che_game</t>
        </is>
      </c>
      <c r="J1" s="1" t="inlineStr">
        <is>
          <t>ten_phim_truyen</t>
        </is>
      </c>
      <c r="K1" s="1" t="inlineStr">
        <is>
          <t>diem_giong</t>
        </is>
      </c>
      <c r="L1" s="1" t="inlineStr">
        <is>
          <t>diem_khac_co_chu_dich</t>
        </is>
      </c>
      <c r="M1" s="1" t="inlineStr">
        <is>
          <t>ly_do_khac</t>
        </is>
      </c>
      <c r="N1" s="1" t="inlineStr">
        <is>
          <t>cam_giac_khac_khi_choi</t>
        </is>
      </c>
      <c r="O1" s="1" t="inlineStr">
        <is>
          <t>do_tin_cay</t>
        </is>
      </c>
      <c r="P1" s="1" t="inlineStr">
        <is>
          <t>nguon_id</t>
        </is>
      </c>
      <c r="Q1" s="1" t="inlineStr">
        <is>
          <t>ly_do</t>
        </is>
      </c>
      <c r="R1" s="1" t="inlineStr">
        <is>
          <t>ghi_chu_ban_quyen</t>
        </is>
      </c>
      <c r="S1" s="1" t="inlineStr">
        <is>
          <t>ngoai_doi_dai_m</t>
        </is>
      </c>
      <c r="T1" s="1" t="inlineStr">
        <is>
          <t>ngoai_doi_rong_m</t>
        </is>
      </c>
      <c r="U1" s="1" t="inlineStr">
        <is>
          <t>ngoai_doi_cao_m</t>
        </is>
      </c>
      <c r="V1" s="1" t="inlineStr">
        <is>
          <t>ngoai_doi_mau_kich_thuoc</t>
        </is>
      </c>
      <c r="W1" s="1" t="inlineStr">
        <is>
          <t>do_tin_cay_kich_thuoc</t>
        </is>
      </c>
      <c r="X1" s="1" t="inlineStr">
        <is>
          <t>tham_chieu_kich_thuoc</t>
        </is>
      </c>
      <c r="Y1" s="1" t="inlineStr">
        <is>
          <t>ghi_chu_unit_refs</t>
        </is>
      </c>
      <c r="Z1" s="1" t="inlineStr">
        <is>
          <t>tham_khao_bang_can_bang</t>
        </is>
      </c>
      <c r="AA1" s="1" t="inlineStr">
        <is>
          <t>tham_khao_bang_thay_doi</t>
        </is>
      </c>
      <c r="AB1" s="1" t="inlineStr">
        <is>
          <t>nam_ghi_trong_nguon</t>
        </is>
      </c>
      <c r="AC1" s="1" t="inlineStr">
        <is>
          <t>ghi_chu_dung_model</t>
        </is>
      </c>
      <c r="AD1" s="1" t="inlineStr">
        <is>
          <t>loai_cong_trinh</t>
        </is>
      </c>
      <c r="AE1" s="1" t="inlineStr">
        <is>
          <t>nhanh</t>
        </is>
      </c>
      <c r="AF1" s="1" t="inlineStr">
        <is>
          <t>ngoai_doi_vat_lieu</t>
        </is>
      </c>
      <c r="AG1" s="1" t="inlineStr">
        <is>
          <t>nguon</t>
        </is>
      </c>
      <c r="AH1" s="1" t="inlineStr">
        <is>
          <t>raw_json</t>
        </is>
      </c>
    </row>
    <row r="2">
      <c r="A2" t="inlineStr">
        <is>
          <t>aa_gun_tower</t>
        </is>
      </c>
      <c r="B2" t="inlineStr">
        <is>
          <t>aa_gun_tower</t>
        </is>
      </c>
      <c r="C2" t="inlineStr">
        <is>
          <t>Pháo phòng không 40 mm</t>
        </is>
      </c>
      <c r="D2" t="inlineStr">
        <is>
          <t>NEED_SOURCE</t>
        </is>
      </c>
      <c r="E2" t="inlineStr"/>
      <c r="F2" t="inlineStr">
        <is>
          <t>NEED_SOURCE</t>
        </is>
      </c>
      <c r="G2" t="inlineStr">
        <is>
          <t>NEED_SOURCE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NEED_SOURCE</t>
        </is>
      </c>
      <c r="P2" t="inlineStr">
        <is>
          <t>R_aa_gun_tower</t>
        </is>
      </c>
      <c r="Q2" t="inlineStr">
        <is>
          <t>repo không có tham chiếu cho thực thể này (unit_refs.json, reference_real.json, bảng cân bằng)</t>
        </is>
      </c>
      <c r="R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" t="inlineStr">
        <is>
          <t>NEED_SOURCE</t>
        </is>
      </c>
      <c r="T2" t="inlineStr">
        <is>
          <t>NEED_SOURCE</t>
        </is>
      </c>
      <c r="U2" t="inlineStr">
        <is>
          <t>NEED_SOURCE</t>
        </is>
      </c>
      <c r="Z2" t="inlineStr"/>
      <c r="AA2" t="inlineStr"/>
      <c r="AB2" t="inlineStr"/>
      <c r="AC2" t="inlineStr">
        <is>
          <t>Tools/blender/specs/aa_gun_tower.json: real = Bofors 40 mm L/70 (towed carriage emplaced on its four outriggers); a small fire-control radar dish on a tripod (Flycatcher-class role); confidence = xấp xỉ (the L/70's layout and barrel length; the emplacement is a field gun pit)</t>
        </is>
      </c>
      <c r="AD2" t="inlineStr">
        <is>
          <t>Thap</t>
        </is>
      </c>
      <c r="AE2" t="inlineStr"/>
      <c r="AF2" t="inlineStr"/>
      <c r="AG2" t="inlineStr">
        <is>
          <t>Tools/docs/unit_refs.json: aa_gun_tower; Tools/models/reference_real.json: units.aa_gun_tower</t>
        </is>
      </c>
      <c r="AH2" t="inlineStr"/>
    </row>
    <row r="3">
      <c r="A3" t="inlineStr">
        <is>
          <t>aa_turret</t>
        </is>
      </c>
      <c r="B3" t="inlineStr">
        <is>
          <t>aa_turret</t>
        </is>
      </c>
      <c r="C3" t="inlineStr">
        <is>
          <t>Tháp phòng không</t>
        </is>
      </c>
      <c r="D3" t="inlineStr">
        <is>
          <t>doi_that</t>
        </is>
      </c>
      <c r="E3" t="inlineStr">
        <is>
          <t>2K22 Tunguska (2A38 30 mm);Stinger</t>
        </is>
      </c>
      <c r="F3" t="inlineStr">
        <is>
          <t>NEED_SOURCE</t>
        </is>
      </c>
      <c r="G3" t="inlineStr">
        <is>
          <t>NEED_SOURCE</t>
        </is>
      </c>
      <c r="H3" t="inlineStr">
        <is>
          <t>WARNO</t>
        </is>
      </c>
      <c r="I3" t="inlineStr">
        <is>
          <t>chọn mục tiêu (chế độ bắn của tháp)</t>
        </is>
      </c>
      <c r="J3" t="inlineStr"/>
      <c r="K3" t="inlineStr">
        <is>
          <t>pháo phòng không hai nòng 35 mm trên ụ bao cát</t>
        </is>
      </c>
      <c r="L3" t="inlineStr"/>
      <c r="M3" t="inlineStr"/>
      <c r="N3" t="inlineStr"/>
      <c r="O3" t="inlineStr">
        <is>
          <t>uoc_dinh</t>
        </is>
      </c>
      <c r="P3" t="inlineStr">
        <is>
          <t>R_unit_refs;R_machine_brigade_can_bang;R_aa_turret;R_machine_brigade_ai_research</t>
        </is>
      </c>
      <c r="Q3" t="inlineStr"/>
      <c r="R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" t="inlineStr">
        <is>
          <t>NEED_SOURCE</t>
        </is>
      </c>
      <c r="T3" t="inlineStr">
        <is>
          <t>NEED_SOURCE</t>
        </is>
      </c>
      <c r="U3" t="inlineStr">
        <is>
          <t>NEED_SOURCE</t>
        </is>
      </c>
      <c r="Y3" t="inlineStr">
        <is>
          <t>ước đoán: pháo phòng không hai nòng 35 mm trên ụ bao cát</t>
        </is>
      </c>
      <c r="Z3" t="inlineStr">
        <is>
          <t>Oerlikon GDF 35 mm (Skyguard), Stinger — ước đoán: pháo phòng không hai nòng 35 mm trên ụ bao cát</t>
        </is>
      </c>
      <c r="AA3" t="inlineStr">
        <is>
          <t>Skyguard/GDF (35 mm) hoặc Tunguska (2A38)</t>
        </is>
      </c>
      <c r="AB3" t="inlineStr"/>
      <c r="AC3" t="inlineStr">
        <is>
          <t>Tools/blender/specs/aa_turret.json: real = 2A38 30 mm twin-barrel gun (the Tunguska's; balance.json tower_flak_30); Stinger twin launch tubes (the def's secondary sam); a field AA post: sandbag parapet on an earth berm; confidence = ước đoán (a field post for the Tunguska's gun and a Stinger pair; no real tower carries both)</t>
        </is>
      </c>
      <c r="AD3" t="inlineStr">
        <is>
          <t>Thap</t>
        </is>
      </c>
      <c r="AE3" t="inlineStr"/>
      <c r="AF3" t="inlineStr"/>
      <c r="AG3" t="inlineStr">
        <is>
          <t>Tools/docs/unit_refs.json: aa_turret; Tools/models/reference_real.json: units.aa_turret</t>
        </is>
      </c>
      <c r="AH3" t="inlineStr"/>
    </row>
    <row r="4">
      <c r="A4" t="inlineStr">
        <is>
          <t>aa_turret.flak</t>
        </is>
      </c>
      <c r="B4" t="inlineStr">
        <is>
          <t>aa_turret.flak</t>
        </is>
      </c>
      <c r="C4" t="inlineStr">
        <is>
          <t>aa_turret.flak</t>
        </is>
      </c>
      <c r="D4" t="inlineStr">
        <is>
          <t>doi_that</t>
        </is>
      </c>
      <c r="E4" t="inlineStr">
        <is>
          <t>ZSU-23-4 Shilka (23 mm bốn nòng)</t>
        </is>
      </c>
      <c r="F4" t="inlineStr">
        <is>
          <t>NEED_SOURCE</t>
        </is>
      </c>
      <c r="G4" t="inlineStr">
        <is>
          <t>NEED_SOURCE</t>
        </is>
      </c>
      <c r="H4" t="inlineStr"/>
      <c r="I4" t="inlineStr"/>
      <c r="J4" t="inlineStr"/>
      <c r="K4" t="inlineStr">
        <is>
          <t>Nhánh pháo phòng không bốn nòng</t>
        </is>
      </c>
      <c r="L4" t="inlineStr"/>
      <c r="M4" t="inlineStr"/>
      <c r="N4" t="inlineStr"/>
      <c r="O4" t="inlineStr">
        <is>
          <t>ban_dau_doan</t>
        </is>
      </c>
      <c r="P4" t="inlineStr">
        <is>
          <t>R_unit_refs;R_machine_brigade_can_bang</t>
        </is>
      </c>
      <c r="Q4" t="inlineStr"/>
      <c r="R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" t="inlineStr">
        <is>
          <t>NEED_SOURCE</t>
        </is>
      </c>
      <c r="T4" t="inlineStr">
        <is>
          <t>NEED_SOURCE</t>
        </is>
      </c>
      <c r="U4" t="inlineStr">
        <is>
          <t>NEED_SOURCE</t>
        </is>
      </c>
      <c r="Y4" t="inlineStr">
        <is>
          <t>Nhánh pháo phòng không bốn nòng</t>
        </is>
      </c>
      <c r="Z4" t="inlineStr">
        <is>
          <t>ZSU-23-4 Shilka (23 mm bốn nòng) — Nhánh pháo phòng không bốn nòng</t>
        </is>
      </c>
      <c r="AA4" t="inlineStr"/>
      <c r="AB4" t="inlineStr"/>
      <c r="AC4" t="inlineStr"/>
      <c r="AD4" t="inlineStr">
        <is>
          <t>Thap</t>
        </is>
      </c>
      <c r="AE4" t="inlineStr">
        <is>
          <t>flak</t>
        </is>
      </c>
      <c r="AF4" t="inlineStr"/>
      <c r="AG4" t="inlineStr">
        <is>
          <t>Tools/docs/unit_refs.json: aa_turret.flak; Tools/models/reference_real.json: units.aa_turret.flak</t>
        </is>
      </c>
      <c r="AH4" t="inlineStr"/>
    </row>
    <row r="5">
      <c r="A5" t="inlineStr">
        <is>
          <t>aa_turret.sam</t>
        </is>
      </c>
      <c r="B5" t="inlineStr">
        <is>
          <t>aa_turret.sam</t>
        </is>
      </c>
      <c r="C5" t="inlineStr">
        <is>
          <t>aa_turret.sam</t>
        </is>
      </c>
      <c r="D5" t="inlineStr">
        <is>
          <t>doi_that</t>
        </is>
      </c>
      <c r="E5" t="inlineStr">
        <is>
          <t>Mistral ATLAS;RBS-70;Starstreak LML</t>
        </is>
      </c>
      <c r="F5" t="inlineStr">
        <is>
          <t>NEED_SOURCE</t>
        </is>
      </c>
      <c r="G5" t="inlineStr">
        <is>
          <t>NEED_SOURCE</t>
        </is>
      </c>
      <c r="H5" t="inlineStr"/>
      <c r="I5" t="inlineStr"/>
      <c r="J5" t="inlineStr"/>
      <c r="K5" t="inlineStr">
        <is>
          <t>Nhánh trạm tên lửa phòng không</t>
        </is>
      </c>
      <c r="L5" t="inlineStr"/>
      <c r="M5" t="inlineStr"/>
      <c r="N5" t="inlineStr"/>
      <c r="O5" t="inlineStr">
        <is>
          <t>ban_dau_doan</t>
        </is>
      </c>
      <c r="P5" t="inlineStr">
        <is>
          <t>R_unit_refs;R_machine_brigade_can_bang</t>
        </is>
      </c>
      <c r="Q5" t="inlineStr"/>
      <c r="R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" t="inlineStr">
        <is>
          <t>NEED_SOURCE</t>
        </is>
      </c>
      <c r="T5" t="inlineStr">
        <is>
          <t>NEED_SOURCE</t>
        </is>
      </c>
      <c r="U5" t="inlineStr">
        <is>
          <t>NEED_SOURCE</t>
        </is>
      </c>
      <c r="Y5" t="inlineStr">
        <is>
          <t>Nhánh trạm tên lửa phòng không</t>
        </is>
      </c>
      <c r="Z5" t="inlineStr">
        <is>
          <t>9K37 Buk (9M317) — Nhánh trạm tên lửa phòng không</t>
        </is>
      </c>
      <c r="AA5" t="inlineStr">
        <is>
          <t>Mistral ATLAS, RBS-70</t>
        </is>
      </c>
      <c r="AB5" t="inlineStr"/>
      <c r="AC5" t="inlineStr"/>
      <c r="AD5" t="inlineStr">
        <is>
          <t>Thap</t>
        </is>
      </c>
      <c r="AE5" t="inlineStr">
        <is>
          <t>sam</t>
        </is>
      </c>
      <c r="AF5" t="inlineStr"/>
      <c r="AG5" t="inlineStr">
        <is>
          <t>Tools/docs/unit_refs.json: aa_turret.sam; Tools/models/reference_real.json: units.aa_turret.sam</t>
        </is>
      </c>
      <c r="AH5" t="inlineStr"/>
    </row>
    <row r="6">
      <c r="A6" t="inlineStr">
        <is>
          <t>aircraft_hangar</t>
        </is>
      </c>
      <c r="B6" t="inlineStr">
        <is>
          <t>aircraft_hangar</t>
        </is>
      </c>
      <c r="C6" t="inlineStr">
        <is>
          <t>Nhà chứa máy bay</t>
        </is>
      </c>
      <c r="D6" t="inlineStr">
        <is>
          <t>NEED_SOURCE</t>
        </is>
      </c>
      <c r="E6" t="inlineStr"/>
      <c r="F6" t="inlineStr">
        <is>
          <t>NEED_SOURCE</t>
        </is>
      </c>
      <c r="G6" t="inlineStr">
        <is>
          <t>NEED_SOURCE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NEED_SOURCE</t>
        </is>
      </c>
      <c r="P6" t="inlineStr"/>
      <c r="Q6" t="inlineStr">
        <is>
          <t>repo không có tham chiếu cho thực thể này (unit_refs.json, reference_real.json, bảng cân bằng)</t>
        </is>
      </c>
      <c r="R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" t="inlineStr">
        <is>
          <t>NEED_SOURCE</t>
        </is>
      </c>
      <c r="T6" t="inlineStr">
        <is>
          <t>NEED_SOURCE</t>
        </is>
      </c>
      <c r="U6" t="inlineStr">
        <is>
          <t>NEED_SOURCE</t>
        </is>
      </c>
      <c r="Z6" t="inlineStr"/>
      <c r="AA6" t="inlineStr"/>
      <c r="AB6" t="inlineStr"/>
      <c r="AC6" t="inlineStr"/>
      <c r="AD6" t="inlineStr">
        <is>
          <t>Thap</t>
        </is>
      </c>
      <c r="AE6" t="inlineStr"/>
      <c r="AF6" t="inlineStr"/>
      <c r="AG6" t="inlineStr">
        <is>
          <t>Tools/docs/unit_refs.json: aircraft_hangar; Tools/models/reference_real.json: units.aircraft_hangar</t>
        </is>
      </c>
      <c r="AH6" t="inlineStr"/>
    </row>
    <row r="7">
      <c r="A7" t="inlineStr">
        <is>
          <t>airfield</t>
        </is>
      </c>
      <c r="B7" t="inlineStr">
        <is>
          <t>airfield</t>
        </is>
      </c>
      <c r="C7" t="inlineStr">
        <is>
          <t>Sân bay dã chiến</t>
        </is>
      </c>
      <c r="D7" t="inlineStr">
        <is>
          <t>doi_that</t>
        </is>
      </c>
      <c r="E7" t="inlineStr">
        <is>
          <t>bãi đáp trực thăng (chữ H)</t>
        </is>
      </c>
      <c r="F7" t="inlineStr">
        <is>
          <t>NEED_SOURCE</t>
        </is>
      </c>
      <c r="G7" t="inlineStr">
        <is>
          <t>NEED_SOURCE</t>
        </is>
      </c>
      <c r="H7" t="inlineStr"/>
      <c r="I7" t="inlineStr"/>
      <c r="J7" t="inlineStr"/>
      <c r="K7" t="inlineStr">
        <is>
          <t>Bãi đáp sửa chữa và nạp đạn cho máy bay</t>
        </is>
      </c>
      <c r="L7" t="inlineStr"/>
      <c r="M7" t="inlineStr"/>
      <c r="N7" t="inlineStr"/>
      <c r="O7" t="inlineStr">
        <is>
          <t>ban_dau_doan</t>
        </is>
      </c>
      <c r="P7" t="inlineStr">
        <is>
          <t>R_unit_refs;R_machine_brigade_can_bang</t>
        </is>
      </c>
      <c r="Q7" t="inlineStr"/>
      <c r="R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" t="inlineStr">
        <is>
          <t>NEED_SOURCE</t>
        </is>
      </c>
      <c r="T7" t="inlineStr">
        <is>
          <t>NEED_SOURCE</t>
        </is>
      </c>
      <c r="U7" t="inlineStr">
        <is>
          <t>NEED_SOURCE</t>
        </is>
      </c>
      <c r="Y7" t="inlineStr">
        <is>
          <t>Bãi đáp sửa chữa và nạp đạn cho máy bay</t>
        </is>
      </c>
      <c r="Z7" t="inlineStr">
        <is>
          <t>bãi đáp trực thăng (chữ H) — Bãi đáp sửa chữa và nạp đạn cho máy bay</t>
        </is>
      </c>
      <c r="AA7" t="inlineStr"/>
      <c r="AB7" t="inlineStr"/>
      <c r="AC7" t="inlineStr"/>
      <c r="AD7" t="inlineStr">
        <is>
          <t>Mo_dun_tien_ich</t>
        </is>
      </c>
      <c r="AE7" t="inlineStr"/>
      <c r="AF7" t="inlineStr"/>
      <c r="AG7" t="inlineStr">
        <is>
          <t>Tools/docs/unit_refs.json: airfield; Tools/models/reference_real.json: units.airfield</t>
        </is>
      </c>
      <c r="AH7" t="inlineStr"/>
    </row>
    <row r="8">
      <c r="A8" t="inlineStr">
        <is>
          <t>atgm_tower</t>
        </is>
      </c>
      <c r="B8" t="inlineStr">
        <is>
          <t>atgm_tower</t>
        </is>
      </c>
      <c r="C8" t="inlineStr">
        <is>
          <t>Tháp tên lửa chống tăng</t>
        </is>
      </c>
      <c r="D8" t="inlineStr">
        <is>
          <t>doi_that</t>
        </is>
      </c>
      <c r="E8" t="inlineStr">
        <is>
          <t>9M133 Kornet</t>
        </is>
      </c>
      <c r="F8" t="inlineStr">
        <is>
          <t>NEED_SOURCE</t>
        </is>
      </c>
      <c r="G8" t="inlineStr">
        <is>
          <t>NEED_SOURCE</t>
        </is>
      </c>
      <c r="H8" t="inlineStr"/>
      <c r="I8" t="inlineStr"/>
      <c r="J8" t="inlineStr"/>
      <c r="K8" t="inlineStr">
        <is>
          <t>Tháp bê tông phóng tên lửa chống tăng</t>
        </is>
      </c>
      <c r="L8" t="inlineStr"/>
      <c r="M8" t="inlineStr"/>
      <c r="N8" t="inlineStr"/>
      <c r="O8" t="inlineStr">
        <is>
          <t>ban_dau_doan</t>
        </is>
      </c>
      <c r="P8" t="inlineStr">
        <is>
          <t>R_unit_refs;R_machine_brigade_can_bang;R_atgm_tower</t>
        </is>
      </c>
      <c r="Q8" t="inlineStr"/>
      <c r="R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8" t="inlineStr">
        <is>
          <t>NEED_SOURCE</t>
        </is>
      </c>
      <c r="T8" t="inlineStr">
        <is>
          <t>NEED_SOURCE</t>
        </is>
      </c>
      <c r="U8" t="inlineStr">
        <is>
          <t>NEED_SOURCE</t>
        </is>
      </c>
      <c r="Y8" t="inlineStr">
        <is>
          <t>Tháp bê tông phóng tên lửa chống tăng</t>
        </is>
      </c>
      <c r="Z8" t="inlineStr">
        <is>
          <t>9M133 Kornet — Tháp bê tông phóng tên lửa chống tăng</t>
        </is>
      </c>
      <c r="AA8" t="inlineStr"/>
      <c r="AB8" t="inlineStr"/>
      <c r="AC8" t="inlineStr">
        <is>
          <t>Tools/blender/specs/atgm_tower.json: real = 9M133 Kornet (Kornet-EM twin launcher); 1P163-class guidance unit; confidence = ban_dau_doan (the launcher is real; the blockhouse is a generic cast emplacement)</t>
        </is>
      </c>
      <c r="AD8" t="inlineStr">
        <is>
          <t>Thap</t>
        </is>
      </c>
      <c r="AE8" t="inlineStr"/>
      <c r="AF8" t="inlineStr"/>
      <c r="AG8" t="inlineStr">
        <is>
          <t>Tools/docs/unit_refs.json: atgm_tower; Tools/models/reference_real.json: units.atgm_tower</t>
        </is>
      </c>
      <c r="AH8" t="inlineStr"/>
    </row>
    <row r="9">
      <c r="A9" t="inlineStr">
        <is>
          <t>atgm_tower.multi</t>
        </is>
      </c>
      <c r="B9" t="inlineStr">
        <is>
          <t>atgm_tower.multi</t>
        </is>
      </c>
      <c r="C9" t="inlineStr">
        <is>
          <t>atgm_tower.multi</t>
        </is>
      </c>
      <c r="D9" t="inlineStr">
        <is>
          <t>doi_that</t>
        </is>
      </c>
      <c r="E9" t="inlineStr">
        <is>
          <t>9M133 Kornet;Kornet-EM (bệ nhiều ống)</t>
        </is>
      </c>
      <c r="F9" t="inlineStr">
        <is>
          <t>NEED_SOURCE</t>
        </is>
      </c>
      <c r="G9" t="inlineStr">
        <is>
          <t>NEED_SOURCE</t>
        </is>
      </c>
      <c r="H9" t="inlineStr"/>
      <c r="I9" t="inlineStr"/>
      <c r="J9" t="inlineStr"/>
      <c r="K9" t="inlineStr">
        <is>
          <t>ước đoán (Kornet-EM): nhánh đa năng bốn ống và radar nhỏ</t>
        </is>
      </c>
      <c r="L9" t="inlineStr"/>
      <c r="M9" t="inlineStr"/>
      <c r="N9" t="inlineStr"/>
      <c r="O9" t="inlineStr">
        <is>
          <t>uoc_dinh</t>
        </is>
      </c>
      <c r="P9" t="inlineStr">
        <is>
          <t>R_unit_refs;R_machine_brigade_can_bang</t>
        </is>
      </c>
      <c r="Q9" t="inlineStr"/>
      <c r="R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9" t="inlineStr">
        <is>
          <t>NEED_SOURCE</t>
        </is>
      </c>
      <c r="T9" t="inlineStr">
        <is>
          <t>NEED_SOURCE</t>
        </is>
      </c>
      <c r="U9" t="inlineStr">
        <is>
          <t>NEED_SOURCE</t>
        </is>
      </c>
      <c r="Y9" t="inlineStr">
        <is>
          <t>ước đoán (Kornet-EM): nhánh đa năng bốn ống và radar nhỏ</t>
        </is>
      </c>
      <c r="Z9" t="inlineStr">
        <is>
          <t>9M133 Kornet, Kornet-EM (bệ nhiều ống) — ước đoán (Kornet-EM): nhánh đa năng bốn ống và radar nhỏ</t>
        </is>
      </c>
      <c r="AA9" t="inlineStr"/>
      <c r="AB9" t="inlineStr"/>
      <c r="AC9" t="inlineStr"/>
      <c r="AD9" t="inlineStr">
        <is>
          <t>Thap</t>
        </is>
      </c>
      <c r="AE9" t="inlineStr">
        <is>
          <t>multi</t>
        </is>
      </c>
      <c r="AF9" t="inlineStr"/>
      <c r="AG9" t="inlineStr">
        <is>
          <t>Tools/docs/unit_refs.json: atgm_tower.multi; Tools/models/reference_real.json: units.atgm_tower.multi</t>
        </is>
      </c>
      <c r="AH9" t="inlineStr"/>
    </row>
    <row r="10">
      <c r="A10" t="inlineStr">
        <is>
          <t>atgm_tower.top</t>
        </is>
      </c>
      <c r="B10" t="inlineStr">
        <is>
          <t>atgm_tower.top</t>
        </is>
      </c>
      <c r="C10" t="inlineStr">
        <is>
          <t>atgm_tower.top</t>
        </is>
      </c>
      <c r="D10" t="inlineStr">
        <is>
          <t>doi_that</t>
        </is>
      </c>
      <c r="E10" t="inlineStr">
        <is>
          <t>9M133 Kornet;FGM-148 Javelin (đánh nóc)</t>
        </is>
      </c>
      <c r="F10" t="inlineStr">
        <is>
          <t>NEED_SOURCE</t>
        </is>
      </c>
      <c r="G10" t="inlineStr">
        <is>
          <t>NEED_SOURCE</t>
        </is>
      </c>
      <c r="H10" t="inlineStr"/>
      <c r="I10" t="inlineStr"/>
      <c r="J10" t="inlineStr"/>
      <c r="K10" t="inlineStr">
        <is>
          <t>ước đoán (Javelin): nhánh tên lửa đánh nóc</t>
        </is>
      </c>
      <c r="L10" t="inlineStr"/>
      <c r="M10" t="inlineStr"/>
      <c r="N10" t="inlineStr"/>
      <c r="O10" t="inlineStr">
        <is>
          <t>uoc_dinh</t>
        </is>
      </c>
      <c r="P10" t="inlineStr">
        <is>
          <t>R_unit_refs;R_machine_brigade_can_bang</t>
        </is>
      </c>
      <c r="Q10" t="inlineStr"/>
      <c r="R1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0" t="inlineStr">
        <is>
          <t>NEED_SOURCE</t>
        </is>
      </c>
      <c r="T10" t="inlineStr">
        <is>
          <t>NEED_SOURCE</t>
        </is>
      </c>
      <c r="U10" t="inlineStr">
        <is>
          <t>NEED_SOURCE</t>
        </is>
      </c>
      <c r="Y10" t="inlineStr">
        <is>
          <t>ước đoán (Javelin): nhánh tên lửa đánh nóc</t>
        </is>
      </c>
      <c r="Z10" t="inlineStr">
        <is>
          <t>9M133 Kornet, FGM-148 Javelin (đánh nóc) — ước đoán (Javelin): nhánh tên lửa đánh nóc</t>
        </is>
      </c>
      <c r="AA10" t="inlineStr"/>
      <c r="AB10" t="inlineStr"/>
      <c r="AC10" t="inlineStr"/>
      <c r="AD10" t="inlineStr">
        <is>
          <t>Thap</t>
        </is>
      </c>
      <c r="AE10" t="inlineStr">
        <is>
          <t>top</t>
        </is>
      </c>
      <c r="AF10" t="inlineStr"/>
      <c r="AG10" t="inlineStr">
        <is>
          <t>Tools/docs/unit_refs.json: atgm_tower.top; Tools/models/reference_real.json: units.atgm_tower.top</t>
        </is>
      </c>
      <c r="AH10" t="inlineStr"/>
    </row>
    <row r="11">
      <c r="A11" t="inlineStr">
        <is>
          <t>barrage_balloon</t>
        </is>
      </c>
      <c r="B11" t="inlineStr">
        <is>
          <t>barrage_balloon</t>
        </is>
      </c>
      <c r="C11" t="inlineStr">
        <is>
          <t>Khí cầu neo radar (JLENS)</t>
        </is>
      </c>
      <c r="D11" t="inlineStr">
        <is>
          <t>doi_that</t>
        </is>
      </c>
      <c r="E11" t="inlineStr">
        <is>
          <t>JLENS (khí cầu neo radar)</t>
        </is>
      </c>
      <c r="F11" t="inlineStr">
        <is>
          <t>NEED_SOURCE</t>
        </is>
      </c>
      <c r="G11" t="inlineStr">
        <is>
          <t>NEED_SOURCE</t>
        </is>
      </c>
      <c r="H11" t="inlineStr"/>
      <c r="I11" t="inlineStr"/>
      <c r="J11" t="inlineStr"/>
      <c r="K11" t="inlineStr">
        <is>
          <t>Khí cầu neo radar: bom địch kém chính xác, lộ máy bay tàng hình gần</t>
        </is>
      </c>
      <c r="L11" t="inlineStr"/>
      <c r="M11" t="inlineStr"/>
      <c r="N11" t="inlineStr"/>
      <c r="O11" t="inlineStr">
        <is>
          <t>ban_dau_doan</t>
        </is>
      </c>
      <c r="P11" t="inlineStr">
        <is>
          <t>R_unit_refs;R_barrage_balloon</t>
        </is>
      </c>
      <c r="Q11" t="inlineStr"/>
      <c r="R1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1" t="inlineStr">
        <is>
          <t>NEED_SOURCE</t>
        </is>
      </c>
      <c r="T11" t="inlineStr">
        <is>
          <t>NEED_SOURCE</t>
        </is>
      </c>
      <c r="U11" t="inlineStr">
        <is>
          <t>NEED_SOURCE</t>
        </is>
      </c>
      <c r="Y11" t="inlineStr">
        <is>
          <t>Khí cầu neo radar: bom địch kém chính xác, lộ máy bay tàng hình gần</t>
        </is>
      </c>
      <c r="Z11" t="inlineStr"/>
      <c r="AA11" t="inlineStr"/>
      <c r="AB11" t="inlineStr"/>
      <c r="AC11" t="inlineStr">
        <is>
          <t>Tools/blender/specs/barrage_balloon.json: real = JLENS (Raytheon / TCOM 74M-class tethered radar aerostat) on its mobile mooring station; confidence = xấp xỉ (JLENS envelope, inverted-Y fins, belly radome, mobile mooring station; scaled to the box)</t>
        </is>
      </c>
      <c r="AD11" t="inlineStr">
        <is>
          <t>Thap</t>
        </is>
      </c>
      <c r="AE11" t="inlineStr"/>
      <c r="AF11" t="inlineStr"/>
      <c r="AG11" t="inlineStr">
        <is>
          <t>Tools/docs/unit_refs.json: barrage_balloon; Tools/models/reference_real.json: units.barrage_balloon</t>
        </is>
      </c>
      <c r="AH11" t="inlineStr"/>
    </row>
    <row r="12">
      <c r="A12" t="inlineStr">
        <is>
          <t>blast_wall</t>
        </is>
      </c>
      <c r="B12" t="inlineStr">
        <is>
          <t>blast_wall</t>
        </is>
      </c>
      <c r="C12" t="inlineStr">
        <is>
          <t>Tường chắn đạn</t>
        </is>
      </c>
      <c r="D12" t="inlineStr">
        <is>
          <t>NEED_SOURCE</t>
        </is>
      </c>
      <c r="E12" t="inlineStr"/>
      <c r="F12" t="inlineStr">
        <is>
          <t>NEED_SOURCE</t>
        </is>
      </c>
      <c r="G12" t="inlineStr">
        <is>
          <t>NEED_SOURCE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NEED_SOURCE</t>
        </is>
      </c>
      <c r="P12" t="inlineStr">
        <is>
          <t>R_blast_wall</t>
        </is>
      </c>
      <c r="Q12" t="inlineStr">
        <is>
          <t>repo không có tham chiếu cho thực thể này (unit_refs.json, reference_real.json, bảng cân bằng)</t>
        </is>
      </c>
      <c r="R1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2" t="inlineStr">
        <is>
          <t>NEED_SOURCE</t>
        </is>
      </c>
      <c r="T12" t="inlineStr">
        <is>
          <t>NEED_SOURCE</t>
        </is>
      </c>
      <c r="U12" t="inlineStr">
        <is>
          <t>NEED_SOURCE</t>
        </is>
      </c>
      <c r="Z12" t="inlineStr"/>
      <c r="AA12" t="inlineStr"/>
      <c r="AB12" t="inlineStr"/>
      <c r="AC12" t="inlineStr">
        <is>
          <t>Tools/blender/specs/blast_wall.json: real = stone-filled welded-mesh gabion baskets (1 m class) stepped as a blast wall, a sandbag crest; confidence = xấp xỉ (common gabion basket sizes; the box is the old file's and the def's)</t>
        </is>
      </c>
      <c r="AD12" t="inlineStr">
        <is>
          <t>Thap</t>
        </is>
      </c>
      <c r="AE12" t="inlineStr"/>
      <c r="AF12" t="inlineStr"/>
      <c r="AG12" t="inlineStr">
        <is>
          <t>Tools/docs/unit_refs.json: blast_wall; Tools/models/reference_real.json: units.blast_wall</t>
        </is>
      </c>
      <c r="AH12" t="inlineStr"/>
    </row>
    <row r="13">
      <c r="A13" t="inlineStr">
        <is>
          <t>bulwark_post</t>
        </is>
      </c>
      <c r="B13" t="inlineStr">
        <is>
          <t>bulwark_post</t>
        </is>
      </c>
      <c r="C13" t="inlineStr">
        <is>
          <t>Ụ súng dã chiến</t>
        </is>
      </c>
      <c r="D13" t="inlineStr">
        <is>
          <t>doi_that</t>
        </is>
      </c>
      <c r="E13" t="inlineStr">
        <is>
          <t>NSV 12,7 mm;lô cốt hình nấm</t>
        </is>
      </c>
      <c r="F13" t="inlineStr">
        <is>
          <t>NEED_SOURCE</t>
        </is>
      </c>
      <c r="G13" t="inlineStr">
        <is>
          <t>NEED_SOURCE</t>
        </is>
      </c>
      <c r="H13" t="inlineStr"/>
      <c r="I13" t="inlineStr"/>
      <c r="J13" t="inlineStr"/>
      <c r="K13" t="inlineStr">
        <is>
          <t>Ụ súng máy tạm sau khi tháp đổ (trang bị Bulwark)</t>
        </is>
      </c>
      <c r="L13" t="inlineStr"/>
      <c r="M13" t="inlineStr"/>
      <c r="N13" t="inlineStr"/>
      <c r="O13" t="inlineStr">
        <is>
          <t>ban_dau_doan</t>
        </is>
      </c>
      <c r="P13" t="inlineStr">
        <is>
          <t>R_unit_refs;R_machine_brigade_can_bang;R_bulwark_post</t>
        </is>
      </c>
      <c r="Q13" t="inlineStr"/>
      <c r="R1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3" t="inlineStr">
        <is>
          <t>NEED_SOURCE</t>
        </is>
      </c>
      <c r="T13" t="inlineStr">
        <is>
          <t>NEED_SOURCE</t>
        </is>
      </c>
      <c r="U13" t="inlineStr">
        <is>
          <t>NEED_SOURCE</t>
        </is>
      </c>
      <c r="Y13" t="inlineStr">
        <is>
          <t>Ụ súng máy tạm sau khi tháp đổ (trang bị Bulwark)</t>
        </is>
      </c>
      <c r="Z13" t="inlineStr">
        <is>
          <t>NSV 12,7 mm, lô cốt hình nấm — Ụ súng máy tạm sau khi tháp đổ (trang bị Bulwark)</t>
        </is>
      </c>
      <c r="AA13" t="inlineStr"/>
      <c r="AB13" t="inlineStr"/>
      <c r="AC13" t="inlineStr">
        <is>
          <t>Tools/blender/specs/bulwark_post.json: real = NSV 12.7 mm on the 6T7 tripod (unit_refs; balance.json bunker_hmg); a mushroom-covered field MG post (unit_refs: lô cốt hình nấm); confidence = xấp xỉ (NSV / 6T7 photographs; the post is a field improvisation)</t>
        </is>
      </c>
      <c r="AD13" t="inlineStr">
        <is>
          <t>Thap</t>
        </is>
      </c>
      <c r="AE13" t="inlineStr"/>
      <c r="AF13" t="inlineStr"/>
      <c r="AG13" t="inlineStr">
        <is>
          <t>Tools/docs/unit_refs.json: bulwark_post; Tools/models/reference_real.json: units.bulwark_post</t>
        </is>
      </c>
      <c r="AH13" t="inlineStr"/>
    </row>
    <row r="14">
      <c r="A14" t="inlineStr">
        <is>
          <t>bunker_shelter_tower</t>
        </is>
      </c>
      <c r="B14" t="inlineStr">
        <is>
          <t>bunker_shelter_tower</t>
        </is>
      </c>
      <c r="C14" t="inlineStr">
        <is>
          <t>Hầm ngầm che quân</t>
        </is>
      </c>
      <c r="D14" t="inlineStr">
        <is>
          <t>NEED_SOURCE</t>
        </is>
      </c>
      <c r="E14" t="inlineStr"/>
      <c r="F14" t="inlineStr">
        <is>
          <t>NEED_SOURCE</t>
        </is>
      </c>
      <c r="G14" t="inlineStr">
        <is>
          <t>NEED_SOURCE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NEED_SOURCE</t>
        </is>
      </c>
      <c r="P14" t="inlineStr">
        <is>
          <t>R_bunker_shelter_tower</t>
        </is>
      </c>
      <c r="Q14" t="inlineStr">
        <is>
          <t>repo không có tham chiếu cho thực thể này (unit_refs.json, reference_real.json, bảng cân bằng)</t>
        </is>
      </c>
      <c r="R1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4" t="inlineStr">
        <is>
          <t>NEED_SOURCE</t>
        </is>
      </c>
      <c r="T14" t="inlineStr">
        <is>
          <t>NEED_SOURCE</t>
        </is>
      </c>
      <c r="U14" t="inlineStr">
        <is>
          <t>NEED_SOURCE</t>
        </is>
      </c>
      <c r="Z14" t="inlineStr"/>
      <c r="AA14" t="inlineStr"/>
      <c r="AB14" t="inlineStr"/>
      <c r="AC14" t="inlineStr">
        <is>
          <t>Tools/blender/specs/bunker_shelter_tower.json: real = a corrugated steel arch shelter of the Elephant / Nissen kind, earthed over on its flanks; confidence = xấp xỉ (Elephant shelter arch proportions; the earthing and porch are field practice)</t>
        </is>
      </c>
      <c r="AD14" t="inlineStr">
        <is>
          <t>Thap</t>
        </is>
      </c>
      <c r="AE14" t="inlineStr"/>
      <c r="AF14" t="inlineStr"/>
      <c r="AG14" t="inlineStr">
        <is>
          <t>Tools/docs/unit_refs.json: bunker_shelter_tower; Tools/models/reference_real.json: units.bunker_shelter_tower</t>
        </is>
      </c>
      <c r="AH14" t="inlineStr"/>
    </row>
    <row r="15">
      <c r="A15" t="inlineStr">
        <is>
          <t>c_ram</t>
        </is>
      </c>
      <c r="B15" t="inlineStr">
        <is>
          <t>c_ram</t>
        </is>
      </c>
      <c r="C15" t="inlineStr">
        <is>
          <t>Trạm đánh chặn C-RAM</t>
        </is>
      </c>
      <c r="D15" t="inlineStr">
        <is>
          <t>doi_that</t>
        </is>
      </c>
      <c r="E15" t="inlineStr">
        <is>
          <t>Centurion C-RAM;Phalanx Block 1B (M61 20 mm)</t>
        </is>
      </c>
      <c r="F15" t="inlineStr">
        <is>
          <t>NEED_SOURCE</t>
        </is>
      </c>
      <c r="G15" t="inlineStr">
        <is>
          <t>NEED_SOURCE</t>
        </is>
      </c>
      <c r="H15" t="inlineStr"/>
      <c r="I15" t="inlineStr"/>
      <c r="J15" t="inlineStr"/>
      <c r="K15" t="inlineStr">
        <is>
          <t>Pháo phòng thủ tầm gần chống rốc-két, pháo và cối</t>
        </is>
      </c>
      <c r="L15" t="inlineStr"/>
      <c r="M15" t="inlineStr"/>
      <c r="N15" t="inlineStr"/>
      <c r="O15" t="inlineStr">
        <is>
          <t>ban_dau_doan</t>
        </is>
      </c>
      <c r="P15" t="inlineStr">
        <is>
          <t>R_unit_refs;R_machine_brigade_can_bang;R_c_ram</t>
        </is>
      </c>
      <c r="Q15" t="inlineStr"/>
      <c r="R1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5" t="inlineStr">
        <is>
          <t>NEED_SOURCE</t>
        </is>
      </c>
      <c r="T15" t="inlineStr">
        <is>
          <t>NEED_SOURCE</t>
        </is>
      </c>
      <c r="U15" t="inlineStr">
        <is>
          <t>NEED_SOURCE</t>
        </is>
      </c>
      <c r="Y15" t="inlineStr">
        <is>
          <t>Pháo phòng thủ tầm gần chống rốc-két, pháo và cối</t>
        </is>
      </c>
      <c r="Z15" t="inlineStr">
        <is>
          <t>Centurion C-RAM, Phalanx Block 1B (M61 20 mm) — Pháo phòng thủ tầm gần chống rốc-két, pháo và cối</t>
        </is>
      </c>
      <c r="AA15" t="inlineStr">
        <is>
          <t>Phalanx: 4.500 phát/phút</t>
        </is>
      </c>
      <c r="AB15" t="inlineStr"/>
      <c r="AC15" t="inlineStr">
        <is>
          <t>Tools/blender/specs/c_ram.json: real = Centurion C-RAM: Phalanx Block 1B land mount on a trailer (unit_refs; M61 20 mm, balance.json c_ram_gatling); LCMR counter-fire radar on a mast; FOB position: HESCO, T-wall, generator; confidence = xấp xỉ (Centurion C-RAM photographs, Iraq / Afghanistan FOBs)</t>
        </is>
      </c>
      <c r="AD15" t="inlineStr">
        <is>
          <t>Thap</t>
        </is>
      </c>
      <c r="AE15" t="inlineStr"/>
      <c r="AF15" t="inlineStr"/>
      <c r="AG15" t="inlineStr">
        <is>
          <t>Tools/docs/unit_refs.json: c_ram; Tools/models/reference_real.json: units.c_ram</t>
        </is>
      </c>
      <c r="AH15" t="inlineStr"/>
    </row>
    <row r="16">
      <c r="A16" t="inlineStr">
        <is>
          <t>c_ram.centurion</t>
        </is>
      </c>
      <c r="B16" t="inlineStr">
        <is>
          <t>c_ram.centurion</t>
        </is>
      </c>
      <c r="C16" t="inlineStr">
        <is>
          <t>c_ram.centurion</t>
        </is>
      </c>
      <c r="D16" t="inlineStr">
        <is>
          <t>doi_that</t>
        </is>
      </c>
      <c r="E16" t="inlineStr">
        <is>
          <t>Centurion C-RAM;Phalanx CIWS</t>
        </is>
      </c>
      <c r="F16" t="inlineStr">
        <is>
          <t>NEED_SOURCE</t>
        </is>
      </c>
      <c r="G16" t="inlineStr">
        <is>
          <t>NEED_SOURCE</t>
        </is>
      </c>
      <c r="H16" t="inlineStr"/>
      <c r="I16" t="inlineStr"/>
      <c r="J16" t="inlineStr"/>
      <c r="K16" t="inlineStr">
        <is>
          <t>Nhánh C-RAM tầm gần</t>
        </is>
      </c>
      <c r="L16" t="inlineStr"/>
      <c r="M16" t="inlineStr"/>
      <c r="N16" t="inlineStr"/>
      <c r="O16" t="inlineStr">
        <is>
          <t>ban_dau_doan</t>
        </is>
      </c>
      <c r="P16" t="inlineStr">
        <is>
          <t>R_unit_refs;R_machine_brigade_can_bang</t>
        </is>
      </c>
      <c r="Q16" t="inlineStr"/>
      <c r="R1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6" t="inlineStr">
        <is>
          <t>NEED_SOURCE</t>
        </is>
      </c>
      <c r="T16" t="inlineStr">
        <is>
          <t>NEED_SOURCE</t>
        </is>
      </c>
      <c r="U16" t="inlineStr">
        <is>
          <t>NEED_SOURCE</t>
        </is>
      </c>
      <c r="Y16" t="inlineStr">
        <is>
          <t>Nhánh C-RAM tầm gần</t>
        </is>
      </c>
      <c r="Z16" t="inlineStr">
        <is>
          <t>Centurion C-RAM, Phalanx CIWS — Nhánh C-RAM tầm gần</t>
        </is>
      </c>
      <c r="AA16" t="inlineStr"/>
      <c r="AB16" t="inlineStr"/>
      <c r="AC16" t="inlineStr"/>
      <c r="AD16" t="inlineStr">
        <is>
          <t>Thap</t>
        </is>
      </c>
      <c r="AE16" t="inlineStr">
        <is>
          <t>centurion</t>
        </is>
      </c>
      <c r="AF16" t="inlineStr"/>
      <c r="AG16" t="inlineStr">
        <is>
          <t>Tools/docs/unit_refs.json: c_ram.centurion; Tools/models/reference_real.json: units.c_ram.centurion</t>
        </is>
      </c>
      <c r="AH16" t="inlineStr"/>
    </row>
    <row r="17">
      <c r="A17" t="inlineStr">
        <is>
          <t>c_ram.dome</t>
        </is>
      </c>
      <c r="B17" t="inlineStr">
        <is>
          <t>c_ram.dome</t>
        </is>
      </c>
      <c r="C17" t="inlineStr">
        <is>
          <t>c_ram.dome</t>
        </is>
      </c>
      <c r="D17" t="inlineStr">
        <is>
          <t>doi_that</t>
        </is>
      </c>
      <c r="E17" t="inlineStr">
        <is>
          <t>Iron Dome (tên lửa Tamir)</t>
        </is>
      </c>
      <c r="F17" t="inlineStr">
        <is>
          <t>NEED_SOURCE</t>
        </is>
      </c>
      <c r="G17" t="inlineStr">
        <is>
          <t>NEED_SOURCE</t>
        </is>
      </c>
      <c r="H17" t="inlineStr"/>
      <c r="I17" t="inlineStr"/>
      <c r="J17" t="inlineStr"/>
      <c r="K17" t="inlineStr">
        <is>
          <t>Nhánh Vòm Sắt đánh chặn rốc-két</t>
        </is>
      </c>
      <c r="L17" t="inlineStr"/>
      <c r="M17" t="inlineStr"/>
      <c r="N17" t="inlineStr"/>
      <c r="O17" t="inlineStr">
        <is>
          <t>ban_dau_doan</t>
        </is>
      </c>
      <c r="P17" t="inlineStr">
        <is>
          <t>R_unit_refs;R_machine_brigade_can_bang</t>
        </is>
      </c>
      <c r="Q17" t="inlineStr"/>
      <c r="R1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7" t="inlineStr">
        <is>
          <t>NEED_SOURCE</t>
        </is>
      </c>
      <c r="T17" t="inlineStr">
        <is>
          <t>NEED_SOURCE</t>
        </is>
      </c>
      <c r="U17" t="inlineStr">
        <is>
          <t>NEED_SOURCE</t>
        </is>
      </c>
      <c r="Y17" t="inlineStr">
        <is>
          <t>Nhánh Vòm Sắt đánh chặn rốc-két</t>
        </is>
      </c>
      <c r="Z17" t="inlineStr">
        <is>
          <t>Iron Dome (tên lửa Tamir) — Nhánh Vòm Sắt đánh chặn rốc-két</t>
        </is>
      </c>
      <c r="AA17" t="inlineStr"/>
      <c r="AB17" t="inlineStr"/>
      <c r="AC17" t="inlineStr"/>
      <c r="AD17" t="inlineStr">
        <is>
          <t>Thap</t>
        </is>
      </c>
      <c r="AE17" t="inlineStr">
        <is>
          <t>dome</t>
        </is>
      </c>
      <c r="AF17" t="inlineStr"/>
      <c r="AG17" t="inlineStr">
        <is>
          <t>Tools/docs/unit_refs.json: c_ram.dome; Tools/models/reference_real.json: units.c_ram.dome</t>
        </is>
      </c>
      <c r="AH17" t="inlineStr"/>
    </row>
    <row r="18">
      <c r="A18" t="inlineStr">
        <is>
          <t>coastal_battery</t>
        </is>
      </c>
      <c r="B18" t="inlineStr">
        <is>
          <t>coastal_battery</t>
        </is>
      </c>
      <c r="C18" t="inlineStr">
        <is>
          <t>Trận địa pháo bờ biển</t>
        </is>
      </c>
      <c r="D18" t="inlineStr">
        <is>
          <t>doi_that</t>
        </is>
      </c>
      <c r="E18" t="inlineStr">
        <is>
          <t>A-222 Bereg (240 mm);AK-130 130 mm (tháp pháo hạm đặt trên bờ);K-300P Bastion-P;M284 155 mm</t>
        </is>
      </c>
      <c r="F18" t="inlineStr">
        <is>
          <t>NEED_SOURCE</t>
        </is>
      </c>
      <c r="G18" t="inlineStr">
        <is>
          <t>NEED_SOURCE</t>
        </is>
      </c>
      <c r="H18" t="inlineStr"/>
      <c r="I18" t="inlineStr"/>
      <c r="J18" t="inlineStr"/>
      <c r="K18" t="inlineStr">
        <is>
          <t>Trận địa pháo bờ biển</t>
        </is>
      </c>
      <c r="L18" t="inlineStr"/>
      <c r="M18" t="inlineStr"/>
      <c r="N18" t="inlineStr"/>
      <c r="O18" t="inlineStr">
        <is>
          <t>ban_dau_doan</t>
        </is>
      </c>
      <c r="P18" t="inlineStr">
        <is>
          <t>R_unit_refs;R_machine_brigade_can_bang;R_coastal_battery</t>
        </is>
      </c>
      <c r="Q18" t="inlineStr"/>
      <c r="R1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8" t="inlineStr">
        <is>
          <t>NEED_SOURCE</t>
        </is>
      </c>
      <c r="T18" t="inlineStr">
        <is>
          <t>NEED_SOURCE</t>
        </is>
      </c>
      <c r="U18" t="inlineStr">
        <is>
          <t>NEED_SOURCE</t>
        </is>
      </c>
      <c r="Y18" t="inlineStr">
        <is>
          <t>Trận địa pháo bờ biển</t>
        </is>
      </c>
      <c r="Z18" t="inlineStr">
        <is>
          <t>A-222 Bereg (240 mm), AK-130 130 mm (tháp pháo hạm đặt trên bờ), K-300P Bastion-P, M284 155 mm — Trận địa pháo bờ biển</t>
        </is>
      </c>
      <c r="AA18" t="inlineStr"/>
      <c r="AB18" t="inlineStr"/>
      <c r="AC18" t="inlineStr">
        <is>
          <t>Tools/blender/specs/coastal_battery.json: real = A-222 Bereg (240 mm); AK-130 130 mm naval mount set ashore; K-300P Bastion-P; M284 155 mm (unit_refs coastal_battery); confidence = xấp xỉ (an AK-130 single-type house in a sunken cast gun pit; the fire-control post and ready magazines as on shore batteries)</t>
        </is>
      </c>
      <c r="AD18" t="inlineStr">
        <is>
          <t>Thap</t>
        </is>
      </c>
      <c r="AE18" t="inlineStr"/>
      <c r="AF18" t="inlineStr"/>
      <c r="AG18" t="inlineStr">
        <is>
          <t>Tools/docs/unit_refs.json: coastal_battery; Tools/models/reference_real.json: units.coastal_battery</t>
        </is>
      </c>
      <c r="AH18" t="inlineStr"/>
    </row>
    <row r="19">
      <c r="A19" t="inlineStr">
        <is>
          <t>cp_relay</t>
        </is>
      </c>
      <c r="B19" t="inlineStr">
        <is>
          <t>cp_relay</t>
        </is>
      </c>
      <c r="C19" t="inlineStr">
        <is>
          <t>Trạm tiếp tế CP</t>
        </is>
      </c>
      <c r="D19" t="inlineStr">
        <is>
          <t>doi_that</t>
        </is>
      </c>
      <c r="E19" t="inlineStr">
        <is>
          <t>trạm tiếp sóng thông tin dã chiến</t>
        </is>
      </c>
      <c r="F19" t="inlineStr">
        <is>
          <t>NEED_SOURCE</t>
        </is>
      </c>
      <c r="G19" t="inlineStr">
        <is>
          <t>NEED_SOURCE</t>
        </is>
      </c>
      <c r="H19" t="inlineStr"/>
      <c r="I19" t="inlineStr"/>
      <c r="J19" t="inlineStr"/>
      <c r="K19" t="inlineStr">
        <is>
          <t>Trạm tiếp sóng CP, cột lưới hai chảo ăng-ten</t>
        </is>
      </c>
      <c r="L19" t="inlineStr"/>
      <c r="M19" t="inlineStr"/>
      <c r="N19" t="inlineStr"/>
      <c r="O19" t="inlineStr">
        <is>
          <t>ban_dau_doan</t>
        </is>
      </c>
      <c r="P19" t="inlineStr">
        <is>
          <t>R_unit_refs;R_machine_brigade_can_bang;R_cp_relay</t>
        </is>
      </c>
      <c r="Q19" t="inlineStr"/>
      <c r="R1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19" t="inlineStr">
        <is>
          <t>NEED_SOURCE</t>
        </is>
      </c>
      <c r="T19" t="inlineStr">
        <is>
          <t>NEED_SOURCE</t>
        </is>
      </c>
      <c r="U19" t="inlineStr">
        <is>
          <t>NEED_SOURCE</t>
        </is>
      </c>
      <c r="Y19" t="inlineStr">
        <is>
          <t>Trạm tiếp sóng CP, cột lưới hai chảo ăng-ten</t>
        </is>
      </c>
      <c r="Z19" t="inlineStr">
        <is>
          <t>trạm tiếp sóng thông tin dã chiến — Trạm tiếp sóng CP, cột lưới hai chảo ăng-ten</t>
        </is>
      </c>
      <c r="AA19" t="inlineStr"/>
      <c r="AB19" t="inlineStr"/>
      <c r="AC19" t="inlineStr">
        <is>
          <t>Tools/blender/specs/cp_relay.json: real = field radio relay station: a guyed lattice mast with microwave dishes (unit_refs cp_relay); a prefabricated comms shelter and generator; confidence = xấp xỉ (generic field relay; the compound matches the wave 2 cp_relay_b)</t>
        </is>
      </c>
      <c r="AD19" t="inlineStr">
        <is>
          <t>Thap</t>
        </is>
      </c>
      <c r="AE19" t="inlineStr"/>
      <c r="AF19" t="inlineStr"/>
      <c r="AG19" t="inlineStr">
        <is>
          <t>Tools/docs/unit_refs.json: cp_relay; Tools/models/reference_real.json: units.cp_relay</t>
        </is>
      </c>
      <c r="AH19" t="inlineStr"/>
    </row>
    <row r="20">
      <c r="A20" t="inlineStr">
        <is>
          <t>cp_relay.hardened</t>
        </is>
      </c>
      <c r="B20" t="inlineStr">
        <is>
          <t>cp_relay</t>
        </is>
      </c>
      <c r="C20" t="inlineStr">
        <is>
          <t>Trạm tiếp tế CP (cp_relay.hardened)</t>
        </is>
      </c>
      <c r="D20" t="inlineStr">
        <is>
          <t>doi_that</t>
        </is>
      </c>
      <c r="E20" t="inlineStr">
        <is>
          <t>trạm tiếp tế kiên cố</t>
        </is>
      </c>
      <c r="F20" t="inlineStr">
        <is>
          <t>NEED_SOURCE</t>
        </is>
      </c>
      <c r="G20" t="inlineStr">
        <is>
          <t>NEED_SOURCE</t>
        </is>
      </c>
      <c r="H20" t="inlineStr"/>
      <c r="I20" t="inlineStr"/>
      <c r="J20" t="inlineStr"/>
      <c r="K20" t="inlineStr">
        <is>
          <t>nhánh trạm tiếp tế</t>
        </is>
      </c>
      <c r="L20" t="inlineStr"/>
      <c r="M20" t="inlineStr"/>
      <c r="N20" t="inlineStr"/>
      <c r="O20" t="inlineStr">
        <is>
          <t>uoc_dinh</t>
        </is>
      </c>
      <c r="P20" t="inlineStr">
        <is>
          <t>R_unit_refs;R_machine_brigade_can_bang;R_cp_relay</t>
        </is>
      </c>
      <c r="Q20" t="inlineStr">
        <is>
          <t>khóa 'cp_relay.hardened' của unit_refs.json không còn là thực thể (nhánh cũ; cp_relay giờ noBranch): giữ để không mất ghi chú</t>
        </is>
      </c>
      <c r="R2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0" t="inlineStr">
        <is>
          <t>NEED_SOURCE</t>
        </is>
      </c>
      <c r="T20" t="inlineStr">
        <is>
          <t>NEED_SOURCE</t>
        </is>
      </c>
      <c r="U20" t="inlineStr">
        <is>
          <t>NEED_SOURCE</t>
        </is>
      </c>
      <c r="Y20" t="inlineStr">
        <is>
          <t>ước đoán: nhánh trạm tiếp tế</t>
        </is>
      </c>
      <c r="Z20" t="inlineStr">
        <is>
          <t>trạm tiếp sóng thông tin dã chiến — Trạm tiếp sóng CP, cột lưới hai chảo ăng-ten</t>
        </is>
      </c>
      <c r="AA20" t="inlineStr"/>
      <c r="AB20" t="inlineStr"/>
      <c r="AC20" t="inlineStr">
        <is>
          <t>Tools/blender/specs/cp_relay.json: real = field radio relay station: a guyed lattice mast with microwave dishes (unit_refs cp_relay); a prefabricated comms shelter and generator; confidence = xấp xỉ (generic field relay; the compound matches the wave 2 cp_relay_b)</t>
        </is>
      </c>
      <c r="AD20" t="inlineStr">
        <is>
          <t>Thap</t>
        </is>
      </c>
      <c r="AE20" t="inlineStr"/>
      <c r="AF20" t="inlineStr"/>
      <c r="AG20" t="inlineStr">
        <is>
          <t>Tools/docs/unit_refs.json: cp_relay.hardened; Tools/models/reference_real.json: units.cp_relay</t>
        </is>
      </c>
      <c r="AH20" t="inlineStr"/>
    </row>
    <row r="21">
      <c r="A21" t="inlineStr">
        <is>
          <t>cp_relay.loot</t>
        </is>
      </c>
      <c r="B21" t="inlineStr">
        <is>
          <t>cp_relay</t>
        </is>
      </c>
      <c r="C21" t="inlineStr">
        <is>
          <t>Trạm tiếp tế CP (cp_relay.loot)</t>
        </is>
      </c>
      <c r="D21" t="inlineStr">
        <is>
          <t>doi_that</t>
        </is>
      </c>
      <c r="E21" t="inlineStr">
        <is>
          <t>kho chiến lợi phẩm</t>
        </is>
      </c>
      <c r="F21" t="inlineStr">
        <is>
          <t>NEED_SOURCE</t>
        </is>
      </c>
      <c r="G21" t="inlineStr">
        <is>
          <t>NEED_SOURCE</t>
        </is>
      </c>
      <c r="H21" t="inlineStr"/>
      <c r="I21" t="inlineStr"/>
      <c r="J21" t="inlineStr"/>
      <c r="K21" t="inlineStr">
        <is>
          <t>nhánh kho chiến lợi phẩm</t>
        </is>
      </c>
      <c r="L21" t="inlineStr"/>
      <c r="M21" t="inlineStr"/>
      <c r="N21" t="inlineStr"/>
      <c r="O21" t="inlineStr">
        <is>
          <t>uoc_dinh</t>
        </is>
      </c>
      <c r="P21" t="inlineStr">
        <is>
          <t>R_unit_refs;R_machine_brigade_can_bang;R_cp_relay</t>
        </is>
      </c>
      <c r="Q21" t="inlineStr">
        <is>
          <t>khóa 'cp_relay.loot' của unit_refs.json không còn là thực thể (nhánh cũ; cp_relay giờ noBranch): giữ để không mất ghi chú</t>
        </is>
      </c>
      <c r="R2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1" t="inlineStr">
        <is>
          <t>NEED_SOURCE</t>
        </is>
      </c>
      <c r="T21" t="inlineStr">
        <is>
          <t>NEED_SOURCE</t>
        </is>
      </c>
      <c r="U21" t="inlineStr">
        <is>
          <t>NEED_SOURCE</t>
        </is>
      </c>
      <c r="Y21" t="inlineStr">
        <is>
          <t>ước đoán: nhánh kho chiến lợi phẩm</t>
        </is>
      </c>
      <c r="Z21" t="inlineStr">
        <is>
          <t>trạm tiếp sóng thông tin dã chiến — Trạm tiếp sóng CP, cột lưới hai chảo ăng-ten</t>
        </is>
      </c>
      <c r="AA21" t="inlineStr"/>
      <c r="AB21" t="inlineStr"/>
      <c r="AC21" t="inlineStr">
        <is>
          <t>Tools/blender/specs/cp_relay.json: real = field radio relay station: a guyed lattice mast with microwave dishes (unit_refs cp_relay); a prefabricated comms shelter and generator; confidence = xấp xỉ (generic field relay; the compound matches the wave 2 cp_relay_b)</t>
        </is>
      </c>
      <c r="AD21" t="inlineStr">
        <is>
          <t>Thap</t>
        </is>
      </c>
      <c r="AE21" t="inlineStr"/>
      <c r="AF21" t="inlineStr"/>
      <c r="AG21" t="inlineStr">
        <is>
          <t>Tools/docs/unit_refs.json: cp_relay.loot; Tools/models/reference_real.json: units.cp_relay</t>
        </is>
      </c>
      <c r="AH21" t="inlineStr"/>
    </row>
    <row r="22">
      <c r="A22" t="inlineStr">
        <is>
          <t>drone_hangar</t>
        </is>
      </c>
      <c r="B22" t="inlineStr">
        <is>
          <t>drone_hangar</t>
        </is>
      </c>
      <c r="C22" t="inlineStr">
        <is>
          <t>Nhà chứa drone</t>
        </is>
      </c>
      <c r="D22" t="inlineStr">
        <is>
          <t>doi_that</t>
        </is>
      </c>
      <c r="E22" t="inlineStr">
        <is>
          <t>hầm trú ẩn máy bay bê tông dạng vòm;drone FPV</t>
        </is>
      </c>
      <c r="F22" t="inlineStr">
        <is>
          <t>NEED_SOURCE</t>
        </is>
      </c>
      <c r="G22" t="inlineStr">
        <is>
          <t>NEED_SOURCE</t>
        </is>
      </c>
      <c r="H22" t="inlineStr"/>
      <c r="I22" t="inlineStr"/>
      <c r="J22" t="inlineStr"/>
      <c r="K22" t="inlineStr">
        <is>
          <t>Hầm vòm phủ đất phóng drone FPV</t>
        </is>
      </c>
      <c r="L22" t="inlineStr"/>
      <c r="M22" t="inlineStr"/>
      <c r="N22" t="inlineStr"/>
      <c r="O22" t="inlineStr">
        <is>
          <t>ban_dau_doan</t>
        </is>
      </c>
      <c r="P22" t="inlineStr">
        <is>
          <t>R_unit_refs;R_machine_brigade_can_bang;R_drone_hangar</t>
        </is>
      </c>
      <c r="Q22" t="inlineStr"/>
      <c r="R2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2" t="inlineStr">
        <is>
          <t>NEED_SOURCE</t>
        </is>
      </c>
      <c r="T22" t="inlineStr">
        <is>
          <t>NEED_SOURCE</t>
        </is>
      </c>
      <c r="U22" t="inlineStr">
        <is>
          <t>NEED_SOURCE</t>
        </is>
      </c>
      <c r="Y22" t="inlineStr">
        <is>
          <t>Hầm vòm phủ đất phóng drone FPV</t>
        </is>
      </c>
      <c r="Z22" t="inlineStr">
        <is>
          <t>hầm trú ẩn máy bay bê tông dạng vòm, drone FPV — Hầm vòm phủ đất phóng drone FPV</t>
        </is>
      </c>
      <c r="AA22" t="inlineStr"/>
      <c r="AB22" t="inlineStr"/>
      <c r="AC22" t="inlineStr">
        <is>
          <t>Tools/blender/specs/drone_hangar.json: real = earth-covered concrete arch shelter (unit_refs); FPV drones on a launch rail; confidence = ban_dau_doan (unit_refs: an earth-covered arch shelter launching FPV drones)</t>
        </is>
      </c>
      <c r="AD22" t="inlineStr">
        <is>
          <t>Thap</t>
        </is>
      </c>
      <c r="AE22" t="inlineStr"/>
      <c r="AF22" t="inlineStr"/>
      <c r="AG22" t="inlineStr">
        <is>
          <t>Tools/docs/unit_refs.json: drone_hangar; Tools/models/reference_real.json: units.drone_hangar</t>
        </is>
      </c>
      <c r="AH22" t="inlineStr"/>
    </row>
    <row r="23">
      <c r="A23" t="inlineStr">
        <is>
          <t>drone_hangar.lancet</t>
        </is>
      </c>
      <c r="B23" t="inlineStr">
        <is>
          <t>drone_hangar.lancet</t>
        </is>
      </c>
      <c r="C23" t="inlineStr">
        <is>
          <t>drone_hangar.lancet</t>
        </is>
      </c>
      <c r="D23" t="inlineStr">
        <is>
          <t>doi_that</t>
        </is>
      </c>
      <c r="E23" t="inlineStr">
        <is>
          <t>ZALA Lancet-3 (máy phóng ray)</t>
        </is>
      </c>
      <c r="F23" t="inlineStr">
        <is>
          <t>NEED_SOURCE</t>
        </is>
      </c>
      <c r="G23" t="inlineStr">
        <is>
          <t>NEED_SOURCE</t>
        </is>
      </c>
      <c r="H23" t="inlineStr"/>
      <c r="I23" t="inlineStr"/>
      <c r="J23" t="inlineStr"/>
      <c r="K23" t="inlineStr">
        <is>
          <t>Nhánh phóng Lancet</t>
        </is>
      </c>
      <c r="L23" t="inlineStr"/>
      <c r="M23" t="inlineStr"/>
      <c r="N23" t="inlineStr"/>
      <c r="O23" t="inlineStr">
        <is>
          <t>ban_dau_doan</t>
        </is>
      </c>
      <c r="P23" t="inlineStr">
        <is>
          <t>R_unit_refs;R_machine_brigade_can_bang</t>
        </is>
      </c>
      <c r="Q23" t="inlineStr"/>
      <c r="R2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3" t="inlineStr">
        <is>
          <t>NEED_SOURCE</t>
        </is>
      </c>
      <c r="T23" t="inlineStr">
        <is>
          <t>NEED_SOURCE</t>
        </is>
      </c>
      <c r="U23" t="inlineStr">
        <is>
          <t>NEED_SOURCE</t>
        </is>
      </c>
      <c r="Y23" t="inlineStr">
        <is>
          <t>Nhánh phóng Lancet</t>
        </is>
      </c>
      <c r="Z23" t="inlineStr">
        <is>
          <t>ZALA Lancet-3 (máy phóng ray) — Nhánh phóng Lancet</t>
        </is>
      </c>
      <c r="AA23" t="inlineStr"/>
      <c r="AB23" t="inlineStr"/>
      <c r="AC23" t="inlineStr"/>
      <c r="AD23" t="inlineStr">
        <is>
          <t>Thap</t>
        </is>
      </c>
      <c r="AE23" t="inlineStr">
        <is>
          <t>lancet</t>
        </is>
      </c>
      <c r="AF23" t="inlineStr"/>
      <c r="AG23" t="inlineStr">
        <is>
          <t>Tools/docs/unit_refs.json: drone_hangar.lancet; Tools/models/reference_real.json: units.drone_hangar.lancet</t>
        </is>
      </c>
      <c r="AH23" t="inlineStr"/>
    </row>
    <row r="24">
      <c r="A24" t="inlineStr">
        <is>
          <t>drone_hangar.swarm</t>
        </is>
      </c>
      <c r="B24" t="inlineStr">
        <is>
          <t>drone_hangar.swarm</t>
        </is>
      </c>
      <c r="C24" t="inlineStr">
        <is>
          <t>drone_hangar.swarm</t>
        </is>
      </c>
      <c r="D24" t="inlineStr">
        <is>
          <t>doi_that</t>
        </is>
      </c>
      <c r="E24" t="inlineStr">
        <is>
          <t>bầy drone FPV</t>
        </is>
      </c>
      <c r="F24" t="inlineStr">
        <is>
          <t>NEED_SOURCE</t>
        </is>
      </c>
      <c r="G24" t="inlineStr">
        <is>
          <t>NEED_SOURCE</t>
        </is>
      </c>
      <c r="H24" t="inlineStr"/>
      <c r="I24" t="inlineStr"/>
      <c r="J24" t="inlineStr"/>
      <c r="K24" t="inlineStr">
        <is>
          <t>Nhánh phóng bầy drone</t>
        </is>
      </c>
      <c r="L24" t="inlineStr"/>
      <c r="M24" t="inlineStr"/>
      <c r="N24" t="inlineStr"/>
      <c r="O24" t="inlineStr">
        <is>
          <t>ban_dau_doan</t>
        </is>
      </c>
      <c r="P24" t="inlineStr">
        <is>
          <t>R_unit_refs;R_machine_brigade_can_bang</t>
        </is>
      </c>
      <c r="Q24" t="inlineStr"/>
      <c r="R2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4" t="inlineStr">
        <is>
          <t>NEED_SOURCE</t>
        </is>
      </c>
      <c r="T24" t="inlineStr">
        <is>
          <t>NEED_SOURCE</t>
        </is>
      </c>
      <c r="U24" t="inlineStr">
        <is>
          <t>NEED_SOURCE</t>
        </is>
      </c>
      <c r="Y24" t="inlineStr">
        <is>
          <t>Nhánh phóng bầy drone</t>
        </is>
      </c>
      <c r="Z24" t="inlineStr">
        <is>
          <t>bầy drone FPV — Nhánh phóng bầy drone</t>
        </is>
      </c>
      <c r="AA24" t="inlineStr"/>
      <c r="AB24" t="inlineStr"/>
      <c r="AC24" t="inlineStr"/>
      <c r="AD24" t="inlineStr">
        <is>
          <t>Thap</t>
        </is>
      </c>
      <c r="AE24" t="inlineStr">
        <is>
          <t>swarm</t>
        </is>
      </c>
      <c r="AF24" t="inlineStr"/>
      <c r="AG24" t="inlineStr">
        <is>
          <t>Tools/docs/unit_refs.json: drone_hangar.swarm; Tools/models/reference_real.json: units.drone_hangar.swarm</t>
        </is>
      </c>
      <c r="AH24" t="inlineStr"/>
    </row>
    <row r="25">
      <c r="A25" t="inlineStr">
        <is>
          <t>drone_net_tower</t>
        </is>
      </c>
      <c r="B25" t="inlineStr">
        <is>
          <t>drone_net_tower</t>
        </is>
      </c>
      <c r="C25" t="inlineStr">
        <is>
          <t>Lưới chắn drone</t>
        </is>
      </c>
      <c r="D25" t="inlineStr">
        <is>
          <t>NEED_SOURCE</t>
        </is>
      </c>
      <c r="E25" t="inlineStr"/>
      <c r="F25" t="inlineStr">
        <is>
          <t>NEED_SOURCE</t>
        </is>
      </c>
      <c r="G25" t="inlineStr">
        <is>
          <t>NEED_SOURCE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NEED_SOURCE</t>
        </is>
      </c>
      <c r="P25" t="inlineStr">
        <is>
          <t>R_drone_net_tower</t>
        </is>
      </c>
      <c r="Q25" t="inlineStr">
        <is>
          <t>repo không có tham chiếu cho thực thể này (unit_refs.json, reference_real.json, bảng cân bằng)</t>
        </is>
      </c>
      <c r="R2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5" t="inlineStr">
        <is>
          <t>NEED_SOURCE</t>
        </is>
      </c>
      <c r="T25" t="inlineStr">
        <is>
          <t>NEED_SOURCE</t>
        </is>
      </c>
      <c r="U25" t="inlineStr">
        <is>
          <t>NEED_SOURCE</t>
        </is>
      </c>
      <c r="Z25" t="inlineStr"/>
      <c r="AA25" t="inlineStr"/>
      <c r="AB25" t="inlineStr"/>
      <c r="AC25" t="inlineStr">
        <is>
          <t>Tools/blender/specs/drone_net_tower.json: real = anti-drone net corridor over a front-line road (balance.json net_zap: 'Anti-drone net corridor'); confidence = xấp xỉ (2023-2025 photographs of Ukrainian and Russian road net tunnels; the emitter is the game's)</t>
        </is>
      </c>
      <c r="AD25" t="inlineStr">
        <is>
          <t>Thap</t>
        </is>
      </c>
      <c r="AE25" t="inlineStr"/>
      <c r="AF25" t="inlineStr"/>
      <c r="AG25" t="inlineStr">
        <is>
          <t>Tools/docs/unit_refs.json: drone_net_tower; Tools/models/reference_real.json: units.drone_net_tower</t>
        </is>
      </c>
      <c r="AH25" t="inlineStr"/>
    </row>
    <row r="26">
      <c r="A26" t="inlineStr">
        <is>
          <t>ew_tower</t>
        </is>
      </c>
      <c r="B26" t="inlineStr">
        <is>
          <t>ew_tower</t>
        </is>
      </c>
      <c r="C26" t="inlineStr">
        <is>
          <t>Tháp gây nhiễu EW</t>
        </is>
      </c>
      <c r="D26" t="inlineStr">
        <is>
          <t>doi_that</t>
        </is>
      </c>
      <c r="E26" t="inlineStr">
        <is>
          <t>Murmansk-BN;cột ăng-ten tác chiến điện tử</t>
        </is>
      </c>
      <c r="F26" t="inlineStr">
        <is>
          <t>NEED_SOURCE</t>
        </is>
      </c>
      <c r="G26" t="inlineStr">
        <is>
          <t>NEED_SOURCE</t>
        </is>
      </c>
      <c r="H26" t="inlineStr">
        <is>
          <t>Command: Modern Operations</t>
        </is>
      </c>
      <c r="I26" t="inlineStr">
        <is>
          <t>EMCON</t>
        </is>
      </c>
      <c r="J26" t="inlineStr"/>
      <c r="K26" t="inlineStr">
        <is>
          <t>cột lưới thép gây nhiễu điện tử</t>
        </is>
      </c>
      <c r="L26" t="inlineStr"/>
      <c r="M26" t="inlineStr"/>
      <c r="N26" t="inlineStr"/>
      <c r="O26" t="inlineStr">
        <is>
          <t>uoc_dinh</t>
        </is>
      </c>
      <c r="P26" t="inlineStr">
        <is>
          <t>R_unit_refs;R_machine_brigade_can_bang;R_ew_tower;R_machine_brigade_ai_research</t>
        </is>
      </c>
      <c r="Q26" t="inlineStr"/>
      <c r="R2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6" t="inlineStr">
        <is>
          <t>NEED_SOURCE</t>
        </is>
      </c>
      <c r="T26" t="inlineStr">
        <is>
          <t>NEED_SOURCE</t>
        </is>
      </c>
      <c r="U26" t="inlineStr">
        <is>
          <t>NEED_SOURCE</t>
        </is>
      </c>
      <c r="Y26" t="inlineStr">
        <is>
          <t>ước đoán: cột lưới thép gây nhiễu điện tử</t>
        </is>
      </c>
      <c r="Z26" t="inlineStr">
        <is>
          <t>Murmansk-BN, cột ăng-ten tác chiến điện tử — ước đoán: cột lưới thép gây nhiễu điện tử</t>
        </is>
      </c>
      <c r="AA26" t="inlineStr"/>
      <c r="AB26" t="inlineStr"/>
      <c r="AC26" t="inlineStr">
        <is>
          <t>Tools/blender/specs/ew_tower.json: real = Pole-21 / R-934-style sector jammer heads; galvanised four-legged telecom lattice mast; equipment shelter with air conditioner, skid diesel generator; confidence = xấp xỉ (jammer mast and telecom tower photographs)</t>
        </is>
      </c>
      <c r="AD26" t="inlineStr">
        <is>
          <t>Thap</t>
        </is>
      </c>
      <c r="AE26" t="inlineStr"/>
      <c r="AF26" t="inlineStr"/>
      <c r="AG26" t="inlineStr">
        <is>
          <t>Tools/docs/unit_refs.json: ew_tower; Tools/models/reference_real.json: units.ew_tower</t>
        </is>
      </c>
      <c r="AH26" t="inlineStr"/>
    </row>
    <row r="27">
      <c r="A27" t="inlineStr">
        <is>
          <t>ew_tower.drone</t>
        </is>
      </c>
      <c r="B27" t="inlineStr">
        <is>
          <t>ew_tower.drone</t>
        </is>
      </c>
      <c r="C27" t="inlineStr">
        <is>
          <t>ew_tower.drone</t>
        </is>
      </c>
      <c r="D27" t="inlineStr">
        <is>
          <t>doi_that</t>
        </is>
      </c>
      <c r="E27" t="inlineStr">
        <is>
          <t>Rafael Drone Dome;Bukovel-AD</t>
        </is>
      </c>
      <c r="F27" t="inlineStr">
        <is>
          <t>NEED_SOURCE</t>
        </is>
      </c>
      <c r="G27" t="inlineStr">
        <is>
          <t>NEED_SOURCE</t>
        </is>
      </c>
      <c r="H27" t="inlineStr"/>
      <c r="I27" t="inlineStr"/>
      <c r="J27" t="inlineStr"/>
      <c r="K27" t="inlineStr">
        <is>
          <t>nhánh gây nhiễu drone</t>
        </is>
      </c>
      <c r="L27" t="inlineStr"/>
      <c r="M27" t="inlineStr"/>
      <c r="N27" t="inlineStr"/>
      <c r="O27" t="inlineStr">
        <is>
          <t>uoc_dinh</t>
        </is>
      </c>
      <c r="P27" t="inlineStr">
        <is>
          <t>R_unit_refs;R_machine_brigade_can_bang</t>
        </is>
      </c>
      <c r="Q27" t="inlineStr"/>
      <c r="R2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7" t="inlineStr">
        <is>
          <t>NEED_SOURCE</t>
        </is>
      </c>
      <c r="T27" t="inlineStr">
        <is>
          <t>NEED_SOURCE</t>
        </is>
      </c>
      <c r="U27" t="inlineStr">
        <is>
          <t>NEED_SOURCE</t>
        </is>
      </c>
      <c r="Y27" t="inlineStr">
        <is>
          <t>ước đoán: nhánh gây nhiễu drone</t>
        </is>
      </c>
      <c r="Z27" t="inlineStr">
        <is>
          <t>Rafael Drone Dome, Bukovel-AD — ước đoán: nhánh gây nhiễu drone</t>
        </is>
      </c>
      <c r="AA27" t="inlineStr"/>
      <c r="AB27" t="inlineStr"/>
      <c r="AC27" t="inlineStr"/>
      <c r="AD27" t="inlineStr">
        <is>
          <t>Thap</t>
        </is>
      </c>
      <c r="AE27" t="inlineStr">
        <is>
          <t>drone</t>
        </is>
      </c>
      <c r="AF27" t="inlineStr"/>
      <c r="AG27" t="inlineStr">
        <is>
          <t>Tools/docs/unit_refs.json: ew_tower.drone; Tools/models/reference_real.json: units.ew_tower.drone</t>
        </is>
      </c>
      <c r="AH27" t="inlineStr"/>
    </row>
    <row r="28">
      <c r="A28" t="inlineStr">
        <is>
          <t>ew_tower.spoof</t>
        </is>
      </c>
      <c r="B28" t="inlineStr">
        <is>
          <t>ew_tower.spoof</t>
        </is>
      </c>
      <c r="C28" t="inlineStr">
        <is>
          <t>ew_tower.spoof</t>
        </is>
      </c>
      <c r="D28" t="inlineStr">
        <is>
          <t>doi_that</t>
        </is>
      </c>
      <c r="E28" t="inlineStr">
        <is>
          <t>Pole-21;mồi nhử radar</t>
        </is>
      </c>
      <c r="F28" t="inlineStr">
        <is>
          <t>NEED_SOURCE</t>
        </is>
      </c>
      <c r="G28" t="inlineStr">
        <is>
          <t>NEED_SOURCE</t>
        </is>
      </c>
      <c r="H28" t="inlineStr"/>
      <c r="I28" t="inlineStr"/>
      <c r="J28" t="inlineStr"/>
      <c r="K28" t="inlineStr">
        <is>
          <t>nhánh đánh lừa radar và tên lửa</t>
        </is>
      </c>
      <c r="L28" t="inlineStr"/>
      <c r="M28" t="inlineStr"/>
      <c r="N28" t="inlineStr"/>
      <c r="O28" t="inlineStr">
        <is>
          <t>uoc_dinh</t>
        </is>
      </c>
      <c r="P28" t="inlineStr">
        <is>
          <t>R_unit_refs;R_machine_brigade_can_bang</t>
        </is>
      </c>
      <c r="Q28" t="inlineStr"/>
      <c r="R2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8" t="inlineStr">
        <is>
          <t>NEED_SOURCE</t>
        </is>
      </c>
      <c r="T28" t="inlineStr">
        <is>
          <t>NEED_SOURCE</t>
        </is>
      </c>
      <c r="U28" t="inlineStr">
        <is>
          <t>NEED_SOURCE</t>
        </is>
      </c>
      <c r="Y28" t="inlineStr">
        <is>
          <t>ước đoán: nhánh đánh lừa radar và tên lửa</t>
        </is>
      </c>
      <c r="Z28" t="inlineStr">
        <is>
          <t>Pole-21, mồi nhử radar — ước đoán: nhánh đánh lừa radar và tên lửa</t>
        </is>
      </c>
      <c r="AA28" t="inlineStr"/>
      <c r="AB28" t="inlineStr"/>
      <c r="AC28" t="inlineStr"/>
      <c r="AD28" t="inlineStr">
        <is>
          <t>Thap</t>
        </is>
      </c>
      <c r="AE28" t="inlineStr">
        <is>
          <t>spoof</t>
        </is>
      </c>
      <c r="AF28" t="inlineStr"/>
      <c r="AG28" t="inlineStr">
        <is>
          <t>Tools/docs/unit_refs.json: ew_tower.spoof; Tools/models/reference_real.json: units.ew_tower.spoof</t>
        </is>
      </c>
      <c r="AH28" t="inlineStr"/>
    </row>
    <row r="29">
      <c r="A29" t="inlineStr">
        <is>
          <t>fire_control_centre</t>
        </is>
      </c>
      <c r="B29" t="inlineStr">
        <is>
          <t>fire_control_centre</t>
        </is>
      </c>
      <c r="C29" t="inlineStr">
        <is>
          <t>Trung tâm chỉ huy phòng thủ</t>
        </is>
      </c>
      <c r="D29" t="inlineStr">
        <is>
          <t>NEED_SOURCE</t>
        </is>
      </c>
      <c r="E29" t="inlineStr"/>
      <c r="F29" t="inlineStr">
        <is>
          <t>NEED_SOURCE</t>
        </is>
      </c>
      <c r="G29" t="inlineStr">
        <is>
          <t>NEED_SOURCE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NEED_SOURCE</t>
        </is>
      </c>
      <c r="P29" t="inlineStr">
        <is>
          <t>R_fire_control_centre</t>
        </is>
      </c>
      <c r="Q29" t="inlineStr">
        <is>
          <t>repo không có tham chiếu cho thực thể này (unit_refs.json, reference_real.json, bảng cân bằng)</t>
        </is>
      </c>
      <c r="R2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29" t="inlineStr">
        <is>
          <t>NEED_SOURCE</t>
        </is>
      </c>
      <c r="T29" t="inlineStr">
        <is>
          <t>NEED_SOURCE</t>
        </is>
      </c>
      <c r="U29" t="inlineStr">
        <is>
          <t>NEED_SOURCE</t>
        </is>
      </c>
      <c r="Z29" t="inlineStr"/>
      <c r="AA29" t="inlineStr"/>
      <c r="AB29" t="inlineStr"/>
      <c r="AC29" t="inlineStr">
        <is>
          <t>Tools/blender/specs/fire_control_centre.json: real = a field fire-direction centre (FDC): a log-and-earth command dug-out, an operations tent, a guyed mast with a surveillance radar, radios and a generator; confidence = ban_dau_doan (a field command post; no single real model)</t>
        </is>
      </c>
      <c r="AD29" t="inlineStr">
        <is>
          <t>Mo_dun_tien_ich</t>
        </is>
      </c>
      <c r="AE29" t="inlineStr"/>
      <c r="AF29" t="inlineStr"/>
      <c r="AG29" t="inlineStr">
        <is>
          <t>Tools/docs/unit_refs.json: fire_control_centre; Tools/models/reference_real.json: units.fire_control_centre</t>
        </is>
      </c>
      <c r="AH29" t="inlineStr"/>
    </row>
    <row r="30">
      <c r="A30" t="inlineStr">
        <is>
          <t>flare_searchlight_tower</t>
        </is>
      </c>
      <c r="B30" t="inlineStr">
        <is>
          <t>flare_searchlight_tower</t>
        </is>
      </c>
      <c r="C30" t="inlineStr">
        <is>
          <t>Tháp pháo sáng (ô nhỏ)</t>
        </is>
      </c>
      <c r="D30" t="inlineStr">
        <is>
          <t>NEED_SOURCE</t>
        </is>
      </c>
      <c r="E30" t="inlineStr"/>
      <c r="F30" t="inlineStr">
        <is>
          <t>NEED_SOURCE</t>
        </is>
      </c>
      <c r="G30" t="inlineStr">
        <is>
          <t>NEED_SOURCE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NEED_SOURCE</t>
        </is>
      </c>
      <c r="P30" t="inlineStr">
        <is>
          <t>R_flare_searchlight_tower</t>
        </is>
      </c>
      <c r="Q30" t="inlineStr">
        <is>
          <t>repo không có tham chiếu cho thực thể này (unit_refs.json, reference_real.json, bảng cân bằng)</t>
        </is>
      </c>
      <c r="R3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0" t="inlineStr">
        <is>
          <t>NEED_SOURCE</t>
        </is>
      </c>
      <c r="T30" t="inlineStr">
        <is>
          <t>NEED_SOURCE</t>
        </is>
      </c>
      <c r="U30" t="inlineStr">
        <is>
          <t>NEED_SOURCE</t>
        </is>
      </c>
      <c r="Z30" t="inlineStr"/>
      <c r="AA30" t="inlineStr"/>
      <c r="AB30" t="inlineStr"/>
      <c r="AC30" t="inlineStr">
        <is>
          <t>Tools/blender/specs/flare_searchlight_tower.json: real = Soviet 60 cm searchlight on a turntable (border and airfield posts); a six-tube illumination flare pack (balance.json illum_flare); a four-legged steel watchtower; confidence = xấp xỉ (searchlight tower photographs; the flare pack is the game's weapon)</t>
        </is>
      </c>
      <c r="AD30" t="inlineStr">
        <is>
          <t>Thap</t>
        </is>
      </c>
      <c r="AE30" t="inlineStr"/>
      <c r="AF30" t="inlineStr"/>
      <c r="AG30" t="inlineStr">
        <is>
          <t>Tools/docs/unit_refs.json: flare_searchlight_tower; Tools/models/reference_real.json: units.flare_searchlight_tower</t>
        </is>
      </c>
      <c r="AH30" t="inlineStr"/>
    </row>
    <row r="31">
      <c r="A31" t="inlineStr">
        <is>
          <t>flare_tower</t>
        </is>
      </c>
      <c r="B31" t="inlineStr">
        <is>
          <t>flare_tower</t>
        </is>
      </c>
      <c r="C31" t="inlineStr">
        <is>
          <t>Tháp pháo sáng</t>
        </is>
      </c>
      <c r="D31" t="inlineStr">
        <is>
          <t>NEED_SOURCE</t>
        </is>
      </c>
      <c r="E31" t="inlineStr"/>
      <c r="F31" t="inlineStr">
        <is>
          <t>NEED_SOURCE</t>
        </is>
      </c>
      <c r="G31" t="inlineStr">
        <is>
          <t>NEED_SOURCE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NEED_SOURCE</t>
        </is>
      </c>
      <c r="P31" t="inlineStr">
        <is>
          <t>R_flare_tower</t>
        </is>
      </c>
      <c r="Q31" t="inlineStr">
        <is>
          <t>repo không có tham chiếu cho thực thể này (unit_refs.json, reference_real.json, bảng cân bằng)</t>
        </is>
      </c>
      <c r="R3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1" t="inlineStr">
        <is>
          <t>NEED_SOURCE</t>
        </is>
      </c>
      <c r="T31" t="inlineStr">
        <is>
          <t>NEED_SOURCE</t>
        </is>
      </c>
      <c r="U31" t="inlineStr">
        <is>
          <t>NEED_SOURCE</t>
        </is>
      </c>
      <c r="Z31" t="inlineStr"/>
      <c r="AA31" t="inlineStr"/>
      <c r="AB31" t="inlineStr"/>
      <c r="AC31" t="inlineStr">
        <is>
          <t>Tools/blender/specs/flare_tower.json: real = a field illumination post: a braced steel tower with a flare-mortar rack (multi-tube illumination launcher); confidence = xấp xỉ (generic field post; L8's layout kept)</t>
        </is>
      </c>
      <c r="AD31" t="inlineStr">
        <is>
          <t>Thap</t>
        </is>
      </c>
      <c r="AE31" t="inlineStr"/>
      <c r="AF31" t="inlineStr"/>
      <c r="AG31" t="inlineStr">
        <is>
          <t>Tools/docs/unit_refs.json: flare_tower; Tools/models/reference_real.json: units.flare_tower</t>
        </is>
      </c>
      <c r="AH31" t="inlineStr"/>
    </row>
    <row r="32">
      <c r="A32" t="inlineStr">
        <is>
          <t>guard_tower</t>
        </is>
      </c>
      <c r="B32" t="inlineStr">
        <is>
          <t>guard_tower</t>
        </is>
      </c>
      <c r="C32" t="inlineStr">
        <is>
          <t>Tháp canh</t>
        </is>
      </c>
      <c r="D32" t="inlineStr">
        <is>
          <t>doi_that</t>
        </is>
      </c>
      <c r="E32" t="inlineStr">
        <is>
          <t>M2 Browning 12,7 mm;Mk 19 40 mm</t>
        </is>
      </c>
      <c r="F32" t="inlineStr">
        <is>
          <t>NEED_SOURCE</t>
        </is>
      </c>
      <c r="G32" t="inlineStr">
        <is>
          <t>NEED_SOURCE</t>
        </is>
      </c>
      <c r="H32" t="inlineStr">
        <is>
          <t>Kingdom Rush;Bloons TD 6</t>
        </is>
      </c>
      <c r="I32" t="inlineStr">
        <is>
          <t>chọn mục tiêu (chế độ bắn của tháp);chế độ chọn mục tiêu</t>
        </is>
      </c>
      <c r="J32" t="inlineStr"/>
      <c r="K32" t="inlineStr">
        <is>
          <t>Tháp canh thép 11 m trên lô cốt</t>
        </is>
      </c>
      <c r="L32" t="inlineStr"/>
      <c r="M32" t="inlineStr"/>
      <c r="N32" t="inlineStr"/>
      <c r="O32" t="inlineStr">
        <is>
          <t>ban_dau_doan</t>
        </is>
      </c>
      <c r="P32" t="inlineStr">
        <is>
          <t>R_unit_refs;R_machine_brigade_can_bang;R_machine_brigade_ai_research</t>
        </is>
      </c>
      <c r="Q32" t="inlineStr"/>
      <c r="R3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2" t="inlineStr">
        <is>
          <t>NEED_SOURCE</t>
        </is>
      </c>
      <c r="T32" t="inlineStr">
        <is>
          <t>NEED_SOURCE</t>
        </is>
      </c>
      <c r="U32" t="inlineStr">
        <is>
          <t>NEED_SOURCE</t>
        </is>
      </c>
      <c r="Y32" t="inlineStr">
        <is>
          <t>Tháp canh thép 11 m trên lô cốt</t>
        </is>
      </c>
      <c r="Z32" t="inlineStr">
        <is>
          <t>M2 Browning 12,7 mm, Mk 19 40 mm — Tháp canh thép 11 m trên lô cốt</t>
        </is>
      </c>
      <c r="AA32" t="inlineStr"/>
      <c r="AB32" t="inlineStr"/>
      <c r="AC32" t="inlineStr"/>
      <c r="AD32" t="inlineStr">
        <is>
          <t>Thap</t>
        </is>
      </c>
      <c r="AE32" t="inlineStr"/>
      <c r="AF32" t="inlineStr"/>
      <c r="AG32" t="inlineStr">
        <is>
          <t>Tools/docs/unit_refs.json: guard_tower; Tools/models/reference_real.json: units.guard_tower</t>
        </is>
      </c>
      <c r="AH32" t="inlineStr"/>
    </row>
    <row r="33">
      <c r="A33" t="inlineStr">
        <is>
          <t>guard_tower.nest</t>
        </is>
      </c>
      <c r="B33" t="inlineStr">
        <is>
          <t>guard_tower.nest</t>
        </is>
      </c>
      <c r="C33" t="inlineStr">
        <is>
          <t>guard_tower.nest</t>
        </is>
      </c>
      <c r="D33" t="inlineStr">
        <is>
          <t>doi_that</t>
        </is>
      </c>
      <c r="E33" t="inlineStr">
        <is>
          <t>M242 Bushmaster 25 mm</t>
        </is>
      </c>
      <c r="F33" t="inlineStr">
        <is>
          <t>NEED_SOURCE</t>
        </is>
      </c>
      <c r="G33" t="inlineStr">
        <is>
          <t>NEED_SOURCE</t>
        </is>
      </c>
      <c r="H33" t="inlineStr"/>
      <c r="I33" t="inlineStr"/>
      <c r="J33" t="inlineStr"/>
      <c r="K33" t="inlineStr">
        <is>
          <t>Tháp canh nhánh ổ pháo 25 mm</t>
        </is>
      </c>
      <c r="L33" t="inlineStr"/>
      <c r="M33" t="inlineStr"/>
      <c r="N33" t="inlineStr"/>
      <c r="O33" t="inlineStr">
        <is>
          <t>ban_dau_doan</t>
        </is>
      </c>
      <c r="P33" t="inlineStr">
        <is>
          <t>R_unit_refs;R_machine_brigade_can_bang</t>
        </is>
      </c>
      <c r="Q33" t="inlineStr"/>
      <c r="R3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3" t="inlineStr">
        <is>
          <t>NEED_SOURCE</t>
        </is>
      </c>
      <c r="T33" t="inlineStr">
        <is>
          <t>NEED_SOURCE</t>
        </is>
      </c>
      <c r="U33" t="inlineStr">
        <is>
          <t>NEED_SOURCE</t>
        </is>
      </c>
      <c r="Y33" t="inlineStr">
        <is>
          <t>Tháp canh nhánh ổ pháo 25 mm</t>
        </is>
      </c>
      <c r="Z33" t="inlineStr">
        <is>
          <t>M242 Bushmaster 25 mm — Tháp canh nhánh ổ pháo 25 mm</t>
        </is>
      </c>
      <c r="AA33" t="inlineStr"/>
      <c r="AB33" t="inlineStr"/>
      <c r="AC33" t="inlineStr"/>
      <c r="AD33" t="inlineStr">
        <is>
          <t>Thap</t>
        </is>
      </c>
      <c r="AE33" t="inlineStr">
        <is>
          <t>nest</t>
        </is>
      </c>
      <c r="AF33" t="inlineStr"/>
      <c r="AG33" t="inlineStr">
        <is>
          <t>Tools/docs/unit_refs.json: guard_tower.nest; Tools/models/reference_real.json: units.guard_tower.nest</t>
        </is>
      </c>
      <c r="AH33" t="inlineStr"/>
    </row>
    <row r="34">
      <c r="A34" t="inlineStr">
        <is>
          <t>guard_tower.watch</t>
        </is>
      </c>
      <c r="B34" t="inlineStr">
        <is>
          <t>guard_tower.watch</t>
        </is>
      </c>
      <c r="C34" t="inlineStr">
        <is>
          <t>guard_tower.watch</t>
        </is>
      </c>
      <c r="D34" t="inlineStr">
        <is>
          <t>doi_that</t>
        </is>
      </c>
      <c r="E34" t="inlineStr">
        <is>
          <t>tháp quan sát biên giới có khí tài quang học</t>
        </is>
      </c>
      <c r="F34" t="inlineStr">
        <is>
          <t>NEED_SOURCE</t>
        </is>
      </c>
      <c r="G34" t="inlineStr">
        <is>
          <t>NEED_SOURCE</t>
        </is>
      </c>
      <c r="H34" t="inlineStr"/>
      <c r="I34" t="inlineStr"/>
      <c r="J34" t="inlineStr"/>
      <c r="K34" t="inlineStr">
        <is>
          <t>nhánh quan sát của tháp canh</t>
        </is>
      </c>
      <c r="L34" t="inlineStr"/>
      <c r="M34" t="inlineStr"/>
      <c r="N34" t="inlineStr"/>
      <c r="O34" t="inlineStr">
        <is>
          <t>uoc_dinh</t>
        </is>
      </c>
      <c r="P34" t="inlineStr">
        <is>
          <t>R_unit_refs;R_machine_brigade_can_bang</t>
        </is>
      </c>
      <c r="Q34" t="inlineStr"/>
      <c r="R3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4" t="inlineStr">
        <is>
          <t>NEED_SOURCE</t>
        </is>
      </c>
      <c r="T34" t="inlineStr">
        <is>
          <t>NEED_SOURCE</t>
        </is>
      </c>
      <c r="U34" t="inlineStr">
        <is>
          <t>NEED_SOURCE</t>
        </is>
      </c>
      <c r="Y34" t="inlineStr">
        <is>
          <t>ước đoán: nhánh quan sát của tháp canh</t>
        </is>
      </c>
      <c r="Z34" t="inlineStr">
        <is>
          <t>tháp quan sát biên giới có khí tài quang học — ước đoán: nhánh quan sát của tháp canh</t>
        </is>
      </c>
      <c r="AA34" t="inlineStr"/>
      <c r="AB34" t="inlineStr"/>
      <c r="AC34" t="inlineStr"/>
      <c r="AD34" t="inlineStr">
        <is>
          <t>Thap</t>
        </is>
      </c>
      <c r="AE34" t="inlineStr">
        <is>
          <t>watch</t>
        </is>
      </c>
      <c r="AF34" t="inlineStr"/>
      <c r="AG34" t="inlineStr">
        <is>
          <t>Tools/docs/unit_refs.json: guard_tower.watch; Tools/models/reference_real.json: units.guard_tower.watch</t>
        </is>
      </c>
      <c r="AH34" t="inlineStr"/>
    </row>
    <row r="35">
      <c r="A35" t="inlineStr">
        <is>
          <t>gun_turret</t>
        </is>
      </c>
      <c r="B35" t="inlineStr">
        <is>
          <t>gun_turret</t>
        </is>
      </c>
      <c r="C35" t="inlineStr">
        <is>
          <t>Tháp pháo</t>
        </is>
      </c>
      <c r="D35" t="inlineStr">
        <is>
          <t>doi_that</t>
        </is>
      </c>
      <c r="E35" t="inlineStr">
        <is>
          <t>Rh-120 L/44 120 mm;tháp xe tăng T-55 / T-72 chôn làm công sự</t>
        </is>
      </c>
      <c r="F35" t="inlineStr">
        <is>
          <t>NEED_SOURCE</t>
        </is>
      </c>
      <c r="G35" t="inlineStr">
        <is>
          <t>NEED_SOURCE</t>
        </is>
      </c>
      <c r="H35" t="inlineStr">
        <is>
          <t>Kingdom Rush</t>
        </is>
      </c>
      <c r="I35" t="inlineStr">
        <is>
          <t>chọn mục tiêu (chế độ bắn của tháp)</t>
        </is>
      </c>
      <c r="J35" t="inlineStr"/>
      <c r="K35" t="inlineStr">
        <is>
          <t>tháp pháo 120 mm trên công sự chôn</t>
        </is>
      </c>
      <c r="L35" t="inlineStr"/>
      <c r="M35" t="inlineStr"/>
      <c r="N35" t="inlineStr"/>
      <c r="O35" t="inlineStr">
        <is>
          <t>uoc_dinh</t>
        </is>
      </c>
      <c r="P35" t="inlineStr">
        <is>
          <t>R_unit_refs;R_machine_brigade_can_bang;R_gun_turret;R_machine_brigade_ai_research</t>
        </is>
      </c>
      <c r="Q35" t="inlineStr"/>
      <c r="R3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5" t="inlineStr">
        <is>
          <t>NEED_SOURCE</t>
        </is>
      </c>
      <c r="T35" t="inlineStr">
        <is>
          <t>NEED_SOURCE</t>
        </is>
      </c>
      <c r="U35" t="inlineStr">
        <is>
          <t>NEED_SOURCE</t>
        </is>
      </c>
      <c r="Y35" t="inlineStr">
        <is>
          <t>ước đoán: tháp pháo 120 mm trên công sự chôn</t>
        </is>
      </c>
      <c r="Z35" t="inlineStr">
        <is>
          <t>Rh-120 L/44 120 mm, tháp xe tăng T-55 / T-72 chôn làm công sự — ước đoán: tháp pháo 120 mm trên công sự chôn</t>
        </is>
      </c>
      <c r="AA35" t="inlineStr"/>
      <c r="AB35" t="inlineStr"/>
      <c r="AC35" t="inlineStr">
        <is>
          <t>Tools/blender/specs/gun_turret.json: real = Rh-120 L/44 120 mm; Leopard 2A4-class welded turret; T-55 / T-72 turret buried as a fortification (unit_refs); confidence = uoc_dinh (unit_refs: 'ước đoán: tháp pháo 120 mm trên công sự chôn')</t>
        </is>
      </c>
      <c r="AD35" t="inlineStr">
        <is>
          <t>Thap</t>
        </is>
      </c>
      <c r="AE35" t="inlineStr"/>
      <c r="AF35" t="inlineStr"/>
      <c r="AG35" t="inlineStr">
        <is>
          <t>Tools/docs/unit_refs.json: gun_turret; Tools/models/reference_real.json: units.gun_turret</t>
        </is>
      </c>
      <c r="AH35" t="inlineStr"/>
    </row>
    <row r="36">
      <c r="A36" t="inlineStr">
        <is>
          <t>gun_turret.auto</t>
        </is>
      </c>
      <c r="B36" t="inlineStr">
        <is>
          <t>gun_turret.auto</t>
        </is>
      </c>
      <c r="C36" t="inlineStr">
        <is>
          <t>gun_turret.auto</t>
        </is>
      </c>
      <c r="D36" t="inlineStr">
        <is>
          <t>doi_that</t>
        </is>
      </c>
      <c r="E36" t="inlineStr">
        <is>
          <t>AU-220M 57 mm</t>
        </is>
      </c>
      <c r="F36" t="inlineStr">
        <is>
          <t>NEED_SOURCE</t>
        </is>
      </c>
      <c r="G36" t="inlineStr">
        <is>
          <t>NEED_SOURCE</t>
        </is>
      </c>
      <c r="H36" t="inlineStr"/>
      <c r="I36" t="inlineStr"/>
      <c r="J36" t="inlineStr"/>
      <c r="K36" t="inlineStr">
        <is>
          <t>Nhánh pháo tự động 57 mm hai nòng</t>
        </is>
      </c>
      <c r="L36" t="inlineStr"/>
      <c r="M36" t="inlineStr"/>
      <c r="N36" t="inlineStr"/>
      <c r="O36" t="inlineStr">
        <is>
          <t>ban_dau_doan</t>
        </is>
      </c>
      <c r="P36" t="inlineStr">
        <is>
          <t>R_unit_refs;R_machine_brigade_can_bang</t>
        </is>
      </c>
      <c r="Q36" t="inlineStr"/>
      <c r="R3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6" t="inlineStr">
        <is>
          <t>NEED_SOURCE</t>
        </is>
      </c>
      <c r="T36" t="inlineStr">
        <is>
          <t>NEED_SOURCE</t>
        </is>
      </c>
      <c r="U36" t="inlineStr">
        <is>
          <t>NEED_SOURCE</t>
        </is>
      </c>
      <c r="Y36" t="inlineStr">
        <is>
          <t>Nhánh pháo tự động 57 mm hai nòng</t>
        </is>
      </c>
      <c r="Z36" t="inlineStr">
        <is>
          <t>AU-220M 57 mm — Nhánh pháo tự động 57 mm hai nòng</t>
        </is>
      </c>
      <c r="AA36" t="inlineStr"/>
      <c r="AB36" t="inlineStr"/>
      <c r="AC36" t="inlineStr"/>
      <c r="AD36" t="inlineStr">
        <is>
          <t>Thap</t>
        </is>
      </c>
      <c r="AE36" t="inlineStr">
        <is>
          <t>auto</t>
        </is>
      </c>
      <c r="AF36" t="inlineStr"/>
      <c r="AG36" t="inlineStr">
        <is>
          <t>Tools/docs/unit_refs.json: gun_turret.auto; Tools/models/reference_real.json: units.gun_turret.auto</t>
        </is>
      </c>
      <c r="AH36" t="inlineStr"/>
    </row>
    <row r="37">
      <c r="A37" t="inlineStr">
        <is>
          <t>gun_turret.long</t>
        </is>
      </c>
      <c r="B37" t="inlineStr">
        <is>
          <t>gun_turret.long</t>
        </is>
      </c>
      <c r="C37" t="inlineStr">
        <is>
          <t>gun_turret.long</t>
        </is>
      </c>
      <c r="D37" t="inlineStr">
        <is>
          <t>doi_that</t>
        </is>
      </c>
      <c r="E37" t="inlineStr">
        <is>
          <t>Rh-120 L/55 (Leopard 2A6)</t>
        </is>
      </c>
      <c r="F37" t="inlineStr">
        <is>
          <t>NEED_SOURCE</t>
        </is>
      </c>
      <c r="G37" t="inlineStr">
        <is>
          <t>NEED_SOURCE</t>
        </is>
      </c>
      <c r="H37" t="inlineStr"/>
      <c r="I37" t="inlineStr"/>
      <c r="J37" t="inlineStr"/>
      <c r="K37" t="inlineStr">
        <is>
          <t>Nhánh pháo bắn tỉa 120 mm nòng dài</t>
        </is>
      </c>
      <c r="L37" t="inlineStr"/>
      <c r="M37" t="inlineStr"/>
      <c r="N37" t="inlineStr"/>
      <c r="O37" t="inlineStr">
        <is>
          <t>ban_dau_doan</t>
        </is>
      </c>
      <c r="P37" t="inlineStr">
        <is>
          <t>R_unit_refs;R_machine_brigade_can_bang</t>
        </is>
      </c>
      <c r="Q37" t="inlineStr"/>
      <c r="R3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7" t="inlineStr">
        <is>
          <t>NEED_SOURCE</t>
        </is>
      </c>
      <c r="T37" t="inlineStr">
        <is>
          <t>NEED_SOURCE</t>
        </is>
      </c>
      <c r="U37" t="inlineStr">
        <is>
          <t>NEED_SOURCE</t>
        </is>
      </c>
      <c r="Y37" t="inlineStr">
        <is>
          <t>Nhánh pháo bắn tỉa 120 mm nòng dài</t>
        </is>
      </c>
      <c r="Z37" t="inlineStr">
        <is>
          <t>Rh-120 L/55 (Leopard 2A6) — Nhánh pháo bắn tỉa 120 mm nòng dài</t>
        </is>
      </c>
      <c r="AA37" t="inlineStr">
        <is>
          <t>Rh-120 L/55: sơ tốc cao hơn L/44</t>
        </is>
      </c>
      <c r="AB37" t="inlineStr"/>
      <c r="AC37" t="inlineStr"/>
      <c r="AD37" t="inlineStr">
        <is>
          <t>Thap</t>
        </is>
      </c>
      <c r="AE37" t="inlineStr">
        <is>
          <t>long</t>
        </is>
      </c>
      <c r="AF37" t="inlineStr"/>
      <c r="AG37" t="inlineStr">
        <is>
          <t>Tools/docs/unit_refs.json: gun_turret.long; Tools/models/reference_real.json: units.gun_turret.long</t>
        </is>
      </c>
      <c r="AH37" t="inlineStr"/>
    </row>
    <row r="38">
      <c r="A38" t="inlineStr">
        <is>
          <t>headquarters</t>
        </is>
      </c>
      <c r="B38" t="inlineStr">
        <is>
          <t>headquarters</t>
        </is>
      </c>
      <c r="C38" t="inlineStr">
        <is>
          <t>Sở chỉ huy</t>
        </is>
      </c>
      <c r="D38" t="inlineStr">
        <is>
          <t>doi_that</t>
        </is>
      </c>
      <c r="E38" t="inlineStr">
        <is>
          <t>sở chỉ huy bê tông kiên cố;2A83 152 mm;2A38 30 mm</t>
        </is>
      </c>
      <c r="F38" t="inlineStr">
        <is>
          <t>NEED_SOURCE</t>
        </is>
      </c>
      <c r="G38" t="inlineStr">
        <is>
          <t>NEED_SOURCE</t>
        </is>
      </c>
      <c r="H38" t="inlineStr">
        <is>
          <t>Command &amp; Conquer</t>
        </is>
      </c>
      <c r="I38" t="inlineStr">
        <is>
          <t>hình dáng: Construction Yard</t>
        </is>
      </c>
      <c r="J38" t="inlineStr"/>
      <c r="K38" t="inlineStr">
        <is>
          <t>khối chỉ huy bê tông hai tầng có tháp pháo</t>
        </is>
      </c>
      <c r="L38" t="inlineStr"/>
      <c r="M38" t="inlineStr"/>
      <c r="N38" t="inlineStr"/>
      <c r="O38" t="inlineStr">
        <is>
          <t>uoc_dinh</t>
        </is>
      </c>
      <c r="P38" t="inlineStr">
        <is>
          <t>R_unit_refs;R_machine_brigade_can_bang;R_headquarters</t>
        </is>
      </c>
      <c r="Q38" t="inlineStr"/>
      <c r="R3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8" t="inlineStr">
        <is>
          <t>NEED_SOURCE</t>
        </is>
      </c>
      <c r="T38" t="inlineStr">
        <is>
          <t>NEED_SOURCE</t>
        </is>
      </c>
      <c r="U38" t="inlineStr">
        <is>
          <t>NEED_SOURCE</t>
        </is>
      </c>
      <c r="Y38" t="inlineStr">
        <is>
          <t>ước đoán: khối chỉ huy bê tông hai tầng có tháp pháo</t>
        </is>
      </c>
      <c r="Z38" t="inlineStr">
        <is>
          <t>sở chỉ huy bê tông kiên cố, 2A83 152 mm, 2A38 30 mm · Construction Yard (Command &amp; Conquer) — ước đoán: khối chỉ huy bê tông</t>
        </is>
      </c>
      <c r="AA38" t="inlineStr"/>
      <c r="AB38" t="inlineStr"/>
      <c r="AC38" t="inlineStr">
        <is>
          <t>Tools/blender/specs/headquarters.json: real = hardened concrete command post; 2A83 152 mm (twin, the bastion gun); 2A38 30 mm (twin flak); Rh-120 L/55 120 mm (the fortress types' gun, one barrel;); confidence = tham_khao_thuc (layout kept from the approved old file; every piece rebuilt)</t>
        </is>
      </c>
      <c r="AD38" t="inlineStr">
        <is>
          <t>Nha_chinh</t>
        </is>
      </c>
      <c r="AE38" t="inlineStr"/>
      <c r="AF38" t="inlineStr"/>
      <c r="AG38" t="inlineStr">
        <is>
          <t>Tools/docs/unit_refs.json: headquarters; Tools/models/reference_real.json: units.headquarters</t>
        </is>
      </c>
      <c r="AH38" t="inlineStr"/>
    </row>
    <row r="39">
      <c r="A39" t="inlineStr">
        <is>
          <t>headquarters.fortress_air</t>
        </is>
      </c>
      <c r="B39" t="inlineStr">
        <is>
          <t>headquarters.fortress_air</t>
        </is>
      </c>
      <c r="C39" t="inlineStr">
        <is>
          <t>Sở chỉ huy · Pháo đài phòng không</t>
        </is>
      </c>
      <c r="D39" t="inlineStr">
        <is>
          <t>NEED_SOURCE</t>
        </is>
      </c>
      <c r="E39" t="inlineStr"/>
      <c r="F39" t="inlineStr">
        <is>
          <t>NEED_SOURCE</t>
        </is>
      </c>
      <c r="G39" t="inlineStr">
        <is>
          <t>NEED_SOURCE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NEED_SOURCE</t>
        </is>
      </c>
      <c r="P39" t="inlineStr"/>
      <c r="Q39" t="inlineStr">
        <is>
          <t>repo không có tham chiếu cho thực thể này (unit_refs.json, reference_real.json, bảng cân bằng)</t>
        </is>
      </c>
      <c r="R3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39" t="inlineStr">
        <is>
          <t>NEED_SOURCE</t>
        </is>
      </c>
      <c r="T39" t="inlineStr">
        <is>
          <t>NEED_SOURCE</t>
        </is>
      </c>
      <c r="U39" t="inlineStr">
        <is>
          <t>NEED_SOURCE</t>
        </is>
      </c>
      <c r="Z39" t="inlineStr"/>
      <c r="AA39" t="inlineStr"/>
      <c r="AB39" t="inlineStr"/>
      <c r="AC39" t="inlineStr"/>
      <c r="AD39" t="inlineStr">
        <is>
          <t>Nha_chinh</t>
        </is>
      </c>
      <c r="AE39" t="inlineStr">
        <is>
          <t>fortress_air</t>
        </is>
      </c>
      <c r="AF39" t="inlineStr"/>
      <c r="AG39" t="inlineStr">
        <is>
          <t>Tools/docs/unit_refs.json: headquarters.fortress_air; Tools/models/reference_real.json: units.headquarters.fortress_air</t>
        </is>
      </c>
      <c r="AH39" t="inlineStr"/>
    </row>
    <row r="40">
      <c r="A40" t="inlineStr">
        <is>
          <t>headquarters.fortress_ground</t>
        </is>
      </c>
      <c r="B40" t="inlineStr">
        <is>
          <t>headquarters.fortress_ground</t>
        </is>
      </c>
      <c r="C40" t="inlineStr">
        <is>
          <t>Sở chỉ huy · Pháo đài</t>
        </is>
      </c>
      <c r="D40" t="inlineStr">
        <is>
          <t>NEED_SOURCE</t>
        </is>
      </c>
      <c r="E40" t="inlineStr"/>
      <c r="F40" t="inlineStr">
        <is>
          <t>NEED_SOURCE</t>
        </is>
      </c>
      <c r="G40" t="inlineStr">
        <is>
          <t>NEED_SOURCE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NEED_SOURCE</t>
        </is>
      </c>
      <c r="P40" t="inlineStr"/>
      <c r="Q40" t="inlineStr">
        <is>
          <t>repo không có tham chiếu cho thực thể này (unit_refs.json, reference_real.json, bảng cân bằng)</t>
        </is>
      </c>
      <c r="R4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0" t="inlineStr">
        <is>
          <t>NEED_SOURCE</t>
        </is>
      </c>
      <c r="T40" t="inlineStr">
        <is>
          <t>NEED_SOURCE</t>
        </is>
      </c>
      <c r="U40" t="inlineStr">
        <is>
          <t>NEED_SOURCE</t>
        </is>
      </c>
      <c r="Z40" t="inlineStr"/>
      <c r="AA40" t="inlineStr"/>
      <c r="AB40" t="inlineStr"/>
      <c r="AC40" t="inlineStr"/>
      <c r="AD40" t="inlineStr">
        <is>
          <t>Nha_chinh</t>
        </is>
      </c>
      <c r="AE40" t="inlineStr">
        <is>
          <t>fortress_ground</t>
        </is>
      </c>
      <c r="AF40" t="inlineStr"/>
      <c r="AG40" t="inlineStr">
        <is>
          <t>Tools/docs/unit_refs.json: headquarters.fortress_ground; Tools/models/reference_real.json: units.headquarters.fortress_ground</t>
        </is>
      </c>
      <c r="AH40" t="inlineStr"/>
    </row>
    <row r="41">
      <c r="A41" t="inlineStr">
        <is>
          <t>headquarters.shield</t>
        </is>
      </c>
      <c r="B41" t="inlineStr">
        <is>
          <t>headquarters.shield</t>
        </is>
      </c>
      <c r="C41" t="inlineStr">
        <is>
          <t>Sở chỉ huy · Lá chắn</t>
        </is>
      </c>
      <c r="D41" t="inlineStr">
        <is>
          <t>NEED_SOURCE</t>
        </is>
      </c>
      <c r="E41" t="inlineStr"/>
      <c r="F41" t="inlineStr">
        <is>
          <t>NEED_SOURCE</t>
        </is>
      </c>
      <c r="G41" t="inlineStr">
        <is>
          <t>NEED_SOURCE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NEED_SOURCE</t>
        </is>
      </c>
      <c r="P41" t="inlineStr"/>
      <c r="Q41" t="inlineStr">
        <is>
          <t>repo không có tham chiếu cho thực thể này (unit_refs.json, reference_real.json, bảng cân bằng)</t>
        </is>
      </c>
      <c r="R4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1" t="inlineStr">
        <is>
          <t>NEED_SOURCE</t>
        </is>
      </c>
      <c r="T41" t="inlineStr">
        <is>
          <t>NEED_SOURCE</t>
        </is>
      </c>
      <c r="U41" t="inlineStr">
        <is>
          <t>NEED_SOURCE</t>
        </is>
      </c>
      <c r="Z41" t="inlineStr"/>
      <c r="AA41" t="inlineStr"/>
      <c r="AB41" t="inlineStr"/>
      <c r="AC41" t="inlineStr"/>
      <c r="AD41" t="inlineStr">
        <is>
          <t>Nha_chinh</t>
        </is>
      </c>
      <c r="AE41" t="inlineStr">
        <is>
          <t>shield</t>
        </is>
      </c>
      <c r="AF41" t="inlineStr"/>
      <c r="AG41" t="inlineStr">
        <is>
          <t>Tools/docs/unit_refs.json: headquarters.shield; Tools/models/reference_real.json: units.headquarters.shield</t>
        </is>
      </c>
      <c r="AH41" t="inlineStr"/>
    </row>
    <row r="42">
      <c r="A42" t="inlineStr">
        <is>
          <t>heavy_turret</t>
        </is>
      </c>
      <c r="B42" t="inlineStr">
        <is>
          <t>heavy_turret</t>
        </is>
      </c>
      <c r="C42" t="inlineStr">
        <is>
          <t>Tháp pháo hạng nặng</t>
        </is>
      </c>
      <c r="D42" t="inlineStr">
        <is>
          <t>doi_that</t>
        </is>
      </c>
      <c r="E42" t="inlineStr">
        <is>
          <t>AK-130 130 mm (tháp pháo hạm đặt trên bờ);A-222 Bereg;M284 155 mm</t>
        </is>
      </c>
      <c r="F42" t="inlineStr">
        <is>
          <t>NEED_SOURCE</t>
        </is>
      </c>
      <c r="G42" t="inlineStr">
        <is>
          <t>NEED_SOURCE</t>
        </is>
      </c>
      <c r="H42" t="inlineStr"/>
      <c r="I42" t="inlineStr"/>
      <c r="J42" t="inlineStr"/>
      <c r="K42" t="inlineStr">
        <is>
          <t>Tháp pháo bờ biển hai nòng 155 mm</t>
        </is>
      </c>
      <c r="L42" t="inlineStr"/>
      <c r="M42" t="inlineStr"/>
      <c r="N42" t="inlineStr"/>
      <c r="O42" t="inlineStr">
        <is>
          <t>ban_dau_doan</t>
        </is>
      </c>
      <c r="P42" t="inlineStr">
        <is>
          <t>R_unit_refs;R_machine_brigade_can_bang;R_heavy_turret</t>
        </is>
      </c>
      <c r="Q42" t="inlineStr"/>
      <c r="R4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2" t="inlineStr">
        <is>
          <t>NEED_SOURCE</t>
        </is>
      </c>
      <c r="T42" t="inlineStr">
        <is>
          <t>NEED_SOURCE</t>
        </is>
      </c>
      <c r="U42" t="inlineStr">
        <is>
          <t>NEED_SOURCE</t>
        </is>
      </c>
      <c r="Y42" t="inlineStr">
        <is>
          <t>Tháp pháo bờ biển hai nòng 155 mm</t>
        </is>
      </c>
      <c r="Z42" t="inlineStr">
        <is>
          <t>AK-130 130 mm (tháp pháo hạm đặt trên bờ), A-222 Bereg, M284 155 mm — Tháp pháo bờ biển hai nòng 155 mm</t>
        </is>
      </c>
      <c r="AA42" t="inlineStr">
        <is>
          <t>Pháo bờ biển 155 mm</t>
        </is>
      </c>
      <c r="AB42" t="inlineStr"/>
      <c r="AC42" t="inlineStr">
        <is>
          <t>Tools/blender/specs/heavy_turret.json: real = AK-130 130 mm naval mount on shore; A-222 Bereg; M284 155 mm; confidence = ban_dau_doan (unit_refs names the guns; the barbette is a generic coastal battery)</t>
        </is>
      </c>
      <c r="AD42" t="inlineStr">
        <is>
          <t>Thap</t>
        </is>
      </c>
      <c r="AE42" t="inlineStr"/>
      <c r="AF42" t="inlineStr"/>
      <c r="AG42" t="inlineStr">
        <is>
          <t>Tools/docs/unit_refs.json: heavy_turret; Tools/models/reference_real.json: units.heavy_turret</t>
        </is>
      </c>
      <c r="AH42" t="inlineStr"/>
    </row>
    <row r="43">
      <c r="A43" t="inlineStr">
        <is>
          <t>heavy_turret.bastion</t>
        </is>
      </c>
      <c r="B43" t="inlineStr">
        <is>
          <t>heavy_turret.bastion</t>
        </is>
      </c>
      <c r="C43" t="inlineStr">
        <is>
          <t>heavy_turret.bastion</t>
        </is>
      </c>
      <c r="D43" t="inlineStr">
        <is>
          <t>doi_that</t>
        </is>
      </c>
      <c r="E43" t="inlineStr">
        <is>
          <t>pháo đài tuyến Maginot (tháp pháo ở góc)</t>
        </is>
      </c>
      <c r="F43" t="inlineStr">
        <is>
          <t>NEED_SOURCE</t>
        </is>
      </c>
      <c r="G43" t="inlineStr">
        <is>
          <t>NEED_SOURCE</t>
        </is>
      </c>
      <c r="H43" t="inlineStr"/>
      <c r="I43" t="inlineStr"/>
      <c r="J43" t="inlineStr"/>
      <c r="K43" t="inlineStr">
        <is>
          <t>nhánh pháo đài thép hai tháp nhỏ ở góc</t>
        </is>
      </c>
      <c r="L43" t="inlineStr"/>
      <c r="M43" t="inlineStr"/>
      <c r="N43" t="inlineStr"/>
      <c r="O43" t="inlineStr">
        <is>
          <t>uoc_dinh</t>
        </is>
      </c>
      <c r="P43" t="inlineStr">
        <is>
          <t>R_unit_refs;R_machine_brigade_can_bang</t>
        </is>
      </c>
      <c r="Q43" t="inlineStr"/>
      <c r="R4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3" t="inlineStr">
        <is>
          <t>NEED_SOURCE</t>
        </is>
      </c>
      <c r="T43" t="inlineStr">
        <is>
          <t>NEED_SOURCE</t>
        </is>
      </c>
      <c r="U43" t="inlineStr">
        <is>
          <t>NEED_SOURCE</t>
        </is>
      </c>
      <c r="Y43" t="inlineStr">
        <is>
          <t>ước đoán: nhánh pháo đài thép hai tháp nhỏ ở góc</t>
        </is>
      </c>
      <c r="Z43" t="inlineStr">
        <is>
          <t>pháo đài tuyến Maginot (tháp pháo ở góc) — ước đoán: nhánh pháo đài thép hai tháp nhỏ ở góc</t>
        </is>
      </c>
      <c r="AA43" t="inlineStr"/>
      <c r="AB43" t="inlineStr"/>
      <c r="AC43" t="inlineStr"/>
      <c r="AD43" t="inlineStr">
        <is>
          <t>Thap</t>
        </is>
      </c>
      <c r="AE43" t="inlineStr">
        <is>
          <t>bastion</t>
        </is>
      </c>
      <c r="AF43" t="inlineStr"/>
      <c r="AG43" t="inlineStr">
        <is>
          <t>Tools/docs/unit_refs.json: heavy_turret.bastion; Tools/models/reference_real.json: units.heavy_turret.bastion</t>
        </is>
      </c>
      <c r="AH43" t="inlineStr"/>
    </row>
    <row r="44">
      <c r="A44" t="inlineStr">
        <is>
          <t>heavy_turret.coastal</t>
        </is>
      </c>
      <c r="B44" t="inlineStr">
        <is>
          <t>heavy_turret.coastal</t>
        </is>
      </c>
      <c r="C44" t="inlineStr">
        <is>
          <t>heavy_turret.coastal</t>
        </is>
      </c>
      <c r="D44" t="inlineStr">
        <is>
          <t>doi_that</t>
        </is>
      </c>
      <c r="E44" t="inlineStr">
        <is>
          <t>A-222 Bereg (240 mm);AK-130 130 mm (tháp pháo hạm đặt trên bờ);K-300P Bastion-P;M284 155 mm (tầm xa)</t>
        </is>
      </c>
      <c r="F44" t="inlineStr">
        <is>
          <t>NEED_SOURCE</t>
        </is>
      </c>
      <c r="G44" t="inlineStr">
        <is>
          <t>NEED_SOURCE</t>
        </is>
      </c>
      <c r="H44" t="inlineStr"/>
      <c r="I44" t="inlineStr"/>
      <c r="J44" t="inlineStr"/>
      <c r="K44" t="inlineStr">
        <is>
          <t>Nhánh pháo bờ biển tầm xa</t>
        </is>
      </c>
      <c r="L44" t="inlineStr"/>
      <c r="M44" t="inlineStr"/>
      <c r="N44" t="inlineStr"/>
      <c r="O44" t="inlineStr">
        <is>
          <t>ban_dau_doan</t>
        </is>
      </c>
      <c r="P44" t="inlineStr">
        <is>
          <t>R_unit_refs;R_machine_brigade_can_bang</t>
        </is>
      </c>
      <c r="Q44" t="inlineStr"/>
      <c r="R4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4" t="inlineStr">
        <is>
          <t>NEED_SOURCE</t>
        </is>
      </c>
      <c r="T44" t="inlineStr">
        <is>
          <t>NEED_SOURCE</t>
        </is>
      </c>
      <c r="U44" t="inlineStr">
        <is>
          <t>NEED_SOURCE</t>
        </is>
      </c>
      <c r="Y44" t="inlineStr">
        <is>
          <t>Nhánh pháo bờ biển tầm xa</t>
        </is>
      </c>
      <c r="Z44" t="inlineStr">
        <is>
          <t>A-222 Bereg (240 mm), AK-130 130 mm (tháp pháo hạm đặt trên bờ), K-300P Bastion-P, M284 155 mm (tầm xa) — Nhánh pháo bờ biển tầm xa</t>
        </is>
      </c>
      <c r="AA44" t="inlineStr"/>
      <c r="AB44" t="inlineStr"/>
      <c r="AC44" t="inlineStr"/>
      <c r="AD44" t="inlineStr">
        <is>
          <t>Thap</t>
        </is>
      </c>
      <c r="AE44" t="inlineStr">
        <is>
          <t>coastal</t>
        </is>
      </c>
      <c r="AF44" t="inlineStr"/>
      <c r="AG44" t="inlineStr">
        <is>
          <t>Tools/docs/unit_refs.json: heavy_turret.coastal; Tools/models/reference_real.json: units.heavy_turret.coastal</t>
        </is>
      </c>
      <c r="AH44" t="inlineStr"/>
    </row>
    <row r="45">
      <c r="A45" t="inlineStr">
        <is>
          <t>laser_ad_station</t>
        </is>
      </c>
      <c r="B45" t="inlineStr">
        <is>
          <t>laser_ad_station</t>
        </is>
      </c>
      <c r="C45" t="inlineStr">
        <is>
          <t>Tháp la-de phòng thủ</t>
        </is>
      </c>
      <c r="D45" t="inlineStr">
        <is>
          <t>NEED_SOURCE</t>
        </is>
      </c>
      <c r="E45" t="inlineStr"/>
      <c r="F45" t="inlineStr">
        <is>
          <t>NEED_SOURCE</t>
        </is>
      </c>
      <c r="G45" t="inlineStr">
        <is>
          <t>NEED_SOURCE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NEED_SOURCE</t>
        </is>
      </c>
      <c r="P45" t="inlineStr">
        <is>
          <t>R_laser_ad_station</t>
        </is>
      </c>
      <c r="Q45" t="inlineStr">
        <is>
          <t>repo không có tham chiếu cho thực thể này (unit_refs.json, reference_real.json, bảng cân bằng)</t>
        </is>
      </c>
      <c r="R4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5" t="inlineStr">
        <is>
          <t>NEED_SOURCE</t>
        </is>
      </c>
      <c r="T45" t="inlineStr">
        <is>
          <t>NEED_SOURCE</t>
        </is>
      </c>
      <c r="U45" t="inlineStr">
        <is>
          <t>NEED_SOURCE</t>
        </is>
      </c>
      <c r="Z45" t="inlineStr"/>
      <c r="AA45" t="inlineStr"/>
      <c r="AB45" t="inlineStr"/>
      <c r="AC45" t="inlineStr">
        <is>
          <t>Tools/blender/specs/laser_ad_station.json: real = Iron Beam / DragonFire-class high-energy laser: a beam director turret on a power and cooling shelter; a search radar panel and an APS sensor on a mast; confidence = xấp xỉ (published Iron Beam / DragonFire layouts: director on a container module; the site dressing is a field set-up)</t>
        </is>
      </c>
      <c r="AD45" t="inlineStr">
        <is>
          <t>Thap</t>
        </is>
      </c>
      <c r="AE45" t="inlineStr"/>
      <c r="AF45" t="inlineStr"/>
      <c r="AG45" t="inlineStr">
        <is>
          <t>Tools/docs/unit_refs.json: laser_ad_station; Tools/models/reference_real.json: units.laser_ad_station</t>
        </is>
      </c>
      <c r="AH45" t="inlineStr"/>
    </row>
    <row r="46">
      <c r="A46" t="inlineStr">
        <is>
          <t>laser_ad_station.laser</t>
        </is>
      </c>
      <c r="B46" t="inlineStr">
        <is>
          <t>laser_ad_station.laser</t>
        </is>
      </c>
      <c r="C46" t="inlineStr">
        <is>
          <t>laser_ad_station.laser</t>
        </is>
      </c>
      <c r="D46" t="inlineStr">
        <is>
          <t>NEED_SOURCE</t>
        </is>
      </c>
      <c r="E46" t="inlineStr"/>
      <c r="F46" t="inlineStr">
        <is>
          <t>NEED_SOURCE</t>
        </is>
      </c>
      <c r="G46" t="inlineStr">
        <is>
          <t>NEED_SOURCE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NEED_SOURCE</t>
        </is>
      </c>
      <c r="P46" t="inlineStr"/>
      <c r="Q46" t="inlineStr">
        <is>
          <t>repo không có tham chiếu cho thực thể này (unit_refs.json, reference_real.json, bảng cân bằng)</t>
        </is>
      </c>
      <c r="R4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6" t="inlineStr">
        <is>
          <t>NEED_SOURCE</t>
        </is>
      </c>
      <c r="T46" t="inlineStr">
        <is>
          <t>NEED_SOURCE</t>
        </is>
      </c>
      <c r="U46" t="inlineStr">
        <is>
          <t>NEED_SOURCE</t>
        </is>
      </c>
      <c r="Z46" t="inlineStr"/>
      <c r="AA46" t="inlineStr"/>
      <c r="AB46" t="inlineStr"/>
      <c r="AC46" t="inlineStr"/>
      <c r="AD46" t="inlineStr">
        <is>
          <t>Thap</t>
        </is>
      </c>
      <c r="AE46" t="inlineStr">
        <is>
          <t>laser</t>
        </is>
      </c>
      <c r="AF46" t="inlineStr"/>
      <c r="AG46" t="inlineStr">
        <is>
          <t>Tools/docs/unit_refs.json: laser_ad_station.laser; Tools/models/reference_real.json: units.laser_ad_station.laser</t>
        </is>
      </c>
      <c r="AH46" t="inlineStr"/>
    </row>
    <row r="47">
      <c r="A47" t="inlineStr">
        <is>
          <t>logistics_station</t>
        </is>
      </c>
      <c r="B47" t="inlineStr">
        <is>
          <t>logistics_station</t>
        </is>
      </c>
      <c r="C47" t="inlineStr">
        <is>
          <t>Trạm hậu cần</t>
        </is>
      </c>
      <c r="D47" t="inlineStr">
        <is>
          <t>doi_that</t>
        </is>
      </c>
      <c r="E47" t="inlineStr">
        <is>
          <t>kho nhiên liệu dã chiến (bồn nằm trong đê đất)</t>
        </is>
      </c>
      <c r="F47" t="inlineStr">
        <is>
          <t>NEED_SOURCE</t>
        </is>
      </c>
      <c r="G47" t="inlineStr">
        <is>
          <t>NEED_SOURCE</t>
        </is>
      </c>
      <c r="H47" t="inlineStr"/>
      <c r="I47" t="inlineStr"/>
      <c r="J47" t="inlineStr"/>
      <c r="K47" t="inlineStr">
        <is>
          <t>Trạm hậu cần, thêm tiếp tế cho quân</t>
        </is>
      </c>
      <c r="L47" t="inlineStr"/>
      <c r="M47" t="inlineStr"/>
      <c r="N47" t="inlineStr"/>
      <c r="O47" t="inlineStr">
        <is>
          <t>ban_dau_doan</t>
        </is>
      </c>
      <c r="P47" t="inlineStr">
        <is>
          <t>R_unit_refs;R_machine_brigade_can_bang;R_logistics_station</t>
        </is>
      </c>
      <c r="Q47" t="inlineStr"/>
      <c r="R4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7" t="inlineStr">
        <is>
          <t>NEED_SOURCE</t>
        </is>
      </c>
      <c r="T47" t="inlineStr">
        <is>
          <t>NEED_SOURCE</t>
        </is>
      </c>
      <c r="U47" t="inlineStr">
        <is>
          <t>NEED_SOURCE</t>
        </is>
      </c>
      <c r="Y47" t="inlineStr">
        <is>
          <t>Trạm hậu cần, thêm tiếp tế cho quân</t>
        </is>
      </c>
      <c r="Z47" t="inlineStr">
        <is>
          <t>kho nhiên liệu dã chiến (bồn nằm trong đê đất) — Trạm hậu cần, thêm tiếp tế cho quân</t>
        </is>
      </c>
      <c r="AA47" t="inlineStr"/>
      <c r="AB47" t="inlineStr"/>
      <c r="AC47" t="inlineStr">
        <is>
          <t>Tools/blender/specs/logistics_station.json: real = field fuel depot: horizontal tanks in an earth bund (unit_refs); ISO 20 ft and 10 ft containers; rough-terrain forklift; confidence = ban_dau_doan (unit_refs names the fuel depot; the sheet names the containers and forklift)</t>
        </is>
      </c>
      <c r="AD47" t="inlineStr">
        <is>
          <t>Mo_dun_tien_ich</t>
        </is>
      </c>
      <c r="AE47" t="inlineStr"/>
      <c r="AF47" t="inlineStr"/>
      <c r="AG47" t="inlineStr">
        <is>
          <t>Tools/docs/unit_refs.json: logistics_station; Tools/models/reference_real.json: units.logistics_station</t>
        </is>
      </c>
      <c r="AH47" t="inlineStr"/>
    </row>
    <row r="48">
      <c r="A48" t="inlineStr">
        <is>
          <t>manpads_tower</t>
        </is>
      </c>
      <c r="B48" t="inlineStr">
        <is>
          <t>manpads_tower</t>
        </is>
      </c>
      <c r="C48" t="inlineStr">
        <is>
          <t>Tổ tên lửa vác vai</t>
        </is>
      </c>
      <c r="D48" t="inlineStr">
        <is>
          <t>NEED_SOURCE</t>
        </is>
      </c>
      <c r="E48" t="inlineStr"/>
      <c r="F48" t="inlineStr">
        <is>
          <t>NEED_SOURCE</t>
        </is>
      </c>
      <c r="G48" t="inlineStr">
        <is>
          <t>NEED_SOURCE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NEED_SOURCE</t>
        </is>
      </c>
      <c r="P48" t="inlineStr">
        <is>
          <t>R_manpads_tower</t>
        </is>
      </c>
      <c r="Q48" t="inlineStr">
        <is>
          <t>repo không có tham chiếu cho thực thể này (unit_refs.json, reference_real.json, bảng cân bằng)</t>
        </is>
      </c>
      <c r="R4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8" t="inlineStr">
        <is>
          <t>NEED_SOURCE</t>
        </is>
      </c>
      <c r="T48" t="inlineStr">
        <is>
          <t>NEED_SOURCE</t>
        </is>
      </c>
      <c r="U48" t="inlineStr">
        <is>
          <t>NEED_SOURCE</t>
        </is>
      </c>
      <c r="Z48" t="inlineStr"/>
      <c r="AA48" t="inlineStr"/>
      <c r="AB48" t="inlineStr"/>
      <c r="AC48" t="inlineStr">
        <is>
          <t>Tools/blender/specs/manpads_tower.json: real = Djigit / Strelets twin MANPADS mount (Igla) on its pedestal; a sandbagged field pit; confidence = xấp xỉ (Djigit layout: seat, two tubes, sight, IFF; the pit is a field set-up)</t>
        </is>
      </c>
      <c r="AD48" t="inlineStr">
        <is>
          <t>Thap</t>
        </is>
      </c>
      <c r="AE48" t="inlineStr"/>
      <c r="AF48" t="inlineStr"/>
      <c r="AG48" t="inlineStr">
        <is>
          <t>Tools/docs/unit_refs.json: manpads_tower; Tools/models/reference_real.json: units.manpads_tower</t>
        </is>
      </c>
      <c r="AH48" t="inlineStr"/>
    </row>
    <row r="49">
      <c r="A49" t="inlineStr">
        <is>
          <t>mg_bunker</t>
        </is>
      </c>
      <c r="B49" t="inlineStr">
        <is>
          <t>mg_bunker</t>
        </is>
      </c>
      <c r="C49" t="inlineStr">
        <is>
          <t>Lô cốt súng máy</t>
        </is>
      </c>
      <c r="D49" t="inlineStr">
        <is>
          <t>doi_that</t>
        </is>
      </c>
      <c r="E49" t="inlineStr">
        <is>
          <t>NSV 12,7 mm;9M113 Konkurs;lô cốt hình nấm</t>
        </is>
      </c>
      <c r="F49" t="inlineStr">
        <is>
          <t>NEED_SOURCE</t>
        </is>
      </c>
      <c r="G49" t="inlineStr">
        <is>
          <t>NEED_SOURCE</t>
        </is>
      </c>
      <c r="H49" t="inlineStr">
        <is>
          <t>Company of Heroes</t>
        </is>
      </c>
      <c r="I49" t="inlineStr">
        <is>
          <t>chọn mục tiêu (chế độ bắn của tháp)</t>
        </is>
      </c>
      <c r="J49" t="inlineStr"/>
      <c r="K49" t="inlineStr">
        <is>
          <t>Lô cốt tròn có khe bắn quanh thân</t>
        </is>
      </c>
      <c r="L49" t="inlineStr"/>
      <c r="M49" t="inlineStr"/>
      <c r="N49" t="inlineStr"/>
      <c r="O49" t="inlineStr">
        <is>
          <t>ban_dau_doan</t>
        </is>
      </c>
      <c r="P49" t="inlineStr">
        <is>
          <t>R_unit_refs;R_machine_brigade_can_bang;R_mg_bunker;R_machine_brigade_ai_research</t>
        </is>
      </c>
      <c r="Q49" t="inlineStr"/>
      <c r="R4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49" t="inlineStr">
        <is>
          <t>NEED_SOURCE</t>
        </is>
      </c>
      <c r="T49" t="inlineStr">
        <is>
          <t>NEED_SOURCE</t>
        </is>
      </c>
      <c r="U49" t="inlineStr">
        <is>
          <t>NEED_SOURCE</t>
        </is>
      </c>
      <c r="Y49" t="inlineStr">
        <is>
          <t>Lô cốt tròn có khe bắn quanh thân</t>
        </is>
      </c>
      <c r="Z49" t="inlineStr">
        <is>
          <t>NSV 12,7 mm, 9M113 Konkurs, lô cốt hình nấm — Lô cốt tròn có khe bắn quanh thân</t>
        </is>
      </c>
      <c r="AA49" t="inlineStr"/>
      <c r="AB49" t="inlineStr"/>
      <c r="AC49" t="inlineStr">
        <is>
          <t>Tools/blender/specs/mg_bunker.json: real = NSV 12.7 mm on a fortress mount (balance.json bunker_hmg); cast concrete pillbox with a turning cast-steel cupola; confidence = xấp xỉ (cast pillbox with a turning cupola: Soviet DOT / Finnish cupola photographs; NSV on a fortress mount)</t>
        </is>
      </c>
      <c r="AD49" t="inlineStr">
        <is>
          <t>Thap</t>
        </is>
      </c>
      <c r="AE49" t="inlineStr"/>
      <c r="AF49" t="inlineStr"/>
      <c r="AG49" t="inlineStr">
        <is>
          <t>Tools/docs/unit_refs.json: mg_bunker; Tools/models/reference_real.json: units.mg_bunker</t>
        </is>
      </c>
      <c r="AH49" t="inlineStr"/>
    </row>
    <row r="50">
      <c r="A50" t="inlineStr">
        <is>
          <t>mg_bunker.flame</t>
        </is>
      </c>
      <c r="B50" t="inlineStr">
        <is>
          <t>mg_bunker.flame</t>
        </is>
      </c>
      <c r="C50" t="inlineStr">
        <is>
          <t>mg_bunker.flame</t>
        </is>
      </c>
      <c r="D50" t="inlineStr">
        <is>
          <t>doi_that</t>
        </is>
      </c>
      <c r="E50" t="inlineStr">
        <is>
          <t>Abwehrflammenwerfer 42;lô cốt súng phun lửa</t>
        </is>
      </c>
      <c r="F50" t="inlineStr">
        <is>
          <t>NEED_SOURCE</t>
        </is>
      </c>
      <c r="G50" t="inlineStr">
        <is>
          <t>NEED_SOURCE</t>
        </is>
      </c>
      <c r="H50" t="inlineStr"/>
      <c r="I50" t="inlineStr"/>
      <c r="J50" t="inlineStr"/>
      <c r="K50" t="inlineStr">
        <is>
          <t>nhánh lô cốt phun lửa</t>
        </is>
      </c>
      <c r="L50" t="inlineStr"/>
      <c r="M50" t="inlineStr"/>
      <c r="N50" t="inlineStr"/>
      <c r="O50" t="inlineStr">
        <is>
          <t>uoc_dinh</t>
        </is>
      </c>
      <c r="P50" t="inlineStr">
        <is>
          <t>R_unit_refs;R_machine_brigade_can_bang</t>
        </is>
      </c>
      <c r="Q50" t="inlineStr"/>
      <c r="R5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0" t="inlineStr">
        <is>
          <t>NEED_SOURCE</t>
        </is>
      </c>
      <c r="T50" t="inlineStr">
        <is>
          <t>NEED_SOURCE</t>
        </is>
      </c>
      <c r="U50" t="inlineStr">
        <is>
          <t>NEED_SOURCE</t>
        </is>
      </c>
      <c r="Y50" t="inlineStr">
        <is>
          <t>ước đoán: nhánh lô cốt phun lửa</t>
        </is>
      </c>
      <c r="Z50" t="inlineStr">
        <is>
          <t>Abwehrflammenwerfer 42, lô cốt súng phun lửa — ước đoán: nhánh lô cốt phun lửa</t>
        </is>
      </c>
      <c r="AA50" t="inlineStr"/>
      <c r="AB50" t="inlineStr"/>
      <c r="AC50" t="inlineStr"/>
      <c r="AD50" t="inlineStr">
        <is>
          <t>Thap</t>
        </is>
      </c>
      <c r="AE50" t="inlineStr">
        <is>
          <t>flame</t>
        </is>
      </c>
      <c r="AF50" t="inlineStr"/>
      <c r="AG50" t="inlineStr">
        <is>
          <t>Tools/docs/unit_refs.json: mg_bunker.flame; Tools/models/reference_real.json: units.mg_bunker.flame</t>
        </is>
      </c>
      <c r="AH50" t="inlineStr"/>
    </row>
    <row r="51">
      <c r="A51" t="inlineStr">
        <is>
          <t>mg_bunker.twin</t>
        </is>
      </c>
      <c r="B51" t="inlineStr">
        <is>
          <t>mg_bunker.twin</t>
        </is>
      </c>
      <c r="C51" t="inlineStr">
        <is>
          <t>mg_bunker.twin</t>
        </is>
      </c>
      <c r="D51" t="inlineStr">
        <is>
          <t>doi_that</t>
        </is>
      </c>
      <c r="E51" t="inlineStr">
        <is>
          <t>NSV 12,7 mm (bệ đôi);lô cốt hình nấm</t>
        </is>
      </c>
      <c r="F51" t="inlineStr">
        <is>
          <t>NEED_SOURCE</t>
        </is>
      </c>
      <c r="G51" t="inlineStr">
        <is>
          <t>NEED_SOURCE</t>
        </is>
      </c>
      <c r="H51" t="inlineStr"/>
      <c r="I51" t="inlineStr"/>
      <c r="J51" t="inlineStr"/>
      <c r="K51" t="inlineStr">
        <is>
          <t>Lô cốt nhánh súng máy đôi</t>
        </is>
      </c>
      <c r="L51" t="inlineStr"/>
      <c r="M51" t="inlineStr"/>
      <c r="N51" t="inlineStr"/>
      <c r="O51" t="inlineStr">
        <is>
          <t>ban_dau_doan</t>
        </is>
      </c>
      <c r="P51" t="inlineStr">
        <is>
          <t>R_unit_refs;R_machine_brigade_can_bang</t>
        </is>
      </c>
      <c r="Q51" t="inlineStr"/>
      <c r="R5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1" t="inlineStr">
        <is>
          <t>NEED_SOURCE</t>
        </is>
      </c>
      <c r="T51" t="inlineStr">
        <is>
          <t>NEED_SOURCE</t>
        </is>
      </c>
      <c r="U51" t="inlineStr">
        <is>
          <t>NEED_SOURCE</t>
        </is>
      </c>
      <c r="Y51" t="inlineStr">
        <is>
          <t>Lô cốt nhánh súng máy đôi</t>
        </is>
      </c>
      <c r="Z51" t="inlineStr">
        <is>
          <t>NSV 12,7 mm (bệ đôi), lô cốt hình nấm — Lô cốt nhánh súng máy đôi</t>
        </is>
      </c>
      <c r="AA51" t="inlineStr"/>
      <c r="AB51" t="inlineStr"/>
      <c r="AC51" t="inlineStr"/>
      <c r="AD51" t="inlineStr">
        <is>
          <t>Thap</t>
        </is>
      </c>
      <c r="AE51" t="inlineStr">
        <is>
          <t>twin</t>
        </is>
      </c>
      <c r="AF51" t="inlineStr"/>
      <c r="AG51" t="inlineStr">
        <is>
          <t>Tools/docs/unit_refs.json: mg_bunker.twin; Tools/models/reference_real.json: units.mg_bunker.twin</t>
        </is>
      </c>
      <c r="AH51" t="inlineStr"/>
    </row>
    <row r="52">
      <c r="A52" t="inlineStr">
        <is>
          <t>missile_battery</t>
        </is>
      </c>
      <c r="B52" t="inlineStr">
        <is>
          <t>missile_battery</t>
        </is>
      </c>
      <c r="C52" t="inlineStr">
        <is>
          <t>Trạm tên lửa phòng không tầm xa</t>
        </is>
      </c>
      <c r="D52" t="inlineStr">
        <is>
          <t>doi_that</t>
        </is>
      </c>
      <c r="E52" t="inlineStr">
        <is>
          <t>MIM-104 Patriot PAC-2;S-300</t>
        </is>
      </c>
      <c r="F52" t="inlineStr">
        <is>
          <t>NEED_SOURCE</t>
        </is>
      </c>
      <c r="G52" t="inlineStr">
        <is>
          <t>NEED_SOURCE</t>
        </is>
      </c>
      <c r="H52" t="inlineStr"/>
      <c r="I52" t="inlineStr"/>
      <c r="J52" t="inlineStr"/>
      <c r="K52" t="inlineStr">
        <is>
          <t>Trận địa tên lửa phòng không bốn ống phóng</t>
        </is>
      </c>
      <c r="L52" t="inlineStr"/>
      <c r="M52" t="inlineStr"/>
      <c r="N52" t="inlineStr"/>
      <c r="O52" t="inlineStr">
        <is>
          <t>ban_dau_doan</t>
        </is>
      </c>
      <c r="P52" t="inlineStr">
        <is>
          <t>R_unit_refs;R_machine_brigade_can_bang</t>
        </is>
      </c>
      <c r="Q52" t="inlineStr"/>
      <c r="R5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2" t="inlineStr">
        <is>
          <t>NEED_SOURCE</t>
        </is>
      </c>
      <c r="T52" t="inlineStr">
        <is>
          <t>NEED_SOURCE</t>
        </is>
      </c>
      <c r="U52" t="inlineStr">
        <is>
          <t>NEED_SOURCE</t>
        </is>
      </c>
      <c r="Y52" t="inlineStr">
        <is>
          <t>Trận địa tên lửa phòng không bốn ống phóng</t>
        </is>
      </c>
      <c r="Z52" t="inlineStr">
        <is>
          <t>MIM-104 Patriot PAC-2, S-300 — Trận địa tên lửa phòng không bốn ống phóng</t>
        </is>
      </c>
      <c r="AA52" t="inlineStr">
        <is>
          <t>PAC-2: Mach 4</t>
        </is>
      </c>
      <c r="AB52" t="inlineStr"/>
      <c r="AC52" t="inlineStr"/>
      <c r="AD52" t="inlineStr">
        <is>
          <t>Thap</t>
        </is>
      </c>
      <c r="AE52" t="inlineStr"/>
      <c r="AF52" t="inlineStr"/>
      <c r="AG52" t="inlineStr">
        <is>
          <t>Tools/docs/unit_refs.json: missile_battery; Tools/models/reference_real.json: units.missile_battery</t>
        </is>
      </c>
      <c r="AH52" t="inlineStr"/>
    </row>
    <row r="53">
      <c r="A53" t="inlineStr">
        <is>
          <t>missile_battery.lrr</t>
        </is>
      </c>
      <c r="B53" t="inlineStr">
        <is>
          <t>missile_battery.lrr</t>
        </is>
      </c>
      <c r="C53" t="inlineStr">
        <is>
          <t>missile_battery.lrr</t>
        </is>
      </c>
      <c r="D53" t="inlineStr">
        <is>
          <t>doi_that</t>
        </is>
      </c>
      <c r="E53" t="inlineStr">
        <is>
          <t>MIM-104 Patriot PAC-2;radar AN/MPQ-65</t>
        </is>
      </c>
      <c r="F53" t="inlineStr">
        <is>
          <t>NEED_SOURCE</t>
        </is>
      </c>
      <c r="G53" t="inlineStr">
        <is>
          <t>NEED_SOURCE</t>
        </is>
      </c>
      <c r="H53" t="inlineStr"/>
      <c r="I53" t="inlineStr"/>
      <c r="J53" t="inlineStr"/>
      <c r="K53" t="inlineStr">
        <is>
          <t>Nhánh radar tầm xa</t>
        </is>
      </c>
      <c r="L53" t="inlineStr"/>
      <c r="M53" t="inlineStr"/>
      <c r="N53" t="inlineStr"/>
      <c r="O53" t="inlineStr">
        <is>
          <t>ban_dau_doan</t>
        </is>
      </c>
      <c r="P53" t="inlineStr">
        <is>
          <t>R_unit_refs;R_machine_brigade_can_bang</t>
        </is>
      </c>
      <c r="Q53" t="inlineStr"/>
      <c r="R5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3" t="inlineStr">
        <is>
          <t>NEED_SOURCE</t>
        </is>
      </c>
      <c r="T53" t="inlineStr">
        <is>
          <t>NEED_SOURCE</t>
        </is>
      </c>
      <c r="U53" t="inlineStr">
        <is>
          <t>NEED_SOURCE</t>
        </is>
      </c>
      <c r="Y53" t="inlineStr">
        <is>
          <t>Nhánh radar tầm xa</t>
        </is>
      </c>
      <c r="Z53" t="inlineStr">
        <is>
          <t>MIM-104 Patriot PAC-2, radar AN/MPQ-65 — Nhánh radar tầm xa</t>
        </is>
      </c>
      <c r="AA53" t="inlineStr">
        <is>
          <t>Patriot radar tầm xa</t>
        </is>
      </c>
      <c r="AB53" t="inlineStr"/>
      <c r="AC53" t="inlineStr"/>
      <c r="AD53" t="inlineStr">
        <is>
          <t>Thap</t>
        </is>
      </c>
      <c r="AE53" t="inlineStr">
        <is>
          <t>lrr</t>
        </is>
      </c>
      <c r="AF53" t="inlineStr"/>
      <c r="AG53" t="inlineStr">
        <is>
          <t>Tools/docs/unit_refs.json: missile_battery.lrr; Tools/models/reference_real.json: units.missile_battery.lrr</t>
        </is>
      </c>
      <c r="AH53" t="inlineStr"/>
    </row>
    <row r="54">
      <c r="A54" t="inlineStr">
        <is>
          <t>missile_battery.pac3</t>
        </is>
      </c>
      <c r="B54" t="inlineStr">
        <is>
          <t>missile_battery.pac3</t>
        </is>
      </c>
      <c r="C54" t="inlineStr">
        <is>
          <t>missile_battery.pac3</t>
        </is>
      </c>
      <c r="D54" t="inlineStr">
        <is>
          <t>doi_that</t>
        </is>
      </c>
      <c r="E54" t="inlineStr">
        <is>
          <t>Patriot PAC-3 MSE</t>
        </is>
      </c>
      <c r="F54" t="inlineStr">
        <is>
          <t>NEED_SOURCE</t>
        </is>
      </c>
      <c r="G54" t="inlineStr">
        <is>
          <t>NEED_SOURCE</t>
        </is>
      </c>
      <c r="H54" t="inlineStr"/>
      <c r="I54" t="inlineStr"/>
      <c r="J54" t="inlineStr"/>
      <c r="K54" t="inlineStr">
        <is>
          <t>Nhánh tên lửa PAC-3</t>
        </is>
      </c>
      <c r="L54" t="inlineStr"/>
      <c r="M54" t="inlineStr"/>
      <c r="N54" t="inlineStr"/>
      <c r="O54" t="inlineStr">
        <is>
          <t>ban_dau_doan</t>
        </is>
      </c>
      <c r="P54" t="inlineStr">
        <is>
          <t>R_unit_refs;R_machine_brigade_can_bang</t>
        </is>
      </c>
      <c r="Q54" t="inlineStr"/>
      <c r="R5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4" t="inlineStr">
        <is>
          <t>NEED_SOURCE</t>
        </is>
      </c>
      <c r="T54" t="inlineStr">
        <is>
          <t>NEED_SOURCE</t>
        </is>
      </c>
      <c r="U54" t="inlineStr">
        <is>
          <t>NEED_SOURCE</t>
        </is>
      </c>
      <c r="Y54" t="inlineStr">
        <is>
          <t>Nhánh tên lửa PAC-3</t>
        </is>
      </c>
      <c r="Z54" t="inlineStr">
        <is>
          <t>Patriot PAC-3 MSE — Nhánh tên lửa PAC-3</t>
        </is>
      </c>
      <c r="AA54" t="inlineStr">
        <is>
          <t>PAC-3 MSE: Mach 5</t>
        </is>
      </c>
      <c r="AB54" t="inlineStr"/>
      <c r="AC54" t="inlineStr"/>
      <c r="AD54" t="inlineStr">
        <is>
          <t>Thap</t>
        </is>
      </c>
      <c r="AE54" t="inlineStr">
        <is>
          <t>pac3</t>
        </is>
      </c>
      <c r="AF54" t="inlineStr"/>
      <c r="AG54" t="inlineStr">
        <is>
          <t>Tools/docs/unit_refs.json: missile_battery.pac3; Tools/models/reference_real.json: units.missile_battery.pac3</t>
        </is>
      </c>
      <c r="AH54" t="inlineStr"/>
    </row>
    <row r="55">
      <c r="A55" t="inlineStr">
        <is>
          <t>one_shot_atgm_tower</t>
        </is>
      </c>
      <c r="B55" t="inlineStr">
        <is>
          <t>one_shot_atgm_tower</t>
        </is>
      </c>
      <c r="C55" t="inlineStr">
        <is>
          <t>Bệ tên lửa phòng thủ một lần</t>
        </is>
      </c>
      <c r="D55" t="inlineStr">
        <is>
          <t>NEED_SOURCE</t>
        </is>
      </c>
      <c r="E55" t="inlineStr"/>
      <c r="F55" t="inlineStr">
        <is>
          <t>NEED_SOURCE</t>
        </is>
      </c>
      <c r="G55" t="inlineStr">
        <is>
          <t>NEED_SOURCE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NEED_SOURCE</t>
        </is>
      </c>
      <c r="P55" t="inlineStr">
        <is>
          <t>R_one_shot_atgm_tower</t>
        </is>
      </c>
      <c r="Q55" t="inlineStr">
        <is>
          <t>repo không có tham chiếu cho thực thể này (unit_refs.json, reference_real.json, bảng cân bằng)</t>
        </is>
      </c>
      <c r="R5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5" t="inlineStr">
        <is>
          <t>NEED_SOURCE</t>
        </is>
      </c>
      <c r="T55" t="inlineStr">
        <is>
          <t>NEED_SOURCE</t>
        </is>
      </c>
      <c r="U55" t="inlineStr">
        <is>
          <t>NEED_SOURCE</t>
        </is>
      </c>
      <c r="Z55" t="inlineStr"/>
      <c r="AA55" t="inlineStr"/>
      <c r="AB55" t="inlineStr"/>
      <c r="AC55" t="inlineStr">
        <is>
          <t>Tools/blender/specs/one_shot_atgm_tower.json: real = an automatic Kornet-class (9M133) launcher: eight transport-launch containers on a remote turning mount with a thermal / laser guidance unit; confidence = ban_dau_doan (no single real model: Kornet containers and guidance unit are real, the remote eight-round mount on a sleeper crib is the design)</t>
        </is>
      </c>
      <c r="AD55" t="inlineStr">
        <is>
          <t>Thap</t>
        </is>
      </c>
      <c r="AE55" t="inlineStr"/>
      <c r="AF55" t="inlineStr"/>
      <c r="AG55" t="inlineStr">
        <is>
          <t>Tools/docs/unit_refs.json: one_shot_atgm_tower; Tools/models/reference_real.json: units.one_shot_atgm_tower</t>
        </is>
      </c>
      <c r="AH55" t="inlineStr"/>
    </row>
    <row r="56">
      <c r="A56" t="inlineStr">
        <is>
          <t>recoilless_gun_tower</t>
        </is>
      </c>
      <c r="B56" t="inlineStr">
        <is>
          <t>recoilless_gun_tower</t>
        </is>
      </c>
      <c r="C56" t="inlineStr">
        <is>
          <t>Ụ súng không giật</t>
        </is>
      </c>
      <c r="D56" t="inlineStr">
        <is>
          <t>NEED_SOURCE</t>
        </is>
      </c>
      <c r="E56" t="inlineStr"/>
      <c r="F56" t="inlineStr">
        <is>
          <t>NEED_SOURCE</t>
        </is>
      </c>
      <c r="G56" t="inlineStr">
        <is>
          <t>NEED_SOURCE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NEED_SOURCE</t>
        </is>
      </c>
      <c r="P56" t="inlineStr">
        <is>
          <t>R_recoilless_gun_tower</t>
        </is>
      </c>
      <c r="Q56" t="inlineStr">
        <is>
          <t>repo không có tham chiếu cho thực thể này (unit_refs.json, reference_real.json, bảng cân bằng)</t>
        </is>
      </c>
      <c r="R5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6" t="inlineStr">
        <is>
          <t>NEED_SOURCE</t>
        </is>
      </c>
      <c r="T56" t="inlineStr">
        <is>
          <t>NEED_SOURCE</t>
        </is>
      </c>
      <c r="U56" t="inlineStr">
        <is>
          <t>NEED_SOURCE</t>
        </is>
      </c>
      <c r="Z56" t="inlineStr"/>
      <c r="AA56" t="inlineStr"/>
      <c r="AB56" t="inlineStr"/>
      <c r="AC56" t="inlineStr">
        <is>
          <t>Tools/blender/specs/recoilless_gun_tower.json: real = SPG-9 Kopyo 73 mm recoilless gun on its tripod; a sandbagged field pit; confidence = cao (SPG-9 tube, venturi, PGO-9 sight and tripod are well documented)</t>
        </is>
      </c>
      <c r="AD56" t="inlineStr">
        <is>
          <t>Thap</t>
        </is>
      </c>
      <c r="AE56" t="inlineStr"/>
      <c r="AF56" t="inlineStr"/>
      <c r="AG56" t="inlineStr">
        <is>
          <t>Tools/docs/unit_refs.json: recoilless_gun_tower; Tools/models/reference_real.json: units.recoilless_gun_tower</t>
        </is>
      </c>
      <c r="AH56" t="inlineStr"/>
    </row>
    <row r="57">
      <c r="A57" t="inlineStr">
        <is>
          <t>repair_bay</t>
        </is>
      </c>
      <c r="B57" t="inlineStr">
        <is>
          <t>repair_bay</t>
        </is>
      </c>
      <c r="C57" t="inlineStr">
        <is>
          <t>Xưởng sửa chữa</t>
        </is>
      </c>
      <c r="D57" t="inlineStr">
        <is>
          <t>doi_that</t>
        </is>
      </c>
      <c r="E57" t="inlineStr">
        <is>
          <t>nhà vòm thép Quonset / Nissen</t>
        </is>
      </c>
      <c r="F57" t="inlineStr">
        <is>
          <t>NEED_SOURCE</t>
        </is>
      </c>
      <c r="G57" t="inlineStr">
        <is>
          <t>NEED_SOURCE</t>
        </is>
      </c>
      <c r="H57" t="inlineStr"/>
      <c r="I57" t="inlineStr"/>
      <c r="J57" t="inlineStr"/>
      <c r="K57" t="inlineStr">
        <is>
          <t>xưởng sửa chữa xe dã chiến</t>
        </is>
      </c>
      <c r="L57" t="inlineStr"/>
      <c r="M57" t="inlineStr"/>
      <c r="N57" t="inlineStr"/>
      <c r="O57" t="inlineStr">
        <is>
          <t>uoc_dinh</t>
        </is>
      </c>
      <c r="P57" t="inlineStr">
        <is>
          <t>R_unit_refs;R_machine_brigade_can_bang;R_repair_bay</t>
        </is>
      </c>
      <c r="Q57" t="inlineStr"/>
      <c r="R5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7" t="inlineStr">
        <is>
          <t>NEED_SOURCE</t>
        </is>
      </c>
      <c r="T57" t="inlineStr">
        <is>
          <t>NEED_SOURCE</t>
        </is>
      </c>
      <c r="U57" t="inlineStr">
        <is>
          <t>NEED_SOURCE</t>
        </is>
      </c>
      <c r="Y57" t="inlineStr">
        <is>
          <t>ước đoán: xưởng sửa chữa xe dã chiến</t>
        </is>
      </c>
      <c r="Z57" t="inlineStr">
        <is>
          <t>nhà vòm thép Quonset / Nissen — ước đoán: xưởng sửa chữa xe dã chiến</t>
        </is>
      </c>
      <c r="AA57" t="inlineStr"/>
      <c r="AB57" t="inlineStr"/>
      <c r="AC57" t="inlineStr">
        <is>
          <t>Tools/blender/specs/repair_bay.json: real = a field vehicle workshop: a steel-framed shed under corrugated sheet; a rail-mounted gantry crane (5 t class) over the work area; confidence = ban_dau_doan (a base building; the shed and crane follow common field workshops, no single real model)</t>
        </is>
      </c>
      <c r="AD57" t="inlineStr">
        <is>
          <t>Mo_dun_tien_ich</t>
        </is>
      </c>
      <c r="AE57" t="inlineStr"/>
      <c r="AF57" t="inlineStr"/>
      <c r="AG57" t="inlineStr">
        <is>
          <t>Tools/docs/unit_refs.json: repair_bay; Tools/models/reference_real.json: units.repair_bay</t>
        </is>
      </c>
      <c r="AH57" t="inlineStr"/>
    </row>
    <row r="58">
      <c r="A58" t="inlineStr">
        <is>
          <t>rocket_turret</t>
        </is>
      </c>
      <c r="B58" t="inlineStr">
        <is>
          <t>rocket_turret</t>
        </is>
      </c>
      <c r="C58" t="inlineStr">
        <is>
          <t>Dàn rốc-két</t>
        </is>
      </c>
      <c r="D58" t="inlineStr">
        <is>
          <t>doi_that</t>
        </is>
      </c>
      <c r="E58" t="inlineStr">
        <is>
          <t>BM-21 Grad 122 mm</t>
        </is>
      </c>
      <c r="F58" t="inlineStr">
        <is>
          <t>NEED_SOURCE</t>
        </is>
      </c>
      <c r="G58" t="inlineStr">
        <is>
          <t>NEED_SOURCE</t>
        </is>
      </c>
      <c r="H58" t="inlineStr">
        <is>
          <t>Supreme Commander</t>
        </is>
      </c>
      <c r="I58" t="inlineStr">
        <is>
          <t>chọn mục tiêu (chế độ bắn của tháp)</t>
        </is>
      </c>
      <c r="J58" t="inlineStr"/>
      <c r="K58" t="inlineStr">
        <is>
          <t>Giàn phóng rốc-két sau tường chắn</t>
        </is>
      </c>
      <c r="L58" t="inlineStr"/>
      <c r="M58" t="inlineStr"/>
      <c r="N58" t="inlineStr"/>
      <c r="O58" t="inlineStr">
        <is>
          <t>ban_dau_doan</t>
        </is>
      </c>
      <c r="P58" t="inlineStr">
        <is>
          <t>R_unit_refs;R_machine_brigade_can_bang;R_rocket_turret;R_machine_brigade_ai_research</t>
        </is>
      </c>
      <c r="Q58" t="inlineStr"/>
      <c r="R5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8" t="inlineStr">
        <is>
          <t>NEED_SOURCE</t>
        </is>
      </c>
      <c r="T58" t="inlineStr">
        <is>
          <t>NEED_SOURCE</t>
        </is>
      </c>
      <c r="U58" t="inlineStr">
        <is>
          <t>NEED_SOURCE</t>
        </is>
      </c>
      <c r="Y58" t="inlineStr">
        <is>
          <t>Giàn phóng rốc-két sau tường chắn</t>
        </is>
      </c>
      <c r="Z58" t="inlineStr">
        <is>
          <t>BM-21 Grad 122 mm — Giàn phóng rốc-két sau tường chắn</t>
        </is>
      </c>
      <c r="AA58" t="inlineStr">
        <is>
          <t>BM-21</t>
        </is>
      </c>
      <c r="AB58" t="inlineStr"/>
      <c r="AC58" t="inlineStr">
        <is>
          <t>Tools/blender/specs/rocket_turret.json: real = BM-21 Grad 122 mm launcher (40 tubes, 4 x 10); confidence = ban_dau_doan (a tower design, no single real model: the BM-21 tube pack is real, the emplacement is the sheet's)</t>
        </is>
      </c>
      <c r="AD58" t="inlineStr">
        <is>
          <t>Thap</t>
        </is>
      </c>
      <c r="AE58" t="inlineStr"/>
      <c r="AF58" t="inlineStr"/>
      <c r="AG58" t="inlineStr">
        <is>
          <t>Tools/docs/unit_refs.json: rocket_turret; Tools/models/reference_real.json: units.rocket_turret</t>
        </is>
      </c>
      <c r="AH58" t="inlineStr"/>
    </row>
    <row r="59">
      <c r="A59" t="inlineStr">
        <is>
          <t>rocket_turret.cluster</t>
        </is>
      </c>
      <c r="B59" t="inlineStr">
        <is>
          <t>rocket_turret.cluster</t>
        </is>
      </c>
      <c r="C59" t="inlineStr">
        <is>
          <t>rocket_turret.cluster</t>
        </is>
      </c>
      <c r="D59" t="inlineStr">
        <is>
          <t>doi_that</t>
        </is>
      </c>
      <c r="E59" t="inlineStr">
        <is>
          <t>BM-21 Grad 122 mm (đầu đạn chùm)</t>
        </is>
      </c>
      <c r="F59" t="inlineStr">
        <is>
          <t>NEED_SOURCE</t>
        </is>
      </c>
      <c r="G59" t="inlineStr">
        <is>
          <t>NEED_SOURCE</t>
        </is>
      </c>
      <c r="H59" t="inlineStr"/>
      <c r="I59" t="inlineStr"/>
      <c r="J59" t="inlineStr"/>
      <c r="K59" t="inlineStr">
        <is>
          <t>Nhánh rốc-két chùm</t>
        </is>
      </c>
      <c r="L59" t="inlineStr"/>
      <c r="M59" t="inlineStr"/>
      <c r="N59" t="inlineStr"/>
      <c r="O59" t="inlineStr">
        <is>
          <t>ban_dau_doan</t>
        </is>
      </c>
      <c r="P59" t="inlineStr">
        <is>
          <t>R_unit_refs;R_machine_brigade_can_bang</t>
        </is>
      </c>
      <c r="Q59" t="inlineStr"/>
      <c r="R5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59" t="inlineStr">
        <is>
          <t>NEED_SOURCE</t>
        </is>
      </c>
      <c r="T59" t="inlineStr">
        <is>
          <t>NEED_SOURCE</t>
        </is>
      </c>
      <c r="U59" t="inlineStr">
        <is>
          <t>NEED_SOURCE</t>
        </is>
      </c>
      <c r="Y59" t="inlineStr">
        <is>
          <t>Nhánh rốc-két chùm</t>
        </is>
      </c>
      <c r="Z59" t="inlineStr">
        <is>
          <t>BM-21 Grad 122 mm (đầu đạn chùm) — Nhánh rốc-két chùm</t>
        </is>
      </c>
      <c r="AA59" t="inlineStr"/>
      <c r="AB59" t="inlineStr"/>
      <c r="AC59" t="inlineStr"/>
      <c r="AD59" t="inlineStr">
        <is>
          <t>Thap</t>
        </is>
      </c>
      <c r="AE59" t="inlineStr">
        <is>
          <t>cluster</t>
        </is>
      </c>
      <c r="AF59" t="inlineStr"/>
      <c r="AG59" t="inlineStr">
        <is>
          <t>Tools/docs/unit_refs.json: rocket_turret.cluster; Tools/models/reference_real.json: units.rocket_turret.cluster</t>
        </is>
      </c>
      <c r="AH59" t="inlineStr"/>
    </row>
    <row r="60">
      <c r="A60" t="inlineStr">
        <is>
          <t>rocket_turret.guided</t>
        </is>
      </c>
      <c r="B60" t="inlineStr">
        <is>
          <t>rocket_turret.guided</t>
        </is>
      </c>
      <c r="C60" t="inlineStr">
        <is>
          <t>rocket_turret.guided</t>
        </is>
      </c>
      <c r="D60" t="inlineStr">
        <is>
          <t>doi_that</t>
        </is>
      </c>
      <c r="E60" t="inlineStr">
        <is>
          <t>M31 GMLRS 227 mm</t>
        </is>
      </c>
      <c r="F60" t="inlineStr">
        <is>
          <t>NEED_SOURCE</t>
        </is>
      </c>
      <c r="G60" t="inlineStr">
        <is>
          <t>NEED_SOURCE</t>
        </is>
      </c>
      <c r="H60" t="inlineStr"/>
      <c r="I60" t="inlineStr"/>
      <c r="J60" t="inlineStr"/>
      <c r="K60" t="inlineStr">
        <is>
          <t>Nhánh rốc-két dẫn đường tầm xa</t>
        </is>
      </c>
      <c r="L60" t="inlineStr"/>
      <c r="M60" t="inlineStr"/>
      <c r="N60" t="inlineStr"/>
      <c r="O60" t="inlineStr">
        <is>
          <t>ban_dau_doan</t>
        </is>
      </c>
      <c r="P60" t="inlineStr">
        <is>
          <t>R_unit_refs;R_machine_brigade_can_bang</t>
        </is>
      </c>
      <c r="Q60" t="inlineStr"/>
      <c r="R6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0" t="inlineStr">
        <is>
          <t>NEED_SOURCE</t>
        </is>
      </c>
      <c r="T60" t="inlineStr">
        <is>
          <t>NEED_SOURCE</t>
        </is>
      </c>
      <c r="U60" t="inlineStr">
        <is>
          <t>NEED_SOURCE</t>
        </is>
      </c>
      <c r="Y60" t="inlineStr">
        <is>
          <t>Nhánh rốc-két dẫn đường tầm xa</t>
        </is>
      </c>
      <c r="Z60" t="inlineStr">
        <is>
          <t>M31 GMLRS 227 mm — Nhánh rốc-két dẫn đường tầm xa</t>
        </is>
      </c>
      <c r="AA60" t="inlineStr">
        <is>
          <t>GMLRS: đầu nổ 90 kg</t>
        </is>
      </c>
      <c r="AB60" t="inlineStr"/>
      <c r="AC60" t="inlineStr"/>
      <c r="AD60" t="inlineStr">
        <is>
          <t>Thap</t>
        </is>
      </c>
      <c r="AE60" t="inlineStr">
        <is>
          <t>guided</t>
        </is>
      </c>
      <c r="AF60" t="inlineStr"/>
      <c r="AG60" t="inlineStr">
        <is>
          <t>Tools/docs/unit_refs.json: rocket_turret.guided; Tools/models/reference_real.json: units.rocket_turret.guided</t>
        </is>
      </c>
      <c r="AH60" t="inlineStr"/>
    </row>
    <row r="61">
      <c r="A61" t="inlineStr">
        <is>
          <t>shield_tower</t>
        </is>
      </c>
      <c r="B61" t="inlineStr">
        <is>
          <t>shield_tower</t>
        </is>
      </c>
      <c r="C61" t="inlineStr">
        <is>
          <t>Máy phát khiên</t>
        </is>
      </c>
      <c r="D61" t="inlineStr">
        <is>
          <t>game</t>
        </is>
      </c>
      <c r="E61" t="inlineStr"/>
      <c r="F61" t="inlineStr"/>
      <c r="G61" t="inlineStr"/>
      <c r="H61" t="inlineStr">
        <is>
          <t>StarCraft II;Supreme Commander</t>
        </is>
      </c>
      <c r="I61" t="inlineStr">
        <is>
          <t>hình dáng: Shield Battery;hình dáng: Shield Generator</t>
        </is>
      </c>
      <c r="J61" t="inlineStr"/>
      <c r="K61" t="inlineStr">
        <is>
          <t>tháp phát khiên năng lượng (viễn tưởng)</t>
        </is>
      </c>
      <c r="L61" t="inlineStr"/>
      <c r="M61" t="inlineStr"/>
      <c r="N61" t="inlineStr"/>
      <c r="O61" t="inlineStr">
        <is>
          <t>uoc_dinh</t>
        </is>
      </c>
      <c r="P61" t="inlineStr">
        <is>
          <t>R_unit_refs;R_machine_brigade_can_bang;R_shield_tower</t>
        </is>
      </c>
      <c r="Q61" t="inlineStr"/>
      <c r="R61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1" t="inlineStr"/>
      <c r="T61" t="inlineStr"/>
      <c r="U61" t="inlineStr"/>
      <c r="Y61" t="inlineStr">
        <is>
          <t>ước đoán: tháp phát khiên năng lượng (viễn tưởng)</t>
        </is>
      </c>
      <c r="Z61" t="inlineStr">
        <is>
          <t>Shield Battery (StarCraft II), Shield Generator (Supreme Commander) — ước đoán: tháp phát khiên năng lượng (viễn tưởng)</t>
        </is>
      </c>
      <c r="AA61" t="inlineStr"/>
      <c r="AB61" t="inlineStr"/>
      <c r="AC61" t="inlineStr">
        <is>
          <t>Tools/blender/specs/shield_tower.json: real = ; confidence = uoc_dinh (fiction; unit_refs media: Shield Battery (StarCraft II), Shield Generator (Supreme Commander))</t>
        </is>
      </c>
      <c r="AD61" t="inlineStr">
        <is>
          <t>Thap</t>
        </is>
      </c>
      <c r="AE61" t="inlineStr"/>
      <c r="AF61" t="inlineStr"/>
      <c r="AG61" t="inlineStr">
        <is>
          <t>Tools/docs/unit_refs.json: shield_tower; Tools/models/reference_real.json: units.shield_tower</t>
        </is>
      </c>
      <c r="AH61" t="inlineStr"/>
    </row>
    <row r="62">
      <c r="A62" t="inlineStr">
        <is>
          <t>shield_tower.bulwark</t>
        </is>
      </c>
      <c r="B62" t="inlineStr">
        <is>
          <t>shield_tower.bulwark</t>
        </is>
      </c>
      <c r="C62" t="inlineStr">
        <is>
          <t>shield_tower.bulwark</t>
        </is>
      </c>
      <c r="D62" t="inlineStr">
        <is>
          <t>game</t>
        </is>
      </c>
      <c r="E62" t="inlineStr"/>
      <c r="F62" t="inlineStr"/>
      <c r="G62" t="inlineStr"/>
      <c r="H62" t="inlineStr">
        <is>
          <t>Supreme Commander;Halo 3</t>
        </is>
      </c>
      <c r="I62" t="inlineStr">
        <is>
          <t>hình dáng: Shield Generator;hình dáng: Bubble Shield</t>
        </is>
      </c>
      <c r="J62" t="inlineStr"/>
      <c r="K62" t="inlineStr">
        <is>
          <t>nhánh vòm khiên</t>
        </is>
      </c>
      <c r="L62" t="inlineStr"/>
      <c r="M62" t="inlineStr"/>
      <c r="N62" t="inlineStr"/>
      <c r="O62" t="inlineStr">
        <is>
          <t>uoc_dinh</t>
        </is>
      </c>
      <c r="P62" t="inlineStr">
        <is>
          <t>R_unit_refs;R_machine_brigade_can_bang</t>
        </is>
      </c>
      <c r="Q62" t="inlineStr"/>
      <c r="R62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2" t="inlineStr"/>
      <c r="T62" t="inlineStr"/>
      <c r="U62" t="inlineStr"/>
      <c r="Y62" t="inlineStr">
        <is>
          <t>ước đoán: nhánh vòm khiên</t>
        </is>
      </c>
      <c r="Z62" t="inlineStr">
        <is>
          <t>Shield Generator (Supreme Commander), Bubble Shield (Halo 3) — ước đoán: nhánh vòm khiên</t>
        </is>
      </c>
      <c r="AA62" t="inlineStr"/>
      <c r="AB62" t="inlineStr"/>
      <c r="AC62" t="inlineStr"/>
      <c r="AD62" t="inlineStr">
        <is>
          <t>Thap</t>
        </is>
      </c>
      <c r="AE62" t="inlineStr">
        <is>
          <t>bulwark</t>
        </is>
      </c>
      <c r="AF62" t="inlineStr"/>
      <c r="AG62" t="inlineStr">
        <is>
          <t>Tools/docs/unit_refs.json: shield_tower.bulwark; Tools/models/reference_real.json: units.shield_tower.bulwark</t>
        </is>
      </c>
      <c r="AH62" t="inlineStr"/>
    </row>
    <row r="63">
      <c r="A63" t="inlineStr">
        <is>
          <t>shield_tower.ward</t>
        </is>
      </c>
      <c r="B63" t="inlineStr">
        <is>
          <t>shield_tower.ward</t>
        </is>
      </c>
      <c r="C63" t="inlineStr">
        <is>
          <t>shield_tower.ward</t>
        </is>
      </c>
      <c r="D63" t="inlineStr">
        <is>
          <t>game</t>
        </is>
      </c>
      <c r="E63" t="inlineStr"/>
      <c r="F63" t="inlineStr"/>
      <c r="G63" t="inlineStr"/>
      <c r="H63" t="inlineStr">
        <is>
          <t>StarCraft II</t>
        </is>
      </c>
      <c r="I63" t="inlineStr">
        <is>
          <t>hình dáng: Shield Battery</t>
        </is>
      </c>
      <c r="J63" t="inlineStr"/>
      <c r="K63" t="inlineStr">
        <is>
          <t>nhánh chiếu khiên sang tháp khác</t>
        </is>
      </c>
      <c r="L63" t="inlineStr"/>
      <c r="M63" t="inlineStr"/>
      <c r="N63" t="inlineStr"/>
      <c r="O63" t="inlineStr">
        <is>
          <t>uoc_dinh</t>
        </is>
      </c>
      <c r="P63" t="inlineStr">
        <is>
          <t>R_unit_refs;R_machine_brigade_can_bang</t>
        </is>
      </c>
      <c r="Q63" t="inlineStr"/>
      <c r="R63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3" t="inlineStr"/>
      <c r="T63" t="inlineStr"/>
      <c r="U63" t="inlineStr"/>
      <c r="Y63" t="inlineStr">
        <is>
          <t>ước đoán: nhánh chiếu khiên sang tháp khác</t>
        </is>
      </c>
      <c r="Z63" t="inlineStr">
        <is>
          <t>Shield Battery (StarCraft II) — ước đoán: nhánh chiếu khiên sang tháp khác</t>
        </is>
      </c>
      <c r="AA63" t="inlineStr"/>
      <c r="AB63" t="inlineStr"/>
      <c r="AC63" t="inlineStr"/>
      <c r="AD63" t="inlineStr">
        <is>
          <t>Thap</t>
        </is>
      </c>
      <c r="AE63" t="inlineStr">
        <is>
          <t>ward</t>
        </is>
      </c>
      <c r="AF63" t="inlineStr"/>
      <c r="AG63" t="inlineStr">
        <is>
          <t>Tools/docs/unit_refs.json: shield_tower.ward; Tools/models/reference_real.json: units.shield_tower.ward</t>
        </is>
      </c>
      <c r="AH63" t="inlineStr"/>
    </row>
    <row r="64">
      <c r="A64" t="inlineStr">
        <is>
          <t>spawn_bastion</t>
        </is>
      </c>
      <c r="B64" t="inlineStr">
        <is>
          <t>spawn_bastion</t>
        </is>
      </c>
      <c r="C64" t="inlineStr">
        <is>
          <t>Tháp căn cứ</t>
        </is>
      </c>
      <c r="D64" t="inlineStr">
        <is>
          <t>doi_that</t>
        </is>
      </c>
      <c r="E64" t="inlineStr">
        <is>
          <t>A-222 Bereg (240 mm);AK-130 130 mm (tháp pháo hạm đặt trên bờ);K-300P Bastion-P</t>
        </is>
      </c>
      <c r="F64" t="inlineStr">
        <is>
          <t>NEED_SOURCE</t>
        </is>
      </c>
      <c r="G64" t="inlineStr">
        <is>
          <t>NEED_SOURCE</t>
        </is>
      </c>
      <c r="H64" t="inlineStr"/>
      <c r="I64" t="inlineStr"/>
      <c r="J64" t="inlineStr"/>
      <c r="K64" t="inlineStr">
        <is>
          <t>Pháo đài canh điểm xuất quân (model tháp pháo hạng nặng)</t>
        </is>
      </c>
      <c r="L64" t="inlineStr"/>
      <c r="M64" t="inlineStr"/>
      <c r="N64" t="inlineStr"/>
      <c r="O64" t="inlineStr">
        <is>
          <t>ban_dau_doan</t>
        </is>
      </c>
      <c r="P64" t="inlineStr">
        <is>
          <t>R_unit_refs;R_machine_brigade_can_bang</t>
        </is>
      </c>
      <c r="Q64" t="inlineStr"/>
      <c r="R64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4" t="inlineStr">
        <is>
          <t>NEED_SOURCE</t>
        </is>
      </c>
      <c r="T64" t="inlineStr">
        <is>
          <t>NEED_SOURCE</t>
        </is>
      </c>
      <c r="U64" t="inlineStr">
        <is>
          <t>NEED_SOURCE</t>
        </is>
      </c>
      <c r="Y64" t="inlineStr">
        <is>
          <t>Pháo đài canh điểm xuất quân (model tháp pháo hạng nặng)</t>
        </is>
      </c>
      <c r="Z64" t="inlineStr">
        <is>
          <t>A-222 Bereg (240 mm), AK-130 130 mm (tháp pháo hạm đặt trên bờ), K-300P Bastion-P — Pháo đài canh điểm xuất quân (model tháp pháo hạng nặng)</t>
        </is>
      </c>
      <c r="AA64" t="inlineStr"/>
      <c r="AB64" t="inlineStr"/>
      <c r="AC64" t="inlineStr"/>
      <c r="AD64" t="inlineStr">
        <is>
          <t>Thap</t>
        </is>
      </c>
      <c r="AE64" t="inlineStr"/>
      <c r="AF64" t="inlineStr"/>
      <c r="AG64" t="inlineStr">
        <is>
          <t>Tools/docs/unit_refs.json: spawn_bastion; Tools/models/reference_real.json: units.spawn_bastion</t>
        </is>
      </c>
      <c r="AH64" t="inlineStr"/>
    </row>
    <row r="65">
      <c r="A65" t="inlineStr">
        <is>
          <t>super_gun</t>
        </is>
      </c>
      <c r="B65" t="inlineStr">
        <is>
          <t>super_gun</t>
        </is>
      </c>
      <c r="C65" t="inlineStr">
        <is>
          <t>Siêu pháo</t>
        </is>
      </c>
      <c r="D65" t="inlineStr">
        <is>
          <t>doi_that</t>
        </is>
      </c>
      <c r="E65" t="inlineStr">
        <is>
          <t>A-222 Bereg (240 mm);AK-130 130 mm (tháp pháo hạm đặt trên bờ);K-300P Bastion-P</t>
        </is>
      </c>
      <c r="F65" t="inlineStr">
        <is>
          <t>NEED_SOURCE</t>
        </is>
      </c>
      <c r="G65" t="inlineStr">
        <is>
          <t>NEED_SOURCE</t>
        </is>
      </c>
      <c r="H65" t="inlineStr"/>
      <c r="I65" t="inlineStr"/>
      <c r="J65" t="inlineStr"/>
      <c r="K65" t="inlineStr">
        <is>
          <t>Siêu pháo hai nòng của pháo đài (model tháp pháo hạng nặng phóng to)</t>
        </is>
      </c>
      <c r="L65" t="inlineStr"/>
      <c r="M65" t="inlineStr"/>
      <c r="N65" t="inlineStr"/>
      <c r="O65" t="inlineStr">
        <is>
          <t>ban_dau_doan</t>
        </is>
      </c>
      <c r="P65" t="inlineStr">
        <is>
          <t>R_unit_refs;R_machine_brigade_can_bang;R_super_gun</t>
        </is>
      </c>
      <c r="Q65" t="inlineStr"/>
      <c r="R65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5" t="inlineStr">
        <is>
          <t>NEED_SOURCE</t>
        </is>
      </c>
      <c r="T65" t="inlineStr">
        <is>
          <t>NEED_SOURCE</t>
        </is>
      </c>
      <c r="U65" t="inlineStr">
        <is>
          <t>NEED_SOURCE</t>
        </is>
      </c>
      <c r="Y65" t="inlineStr">
        <is>
          <t>Siêu pháo hai nòng của pháo đài (model tháp pháo hạng nặng phóng to)</t>
        </is>
      </c>
      <c r="Z65" t="inlineStr">
        <is>
          <t>A-222 Bereg (240 mm), AK-130 130 mm (tháp pháo hạm đặt trên bờ), K-300P Bastion-P — Siêu pháo hai nòng của pháo đài (model tháp pháo hạng nặng phóng to)</t>
        </is>
      </c>
      <c r="AA65" t="inlineStr"/>
      <c r="AB65" t="inlineStr"/>
      <c r="AC65" t="inlineStr">
        <is>
          <t>Tools/blender/specs/super_gun.json: real = a twin heavy coast-defence turret (BL 15-inch / Atlantikwall Batterie class) set in a cast concrete citadel, with a shell hoist and trolley rails; confidence = ban_dau_doan (a fortress gun; the turret, rangefinder ears and hoist follow heavy coastal batteries)</t>
        </is>
      </c>
      <c r="AD65" t="inlineStr">
        <is>
          <t>Thap</t>
        </is>
      </c>
      <c r="AE65" t="inlineStr"/>
      <c r="AF65" t="inlineStr"/>
      <c r="AG65" t="inlineStr">
        <is>
          <t>Tools/docs/unit_refs.json: super_gun; Tools/models/reference_real.json: units.super_gun</t>
        </is>
      </c>
      <c r="AH65" t="inlineStr"/>
    </row>
    <row r="66">
      <c r="A66" t="inlineStr">
        <is>
          <t>targeting_station</t>
        </is>
      </c>
      <c r="B66" t="inlineStr">
        <is>
          <t>targeting_station</t>
        </is>
      </c>
      <c r="C66" t="inlineStr">
        <is>
          <t>Trạm chỉ thị mục tiêu</t>
        </is>
      </c>
      <c r="D66" t="inlineStr">
        <is>
          <t>doi_that</t>
        </is>
      </c>
      <c r="E66" t="inlineStr">
        <is>
          <t>radar Würzburg-Riese;trạm đo xa pháo bờ biển</t>
        </is>
      </c>
      <c r="F66" t="inlineStr">
        <is>
          <t>NEED_SOURCE</t>
        </is>
      </c>
      <c r="G66" t="inlineStr">
        <is>
          <t>NEED_SOURCE</t>
        </is>
      </c>
      <c r="H66" t="inlineStr"/>
      <c r="I66" t="inlineStr"/>
      <c r="J66" t="inlineStr"/>
      <c r="K66" t="inlineStr">
        <is>
          <t>Trạm điều khiển hỏa lực của siêu pháo</t>
        </is>
      </c>
      <c r="L66" t="inlineStr"/>
      <c r="M66" t="inlineStr"/>
      <c r="N66" t="inlineStr"/>
      <c r="O66" t="inlineStr">
        <is>
          <t>ban_dau_doan</t>
        </is>
      </c>
      <c r="P66" t="inlineStr">
        <is>
          <t>R_unit_refs;R_machine_brigade_can_bang;R_targeting_station</t>
        </is>
      </c>
      <c r="Q66" t="inlineStr"/>
      <c r="R66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6" t="inlineStr">
        <is>
          <t>NEED_SOURCE</t>
        </is>
      </c>
      <c r="T66" t="inlineStr">
        <is>
          <t>NEED_SOURCE</t>
        </is>
      </c>
      <c r="U66" t="inlineStr">
        <is>
          <t>NEED_SOURCE</t>
        </is>
      </c>
      <c r="Y66" t="inlineStr">
        <is>
          <t>Trạm điều khiển hỏa lực của siêu pháo</t>
        </is>
      </c>
      <c r="Z66" t="inlineStr">
        <is>
          <t>radar Würzburg-Riese, trạm đo xa pháo bờ biển — Trạm điều khiển hỏa lực của siêu pháo</t>
        </is>
      </c>
      <c r="AA66" t="inlineStr"/>
      <c r="AB66" t="inlineStr"/>
      <c r="AC66" t="inlineStr">
        <is>
          <t>Tools/blender/specs/targeting_station.json: real = Würzburg-Riese (FuSE 65) fire-control radar (unit_refs); a coastal battery's rangefinder post (unit_refs: trạm đo xa pháo bờ biển); confidence = xấp xỉ (Würzburg-Riese and Atlantic Wall fire-control post photographs)</t>
        </is>
      </c>
      <c r="AD66" t="inlineStr">
        <is>
          <t>Thap</t>
        </is>
      </c>
      <c r="AE66" t="inlineStr"/>
      <c r="AF66" t="inlineStr"/>
      <c r="AG66" t="inlineStr">
        <is>
          <t>Tools/docs/unit_refs.json: targeting_station; Tools/models/reference_real.json: units.targeting_station</t>
        </is>
      </c>
      <c r="AH66" t="inlineStr"/>
    </row>
    <row r="67">
      <c r="A67" t="inlineStr">
        <is>
          <t>vehicle_hangar</t>
        </is>
      </c>
      <c r="B67" t="inlineStr">
        <is>
          <t>vehicle_hangar</t>
        </is>
      </c>
      <c r="C67" t="inlineStr">
        <is>
          <t>Nhà chứa xe</t>
        </is>
      </c>
      <c r="D67" t="inlineStr">
        <is>
          <t>NEED_SOURCE</t>
        </is>
      </c>
      <c r="E67" t="inlineStr"/>
      <c r="F67" t="inlineStr">
        <is>
          <t>NEED_SOURCE</t>
        </is>
      </c>
      <c r="G67" t="inlineStr">
        <is>
          <t>NEED_SOURCE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NEED_SOURCE</t>
        </is>
      </c>
      <c r="P67" t="inlineStr"/>
      <c r="Q67" t="inlineStr">
        <is>
          <t>repo không có tham chiếu cho thực thể này (unit_refs.json, reference_real.json, bảng cân bằng)</t>
        </is>
      </c>
      <c r="R67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7" t="inlineStr">
        <is>
          <t>NEED_SOURCE</t>
        </is>
      </c>
      <c r="T67" t="inlineStr">
        <is>
          <t>NEED_SOURCE</t>
        </is>
      </c>
      <c r="U67" t="inlineStr">
        <is>
          <t>NEED_SOURCE</t>
        </is>
      </c>
      <c r="Z67" t="inlineStr"/>
      <c r="AA67" t="inlineStr"/>
      <c r="AB67" t="inlineStr"/>
      <c r="AC67" t="inlineStr"/>
      <c r="AD67" t="inlineStr">
        <is>
          <t>Thap</t>
        </is>
      </c>
      <c r="AE67" t="inlineStr"/>
      <c r="AF67" t="inlineStr"/>
      <c r="AG67" t="inlineStr">
        <is>
          <t>Tools/docs/unit_refs.json: vehicle_hangar; Tools/models/reference_real.json: units.vehicle_hangar</t>
        </is>
      </c>
      <c r="AH67" t="inlineStr"/>
    </row>
    <row r="68">
      <c r="A68" t="inlineStr">
        <is>
          <t>wall_gun</t>
        </is>
      </c>
      <c r="B68" t="inlineStr">
        <is>
          <t>wall_gun</t>
        </is>
      </c>
      <c r="C68" t="inlineStr">
        <is>
          <t>Tường gắn súng</t>
        </is>
      </c>
      <c r="D68" t="inlineStr">
        <is>
          <t>NEED_SOURCE</t>
        </is>
      </c>
      <c r="E68" t="inlineStr"/>
      <c r="F68" t="inlineStr">
        <is>
          <t>NEED_SOURCE</t>
        </is>
      </c>
      <c r="G68" t="inlineStr">
        <is>
          <t>NEED_SOURCE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NEED_SOURCE</t>
        </is>
      </c>
      <c r="P68" t="inlineStr">
        <is>
          <t>R_wall_gun</t>
        </is>
      </c>
      <c r="Q68" t="inlineStr">
        <is>
          <t>repo không có tham chiếu cho thực thể này (unit_refs.json, reference_real.json, bảng cân bằng)</t>
        </is>
      </c>
      <c r="R68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8" t="inlineStr">
        <is>
          <t>NEED_SOURCE</t>
        </is>
      </c>
      <c r="T68" t="inlineStr">
        <is>
          <t>NEED_SOURCE</t>
        </is>
      </c>
      <c r="U68" t="inlineStr">
        <is>
          <t>NEED_SOURCE</t>
        </is>
      </c>
      <c r="Z68" t="inlineStr"/>
      <c r="AA68" t="inlineStr"/>
      <c r="AB68" t="inlineStr"/>
      <c r="AC68" t="inlineStr">
        <is>
          <t>Tools/blender/specs/wall_gun.json: real = HESCO MIL 1-class cells (1 m) stacked as a breastwork with a fire step behind it; a timber crib firing platform (sleeper crib, plank deck, sandbag parapet); confidence = xấp xỉ (HESCO cell sizes; the platform keeps the old deck height and footprint)</t>
        </is>
      </c>
      <c r="AD68" t="inlineStr">
        <is>
          <t>Tuong</t>
        </is>
      </c>
      <c r="AE68" t="inlineStr"/>
      <c r="AF68" t="inlineStr">
        <is>
          <t>NEED_SOURCE</t>
        </is>
      </c>
      <c r="AG68" t="inlineStr">
        <is>
          <t>Tools/docs/unit_refs.json: wall_gun; Tools/models/reference_real.json: units.wall_gun</t>
        </is>
      </c>
      <c r="AH68" t="inlineStr"/>
    </row>
    <row r="69">
      <c r="A69" t="inlineStr">
        <is>
          <t>wall_hesco</t>
        </is>
      </c>
      <c r="B69" t="inlineStr">
        <is>
          <t>wall_hesco</t>
        </is>
      </c>
      <c r="C69" t="inlineStr">
        <is>
          <t>Tường HESCO</t>
        </is>
      </c>
      <c r="D69" t="inlineStr">
        <is>
          <t>doi_that</t>
        </is>
      </c>
      <c r="E69" t="inlineStr">
        <is>
          <t>HESCO</t>
        </is>
      </c>
      <c r="F69" t="inlineStr">
        <is>
          <t>NEED_SOURCE</t>
        </is>
      </c>
      <c r="G69" t="inlineStr">
        <is>
          <t>NEED_SOURCE</t>
        </is>
      </c>
      <c r="H69" t="inlineStr"/>
      <c r="I69" t="inlineStr"/>
      <c r="J69" t="inlineStr"/>
      <c r="K69" t="inlineStr">
        <is>
          <t>model: ba khoang rọ đá 4 m trên ụ đất, dây thép gai (DECISIONS, Models của mb_p32_walls.py)</t>
        </is>
      </c>
      <c r="L69" t="inlineStr"/>
      <c r="M69" t="inlineStr"/>
      <c r="N69" t="inlineStr"/>
      <c r="O69" t="inlineStr">
        <is>
          <t>ban_dau_doan</t>
        </is>
      </c>
      <c r="P69" t="inlineStr">
        <is>
          <t>R_decisions;R_wall_hesco</t>
        </is>
      </c>
      <c r="Q69" t="inlineStr"/>
      <c r="R69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69" t="inlineStr">
        <is>
          <t>NEED_SOURCE</t>
        </is>
      </c>
      <c r="T69" t="inlineStr">
        <is>
          <t>NEED_SOURCE</t>
        </is>
      </c>
      <c r="U69" t="inlineStr">
        <is>
          <t>NEED_SOURCE</t>
        </is>
      </c>
      <c r="Z69" t="inlineStr"/>
      <c r="AA69" t="inlineStr"/>
      <c r="AB69" t="inlineStr"/>
      <c r="AC69" t="inlineStr">
        <is>
          <t>Tools/blender/specs/wall_hesco.json: real = HESCO MIL 7-class bastion: welded wire-mesh cells with a geotextile liner, filled with earth (2.21 m tall, 2.13 m wide cells); concertina razor wire on angle-iron pickets; confidence = xấp xỉ (HESCO published cell sizes; the segment's box is the wall system's)</t>
        </is>
      </c>
      <c r="AD69" t="inlineStr">
        <is>
          <t>Tuong</t>
        </is>
      </c>
      <c r="AE69" t="inlineStr"/>
      <c r="AF69" t="inlineStr">
        <is>
          <t>NEED_SOURCE</t>
        </is>
      </c>
      <c r="AG69" t="inlineStr">
        <is>
          <t>Tools/docs/unit_refs.json: wall_hesco; Tools/models/reference_real.json: units.wall_hesco</t>
        </is>
      </c>
      <c r="AH69" t="inlineStr"/>
    </row>
    <row r="70">
      <c r="A70" t="inlineStr">
        <is>
          <t>wall_t</t>
        </is>
      </c>
      <c r="B70" t="inlineStr">
        <is>
          <t>wall_t</t>
        </is>
      </c>
      <c r="C70" t="inlineStr">
        <is>
          <t>Tường chữ T</t>
        </is>
      </c>
      <c r="D70" t="inlineStr">
        <is>
          <t>doi_that</t>
        </is>
      </c>
      <c r="E70" t="inlineStr">
        <is>
          <t>T-wall</t>
        </is>
      </c>
      <c r="F70" t="inlineStr">
        <is>
          <t>NEED_SOURCE</t>
        </is>
      </c>
      <c r="G70" t="inlineStr">
        <is>
          <t>NEED_SOURCE</t>
        </is>
      </c>
      <c r="H70" t="inlineStr"/>
      <c r="I70" t="inlineStr"/>
      <c r="J70" t="inlineStr"/>
      <c r="K70" t="inlineStr">
        <is>
          <t>model: năm tấm T-wall đúc sẵn (DECISIONS, Models của mb_p32_walls.py)</t>
        </is>
      </c>
      <c r="L70" t="inlineStr"/>
      <c r="M70" t="inlineStr"/>
      <c r="N70" t="inlineStr"/>
      <c r="O70" t="inlineStr">
        <is>
          <t>ban_dau_doan</t>
        </is>
      </c>
      <c r="P70" t="inlineStr">
        <is>
          <t>R_decisions;R_wall_t</t>
        </is>
      </c>
      <c r="Q70" t="inlineStr"/>
      <c r="R70" t="inlineStr">
        <is>
          <t>chỉ ở mức ý tưởng và thông số (sự kiện); không dùng tên, logo, văn bản, ảnh hay mô hình có bản quyền; tên và phù hiệu quốc gia thật không hiện cho người chơi</t>
        </is>
      </c>
      <c r="S70" t="inlineStr">
        <is>
          <t>NEED_SOURCE</t>
        </is>
      </c>
      <c r="T70" t="inlineStr">
        <is>
          <t>NEED_SOURCE</t>
        </is>
      </c>
      <c r="U70" t="inlineStr">
        <is>
          <t>NEED_SOURCE</t>
        </is>
      </c>
      <c r="Z70" t="inlineStr"/>
      <c r="AA70" t="inlineStr"/>
      <c r="AB70" t="inlineStr"/>
      <c r="AC70" t="inlineStr">
        <is>
          <t>Tools/blender/specs/wall_t.json: real = Bremer-class precast concrete T-wall panels (3.66 m tall, 1.52 m wide, inverted-T foot with forklift slots and lifting loops); concertina razor wire; confidence = xấp xỉ (published T-wall sizes; eight 1.5 m panels fill the 12 m segment)</t>
        </is>
      </c>
      <c r="AD70" t="inlineStr">
        <is>
          <t>Tuong</t>
        </is>
      </c>
      <c r="AE70" t="inlineStr"/>
      <c r="AF70" t="inlineStr">
        <is>
          <t>NEED_SOURCE</t>
        </is>
      </c>
      <c r="AG70" t="inlineStr">
        <is>
          <t>Tools/docs/unit_refs.json: wall_t; Tools/models/reference_real.json: units.wall_t</t>
        </is>
      </c>
      <c r="AH70" t="inlineStr"/>
    </row>
  </sheetData>
  <autoFilter ref="A1:AH7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8" customWidth="1" min="4" max="4"/>
    <col width="14" customWidth="1" min="5" max="5"/>
    <col width="60" customWidth="1" min="6" max="6"/>
    <col width="13" customWidth="1" min="7" max="7"/>
    <col width="12" customWidth="1" min="8" max="8"/>
    <col width="12" customWidth="1" min="9" max="9"/>
    <col width="13" customWidth="1" min="10" max="10"/>
    <col width="60" customWidth="1" min="11" max="11"/>
    <col width="60" customWidth="1" min="12" max="12"/>
    <col width="14" customWidth="1" min="13" max="13"/>
    <col width="60" customWidth="1" min="14" max="14"/>
    <col width="60" customWidth="1" min="15" max="15"/>
    <col width="23" customWidth="1" min="16" max="16"/>
    <col width="60" customWidth="1" min="17" max="17"/>
    <col width="10" customWidth="1" min="18" max="18"/>
  </cols>
  <sheetData>
    <row r="1">
      <c r="A1" s="1" t="inlineStr">
        <is>
          <t>id</t>
        </is>
      </c>
      <c r="B1" s="1" t="inlineStr">
        <is>
          <t>entity_id</t>
        </is>
      </c>
      <c r="C1" s="1" t="inlineStr">
        <is>
          <t>thong_so</t>
        </is>
      </c>
      <c r="D1" s="1" t="inlineStr">
        <is>
          <t>don_vi</t>
        </is>
      </c>
      <c r="E1" s="1" t="inlineStr">
        <is>
          <t>gia_tri_game</t>
        </is>
      </c>
      <c r="F1" s="1" t="inlineStr">
        <is>
          <t>gia_tri_that</t>
        </is>
      </c>
      <c r="G1" s="1" t="inlineStr">
        <is>
          <t>ty_le</t>
        </is>
      </c>
      <c r="H1" s="1" t="inlineStr">
        <is>
          <t>khoang_min</t>
        </is>
      </c>
      <c r="I1" s="1" t="inlineStr">
        <is>
          <t>khoang_max</t>
        </is>
      </c>
      <c r="J1" s="1" t="inlineStr">
        <is>
          <t>co_chu_dich</t>
        </is>
      </c>
      <c r="K1" s="1" t="inlineStr">
        <is>
          <t>ly_do</t>
        </is>
      </c>
      <c r="L1" s="1" t="inlineStr">
        <is>
          <t>co_lech_lon</t>
        </is>
      </c>
      <c r="M1" s="1" t="inlineStr">
        <is>
          <t>cho_quyet_id</t>
        </is>
      </c>
      <c r="N1" s="1" t="inlineStr">
        <is>
          <t>nguon_id</t>
        </is>
      </c>
      <c r="O1" s="1" t="inlineStr">
        <is>
          <t>ghi_chu</t>
        </is>
      </c>
      <c r="P1" s="1" t="inlineStr">
        <is>
          <t>vu_khi_id</t>
        </is>
      </c>
      <c r="Q1" s="1" t="inlineStr">
        <is>
          <t>nguon</t>
        </is>
      </c>
      <c r="R1" s="1" t="inlineStr">
        <is>
          <t>raw_json</t>
        </is>
      </c>
    </row>
    <row r="2">
      <c r="A2" t="inlineStr">
        <is>
          <t>aa_gun_tower/bofors_l70/nhip</t>
        </is>
      </c>
      <c r="B2" t="inlineStr">
        <is>
          <t>aa_gun_tower</t>
        </is>
      </c>
      <c r="C2" t="inlineStr">
        <is>
          <t>khe_mot_nong_mot_vien</t>
        </is>
      </c>
      <c r="D2" t="inlineStr">
        <is>
          <t>s</t>
        </is>
      </c>
      <c r="E2" t="n">
        <v>0.3875</v>
      </c>
      <c r="F2">
        <f>60/INDEX(cc_input_nhip_that!$B$2:$B$31,MATCH($P$2,cc_input_nhip_that!$A$2:$A$31,0))/IF(INDEX(cc_input_nhip_that!$C$2:$C$31,MATCH($P$2,cc_input_nhip_that!$A$2:$A$31,0))="gun",0.7,1)</f>
        <v/>
      </c>
      <c r="G2">
        <f>$E$2/$F$2</f>
        <v/>
      </c>
      <c r="H2" t="n">
        <v>0.6</v>
      </c>
      <c r="I2" t="n">
        <v>2</v>
      </c>
      <c r="J2" t="b">
        <v>1</v>
      </c>
      <c r="K2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2">
        <f>IF(ISNUMBER($H$2),AND(NOT($J$2),OR($G$2&lt;$H$2,$G$2&gt;$I$2)),FALSE)</f>
        <v/>
      </c>
      <c r="M2" t="inlineStr"/>
      <c r="N2" t="inlineStr">
        <is>
          <t>R_balance;R_full_weapon_audit;W_wikipedia_bofors_40_mm_l_70</t>
        </is>
      </c>
      <c r="O2" t="inlineStr">
        <is>
          <t>nhịp tháp so với hệ thống thật (định nghĩa như 01_chien_dau/Vu_khi_so_sanh_that)</t>
        </is>
      </c>
      <c r="P2" t="inlineStr">
        <is>
          <t>bofors_l70</t>
        </is>
      </c>
      <c r="Q2" t="inlineStr">
        <is>
          <t>Tools/balance/full_weapon_audit.py (bảng REAL) qua input_nhip_that / input_ty_le_nhip</t>
        </is>
      </c>
      <c r="R2" t="inlineStr"/>
    </row>
    <row r="3">
      <c r="A3" t="inlineStr">
        <is>
          <t>aa_turret.flak/flak_quad/nhip</t>
        </is>
      </c>
      <c r="B3" t="inlineStr">
        <is>
          <t>aa_turret.flak</t>
        </is>
      </c>
      <c r="C3" t="inlineStr">
        <is>
          <t>khe_mot_nong_mot_vien</t>
        </is>
      </c>
      <c r="D3" t="inlineStr">
        <is>
          <t>s</t>
        </is>
      </c>
      <c r="E3" t="n">
        <v>0.23831112</v>
      </c>
      <c r="F3">
        <f>60/INDEX(cc_input_nhip_that!$B$2:$B$31,MATCH($P$3,cc_input_nhip_that!$A$2:$A$31,0))/IF(INDEX(cc_input_nhip_that!$C$2:$C$31,MATCH($P$3,cc_input_nhip_that!$A$2:$A$31,0))="gun",0.7,1)</f>
        <v/>
      </c>
      <c r="G3">
        <f>$E$3/$F$3</f>
        <v/>
      </c>
      <c r="H3" t="n">
        <v>0.6</v>
      </c>
      <c r="I3" t="n">
        <v>2</v>
      </c>
      <c r="J3" t="b">
        <v>1</v>
      </c>
      <c r="K3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3">
        <f>IF(ISNUMBER($H$3),AND(NOT($J$3),OR($G$3&lt;$H$3,$G$3&gt;$I$3)),FALSE)</f>
        <v/>
      </c>
      <c r="M3" t="inlineStr"/>
      <c r="N3" t="inlineStr">
        <is>
          <t>R_balance;R_full_weapon_audit;W_wikipedia_zsu_23_4_shilka;R_machine_brigade_can_bang</t>
        </is>
      </c>
      <c r="O3" t="inlineStr">
        <is>
          <t>nhịp tháp so với hệ thống thật (định nghĩa như 01_chien_dau/Vu_khi_so_sanh_that)</t>
        </is>
      </c>
      <c r="P3" t="inlineStr">
        <is>
          <t>flak_quad</t>
        </is>
      </c>
      <c r="Q3" t="inlineStr">
        <is>
          <t>Tools/balance/full_weapon_audit.py (bảng REAL) qua input_nhip_that / input_ty_le_nhip</t>
        </is>
      </c>
      <c r="R3" t="inlineStr"/>
    </row>
    <row r="4">
      <c r="A4" t="inlineStr">
        <is>
          <t>aa_turret.sam/stinger_post/nhip</t>
        </is>
      </c>
      <c r="B4" t="inlineStr">
        <is>
          <t>aa_turret.sam</t>
        </is>
      </c>
      <c r="C4" t="inlineStr">
        <is>
          <t>khe_mot_nong_mot_vien</t>
        </is>
      </c>
      <c r="D4" t="inlineStr">
        <is>
          <t>s</t>
        </is>
      </c>
      <c r="E4" t="n">
        <v>4.452</v>
      </c>
      <c r="F4">
        <f>60/INDEX(cc_input_nhip_that!$B$2:$B$31,MATCH($P$4,cc_input_nhip_that!$A$2:$A$31,0))/IF(INDEX(cc_input_nhip_that!$C$2:$C$31,MATCH($P$4,cc_input_nhip_that!$A$2:$A$31,0))="gun",0.7,1)</f>
        <v/>
      </c>
      <c r="G4">
        <f>$E$4/$F$4</f>
        <v/>
      </c>
      <c r="H4" t="n">
        <v>0.6</v>
      </c>
      <c r="I4" t="n">
        <v>2</v>
      </c>
      <c r="J4" t="b">
        <v>0</v>
      </c>
      <c r="K4" t="inlineStr"/>
      <c r="L4">
        <f>IF(ISNUMBER($H$4),AND(NOT($J$4),OR($G$4&lt;$H$4,$G$4&gt;$I$4)),FALSE)</f>
        <v/>
      </c>
      <c r="M4" t="inlineStr"/>
      <c r="N4" t="inlineStr">
        <is>
          <t>R_balance;R_full_weapon_audit</t>
        </is>
      </c>
      <c r="O4" t="inlineStr">
        <is>
          <t>nhịp tháp so với hệ thống thật (định nghĩa như 01_chien_dau/Vu_khi_so_sanh_that)</t>
        </is>
      </c>
      <c r="P4" t="inlineStr">
        <is>
          <t>stinger_post</t>
        </is>
      </c>
      <c r="Q4" t="inlineStr">
        <is>
          <t>Tools/balance/full_weapon_audit.py (bảng REAL) qua input_nhip_that / input_ty_le_nhip</t>
        </is>
      </c>
      <c r="R4" t="inlineStr"/>
    </row>
    <row r="5">
      <c r="A5" t="inlineStr">
        <is>
          <t>aa_turret/sam/nhip</t>
        </is>
      </c>
      <c r="B5" t="inlineStr">
        <is>
          <t>aa_turret</t>
        </is>
      </c>
      <c r="C5" t="inlineStr">
        <is>
          <t>khe_mot_nong_mot_vien</t>
        </is>
      </c>
      <c r="D5" t="inlineStr">
        <is>
          <t>s</t>
        </is>
      </c>
      <c r="E5" t="n">
        <v>4.452</v>
      </c>
      <c r="F5">
        <f>60/INDEX(cc_input_nhip_that!$B$2:$B$31,MATCH($P$5,cc_input_nhip_that!$A$2:$A$31,0))/IF(INDEX(cc_input_nhip_that!$C$2:$C$31,MATCH($P$5,cc_input_nhip_that!$A$2:$A$31,0))="gun",0.7,1)</f>
        <v/>
      </c>
      <c r="G5">
        <f>$E$5/$F$5</f>
        <v/>
      </c>
      <c r="H5" t="n">
        <v>0.6</v>
      </c>
      <c r="I5" t="n">
        <v>2</v>
      </c>
      <c r="J5" t="b">
        <v>0</v>
      </c>
      <c r="K5" t="inlineStr"/>
      <c r="L5">
        <f>IF(ISNUMBER($H$5),AND(NOT($J$5),OR($G$5&lt;$H$5,$G$5&gt;$I$5)),FALSE)</f>
        <v/>
      </c>
      <c r="M5" t="inlineStr"/>
      <c r="N5" t="inlineStr">
        <is>
          <t>R_balance;R_full_weapon_audit;W_wikipedia_bai_cua_tung_ten_lua_bang_warhead;R_machine_brigade_can_bang</t>
        </is>
      </c>
      <c r="O5" t="inlineStr">
        <is>
          <t>nhịp tháp so với hệ thống thật (định nghĩa như 01_chien_dau/Vu_khi_so_sanh_that)</t>
        </is>
      </c>
      <c r="P5" t="inlineStr">
        <is>
          <t>sam</t>
        </is>
      </c>
      <c r="Q5" t="inlineStr">
        <is>
          <t>Tools/balance/full_weapon_audit.py (bảng REAL) qua input_nhip_that / input_ty_le_nhip</t>
        </is>
      </c>
      <c r="R5" t="inlineStr"/>
    </row>
    <row r="6">
      <c r="A6" t="inlineStr">
        <is>
          <t>aa_turret/tower_flak_30/nhip</t>
        </is>
      </c>
      <c r="B6" t="inlineStr">
        <is>
          <t>aa_turret</t>
        </is>
      </c>
      <c r="C6" t="inlineStr">
        <is>
          <t>khe_mot_nong_mot_vien</t>
        </is>
      </c>
      <c r="D6" t="inlineStr">
        <is>
          <t>s</t>
        </is>
      </c>
      <c r="E6" t="n">
        <v>0.107200008</v>
      </c>
      <c r="F6">
        <f>60/INDEX(cc_input_nhip_that!$B$2:$B$31,MATCH($P$6,cc_input_nhip_that!$A$2:$A$31,0))/IF(INDEX(cc_input_nhip_that!$C$2:$C$31,MATCH($P$6,cc_input_nhip_that!$A$2:$A$31,0))="gun",0.7,1)</f>
        <v/>
      </c>
      <c r="G6">
        <f>$E$6/$F$6</f>
        <v/>
      </c>
      <c r="H6" t="n">
        <v>0.6</v>
      </c>
      <c r="I6" t="n">
        <v>2</v>
      </c>
      <c r="J6" t="b">
        <v>1</v>
      </c>
      <c r="K6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6">
        <f>IF(ISNUMBER($H$6),AND(NOT($J$6),OR($G$6&lt;$H$6,$G$6&gt;$I$6)),FALSE)</f>
        <v/>
      </c>
      <c r="M6" t="inlineStr"/>
      <c r="N6" t="inlineStr">
        <is>
          <t>R_balance;R_full_weapon_audit;W_wikipedia_2a38;R_machine_brigade_can_bang</t>
        </is>
      </c>
      <c r="O6" t="inlineStr">
        <is>
          <t>nhịp tháp so với hệ thống thật (định nghĩa như 01_chien_dau/Vu_khi_so_sanh_that)</t>
        </is>
      </c>
      <c r="P6" t="inlineStr">
        <is>
          <t>tower_flak_30</t>
        </is>
      </c>
      <c r="Q6" t="inlineStr">
        <is>
          <t>Tools/balance/full_weapon_audit.py (bảng REAL) qua input_nhip_that / input_ty_le_nhip</t>
        </is>
      </c>
      <c r="R6" t="inlineStr"/>
    </row>
    <row r="7">
      <c r="A7" t="inlineStr">
        <is>
          <t>atgm_tower.multi/kornet_multi/nhip</t>
        </is>
      </c>
      <c r="B7" t="inlineStr">
        <is>
          <t>atgm_tower.multi</t>
        </is>
      </c>
      <c r="C7" t="inlineStr">
        <is>
          <t>khe_mot_nong_mot_vien</t>
        </is>
      </c>
      <c r="D7" t="inlineStr">
        <is>
          <t>s</t>
        </is>
      </c>
      <c r="E7" t="n">
        <v>5.55</v>
      </c>
      <c r="F7">
        <f>60/INDEX(cc_input_nhip_that!$B$2:$B$31,MATCH($P$7,cc_input_nhip_that!$A$2:$A$31,0))/IF(INDEX(cc_input_nhip_that!$C$2:$C$31,MATCH($P$7,cc_input_nhip_that!$A$2:$A$31,0))="gun",0.7,1)</f>
        <v/>
      </c>
      <c r="G7">
        <f>$E$7/$F$7</f>
        <v/>
      </c>
      <c r="H7" t="n">
        <v>0.6</v>
      </c>
      <c r="I7" t="n">
        <v>2</v>
      </c>
      <c r="J7" t="b">
        <v>0</v>
      </c>
      <c r="K7" t="inlineStr"/>
      <c r="L7">
        <f>IF(ISNUMBER($H$7),AND(NOT($J$7),OR($G$7&lt;$H$7,$G$7&gt;$I$7)),FALSE)</f>
        <v/>
      </c>
      <c r="M7" t="inlineStr">
        <is>
          <t>TC0113</t>
        </is>
      </c>
      <c r="N7" t="inlineStr">
        <is>
          <t>R_balance;R_full_weapon_audit;W_wikipedia_9m133_kornet;W_wikipedia_bai_cua_tung_ten_lua_bang_warhead;R_machine_brigade_can_bang</t>
        </is>
      </c>
      <c r="O7" t="inlineStr">
        <is>
          <t>nhịp tháp so với hệ thống thật (định nghĩa như 01_chien_dau/Vu_khi_so_sanh_that)</t>
        </is>
      </c>
      <c r="P7" t="inlineStr">
        <is>
          <t>kornet_multi</t>
        </is>
      </c>
      <c r="Q7" t="inlineStr">
        <is>
          <t>Tools/balance/full_weapon_audit.py (bảng REAL) qua input_nhip_that / input_ty_le_nhip</t>
        </is>
      </c>
      <c r="R7" t="inlineStr"/>
    </row>
    <row r="8">
      <c r="A8" t="inlineStr">
        <is>
          <t>atgm_tower.top/kornet_top/nhip</t>
        </is>
      </c>
      <c r="B8" t="inlineStr">
        <is>
          <t>atgm_tower.top</t>
        </is>
      </c>
      <c r="C8" t="inlineStr">
        <is>
          <t>khe_mot_nong_mot_vien</t>
        </is>
      </c>
      <c r="D8" t="inlineStr">
        <is>
          <t>s</t>
        </is>
      </c>
      <c r="E8" t="n">
        <v>5.2</v>
      </c>
      <c r="F8">
        <f>60/INDEX(cc_input_nhip_that!$B$2:$B$31,MATCH($P$8,cc_input_nhip_that!$A$2:$A$31,0))/IF(INDEX(cc_input_nhip_that!$C$2:$C$31,MATCH($P$8,cc_input_nhip_that!$A$2:$A$31,0))="gun",0.7,1)</f>
        <v/>
      </c>
      <c r="G8">
        <f>$E$8/$F$8</f>
        <v/>
      </c>
      <c r="H8" t="n">
        <v>0.6</v>
      </c>
      <c r="I8" t="n">
        <v>2</v>
      </c>
      <c r="J8" t="b">
        <v>0</v>
      </c>
      <c r="K8" t="inlineStr"/>
      <c r="L8">
        <f>IF(ISNUMBER($H$8),AND(NOT($J$8),OR($G$8&lt;$H$8,$G$8&gt;$I$8)),FALSE)</f>
        <v/>
      </c>
      <c r="M8" t="inlineStr">
        <is>
          <t>TC0114</t>
        </is>
      </c>
      <c r="N8" t="inlineStr">
        <is>
          <t>R_balance;R_full_weapon_audit;W_wikipedia_9m133_kornet;W_wikipedia_bai_cua_tung_ten_lua_bang_warhead;R_machine_brigade_can_bang</t>
        </is>
      </c>
      <c r="O8" t="inlineStr">
        <is>
          <t>nhịp tháp so với hệ thống thật (định nghĩa như 01_chien_dau/Vu_khi_so_sanh_that)</t>
        </is>
      </c>
      <c r="P8" t="inlineStr">
        <is>
          <t>kornet_top</t>
        </is>
      </c>
      <c r="Q8" t="inlineStr">
        <is>
          <t>Tools/balance/full_weapon_audit.py (bảng REAL) qua input_nhip_that / input_ty_le_nhip</t>
        </is>
      </c>
      <c r="R8" t="inlineStr"/>
    </row>
    <row r="9">
      <c r="A9" t="inlineStr">
        <is>
          <t>atgm_tower/tower_kornet/nhip</t>
        </is>
      </c>
      <c r="B9" t="inlineStr">
        <is>
          <t>atgm_tower</t>
        </is>
      </c>
      <c r="C9" t="inlineStr">
        <is>
          <t>khe_mot_nong_mot_vien</t>
        </is>
      </c>
      <c r="D9" t="inlineStr">
        <is>
          <t>s</t>
        </is>
      </c>
      <c r="E9" t="n">
        <v>5.55</v>
      </c>
      <c r="F9">
        <f>60/INDEX(cc_input_nhip_that!$B$2:$B$31,MATCH($P$9,cc_input_nhip_that!$A$2:$A$31,0))/IF(INDEX(cc_input_nhip_that!$C$2:$C$31,MATCH($P$9,cc_input_nhip_that!$A$2:$A$31,0))="gun",0.7,1)</f>
        <v/>
      </c>
      <c r="G9">
        <f>$E$9/$F$9</f>
        <v/>
      </c>
      <c r="H9" t="n">
        <v>0.6</v>
      </c>
      <c r="I9" t="n">
        <v>2</v>
      </c>
      <c r="J9" t="b">
        <v>0</v>
      </c>
      <c r="K9" t="inlineStr"/>
      <c r="L9">
        <f>IF(ISNUMBER($H$9),AND(NOT($J$9),OR($G$9&lt;$H$9,$G$9&gt;$I$9)),FALSE)</f>
        <v/>
      </c>
      <c r="M9" t="inlineStr">
        <is>
          <t>TC0115</t>
        </is>
      </c>
      <c r="N9" t="inlineStr">
        <is>
          <t>R_balance;R_full_weapon_audit;W_wikipedia_9m133_kornet;W_wikipedia_bai_cua_tung_ten_lua_bang_warhead;R_machine_brigade_can_bang</t>
        </is>
      </c>
      <c r="O9" t="inlineStr">
        <is>
          <t>nhịp tháp so với hệ thống thật (định nghĩa như 01_chien_dau/Vu_khi_so_sanh_that)</t>
        </is>
      </c>
      <c r="P9" t="inlineStr">
        <is>
          <t>tower_kornet</t>
        </is>
      </c>
      <c r="Q9" t="inlineStr">
        <is>
          <t>Tools/balance/full_weapon_audit.py (bảng REAL) qua input_nhip_that / input_ty_le_nhip</t>
        </is>
      </c>
      <c r="R9" t="inlineStr"/>
    </row>
    <row r="10">
      <c r="A10" t="inlineStr">
        <is>
          <t>bulwark_post/bunker_hmg/nhip</t>
        </is>
      </c>
      <c r="B10" t="inlineStr">
        <is>
          <t>bulwark_post</t>
        </is>
      </c>
      <c r="C10" t="inlineStr">
        <is>
          <t>khe_mot_nong_mot_vien</t>
        </is>
      </c>
      <c r="D10" t="inlineStr">
        <is>
          <t>s</t>
        </is>
      </c>
      <c r="E10" t="n">
        <v>0.08866665</v>
      </c>
      <c r="F10">
        <f>60/INDEX(cc_input_nhip_that!$B$2:$B$31,MATCH($P$10,cc_input_nhip_that!$A$2:$A$31,0))/IF(INDEX(cc_input_nhip_that!$C$2:$C$31,MATCH($P$10,cc_input_nhip_that!$A$2:$A$31,0))="gun",0.7,1)</f>
        <v/>
      </c>
      <c r="G10">
        <f>$E$10/$F$10</f>
        <v/>
      </c>
      <c r="H10" t="n">
        <v>0.6</v>
      </c>
      <c r="I10" t="n">
        <v>2</v>
      </c>
      <c r="J10" t="b">
        <v>0</v>
      </c>
      <c r="K10" t="inlineStr"/>
      <c r="L10">
        <f>IF(ISNUMBER($H$10),AND(NOT($J$10),OR($G$10&lt;$H$10,$G$10&gt;$I$10)),FALSE)</f>
        <v/>
      </c>
      <c r="M10" t="inlineStr"/>
      <c r="N10" t="inlineStr">
        <is>
          <t>R_balance;R_full_weapon_audit;W_wikipedia_nsv_machine_gun;R_machine_brigade_can_bang</t>
        </is>
      </c>
      <c r="O10" t="inlineStr">
        <is>
          <t>nhịp tháp so với hệ thống thật (định nghĩa như 01_chien_dau/Vu_khi_so_sanh_that)</t>
        </is>
      </c>
      <c r="P10" t="inlineStr">
        <is>
          <t>bunker_hmg</t>
        </is>
      </c>
      <c r="Q10" t="inlineStr">
        <is>
          <t>Tools/balance/full_weapon_audit.py (bảng REAL) qua input_nhip_that / input_ty_le_nhip</t>
        </is>
      </c>
      <c r="R10" t="inlineStr"/>
    </row>
    <row r="11">
      <c r="A11" t="inlineStr">
        <is>
          <t>c_ram.dome/tamir/nhip</t>
        </is>
      </c>
      <c r="B11" t="inlineStr">
        <is>
          <t>c_ram.dome</t>
        </is>
      </c>
      <c r="C11" t="inlineStr">
        <is>
          <t>khe_mot_nong_mot_vien</t>
        </is>
      </c>
      <c r="D11" t="inlineStr">
        <is>
          <t>s</t>
        </is>
      </c>
      <c r="E11" t="n">
        <v>6.833333</v>
      </c>
      <c r="F11">
        <f>60/INDEX(cc_input_nhip_that!$B$2:$B$31,MATCH($P$11,cc_input_nhip_that!$A$2:$A$31,0))/IF(INDEX(cc_input_nhip_that!$C$2:$C$31,MATCH($P$11,cc_input_nhip_that!$A$2:$A$31,0))="gun",0.7,1)</f>
        <v/>
      </c>
      <c r="G11">
        <f>$E$11/$F$11</f>
        <v/>
      </c>
      <c r="H11" t="n">
        <v>0.6</v>
      </c>
      <c r="I11" t="n">
        <v>2</v>
      </c>
      <c r="J11" t="b">
        <v>0</v>
      </c>
      <c r="K11" t="inlineStr"/>
      <c r="L11">
        <f>IF(ISNUMBER($H$11),AND(NOT($J$11),OR($G$11&lt;$H$11,$G$11&gt;$I$11)),FALSE)</f>
        <v/>
      </c>
      <c r="M11" t="inlineStr">
        <is>
          <t>TC0116</t>
        </is>
      </c>
      <c r="N11" t="inlineStr">
        <is>
          <t>R_balance;R_full_weapon_audit;R_decisions;R_machine_brigade_can_bang</t>
        </is>
      </c>
      <c r="O11" t="inlineStr">
        <is>
          <t>nhịp tháp so với hệ thống thật (định nghĩa như 01_chien_dau/Vu_khi_so_sanh_that)</t>
        </is>
      </c>
      <c r="P11" t="inlineStr">
        <is>
          <t>tamir</t>
        </is>
      </c>
      <c r="Q11" t="inlineStr">
        <is>
          <t>Tools/balance/full_weapon_audit.py (bảng REAL) qua input_nhip_that / input_ty_le_nhip</t>
        </is>
      </c>
      <c r="R11" t="inlineStr"/>
    </row>
    <row r="12">
      <c r="A12" t="inlineStr">
        <is>
          <t>c_ram/c_ram_gatling/nhip</t>
        </is>
      </c>
      <c r="B12" t="inlineStr">
        <is>
          <t>c_ram</t>
        </is>
      </c>
      <c r="C12" t="inlineStr">
        <is>
          <t>khe_mot_nong_mot_vien</t>
        </is>
      </c>
      <c r="D12" t="inlineStr">
        <is>
          <t>s</t>
        </is>
      </c>
      <c r="E12" t="n">
        <v>0.035</v>
      </c>
      <c r="F12">
        <f>60/INDEX(cc_input_nhip_that!$B$2:$B$31,MATCH($P$12,cc_input_nhip_that!$A$2:$A$31,0))/IF(INDEX(cc_input_nhip_that!$C$2:$C$31,MATCH($P$12,cc_input_nhip_that!$A$2:$A$31,0))="gun",0.7,1)</f>
        <v/>
      </c>
      <c r="G12">
        <f>$E$12/$F$12</f>
        <v/>
      </c>
      <c r="H12" t="n">
        <v>0.6</v>
      </c>
      <c r="I12" t="n">
        <v>2</v>
      </c>
      <c r="J12" t="b">
        <v>1</v>
      </c>
      <c r="K12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12">
        <f>IF(ISNUMBER($H$12),AND(NOT($J$12),OR($G$12&lt;$H$12,$G$12&gt;$I$12)),FALSE)</f>
        <v/>
      </c>
      <c r="M12" t="inlineStr"/>
      <c r="N12" t="inlineStr">
        <is>
          <t>R_balance;R_full_weapon_audit;W_wikipedia_phalanx_ciws;R_machine_brigade_can_bang</t>
        </is>
      </c>
      <c r="O12" t="inlineStr">
        <is>
          <t>nhịp tháp so với hệ thống thật (định nghĩa như 01_chien_dau/Vu_khi_so_sanh_that)</t>
        </is>
      </c>
      <c r="P12" t="inlineStr">
        <is>
          <t>c_ram_gatling</t>
        </is>
      </c>
      <c r="Q12" t="inlineStr">
        <is>
          <t>Tools/balance/full_weapon_audit.py (bảng REAL) qua input_nhip_that / input_ty_le_nhip</t>
        </is>
      </c>
      <c r="R12" t="inlineStr"/>
    </row>
    <row r="13">
      <c r="A13" t="inlineStr">
        <is>
          <t>coastal_battery/gun_155_coastal/nhip</t>
        </is>
      </c>
      <c r="B13" t="inlineStr">
        <is>
          <t>coastal_battery</t>
        </is>
      </c>
      <c r="C13" t="inlineStr">
        <is>
          <t>khe_mot_nong_mot_vien</t>
        </is>
      </c>
      <c r="D13" t="inlineStr">
        <is>
          <t>s</t>
        </is>
      </c>
      <c r="E13" t="n">
        <v>6.314507143</v>
      </c>
      <c r="F13">
        <f>60/INDEX(cc_input_nhip_that!$B$2:$B$31,MATCH($P$13,cc_input_nhip_that!$A$2:$A$31,0))/IF(INDEX(cc_input_nhip_that!$C$2:$C$31,MATCH($P$13,cc_input_nhip_that!$A$2:$A$31,0))="gun",0.7,1)</f>
        <v/>
      </c>
      <c r="G13">
        <f>$E$13/$F$13</f>
        <v/>
      </c>
      <c r="H13" t="n">
        <v>0.6</v>
      </c>
      <c r="I13" t="n">
        <v>2</v>
      </c>
      <c r="J13" t="b">
        <v>0</v>
      </c>
      <c r="K13" t="inlineStr"/>
      <c r="L13">
        <f>IF(ISNUMBER($H$13),AND(NOT($J$13),OR($G$13&lt;$H$13,$G$13&gt;$I$13)),FALSE)</f>
        <v/>
      </c>
      <c r="M13" t="inlineStr">
        <is>
          <t>TC0117</t>
        </is>
      </c>
      <c r="N13" t="inlineStr">
        <is>
          <t>R_balance;R_full_weapon_audit;D_us_army_m109a7_fact_file;R_machine_brigade_can_bang</t>
        </is>
      </c>
      <c r="O13" t="inlineStr">
        <is>
          <t>nhịp tháp so với hệ thống thật (định nghĩa như 01_chien_dau/Vu_khi_so_sanh_that)</t>
        </is>
      </c>
      <c r="P13" t="inlineStr">
        <is>
          <t>gun_155_coastal</t>
        </is>
      </c>
      <c r="Q13" t="inlineStr">
        <is>
          <t>Tools/balance/full_weapon_audit.py (bảng REAL) qua input_nhip_that / input_ty_le_nhip</t>
        </is>
      </c>
      <c r="R13" t="inlineStr"/>
    </row>
    <row r="14">
      <c r="A14" t="inlineStr">
        <is>
          <t>guard_tower.nest/tower_ac25/nhip</t>
        </is>
      </c>
      <c r="B14" t="inlineStr">
        <is>
          <t>guard_tower.nest</t>
        </is>
      </c>
      <c r="C14" t="inlineStr">
        <is>
          <t>khe_mot_nong_mot_vien</t>
        </is>
      </c>
      <c r="D14" t="inlineStr">
        <is>
          <t>s</t>
        </is>
      </c>
      <c r="E14" t="n">
        <v>0.255</v>
      </c>
      <c r="F14">
        <f>60/INDEX(cc_input_nhip_that!$B$2:$B$31,MATCH($P$14,cc_input_nhip_that!$A$2:$A$31,0))/IF(INDEX(cc_input_nhip_that!$C$2:$C$31,MATCH($P$14,cc_input_nhip_that!$A$2:$A$31,0))="gun",0.7,1)</f>
        <v/>
      </c>
      <c r="G14">
        <f>$E$14/$F$14</f>
        <v/>
      </c>
      <c r="H14" t="n">
        <v>0.6</v>
      </c>
      <c r="I14" t="n">
        <v>2</v>
      </c>
      <c r="J14" t="b">
        <v>1</v>
      </c>
      <c r="K14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14">
        <f>IF(ISNUMBER($H$14),AND(NOT($J$14),OR($G$14&lt;$H$14,$G$14&gt;$I$14)),FALSE)</f>
        <v/>
      </c>
      <c r="M14" t="inlineStr"/>
      <c r="N14" t="inlineStr">
        <is>
          <t>R_balance;R_full_weapon_audit;W_wikipedia_m242_bushmaster;R_machine_brigade_can_bang</t>
        </is>
      </c>
      <c r="O14" t="inlineStr">
        <is>
          <t>nhịp tháp so với hệ thống thật (định nghĩa như 01_chien_dau/Vu_khi_so_sanh_that)</t>
        </is>
      </c>
      <c r="P14" t="inlineStr">
        <is>
          <t>tower_ac25</t>
        </is>
      </c>
      <c r="Q14" t="inlineStr">
        <is>
          <t>Tools/balance/full_weapon_audit.py (bảng REAL) qua input_nhip_that / input_ty_le_nhip</t>
        </is>
      </c>
      <c r="R14" t="inlineStr"/>
    </row>
    <row r="15">
      <c r="A15" t="inlineStr">
        <is>
          <t>guard_tower/tower_hmg/nhip</t>
        </is>
      </c>
      <c r="B15" t="inlineStr">
        <is>
          <t>guard_tower</t>
        </is>
      </c>
      <c r="C15" t="inlineStr">
        <is>
          <t>khe_mot_nong_mot_vien</t>
        </is>
      </c>
      <c r="D15" t="inlineStr">
        <is>
          <t>s</t>
        </is>
      </c>
      <c r="E15" t="n">
        <v>0.125</v>
      </c>
      <c r="F15">
        <f>60/INDEX(cc_input_nhip_that!$B$2:$B$31,MATCH($P$15,cc_input_nhip_that!$A$2:$A$31,0))/IF(INDEX(cc_input_nhip_that!$C$2:$C$31,MATCH($P$15,cc_input_nhip_that!$A$2:$A$31,0))="gun",0.7,1)</f>
        <v/>
      </c>
      <c r="G15">
        <f>$E$15/$F$15</f>
        <v/>
      </c>
      <c r="H15" t="n">
        <v>0.6</v>
      </c>
      <c r="I15" t="n">
        <v>2</v>
      </c>
      <c r="J15" t="b">
        <v>0</v>
      </c>
      <c r="K15" t="inlineStr"/>
      <c r="L15">
        <f>IF(ISNUMBER($H$15),AND(NOT($J$15),OR($G$15&lt;$H$15,$G$15&gt;$I$15)),FALSE)</f>
        <v/>
      </c>
      <c r="M15" t="inlineStr"/>
      <c r="N15" t="inlineStr">
        <is>
          <t>R_balance;R_full_weapon_audit;D_us_army_fm_3_22_65;R_machine_brigade_can_bang</t>
        </is>
      </c>
      <c r="O15" t="inlineStr">
        <is>
          <t>nhịp tháp so với hệ thống thật (định nghĩa như 01_chien_dau/Vu_khi_so_sanh_that)</t>
        </is>
      </c>
      <c r="P15" t="inlineStr">
        <is>
          <t>tower_hmg</t>
        </is>
      </c>
      <c r="Q15" t="inlineStr">
        <is>
          <t>Tools/balance/full_weapon_audit.py (bảng REAL) qua input_nhip_that / input_ty_le_nhip</t>
        </is>
      </c>
      <c r="R15" t="inlineStr"/>
    </row>
    <row r="16">
      <c r="A16" t="inlineStr">
        <is>
          <t>gun_turret.auto/gun_57_auto/nhip</t>
        </is>
      </c>
      <c r="B16" t="inlineStr">
        <is>
          <t>gun_turret.auto</t>
        </is>
      </c>
      <c r="C16" t="inlineStr">
        <is>
          <t>khe_mot_nong_mot_vien</t>
        </is>
      </c>
      <c r="D16" t="inlineStr">
        <is>
          <t>s</t>
        </is>
      </c>
      <c r="E16" t="n">
        <v>0.9</v>
      </c>
      <c r="F16">
        <f>60/INDEX(cc_input_nhip_that!$B$2:$B$31,MATCH($P$16,cc_input_nhip_that!$A$2:$A$31,0))/IF(INDEX(cc_input_nhip_that!$C$2:$C$31,MATCH($P$16,cc_input_nhip_that!$A$2:$A$31,0))="gun",0.7,1)</f>
        <v/>
      </c>
      <c r="G16">
        <f>$E$16/$F$16</f>
        <v/>
      </c>
      <c r="H16" t="n">
        <v>0.6</v>
      </c>
      <c r="I16" t="n">
        <v>2</v>
      </c>
      <c r="J16" t="b">
        <v>0</v>
      </c>
      <c r="K16" t="inlineStr"/>
      <c r="L16">
        <f>IF(ISNUMBER($H$16),AND(NOT($J$16),OR($G$16&lt;$H$16,$G$16&gt;$I$16)),FALSE)</f>
        <v/>
      </c>
      <c r="M16" t="inlineStr"/>
      <c r="N16" t="inlineStr">
        <is>
          <t>R_balance;R_full_weapon_audit;W_wikipedia_au_220m;R_machine_brigade_can_bang</t>
        </is>
      </c>
      <c r="O16" t="inlineStr">
        <is>
          <t>nhịp tháp so với hệ thống thật (định nghĩa như 01_chien_dau/Vu_khi_so_sanh_that)</t>
        </is>
      </c>
      <c r="P16" t="inlineStr">
        <is>
          <t>gun_57_auto</t>
        </is>
      </c>
      <c r="Q16" t="inlineStr">
        <is>
          <t>Tools/balance/full_weapon_audit.py (bảng REAL) qua input_nhip_that / input_ty_le_nhip</t>
        </is>
      </c>
      <c r="R16" t="inlineStr"/>
    </row>
    <row r="17">
      <c r="A17" t="inlineStr">
        <is>
          <t>gun_turret.long/turret_gun_120_long/nhip</t>
        </is>
      </c>
      <c r="B17" t="inlineStr">
        <is>
          <t>gun_turret.long</t>
        </is>
      </c>
      <c r="C17" t="inlineStr">
        <is>
          <t>khe_mot_nong_mot_vien</t>
        </is>
      </c>
      <c r="D17" t="inlineStr">
        <is>
          <t>s</t>
        </is>
      </c>
      <c r="E17" t="n">
        <v>5.571</v>
      </c>
      <c r="F17">
        <f>60/INDEX(cc_input_nhip_that!$B$2:$B$31,MATCH($P$17,cc_input_nhip_that!$A$2:$A$31,0))/IF(INDEX(cc_input_nhip_that!$C$2:$C$31,MATCH($P$17,cc_input_nhip_that!$A$2:$A$31,0))="gun",0.7,1)</f>
        <v/>
      </c>
      <c r="G17">
        <f>$E$17/$F$17</f>
        <v/>
      </c>
      <c r="H17" t="n">
        <v>0.6</v>
      </c>
      <c r="I17" t="n">
        <v>2</v>
      </c>
      <c r="J17" t="b">
        <v>0</v>
      </c>
      <c r="K17" t="inlineStr"/>
      <c r="L17">
        <f>IF(ISNUMBER($H$17),AND(NOT($J$17),OR($G$17&lt;$H$17,$G$17&gt;$I$17)),FALSE)</f>
        <v/>
      </c>
      <c r="M17" t="inlineStr">
        <is>
          <t>TC0118</t>
        </is>
      </c>
      <c r="N17" t="inlineStr">
        <is>
          <t>R_balance;R_full_weapon_audit;W_wikipedia_rheinmetall_120_mm_gun;R_machine_brigade_can_bang</t>
        </is>
      </c>
      <c r="O17" t="inlineStr">
        <is>
          <t>nhịp tháp so với hệ thống thật (định nghĩa như 01_chien_dau/Vu_khi_so_sanh_that)</t>
        </is>
      </c>
      <c r="P17" t="inlineStr">
        <is>
          <t>turret_gun_120_long</t>
        </is>
      </c>
      <c r="Q17" t="inlineStr">
        <is>
          <t>Tools/balance/full_weapon_audit.py (bảng REAL) qua input_nhip_that / input_ty_le_nhip</t>
        </is>
      </c>
      <c r="R17" t="inlineStr"/>
    </row>
    <row r="18">
      <c r="A18" t="inlineStr">
        <is>
          <t>gun_turret/turret_gun_120/nhip</t>
        </is>
      </c>
      <c r="B18" t="inlineStr">
        <is>
          <t>gun_turret</t>
        </is>
      </c>
      <c r="C18" t="inlineStr">
        <is>
          <t>khe_mot_nong_mot_vien</t>
        </is>
      </c>
      <c r="D18" t="inlineStr">
        <is>
          <t>s</t>
        </is>
      </c>
      <c r="E18" t="n">
        <v>4.113996429</v>
      </c>
      <c r="F18">
        <f>60/INDEX(cc_input_nhip_that!$B$2:$B$31,MATCH($P$18,cc_input_nhip_that!$A$2:$A$31,0))/IF(INDEX(cc_input_nhip_that!$C$2:$C$31,MATCH($P$18,cc_input_nhip_that!$A$2:$A$31,0))="gun",0.7,1)</f>
        <v/>
      </c>
      <c r="G18">
        <f>$E$18/$F$18</f>
        <v/>
      </c>
      <c r="H18" t="n">
        <v>0.6</v>
      </c>
      <c r="I18" t="n">
        <v>2</v>
      </c>
      <c r="J18" t="b">
        <v>0</v>
      </c>
      <c r="K18" t="inlineStr"/>
      <c r="L18">
        <f>IF(ISNUMBER($H$18),AND(NOT($J$18),OR($G$18&lt;$H$18,$G$18&gt;$I$18)),FALSE)</f>
        <v/>
      </c>
      <c r="M18" t="inlineStr">
        <is>
          <t>TC0119</t>
        </is>
      </c>
      <c r="N18" t="inlineStr">
        <is>
          <t>R_balance;R_full_weapon_audit;W_wikipedia_rheinmetall_120_mm_gun;R_machine_brigade_can_bang</t>
        </is>
      </c>
      <c r="O18" t="inlineStr">
        <is>
          <t>nhịp tháp so với hệ thống thật (định nghĩa như 01_chien_dau/Vu_khi_so_sanh_that)</t>
        </is>
      </c>
      <c r="P18" t="inlineStr">
        <is>
          <t>turret_gun_120</t>
        </is>
      </c>
      <c r="Q18" t="inlineStr">
        <is>
          <t>Tools/balance/full_weapon_audit.py (bảng REAL) qua input_nhip_that / input_ty_le_nhip</t>
        </is>
      </c>
      <c r="R18" t="inlineStr"/>
    </row>
    <row r="19">
      <c r="A19" t="inlineStr">
        <is>
          <t>heavy_turret.bastion/hmg_roof/nhip</t>
        </is>
      </c>
      <c r="B19" t="inlineStr">
        <is>
          <t>heavy_turret.bastion</t>
        </is>
      </c>
      <c r="C19" t="inlineStr">
        <is>
          <t>khe_mot_nong_mot_vien</t>
        </is>
      </c>
      <c r="D19" t="inlineStr">
        <is>
          <t>s</t>
        </is>
      </c>
      <c r="E19" t="n">
        <v>0.1611</v>
      </c>
      <c r="F19">
        <f>60/INDEX(cc_input_nhip_that!$B$2:$B$31,MATCH($P$19,cc_input_nhip_that!$A$2:$A$31,0))/IF(INDEX(cc_input_nhip_that!$C$2:$C$31,MATCH($P$19,cc_input_nhip_that!$A$2:$A$31,0))="gun",0.7,1)</f>
        <v/>
      </c>
      <c r="G19">
        <f>$E$19/$F$19</f>
        <v/>
      </c>
      <c r="H19" t="n">
        <v>0.6</v>
      </c>
      <c r="I19" t="n">
        <v>2</v>
      </c>
      <c r="J19" t="b">
        <v>0</v>
      </c>
      <c r="K19" t="inlineStr"/>
      <c r="L19">
        <f>IF(ISNUMBER($H$19),AND(NOT($J$19),OR($G$19&lt;$H$19,$G$19&gt;$I$19)),FALSE)</f>
        <v/>
      </c>
      <c r="M19" t="inlineStr"/>
      <c r="N19" t="inlineStr">
        <is>
          <t>R_balance;R_full_weapon_audit;D_us_army_fm_3_22_65;R_machine_brigade_can_bang</t>
        </is>
      </c>
      <c r="O19" t="inlineStr">
        <is>
          <t>nhịp tháp so với hệ thống thật (định nghĩa như 01_chien_dau/Vu_khi_so_sanh_that)</t>
        </is>
      </c>
      <c r="P19" t="inlineStr">
        <is>
          <t>hmg_roof</t>
        </is>
      </c>
      <c r="Q19" t="inlineStr">
        <is>
          <t>Tools/balance/full_weapon_audit.py (bảng REAL) qua input_nhip_that / input_ty_le_nhip</t>
        </is>
      </c>
      <c r="R19" t="inlineStr"/>
    </row>
    <row r="20">
      <c r="A20" t="inlineStr">
        <is>
          <t>heavy_turret.coastal/gun_155_twin_coastlr/nhip</t>
        </is>
      </c>
      <c r="B20" t="inlineStr">
        <is>
          <t>heavy_turret.coastal</t>
        </is>
      </c>
      <c r="C20" t="inlineStr">
        <is>
          <t>khe_mot_nong_mot_vien</t>
        </is>
      </c>
      <c r="D20" t="inlineStr">
        <is>
          <t>s</t>
        </is>
      </c>
      <c r="E20" t="n">
        <v>7.929</v>
      </c>
      <c r="F20">
        <f>60/INDEX(cc_input_nhip_that!$B$2:$B$31,MATCH($P$20,cc_input_nhip_that!$A$2:$A$31,0))/IF(INDEX(cc_input_nhip_that!$C$2:$C$31,MATCH($P$20,cc_input_nhip_that!$A$2:$A$31,0))="gun",0.7,1)</f>
        <v/>
      </c>
      <c r="G20">
        <f>$E$20/$F$20</f>
        <v/>
      </c>
      <c r="H20" t="n">
        <v>0.6</v>
      </c>
      <c r="I20" t="n">
        <v>2</v>
      </c>
      <c r="J20" t="b">
        <v>0</v>
      </c>
      <c r="K20" t="inlineStr"/>
      <c r="L20">
        <f>IF(ISNUMBER($H$20),AND(NOT($J$20),OR($G$20&lt;$H$20,$G$20&gt;$I$20)),FALSE)</f>
        <v/>
      </c>
      <c r="M20" t="inlineStr">
        <is>
          <t>TC0120</t>
        </is>
      </c>
      <c r="N20" t="inlineStr">
        <is>
          <t>R_balance;R_full_weapon_audit;D_us_army_m109a7_fact_file;R_machine_brigade_can_bang</t>
        </is>
      </c>
      <c r="O20" t="inlineStr">
        <is>
          <t>nhịp tháp so với hệ thống thật (định nghĩa như 01_chien_dau/Vu_khi_so_sanh_that)</t>
        </is>
      </c>
      <c r="P20" t="inlineStr">
        <is>
          <t>gun_155_twin_coastlr</t>
        </is>
      </c>
      <c r="Q20" t="inlineStr">
        <is>
          <t>Tools/balance/full_weapon_audit.py (bảng REAL) qua input_nhip_that / input_ty_le_nhip</t>
        </is>
      </c>
      <c r="R20" t="inlineStr"/>
    </row>
    <row r="21">
      <c r="A21" t="inlineStr">
        <is>
          <t>heavy_turret/gun_155_twin_ap/nhip</t>
        </is>
      </c>
      <c r="B21" t="inlineStr">
        <is>
          <t>heavy_turret</t>
        </is>
      </c>
      <c r="C21" t="inlineStr">
        <is>
          <t>khe_mot_nong_mot_vien</t>
        </is>
      </c>
      <c r="D21" t="inlineStr">
        <is>
          <t>s</t>
        </is>
      </c>
      <c r="E21" t="n">
        <v>7.929</v>
      </c>
      <c r="F21">
        <f>60/INDEX(cc_input_nhip_that!$B$2:$B$31,MATCH($P$21,cc_input_nhip_that!$A$2:$A$31,0))/IF(INDEX(cc_input_nhip_that!$C$2:$C$31,MATCH($P$21,cc_input_nhip_that!$A$2:$A$31,0))="gun",0.7,1)</f>
        <v/>
      </c>
      <c r="G21">
        <f>$E$21/$F$21</f>
        <v/>
      </c>
      <c r="H21" t="n">
        <v>0.6</v>
      </c>
      <c r="I21" t="n">
        <v>2</v>
      </c>
      <c r="J21" t="b">
        <v>0</v>
      </c>
      <c r="K21" t="inlineStr"/>
      <c r="L21">
        <f>IF(ISNUMBER($H$21),AND(NOT($J$21),OR($G$21&lt;$H$21,$G$21&gt;$I$21)),FALSE)</f>
        <v/>
      </c>
      <c r="M21" t="inlineStr">
        <is>
          <t>TC0121</t>
        </is>
      </c>
      <c r="N21" t="inlineStr">
        <is>
          <t>R_balance;R_full_weapon_audit;D_us_army_m109a7_fact_file</t>
        </is>
      </c>
      <c r="O21" t="inlineStr">
        <is>
          <t>nhịp tháp so với hệ thống thật (định nghĩa như 01_chien_dau/Vu_khi_so_sanh_that)</t>
        </is>
      </c>
      <c r="P21" t="inlineStr">
        <is>
          <t>gun_155_twin_ap</t>
        </is>
      </c>
      <c r="Q21" t="inlineStr">
        <is>
          <t>Tools/balance/full_weapon_audit.py (bảng REAL) qua input_nhip_that / input_ty_le_nhip</t>
        </is>
      </c>
      <c r="R21" t="inlineStr"/>
    </row>
    <row r="22">
      <c r="A22" t="inlineStr">
        <is>
          <t>manpads_tower/sam/nhip</t>
        </is>
      </c>
      <c r="B22" t="inlineStr">
        <is>
          <t>manpads_tower</t>
        </is>
      </c>
      <c r="C22" t="inlineStr">
        <is>
          <t>khe_mot_nong_mot_vien</t>
        </is>
      </c>
      <c r="D22" t="inlineStr">
        <is>
          <t>s</t>
        </is>
      </c>
      <c r="E22" t="n">
        <v>4.452</v>
      </c>
      <c r="F22">
        <f>60/INDEX(cc_input_nhip_that!$B$2:$B$31,MATCH($P$22,cc_input_nhip_that!$A$2:$A$31,0))/IF(INDEX(cc_input_nhip_that!$C$2:$C$31,MATCH($P$22,cc_input_nhip_that!$A$2:$A$31,0))="gun",0.7,1)</f>
        <v/>
      </c>
      <c r="G22">
        <f>$E$22/$F$22</f>
        <v/>
      </c>
      <c r="H22" t="n">
        <v>0.6</v>
      </c>
      <c r="I22" t="n">
        <v>2</v>
      </c>
      <c r="J22" t="b">
        <v>0</v>
      </c>
      <c r="K22" t="inlineStr"/>
      <c r="L22">
        <f>IF(ISNUMBER($H$22),AND(NOT($J$22),OR($G$22&lt;$H$22,$G$22&gt;$I$22)),FALSE)</f>
        <v/>
      </c>
      <c r="M22" t="inlineStr"/>
      <c r="N22" t="inlineStr">
        <is>
          <t>R_balance;R_full_weapon_audit;W_wikipedia_bai_cua_tung_ten_lua_bang_warhead;R_machine_brigade_can_bang</t>
        </is>
      </c>
      <c r="O22" t="inlineStr">
        <is>
          <t>nhịp tháp so với hệ thống thật (định nghĩa như 01_chien_dau/Vu_khi_so_sanh_that)</t>
        </is>
      </c>
      <c r="P22" t="inlineStr">
        <is>
          <t>sam</t>
        </is>
      </c>
      <c r="Q22" t="inlineStr">
        <is>
          <t>Tools/balance/full_weapon_audit.py (bảng REAL) qua input_nhip_that / input_ty_le_nhip</t>
        </is>
      </c>
      <c r="R22" t="inlineStr"/>
    </row>
    <row r="23">
      <c r="A23" t="inlineStr">
        <is>
          <t>mg_bunker.twin/bunker_hmg_twin/nhip</t>
        </is>
      </c>
      <c r="B23" t="inlineStr">
        <is>
          <t>mg_bunker.twin</t>
        </is>
      </c>
      <c r="C23" t="inlineStr">
        <is>
          <t>khe_mot_nong_mot_vien</t>
        </is>
      </c>
      <c r="D23" t="inlineStr">
        <is>
          <t>s</t>
        </is>
      </c>
      <c r="E23" t="n">
        <v>0.1533333</v>
      </c>
      <c r="F23">
        <f>60/INDEX(cc_input_nhip_that!$B$2:$B$31,MATCH($P$23,cc_input_nhip_that!$A$2:$A$31,0))/IF(INDEX(cc_input_nhip_that!$C$2:$C$31,MATCH($P$23,cc_input_nhip_that!$A$2:$A$31,0))="gun",0.7,1)</f>
        <v/>
      </c>
      <c r="G23">
        <f>$E$23/$F$23</f>
        <v/>
      </c>
      <c r="H23" t="n">
        <v>0.6</v>
      </c>
      <c r="I23" t="n">
        <v>2</v>
      </c>
      <c r="J23" t="b">
        <v>1</v>
      </c>
      <c r="K23" t="inlineStr">
        <is>
          <t>bản kiểm L1 (Tools/balance/full_weapon_audit.py) không cờ nhịp này: súng máy, pháo tự động, cao xạ so khe chậm với nhịp thực tế; rốc-két, bom và đồ treo máy bay chỉ so khoảng trong loạt</t>
        </is>
      </c>
      <c r="L23">
        <f>IF(ISNUMBER($H$23),AND(NOT($J$23),OR($G$23&lt;$H$23,$G$23&gt;$I$23)),FALSE)</f>
        <v/>
      </c>
      <c r="M23" t="inlineStr"/>
      <c r="N23" t="inlineStr">
        <is>
          <t>R_balance;R_full_weapon_audit;W_wikipedia_nsv_machine_gun;R_machine_brigade_can_bang</t>
        </is>
      </c>
      <c r="O23" t="inlineStr">
        <is>
          <t>nhịp tháp so với hệ thống thật (định nghĩa như 01_chien_dau/Vu_khi_so_sanh_that)</t>
        </is>
      </c>
      <c r="P23" t="inlineStr">
        <is>
          <t>bunker_hmg_twin</t>
        </is>
      </c>
      <c r="Q23" t="inlineStr">
        <is>
          <t>Tools/balance/full_weapon_audit.py (bảng REAL) qua input_nhip_that / input_ty_le_nhip</t>
        </is>
      </c>
      <c r="R23" t="inlineStr"/>
    </row>
    <row r="24">
      <c r="A24" t="inlineStr">
        <is>
          <t>mg_bunker/bunker_hmg/nhip</t>
        </is>
      </c>
      <c r="B24" t="inlineStr">
        <is>
          <t>mg_bunker</t>
        </is>
      </c>
      <c r="C24" t="inlineStr">
        <is>
          <t>khe_mot_nong_mot_vien</t>
        </is>
      </c>
      <c r="D24" t="inlineStr">
        <is>
          <t>s</t>
        </is>
      </c>
      <c r="E24" t="n">
        <v>0.08866665</v>
      </c>
      <c r="F24">
        <f>60/INDEX(cc_input_nhip_that!$B$2:$B$31,MATCH($P$24,cc_input_nhip_that!$A$2:$A$31,0))/IF(INDEX(cc_input_nhip_that!$C$2:$C$31,MATCH($P$24,cc_input_nhip_that!$A$2:$A$31,0))="gun",0.7,1)</f>
        <v/>
      </c>
      <c r="G24">
        <f>$E$24/$F$24</f>
        <v/>
      </c>
      <c r="H24" t="n">
        <v>0.6</v>
      </c>
      <c r="I24" t="n">
        <v>2</v>
      </c>
      <c r="J24" t="b">
        <v>0</v>
      </c>
      <c r="K24" t="inlineStr"/>
      <c r="L24">
        <f>IF(ISNUMBER($H$24),AND(NOT($J$24),OR($G$24&lt;$H$24,$G$24&gt;$I$24)),FALSE)</f>
        <v/>
      </c>
      <c r="M24" t="inlineStr"/>
      <c r="N24" t="inlineStr">
        <is>
          <t>R_balance;R_full_weapon_audit;W_wikipedia_nsv_machine_gun;R_machine_brigade_can_bang</t>
        </is>
      </c>
      <c r="O24" t="inlineStr">
        <is>
          <t>nhịp tháp so với hệ thống thật (định nghĩa như 01_chien_dau/Vu_khi_so_sanh_that)</t>
        </is>
      </c>
      <c r="P24" t="inlineStr">
        <is>
          <t>bunker_hmg</t>
        </is>
      </c>
      <c r="Q24" t="inlineStr">
        <is>
          <t>Tools/balance/full_weapon_audit.py (bảng REAL) qua input_nhip_that / input_ty_le_nhip</t>
        </is>
      </c>
      <c r="R24" t="inlineStr"/>
    </row>
    <row r="25">
      <c r="A25" t="inlineStr">
        <is>
          <t>missile_battery.lrr/sam_battery_lrr/nhip</t>
        </is>
      </c>
      <c r="B25" t="inlineStr">
        <is>
          <t>missile_battery.lrr</t>
        </is>
      </c>
      <c r="C25" t="inlineStr">
        <is>
          <t>khe_mot_nong_mot_vien</t>
        </is>
      </c>
      <c r="D25" t="inlineStr">
        <is>
          <t>s</t>
        </is>
      </c>
      <c r="E25" t="n">
        <v>1.95</v>
      </c>
      <c r="F25">
        <f>60/INDEX(cc_input_nhip_that!$B$2:$B$31,MATCH($P$25,cc_input_nhip_that!$A$2:$A$31,0))/IF(INDEX(cc_input_nhip_that!$C$2:$C$31,MATCH($P$25,cc_input_nhip_that!$A$2:$A$31,0))="gun",0.7,1)</f>
        <v/>
      </c>
      <c r="G25">
        <f>$E$25/$F$25</f>
        <v/>
      </c>
      <c r="H25" t="n">
        <v>0.6</v>
      </c>
      <c r="I25" t="n">
        <v>2</v>
      </c>
      <c r="J25" t="b">
        <v>0</v>
      </c>
      <c r="K25" t="inlineStr"/>
      <c r="L25">
        <f>IF(ISNUMBER($H$25),AND(NOT($J$25),OR($G$25&lt;$H$25,$G$25&gt;$I$25)),FALSE)</f>
        <v/>
      </c>
      <c r="M25" t="inlineStr"/>
      <c r="N25" t="inlineStr">
        <is>
          <t>R_balance;R_full_weapon_audit;W_wikipedia_mim_104_patriot;R_machine_brigade_can_bang</t>
        </is>
      </c>
      <c r="O25" t="inlineStr">
        <is>
          <t>nhịp tháp so với hệ thống thật (định nghĩa như 01_chien_dau/Vu_khi_so_sanh_that)</t>
        </is>
      </c>
      <c r="P25" t="inlineStr">
        <is>
          <t>sam_battery_lrr</t>
        </is>
      </c>
      <c r="Q25" t="inlineStr">
        <is>
          <t>Tools/balance/full_weapon_audit.py (bảng REAL) qua input_nhip_that / input_ty_le_nhip</t>
        </is>
      </c>
      <c r="R25" t="inlineStr"/>
    </row>
    <row r="26">
      <c r="A26" t="inlineStr">
        <is>
          <t>missile_battery.pac3/sam_pac3/nhip</t>
        </is>
      </c>
      <c r="B26" t="inlineStr">
        <is>
          <t>missile_battery.pac3</t>
        </is>
      </c>
      <c r="C26" t="inlineStr">
        <is>
          <t>khe_mot_nong_mot_vien</t>
        </is>
      </c>
      <c r="D26" t="inlineStr">
        <is>
          <t>s</t>
        </is>
      </c>
      <c r="E26" t="n">
        <v>3.350001</v>
      </c>
      <c r="F26">
        <f>60/INDEX(cc_input_nhip_that!$B$2:$B$31,MATCH($P$26,cc_input_nhip_that!$A$2:$A$31,0))/IF(INDEX(cc_input_nhip_that!$C$2:$C$31,MATCH($P$26,cc_input_nhip_that!$A$2:$A$31,0))="gun",0.7,1)</f>
        <v/>
      </c>
      <c r="G26">
        <f>$E$26/$F$26</f>
        <v/>
      </c>
      <c r="H26" t="n">
        <v>0.6</v>
      </c>
      <c r="I26" t="n">
        <v>2</v>
      </c>
      <c r="J26" t="b">
        <v>0</v>
      </c>
      <c r="K26" t="inlineStr"/>
      <c r="L26">
        <f>IF(ISNUMBER($H$26),AND(NOT($J$26),OR($G$26&lt;$H$26,$G$26&gt;$I$26)),FALSE)</f>
        <v/>
      </c>
      <c r="M26" t="inlineStr"/>
      <c r="N26" t="inlineStr">
        <is>
          <t>R_balance;R_full_weapon_audit;W_wikipedia_mim_104_patriot;W_wikipedia_bai_cua_tung_ten_lua_bang_warhead;R_machine_brigade_can_bang</t>
        </is>
      </c>
      <c r="O26" t="inlineStr">
        <is>
          <t>nhịp tháp so với hệ thống thật (định nghĩa như 01_chien_dau/Vu_khi_so_sanh_that)</t>
        </is>
      </c>
      <c r="P26" t="inlineStr">
        <is>
          <t>sam_pac3</t>
        </is>
      </c>
      <c r="Q26" t="inlineStr">
        <is>
          <t>Tools/balance/full_weapon_audit.py (bảng REAL) qua input_nhip_that / input_ty_le_nhip</t>
        </is>
      </c>
      <c r="R26" t="inlineStr"/>
    </row>
    <row r="27">
      <c r="A27" t="inlineStr">
        <is>
          <t>missile_battery/patriot/nhip</t>
        </is>
      </c>
      <c r="B27" t="inlineStr">
        <is>
          <t>missile_battery</t>
        </is>
      </c>
      <c r="C27" t="inlineStr">
        <is>
          <t>khe_mot_nong_mot_vien</t>
        </is>
      </c>
      <c r="D27" t="inlineStr">
        <is>
          <t>s</t>
        </is>
      </c>
      <c r="E27" t="n">
        <v>1.599999</v>
      </c>
      <c r="F27">
        <f>60/INDEX(cc_input_nhip_that!$B$2:$B$31,MATCH($P$27,cc_input_nhip_that!$A$2:$A$31,0))/IF(INDEX(cc_input_nhip_that!$C$2:$C$31,MATCH($P$27,cc_input_nhip_that!$A$2:$A$31,0))="gun",0.7,1)</f>
        <v/>
      </c>
      <c r="G27">
        <f>$E$27/$F$27</f>
        <v/>
      </c>
      <c r="H27" t="n">
        <v>0.6</v>
      </c>
      <c r="I27" t="n">
        <v>2</v>
      </c>
      <c r="J27" t="b">
        <v>0</v>
      </c>
      <c r="K27" t="inlineStr"/>
      <c r="L27">
        <f>IF(ISNUMBER($H$27),AND(NOT($J$27),OR($G$27&lt;$H$27,$G$27&gt;$I$27)),FALSE)</f>
        <v/>
      </c>
      <c r="M27" t="inlineStr">
        <is>
          <t>TC0122</t>
        </is>
      </c>
      <c r="N27" t="inlineStr">
        <is>
          <t>R_balance;R_full_weapon_audit;W_wikipedia_mim_104_patriot;R_machine_brigade_can_bang</t>
        </is>
      </c>
      <c r="O27" t="inlineStr">
        <is>
          <t>nhịp tháp so với hệ thống thật (định nghĩa như 01_chien_dau/Vu_khi_so_sanh_that)</t>
        </is>
      </c>
      <c r="P27" t="inlineStr">
        <is>
          <t>patriot</t>
        </is>
      </c>
      <c r="Q27" t="inlineStr">
        <is>
          <t>Tools/balance/full_weapon_audit.py (bảng REAL) qua input_nhip_that / input_ty_le_nhip</t>
        </is>
      </c>
      <c r="R27" t="inlineStr"/>
    </row>
    <row r="28">
      <c r="A28" t="inlineStr">
        <is>
          <t>one_shot_atgm_tower/one_shot_kornet/nhip</t>
        </is>
      </c>
      <c r="B28" t="inlineStr">
        <is>
          <t>one_shot_atgm_tower</t>
        </is>
      </c>
      <c r="C28" t="inlineStr">
        <is>
          <t>khe_mot_nong_mot_vien</t>
        </is>
      </c>
      <c r="D28" t="inlineStr">
        <is>
          <t>s</t>
        </is>
      </c>
      <c r="E28" t="n">
        <v>1.2</v>
      </c>
      <c r="F28">
        <f>60/INDEX(cc_input_nhip_that!$B$2:$B$31,MATCH($P$28,cc_input_nhip_that!$A$2:$A$31,0))/IF(INDEX(cc_input_nhip_that!$C$2:$C$31,MATCH($P$28,cc_input_nhip_that!$A$2:$A$31,0))="gun",0.7,1)</f>
        <v/>
      </c>
      <c r="G28">
        <f>$E$28/$F$28</f>
        <v/>
      </c>
      <c r="H28" t="n">
        <v>0.6</v>
      </c>
      <c r="I28" t="n">
        <v>2</v>
      </c>
      <c r="J28" t="b">
        <v>0</v>
      </c>
      <c r="K28" t="inlineStr"/>
      <c r="L28">
        <f>IF(ISNUMBER($H$28),AND(NOT($J$28),OR($G$28&lt;$H$28,$G$28&gt;$I$28)),FALSE)</f>
        <v/>
      </c>
      <c r="M28" t="inlineStr">
        <is>
          <t>TC0123</t>
        </is>
      </c>
      <c r="N28" t="inlineStr">
        <is>
          <t>R_balance;R_full_weapon_audit;W_wikipedia_9m133_kornet;W_wikipedia_bai_cua_tung_ten_lua_bang_warhead</t>
        </is>
      </c>
      <c r="O28" t="inlineStr">
        <is>
          <t>nhịp tháp so với hệ thống thật (định nghĩa như 01_chien_dau/Vu_khi_so_sanh_that)</t>
        </is>
      </c>
      <c r="P28" t="inlineStr">
        <is>
          <t>one_shot_kornet</t>
        </is>
      </c>
      <c r="Q28" t="inlineStr">
        <is>
          <t>Tools/balance/full_weapon_audit.py (bảng REAL) qua input_nhip_that / input_ty_le_nhip</t>
        </is>
      </c>
      <c r="R28" t="inlineStr"/>
    </row>
    <row r="29">
      <c r="A29" t="inlineStr">
        <is>
          <t>recoilless_gun_tower/spg9_73mm/nhip</t>
        </is>
      </c>
      <c r="B29" t="inlineStr">
        <is>
          <t>recoilless_gun_tower</t>
        </is>
      </c>
      <c r="C29" t="inlineStr">
        <is>
          <t>khe_mot_nong_mot_vien</t>
        </is>
      </c>
      <c r="D29" t="inlineStr">
        <is>
          <t>s</t>
        </is>
      </c>
      <c r="E29" t="n">
        <v>9.529</v>
      </c>
      <c r="F29">
        <f>60/INDEX(cc_input_nhip_that!$B$2:$B$31,MATCH($P$29,cc_input_nhip_that!$A$2:$A$31,0))/IF(INDEX(cc_input_nhip_that!$C$2:$C$31,MATCH($P$29,cc_input_nhip_that!$A$2:$A$31,0))="gun",0.7,1)</f>
        <v/>
      </c>
      <c r="G29">
        <f>$E$29/$F$29</f>
        <v/>
      </c>
      <c r="H29" t="n">
        <v>0.6</v>
      </c>
      <c r="I29" t="n">
        <v>2</v>
      </c>
      <c r="J29" t="b">
        <v>0</v>
      </c>
      <c r="K29" t="inlineStr"/>
      <c r="L29">
        <f>IF(ISNUMBER($H$29),AND(NOT($J$29),OR($G$29&lt;$H$29,$G$29&gt;$I$29)),FALSE)</f>
        <v/>
      </c>
      <c r="M29" t="inlineStr"/>
      <c r="N29" t="inlineStr">
        <is>
          <t>R_balance;R_full_weapon_audit;W_wikipedia_spg_9</t>
        </is>
      </c>
      <c r="O29" t="inlineStr">
        <is>
          <t>nhịp tháp so với hệ thống thật (định nghĩa như 01_chien_dau/Vu_khi_so_sanh_that)</t>
        </is>
      </c>
      <c r="P29" t="inlineStr">
        <is>
          <t>spg9_73mm</t>
        </is>
      </c>
      <c r="Q29" t="inlineStr">
        <is>
          <t>Tools/balance/full_weapon_audit.py (bảng REAL) qua input_nhip_that / input_ty_le_nhip</t>
        </is>
      </c>
      <c r="R29" t="inlineStr"/>
    </row>
    <row r="30">
      <c r="A30" t="inlineStr">
        <is>
          <t>rocket_turret.cluster/turret_rockets_cluster/nhip</t>
        </is>
      </c>
      <c r="B30" t="inlineStr">
        <is>
          <t>rocket_turret.cluster</t>
        </is>
      </c>
      <c r="C30" t="inlineStr">
        <is>
          <t>khe_mot_nong_mot_vien</t>
        </is>
      </c>
      <c r="D30" t="inlineStr">
        <is>
          <t>s</t>
        </is>
      </c>
      <c r="E30" t="n">
        <v>0.5</v>
      </c>
      <c r="F30">
        <f>60/INDEX(cc_input_nhip_that!$B$2:$B$31,MATCH($P$30,cc_input_nhip_that!$A$2:$A$31,0))/IF(INDEX(cc_input_nhip_that!$C$2:$C$31,MATCH($P$30,cc_input_nhip_that!$A$2:$A$31,0))="gun",0.7,1)</f>
        <v/>
      </c>
      <c r="G30">
        <f>$E$30/$F$30</f>
        <v/>
      </c>
      <c r="H30" t="n">
        <v>0.6</v>
      </c>
      <c r="I30" t="n">
        <v>2</v>
      </c>
      <c r="J30" t="b">
        <v>0</v>
      </c>
      <c r="K30" t="inlineStr"/>
      <c r="L30">
        <f>IF(ISNUMBER($H$30),AND(NOT($J$30),OR($G$30&lt;$H$30,$G$30&gt;$I$30)),FALSE)</f>
        <v/>
      </c>
      <c r="M30" t="inlineStr"/>
      <c r="N30" t="inlineStr">
        <is>
          <t>R_balance;R_full_weapon_audit;W_wikipedia_bm_21_grad;R_machine_brigade_can_bang</t>
        </is>
      </c>
      <c r="O30" t="inlineStr">
        <is>
          <t>nhịp tháp so với hệ thống thật (định nghĩa như 01_chien_dau/Vu_khi_so_sanh_that)</t>
        </is>
      </c>
      <c r="P30" t="inlineStr">
        <is>
          <t>turret_rockets_cluster</t>
        </is>
      </c>
      <c r="Q30" t="inlineStr">
        <is>
          <t>Tools/balance/full_weapon_audit.py (bảng REAL) qua input_nhip_that / input_ty_le_nhip</t>
        </is>
      </c>
      <c r="R30" t="inlineStr"/>
    </row>
    <row r="31">
      <c r="A31" t="inlineStr">
        <is>
          <t>rocket_turret.guided/turret_gmlrs/nhip</t>
        </is>
      </c>
      <c r="B31" t="inlineStr">
        <is>
          <t>rocket_turret.guided</t>
        </is>
      </c>
      <c r="C31" t="inlineStr">
        <is>
          <t>khe_mot_nong_mot_vien</t>
        </is>
      </c>
      <c r="D31" t="inlineStr">
        <is>
          <t>s</t>
        </is>
      </c>
      <c r="E31" t="n">
        <v>0.5</v>
      </c>
      <c r="F31">
        <f>60/INDEX(cc_input_nhip_that!$B$2:$B$31,MATCH($P$31,cc_input_nhip_that!$A$2:$A$31,0))/IF(INDEX(cc_input_nhip_that!$C$2:$C$31,MATCH($P$31,cc_input_nhip_that!$A$2:$A$31,0))="gun",0.7,1)</f>
        <v/>
      </c>
      <c r="G31">
        <f>$E$31/$F$31</f>
        <v/>
      </c>
      <c r="H31" t="n">
        <v>0.6</v>
      </c>
      <c r="I31" t="n">
        <v>2</v>
      </c>
      <c r="J31" t="b">
        <v>0</v>
      </c>
      <c r="K31" t="inlineStr"/>
      <c r="L31">
        <f>IF(ISNUMBER($H$31),AND(NOT($J$31),OR($G$31&lt;$H$31,$G$31&gt;$I$31)),FALSE)</f>
        <v/>
      </c>
      <c r="M31" t="inlineStr">
        <is>
          <t>TC0124</t>
        </is>
      </c>
      <c r="N31" t="inlineStr">
        <is>
          <t>R_balance;R_full_weapon_audit;W_wikipedia_m270_mlrs;R_machine_brigade_can_bang</t>
        </is>
      </c>
      <c r="O31" t="inlineStr">
        <is>
          <t>nhịp tháp so với hệ thống thật (định nghĩa như 01_chien_dau/Vu_khi_so_sanh_that)</t>
        </is>
      </c>
      <c r="P31" t="inlineStr">
        <is>
          <t>turret_gmlrs</t>
        </is>
      </c>
      <c r="Q31" t="inlineStr">
        <is>
          <t>Tools/balance/full_weapon_audit.py (bảng REAL) qua input_nhip_that / input_ty_le_nhip</t>
        </is>
      </c>
      <c r="R31" t="inlineStr"/>
    </row>
    <row r="32">
      <c r="A32" t="inlineStr">
        <is>
          <t>rocket_turret/turret_rockets/nhip</t>
        </is>
      </c>
      <c r="B32" t="inlineStr">
        <is>
          <t>rocket_turret</t>
        </is>
      </c>
      <c r="C32" t="inlineStr">
        <is>
          <t>khe_mot_nong_mot_vien</t>
        </is>
      </c>
      <c r="D32" t="inlineStr">
        <is>
          <t>s</t>
        </is>
      </c>
      <c r="E32" t="n">
        <v>0.5</v>
      </c>
      <c r="F32">
        <f>60/INDEX(cc_input_nhip_that!$B$2:$B$31,MATCH($P$32,cc_input_nhip_that!$A$2:$A$31,0))/IF(INDEX(cc_input_nhip_that!$C$2:$C$31,MATCH($P$32,cc_input_nhip_that!$A$2:$A$31,0))="gun",0.7,1)</f>
        <v/>
      </c>
      <c r="G32">
        <f>$E$32/$F$32</f>
        <v/>
      </c>
      <c r="H32" t="n">
        <v>0.6</v>
      </c>
      <c r="I32" t="n">
        <v>2</v>
      </c>
      <c r="J32" t="b">
        <v>0</v>
      </c>
      <c r="K32" t="inlineStr"/>
      <c r="L32">
        <f>IF(ISNUMBER($H$32),AND(NOT($J$32),OR($G$32&lt;$H$32,$G$32&gt;$I$32)),FALSE)</f>
        <v/>
      </c>
      <c r="M32" t="inlineStr"/>
      <c r="N32" t="inlineStr">
        <is>
          <t>R_balance;R_full_weapon_audit;W_wikipedia_bm_21_grad;R_machine_brigade_can_bang</t>
        </is>
      </c>
      <c r="O32" t="inlineStr">
        <is>
          <t>nhịp tháp so với hệ thống thật (định nghĩa như 01_chien_dau/Vu_khi_so_sanh_that)</t>
        </is>
      </c>
      <c r="P32" t="inlineStr">
        <is>
          <t>turret_rockets</t>
        </is>
      </c>
      <c r="Q32" t="inlineStr">
        <is>
          <t>Tools/balance/full_weapon_audit.py (bảng REAL) qua input_nhip_that / input_ty_le_nhip</t>
        </is>
      </c>
      <c r="R32" t="inlineStr"/>
    </row>
    <row r="33">
      <c r="A33" t="inlineStr">
        <is>
          <t>spawn_bastion/bastion_gun/nhip</t>
        </is>
      </c>
      <c r="B33" t="inlineStr">
        <is>
          <t>spawn_bastion</t>
        </is>
      </c>
      <c r="C33" t="inlineStr">
        <is>
          <t>khe_mot_nong_mot_vien</t>
        </is>
      </c>
      <c r="D33" t="inlineStr">
        <is>
          <t>s</t>
        </is>
      </c>
      <c r="E33" t="n">
        <v>7.443</v>
      </c>
      <c r="F33">
        <f>60/INDEX(cc_input_nhip_that!$B$2:$B$31,MATCH($P$33,cc_input_nhip_that!$A$2:$A$31,0))/IF(INDEX(cc_input_nhip_that!$C$2:$C$31,MATCH($P$33,cc_input_nhip_that!$A$2:$A$31,0))="gun",0.7,1)</f>
        <v/>
      </c>
      <c r="G33">
        <f>$E$33/$F$33</f>
        <v/>
      </c>
      <c r="H33" t="n">
        <v>0.6</v>
      </c>
      <c r="I33" t="n">
        <v>2</v>
      </c>
      <c r="J33" t="b">
        <v>0</v>
      </c>
      <c r="K33" t="inlineStr"/>
      <c r="L33">
        <f>IF(ISNUMBER($H$33),AND(NOT($J$33),OR($G$33&lt;$H$33,$G$33&gt;$I$33)),FALSE)</f>
        <v/>
      </c>
      <c r="M33" t="inlineStr"/>
      <c r="N33" t="inlineStr">
        <is>
          <t>R_balance;R_full_weapon_audit;R_machine_brigade_can_bang</t>
        </is>
      </c>
      <c r="O33" t="inlineStr">
        <is>
          <t>nhịp tháp so với hệ thống thật (định nghĩa như 01_chien_dau/Vu_khi_so_sanh_that)</t>
        </is>
      </c>
      <c r="P33" t="inlineStr">
        <is>
          <t>bastion_gun</t>
        </is>
      </c>
      <c r="Q33" t="inlineStr">
        <is>
          <t>Tools/balance/full_weapon_audit.py (bảng REAL) qua input_nhip_that / input_ty_le_nhip</t>
        </is>
      </c>
      <c r="R33" t="inlineStr"/>
    </row>
  </sheetData>
  <autoFilter ref="A1:R3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8" customWidth="1" min="2" max="2"/>
    <col width="16" customWidth="1" min="3" max="3"/>
    <col width="60" customWidth="1" min="4" max="4"/>
    <col width="48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ngoai_doi_phat_phut_toi_da</t>
        </is>
      </c>
      <c r="C1" s="1" t="inlineStr">
        <is>
          <t>ngoai_doi_loai</t>
        </is>
      </c>
      <c r="D1" s="1" t="inlineStr">
        <is>
          <t>ngoai_doi_nguon</t>
        </is>
      </c>
      <c r="E1" s="1" t="inlineStr">
        <is>
          <t>nguon</t>
        </is>
      </c>
      <c r="F1" s="1" t="inlineStr">
        <is>
          <t>raw_json</t>
        </is>
      </c>
    </row>
    <row r="2">
      <c r="A2" t="inlineStr">
        <is>
          <t>bastion_gun</t>
        </is>
      </c>
      <c r="B2" t="n">
        <v>10</v>
      </c>
      <c r="C2" t="inlineStr">
        <is>
          <t>gun</t>
        </is>
      </c>
      <c r="D2" t="inlineStr">
        <is>
          <t>Object 195 / T-14 152 mm, est. ~10 rpm (the sheet)</t>
        </is>
      </c>
      <c r="E2" t="inlineStr">
        <is>
          <t>01_chien_dau/Vu_khi (id bastion_gun)</t>
        </is>
      </c>
      <c r="F2" t="inlineStr"/>
    </row>
    <row r="3">
      <c r="A3" t="inlineStr">
        <is>
          <t>bofors_l70</t>
        </is>
      </c>
      <c r="B3" t="n">
        <v>330</v>
      </c>
      <c r="C3" t="inlineStr">
        <is>
          <t>aa</t>
        </is>
      </c>
      <c r="D3" t="inlineStr">
        <is>
          <t>Wikipedia 'Bofors 40 mm L/70': 240-330 rpm</t>
        </is>
      </c>
      <c r="E3" t="inlineStr">
        <is>
          <t>01_chien_dau/Vu_khi (id bofors_l70)</t>
        </is>
      </c>
      <c r="F3" t="inlineStr"/>
    </row>
    <row r="4">
      <c r="A4" t="inlineStr">
        <is>
          <t>bunker_hmg</t>
        </is>
      </c>
      <c r="B4" t="n">
        <v>800</v>
      </c>
      <c r="C4" t="inlineStr">
        <is>
          <t>mg</t>
        </is>
      </c>
      <c r="D4" t="inlineStr">
        <is>
          <t>Wikipedia 'NSV machine gun': 700-800 cyclic, 100 practical</t>
        </is>
      </c>
      <c r="E4" t="inlineStr">
        <is>
          <t>01_chien_dau/Vu_khi (id bunker_hmg)</t>
        </is>
      </c>
      <c r="F4" t="inlineStr"/>
    </row>
    <row r="5">
      <c r="A5" t="inlineStr">
        <is>
          <t>bunker_hmg_twin</t>
        </is>
      </c>
      <c r="B5" t="n">
        <v>800</v>
      </c>
      <c r="C5" t="inlineStr">
        <is>
          <t>mg</t>
        </is>
      </c>
      <c r="D5" t="inlineStr">
        <is>
          <t>Wikipedia 'NSV machine gun': 700-800 cyclic, 100 practical</t>
        </is>
      </c>
      <c r="E5" t="inlineStr">
        <is>
          <t>01_chien_dau/Vu_khi (id bunker_hmg_twin)</t>
        </is>
      </c>
      <c r="F5" t="inlineStr"/>
    </row>
    <row r="6">
      <c r="A6" t="inlineStr">
        <is>
          <t>c_ram_gatling</t>
        </is>
      </c>
      <c r="B6" t="n">
        <v>4500</v>
      </c>
      <c r="C6" t="inlineStr">
        <is>
          <t>aa</t>
        </is>
      </c>
      <c r="D6" t="inlineStr">
        <is>
          <t>Wikipedia 'Phalanx CIWS': 4,500 rpm (C-RAM)</t>
        </is>
      </c>
      <c r="E6" t="inlineStr">
        <is>
          <t>01_chien_dau/Vu_khi (id c_ram_gatling)</t>
        </is>
      </c>
      <c r="F6" t="inlineStr"/>
    </row>
    <row r="7">
      <c r="A7" t="inlineStr">
        <is>
          <t>flak_quad</t>
        </is>
      </c>
      <c r="B7" t="n">
        <v>1000</v>
      </c>
      <c r="C7" t="inlineStr">
        <is>
          <t>aa</t>
        </is>
      </c>
      <c r="D7" t="inlineStr">
        <is>
          <t>Wikipedia 'ZSU-23-4 Shilka': 4 x 850-1,000 rpm</t>
        </is>
      </c>
      <c r="E7" t="inlineStr">
        <is>
          <t>01_chien_dau/Vu_khi (id flak_quad)</t>
        </is>
      </c>
      <c r="F7" t="inlineStr"/>
    </row>
    <row r="8">
      <c r="A8" t="inlineStr">
        <is>
          <t>gun_57_auto</t>
        </is>
      </c>
      <c r="B8" t="n">
        <v>120</v>
      </c>
      <c r="C8" t="inlineStr">
        <is>
          <t>ac</t>
        </is>
      </c>
      <c r="D8" t="inlineStr">
        <is>
          <t>Wikipedia 'AU-220M': 80-120 rpm</t>
        </is>
      </c>
      <c r="E8" t="inlineStr">
        <is>
          <t>01_chien_dau/Vu_khi (id gun_57_auto)</t>
        </is>
      </c>
      <c r="F8" t="inlineStr"/>
    </row>
    <row r="9">
      <c r="A9" t="inlineStr">
        <is>
          <t>gun_155_coastal</t>
        </is>
      </c>
      <c r="B9" t="n">
        <v>4</v>
      </c>
      <c r="C9" t="inlineStr">
        <is>
          <t>gun</t>
        </is>
      </c>
      <c r="D9" t="inlineStr">
        <is>
          <t>US Army M109A7 fact file: 4 rpm for 3 min, 1 rpm sustained</t>
        </is>
      </c>
      <c r="E9" t="inlineStr">
        <is>
          <t>01_chien_dau/Vu_khi (id gun_155_coastal)</t>
        </is>
      </c>
      <c r="F9" t="inlineStr"/>
    </row>
    <row r="10">
      <c r="A10" t="inlineStr">
        <is>
          <t>gun_155_twin_ap</t>
        </is>
      </c>
      <c r="B10" t="n">
        <v>4</v>
      </c>
      <c r="C10" t="inlineStr">
        <is>
          <t>gun</t>
        </is>
      </c>
      <c r="D10" t="inlineStr">
        <is>
          <t>US Army M109A7 fact file: 4 rpm for 3 min, 1 rpm sustained</t>
        </is>
      </c>
      <c r="E10" t="inlineStr">
        <is>
          <t>01_chien_dau/Vu_khi (id gun_155_twin_ap)</t>
        </is>
      </c>
      <c r="F10" t="inlineStr"/>
    </row>
    <row r="11">
      <c r="A11" t="inlineStr">
        <is>
          <t>gun_155_twin_coastlr</t>
        </is>
      </c>
      <c r="B11" t="n">
        <v>4</v>
      </c>
      <c r="C11" t="inlineStr">
        <is>
          <t>gun</t>
        </is>
      </c>
      <c r="D11" t="inlineStr">
        <is>
          <t>US Army M109A7 fact file: 4 rpm for 3 min, 1 rpm sustained</t>
        </is>
      </c>
      <c r="E11" t="inlineStr">
        <is>
          <t>01_chien_dau/Vu_khi (id gun_155_twin_coastlr)</t>
        </is>
      </c>
      <c r="F11" t="inlineStr"/>
    </row>
    <row r="12">
      <c r="A12" t="inlineStr">
        <is>
          <t>hmg_roof</t>
        </is>
      </c>
      <c r="B12" t="n">
        <v>600</v>
      </c>
      <c r="C12" t="inlineStr">
        <is>
          <t>mg</t>
        </is>
      </c>
      <c r="D12" t="inlineStr">
        <is>
          <t>US Army FM 3-22.65: cyclic 450-600, rapid 40 rpm</t>
        </is>
      </c>
      <c r="E12" t="inlineStr">
        <is>
          <t>01_chien_dau/Vu_khi (id hmg_roof)</t>
        </is>
      </c>
      <c r="F12" t="inlineStr"/>
    </row>
    <row r="13">
      <c r="A13" t="inlineStr">
        <is>
          <t>kornet_multi</t>
        </is>
      </c>
      <c r="B13" t="n">
        <v>3</v>
      </c>
      <c r="C13" t="inlineStr">
        <is>
          <t>atgm</t>
        </is>
      </c>
      <c r="D13" t="inlineStr">
        <is>
          <t>Wikipedia '9M133 Kornet': 2-3 rpm</t>
        </is>
      </c>
      <c r="E13" t="inlineStr">
        <is>
          <t>01_chien_dau/Vu_khi (id kornet_multi)</t>
        </is>
      </c>
      <c r="F13" t="inlineStr"/>
    </row>
    <row r="14">
      <c r="A14" t="inlineStr">
        <is>
          <t>kornet_top</t>
        </is>
      </c>
      <c r="B14" t="n">
        <v>3</v>
      </c>
      <c r="C14" t="inlineStr">
        <is>
          <t>atgm</t>
        </is>
      </c>
      <c r="D14" t="inlineStr">
        <is>
          <t>Wikipedia '9M133 Kornet': 2-3 rpm</t>
        </is>
      </c>
      <c r="E14" t="inlineStr">
        <is>
          <t>01_chien_dau/Vu_khi (id kornet_top)</t>
        </is>
      </c>
      <c r="F14" t="inlineStr"/>
    </row>
    <row r="15">
      <c r="A15" t="inlineStr">
        <is>
          <t>one_shot_kornet</t>
        </is>
      </c>
      <c r="B15" t="n">
        <v>3</v>
      </c>
      <c r="C15" t="inlineStr">
        <is>
          <t>atgm</t>
        </is>
      </c>
      <c r="D15" t="inlineStr">
        <is>
          <t>Wikipedia '9M133 Kornet': 2-3 rpm</t>
        </is>
      </c>
      <c r="E15" t="inlineStr">
        <is>
          <t>01_chien_dau/Vu_khi (id one_shot_kornet)</t>
        </is>
      </c>
      <c r="F15" t="inlineStr"/>
    </row>
    <row r="16">
      <c r="A16" t="inlineStr">
        <is>
          <t>patriot</t>
        </is>
      </c>
      <c r="B16" t="n">
        <v>20</v>
      </c>
      <c r="C16" t="inlineStr">
        <is>
          <t>missile</t>
        </is>
      </c>
      <c r="D16" t="inlineStr">
        <is>
          <t>Wikipedia 'MIM-104 Patriot': ripples a few seconds apart (est. 3 s)</t>
        </is>
      </c>
      <c r="E16" t="inlineStr">
        <is>
          <t>01_chien_dau/Vu_khi (id patriot)</t>
        </is>
      </c>
      <c r="F16" t="inlineStr"/>
    </row>
    <row r="17">
      <c r="A17" t="inlineStr">
        <is>
          <t>sam</t>
        </is>
      </c>
      <c r="B17" t="n">
        <v>20</v>
      </c>
      <c r="C17" t="inlineStr">
        <is>
          <t>missile</t>
        </is>
      </c>
      <c r="D17" t="inlineStr">
        <is>
          <t>Avenger / Stormer: ~3 s between rounds (est.); a MANPADS team 6-10 s</t>
        </is>
      </c>
      <c r="E17" t="inlineStr">
        <is>
          <t>01_chien_dau/Vu_khi (id sam)</t>
        </is>
      </c>
      <c r="F17" t="inlineStr"/>
    </row>
    <row r="18">
      <c r="A18" t="inlineStr">
        <is>
          <t>sam_battery_lrr</t>
        </is>
      </c>
      <c r="B18" t="n">
        <v>20</v>
      </c>
      <c r="C18" t="inlineStr">
        <is>
          <t>missile</t>
        </is>
      </c>
      <c r="D18" t="inlineStr">
        <is>
          <t>Wikipedia 'MIM-104 Patriot': ripples a few seconds apart (est. 3 s)</t>
        </is>
      </c>
      <c r="E18" t="inlineStr">
        <is>
          <t>01_chien_dau/Vu_khi (id sam_battery_lrr)</t>
        </is>
      </c>
      <c r="F18" t="inlineStr"/>
    </row>
    <row r="19">
      <c r="A19" t="inlineStr">
        <is>
          <t>sam_pac3</t>
        </is>
      </c>
      <c r="B19" t="n">
        <v>20</v>
      </c>
      <c r="C19" t="inlineStr">
        <is>
          <t>missile</t>
        </is>
      </c>
      <c r="D19" t="inlineStr">
        <is>
          <t>Wikipedia 'MIM-104 Patriot': ripples a few seconds apart (est. 3 s)</t>
        </is>
      </c>
      <c r="E19" t="inlineStr">
        <is>
          <t>01_chien_dau/Vu_khi (id sam_pac3)</t>
        </is>
      </c>
      <c r="F19" t="inlineStr"/>
    </row>
    <row r="20">
      <c r="A20" t="inlineStr">
        <is>
          <t>spg9_73mm</t>
        </is>
      </c>
      <c r="B20" t="n">
        <v>6</v>
      </c>
      <c r="C20" t="inlineStr">
        <is>
          <t>gun</t>
        </is>
      </c>
      <c r="D20" t="inlineStr">
        <is>
          <t>Wikipedia 'SPG-9': 5-6 rpm</t>
        </is>
      </c>
      <c r="E20" t="inlineStr">
        <is>
          <t>01_chien_dau/Vu_khi (id spg9_73mm)</t>
        </is>
      </c>
      <c r="F20" t="inlineStr"/>
    </row>
    <row r="21">
      <c r="A21" t="inlineStr">
        <is>
          <t>stinger_post</t>
        </is>
      </c>
      <c r="B21" t="n">
        <v>20</v>
      </c>
      <c r="C21" t="inlineStr">
        <is>
          <t>missile</t>
        </is>
      </c>
      <c r="D21" t="inlineStr">
        <is>
          <t>Avenger / Stormer: ~3 s between rounds (est.); a MANPADS team 6-10 s</t>
        </is>
      </c>
      <c r="E21" t="inlineStr">
        <is>
          <t>01_chien_dau/Vu_khi (id stinger_post)</t>
        </is>
      </c>
      <c r="F21" t="inlineStr"/>
    </row>
    <row r="22">
      <c r="A22" t="inlineStr">
        <is>
          <t>tamir</t>
        </is>
      </c>
      <c r="B22" t="n">
        <v>60</v>
      </c>
      <c r="C22" t="inlineStr">
        <is>
          <t>missile</t>
        </is>
      </c>
      <c r="D22" t="inlineStr">
        <is>
          <t>Iron Dome: launches 1-2 s apart (DECISIONS 19R)</t>
        </is>
      </c>
      <c r="E22" t="inlineStr">
        <is>
          <t>01_chien_dau/Vu_khi (id tamir)</t>
        </is>
      </c>
      <c r="F22" t="inlineStr"/>
    </row>
    <row r="23">
      <c r="A23" t="inlineStr">
        <is>
          <t>tower_ac25</t>
        </is>
      </c>
      <c r="B23" t="n">
        <v>500</v>
      </c>
      <c r="C23" t="inlineStr">
        <is>
          <t>ac</t>
        </is>
      </c>
      <c r="D23" t="inlineStr">
        <is>
          <t>Wikipedia 'M242 Bushmaster': 200 or 500 rpm</t>
        </is>
      </c>
      <c r="E23" t="inlineStr">
        <is>
          <t>01_chien_dau/Vu_khi (id tower_ac25)</t>
        </is>
      </c>
      <c r="F23" t="inlineStr"/>
    </row>
    <row r="24">
      <c r="A24" t="inlineStr">
        <is>
          <t>tower_flak_30</t>
        </is>
      </c>
      <c r="B24" t="n">
        <v>2500</v>
      </c>
      <c r="C24" t="inlineStr">
        <is>
          <t>aa</t>
        </is>
      </c>
      <c r="D24" t="inlineStr">
        <is>
          <t>Wikipedia '2A38': 4,060-5,000 rpm the twin mount</t>
        </is>
      </c>
      <c r="E24" t="inlineStr">
        <is>
          <t>01_chien_dau/Vu_khi (id tower_flak_30)</t>
        </is>
      </c>
      <c r="F24" t="inlineStr"/>
    </row>
    <row r="25">
      <c r="A25" t="inlineStr">
        <is>
          <t>tower_hmg</t>
        </is>
      </c>
      <c r="B25" t="n">
        <v>600</v>
      </c>
      <c r="C25" t="inlineStr">
        <is>
          <t>mg</t>
        </is>
      </c>
      <c r="D25" t="inlineStr">
        <is>
          <t>US Army FM 3-22.65: cyclic 450-600, rapid 40 rpm</t>
        </is>
      </c>
      <c r="E25" t="inlineStr">
        <is>
          <t>01_chien_dau/Vu_khi (id tower_hmg)</t>
        </is>
      </c>
      <c r="F25" t="inlineStr"/>
    </row>
    <row r="26">
      <c r="A26" t="inlineStr">
        <is>
          <t>tower_kornet</t>
        </is>
      </c>
      <c r="B26" t="n">
        <v>3</v>
      </c>
      <c r="C26" t="inlineStr">
        <is>
          <t>atgm</t>
        </is>
      </c>
      <c r="D26" t="inlineStr">
        <is>
          <t>Wikipedia '9M133 Kornet': 2-3 rpm</t>
        </is>
      </c>
      <c r="E26" t="inlineStr">
        <is>
          <t>01_chien_dau/Vu_khi (id tower_kornet)</t>
        </is>
      </c>
      <c r="F26" t="inlineStr"/>
    </row>
    <row r="27">
      <c r="A27" t="inlineStr">
        <is>
          <t>turret_gmlrs</t>
        </is>
      </c>
      <c r="B27" t="n">
        <v>12</v>
      </c>
      <c r="C27" t="inlineStr">
        <is>
          <t>rocket</t>
        </is>
      </c>
      <c r="D27" t="inlineStr">
        <is>
          <t>Wikipedia 'M270 MLRS': 12 rockets in under a minute</t>
        </is>
      </c>
      <c r="E27" t="inlineStr">
        <is>
          <t>01_chien_dau/Vu_khi (id turret_gmlrs)</t>
        </is>
      </c>
      <c r="F27" t="inlineStr"/>
    </row>
    <row r="28">
      <c r="A28" t="inlineStr">
        <is>
          <t>turret_gun_120</t>
        </is>
      </c>
      <c r="B28" t="n">
        <v>8</v>
      </c>
      <c r="C28" t="inlineStr">
        <is>
          <t>gun</t>
        </is>
      </c>
      <c r="D28" t="inlineStr">
        <is>
          <t>the sheet's 'Ngoài đời': Rh-120 6-8 rpm with a loader (Wikipedia 'Rheinmetall 120 mm gun')</t>
        </is>
      </c>
      <c r="E28" t="inlineStr">
        <is>
          <t>01_chien_dau/Vu_khi (id turret_gun_120)</t>
        </is>
      </c>
      <c r="F28" t="inlineStr"/>
    </row>
    <row r="29">
      <c r="A29" t="inlineStr">
        <is>
          <t>turret_gun_120_long</t>
        </is>
      </c>
      <c r="B29" t="n">
        <v>8</v>
      </c>
      <c r="C29" t="inlineStr">
        <is>
          <t>gun</t>
        </is>
      </c>
      <c r="D29" t="inlineStr">
        <is>
          <t>the sheet's 'Ngoài đời': Rh-120 6-8 rpm with a loader (Wikipedia 'Rheinmetall 120 mm gun')</t>
        </is>
      </c>
      <c r="E29" t="inlineStr">
        <is>
          <t>01_chien_dau/Vu_khi (id turret_gun_120_long)</t>
        </is>
      </c>
      <c r="F29" t="inlineStr"/>
    </row>
    <row r="30">
      <c r="A30" t="inlineStr">
        <is>
          <t>turret_rockets</t>
        </is>
      </c>
      <c r="B30" t="n">
        <v>120</v>
      </c>
      <c r="C30" t="inlineStr">
        <is>
          <t>rocket</t>
        </is>
      </c>
      <c r="D30" t="inlineStr">
        <is>
          <t>Wikipedia 'BM-21 Grad': 40 rockets in 20 s</t>
        </is>
      </c>
      <c r="E30" t="inlineStr">
        <is>
          <t>01_chien_dau/Vu_khi (id turret_rockets)</t>
        </is>
      </c>
      <c r="F30" t="inlineStr"/>
    </row>
    <row r="31">
      <c r="A31" t="inlineStr">
        <is>
          <t>turret_rockets_cluster</t>
        </is>
      </c>
      <c r="B31" t="n">
        <v>120</v>
      </c>
      <c r="C31" t="inlineStr">
        <is>
          <t>rocket</t>
        </is>
      </c>
      <c r="D31" t="inlineStr">
        <is>
          <t>Wikipedia 'BM-21 Grad': 40 rockets in 20 s</t>
        </is>
      </c>
      <c r="E31" t="inlineStr">
        <is>
          <t>01_chien_dau/Vu_khi (id turret_rockets_cluster)</t>
        </is>
      </c>
      <c r="F31" t="inlineStr"/>
    </row>
  </sheetData>
  <autoFilter ref="A1:F3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1" customWidth="1" min="2" max="2"/>
    <col width="21" customWidth="1" min="3" max="3"/>
    <col width="55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ty_le_chu_ky_so_voi_ngoai_doi</t>
        </is>
      </c>
      <c r="C1" s="1" t="inlineStr">
        <is>
          <t>ghi_chu_lech</t>
        </is>
      </c>
      <c r="D1" s="1" t="inlineStr">
        <is>
          <t>nguon</t>
        </is>
      </c>
      <c r="E1" s="1" t="inlineStr">
        <is>
          <t>raw_json</t>
        </is>
      </c>
    </row>
    <row r="2">
      <c r="A2" t="inlineStr">
        <is>
          <t>bastion_gun</t>
        </is>
      </c>
      <c r="B2" t="n">
        <v>0.86835</v>
      </c>
      <c r="C2" t="inlineStr">
        <is>
          <t>LECH_DOT_1</t>
        </is>
      </c>
      <c r="D2" t="inlineStr">
        <is>
          <t>01_chien_dau/Vu_khi_suy_ra (id bastion_gun)</t>
        </is>
      </c>
      <c r="E2" t="inlineStr"/>
    </row>
    <row r="3">
      <c r="A3" t="inlineStr">
        <is>
          <t>bofors_l70</t>
        </is>
      </c>
      <c r="B3" t="n">
        <v>2.13125</v>
      </c>
      <c r="C3" t="inlineStr">
        <is>
          <t>ok</t>
        </is>
      </c>
      <c r="D3" t="inlineStr">
        <is>
          <t>01_chien_dau/Vu_khi_suy_ra (id bofors_l70)</t>
        </is>
      </c>
      <c r="E3" t="inlineStr"/>
    </row>
    <row r="4">
      <c r="A4" t="inlineStr">
        <is>
          <t>bunker_hmg</t>
        </is>
      </c>
      <c r="B4" t="n">
        <v>1.182222</v>
      </c>
      <c r="C4" t="inlineStr">
        <is>
          <t>ok</t>
        </is>
      </c>
      <c r="D4" t="inlineStr">
        <is>
          <t>01_chien_dau/Vu_khi_suy_ra (id bunker_hmg)</t>
        </is>
      </c>
      <c r="E4" t="inlineStr"/>
    </row>
    <row r="5">
      <c r="A5" t="inlineStr">
        <is>
          <t>bunker_hmg_twin</t>
        </is>
      </c>
      <c r="B5" t="n">
        <v>2.044444</v>
      </c>
      <c r="C5" t="inlineStr">
        <is>
          <t>ok</t>
        </is>
      </c>
      <c r="D5" t="inlineStr">
        <is>
          <t>01_chien_dau/Vu_khi_suy_ra (id bunker_hmg_twin)</t>
        </is>
      </c>
      <c r="E5" t="inlineStr"/>
    </row>
    <row r="6">
      <c r="A6" t="inlineStr">
        <is>
          <t>c_ram_gatling</t>
        </is>
      </c>
      <c r="B6" t="n">
        <v>2.625</v>
      </c>
      <c r="C6" t="inlineStr">
        <is>
          <t>ok</t>
        </is>
      </c>
      <c r="D6" t="inlineStr">
        <is>
          <t>01_chien_dau/Vu_khi_suy_ra (id c_ram_gatling)</t>
        </is>
      </c>
      <c r="E6" t="inlineStr"/>
    </row>
    <row r="7">
      <c r="A7" t="inlineStr">
        <is>
          <t>flak_quad</t>
        </is>
      </c>
      <c r="B7" t="n">
        <v>3.971852</v>
      </c>
      <c r="C7" t="inlineStr">
        <is>
          <t>ok</t>
        </is>
      </c>
      <c r="D7" t="inlineStr">
        <is>
          <t>01_chien_dau/Vu_khi_suy_ra (id flak_quad)</t>
        </is>
      </c>
      <c r="E7" t="inlineStr"/>
    </row>
    <row r="8">
      <c r="A8" t="inlineStr">
        <is>
          <t>gun_57_auto</t>
        </is>
      </c>
      <c r="B8" t="n">
        <v>1.8</v>
      </c>
      <c r="C8" t="inlineStr">
        <is>
          <t>ok</t>
        </is>
      </c>
      <c r="D8" t="inlineStr">
        <is>
          <t>01_chien_dau/Vu_khi_suy_ra (id gun_57_auto)</t>
        </is>
      </c>
      <c r="E8" t="inlineStr"/>
    </row>
    <row r="9">
      <c r="A9" t="inlineStr">
        <is>
          <t>gun_155_coastal</t>
        </is>
      </c>
      <c r="B9" t="n">
        <v>0.294677</v>
      </c>
      <c r="C9" t="inlineStr">
        <is>
          <t>NHANH_QUA;LECH_DOT_1</t>
        </is>
      </c>
      <c r="D9" t="inlineStr">
        <is>
          <t>01_chien_dau/Vu_khi_suy_ra (id gun_155_coastal)</t>
        </is>
      </c>
      <c r="E9" t="inlineStr"/>
    </row>
    <row r="10">
      <c r="A10" t="inlineStr">
        <is>
          <t>gun_155_twin_ap</t>
        </is>
      </c>
      <c r="B10" t="n">
        <v>0.37002</v>
      </c>
      <c r="C10" t="inlineStr">
        <is>
          <t>NHANH_QUA;LECH_DOT_1</t>
        </is>
      </c>
      <c r="D10" t="inlineStr">
        <is>
          <t>01_chien_dau/Vu_khi_suy_ra (id gun_155_twin_ap)</t>
        </is>
      </c>
      <c r="E10" t="inlineStr"/>
    </row>
    <row r="11">
      <c r="A11" t="inlineStr">
        <is>
          <t>gun_155_twin_coastlr</t>
        </is>
      </c>
      <c r="B11" t="n">
        <v>0.37002</v>
      </c>
      <c r="C11" t="inlineStr">
        <is>
          <t>NHANH_QUA;LECH_DOT_1</t>
        </is>
      </c>
      <c r="D11" t="inlineStr">
        <is>
          <t>01_chien_dau/Vu_khi_suy_ra (id gun_155_twin_coastlr)</t>
        </is>
      </c>
      <c r="E11" t="inlineStr"/>
    </row>
    <row r="12">
      <c r="A12" t="inlineStr">
        <is>
          <t>hmg_roof</t>
        </is>
      </c>
      <c r="B12" t="n">
        <v>1.611</v>
      </c>
      <c r="C12" t="inlineStr">
        <is>
          <t>ok</t>
        </is>
      </c>
      <c r="D12" t="inlineStr">
        <is>
          <t>01_chien_dau/Vu_khi_suy_ra (id hmg_roof)</t>
        </is>
      </c>
      <c r="E12" t="inlineStr"/>
    </row>
    <row r="13">
      <c r="A13" t="inlineStr">
        <is>
          <t>kornet_multi</t>
        </is>
      </c>
      <c r="B13" t="n">
        <v>0.2775</v>
      </c>
      <c r="C13" t="inlineStr">
        <is>
          <t>NHANH_QUA</t>
        </is>
      </c>
      <c r="D13" t="inlineStr">
        <is>
          <t>01_chien_dau/Vu_khi_suy_ra (id kornet_multi)</t>
        </is>
      </c>
      <c r="E13" t="inlineStr"/>
    </row>
    <row r="14">
      <c r="A14" t="inlineStr">
        <is>
          <t>kornet_top</t>
        </is>
      </c>
      <c r="B14" t="n">
        <v>0.26</v>
      </c>
      <c r="C14" t="inlineStr">
        <is>
          <t>NHANH_QUA</t>
        </is>
      </c>
      <c r="D14" t="inlineStr">
        <is>
          <t>01_chien_dau/Vu_khi_suy_ra (id kornet_top)</t>
        </is>
      </c>
      <c r="E14" t="inlineStr"/>
    </row>
    <row r="15">
      <c r="A15" t="inlineStr">
        <is>
          <t>one_shot_kornet</t>
        </is>
      </c>
      <c r="B15" t="n">
        <v>0.06</v>
      </c>
      <c r="C15" t="inlineStr">
        <is>
          <t>NHANH_QUA;LECH_DOT_1</t>
        </is>
      </c>
      <c r="D15" t="inlineStr">
        <is>
          <t>01_chien_dau/Vu_khi_suy_ra (id one_shot_kornet)</t>
        </is>
      </c>
      <c r="E15" t="inlineStr"/>
    </row>
    <row r="16">
      <c r="A16" t="inlineStr">
        <is>
          <t>patriot</t>
        </is>
      </c>
      <c r="B16" t="n">
        <v>0.5333329999999999</v>
      </c>
      <c r="C16" t="inlineStr">
        <is>
          <t>NHANH_QUA</t>
        </is>
      </c>
      <c r="D16" t="inlineStr">
        <is>
          <t>01_chien_dau/Vu_khi_suy_ra (id patriot)</t>
        </is>
      </c>
      <c r="E16" t="inlineStr"/>
    </row>
    <row r="17">
      <c r="A17" t="inlineStr">
        <is>
          <t>sam</t>
        </is>
      </c>
      <c r="B17" t="n">
        <v>1.484</v>
      </c>
      <c r="C17" t="inlineStr">
        <is>
          <t>ok</t>
        </is>
      </c>
      <c r="D17" t="inlineStr">
        <is>
          <t>01_chien_dau/Vu_khi_suy_ra (id sam)</t>
        </is>
      </c>
      <c r="E17" t="inlineStr"/>
    </row>
    <row r="18">
      <c r="A18" t="inlineStr">
        <is>
          <t>sam_battery_lrr</t>
        </is>
      </c>
      <c r="B18" t="n">
        <v>0.65</v>
      </c>
      <c r="C18" t="inlineStr">
        <is>
          <t>NHANH_QUA</t>
        </is>
      </c>
      <c r="D18" t="inlineStr">
        <is>
          <t>01_chien_dau/Vu_khi_suy_ra (id sam_battery_lrr)</t>
        </is>
      </c>
      <c r="E18" t="inlineStr"/>
    </row>
    <row r="19">
      <c r="A19" t="inlineStr">
        <is>
          <t>sam_pac3</t>
        </is>
      </c>
      <c r="B19" t="n">
        <v>1.116667</v>
      </c>
      <c r="C19" t="inlineStr">
        <is>
          <t>NHANH_QUA</t>
        </is>
      </c>
      <c r="D19" t="inlineStr">
        <is>
          <t>01_chien_dau/Vu_khi_suy_ra (id sam_pac3)</t>
        </is>
      </c>
      <c r="E19" t="inlineStr"/>
    </row>
    <row r="20">
      <c r="A20" t="inlineStr">
        <is>
          <t>spg9_73mm</t>
        </is>
      </c>
      <c r="B20" t="n">
        <v>0.66703</v>
      </c>
      <c r="C20" t="inlineStr">
        <is>
          <t>ok</t>
        </is>
      </c>
      <c r="D20" t="inlineStr">
        <is>
          <t>01_chien_dau/Vu_khi_suy_ra (id spg9_73mm)</t>
        </is>
      </c>
      <c r="E20" t="inlineStr"/>
    </row>
    <row r="21">
      <c r="A21" t="inlineStr">
        <is>
          <t>stinger_post</t>
        </is>
      </c>
      <c r="B21" t="n">
        <v>1.484</v>
      </c>
      <c r="C21" t="inlineStr">
        <is>
          <t>ok</t>
        </is>
      </c>
      <c r="D21" t="inlineStr">
        <is>
          <t>01_chien_dau/Vu_khi_suy_ra (id stinger_post)</t>
        </is>
      </c>
      <c r="E21" t="inlineStr"/>
    </row>
    <row r="22">
      <c r="A22" t="inlineStr">
        <is>
          <t>tamir</t>
        </is>
      </c>
      <c r="B22" t="n">
        <v>6.833333</v>
      </c>
      <c r="C22" t="inlineStr">
        <is>
          <t>CHAM_QUA</t>
        </is>
      </c>
      <c r="D22" t="inlineStr">
        <is>
          <t>01_chien_dau/Vu_khi_suy_ra (id tamir)</t>
        </is>
      </c>
      <c r="E22" t="inlineStr"/>
    </row>
    <row r="23">
      <c r="A23" t="inlineStr">
        <is>
          <t>tower_ac25</t>
        </is>
      </c>
      <c r="B23" t="n">
        <v>2.125</v>
      </c>
      <c r="C23" t="inlineStr">
        <is>
          <t>ok</t>
        </is>
      </c>
      <c r="D23" t="inlineStr">
        <is>
          <t>01_chien_dau/Vu_khi_suy_ra (id tower_ac25)</t>
        </is>
      </c>
      <c r="E23" t="inlineStr"/>
    </row>
    <row r="24">
      <c r="A24" t="inlineStr">
        <is>
          <t>tower_flak_30</t>
        </is>
      </c>
      <c r="B24" t="n">
        <v>4.466667</v>
      </c>
      <c r="C24" t="inlineStr">
        <is>
          <t>ok</t>
        </is>
      </c>
      <c r="D24" t="inlineStr">
        <is>
          <t>01_chien_dau/Vu_khi_suy_ra (id tower_flak_30)</t>
        </is>
      </c>
      <c r="E24" t="inlineStr"/>
    </row>
    <row r="25">
      <c r="A25" t="inlineStr">
        <is>
          <t>tower_hmg</t>
        </is>
      </c>
      <c r="B25" t="n">
        <v>1.25</v>
      </c>
      <c r="C25" t="inlineStr">
        <is>
          <t>ok</t>
        </is>
      </c>
      <c r="D25" t="inlineStr">
        <is>
          <t>01_chien_dau/Vu_khi_suy_ra (id tower_hmg)</t>
        </is>
      </c>
      <c r="E25" t="inlineStr"/>
    </row>
    <row r="26">
      <c r="A26" t="inlineStr">
        <is>
          <t>tower_kornet</t>
        </is>
      </c>
      <c r="B26" t="n">
        <v>0.2775</v>
      </c>
      <c r="C26" t="inlineStr">
        <is>
          <t>NHANH_QUA</t>
        </is>
      </c>
      <c r="D26" t="inlineStr">
        <is>
          <t>01_chien_dau/Vu_khi_suy_ra (id tower_kornet)</t>
        </is>
      </c>
      <c r="E26" t="inlineStr"/>
    </row>
    <row r="27">
      <c r="A27" t="inlineStr">
        <is>
          <t>turret_gmlrs</t>
        </is>
      </c>
      <c r="B27" t="n">
        <v>0.1</v>
      </c>
      <c r="C27" t="inlineStr">
        <is>
          <t>NHANH_QUA</t>
        </is>
      </c>
      <c r="D27" t="inlineStr">
        <is>
          <t>01_chien_dau/Vu_khi_suy_ra (id turret_gmlrs)</t>
        </is>
      </c>
      <c r="E27" t="inlineStr"/>
    </row>
    <row r="28">
      <c r="A28" t="inlineStr">
        <is>
          <t>turret_gun_120</t>
        </is>
      </c>
      <c r="B28" t="n">
        <v>0.383973</v>
      </c>
      <c r="C28" t="inlineStr">
        <is>
          <t>NHANH_QUA;LECH_DOT_1</t>
        </is>
      </c>
      <c r="D28" t="inlineStr">
        <is>
          <t>01_chien_dau/Vu_khi_suy_ra (id turret_gun_120)</t>
        </is>
      </c>
      <c r="E28" t="inlineStr"/>
    </row>
    <row r="29">
      <c r="A29" t="inlineStr">
        <is>
          <t>turret_gun_120_long</t>
        </is>
      </c>
      <c r="B29" t="n">
        <v>0.51996</v>
      </c>
      <c r="C29" t="inlineStr">
        <is>
          <t>NHANH_QUA;LECH_DOT_1</t>
        </is>
      </c>
      <c r="D29" t="inlineStr">
        <is>
          <t>01_chien_dau/Vu_khi_suy_ra (id turret_gun_120_long)</t>
        </is>
      </c>
      <c r="E29" t="inlineStr"/>
    </row>
    <row r="30">
      <c r="A30" t="inlineStr">
        <is>
          <t>turret_rockets</t>
        </is>
      </c>
      <c r="B30" t="n">
        <v>1</v>
      </c>
      <c r="C30" t="inlineStr">
        <is>
          <t>ok</t>
        </is>
      </c>
      <c r="D30" t="inlineStr">
        <is>
          <t>01_chien_dau/Vu_khi_suy_ra (id turret_rockets)</t>
        </is>
      </c>
      <c r="E30" t="inlineStr"/>
    </row>
    <row r="31">
      <c r="A31" t="inlineStr">
        <is>
          <t>turret_rockets_cluster</t>
        </is>
      </c>
      <c r="B31" t="n">
        <v>1</v>
      </c>
      <c r="C31" t="inlineStr">
        <is>
          <t>ok</t>
        </is>
      </c>
      <c r="D31" t="inlineStr">
        <is>
          <t>01_chien_dau/Vu_khi_suy_ra (id turret_rockets_cluster)</t>
        </is>
      </c>
      <c r="E31" t="inlineStr"/>
    </row>
  </sheetData>
  <autoFilter ref="A1:E3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2" customWidth="1" min="4" max="4"/>
    <col width="60" customWidth="1" min="5" max="5"/>
    <col width="12" customWidth="1" min="6" max="6"/>
    <col width="12" customWidth="1" min="7" max="7"/>
    <col width="15" customWidth="1" min="8" max="8"/>
    <col width="15" customWidth="1" min="9" max="9"/>
    <col width="15" customWidth="1" min="10" max="10"/>
    <col width="13" customWidth="1" min="11" max="11"/>
    <col width="10" customWidth="1" min="12" max="12"/>
    <col width="8" customWidth="1" min="13" max="13"/>
    <col width="8" customWidth="1" min="14" max="14"/>
    <col width="15" customWidth="1" min="15" max="15"/>
    <col width="15" customWidth="1" min="16" max="16"/>
    <col width="41" customWidth="1" min="17" max="17"/>
    <col width="32" customWidth="1" min="18" max="18"/>
    <col width="8" customWidth="1" min="19" max="19"/>
    <col width="8" customWidth="1" min="20" max="20"/>
    <col width="9" customWidth="1" min="21" max="21"/>
    <col width="9" customWidth="1" min="22" max="22"/>
    <col width="59" customWidth="1" min="23" max="23"/>
    <col width="60" customWidth="1" min="24" max="24"/>
  </cols>
  <sheetData>
    <row r="1">
      <c r="A1" s="1" t="inlineStr">
        <is>
          <t>id</t>
        </is>
      </c>
      <c r="B1" s="1" t="inlineStr">
        <is>
          <t>map</t>
        </is>
      </c>
      <c r="C1" s="1" t="inlineStr">
        <is>
          <t>arrows_from</t>
        </is>
      </c>
      <c r="D1" s="1" t="inlineStr">
        <is>
          <t>brightness</t>
        </is>
      </c>
      <c r="E1" s="1" t="inlineStr">
        <is>
          <t>camera</t>
        </is>
      </c>
      <c r="F1" s="1" t="inlineStr">
        <is>
          <t>centre_x_m</t>
        </is>
      </c>
      <c r="G1" s="1" t="inlineStr">
        <is>
          <t>centre_z_m</t>
        </is>
      </c>
      <c r="H1" s="1" t="inlineStr">
        <is>
          <t>drop_radius_m</t>
        </is>
      </c>
      <c r="I1" s="1" t="inlineStr">
        <is>
          <t>drop_zone_x_m</t>
        </is>
      </c>
      <c r="J1" s="1" t="inlineStr">
        <is>
          <t>drop_zone_z_m</t>
        </is>
      </c>
      <c r="K1" s="1" t="inlineStr">
        <is>
          <t>heading_deg</t>
        </is>
      </c>
      <c r="L1" s="1" t="inlineStr">
        <is>
          <t>height_m</t>
        </is>
      </c>
      <c r="M1" s="1" t="inlineStr">
        <is>
          <t>hq_x_m</t>
        </is>
      </c>
      <c r="N1" s="1" t="inlineStr">
        <is>
          <t>hq_z_m</t>
        </is>
      </c>
      <c r="O1" s="1" t="inlineStr">
        <is>
          <t>metres_high_m</t>
        </is>
      </c>
      <c r="P1" s="1" t="inlineStr">
        <is>
          <t>metres_wide_m</t>
        </is>
      </c>
      <c r="Q1" s="1" t="inlineStr">
        <is>
          <t>sha1</t>
        </is>
      </c>
      <c r="R1" s="1" t="inlineStr">
        <is>
          <t>source</t>
        </is>
      </c>
      <c r="S1" s="1" t="inlineStr">
        <is>
          <t>up_x_m</t>
        </is>
      </c>
      <c r="T1" s="1" t="inlineStr">
        <is>
          <t>up_z_m</t>
        </is>
      </c>
      <c r="U1" s="1" t="inlineStr">
        <is>
          <t>version</t>
        </is>
      </c>
      <c r="V1" s="1" t="inlineStr">
        <is>
          <t>width_m</t>
        </is>
      </c>
      <c r="W1" s="1" t="inlineStr">
        <is>
          <t>nguon</t>
        </is>
      </c>
      <c r="X1" s="1" t="inlineStr">
        <is>
          <t>raw_json</t>
        </is>
      </c>
    </row>
    <row r="2">
      <c r="A2" t="inlineStr">
        <is>
          <t>ashfield</t>
        </is>
      </c>
      <c r="B2" t="inlineStr">
        <is>
          <t>ashfield</t>
        </is>
      </c>
      <c r="C2" t="inlineStr">
        <is>
          <t>route</t>
        </is>
      </c>
      <c r="D2" t="n">
        <v>0.494</v>
      </c>
      <c r="E2" t="inlineStr">
        <is>
          <t>orthographic, straight down, front (HQ heading) up; the map's clear-day light (sun 1.35 #ffe9ca, soft shadows 0.7, the theme's cast), no fog, no vignette, exposure -0.35, saturation -8; 2x supersampled; beyond the battlefield's outline dimmed to 50% and greyed 40%</t>
        </is>
      </c>
      <c r="F2" t="n">
        <v>-95.911</v>
      </c>
      <c r="G2" t="n">
        <v>-96.053</v>
      </c>
      <c r="H2" t="n">
        <v>8</v>
      </c>
      <c r="I2" t="n">
        <v>-108.75</v>
      </c>
      <c r="J2" t="n">
        <v>-108.75</v>
      </c>
      <c r="K2" t="n">
        <v>46</v>
      </c>
      <c r="L2" t="n">
        <v>640</v>
      </c>
      <c r="M2" t="n">
        <v>-120.5</v>
      </c>
      <c r="N2" t="n">
        <v>-115.5</v>
      </c>
      <c r="O2" t="n">
        <v>112.394</v>
      </c>
      <c r="P2" t="n">
        <v>179.83</v>
      </c>
      <c r="Q2" t="inlineStr">
        <is>
          <t>c75f9485a0aa7e0a9314d5e5f9b18d1fa4b5d522</t>
        </is>
      </c>
      <c r="R2" t="inlineStr">
        <is>
          <t>Data/maps/ashfield_conquest</t>
        </is>
      </c>
      <c r="S2" t="n">
        <v>0.719</v>
      </c>
      <c r="T2" t="n">
        <v>0.695</v>
      </c>
      <c r="U2" t="n">
        <v>1</v>
      </c>
      <c r="V2" t="n">
        <v>1024</v>
      </c>
      <c r="W2" t="inlineStr">
        <is>
          <t>Assets/MachineBrigade/Resources/UI/Bases/ashfield.json</t>
        </is>
      </c>
      <c r="X2" t="inlineStr">
        <is>
          <t>{"version":1,"map":"ashfield","source":"Data/maps/ashfield_conquest","sha1":"c75f9485a0aa7e0a9314d5e5f9b18d1fa4b5d522","width":1024,"height":640,"centre":{"x":-95.911,"z":-96.053},"up":{"x":0.719,"z":0.695},"metresWide":179.83,"metresHigh":112.394,"hq":{"x":-120.5,"z":-115.5},"heading":46.0,"dropZone":{"x":-108.75,"z":-108.75},"dropRadius":8.0,"outline":[{"x":-136.048,"z":-72.427},{"x":-125.623,"z":-120.163},{"x":-98.538,"z":-128.807},{"x":-64.204,"z":-136.09},{"x":-31.872,"z":-131.471},{"x":-67.29,"z":-86.283},{"x":-99.589,"z":-45.648},{"x":-133.462,"z":-37.519}],"arrowsFrom":"route","arrows":[{"at":{"x":-90.975,"z":-56.486},"dir":{"x":-0.339,"z":-0.941},"routes":1},{"at":{"x":-70.778,"z":-81.894},"dir":{"x":-0.812,"z":-0.584},"routes":2}],"brightness":0.494,"camera":"orthographic, straight down, front (HQ heading) up; the map's clear-day light (sun 1.35 #ffe9ca, soft shadows 0.7, the theme's cast), no fog, no vignette, exposure -0.35, saturation -8; 2x supersampled; beyond the battlefield's outline dimmed to 50% and greyed 40%"}</t>
        </is>
      </c>
    </row>
    <row r="3">
      <c r="A3" t="inlineStr">
        <is>
          <t>borderbridge</t>
        </is>
      </c>
      <c r="B3" t="inlineStr">
        <is>
          <t>borderbridge</t>
        </is>
      </c>
      <c r="C3" t="inlineStr">
        <is>
          <t>route</t>
        </is>
      </c>
      <c r="D3" t="n">
        <v>0.515</v>
      </c>
      <c r="E3" t="inlineStr">
        <is>
          <t>orthographic, straight down, front (HQ heading) up; the map's clear-day light (sun 1.35 #ffe9ca, soft shadows 0.7, the theme's cast), no fog, no vignette, exposure -0.35, saturation -8; 2x supersampled; beyond the battlefield's outline dimmed to 50% and greyed 40%</t>
        </is>
      </c>
      <c r="F3" t="n">
        <v>-97.089</v>
      </c>
      <c r="G3" t="n">
        <v>-90.986</v>
      </c>
      <c r="H3" t="n">
        <v>8</v>
      </c>
      <c r="I3" t="n">
        <v>-108.75</v>
      </c>
      <c r="J3" t="n">
        <v>-108.75</v>
      </c>
      <c r="K3" t="n">
        <v>46</v>
      </c>
      <c r="L3" t="n">
        <v>640</v>
      </c>
      <c r="M3" t="n">
        <v>-122.5</v>
      </c>
      <c r="N3" t="n">
        <v>-111</v>
      </c>
      <c r="O3" t="n">
        <v>125.943</v>
      </c>
      <c r="P3" t="n">
        <v>201.508</v>
      </c>
      <c r="Q3" t="inlineStr">
        <is>
          <t>d5599091c5258a7d085c83cb67728ad916c0ce81</t>
        </is>
      </c>
      <c r="R3" t="inlineStr">
        <is>
          <t>Data/maps/borderbridge_conquest</t>
        </is>
      </c>
      <c r="S3" t="n">
        <v>0.719</v>
      </c>
      <c r="T3" t="n">
        <v>0.695</v>
      </c>
      <c r="U3" t="n">
        <v>1</v>
      </c>
      <c r="V3" t="n">
        <v>1024</v>
      </c>
      <c r="W3" t="inlineStr">
        <is>
          <t>Assets/MachineBrigade/Resources/UI/Bases/borderbridge.json</t>
        </is>
      </c>
      <c r="X3" t="inlineStr">
        <is>
          <t>{"version":1,"map":"borderbridge","source":"Data/maps/borderbridge_conquest","sha1":"d5599091c5258a7d085c83cb67728ad916c0ce81","width":1024,"height":640,"centre":{"x":-97.089,"z":-90.986},"up":{"x":0.719,"z":0.695},"metresWide":201.508,"metresHigh":125.943,"hq":{"x":-122.5,"z":-111.0},"heading":46.0,"dropZone":{"x":-108.75,"z":-108.75},"dropRadius":8.0,"outline":[{"x":-138.253,"z":-47.979},{"x":-133.943,"z":-87.849},{"x":-125.027,"z":-138.0},{"x":-65.253,"z":-138.0},{"x":-38.273,"z":-120.831},{"x":-43.336,"z":-96.777},{"x":-53.235,"z":-80.28},{"x":-75.822,"z":-57.693},{"x":-114.356,"z":-21.426}],"arrowsFrom":"route","arrows":[{"at":{"x":-116.811,"z":-24.154},"dir":{"x":0.026,"z":-1.0},"routes":1},{"at":{"x":-65.396,"z":-68.118},"dir":{"x":-0.723,"z":-0.691},"routes":2},{"at":{"x":-41.635,"z":-104.857},"dir":{"x":-0.998,"z":-0.06},"routes":1}],"brightness":0.515,"camera":"orthographic, straight down, front (HQ heading) up; the map's clear-day light (sun 1.35 #ffe9ca, soft shadows 0.7, the theme's cast), no fog, no vignette, exposure -0.35, saturation -8; 2x supersampled; beyond the battlefield's outline dimmed to 50% and greyed 40%"}</t>
        </is>
      </c>
    </row>
    <row r="4">
      <c r="A4" t="inlineStr">
        <is>
          <t>capital</t>
        </is>
      </c>
      <c r="B4" t="inlineStr">
        <is>
          <t>capital</t>
        </is>
      </c>
      <c r="C4" t="inlineStr">
        <is>
          <t>route</t>
        </is>
      </c>
      <c r="D4" t="n">
        <v>0.399</v>
      </c>
      <c r="E4" t="inlineStr">
        <is>
          <t>orthographic, straight down, front (HQ heading) up; the map's clear-day light (sun 1.35 #ffe9ca, soft shadows 0.7, the theme's cast), no fog, no vignette, exposure -0.35, saturation -8; 2x supersampled; beyond the battlefield's outline dimmed to 50% and greyed 40%</t>
        </is>
      </c>
      <c r="F4" t="n">
        <v>-102.044</v>
      </c>
      <c r="G4" t="n">
        <v>-77.748</v>
      </c>
      <c r="H4" t="n">
        <v>8</v>
      </c>
      <c r="I4" t="n">
        <v>-108.75</v>
      </c>
      <c r="J4" t="n">
        <v>-108.75</v>
      </c>
      <c r="K4" t="n">
        <v>46</v>
      </c>
      <c r="L4" t="n">
        <v>640</v>
      </c>
      <c r="M4" t="n">
        <v>-122.5</v>
      </c>
      <c r="N4" t="n">
        <v>-111</v>
      </c>
      <c r="O4" t="n">
        <v>140.033</v>
      </c>
      <c r="P4" t="n">
        <v>224.053</v>
      </c>
      <c r="Q4" t="inlineStr">
        <is>
          <t>814854c231acd9908c5599ad3a683e196e2804ea</t>
        </is>
      </c>
      <c r="R4" t="inlineStr">
        <is>
          <t>Data/maps/capital_conquest</t>
        </is>
      </c>
      <c r="S4" t="n">
        <v>0.719</v>
      </c>
      <c r="T4" t="n">
        <v>0.695</v>
      </c>
      <c r="U4" t="n">
        <v>1</v>
      </c>
      <c r="V4" t="n">
        <v>1024</v>
      </c>
      <c r="W4" t="inlineStr">
        <is>
          <t>Assets/MachineBrigade/Resources/UI/Bases/capital.json</t>
        </is>
      </c>
      <c r="X4" t="inlineStr">
        <is>
          <t>{"version":1,"map":"capital","source":"Data/maps/capital_conquest","sha1":"814854c231acd9908c5599ad3a683e196e2804ea","width":1024,"height":640,"centre":{"x":-102.044,"z":-77.748},"up":{"x":0.719,"z":0.695},"metresWide":224.053,"metresHigh":140.033,"hq":{"x":-122.5,"z":-111.0},"heading":46.0,"dropZone":{"x":-108.75,"z":-108.75},"dropRadius":8.0,"outline":[{"x":-140.043,"z":-70.405},{"x":-126.068,"z":-138.127},{"x":-82.916,"z":-146.518},{"x":-60.882,"z":-123.324},{"x":-48.194,"z":-92.662},{"x":-44.397,"z":-69.876},{"x":-136.318,"z":-17.021}],"arrowsFrom":"route","arrows":[{"at":{"x":-54.224,"z":-107.234},"dir":{"x":-1.0,"z":-0.024},"routes":4}],"brightness":0.399,"camera":"orthographic, straight down, front (HQ heading) up; the map's clear-day light (sun 1.35 #ffe9ca, soft shadows 0.7, the theme's cast), no fog, no vignette, exposure -0.35, saturation -8; 2x supersampled; beyond the battlefield's outline dimmed to 50% and greyed 40%"}</t>
        </is>
      </c>
    </row>
    <row r="5">
      <c r="A5" t="inlineStr">
        <is>
          <t>coralisles</t>
        </is>
      </c>
      <c r="B5" t="inlineStr">
        <is>
          <t>coralisles</t>
        </is>
      </c>
      <c r="C5" t="inlineStr">
        <is>
          <t>route</t>
        </is>
      </c>
      <c r="D5" t="n">
        <v>0.647</v>
      </c>
      <c r="E5" t="inlineStr">
        <is>
          <t>orthographic, straight down, front (HQ heading) up; the map's clear-day light (sun 1.35 #ffe9ca, soft shadows 0.7, the theme's cast), no fog, no vignette, exposure -0.35, saturation -8; 2x supersampled; beyond the battlefield's outline dimmed to 50% and greyed 40%</t>
        </is>
      </c>
      <c r="F5" t="n">
        <v>-103.257</v>
      </c>
      <c r="G5" t="n">
        <v>-100.257</v>
      </c>
      <c r="H5" t="n">
        <v>8</v>
      </c>
      <c r="I5" t="n">
        <v>-108.75</v>
      </c>
      <c r="J5" t="n">
        <v>-108.75</v>
      </c>
      <c r="K5" t="n">
        <v>45</v>
      </c>
      <c r="L5" t="n">
        <v>640</v>
      </c>
      <c r="M5" t="n">
        <v>-120</v>
      </c>
      <c r="N5" t="n">
        <v>-116.5</v>
      </c>
      <c r="O5" t="n">
        <v>127.196</v>
      </c>
      <c r="P5" t="n">
        <v>203.514</v>
      </c>
      <c r="Q5" t="inlineStr">
        <is>
          <t>46a65908a340e1d5883bc1d9e94b037866165015</t>
        </is>
      </c>
      <c r="R5" t="inlineStr">
        <is>
          <t>Data/maps/coralisles_conquest</t>
        </is>
      </c>
      <c r="S5" t="n">
        <v>0.707</v>
      </c>
      <c r="T5" t="n">
        <v>0.707</v>
      </c>
      <c r="U5" t="n">
        <v>1</v>
      </c>
      <c r="V5" t="n">
        <v>1024</v>
      </c>
      <c r="W5" t="inlineStr">
        <is>
          <t>Assets/MachineBrigade/Resources/UI/Bases/coralisles.json</t>
        </is>
      </c>
      <c r="X5" t="inlineStr">
        <is>
          <t>{"version":1,"map":"coralisles","source":"Data/maps/coralisles_conquest","sha1":"46a65908a340e1d5883bc1d9e94b037866165015","width":1024,"height":640,"centre":{"x":-103.257,"z":-100.257},"up":{"x":0.707,"z":0.707},"metresWide":203.514,"metresHigh":127.196,"hq":{"x":-120.0,"z":-116.5},"heading":45.0,"dropZone":{"x":-108.75,"z":-108.75},"dropRadius":8.0,"outline":[{"x":-140.402,"z":-140.0},{"x":-63.554,"z":-140.0},{"x":-54.9,"z":-111.565},{"x":-57.313,"z":-89.853},{"x":-89.061,"z":-64.673},{"x":-134.475,"z":-48.717}],"arrowsFrom":"route","arrows":[{"at":{"x":-109.237,"z":-57.584},"dir":{"x":-0.025,"z":-1.0},"routes":1},{"at":{"x":-85.541,"z":-67.465},"dir":{"x":-0.516,"z":-0.856},"routes":2},{"at":{"x":-55.408,"z":-107.0},"dir":{"x":-1.0,"z":0.0},"routes":1}],"brightness":0.647,"camera":"orthographic, straight down, front (HQ heading) up; the map's clear-day light (sun 1.35 #ffe9ca, soft shadows 0.7, the theme's cast), no fog, no vignette, exposure -0.35, saturation -8; 2x supersampled; beyond the battlefield's outline dimmed to 50% and greyed 40%"}</t>
        </is>
      </c>
    </row>
    <row r="6">
      <c r="A6" t="inlineStr">
        <is>
          <t>dunebreak</t>
        </is>
      </c>
      <c r="B6" t="inlineStr">
        <is>
          <t>dunebreak</t>
        </is>
      </c>
      <c r="C6" t="inlineStr">
        <is>
          <t>route</t>
        </is>
      </c>
      <c r="D6" t="n">
        <v>0.642</v>
      </c>
      <c r="E6" t="inlineStr">
        <is>
          <t>orthographic, straight down, front (HQ heading) up; the map's clear-day light (sun 1.35 #ffe9ca, soft shadows 0.7, the theme's cast), no fog, no vignette, exposure -0.35, saturation -8; 2x supersampled; beyond the battlefield's outline dimmed to 50% and greyed 40%</t>
        </is>
      </c>
      <c r="F6" t="n">
        <v>-92.623</v>
      </c>
      <c r="G6" t="n">
        <v>-104.984</v>
      </c>
      <c r="H6" t="n">
        <v>8</v>
      </c>
      <c r="I6" t="n">
        <v>-108.75</v>
      </c>
      <c r="J6" t="n">
        <v>-108.75</v>
      </c>
      <c r="K6" t="n">
        <v>46</v>
      </c>
      <c r="L6" t="n">
        <v>640</v>
      </c>
      <c r="M6" t="n">
        <v>-120.5</v>
      </c>
      <c r="N6" t="n">
        <v>-115.5</v>
      </c>
      <c r="O6" t="n">
        <v>135.841</v>
      </c>
      <c r="P6" t="n">
        <v>217.345</v>
      </c>
      <c r="Q6" t="inlineStr">
        <is>
          <t>4c056e91d3814d66f2c64043e1bb571d32cd513b</t>
        </is>
      </c>
      <c r="R6" t="inlineStr">
        <is>
          <t>Data/maps/dunebreak_conquest</t>
        </is>
      </c>
      <c r="S6" t="n">
        <v>0.719</v>
      </c>
      <c r="T6" t="n">
        <v>0.695</v>
      </c>
      <c r="U6" t="n">
        <v>1</v>
      </c>
      <c r="V6" t="n">
        <v>1024</v>
      </c>
      <c r="W6" t="inlineStr">
        <is>
          <t>Assets/MachineBrigade/Resources/UI/Bases/dunebreak.json</t>
        </is>
      </c>
      <c r="X6" t="inlineStr">
        <is>
          <t>{"version":1,"map":"dunebreak","source":"Data/maps/dunebreak_conquest","sha1":"4c056e91d3814d66f2c64043e1bb571d32cd513b","width":1024,"height":640,"centre":{"x":-92.623,"z":-104.984},"up":{"x":0.719,"z":0.695},"metresWide":217.345,"metresHigh":135.841,"hq":{"x":-120.5,"z":-115.5},"heading":46.0,"dropZone":{"x":-108.75,"z":-108.75},"dropRadius":8.0,"outline":[{"x":-141.801,"z":-140.86},{"x":-40.849,"z":-130.17},{"x":-59.85,"z":-75.542},{"x":-99.463,"z":-40.59},{"x":-124.479,"z":-68.107}],"arrowsFrom":"route","arrows":[{"at":{"x":-87.642,"z":-51.02},"dir":{"x":-0.405,"z":-0.914},"routes":1},{"at":{"x":-70.432,"z":-66.205},"dir":{"x":-0.658,"z":-0.753},"routes":2},{"at":{"x":-48.921,"z":-106.964},"dir":{"x":-1.0,"z":-0.017},"routes":1}],"brightness":0.642,"camera":"orthographic, straight down, front (HQ heading) up; the map's clear-day light (sun 1.35 #ffe9ca, soft shadows 0.7, the theme's cast), no fog, no vignette, exposure -0.35, saturation -8; 2x supersampled; beyond the battlefield's outline dimmed to 50% and greyed 40%"}</t>
        </is>
      </c>
    </row>
    <row r="7">
      <c r="A7" t="inlineStr">
        <is>
          <t>emberridge</t>
        </is>
      </c>
      <c r="B7" t="inlineStr">
        <is>
          <t>emberridge</t>
        </is>
      </c>
      <c r="C7" t="inlineStr">
        <is>
          <t>route</t>
        </is>
      </c>
      <c r="D7" t="n">
        <v>0.178</v>
      </c>
      <c r="E7" t="inlineStr">
        <is>
          <t>orthographic, straight down, front (HQ heading) up; the map's clear-day light (sun 1.35 #ffe9ca, soft shadows 0.7, the theme's cast), no fog, no vignette, exposure -0.35, saturation -8; 2x supersampled; beyond the battlefield's outline dimmed to 50% and greyed 40%</t>
        </is>
      </c>
      <c r="F7" t="n">
        <v>-91.657</v>
      </c>
      <c r="G7" t="n">
        <v>-92.54900000000001</v>
      </c>
      <c r="H7" t="n">
        <v>8</v>
      </c>
      <c r="I7" t="n">
        <v>-108.75</v>
      </c>
      <c r="J7" t="n">
        <v>-108.75</v>
      </c>
      <c r="K7" t="n">
        <v>46</v>
      </c>
      <c r="L7" t="n">
        <v>640</v>
      </c>
      <c r="M7" t="n">
        <v>-121.5</v>
      </c>
      <c r="N7" t="n">
        <v>-114.5</v>
      </c>
      <c r="O7" t="n">
        <v>123.431</v>
      </c>
      <c r="P7" t="n">
        <v>197.489</v>
      </c>
      <c r="Q7" t="inlineStr">
        <is>
          <t>10e63cb2418dc0efa904fde82915b0f0415b4123</t>
        </is>
      </c>
      <c r="R7" t="inlineStr">
        <is>
          <t>Data/maps/emberridge_conquest</t>
        </is>
      </c>
      <c r="S7" t="n">
        <v>0.719</v>
      </c>
      <c r="T7" t="n">
        <v>0.695</v>
      </c>
      <c r="U7" t="n">
        <v>1</v>
      </c>
      <c r="V7" t="n">
        <v>1024</v>
      </c>
      <c r="W7" t="inlineStr">
        <is>
          <t>Assets/MachineBrigade/Resources/UI/Bases/emberridge.json</t>
        </is>
      </c>
      <c r="X7" t="inlineStr">
        <is>
          <t>{"version":1,"map":"emberridge","source":"Data/maps/emberridge_conquest","sha1":"10e63cb2418dc0efa904fde82915b0f0415b4123","width":1024,"height":640,"centre":{"x":-91.657,"z":-92.549},"up":{"x":0.719,"z":0.695},"metresWide":197.489,"metresHigh":123.431,"hq":{"x":-121.5,"z":-114.5},"heading":46.0,"dropZone":{"x":-108.75,"z":-108.75},"dropRadius":8.0,"outline":[{"x":-136.132,"z":-71.935},{"x":-126.788,"z":-118.653},{"x":-100.331,"z":-131.0},{"x":-41.882,"z":-131.0},{"x":-74.844,"z":-54.482},{"x":-130.67,"z":-47.355}],"arrowsFrom":"route","arrows":[{"at":{"x":-102.664,"z":-50.93},"dir":{"x":-0.19,"z":-0.982},"routes":1},{"at":{"x":-68.651,"z":-68.858},"dir":{"x":-0.688,"z":-0.725},"routes":2},{"at":{"x":-58.279,"z":-92.937},"dir":{"x":-0.972,"z":-0.234},"routes":1}],"brightness":0.178,"camera":"orthographic, straight down, front (HQ heading) up; the map's clear-day light (sun 1.35 #ffe9ca, soft shadows 0.7, the theme's cast), no fog, no vignette, exposure -0.35, saturation -8; 2x supersampled; beyond the battlefield's outline dimmed to 50% and greyed 40%"}</t>
        </is>
      </c>
    </row>
    <row r="8">
      <c r="A8" t="inlineStr">
        <is>
          <t>frostpeak</t>
        </is>
      </c>
      <c r="B8" t="inlineStr">
        <is>
          <t>frostpeak</t>
        </is>
      </c>
      <c r="C8" t="inlineStr">
        <is>
          <t>route</t>
        </is>
      </c>
      <c r="D8" t="n">
        <v>0.768</v>
      </c>
      <c r="E8" t="inlineStr">
        <is>
          <t>orthographic, straight down, front (HQ heading) up; the map's clear-day light (sun 1.35 #ffe9ca, soft shadows 0.7, the theme's cast), no fog, no vignette, exposure -0.35, saturation -8; 2x supersampled; beyond the battlefield's outline dimmed to 50% and greyed 40%</t>
        </is>
      </c>
      <c r="F8" t="n">
        <v>-94.596</v>
      </c>
      <c r="G8" t="n">
        <v>-94.973</v>
      </c>
      <c r="H8" t="n">
        <v>8</v>
      </c>
      <c r="I8" t="n">
        <v>-108.75</v>
      </c>
      <c r="J8" t="n">
        <v>-108.75</v>
      </c>
      <c r="K8" t="n">
        <v>46</v>
      </c>
      <c r="L8" t="n">
        <v>640</v>
      </c>
      <c r="M8" t="n">
        <v>-120.5</v>
      </c>
      <c r="N8" t="n">
        <v>-115.5</v>
      </c>
      <c r="O8" t="n">
        <v>115.786</v>
      </c>
      <c r="P8" t="n">
        <v>185.258</v>
      </c>
      <c r="Q8" t="inlineStr">
        <is>
          <t>a76bff9c625c0b93926ebe480b246077efcab3f8</t>
        </is>
      </c>
      <c r="R8" t="inlineStr">
        <is>
          <t>Data/maps/frostpeak_conquest</t>
        </is>
      </c>
      <c r="S8" t="n">
        <v>0.719</v>
      </c>
      <c r="T8" t="n">
        <v>0.695</v>
      </c>
      <c r="U8" t="n">
        <v>1</v>
      </c>
      <c r="V8" t="n">
        <v>1024</v>
      </c>
      <c r="W8" t="inlineStr">
        <is>
          <t>Assets/MachineBrigade/Resources/UI/Bases/frostpeak.json</t>
        </is>
      </c>
      <c r="X8" t="inlineStr">
        <is>
          <t>{"version":1,"map":"frostpeak","source":"Data/maps/frostpeak_conquest","sha1":"a76bff9c625c0b93926ebe480b246077efcab3f8","width":1024,"height":640,"centre":{"x":-94.596,"z":-94.973},"up":{"x":0.719,"z":0.695},"metresWide":185.258,"metresHigh":115.786,"hq":{"x":-120.5,"z":-115.5},"heading":46.0,"dropZone":{"x":-108.75,"z":-108.75},"dropRadius":8.0,"outline":[{"x":-138.799,"z":-61.082},{"x":-125.605,"z":-120.169},{"x":-97.934,"z":-129.0},{"x":-76.558,"z":-129.0},{"x":-44.0,"z":-124.177},{"x":-44.0,"z":-98.361},{"x":-81.96,"z":-63.564},{"x":-106.273,"z":-41.567}],"arrowsFrom":"route","arrows":[{"at":{"x":-106.739,"z":-41.846},"dir":{"x":0.008,"z":-1.0},"routes":1},{"at":{"x":-72.362,"z":-72.362},"dir":{"x":-0.707,"z":-0.707},"routes":2},{"at":{"x":-49.756,"z":-93.084},"dir":{"x":-0.98,"z":-0.2},"routes":1}],"brightness":0.768,"camera":"orthographic, straight down, front (HQ heading) up; the map's clear-day light (sun 1.35 #ffe9ca, soft shadows 0.7, the theme's cast), no fog, no vignette, exposure -0.35, saturation -8; 2x supersampled; beyond the battlefield's outline dimmed to 50% and greyed 40%"}</t>
        </is>
      </c>
    </row>
    <row r="9">
      <c r="A9" t="inlineStr">
        <is>
          <t>greenvale</t>
        </is>
      </c>
      <c r="B9" t="inlineStr">
        <is>
          <t>greenvale</t>
        </is>
      </c>
      <c r="C9" t="inlineStr">
        <is>
          <t>route</t>
        </is>
      </c>
      <c r="D9" t="n">
        <v>0.496</v>
      </c>
      <c r="E9" t="inlineStr">
        <is>
          <t>orthographic, straight down, front (HQ heading) up; the map's clear-day light (sun 1.35 #ffe9ca, soft shadows 0.7, the theme's cast), no fog, no vignette, exposure -0.35, saturation -8; 2x supersampled; beyond the battlefield's outline dimmed to 50% and greyed 40%</t>
        </is>
      </c>
      <c r="F9" t="n">
        <v>-96.562</v>
      </c>
      <c r="G9" t="n">
        <v>-89.526</v>
      </c>
      <c r="H9" t="n">
        <v>8</v>
      </c>
      <c r="I9" t="n">
        <v>-108.75</v>
      </c>
      <c r="J9" t="n">
        <v>-108.75</v>
      </c>
      <c r="K9" t="n">
        <v>46</v>
      </c>
      <c r="L9" t="n">
        <v>640</v>
      </c>
      <c r="M9" t="n">
        <v>-120.5</v>
      </c>
      <c r="N9" t="n">
        <v>-115.5</v>
      </c>
      <c r="O9" t="n">
        <v>120.525</v>
      </c>
      <c r="P9" t="n">
        <v>192.84</v>
      </c>
      <c r="Q9" t="inlineStr">
        <is>
          <t>56ade81863257ea4a774fdc3e7f0e25c878d9a52</t>
        </is>
      </c>
      <c r="R9" t="inlineStr">
        <is>
          <t>Data/maps/greenvale_conquest</t>
        </is>
      </c>
      <c r="S9" t="n">
        <v>0.719</v>
      </c>
      <c r="T9" t="n">
        <v>0.695</v>
      </c>
      <c r="U9" t="n">
        <v>1</v>
      </c>
      <c r="V9" t="n">
        <v>1024</v>
      </c>
      <c r="W9" t="inlineStr">
        <is>
          <t>Assets/MachineBrigade/Resources/UI/Bases/greenvale.json</t>
        </is>
      </c>
      <c r="X9" t="inlineStr">
        <is>
          <t>{"version":1,"map":"greenvale","source":"Data/maps/greenvale_conquest","sha1":"56ade81863257ea4a774fdc3e7f0e25c878d9a52","width":1024,"height":640,"centre":{"x":-96.562,"z":-89.526},"up":{"x":0.719,"z":0.695},"metresWide":192.84,"metresHigh":120.525,"hq":{"x":-120.5,"z":-115.5},"heading":46.0,"dropZone":{"x":-108.75,"z":-108.75},"dropRadius":8.0,"outline":[{"x":-135.954,"z":-48.626},{"x":-125.917,"z":-120.069},{"x":-97.85,"z":-129.027},{"x":-58.896,"z":-127.914},{"x":-44.553,"z":-108.354},{"x":-49.702,"z":-85.182},{"x":-108.193,"z":-50.087}],"arrowsFrom":"route","arrows":[{"at":{"x":-81.807,"z":-65.919},"dir":{"x":-0.598,"z":-0.801},"routes":2},{"at":{"x":-47.677,"z":-94.296},"dir":{"x":-0.957,"z":-0.29},"routes":1}],"brightness":0.496,"camera":"orthographic, straight down, front (HQ heading) up; the map's clear-day light (sun 1.35 #ffe9ca, soft shadows 0.7, the theme's cast), no fog, no vignette, exposure -0.35, saturation -8; 2x supersampled; beyond the battlefield's outline dimmed to 50% and greyed 40%"}</t>
        </is>
      </c>
    </row>
    <row r="10">
      <c r="A10" t="inlineStr">
        <is>
          <t>hydrodam</t>
        </is>
      </c>
      <c r="B10" t="inlineStr">
        <is>
          <t>hydrodam</t>
        </is>
      </c>
      <c r="C10" t="inlineStr">
        <is>
          <t>route</t>
        </is>
      </c>
      <c r="D10" t="n">
        <v>0.512</v>
      </c>
      <c r="E10" t="inlineStr">
        <is>
          <t>orthographic, straight down, front (HQ heading) up; the map's clear-day light (sun 1.35 #ffe9ca, soft shadows 0.7, the theme's cast), no fog, no vignette, exposure -0.35, saturation -8; 2x supersampled; beyond the battlefield's outline dimmed to 50% and greyed 40%</t>
        </is>
      </c>
      <c r="F10" t="n">
        <v>-103.592</v>
      </c>
      <c r="G10" t="n">
        <v>-81.539</v>
      </c>
      <c r="H10" t="n">
        <v>8</v>
      </c>
      <c r="I10" t="n">
        <v>-108.75</v>
      </c>
      <c r="J10" t="n">
        <v>-108.75</v>
      </c>
      <c r="K10" t="n">
        <v>46</v>
      </c>
      <c r="L10" t="n">
        <v>640</v>
      </c>
      <c r="M10" t="n">
        <v>-121.5</v>
      </c>
      <c r="N10" t="n">
        <v>-114.5</v>
      </c>
      <c r="O10" t="n">
        <v>139.585</v>
      </c>
      <c r="P10" t="n">
        <v>223.337</v>
      </c>
      <c r="Q10" t="inlineStr">
        <is>
          <t>ebbf4c3600c743fae990e52a2b54fd45de9cc0b8</t>
        </is>
      </c>
      <c r="R10" t="inlineStr">
        <is>
          <t>Data/maps/hydrodam_conquest</t>
        </is>
      </c>
      <c r="S10" t="n">
        <v>0.719</v>
      </c>
      <c r="T10" t="n">
        <v>0.695</v>
      </c>
      <c r="U10" t="n">
        <v>1</v>
      </c>
      <c r="V10" t="n">
        <v>1024</v>
      </c>
      <c r="W10" t="inlineStr">
        <is>
          <t>Assets/MachineBrigade/Resources/UI/Bases/hydrodam.json</t>
        </is>
      </c>
      <c r="X10" t="inlineStr">
        <is>
          <t>{"version":1,"map":"hydrodam","source":"Data/maps/hydrodam_conquest","sha1":"ebbf4c3600c743fae990e52a2b54fd45de9cc0b8","width":1024,"height":640,"centre":{"x":-103.592,"z":-81.539},"up":{"x":0.719,"z":0.695},"metresWide":223.337,"metresHigh":139.585,"hq":{"x":-121.5,"z":-114.5},"heading":46.0,"dropZone":{"x":-108.75,"z":-108.75},"dropRadius":8.0,"outline":[{"x":-138.248,"z":-40.44},{"x":-135.979,"z":-83.551},{"x":-127.977,"z":-144.138},{"x":-74.802,"z":-125.231},{"x":-34.388,"z":-87.127},{"x":-55.12,"z":-66.394},{"x":-90.226,"z":-41.614},{"x":-112.751,"z":-33.73}],"arrowsFrom":"route","arrows":[{"at":{"x":-68.338,"z":-57.064},"dir":{"x":-0.604,"z":-0.797},"routes":2},{"at":{"x":-52.951,"z":-104.629},"dir":{"x":-0.996,"z":-0.091},"routes":1}],"brightness":0.512,"camera":"orthographic, straight down, front (HQ heading) up; the map's clear-day light (sun 1.35 #ffe9ca, soft shadows 0.7, the theme's cast), no fog, no vignette, exposure -0.35, saturation -8; 2x supersampled; beyond the battlefield's outline dimmed to 50% and greyed 40%"}</t>
        </is>
      </c>
    </row>
    <row r="11">
      <c r="A11" t="inlineStr">
        <is>
          <t>ironport</t>
        </is>
      </c>
      <c r="B11" t="inlineStr">
        <is>
          <t>ironport</t>
        </is>
      </c>
      <c r="C11" t="inlineStr">
        <is>
          <t>route</t>
        </is>
      </c>
      <c r="D11" t="n">
        <v>0.452</v>
      </c>
      <c r="E11" t="inlineStr">
        <is>
          <t>orthographic, straight down, front (HQ heading) up; the map's clear-day light (sun 1.35 #ffe9ca, soft shadows 0.7, the theme's cast), no fog, no vignette, exposure -0.35, saturation -8; 2x supersampled; beyond the battlefield's outline dimmed to 50% and greyed 40%</t>
        </is>
      </c>
      <c r="F11" t="n">
        <v>-93.661</v>
      </c>
      <c r="G11" t="n">
        <v>-107.146</v>
      </c>
      <c r="H11" t="n">
        <v>8</v>
      </c>
      <c r="I11" t="n">
        <v>-108.75</v>
      </c>
      <c r="J11" t="n">
        <v>-108.75</v>
      </c>
      <c r="K11" t="n">
        <v>44</v>
      </c>
      <c r="L11" t="n">
        <v>640</v>
      </c>
      <c r="M11" t="n">
        <v>-115.5</v>
      </c>
      <c r="N11" t="n">
        <v>-120.5</v>
      </c>
      <c r="O11" t="n">
        <v>130.678</v>
      </c>
      <c r="P11" t="n">
        <v>209.085</v>
      </c>
      <c r="Q11" t="inlineStr">
        <is>
          <t>20034f4d3032e78ca956ea301ef03fcbce08f2b5</t>
        </is>
      </c>
      <c r="R11" t="inlineStr">
        <is>
          <t>Data/maps/ironport_conquest</t>
        </is>
      </c>
      <c r="S11" t="n">
        <v>0.695</v>
      </c>
      <c r="T11" t="n">
        <v>0.719</v>
      </c>
      <c r="U11" t="n">
        <v>1</v>
      </c>
      <c r="V11" t="n">
        <v>1024</v>
      </c>
      <c r="W11" t="inlineStr">
        <is>
          <t>Assets/MachineBrigade/Resources/UI/Bases/ironport.json</t>
        </is>
      </c>
      <c r="X11" t="inlineStr">
        <is>
          <t>{"version":1,"map":"ironport","source":"Data/maps/ironport_conquest","sha1":"20034f4d3032e78ca956ea301ef03fcbce08f2b5","width":1024,"height":640,"centre":{"x":-93.661,"z":-107.146},"up":{"x":0.695,"z":0.719},"metresWide":209.085,"metresHigh":130.678,"hq":{"x":-115.5,"z":-120.5},"heading":44.0,"dropZone":{"x":-108.75,"z":-108.75},"dropRadius":8.0,"outline":[{"x":-141.163,"z":-140.385},{"x":-29.192,"z":-134.492},{"x":-53.142,"z":-90.373},{"x":-101.671,"z":-41.844},{"x":-126.38,"z":-52.825}],"arrowsFrom":"route","arrows":[{"at":{"x":-92.798,"z":-50.717},"dir":{"x":-0.246,"z":-0.969},"routes":1},{"at":{"x":-71.315,"z":-72.2},"dir":{"x":-0.766,"z":-0.643},"routes":2},{"at":{"x":-48.669,"z":-98.612},"dir":{"x":-0.986,"z":-0.164},"routes":1}],"brightness":0.452,"camera":"orthographic, straight down, front (HQ heading) up; the map's clear-day light (sun 1.35 #ffe9ca, soft shadows 0.7, the theme's cast), no fog, no vignette, exposure -0.35, saturation -8; 2x supersampled; beyond the battlefield's outline dimmed to 50% and greyed 40%"}</t>
        </is>
      </c>
    </row>
    <row r="12">
      <c r="A12" t="inlineStr">
        <is>
          <t>junglepass</t>
        </is>
      </c>
      <c r="B12" t="inlineStr">
        <is>
          <t>junglepass</t>
        </is>
      </c>
      <c r="C12" t="inlineStr">
        <is>
          <t>route</t>
        </is>
      </c>
      <c r="D12" t="n">
        <v>0.298</v>
      </c>
      <c r="E12" t="inlineStr">
        <is>
          <t>orthographic, straight down, front (HQ heading) up; the map's clear-day light (sun 1.35 #ffe9ca, soft shadows 0.7, the theme's cast), no fog, no vignette, exposure -0.35, saturation -8; 2x supersampled; beyond the battlefield's outline dimmed to 50% and greyed 40%</t>
        </is>
      </c>
      <c r="F12" t="n">
        <v>-97.7</v>
      </c>
      <c r="G12" t="n">
        <v>-89.142</v>
      </c>
      <c r="H12" t="n">
        <v>8</v>
      </c>
      <c r="I12" t="n">
        <v>-108.75</v>
      </c>
      <c r="J12" t="n">
        <v>-108.75</v>
      </c>
      <c r="K12" t="n">
        <v>46</v>
      </c>
      <c r="L12" t="n">
        <v>640</v>
      </c>
      <c r="M12" t="n">
        <v>-121</v>
      </c>
      <c r="N12" t="n">
        <v>-114.5</v>
      </c>
      <c r="O12" t="n">
        <v>118.752</v>
      </c>
      <c r="P12" t="n">
        <v>190.002</v>
      </c>
      <c r="Q12" t="inlineStr">
        <is>
          <t>49355875d9ea33395e5051b1456ea5e5dcedc9c9</t>
        </is>
      </c>
      <c r="R12" t="inlineStr">
        <is>
          <t>Data/maps/junglepass_conquest</t>
        </is>
      </c>
      <c r="S12" t="n">
        <v>0.719</v>
      </c>
      <c r="T12" t="n">
        <v>0.695</v>
      </c>
      <c r="U12" t="n">
        <v>1</v>
      </c>
      <c r="V12" t="n">
        <v>1024</v>
      </c>
      <c r="W12" t="inlineStr">
        <is>
          <t>Assets/MachineBrigade/Resources/UI/Bases/junglepass.json</t>
        </is>
      </c>
      <c r="X12" t="inlineStr">
        <is>
          <t>{"version":1,"map":"junglepass","source":"Data/maps/junglepass_conquest","sha1":"49355875d9ea33395e5051b1456ea5e5dcedc9c9","width":1024,"height":640,"centre":{"x":-97.7,"z":-89.142},"up":{"x":0.719,"z":0.695},"metresWide":190.002,"metresHigh":118.752,"hq":{"x":-121.0,"z":-114.5},"heading":46.0,"dropZone":{"x":-108.75,"z":-108.75},"dropRadius":8.0,"outline":[{"x":-137.251,"z":-44.888},{"x":-126.413,"z":-118.948},{"x":-97.948,"z":-129.03},{"x":-58.896,"z":-127.914},{"x":-44.327,"z":-108.046},{"x":-51.905,"z":-85.31},{"x":-89.352,"z":-57.492}],"arrowsFrom":"route","arrows":[{"at":{"x":-90.337,"z":-57.233},"dir":{"x":-0.301,"z":-0.954},"routes":1},{"at":{"x":-69.256,"z":-72.421},"dir":{"x":-0.698,"z":-0.716},"routes":2},{"at":{"x":-51.535,"z":-86.42},"dir":{"x":-0.952,"z":-0.307},"routes":1}],"brightness":0.298,"camera":"orthographic, straight down, front (HQ heading) up; the map's clear-day light (sun 1.35 #ffe9ca, soft shadows 0.7, the theme's cast), no fog, no vignette, exposure -0.35, saturation -8; 2x supersampled; beyond the battlefield's outline dimmed to 50% and greyed 40%"}</t>
        </is>
      </c>
    </row>
    <row r="13">
      <c r="A13" t="inlineStr">
        <is>
          <t>landingbeach</t>
        </is>
      </c>
      <c r="B13" t="inlineStr">
        <is>
          <t>landingbeach</t>
        </is>
      </c>
      <c r="C13" t="inlineStr">
        <is>
          <t>route</t>
        </is>
      </c>
      <c r="D13" t="n">
        <v>0.496</v>
      </c>
      <c r="E13" t="inlineStr">
        <is>
          <t>orthographic, straight down, front (HQ heading) up; the map's clear-day light (sun 1.35 #ffe9ca, soft shadows 0.7, the theme's cast), no fog, no vignette, exposure -0.35, saturation -8; 2x supersampled; beyond the battlefield's outline dimmed to 50% and greyed 40%</t>
        </is>
      </c>
      <c r="F13" t="n">
        <v>-92.22499999999999</v>
      </c>
      <c r="G13" t="n">
        <v>-88.39100000000001</v>
      </c>
      <c r="H13" t="n">
        <v>8</v>
      </c>
      <c r="I13" t="n">
        <v>-108.75</v>
      </c>
      <c r="J13" t="n">
        <v>-108.75</v>
      </c>
      <c r="K13" t="n">
        <v>46</v>
      </c>
      <c r="L13" t="n">
        <v>640</v>
      </c>
      <c r="M13" t="n">
        <v>-121.5</v>
      </c>
      <c r="N13" t="n">
        <v>-112</v>
      </c>
      <c r="O13" t="n">
        <v>124.917</v>
      </c>
      <c r="P13" t="n">
        <v>199.867</v>
      </c>
      <c r="Q13" t="inlineStr">
        <is>
          <t>74afb13fc67fa50e61d2abcd762f637bd50235e5</t>
        </is>
      </c>
      <c r="R13" t="inlineStr">
        <is>
          <t>Data/maps/landingbeach_conquest</t>
        </is>
      </c>
      <c r="S13" t="n">
        <v>0.719</v>
      </c>
      <c r="T13" t="n">
        <v>0.695</v>
      </c>
      <c r="U13" t="n">
        <v>1</v>
      </c>
      <c r="V13" t="n">
        <v>1024</v>
      </c>
      <c r="W13" t="inlineStr">
        <is>
          <t>Assets/MachineBrigade/Resources/UI/Bases/landingbeach.json</t>
        </is>
      </c>
      <c r="X13" t="inlineStr">
        <is>
          <t>{"version":1,"map":"landingbeach","source":"Data/maps/landingbeach_conquest","sha1":"74afb13fc67fa50e61d2abcd762f637bd50235e5","width":1024,"height":640,"centre":{"x":-92.225,"z":-88.391},"up":{"x":0.719,"z":0.695},"metresWide":199.867,"metresHigh":124.917,"hq":{"x":-121.5,"z":-112.0},"heading":46.0,"dropZone":{"x":-108.75,"z":-108.75},"dropRadius":8.0,"outline":[{"x":-134.023,"z":-66.256},{"x":-126.862,"z":-116.936},{"x":-73.986,"z":-128.929},{"x":-39.778,"z":-132.594},{"x":-35.766,"z":-100.501},{"x":-56.506,"z":-69.937},{"x":-100.934,"z":-32.742},{"x":-123.218,"z":-24.385},{"x":-132.931,"z":-46.587}],"arrowsFrom":"route","arrows":[{"at":{"x":-103.472,"z":-31.79},"dir":{"x":-0.271,"z":-0.963},"routes":1},{"at":{"x":-59.058,"z":-67.801},"dir":{"x":-0.523,"z":-0.853},"routes":2},{"at":{"x":-35.801,"z":-100.78},"dir":{"x":-1.0,"z":0.025},"routes":1}],"brightness":0.496,"camera":"orthographic, straight down, front (HQ heading) up; the map's clear-day light (sun 1.35 #ffe9ca, soft shadows 0.7, the theme's cast), no fog, no vignette, exposure -0.35, saturation -8; 2x supersampled; beyond the battlefield's outline dimmed to 50% and greyed 40%"}</t>
        </is>
      </c>
    </row>
    <row r="14">
      <c r="A14" t="inlineStr">
        <is>
          <t>launchsite</t>
        </is>
      </c>
      <c r="B14" t="inlineStr">
        <is>
          <t>launchsite</t>
        </is>
      </c>
      <c r="C14" t="inlineStr">
        <is>
          <t>route</t>
        </is>
      </c>
      <c r="D14" t="n">
        <v>0.64</v>
      </c>
      <c r="E14" t="inlineStr">
        <is>
          <t>orthographic, straight down, front (HQ heading) up; the map's clear-day light (sun 1.35 #ffe9ca, soft shadows 0.7, the theme's cast), no fog, no vignette, exposure -0.35, saturation -8; 2x supersampled; beyond the battlefield's outline dimmed to 50% and greyed 40%</t>
        </is>
      </c>
      <c r="F14" t="n">
        <v>-100.073</v>
      </c>
      <c r="G14" t="n">
        <v>-89.967</v>
      </c>
      <c r="H14" t="n">
        <v>8</v>
      </c>
      <c r="I14" t="n">
        <v>-108.75</v>
      </c>
      <c r="J14" t="n">
        <v>-108.75</v>
      </c>
      <c r="K14" t="n">
        <v>46</v>
      </c>
      <c r="L14" t="n">
        <v>640</v>
      </c>
      <c r="M14" t="n">
        <v>-122</v>
      </c>
      <c r="N14" t="n">
        <v>-112</v>
      </c>
      <c r="O14" t="n">
        <v>120.188</v>
      </c>
      <c r="P14" t="n">
        <v>192.301</v>
      </c>
      <c r="Q14" t="inlineStr">
        <is>
          <t>7d8d345ac5a1f5bd38f8c556bf347d10937199f4</t>
        </is>
      </c>
      <c r="R14" t="inlineStr">
        <is>
          <t>Data/maps/launchsite_conquest</t>
        </is>
      </c>
      <c r="S14" t="n">
        <v>0.719</v>
      </c>
      <c r="T14" t="n">
        <v>0.695</v>
      </c>
      <c r="U14" t="n">
        <v>1</v>
      </c>
      <c r="V14" t="n">
        <v>1024</v>
      </c>
      <c r="W14" t="inlineStr">
        <is>
          <t>Assets/MachineBrigade/Resources/UI/Bases/launchsite.json</t>
        </is>
      </c>
      <c r="X14" t="inlineStr">
        <is>
          <t>{"version":1,"map":"launchsite","source":"Data/maps/launchsite_conquest","sha1":"7d8d345ac5a1f5bd38f8c556bf347d10937199f4","width":1024,"height":640,"centre":{"x":-100.073,"z":-89.967},"up":{"x":0.719,"z":0.695},"metresWide":192.301,"metresHigh":120.188,"hq":{"x":-122.0,"z":-112.0},"heading":46.0,"dropZone":{"x":-108.75,"z":-108.75},"dropRadius":8.0,"outline":[{"x":-137.832,"z":-41.847},{"x":-134.949,"z":-67.793},{"x":-127.909,"z":-113.05},{"x":-122.787,"z":-138.658},{"x":-56.87,"z":-130.268},{"x":-58.06,"z":-81.454},{"x":-80.574,"z":-58.94},{"x":-110.325,"z":-46.19}],"arrowsFrom":"route","arrows":[{"at":{"x":-73.45,"z":-66.065},"dir":{"x":-0.658,"z":-0.753},"routes":2},{"at":{"x":-57.546,"z":-102.554},"dir":{"x":-0.984,"z":-0.179},"routes":1}],"brightness":0.64,"camera":"orthographic, straight down, front (HQ heading) up; the map's clear-day light (sun 1.35 #ffe9ca, soft shadows 0.7, the theme's cast), no fog, no vignette, exposure -0.35, saturation -8; 2x supersampled; beyond the battlefield's outline dimmed to 50% and greyed 40%"}</t>
        </is>
      </c>
    </row>
    <row r="15">
      <c r="A15" t="inlineStr">
        <is>
          <t>metrocity</t>
        </is>
      </c>
      <c r="B15" t="inlineStr">
        <is>
          <t>metrocity</t>
        </is>
      </c>
      <c r="C15" t="inlineStr">
        <is>
          <t>route</t>
        </is>
      </c>
      <c r="D15" t="n">
        <v>0.421</v>
      </c>
      <c r="E15" t="inlineStr">
        <is>
          <t>orthographic, straight down, front (HQ heading) up; the map's clear-day light (sun 1.35 #ffe9ca, soft shadows 0.7, the theme's cast), no fog, no vignette, exposure -0.35, saturation -8; 2x supersampled; beyond the battlefield's outline dimmed to 50% and greyed 40%</t>
        </is>
      </c>
      <c r="F15" t="n">
        <v>-97.25700000000001</v>
      </c>
      <c r="G15" t="n">
        <v>-99.25700000000001</v>
      </c>
      <c r="H15" t="n">
        <v>8</v>
      </c>
      <c r="I15" t="n">
        <v>-108.75</v>
      </c>
      <c r="J15" t="n">
        <v>-108.75</v>
      </c>
      <c r="K15" t="n">
        <v>45</v>
      </c>
      <c r="L15" t="n">
        <v>640</v>
      </c>
      <c r="M15" t="n">
        <v>-120</v>
      </c>
      <c r="N15" t="n">
        <v>-117</v>
      </c>
      <c r="O15" t="n">
        <v>148.409</v>
      </c>
      <c r="P15" t="n">
        <v>237.455</v>
      </c>
      <c r="Q15" t="inlineStr">
        <is>
          <t>cd054f7cc86920a87cfa38bd9fbb620517bbc957</t>
        </is>
      </c>
      <c r="R15" t="inlineStr">
        <is>
          <t>Data/maps/metrocity_conquest</t>
        </is>
      </c>
      <c r="S15" t="n">
        <v>0.707</v>
      </c>
      <c r="T15" t="n">
        <v>0.707</v>
      </c>
      <c r="U15" t="n">
        <v>1</v>
      </c>
      <c r="V15" t="n">
        <v>1024</v>
      </c>
      <c r="W15" t="inlineStr">
        <is>
          <t>Assets/MachineBrigade/Resources/UI/Bases/metrocity.json</t>
        </is>
      </c>
      <c r="X15" t="inlineStr">
        <is>
          <t>{"version":1,"map":"metrocity","source":"Data/maps/metrocity_conquest","sha1":"cd054f7cc86920a87cfa38bd9fbb620517bbc957","width":1024,"height":640,"centre":{"x":-97.257,"z":-99.257},"up":{"x":0.707,"z":0.707},"metresWide":237.455,"metresHigh":148.409,"hq":{"x":-120.0,"z":-117.0},"heading":45.0,"dropZone":{"x":-108.75,"z":-108.75},"dropRadius":8.0,"outline":[{"x":-144.281,"z":-143.754},{"x":-87.585,"z":-146.021},{"x":-43.272,"z":-138.068},{"x":-41.938,"z":-114.052},{"x":-61.572,"z":-62.786},{"x":-139.66,"z":-46.709}],"arrowsFrom":"route","arrows":[{"at":{"x":-96.421,"z":-55.611},"dir":{"x":-0.236,"z":-0.972},"routes":1},{"at":{"x":-63.694,"z":-62.349},"dir":{"x":-0.723,"z":-0.691},"routes":2},{"at":{"x":-50.107,"z":-92.721},"dir":{"x":-1.0,"z":0.003},"routes":1}],"brightness":0.421,"camera":"orthographic, straight down, front (HQ heading) up; the map's clear-day light (sun 1.35 #ffe9ca, soft shadows 0.7, the theme's cast), no fog, no vignette, exposure -0.35, saturation -8; 2x supersampled; beyond the battlefield's outline dimmed to 50% and greyed 40%"}</t>
        </is>
      </c>
    </row>
    <row r="16">
      <c r="A16" t="inlineStr">
        <is>
          <t>redrock</t>
        </is>
      </c>
      <c r="B16" t="inlineStr">
        <is>
          <t>redrock</t>
        </is>
      </c>
      <c r="C16" t="inlineStr">
        <is>
          <t>route</t>
        </is>
      </c>
      <c r="D16" t="n">
        <v>0.629</v>
      </c>
      <c r="E16" t="inlineStr">
        <is>
          <t>orthographic, straight down, front (HQ heading) up; the map's clear-day light (sun 1.35 #ffe9ca, soft shadows 0.7, the theme's cast), no fog, no vignette, exposure -0.35, saturation -8; 2x supersampled; beyond the battlefield's outline dimmed to 50% and greyed 40%</t>
        </is>
      </c>
      <c r="F16" t="n">
        <v>-101.513</v>
      </c>
      <c r="G16" t="n">
        <v>-82.169</v>
      </c>
      <c r="H16" t="n">
        <v>8</v>
      </c>
      <c r="I16" t="n">
        <v>-108.75</v>
      </c>
      <c r="J16" t="n">
        <v>-108.75</v>
      </c>
      <c r="K16" t="n">
        <v>46</v>
      </c>
      <c r="L16" t="n">
        <v>640</v>
      </c>
      <c r="M16" t="n">
        <v>-120.5</v>
      </c>
      <c r="N16" t="n">
        <v>-115.5</v>
      </c>
      <c r="O16" t="n">
        <v>144.028</v>
      </c>
      <c r="P16" t="n">
        <v>230.446</v>
      </c>
      <c r="Q16" t="inlineStr">
        <is>
          <t>a8cb72f244b04805d5ae7b9dc3bba4ac5e814af8</t>
        </is>
      </c>
      <c r="R16" t="inlineStr">
        <is>
          <t>Data/maps/redrock_conquest</t>
        </is>
      </c>
      <c r="S16" t="n">
        <v>0.719</v>
      </c>
      <c r="T16" t="n">
        <v>0.695</v>
      </c>
      <c r="U16" t="n">
        <v>1</v>
      </c>
      <c r="V16" t="n">
        <v>1024</v>
      </c>
      <c r="W16" t="inlineStr">
        <is>
          <t>Assets/MachineBrigade/Resources/UI/Bases/redrock.json</t>
        </is>
      </c>
      <c r="X16" t="inlineStr">
        <is>
          <t>{"version":1,"map":"redrock","source":"Data/maps/redrock_conquest","sha1":"a8cb72f244b04805d5ae7b9dc3bba4ac5e814af8","width":1024,"height":640,"centre":{"x":-101.513,"z":-82.169},"up":{"x":0.719,"z":0.695},"metresWide":230.446,"metresHigh":144.028,"hq":{"x":-120.5,"z":-115.5},"heading":46.0,"dropZone":{"x":-108.75,"z":-108.75},"dropRadius":8.0,"outline":[{"x":-149.386,"z":-123.216},{"x":-96.153,"z":-129.131},{"x":-54.75,"z":-112.346},{"x":-50.074,"z":-88.962},{"x":-47.7,"z":-69.973},{"x":-75.957,"z":-39.455},{"x":-127.539,"z":-30.076}],"arrowsFrom":"route","arrows":[{"at":{"x":-119.0,"z":-31.629},"dir":{"x":0.0,"z":-1.0},"routes":1},{"at":{"x":-57.983,"z":-58.867},"dir":{"x":-0.754,"z":-0.657},"routes":2},{"at":{"x":-67.372,"z":-117.463},"dir":{"x":-0.982,"z":0.19},"routes":1}],"brightness":0.629,"camera":"orthographic, straight down, front (HQ heading) up; the map's clear-day light (sun 1.35 #ffe9ca, soft shadows 0.7, the theme's cast), no fog, no vignette, exposure -0.35, saturation -8; 2x supersampled; beyond the battlefield's outline dimmed to 50% and greyed 40%"}</t>
        </is>
      </c>
    </row>
    <row r="17">
      <c r="A17" t="inlineStr">
        <is>
          <t>rustyard</t>
        </is>
      </c>
      <c r="B17" t="inlineStr">
        <is>
          <t>rustyard</t>
        </is>
      </c>
      <c r="C17" t="inlineStr">
        <is>
          <t>route</t>
        </is>
      </c>
      <c r="D17" t="n">
        <v>0.448</v>
      </c>
      <c r="E17" t="inlineStr">
        <is>
          <t>orthographic, straight down, front (HQ heading) up; the map's clear-day light (sun 1.35 #ffe9ca, soft shadows 0.7, the theme's cast), no fog, no vignette, exposure -0.35, saturation -8; 2x supersampled; beyond the battlefield's outline dimmed to 50% and greyed 40%</t>
        </is>
      </c>
      <c r="F17" t="n">
        <v>-95.869</v>
      </c>
      <c r="G17" t="n">
        <v>-90.599</v>
      </c>
      <c r="H17" t="n">
        <v>8</v>
      </c>
      <c r="I17" t="n">
        <v>-108.75</v>
      </c>
      <c r="J17" t="n">
        <v>-108.75</v>
      </c>
      <c r="K17" t="n">
        <v>46</v>
      </c>
      <c r="L17" t="n">
        <v>640</v>
      </c>
      <c r="M17" t="n">
        <v>-120.5</v>
      </c>
      <c r="N17" t="n">
        <v>-115.5</v>
      </c>
      <c r="O17" t="n">
        <v>120.032</v>
      </c>
      <c r="P17" t="n">
        <v>192.051</v>
      </c>
      <c r="Q17" t="inlineStr">
        <is>
          <t>72d95469e804f4f1552bae83360da5ccc85fa0e2</t>
        </is>
      </c>
      <c r="R17" t="inlineStr">
        <is>
          <t>Data/maps/rustyard_conquest</t>
        </is>
      </c>
      <c r="S17" t="n">
        <v>0.719</v>
      </c>
      <c r="T17" t="n">
        <v>0.695</v>
      </c>
      <c r="U17" t="n">
        <v>1</v>
      </c>
      <c r="V17" t="n">
        <v>1024</v>
      </c>
      <c r="W17" t="inlineStr">
        <is>
          <t>Assets/MachineBrigade/Resources/UI/Bases/rustyard.json</t>
        </is>
      </c>
      <c r="X17" t="inlineStr">
        <is>
          <t>{"version":1,"map":"rustyard","source":"Data/maps/rustyard_conquest","sha1":"72d95469e804f4f1552bae83360da5ccc85fa0e2","width":1024,"height":640,"centre":{"x":-95.869,"z":-90.599},"up":{"x":0.719,"z":0.695},"metresWide":192.051,"metresHigh":120.032,"hq":{"x":-120.5,"z":-115.5},"heading":46.0,"dropZone":{"x":-108.75,"z":-108.75},"dropRadius":8.0,"outline":[{"x":-138.497,"z":-42.288},{"x":-125.831,"z":-120.097},{"x":-98.17,"z":-128.925},{"x":-58.256,"z":-132.161},{"x":-36.872,"z":-116.48},{"x":-71.137,"z":-63.939}],"arrowsFrom":"route","arrows":[{"at":{"x":-93.347,"z":-56.8},"dir":{"x":-0.258,"z":-0.966},"routes":1},{"at":{"x":-69.797,"z":-65.994},"dir":{"x":-0.702,"z":-0.712},"routes":2},{"at":{"x":-44.359,"z":-105.0},"dir":{"x":-1.0,"z":0.0},"routes":1}],"brightness":0.448,"camera":"orthographic, straight down, front (HQ heading) up; the map's clear-day light (sun 1.35 #ffe9ca, soft shadows 0.7, the theme's cast), no fog, no vignette, exposure -0.35, saturation -8; 2x supersampled; beyond the battlefield's outline dimmed to 50% and greyed 40%"}</t>
        </is>
      </c>
    </row>
    <row r="18">
      <c r="A18" t="inlineStr">
        <is>
          <t>saltflat</t>
        </is>
      </c>
      <c r="B18" t="inlineStr">
        <is>
          <t>saltflat</t>
        </is>
      </c>
      <c r="C18" t="inlineStr">
        <is>
          <t>route</t>
        </is>
      </c>
      <c r="D18" t="n">
        <v>0.64</v>
      </c>
      <c r="E18" t="inlineStr">
        <is>
          <t>orthographic, straight down, front (HQ heading) up; the map's clear-day light (sun 1.35 #ffe9ca, soft shadows 0.7, the theme's cast), no fog, no vignette, exposure -0.35, saturation -8; 2x supersampled; beyond the battlefield's outline dimmed to 50% and greyed 40%</t>
        </is>
      </c>
      <c r="F18" t="n">
        <v>-99.137</v>
      </c>
      <c r="G18" t="n">
        <v>-96.77200000000001</v>
      </c>
      <c r="H18" t="n">
        <v>8</v>
      </c>
      <c r="I18" t="n">
        <v>-108.75</v>
      </c>
      <c r="J18" t="n">
        <v>-108.75</v>
      </c>
      <c r="K18" t="n">
        <v>46</v>
      </c>
      <c r="L18" t="n">
        <v>640</v>
      </c>
      <c r="M18" t="n">
        <v>-121</v>
      </c>
      <c r="N18" t="n">
        <v>-114.5</v>
      </c>
      <c r="O18" t="n">
        <v>135.002</v>
      </c>
      <c r="P18" t="n">
        <v>216.002</v>
      </c>
      <c r="Q18" t="inlineStr">
        <is>
          <t>2d100f8e7416c04d51b9416d2984fbfe39344751</t>
        </is>
      </c>
      <c r="R18" t="inlineStr">
        <is>
          <t>Data/maps/saltflat_conquest</t>
        </is>
      </c>
      <c r="S18" t="n">
        <v>0.719</v>
      </c>
      <c r="T18" t="n">
        <v>0.695</v>
      </c>
      <c r="U18" t="n">
        <v>1</v>
      </c>
      <c r="V18" t="n">
        <v>1024</v>
      </c>
      <c r="W18" t="inlineStr">
        <is>
          <t>Assets/MachineBrigade/Resources/UI/Bases/saltflat.json</t>
        </is>
      </c>
      <c r="X18" t="inlineStr">
        <is>
          <t>{"version":1,"map":"saltflat","source":"Data/maps/saltflat_conquest","sha1":"2d100f8e7416c04d51b9416d2984fbfe39344751","width":1024,"height":640,"centre":{"x":-99.137,"z":-96.772},"up":{"x":0.719,"z":0.695},"metresWide":216.002,"metresHigh":135.002,"hq":{"x":-121.0,"z":-114.5},"heading":46.0,"dropZone":{"x":-108.75,"z":-108.75},"dropRadius":8.0,"outline":[{"x":-138.0,"z":-140.0},{"x":-113.341,"z":-140.0},{"x":-58.396,"z":-127.79},{"x":-36.096,"z":-120.356},{"x":-61.094,"z":-77.502},{"x":-95.031,"z":-38.092},{"x":-138.0,"z":-51.596}],"arrowsFrom":"route","arrows":[{"at":{"x":-92.257,"z":-41.313},"dir":{"x":-0.22,"z":-0.976},"routes":1},{"at":{"x":-68.686,"z":-68.686},"dir":{"x":-0.707,"z":-0.707},"routes":2},{"at":{"x":-48.771,"z":-98.628},"dir":{"x":-0.986,"z":-0.164},"routes":1}],"brightness":0.64,"camera":"orthographic, straight down, front (HQ heading) up; the map's clear-day light (sun 1.35 #ffe9ca, soft shadows 0.7, the theme's cast), no fog, no vignette, exposure -0.35, saturation -8; 2x supersampled; beyond the battlefield's outline dimmed to 50% and greyed 40%"}</t>
        </is>
      </c>
    </row>
    <row r="19">
      <c r="A19" t="inlineStr">
        <is>
          <t>skyhold</t>
        </is>
      </c>
      <c r="B19" t="inlineStr">
        <is>
          <t>skyhold</t>
        </is>
      </c>
      <c r="C19" t="inlineStr">
        <is>
          <t>route</t>
        </is>
      </c>
      <c r="D19" t="n">
        <v>0.501</v>
      </c>
      <c r="E19" t="inlineStr">
        <is>
          <t>orthographic, straight down, front (HQ heading) up; the map's clear-day light (sun 1.35 #ffe9ca, soft shadows 0.7, the theme's cast), no fog, no vignette, exposure -0.35, saturation -8; 2x supersampled; beyond the battlefield's outline dimmed to 50% and greyed 40%</t>
        </is>
      </c>
      <c r="F19" t="n">
        <v>-104.219</v>
      </c>
      <c r="G19" t="n">
        <v>-100.42</v>
      </c>
      <c r="H19" t="n">
        <v>8</v>
      </c>
      <c r="I19" t="n">
        <v>-108.75</v>
      </c>
      <c r="J19" t="n">
        <v>-108.75</v>
      </c>
      <c r="K19" t="n">
        <v>46</v>
      </c>
      <c r="L19" t="n">
        <v>640</v>
      </c>
      <c r="M19" t="n">
        <v>-121</v>
      </c>
      <c r="N19" t="n">
        <v>-114.5</v>
      </c>
      <c r="O19" t="n">
        <v>122.621</v>
      </c>
      <c r="P19" t="n">
        <v>196.194</v>
      </c>
      <c r="Q19" t="inlineStr">
        <is>
          <t>e1646dbc7743e399b4dad8dae0d54e51b60cc07a</t>
        </is>
      </c>
      <c r="R19" t="inlineStr">
        <is>
          <t>Data/maps/skyhold_conquest</t>
        </is>
      </c>
      <c r="S19" t="n">
        <v>0.719</v>
      </c>
      <c r="T19" t="n">
        <v>0.695</v>
      </c>
      <c r="U19" t="n">
        <v>1</v>
      </c>
      <c r="V19" t="n">
        <v>1024</v>
      </c>
      <c r="W19" t="inlineStr">
        <is>
          <t>Assets/MachineBrigade/Resources/UI/Bases/skyhold.json</t>
        </is>
      </c>
      <c r="X19" t="inlineStr">
        <is>
          <t>{"version":1,"map":"skyhold","source":"Data/maps/skyhold_conquest","sha1":"e1646dbc7743e399b4dad8dae0d54e51b60cc07a","width":1024,"height":640,"centre":{"x":-104.219,"z":-100.42},"up":{"x":0.719,"z":0.695},"metresWide":196.194,"metresHigh":122.621,"hq":{"x":-121.0,"z":-114.5},"heading":46.0,"dropZone":{"x":-108.75,"z":-108.75},"dropRadius":8.0,"outline":[{"x":-138.304,"z":-140.0},{"x":-113.824,"z":-140.0},{"x":-59.554,"z":-136.808},{"x":-45.717,"z":-114.667},{"x":-67.383,"z":-86.159},{"x":-88.459,"z":-62.975},{"x":-133.572,"z":-44.178}],"arrowsFrom":"route","arrows":[{"at":{"x":-81.69,"z":-70.421},"dir":{"x":-0.564,"z":-0.825},"routes":2}],"brightness":0.501,"camera":"orthographic, straight down, front (HQ heading) up; the map's clear-day light (sun 1.35 #ffe9ca, soft shadows 0.7, the theme's cast), no fog, no vignette, exposure -0.35, saturation -8; 2x supersampled; beyond the battlefield's outline dimmed to 50% and greyed 40%"}</t>
        </is>
      </c>
    </row>
    <row r="20">
      <c r="A20" t="inlineStr">
        <is>
          <t>swamp</t>
        </is>
      </c>
      <c r="B20" t="inlineStr">
        <is>
          <t>swamp</t>
        </is>
      </c>
      <c r="C20" t="inlineStr">
        <is>
          <t>route</t>
        </is>
      </c>
      <c r="D20" t="n">
        <v>0.298</v>
      </c>
      <c r="E20" t="inlineStr">
        <is>
          <t>orthographic, straight down, front (HQ heading) up; the map's clear-day light (sun 1.35 #ffe9ca, soft shadows 0.7, the theme's cast), no fog, no vignette, exposure -0.35, saturation -8; 2x supersampled; beyond the battlefield's outline dimmed to 50% and greyed 40%</t>
        </is>
      </c>
      <c r="F20" t="n">
        <v>-92.857</v>
      </c>
      <c r="G20" t="n">
        <v>-97.857</v>
      </c>
      <c r="H20" t="n">
        <v>8</v>
      </c>
      <c r="I20" t="n">
        <v>-108.75</v>
      </c>
      <c r="J20" t="n">
        <v>-108.75</v>
      </c>
      <c r="K20" t="n">
        <v>45</v>
      </c>
      <c r="L20" t="n">
        <v>640</v>
      </c>
      <c r="M20" t="n">
        <v>-120</v>
      </c>
      <c r="N20" t="n">
        <v>-116.5</v>
      </c>
      <c r="O20" t="n">
        <v>114.751</v>
      </c>
      <c r="P20" t="n">
        <v>183.601</v>
      </c>
      <c r="Q20" t="inlineStr">
        <is>
          <t>86a6309db0d9e410d1fe970b5c63cf3d5ff6ee3b</t>
        </is>
      </c>
      <c r="R20" t="inlineStr">
        <is>
          <t>Data/maps/swamp_conquest</t>
        </is>
      </c>
      <c r="S20" t="n">
        <v>0.707</v>
      </c>
      <c r="T20" t="n">
        <v>0.707</v>
      </c>
      <c r="U20" t="n">
        <v>1</v>
      </c>
      <c r="V20" t="n">
        <v>1024</v>
      </c>
      <c r="W20" t="inlineStr">
        <is>
          <t>Assets/MachineBrigade/Resources/UI/Bases/swamp.json</t>
        </is>
      </c>
      <c r="X20" t="inlineStr">
        <is>
          <t>{"version":1,"map":"swamp","source":"Data/maps/swamp_conquest","sha1":"86a6309db0d9e410d1fe970b5c63cf3d5ff6ee3b","width":1024,"height":640,"centre":{"x":-92.857,"z":-97.857},"up":{"x":0.707,"z":0.707},"metresWide":183.601,"metresHigh":114.751,"hq":{"x":-120.0,"z":-116.5},"heading":45.0,"dropZone":{"x":-108.75,"z":-108.75},"dropRadius":8.0,"outline":[{"x":-132.228,"z":-72.806},{"x":-125.354,"z":-121.499},{"x":-54.654,"z":-136.478},{"x":-56.02,"z":-106.417},{"x":-59.367,"z":-84.107},{"x":-98.583,"z":-46.011},{"x":-122.155,"z":-55.178}],"arrowsFrom":"route","arrows":[{"at":{"x":-107.0,"z":-49.284},"dir":{"x":0.0,"z":-1.0},"routes":1},{"at":{"x":-82.364,"z":-61.767},"dir":{"x":-0.536,"z":-0.844},"routes":2},{"at":{"x":-56.01,"z":-106.638},"dir":{"x":-0.984,"z":-0.179},"routes":1}],"brightness":0.298,"camera":"orthographic, straight down, front (HQ heading) up; the map's clear-day light (sun 1.35 #ffe9ca, soft shadows 0.7, the theme's cast), no fog, no vignette, exposure -0.35, saturation -8; 2x supersampled; beyond the battlefield's outline dimmed to 50% and greyed 40%"}</t>
        </is>
      </c>
    </row>
    <row r="21">
      <c r="A21" t="inlineStr">
        <is>
          <t>whiteout</t>
        </is>
      </c>
      <c r="B21" t="inlineStr">
        <is>
          <t>whiteout</t>
        </is>
      </c>
      <c r="C21" t="inlineStr">
        <is>
          <t>route</t>
        </is>
      </c>
      <c r="D21" t="n">
        <v>0.773</v>
      </c>
      <c r="E21" t="inlineStr">
        <is>
          <t>orthographic, straight down, front (HQ heading) up; the map's clear-day light (sun 1.35 #ffe9ca, soft shadows 0.7, the theme's cast), no fog, no vignette, exposure -0.35, saturation -8; 2x supersampled; beyond the battlefield's outline dimmed to 50% and greyed 40%</t>
        </is>
      </c>
      <c r="F21" t="n">
        <v>-94.063</v>
      </c>
      <c r="G21" t="n">
        <v>-93.872</v>
      </c>
      <c r="H21" t="n">
        <v>8</v>
      </c>
      <c r="I21" t="n">
        <v>-108.75</v>
      </c>
      <c r="J21" t="n">
        <v>-108.75</v>
      </c>
      <c r="K21" t="n">
        <v>46</v>
      </c>
      <c r="L21" t="n">
        <v>640</v>
      </c>
      <c r="M21" t="n">
        <v>-121</v>
      </c>
      <c r="N21" t="n">
        <v>-114.5</v>
      </c>
      <c r="O21" t="n">
        <v>117.412</v>
      </c>
      <c r="P21" t="n">
        <v>187.859</v>
      </c>
      <c r="Q21" t="inlineStr">
        <is>
          <t>de86de582ca644fec6dab87de7fb74a8154e07c0</t>
        </is>
      </c>
      <c r="R21" t="inlineStr">
        <is>
          <t>Data/maps/whiteout_conquest</t>
        </is>
      </c>
      <c r="S21" t="n">
        <v>0.719</v>
      </c>
      <c r="T21" t="n">
        <v>0.695</v>
      </c>
      <c r="U21" t="n">
        <v>1</v>
      </c>
      <c r="V21" t="n">
        <v>1024</v>
      </c>
      <c r="W21" t="inlineStr">
        <is>
          <t>Assets/MachineBrigade/Resources/UI/Bases/whiteout.json</t>
        </is>
      </c>
      <c r="X21" t="inlineStr">
        <is>
          <t>{"version":1,"map":"whiteout","source":"Data/maps/whiteout_conquest","sha1":"de86de582ca644fec6dab87de7fb74a8154e07c0","width":1024,"height":640,"centre":{"x":-94.063,"z":-93.872},"up":{"x":0.719,"z":0.695},"metresWide":187.859,"metresHigh":117.412,"hq":{"x":-121.0,"z":-114.5},"heading":46.0,"dropZone":{"x":-108.75,"z":-108.75},"dropRadius":8.0,"outline":[{"x":-129.0,"z":-90.244},{"x":-126.664,"z":-118.859},{"x":-98.95,"z":-128.674},{"x":-69.279,"z":-138.565},{"x":-49.0,"z":-126.397},{"x":-49.0,"z":-90.19},{"x":-88.123,"z":-57.588},{"x":-127.548,"z":-46.142},{"x":-129.0,"z":-70.824}],"arrowsFrom":"route","arrows":[{"at":{"x":-102.67,"z":-53.364},"dir":{"x":-0.165,"z":-0.986},"routes":1},{"at":{"x":-71.431,"z":-71.497},"dir":{"x":-0.722,"z":-0.692},"routes":2},{"at":{"x":-49.0,"z":-99.364},"dir":{"x":-0.989,"z":-0.15},"routes":1}],"brightness":0.773,"camera":"orthographic, straight down, front (HQ heading) up; the map's clear-day light (sun 1.35 #ffe9ca, soft shadows 0.7, the theme's cast), no fog, no vignette, exposure -0.35, saturation -8; 2x supersampled; beyond the battlefield's outline dimmed to 50% and greyed 40%"}</t>
        </is>
      </c>
    </row>
  </sheetData>
  <autoFilter ref="A1:X2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8" customWidth="1" min="3" max="3"/>
    <col width="9" customWidth="1" min="4" max="4"/>
    <col width="9" customWidth="1" min="5" max="5"/>
    <col width="60" customWidth="1" min="6" max="6"/>
    <col width="28" customWidth="1" min="7" max="7"/>
  </cols>
  <sheetData>
    <row r="1">
      <c r="A1" s="1" t="inlineStr">
        <is>
          <t>id</t>
        </is>
      </c>
      <c r="B1" s="1" t="inlineStr">
        <is>
          <t>anh_can_cu_id</t>
        </is>
      </c>
      <c r="C1" s="1" t="inlineStr">
        <is>
          <t>thu_tu</t>
        </is>
      </c>
      <c r="D1" s="1" t="inlineStr">
        <is>
          <t>x_m</t>
        </is>
      </c>
      <c r="E1" s="1" t="inlineStr">
        <is>
          <t>z_m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ashfield/0</t>
        </is>
      </c>
      <c r="B2" t="inlineStr">
        <is>
          <t>ashfield</t>
        </is>
      </c>
      <c r="C2" t="n">
        <v>0</v>
      </c>
      <c r="D2" t="n">
        <v>-136.048</v>
      </c>
      <c r="E2" t="n">
        <v>-72.42700000000001</v>
      </c>
      <c r="F2" t="inlineStr">
        <is>
          <t>Assets/MachineBrigade/Resources/UI/Bases/ashfield.json: outline[0]</t>
        </is>
      </c>
      <c r="G2" t="inlineStr">
        <is>
          <t>{"x":-136.048,"z":-72.427}</t>
        </is>
      </c>
    </row>
    <row r="3">
      <c r="A3" t="inlineStr">
        <is>
          <t>ashfield/1</t>
        </is>
      </c>
      <c r="B3" t="inlineStr">
        <is>
          <t>ashfield</t>
        </is>
      </c>
      <c r="C3" t="n">
        <v>1</v>
      </c>
      <c r="D3" t="n">
        <v>-125.623</v>
      </c>
      <c r="E3" t="n">
        <v>-120.163</v>
      </c>
      <c r="F3" t="inlineStr">
        <is>
          <t>Assets/MachineBrigade/Resources/UI/Bases/ashfield.json: outline[1]</t>
        </is>
      </c>
      <c r="G3" t="inlineStr">
        <is>
          <t>{"x":-125.623,"z":-120.163}</t>
        </is>
      </c>
    </row>
    <row r="4">
      <c r="A4" t="inlineStr">
        <is>
          <t>ashfield/2</t>
        </is>
      </c>
      <c r="B4" t="inlineStr">
        <is>
          <t>ashfield</t>
        </is>
      </c>
      <c r="C4" t="n">
        <v>2</v>
      </c>
      <c r="D4" t="n">
        <v>-98.538</v>
      </c>
      <c r="E4" t="n">
        <v>-128.807</v>
      </c>
      <c r="F4" t="inlineStr">
        <is>
          <t>Assets/MachineBrigade/Resources/UI/Bases/ashfield.json: outline[2]</t>
        </is>
      </c>
      <c r="G4" t="inlineStr">
        <is>
          <t>{"x":-98.538,"z":-128.807}</t>
        </is>
      </c>
    </row>
    <row r="5">
      <c r="A5" t="inlineStr">
        <is>
          <t>ashfield/3</t>
        </is>
      </c>
      <c r="B5" t="inlineStr">
        <is>
          <t>ashfield</t>
        </is>
      </c>
      <c r="C5" t="n">
        <v>3</v>
      </c>
      <c r="D5" t="n">
        <v>-64.20399999999999</v>
      </c>
      <c r="E5" t="n">
        <v>-136.09</v>
      </c>
      <c r="F5" t="inlineStr">
        <is>
          <t>Assets/MachineBrigade/Resources/UI/Bases/ashfield.json: outline[3]</t>
        </is>
      </c>
      <c r="G5" t="inlineStr">
        <is>
          <t>{"x":-64.204,"z":-136.09}</t>
        </is>
      </c>
    </row>
    <row r="6">
      <c r="A6" t="inlineStr">
        <is>
          <t>ashfield/4</t>
        </is>
      </c>
      <c r="B6" t="inlineStr">
        <is>
          <t>ashfield</t>
        </is>
      </c>
      <c r="C6" t="n">
        <v>4</v>
      </c>
      <c r="D6" t="n">
        <v>-31.872</v>
      </c>
      <c r="E6" t="n">
        <v>-131.471</v>
      </c>
      <c r="F6" t="inlineStr">
        <is>
          <t>Assets/MachineBrigade/Resources/UI/Bases/ashfield.json: outline[4]</t>
        </is>
      </c>
      <c r="G6" t="inlineStr">
        <is>
          <t>{"x":-31.872,"z":-131.471}</t>
        </is>
      </c>
    </row>
    <row r="7">
      <c r="A7" t="inlineStr">
        <is>
          <t>ashfield/5</t>
        </is>
      </c>
      <c r="B7" t="inlineStr">
        <is>
          <t>ashfield</t>
        </is>
      </c>
      <c r="C7" t="n">
        <v>5</v>
      </c>
      <c r="D7" t="n">
        <v>-67.29000000000001</v>
      </c>
      <c r="E7" t="n">
        <v>-86.283</v>
      </c>
      <c r="F7" t="inlineStr">
        <is>
          <t>Assets/MachineBrigade/Resources/UI/Bases/ashfield.json: outline[5]</t>
        </is>
      </c>
      <c r="G7" t="inlineStr">
        <is>
          <t>{"x":-67.29,"z":-86.283}</t>
        </is>
      </c>
    </row>
    <row r="8">
      <c r="A8" t="inlineStr">
        <is>
          <t>ashfield/6</t>
        </is>
      </c>
      <c r="B8" t="inlineStr">
        <is>
          <t>ashfield</t>
        </is>
      </c>
      <c r="C8" t="n">
        <v>6</v>
      </c>
      <c r="D8" t="n">
        <v>-99.589</v>
      </c>
      <c r="E8" t="n">
        <v>-45.648</v>
      </c>
      <c r="F8" t="inlineStr">
        <is>
          <t>Assets/MachineBrigade/Resources/UI/Bases/ashfield.json: outline[6]</t>
        </is>
      </c>
      <c r="G8" t="inlineStr">
        <is>
          <t>{"x":-99.589,"z":-45.648}</t>
        </is>
      </c>
    </row>
    <row r="9">
      <c r="A9" t="inlineStr">
        <is>
          <t>ashfield/7</t>
        </is>
      </c>
      <c r="B9" t="inlineStr">
        <is>
          <t>ashfield</t>
        </is>
      </c>
      <c r="C9" t="n">
        <v>7</v>
      </c>
      <c r="D9" t="n">
        <v>-133.462</v>
      </c>
      <c r="E9" t="n">
        <v>-37.519</v>
      </c>
      <c r="F9" t="inlineStr">
        <is>
          <t>Assets/MachineBrigade/Resources/UI/Bases/ashfield.json: outline[7]</t>
        </is>
      </c>
      <c r="G9" t="inlineStr">
        <is>
          <t>{"x":-133.462,"z":-37.519}</t>
        </is>
      </c>
    </row>
    <row r="10">
      <c r="A10" t="inlineStr">
        <is>
          <t>borderbridge/0</t>
        </is>
      </c>
      <c r="B10" t="inlineStr">
        <is>
          <t>borderbridge</t>
        </is>
      </c>
      <c r="C10" t="n">
        <v>0</v>
      </c>
      <c r="D10" t="n">
        <v>-138.253</v>
      </c>
      <c r="E10" t="n">
        <v>-47.979</v>
      </c>
      <c r="F10" t="inlineStr">
        <is>
          <t>Assets/MachineBrigade/Resources/UI/Bases/borderbridge.json: outline[0]</t>
        </is>
      </c>
      <c r="G10" t="inlineStr">
        <is>
          <t>{"x":-138.253,"z":-47.979}</t>
        </is>
      </c>
    </row>
    <row r="11">
      <c r="A11" t="inlineStr">
        <is>
          <t>borderbridge/1</t>
        </is>
      </c>
      <c r="B11" t="inlineStr">
        <is>
          <t>borderbridge</t>
        </is>
      </c>
      <c r="C11" t="n">
        <v>1</v>
      </c>
      <c r="D11" t="n">
        <v>-133.943</v>
      </c>
      <c r="E11" t="n">
        <v>-87.849</v>
      </c>
      <c r="F11" t="inlineStr">
        <is>
          <t>Assets/MachineBrigade/Resources/UI/Bases/borderbridge.json: outline[1]</t>
        </is>
      </c>
      <c r="G11" t="inlineStr">
        <is>
          <t>{"x":-133.943,"z":-87.849}</t>
        </is>
      </c>
    </row>
    <row r="12">
      <c r="A12" t="inlineStr">
        <is>
          <t>borderbridge/2</t>
        </is>
      </c>
      <c r="B12" t="inlineStr">
        <is>
          <t>borderbridge</t>
        </is>
      </c>
      <c r="C12" t="n">
        <v>2</v>
      </c>
      <c r="D12" t="n">
        <v>-125.027</v>
      </c>
      <c r="E12" t="n">
        <v>-138</v>
      </c>
      <c r="F12" t="inlineStr">
        <is>
          <t>Assets/MachineBrigade/Resources/UI/Bases/borderbridge.json: outline[2]</t>
        </is>
      </c>
      <c r="G12" t="inlineStr">
        <is>
          <t>{"x":-125.027,"z":-138.0}</t>
        </is>
      </c>
    </row>
    <row r="13">
      <c r="A13" t="inlineStr">
        <is>
          <t>borderbridge/3</t>
        </is>
      </c>
      <c r="B13" t="inlineStr">
        <is>
          <t>borderbridge</t>
        </is>
      </c>
      <c r="C13" t="n">
        <v>3</v>
      </c>
      <c r="D13" t="n">
        <v>-65.253</v>
      </c>
      <c r="E13" t="n">
        <v>-138</v>
      </c>
      <c r="F13" t="inlineStr">
        <is>
          <t>Assets/MachineBrigade/Resources/UI/Bases/borderbridge.json: outline[3]</t>
        </is>
      </c>
      <c r="G13" t="inlineStr">
        <is>
          <t>{"x":-65.253,"z":-138.0}</t>
        </is>
      </c>
    </row>
    <row r="14">
      <c r="A14" t="inlineStr">
        <is>
          <t>borderbridge/4</t>
        </is>
      </c>
      <c r="B14" t="inlineStr">
        <is>
          <t>borderbridge</t>
        </is>
      </c>
      <c r="C14" t="n">
        <v>4</v>
      </c>
      <c r="D14" t="n">
        <v>-38.273</v>
      </c>
      <c r="E14" t="n">
        <v>-120.831</v>
      </c>
      <c r="F14" t="inlineStr">
        <is>
          <t>Assets/MachineBrigade/Resources/UI/Bases/borderbridge.json: outline[4]</t>
        </is>
      </c>
      <c r="G14" t="inlineStr">
        <is>
          <t>{"x":-38.273,"z":-120.831}</t>
        </is>
      </c>
    </row>
    <row r="15">
      <c r="A15" t="inlineStr">
        <is>
          <t>borderbridge/5</t>
        </is>
      </c>
      <c r="B15" t="inlineStr">
        <is>
          <t>borderbridge</t>
        </is>
      </c>
      <c r="C15" t="n">
        <v>5</v>
      </c>
      <c r="D15" t="n">
        <v>-43.336</v>
      </c>
      <c r="E15" t="n">
        <v>-96.777</v>
      </c>
      <c r="F15" t="inlineStr">
        <is>
          <t>Assets/MachineBrigade/Resources/UI/Bases/borderbridge.json: outline[5]</t>
        </is>
      </c>
      <c r="G15" t="inlineStr">
        <is>
          <t>{"x":-43.336,"z":-96.777}</t>
        </is>
      </c>
    </row>
    <row r="16">
      <c r="A16" t="inlineStr">
        <is>
          <t>borderbridge/6</t>
        </is>
      </c>
      <c r="B16" t="inlineStr">
        <is>
          <t>borderbridge</t>
        </is>
      </c>
      <c r="C16" t="n">
        <v>6</v>
      </c>
      <c r="D16" t="n">
        <v>-53.235</v>
      </c>
      <c r="E16" t="n">
        <v>-80.28</v>
      </c>
      <c r="F16" t="inlineStr">
        <is>
          <t>Assets/MachineBrigade/Resources/UI/Bases/borderbridge.json: outline[6]</t>
        </is>
      </c>
      <c r="G16" t="inlineStr">
        <is>
          <t>{"x":-53.235,"z":-80.28}</t>
        </is>
      </c>
    </row>
    <row r="17">
      <c r="A17" t="inlineStr">
        <is>
          <t>borderbridge/7</t>
        </is>
      </c>
      <c r="B17" t="inlineStr">
        <is>
          <t>borderbridge</t>
        </is>
      </c>
      <c r="C17" t="n">
        <v>7</v>
      </c>
      <c r="D17" t="n">
        <v>-75.822</v>
      </c>
      <c r="E17" t="n">
        <v>-57.693</v>
      </c>
      <c r="F17" t="inlineStr">
        <is>
          <t>Assets/MachineBrigade/Resources/UI/Bases/borderbridge.json: outline[7]</t>
        </is>
      </c>
      <c r="G17" t="inlineStr">
        <is>
          <t>{"x":-75.822,"z":-57.693}</t>
        </is>
      </c>
    </row>
    <row r="18">
      <c r="A18" t="inlineStr">
        <is>
          <t>borderbridge/8</t>
        </is>
      </c>
      <c r="B18" t="inlineStr">
        <is>
          <t>borderbridge</t>
        </is>
      </c>
      <c r="C18" t="n">
        <v>8</v>
      </c>
      <c r="D18" t="n">
        <v>-114.356</v>
      </c>
      <c r="E18" t="n">
        <v>-21.426</v>
      </c>
      <c r="F18" t="inlineStr">
        <is>
          <t>Assets/MachineBrigade/Resources/UI/Bases/borderbridge.json: outline[8]</t>
        </is>
      </c>
      <c r="G18" t="inlineStr">
        <is>
          <t>{"x":-114.356,"z":-21.426}</t>
        </is>
      </c>
    </row>
    <row r="19">
      <c r="A19" t="inlineStr">
        <is>
          <t>capital/0</t>
        </is>
      </c>
      <c r="B19" t="inlineStr">
        <is>
          <t>capital</t>
        </is>
      </c>
      <c r="C19" t="n">
        <v>0</v>
      </c>
      <c r="D19" t="n">
        <v>-140.043</v>
      </c>
      <c r="E19" t="n">
        <v>-70.405</v>
      </c>
      <c r="F19" t="inlineStr">
        <is>
          <t>Assets/MachineBrigade/Resources/UI/Bases/capital.json: outline[0]</t>
        </is>
      </c>
      <c r="G19" t="inlineStr">
        <is>
          <t>{"x":-140.043,"z":-70.405}</t>
        </is>
      </c>
    </row>
    <row r="20">
      <c r="A20" t="inlineStr">
        <is>
          <t>capital/1</t>
        </is>
      </c>
      <c r="B20" t="inlineStr">
        <is>
          <t>capital</t>
        </is>
      </c>
      <c r="C20" t="n">
        <v>1</v>
      </c>
      <c r="D20" t="n">
        <v>-126.068</v>
      </c>
      <c r="E20" t="n">
        <v>-138.127</v>
      </c>
      <c r="F20" t="inlineStr">
        <is>
          <t>Assets/MachineBrigade/Resources/UI/Bases/capital.json: outline[1]</t>
        </is>
      </c>
      <c r="G20" t="inlineStr">
        <is>
          <t>{"x":-126.068,"z":-138.127}</t>
        </is>
      </c>
    </row>
    <row r="21">
      <c r="A21" t="inlineStr">
        <is>
          <t>capital/2</t>
        </is>
      </c>
      <c r="B21" t="inlineStr">
        <is>
          <t>capital</t>
        </is>
      </c>
      <c r="C21" t="n">
        <v>2</v>
      </c>
      <c r="D21" t="n">
        <v>-82.916</v>
      </c>
      <c r="E21" t="n">
        <v>-146.518</v>
      </c>
      <c r="F21" t="inlineStr">
        <is>
          <t>Assets/MachineBrigade/Resources/UI/Bases/capital.json: outline[2]</t>
        </is>
      </c>
      <c r="G21" t="inlineStr">
        <is>
          <t>{"x":-82.916,"z":-146.518}</t>
        </is>
      </c>
    </row>
    <row r="22">
      <c r="A22" t="inlineStr">
        <is>
          <t>capital/3</t>
        </is>
      </c>
      <c r="B22" t="inlineStr">
        <is>
          <t>capital</t>
        </is>
      </c>
      <c r="C22" t="n">
        <v>3</v>
      </c>
      <c r="D22" t="n">
        <v>-60.882</v>
      </c>
      <c r="E22" t="n">
        <v>-123.324</v>
      </c>
      <c r="F22" t="inlineStr">
        <is>
          <t>Assets/MachineBrigade/Resources/UI/Bases/capital.json: outline[3]</t>
        </is>
      </c>
      <c r="G22" t="inlineStr">
        <is>
          <t>{"x":-60.882,"z":-123.324}</t>
        </is>
      </c>
    </row>
    <row r="23">
      <c r="A23" t="inlineStr">
        <is>
          <t>capital/4</t>
        </is>
      </c>
      <c r="B23" t="inlineStr">
        <is>
          <t>capital</t>
        </is>
      </c>
      <c r="C23" t="n">
        <v>4</v>
      </c>
      <c r="D23" t="n">
        <v>-48.194</v>
      </c>
      <c r="E23" t="n">
        <v>-92.66200000000001</v>
      </c>
      <c r="F23" t="inlineStr">
        <is>
          <t>Assets/MachineBrigade/Resources/UI/Bases/capital.json: outline[4]</t>
        </is>
      </c>
      <c r="G23" t="inlineStr">
        <is>
          <t>{"x":-48.194,"z":-92.662}</t>
        </is>
      </c>
    </row>
    <row r="24">
      <c r="A24" t="inlineStr">
        <is>
          <t>capital/5</t>
        </is>
      </c>
      <c r="B24" t="inlineStr">
        <is>
          <t>capital</t>
        </is>
      </c>
      <c r="C24" t="n">
        <v>5</v>
      </c>
      <c r="D24" t="n">
        <v>-44.397</v>
      </c>
      <c r="E24" t="n">
        <v>-69.876</v>
      </c>
      <c r="F24" t="inlineStr">
        <is>
          <t>Assets/MachineBrigade/Resources/UI/Bases/capital.json: outline[5]</t>
        </is>
      </c>
      <c r="G24" t="inlineStr">
        <is>
          <t>{"x":-44.397,"z":-69.876}</t>
        </is>
      </c>
    </row>
    <row r="25">
      <c r="A25" t="inlineStr">
        <is>
          <t>capital/6</t>
        </is>
      </c>
      <c r="B25" t="inlineStr">
        <is>
          <t>capital</t>
        </is>
      </c>
      <c r="C25" t="n">
        <v>6</v>
      </c>
      <c r="D25" t="n">
        <v>-136.318</v>
      </c>
      <c r="E25" t="n">
        <v>-17.021</v>
      </c>
      <c r="F25" t="inlineStr">
        <is>
          <t>Assets/MachineBrigade/Resources/UI/Bases/capital.json: outline[6]</t>
        </is>
      </c>
      <c r="G25" t="inlineStr">
        <is>
          <t>{"x":-136.318,"z":-17.021}</t>
        </is>
      </c>
    </row>
    <row r="26">
      <c r="A26" t="inlineStr">
        <is>
          <t>coralisles/0</t>
        </is>
      </c>
      <c r="B26" t="inlineStr">
        <is>
          <t>coralisles</t>
        </is>
      </c>
      <c r="C26" t="n">
        <v>0</v>
      </c>
      <c r="D26" t="n">
        <v>-140.402</v>
      </c>
      <c r="E26" t="n">
        <v>-140</v>
      </c>
      <c r="F26" t="inlineStr">
        <is>
          <t>Assets/MachineBrigade/Resources/UI/Bases/coralisles.json: outline[0]</t>
        </is>
      </c>
      <c r="G26" t="inlineStr">
        <is>
          <t>{"x":-140.402,"z":-140.0}</t>
        </is>
      </c>
    </row>
    <row r="27">
      <c r="A27" t="inlineStr">
        <is>
          <t>coralisles/1</t>
        </is>
      </c>
      <c r="B27" t="inlineStr">
        <is>
          <t>coralisles</t>
        </is>
      </c>
      <c r="C27" t="n">
        <v>1</v>
      </c>
      <c r="D27" t="n">
        <v>-63.554</v>
      </c>
      <c r="E27" t="n">
        <v>-140</v>
      </c>
      <c r="F27" t="inlineStr">
        <is>
          <t>Assets/MachineBrigade/Resources/UI/Bases/coralisles.json: outline[1]</t>
        </is>
      </c>
      <c r="G27" t="inlineStr">
        <is>
          <t>{"x":-63.554,"z":-140.0}</t>
        </is>
      </c>
    </row>
    <row r="28">
      <c r="A28" t="inlineStr">
        <is>
          <t>coralisles/2</t>
        </is>
      </c>
      <c r="B28" t="inlineStr">
        <is>
          <t>coralisles</t>
        </is>
      </c>
      <c r="C28" t="n">
        <v>2</v>
      </c>
      <c r="D28" t="n">
        <v>-54.9</v>
      </c>
      <c r="E28" t="n">
        <v>-111.565</v>
      </c>
      <c r="F28" t="inlineStr">
        <is>
          <t>Assets/MachineBrigade/Resources/UI/Bases/coralisles.json: outline[2]</t>
        </is>
      </c>
      <c r="G28" t="inlineStr">
        <is>
          <t>{"x":-54.9,"z":-111.565}</t>
        </is>
      </c>
    </row>
    <row r="29">
      <c r="A29" t="inlineStr">
        <is>
          <t>coralisles/3</t>
        </is>
      </c>
      <c r="B29" t="inlineStr">
        <is>
          <t>coralisles</t>
        </is>
      </c>
      <c r="C29" t="n">
        <v>3</v>
      </c>
      <c r="D29" t="n">
        <v>-57.313</v>
      </c>
      <c r="E29" t="n">
        <v>-89.85299999999999</v>
      </c>
      <c r="F29" t="inlineStr">
        <is>
          <t>Assets/MachineBrigade/Resources/UI/Bases/coralisles.json: outline[3]</t>
        </is>
      </c>
      <c r="G29" t="inlineStr">
        <is>
          <t>{"x":-57.313,"z":-89.853}</t>
        </is>
      </c>
    </row>
    <row r="30">
      <c r="A30" t="inlineStr">
        <is>
          <t>coralisles/4</t>
        </is>
      </c>
      <c r="B30" t="inlineStr">
        <is>
          <t>coralisles</t>
        </is>
      </c>
      <c r="C30" t="n">
        <v>4</v>
      </c>
      <c r="D30" t="n">
        <v>-89.06100000000001</v>
      </c>
      <c r="E30" t="n">
        <v>-64.673</v>
      </c>
      <c r="F30" t="inlineStr">
        <is>
          <t>Assets/MachineBrigade/Resources/UI/Bases/coralisles.json: outline[4]</t>
        </is>
      </c>
      <c r="G30" t="inlineStr">
        <is>
          <t>{"x":-89.061,"z":-64.673}</t>
        </is>
      </c>
    </row>
    <row r="31">
      <c r="A31" t="inlineStr">
        <is>
          <t>coralisles/5</t>
        </is>
      </c>
      <c r="B31" t="inlineStr">
        <is>
          <t>coralisles</t>
        </is>
      </c>
      <c r="C31" t="n">
        <v>5</v>
      </c>
      <c r="D31" t="n">
        <v>-134.475</v>
      </c>
      <c r="E31" t="n">
        <v>-48.717</v>
      </c>
      <c r="F31" t="inlineStr">
        <is>
          <t>Assets/MachineBrigade/Resources/UI/Bases/coralisles.json: outline[5]</t>
        </is>
      </c>
      <c r="G31" t="inlineStr">
        <is>
          <t>{"x":-134.475,"z":-48.717}</t>
        </is>
      </c>
    </row>
    <row r="32">
      <c r="A32" t="inlineStr">
        <is>
          <t>dunebreak/0</t>
        </is>
      </c>
      <c r="B32" t="inlineStr">
        <is>
          <t>dunebreak</t>
        </is>
      </c>
      <c r="C32" t="n">
        <v>0</v>
      </c>
      <c r="D32" t="n">
        <v>-141.801</v>
      </c>
      <c r="E32" t="n">
        <v>-140.86</v>
      </c>
      <c r="F32" t="inlineStr">
        <is>
          <t>Assets/MachineBrigade/Resources/UI/Bases/dunebreak.json: outline[0]</t>
        </is>
      </c>
      <c r="G32" t="inlineStr">
        <is>
          <t>{"x":-141.801,"z":-140.86}</t>
        </is>
      </c>
    </row>
    <row r="33">
      <c r="A33" t="inlineStr">
        <is>
          <t>dunebreak/1</t>
        </is>
      </c>
      <c r="B33" t="inlineStr">
        <is>
          <t>dunebreak</t>
        </is>
      </c>
      <c r="C33" t="n">
        <v>1</v>
      </c>
      <c r="D33" t="n">
        <v>-40.849</v>
      </c>
      <c r="E33" t="n">
        <v>-130.17</v>
      </c>
      <c r="F33" t="inlineStr">
        <is>
          <t>Assets/MachineBrigade/Resources/UI/Bases/dunebreak.json: outline[1]</t>
        </is>
      </c>
      <c r="G33" t="inlineStr">
        <is>
          <t>{"x":-40.849,"z":-130.17}</t>
        </is>
      </c>
    </row>
    <row r="34">
      <c r="A34" t="inlineStr">
        <is>
          <t>dunebreak/2</t>
        </is>
      </c>
      <c r="B34" t="inlineStr">
        <is>
          <t>dunebreak</t>
        </is>
      </c>
      <c r="C34" t="n">
        <v>2</v>
      </c>
      <c r="D34" t="n">
        <v>-59.85</v>
      </c>
      <c r="E34" t="n">
        <v>-75.542</v>
      </c>
      <c r="F34" t="inlineStr">
        <is>
          <t>Assets/MachineBrigade/Resources/UI/Bases/dunebreak.json: outline[2]</t>
        </is>
      </c>
      <c r="G34" t="inlineStr">
        <is>
          <t>{"x":-59.85,"z":-75.542}</t>
        </is>
      </c>
    </row>
    <row r="35">
      <c r="A35" t="inlineStr">
        <is>
          <t>dunebreak/3</t>
        </is>
      </c>
      <c r="B35" t="inlineStr">
        <is>
          <t>dunebreak</t>
        </is>
      </c>
      <c r="C35" t="n">
        <v>3</v>
      </c>
      <c r="D35" t="n">
        <v>-99.46299999999999</v>
      </c>
      <c r="E35" t="n">
        <v>-40.59</v>
      </c>
      <c r="F35" t="inlineStr">
        <is>
          <t>Assets/MachineBrigade/Resources/UI/Bases/dunebreak.json: outline[3]</t>
        </is>
      </c>
      <c r="G35" t="inlineStr">
        <is>
          <t>{"x":-99.463,"z":-40.59}</t>
        </is>
      </c>
    </row>
    <row r="36">
      <c r="A36" t="inlineStr">
        <is>
          <t>dunebreak/4</t>
        </is>
      </c>
      <c r="B36" t="inlineStr">
        <is>
          <t>dunebreak</t>
        </is>
      </c>
      <c r="C36" t="n">
        <v>4</v>
      </c>
      <c r="D36" t="n">
        <v>-124.479</v>
      </c>
      <c r="E36" t="n">
        <v>-68.107</v>
      </c>
      <c r="F36" t="inlineStr">
        <is>
          <t>Assets/MachineBrigade/Resources/UI/Bases/dunebreak.json: outline[4]</t>
        </is>
      </c>
      <c r="G36" t="inlineStr">
        <is>
          <t>{"x":-124.479,"z":-68.107}</t>
        </is>
      </c>
    </row>
    <row r="37">
      <c r="A37" t="inlineStr">
        <is>
          <t>emberridge/0</t>
        </is>
      </c>
      <c r="B37" t="inlineStr">
        <is>
          <t>emberridge</t>
        </is>
      </c>
      <c r="C37" t="n">
        <v>0</v>
      </c>
      <c r="D37" t="n">
        <v>-136.132</v>
      </c>
      <c r="E37" t="n">
        <v>-71.935</v>
      </c>
      <c r="F37" t="inlineStr">
        <is>
          <t>Assets/MachineBrigade/Resources/UI/Bases/emberridge.json: outline[0]</t>
        </is>
      </c>
      <c r="G37" t="inlineStr">
        <is>
          <t>{"x":-136.132,"z":-71.935}</t>
        </is>
      </c>
    </row>
    <row r="38">
      <c r="A38" t="inlineStr">
        <is>
          <t>emberridge/1</t>
        </is>
      </c>
      <c r="B38" t="inlineStr">
        <is>
          <t>emberridge</t>
        </is>
      </c>
      <c r="C38" t="n">
        <v>1</v>
      </c>
      <c r="D38" t="n">
        <v>-126.788</v>
      </c>
      <c r="E38" t="n">
        <v>-118.653</v>
      </c>
      <c r="F38" t="inlineStr">
        <is>
          <t>Assets/MachineBrigade/Resources/UI/Bases/emberridge.json: outline[1]</t>
        </is>
      </c>
      <c r="G38" t="inlineStr">
        <is>
          <t>{"x":-126.788,"z":-118.653}</t>
        </is>
      </c>
    </row>
    <row r="39">
      <c r="A39" t="inlineStr">
        <is>
          <t>emberridge/2</t>
        </is>
      </c>
      <c r="B39" t="inlineStr">
        <is>
          <t>emberridge</t>
        </is>
      </c>
      <c r="C39" t="n">
        <v>2</v>
      </c>
      <c r="D39" t="n">
        <v>-100.331</v>
      </c>
      <c r="E39" t="n">
        <v>-131</v>
      </c>
      <c r="F39" t="inlineStr">
        <is>
          <t>Assets/MachineBrigade/Resources/UI/Bases/emberridge.json: outline[2]</t>
        </is>
      </c>
      <c r="G39" t="inlineStr">
        <is>
          <t>{"x":-100.331,"z":-131.0}</t>
        </is>
      </c>
    </row>
    <row r="40">
      <c r="A40" t="inlineStr">
        <is>
          <t>emberridge/3</t>
        </is>
      </c>
      <c r="B40" t="inlineStr">
        <is>
          <t>emberridge</t>
        </is>
      </c>
      <c r="C40" t="n">
        <v>3</v>
      </c>
      <c r="D40" t="n">
        <v>-41.882</v>
      </c>
      <c r="E40" t="n">
        <v>-131</v>
      </c>
      <c r="F40" t="inlineStr">
        <is>
          <t>Assets/MachineBrigade/Resources/UI/Bases/emberridge.json: outline[3]</t>
        </is>
      </c>
      <c r="G40" t="inlineStr">
        <is>
          <t>{"x":-41.882,"z":-131.0}</t>
        </is>
      </c>
    </row>
    <row r="41">
      <c r="A41" t="inlineStr">
        <is>
          <t>emberridge/4</t>
        </is>
      </c>
      <c r="B41" t="inlineStr">
        <is>
          <t>emberridge</t>
        </is>
      </c>
      <c r="C41" t="n">
        <v>4</v>
      </c>
      <c r="D41" t="n">
        <v>-74.84399999999999</v>
      </c>
      <c r="E41" t="n">
        <v>-54.482</v>
      </c>
      <c r="F41" t="inlineStr">
        <is>
          <t>Assets/MachineBrigade/Resources/UI/Bases/emberridge.json: outline[4]</t>
        </is>
      </c>
      <c r="G41" t="inlineStr">
        <is>
          <t>{"x":-74.844,"z":-54.482}</t>
        </is>
      </c>
    </row>
    <row r="42">
      <c r="A42" t="inlineStr">
        <is>
          <t>emberridge/5</t>
        </is>
      </c>
      <c r="B42" t="inlineStr">
        <is>
          <t>emberridge</t>
        </is>
      </c>
      <c r="C42" t="n">
        <v>5</v>
      </c>
      <c r="D42" t="n">
        <v>-130.67</v>
      </c>
      <c r="E42" t="n">
        <v>-47.355</v>
      </c>
      <c r="F42" t="inlineStr">
        <is>
          <t>Assets/MachineBrigade/Resources/UI/Bases/emberridge.json: outline[5]</t>
        </is>
      </c>
      <c r="G42" t="inlineStr">
        <is>
          <t>{"x":-130.67,"z":-47.355}</t>
        </is>
      </c>
    </row>
    <row r="43">
      <c r="A43" t="inlineStr">
        <is>
          <t>frostpeak/0</t>
        </is>
      </c>
      <c r="B43" t="inlineStr">
        <is>
          <t>frostpeak</t>
        </is>
      </c>
      <c r="C43" t="n">
        <v>0</v>
      </c>
      <c r="D43" t="n">
        <v>-138.799</v>
      </c>
      <c r="E43" t="n">
        <v>-61.082</v>
      </c>
      <c r="F43" t="inlineStr">
        <is>
          <t>Assets/MachineBrigade/Resources/UI/Bases/frostpeak.json: outline[0]</t>
        </is>
      </c>
      <c r="G43" t="inlineStr">
        <is>
          <t>{"x":-138.799,"z":-61.082}</t>
        </is>
      </c>
    </row>
    <row r="44">
      <c r="A44" t="inlineStr">
        <is>
          <t>frostpeak/1</t>
        </is>
      </c>
      <c r="B44" t="inlineStr">
        <is>
          <t>frostpeak</t>
        </is>
      </c>
      <c r="C44" t="n">
        <v>1</v>
      </c>
      <c r="D44" t="n">
        <v>-125.605</v>
      </c>
      <c r="E44" t="n">
        <v>-120.169</v>
      </c>
      <c r="F44" t="inlineStr">
        <is>
          <t>Assets/MachineBrigade/Resources/UI/Bases/frostpeak.json: outline[1]</t>
        </is>
      </c>
      <c r="G44" t="inlineStr">
        <is>
          <t>{"x":-125.605,"z":-120.169}</t>
        </is>
      </c>
    </row>
    <row r="45">
      <c r="A45" t="inlineStr">
        <is>
          <t>frostpeak/2</t>
        </is>
      </c>
      <c r="B45" t="inlineStr">
        <is>
          <t>frostpeak</t>
        </is>
      </c>
      <c r="C45" t="n">
        <v>2</v>
      </c>
      <c r="D45" t="n">
        <v>-97.934</v>
      </c>
      <c r="E45" t="n">
        <v>-129</v>
      </c>
      <c r="F45" t="inlineStr">
        <is>
          <t>Assets/MachineBrigade/Resources/UI/Bases/frostpeak.json: outline[2]</t>
        </is>
      </c>
      <c r="G45" t="inlineStr">
        <is>
          <t>{"x":-97.934,"z":-129.0}</t>
        </is>
      </c>
    </row>
    <row r="46">
      <c r="A46" t="inlineStr">
        <is>
          <t>frostpeak/3</t>
        </is>
      </c>
      <c r="B46" t="inlineStr">
        <is>
          <t>frostpeak</t>
        </is>
      </c>
      <c r="C46" t="n">
        <v>3</v>
      </c>
      <c r="D46" t="n">
        <v>-76.55800000000001</v>
      </c>
      <c r="E46" t="n">
        <v>-129</v>
      </c>
      <c r="F46" t="inlineStr">
        <is>
          <t>Assets/MachineBrigade/Resources/UI/Bases/frostpeak.json: outline[3]</t>
        </is>
      </c>
      <c r="G46" t="inlineStr">
        <is>
          <t>{"x":-76.558,"z":-129.0}</t>
        </is>
      </c>
    </row>
    <row r="47">
      <c r="A47" t="inlineStr">
        <is>
          <t>frostpeak/4</t>
        </is>
      </c>
      <c r="B47" t="inlineStr">
        <is>
          <t>frostpeak</t>
        </is>
      </c>
      <c r="C47" t="n">
        <v>4</v>
      </c>
      <c r="D47" t="n">
        <v>-44</v>
      </c>
      <c r="E47" t="n">
        <v>-124.177</v>
      </c>
      <c r="F47" t="inlineStr">
        <is>
          <t>Assets/MachineBrigade/Resources/UI/Bases/frostpeak.json: outline[4]</t>
        </is>
      </c>
      <c r="G47" t="inlineStr">
        <is>
          <t>{"x":-44.0,"z":-124.177}</t>
        </is>
      </c>
    </row>
    <row r="48">
      <c r="A48" t="inlineStr">
        <is>
          <t>frostpeak/5</t>
        </is>
      </c>
      <c r="B48" t="inlineStr">
        <is>
          <t>frostpeak</t>
        </is>
      </c>
      <c r="C48" t="n">
        <v>5</v>
      </c>
      <c r="D48" t="n">
        <v>-44</v>
      </c>
      <c r="E48" t="n">
        <v>-98.361</v>
      </c>
      <c r="F48" t="inlineStr">
        <is>
          <t>Assets/MachineBrigade/Resources/UI/Bases/frostpeak.json: outline[5]</t>
        </is>
      </c>
      <c r="G48" t="inlineStr">
        <is>
          <t>{"x":-44.0,"z":-98.361}</t>
        </is>
      </c>
    </row>
    <row r="49">
      <c r="A49" t="inlineStr">
        <is>
          <t>frostpeak/6</t>
        </is>
      </c>
      <c r="B49" t="inlineStr">
        <is>
          <t>frostpeak</t>
        </is>
      </c>
      <c r="C49" t="n">
        <v>6</v>
      </c>
      <c r="D49" t="n">
        <v>-81.95999999999999</v>
      </c>
      <c r="E49" t="n">
        <v>-63.564</v>
      </c>
      <c r="F49" t="inlineStr">
        <is>
          <t>Assets/MachineBrigade/Resources/UI/Bases/frostpeak.json: outline[6]</t>
        </is>
      </c>
      <c r="G49" t="inlineStr">
        <is>
          <t>{"x":-81.96,"z":-63.564}</t>
        </is>
      </c>
    </row>
    <row r="50">
      <c r="A50" t="inlineStr">
        <is>
          <t>frostpeak/7</t>
        </is>
      </c>
      <c r="B50" t="inlineStr">
        <is>
          <t>frostpeak</t>
        </is>
      </c>
      <c r="C50" t="n">
        <v>7</v>
      </c>
      <c r="D50" t="n">
        <v>-106.273</v>
      </c>
      <c r="E50" t="n">
        <v>-41.567</v>
      </c>
      <c r="F50" t="inlineStr">
        <is>
          <t>Assets/MachineBrigade/Resources/UI/Bases/frostpeak.json: outline[7]</t>
        </is>
      </c>
      <c r="G50" t="inlineStr">
        <is>
          <t>{"x":-106.273,"z":-41.567}</t>
        </is>
      </c>
    </row>
    <row r="51">
      <c r="A51" t="inlineStr">
        <is>
          <t>greenvale/0</t>
        </is>
      </c>
      <c r="B51" t="inlineStr">
        <is>
          <t>greenvale</t>
        </is>
      </c>
      <c r="C51" t="n">
        <v>0</v>
      </c>
      <c r="D51" t="n">
        <v>-135.954</v>
      </c>
      <c r="E51" t="n">
        <v>-48.626</v>
      </c>
      <c r="F51" t="inlineStr">
        <is>
          <t>Assets/MachineBrigade/Resources/UI/Bases/greenvale.json: outline[0]</t>
        </is>
      </c>
      <c r="G51" t="inlineStr">
        <is>
          <t>{"x":-135.954,"z":-48.626}</t>
        </is>
      </c>
    </row>
    <row r="52">
      <c r="A52" t="inlineStr">
        <is>
          <t>greenvale/1</t>
        </is>
      </c>
      <c r="B52" t="inlineStr">
        <is>
          <t>greenvale</t>
        </is>
      </c>
      <c r="C52" t="n">
        <v>1</v>
      </c>
      <c r="D52" t="n">
        <v>-125.917</v>
      </c>
      <c r="E52" t="n">
        <v>-120.069</v>
      </c>
      <c r="F52" t="inlineStr">
        <is>
          <t>Assets/MachineBrigade/Resources/UI/Bases/greenvale.json: outline[1]</t>
        </is>
      </c>
      <c r="G52" t="inlineStr">
        <is>
          <t>{"x":-125.917,"z":-120.069}</t>
        </is>
      </c>
    </row>
    <row r="53">
      <c r="A53" t="inlineStr">
        <is>
          <t>greenvale/2</t>
        </is>
      </c>
      <c r="B53" t="inlineStr">
        <is>
          <t>greenvale</t>
        </is>
      </c>
      <c r="C53" t="n">
        <v>2</v>
      </c>
      <c r="D53" t="n">
        <v>-97.84999999999999</v>
      </c>
      <c r="E53" t="n">
        <v>-129.027</v>
      </c>
      <c r="F53" t="inlineStr">
        <is>
          <t>Assets/MachineBrigade/Resources/UI/Bases/greenvale.json: outline[2]</t>
        </is>
      </c>
      <c r="G53" t="inlineStr">
        <is>
          <t>{"x":-97.85,"z":-129.027}</t>
        </is>
      </c>
    </row>
    <row r="54">
      <c r="A54" t="inlineStr">
        <is>
          <t>greenvale/3</t>
        </is>
      </c>
      <c r="B54" t="inlineStr">
        <is>
          <t>greenvale</t>
        </is>
      </c>
      <c r="C54" t="n">
        <v>3</v>
      </c>
      <c r="D54" t="n">
        <v>-58.896</v>
      </c>
      <c r="E54" t="n">
        <v>-127.914</v>
      </c>
      <c r="F54" t="inlineStr">
        <is>
          <t>Assets/MachineBrigade/Resources/UI/Bases/greenvale.json: outline[3]</t>
        </is>
      </c>
      <c r="G54" t="inlineStr">
        <is>
          <t>{"x":-58.896,"z":-127.914}</t>
        </is>
      </c>
    </row>
    <row r="55">
      <c r="A55" t="inlineStr">
        <is>
          <t>greenvale/4</t>
        </is>
      </c>
      <c r="B55" t="inlineStr">
        <is>
          <t>greenvale</t>
        </is>
      </c>
      <c r="C55" t="n">
        <v>4</v>
      </c>
      <c r="D55" t="n">
        <v>-44.553</v>
      </c>
      <c r="E55" t="n">
        <v>-108.354</v>
      </c>
      <c r="F55" t="inlineStr">
        <is>
          <t>Assets/MachineBrigade/Resources/UI/Bases/greenvale.json: outline[4]</t>
        </is>
      </c>
      <c r="G55" t="inlineStr">
        <is>
          <t>{"x":-44.553,"z":-108.354}</t>
        </is>
      </c>
    </row>
    <row r="56">
      <c r="A56" t="inlineStr">
        <is>
          <t>greenvale/5</t>
        </is>
      </c>
      <c r="B56" t="inlineStr">
        <is>
          <t>greenvale</t>
        </is>
      </c>
      <c r="C56" t="n">
        <v>5</v>
      </c>
      <c r="D56" t="n">
        <v>-49.702</v>
      </c>
      <c r="E56" t="n">
        <v>-85.182</v>
      </c>
      <c r="F56" t="inlineStr">
        <is>
          <t>Assets/MachineBrigade/Resources/UI/Bases/greenvale.json: outline[5]</t>
        </is>
      </c>
      <c r="G56" t="inlineStr">
        <is>
          <t>{"x":-49.702,"z":-85.182}</t>
        </is>
      </c>
    </row>
    <row r="57">
      <c r="A57" t="inlineStr">
        <is>
          <t>greenvale/6</t>
        </is>
      </c>
      <c r="B57" t="inlineStr">
        <is>
          <t>greenvale</t>
        </is>
      </c>
      <c r="C57" t="n">
        <v>6</v>
      </c>
      <c r="D57" t="n">
        <v>-108.193</v>
      </c>
      <c r="E57" t="n">
        <v>-50.087</v>
      </c>
      <c r="F57" t="inlineStr">
        <is>
          <t>Assets/MachineBrigade/Resources/UI/Bases/greenvale.json: outline[6]</t>
        </is>
      </c>
      <c r="G57" t="inlineStr">
        <is>
          <t>{"x":-108.193,"z":-50.087}</t>
        </is>
      </c>
    </row>
    <row r="58">
      <c r="A58" t="inlineStr">
        <is>
          <t>hydrodam/0</t>
        </is>
      </c>
      <c r="B58" t="inlineStr">
        <is>
          <t>hydrodam</t>
        </is>
      </c>
      <c r="C58" t="n">
        <v>0</v>
      </c>
      <c r="D58" t="n">
        <v>-138.248</v>
      </c>
      <c r="E58" t="n">
        <v>-40.44</v>
      </c>
      <c r="F58" t="inlineStr">
        <is>
          <t>Assets/MachineBrigade/Resources/UI/Bases/hydrodam.json: outline[0]</t>
        </is>
      </c>
      <c r="G58" t="inlineStr">
        <is>
          <t>{"x":-138.248,"z":-40.44}</t>
        </is>
      </c>
    </row>
    <row r="59">
      <c r="A59" t="inlineStr">
        <is>
          <t>hydrodam/1</t>
        </is>
      </c>
      <c r="B59" t="inlineStr">
        <is>
          <t>hydrodam</t>
        </is>
      </c>
      <c r="C59" t="n">
        <v>1</v>
      </c>
      <c r="D59" t="n">
        <v>-135.979</v>
      </c>
      <c r="E59" t="n">
        <v>-83.551</v>
      </c>
      <c r="F59" t="inlineStr">
        <is>
          <t>Assets/MachineBrigade/Resources/UI/Bases/hydrodam.json: outline[1]</t>
        </is>
      </c>
      <c r="G59" t="inlineStr">
        <is>
          <t>{"x":-135.979,"z":-83.551}</t>
        </is>
      </c>
    </row>
    <row r="60">
      <c r="A60" t="inlineStr">
        <is>
          <t>hydrodam/2</t>
        </is>
      </c>
      <c r="B60" t="inlineStr">
        <is>
          <t>hydrodam</t>
        </is>
      </c>
      <c r="C60" t="n">
        <v>2</v>
      </c>
      <c r="D60" t="n">
        <v>-127.977</v>
      </c>
      <c r="E60" t="n">
        <v>-144.138</v>
      </c>
      <c r="F60" t="inlineStr">
        <is>
          <t>Assets/MachineBrigade/Resources/UI/Bases/hydrodam.json: outline[2]</t>
        </is>
      </c>
      <c r="G60" t="inlineStr">
        <is>
          <t>{"x":-127.977,"z":-144.138}</t>
        </is>
      </c>
    </row>
    <row r="61">
      <c r="A61" t="inlineStr">
        <is>
          <t>hydrodam/3</t>
        </is>
      </c>
      <c r="B61" t="inlineStr">
        <is>
          <t>hydrodam</t>
        </is>
      </c>
      <c r="C61" t="n">
        <v>3</v>
      </c>
      <c r="D61" t="n">
        <v>-74.80200000000001</v>
      </c>
      <c r="E61" t="n">
        <v>-125.231</v>
      </c>
      <c r="F61" t="inlineStr">
        <is>
          <t>Assets/MachineBrigade/Resources/UI/Bases/hydrodam.json: outline[3]</t>
        </is>
      </c>
      <c r="G61" t="inlineStr">
        <is>
          <t>{"x":-74.802,"z":-125.231}</t>
        </is>
      </c>
    </row>
    <row r="62">
      <c r="A62" t="inlineStr">
        <is>
          <t>hydrodam/4</t>
        </is>
      </c>
      <c r="B62" t="inlineStr">
        <is>
          <t>hydrodam</t>
        </is>
      </c>
      <c r="C62" t="n">
        <v>4</v>
      </c>
      <c r="D62" t="n">
        <v>-34.388</v>
      </c>
      <c r="E62" t="n">
        <v>-87.127</v>
      </c>
      <c r="F62" t="inlineStr">
        <is>
          <t>Assets/MachineBrigade/Resources/UI/Bases/hydrodam.json: outline[4]</t>
        </is>
      </c>
      <c r="G62" t="inlineStr">
        <is>
          <t>{"x":-34.388,"z":-87.127}</t>
        </is>
      </c>
    </row>
    <row r="63">
      <c r="A63" t="inlineStr">
        <is>
          <t>hydrodam/5</t>
        </is>
      </c>
      <c r="B63" t="inlineStr">
        <is>
          <t>hydrodam</t>
        </is>
      </c>
      <c r="C63" t="n">
        <v>5</v>
      </c>
      <c r="D63" t="n">
        <v>-55.12</v>
      </c>
      <c r="E63" t="n">
        <v>-66.39400000000001</v>
      </c>
      <c r="F63" t="inlineStr">
        <is>
          <t>Assets/MachineBrigade/Resources/UI/Bases/hydrodam.json: outline[5]</t>
        </is>
      </c>
      <c r="G63" t="inlineStr">
        <is>
          <t>{"x":-55.12,"z":-66.394}</t>
        </is>
      </c>
    </row>
    <row r="64">
      <c r="A64" t="inlineStr">
        <is>
          <t>hydrodam/6</t>
        </is>
      </c>
      <c r="B64" t="inlineStr">
        <is>
          <t>hydrodam</t>
        </is>
      </c>
      <c r="C64" t="n">
        <v>6</v>
      </c>
      <c r="D64" t="n">
        <v>-90.226</v>
      </c>
      <c r="E64" t="n">
        <v>-41.614</v>
      </c>
      <c r="F64" t="inlineStr">
        <is>
          <t>Assets/MachineBrigade/Resources/UI/Bases/hydrodam.json: outline[6]</t>
        </is>
      </c>
      <c r="G64" t="inlineStr">
        <is>
          <t>{"x":-90.226,"z":-41.614}</t>
        </is>
      </c>
    </row>
    <row r="65">
      <c r="A65" t="inlineStr">
        <is>
          <t>hydrodam/7</t>
        </is>
      </c>
      <c r="B65" t="inlineStr">
        <is>
          <t>hydrodam</t>
        </is>
      </c>
      <c r="C65" t="n">
        <v>7</v>
      </c>
      <c r="D65" t="n">
        <v>-112.751</v>
      </c>
      <c r="E65" t="n">
        <v>-33.73</v>
      </c>
      <c r="F65" t="inlineStr">
        <is>
          <t>Assets/MachineBrigade/Resources/UI/Bases/hydrodam.json: outline[7]</t>
        </is>
      </c>
      <c r="G65" t="inlineStr">
        <is>
          <t>{"x":-112.751,"z":-33.73}</t>
        </is>
      </c>
    </row>
    <row r="66">
      <c r="A66" t="inlineStr">
        <is>
          <t>ironport/0</t>
        </is>
      </c>
      <c r="B66" t="inlineStr">
        <is>
          <t>ironport</t>
        </is>
      </c>
      <c r="C66" t="n">
        <v>0</v>
      </c>
      <c r="D66" t="n">
        <v>-141.163</v>
      </c>
      <c r="E66" t="n">
        <v>-140.385</v>
      </c>
      <c r="F66" t="inlineStr">
        <is>
          <t>Assets/MachineBrigade/Resources/UI/Bases/ironport.json: outline[0]</t>
        </is>
      </c>
      <c r="G66" t="inlineStr">
        <is>
          <t>{"x":-141.163,"z":-140.385}</t>
        </is>
      </c>
    </row>
    <row r="67">
      <c r="A67" t="inlineStr">
        <is>
          <t>ironport/1</t>
        </is>
      </c>
      <c r="B67" t="inlineStr">
        <is>
          <t>ironport</t>
        </is>
      </c>
      <c r="C67" t="n">
        <v>1</v>
      </c>
      <c r="D67" t="n">
        <v>-29.192</v>
      </c>
      <c r="E67" t="n">
        <v>-134.492</v>
      </c>
      <c r="F67" t="inlineStr">
        <is>
          <t>Assets/MachineBrigade/Resources/UI/Bases/ironport.json: outline[1]</t>
        </is>
      </c>
      <c r="G67" t="inlineStr">
        <is>
          <t>{"x":-29.192,"z":-134.492}</t>
        </is>
      </c>
    </row>
    <row r="68">
      <c r="A68" t="inlineStr">
        <is>
          <t>ironport/2</t>
        </is>
      </c>
      <c r="B68" t="inlineStr">
        <is>
          <t>ironport</t>
        </is>
      </c>
      <c r="C68" t="n">
        <v>2</v>
      </c>
      <c r="D68" t="n">
        <v>-53.142</v>
      </c>
      <c r="E68" t="n">
        <v>-90.373</v>
      </c>
      <c r="F68" t="inlineStr">
        <is>
          <t>Assets/MachineBrigade/Resources/UI/Bases/ironport.json: outline[2]</t>
        </is>
      </c>
      <c r="G68" t="inlineStr">
        <is>
          <t>{"x":-53.142,"z":-90.373}</t>
        </is>
      </c>
    </row>
    <row r="69">
      <c r="A69" t="inlineStr">
        <is>
          <t>ironport/3</t>
        </is>
      </c>
      <c r="B69" t="inlineStr">
        <is>
          <t>ironport</t>
        </is>
      </c>
      <c r="C69" t="n">
        <v>3</v>
      </c>
      <c r="D69" t="n">
        <v>-101.671</v>
      </c>
      <c r="E69" t="n">
        <v>-41.844</v>
      </c>
      <c r="F69" t="inlineStr">
        <is>
          <t>Assets/MachineBrigade/Resources/UI/Bases/ironport.json: outline[3]</t>
        </is>
      </c>
      <c r="G69" t="inlineStr">
        <is>
          <t>{"x":-101.671,"z":-41.844}</t>
        </is>
      </c>
    </row>
    <row r="70">
      <c r="A70" t="inlineStr">
        <is>
          <t>ironport/4</t>
        </is>
      </c>
      <c r="B70" t="inlineStr">
        <is>
          <t>ironport</t>
        </is>
      </c>
      <c r="C70" t="n">
        <v>4</v>
      </c>
      <c r="D70" t="n">
        <v>-126.38</v>
      </c>
      <c r="E70" t="n">
        <v>-52.825</v>
      </c>
      <c r="F70" t="inlineStr">
        <is>
          <t>Assets/MachineBrigade/Resources/UI/Bases/ironport.json: outline[4]</t>
        </is>
      </c>
      <c r="G70" t="inlineStr">
        <is>
          <t>{"x":-126.38,"z":-52.825}</t>
        </is>
      </c>
    </row>
    <row r="71">
      <c r="A71" t="inlineStr">
        <is>
          <t>junglepass/0</t>
        </is>
      </c>
      <c r="B71" t="inlineStr">
        <is>
          <t>junglepass</t>
        </is>
      </c>
      <c r="C71" t="n">
        <v>0</v>
      </c>
      <c r="D71" t="n">
        <v>-137.251</v>
      </c>
      <c r="E71" t="n">
        <v>-44.888</v>
      </c>
      <c r="F71" t="inlineStr">
        <is>
          <t>Assets/MachineBrigade/Resources/UI/Bases/junglepass.json: outline[0]</t>
        </is>
      </c>
      <c r="G71" t="inlineStr">
        <is>
          <t>{"x":-137.251,"z":-44.888}</t>
        </is>
      </c>
    </row>
    <row r="72">
      <c r="A72" t="inlineStr">
        <is>
          <t>junglepass/1</t>
        </is>
      </c>
      <c r="B72" t="inlineStr">
        <is>
          <t>junglepass</t>
        </is>
      </c>
      <c r="C72" t="n">
        <v>1</v>
      </c>
      <c r="D72" t="n">
        <v>-126.413</v>
      </c>
      <c r="E72" t="n">
        <v>-118.948</v>
      </c>
      <c r="F72" t="inlineStr">
        <is>
          <t>Assets/MachineBrigade/Resources/UI/Bases/junglepass.json: outline[1]</t>
        </is>
      </c>
      <c r="G72" t="inlineStr">
        <is>
          <t>{"x":-126.413,"z":-118.948}</t>
        </is>
      </c>
    </row>
    <row r="73">
      <c r="A73" t="inlineStr">
        <is>
          <t>junglepass/2</t>
        </is>
      </c>
      <c r="B73" t="inlineStr">
        <is>
          <t>junglepass</t>
        </is>
      </c>
      <c r="C73" t="n">
        <v>2</v>
      </c>
      <c r="D73" t="n">
        <v>-97.94799999999999</v>
      </c>
      <c r="E73" t="n">
        <v>-129.03</v>
      </c>
      <c r="F73" t="inlineStr">
        <is>
          <t>Assets/MachineBrigade/Resources/UI/Bases/junglepass.json: outline[2]</t>
        </is>
      </c>
      <c r="G73" t="inlineStr">
        <is>
          <t>{"x":-97.948,"z":-129.03}</t>
        </is>
      </c>
    </row>
    <row r="74">
      <c r="A74" t="inlineStr">
        <is>
          <t>junglepass/3</t>
        </is>
      </c>
      <c r="B74" t="inlineStr">
        <is>
          <t>junglepass</t>
        </is>
      </c>
      <c r="C74" t="n">
        <v>3</v>
      </c>
      <c r="D74" t="n">
        <v>-58.896</v>
      </c>
      <c r="E74" t="n">
        <v>-127.914</v>
      </c>
      <c r="F74" t="inlineStr">
        <is>
          <t>Assets/MachineBrigade/Resources/UI/Bases/junglepass.json: outline[3]</t>
        </is>
      </c>
      <c r="G74" t="inlineStr">
        <is>
          <t>{"x":-58.896,"z":-127.914}</t>
        </is>
      </c>
    </row>
    <row r="75">
      <c r="A75" t="inlineStr">
        <is>
          <t>junglepass/4</t>
        </is>
      </c>
      <c r="B75" t="inlineStr">
        <is>
          <t>junglepass</t>
        </is>
      </c>
      <c r="C75" t="n">
        <v>4</v>
      </c>
      <c r="D75" t="n">
        <v>-44.327</v>
      </c>
      <c r="E75" t="n">
        <v>-108.046</v>
      </c>
      <c r="F75" t="inlineStr">
        <is>
          <t>Assets/MachineBrigade/Resources/UI/Bases/junglepass.json: outline[4]</t>
        </is>
      </c>
      <c r="G75" t="inlineStr">
        <is>
          <t>{"x":-44.327,"z":-108.046}</t>
        </is>
      </c>
    </row>
    <row r="76">
      <c r="A76" t="inlineStr">
        <is>
          <t>junglepass/5</t>
        </is>
      </c>
      <c r="B76" t="inlineStr">
        <is>
          <t>junglepass</t>
        </is>
      </c>
      <c r="C76" t="n">
        <v>5</v>
      </c>
      <c r="D76" t="n">
        <v>-51.905</v>
      </c>
      <c r="E76" t="n">
        <v>-85.31</v>
      </c>
      <c r="F76" t="inlineStr">
        <is>
          <t>Assets/MachineBrigade/Resources/UI/Bases/junglepass.json: outline[5]</t>
        </is>
      </c>
      <c r="G76" t="inlineStr">
        <is>
          <t>{"x":-51.905,"z":-85.31}</t>
        </is>
      </c>
    </row>
    <row r="77">
      <c r="A77" t="inlineStr">
        <is>
          <t>junglepass/6</t>
        </is>
      </c>
      <c r="B77" t="inlineStr">
        <is>
          <t>junglepass</t>
        </is>
      </c>
      <c r="C77" t="n">
        <v>6</v>
      </c>
      <c r="D77" t="n">
        <v>-89.352</v>
      </c>
      <c r="E77" t="n">
        <v>-57.492</v>
      </c>
      <c r="F77" t="inlineStr">
        <is>
          <t>Assets/MachineBrigade/Resources/UI/Bases/junglepass.json: outline[6]</t>
        </is>
      </c>
      <c r="G77" t="inlineStr">
        <is>
          <t>{"x":-89.352,"z":-57.492}</t>
        </is>
      </c>
    </row>
    <row r="78">
      <c r="A78" t="inlineStr">
        <is>
          <t>landingbeach/0</t>
        </is>
      </c>
      <c r="B78" t="inlineStr">
        <is>
          <t>landingbeach</t>
        </is>
      </c>
      <c r="C78" t="n">
        <v>0</v>
      </c>
      <c r="D78" t="n">
        <v>-134.023</v>
      </c>
      <c r="E78" t="n">
        <v>-66.256</v>
      </c>
      <c r="F78" t="inlineStr">
        <is>
          <t>Assets/MachineBrigade/Resources/UI/Bases/landingbeach.json: outline[0]</t>
        </is>
      </c>
      <c r="G78" t="inlineStr">
        <is>
          <t>{"x":-134.023,"z":-66.256}</t>
        </is>
      </c>
    </row>
    <row r="79">
      <c r="A79" t="inlineStr">
        <is>
          <t>landingbeach/1</t>
        </is>
      </c>
      <c r="B79" t="inlineStr">
        <is>
          <t>landingbeach</t>
        </is>
      </c>
      <c r="C79" t="n">
        <v>1</v>
      </c>
      <c r="D79" t="n">
        <v>-126.862</v>
      </c>
      <c r="E79" t="n">
        <v>-116.936</v>
      </c>
      <c r="F79" t="inlineStr">
        <is>
          <t>Assets/MachineBrigade/Resources/UI/Bases/landingbeach.json: outline[1]</t>
        </is>
      </c>
      <c r="G79" t="inlineStr">
        <is>
          <t>{"x":-126.862,"z":-116.936}</t>
        </is>
      </c>
    </row>
    <row r="80">
      <c r="A80" t="inlineStr">
        <is>
          <t>landingbeach/2</t>
        </is>
      </c>
      <c r="B80" t="inlineStr">
        <is>
          <t>landingbeach</t>
        </is>
      </c>
      <c r="C80" t="n">
        <v>2</v>
      </c>
      <c r="D80" t="n">
        <v>-73.986</v>
      </c>
      <c r="E80" t="n">
        <v>-128.929</v>
      </c>
      <c r="F80" t="inlineStr">
        <is>
          <t>Assets/MachineBrigade/Resources/UI/Bases/landingbeach.json: outline[2]</t>
        </is>
      </c>
      <c r="G80" t="inlineStr">
        <is>
          <t>{"x":-73.986,"z":-128.929}</t>
        </is>
      </c>
    </row>
    <row r="81">
      <c r="A81" t="inlineStr">
        <is>
          <t>landingbeach/3</t>
        </is>
      </c>
      <c r="B81" t="inlineStr">
        <is>
          <t>landingbeach</t>
        </is>
      </c>
      <c r="C81" t="n">
        <v>3</v>
      </c>
      <c r="D81" t="n">
        <v>-39.778</v>
      </c>
      <c r="E81" t="n">
        <v>-132.594</v>
      </c>
      <c r="F81" t="inlineStr">
        <is>
          <t>Assets/MachineBrigade/Resources/UI/Bases/landingbeach.json: outline[3]</t>
        </is>
      </c>
      <c r="G81" t="inlineStr">
        <is>
          <t>{"x":-39.778,"z":-132.594}</t>
        </is>
      </c>
    </row>
    <row r="82">
      <c r="A82" t="inlineStr">
        <is>
          <t>landingbeach/4</t>
        </is>
      </c>
      <c r="B82" t="inlineStr">
        <is>
          <t>landingbeach</t>
        </is>
      </c>
      <c r="C82" t="n">
        <v>4</v>
      </c>
      <c r="D82" t="n">
        <v>-35.766</v>
      </c>
      <c r="E82" t="n">
        <v>-100.501</v>
      </c>
      <c r="F82" t="inlineStr">
        <is>
          <t>Assets/MachineBrigade/Resources/UI/Bases/landingbeach.json: outline[4]</t>
        </is>
      </c>
      <c r="G82" t="inlineStr">
        <is>
          <t>{"x":-35.766,"z":-100.501}</t>
        </is>
      </c>
    </row>
    <row r="83">
      <c r="A83" t="inlineStr">
        <is>
          <t>landingbeach/5</t>
        </is>
      </c>
      <c r="B83" t="inlineStr">
        <is>
          <t>landingbeach</t>
        </is>
      </c>
      <c r="C83" t="n">
        <v>5</v>
      </c>
      <c r="D83" t="n">
        <v>-56.506</v>
      </c>
      <c r="E83" t="n">
        <v>-69.937</v>
      </c>
      <c r="F83" t="inlineStr">
        <is>
          <t>Assets/MachineBrigade/Resources/UI/Bases/landingbeach.json: outline[5]</t>
        </is>
      </c>
      <c r="G83" t="inlineStr">
        <is>
          <t>{"x":-56.506,"z":-69.937}</t>
        </is>
      </c>
    </row>
    <row r="84">
      <c r="A84" t="inlineStr">
        <is>
          <t>landingbeach/6</t>
        </is>
      </c>
      <c r="B84" t="inlineStr">
        <is>
          <t>landingbeach</t>
        </is>
      </c>
      <c r="C84" t="n">
        <v>6</v>
      </c>
      <c r="D84" t="n">
        <v>-100.934</v>
      </c>
      <c r="E84" t="n">
        <v>-32.742</v>
      </c>
      <c r="F84" t="inlineStr">
        <is>
          <t>Assets/MachineBrigade/Resources/UI/Bases/landingbeach.json: outline[6]</t>
        </is>
      </c>
      <c r="G84" t="inlineStr">
        <is>
          <t>{"x":-100.934,"z":-32.742}</t>
        </is>
      </c>
    </row>
    <row r="85">
      <c r="A85" t="inlineStr">
        <is>
          <t>landingbeach/7</t>
        </is>
      </c>
      <c r="B85" t="inlineStr">
        <is>
          <t>landingbeach</t>
        </is>
      </c>
      <c r="C85" t="n">
        <v>7</v>
      </c>
      <c r="D85" t="n">
        <v>-123.218</v>
      </c>
      <c r="E85" t="n">
        <v>-24.385</v>
      </c>
      <c r="F85" t="inlineStr">
        <is>
          <t>Assets/MachineBrigade/Resources/UI/Bases/landingbeach.json: outline[7]</t>
        </is>
      </c>
      <c r="G85" t="inlineStr">
        <is>
          <t>{"x":-123.218,"z":-24.385}</t>
        </is>
      </c>
    </row>
    <row r="86">
      <c r="A86" t="inlineStr">
        <is>
          <t>landingbeach/8</t>
        </is>
      </c>
      <c r="B86" t="inlineStr">
        <is>
          <t>landingbeach</t>
        </is>
      </c>
      <c r="C86" t="n">
        <v>8</v>
      </c>
      <c r="D86" t="n">
        <v>-132.931</v>
      </c>
      <c r="E86" t="n">
        <v>-46.587</v>
      </c>
      <c r="F86" t="inlineStr">
        <is>
          <t>Assets/MachineBrigade/Resources/UI/Bases/landingbeach.json: outline[8]</t>
        </is>
      </c>
      <c r="G86" t="inlineStr">
        <is>
          <t>{"x":-132.931,"z":-46.587}</t>
        </is>
      </c>
    </row>
    <row r="87">
      <c r="A87" t="inlineStr">
        <is>
          <t>launchsite/0</t>
        </is>
      </c>
      <c r="B87" t="inlineStr">
        <is>
          <t>launchsite</t>
        </is>
      </c>
      <c r="C87" t="n">
        <v>0</v>
      </c>
      <c r="D87" t="n">
        <v>-137.832</v>
      </c>
      <c r="E87" t="n">
        <v>-41.847</v>
      </c>
      <c r="F87" t="inlineStr">
        <is>
          <t>Assets/MachineBrigade/Resources/UI/Bases/launchsite.json: outline[0]</t>
        </is>
      </c>
      <c r="G87" t="inlineStr">
        <is>
          <t>{"x":-137.832,"z":-41.847}</t>
        </is>
      </c>
    </row>
    <row r="88">
      <c r="A88" t="inlineStr">
        <is>
          <t>launchsite/1</t>
        </is>
      </c>
      <c r="B88" t="inlineStr">
        <is>
          <t>launchsite</t>
        </is>
      </c>
      <c r="C88" t="n">
        <v>1</v>
      </c>
      <c r="D88" t="n">
        <v>-134.949</v>
      </c>
      <c r="E88" t="n">
        <v>-67.79300000000001</v>
      </c>
      <c r="F88" t="inlineStr">
        <is>
          <t>Assets/MachineBrigade/Resources/UI/Bases/launchsite.json: outline[1]</t>
        </is>
      </c>
      <c r="G88" t="inlineStr">
        <is>
          <t>{"x":-134.949,"z":-67.793}</t>
        </is>
      </c>
    </row>
    <row r="89">
      <c r="A89" t="inlineStr">
        <is>
          <t>launchsite/2</t>
        </is>
      </c>
      <c r="B89" t="inlineStr">
        <is>
          <t>launchsite</t>
        </is>
      </c>
      <c r="C89" t="n">
        <v>2</v>
      </c>
      <c r="D89" t="n">
        <v>-127.909</v>
      </c>
      <c r="E89" t="n">
        <v>-113.05</v>
      </c>
      <c r="F89" t="inlineStr">
        <is>
          <t>Assets/MachineBrigade/Resources/UI/Bases/launchsite.json: outline[2]</t>
        </is>
      </c>
      <c r="G89" t="inlineStr">
        <is>
          <t>{"x":-127.909,"z":-113.05}</t>
        </is>
      </c>
    </row>
    <row r="90">
      <c r="A90" t="inlineStr">
        <is>
          <t>launchsite/3</t>
        </is>
      </c>
      <c r="B90" t="inlineStr">
        <is>
          <t>launchsite</t>
        </is>
      </c>
      <c r="C90" t="n">
        <v>3</v>
      </c>
      <c r="D90" t="n">
        <v>-122.787</v>
      </c>
      <c r="E90" t="n">
        <v>-138.658</v>
      </c>
      <c r="F90" t="inlineStr">
        <is>
          <t>Assets/MachineBrigade/Resources/UI/Bases/launchsite.json: outline[3]</t>
        </is>
      </c>
      <c r="G90" t="inlineStr">
        <is>
          <t>{"x":-122.787,"z":-138.658}</t>
        </is>
      </c>
    </row>
    <row r="91">
      <c r="A91" t="inlineStr">
        <is>
          <t>launchsite/4</t>
        </is>
      </c>
      <c r="B91" t="inlineStr">
        <is>
          <t>launchsite</t>
        </is>
      </c>
      <c r="C91" t="n">
        <v>4</v>
      </c>
      <c r="D91" t="n">
        <v>-56.87</v>
      </c>
      <c r="E91" t="n">
        <v>-130.268</v>
      </c>
      <c r="F91" t="inlineStr">
        <is>
          <t>Assets/MachineBrigade/Resources/UI/Bases/launchsite.json: outline[4]</t>
        </is>
      </c>
      <c r="G91" t="inlineStr">
        <is>
          <t>{"x":-56.87,"z":-130.268}</t>
        </is>
      </c>
    </row>
    <row r="92">
      <c r="A92" t="inlineStr">
        <is>
          <t>launchsite/5</t>
        </is>
      </c>
      <c r="B92" t="inlineStr">
        <is>
          <t>launchsite</t>
        </is>
      </c>
      <c r="C92" t="n">
        <v>5</v>
      </c>
      <c r="D92" t="n">
        <v>-58.06</v>
      </c>
      <c r="E92" t="n">
        <v>-81.45399999999999</v>
      </c>
      <c r="F92" t="inlineStr">
        <is>
          <t>Assets/MachineBrigade/Resources/UI/Bases/launchsite.json: outline[5]</t>
        </is>
      </c>
      <c r="G92" t="inlineStr">
        <is>
          <t>{"x":-58.06,"z":-81.454}</t>
        </is>
      </c>
    </row>
    <row r="93">
      <c r="A93" t="inlineStr">
        <is>
          <t>launchsite/6</t>
        </is>
      </c>
      <c r="B93" t="inlineStr">
        <is>
          <t>launchsite</t>
        </is>
      </c>
      <c r="C93" t="n">
        <v>6</v>
      </c>
      <c r="D93" t="n">
        <v>-80.574</v>
      </c>
      <c r="E93" t="n">
        <v>-58.94</v>
      </c>
      <c r="F93" t="inlineStr">
        <is>
          <t>Assets/MachineBrigade/Resources/UI/Bases/launchsite.json: outline[6]</t>
        </is>
      </c>
      <c r="G93" t="inlineStr">
        <is>
          <t>{"x":-80.574,"z":-58.94}</t>
        </is>
      </c>
    </row>
    <row r="94">
      <c r="A94" t="inlineStr">
        <is>
          <t>launchsite/7</t>
        </is>
      </c>
      <c r="B94" t="inlineStr">
        <is>
          <t>launchsite</t>
        </is>
      </c>
      <c r="C94" t="n">
        <v>7</v>
      </c>
      <c r="D94" t="n">
        <v>-110.325</v>
      </c>
      <c r="E94" t="n">
        <v>-46.19</v>
      </c>
      <c r="F94" t="inlineStr">
        <is>
          <t>Assets/MachineBrigade/Resources/UI/Bases/launchsite.json: outline[7]</t>
        </is>
      </c>
      <c r="G94" t="inlineStr">
        <is>
          <t>{"x":-110.325,"z":-46.19}</t>
        </is>
      </c>
    </row>
    <row r="95">
      <c r="A95" t="inlineStr">
        <is>
          <t>metrocity/0</t>
        </is>
      </c>
      <c r="B95" t="inlineStr">
        <is>
          <t>metrocity</t>
        </is>
      </c>
      <c r="C95" t="n">
        <v>0</v>
      </c>
      <c r="D95" t="n">
        <v>-144.281</v>
      </c>
      <c r="E95" t="n">
        <v>-143.754</v>
      </c>
      <c r="F95" t="inlineStr">
        <is>
          <t>Assets/MachineBrigade/Resources/UI/Bases/metrocity.json: outline[0]</t>
        </is>
      </c>
      <c r="G95" t="inlineStr">
        <is>
          <t>{"x":-144.281,"z":-143.754}</t>
        </is>
      </c>
    </row>
    <row r="96">
      <c r="A96" t="inlineStr">
        <is>
          <t>metrocity/1</t>
        </is>
      </c>
      <c r="B96" t="inlineStr">
        <is>
          <t>metrocity</t>
        </is>
      </c>
      <c r="C96" t="n">
        <v>1</v>
      </c>
      <c r="D96" t="n">
        <v>-87.58499999999999</v>
      </c>
      <c r="E96" t="n">
        <v>-146.021</v>
      </c>
      <c r="F96" t="inlineStr">
        <is>
          <t>Assets/MachineBrigade/Resources/UI/Bases/metrocity.json: outline[1]</t>
        </is>
      </c>
      <c r="G96" t="inlineStr">
        <is>
          <t>{"x":-87.585,"z":-146.021}</t>
        </is>
      </c>
    </row>
    <row r="97">
      <c r="A97" t="inlineStr">
        <is>
          <t>metrocity/2</t>
        </is>
      </c>
      <c r="B97" t="inlineStr">
        <is>
          <t>metrocity</t>
        </is>
      </c>
      <c r="C97" t="n">
        <v>2</v>
      </c>
      <c r="D97" t="n">
        <v>-43.272</v>
      </c>
      <c r="E97" t="n">
        <v>-138.068</v>
      </c>
      <c r="F97" t="inlineStr">
        <is>
          <t>Assets/MachineBrigade/Resources/UI/Bases/metrocity.json: outline[2]</t>
        </is>
      </c>
      <c r="G97" t="inlineStr">
        <is>
          <t>{"x":-43.272,"z":-138.068}</t>
        </is>
      </c>
    </row>
    <row r="98">
      <c r="A98" t="inlineStr">
        <is>
          <t>metrocity/3</t>
        </is>
      </c>
      <c r="B98" t="inlineStr">
        <is>
          <t>metrocity</t>
        </is>
      </c>
      <c r="C98" t="n">
        <v>3</v>
      </c>
      <c r="D98" t="n">
        <v>-41.938</v>
      </c>
      <c r="E98" t="n">
        <v>-114.052</v>
      </c>
      <c r="F98" t="inlineStr">
        <is>
          <t>Assets/MachineBrigade/Resources/UI/Bases/metrocity.json: outline[3]</t>
        </is>
      </c>
      <c r="G98" t="inlineStr">
        <is>
          <t>{"x":-41.938,"z":-114.052}</t>
        </is>
      </c>
    </row>
    <row r="99">
      <c r="A99" t="inlineStr">
        <is>
          <t>metrocity/4</t>
        </is>
      </c>
      <c r="B99" t="inlineStr">
        <is>
          <t>metrocity</t>
        </is>
      </c>
      <c r="C99" t="n">
        <v>4</v>
      </c>
      <c r="D99" t="n">
        <v>-61.572</v>
      </c>
      <c r="E99" t="n">
        <v>-62.786</v>
      </c>
      <c r="F99" t="inlineStr">
        <is>
          <t>Assets/MachineBrigade/Resources/UI/Bases/metrocity.json: outline[4]</t>
        </is>
      </c>
      <c r="G99" t="inlineStr">
        <is>
          <t>{"x":-61.572,"z":-62.786}</t>
        </is>
      </c>
    </row>
    <row r="100">
      <c r="A100" t="inlineStr">
        <is>
          <t>metrocity/5</t>
        </is>
      </c>
      <c r="B100" t="inlineStr">
        <is>
          <t>metrocity</t>
        </is>
      </c>
      <c r="C100" t="n">
        <v>5</v>
      </c>
      <c r="D100" t="n">
        <v>-139.66</v>
      </c>
      <c r="E100" t="n">
        <v>-46.709</v>
      </c>
      <c r="F100" t="inlineStr">
        <is>
          <t>Assets/MachineBrigade/Resources/UI/Bases/metrocity.json: outline[5]</t>
        </is>
      </c>
      <c r="G100" t="inlineStr">
        <is>
          <t>{"x":-139.66,"z":-46.709}</t>
        </is>
      </c>
    </row>
    <row r="101">
      <c r="A101" t="inlineStr">
        <is>
          <t>redrock/0</t>
        </is>
      </c>
      <c r="B101" t="inlineStr">
        <is>
          <t>redrock</t>
        </is>
      </c>
      <c r="C101" t="n">
        <v>0</v>
      </c>
      <c r="D101" t="n">
        <v>-149.386</v>
      </c>
      <c r="E101" t="n">
        <v>-123.216</v>
      </c>
      <c r="F101" t="inlineStr">
        <is>
          <t>Assets/MachineBrigade/Resources/UI/Bases/redrock.json: outline[0]</t>
        </is>
      </c>
      <c r="G101" t="inlineStr">
        <is>
          <t>{"x":-149.386,"z":-123.216}</t>
        </is>
      </c>
    </row>
    <row r="102">
      <c r="A102" t="inlineStr">
        <is>
          <t>redrock/1</t>
        </is>
      </c>
      <c r="B102" t="inlineStr">
        <is>
          <t>redrock</t>
        </is>
      </c>
      <c r="C102" t="n">
        <v>1</v>
      </c>
      <c r="D102" t="n">
        <v>-96.15300000000001</v>
      </c>
      <c r="E102" t="n">
        <v>-129.131</v>
      </c>
      <c r="F102" t="inlineStr">
        <is>
          <t>Assets/MachineBrigade/Resources/UI/Bases/redrock.json: outline[1]</t>
        </is>
      </c>
      <c r="G102" t="inlineStr">
        <is>
          <t>{"x":-96.153,"z":-129.131}</t>
        </is>
      </c>
    </row>
    <row r="103">
      <c r="A103" t="inlineStr">
        <is>
          <t>redrock/2</t>
        </is>
      </c>
      <c r="B103" t="inlineStr">
        <is>
          <t>redrock</t>
        </is>
      </c>
      <c r="C103" t="n">
        <v>2</v>
      </c>
      <c r="D103" t="n">
        <v>-54.75</v>
      </c>
      <c r="E103" t="n">
        <v>-112.346</v>
      </c>
      <c r="F103" t="inlineStr">
        <is>
          <t>Assets/MachineBrigade/Resources/UI/Bases/redrock.json: outline[2]</t>
        </is>
      </c>
      <c r="G103" t="inlineStr">
        <is>
          <t>{"x":-54.75,"z":-112.346}</t>
        </is>
      </c>
    </row>
    <row r="104">
      <c r="A104" t="inlineStr">
        <is>
          <t>redrock/3</t>
        </is>
      </c>
      <c r="B104" t="inlineStr">
        <is>
          <t>redrock</t>
        </is>
      </c>
      <c r="C104" t="n">
        <v>3</v>
      </c>
      <c r="D104" t="n">
        <v>-50.074</v>
      </c>
      <c r="E104" t="n">
        <v>-88.962</v>
      </c>
      <c r="F104" t="inlineStr">
        <is>
          <t>Assets/MachineBrigade/Resources/UI/Bases/redrock.json: outline[3]</t>
        </is>
      </c>
      <c r="G104" t="inlineStr">
        <is>
          <t>{"x":-50.074,"z":-88.962}</t>
        </is>
      </c>
    </row>
    <row r="105">
      <c r="A105" t="inlineStr">
        <is>
          <t>redrock/4</t>
        </is>
      </c>
      <c r="B105" t="inlineStr">
        <is>
          <t>redrock</t>
        </is>
      </c>
      <c r="C105" t="n">
        <v>4</v>
      </c>
      <c r="D105" t="n">
        <v>-47.7</v>
      </c>
      <c r="E105" t="n">
        <v>-69.973</v>
      </c>
      <c r="F105" t="inlineStr">
        <is>
          <t>Assets/MachineBrigade/Resources/UI/Bases/redrock.json: outline[4]</t>
        </is>
      </c>
      <c r="G105" t="inlineStr">
        <is>
          <t>{"x":-47.7,"z":-69.973}</t>
        </is>
      </c>
    </row>
    <row r="106">
      <c r="A106" t="inlineStr">
        <is>
          <t>redrock/5</t>
        </is>
      </c>
      <c r="B106" t="inlineStr">
        <is>
          <t>redrock</t>
        </is>
      </c>
      <c r="C106" t="n">
        <v>5</v>
      </c>
      <c r="D106" t="n">
        <v>-75.95699999999999</v>
      </c>
      <c r="E106" t="n">
        <v>-39.455</v>
      </c>
      <c r="F106" t="inlineStr">
        <is>
          <t>Assets/MachineBrigade/Resources/UI/Bases/redrock.json: outline[5]</t>
        </is>
      </c>
      <c r="G106" t="inlineStr">
        <is>
          <t>{"x":-75.957,"z":-39.455}</t>
        </is>
      </c>
    </row>
    <row r="107">
      <c r="A107" t="inlineStr">
        <is>
          <t>redrock/6</t>
        </is>
      </c>
      <c r="B107" t="inlineStr">
        <is>
          <t>redrock</t>
        </is>
      </c>
      <c r="C107" t="n">
        <v>6</v>
      </c>
      <c r="D107" t="n">
        <v>-127.539</v>
      </c>
      <c r="E107" t="n">
        <v>-30.076</v>
      </c>
      <c r="F107" t="inlineStr">
        <is>
          <t>Assets/MachineBrigade/Resources/UI/Bases/redrock.json: outline[6]</t>
        </is>
      </c>
      <c r="G107" t="inlineStr">
        <is>
          <t>{"x":-127.539,"z":-30.076}</t>
        </is>
      </c>
    </row>
    <row r="108">
      <c r="A108" t="inlineStr">
        <is>
          <t>rustyard/0</t>
        </is>
      </c>
      <c r="B108" t="inlineStr">
        <is>
          <t>rustyard</t>
        </is>
      </c>
      <c r="C108" t="n">
        <v>0</v>
      </c>
      <c r="D108" t="n">
        <v>-138.497</v>
      </c>
      <c r="E108" t="n">
        <v>-42.288</v>
      </c>
      <c r="F108" t="inlineStr">
        <is>
          <t>Assets/MachineBrigade/Resources/UI/Bases/rustyard.json: outline[0]</t>
        </is>
      </c>
      <c r="G108" t="inlineStr">
        <is>
          <t>{"x":-138.497,"z":-42.288}</t>
        </is>
      </c>
    </row>
    <row r="109">
      <c r="A109" t="inlineStr">
        <is>
          <t>rustyard/1</t>
        </is>
      </c>
      <c r="B109" t="inlineStr">
        <is>
          <t>rustyard</t>
        </is>
      </c>
      <c r="C109" t="n">
        <v>1</v>
      </c>
      <c r="D109" t="n">
        <v>-125.831</v>
      </c>
      <c r="E109" t="n">
        <v>-120.097</v>
      </c>
      <c r="F109" t="inlineStr">
        <is>
          <t>Assets/MachineBrigade/Resources/UI/Bases/rustyard.json: outline[1]</t>
        </is>
      </c>
      <c r="G109" t="inlineStr">
        <is>
          <t>{"x":-125.831,"z":-120.097}</t>
        </is>
      </c>
    </row>
    <row r="110">
      <c r="A110" t="inlineStr">
        <is>
          <t>rustyard/2</t>
        </is>
      </c>
      <c r="B110" t="inlineStr">
        <is>
          <t>rustyard</t>
        </is>
      </c>
      <c r="C110" t="n">
        <v>2</v>
      </c>
      <c r="D110" t="n">
        <v>-98.17</v>
      </c>
      <c r="E110" t="n">
        <v>-128.925</v>
      </c>
      <c r="F110" t="inlineStr">
        <is>
          <t>Assets/MachineBrigade/Resources/UI/Bases/rustyard.json: outline[2]</t>
        </is>
      </c>
      <c r="G110" t="inlineStr">
        <is>
          <t>{"x":-98.17,"z":-128.925}</t>
        </is>
      </c>
    </row>
    <row r="111">
      <c r="A111" t="inlineStr">
        <is>
          <t>rustyard/3</t>
        </is>
      </c>
      <c r="B111" t="inlineStr">
        <is>
          <t>rustyard</t>
        </is>
      </c>
      <c r="C111" t="n">
        <v>3</v>
      </c>
      <c r="D111" t="n">
        <v>-58.256</v>
      </c>
      <c r="E111" t="n">
        <v>-132.161</v>
      </c>
      <c r="F111" t="inlineStr">
        <is>
          <t>Assets/MachineBrigade/Resources/UI/Bases/rustyard.json: outline[3]</t>
        </is>
      </c>
      <c r="G111" t="inlineStr">
        <is>
          <t>{"x":-58.256,"z":-132.161}</t>
        </is>
      </c>
    </row>
    <row r="112">
      <c r="A112" t="inlineStr">
        <is>
          <t>rustyard/4</t>
        </is>
      </c>
      <c r="B112" t="inlineStr">
        <is>
          <t>rustyard</t>
        </is>
      </c>
      <c r="C112" t="n">
        <v>4</v>
      </c>
      <c r="D112" t="n">
        <v>-36.872</v>
      </c>
      <c r="E112" t="n">
        <v>-116.48</v>
      </c>
      <c r="F112" t="inlineStr">
        <is>
          <t>Assets/MachineBrigade/Resources/UI/Bases/rustyard.json: outline[4]</t>
        </is>
      </c>
      <c r="G112" t="inlineStr">
        <is>
          <t>{"x":-36.872,"z":-116.48}</t>
        </is>
      </c>
    </row>
    <row r="113">
      <c r="A113" t="inlineStr">
        <is>
          <t>rustyard/5</t>
        </is>
      </c>
      <c r="B113" t="inlineStr">
        <is>
          <t>rustyard</t>
        </is>
      </c>
      <c r="C113" t="n">
        <v>5</v>
      </c>
      <c r="D113" t="n">
        <v>-71.137</v>
      </c>
      <c r="E113" t="n">
        <v>-63.939</v>
      </c>
      <c r="F113" t="inlineStr">
        <is>
          <t>Assets/MachineBrigade/Resources/UI/Bases/rustyard.json: outline[5]</t>
        </is>
      </c>
      <c r="G113" t="inlineStr">
        <is>
          <t>{"x":-71.137,"z":-63.939}</t>
        </is>
      </c>
    </row>
    <row r="114">
      <c r="A114" t="inlineStr">
        <is>
          <t>saltflat/0</t>
        </is>
      </c>
      <c r="B114" t="inlineStr">
        <is>
          <t>saltflat</t>
        </is>
      </c>
      <c r="C114" t="n">
        <v>0</v>
      </c>
      <c r="D114" t="n">
        <v>-138</v>
      </c>
      <c r="E114" t="n">
        <v>-140</v>
      </c>
      <c r="F114" t="inlineStr">
        <is>
          <t>Assets/MachineBrigade/Resources/UI/Bases/saltflat.json: outline[0]</t>
        </is>
      </c>
      <c r="G114" t="inlineStr">
        <is>
          <t>{"x":-138.0,"z":-140.0}</t>
        </is>
      </c>
    </row>
    <row r="115">
      <c r="A115" t="inlineStr">
        <is>
          <t>saltflat/1</t>
        </is>
      </c>
      <c r="B115" t="inlineStr">
        <is>
          <t>saltflat</t>
        </is>
      </c>
      <c r="C115" t="n">
        <v>1</v>
      </c>
      <c r="D115" t="n">
        <v>-113.341</v>
      </c>
      <c r="E115" t="n">
        <v>-140</v>
      </c>
      <c r="F115" t="inlineStr">
        <is>
          <t>Assets/MachineBrigade/Resources/UI/Bases/saltflat.json: outline[1]</t>
        </is>
      </c>
      <c r="G115" t="inlineStr">
        <is>
          <t>{"x":-113.341,"z":-140.0}</t>
        </is>
      </c>
    </row>
    <row r="116">
      <c r="A116" t="inlineStr">
        <is>
          <t>saltflat/2</t>
        </is>
      </c>
      <c r="B116" t="inlineStr">
        <is>
          <t>saltflat</t>
        </is>
      </c>
      <c r="C116" t="n">
        <v>2</v>
      </c>
      <c r="D116" t="n">
        <v>-58.396</v>
      </c>
      <c r="E116" t="n">
        <v>-127.79</v>
      </c>
      <c r="F116" t="inlineStr">
        <is>
          <t>Assets/MachineBrigade/Resources/UI/Bases/saltflat.json: outline[2]</t>
        </is>
      </c>
      <c r="G116" t="inlineStr">
        <is>
          <t>{"x":-58.396,"z":-127.79}</t>
        </is>
      </c>
    </row>
    <row r="117">
      <c r="A117" t="inlineStr">
        <is>
          <t>saltflat/3</t>
        </is>
      </c>
      <c r="B117" t="inlineStr">
        <is>
          <t>saltflat</t>
        </is>
      </c>
      <c r="C117" t="n">
        <v>3</v>
      </c>
      <c r="D117" t="n">
        <v>-36.096</v>
      </c>
      <c r="E117" t="n">
        <v>-120.356</v>
      </c>
      <c r="F117" t="inlineStr">
        <is>
          <t>Assets/MachineBrigade/Resources/UI/Bases/saltflat.json: outline[3]</t>
        </is>
      </c>
      <c r="G117" t="inlineStr">
        <is>
          <t>{"x":-36.096,"z":-120.356}</t>
        </is>
      </c>
    </row>
    <row r="118">
      <c r="A118" t="inlineStr">
        <is>
          <t>saltflat/4</t>
        </is>
      </c>
      <c r="B118" t="inlineStr">
        <is>
          <t>saltflat</t>
        </is>
      </c>
      <c r="C118" t="n">
        <v>4</v>
      </c>
      <c r="D118" t="n">
        <v>-61.094</v>
      </c>
      <c r="E118" t="n">
        <v>-77.502</v>
      </c>
      <c r="F118" t="inlineStr">
        <is>
          <t>Assets/MachineBrigade/Resources/UI/Bases/saltflat.json: outline[4]</t>
        </is>
      </c>
      <c r="G118" t="inlineStr">
        <is>
          <t>{"x":-61.094,"z":-77.502}</t>
        </is>
      </c>
    </row>
    <row r="119">
      <c r="A119" t="inlineStr">
        <is>
          <t>saltflat/5</t>
        </is>
      </c>
      <c r="B119" t="inlineStr">
        <is>
          <t>saltflat</t>
        </is>
      </c>
      <c r="C119" t="n">
        <v>5</v>
      </c>
      <c r="D119" t="n">
        <v>-95.03100000000001</v>
      </c>
      <c r="E119" t="n">
        <v>-38.092</v>
      </c>
      <c r="F119" t="inlineStr">
        <is>
          <t>Assets/MachineBrigade/Resources/UI/Bases/saltflat.json: outline[5]</t>
        </is>
      </c>
      <c r="G119" t="inlineStr">
        <is>
          <t>{"x":-95.031,"z":-38.092}</t>
        </is>
      </c>
    </row>
    <row r="120">
      <c r="A120" t="inlineStr">
        <is>
          <t>saltflat/6</t>
        </is>
      </c>
      <c r="B120" t="inlineStr">
        <is>
          <t>saltflat</t>
        </is>
      </c>
      <c r="C120" t="n">
        <v>6</v>
      </c>
      <c r="D120" t="n">
        <v>-138</v>
      </c>
      <c r="E120" t="n">
        <v>-51.596</v>
      </c>
      <c r="F120" t="inlineStr">
        <is>
          <t>Assets/MachineBrigade/Resources/UI/Bases/saltflat.json: outline[6]</t>
        </is>
      </c>
      <c r="G120" t="inlineStr">
        <is>
          <t>{"x":-138.0,"z":-51.596}</t>
        </is>
      </c>
    </row>
    <row r="121">
      <c r="A121" t="inlineStr">
        <is>
          <t>skyhold/0</t>
        </is>
      </c>
      <c r="B121" t="inlineStr">
        <is>
          <t>skyhold</t>
        </is>
      </c>
      <c r="C121" t="n">
        <v>0</v>
      </c>
      <c r="D121" t="n">
        <v>-138.304</v>
      </c>
      <c r="E121" t="n">
        <v>-140</v>
      </c>
      <c r="F121" t="inlineStr">
        <is>
          <t>Assets/MachineBrigade/Resources/UI/Bases/skyhold.json: outline[0]</t>
        </is>
      </c>
      <c r="G121" t="inlineStr">
        <is>
          <t>{"x":-138.304,"z":-140.0}</t>
        </is>
      </c>
    </row>
    <row r="122">
      <c r="A122" t="inlineStr">
        <is>
          <t>skyhold/1</t>
        </is>
      </c>
      <c r="B122" t="inlineStr">
        <is>
          <t>skyhold</t>
        </is>
      </c>
      <c r="C122" t="n">
        <v>1</v>
      </c>
      <c r="D122" t="n">
        <v>-113.824</v>
      </c>
      <c r="E122" t="n">
        <v>-140</v>
      </c>
      <c r="F122" t="inlineStr">
        <is>
          <t>Assets/MachineBrigade/Resources/UI/Bases/skyhold.json: outline[1]</t>
        </is>
      </c>
      <c r="G122" t="inlineStr">
        <is>
          <t>{"x":-113.824,"z":-140.0}</t>
        </is>
      </c>
    </row>
    <row r="123">
      <c r="A123" t="inlineStr">
        <is>
          <t>skyhold/2</t>
        </is>
      </c>
      <c r="B123" t="inlineStr">
        <is>
          <t>skyhold</t>
        </is>
      </c>
      <c r="C123" t="n">
        <v>2</v>
      </c>
      <c r="D123" t="n">
        <v>-59.554</v>
      </c>
      <c r="E123" t="n">
        <v>-136.808</v>
      </c>
      <c r="F123" t="inlineStr">
        <is>
          <t>Assets/MachineBrigade/Resources/UI/Bases/skyhold.json: outline[2]</t>
        </is>
      </c>
      <c r="G123" t="inlineStr">
        <is>
          <t>{"x":-59.554,"z":-136.808}</t>
        </is>
      </c>
    </row>
    <row r="124">
      <c r="A124" t="inlineStr">
        <is>
          <t>skyhold/3</t>
        </is>
      </c>
      <c r="B124" t="inlineStr">
        <is>
          <t>skyhold</t>
        </is>
      </c>
      <c r="C124" t="n">
        <v>3</v>
      </c>
      <c r="D124" t="n">
        <v>-45.717</v>
      </c>
      <c r="E124" t="n">
        <v>-114.667</v>
      </c>
      <c r="F124" t="inlineStr">
        <is>
          <t>Assets/MachineBrigade/Resources/UI/Bases/skyhold.json: outline[3]</t>
        </is>
      </c>
      <c r="G124" t="inlineStr">
        <is>
          <t>{"x":-45.717,"z":-114.667}</t>
        </is>
      </c>
    </row>
    <row r="125">
      <c r="A125" t="inlineStr">
        <is>
          <t>skyhold/4</t>
        </is>
      </c>
      <c r="B125" t="inlineStr">
        <is>
          <t>skyhold</t>
        </is>
      </c>
      <c r="C125" t="n">
        <v>4</v>
      </c>
      <c r="D125" t="n">
        <v>-67.383</v>
      </c>
      <c r="E125" t="n">
        <v>-86.15900000000001</v>
      </c>
      <c r="F125" t="inlineStr">
        <is>
          <t>Assets/MachineBrigade/Resources/UI/Bases/skyhold.json: outline[4]</t>
        </is>
      </c>
      <c r="G125" t="inlineStr">
        <is>
          <t>{"x":-67.383,"z":-86.159}</t>
        </is>
      </c>
    </row>
    <row r="126">
      <c r="A126" t="inlineStr">
        <is>
          <t>skyhold/5</t>
        </is>
      </c>
      <c r="B126" t="inlineStr">
        <is>
          <t>skyhold</t>
        </is>
      </c>
      <c r="C126" t="n">
        <v>5</v>
      </c>
      <c r="D126" t="n">
        <v>-88.459</v>
      </c>
      <c r="E126" t="n">
        <v>-62.975</v>
      </c>
      <c r="F126" t="inlineStr">
        <is>
          <t>Assets/MachineBrigade/Resources/UI/Bases/skyhold.json: outline[5]</t>
        </is>
      </c>
      <c r="G126" t="inlineStr">
        <is>
          <t>{"x":-88.459,"z":-62.975}</t>
        </is>
      </c>
    </row>
    <row r="127">
      <c r="A127" t="inlineStr">
        <is>
          <t>skyhold/6</t>
        </is>
      </c>
      <c r="B127" t="inlineStr">
        <is>
          <t>skyhold</t>
        </is>
      </c>
      <c r="C127" t="n">
        <v>6</v>
      </c>
      <c r="D127" t="n">
        <v>-133.572</v>
      </c>
      <c r="E127" t="n">
        <v>-44.178</v>
      </c>
      <c r="F127" t="inlineStr">
        <is>
          <t>Assets/MachineBrigade/Resources/UI/Bases/skyhold.json: outline[6]</t>
        </is>
      </c>
      <c r="G127" t="inlineStr">
        <is>
          <t>{"x":-133.572,"z":-44.178}</t>
        </is>
      </c>
    </row>
    <row r="128">
      <c r="A128" t="inlineStr">
        <is>
          <t>swamp/0</t>
        </is>
      </c>
      <c r="B128" t="inlineStr">
        <is>
          <t>swamp</t>
        </is>
      </c>
      <c r="C128" t="n">
        <v>0</v>
      </c>
      <c r="D128" t="n">
        <v>-132.228</v>
      </c>
      <c r="E128" t="n">
        <v>-72.806</v>
      </c>
      <c r="F128" t="inlineStr">
        <is>
          <t>Assets/MachineBrigade/Resources/UI/Bases/swamp.json: outline[0]</t>
        </is>
      </c>
      <c r="G128" t="inlineStr">
        <is>
          <t>{"x":-132.228,"z":-72.806}</t>
        </is>
      </c>
    </row>
    <row r="129">
      <c r="A129" t="inlineStr">
        <is>
          <t>swamp/1</t>
        </is>
      </c>
      <c r="B129" t="inlineStr">
        <is>
          <t>swamp</t>
        </is>
      </c>
      <c r="C129" t="n">
        <v>1</v>
      </c>
      <c r="D129" t="n">
        <v>-125.354</v>
      </c>
      <c r="E129" t="n">
        <v>-121.499</v>
      </c>
      <c r="F129" t="inlineStr">
        <is>
          <t>Assets/MachineBrigade/Resources/UI/Bases/swamp.json: outline[1]</t>
        </is>
      </c>
      <c r="G129" t="inlineStr">
        <is>
          <t>{"x":-125.354,"z":-121.499}</t>
        </is>
      </c>
    </row>
    <row r="130">
      <c r="A130" t="inlineStr">
        <is>
          <t>swamp/2</t>
        </is>
      </c>
      <c r="B130" t="inlineStr">
        <is>
          <t>swamp</t>
        </is>
      </c>
      <c r="C130" t="n">
        <v>2</v>
      </c>
      <c r="D130" t="n">
        <v>-54.654</v>
      </c>
      <c r="E130" t="n">
        <v>-136.478</v>
      </c>
      <c r="F130" t="inlineStr">
        <is>
          <t>Assets/MachineBrigade/Resources/UI/Bases/swamp.json: outline[2]</t>
        </is>
      </c>
      <c r="G130" t="inlineStr">
        <is>
          <t>{"x":-54.654,"z":-136.478}</t>
        </is>
      </c>
    </row>
    <row r="131">
      <c r="A131" t="inlineStr">
        <is>
          <t>swamp/3</t>
        </is>
      </c>
      <c r="B131" t="inlineStr">
        <is>
          <t>swamp</t>
        </is>
      </c>
      <c r="C131" t="n">
        <v>3</v>
      </c>
      <c r="D131" t="n">
        <v>-56.02</v>
      </c>
      <c r="E131" t="n">
        <v>-106.417</v>
      </c>
      <c r="F131" t="inlineStr">
        <is>
          <t>Assets/MachineBrigade/Resources/UI/Bases/swamp.json: outline[3]</t>
        </is>
      </c>
      <c r="G131" t="inlineStr">
        <is>
          <t>{"x":-56.02,"z":-106.417}</t>
        </is>
      </c>
    </row>
    <row r="132">
      <c r="A132" t="inlineStr">
        <is>
          <t>swamp/4</t>
        </is>
      </c>
      <c r="B132" t="inlineStr">
        <is>
          <t>swamp</t>
        </is>
      </c>
      <c r="C132" t="n">
        <v>4</v>
      </c>
      <c r="D132" t="n">
        <v>-59.367</v>
      </c>
      <c r="E132" t="n">
        <v>-84.107</v>
      </c>
      <c r="F132" t="inlineStr">
        <is>
          <t>Assets/MachineBrigade/Resources/UI/Bases/swamp.json: outline[4]</t>
        </is>
      </c>
      <c r="G132" t="inlineStr">
        <is>
          <t>{"x":-59.367,"z":-84.107}</t>
        </is>
      </c>
    </row>
    <row r="133">
      <c r="A133" t="inlineStr">
        <is>
          <t>swamp/5</t>
        </is>
      </c>
      <c r="B133" t="inlineStr">
        <is>
          <t>swamp</t>
        </is>
      </c>
      <c r="C133" t="n">
        <v>5</v>
      </c>
      <c r="D133" t="n">
        <v>-98.583</v>
      </c>
      <c r="E133" t="n">
        <v>-46.011</v>
      </c>
      <c r="F133" t="inlineStr">
        <is>
          <t>Assets/MachineBrigade/Resources/UI/Bases/swamp.json: outline[5]</t>
        </is>
      </c>
      <c r="G133" t="inlineStr">
        <is>
          <t>{"x":-98.583,"z":-46.011}</t>
        </is>
      </c>
    </row>
    <row r="134">
      <c r="A134" t="inlineStr">
        <is>
          <t>swamp/6</t>
        </is>
      </c>
      <c r="B134" t="inlineStr">
        <is>
          <t>swamp</t>
        </is>
      </c>
      <c r="C134" t="n">
        <v>6</v>
      </c>
      <c r="D134" t="n">
        <v>-122.155</v>
      </c>
      <c r="E134" t="n">
        <v>-55.178</v>
      </c>
      <c r="F134" t="inlineStr">
        <is>
          <t>Assets/MachineBrigade/Resources/UI/Bases/swamp.json: outline[6]</t>
        </is>
      </c>
      <c r="G134" t="inlineStr">
        <is>
          <t>{"x":-122.155,"z":-55.178}</t>
        </is>
      </c>
    </row>
    <row r="135">
      <c r="A135" t="inlineStr">
        <is>
          <t>whiteout/0</t>
        </is>
      </c>
      <c r="B135" t="inlineStr">
        <is>
          <t>whiteout</t>
        </is>
      </c>
      <c r="C135" t="n">
        <v>0</v>
      </c>
      <c r="D135" t="n">
        <v>-129</v>
      </c>
      <c r="E135" t="n">
        <v>-90.244</v>
      </c>
      <c r="F135" t="inlineStr">
        <is>
          <t>Assets/MachineBrigade/Resources/UI/Bases/whiteout.json: outline[0]</t>
        </is>
      </c>
      <c r="G135" t="inlineStr">
        <is>
          <t>{"x":-129.0,"z":-90.244}</t>
        </is>
      </c>
    </row>
    <row r="136">
      <c r="A136" t="inlineStr">
        <is>
          <t>whiteout/1</t>
        </is>
      </c>
      <c r="B136" t="inlineStr">
        <is>
          <t>whiteout</t>
        </is>
      </c>
      <c r="C136" t="n">
        <v>1</v>
      </c>
      <c r="D136" t="n">
        <v>-126.664</v>
      </c>
      <c r="E136" t="n">
        <v>-118.859</v>
      </c>
      <c r="F136" t="inlineStr">
        <is>
          <t>Assets/MachineBrigade/Resources/UI/Bases/whiteout.json: outline[1]</t>
        </is>
      </c>
      <c r="G136" t="inlineStr">
        <is>
          <t>{"x":-126.664,"z":-118.859}</t>
        </is>
      </c>
    </row>
    <row r="137">
      <c r="A137" t="inlineStr">
        <is>
          <t>whiteout/2</t>
        </is>
      </c>
      <c r="B137" t="inlineStr">
        <is>
          <t>whiteout</t>
        </is>
      </c>
      <c r="C137" t="n">
        <v>2</v>
      </c>
      <c r="D137" t="n">
        <v>-98.95</v>
      </c>
      <c r="E137" t="n">
        <v>-128.674</v>
      </c>
      <c r="F137" t="inlineStr">
        <is>
          <t>Assets/MachineBrigade/Resources/UI/Bases/whiteout.json: outline[2]</t>
        </is>
      </c>
      <c r="G137" t="inlineStr">
        <is>
          <t>{"x":-98.95,"z":-128.674}</t>
        </is>
      </c>
    </row>
    <row r="138">
      <c r="A138" t="inlineStr">
        <is>
          <t>whiteout/3</t>
        </is>
      </c>
      <c r="B138" t="inlineStr">
        <is>
          <t>whiteout</t>
        </is>
      </c>
      <c r="C138" t="n">
        <v>3</v>
      </c>
      <c r="D138" t="n">
        <v>-69.279</v>
      </c>
      <c r="E138" t="n">
        <v>-138.565</v>
      </c>
      <c r="F138" t="inlineStr">
        <is>
          <t>Assets/MachineBrigade/Resources/UI/Bases/whiteout.json: outline[3]</t>
        </is>
      </c>
      <c r="G138" t="inlineStr">
        <is>
          <t>{"x":-69.279,"z":-138.565}</t>
        </is>
      </c>
    </row>
    <row r="139">
      <c r="A139" t="inlineStr">
        <is>
          <t>whiteout/4</t>
        </is>
      </c>
      <c r="B139" t="inlineStr">
        <is>
          <t>whiteout</t>
        </is>
      </c>
      <c r="C139" t="n">
        <v>4</v>
      </c>
      <c r="D139" t="n">
        <v>-49</v>
      </c>
      <c r="E139" t="n">
        <v>-126.397</v>
      </c>
      <c r="F139" t="inlineStr">
        <is>
          <t>Assets/MachineBrigade/Resources/UI/Bases/whiteout.json: outline[4]</t>
        </is>
      </c>
      <c r="G139" t="inlineStr">
        <is>
          <t>{"x":-49.0,"z":-126.397}</t>
        </is>
      </c>
    </row>
    <row r="140">
      <c r="A140" t="inlineStr">
        <is>
          <t>whiteout/5</t>
        </is>
      </c>
      <c r="B140" t="inlineStr">
        <is>
          <t>whiteout</t>
        </is>
      </c>
      <c r="C140" t="n">
        <v>5</v>
      </c>
      <c r="D140" t="n">
        <v>-49</v>
      </c>
      <c r="E140" t="n">
        <v>-90.19</v>
      </c>
      <c r="F140" t="inlineStr">
        <is>
          <t>Assets/MachineBrigade/Resources/UI/Bases/whiteout.json: outline[5]</t>
        </is>
      </c>
      <c r="G140" t="inlineStr">
        <is>
          <t>{"x":-49.0,"z":-90.19}</t>
        </is>
      </c>
    </row>
    <row r="141">
      <c r="A141" t="inlineStr">
        <is>
          <t>whiteout/6</t>
        </is>
      </c>
      <c r="B141" t="inlineStr">
        <is>
          <t>whiteout</t>
        </is>
      </c>
      <c r="C141" t="n">
        <v>6</v>
      </c>
      <c r="D141" t="n">
        <v>-88.123</v>
      </c>
      <c r="E141" t="n">
        <v>-57.588</v>
      </c>
      <c r="F141" t="inlineStr">
        <is>
          <t>Assets/MachineBrigade/Resources/UI/Bases/whiteout.json: outline[6]</t>
        </is>
      </c>
      <c r="G141" t="inlineStr">
        <is>
          <t>{"x":-88.123,"z":-57.588}</t>
        </is>
      </c>
    </row>
    <row r="142">
      <c r="A142" t="inlineStr">
        <is>
          <t>whiteout/7</t>
        </is>
      </c>
      <c r="B142" t="inlineStr">
        <is>
          <t>whiteout</t>
        </is>
      </c>
      <c r="C142" t="n">
        <v>7</v>
      </c>
      <c r="D142" t="n">
        <v>-127.548</v>
      </c>
      <c r="E142" t="n">
        <v>-46.142</v>
      </c>
      <c r="F142" t="inlineStr">
        <is>
          <t>Assets/MachineBrigade/Resources/UI/Bases/whiteout.json: outline[7]</t>
        </is>
      </c>
      <c r="G142" t="inlineStr">
        <is>
          <t>{"x":-127.548,"z":-46.142}</t>
        </is>
      </c>
    </row>
    <row r="143">
      <c r="A143" t="inlineStr">
        <is>
          <t>whiteout/8</t>
        </is>
      </c>
      <c r="B143" t="inlineStr">
        <is>
          <t>whiteout</t>
        </is>
      </c>
      <c r="C143" t="n">
        <v>8</v>
      </c>
      <c r="D143" t="n">
        <v>-129</v>
      </c>
      <c r="E143" t="n">
        <v>-70.824</v>
      </c>
      <c r="F143" t="inlineStr">
        <is>
          <t>Assets/MachineBrigade/Resources/UI/Bases/whiteout.json: outline[8]</t>
        </is>
      </c>
      <c r="G143" t="inlineStr">
        <is>
          <t>{"x":-129.0,"z":-70.824}</t>
        </is>
      </c>
    </row>
  </sheetData>
  <autoFilter ref="A1:G14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8" customWidth="1" min="8" max="8"/>
    <col width="60" customWidth="1" min="9" max="9"/>
    <col width="60" customWidth="1" min="10" max="10"/>
  </cols>
  <sheetData>
    <row r="1">
      <c r="A1" s="1" t="inlineStr">
        <is>
          <t>id</t>
        </is>
      </c>
      <c r="B1" s="1" t="inlineStr">
        <is>
          <t>anh_can_cu_id</t>
        </is>
      </c>
      <c r="C1" s="1" t="inlineStr">
        <is>
          <t>thu_tu</t>
        </is>
      </c>
      <c r="D1" s="1" t="inlineStr">
        <is>
          <t>at_x_m</t>
        </is>
      </c>
      <c r="E1" s="1" t="inlineStr">
        <is>
          <t>at_z_m</t>
        </is>
      </c>
      <c r="F1" s="1" t="inlineStr">
        <is>
          <t>dir_x_m</t>
        </is>
      </c>
      <c r="G1" s="1" t="inlineStr">
        <is>
          <t>dir_z_m</t>
        </is>
      </c>
      <c r="H1" s="1" t="inlineStr">
        <is>
          <t>routes</t>
        </is>
      </c>
      <c r="I1" s="1" t="inlineStr">
        <is>
          <t>nguon</t>
        </is>
      </c>
      <c r="J1" s="1" t="inlineStr">
        <is>
          <t>raw_json</t>
        </is>
      </c>
    </row>
    <row r="2">
      <c r="A2" t="inlineStr">
        <is>
          <t>ashfield/0</t>
        </is>
      </c>
      <c r="B2" t="inlineStr">
        <is>
          <t>ashfield</t>
        </is>
      </c>
      <c r="C2" t="n">
        <v>0</v>
      </c>
      <c r="D2" t="n">
        <v>-90.97499999999999</v>
      </c>
      <c r="E2" t="n">
        <v>-56.486</v>
      </c>
      <c r="F2" t="n">
        <v>-0.339</v>
      </c>
      <c r="G2" t="n">
        <v>-0.9409999999999999</v>
      </c>
      <c r="H2" t="n">
        <v>1</v>
      </c>
      <c r="I2" t="inlineStr">
        <is>
          <t>Assets/MachineBrigade/Resources/UI/Bases/ashfield.json: arrows[0]</t>
        </is>
      </c>
      <c r="J2" t="inlineStr">
        <is>
          <t>{"at":{"x":-90.975,"z":-56.486},"dir":{"x":-0.339,"z":-0.941},"routes":1}</t>
        </is>
      </c>
    </row>
    <row r="3">
      <c r="A3" t="inlineStr">
        <is>
          <t>ashfield/1</t>
        </is>
      </c>
      <c r="B3" t="inlineStr">
        <is>
          <t>ashfield</t>
        </is>
      </c>
      <c r="C3" t="n">
        <v>1</v>
      </c>
      <c r="D3" t="n">
        <v>-70.77800000000001</v>
      </c>
      <c r="E3" t="n">
        <v>-81.89400000000001</v>
      </c>
      <c r="F3" t="n">
        <v>-0.8120000000000001</v>
      </c>
      <c r="G3" t="n">
        <v>-0.584</v>
      </c>
      <c r="H3" t="n">
        <v>2</v>
      </c>
      <c r="I3" t="inlineStr">
        <is>
          <t>Assets/MachineBrigade/Resources/UI/Bases/ashfield.json: arrows[1]</t>
        </is>
      </c>
      <c r="J3" t="inlineStr">
        <is>
          <t>{"at":{"x":-70.778,"z":-81.894},"dir":{"x":-0.812,"z":-0.584},"routes":2}</t>
        </is>
      </c>
    </row>
    <row r="4">
      <c r="A4" t="inlineStr">
        <is>
          <t>borderbridge/0</t>
        </is>
      </c>
      <c r="B4" t="inlineStr">
        <is>
          <t>borderbridge</t>
        </is>
      </c>
      <c r="C4" t="n">
        <v>0</v>
      </c>
      <c r="D4" t="n">
        <v>-116.811</v>
      </c>
      <c r="E4" t="n">
        <v>-24.154</v>
      </c>
      <c r="F4" t="n">
        <v>0.026</v>
      </c>
      <c r="G4" t="n">
        <v>-1</v>
      </c>
      <c r="H4" t="n">
        <v>1</v>
      </c>
      <c r="I4" t="inlineStr">
        <is>
          <t>Assets/MachineBrigade/Resources/UI/Bases/borderbridge.json: arrows[0]</t>
        </is>
      </c>
      <c r="J4" t="inlineStr">
        <is>
          <t>{"at":{"x":-116.811,"z":-24.154},"dir":{"x":0.026,"z":-1.0},"routes":1}</t>
        </is>
      </c>
    </row>
    <row r="5">
      <c r="A5" t="inlineStr">
        <is>
          <t>borderbridge/1</t>
        </is>
      </c>
      <c r="B5" t="inlineStr">
        <is>
          <t>borderbridge</t>
        </is>
      </c>
      <c r="C5" t="n">
        <v>1</v>
      </c>
      <c r="D5" t="n">
        <v>-65.396</v>
      </c>
      <c r="E5" t="n">
        <v>-68.11799999999999</v>
      </c>
      <c r="F5" t="n">
        <v>-0.723</v>
      </c>
      <c r="G5" t="n">
        <v>-0.6909999999999999</v>
      </c>
      <c r="H5" t="n">
        <v>2</v>
      </c>
      <c r="I5" t="inlineStr">
        <is>
          <t>Assets/MachineBrigade/Resources/UI/Bases/borderbridge.json: arrows[1]</t>
        </is>
      </c>
      <c r="J5" t="inlineStr">
        <is>
          <t>{"at":{"x":-65.396,"z":-68.118},"dir":{"x":-0.723,"z":-0.691},"routes":2}</t>
        </is>
      </c>
    </row>
    <row r="6">
      <c r="A6" t="inlineStr">
        <is>
          <t>borderbridge/2</t>
        </is>
      </c>
      <c r="B6" t="inlineStr">
        <is>
          <t>borderbridge</t>
        </is>
      </c>
      <c r="C6" t="n">
        <v>2</v>
      </c>
      <c r="D6" t="n">
        <v>-41.635</v>
      </c>
      <c r="E6" t="n">
        <v>-104.857</v>
      </c>
      <c r="F6" t="n">
        <v>-0.998</v>
      </c>
      <c r="G6" t="n">
        <v>-0.06</v>
      </c>
      <c r="H6" t="n">
        <v>1</v>
      </c>
      <c r="I6" t="inlineStr">
        <is>
          <t>Assets/MachineBrigade/Resources/UI/Bases/borderbridge.json: arrows[2]</t>
        </is>
      </c>
      <c r="J6" t="inlineStr">
        <is>
          <t>{"at":{"x":-41.635,"z":-104.857},"dir":{"x":-0.998,"z":-0.06},"routes":1}</t>
        </is>
      </c>
    </row>
    <row r="7">
      <c r="A7" t="inlineStr">
        <is>
          <t>capital/0</t>
        </is>
      </c>
      <c r="B7" t="inlineStr">
        <is>
          <t>capital</t>
        </is>
      </c>
      <c r="C7" t="n">
        <v>0</v>
      </c>
      <c r="D7" t="n">
        <v>-54.224</v>
      </c>
      <c r="E7" t="n">
        <v>-107.234</v>
      </c>
      <c r="F7" t="n">
        <v>-1</v>
      </c>
      <c r="G7" t="n">
        <v>-0.024</v>
      </c>
      <c r="H7" t="n">
        <v>4</v>
      </c>
      <c r="I7" t="inlineStr">
        <is>
          <t>Assets/MachineBrigade/Resources/UI/Bases/capital.json: arrows[0]</t>
        </is>
      </c>
      <c r="J7" t="inlineStr">
        <is>
          <t>{"at":{"x":-54.224,"z":-107.234},"dir":{"x":-1.0,"z":-0.024},"routes":4}</t>
        </is>
      </c>
    </row>
    <row r="8">
      <c r="A8" t="inlineStr">
        <is>
          <t>coralisles/0</t>
        </is>
      </c>
      <c r="B8" t="inlineStr">
        <is>
          <t>coralisles</t>
        </is>
      </c>
      <c r="C8" t="n">
        <v>0</v>
      </c>
      <c r="D8" t="n">
        <v>-109.237</v>
      </c>
      <c r="E8" t="n">
        <v>-57.584</v>
      </c>
      <c r="F8" t="n">
        <v>-0.025</v>
      </c>
      <c r="G8" t="n">
        <v>-1</v>
      </c>
      <c r="H8" t="n">
        <v>1</v>
      </c>
      <c r="I8" t="inlineStr">
        <is>
          <t>Assets/MachineBrigade/Resources/UI/Bases/coralisles.json: arrows[0]</t>
        </is>
      </c>
      <c r="J8" t="inlineStr">
        <is>
          <t>{"at":{"x":-109.237,"z":-57.584},"dir":{"x":-0.025,"z":-1.0},"routes":1}</t>
        </is>
      </c>
    </row>
    <row r="9">
      <c r="A9" t="inlineStr">
        <is>
          <t>coralisles/1</t>
        </is>
      </c>
      <c r="B9" t="inlineStr">
        <is>
          <t>coralisles</t>
        </is>
      </c>
      <c r="C9" t="n">
        <v>1</v>
      </c>
      <c r="D9" t="n">
        <v>-85.541</v>
      </c>
      <c r="E9" t="n">
        <v>-67.465</v>
      </c>
      <c r="F9" t="n">
        <v>-0.516</v>
      </c>
      <c r="G9" t="n">
        <v>-0.856</v>
      </c>
      <c r="H9" t="n">
        <v>2</v>
      </c>
      <c r="I9" t="inlineStr">
        <is>
          <t>Assets/MachineBrigade/Resources/UI/Bases/coralisles.json: arrows[1]</t>
        </is>
      </c>
      <c r="J9" t="inlineStr">
        <is>
          <t>{"at":{"x":-85.541,"z":-67.465},"dir":{"x":-0.516,"z":-0.856},"routes":2}</t>
        </is>
      </c>
    </row>
    <row r="10">
      <c r="A10" t="inlineStr">
        <is>
          <t>coralisles/2</t>
        </is>
      </c>
      <c r="B10" t="inlineStr">
        <is>
          <t>coralisles</t>
        </is>
      </c>
      <c r="C10" t="n">
        <v>2</v>
      </c>
      <c r="D10" t="n">
        <v>-55.408</v>
      </c>
      <c r="E10" t="n">
        <v>-107</v>
      </c>
      <c r="F10" t="n">
        <v>-1</v>
      </c>
      <c r="G10" t="n">
        <v>0</v>
      </c>
      <c r="H10" t="n">
        <v>1</v>
      </c>
      <c r="I10" t="inlineStr">
        <is>
          <t>Assets/MachineBrigade/Resources/UI/Bases/coralisles.json: arrows[2]</t>
        </is>
      </c>
      <c r="J10" t="inlineStr">
        <is>
          <t>{"at":{"x":-55.408,"z":-107.0},"dir":{"x":-1.0,"z":0.0},"routes":1}</t>
        </is>
      </c>
    </row>
    <row r="11">
      <c r="A11" t="inlineStr">
        <is>
          <t>dunebreak/0</t>
        </is>
      </c>
      <c r="B11" t="inlineStr">
        <is>
          <t>dunebreak</t>
        </is>
      </c>
      <c r="C11" t="n">
        <v>0</v>
      </c>
      <c r="D11" t="n">
        <v>-87.642</v>
      </c>
      <c r="E11" t="n">
        <v>-51.02</v>
      </c>
      <c r="F11" t="n">
        <v>-0.405</v>
      </c>
      <c r="G11" t="n">
        <v>-0.914</v>
      </c>
      <c r="H11" t="n">
        <v>1</v>
      </c>
      <c r="I11" t="inlineStr">
        <is>
          <t>Assets/MachineBrigade/Resources/UI/Bases/dunebreak.json: arrows[0]</t>
        </is>
      </c>
      <c r="J11" t="inlineStr">
        <is>
          <t>{"at":{"x":-87.642,"z":-51.02},"dir":{"x":-0.405,"z":-0.914},"routes":1}</t>
        </is>
      </c>
    </row>
    <row r="12">
      <c r="A12" t="inlineStr">
        <is>
          <t>dunebreak/1</t>
        </is>
      </c>
      <c r="B12" t="inlineStr">
        <is>
          <t>dunebreak</t>
        </is>
      </c>
      <c r="C12" t="n">
        <v>1</v>
      </c>
      <c r="D12" t="n">
        <v>-70.432</v>
      </c>
      <c r="E12" t="n">
        <v>-66.205</v>
      </c>
      <c r="F12" t="n">
        <v>-0.658</v>
      </c>
      <c r="G12" t="n">
        <v>-0.753</v>
      </c>
      <c r="H12" t="n">
        <v>2</v>
      </c>
      <c r="I12" t="inlineStr">
        <is>
          <t>Assets/MachineBrigade/Resources/UI/Bases/dunebreak.json: arrows[1]</t>
        </is>
      </c>
      <c r="J12" t="inlineStr">
        <is>
          <t>{"at":{"x":-70.432,"z":-66.205},"dir":{"x":-0.658,"z":-0.753},"routes":2}</t>
        </is>
      </c>
    </row>
    <row r="13">
      <c r="A13" t="inlineStr">
        <is>
          <t>dunebreak/2</t>
        </is>
      </c>
      <c r="B13" t="inlineStr">
        <is>
          <t>dunebreak</t>
        </is>
      </c>
      <c r="C13" t="n">
        <v>2</v>
      </c>
      <c r="D13" t="n">
        <v>-48.921</v>
      </c>
      <c r="E13" t="n">
        <v>-106.964</v>
      </c>
      <c r="F13" t="n">
        <v>-1</v>
      </c>
      <c r="G13" t="n">
        <v>-0.017</v>
      </c>
      <c r="H13" t="n">
        <v>1</v>
      </c>
      <c r="I13" t="inlineStr">
        <is>
          <t>Assets/MachineBrigade/Resources/UI/Bases/dunebreak.json: arrows[2]</t>
        </is>
      </c>
      <c r="J13" t="inlineStr">
        <is>
          <t>{"at":{"x":-48.921,"z":-106.964},"dir":{"x":-1.0,"z":-0.017},"routes":1}</t>
        </is>
      </c>
    </row>
    <row r="14">
      <c r="A14" t="inlineStr">
        <is>
          <t>emberridge/0</t>
        </is>
      </c>
      <c r="B14" t="inlineStr">
        <is>
          <t>emberridge</t>
        </is>
      </c>
      <c r="C14" t="n">
        <v>0</v>
      </c>
      <c r="D14" t="n">
        <v>-102.664</v>
      </c>
      <c r="E14" t="n">
        <v>-50.93</v>
      </c>
      <c r="F14" t="n">
        <v>-0.19</v>
      </c>
      <c r="G14" t="n">
        <v>-0.982</v>
      </c>
      <c r="H14" t="n">
        <v>1</v>
      </c>
      <c r="I14" t="inlineStr">
        <is>
          <t>Assets/MachineBrigade/Resources/UI/Bases/emberridge.json: arrows[0]</t>
        </is>
      </c>
      <c r="J14" t="inlineStr">
        <is>
          <t>{"at":{"x":-102.664,"z":-50.93},"dir":{"x":-0.19,"z":-0.982},"routes":1}</t>
        </is>
      </c>
    </row>
    <row r="15">
      <c r="A15" t="inlineStr">
        <is>
          <t>emberridge/1</t>
        </is>
      </c>
      <c r="B15" t="inlineStr">
        <is>
          <t>emberridge</t>
        </is>
      </c>
      <c r="C15" t="n">
        <v>1</v>
      </c>
      <c r="D15" t="n">
        <v>-68.651</v>
      </c>
      <c r="E15" t="n">
        <v>-68.858</v>
      </c>
      <c r="F15" t="n">
        <v>-0.6879999999999999</v>
      </c>
      <c r="G15" t="n">
        <v>-0.725</v>
      </c>
      <c r="H15" t="n">
        <v>2</v>
      </c>
      <c r="I15" t="inlineStr">
        <is>
          <t>Assets/MachineBrigade/Resources/UI/Bases/emberridge.json: arrows[1]</t>
        </is>
      </c>
      <c r="J15" t="inlineStr">
        <is>
          <t>{"at":{"x":-68.651,"z":-68.858},"dir":{"x":-0.688,"z":-0.725},"routes":2}</t>
        </is>
      </c>
    </row>
    <row r="16">
      <c r="A16" t="inlineStr">
        <is>
          <t>emberridge/2</t>
        </is>
      </c>
      <c r="B16" t="inlineStr">
        <is>
          <t>emberridge</t>
        </is>
      </c>
      <c r="C16" t="n">
        <v>2</v>
      </c>
      <c r="D16" t="n">
        <v>-58.279</v>
      </c>
      <c r="E16" t="n">
        <v>-92.937</v>
      </c>
      <c r="F16" t="n">
        <v>-0.972</v>
      </c>
      <c r="G16" t="n">
        <v>-0.234</v>
      </c>
      <c r="H16" t="n">
        <v>1</v>
      </c>
      <c r="I16" t="inlineStr">
        <is>
          <t>Assets/MachineBrigade/Resources/UI/Bases/emberridge.json: arrows[2]</t>
        </is>
      </c>
      <c r="J16" t="inlineStr">
        <is>
          <t>{"at":{"x":-58.279,"z":-92.937},"dir":{"x":-0.972,"z":-0.234},"routes":1}</t>
        </is>
      </c>
    </row>
    <row r="17">
      <c r="A17" t="inlineStr">
        <is>
          <t>frostpeak/0</t>
        </is>
      </c>
      <c r="B17" t="inlineStr">
        <is>
          <t>frostpeak</t>
        </is>
      </c>
      <c r="C17" t="n">
        <v>0</v>
      </c>
      <c r="D17" t="n">
        <v>-106.739</v>
      </c>
      <c r="E17" t="n">
        <v>-41.846</v>
      </c>
      <c r="F17" t="n">
        <v>0.008</v>
      </c>
      <c r="G17" t="n">
        <v>-1</v>
      </c>
      <c r="H17" t="n">
        <v>1</v>
      </c>
      <c r="I17" t="inlineStr">
        <is>
          <t>Assets/MachineBrigade/Resources/UI/Bases/frostpeak.json: arrows[0]</t>
        </is>
      </c>
      <c r="J17" t="inlineStr">
        <is>
          <t>{"at":{"x":-106.739,"z":-41.846},"dir":{"x":0.008,"z":-1.0},"routes":1}</t>
        </is>
      </c>
    </row>
    <row r="18">
      <c r="A18" t="inlineStr">
        <is>
          <t>frostpeak/1</t>
        </is>
      </c>
      <c r="B18" t="inlineStr">
        <is>
          <t>frostpeak</t>
        </is>
      </c>
      <c r="C18" t="n">
        <v>1</v>
      </c>
      <c r="D18" t="n">
        <v>-72.36199999999999</v>
      </c>
      <c r="E18" t="n">
        <v>-72.36199999999999</v>
      </c>
      <c r="F18" t="n">
        <v>-0.707</v>
      </c>
      <c r="G18" t="n">
        <v>-0.707</v>
      </c>
      <c r="H18" t="n">
        <v>2</v>
      </c>
      <c r="I18" t="inlineStr">
        <is>
          <t>Assets/MachineBrigade/Resources/UI/Bases/frostpeak.json: arrows[1]</t>
        </is>
      </c>
      <c r="J18" t="inlineStr">
        <is>
          <t>{"at":{"x":-72.362,"z":-72.362},"dir":{"x":-0.707,"z":-0.707},"routes":2}</t>
        </is>
      </c>
    </row>
    <row r="19">
      <c r="A19" t="inlineStr">
        <is>
          <t>frostpeak/2</t>
        </is>
      </c>
      <c r="B19" t="inlineStr">
        <is>
          <t>frostpeak</t>
        </is>
      </c>
      <c r="C19" t="n">
        <v>2</v>
      </c>
      <c r="D19" t="n">
        <v>-49.756</v>
      </c>
      <c r="E19" t="n">
        <v>-93.084</v>
      </c>
      <c r="F19" t="n">
        <v>-0.98</v>
      </c>
      <c r="G19" t="n">
        <v>-0.2</v>
      </c>
      <c r="H19" t="n">
        <v>1</v>
      </c>
      <c r="I19" t="inlineStr">
        <is>
          <t>Assets/MachineBrigade/Resources/UI/Bases/frostpeak.json: arrows[2]</t>
        </is>
      </c>
      <c r="J19" t="inlineStr">
        <is>
          <t>{"at":{"x":-49.756,"z":-93.084},"dir":{"x":-0.98,"z":-0.2},"routes":1}</t>
        </is>
      </c>
    </row>
    <row r="20">
      <c r="A20" t="inlineStr">
        <is>
          <t>greenvale/0</t>
        </is>
      </c>
      <c r="B20" t="inlineStr">
        <is>
          <t>greenvale</t>
        </is>
      </c>
      <c r="C20" t="n">
        <v>0</v>
      </c>
      <c r="D20" t="n">
        <v>-81.807</v>
      </c>
      <c r="E20" t="n">
        <v>-65.919</v>
      </c>
      <c r="F20" t="n">
        <v>-0.598</v>
      </c>
      <c r="G20" t="n">
        <v>-0.801</v>
      </c>
      <c r="H20" t="n">
        <v>2</v>
      </c>
      <c r="I20" t="inlineStr">
        <is>
          <t>Assets/MachineBrigade/Resources/UI/Bases/greenvale.json: arrows[0]</t>
        </is>
      </c>
      <c r="J20" t="inlineStr">
        <is>
          <t>{"at":{"x":-81.807,"z":-65.919},"dir":{"x":-0.598,"z":-0.801},"routes":2}</t>
        </is>
      </c>
    </row>
    <row r="21">
      <c r="A21" t="inlineStr">
        <is>
          <t>greenvale/1</t>
        </is>
      </c>
      <c r="B21" t="inlineStr">
        <is>
          <t>greenvale</t>
        </is>
      </c>
      <c r="C21" t="n">
        <v>1</v>
      </c>
      <c r="D21" t="n">
        <v>-47.677</v>
      </c>
      <c r="E21" t="n">
        <v>-94.29600000000001</v>
      </c>
      <c r="F21" t="n">
        <v>-0.957</v>
      </c>
      <c r="G21" t="n">
        <v>-0.29</v>
      </c>
      <c r="H21" t="n">
        <v>1</v>
      </c>
      <c r="I21" t="inlineStr">
        <is>
          <t>Assets/MachineBrigade/Resources/UI/Bases/greenvale.json: arrows[1]</t>
        </is>
      </c>
      <c r="J21" t="inlineStr">
        <is>
          <t>{"at":{"x":-47.677,"z":-94.296},"dir":{"x":-0.957,"z":-0.29},"routes":1}</t>
        </is>
      </c>
    </row>
    <row r="22">
      <c r="A22" t="inlineStr">
        <is>
          <t>hydrodam/0</t>
        </is>
      </c>
      <c r="B22" t="inlineStr">
        <is>
          <t>hydrodam</t>
        </is>
      </c>
      <c r="C22" t="n">
        <v>0</v>
      </c>
      <c r="D22" t="n">
        <v>-68.33799999999999</v>
      </c>
      <c r="E22" t="n">
        <v>-57.064</v>
      </c>
      <c r="F22" t="n">
        <v>-0.604</v>
      </c>
      <c r="G22" t="n">
        <v>-0.797</v>
      </c>
      <c r="H22" t="n">
        <v>2</v>
      </c>
      <c r="I22" t="inlineStr">
        <is>
          <t>Assets/MachineBrigade/Resources/UI/Bases/hydrodam.json: arrows[0]</t>
        </is>
      </c>
      <c r="J22" t="inlineStr">
        <is>
          <t>{"at":{"x":-68.338,"z":-57.064},"dir":{"x":-0.604,"z":-0.797},"routes":2}</t>
        </is>
      </c>
    </row>
    <row r="23">
      <c r="A23" t="inlineStr">
        <is>
          <t>hydrodam/1</t>
        </is>
      </c>
      <c r="B23" t="inlineStr">
        <is>
          <t>hydrodam</t>
        </is>
      </c>
      <c r="C23" t="n">
        <v>1</v>
      </c>
      <c r="D23" t="n">
        <v>-52.951</v>
      </c>
      <c r="E23" t="n">
        <v>-104.629</v>
      </c>
      <c r="F23" t="n">
        <v>-0.996</v>
      </c>
      <c r="G23" t="n">
        <v>-0.091</v>
      </c>
      <c r="H23" t="n">
        <v>1</v>
      </c>
      <c r="I23" t="inlineStr">
        <is>
          <t>Assets/MachineBrigade/Resources/UI/Bases/hydrodam.json: arrows[1]</t>
        </is>
      </c>
      <c r="J23" t="inlineStr">
        <is>
          <t>{"at":{"x":-52.951,"z":-104.629},"dir":{"x":-0.996,"z":-0.091},"routes":1}</t>
        </is>
      </c>
    </row>
    <row r="24">
      <c r="A24" t="inlineStr">
        <is>
          <t>ironport/0</t>
        </is>
      </c>
      <c r="B24" t="inlineStr">
        <is>
          <t>ironport</t>
        </is>
      </c>
      <c r="C24" t="n">
        <v>0</v>
      </c>
      <c r="D24" t="n">
        <v>-92.798</v>
      </c>
      <c r="E24" t="n">
        <v>-50.717</v>
      </c>
      <c r="F24" t="n">
        <v>-0.246</v>
      </c>
      <c r="G24" t="n">
        <v>-0.969</v>
      </c>
      <c r="H24" t="n">
        <v>1</v>
      </c>
      <c r="I24" t="inlineStr">
        <is>
          <t>Assets/MachineBrigade/Resources/UI/Bases/ironport.json: arrows[0]</t>
        </is>
      </c>
      <c r="J24" t="inlineStr">
        <is>
          <t>{"at":{"x":-92.798,"z":-50.717},"dir":{"x":-0.246,"z":-0.969},"routes":1}</t>
        </is>
      </c>
    </row>
    <row r="25">
      <c r="A25" t="inlineStr">
        <is>
          <t>ironport/1</t>
        </is>
      </c>
      <c r="B25" t="inlineStr">
        <is>
          <t>ironport</t>
        </is>
      </c>
      <c r="C25" t="n">
        <v>1</v>
      </c>
      <c r="D25" t="n">
        <v>-71.315</v>
      </c>
      <c r="E25" t="n">
        <v>-72.2</v>
      </c>
      <c r="F25" t="n">
        <v>-0.766</v>
      </c>
      <c r="G25" t="n">
        <v>-0.643</v>
      </c>
      <c r="H25" t="n">
        <v>2</v>
      </c>
      <c r="I25" t="inlineStr">
        <is>
          <t>Assets/MachineBrigade/Resources/UI/Bases/ironport.json: arrows[1]</t>
        </is>
      </c>
      <c r="J25" t="inlineStr">
        <is>
          <t>{"at":{"x":-71.315,"z":-72.2},"dir":{"x":-0.766,"z":-0.643},"routes":2}</t>
        </is>
      </c>
    </row>
    <row r="26">
      <c r="A26" t="inlineStr">
        <is>
          <t>ironport/2</t>
        </is>
      </c>
      <c r="B26" t="inlineStr">
        <is>
          <t>ironport</t>
        </is>
      </c>
      <c r="C26" t="n">
        <v>2</v>
      </c>
      <c r="D26" t="n">
        <v>-48.669</v>
      </c>
      <c r="E26" t="n">
        <v>-98.61199999999999</v>
      </c>
      <c r="F26" t="n">
        <v>-0.986</v>
      </c>
      <c r="G26" t="n">
        <v>-0.164</v>
      </c>
      <c r="H26" t="n">
        <v>1</v>
      </c>
      <c r="I26" t="inlineStr">
        <is>
          <t>Assets/MachineBrigade/Resources/UI/Bases/ironport.json: arrows[2]</t>
        </is>
      </c>
      <c r="J26" t="inlineStr">
        <is>
          <t>{"at":{"x":-48.669,"z":-98.612},"dir":{"x":-0.986,"z":-0.164},"routes":1}</t>
        </is>
      </c>
    </row>
    <row r="27">
      <c r="A27" t="inlineStr">
        <is>
          <t>junglepass/0</t>
        </is>
      </c>
      <c r="B27" t="inlineStr">
        <is>
          <t>junglepass</t>
        </is>
      </c>
      <c r="C27" t="n">
        <v>0</v>
      </c>
      <c r="D27" t="n">
        <v>-90.337</v>
      </c>
      <c r="E27" t="n">
        <v>-57.233</v>
      </c>
      <c r="F27" t="n">
        <v>-0.301</v>
      </c>
      <c r="G27" t="n">
        <v>-0.954</v>
      </c>
      <c r="H27" t="n">
        <v>1</v>
      </c>
      <c r="I27" t="inlineStr">
        <is>
          <t>Assets/MachineBrigade/Resources/UI/Bases/junglepass.json: arrows[0]</t>
        </is>
      </c>
      <c r="J27" t="inlineStr">
        <is>
          <t>{"at":{"x":-90.337,"z":-57.233},"dir":{"x":-0.301,"z":-0.954},"routes":1}</t>
        </is>
      </c>
    </row>
    <row r="28">
      <c r="A28" t="inlineStr">
        <is>
          <t>junglepass/1</t>
        </is>
      </c>
      <c r="B28" t="inlineStr">
        <is>
          <t>junglepass</t>
        </is>
      </c>
      <c r="C28" t="n">
        <v>1</v>
      </c>
      <c r="D28" t="n">
        <v>-69.256</v>
      </c>
      <c r="E28" t="n">
        <v>-72.42100000000001</v>
      </c>
      <c r="F28" t="n">
        <v>-0.698</v>
      </c>
      <c r="G28" t="n">
        <v>-0.716</v>
      </c>
      <c r="H28" t="n">
        <v>2</v>
      </c>
      <c r="I28" t="inlineStr">
        <is>
          <t>Assets/MachineBrigade/Resources/UI/Bases/junglepass.json: arrows[1]</t>
        </is>
      </c>
      <c r="J28" t="inlineStr">
        <is>
          <t>{"at":{"x":-69.256,"z":-72.421},"dir":{"x":-0.698,"z":-0.716},"routes":2}</t>
        </is>
      </c>
    </row>
    <row r="29">
      <c r="A29" t="inlineStr">
        <is>
          <t>junglepass/2</t>
        </is>
      </c>
      <c r="B29" t="inlineStr">
        <is>
          <t>junglepass</t>
        </is>
      </c>
      <c r="C29" t="n">
        <v>2</v>
      </c>
      <c r="D29" t="n">
        <v>-51.535</v>
      </c>
      <c r="E29" t="n">
        <v>-86.42</v>
      </c>
      <c r="F29" t="n">
        <v>-0.952</v>
      </c>
      <c r="G29" t="n">
        <v>-0.307</v>
      </c>
      <c r="H29" t="n">
        <v>1</v>
      </c>
      <c r="I29" t="inlineStr">
        <is>
          <t>Assets/MachineBrigade/Resources/UI/Bases/junglepass.json: arrows[2]</t>
        </is>
      </c>
      <c r="J29" t="inlineStr">
        <is>
          <t>{"at":{"x":-51.535,"z":-86.42},"dir":{"x":-0.952,"z":-0.307},"routes":1}</t>
        </is>
      </c>
    </row>
    <row r="30">
      <c r="A30" t="inlineStr">
        <is>
          <t>landingbeach/0</t>
        </is>
      </c>
      <c r="B30" t="inlineStr">
        <is>
          <t>landingbeach</t>
        </is>
      </c>
      <c r="C30" t="n">
        <v>0</v>
      </c>
      <c r="D30" t="n">
        <v>-103.472</v>
      </c>
      <c r="E30" t="n">
        <v>-31.79</v>
      </c>
      <c r="F30" t="n">
        <v>-0.271</v>
      </c>
      <c r="G30" t="n">
        <v>-0.963</v>
      </c>
      <c r="H30" t="n">
        <v>1</v>
      </c>
      <c r="I30" t="inlineStr">
        <is>
          <t>Assets/MachineBrigade/Resources/UI/Bases/landingbeach.json: arrows[0]</t>
        </is>
      </c>
      <c r="J30" t="inlineStr">
        <is>
          <t>{"at":{"x":-103.472,"z":-31.79},"dir":{"x":-0.271,"z":-0.963},"routes":1}</t>
        </is>
      </c>
    </row>
    <row r="31">
      <c r="A31" t="inlineStr">
        <is>
          <t>landingbeach/1</t>
        </is>
      </c>
      <c r="B31" t="inlineStr">
        <is>
          <t>landingbeach</t>
        </is>
      </c>
      <c r="C31" t="n">
        <v>1</v>
      </c>
      <c r="D31" t="n">
        <v>-59.058</v>
      </c>
      <c r="E31" t="n">
        <v>-67.801</v>
      </c>
      <c r="F31" t="n">
        <v>-0.523</v>
      </c>
      <c r="G31" t="n">
        <v>-0.853</v>
      </c>
      <c r="H31" t="n">
        <v>2</v>
      </c>
      <c r="I31" t="inlineStr">
        <is>
          <t>Assets/MachineBrigade/Resources/UI/Bases/landingbeach.json: arrows[1]</t>
        </is>
      </c>
      <c r="J31" t="inlineStr">
        <is>
          <t>{"at":{"x":-59.058,"z":-67.801},"dir":{"x":-0.523,"z":-0.853},"routes":2}</t>
        </is>
      </c>
    </row>
    <row r="32">
      <c r="A32" t="inlineStr">
        <is>
          <t>landingbeach/2</t>
        </is>
      </c>
      <c r="B32" t="inlineStr">
        <is>
          <t>landingbeach</t>
        </is>
      </c>
      <c r="C32" t="n">
        <v>2</v>
      </c>
      <c r="D32" t="n">
        <v>-35.801</v>
      </c>
      <c r="E32" t="n">
        <v>-100.78</v>
      </c>
      <c r="F32" t="n">
        <v>-1</v>
      </c>
      <c r="G32" t="n">
        <v>0.025</v>
      </c>
      <c r="H32" t="n">
        <v>1</v>
      </c>
      <c r="I32" t="inlineStr">
        <is>
          <t>Assets/MachineBrigade/Resources/UI/Bases/landingbeach.json: arrows[2]</t>
        </is>
      </c>
      <c r="J32" t="inlineStr">
        <is>
          <t>{"at":{"x":-35.801,"z":-100.78},"dir":{"x":-1.0,"z":0.025},"routes":1}</t>
        </is>
      </c>
    </row>
    <row r="33">
      <c r="A33" t="inlineStr">
        <is>
          <t>launchsite/0</t>
        </is>
      </c>
      <c r="B33" t="inlineStr">
        <is>
          <t>launchsite</t>
        </is>
      </c>
      <c r="C33" t="n">
        <v>0</v>
      </c>
      <c r="D33" t="n">
        <v>-73.45</v>
      </c>
      <c r="E33" t="n">
        <v>-66.065</v>
      </c>
      <c r="F33" t="n">
        <v>-0.658</v>
      </c>
      <c r="G33" t="n">
        <v>-0.753</v>
      </c>
      <c r="H33" t="n">
        <v>2</v>
      </c>
      <c r="I33" t="inlineStr">
        <is>
          <t>Assets/MachineBrigade/Resources/UI/Bases/launchsite.json: arrows[0]</t>
        </is>
      </c>
      <c r="J33" t="inlineStr">
        <is>
          <t>{"at":{"x":-73.45,"z":-66.065},"dir":{"x":-0.658,"z":-0.753},"routes":2}</t>
        </is>
      </c>
    </row>
    <row r="34">
      <c r="A34" t="inlineStr">
        <is>
          <t>launchsite/1</t>
        </is>
      </c>
      <c r="B34" t="inlineStr">
        <is>
          <t>launchsite</t>
        </is>
      </c>
      <c r="C34" t="n">
        <v>1</v>
      </c>
      <c r="D34" t="n">
        <v>-57.546</v>
      </c>
      <c r="E34" t="n">
        <v>-102.554</v>
      </c>
      <c r="F34" t="n">
        <v>-0.984</v>
      </c>
      <c r="G34" t="n">
        <v>-0.179</v>
      </c>
      <c r="H34" t="n">
        <v>1</v>
      </c>
      <c r="I34" t="inlineStr">
        <is>
          <t>Assets/MachineBrigade/Resources/UI/Bases/launchsite.json: arrows[1]</t>
        </is>
      </c>
      <c r="J34" t="inlineStr">
        <is>
          <t>{"at":{"x":-57.546,"z":-102.554},"dir":{"x":-0.984,"z":-0.179},"routes":1}</t>
        </is>
      </c>
    </row>
    <row r="35">
      <c r="A35" t="inlineStr">
        <is>
          <t>metrocity/0</t>
        </is>
      </c>
      <c r="B35" t="inlineStr">
        <is>
          <t>metrocity</t>
        </is>
      </c>
      <c r="C35" t="n">
        <v>0</v>
      </c>
      <c r="D35" t="n">
        <v>-96.42100000000001</v>
      </c>
      <c r="E35" t="n">
        <v>-55.611</v>
      </c>
      <c r="F35" t="n">
        <v>-0.236</v>
      </c>
      <c r="G35" t="n">
        <v>-0.972</v>
      </c>
      <c r="H35" t="n">
        <v>1</v>
      </c>
      <c r="I35" t="inlineStr">
        <is>
          <t>Assets/MachineBrigade/Resources/UI/Bases/metrocity.json: arrows[0]</t>
        </is>
      </c>
      <c r="J35" t="inlineStr">
        <is>
          <t>{"at":{"x":-96.421,"z":-55.611},"dir":{"x":-0.236,"z":-0.972},"routes":1}</t>
        </is>
      </c>
    </row>
    <row r="36">
      <c r="A36" t="inlineStr">
        <is>
          <t>metrocity/1</t>
        </is>
      </c>
      <c r="B36" t="inlineStr">
        <is>
          <t>metrocity</t>
        </is>
      </c>
      <c r="C36" t="n">
        <v>1</v>
      </c>
      <c r="D36" t="n">
        <v>-63.694</v>
      </c>
      <c r="E36" t="n">
        <v>-62.349</v>
      </c>
      <c r="F36" t="n">
        <v>-0.723</v>
      </c>
      <c r="G36" t="n">
        <v>-0.6909999999999999</v>
      </c>
      <c r="H36" t="n">
        <v>2</v>
      </c>
      <c r="I36" t="inlineStr">
        <is>
          <t>Assets/MachineBrigade/Resources/UI/Bases/metrocity.json: arrows[1]</t>
        </is>
      </c>
      <c r="J36" t="inlineStr">
        <is>
          <t>{"at":{"x":-63.694,"z":-62.349},"dir":{"x":-0.723,"z":-0.691},"routes":2}</t>
        </is>
      </c>
    </row>
    <row r="37">
      <c r="A37" t="inlineStr">
        <is>
          <t>metrocity/2</t>
        </is>
      </c>
      <c r="B37" t="inlineStr">
        <is>
          <t>metrocity</t>
        </is>
      </c>
      <c r="C37" t="n">
        <v>2</v>
      </c>
      <c r="D37" t="n">
        <v>-50.107</v>
      </c>
      <c r="E37" t="n">
        <v>-92.721</v>
      </c>
      <c r="F37" t="n">
        <v>-1</v>
      </c>
      <c r="G37" t="n">
        <v>0.003</v>
      </c>
      <c r="H37" t="n">
        <v>1</v>
      </c>
      <c r="I37" t="inlineStr">
        <is>
          <t>Assets/MachineBrigade/Resources/UI/Bases/metrocity.json: arrows[2]</t>
        </is>
      </c>
      <c r="J37" t="inlineStr">
        <is>
          <t>{"at":{"x":-50.107,"z":-92.721},"dir":{"x":-1.0,"z":0.003},"routes":1}</t>
        </is>
      </c>
    </row>
    <row r="38">
      <c r="A38" t="inlineStr">
        <is>
          <t>redrock/0</t>
        </is>
      </c>
      <c r="B38" t="inlineStr">
        <is>
          <t>redrock</t>
        </is>
      </c>
      <c r="C38" t="n">
        <v>0</v>
      </c>
      <c r="D38" t="n">
        <v>-119</v>
      </c>
      <c r="E38" t="n">
        <v>-31.629</v>
      </c>
      <c r="F38" t="n">
        <v>0</v>
      </c>
      <c r="G38" t="n">
        <v>-1</v>
      </c>
      <c r="H38" t="n">
        <v>1</v>
      </c>
      <c r="I38" t="inlineStr">
        <is>
          <t>Assets/MachineBrigade/Resources/UI/Bases/redrock.json: arrows[0]</t>
        </is>
      </c>
      <c r="J38" t="inlineStr">
        <is>
          <t>{"at":{"x":-119.0,"z":-31.629},"dir":{"x":0.0,"z":-1.0},"routes":1}</t>
        </is>
      </c>
    </row>
    <row r="39">
      <c r="A39" t="inlineStr">
        <is>
          <t>redrock/1</t>
        </is>
      </c>
      <c r="B39" t="inlineStr">
        <is>
          <t>redrock</t>
        </is>
      </c>
      <c r="C39" t="n">
        <v>1</v>
      </c>
      <c r="D39" t="n">
        <v>-57.983</v>
      </c>
      <c r="E39" t="n">
        <v>-58.867</v>
      </c>
      <c r="F39" t="n">
        <v>-0.754</v>
      </c>
      <c r="G39" t="n">
        <v>-0.657</v>
      </c>
      <c r="H39" t="n">
        <v>2</v>
      </c>
      <c r="I39" t="inlineStr">
        <is>
          <t>Assets/MachineBrigade/Resources/UI/Bases/redrock.json: arrows[1]</t>
        </is>
      </c>
      <c r="J39" t="inlineStr">
        <is>
          <t>{"at":{"x":-57.983,"z":-58.867},"dir":{"x":-0.754,"z":-0.657},"routes":2}</t>
        </is>
      </c>
    </row>
    <row r="40">
      <c r="A40" t="inlineStr">
        <is>
          <t>redrock/2</t>
        </is>
      </c>
      <c r="B40" t="inlineStr">
        <is>
          <t>redrock</t>
        </is>
      </c>
      <c r="C40" t="n">
        <v>2</v>
      </c>
      <c r="D40" t="n">
        <v>-67.372</v>
      </c>
      <c r="E40" t="n">
        <v>-117.463</v>
      </c>
      <c r="F40" t="n">
        <v>-0.982</v>
      </c>
      <c r="G40" t="n">
        <v>0.19</v>
      </c>
      <c r="H40" t="n">
        <v>1</v>
      </c>
      <c r="I40" t="inlineStr">
        <is>
          <t>Assets/MachineBrigade/Resources/UI/Bases/redrock.json: arrows[2]</t>
        </is>
      </c>
      <c r="J40" t="inlineStr">
        <is>
          <t>{"at":{"x":-67.372,"z":-117.463},"dir":{"x":-0.982,"z":0.19},"routes":1}</t>
        </is>
      </c>
    </row>
    <row r="41">
      <c r="A41" t="inlineStr">
        <is>
          <t>rustyard/0</t>
        </is>
      </c>
      <c r="B41" t="inlineStr">
        <is>
          <t>rustyard</t>
        </is>
      </c>
      <c r="C41" t="n">
        <v>0</v>
      </c>
      <c r="D41" t="n">
        <v>-93.34699999999999</v>
      </c>
      <c r="E41" t="n">
        <v>-56.8</v>
      </c>
      <c r="F41" t="n">
        <v>-0.258</v>
      </c>
      <c r="G41" t="n">
        <v>-0.966</v>
      </c>
      <c r="H41" t="n">
        <v>1</v>
      </c>
      <c r="I41" t="inlineStr">
        <is>
          <t>Assets/MachineBrigade/Resources/UI/Bases/rustyard.json: arrows[0]</t>
        </is>
      </c>
      <c r="J41" t="inlineStr">
        <is>
          <t>{"at":{"x":-93.347,"z":-56.8},"dir":{"x":-0.258,"z":-0.966},"routes":1}</t>
        </is>
      </c>
    </row>
    <row r="42">
      <c r="A42" t="inlineStr">
        <is>
          <t>rustyard/1</t>
        </is>
      </c>
      <c r="B42" t="inlineStr">
        <is>
          <t>rustyard</t>
        </is>
      </c>
      <c r="C42" t="n">
        <v>1</v>
      </c>
      <c r="D42" t="n">
        <v>-69.797</v>
      </c>
      <c r="E42" t="n">
        <v>-65.994</v>
      </c>
      <c r="F42" t="n">
        <v>-0.702</v>
      </c>
      <c r="G42" t="n">
        <v>-0.712</v>
      </c>
      <c r="H42" t="n">
        <v>2</v>
      </c>
      <c r="I42" t="inlineStr">
        <is>
          <t>Assets/MachineBrigade/Resources/UI/Bases/rustyard.json: arrows[1]</t>
        </is>
      </c>
      <c r="J42" t="inlineStr">
        <is>
          <t>{"at":{"x":-69.797,"z":-65.994},"dir":{"x":-0.702,"z":-0.712},"routes":2}</t>
        </is>
      </c>
    </row>
    <row r="43">
      <c r="A43" t="inlineStr">
        <is>
          <t>rustyard/2</t>
        </is>
      </c>
      <c r="B43" t="inlineStr">
        <is>
          <t>rustyard</t>
        </is>
      </c>
      <c r="C43" t="n">
        <v>2</v>
      </c>
      <c r="D43" t="n">
        <v>-44.359</v>
      </c>
      <c r="E43" t="n">
        <v>-105</v>
      </c>
      <c r="F43" t="n">
        <v>-1</v>
      </c>
      <c r="G43" t="n">
        <v>0</v>
      </c>
      <c r="H43" t="n">
        <v>1</v>
      </c>
      <c r="I43" t="inlineStr">
        <is>
          <t>Assets/MachineBrigade/Resources/UI/Bases/rustyard.json: arrows[2]</t>
        </is>
      </c>
      <c r="J43" t="inlineStr">
        <is>
          <t>{"at":{"x":-44.359,"z":-105.0},"dir":{"x":-1.0,"z":0.0},"routes":1}</t>
        </is>
      </c>
    </row>
    <row r="44">
      <c r="A44" t="inlineStr">
        <is>
          <t>saltflat/0</t>
        </is>
      </c>
      <c r="B44" t="inlineStr">
        <is>
          <t>saltflat</t>
        </is>
      </c>
      <c r="C44" t="n">
        <v>0</v>
      </c>
      <c r="D44" t="n">
        <v>-92.25700000000001</v>
      </c>
      <c r="E44" t="n">
        <v>-41.313</v>
      </c>
      <c r="F44" t="n">
        <v>-0.22</v>
      </c>
      <c r="G44" t="n">
        <v>-0.976</v>
      </c>
      <c r="H44" t="n">
        <v>1</v>
      </c>
      <c r="I44" t="inlineStr">
        <is>
          <t>Assets/MachineBrigade/Resources/UI/Bases/saltflat.json: arrows[0]</t>
        </is>
      </c>
      <c r="J44" t="inlineStr">
        <is>
          <t>{"at":{"x":-92.257,"z":-41.313},"dir":{"x":-0.22,"z":-0.976},"routes":1}</t>
        </is>
      </c>
    </row>
    <row r="45">
      <c r="A45" t="inlineStr">
        <is>
          <t>saltflat/1</t>
        </is>
      </c>
      <c r="B45" t="inlineStr">
        <is>
          <t>saltflat</t>
        </is>
      </c>
      <c r="C45" t="n">
        <v>1</v>
      </c>
      <c r="D45" t="n">
        <v>-68.68600000000001</v>
      </c>
      <c r="E45" t="n">
        <v>-68.68600000000001</v>
      </c>
      <c r="F45" t="n">
        <v>-0.707</v>
      </c>
      <c r="G45" t="n">
        <v>-0.707</v>
      </c>
      <c r="H45" t="n">
        <v>2</v>
      </c>
      <c r="I45" t="inlineStr">
        <is>
          <t>Assets/MachineBrigade/Resources/UI/Bases/saltflat.json: arrows[1]</t>
        </is>
      </c>
      <c r="J45" t="inlineStr">
        <is>
          <t>{"at":{"x":-68.686,"z":-68.686},"dir":{"x":-0.707,"z":-0.707},"routes":2}</t>
        </is>
      </c>
    </row>
    <row r="46">
      <c r="A46" t="inlineStr">
        <is>
          <t>saltflat/2</t>
        </is>
      </c>
      <c r="B46" t="inlineStr">
        <is>
          <t>saltflat</t>
        </is>
      </c>
      <c r="C46" t="n">
        <v>2</v>
      </c>
      <c r="D46" t="n">
        <v>-48.771</v>
      </c>
      <c r="E46" t="n">
        <v>-98.628</v>
      </c>
      <c r="F46" t="n">
        <v>-0.986</v>
      </c>
      <c r="G46" t="n">
        <v>-0.164</v>
      </c>
      <c r="H46" t="n">
        <v>1</v>
      </c>
      <c r="I46" t="inlineStr">
        <is>
          <t>Assets/MachineBrigade/Resources/UI/Bases/saltflat.json: arrows[2]</t>
        </is>
      </c>
      <c r="J46" t="inlineStr">
        <is>
          <t>{"at":{"x":-48.771,"z":-98.628},"dir":{"x":-0.986,"z":-0.164},"routes":1}</t>
        </is>
      </c>
    </row>
    <row r="47">
      <c r="A47" t="inlineStr">
        <is>
          <t>skyhold/0</t>
        </is>
      </c>
      <c r="B47" t="inlineStr">
        <is>
          <t>skyhold</t>
        </is>
      </c>
      <c r="C47" t="n">
        <v>0</v>
      </c>
      <c r="D47" t="n">
        <v>-81.69</v>
      </c>
      <c r="E47" t="n">
        <v>-70.42100000000001</v>
      </c>
      <c r="F47" t="n">
        <v>-0.5639999999999999</v>
      </c>
      <c r="G47" t="n">
        <v>-0.825</v>
      </c>
      <c r="H47" t="n">
        <v>2</v>
      </c>
      <c r="I47" t="inlineStr">
        <is>
          <t>Assets/MachineBrigade/Resources/UI/Bases/skyhold.json: arrows[0]</t>
        </is>
      </c>
      <c r="J47" t="inlineStr">
        <is>
          <t>{"at":{"x":-81.69,"z":-70.421},"dir":{"x":-0.564,"z":-0.825},"routes":2}</t>
        </is>
      </c>
    </row>
    <row r="48">
      <c r="A48" t="inlineStr">
        <is>
          <t>swamp/0</t>
        </is>
      </c>
      <c r="B48" t="inlineStr">
        <is>
          <t>swamp</t>
        </is>
      </c>
      <c r="C48" t="n">
        <v>0</v>
      </c>
      <c r="D48" t="n">
        <v>-107</v>
      </c>
      <c r="E48" t="n">
        <v>-49.284</v>
      </c>
      <c r="F48" t="n">
        <v>0</v>
      </c>
      <c r="G48" t="n">
        <v>-1</v>
      </c>
      <c r="H48" t="n">
        <v>1</v>
      </c>
      <c r="I48" t="inlineStr">
        <is>
          <t>Assets/MachineBrigade/Resources/UI/Bases/swamp.json: arrows[0]</t>
        </is>
      </c>
      <c r="J48" t="inlineStr">
        <is>
          <t>{"at":{"x":-107.0,"z":-49.284},"dir":{"x":0.0,"z":-1.0},"routes":1}</t>
        </is>
      </c>
    </row>
    <row r="49">
      <c r="A49" t="inlineStr">
        <is>
          <t>swamp/1</t>
        </is>
      </c>
      <c r="B49" t="inlineStr">
        <is>
          <t>swamp</t>
        </is>
      </c>
      <c r="C49" t="n">
        <v>1</v>
      </c>
      <c r="D49" t="n">
        <v>-82.364</v>
      </c>
      <c r="E49" t="n">
        <v>-61.767</v>
      </c>
      <c r="F49" t="n">
        <v>-0.536</v>
      </c>
      <c r="G49" t="n">
        <v>-0.844</v>
      </c>
      <c r="H49" t="n">
        <v>2</v>
      </c>
      <c r="I49" t="inlineStr">
        <is>
          <t>Assets/MachineBrigade/Resources/UI/Bases/swamp.json: arrows[1]</t>
        </is>
      </c>
      <c r="J49" t="inlineStr">
        <is>
          <t>{"at":{"x":-82.364,"z":-61.767},"dir":{"x":-0.536,"z":-0.844},"routes":2}</t>
        </is>
      </c>
    </row>
    <row r="50">
      <c r="A50" t="inlineStr">
        <is>
          <t>swamp/2</t>
        </is>
      </c>
      <c r="B50" t="inlineStr">
        <is>
          <t>swamp</t>
        </is>
      </c>
      <c r="C50" t="n">
        <v>2</v>
      </c>
      <c r="D50" t="n">
        <v>-56.01</v>
      </c>
      <c r="E50" t="n">
        <v>-106.638</v>
      </c>
      <c r="F50" t="n">
        <v>-0.984</v>
      </c>
      <c r="G50" t="n">
        <v>-0.179</v>
      </c>
      <c r="H50" t="n">
        <v>1</v>
      </c>
      <c r="I50" t="inlineStr">
        <is>
          <t>Assets/MachineBrigade/Resources/UI/Bases/swamp.json: arrows[2]</t>
        </is>
      </c>
      <c r="J50" t="inlineStr">
        <is>
          <t>{"at":{"x":-56.01,"z":-106.638},"dir":{"x":-0.984,"z":-0.179},"routes":1}</t>
        </is>
      </c>
    </row>
    <row r="51">
      <c r="A51" t="inlineStr">
        <is>
          <t>whiteout/0</t>
        </is>
      </c>
      <c r="B51" t="inlineStr">
        <is>
          <t>whiteout</t>
        </is>
      </c>
      <c r="C51" t="n">
        <v>0</v>
      </c>
      <c r="D51" t="n">
        <v>-102.67</v>
      </c>
      <c r="E51" t="n">
        <v>-53.364</v>
      </c>
      <c r="F51" t="n">
        <v>-0.165</v>
      </c>
      <c r="G51" t="n">
        <v>-0.986</v>
      </c>
      <c r="H51" t="n">
        <v>1</v>
      </c>
      <c r="I51" t="inlineStr">
        <is>
          <t>Assets/MachineBrigade/Resources/UI/Bases/whiteout.json: arrows[0]</t>
        </is>
      </c>
      <c r="J51" t="inlineStr">
        <is>
          <t>{"at":{"x":-102.67,"z":-53.364},"dir":{"x":-0.165,"z":-0.986},"routes":1}</t>
        </is>
      </c>
    </row>
    <row r="52">
      <c r="A52" t="inlineStr">
        <is>
          <t>whiteout/1</t>
        </is>
      </c>
      <c r="B52" t="inlineStr">
        <is>
          <t>whiteout</t>
        </is>
      </c>
      <c r="C52" t="n">
        <v>1</v>
      </c>
      <c r="D52" t="n">
        <v>-71.431</v>
      </c>
      <c r="E52" t="n">
        <v>-71.497</v>
      </c>
      <c r="F52" t="n">
        <v>-0.722</v>
      </c>
      <c r="G52" t="n">
        <v>-0.6919999999999999</v>
      </c>
      <c r="H52" t="n">
        <v>2</v>
      </c>
      <c r="I52" t="inlineStr">
        <is>
          <t>Assets/MachineBrigade/Resources/UI/Bases/whiteout.json: arrows[1]</t>
        </is>
      </c>
      <c r="J52" t="inlineStr">
        <is>
          <t>{"at":{"x":-71.431,"z":-71.497},"dir":{"x":-0.722,"z":-0.692},"routes":2}</t>
        </is>
      </c>
    </row>
    <row r="53">
      <c r="A53" t="inlineStr">
        <is>
          <t>whiteout/2</t>
        </is>
      </c>
      <c r="B53" t="inlineStr">
        <is>
          <t>whiteout</t>
        </is>
      </c>
      <c r="C53" t="n">
        <v>2</v>
      </c>
      <c r="D53" t="n">
        <v>-49</v>
      </c>
      <c r="E53" t="n">
        <v>-99.364</v>
      </c>
      <c r="F53" t="n">
        <v>-0.989</v>
      </c>
      <c r="G53" t="n">
        <v>-0.15</v>
      </c>
      <c r="H53" t="n">
        <v>1</v>
      </c>
      <c r="I53" t="inlineStr">
        <is>
          <t>Assets/MachineBrigade/Resources/UI/Bases/whiteout.json: arrows[2]</t>
        </is>
      </c>
      <c r="J53" t="inlineStr">
        <is>
          <t>{"at":{"x":-49.0,"z":-99.364},"dir":{"x":-0.989,"z":-0.15},"routes":1}</t>
        </is>
      </c>
    </row>
  </sheetData>
  <autoFilter ref="A1:J53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12" customWidth="1" min="4" max="4"/>
    <col width="13" customWidth="1" min="5" max="5"/>
    <col width="8" customWidth="1" min="6" max="6"/>
    <col width="11" customWidth="1" min="7" max="7"/>
    <col width="16" customWidth="1" min="8" max="8"/>
    <col width="54" customWidth="1" min="9" max="9"/>
    <col width="60" customWidth="1" min="10" max="10"/>
    <col width="60" customWidth="1" min="11" max="11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nhom_quet</t>
        </is>
      </c>
      <c r="H1" s="1" t="inlineStr">
        <is>
          <t>linh_vuc_ma_cu</t>
        </is>
      </c>
      <c r="I1" s="1" t="inlineStr">
        <is>
          <t>ma_nguon</t>
        </is>
      </c>
      <c r="J1" s="1" t="inlineStr">
        <is>
          <t>nguon</t>
        </is>
      </c>
      <c r="K1" s="1" t="inlineStr">
        <is>
          <t>raw_json</t>
        </is>
      </c>
    </row>
    <row r="2">
      <c r="A2" t="inlineStr">
        <is>
          <t>bases.balloon.radiusM</t>
        </is>
      </c>
      <c r="B2" t="inlineStr">
        <is>
          <t>balloon</t>
        </is>
      </c>
      <c r="C2" t="inlineStr">
        <is>
          <t>radiusM</t>
        </is>
      </c>
      <c r="D2" t="n">
        <v>40</v>
      </c>
      <c r="F2" t="inlineStr">
        <is>
          <t>m</t>
        </is>
      </c>
      <c r="G2" t="inlineStr">
        <is>
          <t>ban_kinh</t>
        </is>
      </c>
      <c r="H2" t="inlineStr">
        <is>
          <t>04</t>
        </is>
      </c>
      <c r="I2" t="inlineStr">
        <is>
          <t>Catalog (pack 2, was Sim/Content/Catalog.P25A.cs:314)</t>
        </is>
      </c>
      <c r="J2" t="inlineStr">
        <is>
          <t>Assets/MachineBrigade/Resources/Data/tunables.json: bases.balloon.radiusM</t>
        </is>
      </c>
      <c r="K2" t="inlineStr">
        <is>
          <t>{"value":40.0,"unit":"m","kind":"ban_kinh","linh_vuc":"04","code":"Catalog (pack 2, was Sim/Content/Catalog.P25A.cs:314)"}</t>
        </is>
      </c>
    </row>
    <row r="3">
      <c r="A3" t="inlineStr">
        <is>
          <t>bases.balloon.scatterShare</t>
        </is>
      </c>
      <c r="B3" t="inlineStr">
        <is>
          <t>balloon</t>
        </is>
      </c>
      <c r="C3" t="inlineStr">
        <is>
          <t>scatterShare</t>
        </is>
      </c>
      <c r="D3" t="n">
        <v>0.5</v>
      </c>
      <c r="F3" t="inlineStr">
        <is>
          <t>share</t>
        </is>
      </c>
      <c r="G3" t="inlineStr">
        <is>
          <t>khac</t>
        </is>
      </c>
      <c r="H3" t="inlineStr">
        <is>
          <t>04</t>
        </is>
      </c>
      <c r="I3" t="inlineStr">
        <is>
          <t>Catalog (pack 2, was Sim/Content/Catalog.P25A.cs:314)</t>
        </is>
      </c>
      <c r="J3" t="inlineStr">
        <is>
          <t>Assets/MachineBrigade/Resources/Data/tunables.json: bases.balloon.scatterShare</t>
        </is>
      </c>
      <c r="K3" t="inlineStr">
        <is>
          <t>{"value":0.5,"unit":"share","kind":"khac","linh_vuc":"04","code":"Catalog (pack 2, was Sim/Content/Catalog.P25A.cs:314)"}</t>
        </is>
      </c>
    </row>
    <row r="4">
      <c r="A4" t="inlineStr">
        <is>
          <t>bases.baseSystem.lookEvery</t>
        </is>
      </c>
      <c r="B4" t="inlineStr">
        <is>
          <t>baseSystem</t>
        </is>
      </c>
      <c r="C4" t="inlineStr">
        <is>
          <t>lookEvery</t>
        </is>
      </c>
      <c r="D4" t="n">
        <v>0.25</v>
      </c>
      <c r="F4" t="inlineStr">
        <is>
          <t>s</t>
        </is>
      </c>
      <c r="G4" t="inlineStr">
        <is>
          <t>thoi_gian</t>
        </is>
      </c>
      <c r="H4" t="inlineStr">
        <is>
          <t>04</t>
        </is>
      </c>
      <c r="I4" t="inlineStr">
        <is>
          <t>BaseSystem.LookEvery</t>
        </is>
      </c>
      <c r="J4" t="inlineStr">
        <is>
          <t>Assets/MachineBrigade/Resources/Data/tunables.json: bases.baseSystem.lookEvery</t>
        </is>
      </c>
      <c r="K4" t="inlineStr">
        <is>
          <t>{"value":0.25,"unit":"s","kind":"thoi_gian","linh_vuc":"04","code":"BaseSystem.LookEvery"}</t>
        </is>
      </c>
    </row>
    <row r="5">
      <c r="A5" t="inlineStr">
        <is>
          <t>bases.blastWall.coneDeg</t>
        </is>
      </c>
      <c r="B5" t="inlineStr">
        <is>
          <t>blastWall</t>
        </is>
      </c>
      <c r="C5" t="inlineStr">
        <is>
          <t>coneDeg</t>
        </is>
      </c>
      <c r="D5" t="n">
        <v>50</v>
      </c>
      <c r="F5" t="inlineStr">
        <is>
          <t>deg</t>
        </is>
      </c>
      <c r="G5" t="inlineStr">
        <is>
          <t>khac</t>
        </is>
      </c>
      <c r="H5" t="inlineStr">
        <is>
          <t>04</t>
        </is>
      </c>
      <c r="I5" t="inlineStr">
        <is>
          <t>Catalog (pack 2, was Sim/Content/Catalog.P25A.cs:271)</t>
        </is>
      </c>
      <c r="J5" t="inlineStr">
        <is>
          <t>Assets/MachineBrigade/Resources/Data/tunables.json: bases.blastWall.coneDeg</t>
        </is>
      </c>
      <c r="K5" t="inlineStr">
        <is>
          <t>{"value":50.0,"unit":"deg","kind":"khac","linh_vuc":"04","code":"Catalog (pack 2, was Sim/Content/Catalog.P25A.cs:271)"}</t>
        </is>
      </c>
    </row>
    <row r="6">
      <c r="A6" t="inlineStr">
        <is>
          <t>bases.blastWall.cutShare</t>
        </is>
      </c>
      <c r="B6" t="inlineStr">
        <is>
          <t>blastWall</t>
        </is>
      </c>
      <c r="C6" t="inlineStr">
        <is>
          <t>cutShare</t>
        </is>
      </c>
      <c r="D6" t="n">
        <v>0.3</v>
      </c>
      <c r="F6" t="inlineStr">
        <is>
          <t>share</t>
        </is>
      </c>
      <c r="G6" t="inlineStr">
        <is>
          <t>khac</t>
        </is>
      </c>
      <c r="H6" t="inlineStr">
        <is>
          <t>04</t>
        </is>
      </c>
      <c r="I6" t="inlineStr">
        <is>
          <t>Catalog (pack 2, was Sim/Content/Catalog.P25A.cs:270)</t>
        </is>
      </c>
      <c r="J6" t="inlineStr">
        <is>
          <t>Assets/MachineBrigade/Resources/Data/tunables.json: bases.blastWall.cutShare</t>
        </is>
      </c>
      <c r="K6" t="inlineStr">
        <is>
          <t>{"value":0.3,"unit":"share","kind":"khac","linh_vuc":"04","code":"Catalog (pack 2, was Sim/Content/Catalog.P25A.cs:270)"}</t>
        </is>
      </c>
    </row>
    <row r="7">
      <c r="A7" t="inlineStr">
        <is>
          <t>bases.blastWall.radiusM</t>
        </is>
      </c>
      <c r="B7" t="inlineStr">
        <is>
          <t>blastWall</t>
        </is>
      </c>
      <c r="C7" t="inlineStr">
        <is>
          <t>radiusM</t>
        </is>
      </c>
      <c r="D7" t="n">
        <v>8</v>
      </c>
      <c r="F7" t="inlineStr">
        <is>
          <t>m</t>
        </is>
      </c>
      <c r="G7" t="inlineStr">
        <is>
          <t>ban_kinh</t>
        </is>
      </c>
      <c r="H7" t="inlineStr">
        <is>
          <t>04</t>
        </is>
      </c>
      <c r="I7" t="inlineStr">
        <is>
          <t>Catalog (pack 2, was Sim/Content/Catalog.P25A.cs:270)</t>
        </is>
      </c>
      <c r="J7" t="inlineStr">
        <is>
          <t>Assets/MachineBrigade/Resources/Data/tunables.json: bases.blastWall.radiusM</t>
        </is>
      </c>
      <c r="K7" t="inlineStr">
        <is>
          <t>{"value":8.0,"unit":"m","kind":"ban_kinh","linh_vuc":"04","code":"Catalog (pack 2, was Sim/Content/Catalog.P25A.cs:270)"}</t>
        </is>
      </c>
    </row>
    <row r="8">
      <c r="A8" t="inlineStr">
        <is>
          <t>bases.droneHunt.reachM</t>
        </is>
      </c>
      <c r="B8" t="inlineStr">
        <is>
          <t>droneHunt</t>
        </is>
      </c>
      <c r="C8" t="inlineStr">
        <is>
          <t>reachM</t>
        </is>
      </c>
      <c r="D8" t="n">
        <v>60</v>
      </c>
      <c r="F8" t="inlineStr">
        <is>
          <t>m</t>
        </is>
      </c>
      <c r="G8" t="inlineStr">
        <is>
          <t>ban_kinh</t>
        </is>
      </c>
      <c r="H8" t="inlineStr">
        <is>
          <t>04</t>
        </is>
      </c>
      <c r="I8" t="inlineStr">
        <is>
          <t>Catalog (pack 2, was Sim/Content/Catalog.P25A.cs:344)</t>
        </is>
      </c>
      <c r="J8" t="inlineStr">
        <is>
          <t>Assets/MachineBrigade/Resources/Data/tunables.json: bases.droneHunt.reachM</t>
        </is>
      </c>
      <c r="K8" t="inlineStr">
        <is>
          <t>{"value":60.0,"unit":"m","kind":"ban_kinh","linh_vuc":"04","code":"Catalog (pack 2, was Sim/Content/Catalog.P25A.cs:344)"}</t>
        </is>
      </c>
    </row>
    <row r="9">
      <c r="A9" t="inlineStr">
        <is>
          <t>bases.fireControl.damageShare</t>
        </is>
      </c>
      <c r="B9" t="inlineStr">
        <is>
          <t>fireControl</t>
        </is>
      </c>
      <c r="C9" t="inlineStr">
        <is>
          <t>damageShare</t>
        </is>
      </c>
      <c r="D9" t="n">
        <v>0.12</v>
      </c>
      <c r="F9" t="inlineStr">
        <is>
          <t>share</t>
        </is>
      </c>
      <c r="G9" t="inlineStr">
        <is>
          <t>khac</t>
        </is>
      </c>
      <c r="H9" t="inlineStr">
        <is>
          <t>04</t>
        </is>
      </c>
      <c r="I9" t="inlineStr">
        <is>
          <t>Catalog (pack 2, was Sim/Content/Catalog.P25A.cs:282)</t>
        </is>
      </c>
      <c r="J9" t="inlineStr">
        <is>
          <t>Assets/MachineBrigade/Resources/Data/tunables.json: bases.fireControl.damageShare</t>
        </is>
      </c>
      <c r="K9" t="inlineStr">
        <is>
          <t>{"value":0.12,"unit":"share","kind":"khac","linh_vuc":"04","code":"Catalog (pack 2, was Sim/Content/Catalog.P25A.cs:282)"}</t>
        </is>
      </c>
    </row>
    <row r="10">
      <c r="A10" t="inlineStr">
        <is>
          <t>bases.fireControl.focus</t>
        </is>
      </c>
      <c r="B10" t="inlineStr">
        <is>
          <t>fireControl</t>
        </is>
      </c>
      <c r="C10" t="inlineStr">
        <is>
          <t>focus</t>
        </is>
      </c>
      <c r="D10" t="n">
        <v>2</v>
      </c>
      <c r="F10" t="inlineStr">
        <is>
          <t>x</t>
        </is>
      </c>
      <c r="G10" t="inlineStr">
        <is>
          <t>khac</t>
        </is>
      </c>
      <c r="H10" t="inlineStr">
        <is>
          <t>04</t>
        </is>
      </c>
      <c r="I10" t="inlineStr">
        <is>
          <t>Catalog (pack 2, was Sim/Content/Catalog.P25A.cs:282)</t>
        </is>
      </c>
      <c r="J10" t="inlineStr">
        <is>
          <t>Assets/MachineBrigade/Resources/Data/tunables.json: bases.fireControl.focus</t>
        </is>
      </c>
      <c r="K10" t="inlineStr">
        <is>
          <t>{"value":2.0,"unit":"x","kind":"khac","linh_vuc":"04","code":"Catalog (pack 2, was Sim/Content/Catalog.P25A.cs:282)"}</t>
        </is>
      </c>
    </row>
    <row r="11">
      <c r="A11" t="inlineStr">
        <is>
          <t>bases.fireControl.radiusM</t>
        </is>
      </c>
      <c r="B11" t="inlineStr">
        <is>
          <t>fireControl</t>
        </is>
      </c>
      <c r="C11" t="inlineStr">
        <is>
          <t>radiusM</t>
        </is>
      </c>
      <c r="D11" t="n">
        <v>30</v>
      </c>
      <c r="F11" t="inlineStr">
        <is>
          <t>m</t>
        </is>
      </c>
      <c r="G11" t="inlineStr">
        <is>
          <t>ban_kinh</t>
        </is>
      </c>
      <c r="H11" t="inlineStr">
        <is>
          <t>04</t>
        </is>
      </c>
      <c r="I11" t="inlineStr">
        <is>
          <t>Catalog (pack 2, was Sim/Content/Catalog.P25A.cs:282)</t>
        </is>
      </c>
      <c r="J11" t="inlineStr">
        <is>
          <t>Assets/MachineBrigade/Resources/Data/tunables.json: bases.fireControl.radiusM</t>
        </is>
      </c>
      <c r="K11" t="inlineStr">
        <is>
          <t>{"value":30.0,"unit":"m","kind":"ban_kinh","linh_vuc":"04","code":"Catalog (pack 2, was Sim/Content/Catalog.P25A.cs:282)"}</t>
        </is>
      </c>
    </row>
    <row r="12">
      <c r="A12" t="inlineStr">
        <is>
          <t>bases.flareTower.everySeconds</t>
        </is>
      </c>
      <c r="B12" t="inlineStr">
        <is>
          <t>flareTower</t>
        </is>
      </c>
      <c r="C12" t="inlineStr">
        <is>
          <t>everySeconds</t>
        </is>
      </c>
      <c r="D12" t="n">
        <v>15</v>
      </c>
      <c r="F12" t="inlineStr">
        <is>
          <t>s</t>
        </is>
      </c>
      <c r="G12" t="inlineStr">
        <is>
          <t>thoi_gian</t>
        </is>
      </c>
      <c r="H12" t="inlineStr">
        <is>
          <t>04</t>
        </is>
      </c>
      <c r="I12" t="inlineStr">
        <is>
          <t>Catalog (pack 2, was Sim/Content/Catalog.P25A.cs:331)</t>
        </is>
      </c>
      <c r="J12" t="inlineStr">
        <is>
          <t>Assets/MachineBrigade/Resources/Data/tunables.json: bases.flareTower.everySeconds</t>
        </is>
      </c>
      <c r="K12" t="inlineStr">
        <is>
          <t>{"value":15.0,"unit":"s","kind":"thoi_gian","linh_vuc":"04","code":"Catalog (pack 2, was Sim/Content/Catalog.P25A.cs:331)"}</t>
        </is>
      </c>
    </row>
    <row r="13">
      <c r="A13" t="inlineStr">
        <is>
          <t>bases.flareTower.radiusM</t>
        </is>
      </c>
      <c r="B13" t="inlineStr">
        <is>
          <t>flareTower</t>
        </is>
      </c>
      <c r="C13" t="inlineStr">
        <is>
          <t>radiusM</t>
        </is>
      </c>
      <c r="D13" t="n">
        <v>30</v>
      </c>
      <c r="F13" t="inlineStr">
        <is>
          <t>m</t>
        </is>
      </c>
      <c r="G13" t="inlineStr">
        <is>
          <t>ban_kinh</t>
        </is>
      </c>
      <c r="H13" t="inlineStr">
        <is>
          <t>04</t>
        </is>
      </c>
      <c r="I13" t="inlineStr">
        <is>
          <t>Catalog (pack 2, was Sim/Content/Catalog.P25A.cs:332)</t>
        </is>
      </c>
      <c r="J13" t="inlineStr">
        <is>
          <t>Assets/MachineBrigade/Resources/Data/tunables.json: bases.flareTower.radiusM</t>
        </is>
      </c>
      <c r="K13" t="inlineStr">
        <is>
          <t>{"value":30.0,"unit":"m","kind":"ban_kinh","linh_vuc":"04","code":"Catalog (pack 2, was Sim/Content/Catalog.P25A.cs:332)"}</t>
        </is>
      </c>
    </row>
    <row r="14">
      <c r="A14" t="inlineStr">
        <is>
          <t>bases.flareTower.rangeM</t>
        </is>
      </c>
      <c r="B14" t="inlineStr">
        <is>
          <t>flareTower</t>
        </is>
      </c>
      <c r="C14" t="inlineStr">
        <is>
          <t>rangeM</t>
        </is>
      </c>
      <c r="D14" t="n">
        <v>40</v>
      </c>
      <c r="F14" t="inlineStr">
        <is>
          <t>m</t>
        </is>
      </c>
      <c r="G14" t="inlineStr">
        <is>
          <t>ban_kinh</t>
        </is>
      </c>
      <c r="H14" t="inlineStr">
        <is>
          <t>04</t>
        </is>
      </c>
      <c r="I14" t="inlineStr">
        <is>
          <t>Catalog (pack 2, was Sim/Content/Catalog.P25A.cs:331)</t>
        </is>
      </c>
      <c r="J14" t="inlineStr">
        <is>
          <t>Assets/MachineBrigade/Resources/Data/tunables.json: bases.flareTower.rangeM</t>
        </is>
      </c>
      <c r="K14" t="inlineStr">
        <is>
          <t>{"value":40.0,"unit":"m","kind":"ban_kinh","linh_vuc":"04","code":"Catalog (pack 2, was Sim/Content/Catalog.P25A.cs:331)"}</t>
        </is>
      </c>
    </row>
    <row r="15">
      <c r="A15" t="inlineStr">
        <is>
          <t>bases.flareTower.seconds</t>
        </is>
      </c>
      <c r="B15" t="inlineStr">
        <is>
          <t>flareTower</t>
        </is>
      </c>
      <c r="C15" t="inlineStr">
        <is>
          <t>seconds</t>
        </is>
      </c>
      <c r="D15" t="n">
        <v>15</v>
      </c>
      <c r="F15" t="inlineStr">
        <is>
          <t>s</t>
        </is>
      </c>
      <c r="G15" t="inlineStr">
        <is>
          <t>thoi_gian</t>
        </is>
      </c>
      <c r="H15" t="inlineStr">
        <is>
          <t>04</t>
        </is>
      </c>
      <c r="I15" t="inlineStr">
        <is>
          <t>Catalog (pack 2, was Sim/Content/Catalog.P25A.cs:332)</t>
        </is>
      </c>
      <c r="J15" t="inlineStr">
        <is>
          <t>Assets/MachineBrigade/Resources/Data/tunables.json: bases.flareTower.seconds</t>
        </is>
      </c>
      <c r="K15" t="inlineStr">
        <is>
          <t>{"value":15.0,"unit":"s","kind":"thoi_gian","linh_vuc":"04","code":"Catalog (pack 2, was Sim/Content/Catalog.P25A.cs:332)"}</t>
        </is>
      </c>
    </row>
    <row r="16">
      <c r="A16" t="inlineStr">
        <is>
          <t>bases.gear.bulwarkShare</t>
        </is>
      </c>
      <c r="B16" t="inlineStr">
        <is>
          <t>gear</t>
        </is>
      </c>
      <c r="C16" t="inlineStr">
        <is>
          <t>bulwarkShare</t>
        </is>
      </c>
      <c r="D16" t="n">
        <v>0.35</v>
      </c>
      <c r="F16" t="inlineStr">
        <is>
          <t>share</t>
        </is>
      </c>
      <c r="G16" t="inlineStr">
        <is>
          <t>nguong</t>
        </is>
      </c>
      <c r="H16" t="inlineStr">
        <is>
          <t>04</t>
        </is>
      </c>
      <c r="I16" t="inlineStr">
        <is>
          <t>Gear.BulwarkShare</t>
        </is>
      </c>
      <c r="J16" t="inlineStr">
        <is>
          <t>Assets/MachineBrigade/Resources/Data/tunables.json: bases.gear.bulwarkShare</t>
        </is>
      </c>
      <c r="K16" t="inlineStr">
        <is>
          <t>{"value":0.35,"unit":"share","kind":"nguong","linh_vuc":"04","code":"Gear.BulwarkShare"}</t>
        </is>
      </c>
    </row>
    <row r="17">
      <c r="A17" t="inlineStr">
        <is>
          <t>bases.hangar.alive</t>
        </is>
      </c>
      <c r="B17" t="inlineStr">
        <is>
          <t>hangar</t>
        </is>
      </c>
      <c r="C17" t="inlineStr">
        <is>
          <t>alive</t>
        </is>
      </c>
      <c r="D17" t="n">
        <v>2</v>
      </c>
      <c r="F17" t="inlineStr">
        <is>
          <t>count</t>
        </is>
      </c>
      <c r="G17" t="inlineStr">
        <is>
          <t>khac</t>
        </is>
      </c>
      <c r="H17" t="inlineStr">
        <is>
          <t>04</t>
        </is>
      </c>
      <c r="I17" t="inlineStr">
        <is>
          <t>Catalog (pack 2, was Sim/Content/Catalog.P25A.cs:290)</t>
        </is>
      </c>
      <c r="J17" t="inlineStr">
        <is>
          <t>Assets/MachineBrigade/Resources/Data/tunables.json: bases.hangar.alive</t>
        </is>
      </c>
      <c r="K17" t="inlineStr">
        <is>
          <t>{"value":2,"unit":"count","kind":"khac","linh_vuc":"04","code":"Catalog (pack 2, was Sim/Content/Catalog.P25A.cs:290)"}</t>
        </is>
      </c>
    </row>
    <row r="18">
      <c r="A18" t="inlineStr">
        <is>
          <t>bases.hangar.budget</t>
        </is>
      </c>
      <c r="B18" t="inlineStr">
        <is>
          <t>hangar</t>
        </is>
      </c>
      <c r="C18" t="inlineStr">
        <is>
          <t>budget</t>
        </is>
      </c>
      <c r="D18" t="n">
        <v>0</v>
      </c>
      <c r="F18" t="inlineStr">
        <is>
          <t>x</t>
        </is>
      </c>
      <c r="G18" t="inlineStr">
        <is>
          <t>khac</t>
        </is>
      </c>
      <c r="H18" t="inlineStr">
        <is>
          <t>04</t>
        </is>
      </c>
      <c r="I18" t="inlineStr">
        <is>
          <t>Catalog (pack 2, was Sim/Content/Catalog.P25A.cs:291)</t>
        </is>
      </c>
      <c r="J18" t="inlineStr">
        <is>
          <t>Assets/MachineBrigade/Resources/Data/tunables.json: bases.hangar.budget</t>
        </is>
      </c>
      <c r="K18" t="inlineStr">
        <is>
          <t>{"value":0.0,"unit":"x","kind":"khac","linh_vuc":"04","code":"Catalog (pack 2, was Sim/Content/Catalog.P25A.cs:291)"}</t>
        </is>
      </c>
    </row>
    <row r="19">
      <c r="A19" t="inlineStr">
        <is>
          <t>bases.hangar.everySeconds</t>
        </is>
      </c>
      <c r="B19" t="inlineStr">
        <is>
          <t>hangar</t>
        </is>
      </c>
      <c r="C19" t="inlineStr">
        <is>
          <t>everySeconds</t>
        </is>
      </c>
      <c r="D19" t="n">
        <v>60</v>
      </c>
      <c r="F19" t="inlineStr">
        <is>
          <t>s</t>
        </is>
      </c>
      <c r="G19" t="inlineStr">
        <is>
          <t>thoi_gian</t>
        </is>
      </c>
      <c r="H19" t="inlineStr">
        <is>
          <t>04</t>
        </is>
      </c>
      <c r="I19" t="inlineStr">
        <is>
          <t>Catalog (pack 2, was Sim/Content/Catalog.P25A.cs:290)</t>
        </is>
      </c>
      <c r="J19" t="inlineStr">
        <is>
          <t>Assets/MachineBrigade/Resources/Data/tunables.json: bases.hangar.everySeconds</t>
        </is>
      </c>
      <c r="K19" t="inlineStr">
        <is>
          <t>{"value":60.0,"unit":"s","kind":"thoi_gian","linh_vuc":"04","code":"Catalog (pack 2, was Sim/Content/Catalog.P25A.cs:290)"}</t>
        </is>
      </c>
    </row>
    <row r="20">
      <c r="A20" t="inlineStr">
        <is>
          <t>bases.hangar.postM</t>
        </is>
      </c>
      <c r="B20" t="inlineStr">
        <is>
          <t>hangar</t>
        </is>
      </c>
      <c r="C20" t="inlineStr">
        <is>
          <t>postM</t>
        </is>
      </c>
      <c r="D20" t="n">
        <v>20</v>
      </c>
      <c r="F20" t="inlineStr">
        <is>
          <t>m</t>
        </is>
      </c>
      <c r="G20" t="inlineStr">
        <is>
          <t>ban_kinh</t>
        </is>
      </c>
      <c r="H20" t="inlineStr">
        <is>
          <t>04</t>
        </is>
      </c>
      <c r="I20" t="inlineStr">
        <is>
          <t>Catalog (pack 2, was Sim/Content/Catalog.P25A.cs:291)</t>
        </is>
      </c>
      <c r="J20" t="inlineStr">
        <is>
          <t>Assets/MachineBrigade/Resources/Data/tunables.json: bases.hangar.postM</t>
        </is>
      </c>
      <c r="K20" t="inlineStr">
        <is>
          <t>{"value":20.0,"unit":"m","kind":"ban_kinh","linh_vuc":"04","code":"Catalog (pack 2, was Sim/Content/Catalog.P25A.cs:291)"}</t>
        </is>
      </c>
    </row>
    <row r="21">
      <c r="A21" t="inlineStr">
        <is>
          <t>bases.microwave.arcDeg</t>
        </is>
      </c>
      <c r="B21" t="inlineStr">
        <is>
          <t>microwave</t>
        </is>
      </c>
      <c r="C21" t="inlineStr">
        <is>
          <t>arcDeg</t>
        </is>
      </c>
      <c r="D21" t="n">
        <v>60</v>
      </c>
      <c r="F21" t="inlineStr">
        <is>
          <t>deg</t>
        </is>
      </c>
      <c r="G21" t="inlineStr">
        <is>
          <t>khac</t>
        </is>
      </c>
      <c r="H21" t="inlineStr">
        <is>
          <t>04</t>
        </is>
      </c>
      <c r="I21" t="inlineStr">
        <is>
          <t>Catalog (pack 2, was Sim/Content/Catalog.P25A.cs:340)</t>
        </is>
      </c>
      <c r="J21" t="inlineStr">
        <is>
          <t>Assets/MachineBrigade/Resources/Data/tunables.json: bases.microwave.arcDeg</t>
        </is>
      </c>
      <c r="K21" t="inlineStr">
        <is>
          <t>{"value":60.0,"unit":"deg","kind":"khac","linh_vuc":"04","code":"Catalog (pack 2, was Sim/Content/Catalog.P25A.cs:340)"}</t>
        </is>
      </c>
    </row>
    <row r="22">
      <c r="A22" t="inlineStr">
        <is>
          <t>bases.microwave.cooldownSeconds</t>
        </is>
      </c>
      <c r="B22" t="inlineStr">
        <is>
          <t>microwave</t>
        </is>
      </c>
      <c r="C22" t="inlineStr">
        <is>
          <t>cooldownSeconds</t>
        </is>
      </c>
      <c r="D22" t="n">
        <v>8</v>
      </c>
      <c r="F22" t="inlineStr">
        <is>
          <t>s</t>
        </is>
      </c>
      <c r="G22" t="inlineStr">
        <is>
          <t>thoi_gian</t>
        </is>
      </c>
      <c r="H22" t="inlineStr">
        <is>
          <t>04</t>
        </is>
      </c>
      <c r="I22" t="inlineStr">
        <is>
          <t>Catalog (pack 2, was Sim/Content/Catalog.P25A.cs:341)</t>
        </is>
      </c>
      <c r="J22" t="inlineStr">
        <is>
          <t>Assets/MachineBrigade/Resources/Data/tunables.json: bases.microwave.cooldownSeconds</t>
        </is>
      </c>
      <c r="K22" t="inlineStr">
        <is>
          <t>{"value":8.0,"unit":"s","kind":"thoi_gian","linh_vuc":"04","code":"Catalog (pack 2, was Sim/Content/Catalog.P25A.cs:341)"}</t>
        </is>
      </c>
    </row>
    <row r="23">
      <c r="A23" t="inlineStr">
        <is>
          <t>bases.microwave.rangeM</t>
        </is>
      </c>
      <c r="B23" t="inlineStr">
        <is>
          <t>microwave</t>
        </is>
      </c>
      <c r="C23" t="inlineStr">
        <is>
          <t>rangeM</t>
        </is>
      </c>
      <c r="D23" t="n">
        <v>30</v>
      </c>
      <c r="F23" t="inlineStr">
        <is>
          <t>m</t>
        </is>
      </c>
      <c r="G23" t="inlineStr">
        <is>
          <t>ban_kinh</t>
        </is>
      </c>
      <c r="H23" t="inlineStr">
        <is>
          <t>04</t>
        </is>
      </c>
      <c r="I23" t="inlineStr">
        <is>
          <t>Catalog (pack 2, was Sim/Content/Catalog.P25A.cs:340)</t>
        </is>
      </c>
      <c r="J23" t="inlineStr">
        <is>
          <t>Assets/MachineBrigade/Resources/Data/tunables.json: bases.microwave.rangeM</t>
        </is>
      </c>
      <c r="K23" t="inlineStr">
        <is>
          <t>{"value":30.0,"unit":"m","kind":"ban_kinh","linh_vuc":"04","code":"Catalog (pack 2, was Sim/Content/Catalog.P25A.cs:340)"}</t>
        </is>
      </c>
    </row>
    <row r="24">
      <c r="A24" t="inlineStr">
        <is>
          <t>bases.paradrop.baseKeepOutM</t>
        </is>
      </c>
      <c r="B24" t="inlineStr">
        <is>
          <t>paradrop</t>
        </is>
      </c>
      <c r="C24" t="inlineStr">
        <is>
          <t>baseKeepOutM</t>
        </is>
      </c>
      <c r="D24" t="n">
        <v>45</v>
      </c>
      <c r="F24" t="inlineStr">
        <is>
          <t>m</t>
        </is>
      </c>
      <c r="G24" t="inlineStr">
        <is>
          <t>ban_kinh</t>
        </is>
      </c>
      <c r="H24" t="inlineStr">
        <is>
          <t>04</t>
        </is>
      </c>
      <c r="I24" t="inlineStr">
        <is>
          <t>Catalog (pack 2, was Sim/Content/Catalog.P25A.cs:351)</t>
        </is>
      </c>
      <c r="J24" t="inlineStr">
        <is>
          <t>Assets/MachineBrigade/Resources/Data/tunables.json: bases.paradrop.baseKeepOutM</t>
        </is>
      </c>
      <c r="K24" t="inlineStr">
        <is>
          <t>{"value":45.0,"unit":"m","kind":"ban_kinh","linh_vuc":"04","code":"Catalog (pack 2, was Sim/Content/Catalog.P25A.cs:351)"}</t>
        </is>
      </c>
    </row>
    <row r="25">
      <c r="A25" t="inlineStr">
        <is>
          <t>bases.paradrop.fallSeconds</t>
        </is>
      </c>
      <c r="B25" t="inlineStr">
        <is>
          <t>paradrop</t>
        </is>
      </c>
      <c r="C25" t="inlineStr">
        <is>
          <t>fallSeconds</t>
        </is>
      </c>
      <c r="D25" t="n">
        <v>6</v>
      </c>
      <c r="F25" t="inlineStr">
        <is>
          <t>s</t>
        </is>
      </c>
      <c r="G25" t="inlineStr">
        <is>
          <t>thoi_gian</t>
        </is>
      </c>
      <c r="H25" t="inlineStr">
        <is>
          <t>04</t>
        </is>
      </c>
      <c r="I25" t="inlineStr">
        <is>
          <t>Catalog (pack 2, was Sim/Content/Catalog.P25A.cs:350)</t>
        </is>
      </c>
      <c r="J25" t="inlineStr">
        <is>
          <t>Assets/MachineBrigade/Resources/Data/tunables.json: bases.paradrop.fallSeconds</t>
        </is>
      </c>
      <c r="K25" t="inlineStr">
        <is>
          <t>{"value":6.0,"unit":"s","kind":"thoi_gian","linh_vuc":"04","code":"Catalog (pack 2, was Sim/Content/Catalog.P25A.cs:350)"}</t>
        </is>
      </c>
    </row>
    <row r="26">
      <c r="A26" t="inlineStr">
        <is>
          <t>bases.paradrop.heightM</t>
        </is>
      </c>
      <c r="B26" t="inlineStr">
        <is>
          <t>paradrop</t>
        </is>
      </c>
      <c r="C26" t="inlineStr">
        <is>
          <t>heightM</t>
        </is>
      </c>
      <c r="D26" t="n">
        <v>30</v>
      </c>
      <c r="F26" t="inlineStr">
        <is>
          <t>m</t>
        </is>
      </c>
      <c r="G26" t="inlineStr">
        <is>
          <t>ban_kinh</t>
        </is>
      </c>
      <c r="H26" t="inlineStr">
        <is>
          <t>04</t>
        </is>
      </c>
      <c r="I26" t="inlineStr">
        <is>
          <t>Catalog (pack 2, was Sim/Content/Catalog.P25A.cs:350)</t>
        </is>
      </c>
      <c r="J26" t="inlineStr">
        <is>
          <t>Assets/MachineBrigade/Resources/Data/tunables.json: bases.paradrop.heightM</t>
        </is>
      </c>
      <c r="K26" t="inlineStr">
        <is>
          <t>{"value":30.0,"unit":"m","kind":"ban_kinh","linh_vuc":"04","code":"Catalog (pack 2, was Sim/Content/Catalog.P25A.cs:350)"}</t>
        </is>
      </c>
    </row>
    <row r="27">
      <c r="A27" t="inlineStr">
        <is>
          <t>bases.reconPass.seconds</t>
        </is>
      </c>
      <c r="B27" t="inlineStr">
        <is>
          <t>reconPass</t>
        </is>
      </c>
      <c r="C27" t="inlineStr">
        <is>
          <t>seconds</t>
        </is>
      </c>
      <c r="D27" t="n">
        <v>20</v>
      </c>
      <c r="F27" t="inlineStr">
        <is>
          <t>s</t>
        </is>
      </c>
      <c r="G27" t="inlineStr">
        <is>
          <t>thoi_gian</t>
        </is>
      </c>
      <c r="H27" t="inlineStr">
        <is>
          <t>04</t>
        </is>
      </c>
      <c r="I27" t="inlineStr">
        <is>
          <t>Catalog (pack 2, was Sim/Content/Catalog.P25A.cs:357)</t>
        </is>
      </c>
      <c r="J27" t="inlineStr">
        <is>
          <t>Assets/MachineBrigade/Resources/Data/tunables.json: bases.reconPass.seconds</t>
        </is>
      </c>
      <c r="K27" t="inlineStr">
        <is>
          <t>{"value":20.0,"unit":"s","kind":"thoi_gian","linh_vuc":"04","code":"Catalog (pack 2, was Sim/Content/Catalog.P25A.cs:357)"}</t>
        </is>
      </c>
    </row>
    <row r="28">
      <c r="A28" t="inlineStr">
        <is>
          <t>bases.reconPass.widthM</t>
        </is>
      </c>
      <c r="B28" t="inlineStr">
        <is>
          <t>reconPass</t>
        </is>
      </c>
      <c r="C28" t="inlineStr">
        <is>
          <t>widthM</t>
        </is>
      </c>
      <c r="D28" t="n">
        <v>60</v>
      </c>
      <c r="F28" t="inlineStr">
        <is>
          <t>m</t>
        </is>
      </c>
      <c r="G28" t="inlineStr">
        <is>
          <t>ban_kinh</t>
        </is>
      </c>
      <c r="H28" t="inlineStr">
        <is>
          <t>04</t>
        </is>
      </c>
      <c r="I28" t="inlineStr">
        <is>
          <t>Catalog (pack 2, was Sim/Content/Catalog.P25A.cs:357)</t>
        </is>
      </c>
      <c r="J28" t="inlineStr">
        <is>
          <t>Assets/MachineBrigade/Resources/Data/tunables.json: bases.reconPass.widthM</t>
        </is>
      </c>
      <c r="K28" t="inlineStr">
        <is>
          <t>{"value":60.0,"unit":"m","kind":"ban_kinh","linh_vuc":"04","code":"Catalog (pack 2, was Sim/Content/Catalog.P25A.cs:357)"}</t>
        </is>
      </c>
    </row>
    <row r="29">
      <c r="A29" t="inlineStr">
        <is>
          <t>bases.searchlight.dazzleShare</t>
        </is>
      </c>
      <c r="B29" t="inlineStr">
        <is>
          <t>searchlight</t>
        </is>
      </c>
      <c r="C29" t="inlineStr">
        <is>
          <t>dazzleShare</t>
        </is>
      </c>
      <c r="D29" t="n">
        <v>0.2</v>
      </c>
      <c r="F29" t="inlineStr">
        <is>
          <t>share</t>
        </is>
      </c>
      <c r="G29" t="inlineStr">
        <is>
          <t>khac</t>
        </is>
      </c>
      <c r="H29" t="inlineStr">
        <is>
          <t>04</t>
        </is>
      </c>
      <c r="I29" t="inlineStr">
        <is>
          <t>Catalog (pack 2, was Sim/Content/Catalog.P25A.cs:309)</t>
        </is>
      </c>
      <c r="J29" t="inlineStr">
        <is>
          <t>Assets/MachineBrigade/Resources/Data/tunables.json: bases.searchlight.dazzleShare</t>
        </is>
      </c>
      <c r="K29" t="inlineStr">
        <is>
          <t>{"value":0.2,"unit":"share","kind":"khac","linh_vuc":"04","code":"Catalog (pack 2, was Sim/Content/Catalog.P25A.cs:309)"}</t>
        </is>
      </c>
    </row>
    <row r="30">
      <c r="A30" t="inlineStr">
        <is>
          <t>bases.searchlight.radiusM</t>
        </is>
      </c>
      <c r="B30" t="inlineStr">
        <is>
          <t>searchlight</t>
        </is>
      </c>
      <c r="C30" t="inlineStr">
        <is>
          <t>radiusM</t>
        </is>
      </c>
      <c r="D30" t="n">
        <v>35</v>
      </c>
      <c r="F30" t="inlineStr">
        <is>
          <t>m</t>
        </is>
      </c>
      <c r="G30" t="inlineStr">
        <is>
          <t>ban_kinh</t>
        </is>
      </c>
      <c r="H30" t="inlineStr">
        <is>
          <t>04</t>
        </is>
      </c>
      <c r="I30" t="inlineStr">
        <is>
          <t>Catalog (pack 2, was Sim/Content/Catalog.P25A.cs:309)</t>
        </is>
      </c>
      <c r="J30" t="inlineStr">
        <is>
          <t>Assets/MachineBrigade/Resources/Data/tunables.json: bases.searchlight.radiusM</t>
        </is>
      </c>
      <c r="K30" t="inlineStr">
        <is>
          <t>{"value":35.0,"unit":"m","kind":"ban_kinh","linh_vuc":"04","code":"Catalog (pack 2, was Sim/Content/Catalog.P25A.cs:309)"}</t>
        </is>
      </c>
    </row>
    <row r="31">
      <c r="A31" t="inlineStr">
        <is>
          <t>bases.shelter.cutShare</t>
        </is>
      </c>
      <c r="B31" t="inlineStr">
        <is>
          <t>shelter</t>
        </is>
      </c>
      <c r="C31" t="inlineStr">
        <is>
          <t>cutShare</t>
        </is>
      </c>
      <c r="D31" t="n">
        <v>0.5</v>
      </c>
      <c r="F31" t="inlineStr">
        <is>
          <t>share</t>
        </is>
      </c>
      <c r="G31" t="inlineStr">
        <is>
          <t>khac</t>
        </is>
      </c>
      <c r="H31" t="inlineStr">
        <is>
          <t>04</t>
        </is>
      </c>
      <c r="I31" t="inlineStr">
        <is>
          <t>Catalog (pack 2, was Sim/Content/Catalog.P25A.cs:324)</t>
        </is>
      </c>
      <c r="J31" t="inlineStr">
        <is>
          <t>Assets/MachineBrigade/Resources/Data/tunables.json: bases.shelter.cutShare</t>
        </is>
      </c>
      <c r="K31" t="inlineStr">
        <is>
          <t>{"value":0.5,"unit":"share","kind":"khac","linh_vuc":"04","code":"Catalog (pack 2, was Sim/Content/Catalog.P25A.cs:324)"}</t>
        </is>
      </c>
    </row>
    <row r="32">
      <c r="A32" t="inlineStr">
        <is>
          <t>bases.shelter.radiusM</t>
        </is>
      </c>
      <c r="B32" t="inlineStr">
        <is>
          <t>shelter</t>
        </is>
      </c>
      <c r="C32" t="inlineStr">
        <is>
          <t>radiusM</t>
        </is>
      </c>
      <c r="D32" t="n">
        <v>15</v>
      </c>
      <c r="F32" t="inlineStr">
        <is>
          <t>m</t>
        </is>
      </c>
      <c r="G32" t="inlineStr">
        <is>
          <t>ban_kinh</t>
        </is>
      </c>
      <c r="H32" t="inlineStr">
        <is>
          <t>04</t>
        </is>
      </c>
      <c r="I32" t="inlineStr">
        <is>
          <t>Catalog (pack 2, was Sim/Content/Catalog.P25A.cs:324)</t>
        </is>
      </c>
      <c r="J32" t="inlineStr">
        <is>
          <t>Assets/MachineBrigade/Resources/Data/tunables.json: bases.shelter.radiusM</t>
        </is>
      </c>
      <c r="K32" t="inlineStr">
        <is>
          <t>{"value":15.0,"unit":"m","kind":"ban_kinh","linh_vuc":"04","code":"Catalog (pack 2, was Sim/Content/Catalog.P25A.cs:324)"}</t>
        </is>
      </c>
    </row>
    <row r="33">
      <c r="A33" t="inlineStr">
        <is>
          <t>bases.sightJammer.closeM</t>
        </is>
      </c>
      <c r="B33" t="inlineStr">
        <is>
          <t>sightJammer</t>
        </is>
      </c>
      <c r="C33" t="inlineStr">
        <is>
          <t>closeM</t>
        </is>
      </c>
      <c r="D33" t="n">
        <v>15</v>
      </c>
      <c r="F33" t="inlineStr">
        <is>
          <t>m</t>
        </is>
      </c>
      <c r="G33" t="inlineStr">
        <is>
          <t>ban_kinh</t>
        </is>
      </c>
      <c r="H33" t="inlineStr">
        <is>
          <t>04</t>
        </is>
      </c>
      <c r="I33" t="inlineStr">
        <is>
          <t>Catalog (pack 2, was Sim/Content/Catalog.P25A.cs:319)</t>
        </is>
      </c>
      <c r="J33" t="inlineStr">
        <is>
          <t>Assets/MachineBrigade/Resources/Data/tunables.json: bases.sightJammer.closeM</t>
        </is>
      </c>
      <c r="K33" t="inlineStr">
        <is>
          <t>{"value":15.0,"unit":"m","kind":"ban_kinh","linh_vuc":"04","code":"Catalog (pack 2, was Sim/Content/Catalog.P25A.cs:319)"}</t>
        </is>
      </c>
    </row>
    <row r="34">
      <c r="A34" t="inlineStr">
        <is>
          <t>bases.sightJammer.radiusM</t>
        </is>
      </c>
      <c r="B34" t="inlineStr">
        <is>
          <t>sightJammer</t>
        </is>
      </c>
      <c r="C34" t="inlineStr">
        <is>
          <t>radiusM</t>
        </is>
      </c>
      <c r="D34" t="n">
        <v>35</v>
      </c>
      <c r="F34" t="inlineStr">
        <is>
          <t>m</t>
        </is>
      </c>
      <c r="G34" t="inlineStr">
        <is>
          <t>ban_kinh</t>
        </is>
      </c>
      <c r="H34" t="inlineStr">
        <is>
          <t>04</t>
        </is>
      </c>
      <c r="I34" t="inlineStr">
        <is>
          <t>Catalog (pack 2, was Sim/Content/Catalog.P25A.cs:319)</t>
        </is>
      </c>
      <c r="J34" t="inlineStr">
        <is>
          <t>Assets/MachineBrigade/Resources/Data/tunables.json: bases.sightJammer.radiusM</t>
        </is>
      </c>
      <c r="K34" t="inlineStr">
        <is>
          <t>{"value":35.0,"unit":"m","kind":"ban_kinh","linh_vuc":"04","code":"Catalog (pack 2, was Sim/Content/Catalog.P25A.cs:319)"}</t>
        </is>
      </c>
    </row>
  </sheetData>
  <autoFilter ref="A1:K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Tools/export</dc:creator>
  <dcterms:created xsi:type="dcterms:W3CDTF">2000-01-01T00:00:00Z</dcterms:created>
  <dcterms:modified xsi:type="dcterms:W3CDTF">2000-01-01T00:00:00Z</dcterms:modified>
</cp:coreProperties>
</file>