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'Thap'!$A$1:$EN$57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'cc_input_vu_khi'!$A$1:$E$11</definedName>
    <definedName name="_xlnm._FilterDatabase" localSheetId="16" hidden="1">'cc_input_vu_khi_suy_ra'!$A$1:$F$11</definedName>
    <definedName name="_xlnm._FilterDatabase" localSheetId="17" hidden="1">'cc_input_bang_xuyen_giap'!$A$1:$D$7</definedName>
    <definedName name="_xlnm._FilterDatabase" localSheetId="18" hidden="1">'Thap_gia_cong_thuc'!$A$1:$V$42</definedName>
    <definedName name="_xlnm._FilterDatabase" localSheetId="19" hidden="1">'Tuong_duong_xe_cong_trinh'!$A$1:$M$42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'Can_cu_tham_chieu'!$A$1:$AH$70</definedName>
    <definedName name="_xlnm._FilterDatabase" localSheetId="23" hidden="1">'Can_cu_so_sanh_that'!$A$1:$R$33</definedName>
    <definedName name="_xlnm._FilterDatabase" localSheetId="24" hidden="1">'cc_input_nhip_that'!$A$1:$F$31</definedName>
    <definedName name="_xlnm._FilterDatabase" localSheetId="25" hidden="1">'cc_input_ty_le_nhip'!$A$1:$E$31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drone_hangar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drone_hangar</t>
        </is>
      </c>
      <c r="DH6" t="n">
        <v>4</v>
      </c>
      <c r="DI6" t="n">
        <v>8</v>
      </c>
      <c r="DJ6" t="n">
        <v>8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drone_hangar","modelSize":[8.0,8.0,4.0]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30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4.6</v>
      </c>
      <c r="DI37" t="n">
        <v>6</v>
      </c>
      <c r="DJ37" t="n">
        <v>4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W40" t="inlineStr"/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drone_hangar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drone_hangar</t>
        </is>
      </c>
      <c r="DH57" t="n">
        <v>4</v>
      </c>
      <c r="DI57" t="n">
        <v>8</v>
      </c>
      <c r="DJ57" t="n">
        <v>8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drone_hangar","modelSize":[8.0,8.0,4.0]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vehicles[70].secondary[0]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vehicles[98].secondary[0]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vehicles[98].secondary[1]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gun_105_wheeled</t>
        </is>
      </c>
      <c r="B2" t="n">
        <v>258</v>
      </c>
      <c r="C2" t="n">
        <v>4</v>
      </c>
      <c r="D2" t="inlineStr">
        <is>
          <t>01_chien_dau/Vu_khi (id gun_105_wheeled)</t>
        </is>
      </c>
      <c r="E2" t="inlineStr"/>
    </row>
    <row r="3">
      <c r="A3" t="inlineStr">
        <is>
          <t>gun_105_wheeled_he</t>
        </is>
      </c>
      <c r="B3" t="n">
        <v>258</v>
      </c>
      <c r="C3" t="n">
        <v>2</v>
      </c>
      <c r="D3" t="inlineStr">
        <is>
          <t>01_chien_dau/Vu_khi (id gun_105_wheeled_he)</t>
        </is>
      </c>
      <c r="E3" t="inlineStr"/>
    </row>
    <row r="4">
      <c r="A4" t="inlineStr">
        <is>
          <t>gun_120_twin_he</t>
        </is>
      </c>
      <c r="B4" t="n">
        <v>240</v>
      </c>
      <c r="C4" t="n">
        <v>2</v>
      </c>
      <c r="D4" t="inlineStr">
        <is>
          <t>01_chien_dau/Vu_khi (id gun_120_twin_he)</t>
        </is>
      </c>
      <c r="E4" t="inlineStr"/>
    </row>
    <row r="5">
      <c r="A5" t="inlineStr">
        <is>
          <t>gun_120mm_he</t>
        </is>
      </c>
      <c r="B5" t="n">
        <v>240</v>
      </c>
      <c r="C5" t="n">
        <v>2</v>
      </c>
      <c r="D5" t="inlineStr">
        <is>
          <t>01_chien_dau/Vu_khi (id gun_120mm_he)</t>
        </is>
      </c>
      <c r="E5" t="inlineStr"/>
    </row>
    <row r="6">
      <c r="A6" t="inlineStr">
        <is>
          <t>gun_152</t>
        </is>
      </c>
      <c r="B6" t="n">
        <v>320</v>
      </c>
      <c r="C6" t="n">
        <v>4</v>
      </c>
      <c r="D6" t="inlineStr">
        <is>
          <t>01_chien_dau/Vu_khi (id gun_152)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mlrs_rockets</t>
        </is>
      </c>
      <c r="B8" t="n">
        <v>100</v>
      </c>
      <c r="C8" t="n">
        <v>3</v>
      </c>
      <c r="D8" t="inlineStr">
        <is>
          <t>01_chien_dau/Vu_khi (id mlrs_rockets)</t>
        </is>
      </c>
      <c r="E8" t="inlineStr"/>
    </row>
    <row r="9">
      <c r="A9" t="inlineStr">
        <is>
          <t>recoilless_106</t>
        </is>
      </c>
      <c r="B9" t="n">
        <v>220</v>
      </c>
      <c r="C9" t="n">
        <v>3</v>
      </c>
      <c r="D9" t="inlineStr">
        <is>
          <t>01_chien_dau/Vu_khi (id recoilless_106)</t>
        </is>
      </c>
      <c r="E9" t="inlineStr"/>
    </row>
    <row r="10">
      <c r="A10" t="inlineStr">
        <is>
          <t>technical_rockets</t>
        </is>
      </c>
      <c r="B10" t="n">
        <v>49.5</v>
      </c>
      <c r="C10" t="n">
        <v>2</v>
      </c>
      <c r="D10" t="inlineStr">
        <is>
          <t>01_chien_dau/Vu_khi (id technical_rockets)</t>
        </is>
      </c>
      <c r="E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inlineStr">
        <is>
          <t>01_chien_dau/Vu_khi (id thermobaric_rockets)</t>
        </is>
      </c>
      <c r="E11" t="inlineStr"/>
    </row>
  </sheetData>
  <autoFilter ref="A1:E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0.6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1.5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1.5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0.6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1.5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0.6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0.9375</v>
      </c>
      <c r="F2" t="n">
        <v>219.4167303643507</v>
      </c>
      <c r="G2" t="n">
        <v>173.8</v>
      </c>
      <c r="H2" t="n">
        <v>36.01866666666667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0.9375</v>
      </c>
      <c r="F3" t="n">
        <v>240.3845953002611</v>
      </c>
      <c r="G3" t="n">
        <v>173.8</v>
      </c>
      <c r="H3" t="n">
        <v>36.01866666666667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0.9375</v>
      </c>
      <c r="F4" t="n">
        <v>49.64061096136568</v>
      </c>
      <c r="G4" t="n">
        <v>173.8</v>
      </c>
      <c r="H4" t="n">
        <v>36.01866666666667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1.275</v>
      </c>
      <c r="F5" t="n">
        <v>0</v>
      </c>
      <c r="G5" t="n">
        <v>172.8789682539683</v>
      </c>
      <c r="H5" t="n">
        <v>9.678493163172465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1.275</v>
      </c>
      <c r="F6" t="n">
        <v>76.66666666666667</v>
      </c>
      <c r="G6" t="n">
        <v>328.4901960784314</v>
      </c>
      <c r="H6" t="n">
        <v>7.677395967178945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1.275</v>
      </c>
      <c r="F7" t="n">
        <v>65.16666666666667</v>
      </c>
      <c r="G7" t="n">
        <v>328.4901960784314</v>
      </c>
      <c r="H7" t="n">
        <v>7.677395967178945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1.275</v>
      </c>
      <c r="F8" t="n">
        <v>81.82692307692308</v>
      </c>
      <c r="G8" t="n">
        <v>328.4901960784314</v>
      </c>
      <c r="H8" t="n">
        <v>7.677395967178945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1.275</v>
      </c>
      <c r="F13" t="n">
        <v>44.66666666666667</v>
      </c>
      <c r="G13" t="n">
        <v>172.8789682539683</v>
      </c>
      <c r="H13" t="n">
        <v>9.678493163172465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1.275</v>
      </c>
      <c r="F14" t="n">
        <v>64.16666666666667</v>
      </c>
      <c r="G14" t="n">
        <v>172.8789682539683</v>
      </c>
      <c r="H14" t="n">
        <v>9.678493163172465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1.275</v>
      </c>
      <c r="F15" t="n">
        <v>59.36708860759494</v>
      </c>
      <c r="G15" t="n">
        <v>172.8789682539683</v>
      </c>
      <c r="H15" t="n">
        <v>9.678493163172465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1.11</v>
      </c>
      <c r="F19" t="n">
        <v>64.59999999999999</v>
      </c>
      <c r="G19" t="n">
        <v>220</v>
      </c>
      <c r="H19" t="n">
        <v>20.84288116757437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1.11</v>
      </c>
      <c r="F20" t="n">
        <v>66.66666666666667</v>
      </c>
      <c r="G20" t="n">
        <v>220</v>
      </c>
      <c r="H20" t="n">
        <v>20.84288116757437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1.11</v>
      </c>
      <c r="F21" t="n">
        <v>66.89159454305413</v>
      </c>
      <c r="G21" t="n">
        <v>220</v>
      </c>
      <c r="H21" t="n">
        <v>20.84288116757437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0.75</v>
      </c>
      <c r="F22" t="n">
        <v>77.08333333333334</v>
      </c>
      <c r="G22" t="n">
        <v>328.4901960784314</v>
      </c>
      <c r="H22" t="n">
        <v>7.677395967178945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0.75</v>
      </c>
      <c r="F23" t="n">
        <v>77.77777777777777</v>
      </c>
      <c r="G23" t="n">
        <v>183.3333333333333</v>
      </c>
      <c r="H23" t="n">
        <v>20.84288116757437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0.75</v>
      </c>
      <c r="F24" t="n">
        <v>67.69230769230769</v>
      </c>
      <c r="G24" t="n">
        <v>328.4901960784314</v>
      </c>
      <c r="H24" t="n">
        <v>7.677395967178945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0.51</v>
      </c>
      <c r="F25" t="n">
        <v>50.00000000000001</v>
      </c>
      <c r="G25" t="n">
        <v>328.4901960784314</v>
      </c>
      <c r="H25" t="n">
        <v>7.677395967178945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0.51</v>
      </c>
      <c r="F26" t="n">
        <v>87.78906506654879</v>
      </c>
      <c r="G26" t="n">
        <v>328.4901960784314</v>
      </c>
      <c r="H26" t="n">
        <v>7.677395967178945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0.51</v>
      </c>
      <c r="F27" t="n">
        <v>51.01607937050976</v>
      </c>
      <c r="G27" t="n">
        <v>126.6920634920635</v>
      </c>
      <c r="H27" t="n">
        <v>8.795927624837997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0.63</v>
      </c>
      <c r="F30" t="n">
        <v>55.42607142857143</v>
      </c>
      <c r="G30" t="n">
        <v>220</v>
      </c>
      <c r="H30" t="n">
        <v>20.84288116757437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0.63</v>
      </c>
      <c r="F31" t="n">
        <v>55.21599999999999</v>
      </c>
      <c r="G31" t="n">
        <v>220</v>
      </c>
      <c r="H31" t="n">
        <v>20.84288116757437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0.63</v>
      </c>
      <c r="F32" t="n">
        <v>54.98027197854819</v>
      </c>
      <c r="G32" t="n">
        <v>220</v>
      </c>
      <c r="H32" t="n">
        <v>20.84288116757437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1.5</v>
      </c>
      <c r="F33" t="n">
        <v>276.25</v>
      </c>
      <c r="G33" t="n">
        <v>144.8333333333333</v>
      </c>
      <c r="H33" t="n">
        <v>36.01866666666667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1.5</v>
      </c>
      <c r="F34" t="n">
        <v>226.6666666666667</v>
      </c>
      <c r="G34" t="n">
        <v>144.8333333333333</v>
      </c>
      <c r="H34" t="n">
        <v>36.01866666666667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1.5</v>
      </c>
      <c r="F35" t="n">
        <v>139.7014925373134</v>
      </c>
      <c r="G35" t="n">
        <v>144.8333333333333</v>
      </c>
      <c r="H35" t="n">
        <v>36.01866666666667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1.5</v>
      </c>
      <c r="F36" t="n">
        <v>57.04054054054053</v>
      </c>
      <c r="G36" t="n">
        <v>126.6920634920635</v>
      </c>
      <c r="H36" t="n">
        <v>8.795927624837997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1.5</v>
      </c>
      <c r="F37" t="n">
        <v>51.14732142857143</v>
      </c>
      <c r="G37" t="n">
        <v>126.6920634920635</v>
      </c>
      <c r="H37" t="n">
        <v>8.795927624837997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1.5</v>
      </c>
      <c r="F38" t="n">
        <v>37.5</v>
      </c>
      <c r="G38" t="n">
        <v>126.6920634920635</v>
      </c>
      <c r="H38" t="n">
        <v>8.795927624837997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1.275</v>
      </c>
      <c r="F42" t="n">
        <v>0</v>
      </c>
      <c r="G42" t="n">
        <v>172.8789682539683</v>
      </c>
      <c r="H42" t="n">
        <v>9.678493163172465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&gt;0,CEILING(Thap!$J$3/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&gt;0,CEILING(Thap!$J$3/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&gt;0,CEILING(Thap!$J$3/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&gt;0,CEILING(Thap!$J$3/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&gt;0,CEILING(Thap!$J$4/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&gt;0,CEILING(Thap!$J$4/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&gt;0,CEILING(Thap!$J$4/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&gt;0,CEILING(Thap!$J$4/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&gt;0,CEILING(Thap!$J$5/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&gt;0,CEILING(Thap!$J$5/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&gt;0,CEILING(Thap!$J$5/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&gt;0,CEILING(Thap!$J$5/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&gt;0,CEILING(Thap!$J$6/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&gt;0,CEILING(Thap!$J$6/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&gt;0,CEILING(Thap!$J$6/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&gt;0,CEILING(Thap!$J$6/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&gt;0,CEILING(Thap!$J$7/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&gt;0,CEILING(Thap!$J$7/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&gt;0,CEILING(Thap!$J$7/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&gt;0,CEILING(Thap!$J$7/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&gt;0,CEILING(Thap!$J$8/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&gt;0,CEILING(Thap!$J$8/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&gt;0,CEILING(Thap!$J$8/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&gt;0,CEILING(Thap!$J$8/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&gt;0,CEILING(Thap!$J$9/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&gt;0,CEILING(Thap!$J$9/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&gt;0,CEILING(Thap!$J$9/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&gt;0,CEILING(Thap!$J$9/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&gt;0,CEILING(Thap!$J$14/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&gt;0,CEILING(Thap!$J$14/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&gt;0,CEILING(Thap!$J$14/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&gt;0,CEILING(Thap!$J$14/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&gt;0,CEILING(Thap!$J$15/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&gt;0,CEILING(Thap!$J$15/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&gt;0,CEILING(Thap!$J$15/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&gt;0,CEILING(Thap!$J$15/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&gt;0,CEILING(Thap!$J$16/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&gt;0,CEILING(Thap!$J$16/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&gt;0,CEILING(Thap!$J$16/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&gt;0,CEILING(Thap!$J$16/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&gt;0,CEILING(Thap!$J$18/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&gt;0,CEILING(Thap!$J$18/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&gt;0,CEILING(Thap!$J$18/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&gt;0,CEILING(Thap!$J$18/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&gt;0,CEILING(Thap!$J$19/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&gt;0,CEILING(Thap!$J$19/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&gt;0,CEILING(Thap!$J$19/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&gt;0,CEILING(Thap!$J$19/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&gt;0,CEILING(Thap!$J$20/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&gt;0,CEILING(Thap!$J$20/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&gt;0,CEILING(Thap!$J$20/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&gt;0,CEILING(Thap!$J$20/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&gt;0,CEILING(Thap!$J$21/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&gt;0,CEILING(Thap!$J$21/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&gt;0,CEILING(Thap!$J$21/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&gt;0,CEILING(Thap!$J$21/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&gt;0,CEILING(Thap!$J$23/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&gt;0,CEILING(Thap!$J$23/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&gt;0,CEILING(Thap!$J$23/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&gt;0,CEILING(Thap!$J$23/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&gt;0,CEILING(Thap!$J$24/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&gt;0,CEILING(Thap!$J$24/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&gt;0,CEILING(Thap!$J$24/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&gt;0,CEILING(Thap!$J$24/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&gt;0,CEILING(Thap!$J$25/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&gt;0,CEILING(Thap!$J$25/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&gt;0,CEILING(Thap!$J$25/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&gt;0,CEILING(Thap!$J$25/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&gt;0,CEILING(Thap!$J$28/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&gt;0,CEILING(Thap!$J$28/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&gt;0,CEILING(Thap!$J$28/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&gt;0,CEILING(Thap!$J$28/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&gt;0,CEILING(Thap!$J$29/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&gt;0,CEILING(Thap!$J$29/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&gt;0,CEILING(Thap!$J$29/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&gt;0,CEILING(Thap!$J$29/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&gt;0,CEILING(Thap!$J$30/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&gt;0,CEILING(Thap!$J$30/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&gt;0,CEILING(Thap!$J$30/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&gt;0,CEILING(Thap!$J$30/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&gt;0,CEILING(Thap!$J$31/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&gt;0,CEILING(Thap!$J$31/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&gt;0,CEILING(Thap!$J$31/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&gt;0,CEILING(Thap!$J$31/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&gt;0,CEILING(Thap!$J$32/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&gt;0,CEILING(Thap!$J$32/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&gt;0,CEILING(Thap!$J$32/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&gt;0,CEILING(Thap!$J$32/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&gt;0,CEILING(Thap!$J$33/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&gt;0,CEILING(Thap!$J$33/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&gt;0,CEILING(Thap!$J$33/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&gt;0,CEILING(Thap!$J$33/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&gt;0,CEILING(Thap!$J$34/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&gt;0,CEILING(Thap!$J$34/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&gt;0,CEILING(Thap!$J$34/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&gt;0,CEILING(Thap!$J$34/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&gt;0,CEILING(Thap!$J$35/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&gt;0,CEILING(Thap!$J$35/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&gt;0,CEILING(Thap!$J$35/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&gt;0,CEILING(Thap!$J$35/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&gt;0,CEILING(Thap!$J$36/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&gt;0,CEILING(Thap!$J$36/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&gt;0,CEILING(Thap!$J$36/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&gt;0,CEILING(Thap!$J$36/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&gt;0,CEILING(Thap!$J$37/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&gt;0,CEILING(Thap!$J$37/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&gt;0,CEILING(Thap!$J$37/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&gt;0,CEILING(Thap!$J$37/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&gt;0,CEILING(Thap!$J$38/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&gt;0,CEILING(Thap!$J$38/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&gt;0,CEILING(Thap!$J$38/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&gt;0,CEILING(Thap!$J$38/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&gt;0,CEILING(Thap!$J$40/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&gt;0,CEILING(Thap!$J$40/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&gt;0,CEILING(Thap!$J$40/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&gt;0,CEILING(Thap!$J$40/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&gt;0,CEILING(Thap!$J$41/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&gt;0,CEILING(Thap!$J$41/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&gt;0,CEILING(Thap!$J$41/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&gt;0,CEILING(Thap!$J$41/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&gt;0,CEILING(Thap!$J$42/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&gt;0,CEILING(Thap!$J$42/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&gt;0,CEILING(Thap!$J$42/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&gt;0,CEILING(Thap!$J$42/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&gt;0,CEILING(Thap!$J$43/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&gt;0,CEILING(Thap!$J$43/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&gt;0,CEILING(Thap!$J$43/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&gt;0,CEILING(Thap!$J$43/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&gt;0,CEILING(Thap!$J$44/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&gt;0,CEILING(Thap!$J$44/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&gt;0,CEILING(Thap!$J$44/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&gt;0,CEILING(Thap!$J$44/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&gt;0,CEILING(Thap!$J$45/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&gt;0,CEILING(Thap!$J$45/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&gt;0,CEILING(Thap!$J$45/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&gt;0,CEILING(Thap!$J$45/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&gt;0,CEILING(Thap!$J$48/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&gt;0,CEILING(Thap!$J$48/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&gt;0,CEILING(Thap!$J$48/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&gt;0,CEILING(Thap!$J$48/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&gt;0,CEILING(Thap!$J$49/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&gt;0,CEILING(Thap!$J$49/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&gt;0,CEILING(Thap!$J$49/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&gt;0,CEILING(Thap!$J$49/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&gt;0,CEILING(Thap!$J$50/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&gt;0,CEILING(Thap!$J$50/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&gt;0,CEILING(Thap!$J$50/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&gt;0,CEILING(Thap!$J$50/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&gt;0,CEILING(Thap!$J$51/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&gt;0,CEILING(Thap!$J$51/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&gt;0,CEILING(Thap!$J$51/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&gt;0,CEILING(Thap!$J$51/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&gt;0,CEILING(Thap!$J$52/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&gt;0,CEILING(Thap!$J$52/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&gt;0,CEILING(Thap!$J$52/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&gt;0,CEILING(Thap!$J$52/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&gt;0,CEILING(Thap!$J$53/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&gt;0,CEILING(Thap!$J$53/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&gt;0,CEILING(Thap!$J$53/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&gt;0,CEILING(Thap!$J$53/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&gt;0,CEILING(Thap!$J$57/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&gt;0,CEILING(Thap!$J$57/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&gt;0,CEILING(Thap!$J$57/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&gt;0,CEILING(Thap!$J$57/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2.778157694147336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3.448747482389797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4.023538729454764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4.694128517697224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5.268919764762191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3.992535323913624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4.990669154892029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5.739269528125835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6.73740335910424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7.735537190082646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4.420007143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3.9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2.88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5.55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5.55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6.67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TC0124</t>
        </is>
      </c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TC0125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5.209997143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0.607833</v>
      </c>
      <c r="C2" t="inlineStr">
        <is>
          <t>ok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0.206267</v>
      </c>
      <c r="C9" t="inlineStr">
        <is>
          <t>NHANH_QUA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0.259</v>
      </c>
      <c r="C10" t="inlineStr">
        <is>
          <t>NHANH_QUA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0.259</v>
      </c>
      <c r="C11" t="inlineStr">
        <is>
          <t>NHANH_QUA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0.4669</v>
      </c>
      <c r="C20" t="inlineStr">
        <is>
          <t>NHANH_QUA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0.2688</v>
      </c>
      <c r="C28" t="inlineStr">
        <is>
          <t>NHANH_QUA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0.364</v>
      </c>
      <c r="C29" t="inlineStr">
        <is>
          <t>NHANH_QUA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