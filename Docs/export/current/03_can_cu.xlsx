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Thap_gia_cong_thuc" sheetId="19" state="visible" r:id="rId19"/>
    <sheet name="Tuong_duong_xe_cong_trinh" sheetId="20" state="visible" r:id="rId20"/>
    <sheet name="Nha_chinh_so_sanh" sheetId="21" state="visible" r:id="rId21"/>
    <sheet name="Can_cu_AI_cap" sheetId="22" state="visible" r:id="rId22"/>
    <sheet name="Can_cu_tham_chieu" sheetId="23" state="visible" r:id="rId23"/>
    <sheet name="Can_cu_so_sanh_that" sheetId="24" state="visible" r:id="rId24"/>
    <sheet name="cc_input_nhip_that" sheetId="25" state="visible" r:id="rId25"/>
    <sheet name="cc_input_ty_le_nhip" sheetId="26" state="visible" r:id="rId26"/>
    <sheet name="Anh_can_cu" sheetId="27" state="visible" r:id="rId27"/>
    <sheet name="Anh_can_cu_vien" sheetId="28" state="visible" r:id="rId28"/>
    <sheet name="Anh_can_cu_mui_ten" sheetId="29" state="visible" r:id="rId29"/>
    <sheet name="Hang_so_can_cu" sheetId="30" state="visible" r:id="rId30"/>
  </sheets>
  <definedNames>
    <definedName name="_xlnm._FilterDatabase" localSheetId="0" hidden="1">'Thap'!$A$1:$EW$77</definedName>
    <definedName name="_xlnm._FilterDatabase" localSheetId="1" hidden="1">'Thap_vu_khi'!$A$1:$H$4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'Nha_chinh_kieu'!$A$1:$N$4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'Mo_dun_tien_ich'!$A$1:$CW$10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'Can_cu_AI_kieu'!$A$1:$F$113</definedName>
    <definedName name="_xlnm._FilterDatabase" localSheetId="15" hidden="1">'cc_input_vu_khi'!$A$1:$E$12</definedName>
    <definedName name="_xlnm._FilterDatabase" localSheetId="16" hidden="1">'cc_input_vu_khi_suy_ra'!$A$1:$F$12</definedName>
    <definedName name="_xlnm._FilterDatabase" localSheetId="17" hidden="1">'cc_input_bang_xuyen_giap'!$A$1:$D$7</definedName>
    <definedName name="_xlnm._FilterDatabase" localSheetId="18" hidden="1">'Thap_gia_cong_thuc'!$A$1:$V$61</definedName>
    <definedName name="_xlnm._FilterDatabase" localSheetId="19" hidden="1">'Tuong_duong_xe_cong_trinh'!$A$1:$M$61</definedName>
    <definedName name="_xlnm._FilterDatabase" localSheetId="20" hidden="1">'Nha_chinh_so_sanh'!$A$1:$M$21</definedName>
    <definedName name="_xlnm._FilterDatabase" localSheetId="21" hidden="1">'Can_cu_AI_cap'!$A$1:$H$5</definedName>
    <definedName name="_xlnm._FilterDatabase" localSheetId="22" hidden="1">'Can_cu_tham_chieu'!$A$1:$AH$97</definedName>
    <definedName name="_xlnm._FilterDatabase" localSheetId="23" hidden="1">'Can_cu_so_sanh_that'!$A$1:$R$38</definedName>
    <definedName name="_xlnm._FilterDatabase" localSheetId="24" hidden="1">'cc_input_nhip_that'!$A$1:$F$36</definedName>
    <definedName name="_xlnm._FilterDatabase" localSheetId="25" hidden="1">'cc_input_ty_le_nhip'!$A$1:$E$36</definedName>
    <definedName name="_xlnm._FilterDatabase" localSheetId="26" hidden="1">'Anh_can_cu'!$A$1:$X$21</definedName>
    <definedName name="_xlnm._FilterDatabase" localSheetId="27" hidden="1">'Anh_can_cu_vien'!$A$1:$G$143</definedName>
    <definedName name="_xlnm._FilterDatabase" localSheetId="28" hidden="1">'Anh_can_cu_mui_ten'!$A$1:$J$53</definedName>
    <definedName name="_xlnm._FilterDatabase" localSheetId="29" hidden="1">'Hang_so_can_cu'!$A$1:$K$3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35" customWidth="1" min="3" max="3"/>
    <col width="16" customWidth="1" min="4" max="4"/>
    <col width="8" customWidth="1" min="5" max="5"/>
    <col width="8" customWidth="1" min="6" max="6"/>
    <col width="2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18" customWidth="1" min="31" max="31"/>
    <col width="9" customWidth="1" min="32" max="32"/>
    <col width="8" customWidth="1" min="33" max="33"/>
    <col width="14" customWidth="1" min="34" max="34"/>
    <col width="13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22" customWidth="1" min="60" max="60"/>
    <col width="11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9" customWidth="1" min="69" max="69"/>
    <col width="24" customWidth="1" min="70" max="70"/>
    <col width="17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24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22" customWidth="1" min="83" max="83"/>
    <col width="54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17" customWidth="1" min="94" max="94"/>
    <col width="9" customWidth="1" min="95" max="95"/>
    <col width="15" customWidth="1" min="96" max="96"/>
    <col width="17" customWidth="1" min="97" max="97"/>
    <col width="20" customWidth="1" min="98" max="98"/>
    <col width="11" customWidth="1" min="99" max="99"/>
    <col width="8" customWidth="1" min="100" max="100"/>
    <col width="22" customWidth="1" min="101" max="101"/>
    <col width="8" customWidth="1" min="102" max="102"/>
    <col width="10" customWidth="1" min="103" max="103"/>
    <col width="10" customWidth="1" min="104" max="104"/>
    <col width="11" customWidth="1" min="105" max="105"/>
    <col width="14" customWidth="1" min="106" max="106"/>
    <col width="18" customWidth="1" min="107" max="107"/>
    <col width="11" customWidth="1" min="108" max="108"/>
    <col width="16" customWidth="1" min="109" max="109"/>
    <col width="14" customWidth="1" min="110" max="110"/>
    <col width="12" customWidth="1" min="111" max="111"/>
    <col width="15" customWidth="1" min="112" max="112"/>
    <col width="24" customWidth="1" min="113" max="113"/>
    <col width="21" customWidth="1" min="114" max="114"/>
    <col width="21" customWidth="1" min="115" max="115"/>
    <col width="20" customWidth="1" min="116" max="116"/>
    <col width="12" customWidth="1" min="117" max="117"/>
    <col width="11" customWidth="1" min="118" max="118"/>
    <col width="10" customWidth="1" min="119" max="119"/>
    <col width="22" customWidth="1" min="120" max="120"/>
    <col width="10" customWidth="1" min="121" max="121"/>
    <col width="10" customWidth="1" min="122" max="122"/>
    <col width="12" customWidth="1" min="123" max="123"/>
    <col width="14" customWidth="1" min="124" max="124"/>
    <col width="13" customWidth="1" min="125" max="125"/>
    <col width="14" customWidth="1" min="126" max="126"/>
    <col width="12" customWidth="1" min="127" max="127"/>
    <col width="16" customWidth="1" min="128" max="128"/>
    <col width="8" customWidth="1" min="129" max="129"/>
    <col width="20" customWidth="1" min="130" max="130"/>
    <col width="22" customWidth="1" min="131" max="131"/>
    <col width="11" customWidth="1" min="132" max="132"/>
    <col width="13" customWidth="1" min="133" max="133"/>
    <col width="18" customWidth="1" min="134" max="134"/>
    <col width="20" customWidth="1" min="135" max="135"/>
    <col width="17" customWidth="1" min="136" max="136"/>
    <col width="11" customWidth="1" min="137" max="137"/>
    <col width="8" customWidth="1" min="138" max="138"/>
    <col width="27" customWidth="1" min="139" max="139"/>
    <col width="26" customWidth="1" min="140" max="140"/>
    <col width="27" customWidth="1" min="141" max="141"/>
    <col width="17" customWidth="1" min="142" max="142"/>
    <col width="16" customWidth="1" min="143" max="143"/>
    <col width="24" customWidth="1" min="144" max="144"/>
    <col width="14" customWidth="1" min="145" max="145"/>
    <col width="10" customWidth="1" min="146" max="146"/>
    <col width="10" customWidth="1" min="147" max="147"/>
    <col width="16" customWidth="1" min="148" max="148"/>
    <col width="18" customWidth="1" min="149" max="149"/>
    <col width="23" customWidth="1" min="150" max="150"/>
    <col width="9" customWidth="1" min="151" max="151"/>
    <col width="60" customWidth="1" min="152" max="152"/>
    <col width="60" customWidth="1" min="153" max="153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decoy_mimic</t>
        </is>
      </c>
      <c r="CQ1" s="1" t="inlineStr">
        <is>
          <t>dome_hp</t>
        </is>
      </c>
      <c r="CR1" s="1" t="inlineStr">
        <is>
          <t>dome_radius_m</t>
        </is>
      </c>
      <c r="CS1" s="1" t="inlineStr">
        <is>
          <t>dome_recharge_s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hp</t>
        </is>
      </c>
      <c r="CW1" s="1" t="inlineStr">
        <is>
          <t>inherits</t>
        </is>
      </c>
      <c r="CX1" s="1" t="inlineStr">
        <is>
          <t>jammer</t>
        </is>
      </c>
      <c r="CY1" s="1" t="inlineStr">
        <is>
          <t>length_m</t>
        </is>
      </c>
      <c r="CZ1" s="1" t="inlineStr">
        <is>
          <t>main_aim</t>
        </is>
      </c>
      <c r="DA1" s="1" t="inlineStr">
        <is>
          <t>main_slot</t>
        </is>
      </c>
      <c r="DB1" s="1" t="inlineStr">
        <is>
          <t>mines_damage</t>
        </is>
      </c>
      <c r="DC1" s="1" t="inlineStr">
        <is>
          <t>mines_interval_s</t>
        </is>
      </c>
      <c r="DD1" s="1" t="inlineStr">
        <is>
          <t>mines_max</t>
        </is>
      </c>
      <c r="DE1" s="1" t="inlineStr">
        <is>
          <t>mines_radius_m</t>
        </is>
      </c>
      <c r="DF1" s="1" t="inlineStr">
        <is>
          <t>mines_spread</t>
        </is>
      </c>
      <c r="DG1" s="1" t="inlineStr">
        <is>
          <t>mines_tier</t>
        </is>
      </c>
      <c r="DH1" s="1" t="inlineStr">
        <is>
          <t>mines_trigger</t>
        </is>
      </c>
      <c r="DI1" s="1" t="inlineStr">
        <is>
          <t>model</t>
        </is>
      </c>
      <c r="DJ1" s="1" t="inlineStr">
        <is>
          <t>model_size_height_m</t>
        </is>
      </c>
      <c r="DK1" s="1" t="inlineStr">
        <is>
          <t>model_size_length_m</t>
        </is>
      </c>
      <c r="DL1" s="1" t="inlineStr">
        <is>
          <t>model_size_width_m</t>
        </is>
      </c>
      <c r="DM1" s="1" t="inlineStr">
        <is>
          <t>naval_only</t>
        </is>
      </c>
      <c r="DN1" s="1" t="inlineStr">
        <is>
          <t>no_branch</t>
        </is>
      </c>
      <c r="DO1" s="1" t="inlineStr">
        <is>
          <t>obstacle</t>
        </is>
      </c>
      <c r="DP1" s="1" t="inlineStr">
        <is>
          <t>outgoing_damage_mult</t>
        </is>
      </c>
      <c r="DQ1" s="1" t="inlineStr">
        <is>
          <t>passable</t>
        </is>
      </c>
      <c r="DR1" s="1" t="inlineStr">
        <is>
          <t>radius_m</t>
        </is>
      </c>
      <c r="DS1" s="1" t="inlineStr">
        <is>
          <t>rebuild_cp</t>
        </is>
      </c>
      <c r="DT1" s="1" t="inlineStr">
        <is>
          <t>relay_income</t>
        </is>
      </c>
      <c r="DU1" s="1" t="inlineStr">
        <is>
          <t>relay_quiet</t>
        </is>
      </c>
      <c r="DV1" s="1" t="inlineStr">
        <is>
          <t>relay_second</t>
        </is>
      </c>
      <c r="DW1" s="1" t="inlineStr">
        <is>
          <t>reveal_air</t>
        </is>
      </c>
      <c r="DX1" s="1" t="inlineStr">
        <is>
          <t>reveal_stealth</t>
        </is>
      </c>
      <c r="DY1" s="1" t="inlineStr">
        <is>
          <t>scale</t>
        </is>
      </c>
      <c r="DZ1" s="1" t="inlineStr">
        <is>
          <t>searchlight_dazzle</t>
        </is>
      </c>
      <c r="EA1" s="1" t="inlineStr">
        <is>
          <t>searchlight_radius_m</t>
        </is>
      </c>
      <c r="EB1" s="1" t="inlineStr">
        <is>
          <t>secondary</t>
        </is>
      </c>
      <c r="EC1" s="1" t="inlineStr">
        <is>
          <t>shelter_cut</t>
        </is>
      </c>
      <c r="ED1" s="1" t="inlineStr">
        <is>
          <t>shelter_radius_m</t>
        </is>
      </c>
      <c r="EE1" s="1" t="inlineStr">
        <is>
          <t>slow_aura_radius_m</t>
        </is>
      </c>
      <c r="EF1" s="1" t="inlineStr">
        <is>
          <t>slow_aura_share</t>
        </is>
      </c>
      <c r="EG1" s="1" t="inlineStr">
        <is>
          <t>speed_m_s</t>
        </is>
      </c>
      <c r="EH1" s="1" t="inlineStr">
        <is>
          <t>static</t>
        </is>
      </c>
      <c r="EI1" s="1" t="inlineStr">
        <is>
          <t>tower_range_aura_radius_m</t>
        </is>
      </c>
      <c r="EJ1" s="1" t="inlineStr">
        <is>
          <t>tower_range_aura_range_m</t>
        </is>
      </c>
      <c r="EK1" s="1" t="inlineStr">
        <is>
          <t>tower_role</t>
        </is>
      </c>
      <c r="EL1" s="1" t="inlineStr">
        <is>
          <t>turn_rate_deg_s</t>
        </is>
      </c>
      <c r="EM1" s="1" t="inlineStr">
        <is>
          <t>turret_arc_deg</t>
        </is>
      </c>
      <c r="EN1" s="1" t="inlineStr">
        <is>
          <t>turret_turn_rate_deg_s</t>
        </is>
      </c>
      <c r="EO1" s="1" t="inlineStr">
        <is>
          <t>untargetable</t>
        </is>
      </c>
      <c r="EP1" s="1" t="inlineStr">
        <is>
          <t>vision_m</t>
        </is>
      </c>
      <c r="EQ1" s="1" t="inlineStr">
        <is>
          <t>wards_hp</t>
        </is>
      </c>
      <c r="ER1" s="1" t="inlineStr">
        <is>
          <t>wards_radius_m</t>
        </is>
      </c>
      <c r="ES1" s="1" t="inlineStr">
        <is>
          <t>wards_recharge_s</t>
        </is>
      </c>
      <c r="ET1" s="1" t="inlineStr">
        <is>
          <t>weapon</t>
        </is>
      </c>
      <c r="EU1" s="1" t="inlineStr">
        <is>
          <t>width_m</t>
        </is>
      </c>
      <c r="EV1" s="1" t="inlineStr">
        <is>
          <t>nguon</t>
        </is>
      </c>
      <c r="EW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Campaign</t>
        </is>
      </c>
      <c r="BR2" t="inlineStr">
        <is>
          <t>aa_gun_tower</t>
        </is>
      </c>
      <c r="BS2" t="inlineStr"/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CV2" t="n">
        <v>1273</v>
      </c>
      <c r="CY2" t="n">
        <v>5</v>
      </c>
      <c r="DJ2" t="n">
        <v>3.2</v>
      </c>
      <c r="DK2" t="n">
        <v>5.5</v>
      </c>
      <c r="DL2" t="n">
        <v>5.5</v>
      </c>
      <c r="DR2" t="n">
        <v>2.4</v>
      </c>
      <c r="EB2" t="inlineStr"/>
      <c r="EG2" t="n">
        <v>0</v>
      </c>
      <c r="EH2" t="b">
        <v>1</v>
      </c>
      <c r="EL2" t="n">
        <v>1</v>
      </c>
      <c r="EN2" t="n">
        <v>120</v>
      </c>
      <c r="EP2" t="n">
        <v>56</v>
      </c>
      <c r="ET2" t="inlineStr">
        <is>
          <t>bofors_l70</t>
        </is>
      </c>
      <c r="EU2" t="n">
        <v>5</v>
      </c>
      <c r="EV2" t="inlineStr">
        <is>
          <t>Assets/MachineBrigade/Resources/Data/balance.json: vehicles[168]</t>
        </is>
      </c>
      <c r="EW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Starter</t>
        </is>
      </c>
      <c r="BR3" t="inlineStr">
        <is>
          <t>aa_turret</t>
        </is>
      </c>
      <c r="BS3" t="inlineStr"/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CV3" t="n">
        <v>1100</v>
      </c>
      <c r="CY3" t="n">
        <v>4.5</v>
      </c>
      <c r="DP3" t="n">
        <v>1</v>
      </c>
      <c r="DR3" t="n">
        <v>2.3</v>
      </c>
      <c r="DS3" t="n">
        <v>6</v>
      </c>
      <c r="EG3" t="n">
        <v>0</v>
      </c>
      <c r="EH3" t="b">
        <v>1</v>
      </c>
      <c r="EL3" t="n">
        <v>1</v>
      </c>
      <c r="EN3" t="n">
        <v>200</v>
      </c>
      <c r="EP3" t="n">
        <v>60</v>
      </c>
      <c r="ET3" t="inlineStr">
        <is>
          <t>tower_flak_30</t>
        </is>
      </c>
      <c r="EU3" t="n">
        <v>4.5</v>
      </c>
      <c r="EV3" t="inlineStr">
        <is>
          <t>Assets/MachineBrigade/Resources/Data/balance.json: vehicles[78]</t>
        </is>
      </c>
      <c r="EW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Campaign</t>
        </is>
      </c>
      <c r="BR4" t="inlineStr">
        <is>
          <t>aa_turret</t>
        </is>
      </c>
      <c r="BS4" t="inlineStr">
        <is>
          <t>giam_dps_giu_mau</t>
        </is>
      </c>
      <c r="BY4" t="inlineStr">
        <is>
          <t>aa_turret_a</t>
        </is>
      </c>
      <c r="CE4" t="inlineStr">
        <is>
          <t>aa_turret</t>
        </is>
      </c>
      <c r="CW4" t="inlineStr">
        <is>
          <t>aa_turret</t>
        </is>
      </c>
      <c r="DP4" t="n">
        <v>0.7869</v>
      </c>
      <c r="DS4" t="n">
        <v>6</v>
      </c>
      <c r="EB4" t="inlineStr"/>
      <c r="EK4" t="inlineStr">
        <is>
          <t>aa_gun_23_drones_helis</t>
        </is>
      </c>
      <c r="ET4" t="inlineStr">
        <is>
          <t>flak_quad</t>
        </is>
      </c>
      <c r="EV4" t="inlineStr">
        <is>
          <t>Assets/MachineBrigade/Resources/Data/balance.json: vehicles[118]</t>
        </is>
      </c>
      <c r="EW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Campaign</t>
        </is>
      </c>
      <c r="BR5" t="inlineStr">
        <is>
          <t>aa_turret</t>
        </is>
      </c>
      <c r="BS5" t="inlineStr"/>
      <c r="BY5" t="inlineStr">
        <is>
          <t>aa_turret_b</t>
        </is>
      </c>
      <c r="CE5" t="inlineStr">
        <is>
          <t>aa_turret</t>
        </is>
      </c>
      <c r="CW5" t="inlineStr">
        <is>
          <t>aa_turret</t>
        </is>
      </c>
      <c r="DA5" t="inlineStr">
        <is>
          <t>missile</t>
        </is>
      </c>
      <c r="DP5" t="n">
        <v>1</v>
      </c>
      <c r="DS5" t="n">
        <v>5</v>
      </c>
      <c r="EB5" t="inlineStr"/>
      <c r="EK5" t="inlineStr">
        <is>
          <t>aa_manpads_aircraft</t>
        </is>
      </c>
      <c r="EP5" t="n">
        <v>60</v>
      </c>
      <c r="ET5" t="inlineStr">
        <is>
          <t>stinger_post</t>
        </is>
      </c>
      <c r="EV5" t="inlineStr">
        <is>
          <t>Assets/MachineBrigade/Resources/Data/balance.json: vehicles[119]</t>
        </is>
      </c>
      <c r="EW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artillery_emplacement</t>
        </is>
      </c>
      <c r="B6" t="inlineStr">
        <is>
          <t>Artillery emplacement</t>
        </is>
      </c>
      <c r="C6" t="inlineStr">
        <is>
          <t>Trận địa pháo</t>
        </is>
      </c>
      <c r="D6" t="inlineStr">
        <is>
          <t>Trận địa pháo</t>
        </is>
      </c>
      <c r="E6" t="inlineStr"/>
      <c r="F6" t="inlineStr"/>
      <c r="G6" t="inlineStr"/>
      <c r="H6" t="n">
        <v>0</v>
      </c>
      <c r="I6" t="n">
        <v>1100</v>
      </c>
      <c r="J6" t="n">
        <v>2420</v>
      </c>
      <c r="K6" t="n">
        <v>1</v>
      </c>
      <c r="L6" t="n">
        <v>1</v>
      </c>
      <c r="M6" t="n">
        <v>1</v>
      </c>
      <c r="N6" t="n">
        <v>1</v>
      </c>
      <c r="O6" t="b">
        <v>1</v>
      </c>
      <c r="P6" t="n">
        <v>0</v>
      </c>
      <c r="Q6" t="n">
        <v>1</v>
      </c>
      <c r="R6" t="n">
        <v>30</v>
      </c>
      <c r="S6" t="n">
        <v>30</v>
      </c>
      <c r="T6" t="n">
        <v>3</v>
      </c>
      <c r="U6" t="n">
        <v>6.5</v>
      </c>
      <c r="V6" t="n">
        <v>6.5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howitzer_fixed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artillery_emplacement</t>
        </is>
      </c>
      <c r="AK6" t="inlineStr">
        <is>
          <t>giong</t>
        </is>
      </c>
      <c r="BH6" t="inlineStr"/>
      <c r="BI6" t="inlineStr"/>
      <c r="BJ6" t="inlineStr">
        <is>
          <t>Large</t>
        </is>
      </c>
      <c r="BK6" t="inlineStr"/>
      <c r="BL6" t="b">
        <v>1</v>
      </c>
      <c r="BM6" t="n">
        <v>12</v>
      </c>
      <c r="BN6" t="n">
        <v>12</v>
      </c>
      <c r="BO6" t="n">
        <v>60</v>
      </c>
      <c r="BP6" t="n">
        <v>5</v>
      </c>
      <c r="BQ6" t="inlineStr">
        <is>
          <t>Campaign</t>
        </is>
      </c>
      <c r="BR6" t="inlineStr">
        <is>
          <t>artillery_emplacement</t>
        </is>
      </c>
      <c r="BS6" t="inlineStr"/>
      <c r="BT6" t="n">
        <v>1</v>
      </c>
      <c r="CF6" t="inlineStr">
        <is>
          <t>artillery_emplacement.cb;artillery_emplacement.mortar</t>
        </is>
      </c>
      <c r="CK6" t="n">
        <v>0</v>
      </c>
      <c r="CL6" t="n">
        <v>150</v>
      </c>
      <c r="CM6" t="n">
        <v>0.4</v>
      </c>
      <c r="CN6" t="n">
        <v>9</v>
      </c>
      <c r="CO6" t="inlineStr">
        <is>
          <t>Huge</t>
        </is>
      </c>
      <c r="CU6" t="inlineStr">
        <is>
          <t>Large</t>
        </is>
      </c>
      <c r="CV6" t="n">
        <v>1100</v>
      </c>
      <c r="CY6" t="n">
        <v>6.5</v>
      </c>
      <c r="DR6" t="n">
        <v>3</v>
      </c>
      <c r="DS6" t="n">
        <v>12</v>
      </c>
      <c r="EB6" t="inlineStr"/>
      <c r="EG6" t="n">
        <v>0</v>
      </c>
      <c r="EH6" t="b">
        <v>1</v>
      </c>
      <c r="EL6" t="n">
        <v>1</v>
      </c>
      <c r="EN6" t="n">
        <v>30</v>
      </c>
      <c r="EP6" t="n">
        <v>30</v>
      </c>
      <c r="ET6" t="inlineStr">
        <is>
          <t>howitzer_fixed</t>
        </is>
      </c>
      <c r="EU6" t="n">
        <v>6.5</v>
      </c>
      <c r="EV6" t="inlineStr">
        <is>
          <t>Assets/MachineBrigade/Resources/Data/balance.json: vehicles[122]</t>
        </is>
      </c>
      <c r="EW6" t="inlineStr">
        <is>
          <t>{"id":"artillery_emplacement","rebuildCp":12,"branches":["artillery_emplacement.cb","artillery_emplacement.mortar"],"fort":{"size":"Large"},"static":true,"armour":1,"hp":1100,"speed":0,"turnRate":1,"turretTurnRate":30,"radius":3.0,"length":6.5,"width":6.5,"cp":0,"vision":30,"weapon":"howitzer_fixed","secondary":[],"deathExplosion":{"damage":150,"radius":9,"delay":0.4,"tier":"Huge"}}</t>
        </is>
      </c>
    </row>
    <row r="7">
      <c r="A7" t="inlineStr">
        <is>
          <t>artillery_emplacement.cb</t>
        </is>
      </c>
      <c r="B7" t="inlineStr"/>
      <c r="C7" t="inlineStr"/>
      <c r="D7" t="inlineStr">
        <is>
          <t>Phản pháo</t>
        </is>
      </c>
      <c r="E7" t="inlineStr"/>
      <c r="F7" t="inlineStr"/>
      <c r="G7" t="inlineStr">
        <is>
          <t>artillery_emplacement</t>
        </is>
      </c>
      <c r="H7" t="n">
        <v>0</v>
      </c>
      <c r="I7" t="n">
        <v>1100</v>
      </c>
      <c r="J7" t="n">
        <v>2420</v>
      </c>
      <c r="K7" t="n">
        <v>1</v>
      </c>
      <c r="L7" t="n">
        <v>1</v>
      </c>
      <c r="M7" t="n">
        <v>1</v>
      </c>
      <c r="N7" t="n">
        <v>1</v>
      </c>
      <c r="O7" t="b">
        <v>1</v>
      </c>
      <c r="P7" t="n">
        <v>0</v>
      </c>
      <c r="Q7" t="n">
        <v>1</v>
      </c>
      <c r="R7" t="n">
        <v>30</v>
      </c>
      <c r="S7" t="n">
        <v>30</v>
      </c>
      <c r="T7" t="n">
        <v>3</v>
      </c>
      <c r="U7" t="n">
        <v>6.5</v>
      </c>
      <c r="V7" t="n">
        <v>6.5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howitzer_cb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artillery_emplacement</t>
        </is>
      </c>
      <c r="AK7" t="inlineStr">
        <is>
          <t>giong</t>
        </is>
      </c>
      <c r="BH7" t="inlineStr">
        <is>
          <t>artillery_emplacement</t>
        </is>
      </c>
      <c r="BI7" t="inlineStr">
        <is>
          <t>cb</t>
        </is>
      </c>
      <c r="BJ7" t="inlineStr">
        <is>
          <t>Large</t>
        </is>
      </c>
      <c r="BK7" t="inlineStr">
        <is>
          <t>counter_battery</t>
        </is>
      </c>
      <c r="BL7" t="b">
        <v>0</v>
      </c>
      <c r="BM7" t="n">
        <v>12</v>
      </c>
      <c r="BN7" t="n">
        <v>12</v>
      </c>
      <c r="BO7" t="n">
        <v>60</v>
      </c>
      <c r="BP7" t="n">
        <v>5</v>
      </c>
      <c r="BQ7" t="inlineStr">
        <is>
          <t>Campaign</t>
        </is>
      </c>
      <c r="BR7" t="inlineStr">
        <is>
          <t>artillery_emplacement</t>
        </is>
      </c>
      <c r="BS7" t="inlineStr"/>
      <c r="BY7" t="inlineStr">
        <is>
          <t>artillery_emplacement_a</t>
        </is>
      </c>
      <c r="CE7" t="inlineStr">
        <is>
          <t>artillery_emplacement</t>
        </is>
      </c>
      <c r="CH7" t="n">
        <v>0.1</v>
      </c>
      <c r="CI7" t="n">
        <v>100</v>
      </c>
      <c r="CJ7" t="n">
        <v>6</v>
      </c>
      <c r="CW7" t="inlineStr">
        <is>
          <t>artillery_emplacement</t>
        </is>
      </c>
      <c r="DS7" t="n">
        <v>12</v>
      </c>
      <c r="EK7" t="inlineStr">
        <is>
          <t>counter_battery</t>
        </is>
      </c>
      <c r="ET7" t="inlineStr">
        <is>
          <t>howitzer_cb</t>
        </is>
      </c>
      <c r="EV7" t="inlineStr">
        <is>
          <t>Assets/MachineBrigade/Resources/Data/balance.json: vehicles[103]</t>
        </is>
      </c>
      <c r="EW7" t="inlineStr">
        <is>
          <t>{"id":"artillery_emplacement.cb","rebuildCp":12,"towerRole":"counter_battery","art":"artillery_emplacement_a","inherits":"artillery_emplacement","branchOf":"artillery_emplacement","weapon":"howitzer_cb","counterBattery":{"range":100,"seconds":6,"bonus":0.1}}</t>
        </is>
      </c>
    </row>
    <row r="8">
      <c r="A8" t="inlineStr">
        <is>
          <t>artillery_emplacement.mortar</t>
        </is>
      </c>
      <c r="B8" t="inlineStr"/>
      <c r="C8" t="inlineStr"/>
      <c r="D8" t="inlineStr">
        <is>
          <t>Cối nặng</t>
        </is>
      </c>
      <c r="E8" t="inlineStr"/>
      <c r="F8" t="inlineStr"/>
      <c r="G8" t="inlineStr">
        <is>
          <t>artillery_emplacement</t>
        </is>
      </c>
      <c r="H8" t="n">
        <v>0</v>
      </c>
      <c r="I8" t="n">
        <v>1100</v>
      </c>
      <c r="J8" t="n">
        <v>2420</v>
      </c>
      <c r="K8" t="n">
        <v>1</v>
      </c>
      <c r="L8" t="n">
        <v>1</v>
      </c>
      <c r="M8" t="n">
        <v>1</v>
      </c>
      <c r="N8" t="n">
        <v>1</v>
      </c>
      <c r="O8" t="b">
        <v>1</v>
      </c>
      <c r="P8" t="n">
        <v>0</v>
      </c>
      <c r="Q8" t="n">
        <v>1</v>
      </c>
      <c r="R8" t="n">
        <v>30</v>
      </c>
      <c r="S8" t="n">
        <v>30</v>
      </c>
      <c r="T8" t="n">
        <v>3</v>
      </c>
      <c r="U8" t="n">
        <v>6.5</v>
      </c>
      <c r="V8" t="n">
        <v>6.5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mortar_240_fixed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artillery_emplacement</t>
        </is>
      </c>
      <c r="AK8" t="inlineStr">
        <is>
          <t>giong</t>
        </is>
      </c>
      <c r="BH8" t="inlineStr">
        <is>
          <t>artillery_emplacement</t>
        </is>
      </c>
      <c r="BI8" t="inlineStr">
        <is>
          <t>mortar</t>
        </is>
      </c>
      <c r="BJ8" t="inlineStr">
        <is>
          <t>Large</t>
        </is>
      </c>
      <c r="BK8" t="inlineStr">
        <is>
          <t>mortar_lobbed</t>
        </is>
      </c>
      <c r="BL8" t="b">
        <v>0</v>
      </c>
      <c r="BM8" t="n">
        <v>12</v>
      </c>
      <c r="BN8" t="n">
        <v>12</v>
      </c>
      <c r="BO8" t="n">
        <v>60</v>
      </c>
      <c r="BP8" t="n">
        <v>5</v>
      </c>
      <c r="BQ8" t="inlineStr">
        <is>
          <t>Campaign</t>
        </is>
      </c>
      <c r="BR8" t="inlineStr">
        <is>
          <t>artillery_emplacement</t>
        </is>
      </c>
      <c r="BS8" t="inlineStr"/>
      <c r="BY8" t="inlineStr">
        <is>
          <t>artillery_emplacement_b</t>
        </is>
      </c>
      <c r="CE8" t="inlineStr">
        <is>
          <t>artillery_emplacement</t>
        </is>
      </c>
      <c r="CW8" t="inlineStr">
        <is>
          <t>artillery_emplacement</t>
        </is>
      </c>
      <c r="DS8" t="n">
        <v>12</v>
      </c>
      <c r="EK8" t="inlineStr">
        <is>
          <t>mortar_lobbed</t>
        </is>
      </c>
      <c r="ET8" t="inlineStr">
        <is>
          <t>mortar_240_fixed</t>
        </is>
      </c>
      <c r="EV8" t="inlineStr">
        <is>
          <t>Assets/MachineBrigade/Resources/Data/balance.json: vehicles[104]</t>
        </is>
      </c>
      <c r="EW8" t="inlineStr">
        <is>
          <t>{"id":"artillery_emplacement.mortar","rebuildCp":12,"towerRole":"mortar_lobbed","art":"artillery_emplacement_b","inherits":"artillery_emplacement","branchOf":"artillery_emplacement","weapon":"mortar_240_fixed"}</t>
        </is>
      </c>
    </row>
    <row r="9">
      <c r="A9" t="inlineStr">
        <is>
          <t>at_gun_emplacement</t>
        </is>
      </c>
      <c r="B9" t="inlineStr">
        <is>
          <t>Anti-tank gun emplacement</t>
        </is>
      </c>
      <c r="C9" t="inlineStr">
        <is>
          <t>Ụ pháo chống tăng</t>
        </is>
      </c>
      <c r="D9" t="inlineStr">
        <is>
          <t>Ụ chống tăng</t>
        </is>
      </c>
      <c r="E9" t="inlineStr"/>
      <c r="F9" t="inlineStr"/>
      <c r="G9" t="inlineStr"/>
      <c r="H9" t="n">
        <v>0</v>
      </c>
      <c r="I9" t="n">
        <v>682</v>
      </c>
      <c r="J9" t="n">
        <v>1500.4</v>
      </c>
      <c r="K9" t="n">
        <v>2</v>
      </c>
      <c r="L9" t="n">
        <v>1</v>
      </c>
      <c r="M9" t="n">
        <v>1</v>
      </c>
      <c r="N9" t="n">
        <v>1</v>
      </c>
      <c r="O9" t="b">
        <v>1</v>
      </c>
      <c r="P9" t="n">
        <v>0</v>
      </c>
      <c r="Q9" t="n">
        <v>1</v>
      </c>
      <c r="R9" t="n">
        <v>15</v>
      </c>
      <c r="S9" t="n">
        <v>40</v>
      </c>
      <c r="T9" t="n">
        <v>2</v>
      </c>
      <c r="U9" t="n">
        <v>4.2</v>
      </c>
      <c r="V9" t="n">
        <v>4.2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at_gun_100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at_gun_emplacement</t>
        </is>
      </c>
      <c r="AK9" t="inlineStr">
        <is>
          <t>giong</t>
        </is>
      </c>
      <c r="BH9" t="inlineStr"/>
      <c r="BI9" t="inlineStr"/>
      <c r="BJ9" t="inlineStr">
        <is>
          <t>Small</t>
        </is>
      </c>
      <c r="BK9" t="inlineStr"/>
      <c r="BL9" t="b">
        <v>1</v>
      </c>
      <c r="BM9" t="n">
        <v>4</v>
      </c>
      <c r="BN9" t="n">
        <v>4</v>
      </c>
      <c r="BO9" t="n">
        <v>25</v>
      </c>
      <c r="BP9" t="n">
        <v>2.5</v>
      </c>
      <c r="BQ9" t="inlineStr">
        <is>
          <t>Premium</t>
        </is>
      </c>
      <c r="BR9" t="inlineStr">
        <is>
          <t>at_gun_emplacement</t>
        </is>
      </c>
      <c r="BS9" t="inlineStr"/>
      <c r="BU9" t="n">
        <v>2</v>
      </c>
      <c r="BV9" t="n">
        <v>1</v>
      </c>
      <c r="BW9" t="n">
        <v>1</v>
      </c>
      <c r="BX9" t="n">
        <v>1</v>
      </c>
      <c r="CF9" t="inlineStr">
        <is>
          <t>at_gun_emplacement.long;at_gun_emplacement.recoilless</t>
        </is>
      </c>
      <c r="CK9" t="n">
        <v>0</v>
      </c>
      <c r="CL9" t="n">
        <v>70</v>
      </c>
      <c r="CM9" t="n">
        <v>0.3</v>
      </c>
      <c r="CN9" t="n">
        <v>6</v>
      </c>
      <c r="CO9" t="inlineStr">
        <is>
          <t>Large</t>
        </is>
      </c>
      <c r="CU9" t="inlineStr">
        <is>
          <t>Small</t>
        </is>
      </c>
      <c r="CV9" t="n">
        <v>682</v>
      </c>
      <c r="CY9" t="n">
        <v>4.2</v>
      </c>
      <c r="DJ9" t="n">
        <v>2</v>
      </c>
      <c r="DK9" t="n">
        <v>5.8</v>
      </c>
      <c r="DL9" t="n">
        <v>4.2</v>
      </c>
      <c r="DR9" t="n">
        <v>2</v>
      </c>
      <c r="DS9" t="n">
        <v>4</v>
      </c>
      <c r="EB9" t="inlineStr"/>
      <c r="EG9" t="n">
        <v>0</v>
      </c>
      <c r="EH9" t="b">
        <v>1</v>
      </c>
      <c r="EL9" t="n">
        <v>1</v>
      </c>
      <c r="EM9" t="n">
        <v>45</v>
      </c>
      <c r="EN9" t="n">
        <v>15</v>
      </c>
      <c r="EP9" t="n">
        <v>40</v>
      </c>
      <c r="ET9" t="inlineStr">
        <is>
          <t>at_gun_100</t>
        </is>
      </c>
      <c r="EU9" t="n">
        <v>4.2</v>
      </c>
      <c r="EV9" t="inlineStr">
        <is>
          <t>Assets/MachineBrigade/Resources/Data/balance.json: vehicles[135]</t>
        </is>
      </c>
      <c r="EW9" t="inlineStr">
        <is>
          <t>{"id":"at_gun_emplacement","rebuildCp":4,"branches":["at_gun_emplacement.long","at_gun_emplacement.recoilless"],"modelSize":[5.8,4.2,2.0],"fort":{"size":"Small"},"static":true,"armour":[2,1,1,1],"hp":682,"speed":0,"turnRate":1,"turretTurnRate":15,"turretArc":45,"radius":2.0,"length":4.2,"width":4.2,"cp":0,"vision":40,"weapon":"at_gun_100","secondary":[],"deathExplosion":{"damage":70,"radius":6,"delay":0.3,"tier":"Large"}}</t>
        </is>
      </c>
    </row>
    <row r="10">
      <c r="A10" t="inlineStr">
        <is>
          <t>at_gun_emplacement.long</t>
        </is>
      </c>
      <c r="B10" t="inlineStr"/>
      <c r="C10" t="inlineStr"/>
      <c r="D10" t="inlineStr">
        <is>
          <t>Pháo CT</t>
        </is>
      </c>
      <c r="E10" t="inlineStr"/>
      <c r="F10" t="inlineStr"/>
      <c r="G10" t="inlineStr">
        <is>
          <t>at_gun_emplacement</t>
        </is>
      </c>
      <c r="H10" t="n">
        <v>0</v>
      </c>
      <c r="I10" t="n">
        <v>682</v>
      </c>
      <c r="J10" t="n">
        <v>1500.4</v>
      </c>
      <c r="K10" t="n">
        <v>2</v>
      </c>
      <c r="L10" t="n">
        <v>1</v>
      </c>
      <c r="M10" t="n">
        <v>1</v>
      </c>
      <c r="N10" t="n">
        <v>1</v>
      </c>
      <c r="O10" t="b">
        <v>1</v>
      </c>
      <c r="P10" t="n">
        <v>0</v>
      </c>
      <c r="Q10" t="n">
        <v>1</v>
      </c>
      <c r="R10" t="n">
        <v>15</v>
      </c>
      <c r="S10" t="n">
        <v>40</v>
      </c>
      <c r="T10" t="n">
        <v>2</v>
      </c>
      <c r="U10" t="n">
        <v>4.2</v>
      </c>
      <c r="V10" t="n">
        <v>4.2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at_gun_100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at_gun_emplacement</t>
        </is>
      </c>
      <c r="AK10" t="inlineStr">
        <is>
          <t>moi</t>
        </is>
      </c>
      <c r="BH10" t="inlineStr">
        <is>
          <t>at_gun_emplacement</t>
        </is>
      </c>
      <c r="BI10" t="inlineStr">
        <is>
          <t>long</t>
        </is>
      </c>
      <c r="BJ10" t="inlineStr">
        <is>
          <t>Small</t>
        </is>
      </c>
      <c r="BK10" t="inlineStr">
        <is>
          <t>at_gun_long_narrow</t>
        </is>
      </c>
      <c r="BL10" t="b">
        <v>0</v>
      </c>
      <c r="BM10" t="n">
        <v>4</v>
      </c>
      <c r="BN10" t="n">
        <v>4</v>
      </c>
      <c r="BO10" t="n">
        <v>25</v>
      </c>
      <c r="BP10" t="n">
        <v>2.5</v>
      </c>
      <c r="BQ10" t="inlineStr">
        <is>
          <t>Campaign</t>
        </is>
      </c>
      <c r="BR10" t="inlineStr">
        <is>
          <t>at_gun_emplacement</t>
        </is>
      </c>
      <c r="BS10" t="inlineStr"/>
      <c r="CE10" t="inlineStr">
        <is>
          <t>at_gun_emplacement</t>
        </is>
      </c>
      <c r="CW10" t="inlineStr">
        <is>
          <t>at_gun_emplacement</t>
        </is>
      </c>
      <c r="DS10" t="n">
        <v>4</v>
      </c>
      <c r="EK10" t="inlineStr">
        <is>
          <t>at_gun_long_narrow</t>
        </is>
      </c>
      <c r="EV10" t="inlineStr">
        <is>
          <t>Assets/MachineBrigade/Resources/Data/balance.json: vehicles[136]</t>
        </is>
      </c>
      <c r="EW10" t="inlineStr">
        <is>
          <t>{"id":"at_gun_emplacement.long","rebuildCp":4,"inherits":"at_gun_emplacement","branchOf":"at_gun_emplacement","towerRole":"at_gun_long_narrow"}</t>
        </is>
      </c>
    </row>
    <row r="11">
      <c r="A11" t="inlineStr">
        <is>
          <t>at_gun_emplacement.recoilless</t>
        </is>
      </c>
      <c r="B11" t="inlineStr"/>
      <c r="C11" t="inlineStr"/>
      <c r="D11" t="inlineStr">
        <is>
          <t>SKZ</t>
        </is>
      </c>
      <c r="E11" t="inlineStr"/>
      <c r="F11" t="inlineStr"/>
      <c r="G11" t="inlineStr">
        <is>
          <t>recoilless_gun_tower</t>
        </is>
      </c>
      <c r="H11" t="n">
        <v>0</v>
      </c>
      <c r="I11" t="n">
        <v>545</v>
      </c>
      <c r="J11" t="n">
        <v>1199</v>
      </c>
      <c r="K11" t="n">
        <v>1</v>
      </c>
      <c r="L11" t="n">
        <v>1</v>
      </c>
      <c r="M11" t="n">
        <v>1</v>
      </c>
      <c r="N11" t="n">
        <v>1</v>
      </c>
      <c r="O11" t="b">
        <v>1</v>
      </c>
      <c r="P11" t="n">
        <v>0</v>
      </c>
      <c r="Q11" t="n">
        <v>1</v>
      </c>
      <c r="R11" t="n">
        <v>120</v>
      </c>
      <c r="S11" t="n">
        <v>32</v>
      </c>
      <c r="T11" t="n">
        <v>1.8</v>
      </c>
      <c r="U11" t="n">
        <v>3.5</v>
      </c>
      <c r="V11" t="n">
        <v>3.5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spg9_73mm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recoilless_gun_tower</t>
        </is>
      </c>
      <c r="AK11" t="inlineStr">
        <is>
          <t>moi</t>
        </is>
      </c>
      <c r="BH11" t="inlineStr">
        <is>
          <t>at_gun_emplacement</t>
        </is>
      </c>
      <c r="BI11" t="inlineStr">
        <is>
          <t>recoilless</t>
        </is>
      </c>
      <c r="BJ11" t="inlineStr">
        <is>
          <t>Small</t>
        </is>
      </c>
      <c r="BK11" t="inlineStr">
        <is>
          <t>at_recoilless_wide</t>
        </is>
      </c>
      <c r="BL11" t="b">
        <v>0</v>
      </c>
      <c r="BM11" t="n">
        <v>3</v>
      </c>
      <c r="BN11" t="n">
        <v>3</v>
      </c>
      <c r="BO11" t="n">
        <v>25</v>
      </c>
      <c r="BP11" t="n">
        <v>2.5</v>
      </c>
      <c r="BQ11" t="inlineStr">
        <is>
          <t>Campaign</t>
        </is>
      </c>
      <c r="BR11" t="inlineStr">
        <is>
          <t>at_gun_emplacement</t>
        </is>
      </c>
      <c r="BS11" t="inlineStr"/>
      <c r="CE11" t="inlineStr">
        <is>
          <t>at_gun_emplacement</t>
        </is>
      </c>
      <c r="CW11" t="inlineStr">
        <is>
          <t>recoilless_gun_tower</t>
        </is>
      </c>
      <c r="DS11" t="n">
        <v>3</v>
      </c>
      <c r="EK11" t="inlineStr">
        <is>
          <t>at_recoilless_wide</t>
        </is>
      </c>
      <c r="EV11" t="inlineStr">
        <is>
          <t>Assets/MachineBrigade/Resources/Data/balance.json: vehicles[137]</t>
        </is>
      </c>
      <c r="EW11" t="inlineStr">
        <is>
          <t>{"id":"at_gun_emplacement.recoilless","rebuildCp":3,"inherits":"recoilless_gun_tower","branchOf":"at_gun_emplacement","towerRole":"at_recoilless_wide"}</t>
        </is>
      </c>
    </row>
    <row r="12">
      <c r="A12" t="inlineStr">
        <is>
          <t>atgm_tower</t>
        </is>
      </c>
      <c r="B12" t="inlineStr">
        <is>
          <t>ATGM tower</t>
        </is>
      </c>
      <c r="C12" t="inlineStr">
        <is>
          <t>Tháp tên lửa chống tăng</t>
        </is>
      </c>
      <c r="D12" t="inlineStr">
        <is>
          <t>Tháp ATGM</t>
        </is>
      </c>
      <c r="E12" t="inlineStr"/>
      <c r="F12" t="inlineStr"/>
      <c r="G12" t="inlineStr"/>
      <c r="H12" t="n">
        <v>0</v>
      </c>
      <c r="I12" t="n">
        <v>900</v>
      </c>
      <c r="J12" t="n">
        <v>1980</v>
      </c>
      <c r="K12" t="n">
        <v>2</v>
      </c>
      <c r="L12" t="n">
        <v>2</v>
      </c>
      <c r="M12" t="n">
        <v>2</v>
      </c>
      <c r="N12" t="n">
        <v>2</v>
      </c>
      <c r="O12" t="b">
        <v>1</v>
      </c>
      <c r="P12" t="n">
        <v>0</v>
      </c>
      <c r="Q12" t="n">
        <v>1</v>
      </c>
      <c r="R12" t="n">
        <v>90</v>
      </c>
      <c r="S12" t="n">
        <v>55</v>
      </c>
      <c r="T12" t="n">
        <v>2.3</v>
      </c>
      <c r="U12" t="n">
        <v>4.8</v>
      </c>
      <c r="V12" t="n">
        <v>4.8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tower_kornet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atgm_tower</t>
        </is>
      </c>
      <c r="AK12" t="inlineStr">
        <is>
          <t>giong</t>
        </is>
      </c>
      <c r="BH12" t="inlineStr"/>
      <c r="BI12" t="inlineStr"/>
      <c r="BJ12" t="inlineStr">
        <is>
          <t>Medium</t>
        </is>
      </c>
      <c r="BK12" t="inlineStr"/>
      <c r="BL12" t="b">
        <v>1</v>
      </c>
      <c r="BM12" t="n">
        <v>7</v>
      </c>
      <c r="BN12" t="n">
        <v>7</v>
      </c>
      <c r="BO12" t="n">
        <v>40</v>
      </c>
      <c r="BP12" t="n">
        <v>3.5</v>
      </c>
      <c r="BQ12" t="inlineStr">
        <is>
          <t>Campaign</t>
        </is>
      </c>
      <c r="BR12" t="inlineStr">
        <is>
          <t>atgm_tower</t>
        </is>
      </c>
      <c r="BS12" t="inlineStr"/>
      <c r="BT12" t="n">
        <v>2</v>
      </c>
      <c r="CF12" t="inlineStr">
        <is>
          <t>atgm_tower.top;atgm_tower.multi</t>
        </is>
      </c>
      <c r="CK12" t="n">
        <v>0</v>
      </c>
      <c r="CL12" t="n">
        <v>90</v>
      </c>
      <c r="CM12" t="n">
        <v>0.3</v>
      </c>
      <c r="CN12" t="n">
        <v>6</v>
      </c>
      <c r="CO12" t="inlineStr">
        <is>
          <t>Large</t>
        </is>
      </c>
      <c r="CU12" t="inlineStr">
        <is>
          <t>Medium</t>
        </is>
      </c>
      <c r="CV12" t="n">
        <v>900</v>
      </c>
      <c r="CY12" t="n">
        <v>4.8</v>
      </c>
      <c r="DA12" t="inlineStr">
        <is>
          <t>missile</t>
        </is>
      </c>
      <c r="DR12" t="n">
        <v>2.3</v>
      </c>
      <c r="DS12" t="n">
        <v>7</v>
      </c>
      <c r="EG12" t="n">
        <v>0</v>
      </c>
      <c r="EH12" t="b">
        <v>1</v>
      </c>
      <c r="EL12" t="n">
        <v>1</v>
      </c>
      <c r="EN12" t="n">
        <v>90</v>
      </c>
      <c r="EP12" t="n">
        <v>55</v>
      </c>
      <c r="ET12" t="inlineStr">
        <is>
          <t>tower_kornet</t>
        </is>
      </c>
      <c r="EU12" t="n">
        <v>4.8</v>
      </c>
      <c r="EV12" t="inlineStr">
        <is>
          <t>Assets/MachineBrigade/Resources/Data/balance.json: vehicles[76]</t>
        </is>
      </c>
      <c r="EW12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13">
      <c r="A13" t="inlineStr">
        <is>
          <t>atgm_tower.multi</t>
        </is>
      </c>
      <c r="B13" t="inlineStr"/>
      <c r="C13" t="inlineStr"/>
      <c r="D13" t="inlineStr">
        <is>
          <t>Đa năng</t>
        </is>
      </c>
      <c r="E13" t="inlineStr"/>
      <c r="F13" t="inlineStr"/>
      <c r="G13" t="inlineStr">
        <is>
          <t>atgm_tower</t>
        </is>
      </c>
      <c r="H13" t="n">
        <v>0</v>
      </c>
      <c r="I13" t="n">
        <v>900</v>
      </c>
      <c r="J13" t="n">
        <v>1980</v>
      </c>
      <c r="K13" t="n">
        <v>2</v>
      </c>
      <c r="L13" t="n">
        <v>2</v>
      </c>
      <c r="M13" t="n">
        <v>2</v>
      </c>
      <c r="N13" t="n">
        <v>2</v>
      </c>
      <c r="O13" t="b">
        <v>1</v>
      </c>
      <c r="P13" t="n">
        <v>0</v>
      </c>
      <c r="Q13" t="n">
        <v>1</v>
      </c>
      <c r="R13" t="n">
        <v>90</v>
      </c>
      <c r="S13" t="n">
        <v>55</v>
      </c>
      <c r="T13" t="n">
        <v>2.3</v>
      </c>
      <c r="U13" t="n">
        <v>4.8</v>
      </c>
      <c r="V13" t="n">
        <v>4.8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kornet_multi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atgm_tower</t>
        </is>
      </c>
      <c r="AK13" t="inlineStr">
        <is>
          <t>giong</t>
        </is>
      </c>
      <c r="BH13" t="inlineStr">
        <is>
          <t>atgm_tower</t>
        </is>
      </c>
      <c r="BI13" t="inlineStr">
        <is>
          <t>multi</t>
        </is>
      </c>
      <c r="BJ13" t="inlineStr">
        <is>
          <t>Medium</t>
        </is>
      </c>
      <c r="BK13" t="inlineStr">
        <is>
          <t>atgm_multi</t>
        </is>
      </c>
      <c r="BL13" t="b">
        <v>0</v>
      </c>
      <c r="BM13" t="n">
        <v>6</v>
      </c>
      <c r="BN13" t="n">
        <v>6</v>
      </c>
      <c r="BO13" t="n">
        <v>40</v>
      </c>
      <c r="BP13" t="n">
        <v>3.5</v>
      </c>
      <c r="BQ13" t="inlineStr">
        <is>
          <t>Campaign</t>
        </is>
      </c>
      <c r="BR13" t="inlineStr">
        <is>
          <t>atgm_tower</t>
        </is>
      </c>
      <c r="BS13" t="inlineStr"/>
      <c r="BY13" t="inlineStr">
        <is>
          <t>atgm_tower_b</t>
        </is>
      </c>
      <c r="CE13" t="inlineStr">
        <is>
          <t>atgm_tower</t>
        </is>
      </c>
      <c r="CW13" t="inlineStr">
        <is>
          <t>atgm_tower</t>
        </is>
      </c>
      <c r="DS13" t="n">
        <v>6</v>
      </c>
      <c r="EK13" t="inlineStr">
        <is>
          <t>atgm_multi</t>
        </is>
      </c>
      <c r="ET13" t="inlineStr">
        <is>
          <t>kornet_multi</t>
        </is>
      </c>
      <c r="EV13" t="inlineStr">
        <is>
          <t>Assets/MachineBrigade/Resources/Data/balance.json: vehicles[98]</t>
        </is>
      </c>
      <c r="EW13" t="inlineStr">
        <is>
          <t>{"id":"atgm_tower.multi","rebuildCp":6,"towerRole":"atgm_multi","art":"atgm_tower_b","inherits":"atgm_tower","branchOf":"atgm_tower","weapon":"kornet_multi"}</t>
        </is>
      </c>
    </row>
    <row r="14">
      <c r="A14" t="inlineStr">
        <is>
          <t>atgm_tower.top</t>
        </is>
      </c>
      <c r="B14" t="inlineStr"/>
      <c r="C14" t="inlineStr"/>
      <c r="D14" t="inlineStr">
        <is>
          <t>Đánh từ trên</t>
        </is>
      </c>
      <c r="E14" t="inlineStr"/>
      <c r="F14" t="inlineStr"/>
      <c r="G14" t="inlineStr">
        <is>
          <t>atgm_tower</t>
        </is>
      </c>
      <c r="H14" t="n">
        <v>0</v>
      </c>
      <c r="I14" t="n">
        <v>900</v>
      </c>
      <c r="J14" t="n">
        <v>1980</v>
      </c>
      <c r="K14" t="n">
        <v>2</v>
      </c>
      <c r="L14" t="n">
        <v>2</v>
      </c>
      <c r="M14" t="n">
        <v>2</v>
      </c>
      <c r="N14" t="n">
        <v>2</v>
      </c>
      <c r="O14" t="b">
        <v>1</v>
      </c>
      <c r="P14" t="n">
        <v>0</v>
      </c>
      <c r="Q14" t="n">
        <v>1</v>
      </c>
      <c r="R14" t="n">
        <v>90</v>
      </c>
      <c r="S14" t="n">
        <v>55</v>
      </c>
      <c r="T14" t="n">
        <v>2.3</v>
      </c>
      <c r="U14" t="n">
        <v>4.8</v>
      </c>
      <c r="V14" t="n">
        <v>4.8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kornet_top</t>
        </is>
      </c>
      <c r="AE14" t="inlineStr"/>
      <c r="AF14" t="inlineStr"/>
      <c r="AG14" t="inlineStr">
        <is>
          <t>none</t>
        </is>
      </c>
      <c r="AH14" t="inlineStr"/>
      <c r="AI14" t="inlineStr"/>
      <c r="AJ14" t="inlineStr">
        <is>
          <t>atgm_tower</t>
        </is>
      </c>
      <c r="AK14" t="inlineStr">
        <is>
          <t>giong</t>
        </is>
      </c>
      <c r="BH14" t="inlineStr">
        <is>
          <t>atgm_tower</t>
        </is>
      </c>
      <c r="BI14" t="inlineStr">
        <is>
          <t>top</t>
        </is>
      </c>
      <c r="BJ14" t="inlineStr">
        <is>
          <t>Medium</t>
        </is>
      </c>
      <c r="BK14" t="inlineStr">
        <is>
          <t>atgm_top_attack</t>
        </is>
      </c>
      <c r="BL14" t="b">
        <v>0</v>
      </c>
      <c r="BM14" t="n">
        <v>7</v>
      </c>
      <c r="BN14" t="n">
        <v>7</v>
      </c>
      <c r="BO14" t="n">
        <v>40</v>
      </c>
      <c r="BP14" t="n">
        <v>3.5</v>
      </c>
      <c r="BQ14" t="inlineStr">
        <is>
          <t>Campaign</t>
        </is>
      </c>
      <c r="BR14" t="inlineStr">
        <is>
          <t>atgm_tower</t>
        </is>
      </c>
      <c r="BS14" t="inlineStr"/>
      <c r="BY14" t="inlineStr">
        <is>
          <t>atgm_tower_a</t>
        </is>
      </c>
      <c r="CE14" t="inlineStr">
        <is>
          <t>atgm_tower</t>
        </is>
      </c>
      <c r="CW14" t="inlineStr">
        <is>
          <t>atgm_tower</t>
        </is>
      </c>
      <c r="DS14" t="n">
        <v>7</v>
      </c>
      <c r="EK14" t="inlineStr">
        <is>
          <t>atgm_top_attack</t>
        </is>
      </c>
      <c r="ET14" t="inlineStr">
        <is>
          <t>kornet_top</t>
        </is>
      </c>
      <c r="EV14" t="inlineStr">
        <is>
          <t>Assets/MachineBrigade/Resources/Data/balance.json: vehicles[97]</t>
        </is>
      </c>
      <c r="EW14" t="inlineStr">
        <is>
          <t>{"id":"atgm_tower.top","rebuildCp":7,"towerRole":"atgm_top_attack","art":"atgm_tower_a","inherits":"atgm_tower","branchOf":"atgm_tower","weapon":"kornet_top"}</t>
        </is>
      </c>
    </row>
    <row r="15">
      <c r="A15" t="inlineStr">
        <is>
          <t>barrage_balloon</t>
        </is>
      </c>
      <c r="B15" t="inlineStr">
        <is>
          <t>Radar aerostat (JLENS)</t>
        </is>
      </c>
      <c r="C15" t="inlineStr">
        <is>
          <t>Khí cầu neo radar (JLENS)</t>
        </is>
      </c>
      <c r="D15" t="inlineStr">
        <is>
          <t>Khí cầu radar</t>
        </is>
      </c>
      <c r="E15" t="inlineStr"/>
      <c r="F15" t="inlineStr"/>
      <c r="G15" t="inlineStr"/>
      <c r="H15" t="n">
        <v>0</v>
      </c>
      <c r="I15" t="n">
        <v>364</v>
      </c>
      <c r="J15" t="n">
        <v>800.8</v>
      </c>
      <c r="K15" t="n">
        <v>0</v>
      </c>
      <c r="L15" t="n">
        <v>0</v>
      </c>
      <c r="M15" t="n">
        <v>0</v>
      </c>
      <c r="N15" t="n">
        <v>0</v>
      </c>
      <c r="O15" t="b">
        <v>1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4</v>
      </c>
      <c r="V15" t="n">
        <v>4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none</t>
        </is>
      </c>
      <c r="AE15" t="inlineStr"/>
      <c r="AF15" t="inlineStr"/>
      <c r="AG15" t="inlineStr">
        <is>
          <t>none</t>
        </is>
      </c>
      <c r="AH15" t="inlineStr"/>
      <c r="AI15" t="inlineStr"/>
      <c r="AJ15" t="inlineStr">
        <is>
          <t>barrage_balloon</t>
        </is>
      </c>
      <c r="AK15" t="inlineStr">
        <is>
          <t>giong</t>
        </is>
      </c>
      <c r="BH15" t="inlineStr"/>
      <c r="BI15" t="inlineStr"/>
      <c r="BJ15" t="inlineStr">
        <is>
          <t>Small</t>
        </is>
      </c>
      <c r="BK15" t="inlineStr"/>
      <c r="BL15" t="b">
        <v>0</v>
      </c>
      <c r="BM15" t="n">
        <v>2</v>
      </c>
      <c r="BN15" t="n">
        <v>2</v>
      </c>
      <c r="BO15" t="n">
        <v>25</v>
      </c>
      <c r="BP15" t="n">
        <v>2.5</v>
      </c>
      <c r="BQ15" t="inlineStr">
        <is>
          <t>Campaign</t>
        </is>
      </c>
      <c r="BR15" t="inlineStr">
        <is>
          <t>barrage_balloon</t>
        </is>
      </c>
      <c r="BS15" t="inlineStr"/>
      <c r="BT15" t="n">
        <v>0</v>
      </c>
      <c r="BZ15" t="n">
        <v>40</v>
      </c>
      <c r="CA15" t="n">
        <v>0.5</v>
      </c>
      <c r="CK15" t="n">
        <v>0</v>
      </c>
      <c r="CU15" t="inlineStr">
        <is>
          <t>Small</t>
        </is>
      </c>
      <c r="CV15" t="n">
        <v>364</v>
      </c>
      <c r="CY15" t="n">
        <v>4</v>
      </c>
      <c r="DJ15" t="n">
        <v>16</v>
      </c>
      <c r="DK15" t="n">
        <v>9</v>
      </c>
      <c r="DL15" t="n">
        <v>4</v>
      </c>
      <c r="DR15" t="n">
        <v>2</v>
      </c>
      <c r="DW15" t="n">
        <v>45</v>
      </c>
      <c r="EG15" t="n">
        <v>0</v>
      </c>
      <c r="EH15" t="b">
        <v>1</v>
      </c>
      <c r="EL15" t="n">
        <v>1</v>
      </c>
      <c r="EN15" t="n">
        <v>1</v>
      </c>
      <c r="EP15" t="n">
        <v>1</v>
      </c>
      <c r="ET15" t="inlineStr">
        <is>
          <t>none</t>
        </is>
      </c>
      <c r="EU15" t="n">
        <v>4</v>
      </c>
      <c r="EV15" t="inlineStr">
        <is>
          <t>Assets/MachineBrigade/Resources/Data/balance.json: vehicles[157]</t>
        </is>
      </c>
      <c r="EW15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6">
      <c r="A16" t="inlineStr">
        <is>
          <t>blast_wall</t>
        </is>
      </c>
      <c r="B16" t="inlineStr">
        <is>
          <t>Gabion blast wall</t>
        </is>
      </c>
      <c r="C16" t="inlineStr">
        <is>
          <t>Tường chắn đạn</t>
        </is>
      </c>
      <c r="D16" t="inlineStr">
        <is>
          <t>Tường chắn đạn</t>
        </is>
      </c>
      <c r="E16" t="inlineStr"/>
      <c r="F16" t="inlineStr"/>
      <c r="G16" t="inlineStr"/>
      <c r="H16" t="n">
        <v>0</v>
      </c>
      <c r="I16" t="n">
        <v>1364</v>
      </c>
      <c r="J16" t="n">
        <v>3000.8</v>
      </c>
      <c r="K16" t="n">
        <v>3</v>
      </c>
      <c r="L16" t="n">
        <v>3</v>
      </c>
      <c r="M16" t="n">
        <v>3</v>
      </c>
      <c r="N16" t="n">
        <v>3</v>
      </c>
      <c r="O16" t="b">
        <v>1</v>
      </c>
      <c r="P16" t="n">
        <v>0</v>
      </c>
      <c r="Q16" t="n">
        <v>1</v>
      </c>
      <c r="R16" t="n">
        <v>1</v>
      </c>
      <c r="S16" t="n">
        <v>1</v>
      </c>
      <c r="T16" t="n">
        <v>2.2</v>
      </c>
      <c r="U16" t="n">
        <v>1.9</v>
      </c>
      <c r="V16" t="n">
        <v>4.8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none</t>
        </is>
      </c>
      <c r="AE16" t="inlineStr"/>
      <c r="AF16" t="inlineStr"/>
      <c r="AG16" t="inlineStr">
        <is>
          <t>none</t>
        </is>
      </c>
      <c r="AH16" t="inlineStr"/>
      <c r="AI16" t="inlineStr"/>
      <c r="AJ16" t="inlineStr">
        <is>
          <t>blast_wall</t>
        </is>
      </c>
      <c r="AK16" t="inlineStr">
        <is>
          <t>giong</t>
        </is>
      </c>
      <c r="BH16" t="inlineStr"/>
      <c r="BI16" t="inlineStr"/>
      <c r="BJ16" t="inlineStr">
        <is>
          <t>Small</t>
        </is>
      </c>
      <c r="BK16" t="inlineStr"/>
      <c r="BL16" t="b">
        <v>0</v>
      </c>
      <c r="BM16" t="n">
        <v>2</v>
      </c>
      <c r="BN16" t="n">
        <v>2</v>
      </c>
      <c r="BO16" t="n">
        <v>25</v>
      </c>
      <c r="BP16" t="n">
        <v>2.5</v>
      </c>
      <c r="BQ16" t="inlineStr">
        <is>
          <t>Campaign</t>
        </is>
      </c>
      <c r="BR16" t="inlineStr">
        <is>
          <t>blast_wall</t>
        </is>
      </c>
      <c r="BS16" t="inlineStr"/>
      <c r="BT16" t="n">
        <v>3</v>
      </c>
      <c r="CB16" t="n">
        <v>50</v>
      </c>
      <c r="CC16" t="n">
        <v>0.3</v>
      </c>
      <c r="CD16" t="n">
        <v>10</v>
      </c>
      <c r="CK16" t="n">
        <v>0</v>
      </c>
      <c r="CU16" t="inlineStr">
        <is>
          <t>Small</t>
        </is>
      </c>
      <c r="CV16" t="n">
        <v>1364</v>
      </c>
      <c r="CY16" t="n">
        <v>1.9</v>
      </c>
      <c r="DJ16" t="n">
        <v>2.4</v>
      </c>
      <c r="DK16" t="n">
        <v>1.9</v>
      </c>
      <c r="DL16" t="n">
        <v>4.8</v>
      </c>
      <c r="DQ16" t="b">
        <v>1</v>
      </c>
      <c r="DR16" t="n">
        <v>2.2</v>
      </c>
      <c r="EG16" t="n">
        <v>0</v>
      </c>
      <c r="EH16" t="b">
        <v>1</v>
      </c>
      <c r="EL16" t="n">
        <v>1</v>
      </c>
      <c r="EN16" t="n">
        <v>1</v>
      </c>
      <c r="EP16" t="n">
        <v>1</v>
      </c>
      <c r="ET16" t="inlineStr">
        <is>
          <t>none</t>
        </is>
      </c>
      <c r="EU16" t="n">
        <v>4.8</v>
      </c>
      <c r="EV16" t="inlineStr">
        <is>
          <t>Assets/MachineBrigade/Resources/Data/balance.json: vehicles[149]</t>
        </is>
      </c>
      <c r="EW16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7">
      <c r="A17" t="inlineStr">
        <is>
          <t>bulwark_post</t>
        </is>
      </c>
      <c r="B17" t="inlineStr">
        <is>
          <t>Field gun post</t>
        </is>
      </c>
      <c r="C17" t="inlineStr">
        <is>
          <t>Ụ súng dã chiến</t>
        </is>
      </c>
      <c r="D17" t="inlineStr">
        <is>
          <t>Ụ súng</t>
        </is>
      </c>
      <c r="E17" t="inlineStr">
        <is>
          <t>Defense</t>
        </is>
      </c>
      <c r="F17" t="inlineStr"/>
      <c r="G17" t="inlineStr"/>
      <c r="H17" t="n">
        <v>0</v>
      </c>
      <c r="I17" t="n">
        <v>500</v>
      </c>
      <c r="J17" t="n">
        <v>1100</v>
      </c>
      <c r="K17" t="n">
        <v>1</v>
      </c>
      <c r="L17" t="n">
        <v>1</v>
      </c>
      <c r="M17" t="n">
        <v>1</v>
      </c>
      <c r="N17" t="n">
        <v>1</v>
      </c>
      <c r="O17" t="b">
        <v>1</v>
      </c>
      <c r="P17" t="n">
        <v>0</v>
      </c>
      <c r="Q17" t="n">
        <v>1</v>
      </c>
      <c r="R17" t="n">
        <v>160</v>
      </c>
      <c r="S17" t="n">
        <v>34</v>
      </c>
      <c r="T17" t="n">
        <v>1.6</v>
      </c>
      <c r="U17" t="n">
        <v>2.72</v>
      </c>
      <c r="V17" t="n">
        <v>2.72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bunker_hmg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bulwark_post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Campaign</t>
        </is>
      </c>
      <c r="BR17" t="inlineStr">
        <is>
          <t>bulwark_post</t>
        </is>
      </c>
      <c r="BS17" t="inlineStr"/>
      <c r="BT17" t="n">
        <v>1</v>
      </c>
      <c r="CG17" t="inlineStr">
        <is>
          <t>Defense</t>
        </is>
      </c>
      <c r="CK17" t="n">
        <v>0</v>
      </c>
      <c r="CL17" t="n">
        <v>40</v>
      </c>
      <c r="CM17" t="n">
        <v>0.2</v>
      </c>
      <c r="CN17" t="n">
        <v>4</v>
      </c>
      <c r="CO17" t="inlineStr">
        <is>
          <t>Large</t>
        </is>
      </c>
      <c r="CV17" t="n">
        <v>500</v>
      </c>
      <c r="CY17" t="n">
        <v>3.4</v>
      </c>
      <c r="DI17" t="inlineStr">
        <is>
          <t>bulwark_post</t>
        </is>
      </c>
      <c r="DR17" t="n">
        <v>1.6</v>
      </c>
      <c r="DY17" t="n">
        <v>0.8</v>
      </c>
      <c r="EG17" t="n">
        <v>0</v>
      </c>
      <c r="EH17" t="b">
        <v>1</v>
      </c>
      <c r="EL17" t="n">
        <v>1</v>
      </c>
      <c r="EN17" t="n">
        <v>160</v>
      </c>
      <c r="EP17" t="n">
        <v>34</v>
      </c>
      <c r="ET17" t="inlineStr">
        <is>
          <t>bunker_hmg</t>
        </is>
      </c>
      <c r="EU17" t="n">
        <v>3.4</v>
      </c>
      <c r="EV17" t="inlineStr">
        <is>
          <t>Assets/MachineBrigade/Resources/Data/balance.json: vehicles[123]</t>
        </is>
      </c>
      <c r="EW17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8">
      <c r="A18" t="inlineStr">
        <is>
          <t>bunker_shelter_tower</t>
        </is>
      </c>
      <c r="B18" t="inlineStr">
        <is>
          <t>Bunker (medium slot)</t>
        </is>
      </c>
      <c r="C18" t="inlineStr">
        <is>
          <t>Hầm ngầm che quân</t>
        </is>
      </c>
      <c r="D18" t="inlineStr">
        <is>
          <t>Hầm ngầm</t>
        </is>
      </c>
      <c r="E18" t="inlineStr"/>
      <c r="F18" t="inlineStr"/>
      <c r="G18" t="inlineStr"/>
      <c r="H18" t="n">
        <v>0</v>
      </c>
      <c r="I18" t="n">
        <v>1818</v>
      </c>
      <c r="J18" t="n">
        <v>3999.6</v>
      </c>
      <c r="K18" t="n">
        <v>3</v>
      </c>
      <c r="L18" t="n">
        <v>3</v>
      </c>
      <c r="M18" t="n">
        <v>3</v>
      </c>
      <c r="N18" t="n">
        <v>3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2.6</v>
      </c>
      <c r="U18" t="n">
        <v>6</v>
      </c>
      <c r="V18" t="n">
        <v>5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bunker_shelter_tower</t>
        </is>
      </c>
      <c r="AK18" t="inlineStr">
        <is>
          <t>giong</t>
        </is>
      </c>
      <c r="BH18" t="inlineStr"/>
      <c r="BI18" t="inlineStr"/>
      <c r="BJ18" t="inlineStr">
        <is>
          <t>Medium</t>
        </is>
      </c>
      <c r="BK18" t="inlineStr"/>
      <c r="BL18" t="b">
        <v>0</v>
      </c>
      <c r="BM18" t="n">
        <v>4</v>
      </c>
      <c r="BN18" t="n">
        <v>4</v>
      </c>
      <c r="BO18" t="n">
        <v>40</v>
      </c>
      <c r="BP18" t="n">
        <v>3.5</v>
      </c>
      <c r="BQ18" t="inlineStr">
        <is>
          <t>Campaign</t>
        </is>
      </c>
      <c r="BR18" t="inlineStr">
        <is>
          <t>bunker_shelter_tower</t>
        </is>
      </c>
      <c r="BS18" t="inlineStr"/>
      <c r="BT18" t="n">
        <v>3</v>
      </c>
      <c r="CK18" t="n">
        <v>0</v>
      </c>
      <c r="CU18" t="inlineStr">
        <is>
          <t>Medium</t>
        </is>
      </c>
      <c r="CV18" t="n">
        <v>1818</v>
      </c>
      <c r="CY18" t="n">
        <v>6</v>
      </c>
      <c r="DI18" t="inlineStr">
        <is>
          <t>bunker_shelter_tower</t>
        </is>
      </c>
      <c r="DJ18" t="n">
        <v>2.2</v>
      </c>
      <c r="DK18" t="n">
        <v>6</v>
      </c>
      <c r="DL18" t="n">
        <v>5</v>
      </c>
      <c r="DR18" t="n">
        <v>2.6</v>
      </c>
      <c r="EC18" t="n">
        <v>0.5</v>
      </c>
      <c r="ED18" t="n">
        <v>18</v>
      </c>
      <c r="EG18" t="n">
        <v>0</v>
      </c>
      <c r="EH18" t="b">
        <v>1</v>
      </c>
      <c r="EL18" t="n">
        <v>1</v>
      </c>
      <c r="EN18" t="n">
        <v>1</v>
      </c>
      <c r="EP18" t="n">
        <v>30</v>
      </c>
      <c r="ET18" t="inlineStr">
        <is>
          <t>none</t>
        </is>
      </c>
      <c r="EU18" t="n">
        <v>5</v>
      </c>
      <c r="EV18" t="inlineStr">
        <is>
          <t>Assets/MachineBrigade/Resources/Data/balance.json: vehicles[192]</t>
        </is>
      </c>
      <c r="EW18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9">
      <c r="A19" t="inlineStr">
        <is>
          <t>c_ram</t>
        </is>
      </c>
      <c r="B19" t="inlineStr">
        <is>
          <t>C-RAM interceptor</t>
        </is>
      </c>
      <c r="C19" t="inlineStr">
        <is>
          <t>Trạm đánh chặn C-RAM</t>
        </is>
      </c>
      <c r="D19" t="inlineStr">
        <is>
          <t>C-RAM</t>
        </is>
      </c>
      <c r="E19" t="inlineStr"/>
      <c r="F19" t="inlineStr"/>
      <c r="G19" t="inlineStr"/>
      <c r="H19" t="n">
        <v>0</v>
      </c>
      <c r="I19" t="n">
        <v>1300</v>
      </c>
      <c r="J19" t="n">
        <v>2860</v>
      </c>
      <c r="K19" t="n">
        <v>1</v>
      </c>
      <c r="L19" t="n">
        <v>1</v>
      </c>
      <c r="M19" t="n">
        <v>1</v>
      </c>
      <c r="N19" t="n">
        <v>1</v>
      </c>
      <c r="O19" t="b">
        <v>1</v>
      </c>
      <c r="P19" t="n">
        <v>0</v>
      </c>
      <c r="Q19" t="n">
        <v>1</v>
      </c>
      <c r="R19" t="n">
        <v>240</v>
      </c>
      <c r="S19" t="n">
        <v>60</v>
      </c>
      <c r="T19" t="n">
        <v>2.5</v>
      </c>
      <c r="U19" t="n">
        <v>5.5</v>
      </c>
      <c r="V19" t="n">
        <v>5.5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c_ram_gatling</t>
        </is>
      </c>
      <c r="AE19" t="inlineStr"/>
      <c r="AF19" t="inlineStr"/>
      <c r="AG19" t="inlineStr">
        <is>
          <t>aps</t>
        </is>
      </c>
      <c r="AH19" t="n">
        <v>4</v>
      </c>
      <c r="AI19" t="n">
        <v>0.6</v>
      </c>
      <c r="AJ19" t="inlineStr">
        <is>
          <t>c_ram</t>
        </is>
      </c>
      <c r="AK19" t="inlineStr">
        <is>
          <t>giong</t>
        </is>
      </c>
      <c r="BH19" t="inlineStr"/>
      <c r="BI19" t="inlineStr"/>
      <c r="BJ19" t="inlineStr">
        <is>
          <t>Medium</t>
        </is>
      </c>
      <c r="BK19" t="inlineStr"/>
      <c r="BL19" t="b">
        <v>1</v>
      </c>
      <c r="BM19" t="n">
        <v>5</v>
      </c>
      <c r="BN19" t="n">
        <v>5</v>
      </c>
      <c r="BO19" t="n">
        <v>40</v>
      </c>
      <c r="BP19" t="n">
        <v>3.5</v>
      </c>
      <c r="BQ19" t="inlineStr">
        <is>
          <t>Campaign</t>
        </is>
      </c>
      <c r="BR19" t="inlineStr">
        <is>
          <t>c_ram</t>
        </is>
      </c>
      <c r="BS19" t="inlineStr"/>
      <c r="BT19" t="n">
        <v>1</v>
      </c>
      <c r="CF19" t="inlineStr">
        <is>
          <t>c_ram.centurion;c_ram.dome</t>
        </is>
      </c>
      <c r="CK19" t="n">
        <v>0</v>
      </c>
      <c r="CL19" t="n">
        <v>90</v>
      </c>
      <c r="CM19" t="n">
        <v>0.4</v>
      </c>
      <c r="CN19" t="n">
        <v>7</v>
      </c>
      <c r="CO19" t="inlineStr">
        <is>
          <t>Huge</t>
        </is>
      </c>
      <c r="CU19" t="inlineStr">
        <is>
          <t>Medium</t>
        </is>
      </c>
      <c r="CV19" t="n">
        <v>1300</v>
      </c>
      <c r="CY19" t="n">
        <v>5.5</v>
      </c>
      <c r="DR19" t="n">
        <v>2.5</v>
      </c>
      <c r="DS19" t="n">
        <v>5</v>
      </c>
      <c r="EG19" t="n">
        <v>0</v>
      </c>
      <c r="EH19" t="b">
        <v>1</v>
      </c>
      <c r="EL19" t="n">
        <v>1</v>
      </c>
      <c r="EN19" t="n">
        <v>240</v>
      </c>
      <c r="EP19" t="n">
        <v>60</v>
      </c>
      <c r="ET19" t="inlineStr">
        <is>
          <t>c_ram_gatling</t>
        </is>
      </c>
      <c r="EU19" t="n">
        <v>5.5</v>
      </c>
      <c r="EV19" t="inlineStr">
        <is>
          <t>Assets/MachineBrigade/Resources/Data/balance.json: vehicles[82]</t>
        </is>
      </c>
      <c r="EW19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20">
      <c r="A20" t="inlineStr">
        <is>
          <t>c_ram.centurion</t>
        </is>
      </c>
      <c r="B20" t="inlineStr"/>
      <c r="C20" t="inlineStr"/>
      <c r="D20" t="inlineStr">
        <is>
          <t>Centurion</t>
        </is>
      </c>
      <c r="E20" t="inlineStr"/>
      <c r="F20" t="inlineStr"/>
      <c r="G20" t="inlineStr">
        <is>
          <t>c_ram</t>
        </is>
      </c>
      <c r="H20" t="n">
        <v>0</v>
      </c>
      <c r="I20" t="n">
        <v>1300</v>
      </c>
      <c r="J20" t="n">
        <v>2860</v>
      </c>
      <c r="K20" t="n">
        <v>1</v>
      </c>
      <c r="L20" t="n">
        <v>1</v>
      </c>
      <c r="M20" t="n">
        <v>1</v>
      </c>
      <c r="N20" t="n">
        <v>1</v>
      </c>
      <c r="O20" t="b">
        <v>1</v>
      </c>
      <c r="P20" t="n">
        <v>0</v>
      </c>
      <c r="Q20" t="n">
        <v>1</v>
      </c>
      <c r="R20" t="n">
        <v>240</v>
      </c>
      <c r="S20" t="n">
        <v>60</v>
      </c>
      <c r="T20" t="n">
        <v>2.5</v>
      </c>
      <c r="U20" t="n">
        <v>5.5</v>
      </c>
      <c r="V20" t="n">
        <v>5.5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c_ram_gatling</t>
        </is>
      </c>
      <c r="AE20" t="inlineStr"/>
      <c r="AF20" t="inlineStr"/>
      <c r="AG20" t="inlineStr">
        <is>
          <t>aps</t>
        </is>
      </c>
      <c r="AH20" t="n">
        <v>5</v>
      </c>
      <c r="AI20" t="n">
        <v>0.35</v>
      </c>
      <c r="AJ20" t="inlineStr">
        <is>
          <t>c_ram</t>
        </is>
      </c>
      <c r="AK20" t="inlineStr">
        <is>
          <t>giong</t>
        </is>
      </c>
      <c r="BH20" t="inlineStr">
        <is>
          <t>c_ram</t>
        </is>
      </c>
      <c r="BI20" t="inlineStr">
        <is>
          <t>centurion</t>
        </is>
      </c>
      <c r="BJ20" t="inlineStr">
        <is>
          <t>Medium</t>
        </is>
      </c>
      <c r="BK20" t="inlineStr">
        <is>
          <t>intercept_close_fast</t>
        </is>
      </c>
      <c r="BL20" t="b">
        <v>0</v>
      </c>
      <c r="BM20" t="n">
        <v>5</v>
      </c>
      <c r="BN20" t="n">
        <v>5</v>
      </c>
      <c r="BO20" t="n">
        <v>40</v>
      </c>
      <c r="BP20" t="n">
        <v>3.5</v>
      </c>
      <c r="BQ20" t="inlineStr">
        <is>
          <t>Campaign</t>
        </is>
      </c>
      <c r="BR20" t="inlineStr">
        <is>
          <t>c_ram</t>
        </is>
      </c>
      <c r="BS20" t="inlineStr"/>
      <c r="BY20" t="inlineStr">
        <is>
          <t>c_ram_a</t>
        </is>
      </c>
      <c r="CE20" t="inlineStr">
        <is>
          <t>c_ram</t>
        </is>
      </c>
      <c r="CW20" t="inlineStr">
        <is>
          <t>c_ram</t>
        </is>
      </c>
      <c r="DS20" t="n">
        <v>5</v>
      </c>
      <c r="EK20" t="inlineStr">
        <is>
          <t>intercept_close_fast</t>
        </is>
      </c>
      <c r="EV20" t="inlineStr">
        <is>
          <t>Assets/MachineBrigade/Resources/Data/balance.json: vehicles[101]</t>
        </is>
      </c>
      <c r="EW20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21">
      <c r="A21" t="inlineStr">
        <is>
          <t>c_ram.dome</t>
        </is>
      </c>
      <c r="B21" t="inlineStr"/>
      <c r="C21" t="inlineStr"/>
      <c r="D21" t="inlineStr">
        <is>
          <t>Vòm Sắt</t>
        </is>
      </c>
      <c r="E21" t="inlineStr"/>
      <c r="F21" t="inlineStr"/>
      <c r="G21" t="inlineStr">
        <is>
          <t>c_ram</t>
        </is>
      </c>
      <c r="H21" t="n">
        <v>0</v>
      </c>
      <c r="I21" t="n">
        <v>1300</v>
      </c>
      <c r="J21" t="n">
        <v>2860</v>
      </c>
      <c r="K21" t="n">
        <v>1</v>
      </c>
      <c r="L21" t="n">
        <v>1</v>
      </c>
      <c r="M21" t="n">
        <v>1</v>
      </c>
      <c r="N21" t="n">
        <v>1</v>
      </c>
      <c r="O21" t="b">
        <v>1</v>
      </c>
      <c r="P21" t="n">
        <v>0</v>
      </c>
      <c r="Q21" t="n">
        <v>1</v>
      </c>
      <c r="R21" t="n">
        <v>240</v>
      </c>
      <c r="S21" t="n">
        <v>64</v>
      </c>
      <c r="T21" t="n">
        <v>2.5</v>
      </c>
      <c r="U21" t="n">
        <v>5.5</v>
      </c>
      <c r="V21" t="n">
        <v>5.5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tamir</t>
        </is>
      </c>
      <c r="AE21" t="inlineStr"/>
      <c r="AF21" t="inlineStr"/>
      <c r="AG21" t="inlineStr">
        <is>
          <t>aps</t>
        </is>
      </c>
      <c r="AH21" t="n">
        <v>6</v>
      </c>
      <c r="AI21" t="inlineStr"/>
      <c r="AJ21" t="inlineStr">
        <is>
          <t>c_ram</t>
        </is>
      </c>
      <c r="AK21" t="inlineStr">
        <is>
          <t>giong</t>
        </is>
      </c>
      <c r="BH21" t="inlineStr">
        <is>
          <t>c_ram</t>
        </is>
      </c>
      <c r="BI21" t="inlineStr">
        <is>
          <t>dome</t>
        </is>
      </c>
      <c r="BJ21" t="inlineStr">
        <is>
          <t>Medium</t>
        </is>
      </c>
      <c r="BK21" t="inlineStr">
        <is>
          <t>intercept_far_slow</t>
        </is>
      </c>
      <c r="BL21" t="b">
        <v>0</v>
      </c>
      <c r="BM21" t="n">
        <v>5</v>
      </c>
      <c r="BN21" t="n">
        <v>5</v>
      </c>
      <c r="BO21" t="n">
        <v>40</v>
      </c>
      <c r="BP21" t="n">
        <v>3.5</v>
      </c>
      <c r="BQ21" t="inlineStr">
        <is>
          <t>Campaign</t>
        </is>
      </c>
      <c r="BR21" t="inlineStr">
        <is>
          <t>c_ram</t>
        </is>
      </c>
      <c r="BS21" t="inlineStr"/>
      <c r="BY21" t="inlineStr">
        <is>
          <t>c_ram_b</t>
        </is>
      </c>
      <c r="CE21" t="inlineStr">
        <is>
          <t>c_ram</t>
        </is>
      </c>
      <c r="CW21" t="inlineStr">
        <is>
          <t>c_ram</t>
        </is>
      </c>
      <c r="DS21" t="n">
        <v>5</v>
      </c>
      <c r="EK21" t="inlineStr">
        <is>
          <t>intercept_far_slow</t>
        </is>
      </c>
      <c r="EP21" t="n">
        <v>64</v>
      </c>
      <c r="ET21" t="inlineStr">
        <is>
          <t>tamir</t>
        </is>
      </c>
      <c r="EV21" t="inlineStr">
        <is>
          <t>Assets/MachineBrigade/Resources/Data/balance.json: vehicles[102]</t>
        </is>
      </c>
      <c r="EW21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22">
      <c r="A22" t="inlineStr">
        <is>
          <t>coastal_battery</t>
        </is>
      </c>
      <c r="B22" t="inlineStr">
        <is>
          <t>Coastal Battery</t>
        </is>
      </c>
      <c r="C22" t="inlineStr">
        <is>
          <t>Trận địa pháo bờ biển</t>
        </is>
      </c>
      <c r="D22" t="inlineStr">
        <is>
          <t>Pháo bờ biển</t>
        </is>
      </c>
      <c r="E22" t="inlineStr">
        <is>
          <t>Defense</t>
        </is>
      </c>
      <c r="F22" t="inlineStr"/>
      <c r="G22" t="inlineStr"/>
      <c r="H22" t="n">
        <v>0</v>
      </c>
      <c r="I22" t="n">
        <v>3000</v>
      </c>
      <c r="J22" t="n">
        <v>6600</v>
      </c>
      <c r="K22" t="n">
        <v>4</v>
      </c>
      <c r="L22" t="n">
        <v>3</v>
      </c>
      <c r="M22" t="n">
        <v>3</v>
      </c>
      <c r="N22" t="n">
        <v>3</v>
      </c>
      <c r="O22" t="b">
        <v>1</v>
      </c>
      <c r="P22" t="n">
        <v>0</v>
      </c>
      <c r="Q22" t="n">
        <v>1</v>
      </c>
      <c r="R22" t="n">
        <v>18</v>
      </c>
      <c r="S22" t="n">
        <v>130</v>
      </c>
      <c r="T22" t="n">
        <v>3.8</v>
      </c>
      <c r="U22" t="n">
        <v>8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gun_155_coastal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coastal_battery</t>
        </is>
      </c>
      <c r="AK22" t="inlineStr">
        <is>
          <t>giong</t>
        </is>
      </c>
      <c r="BH22" t="inlineStr"/>
      <c r="BI22" t="inlineStr"/>
      <c r="BJ22" t="inlineStr"/>
      <c r="BK22" t="inlineStr"/>
      <c r="BL22" t="b">
        <v>0</v>
      </c>
      <c r="BM22" t="inlineStr"/>
      <c r="BN22" t="n">
        <v>2</v>
      </c>
      <c r="BO22" t="inlineStr"/>
      <c r="BP22" t="inlineStr"/>
      <c r="BQ22" t="inlineStr">
        <is>
          <t>Campaign</t>
        </is>
      </c>
      <c r="BR22" t="inlineStr">
        <is>
          <t>coastal_battery</t>
        </is>
      </c>
      <c r="BS22" t="inlineStr"/>
      <c r="BU22" t="n">
        <v>4</v>
      </c>
      <c r="BV22" t="n">
        <v>3</v>
      </c>
      <c r="BW22" t="n">
        <v>3</v>
      </c>
      <c r="BX22" t="n">
        <v>3</v>
      </c>
      <c r="CG22" t="inlineStr">
        <is>
          <t>Defense</t>
        </is>
      </c>
      <c r="CK22" t="n">
        <v>0</v>
      </c>
      <c r="CL22" t="n">
        <v>220</v>
      </c>
      <c r="CM22" t="n">
        <v>0.5</v>
      </c>
      <c r="CN22" t="n">
        <v>12</v>
      </c>
      <c r="CO22" t="inlineStr">
        <is>
          <t>Ultimate</t>
        </is>
      </c>
      <c r="CV22" t="n">
        <v>3000</v>
      </c>
      <c r="CY22" t="n">
        <v>8</v>
      </c>
      <c r="DI22" t="inlineStr">
        <is>
          <t>coastal_battery</t>
        </is>
      </c>
      <c r="DM22" t="b">
        <v>1</v>
      </c>
      <c r="DR22" t="n">
        <v>3.8</v>
      </c>
      <c r="EG22" t="n">
        <v>0</v>
      </c>
      <c r="EH22" t="b">
        <v>1</v>
      </c>
      <c r="EL22" t="n">
        <v>1</v>
      </c>
      <c r="EN22" t="n">
        <v>18</v>
      </c>
      <c r="EP22" t="n">
        <v>130</v>
      </c>
      <c r="ET22" t="inlineStr">
        <is>
          <t>gun_155_coastal</t>
        </is>
      </c>
      <c r="EU22" t="n">
        <v>8</v>
      </c>
      <c r="EV22" t="inlineStr">
        <is>
          <t>Assets/MachineBrigade/Resources/Data/balance.json: vehicles[228]</t>
        </is>
      </c>
      <c r="EW22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23">
      <c r="A23" t="inlineStr">
        <is>
          <t>cp_relay</t>
        </is>
      </c>
      <c r="B23" t="inlineStr">
        <is>
          <t>CP relay</t>
        </is>
      </c>
      <c r="C23" t="inlineStr">
        <is>
          <t>Trạm tiếp tế CP</t>
        </is>
      </c>
      <c r="D23" t="inlineStr">
        <is>
          <t>Trạm CP</t>
        </is>
      </c>
      <c r="E23" t="inlineStr"/>
      <c r="F23" t="inlineStr"/>
      <c r="G23" t="inlineStr"/>
      <c r="H23" t="n">
        <v>0</v>
      </c>
      <c r="I23" t="n">
        <v>600</v>
      </c>
      <c r="J23" t="n">
        <v>1320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1</v>
      </c>
      <c r="S23" t="n">
        <v>30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cp_relay</t>
        </is>
      </c>
      <c r="AK23" t="inlineStr">
        <is>
          <t>giong</t>
        </is>
      </c>
      <c r="BH23" t="inlineStr"/>
      <c r="BI23" t="inlineStr">
        <is>
          <t>noBranch</t>
        </is>
      </c>
      <c r="BJ23" t="inlineStr">
        <is>
          <t>Small</t>
        </is>
      </c>
      <c r="BK23" t="inlineStr">
        <is>
          <t>cp_income</t>
        </is>
      </c>
      <c r="BL23" t="b">
        <v>1</v>
      </c>
      <c r="BM23" t="n">
        <v>6</v>
      </c>
      <c r="BN23" t="n">
        <v>6</v>
      </c>
      <c r="BO23" t="n">
        <v>25</v>
      </c>
      <c r="BP23" t="n">
        <v>2.5</v>
      </c>
      <c r="BQ23" t="inlineStr">
        <is>
          <t>Campaign</t>
        </is>
      </c>
      <c r="BR23" t="inlineStr">
        <is>
          <t>cp_relay</t>
        </is>
      </c>
      <c r="BS23" t="inlineStr"/>
      <c r="BT23" t="n">
        <v>1</v>
      </c>
      <c r="CK23" t="n">
        <v>0</v>
      </c>
      <c r="CL23" t="n">
        <v>50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CV23" t="n">
        <v>600</v>
      </c>
      <c r="CY23" t="n">
        <v>4</v>
      </c>
      <c r="DN23" t="b">
        <v>1</v>
      </c>
      <c r="DR23" t="n">
        <v>1.8</v>
      </c>
      <c r="DS23" t="n">
        <v>6</v>
      </c>
      <c r="DT23" t="n">
        <v>0.1</v>
      </c>
      <c r="DU23" t="n">
        <v>5</v>
      </c>
      <c r="DV23" t="n">
        <v>0.06</v>
      </c>
      <c r="EG23" t="n">
        <v>0</v>
      </c>
      <c r="EH23" t="b">
        <v>1</v>
      </c>
      <c r="EK23" t="inlineStr">
        <is>
          <t>cp_income</t>
        </is>
      </c>
      <c r="EL23" t="n">
        <v>1</v>
      </c>
      <c r="EN23" t="n">
        <v>1</v>
      </c>
      <c r="EP23" t="n">
        <v>30</v>
      </c>
      <c r="ET23" t="inlineStr">
        <is>
          <t>none</t>
        </is>
      </c>
      <c r="EU23" t="n">
        <v>4</v>
      </c>
      <c r="EV23" t="inlineStr">
        <is>
          <t>Assets/MachineBrigade/Resources/Data/balance.json: vehicles[126]</t>
        </is>
      </c>
      <c r="EW23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24">
      <c r="A24" t="inlineStr">
        <is>
          <t>decoy_tank</t>
        </is>
      </c>
      <c r="B24" t="inlineStr">
        <is>
          <t>Inflatable decoy tank</t>
        </is>
      </c>
      <c r="C24" t="inlineStr">
        <is>
          <t>Xe tăng bơm hơi</t>
        </is>
      </c>
      <c r="D24" t="inlineStr">
        <is>
          <t>Xe mồi nhử</t>
        </is>
      </c>
      <c r="E24" t="inlineStr"/>
      <c r="F24" t="inlineStr"/>
      <c r="G24" t="inlineStr"/>
      <c r="H24" t="n">
        <v>0</v>
      </c>
      <c r="I24" t="n">
        <v>136</v>
      </c>
      <c r="J24" t="n">
        <v>299.2</v>
      </c>
      <c r="K24" t="n">
        <v>0</v>
      </c>
      <c r="L24" t="n">
        <v>0</v>
      </c>
      <c r="M24" t="n">
        <v>0</v>
      </c>
      <c r="N24" t="n">
        <v>0</v>
      </c>
      <c r="O24" t="b">
        <v>1</v>
      </c>
      <c r="P24" t="n">
        <v>0</v>
      </c>
      <c r="Q24" t="n">
        <v>1</v>
      </c>
      <c r="R24" t="n">
        <v>1</v>
      </c>
      <c r="S24" t="n">
        <v>1</v>
      </c>
      <c r="T24" t="n">
        <v>2.5</v>
      </c>
      <c r="U24" t="inlineStr"/>
      <c r="V24" t="inlineStr"/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main_battle_tank</t>
        </is>
      </c>
      <c r="AK24" t="inlineStr">
        <is>
          <t>giong</t>
        </is>
      </c>
      <c r="BH24" t="inlineStr"/>
      <c r="BI24" t="inlineStr"/>
      <c r="BJ24" t="inlineStr"/>
      <c r="BK24" t="inlineStr"/>
      <c r="BL24" t="b">
        <v>0</v>
      </c>
      <c r="BM24" t="inlineStr"/>
      <c r="BN24" t="n">
        <v>2</v>
      </c>
      <c r="BO24" t="inlineStr"/>
      <c r="BP24" t="inlineStr"/>
      <c r="BQ24" t="inlineStr">
        <is>
          <t>Campaign</t>
        </is>
      </c>
      <c r="BR24" t="inlineStr">
        <is>
          <t>decoy_tank</t>
        </is>
      </c>
      <c r="BS24" t="inlineStr"/>
      <c r="BT24" t="n">
        <v>0</v>
      </c>
      <c r="CK24" t="n">
        <v>0</v>
      </c>
      <c r="CP24" t="inlineStr">
        <is>
          <t>main_battle_tank</t>
        </is>
      </c>
      <c r="CV24" t="n">
        <v>136</v>
      </c>
      <c r="DI24" t="inlineStr">
        <is>
          <t>main_battle_tank</t>
        </is>
      </c>
      <c r="DJ24" t="n">
        <v>2.6</v>
      </c>
      <c r="DK24" t="n">
        <v>7.5</v>
      </c>
      <c r="DL24" t="n">
        <v>3.6</v>
      </c>
      <c r="DR24" t="n">
        <v>2.5</v>
      </c>
      <c r="EG24" t="n">
        <v>0</v>
      </c>
      <c r="EH24" t="b">
        <v>1</v>
      </c>
      <c r="EL24" t="n">
        <v>1</v>
      </c>
      <c r="EN24" t="n">
        <v>1</v>
      </c>
      <c r="EP24" t="n">
        <v>1</v>
      </c>
      <c r="ET24" t="inlineStr">
        <is>
          <t>none</t>
        </is>
      </c>
      <c r="EV24" t="inlineStr">
        <is>
          <t>Assets/MachineBrigade/Resources/Data/balance.json: vehicles[161]</t>
        </is>
      </c>
      <c r="EW24" t="inlineStr">
        <is>
          <t>{"id":"decoy_tank","model":"main_battle_tank","modelSize":[7.5,3.6,2.6],"static":true,"armour":0,"hp":136,"speed":0,"turnRate":1,"turretTurnRate":1,"radius":2.5,"cp":0,"vision":1,"weapon":"none","decoy":{"mimic":"main_battle_tank"}}</t>
        </is>
      </c>
    </row>
    <row r="25">
      <c r="A25" t="inlineStr">
        <is>
          <t>dragons_teeth</t>
        </is>
      </c>
      <c r="B25" t="inlineStr">
        <is>
          <t>Dragon's teeth</t>
        </is>
      </c>
      <c r="C25" t="inlineStr">
        <is>
          <t>Răng rồng</t>
        </is>
      </c>
      <c r="D25" t="inlineStr">
        <is>
          <t>Răng rồng</t>
        </is>
      </c>
      <c r="E25" t="inlineStr"/>
      <c r="F25" t="inlineStr"/>
      <c r="G25" t="inlineStr"/>
      <c r="H25" t="n">
        <v>0</v>
      </c>
      <c r="I25" t="n">
        <v>2400</v>
      </c>
      <c r="J25" t="n">
        <v>5280</v>
      </c>
      <c r="K25" t="n">
        <v>3</v>
      </c>
      <c r="L25" t="n">
        <v>3</v>
      </c>
      <c r="M25" t="n">
        <v>3</v>
      </c>
      <c r="N25" t="n">
        <v>3</v>
      </c>
      <c r="O25" t="b">
        <v>1</v>
      </c>
      <c r="P25" t="n">
        <v>0</v>
      </c>
      <c r="Q25" t="n">
        <v>1</v>
      </c>
      <c r="R25" t="n">
        <v>1</v>
      </c>
      <c r="S25" t="n">
        <v>8</v>
      </c>
      <c r="T25" t="n">
        <v>2.2</v>
      </c>
      <c r="U25" t="n">
        <v>5</v>
      </c>
      <c r="V25" t="n">
        <v>2.5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dragons_teeth</t>
        </is>
      </c>
      <c r="AK25" t="inlineStr">
        <is>
          <t>giong</t>
        </is>
      </c>
      <c r="BH25" t="inlineStr"/>
      <c r="BI25" t="inlineStr"/>
      <c r="BJ25" t="inlineStr">
        <is>
          <t>Small</t>
        </is>
      </c>
      <c r="BK25" t="inlineStr"/>
      <c r="BL25" t="b">
        <v>1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Campaign</t>
        </is>
      </c>
      <c r="BR25" t="inlineStr">
        <is>
          <t>dragons_teeth</t>
        </is>
      </c>
      <c r="BS25" t="inlineStr"/>
      <c r="BT25" t="n">
        <v>3</v>
      </c>
      <c r="CF25" t="inlineStr">
        <is>
          <t>dragons_teeth.hedgehog;dragons_teeth.wire</t>
        </is>
      </c>
      <c r="CK25" t="n">
        <v>0</v>
      </c>
      <c r="CU25" t="inlineStr">
        <is>
          <t>Small</t>
        </is>
      </c>
      <c r="CV25" t="n">
        <v>2400</v>
      </c>
      <c r="CY25" t="n">
        <v>5</v>
      </c>
      <c r="DO25" t="b">
        <v>1</v>
      </c>
      <c r="DR25" t="n">
        <v>2.2</v>
      </c>
      <c r="DS25" t="n">
        <v>3</v>
      </c>
      <c r="EG25" t="n">
        <v>0</v>
      </c>
      <c r="EH25" t="b">
        <v>1</v>
      </c>
      <c r="EL25" t="n">
        <v>1</v>
      </c>
      <c r="EN25" t="n">
        <v>1</v>
      </c>
      <c r="EP25" t="n">
        <v>8</v>
      </c>
      <c r="ET25" t="inlineStr">
        <is>
          <t>none</t>
        </is>
      </c>
      <c r="EU25" t="n">
        <v>2.5</v>
      </c>
      <c r="EV25" t="inlineStr">
        <is>
          <t>Assets/MachineBrigade/Resources/Data/balance.json: vehicles[80]</t>
        </is>
      </c>
      <c r="EW25" t="inlineStr">
        <is>
          <t>{"id":"dragons_teeth","rebuildCp":3,"branches":["dragons_teeth.hedgehog","dragons_teeth.wire"],"fort":{"size":"Small"},"static":true,"obstacle":true,"armour":3,"hp":2400,"speed":0,"turnRate":1,"turretTurnRate":1,"radius":2.2,"length":5,"width":2.5,"cp":0,"vision":8,"weapon":"none"}</t>
        </is>
      </c>
    </row>
    <row r="26">
      <c r="A26" t="inlineStr">
        <is>
          <t>dragons_teeth.hedgehog</t>
        </is>
      </c>
      <c r="B26" t="inlineStr"/>
      <c r="C26" t="inlineStr"/>
      <c r="D26" t="inlineStr">
        <is>
          <t>Chông sắt</t>
        </is>
      </c>
      <c r="E26" t="inlineStr"/>
      <c r="F26" t="inlineStr"/>
      <c r="G26" t="inlineStr">
        <is>
          <t>dragons_teeth</t>
        </is>
      </c>
      <c r="H26" t="n">
        <v>0</v>
      </c>
      <c r="I26" t="n">
        <v>4800</v>
      </c>
      <c r="J26" t="n">
        <v>10560</v>
      </c>
      <c r="K26" t="n">
        <v>3</v>
      </c>
      <c r="L26" t="n">
        <v>3</v>
      </c>
      <c r="M26" t="n">
        <v>3</v>
      </c>
      <c r="N26" t="n">
        <v>3</v>
      </c>
      <c r="O26" t="b">
        <v>1</v>
      </c>
      <c r="P26" t="n">
        <v>0</v>
      </c>
      <c r="Q26" t="n">
        <v>1</v>
      </c>
      <c r="R26" t="n">
        <v>1</v>
      </c>
      <c r="S26" t="n">
        <v>8</v>
      </c>
      <c r="T26" t="n">
        <v>2.2</v>
      </c>
      <c r="U26" t="n">
        <v>5</v>
      </c>
      <c r="V26" t="n">
        <v>2.5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none</t>
        </is>
      </c>
      <c r="AE26" t="inlineStr"/>
      <c r="AF26" t="inlineStr"/>
      <c r="AG26" t="inlineStr">
        <is>
          <t>none</t>
        </is>
      </c>
      <c r="AH26" t="inlineStr"/>
      <c r="AI26" t="inlineStr"/>
      <c r="AJ26" t="inlineStr">
        <is>
          <t>dragons_teeth</t>
        </is>
      </c>
      <c r="AK26" t="inlineStr">
        <is>
          <t>giong</t>
        </is>
      </c>
      <c r="BH26" t="inlineStr">
        <is>
          <t>dragons_teeth</t>
        </is>
      </c>
      <c r="BI26" t="inlineStr">
        <is>
          <t>hedgehog</t>
        </is>
      </c>
      <c r="BJ26" t="inlineStr">
        <is>
          <t>Small</t>
        </is>
      </c>
      <c r="BK26" t="inlineStr">
        <is>
          <t>obstacle_block</t>
        </is>
      </c>
      <c r="BL26" t="b">
        <v>0</v>
      </c>
      <c r="BM26" t="n">
        <v>3</v>
      </c>
      <c r="BN26" t="n">
        <v>3</v>
      </c>
      <c r="BO26" t="n">
        <v>25</v>
      </c>
      <c r="BP26" t="n">
        <v>2.5</v>
      </c>
      <c r="BQ26" t="inlineStr">
        <is>
          <t>Campaign</t>
        </is>
      </c>
      <c r="BR26" t="inlineStr">
        <is>
          <t>dragons_teeth</t>
        </is>
      </c>
      <c r="BS26" t="inlineStr"/>
      <c r="BY26" t="inlineStr">
        <is>
          <t>dragons_teeth_a</t>
        </is>
      </c>
      <c r="CE26" t="inlineStr">
        <is>
          <t>dragons_teeth</t>
        </is>
      </c>
      <c r="CV26" t="n">
        <v>4800</v>
      </c>
      <c r="CW26" t="inlineStr">
        <is>
          <t>dragons_teeth</t>
        </is>
      </c>
      <c r="DS26" t="n">
        <v>3</v>
      </c>
      <c r="EK26" t="inlineStr">
        <is>
          <t>obstacle_block</t>
        </is>
      </c>
      <c r="EV26" t="inlineStr">
        <is>
          <t>Assets/MachineBrigade/Resources/Data/balance.json: vehicles[90]</t>
        </is>
      </c>
      <c r="EW26" t="inlineStr">
        <is>
          <t>{"id":"dragons_teeth.hedgehog","rebuildCp":3,"towerRole":"obstacle_block","art":"dragons_teeth_a","inherits":"dragons_teeth","branchOf":"dragons_teeth","hp":4800}</t>
        </is>
      </c>
    </row>
    <row r="27">
      <c r="A27" t="inlineStr">
        <is>
          <t>dragons_teeth.wire</t>
        </is>
      </c>
      <c r="B27" t="inlineStr"/>
      <c r="C27" t="inlineStr"/>
      <c r="D27" t="inlineStr">
        <is>
          <t>Rào thép gai</t>
        </is>
      </c>
      <c r="E27" t="inlineStr"/>
      <c r="F27" t="inlineStr"/>
      <c r="G27" t="inlineStr">
        <is>
          <t>dragons_teeth</t>
        </is>
      </c>
      <c r="H27" t="n">
        <v>0</v>
      </c>
      <c r="I27" t="n">
        <v>2400</v>
      </c>
      <c r="J27" t="n">
        <v>5280</v>
      </c>
      <c r="K27" t="n">
        <v>3</v>
      </c>
      <c r="L27" t="n">
        <v>3</v>
      </c>
      <c r="M27" t="n">
        <v>3</v>
      </c>
      <c r="N27" t="n">
        <v>3</v>
      </c>
      <c r="O27" t="b">
        <v>1</v>
      </c>
      <c r="P27" t="n">
        <v>0</v>
      </c>
      <c r="Q27" t="n">
        <v>1</v>
      </c>
      <c r="R27" t="n">
        <v>1</v>
      </c>
      <c r="S27" t="n">
        <v>8</v>
      </c>
      <c r="T27" t="n">
        <v>2.2</v>
      </c>
      <c r="U27" t="n">
        <v>5</v>
      </c>
      <c r="V27" t="n">
        <v>2.5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none</t>
        </is>
      </c>
      <c r="AE27" t="inlineStr"/>
      <c r="AF27" t="inlineStr"/>
      <c r="AG27" t="inlineStr">
        <is>
          <t>none</t>
        </is>
      </c>
      <c r="AH27" t="inlineStr"/>
      <c r="AI27" t="inlineStr"/>
      <c r="AJ27" t="inlineStr">
        <is>
          <t>dragons_teeth</t>
        </is>
      </c>
      <c r="AK27" t="inlineStr">
        <is>
          <t>giong</t>
        </is>
      </c>
      <c r="BH27" t="inlineStr">
        <is>
          <t>dragons_teeth</t>
        </is>
      </c>
      <c r="BI27" t="inlineStr">
        <is>
          <t>wire</t>
        </is>
      </c>
      <c r="BJ27" t="inlineStr">
        <is>
          <t>Small</t>
        </is>
      </c>
      <c r="BK27" t="inlineStr">
        <is>
          <t>wire_slow</t>
        </is>
      </c>
      <c r="BL27" t="b">
        <v>0</v>
      </c>
      <c r="BM27" t="n">
        <v>3</v>
      </c>
      <c r="BN27" t="n">
        <v>3</v>
      </c>
      <c r="BO27" t="n">
        <v>25</v>
      </c>
      <c r="BP27" t="n">
        <v>2.5</v>
      </c>
      <c r="BQ27" t="inlineStr">
        <is>
          <t>Campaign</t>
        </is>
      </c>
      <c r="BR27" t="inlineStr">
        <is>
          <t>dragons_teeth</t>
        </is>
      </c>
      <c r="BS27" t="inlineStr"/>
      <c r="BY27" t="inlineStr">
        <is>
          <t>dragons_teeth_b</t>
        </is>
      </c>
      <c r="CE27" t="inlineStr">
        <is>
          <t>dragons_teeth</t>
        </is>
      </c>
      <c r="CW27" t="inlineStr">
        <is>
          <t>dragons_teeth</t>
        </is>
      </c>
      <c r="DQ27" t="b">
        <v>1</v>
      </c>
      <c r="DS27" t="n">
        <v>3</v>
      </c>
      <c r="EE27" t="n">
        <v>6</v>
      </c>
      <c r="EF27" t="n">
        <v>0.5</v>
      </c>
      <c r="EK27" t="inlineStr">
        <is>
          <t>wire_slow</t>
        </is>
      </c>
      <c r="EV27" t="inlineStr">
        <is>
          <t>Assets/MachineBrigade/Resources/Data/balance.json: vehicles[91]</t>
        </is>
      </c>
      <c r="EW27" t="inlineStr">
        <is>
          <t>{"id":"dragons_teeth.wire","rebuildCp":3,"towerRole":"wire_slow","art":"dragons_teeth_b","inherits":"dragons_teeth","branchOf":"dragons_teeth","passable":true,"slowAura":{"radius":6,"share":0.5}}</t>
        </is>
      </c>
    </row>
    <row r="28">
      <c r="A28" t="inlineStr">
        <is>
          <t>drone_hangar</t>
        </is>
      </c>
      <c r="B28" t="inlineStr">
        <is>
          <t>Drone hangar</t>
        </is>
      </c>
      <c r="C28" t="inlineStr">
        <is>
          <t>Nhà chứa drone</t>
        </is>
      </c>
      <c r="D28" t="inlineStr">
        <is>
          <t>Nhà chứa drone</t>
        </is>
      </c>
      <c r="E28" t="inlineStr"/>
      <c r="F28" t="inlineStr"/>
      <c r="G28" t="inlineStr"/>
      <c r="H28" t="n">
        <v>0</v>
      </c>
      <c r="I28" t="n">
        <v>2200</v>
      </c>
      <c r="J28" t="n">
        <v>4840</v>
      </c>
      <c r="K28" t="n">
        <v>2</v>
      </c>
      <c r="L28" t="n">
        <v>2</v>
      </c>
      <c r="M28" t="n">
        <v>2</v>
      </c>
      <c r="N28" t="n">
        <v>2</v>
      </c>
      <c r="O28" t="b">
        <v>1</v>
      </c>
      <c r="P28" t="n">
        <v>0</v>
      </c>
      <c r="Q28" t="n">
        <v>1</v>
      </c>
      <c r="R28" t="n">
        <v>1</v>
      </c>
      <c r="S28" t="n">
        <v>60</v>
      </c>
      <c r="T28" t="n">
        <v>3.6</v>
      </c>
      <c r="U28" t="n">
        <v>8</v>
      </c>
      <c r="V28" t="n">
        <v>8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fpv_hangar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drone_hangar</t>
        </is>
      </c>
      <c r="AK28" t="inlineStr">
        <is>
          <t>giong</t>
        </is>
      </c>
      <c r="BH28" t="inlineStr"/>
      <c r="BI28" t="inlineStr"/>
      <c r="BJ28" t="inlineStr">
        <is>
          <t>Large</t>
        </is>
      </c>
      <c r="BK28" t="inlineStr"/>
      <c r="BL28" t="b">
        <v>1</v>
      </c>
      <c r="BM28" t="n">
        <v>12</v>
      </c>
      <c r="BN28" t="n">
        <v>12</v>
      </c>
      <c r="BO28" t="n">
        <v>60</v>
      </c>
      <c r="BP28" t="n">
        <v>5</v>
      </c>
      <c r="BQ28" t="inlineStr">
        <is>
          <t>Campaign</t>
        </is>
      </c>
      <c r="BR28" t="inlineStr">
        <is>
          <t>drone_hangar</t>
        </is>
      </c>
      <c r="BS28" t="inlineStr"/>
      <c r="BT28" t="n">
        <v>2</v>
      </c>
      <c r="CF28" t="inlineStr">
        <is>
          <t>drone_hangar.lancet;drone_hangar.swarm</t>
        </is>
      </c>
      <c r="CK28" t="n">
        <v>0</v>
      </c>
      <c r="CL28" t="n">
        <v>160</v>
      </c>
      <c r="CM28" t="n">
        <v>0.4</v>
      </c>
      <c r="CN28" t="n">
        <v>10</v>
      </c>
      <c r="CO28" t="inlineStr">
        <is>
          <t>Ultimate</t>
        </is>
      </c>
      <c r="CU28" t="inlineStr">
        <is>
          <t>Large</t>
        </is>
      </c>
      <c r="CV28" t="n">
        <v>2200</v>
      </c>
      <c r="CY28" t="n">
        <v>8</v>
      </c>
      <c r="CZ28" t="inlineStr">
        <is>
          <t>Hull</t>
        </is>
      </c>
      <c r="DA28" t="inlineStr">
        <is>
          <t>door_l</t>
        </is>
      </c>
      <c r="DR28" t="n">
        <v>3.6</v>
      </c>
      <c r="DS28" t="n">
        <v>12</v>
      </c>
      <c r="EG28" t="n">
        <v>0</v>
      </c>
      <c r="EH28" t="b">
        <v>1</v>
      </c>
      <c r="EL28" t="n">
        <v>1</v>
      </c>
      <c r="EN28" t="n">
        <v>1</v>
      </c>
      <c r="EP28" t="n">
        <v>60</v>
      </c>
      <c r="ET28" t="inlineStr">
        <is>
          <t>fpv_hangar</t>
        </is>
      </c>
      <c r="EU28" t="n">
        <v>8</v>
      </c>
      <c r="EV28" t="inlineStr">
        <is>
          <t>Assets/MachineBrigade/Resources/Data/balance.json: vehicles[83]</t>
        </is>
      </c>
      <c r="EW28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9">
      <c r="A29" t="inlineStr">
        <is>
          <t>drone_hangar.lancet</t>
        </is>
      </c>
      <c r="B29" t="inlineStr"/>
      <c r="C29" t="inlineStr"/>
      <c r="D29" t="inlineStr">
        <is>
          <t>Lancet</t>
        </is>
      </c>
      <c r="E29" t="inlineStr"/>
      <c r="F29" t="inlineStr"/>
      <c r="G29" t="inlineStr">
        <is>
          <t>drone_hangar</t>
        </is>
      </c>
      <c r="H29" t="n">
        <v>0</v>
      </c>
      <c r="I29" t="n">
        <v>2200</v>
      </c>
      <c r="J29" t="n">
        <v>4840</v>
      </c>
      <c r="K29" t="n">
        <v>2</v>
      </c>
      <c r="L29" t="n">
        <v>2</v>
      </c>
      <c r="M29" t="n">
        <v>2</v>
      </c>
      <c r="N29" t="n">
        <v>2</v>
      </c>
      <c r="O29" t="b">
        <v>1</v>
      </c>
      <c r="P29" t="n">
        <v>0</v>
      </c>
      <c r="Q29" t="n">
        <v>1</v>
      </c>
      <c r="R29" t="n">
        <v>1</v>
      </c>
      <c r="S29" t="n">
        <v>60</v>
      </c>
      <c r="T29" t="n">
        <v>3.6</v>
      </c>
      <c r="U29" t="n">
        <v>8</v>
      </c>
      <c r="V29" t="n">
        <v>8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lancet_hangar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drone_hangar</t>
        </is>
      </c>
      <c r="AK29" t="inlineStr">
        <is>
          <t>giong</t>
        </is>
      </c>
      <c r="BH29" t="inlineStr">
        <is>
          <t>drone_hangar</t>
        </is>
      </c>
      <c r="BI29" t="inlineStr">
        <is>
          <t>lancet</t>
        </is>
      </c>
      <c r="BJ29" t="inlineStr">
        <is>
          <t>Large</t>
        </is>
      </c>
      <c r="BK29" t="inlineStr">
        <is>
          <t>drone_loitering</t>
        </is>
      </c>
      <c r="BL29" t="b">
        <v>0</v>
      </c>
      <c r="BM29" t="n">
        <v>14</v>
      </c>
      <c r="BN29" t="n">
        <v>14</v>
      </c>
      <c r="BO29" t="n">
        <v>60</v>
      </c>
      <c r="BP29" t="n">
        <v>5</v>
      </c>
      <c r="BQ29" t="inlineStr">
        <is>
          <t>Campaign</t>
        </is>
      </c>
      <c r="BR29" t="inlineStr">
        <is>
          <t>drone_hangar</t>
        </is>
      </c>
      <c r="BS29" t="inlineStr"/>
      <c r="BY29" t="inlineStr">
        <is>
          <t>drone_hangar_a</t>
        </is>
      </c>
      <c r="CE29" t="inlineStr">
        <is>
          <t>drone_hangar</t>
        </is>
      </c>
      <c r="CW29" t="inlineStr">
        <is>
          <t>drone_hangar</t>
        </is>
      </c>
      <c r="DS29" t="n">
        <v>14</v>
      </c>
      <c r="EK29" t="inlineStr">
        <is>
          <t>drone_loitering</t>
        </is>
      </c>
      <c r="ET29" t="inlineStr">
        <is>
          <t>lancet_hangar</t>
        </is>
      </c>
      <c r="EV29" t="inlineStr">
        <is>
          <t>Assets/MachineBrigade/Resources/Data/balance.json: vehicles[107]</t>
        </is>
      </c>
      <c r="EW29" t="inlineStr">
        <is>
          <t>{"id":"drone_hangar.lancet","rebuildCp":14,"towerRole":"drone_loitering","art":"drone_hangar_a","inherits":"drone_hangar","branchOf":"drone_hangar","weapon":"lancet_hangar"}</t>
        </is>
      </c>
    </row>
    <row r="30">
      <c r="A30" t="inlineStr">
        <is>
          <t>drone_hangar.swarm</t>
        </is>
      </c>
      <c r="B30" t="inlineStr"/>
      <c r="C30" t="inlineStr"/>
      <c r="D30" t="inlineStr">
        <is>
          <t>Bầy đàn</t>
        </is>
      </c>
      <c r="E30" t="inlineStr"/>
      <c r="F30" t="inlineStr"/>
      <c r="G30" t="inlineStr">
        <is>
          <t>drone_hangar</t>
        </is>
      </c>
      <c r="H30" t="n">
        <v>0</v>
      </c>
      <c r="I30" t="n">
        <v>2200</v>
      </c>
      <c r="J30" t="n">
        <v>4840</v>
      </c>
      <c r="K30" t="n">
        <v>2</v>
      </c>
      <c r="L30" t="n">
        <v>2</v>
      </c>
      <c r="M30" t="n">
        <v>2</v>
      </c>
      <c r="N30" t="n">
        <v>2</v>
      </c>
      <c r="O30" t="b">
        <v>1</v>
      </c>
      <c r="P30" t="n">
        <v>0</v>
      </c>
      <c r="Q30" t="n">
        <v>1</v>
      </c>
      <c r="R30" t="n">
        <v>1</v>
      </c>
      <c r="S30" t="n">
        <v>60</v>
      </c>
      <c r="T30" t="n">
        <v>3.6</v>
      </c>
      <c r="U30" t="n">
        <v>8</v>
      </c>
      <c r="V30" t="n">
        <v>8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fpv_hangar_swarm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drone_hangar</t>
        </is>
      </c>
      <c r="AK30" t="inlineStr">
        <is>
          <t>giong</t>
        </is>
      </c>
      <c r="BH30" t="inlineStr">
        <is>
          <t>drone_hangar</t>
        </is>
      </c>
      <c r="BI30" t="inlineStr">
        <is>
          <t>swarm</t>
        </is>
      </c>
      <c r="BJ30" t="inlineStr">
        <is>
          <t>Large</t>
        </is>
      </c>
      <c r="BK30" t="inlineStr">
        <is>
          <t>drone_fpv_swarm</t>
        </is>
      </c>
      <c r="BL30" t="b">
        <v>0</v>
      </c>
      <c r="BM30" t="n">
        <v>14</v>
      </c>
      <c r="BN30" t="n">
        <v>14</v>
      </c>
      <c r="BO30" t="n">
        <v>60</v>
      </c>
      <c r="BP30" t="n">
        <v>5</v>
      </c>
      <c r="BQ30" t="inlineStr">
        <is>
          <t>Campaign</t>
        </is>
      </c>
      <c r="BR30" t="inlineStr">
        <is>
          <t>drone_hangar</t>
        </is>
      </c>
      <c r="BS30" t="inlineStr"/>
      <c r="BY30" t="inlineStr">
        <is>
          <t>drone_hangar_b</t>
        </is>
      </c>
      <c r="CE30" t="inlineStr">
        <is>
          <t>drone_hangar</t>
        </is>
      </c>
      <c r="CW30" t="inlineStr">
        <is>
          <t>drone_hangar</t>
        </is>
      </c>
      <c r="DS30" t="n">
        <v>14</v>
      </c>
      <c r="EK30" t="inlineStr">
        <is>
          <t>drone_fpv_swarm</t>
        </is>
      </c>
      <c r="ET30" t="inlineStr">
        <is>
          <t>fpv_hangar_swarm</t>
        </is>
      </c>
      <c r="EV30" t="inlineStr">
        <is>
          <t>Assets/MachineBrigade/Resources/Data/balance.json: vehicles[108]</t>
        </is>
      </c>
      <c r="EW30" t="inlineStr">
        <is>
          <t>{"id":"drone_hangar.swarm","rebuildCp":14,"towerRole":"drone_fpv_swarm","art":"drone_hangar_b","inherits":"drone_hangar","branchOf":"drone_hangar","weapon":"fpv_hangar_swarm"}</t>
        </is>
      </c>
    </row>
    <row r="31">
      <c r="A31" t="inlineStr">
        <is>
          <t>drone_net_tower</t>
        </is>
      </c>
      <c r="B31" t="inlineStr">
        <is>
          <t>Drone net corridor</t>
        </is>
      </c>
      <c r="C31" t="inlineStr">
        <is>
          <t>Lưới chắn drone</t>
        </is>
      </c>
      <c r="D31" t="inlineStr">
        <is>
          <t>Lưới drone</t>
        </is>
      </c>
      <c r="E31" t="inlineStr"/>
      <c r="F31" t="inlineStr"/>
      <c r="G31" t="inlineStr"/>
      <c r="H31" t="n">
        <v>0</v>
      </c>
      <c r="I31" t="n">
        <v>364</v>
      </c>
      <c r="J31" t="n">
        <v>800.8</v>
      </c>
      <c r="K31" t="n">
        <v>0</v>
      </c>
      <c r="L31" t="n">
        <v>0</v>
      </c>
      <c r="M31" t="n">
        <v>0</v>
      </c>
      <c r="N31" t="n">
        <v>0</v>
      </c>
      <c r="O31" t="b">
        <v>1</v>
      </c>
      <c r="P31" t="n">
        <v>0</v>
      </c>
      <c r="Q31" t="n">
        <v>1</v>
      </c>
      <c r="R31" t="n">
        <v>1</v>
      </c>
      <c r="S31" t="n">
        <v>20</v>
      </c>
      <c r="T31" t="n">
        <v>1.6</v>
      </c>
      <c r="U31" t="n">
        <v>3</v>
      </c>
      <c r="V31" t="n">
        <v>8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net_zap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drone_net_tower</t>
        </is>
      </c>
      <c r="AK31" t="inlineStr">
        <is>
          <t>giong</t>
        </is>
      </c>
      <c r="BH31" t="inlineStr"/>
      <c r="BI31" t="inlineStr"/>
      <c r="BJ31" t="inlineStr">
        <is>
          <t>Small</t>
        </is>
      </c>
      <c r="BK31" t="inlineStr"/>
      <c r="BL31" t="b">
        <v>0</v>
      </c>
      <c r="BM31" t="n">
        <v>2</v>
      </c>
      <c r="BN31" t="n">
        <v>2</v>
      </c>
      <c r="BO31" t="n">
        <v>25</v>
      </c>
      <c r="BP31" t="n">
        <v>2.5</v>
      </c>
      <c r="BQ31" t="inlineStr">
        <is>
          <t>Campaign</t>
        </is>
      </c>
      <c r="BR31" t="inlineStr">
        <is>
          <t>drone_net_tower</t>
        </is>
      </c>
      <c r="BS31" t="inlineStr"/>
      <c r="BT31" t="n">
        <v>0</v>
      </c>
      <c r="CK31" t="n">
        <v>0</v>
      </c>
      <c r="CU31" t="inlineStr">
        <is>
          <t>Small</t>
        </is>
      </c>
      <c r="CV31" t="n">
        <v>364</v>
      </c>
      <c r="CY31" t="n">
        <v>3</v>
      </c>
      <c r="DI31" t="inlineStr">
        <is>
          <t>drone_net_tower</t>
        </is>
      </c>
      <c r="DJ31" t="n">
        <v>4.6</v>
      </c>
      <c r="DK31" t="n">
        <v>6</v>
      </c>
      <c r="DL31" t="n">
        <v>4</v>
      </c>
      <c r="DQ31" t="b">
        <v>1</v>
      </c>
      <c r="DR31" t="n">
        <v>1.6</v>
      </c>
      <c r="EG31" t="n">
        <v>0</v>
      </c>
      <c r="EH31" t="b">
        <v>1</v>
      </c>
      <c r="EL31" t="n">
        <v>1</v>
      </c>
      <c r="EN31" t="n">
        <v>1</v>
      </c>
      <c r="EP31" t="n">
        <v>20</v>
      </c>
      <c r="ET31" t="inlineStr">
        <is>
          <t>net_zap</t>
        </is>
      </c>
      <c r="EU31" t="n">
        <v>8</v>
      </c>
      <c r="EV31" t="inlineStr">
        <is>
          <t>Assets/MachineBrigade/Resources/Data/balance.json: vehicles[199]</t>
        </is>
      </c>
      <c r="EW31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32">
      <c r="A32" t="inlineStr">
        <is>
          <t>ew_tower</t>
        </is>
      </c>
      <c r="B32" t="inlineStr">
        <is>
          <t>EW tower</t>
        </is>
      </c>
      <c r="C32" t="inlineStr">
        <is>
          <t>Tháp gây nhiễu EW</t>
        </is>
      </c>
      <c r="D32" t="inlineStr">
        <is>
          <t>Tháp EW</t>
        </is>
      </c>
      <c r="E32" t="inlineStr"/>
      <c r="F32" t="inlineStr"/>
      <c r="G32" t="inlineStr"/>
      <c r="H32" t="n">
        <v>0</v>
      </c>
      <c r="I32" t="n">
        <v>800</v>
      </c>
      <c r="J32" t="n">
        <v>1760</v>
      </c>
      <c r="K32" t="n">
        <v>1</v>
      </c>
      <c r="L32" t="n">
        <v>1</v>
      </c>
      <c r="M32" t="n">
        <v>1</v>
      </c>
      <c r="N32" t="n">
        <v>1</v>
      </c>
      <c r="O32" t="b">
        <v>1</v>
      </c>
      <c r="P32" t="n">
        <v>0</v>
      </c>
      <c r="Q32" t="n">
        <v>1</v>
      </c>
      <c r="R32" t="n">
        <v>60</v>
      </c>
      <c r="S32" t="n">
        <v>50</v>
      </c>
      <c r="T32" t="n">
        <v>1.8</v>
      </c>
      <c r="U32" t="n">
        <v>4</v>
      </c>
      <c r="V32" t="n">
        <v>4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none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ew_tower</t>
        </is>
      </c>
      <c r="AK32" t="inlineStr">
        <is>
          <t>giong</t>
        </is>
      </c>
      <c r="BH32" t="inlineStr"/>
      <c r="BI32" t="inlineStr"/>
      <c r="BJ32" t="inlineStr">
        <is>
          <t>Small</t>
        </is>
      </c>
      <c r="BK32" t="inlineStr"/>
      <c r="BL32" t="b">
        <v>1</v>
      </c>
      <c r="BM32" t="n">
        <v>3</v>
      </c>
      <c r="BN32" t="n">
        <v>3</v>
      </c>
      <c r="BO32" t="n">
        <v>25</v>
      </c>
      <c r="BP32" t="n">
        <v>2.5</v>
      </c>
      <c r="BQ32" t="inlineStr">
        <is>
          <t>Campaign</t>
        </is>
      </c>
      <c r="BR32" t="inlineStr">
        <is>
          <t>ew_tower</t>
        </is>
      </c>
      <c r="BS32" t="inlineStr"/>
      <c r="BT32" t="n">
        <v>1</v>
      </c>
      <c r="CF32" t="inlineStr">
        <is>
          <t>ew_tower.drone;ew_tower.spoof</t>
        </is>
      </c>
      <c r="CK32" t="n">
        <v>0</v>
      </c>
      <c r="CL32" t="n">
        <v>60</v>
      </c>
      <c r="CM32" t="n">
        <v>0.3</v>
      </c>
      <c r="CN32" t="n">
        <v>5</v>
      </c>
      <c r="CO32" t="inlineStr">
        <is>
          <t>Large</t>
        </is>
      </c>
      <c r="CU32" t="inlineStr">
        <is>
          <t>Small</t>
        </is>
      </c>
      <c r="CV32" t="n">
        <v>800</v>
      </c>
      <c r="CX32" t="n">
        <v>30</v>
      </c>
      <c r="CY32" t="n">
        <v>4</v>
      </c>
      <c r="DR32" t="n">
        <v>1.8</v>
      </c>
      <c r="DS32" t="n">
        <v>3</v>
      </c>
      <c r="EG32" t="n">
        <v>0</v>
      </c>
      <c r="EH32" t="b">
        <v>1</v>
      </c>
      <c r="EL32" t="n">
        <v>1</v>
      </c>
      <c r="EN32" t="n">
        <v>60</v>
      </c>
      <c r="EP32" t="n">
        <v>50</v>
      </c>
      <c r="ET32" t="inlineStr">
        <is>
          <t>none</t>
        </is>
      </c>
      <c r="EU32" t="n">
        <v>4</v>
      </c>
      <c r="EV32" t="inlineStr">
        <is>
          <t>Assets/MachineBrigade/Resources/Data/balance.json: vehicles[79]</t>
        </is>
      </c>
      <c r="EW32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33">
      <c r="A33" t="inlineStr">
        <is>
          <t>ew_tower.drone</t>
        </is>
      </c>
      <c r="B33" t="inlineStr"/>
      <c r="C33" t="inlineStr"/>
      <c r="D33" t="inlineStr">
        <is>
          <t>Chống drone</t>
        </is>
      </c>
      <c r="E33" t="inlineStr"/>
      <c r="F33" t="inlineStr"/>
      <c r="G33" t="inlineStr">
        <is>
          <t>ew_tower</t>
        </is>
      </c>
      <c r="H33" t="n">
        <v>0</v>
      </c>
      <c r="I33" t="n">
        <v>800</v>
      </c>
      <c r="J33" t="n">
        <v>1760</v>
      </c>
      <c r="K33" t="n">
        <v>1</v>
      </c>
      <c r="L33" t="n">
        <v>1</v>
      </c>
      <c r="M33" t="n">
        <v>1</v>
      </c>
      <c r="N33" t="n">
        <v>1</v>
      </c>
      <c r="O33" t="b">
        <v>1</v>
      </c>
      <c r="P33" t="n">
        <v>0</v>
      </c>
      <c r="Q33" t="n">
        <v>1</v>
      </c>
      <c r="R33" t="n">
        <v>60</v>
      </c>
      <c r="S33" t="n">
        <v>50</v>
      </c>
      <c r="T33" t="n">
        <v>1.8</v>
      </c>
      <c r="U33" t="n">
        <v>4</v>
      </c>
      <c r="V33" t="n">
        <v>4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none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ew_tower</t>
        </is>
      </c>
      <c r="AK33" t="inlineStr">
        <is>
          <t>giong</t>
        </is>
      </c>
      <c r="BH33" t="inlineStr">
        <is>
          <t>ew_tower</t>
        </is>
      </c>
      <c r="BI33" t="inlineStr">
        <is>
          <t>drone</t>
        </is>
      </c>
      <c r="BJ33" t="inlineStr">
        <is>
          <t>Small</t>
        </is>
      </c>
      <c r="BK33" t="inlineStr">
        <is>
          <t>jam_drones_guided</t>
        </is>
      </c>
      <c r="BL33" t="b">
        <v>0</v>
      </c>
      <c r="BM33" t="n">
        <v>3</v>
      </c>
      <c r="BN33" t="n">
        <v>3</v>
      </c>
      <c r="BO33" t="n">
        <v>25</v>
      </c>
      <c r="BP33" t="n">
        <v>2.5</v>
      </c>
      <c r="BQ33" t="inlineStr">
        <is>
          <t>Campaign</t>
        </is>
      </c>
      <c r="BR33" t="inlineStr">
        <is>
          <t>ew_tower</t>
        </is>
      </c>
      <c r="BS33" t="inlineStr"/>
      <c r="BY33" t="inlineStr">
        <is>
          <t>ew_tower_a</t>
        </is>
      </c>
      <c r="CE33" t="inlineStr">
        <is>
          <t>ew_tower</t>
        </is>
      </c>
      <c r="CW33" t="inlineStr">
        <is>
          <t>ew_tower</t>
        </is>
      </c>
      <c r="CX33" t="n">
        <v>45</v>
      </c>
      <c r="DS33" t="n">
        <v>3</v>
      </c>
      <c r="EK33" t="inlineStr">
        <is>
          <t>jam_drones_guided</t>
        </is>
      </c>
      <c r="EV33" t="inlineStr">
        <is>
          <t>Assets/MachineBrigade/Resources/Data/balance.json: vehicles[88]</t>
        </is>
      </c>
      <c r="EW33" t="inlineStr">
        <is>
          <t>{"id":"ew_tower.drone","rebuildCp":3,"towerRole":"jam_drones_guided","art":"ew_tower_a","inherits":"ew_tower","branchOf":"ew_tower","jammer":45}</t>
        </is>
      </c>
    </row>
    <row r="34">
      <c r="A34" t="inlineStr">
        <is>
          <t>ew_tower.spoof</t>
        </is>
      </c>
      <c r="B34" t="inlineStr"/>
      <c r="C34" t="inlineStr"/>
      <c r="D34" t="inlineStr">
        <is>
          <t>Đánh lừa radar</t>
        </is>
      </c>
      <c r="E34" t="inlineStr"/>
      <c r="F34" t="inlineStr"/>
      <c r="G34" t="inlineStr">
        <is>
          <t>ew_tower</t>
        </is>
      </c>
      <c r="H34" t="n">
        <v>0</v>
      </c>
      <c r="I34" t="n">
        <v>800</v>
      </c>
      <c r="J34" t="n">
        <v>1760</v>
      </c>
      <c r="K34" t="n">
        <v>1</v>
      </c>
      <c r="L34" t="n">
        <v>1</v>
      </c>
      <c r="M34" t="n">
        <v>1</v>
      </c>
      <c r="N34" t="n">
        <v>1</v>
      </c>
      <c r="O34" t="b">
        <v>1</v>
      </c>
      <c r="P34" t="n">
        <v>0</v>
      </c>
      <c r="Q34" t="n">
        <v>1</v>
      </c>
      <c r="R34" t="n">
        <v>60</v>
      </c>
      <c r="S34" t="n">
        <v>50</v>
      </c>
      <c r="T34" t="n">
        <v>1.8</v>
      </c>
      <c r="U34" t="n">
        <v>4</v>
      </c>
      <c r="V34" t="n">
        <v>4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none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ew_tower</t>
        </is>
      </c>
      <c r="AK34" t="inlineStr">
        <is>
          <t>giong</t>
        </is>
      </c>
      <c r="BH34" t="inlineStr">
        <is>
          <t>ew_tower</t>
        </is>
      </c>
      <c r="BI34" t="inlineStr">
        <is>
          <t>spoof</t>
        </is>
      </c>
      <c r="BJ34" t="inlineStr">
        <is>
          <t>Small</t>
        </is>
      </c>
      <c r="BK34" t="inlineStr">
        <is>
          <t>radar_spoof_counterbattery</t>
        </is>
      </c>
      <c r="BL34" t="b">
        <v>0</v>
      </c>
      <c r="BM34" t="n">
        <v>3</v>
      </c>
      <c r="BN34" t="n">
        <v>3</v>
      </c>
      <c r="BO34" t="n">
        <v>25</v>
      </c>
      <c r="BP34" t="n">
        <v>2.5</v>
      </c>
      <c r="BQ34" t="inlineStr">
        <is>
          <t>Campaign</t>
        </is>
      </c>
      <c r="BR34" t="inlineStr">
        <is>
          <t>ew_tower</t>
        </is>
      </c>
      <c r="BS34" t="inlineStr"/>
      <c r="BY34" t="inlineStr">
        <is>
          <t>ew_tower_b</t>
        </is>
      </c>
      <c r="CE34" t="inlineStr">
        <is>
          <t>ew_tower</t>
        </is>
      </c>
      <c r="CH34" t="n">
        <v>0</v>
      </c>
      <c r="CI34" t="n">
        <v>80</v>
      </c>
      <c r="CJ34" t="n">
        <v>6</v>
      </c>
      <c r="CW34" t="inlineStr">
        <is>
          <t>ew_tower</t>
        </is>
      </c>
      <c r="DS34" t="n">
        <v>3</v>
      </c>
      <c r="EK34" t="inlineStr">
        <is>
          <t>radar_spoof_counterbattery</t>
        </is>
      </c>
      <c r="EV34" t="inlineStr">
        <is>
          <t>Assets/MachineBrigade/Resources/Data/balance.json: vehicles[89]</t>
        </is>
      </c>
      <c r="EW34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35">
      <c r="A35" t="inlineStr">
        <is>
          <t>flare_searchlight_tower</t>
        </is>
      </c>
      <c r="B35" t="inlineStr">
        <is>
          <t>Flare tower (small slot)</t>
        </is>
      </c>
      <c r="C35" t="inlineStr">
        <is>
          <t>Tháp pháo sáng (ô nhỏ)</t>
        </is>
      </c>
      <c r="D35" t="inlineStr">
        <is>
          <t>Tháp pháo sáng</t>
        </is>
      </c>
      <c r="E35" t="inlineStr"/>
      <c r="F35" t="inlineStr"/>
      <c r="G35" t="inlineStr"/>
      <c r="H35" t="n">
        <v>0</v>
      </c>
      <c r="I35" t="n">
        <v>455</v>
      </c>
      <c r="J35" t="n">
        <v>1001</v>
      </c>
      <c r="K35" t="n">
        <v>1</v>
      </c>
      <c r="L35" t="n">
        <v>1</v>
      </c>
      <c r="M35" t="n">
        <v>1</v>
      </c>
      <c r="N35" t="n">
        <v>1</v>
      </c>
      <c r="O35" t="b">
        <v>1</v>
      </c>
      <c r="P35" t="n">
        <v>0</v>
      </c>
      <c r="Q35" t="n">
        <v>1</v>
      </c>
      <c r="R35" t="n">
        <v>90</v>
      </c>
      <c r="S35" t="n">
        <v>55</v>
      </c>
      <c r="T35" t="n">
        <v>1.8</v>
      </c>
      <c r="U35" t="n">
        <v>3.6</v>
      </c>
      <c r="V35" t="n">
        <v>3.6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illum_flare</t>
        </is>
      </c>
      <c r="AE35" t="inlineStr"/>
      <c r="AF35" t="inlineStr"/>
      <c r="AG35" t="inlineStr">
        <is>
          <t>flare</t>
        </is>
      </c>
      <c r="AH35" t="n">
        <v>0</v>
      </c>
      <c r="AI35" t="n">
        <v>0</v>
      </c>
      <c r="AJ35" t="inlineStr">
        <is>
          <t>flare_searchlight_tower</t>
        </is>
      </c>
      <c r="AK35" t="inlineStr">
        <is>
          <t>giong</t>
        </is>
      </c>
      <c r="BH35" t="inlineStr"/>
      <c r="BI35" t="inlineStr"/>
      <c r="BJ35" t="inlineStr">
        <is>
          <t>Small</t>
        </is>
      </c>
      <c r="BK35" t="inlineStr"/>
      <c r="BL35" t="b">
        <v>0</v>
      </c>
      <c r="BM35" t="n">
        <v>2</v>
      </c>
      <c r="BN35" t="n">
        <v>2</v>
      </c>
      <c r="BO35" t="n">
        <v>25</v>
      </c>
      <c r="BP35" t="n">
        <v>2.5</v>
      </c>
      <c r="BQ35" t="inlineStr">
        <is>
          <t>Campaign</t>
        </is>
      </c>
      <c r="BR35" t="inlineStr">
        <is>
          <t>flare_searchlight_tower</t>
        </is>
      </c>
      <c r="BS35" t="inlineStr"/>
      <c r="BT35" t="n">
        <v>1</v>
      </c>
      <c r="CK35" t="n">
        <v>0</v>
      </c>
      <c r="CL35" t="n">
        <v>25</v>
      </c>
      <c r="CM35" t="n">
        <v>0.2</v>
      </c>
      <c r="CN35" t="n">
        <v>4</v>
      </c>
      <c r="CO35" t="inlineStr">
        <is>
          <t>Large</t>
        </is>
      </c>
      <c r="CU35" t="inlineStr">
        <is>
          <t>Small</t>
        </is>
      </c>
      <c r="CV35" t="n">
        <v>455</v>
      </c>
      <c r="CY35" t="n">
        <v>3.6</v>
      </c>
      <c r="DI35" t="inlineStr">
        <is>
          <t>flare_searchlight_tower</t>
        </is>
      </c>
      <c r="DJ35" t="n">
        <v>5</v>
      </c>
      <c r="DK35" t="n">
        <v>3.6</v>
      </c>
      <c r="DL35" t="n">
        <v>3.6</v>
      </c>
      <c r="DR35" t="n">
        <v>1.8</v>
      </c>
      <c r="EG35" t="n">
        <v>0</v>
      </c>
      <c r="EH35" t="b">
        <v>1</v>
      </c>
      <c r="EL35" t="n">
        <v>1</v>
      </c>
      <c r="EN35" t="n">
        <v>90</v>
      </c>
      <c r="EP35" t="n">
        <v>55</v>
      </c>
      <c r="ET35" t="inlineStr">
        <is>
          <t>illum_flare</t>
        </is>
      </c>
      <c r="EU35" t="n">
        <v>3.6</v>
      </c>
      <c r="EV35" t="inlineStr">
        <is>
          <t>Assets/MachineBrigade/Resources/Data/balance.json: vehicles[190]</t>
        </is>
      </c>
      <c r="EW35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36">
      <c r="A36" t="inlineStr">
        <is>
          <t>flare_tower</t>
        </is>
      </c>
      <c r="B36" t="inlineStr">
        <is>
          <t>Flare tower</t>
        </is>
      </c>
      <c r="C36" t="inlineStr">
        <is>
          <t>Tháp pháo sáng</t>
        </is>
      </c>
      <c r="D36" t="inlineStr">
        <is>
          <t>Tháp pháo sáng</t>
        </is>
      </c>
      <c r="E36" t="inlineStr"/>
      <c r="F36" t="inlineStr"/>
      <c r="G36" t="inlineStr"/>
      <c r="H36" t="n">
        <v>0</v>
      </c>
      <c r="I36" t="n">
        <v>455</v>
      </c>
      <c r="J36" t="n">
        <v>1001</v>
      </c>
      <c r="K36" t="n">
        <v>1</v>
      </c>
      <c r="L36" t="n">
        <v>1</v>
      </c>
      <c r="M36" t="n">
        <v>1</v>
      </c>
      <c r="N36" t="n">
        <v>1</v>
      </c>
      <c r="O36" t="b">
        <v>1</v>
      </c>
      <c r="P36" t="n">
        <v>0</v>
      </c>
      <c r="Q36" t="n">
        <v>1</v>
      </c>
      <c r="R36" t="n">
        <v>90</v>
      </c>
      <c r="S36" t="n">
        <v>60</v>
      </c>
      <c r="T36" t="n">
        <v>1.8</v>
      </c>
      <c r="U36" t="n">
        <v>3.6</v>
      </c>
      <c r="V36" t="n">
        <v>3.6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illum_flare</t>
        </is>
      </c>
      <c r="AE36" t="inlineStr"/>
      <c r="AF36" t="inlineStr"/>
      <c r="AG36" t="inlineStr">
        <is>
          <t>flare</t>
        </is>
      </c>
      <c r="AH36" t="n">
        <v>0</v>
      </c>
      <c r="AI36" t="n">
        <v>0</v>
      </c>
      <c r="AJ36" t="inlineStr">
        <is>
          <t>flare_tower</t>
        </is>
      </c>
      <c r="AK36" t="inlineStr">
        <is>
          <t>giong</t>
        </is>
      </c>
      <c r="BH36" t="inlineStr"/>
      <c r="BI36" t="inlineStr"/>
      <c r="BJ36" t="inlineStr">
        <is>
          <t>Small</t>
        </is>
      </c>
      <c r="BK36" t="inlineStr"/>
      <c r="BL36" t="b">
        <v>0</v>
      </c>
      <c r="BM36" t="n">
        <v>2</v>
      </c>
      <c r="BN36" t="n">
        <v>2</v>
      </c>
      <c r="BO36" t="n">
        <v>25</v>
      </c>
      <c r="BP36" t="n">
        <v>2.5</v>
      </c>
      <c r="BQ36" t="inlineStr">
        <is>
          <t>Campaign</t>
        </is>
      </c>
      <c r="BR36" t="inlineStr">
        <is>
          <t>flare_tower</t>
        </is>
      </c>
      <c r="BS36" t="inlineStr"/>
      <c r="BT36" t="n">
        <v>1</v>
      </c>
      <c r="CK36" t="n">
        <v>0</v>
      </c>
      <c r="CL36" t="n">
        <v>30</v>
      </c>
      <c r="CM36" t="n">
        <v>0.2</v>
      </c>
      <c r="CN36" t="n">
        <v>4</v>
      </c>
      <c r="CO36" t="inlineStr">
        <is>
          <t>Large</t>
        </is>
      </c>
      <c r="CU36" t="inlineStr">
        <is>
          <t>Small</t>
        </is>
      </c>
      <c r="CV36" t="n">
        <v>455</v>
      </c>
      <c r="CY36" t="n">
        <v>3.6</v>
      </c>
      <c r="DJ36" t="n">
        <v>5</v>
      </c>
      <c r="DK36" t="n">
        <v>3.6</v>
      </c>
      <c r="DL36" t="n">
        <v>3.6</v>
      </c>
      <c r="DR36" t="n">
        <v>1.8</v>
      </c>
      <c r="EG36" t="n">
        <v>0</v>
      </c>
      <c r="EH36" t="b">
        <v>1</v>
      </c>
      <c r="EL36" t="n">
        <v>1</v>
      </c>
      <c r="EN36" t="n">
        <v>90</v>
      </c>
      <c r="EP36" t="n">
        <v>60</v>
      </c>
      <c r="ET36" t="inlineStr">
        <is>
          <t>illum_flare</t>
        </is>
      </c>
      <c r="EU36" t="n">
        <v>3.6</v>
      </c>
      <c r="EV36" t="inlineStr">
        <is>
          <t>Assets/MachineBrigade/Resources/Data/balance.json: vehicles[164]</t>
        </is>
      </c>
      <c r="EW36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37">
      <c r="A37" t="inlineStr">
        <is>
          <t>guard_tower</t>
        </is>
      </c>
      <c r="B37" t="inlineStr">
        <is>
          <t>Guard tower</t>
        </is>
      </c>
      <c r="C37" t="inlineStr">
        <is>
          <t>Tháp canh</t>
        </is>
      </c>
      <c r="D37" t="inlineStr">
        <is>
          <t>Tháp canh</t>
        </is>
      </c>
      <c r="E37" t="inlineStr"/>
      <c r="F37" t="inlineStr"/>
      <c r="G37" t="inlineStr"/>
      <c r="H37" t="n">
        <v>0</v>
      </c>
      <c r="I37" t="n">
        <v>700</v>
      </c>
      <c r="J37" t="n">
        <v>1540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200</v>
      </c>
      <c r="S37" t="n">
        <v>60</v>
      </c>
      <c r="T37" t="n">
        <v>1.8</v>
      </c>
      <c r="U37" t="n">
        <v>3.5</v>
      </c>
      <c r="V37" t="n">
        <v>3.5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tower_hmg</t>
        </is>
      </c>
      <c r="AE37" t="inlineStr"/>
      <c r="AF37" t="inlineStr"/>
      <c r="AG37" t="inlineStr">
        <is>
          <t>none</t>
        </is>
      </c>
      <c r="AH37" t="inlineStr"/>
      <c r="AI37" t="inlineStr"/>
      <c r="AJ37" t="inlineStr">
        <is>
          <t>guard_tower</t>
        </is>
      </c>
      <c r="AK37" t="inlineStr">
        <is>
          <t>giong</t>
        </is>
      </c>
      <c r="BH37" t="inlineStr"/>
      <c r="BI37" t="inlineStr"/>
      <c r="BJ37" t="inlineStr">
        <is>
          <t>Small</t>
        </is>
      </c>
      <c r="BK37" t="inlineStr"/>
      <c r="BL37" t="b">
        <v>1</v>
      </c>
      <c r="BM37" t="n">
        <v>5</v>
      </c>
      <c r="BN37" t="n">
        <v>5</v>
      </c>
      <c r="BO37" t="n">
        <v>25</v>
      </c>
      <c r="BP37" t="n">
        <v>2.5</v>
      </c>
      <c r="BQ37" t="inlineStr">
        <is>
          <t>Starter</t>
        </is>
      </c>
      <c r="BR37" t="inlineStr">
        <is>
          <t>guard_tower</t>
        </is>
      </c>
      <c r="BS37" t="inlineStr"/>
      <c r="BT37" t="n">
        <v>1</v>
      </c>
      <c r="CF37" t="inlineStr">
        <is>
          <t>guard_tower.watch;guard_tower.nest</t>
        </is>
      </c>
      <c r="CK37" t="n">
        <v>0</v>
      </c>
      <c r="CL37" t="n">
        <v>60</v>
      </c>
      <c r="CM37" t="n">
        <v>0.3</v>
      </c>
      <c r="CN37" t="n">
        <v>5</v>
      </c>
      <c r="CO37" t="inlineStr">
        <is>
          <t>Large</t>
        </is>
      </c>
      <c r="CU37" t="inlineStr">
        <is>
          <t>Small</t>
        </is>
      </c>
      <c r="CV37" t="n">
        <v>700</v>
      </c>
      <c r="CY37" t="n">
        <v>3.5</v>
      </c>
      <c r="DR37" t="n">
        <v>1.8</v>
      </c>
      <c r="DS37" t="n">
        <v>5</v>
      </c>
      <c r="DX37" t="b">
        <v>1</v>
      </c>
      <c r="EB37" t="inlineStr"/>
      <c r="EG37" t="n">
        <v>0</v>
      </c>
      <c r="EH37" t="b">
        <v>1</v>
      </c>
      <c r="EI37" t="n">
        <v>25</v>
      </c>
      <c r="EJ37" t="n">
        <v>0.1</v>
      </c>
      <c r="EL37" t="n">
        <v>1</v>
      </c>
      <c r="EN37" t="n">
        <v>200</v>
      </c>
      <c r="EP37" t="n">
        <v>60</v>
      </c>
      <c r="ET37" t="inlineStr">
        <is>
          <t>tower_hmg</t>
        </is>
      </c>
      <c r="EU37" t="n">
        <v>3.5</v>
      </c>
      <c r="EV37" t="inlineStr">
        <is>
          <t>Assets/MachineBrigade/Resources/Data/balance.json: vehicles[124]</t>
        </is>
      </c>
      <c r="EW37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38">
      <c r="A38" t="inlineStr">
        <is>
          <t>guard_tower.nest</t>
        </is>
      </c>
      <c r="B38" t="inlineStr"/>
      <c r="C38" t="inlineStr"/>
      <c r="D38" t="inlineStr">
        <is>
          <t>Ổ súng</t>
        </is>
      </c>
      <c r="E38" t="inlineStr"/>
      <c r="F38" t="inlineStr"/>
      <c r="G38" t="inlineStr">
        <is>
          <t>guard_tower</t>
        </is>
      </c>
      <c r="H38" t="n">
        <v>0</v>
      </c>
      <c r="I38" t="n">
        <v>700</v>
      </c>
      <c r="J38" t="n">
        <v>1540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200</v>
      </c>
      <c r="S38" t="n">
        <v>48</v>
      </c>
      <c r="T38" t="n">
        <v>1.8</v>
      </c>
      <c r="U38" t="n">
        <v>3.5</v>
      </c>
      <c r="V38" t="n">
        <v>3.5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tower_ac25</t>
        </is>
      </c>
      <c r="AE38" t="inlineStr"/>
      <c r="AF38" t="inlineStr"/>
      <c r="AG38" t="inlineStr">
        <is>
          <t>none</t>
        </is>
      </c>
      <c r="AH38" t="inlineStr"/>
      <c r="AI38" t="inlineStr"/>
      <c r="AJ38" t="inlineStr">
        <is>
          <t>guard_tower</t>
        </is>
      </c>
      <c r="AK38" t="inlineStr">
        <is>
          <t>giong</t>
        </is>
      </c>
      <c r="BH38" t="inlineStr">
        <is>
          <t>guard_tower</t>
        </is>
      </c>
      <c r="BI38" t="inlineStr">
        <is>
          <t>nest</t>
        </is>
      </c>
      <c r="BJ38" t="inlineStr">
        <is>
          <t>Small</t>
        </is>
      </c>
      <c r="BK38" t="inlineStr">
        <is>
          <t>autocannon_25</t>
        </is>
      </c>
      <c r="BL38" t="b">
        <v>0</v>
      </c>
      <c r="BM38" t="n">
        <v>5</v>
      </c>
      <c r="BN38" t="n">
        <v>5</v>
      </c>
      <c r="BO38" t="n">
        <v>25</v>
      </c>
      <c r="BP38" t="n">
        <v>2.5</v>
      </c>
      <c r="BQ38" t="inlineStr">
        <is>
          <t>Campaign</t>
        </is>
      </c>
      <c r="BR38" t="inlineStr">
        <is>
          <t>guard_tower</t>
        </is>
      </c>
      <c r="BS38" t="inlineStr"/>
      <c r="BY38" t="inlineStr">
        <is>
          <t>guard_tower_b</t>
        </is>
      </c>
      <c r="CE38" t="inlineStr">
        <is>
          <t>guard_tower</t>
        </is>
      </c>
      <c r="CW38" t="inlineStr">
        <is>
          <t>guard_tower</t>
        </is>
      </c>
      <c r="DS38" t="n">
        <v>5</v>
      </c>
      <c r="EK38" t="inlineStr">
        <is>
          <t>autocannon_25</t>
        </is>
      </c>
      <c r="EP38" t="n">
        <v>48</v>
      </c>
      <c r="ET38" t="inlineStr">
        <is>
          <t>tower_ac25</t>
        </is>
      </c>
      <c r="EV38" t="inlineStr">
        <is>
          <t>Assets/MachineBrigade/Resources/Data/balance.json: vehicles[85]</t>
        </is>
      </c>
      <c r="EW38" t="inlineStr">
        <is>
          <t>{"id":"guard_tower.nest","rebuildCp":5,"towerRole":"autocannon_25","art":"guard_tower_b","inherits":"guard_tower","branchOf":"guard_tower","weapon":"tower_ac25","vision":48}</t>
        </is>
      </c>
    </row>
    <row r="39">
      <c r="A39" t="inlineStr">
        <is>
          <t>guard_tower.watch</t>
        </is>
      </c>
      <c r="B39" t="inlineStr"/>
      <c r="C39" t="inlineStr"/>
      <c r="D39" t="inlineStr">
        <is>
          <t>Tháp quan sát</t>
        </is>
      </c>
      <c r="E39" t="inlineStr"/>
      <c r="F39" t="inlineStr"/>
      <c r="G39" t="inlineStr">
        <is>
          <t>guard_tower</t>
        </is>
      </c>
      <c r="H39" t="n">
        <v>0</v>
      </c>
      <c r="I39" t="n">
        <v>700</v>
      </c>
      <c r="J39" t="n">
        <v>1540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200</v>
      </c>
      <c r="S39" t="n">
        <v>78</v>
      </c>
      <c r="T39" t="n">
        <v>1.8</v>
      </c>
      <c r="U39" t="n">
        <v>3.5</v>
      </c>
      <c r="V39" t="n">
        <v>3.5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tower_hmg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guard_tower</t>
        </is>
      </c>
      <c r="AK39" t="inlineStr">
        <is>
          <t>giong</t>
        </is>
      </c>
      <c r="BH39" t="inlineStr">
        <is>
          <t>guard_tower</t>
        </is>
      </c>
      <c r="BI39" t="inlineStr">
        <is>
          <t>watch</t>
        </is>
      </c>
      <c r="BJ39" t="inlineStr">
        <is>
          <t>Small</t>
        </is>
      </c>
      <c r="BK39" t="inlineStr">
        <is>
          <t>observation_reach</t>
        </is>
      </c>
      <c r="BL39" t="b">
        <v>0</v>
      </c>
      <c r="BM39" t="n">
        <v>5</v>
      </c>
      <c r="BN39" t="n">
        <v>5</v>
      </c>
      <c r="BO39" t="n">
        <v>25</v>
      </c>
      <c r="BP39" t="n">
        <v>2.5</v>
      </c>
      <c r="BQ39" t="inlineStr">
        <is>
          <t>Campaign</t>
        </is>
      </c>
      <c r="BR39" t="inlineStr">
        <is>
          <t>guard_tower</t>
        </is>
      </c>
      <c r="BS39" t="inlineStr"/>
      <c r="BY39" t="inlineStr">
        <is>
          <t>guard_tower_a</t>
        </is>
      </c>
      <c r="CE39" t="inlineStr">
        <is>
          <t>guard_tower</t>
        </is>
      </c>
      <c r="CW39" t="inlineStr">
        <is>
          <t>guard_tower</t>
        </is>
      </c>
      <c r="DS39" t="n">
        <v>5</v>
      </c>
      <c r="EI39" t="n">
        <v>30</v>
      </c>
      <c r="EJ39" t="n">
        <v>0.15</v>
      </c>
      <c r="EK39" t="inlineStr">
        <is>
          <t>observation_reach</t>
        </is>
      </c>
      <c r="EP39" t="n">
        <v>78</v>
      </c>
      <c r="EV39" t="inlineStr">
        <is>
          <t>Assets/MachineBrigade/Resources/Data/balance.json: vehicles[84]</t>
        </is>
      </c>
      <c r="EW39" t="inlineStr">
        <is>
          <t>{"id":"guard_tower.watch","rebuildCp":5,"towerRole":"observation_reach","art":"guard_tower_a","inherits":"guard_tower","branchOf":"guard_tower","vision":78,"towerRangeAura":{"radius":30,"range":0.15}}</t>
        </is>
      </c>
    </row>
    <row r="40">
      <c r="A40" t="inlineStr">
        <is>
          <t>gun_turret</t>
        </is>
      </c>
      <c r="B40" t="inlineStr">
        <is>
          <t>Gun turret</t>
        </is>
      </c>
      <c r="C40" t="inlineStr">
        <is>
          <t>Tháp pháo</t>
        </is>
      </c>
      <c r="D40" t="inlineStr">
        <is>
          <t>Tháp pháo</t>
        </is>
      </c>
      <c r="E40" t="inlineStr"/>
      <c r="F40" t="inlineStr"/>
      <c r="G40" t="inlineStr"/>
      <c r="H40" t="n">
        <v>0</v>
      </c>
      <c r="I40" t="n">
        <v>1800</v>
      </c>
      <c r="J40" t="n">
        <v>3960</v>
      </c>
      <c r="K40" t="n">
        <v>3</v>
      </c>
      <c r="L40" t="n">
        <v>3</v>
      </c>
      <c r="M40" t="n">
        <v>3</v>
      </c>
      <c r="N40" t="n">
        <v>3</v>
      </c>
      <c r="O40" t="b">
        <v>1</v>
      </c>
      <c r="P40" t="n">
        <v>0</v>
      </c>
      <c r="Q40" t="n">
        <v>1</v>
      </c>
      <c r="R40" t="n">
        <v>28</v>
      </c>
      <c r="S40" t="n">
        <v>42</v>
      </c>
      <c r="T40" t="n">
        <v>2.5</v>
      </c>
      <c r="U40" t="n">
        <v>5</v>
      </c>
      <c r="V40" t="n">
        <v>5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1</v>
      </c>
      <c r="AD40" t="inlineStr">
        <is>
          <t>turret_gun_120</t>
        </is>
      </c>
      <c r="AE40" t="inlineStr"/>
      <c r="AF40" t="inlineStr"/>
      <c r="AG40" t="inlineStr">
        <is>
          <t>none</t>
        </is>
      </c>
      <c r="AH40" t="inlineStr"/>
      <c r="AI40" t="inlineStr"/>
      <c r="AJ40" t="inlineStr">
        <is>
          <t>gun_turret</t>
        </is>
      </c>
      <c r="AK40" t="inlineStr">
        <is>
          <t>giong</t>
        </is>
      </c>
      <c r="BH40" t="inlineStr"/>
      <c r="BI40" t="inlineStr"/>
      <c r="BJ40" t="inlineStr">
        <is>
          <t>Medium</t>
        </is>
      </c>
      <c r="BK40" t="inlineStr"/>
      <c r="BL40" t="b">
        <v>1</v>
      </c>
      <c r="BM40" t="n">
        <v>11</v>
      </c>
      <c r="BN40" t="n">
        <v>11</v>
      </c>
      <c r="BO40" t="n">
        <v>40</v>
      </c>
      <c r="BP40" t="n">
        <v>3.5</v>
      </c>
      <c r="BQ40" t="inlineStr">
        <is>
          <t>Starter</t>
        </is>
      </c>
      <c r="BR40" t="inlineStr">
        <is>
          <t>gun_turret</t>
        </is>
      </c>
      <c r="BS40" t="inlineStr"/>
      <c r="BT40" t="n">
        <v>3</v>
      </c>
      <c r="CF40" t="inlineStr">
        <is>
          <t>gun_turret.long;gun_turret.auto</t>
        </is>
      </c>
      <c r="CK40" t="n">
        <v>0</v>
      </c>
      <c r="CL40" t="n">
        <v>120</v>
      </c>
      <c r="CM40" t="n">
        <v>0.4</v>
      </c>
      <c r="CN40" t="n">
        <v>8</v>
      </c>
      <c r="CO40" t="inlineStr">
        <is>
          <t>Huge</t>
        </is>
      </c>
      <c r="CU40" t="inlineStr">
        <is>
          <t>Medium</t>
        </is>
      </c>
      <c r="CV40" t="n">
        <v>1800</v>
      </c>
      <c r="CY40" t="n">
        <v>5</v>
      </c>
      <c r="DR40" t="n">
        <v>2.5</v>
      </c>
      <c r="DS40" t="n">
        <v>11</v>
      </c>
      <c r="EB40" t="inlineStr"/>
      <c r="EG40" t="n">
        <v>0</v>
      </c>
      <c r="EH40" t="b">
        <v>1</v>
      </c>
      <c r="EL40" t="n">
        <v>1</v>
      </c>
      <c r="EN40" t="n">
        <v>28</v>
      </c>
      <c r="EP40" t="n">
        <v>42</v>
      </c>
      <c r="ET40" t="inlineStr">
        <is>
          <t>turret_gun_120</t>
        </is>
      </c>
      <c r="EU40" t="n">
        <v>5</v>
      </c>
      <c r="EV40" t="inlineStr">
        <is>
          <t>Assets/MachineBrigade/Resources/Data/balance.json: vehicles[77]</t>
        </is>
      </c>
      <c r="EW40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41">
      <c r="A41" t="inlineStr">
        <is>
          <t>gun_turret.auto</t>
        </is>
      </c>
      <c r="B41" t="inlineStr"/>
      <c r="C41" t="inlineStr"/>
      <c r="D41" t="inlineStr">
        <is>
          <t>Pháo 57 mm</t>
        </is>
      </c>
      <c r="E41" t="inlineStr"/>
      <c r="F41" t="inlineStr"/>
      <c r="G41" t="inlineStr">
        <is>
          <t>gun_turret</t>
        </is>
      </c>
      <c r="H41" t="n">
        <v>0</v>
      </c>
      <c r="I41" t="n">
        <v>1800</v>
      </c>
      <c r="J41" t="n">
        <v>3960</v>
      </c>
      <c r="K41" t="n">
        <v>3</v>
      </c>
      <c r="L41" t="n">
        <v>3</v>
      </c>
      <c r="M41" t="n">
        <v>3</v>
      </c>
      <c r="N41" t="n">
        <v>3</v>
      </c>
      <c r="O41" t="b">
        <v>1</v>
      </c>
      <c r="P41" t="n">
        <v>0</v>
      </c>
      <c r="Q41" t="n">
        <v>1</v>
      </c>
      <c r="R41" t="n">
        <v>28</v>
      </c>
      <c r="S41" t="n">
        <v>42</v>
      </c>
      <c r="T41" t="n">
        <v>2.5</v>
      </c>
      <c r="U41" t="n">
        <v>5</v>
      </c>
      <c r="V41" t="n">
        <v>5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1</v>
      </c>
      <c r="AD41" t="inlineStr">
        <is>
          <t>gun_57_auto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gun_turret</t>
        </is>
      </c>
      <c r="AK41" t="inlineStr">
        <is>
          <t>giong</t>
        </is>
      </c>
      <c r="BH41" t="inlineStr">
        <is>
          <t>gun_turret</t>
        </is>
      </c>
      <c r="BI41" t="inlineStr">
        <is>
          <t>auto</t>
        </is>
      </c>
      <c r="BJ41" t="inlineStr">
        <is>
          <t>Medium</t>
        </is>
      </c>
      <c r="BK41" t="inlineStr">
        <is>
          <t>gun_57_light</t>
        </is>
      </c>
      <c r="BL41" t="b">
        <v>0</v>
      </c>
      <c r="BM41" t="n">
        <v>11</v>
      </c>
      <c r="BN41" t="n">
        <v>11</v>
      </c>
      <c r="BO41" t="n">
        <v>40</v>
      </c>
      <c r="BP41" t="n">
        <v>3.5</v>
      </c>
      <c r="BQ41" t="inlineStr">
        <is>
          <t>Campaign</t>
        </is>
      </c>
      <c r="BR41" t="inlineStr">
        <is>
          <t>gun_turret</t>
        </is>
      </c>
      <c r="BS41" t="inlineStr"/>
      <c r="BY41" t="inlineStr">
        <is>
          <t>gun_turret_b</t>
        </is>
      </c>
      <c r="CE41" t="inlineStr">
        <is>
          <t>gun_turret</t>
        </is>
      </c>
      <c r="CW41" t="inlineStr">
        <is>
          <t>gun_turret</t>
        </is>
      </c>
      <c r="DS41" t="n">
        <v>11</v>
      </c>
      <c r="EK41" t="inlineStr">
        <is>
          <t>gun_57_light</t>
        </is>
      </c>
      <c r="ET41" t="inlineStr">
        <is>
          <t>gun_57_auto</t>
        </is>
      </c>
      <c r="EV41" t="inlineStr">
        <is>
          <t>Assets/MachineBrigade/Resources/Data/balance.json: vehicles[96]</t>
        </is>
      </c>
      <c r="EW41" t="inlineStr">
        <is>
          <t>{"id":"gun_turret.auto","rebuildCp":11,"towerRole":"gun_57_light","art":"gun_turret_b","inherits":"gun_turret","branchOf":"gun_turret","weapon":"gun_57_auto"}</t>
        </is>
      </c>
    </row>
    <row r="42">
      <c r="A42" t="inlineStr">
        <is>
          <t>gun_turret.long</t>
        </is>
      </c>
      <c r="B42" t="inlineStr"/>
      <c r="C42" t="inlineStr"/>
      <c r="D42" t="inlineStr">
        <is>
          <t>Pháo bắn tỉa</t>
        </is>
      </c>
      <c r="E42" t="inlineStr"/>
      <c r="F42" t="inlineStr"/>
      <c r="G42" t="inlineStr">
        <is>
          <t>gun_turret</t>
        </is>
      </c>
      <c r="H42" t="n">
        <v>0</v>
      </c>
      <c r="I42" t="n">
        <v>1800</v>
      </c>
      <c r="J42" t="n">
        <v>3960</v>
      </c>
      <c r="K42" t="n">
        <v>3</v>
      </c>
      <c r="L42" t="n">
        <v>3</v>
      </c>
      <c r="M42" t="n">
        <v>3</v>
      </c>
      <c r="N42" t="n">
        <v>3</v>
      </c>
      <c r="O42" t="b">
        <v>1</v>
      </c>
      <c r="P42" t="n">
        <v>0</v>
      </c>
      <c r="Q42" t="n">
        <v>1</v>
      </c>
      <c r="R42" t="n">
        <v>28</v>
      </c>
      <c r="S42" t="n">
        <v>42</v>
      </c>
      <c r="T42" t="n">
        <v>2.5</v>
      </c>
      <c r="U42" t="n">
        <v>5</v>
      </c>
      <c r="V42" t="n">
        <v>5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1</v>
      </c>
      <c r="AD42" t="inlineStr">
        <is>
          <t>turret_gun_120_long</t>
        </is>
      </c>
      <c r="AE42" t="inlineStr"/>
      <c r="AF42" t="inlineStr"/>
      <c r="AG42" t="inlineStr">
        <is>
          <t>none</t>
        </is>
      </c>
      <c r="AH42" t="inlineStr"/>
      <c r="AI42" t="inlineStr"/>
      <c r="AJ42" t="inlineStr">
        <is>
          <t>gun_turret</t>
        </is>
      </c>
      <c r="AK42" t="inlineStr">
        <is>
          <t>giong</t>
        </is>
      </c>
      <c r="BH42" t="inlineStr">
        <is>
          <t>gun_turret</t>
        </is>
      </c>
      <c r="BI42" t="inlineStr">
        <is>
          <t>long</t>
        </is>
      </c>
      <c r="BJ42" t="inlineStr">
        <is>
          <t>Medium</t>
        </is>
      </c>
      <c r="BK42" t="inlineStr">
        <is>
          <t>gun_sniper_120</t>
        </is>
      </c>
      <c r="BL42" t="b">
        <v>0</v>
      </c>
      <c r="BM42" t="n">
        <v>11</v>
      </c>
      <c r="BN42" t="n">
        <v>11</v>
      </c>
      <c r="BO42" t="n">
        <v>40</v>
      </c>
      <c r="BP42" t="n">
        <v>3.5</v>
      </c>
      <c r="BQ42" t="inlineStr">
        <is>
          <t>Campaign</t>
        </is>
      </c>
      <c r="BR42" t="inlineStr">
        <is>
          <t>gun_turret</t>
        </is>
      </c>
      <c r="BS42" t="inlineStr"/>
      <c r="BY42" t="inlineStr">
        <is>
          <t>gun_turret_a</t>
        </is>
      </c>
      <c r="CE42" t="inlineStr">
        <is>
          <t>gun_turret</t>
        </is>
      </c>
      <c r="CW42" t="inlineStr">
        <is>
          <t>gun_turret</t>
        </is>
      </c>
      <c r="DS42" t="n">
        <v>11</v>
      </c>
      <c r="EK42" t="inlineStr">
        <is>
          <t>gun_sniper_120</t>
        </is>
      </c>
      <c r="ET42" t="inlineStr">
        <is>
          <t>turret_gun_120_long</t>
        </is>
      </c>
      <c r="EV42" t="inlineStr">
        <is>
          <t>Assets/MachineBrigade/Resources/Data/balance.json: vehicles[95]</t>
        </is>
      </c>
      <c r="EW42" t="inlineStr">
        <is>
          <t>{"id":"gun_turret.long","rebuildCp":11,"towerRole":"gun_sniper_120","art":"gun_turret_a","inherits":"gun_turret","branchOf":"gun_turret","weapon":"turret_gun_120_long"}</t>
        </is>
      </c>
    </row>
    <row r="43">
      <c r="A43" t="inlineStr">
        <is>
          <t>heavy_flak_tower</t>
        </is>
      </c>
      <c r="B43" t="inlineStr">
        <is>
          <t>Heavy flak tower</t>
        </is>
      </c>
      <c r="C43" t="inlineStr">
        <is>
          <t>Tháp cao xạ hạng nặng</t>
        </is>
      </c>
      <c r="D43" t="inlineStr">
        <is>
          <t>Cao xạ nặng</t>
        </is>
      </c>
      <c r="E43" t="inlineStr"/>
      <c r="F43" t="inlineStr"/>
      <c r="G43" t="inlineStr"/>
      <c r="H43" t="n">
        <v>0</v>
      </c>
      <c r="I43" t="n">
        <v>1364</v>
      </c>
      <c r="J43" t="n">
        <v>3000.8</v>
      </c>
      <c r="K43" t="n">
        <v>2</v>
      </c>
      <c r="L43" t="n">
        <v>2</v>
      </c>
      <c r="M43" t="n">
        <v>2</v>
      </c>
      <c r="N43" t="n">
        <v>2</v>
      </c>
      <c r="O43" t="b">
        <v>1</v>
      </c>
      <c r="P43" t="n">
        <v>0</v>
      </c>
      <c r="Q43" t="n">
        <v>1</v>
      </c>
      <c r="R43" t="n">
        <v>40</v>
      </c>
      <c r="S43" t="n">
        <v>64</v>
      </c>
      <c r="T43" t="n">
        <v>2.6</v>
      </c>
      <c r="U43" t="n">
        <v>5.5</v>
      </c>
      <c r="V43" t="n">
        <v>5.5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flak_88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heavy_flak_tower</t>
        </is>
      </c>
      <c r="AK43" t="inlineStr">
        <is>
          <t>giong</t>
        </is>
      </c>
      <c r="BH43" t="inlineStr"/>
      <c r="BI43" t="inlineStr"/>
      <c r="BJ43" t="inlineStr">
        <is>
          <t>Medium</t>
        </is>
      </c>
      <c r="BK43" t="inlineStr"/>
      <c r="BL43" t="b">
        <v>1</v>
      </c>
      <c r="BM43" t="n">
        <v>7</v>
      </c>
      <c r="BN43" t="n">
        <v>7</v>
      </c>
      <c r="BO43" t="n">
        <v>40</v>
      </c>
      <c r="BP43" t="n">
        <v>3.5</v>
      </c>
      <c r="BQ43" t="inlineStr">
        <is>
          <t>Premium</t>
        </is>
      </c>
      <c r="BR43" t="inlineStr">
        <is>
          <t>heavy_flak_tower</t>
        </is>
      </c>
      <c r="BS43" t="inlineStr"/>
      <c r="BT43" t="n">
        <v>2</v>
      </c>
      <c r="CF43" t="inlineStr">
        <is>
          <t>heavy_flak_tower.heavy;heavy_flak_tower.bofors</t>
        </is>
      </c>
      <c r="CK43" t="n">
        <v>0</v>
      </c>
      <c r="CL43" t="n">
        <v>120</v>
      </c>
      <c r="CM43" t="n">
        <v>0.4</v>
      </c>
      <c r="CN43" t="n">
        <v>8</v>
      </c>
      <c r="CO43" t="inlineStr">
        <is>
          <t>Huge</t>
        </is>
      </c>
      <c r="CU43" t="inlineStr">
        <is>
          <t>Medium</t>
        </is>
      </c>
      <c r="CV43" t="n">
        <v>1364</v>
      </c>
      <c r="CY43" t="n">
        <v>5.5</v>
      </c>
      <c r="DJ43" t="n">
        <v>3.4</v>
      </c>
      <c r="DK43" t="n">
        <v>7</v>
      </c>
      <c r="DL43" t="n">
        <v>6</v>
      </c>
      <c r="DR43" t="n">
        <v>2.6</v>
      </c>
      <c r="DS43" t="n">
        <v>7</v>
      </c>
      <c r="EB43" t="inlineStr"/>
      <c r="EG43" t="n">
        <v>0</v>
      </c>
      <c r="EH43" t="b">
        <v>1</v>
      </c>
      <c r="EL43" t="n">
        <v>1</v>
      </c>
      <c r="EN43" t="n">
        <v>40</v>
      </c>
      <c r="EP43" t="n">
        <v>64</v>
      </c>
      <c r="ET43" t="inlineStr">
        <is>
          <t>flak_88</t>
        </is>
      </c>
      <c r="EU43" t="n">
        <v>5.5</v>
      </c>
      <c r="EV43" t="inlineStr">
        <is>
          <t>Assets/MachineBrigade/Resources/Data/balance.json: vehicles[129]</t>
        </is>
      </c>
      <c r="EW43" t="inlineStr">
        <is>
          <t>{"id":"heavy_flak_tower","rebuildCp":7,"branches":["heavy_flak_tower.heavy","heavy_flak_tower.bofors"],"modelSize":[7.0,6.0,3.4],"fort":{"size":"Medium"},"static":true,"armour":2,"hp":1364,"speed":0,"turnRate":1,"turretTurnRate":40,"radius":2.6,"length":5.5,"width":5.5,"cp":0,"vision":64,"weapon":"flak_88","secondary":[],"deathExplosion":{"damage":120,"radius":8,"delay":0.4,"tier":"Huge"}}</t>
        </is>
      </c>
    </row>
    <row r="44">
      <c r="A44" t="inlineStr">
        <is>
          <t>heavy_flak_tower.bofors</t>
        </is>
      </c>
      <c r="B44" t="inlineStr"/>
      <c r="C44" t="inlineStr"/>
      <c r="D44" t="inlineStr">
        <is>
          <t>PK 40</t>
        </is>
      </c>
      <c r="E44" t="inlineStr"/>
      <c r="F44" t="inlineStr"/>
      <c r="G44" t="inlineStr">
        <is>
          <t>aa_gun_tower</t>
        </is>
      </c>
      <c r="H44" t="n">
        <v>0</v>
      </c>
      <c r="I44" t="n">
        <v>1273</v>
      </c>
      <c r="J44" t="n">
        <v>2800.6</v>
      </c>
      <c r="K44" t="n">
        <v>2</v>
      </c>
      <c r="L44" t="n">
        <v>2</v>
      </c>
      <c r="M44" t="n">
        <v>2</v>
      </c>
      <c r="N44" t="n">
        <v>2</v>
      </c>
      <c r="O44" t="b">
        <v>1</v>
      </c>
      <c r="P44" t="n">
        <v>0</v>
      </c>
      <c r="Q44" t="n">
        <v>1</v>
      </c>
      <c r="R44" t="n">
        <v>120</v>
      </c>
      <c r="S44" t="n">
        <v>56</v>
      </c>
      <c r="T44" t="n">
        <v>2.4</v>
      </c>
      <c r="U44" t="n">
        <v>5</v>
      </c>
      <c r="V44" t="n">
        <v>5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bofors_l70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aa_gun_tower</t>
        </is>
      </c>
      <c r="AK44" t="inlineStr">
        <is>
          <t>moi</t>
        </is>
      </c>
      <c r="BH44" t="inlineStr">
        <is>
          <t>heavy_flak_tower</t>
        </is>
      </c>
      <c r="BI44" t="inlineStr">
        <is>
          <t>bofors</t>
        </is>
      </c>
      <c r="BJ44" t="inlineStr">
        <is>
          <t>Medium</t>
        </is>
      </c>
      <c r="BK44" t="inlineStr">
        <is>
          <t>aa_40_steady</t>
        </is>
      </c>
      <c r="BL44" t="b">
        <v>0</v>
      </c>
      <c r="BM44" t="n">
        <v>6</v>
      </c>
      <c r="BN44" t="n">
        <v>6</v>
      </c>
      <c r="BO44" t="n">
        <v>40</v>
      </c>
      <c r="BP44" t="n">
        <v>3.5</v>
      </c>
      <c r="BQ44" t="inlineStr">
        <is>
          <t>Campaign</t>
        </is>
      </c>
      <c r="BR44" t="inlineStr">
        <is>
          <t>heavy_flak_tower</t>
        </is>
      </c>
      <c r="BS44" t="inlineStr"/>
      <c r="CE44" t="inlineStr">
        <is>
          <t>heavy_flak_tower</t>
        </is>
      </c>
      <c r="CW44" t="inlineStr">
        <is>
          <t>aa_gun_tower</t>
        </is>
      </c>
      <c r="DS44" t="n">
        <v>6</v>
      </c>
      <c r="EK44" t="inlineStr">
        <is>
          <t>aa_40_steady</t>
        </is>
      </c>
      <c r="EV44" t="inlineStr">
        <is>
          <t>Assets/MachineBrigade/Resources/Data/balance.json: vehicles[131]</t>
        </is>
      </c>
      <c r="EW44" t="inlineStr">
        <is>
          <t>{"id":"heavy_flak_tower.bofors","rebuildCp":6,"inherits":"aa_gun_tower","branchOf":"heavy_flak_tower","towerRole":"aa_40_steady"}</t>
        </is>
      </c>
    </row>
    <row r="45">
      <c r="A45" t="inlineStr">
        <is>
          <t>heavy_flak_tower.heavy</t>
        </is>
      </c>
      <c r="B45" t="inlineStr"/>
      <c r="C45" t="inlineStr"/>
      <c r="D45" t="inlineStr">
        <is>
          <t>Cao xạ nặng</t>
        </is>
      </c>
      <c r="E45" t="inlineStr"/>
      <c r="F45" t="inlineStr"/>
      <c r="G45" t="inlineStr">
        <is>
          <t>heavy_flak_tower</t>
        </is>
      </c>
      <c r="H45" t="n">
        <v>0</v>
      </c>
      <c r="I45" t="n">
        <v>1364</v>
      </c>
      <c r="J45" t="n">
        <v>3000.8</v>
      </c>
      <c r="K45" t="n">
        <v>2</v>
      </c>
      <c r="L45" t="n">
        <v>2</v>
      </c>
      <c r="M45" t="n">
        <v>2</v>
      </c>
      <c r="N45" t="n">
        <v>2</v>
      </c>
      <c r="O45" t="b">
        <v>1</v>
      </c>
      <c r="P45" t="n">
        <v>0</v>
      </c>
      <c r="Q45" t="n">
        <v>1</v>
      </c>
      <c r="R45" t="n">
        <v>40</v>
      </c>
      <c r="S45" t="n">
        <v>64</v>
      </c>
      <c r="T45" t="n">
        <v>2.6</v>
      </c>
      <c r="U45" t="n">
        <v>5.5</v>
      </c>
      <c r="V45" t="n">
        <v>5.5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flak_88</t>
        </is>
      </c>
      <c r="AE45" t="inlineStr"/>
      <c r="AF45" t="inlineStr"/>
      <c r="AG45" t="inlineStr">
        <is>
          <t>none</t>
        </is>
      </c>
      <c r="AH45" t="inlineStr"/>
      <c r="AI45" t="inlineStr"/>
      <c r="AJ45" t="inlineStr">
        <is>
          <t>heavy_flak_tower</t>
        </is>
      </c>
      <c r="AK45" t="inlineStr">
        <is>
          <t>moi</t>
        </is>
      </c>
      <c r="BH45" t="inlineStr">
        <is>
          <t>heavy_flak_tower</t>
        </is>
      </c>
      <c r="BI45" t="inlineStr">
        <is>
          <t>heavy</t>
        </is>
      </c>
      <c r="BJ45" t="inlineStr">
        <is>
          <t>Medium</t>
        </is>
      </c>
      <c r="BK45" t="inlineStr">
        <is>
          <t>aa_heavy_flak_area</t>
        </is>
      </c>
      <c r="BL45" t="b">
        <v>0</v>
      </c>
      <c r="BM45" t="n">
        <v>7</v>
      </c>
      <c r="BN45" t="n">
        <v>7</v>
      </c>
      <c r="BO45" t="n">
        <v>40</v>
      </c>
      <c r="BP45" t="n">
        <v>3.5</v>
      </c>
      <c r="BQ45" t="inlineStr">
        <is>
          <t>Campaign</t>
        </is>
      </c>
      <c r="BR45" t="inlineStr">
        <is>
          <t>heavy_flak_tower</t>
        </is>
      </c>
      <c r="BS45" t="inlineStr"/>
      <c r="CE45" t="inlineStr">
        <is>
          <t>heavy_flak_tower</t>
        </is>
      </c>
      <c r="CW45" t="inlineStr">
        <is>
          <t>heavy_flak_tower</t>
        </is>
      </c>
      <c r="DS45" t="n">
        <v>7</v>
      </c>
      <c r="EK45" t="inlineStr">
        <is>
          <t>aa_heavy_flak_area</t>
        </is>
      </c>
      <c r="EV45" t="inlineStr">
        <is>
          <t>Assets/MachineBrigade/Resources/Data/balance.json: vehicles[130]</t>
        </is>
      </c>
      <c r="EW45" t="inlineStr">
        <is>
          <t>{"id":"heavy_flak_tower.heavy","rebuildCp":7,"inherits":"heavy_flak_tower","branchOf":"heavy_flak_tower","towerRole":"aa_heavy_flak_area"}</t>
        </is>
      </c>
    </row>
    <row r="46">
      <c r="A46" t="inlineStr">
        <is>
          <t>heavy_turret</t>
        </is>
      </c>
      <c r="B46" t="inlineStr">
        <is>
          <t>Heavy gun turret</t>
        </is>
      </c>
      <c r="C46" t="inlineStr">
        <is>
          <t>Tháp pháo hạng nặng</t>
        </is>
      </c>
      <c r="D46" t="inlineStr">
        <is>
          <t>Pháo hạng nặng</t>
        </is>
      </c>
      <c r="E46" t="inlineStr"/>
      <c r="F46" t="inlineStr"/>
      <c r="G46" t="inlineStr"/>
      <c r="H46" t="n">
        <v>0</v>
      </c>
      <c r="I46" t="n">
        <v>2800</v>
      </c>
      <c r="J46" t="n">
        <v>6160</v>
      </c>
      <c r="K46" t="n">
        <v>4</v>
      </c>
      <c r="L46" t="n">
        <v>3</v>
      </c>
      <c r="M46" t="n">
        <v>3</v>
      </c>
      <c r="N46" t="n">
        <v>3</v>
      </c>
      <c r="O46" t="b">
        <v>1</v>
      </c>
      <c r="P46" t="n">
        <v>0</v>
      </c>
      <c r="Q46" t="n">
        <v>1</v>
      </c>
      <c r="R46" t="n">
        <v>20</v>
      </c>
      <c r="S46" t="n">
        <v>60</v>
      </c>
      <c r="T46" t="n">
        <v>3.8</v>
      </c>
      <c r="U46" t="n">
        <v>8</v>
      </c>
      <c r="V46" t="n">
        <v>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gun_155_twin_ap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heavy_turret</t>
        </is>
      </c>
      <c r="AK46" t="inlineStr">
        <is>
          <t>giong</t>
        </is>
      </c>
      <c r="BH46" t="inlineStr"/>
      <c r="BI46" t="inlineStr"/>
      <c r="BJ46" t="inlineStr">
        <is>
          <t>Large</t>
        </is>
      </c>
      <c r="BK46" t="inlineStr"/>
      <c r="BL46" t="b">
        <v>1</v>
      </c>
      <c r="BM46" t="n">
        <v>18</v>
      </c>
      <c r="BN46" t="n">
        <v>18</v>
      </c>
      <c r="BO46" t="n">
        <v>60</v>
      </c>
      <c r="BP46" t="n">
        <v>5</v>
      </c>
      <c r="BQ46" t="inlineStr">
        <is>
          <t>Campaign</t>
        </is>
      </c>
      <c r="BR46" t="inlineStr">
        <is>
          <t>heavy_turret</t>
        </is>
      </c>
      <c r="BS46" t="inlineStr"/>
      <c r="BU46" t="n">
        <v>4</v>
      </c>
      <c r="BV46" t="n">
        <v>3</v>
      </c>
      <c r="BW46" t="n">
        <v>3</v>
      </c>
      <c r="BX46" t="n">
        <v>3</v>
      </c>
      <c r="CF46" t="inlineStr">
        <is>
          <t>heavy_turret.coastal;heavy_turret.bastion</t>
        </is>
      </c>
      <c r="CK46" t="n">
        <v>0</v>
      </c>
      <c r="CL46" t="n">
        <v>220</v>
      </c>
      <c r="CM46" t="n">
        <v>0.5</v>
      </c>
      <c r="CN46" t="n">
        <v>12</v>
      </c>
      <c r="CO46" t="inlineStr">
        <is>
          <t>Ultimate</t>
        </is>
      </c>
      <c r="CU46" t="inlineStr">
        <is>
          <t>Large</t>
        </is>
      </c>
      <c r="CV46" t="n">
        <v>2800</v>
      </c>
      <c r="CY46" t="n">
        <v>8</v>
      </c>
      <c r="DR46" t="n">
        <v>3.8</v>
      </c>
      <c r="DS46" t="n">
        <v>18</v>
      </c>
      <c r="EB46" t="inlineStr"/>
      <c r="EG46" t="n">
        <v>0</v>
      </c>
      <c r="EH46" t="b">
        <v>1</v>
      </c>
      <c r="EL46" t="n">
        <v>1</v>
      </c>
      <c r="EN46" t="n">
        <v>20</v>
      </c>
      <c r="EP46" t="n">
        <v>60</v>
      </c>
      <c r="ET46" t="inlineStr">
        <is>
          <t>gun_155_twin_ap</t>
        </is>
      </c>
      <c r="EU46" t="n">
        <v>8</v>
      </c>
      <c r="EV46" t="inlineStr">
        <is>
          <t>Assets/MachineBrigade/Resources/Data/balance.json: vehicles[74]</t>
        </is>
      </c>
      <c r="EW46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47">
      <c r="A47" t="inlineStr">
        <is>
          <t>heavy_turret.bastion</t>
        </is>
      </c>
      <c r="B47" t="inlineStr"/>
      <c r="C47" t="inlineStr"/>
      <c r="D47" t="inlineStr">
        <is>
          <t>Pháo đài thép</t>
        </is>
      </c>
      <c r="E47" t="inlineStr"/>
      <c r="F47" t="inlineStr"/>
      <c r="G47" t="inlineStr">
        <is>
          <t>heavy_turret</t>
        </is>
      </c>
      <c r="H47" t="n">
        <v>0</v>
      </c>
      <c r="I47" t="n">
        <v>4340</v>
      </c>
      <c r="J47" t="n">
        <v>9548</v>
      </c>
      <c r="K47" t="n">
        <v>4</v>
      </c>
      <c r="L47" t="n">
        <v>3</v>
      </c>
      <c r="M47" t="n">
        <v>3</v>
      </c>
      <c r="N47" t="n">
        <v>3</v>
      </c>
      <c r="O47" t="b">
        <v>1</v>
      </c>
      <c r="P47" t="n">
        <v>0</v>
      </c>
      <c r="Q47" t="n">
        <v>1</v>
      </c>
      <c r="R47" t="n">
        <v>20</v>
      </c>
      <c r="S47" t="n">
        <v>60</v>
      </c>
      <c r="T47" t="n">
        <v>3.8</v>
      </c>
      <c r="U47" t="n">
        <v>8</v>
      </c>
      <c r="V47" t="n">
        <v>8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gun_155_twin_ap</t>
        </is>
      </c>
      <c r="AE47" t="inlineStr">
        <is>
          <t>hmg_roof;hmg_roof</t>
        </is>
      </c>
      <c r="AF47" t="inlineStr"/>
      <c r="AG47" t="inlineStr">
        <is>
          <t>none</t>
        </is>
      </c>
      <c r="AH47" t="inlineStr"/>
      <c r="AI47" t="inlineStr"/>
      <c r="AJ47" t="inlineStr">
        <is>
          <t>heavy_turret</t>
        </is>
      </c>
      <c r="AK47" t="inlineStr">
        <is>
          <t>giong</t>
        </is>
      </c>
      <c r="BH47" t="inlineStr">
        <is>
          <t>heavy_turret</t>
        </is>
      </c>
      <c r="BI47" t="inlineStr">
        <is>
          <t>bastion</t>
        </is>
      </c>
      <c r="BJ47" t="inlineStr">
        <is>
          <t>Large</t>
        </is>
      </c>
      <c r="BK47" t="inlineStr">
        <is>
          <t>fortress_close_defence</t>
        </is>
      </c>
      <c r="BL47" t="b">
        <v>0</v>
      </c>
      <c r="BM47" t="n">
        <v>18</v>
      </c>
      <c r="BN47" t="n">
        <v>18</v>
      </c>
      <c r="BO47" t="n">
        <v>60</v>
      </c>
      <c r="BP47" t="n">
        <v>5</v>
      </c>
      <c r="BQ47" t="inlineStr">
        <is>
          <t>Campaign</t>
        </is>
      </c>
      <c r="BR47" t="inlineStr">
        <is>
          <t>heavy_turret</t>
        </is>
      </c>
      <c r="BS47" t="inlineStr"/>
      <c r="BY47" t="inlineStr">
        <is>
          <t>heavy_turret_b</t>
        </is>
      </c>
      <c r="CE47" t="inlineStr">
        <is>
          <t>heavy_turret</t>
        </is>
      </c>
      <c r="CV47" t="n">
        <v>4340</v>
      </c>
      <c r="CW47" t="inlineStr">
        <is>
          <t>heavy_turret</t>
        </is>
      </c>
      <c r="DS47" t="n">
        <v>18</v>
      </c>
      <c r="EK47" t="inlineStr">
        <is>
          <t>fortress_close_defence</t>
        </is>
      </c>
      <c r="EV47" t="inlineStr">
        <is>
          <t>Assets/MachineBrigade/Resources/Data/balance.json: vehicles[110]</t>
        </is>
      </c>
      <c r="EW47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48">
      <c r="A48" t="inlineStr">
        <is>
          <t>heavy_turret.coastal</t>
        </is>
      </c>
      <c r="B48" t="inlineStr"/>
      <c r="C48" t="inlineStr"/>
      <c r="D48" t="inlineStr">
        <is>
          <t>Pháo bờ biển</t>
        </is>
      </c>
      <c r="E48" t="inlineStr"/>
      <c r="F48" t="inlineStr"/>
      <c r="G48" t="inlineStr">
        <is>
          <t>heavy_turret</t>
        </is>
      </c>
      <c r="H48" t="n">
        <v>0</v>
      </c>
      <c r="I48" t="n">
        <v>2800</v>
      </c>
      <c r="J48" t="n">
        <v>6160</v>
      </c>
      <c r="K48" t="n">
        <v>4</v>
      </c>
      <c r="L48" t="n">
        <v>3</v>
      </c>
      <c r="M48" t="n">
        <v>3</v>
      </c>
      <c r="N48" t="n">
        <v>3</v>
      </c>
      <c r="O48" t="b">
        <v>1</v>
      </c>
      <c r="P48" t="n">
        <v>0</v>
      </c>
      <c r="Q48" t="n">
        <v>1</v>
      </c>
      <c r="R48" t="n">
        <v>20</v>
      </c>
      <c r="S48" t="n">
        <v>60</v>
      </c>
      <c r="T48" t="n">
        <v>3.8</v>
      </c>
      <c r="U48" t="n">
        <v>8</v>
      </c>
      <c r="V48" t="n">
        <v>8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gun_155_twin_coastlr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heavy_turret</t>
        </is>
      </c>
      <c r="AK48" t="inlineStr">
        <is>
          <t>giong</t>
        </is>
      </c>
      <c r="BH48" t="inlineStr">
        <is>
          <t>heavy_turret</t>
        </is>
      </c>
      <c r="BI48" t="inlineStr">
        <is>
          <t>coastal</t>
        </is>
      </c>
      <c r="BJ48" t="inlineStr">
        <is>
          <t>Large</t>
        </is>
      </c>
      <c r="BK48" t="inlineStr">
        <is>
          <t>gun_coastal_long</t>
        </is>
      </c>
      <c r="BL48" t="b">
        <v>0</v>
      </c>
      <c r="BM48" t="n">
        <v>18</v>
      </c>
      <c r="BN48" t="n">
        <v>18</v>
      </c>
      <c r="BO48" t="n">
        <v>60</v>
      </c>
      <c r="BP48" t="n">
        <v>5</v>
      </c>
      <c r="BQ48" t="inlineStr">
        <is>
          <t>Campaign</t>
        </is>
      </c>
      <c r="BR48" t="inlineStr">
        <is>
          <t>heavy_turret</t>
        </is>
      </c>
      <c r="BS48" t="inlineStr"/>
      <c r="BY48" t="inlineStr">
        <is>
          <t>heavy_turret_a</t>
        </is>
      </c>
      <c r="CE48" t="inlineStr">
        <is>
          <t>heavy_turret</t>
        </is>
      </c>
      <c r="CW48" t="inlineStr">
        <is>
          <t>heavy_turret</t>
        </is>
      </c>
      <c r="DS48" t="n">
        <v>18</v>
      </c>
      <c r="EK48" t="inlineStr">
        <is>
          <t>gun_coastal_long</t>
        </is>
      </c>
      <c r="ET48" t="inlineStr">
        <is>
          <t>gun_155_twin_coastlr</t>
        </is>
      </c>
      <c r="EV48" t="inlineStr">
        <is>
          <t>Assets/MachineBrigade/Resources/Data/balance.json: vehicles[109]</t>
        </is>
      </c>
      <c r="EW48" t="inlineStr">
        <is>
          <t>{"id":"heavy_turret.coastal","rebuildCp":18,"towerRole":"gun_coastal_long","art":"heavy_turret_a","inherits":"heavy_turret","branchOf":"heavy_turret","weapon":"gun_155_twin_coastlr"}</t>
        </is>
      </c>
    </row>
    <row r="49">
      <c r="A49" t="inlineStr">
        <is>
          <t>inflatable_decoy</t>
        </is>
      </c>
      <c r="B49" t="inlineStr">
        <is>
          <t>Inflatable decoy</t>
        </is>
      </c>
      <c r="C49" t="inlineStr">
        <is>
          <t>Mồi nhử bơm hơi</t>
        </is>
      </c>
      <c r="D49" t="inlineStr">
        <is>
          <t>Mồi nhử</t>
        </is>
      </c>
      <c r="E49" t="inlineStr"/>
      <c r="F49" t="inlineStr"/>
      <c r="G49" t="inlineStr"/>
      <c r="H49" t="n">
        <v>0</v>
      </c>
      <c r="I49" t="n">
        <v>136</v>
      </c>
      <c r="J49" t="n">
        <v>299.2</v>
      </c>
      <c r="K49" t="n">
        <v>0</v>
      </c>
      <c r="L49" t="n">
        <v>0</v>
      </c>
      <c r="M49" t="n">
        <v>0</v>
      </c>
      <c r="N49" t="n">
        <v>0</v>
      </c>
      <c r="O49" t="b">
        <v>1</v>
      </c>
      <c r="P49" t="n">
        <v>0</v>
      </c>
      <c r="Q49" t="n">
        <v>1</v>
      </c>
      <c r="R49" t="n">
        <v>1</v>
      </c>
      <c r="S49" t="n">
        <v>1</v>
      </c>
      <c r="T49" t="n">
        <v>2.3</v>
      </c>
      <c r="U49" t="n">
        <v>4.6</v>
      </c>
      <c r="V49" t="n">
        <v>4.6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none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inflatable_decoy</t>
        </is>
      </c>
      <c r="AK49" t="inlineStr">
        <is>
          <t>giong</t>
        </is>
      </c>
      <c r="BH49" t="inlineStr"/>
      <c r="BI49" t="inlineStr"/>
      <c r="BJ49" t="inlineStr">
        <is>
          <t>Small</t>
        </is>
      </c>
      <c r="BK49" t="inlineStr"/>
      <c r="BL49" t="b">
        <v>1</v>
      </c>
      <c r="BM49" t="n">
        <v>3</v>
      </c>
      <c r="BN49" t="n">
        <v>3</v>
      </c>
      <c r="BO49" t="n">
        <v>25</v>
      </c>
      <c r="BP49" t="n">
        <v>2.5</v>
      </c>
      <c r="BQ49" t="inlineStr">
        <is>
          <t>Premium</t>
        </is>
      </c>
      <c r="BR49" t="inlineStr">
        <is>
          <t>inflatable_decoy</t>
        </is>
      </c>
      <c r="BS49" t="inlineStr"/>
      <c r="BT49" t="n">
        <v>0</v>
      </c>
      <c r="CF49" t="inlineStr">
        <is>
          <t>inflatable_decoy.inflatable;inflatable_decoy.balloon</t>
        </is>
      </c>
      <c r="CK49" t="n">
        <v>0</v>
      </c>
      <c r="CP49" t="inlineStr">
        <is>
          <t>gun_turret</t>
        </is>
      </c>
      <c r="CU49" t="inlineStr">
        <is>
          <t>Small</t>
        </is>
      </c>
      <c r="CV49" t="n">
        <v>136</v>
      </c>
      <c r="CY49" t="n">
        <v>4.6</v>
      </c>
      <c r="DJ49" t="n">
        <v>3.96</v>
      </c>
      <c r="DK49" t="n">
        <v>7.81</v>
      </c>
      <c r="DL49" t="n">
        <v>6.74</v>
      </c>
      <c r="DR49" t="n">
        <v>2.3</v>
      </c>
      <c r="DS49" t="n">
        <v>3</v>
      </c>
      <c r="EG49" t="n">
        <v>0</v>
      </c>
      <c r="EH49" t="b">
        <v>1</v>
      </c>
      <c r="EL49" t="n">
        <v>1</v>
      </c>
      <c r="EN49" t="n">
        <v>1</v>
      </c>
      <c r="EP49" t="n">
        <v>1</v>
      </c>
      <c r="ET49" t="inlineStr">
        <is>
          <t>none</t>
        </is>
      </c>
      <c r="EU49" t="n">
        <v>4.6</v>
      </c>
      <c r="EV49" t="inlineStr">
        <is>
          <t>Assets/MachineBrigade/Resources/Data/balance.json: vehicles[150]</t>
        </is>
      </c>
      <c r="EW49" t="inlineStr">
        <is>
          <t>{"id":"inflatable_decoy","rebuildCp":3,"branches":["inflatable_decoy.inflatable","inflatable_decoy.balloon"],"modelSize":[7.81,6.74,3.96],"fort":{"size":"Small"},"static":true,"armour":0,"hp":136,"speed":0,"turnRate":1,"turretTurnRate":1,"radius":2.3,"length":4.6,"width":4.6,"cp":0,"vision":1,"weapon":"none","decoy":{"mimic":"gun_turret"}}</t>
        </is>
      </c>
    </row>
    <row r="50">
      <c r="A50" t="inlineStr">
        <is>
          <t>inflatable_decoy.balloon</t>
        </is>
      </c>
      <c r="B50" t="inlineStr"/>
      <c r="C50" t="inlineStr"/>
      <c r="D50" t="inlineStr">
        <is>
          <t>Khí cầu</t>
        </is>
      </c>
      <c r="E50" t="inlineStr"/>
      <c r="F50" t="inlineStr"/>
      <c r="G50" t="inlineStr">
        <is>
          <t>barrage_balloon</t>
        </is>
      </c>
      <c r="H50" t="n">
        <v>0</v>
      </c>
      <c r="I50" t="n">
        <v>364</v>
      </c>
      <c r="J50" t="n">
        <v>800.8</v>
      </c>
      <c r="K50" t="n">
        <v>0</v>
      </c>
      <c r="L50" t="n">
        <v>0</v>
      </c>
      <c r="M50" t="n">
        <v>0</v>
      </c>
      <c r="N50" t="n">
        <v>0</v>
      </c>
      <c r="O50" t="b">
        <v>1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4</v>
      </c>
      <c r="V50" t="n">
        <v>4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none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barrage_balloon</t>
        </is>
      </c>
      <c r="AK50" t="inlineStr">
        <is>
          <t>moi</t>
        </is>
      </c>
      <c r="BH50" t="inlineStr">
        <is>
          <t>inflatable_decoy</t>
        </is>
      </c>
      <c r="BI50" t="inlineStr">
        <is>
          <t>balloon</t>
        </is>
      </c>
      <c r="BJ50" t="inlineStr">
        <is>
          <t>Small</t>
        </is>
      </c>
      <c r="BK50" t="inlineStr">
        <is>
          <t>balloon_scatter_reveal</t>
        </is>
      </c>
      <c r="BL50" t="b">
        <v>0</v>
      </c>
      <c r="BM50" t="n">
        <v>3</v>
      </c>
      <c r="BN50" t="n">
        <v>3</v>
      </c>
      <c r="BO50" t="n">
        <v>25</v>
      </c>
      <c r="BP50" t="n">
        <v>2.5</v>
      </c>
      <c r="BQ50" t="inlineStr">
        <is>
          <t>Campaign</t>
        </is>
      </c>
      <c r="BR50" t="inlineStr">
        <is>
          <t>inflatable_decoy</t>
        </is>
      </c>
      <c r="BS50" t="inlineStr"/>
      <c r="CE50" t="inlineStr">
        <is>
          <t>inflatable_decoy</t>
        </is>
      </c>
      <c r="CW50" t="inlineStr">
        <is>
          <t>barrage_balloon</t>
        </is>
      </c>
      <c r="DS50" t="n">
        <v>3</v>
      </c>
      <c r="EK50" t="inlineStr">
        <is>
          <t>balloon_scatter_reveal</t>
        </is>
      </c>
      <c r="EV50" t="inlineStr">
        <is>
          <t>Assets/MachineBrigade/Resources/Data/balance.json: vehicles[152]</t>
        </is>
      </c>
      <c r="EW50" t="inlineStr">
        <is>
          <t>{"id":"inflatable_decoy.balloon","rebuildCp":3,"inherits":"barrage_balloon","branchOf":"inflatable_decoy","towerRole":"balloon_scatter_reveal"}</t>
        </is>
      </c>
    </row>
    <row r="51">
      <c r="A51" t="inlineStr">
        <is>
          <t>inflatable_decoy.inflatable</t>
        </is>
      </c>
      <c r="B51" t="inlineStr"/>
      <c r="C51" t="inlineStr"/>
      <c r="D51" t="inlineStr">
        <is>
          <t>Mồi nhử</t>
        </is>
      </c>
      <c r="E51" t="inlineStr"/>
      <c r="F51" t="inlineStr"/>
      <c r="G51" t="inlineStr">
        <is>
          <t>inflatable_decoy</t>
        </is>
      </c>
      <c r="H51" t="n">
        <v>0</v>
      </c>
      <c r="I51" t="n">
        <v>136</v>
      </c>
      <c r="J51" t="n">
        <v>299.2</v>
      </c>
      <c r="K51" t="n">
        <v>0</v>
      </c>
      <c r="L51" t="n">
        <v>0</v>
      </c>
      <c r="M51" t="n">
        <v>0</v>
      </c>
      <c r="N51" t="n">
        <v>0</v>
      </c>
      <c r="O51" t="b">
        <v>1</v>
      </c>
      <c r="P51" t="n">
        <v>0</v>
      </c>
      <c r="Q51" t="n">
        <v>1</v>
      </c>
      <c r="R51" t="n">
        <v>1</v>
      </c>
      <c r="S51" t="n">
        <v>1</v>
      </c>
      <c r="T51" t="n">
        <v>2.3</v>
      </c>
      <c r="U51" t="n">
        <v>4.6</v>
      </c>
      <c r="V51" t="n">
        <v>4.6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inflatable_decoy</t>
        </is>
      </c>
      <c r="AK51" t="inlineStr">
        <is>
          <t>moi</t>
        </is>
      </c>
      <c r="BH51" t="inlineStr">
        <is>
          <t>inflatable_decoy</t>
        </is>
      </c>
      <c r="BI51" t="inlineStr">
        <is>
          <t>inflatable</t>
        </is>
      </c>
      <c r="BJ51" t="inlineStr">
        <is>
          <t>Small</t>
        </is>
      </c>
      <c r="BK51" t="inlineStr">
        <is>
          <t>decoy_draw_fire</t>
        </is>
      </c>
      <c r="BL51" t="b">
        <v>0</v>
      </c>
      <c r="BM51" t="n">
        <v>3</v>
      </c>
      <c r="BN51" t="n">
        <v>3</v>
      </c>
      <c r="BO51" t="n">
        <v>25</v>
      </c>
      <c r="BP51" t="n">
        <v>2.5</v>
      </c>
      <c r="BQ51" t="inlineStr">
        <is>
          <t>Campaign</t>
        </is>
      </c>
      <c r="BR51" t="inlineStr">
        <is>
          <t>inflatable_decoy</t>
        </is>
      </c>
      <c r="BS51" t="inlineStr"/>
      <c r="CE51" t="inlineStr">
        <is>
          <t>inflatable_decoy</t>
        </is>
      </c>
      <c r="CW51" t="inlineStr">
        <is>
          <t>inflatable_decoy</t>
        </is>
      </c>
      <c r="DS51" t="n">
        <v>3</v>
      </c>
      <c r="EK51" t="inlineStr">
        <is>
          <t>decoy_draw_fire</t>
        </is>
      </c>
      <c r="EV51" t="inlineStr">
        <is>
          <t>Assets/MachineBrigade/Resources/Data/balance.json: vehicles[151]</t>
        </is>
      </c>
      <c r="EW51" t="inlineStr">
        <is>
          <t>{"id":"inflatable_decoy.inflatable","rebuildCp":3,"inherits":"inflatable_decoy","branchOf":"inflatable_decoy","towerRole":"decoy_draw_fire"}</t>
        </is>
      </c>
    </row>
    <row r="52">
      <c r="A52" t="inlineStr">
        <is>
          <t>laser_ad_station</t>
        </is>
      </c>
      <c r="B52" t="inlineStr">
        <is>
          <t>Laser anti-drone station</t>
        </is>
      </c>
      <c r="C52" t="inlineStr">
        <is>
          <t>Trạm phòng không laser chống drone</t>
        </is>
      </c>
      <c r="D52" t="inlineStr">
        <is>
          <t>Trạm laser</t>
        </is>
      </c>
      <c r="E52" t="inlineStr"/>
      <c r="F52" t="inlineStr"/>
      <c r="G52" t="inlineStr"/>
      <c r="H52" t="n">
        <v>0</v>
      </c>
      <c r="I52" t="n">
        <v>1136</v>
      </c>
      <c r="J52" t="n">
        <v>2499.2</v>
      </c>
      <c r="K52" t="n">
        <v>1</v>
      </c>
      <c r="L52" t="n">
        <v>1</v>
      </c>
      <c r="M52" t="n">
        <v>1</v>
      </c>
      <c r="N52" t="n">
        <v>1</v>
      </c>
      <c r="O52" t="b">
        <v>1</v>
      </c>
      <c r="P52" t="n">
        <v>0</v>
      </c>
      <c r="Q52" t="n">
        <v>1</v>
      </c>
      <c r="R52" t="n">
        <v>180</v>
      </c>
      <c r="S52" t="n">
        <v>56</v>
      </c>
      <c r="T52" t="n">
        <v>2.5</v>
      </c>
      <c r="U52" t="n">
        <v>5.5</v>
      </c>
      <c r="V52" t="n">
        <v>4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laser_50kw</t>
        </is>
      </c>
      <c r="AE52" t="inlineStr"/>
      <c r="AF52" t="inlineStr"/>
      <c r="AG52" t="inlineStr">
        <is>
          <t>aps</t>
        </is>
      </c>
      <c r="AH52" t="n">
        <v>1</v>
      </c>
      <c r="AI52" t="n">
        <v>0.8</v>
      </c>
      <c r="AJ52" t="inlineStr">
        <is>
          <t>laser_ad_station</t>
        </is>
      </c>
      <c r="AK52" t="inlineStr">
        <is>
          <t>giong</t>
        </is>
      </c>
      <c r="BH52" t="inlineStr"/>
      <c r="BI52" t="inlineStr"/>
      <c r="BJ52" t="inlineStr">
        <is>
          <t>Medium</t>
        </is>
      </c>
      <c r="BK52" t="inlineStr"/>
      <c r="BL52" t="b">
        <v>1</v>
      </c>
      <c r="BM52" t="n">
        <v>5</v>
      </c>
      <c r="BN52" t="n">
        <v>5</v>
      </c>
      <c r="BO52" t="n">
        <v>40</v>
      </c>
      <c r="BP52" t="n">
        <v>3.5</v>
      </c>
      <c r="BQ52" t="inlineStr">
        <is>
          <t>Premium</t>
        </is>
      </c>
      <c r="BR52" t="inlineStr">
        <is>
          <t>laser_ad_station</t>
        </is>
      </c>
      <c r="BS52" t="inlineStr"/>
      <c r="BT52" t="n">
        <v>1</v>
      </c>
      <c r="CF52" t="inlineStr">
        <is>
          <t>laser_ad_station.laser;laser_ad_station.net</t>
        </is>
      </c>
      <c r="CK52" t="n">
        <v>0</v>
      </c>
      <c r="CL52" t="n">
        <v>80</v>
      </c>
      <c r="CM52" t="n">
        <v>0.4</v>
      </c>
      <c r="CN52" t="n">
        <v>7</v>
      </c>
      <c r="CO52" t="inlineStr">
        <is>
          <t>Huge</t>
        </is>
      </c>
      <c r="CU52" t="inlineStr">
        <is>
          <t>Medium</t>
        </is>
      </c>
      <c r="CV52" t="n">
        <v>1136</v>
      </c>
      <c r="CY52" t="n">
        <v>5.5</v>
      </c>
      <c r="DJ52" t="n">
        <v>4.6</v>
      </c>
      <c r="DK52" t="n">
        <v>6</v>
      </c>
      <c r="DL52" t="n">
        <v>4</v>
      </c>
      <c r="DR52" t="n">
        <v>2.5</v>
      </c>
      <c r="DS52" t="n">
        <v>5</v>
      </c>
      <c r="EG52" t="n">
        <v>0</v>
      </c>
      <c r="EH52" t="b">
        <v>1</v>
      </c>
      <c r="EL52" t="n">
        <v>1</v>
      </c>
      <c r="EN52" t="n">
        <v>180</v>
      </c>
      <c r="EP52" t="n">
        <v>56</v>
      </c>
      <c r="ET52" t="inlineStr">
        <is>
          <t>laser_50kw</t>
        </is>
      </c>
      <c r="EU52" t="n">
        <v>4</v>
      </c>
      <c r="EV52" t="inlineStr">
        <is>
          <t>Assets/MachineBrigade/Resources/Data/balance.json: vehicles[165]</t>
        </is>
      </c>
      <c r="EW52" t="inlineStr">
        <is>
          <t>{"id":"laser_ad_station","rebuildCp":5,"branches":["laser_ad_station.laser","laser_ad_station.net"],"modelSize":[6.0,4.0,4.6]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53">
      <c r="A53" t="inlineStr">
        <is>
          <t>laser_ad_station.laser</t>
        </is>
      </c>
      <c r="B53" t="inlineStr"/>
      <c r="C53" t="inlineStr"/>
      <c r="D53" t="inlineStr">
        <is>
          <t>La-de</t>
        </is>
      </c>
      <c r="E53" t="inlineStr"/>
      <c r="F53" t="inlineStr"/>
      <c r="G53" t="inlineStr">
        <is>
          <t>laser_ad_station</t>
        </is>
      </c>
      <c r="H53" t="n">
        <v>0</v>
      </c>
      <c r="I53" t="n">
        <v>1136</v>
      </c>
      <c r="J53" t="n">
        <v>2499.2</v>
      </c>
      <c r="K53" t="n">
        <v>1</v>
      </c>
      <c r="L53" t="n">
        <v>1</v>
      </c>
      <c r="M53" t="n">
        <v>1</v>
      </c>
      <c r="N53" t="n">
        <v>1</v>
      </c>
      <c r="O53" t="b">
        <v>1</v>
      </c>
      <c r="P53" t="n">
        <v>0</v>
      </c>
      <c r="Q53" t="n">
        <v>1</v>
      </c>
      <c r="R53" t="n">
        <v>180</v>
      </c>
      <c r="S53" t="n">
        <v>56</v>
      </c>
      <c r="T53" t="n">
        <v>2.5</v>
      </c>
      <c r="U53" t="n">
        <v>5.5</v>
      </c>
      <c r="V53" t="n">
        <v>4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laser_50kw</t>
        </is>
      </c>
      <c r="AE53" t="inlineStr"/>
      <c r="AF53" t="inlineStr"/>
      <c r="AG53" t="inlineStr">
        <is>
          <t>aps</t>
        </is>
      </c>
      <c r="AH53" t="n">
        <v>1</v>
      </c>
      <c r="AI53" t="n">
        <v>0.8</v>
      </c>
      <c r="AJ53" t="inlineStr">
        <is>
          <t>laser_ad_station</t>
        </is>
      </c>
      <c r="AK53" t="inlineStr">
        <is>
          <t>moi</t>
        </is>
      </c>
      <c r="BH53" t="inlineStr">
        <is>
          <t>laser_ad_station</t>
        </is>
      </c>
      <c r="BI53" t="inlineStr">
        <is>
          <t>laser</t>
        </is>
      </c>
      <c r="BJ53" t="inlineStr">
        <is>
          <t>Medium</t>
        </is>
      </c>
      <c r="BK53" t="inlineStr">
        <is>
          <t>antidrone_laser</t>
        </is>
      </c>
      <c r="BL53" t="b">
        <v>0</v>
      </c>
      <c r="BM53" t="n">
        <v>5</v>
      </c>
      <c r="BN53" t="n">
        <v>5</v>
      </c>
      <c r="BO53" t="n">
        <v>40</v>
      </c>
      <c r="BP53" t="n">
        <v>3.5</v>
      </c>
      <c r="BQ53" t="inlineStr">
        <is>
          <t>Campaign</t>
        </is>
      </c>
      <c r="BR53" t="inlineStr">
        <is>
          <t>laser_ad_station</t>
        </is>
      </c>
      <c r="BS53" t="inlineStr"/>
      <c r="CE53" t="inlineStr">
        <is>
          <t>laser_ad_station</t>
        </is>
      </c>
      <c r="CW53" t="inlineStr">
        <is>
          <t>laser_ad_station</t>
        </is>
      </c>
      <c r="DS53" t="n">
        <v>5</v>
      </c>
      <c r="EK53" t="inlineStr">
        <is>
          <t>antidrone_laser</t>
        </is>
      </c>
      <c r="EV53" t="inlineStr">
        <is>
          <t>Assets/MachineBrigade/Resources/Data/balance.json: vehicles[166]</t>
        </is>
      </c>
      <c r="EW53" t="inlineStr">
        <is>
          <t>{"id":"laser_ad_station.laser","rebuildCp":5,"inherits":"laser_ad_station","branchOf":"laser_ad_station","towerRole":"antidrone_laser"}</t>
        </is>
      </c>
    </row>
    <row r="54">
      <c r="A54" t="inlineStr">
        <is>
          <t>laser_ad_station.net</t>
        </is>
      </c>
      <c r="B54" t="inlineStr"/>
      <c r="C54" t="inlineStr"/>
      <c r="D54" t="inlineStr">
        <is>
          <t>Lưới drone</t>
        </is>
      </c>
      <c r="E54" t="inlineStr"/>
      <c r="F54" t="inlineStr"/>
      <c r="G54" t="inlineStr">
        <is>
          <t>drone_net_tower</t>
        </is>
      </c>
      <c r="H54" t="n">
        <v>0</v>
      </c>
      <c r="I54" t="n">
        <v>364</v>
      </c>
      <c r="J54" t="n">
        <v>800.8</v>
      </c>
      <c r="K54" t="n">
        <v>0</v>
      </c>
      <c r="L54" t="n">
        <v>0</v>
      </c>
      <c r="M54" t="n">
        <v>0</v>
      </c>
      <c r="N54" t="n">
        <v>0</v>
      </c>
      <c r="O54" t="b">
        <v>1</v>
      </c>
      <c r="P54" t="n">
        <v>0</v>
      </c>
      <c r="Q54" t="n">
        <v>1</v>
      </c>
      <c r="R54" t="n">
        <v>1</v>
      </c>
      <c r="S54" t="n">
        <v>20</v>
      </c>
      <c r="T54" t="n">
        <v>1.6</v>
      </c>
      <c r="U54" t="n">
        <v>3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net_zap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drone_net_tower</t>
        </is>
      </c>
      <c r="AK54" t="inlineStr">
        <is>
          <t>moi</t>
        </is>
      </c>
      <c r="BH54" t="inlineStr">
        <is>
          <t>laser_ad_station</t>
        </is>
      </c>
      <c r="BI54" t="inlineStr">
        <is>
          <t>net</t>
        </is>
      </c>
      <c r="BJ54" t="inlineStr">
        <is>
          <t>Medium</t>
        </is>
      </c>
      <c r="BK54" t="inlineStr">
        <is>
          <t>antidrone_net</t>
        </is>
      </c>
      <c r="BL54" t="b">
        <v>0</v>
      </c>
      <c r="BM54" t="n">
        <v>5</v>
      </c>
      <c r="BN54" t="n">
        <v>5</v>
      </c>
      <c r="BO54" t="n">
        <v>40</v>
      </c>
      <c r="BP54" t="n">
        <v>3.5</v>
      </c>
      <c r="BQ54" t="inlineStr">
        <is>
          <t>Campaign</t>
        </is>
      </c>
      <c r="BR54" t="inlineStr">
        <is>
          <t>laser_ad_station</t>
        </is>
      </c>
      <c r="BS54" t="inlineStr"/>
      <c r="CE54" t="inlineStr">
        <is>
          <t>laser_ad_station</t>
        </is>
      </c>
      <c r="CU54" t="inlineStr">
        <is>
          <t>Medium</t>
        </is>
      </c>
      <c r="CW54" t="inlineStr">
        <is>
          <t>drone_net_tower</t>
        </is>
      </c>
      <c r="DS54" t="n">
        <v>5</v>
      </c>
      <c r="EK54" t="inlineStr">
        <is>
          <t>antidrone_net</t>
        </is>
      </c>
      <c r="EV54" t="inlineStr">
        <is>
          <t>Assets/MachineBrigade/Resources/Data/balance.json: vehicles[167]</t>
        </is>
      </c>
      <c r="EW54" t="inlineStr">
        <is>
          <t>{"id":"laser_ad_station.net","rebuildCp":5,"inherits":"drone_net_tower","branchOf":"laser_ad_station","fort":{"size":"Medium"},"towerRole":"antidrone_net"}</t>
        </is>
      </c>
    </row>
    <row r="55">
      <c r="A55" t="inlineStr">
        <is>
          <t>manpads_tower</t>
        </is>
      </c>
      <c r="B55" t="inlineStr">
        <is>
          <t>MANPADS post</t>
        </is>
      </c>
      <c r="C55" t="inlineStr">
        <is>
          <t>Tổ tên lửa vác vai</t>
        </is>
      </c>
      <c r="D55" t="inlineStr">
        <is>
          <t>Tổ vác vai</t>
        </is>
      </c>
      <c r="E55" t="inlineStr"/>
      <c r="F55" t="inlineStr"/>
      <c r="G55" t="inlineStr"/>
      <c r="H55" t="n">
        <v>0</v>
      </c>
      <c r="I55" t="n">
        <v>545</v>
      </c>
      <c r="J55" t="n">
        <v>1199</v>
      </c>
      <c r="K55" t="n">
        <v>1</v>
      </c>
      <c r="L55" t="n">
        <v>1</v>
      </c>
      <c r="M55" t="n">
        <v>1</v>
      </c>
      <c r="N55" t="n">
        <v>1</v>
      </c>
      <c r="O55" t="b">
        <v>1</v>
      </c>
      <c r="P55" t="n">
        <v>0</v>
      </c>
      <c r="Q55" t="n">
        <v>1</v>
      </c>
      <c r="R55" t="n">
        <v>120</v>
      </c>
      <c r="S55" t="n">
        <v>40</v>
      </c>
      <c r="T55" t="n">
        <v>1.7</v>
      </c>
      <c r="U55" t="n">
        <v>3</v>
      </c>
      <c r="V55" t="n">
        <v>3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sam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manpads_tower</t>
        </is>
      </c>
      <c r="AK55" t="inlineStr">
        <is>
          <t>giong</t>
        </is>
      </c>
      <c r="BH55" t="inlineStr"/>
      <c r="BI55" t="inlineStr"/>
      <c r="BJ55" t="inlineStr">
        <is>
          <t>Small</t>
        </is>
      </c>
      <c r="BK55" t="inlineStr"/>
      <c r="BL55" t="b">
        <v>0</v>
      </c>
      <c r="BM55" t="n">
        <v>2</v>
      </c>
      <c r="BN55" t="n">
        <v>2</v>
      </c>
      <c r="BO55" t="n">
        <v>25</v>
      </c>
      <c r="BP55" t="n">
        <v>2.5</v>
      </c>
      <c r="BQ55" t="inlineStr">
        <is>
          <t>Campaign</t>
        </is>
      </c>
      <c r="BR55" t="inlineStr">
        <is>
          <t>manpads_tower</t>
        </is>
      </c>
      <c r="BS55" t="inlineStr"/>
      <c r="BT55" t="n">
        <v>1</v>
      </c>
      <c r="CK55" t="n">
        <v>0</v>
      </c>
      <c r="CU55" t="inlineStr">
        <is>
          <t>Small</t>
        </is>
      </c>
      <c r="CV55" t="n">
        <v>545</v>
      </c>
      <c r="CY55" t="n">
        <v>3</v>
      </c>
      <c r="DI55" t="inlineStr">
        <is>
          <t>manpads_tower</t>
        </is>
      </c>
      <c r="DJ55" t="n">
        <v>2.4</v>
      </c>
      <c r="DK55" t="n">
        <v>3.2</v>
      </c>
      <c r="DL55" t="n">
        <v>3.2</v>
      </c>
      <c r="DR55" t="n">
        <v>1.7</v>
      </c>
      <c r="EG55" t="n">
        <v>0</v>
      </c>
      <c r="EH55" t="b">
        <v>1</v>
      </c>
      <c r="EL55" t="n">
        <v>1</v>
      </c>
      <c r="EN55" t="n">
        <v>120</v>
      </c>
      <c r="EP55" t="n">
        <v>40</v>
      </c>
      <c r="ET55" t="inlineStr">
        <is>
          <t>sam</t>
        </is>
      </c>
      <c r="EU55" t="n">
        <v>3</v>
      </c>
      <c r="EV55" t="inlineStr">
        <is>
          <t>Assets/MachineBrigade/Resources/Data/balance.json: vehicles[201]</t>
        </is>
      </c>
      <c r="EW55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56">
      <c r="A56" t="inlineStr">
        <is>
          <t>mg_bunker</t>
        </is>
      </c>
      <c r="B56" t="inlineStr">
        <is>
          <t>MG bunker</t>
        </is>
      </c>
      <c r="C56" t="inlineStr">
        <is>
          <t>Lô cốt súng máy</t>
        </is>
      </c>
      <c r="D56" t="inlineStr">
        <is>
          <t>Lô cốt</t>
        </is>
      </c>
      <c r="E56" t="inlineStr"/>
      <c r="F56" t="inlineStr"/>
      <c r="G56" t="inlineStr"/>
      <c r="H56" t="n">
        <v>0</v>
      </c>
      <c r="I56" t="n">
        <v>1500</v>
      </c>
      <c r="J56" t="n">
        <v>3300</v>
      </c>
      <c r="K56" t="n">
        <v>3</v>
      </c>
      <c r="L56" t="n">
        <v>2</v>
      </c>
      <c r="M56" t="n">
        <v>2</v>
      </c>
      <c r="N56" t="n">
        <v>2</v>
      </c>
      <c r="O56" t="b">
        <v>1</v>
      </c>
      <c r="P56" t="n">
        <v>0</v>
      </c>
      <c r="Q56" t="n">
        <v>1</v>
      </c>
      <c r="R56" t="n">
        <v>120</v>
      </c>
      <c r="S56" t="n">
        <v>36</v>
      </c>
      <c r="T56" t="n">
        <v>2</v>
      </c>
      <c r="U56" t="n">
        <v>4</v>
      </c>
      <c r="V56" t="n">
        <v>4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0.6086</v>
      </c>
      <c r="AD56" t="inlineStr">
        <is>
          <t>bunker_hmg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mg_bunker</t>
        </is>
      </c>
      <c r="AK56" t="inlineStr">
        <is>
          <t>doi</t>
        </is>
      </c>
      <c r="BF56" t="n">
        <v>1</v>
      </c>
      <c r="BG56" t="n">
        <v>0.6086</v>
      </c>
      <c r="BH56" t="inlineStr"/>
      <c r="BI56" t="inlineStr"/>
      <c r="BJ56" t="inlineStr">
        <is>
          <t>Small</t>
        </is>
      </c>
      <c r="BK56" t="inlineStr"/>
      <c r="BL56" t="b">
        <v>1</v>
      </c>
      <c r="BM56" t="n">
        <v>6</v>
      </c>
      <c r="BN56" t="n">
        <v>6</v>
      </c>
      <c r="BO56" t="n">
        <v>25</v>
      </c>
      <c r="BP56" t="n">
        <v>2.5</v>
      </c>
      <c r="BQ56" t="inlineStr">
        <is>
          <t>Starter</t>
        </is>
      </c>
      <c r="BR56" t="inlineStr">
        <is>
          <t>mg_bunker</t>
        </is>
      </c>
      <c r="BS56" t="inlineStr">
        <is>
          <t>giam_dps_giu_mau</t>
        </is>
      </c>
      <c r="BU56" t="n">
        <v>3</v>
      </c>
      <c r="BV56" t="n">
        <v>2</v>
      </c>
      <c r="BW56" t="n">
        <v>2</v>
      </c>
      <c r="BX56" t="n">
        <v>2</v>
      </c>
      <c r="CF56" t="inlineStr">
        <is>
          <t>mg_bunker.twin;mg_bunker.flame</t>
        </is>
      </c>
      <c r="CK56" t="n">
        <v>0</v>
      </c>
      <c r="CL56" t="n">
        <v>70</v>
      </c>
      <c r="CM56" t="n">
        <v>0.3</v>
      </c>
      <c r="CN56" t="n">
        <v>6</v>
      </c>
      <c r="CO56" t="inlineStr">
        <is>
          <t>Large</t>
        </is>
      </c>
      <c r="CU56" t="inlineStr">
        <is>
          <t>Small</t>
        </is>
      </c>
      <c r="CV56" t="n">
        <v>1500</v>
      </c>
      <c r="CY56" t="n">
        <v>4</v>
      </c>
      <c r="DP56" t="n">
        <v>0.6086</v>
      </c>
      <c r="DR56" t="n">
        <v>2</v>
      </c>
      <c r="DS56" t="n">
        <v>6</v>
      </c>
      <c r="EB56" t="inlineStr"/>
      <c r="EG56" t="n">
        <v>0</v>
      </c>
      <c r="EH56" t="b">
        <v>1</v>
      </c>
      <c r="EL56" t="n">
        <v>1</v>
      </c>
      <c r="EN56" t="n">
        <v>120</v>
      </c>
      <c r="EP56" t="n">
        <v>36</v>
      </c>
      <c r="ET56" t="inlineStr">
        <is>
          <t>bunker_hmg</t>
        </is>
      </c>
      <c r="EU56" t="n">
        <v>4</v>
      </c>
      <c r="EV56" t="inlineStr">
        <is>
          <t>Assets/MachineBrigade/Resources/Data/balance.json: vehicles[121]</t>
        </is>
      </c>
      <c r="EW56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secondary":[],"deathExplosion":{"damage":70,"radius":6,"delay":0.3,"tier":"Large"}}</t>
        </is>
      </c>
    </row>
    <row r="57">
      <c r="A57" t="inlineStr">
        <is>
          <t>mg_bunker.flame</t>
        </is>
      </c>
      <c r="B57" t="inlineStr"/>
      <c r="C57" t="inlineStr"/>
      <c r="D57" t="inlineStr">
        <is>
          <t>Lô cốt lửa</t>
        </is>
      </c>
      <c r="E57" t="inlineStr"/>
      <c r="F57" t="inlineStr"/>
      <c r="G57" t="inlineStr">
        <is>
          <t>mg_bunker</t>
        </is>
      </c>
      <c r="H57" t="n">
        <v>0</v>
      </c>
      <c r="I57" t="n">
        <v>1500</v>
      </c>
      <c r="J57" t="n">
        <v>3300</v>
      </c>
      <c r="K57" t="n">
        <v>3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120</v>
      </c>
      <c r="S57" t="n">
        <v>36</v>
      </c>
      <c r="T57" t="n">
        <v>2</v>
      </c>
      <c r="U57" t="n">
        <v>4</v>
      </c>
      <c r="V57" t="n">
        <v>4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0.3248</v>
      </c>
      <c r="AD57" t="inlineStr">
        <is>
          <t>bunker_flame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mg_bunker</t>
        </is>
      </c>
      <c r="AK57" t="inlineStr">
        <is>
          <t>doi</t>
        </is>
      </c>
      <c r="BF57" t="n">
        <v>1</v>
      </c>
      <c r="BG57" t="n">
        <v>0.3248</v>
      </c>
      <c r="BH57" t="inlineStr">
        <is>
          <t>mg_bunker</t>
        </is>
      </c>
      <c r="BI57" t="inlineStr">
        <is>
          <t>flame</t>
        </is>
      </c>
      <c r="BJ57" t="inlineStr">
        <is>
          <t>Small</t>
        </is>
      </c>
      <c r="BK57" t="inlineStr">
        <is>
          <t>flame_close</t>
        </is>
      </c>
      <c r="BL57" t="b">
        <v>0</v>
      </c>
      <c r="BM57" t="n">
        <v>6</v>
      </c>
      <c r="BN57" t="n">
        <v>6</v>
      </c>
      <c r="BO57" t="n">
        <v>25</v>
      </c>
      <c r="BP57" t="n">
        <v>2.5</v>
      </c>
      <c r="BQ57" t="inlineStr">
        <is>
          <t>Campaign</t>
        </is>
      </c>
      <c r="BR57" t="inlineStr">
        <is>
          <t>mg_bunker</t>
        </is>
      </c>
      <c r="BS57" t="inlineStr">
        <is>
          <t>giam_dps_giu_mau</t>
        </is>
      </c>
      <c r="BY57" t="inlineStr">
        <is>
          <t>mg_bunker_b</t>
        </is>
      </c>
      <c r="CE57" t="inlineStr">
        <is>
          <t>mg_bunker</t>
        </is>
      </c>
      <c r="CW57" t="inlineStr">
        <is>
          <t>mg_bunker</t>
        </is>
      </c>
      <c r="DP57" t="n">
        <v>0.3248</v>
      </c>
      <c r="DS57" t="n">
        <v>6</v>
      </c>
      <c r="EB57" t="inlineStr"/>
      <c r="EK57" t="inlineStr">
        <is>
          <t>flame_close</t>
        </is>
      </c>
      <c r="ET57" t="inlineStr">
        <is>
          <t>bunker_flame</t>
        </is>
      </c>
      <c r="EV57" t="inlineStr">
        <is>
          <t>Assets/MachineBrigade/Resources/Data/balance.json: vehicles[87]</t>
        </is>
      </c>
      <c r="EW57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58">
      <c r="A58" t="inlineStr">
        <is>
          <t>mg_bunker.twin</t>
        </is>
      </c>
      <c r="B58" t="inlineStr"/>
      <c r="C58" t="inlineStr"/>
      <c r="D58" t="inlineStr">
        <is>
          <t>Súng máy đôi</t>
        </is>
      </c>
      <c r="E58" t="inlineStr"/>
      <c r="F58" t="inlineStr"/>
      <c r="G58" t="inlineStr">
        <is>
          <t>mg_bunker</t>
        </is>
      </c>
      <c r="H58" t="n">
        <v>0</v>
      </c>
      <c r="I58" t="n">
        <v>1500</v>
      </c>
      <c r="J58" t="n">
        <v>3300</v>
      </c>
      <c r="K58" t="n">
        <v>3</v>
      </c>
      <c r="L58" t="n">
        <v>2</v>
      </c>
      <c r="M58" t="n">
        <v>2</v>
      </c>
      <c r="N58" t="n">
        <v>2</v>
      </c>
      <c r="O58" t="b">
        <v>1</v>
      </c>
      <c r="P58" t="n">
        <v>0</v>
      </c>
      <c r="Q58" t="n">
        <v>1</v>
      </c>
      <c r="R58" t="n">
        <v>120</v>
      </c>
      <c r="S58" t="n">
        <v>36</v>
      </c>
      <c r="T58" t="n">
        <v>2</v>
      </c>
      <c r="U58" t="n">
        <v>4</v>
      </c>
      <c r="V58" t="n">
        <v>4</v>
      </c>
      <c r="W58" t="b">
        <v>0</v>
      </c>
      <c r="X58" t="n">
        <v>0</v>
      </c>
      <c r="Y58" t="b">
        <v>1</v>
      </c>
      <c r="Z58" t="b">
        <v>1</v>
      </c>
      <c r="AA58" t="n">
        <v>1</v>
      </c>
      <c r="AB58" t="n">
        <v>3.5</v>
      </c>
      <c r="AC58" t="n">
        <v>0.5036</v>
      </c>
      <c r="AD58" t="inlineStr">
        <is>
          <t>bunker_hmg_twin</t>
        </is>
      </c>
      <c r="AE58" t="inlineStr"/>
      <c r="AF58" t="inlineStr"/>
      <c r="AG58" t="inlineStr">
        <is>
          <t>none</t>
        </is>
      </c>
      <c r="AH58" t="inlineStr"/>
      <c r="AI58" t="inlineStr"/>
      <c r="AJ58" t="inlineStr">
        <is>
          <t>mg_bunker</t>
        </is>
      </c>
      <c r="AK58" t="inlineStr">
        <is>
          <t>doi</t>
        </is>
      </c>
      <c r="BF58" t="n">
        <v>1</v>
      </c>
      <c r="BG58" t="n">
        <v>0.5036</v>
      </c>
      <c r="BH58" t="inlineStr">
        <is>
          <t>mg_bunker</t>
        </is>
      </c>
      <c r="BI58" t="inlineStr">
        <is>
          <t>twin</t>
        </is>
      </c>
      <c r="BJ58" t="inlineStr">
        <is>
          <t>Small</t>
        </is>
      </c>
      <c r="BK58" t="inlineStr">
        <is>
          <t>mg_twin</t>
        </is>
      </c>
      <c r="BL58" t="b">
        <v>0</v>
      </c>
      <c r="BM58" t="n">
        <v>6</v>
      </c>
      <c r="BN58" t="n">
        <v>6</v>
      </c>
      <c r="BO58" t="n">
        <v>25</v>
      </c>
      <c r="BP58" t="n">
        <v>2.5</v>
      </c>
      <c r="BQ58" t="inlineStr">
        <is>
          <t>Campaign</t>
        </is>
      </c>
      <c r="BR58" t="inlineStr">
        <is>
          <t>mg_bunker</t>
        </is>
      </c>
      <c r="BS58" t="inlineStr">
        <is>
          <t>giam_dps_giu_mau</t>
        </is>
      </c>
      <c r="BY58" t="inlineStr">
        <is>
          <t>mg_bunker_a</t>
        </is>
      </c>
      <c r="CE58" t="inlineStr">
        <is>
          <t>mg_bunker</t>
        </is>
      </c>
      <c r="CW58" t="inlineStr">
        <is>
          <t>mg_bunker</t>
        </is>
      </c>
      <c r="DP58" t="n">
        <v>0.5036</v>
      </c>
      <c r="DS58" t="n">
        <v>6</v>
      </c>
      <c r="EK58" t="inlineStr">
        <is>
          <t>mg_twin</t>
        </is>
      </c>
      <c r="ET58" t="inlineStr">
        <is>
          <t>bunker_hmg_twin</t>
        </is>
      </c>
      <c r="EV58" t="inlineStr">
        <is>
          <t>Assets/MachineBrigade/Resources/Data/balance.json: vehicles[86]</t>
        </is>
      </c>
      <c r="EW58" t="inlineStr">
        <is>
          <t>{"id":"mg_bunker.twin","outgoingDamageMult":0.5036,"rebuildCp":6,"towerRole":"mg_twin","art":"mg_bunker_a","inherits":"mg_bunker","branchOf":"mg_bunker","weapon":"bunker_hmg_twin"}</t>
        </is>
      </c>
    </row>
    <row r="59">
      <c r="A59" t="inlineStr">
        <is>
          <t>minefield</t>
        </is>
      </c>
      <c r="B59" t="inlineStr">
        <is>
          <t>Minefield</t>
        </is>
      </c>
      <c r="C59" t="inlineStr">
        <is>
          <t>Bãi mìn</t>
        </is>
      </c>
      <c r="D59" t="inlineStr">
        <is>
          <t>Bãi mìn</t>
        </is>
      </c>
      <c r="E59" t="inlineStr"/>
      <c r="F59" t="inlineStr"/>
      <c r="G59" t="inlineStr"/>
      <c r="H59" t="n">
        <v>0</v>
      </c>
      <c r="I59" t="n">
        <v>400</v>
      </c>
      <c r="J59" t="n">
        <v>880</v>
      </c>
      <c r="K59" t="n">
        <v>0</v>
      </c>
      <c r="L59" t="n">
        <v>0</v>
      </c>
      <c r="M59" t="n">
        <v>0</v>
      </c>
      <c r="N59" t="n">
        <v>0</v>
      </c>
      <c r="O59" t="b">
        <v>1</v>
      </c>
      <c r="P59" t="n">
        <v>0</v>
      </c>
      <c r="Q59" t="n">
        <v>1</v>
      </c>
      <c r="R59" t="n">
        <v>1</v>
      </c>
      <c r="S59" t="n">
        <v>10</v>
      </c>
      <c r="T59" t="n">
        <v>2.4</v>
      </c>
      <c r="U59" t="n">
        <v>5</v>
      </c>
      <c r="V59" t="n">
        <v>5</v>
      </c>
      <c r="W59" t="b">
        <v>0</v>
      </c>
      <c r="X59" t="n">
        <v>0</v>
      </c>
      <c r="Y59" t="b">
        <v>1</v>
      </c>
      <c r="Z59" t="b">
        <v>1</v>
      </c>
      <c r="AA59" t="n">
        <v>1</v>
      </c>
      <c r="AB59" t="n">
        <v>3.5</v>
      </c>
      <c r="AC59" t="n">
        <v>1</v>
      </c>
      <c r="AD59" t="inlineStr">
        <is>
          <t>none</t>
        </is>
      </c>
      <c r="AE59" t="inlineStr"/>
      <c r="AF59" t="inlineStr"/>
      <c r="AG59" t="inlineStr">
        <is>
          <t>none</t>
        </is>
      </c>
      <c r="AH59" t="inlineStr"/>
      <c r="AI59" t="inlineStr"/>
      <c r="AJ59" t="inlineStr">
        <is>
          <t>minefield</t>
        </is>
      </c>
      <c r="AK59" t="inlineStr">
        <is>
          <t>giong</t>
        </is>
      </c>
      <c r="BH59" t="inlineStr"/>
      <c r="BI59" t="inlineStr">
        <is>
          <t>noBranch</t>
        </is>
      </c>
      <c r="BJ59" t="inlineStr">
        <is>
          <t>Small</t>
        </is>
      </c>
      <c r="BK59" t="inlineStr">
        <is>
          <t>mines_at</t>
        </is>
      </c>
      <c r="BL59" t="b">
        <v>1</v>
      </c>
      <c r="BM59" t="n">
        <v>3</v>
      </c>
      <c r="BN59" t="n">
        <v>3</v>
      </c>
      <c r="BO59" t="n">
        <v>25</v>
      </c>
      <c r="BP59" t="n">
        <v>2.5</v>
      </c>
      <c r="BQ59" t="inlineStr">
        <is>
          <t>Campaign</t>
        </is>
      </c>
      <c r="BR59" t="inlineStr">
        <is>
          <t>minefield</t>
        </is>
      </c>
      <c r="BS59" t="inlineStr"/>
      <c r="BT59" t="n">
        <v>0</v>
      </c>
      <c r="CK59" t="n">
        <v>0</v>
      </c>
      <c r="CU59" t="inlineStr">
        <is>
          <t>Small</t>
        </is>
      </c>
      <c r="CV59" t="n">
        <v>400</v>
      </c>
      <c r="CY59" t="n">
        <v>5</v>
      </c>
      <c r="DB59" t="n">
        <v>720</v>
      </c>
      <c r="DC59" t="n">
        <v>45</v>
      </c>
      <c r="DD59" t="n">
        <v>5</v>
      </c>
      <c r="DE59" t="n">
        <v>5</v>
      </c>
      <c r="DF59" t="n">
        <v>5</v>
      </c>
      <c r="DG59" t="inlineStr">
        <is>
          <t>Huge</t>
        </is>
      </c>
      <c r="DH59" t="n">
        <v>2.2</v>
      </c>
      <c r="DN59" t="b">
        <v>1</v>
      </c>
      <c r="DQ59" t="b">
        <v>1</v>
      </c>
      <c r="DR59" t="n">
        <v>2.4</v>
      </c>
      <c r="DS59" t="n">
        <v>3</v>
      </c>
      <c r="EG59" t="n">
        <v>0</v>
      </c>
      <c r="EH59" t="b">
        <v>1</v>
      </c>
      <c r="EK59" t="inlineStr">
        <is>
          <t>mines_at</t>
        </is>
      </c>
      <c r="EL59" t="n">
        <v>1</v>
      </c>
      <c r="EN59" t="n">
        <v>1</v>
      </c>
      <c r="EO59" t="b">
        <v>1</v>
      </c>
      <c r="EP59" t="n">
        <v>10</v>
      </c>
      <c r="ET59" t="inlineStr">
        <is>
          <t>none</t>
        </is>
      </c>
      <c r="EU59" t="n">
        <v>5</v>
      </c>
      <c r="EV59" t="inlineStr">
        <is>
          <t>Assets/MachineBrigade/Resources/Data/balance.json: vehicles[81]</t>
        </is>
      </c>
      <c r="EW59" t="inlineStr">
        <is>
          <t>{"id":"minefield","rebuildCp":3,"towerRole":"mines_at","noBranch":true,"fort":{"size":"Small"},"static":true,"untargetable":true,"passable":true,"armour":0,"hp":400,"speed":0,"turnRate":1,"turretTurnRate":1,"radius":2.4,"length":5,"width":5,"cp":0,"vision":10,"weapon":"none","mines":{"interval":45,"max":5,"damage":720,"radius":5,"tier":"Huge","trigger":2.2,"spread":5}}</t>
        </is>
      </c>
    </row>
    <row r="60">
      <c r="A60" t="inlineStr">
        <is>
          <t>missile_battery</t>
        </is>
      </c>
      <c r="B60" t="inlineStr">
        <is>
          <t>Long-range SAM site</t>
        </is>
      </c>
      <c r="C60" t="inlineStr">
        <is>
          <t>Trạm tên lửa phòng không tầm xa</t>
        </is>
      </c>
      <c r="D60" t="inlineStr">
        <is>
          <t>Trạm PK tầm xa</t>
        </is>
      </c>
      <c r="E60" t="inlineStr"/>
      <c r="F60" t="inlineStr"/>
      <c r="G60" t="inlineStr"/>
      <c r="H60" t="n">
        <v>0</v>
      </c>
      <c r="I60" t="n">
        <v>1900</v>
      </c>
      <c r="J60" t="n">
        <v>4180</v>
      </c>
      <c r="K60" t="n">
        <v>1</v>
      </c>
      <c r="L60" t="n">
        <v>1</v>
      </c>
      <c r="M60" t="n">
        <v>1</v>
      </c>
      <c r="N60" t="n">
        <v>1</v>
      </c>
      <c r="O60" t="b">
        <v>1</v>
      </c>
      <c r="P60" t="n">
        <v>0</v>
      </c>
      <c r="Q60" t="n">
        <v>1</v>
      </c>
      <c r="R60" t="n">
        <v>70</v>
      </c>
      <c r="S60" t="n">
        <v>95</v>
      </c>
      <c r="T60" t="n">
        <v>3.8</v>
      </c>
      <c r="U60" t="n">
        <v>7</v>
      </c>
      <c r="V60" t="n">
        <v>9</v>
      </c>
      <c r="W60" t="b">
        <v>0</v>
      </c>
      <c r="X60" t="n">
        <v>0</v>
      </c>
      <c r="Y60" t="b">
        <v>1</v>
      </c>
      <c r="Z60" t="b">
        <v>1</v>
      </c>
      <c r="AA60" t="n">
        <v>1</v>
      </c>
      <c r="AB60" t="n">
        <v>3.5</v>
      </c>
      <c r="AC60" t="n">
        <v>1</v>
      </c>
      <c r="AD60" t="inlineStr">
        <is>
          <t>patriot</t>
        </is>
      </c>
      <c r="AE60" t="inlineStr"/>
      <c r="AF60" t="inlineStr"/>
      <c r="AG60" t="inlineStr">
        <is>
          <t>none</t>
        </is>
      </c>
      <c r="AH60" t="inlineStr"/>
      <c r="AI60" t="inlineStr"/>
      <c r="AJ60" t="inlineStr">
        <is>
          <t>missile_battery</t>
        </is>
      </c>
      <c r="AK60" t="inlineStr">
        <is>
          <t>giong</t>
        </is>
      </c>
      <c r="BH60" t="inlineStr"/>
      <c r="BI60" t="inlineStr"/>
      <c r="BJ60" t="inlineStr">
        <is>
          <t>Large</t>
        </is>
      </c>
      <c r="BK60" t="inlineStr"/>
      <c r="BL60" t="b">
        <v>1</v>
      </c>
      <c r="BM60" t="n">
        <v>13</v>
      </c>
      <c r="BN60" t="n">
        <v>13</v>
      </c>
      <c r="BO60" t="n">
        <v>60</v>
      </c>
      <c r="BP60" t="n">
        <v>5</v>
      </c>
      <c r="BQ60" t="inlineStr">
        <is>
          <t>Campaign</t>
        </is>
      </c>
      <c r="BR60" t="inlineStr">
        <is>
          <t>missile_battery</t>
        </is>
      </c>
      <c r="BS60" t="inlineStr"/>
      <c r="BT60" t="n">
        <v>1</v>
      </c>
      <c r="CF60" t="inlineStr">
        <is>
          <t>missile_battery.pac3;missile_battery.lrr</t>
        </is>
      </c>
      <c r="CK60" t="n">
        <v>0</v>
      </c>
      <c r="CL60" t="n">
        <v>200</v>
      </c>
      <c r="CM60" t="n">
        <v>0.4</v>
      </c>
      <c r="CN60" t="n">
        <v>12</v>
      </c>
      <c r="CO60" t="inlineStr">
        <is>
          <t>Ultimate</t>
        </is>
      </c>
      <c r="CU60" t="inlineStr">
        <is>
          <t>Large</t>
        </is>
      </c>
      <c r="CV60" t="n">
        <v>1900</v>
      </c>
      <c r="CY60" t="n">
        <v>7</v>
      </c>
      <c r="DR60" t="n">
        <v>3.8</v>
      </c>
      <c r="DS60" t="n">
        <v>13</v>
      </c>
      <c r="EB60" t="inlineStr"/>
      <c r="EG60" t="n">
        <v>0</v>
      </c>
      <c r="EH60" t="b">
        <v>1</v>
      </c>
      <c r="EL60" t="n">
        <v>1</v>
      </c>
      <c r="EN60" t="n">
        <v>70</v>
      </c>
      <c r="EP60" t="n">
        <v>95</v>
      </c>
      <c r="ET60" t="inlineStr">
        <is>
          <t>patriot</t>
        </is>
      </c>
      <c r="EU60" t="n">
        <v>9</v>
      </c>
      <c r="EV60" t="inlineStr">
        <is>
          <t>Assets/MachineBrigade/Resources/Data/balance.json: vehicles[75]</t>
        </is>
      </c>
      <c r="EW60" t="inlineStr">
        <is>
          <t>{"id":"missile_battery"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61">
      <c r="A61" t="inlineStr">
        <is>
          <t>missile_battery.lrr</t>
        </is>
      </c>
      <c r="B61" t="inlineStr"/>
      <c r="C61" t="inlineStr"/>
      <c r="D61" t="inlineStr">
        <is>
          <t>Radar tầm xa</t>
        </is>
      </c>
      <c r="E61" t="inlineStr"/>
      <c r="F61" t="inlineStr"/>
      <c r="G61" t="inlineStr">
        <is>
          <t>missile_battery</t>
        </is>
      </c>
      <c r="H61" t="n">
        <v>0</v>
      </c>
      <c r="I61" t="n">
        <v>1900</v>
      </c>
      <c r="J61" t="n">
        <v>4180</v>
      </c>
      <c r="K61" t="n">
        <v>1</v>
      </c>
      <c r="L61" t="n">
        <v>1</v>
      </c>
      <c r="M61" t="n">
        <v>1</v>
      </c>
      <c r="N61" t="n">
        <v>1</v>
      </c>
      <c r="O61" t="b">
        <v>1</v>
      </c>
      <c r="P61" t="n">
        <v>0</v>
      </c>
      <c r="Q61" t="n">
        <v>1</v>
      </c>
      <c r="R61" t="n">
        <v>70</v>
      </c>
      <c r="S61" t="n">
        <v>110</v>
      </c>
      <c r="T61" t="n">
        <v>3.8</v>
      </c>
      <c r="U61" t="n">
        <v>7</v>
      </c>
      <c r="V61" t="n">
        <v>9</v>
      </c>
      <c r="W61" t="b">
        <v>0</v>
      </c>
      <c r="X61" t="n">
        <v>0</v>
      </c>
      <c r="Y61" t="b">
        <v>1</v>
      </c>
      <c r="Z61" t="b">
        <v>1</v>
      </c>
      <c r="AA61" t="n">
        <v>1</v>
      </c>
      <c r="AB61" t="n">
        <v>3.5</v>
      </c>
      <c r="AC61" t="n">
        <v>1</v>
      </c>
      <c r="AD61" t="inlineStr">
        <is>
          <t>sam_battery_lrr</t>
        </is>
      </c>
      <c r="AE61" t="inlineStr"/>
      <c r="AF61" t="inlineStr"/>
      <c r="AG61" t="inlineStr">
        <is>
          <t>none</t>
        </is>
      </c>
      <c r="AH61" t="inlineStr"/>
      <c r="AI61" t="inlineStr"/>
      <c r="AJ61" t="inlineStr">
        <is>
          <t>missile_battery</t>
        </is>
      </c>
      <c r="AK61" t="inlineStr">
        <is>
          <t>giong</t>
        </is>
      </c>
      <c r="BH61" t="inlineStr">
        <is>
          <t>missile_battery</t>
        </is>
      </c>
      <c r="BI61" t="inlineStr">
        <is>
          <t>lrr</t>
        </is>
      </c>
      <c r="BJ61" t="inlineStr">
        <is>
          <t>Large</t>
        </is>
      </c>
      <c r="BK61" t="inlineStr">
        <is>
          <t>sam_long_radar</t>
        </is>
      </c>
      <c r="BL61" t="b">
        <v>0</v>
      </c>
      <c r="BM61" t="n">
        <v>12</v>
      </c>
      <c r="BN61" t="n">
        <v>12</v>
      </c>
      <c r="BO61" t="n">
        <v>60</v>
      </c>
      <c r="BP61" t="n">
        <v>5</v>
      </c>
      <c r="BQ61" t="inlineStr">
        <is>
          <t>Campaign</t>
        </is>
      </c>
      <c r="BR61" t="inlineStr">
        <is>
          <t>missile_battery</t>
        </is>
      </c>
      <c r="BS61" t="inlineStr"/>
      <c r="BY61" t="inlineStr">
        <is>
          <t>missile_battery_b</t>
        </is>
      </c>
      <c r="CE61" t="inlineStr">
        <is>
          <t>missile_battery</t>
        </is>
      </c>
      <c r="CW61" t="inlineStr">
        <is>
          <t>missile_battery</t>
        </is>
      </c>
      <c r="DS61" t="n">
        <v>12</v>
      </c>
      <c r="DW61" t="n">
        <v>140</v>
      </c>
      <c r="EK61" t="inlineStr">
        <is>
          <t>sam_long_radar</t>
        </is>
      </c>
      <c r="EP61" t="n">
        <v>110</v>
      </c>
      <c r="ET61" t="inlineStr">
        <is>
          <t>sam_battery_lrr</t>
        </is>
      </c>
      <c r="EV61" t="inlineStr">
        <is>
          <t>Assets/MachineBrigade/Resources/Data/balance.json: vehicles[106]</t>
        </is>
      </c>
      <c r="EW61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62">
      <c r="A62" t="inlineStr">
        <is>
          <t>missile_battery.pac3</t>
        </is>
      </c>
      <c r="B62" t="inlineStr"/>
      <c r="C62" t="inlineStr"/>
      <c r="D62" t="inlineStr">
        <is>
          <t>PAC-3</t>
        </is>
      </c>
      <c r="E62" t="inlineStr"/>
      <c r="F62" t="inlineStr"/>
      <c r="G62" t="inlineStr">
        <is>
          <t>missile_battery</t>
        </is>
      </c>
      <c r="H62" t="n">
        <v>0</v>
      </c>
      <c r="I62" t="n">
        <v>1900</v>
      </c>
      <c r="J62" t="n">
        <v>4180</v>
      </c>
      <c r="K62" t="n">
        <v>1</v>
      </c>
      <c r="L62" t="n">
        <v>1</v>
      </c>
      <c r="M62" t="n">
        <v>1</v>
      </c>
      <c r="N62" t="n">
        <v>1</v>
      </c>
      <c r="O62" t="b">
        <v>1</v>
      </c>
      <c r="P62" t="n">
        <v>0</v>
      </c>
      <c r="Q62" t="n">
        <v>1</v>
      </c>
      <c r="R62" t="n">
        <v>70</v>
      </c>
      <c r="S62" t="n">
        <v>95</v>
      </c>
      <c r="T62" t="n">
        <v>3.8</v>
      </c>
      <c r="U62" t="n">
        <v>7</v>
      </c>
      <c r="V62" t="n">
        <v>9</v>
      </c>
      <c r="W62" t="b">
        <v>0</v>
      </c>
      <c r="X62" t="n">
        <v>0</v>
      </c>
      <c r="Y62" t="b">
        <v>1</v>
      </c>
      <c r="Z62" t="b">
        <v>1</v>
      </c>
      <c r="AA62" t="n">
        <v>1</v>
      </c>
      <c r="AB62" t="n">
        <v>3.5</v>
      </c>
      <c r="AC62" t="n">
        <v>1</v>
      </c>
      <c r="AD62" t="inlineStr">
        <is>
          <t>sam_pac3</t>
        </is>
      </c>
      <c r="AE62" t="inlineStr"/>
      <c r="AF62" t="inlineStr"/>
      <c r="AG62" t="inlineStr">
        <is>
          <t>aps</t>
        </is>
      </c>
      <c r="AH62" t="n">
        <v>4</v>
      </c>
      <c r="AI62" t="inlineStr"/>
      <c r="AJ62" t="inlineStr">
        <is>
          <t>missile_battery</t>
        </is>
      </c>
      <c r="AK62" t="inlineStr">
        <is>
          <t>giong</t>
        </is>
      </c>
      <c r="BH62" t="inlineStr">
        <is>
          <t>missile_battery</t>
        </is>
      </c>
      <c r="BI62" t="inlineStr">
        <is>
          <t>pac3</t>
        </is>
      </c>
      <c r="BJ62" t="inlineStr">
        <is>
          <t>Large</t>
        </is>
      </c>
      <c r="BK62" t="inlineStr">
        <is>
          <t>intercept_heavy_missiles</t>
        </is>
      </c>
      <c r="BL62" t="b">
        <v>0</v>
      </c>
      <c r="BM62" t="n">
        <v>9</v>
      </c>
      <c r="BN62" t="n">
        <v>9</v>
      </c>
      <c r="BO62" t="n">
        <v>60</v>
      </c>
      <c r="BP62" t="n">
        <v>5</v>
      </c>
      <c r="BQ62" t="inlineStr">
        <is>
          <t>Campaign</t>
        </is>
      </c>
      <c r="BR62" t="inlineStr">
        <is>
          <t>missile_battery</t>
        </is>
      </c>
      <c r="BS62" t="inlineStr"/>
      <c r="BY62" t="inlineStr">
        <is>
          <t>missile_battery_a</t>
        </is>
      </c>
      <c r="CE62" t="inlineStr">
        <is>
          <t>missile_battery</t>
        </is>
      </c>
      <c r="CW62" t="inlineStr">
        <is>
          <t>missile_battery</t>
        </is>
      </c>
      <c r="DS62" t="n">
        <v>9</v>
      </c>
      <c r="EK62" t="inlineStr">
        <is>
          <t>intercept_heavy_missiles</t>
        </is>
      </c>
      <c r="ET62" t="inlineStr">
        <is>
          <t>sam_pac3</t>
        </is>
      </c>
      <c r="EV62" t="inlineStr">
        <is>
          <t>Assets/MachineBrigade/Resources/Data/balance.json: vehicles[105]</t>
        </is>
      </c>
      <c r="EW62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63">
      <c r="A63" t="inlineStr">
        <is>
          <t>one_shot_atgm_tower</t>
        </is>
      </c>
      <c r="B63" t="inlineStr">
        <is>
          <t>One-shot ATGM battery</t>
        </is>
      </c>
      <c r="C63" t="inlineStr">
        <is>
          <t>Bệ tên lửa phòng thủ một lần</t>
        </is>
      </c>
      <c r="D63" t="inlineStr">
        <is>
          <t>TL một lần</t>
        </is>
      </c>
      <c r="E63" t="inlineStr"/>
      <c r="F63" t="inlineStr"/>
      <c r="G63" t="inlineStr"/>
      <c r="H63" t="n">
        <v>0</v>
      </c>
      <c r="I63" t="n">
        <v>909</v>
      </c>
      <c r="J63" t="n">
        <v>1999.8</v>
      </c>
      <c r="K63" t="n">
        <v>2</v>
      </c>
      <c r="L63" t="n">
        <v>2</v>
      </c>
      <c r="M63" t="n">
        <v>2</v>
      </c>
      <c r="N63" t="n">
        <v>2</v>
      </c>
      <c r="O63" t="b">
        <v>1</v>
      </c>
      <c r="P63" t="n">
        <v>0</v>
      </c>
      <c r="Q63" t="n">
        <v>1</v>
      </c>
      <c r="R63" t="n">
        <v>90</v>
      </c>
      <c r="S63" t="n">
        <v>40</v>
      </c>
      <c r="T63" t="n">
        <v>2.3</v>
      </c>
      <c r="U63" t="n">
        <v>4.8</v>
      </c>
      <c r="V63" t="n">
        <v>4.8</v>
      </c>
      <c r="W63" t="b">
        <v>0</v>
      </c>
      <c r="X63" t="n">
        <v>0</v>
      </c>
      <c r="Y63" t="b">
        <v>1</v>
      </c>
      <c r="Z63" t="b">
        <v>1</v>
      </c>
      <c r="AA63" t="n">
        <v>1</v>
      </c>
      <c r="AB63" t="n">
        <v>3.5</v>
      </c>
      <c r="AC63" t="n">
        <v>1</v>
      </c>
      <c r="AD63" t="inlineStr">
        <is>
          <t>one_shot_kornet</t>
        </is>
      </c>
      <c r="AE63" t="inlineStr"/>
      <c r="AF63" t="inlineStr"/>
      <c r="AG63" t="inlineStr">
        <is>
          <t>none</t>
        </is>
      </c>
      <c r="AH63" t="inlineStr"/>
      <c r="AI63" t="inlineStr"/>
      <c r="AJ63" t="inlineStr">
        <is>
          <t>one_shot_atgm_tower</t>
        </is>
      </c>
      <c r="AK63" t="inlineStr">
        <is>
          <t>giong</t>
        </is>
      </c>
      <c r="BH63" t="inlineStr"/>
      <c r="BI63" t="inlineStr"/>
      <c r="BJ63" t="inlineStr">
        <is>
          <t>Medium</t>
        </is>
      </c>
      <c r="BK63" t="inlineStr"/>
      <c r="BL63" t="b">
        <v>0</v>
      </c>
      <c r="BM63" t="n">
        <v>4</v>
      </c>
      <c r="BN63" t="n">
        <v>4</v>
      </c>
      <c r="BO63" t="n">
        <v>40</v>
      </c>
      <c r="BP63" t="n">
        <v>3.5</v>
      </c>
      <c r="BQ63" t="inlineStr">
        <is>
          <t>Campaign</t>
        </is>
      </c>
      <c r="BR63" t="inlineStr">
        <is>
          <t>one_shot_atgm_tower</t>
        </is>
      </c>
      <c r="BS63" t="inlineStr"/>
      <c r="BT63" t="n">
        <v>2</v>
      </c>
      <c r="CK63" t="n">
        <v>0</v>
      </c>
      <c r="CL63" t="n">
        <v>80</v>
      </c>
      <c r="CM63" t="n">
        <v>0.4</v>
      </c>
      <c r="CN63" t="n">
        <v>7</v>
      </c>
      <c r="CO63" t="inlineStr">
        <is>
          <t>Huge</t>
        </is>
      </c>
      <c r="CU63" t="inlineStr">
        <is>
          <t>Medium</t>
        </is>
      </c>
      <c r="CV63" t="n">
        <v>909</v>
      </c>
      <c r="CY63" t="n">
        <v>4.8</v>
      </c>
      <c r="DI63" t="inlineStr">
        <is>
          <t>one_shot_atgm_tower</t>
        </is>
      </c>
      <c r="DJ63" t="n">
        <v>3.6</v>
      </c>
      <c r="DK63" t="n">
        <v>4.8</v>
      </c>
      <c r="DL63" t="n">
        <v>4.8</v>
      </c>
      <c r="DR63" t="n">
        <v>2.3</v>
      </c>
      <c r="EG63" t="n">
        <v>0</v>
      </c>
      <c r="EH63" t="b">
        <v>1</v>
      </c>
      <c r="EL63" t="n">
        <v>1</v>
      </c>
      <c r="EN63" t="n">
        <v>90</v>
      </c>
      <c r="EP63" t="n">
        <v>40</v>
      </c>
      <c r="ET63" t="inlineStr">
        <is>
          <t>one_shot_kornet</t>
        </is>
      </c>
      <c r="EU63" t="n">
        <v>4.8</v>
      </c>
      <c r="EV63" t="inlineStr">
        <is>
          <t>Assets/MachineBrigade/Resources/Data/balance.json: vehicles[200]</t>
        </is>
      </c>
      <c r="EW63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64">
      <c r="A64" t="inlineStr">
        <is>
          <t>recoilless_gun_tower</t>
        </is>
      </c>
      <c r="B64" t="inlineStr">
        <is>
          <t>Recoilless gun post</t>
        </is>
      </c>
      <c r="C64" t="inlineStr">
        <is>
          <t>Ụ súng không giật</t>
        </is>
      </c>
      <c r="D64" t="inlineStr">
        <is>
          <t>Súng không giật</t>
        </is>
      </c>
      <c r="E64" t="inlineStr"/>
      <c r="F64" t="inlineStr"/>
      <c r="G64" t="inlineStr"/>
      <c r="H64" t="n">
        <v>0</v>
      </c>
      <c r="I64" t="n">
        <v>545</v>
      </c>
      <c r="J64" t="n">
        <v>1199</v>
      </c>
      <c r="K64" t="n">
        <v>1</v>
      </c>
      <c r="L64" t="n">
        <v>1</v>
      </c>
      <c r="M64" t="n">
        <v>1</v>
      </c>
      <c r="N64" t="n">
        <v>1</v>
      </c>
      <c r="O64" t="b">
        <v>1</v>
      </c>
      <c r="P64" t="n">
        <v>0</v>
      </c>
      <c r="Q64" t="n">
        <v>1</v>
      </c>
      <c r="R64" t="n">
        <v>120</v>
      </c>
      <c r="S64" t="n">
        <v>32</v>
      </c>
      <c r="T64" t="n">
        <v>1.8</v>
      </c>
      <c r="U64" t="n">
        <v>3.5</v>
      </c>
      <c r="V64" t="n">
        <v>3.5</v>
      </c>
      <c r="W64" t="b">
        <v>0</v>
      </c>
      <c r="X64" t="n">
        <v>0</v>
      </c>
      <c r="Y64" t="b">
        <v>1</v>
      </c>
      <c r="Z64" t="b">
        <v>1</v>
      </c>
      <c r="AA64" t="n">
        <v>1</v>
      </c>
      <c r="AB64" t="n">
        <v>3.5</v>
      </c>
      <c r="AC64" t="n">
        <v>1</v>
      </c>
      <c r="AD64" t="inlineStr">
        <is>
          <t>spg9_73mm</t>
        </is>
      </c>
      <c r="AE64" t="inlineStr"/>
      <c r="AF64" t="inlineStr"/>
      <c r="AG64" t="inlineStr">
        <is>
          <t>none</t>
        </is>
      </c>
      <c r="AH64" t="inlineStr"/>
      <c r="AI64" t="inlineStr"/>
      <c r="AJ64" t="inlineStr">
        <is>
          <t>recoilless_gun_tower</t>
        </is>
      </c>
      <c r="AK64" t="inlineStr">
        <is>
          <t>giong</t>
        </is>
      </c>
      <c r="BH64" t="inlineStr"/>
      <c r="BI64" t="inlineStr"/>
      <c r="BJ64" t="inlineStr">
        <is>
          <t>Small</t>
        </is>
      </c>
      <c r="BK64" t="inlineStr"/>
      <c r="BL64" t="b">
        <v>0</v>
      </c>
      <c r="BM64" t="n">
        <v>2</v>
      </c>
      <c r="BN64" t="n">
        <v>2</v>
      </c>
      <c r="BO64" t="n">
        <v>25</v>
      </c>
      <c r="BP64" t="n">
        <v>2.5</v>
      </c>
      <c r="BQ64" t="inlineStr">
        <is>
          <t>Campaign</t>
        </is>
      </c>
      <c r="BR64" t="inlineStr">
        <is>
          <t>recoilless_gun_tower</t>
        </is>
      </c>
      <c r="BS64" t="inlineStr"/>
      <c r="BT64" t="n">
        <v>1</v>
      </c>
      <c r="CK64" t="n">
        <v>0</v>
      </c>
      <c r="CL64" t="n">
        <v>40</v>
      </c>
      <c r="CM64" t="n">
        <v>0.25</v>
      </c>
      <c r="CN64" t="n">
        <v>5</v>
      </c>
      <c r="CO64" t="inlineStr">
        <is>
          <t>Large</t>
        </is>
      </c>
      <c r="CU64" t="inlineStr">
        <is>
          <t>Small</t>
        </is>
      </c>
      <c r="CV64" t="n">
        <v>545</v>
      </c>
      <c r="CY64" t="n">
        <v>3.5</v>
      </c>
      <c r="DI64" t="inlineStr">
        <is>
          <t>recoilless_gun_tower</t>
        </is>
      </c>
      <c r="DJ64" t="n">
        <v>3</v>
      </c>
      <c r="DK64" t="n">
        <v>4.2</v>
      </c>
      <c r="DL64" t="n">
        <v>4.2</v>
      </c>
      <c r="DR64" t="n">
        <v>1.8</v>
      </c>
      <c r="EG64" t="n">
        <v>0</v>
      </c>
      <c r="EH64" t="b">
        <v>1</v>
      </c>
      <c r="EL64" t="n">
        <v>1</v>
      </c>
      <c r="EN64" t="n">
        <v>120</v>
      </c>
      <c r="EP64" t="n">
        <v>32</v>
      </c>
      <c r="ET64" t="inlineStr">
        <is>
          <t>spg9_73mm</t>
        </is>
      </c>
      <c r="EU64" t="n">
        <v>3.5</v>
      </c>
      <c r="EV64" t="inlineStr">
        <is>
          <t>Assets/MachineBrigade/Resources/Data/balance.json: vehicles[191]</t>
        </is>
      </c>
      <c r="EW64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65">
      <c r="A65" t="inlineStr">
        <is>
          <t>rocket_turret</t>
        </is>
      </c>
      <c r="B65" t="inlineStr">
        <is>
          <t>Rocket battery</t>
        </is>
      </c>
      <c r="C65" t="inlineStr">
        <is>
          <t>Dàn rốc-két</t>
        </is>
      </c>
      <c r="D65" t="inlineStr">
        <is>
          <t>Dàn rốc-két</t>
        </is>
      </c>
      <c r="E65" t="inlineStr"/>
      <c r="F65" t="inlineStr"/>
      <c r="G65" t="inlineStr"/>
      <c r="H65" t="n">
        <v>0</v>
      </c>
      <c r="I65" t="n">
        <v>1100</v>
      </c>
      <c r="J65" t="n">
        <v>2420</v>
      </c>
      <c r="K65" t="n">
        <v>1</v>
      </c>
      <c r="L65" t="n">
        <v>1</v>
      </c>
      <c r="M65" t="n">
        <v>1</v>
      </c>
      <c r="N65" t="n">
        <v>1</v>
      </c>
      <c r="O65" t="b">
        <v>1</v>
      </c>
      <c r="P65" t="n">
        <v>0</v>
      </c>
      <c r="Q65" t="n">
        <v>1</v>
      </c>
      <c r="R65" t="n">
        <v>90</v>
      </c>
      <c r="S65" t="n">
        <v>55</v>
      </c>
      <c r="T65" t="n">
        <v>2.3</v>
      </c>
      <c r="U65" t="n">
        <v>4.5</v>
      </c>
      <c r="V65" t="n">
        <v>4.5</v>
      </c>
      <c r="W65" t="b">
        <v>0</v>
      </c>
      <c r="X65" t="n">
        <v>0</v>
      </c>
      <c r="Y65" t="b">
        <v>1</v>
      </c>
      <c r="Z65" t="b">
        <v>1</v>
      </c>
      <c r="AA65" t="n">
        <v>1</v>
      </c>
      <c r="AB65" t="n">
        <v>3.5</v>
      </c>
      <c r="AC65" t="n">
        <v>1</v>
      </c>
      <c r="AD65" t="inlineStr">
        <is>
          <t>turret_rockets</t>
        </is>
      </c>
      <c r="AE65" t="inlineStr"/>
      <c r="AF65" t="inlineStr"/>
      <c r="AG65" t="inlineStr">
        <is>
          <t>none</t>
        </is>
      </c>
      <c r="AH65" t="inlineStr"/>
      <c r="AI65" t="inlineStr"/>
      <c r="AJ65" t="inlineStr">
        <is>
          <t>rocket_turret</t>
        </is>
      </c>
      <c r="AK65" t="inlineStr">
        <is>
          <t>giong</t>
        </is>
      </c>
      <c r="BH65" t="inlineStr"/>
      <c r="BI65" t="inlineStr"/>
      <c r="BJ65" t="inlineStr">
        <is>
          <t>Medium</t>
        </is>
      </c>
      <c r="BK65" t="inlineStr"/>
      <c r="BL65" t="b">
        <v>1</v>
      </c>
      <c r="BM65" t="n">
        <v>11</v>
      </c>
      <c r="BN65" t="n">
        <v>11</v>
      </c>
      <c r="BO65" t="n">
        <v>40</v>
      </c>
      <c r="BP65" t="n">
        <v>3.5</v>
      </c>
      <c r="BQ65" t="inlineStr">
        <is>
          <t>Campaign</t>
        </is>
      </c>
      <c r="BR65" t="inlineStr">
        <is>
          <t>rocket_turret</t>
        </is>
      </c>
      <c r="BS65" t="inlineStr"/>
      <c r="BT65" t="n">
        <v>1</v>
      </c>
      <c r="CF65" t="inlineStr">
        <is>
          <t>rocket_turret.cluster;rocket_turret.guided</t>
        </is>
      </c>
      <c r="CK65" t="n">
        <v>0</v>
      </c>
      <c r="CL65" t="n">
        <v>140</v>
      </c>
      <c r="CM65" t="n">
        <v>0.4</v>
      </c>
      <c r="CN65" t="n">
        <v>9</v>
      </c>
      <c r="CO65" t="inlineStr">
        <is>
          <t>Huge</t>
        </is>
      </c>
      <c r="CU65" t="inlineStr">
        <is>
          <t>Medium</t>
        </is>
      </c>
      <c r="CV65" t="n">
        <v>1100</v>
      </c>
      <c r="CY65" t="n">
        <v>4.5</v>
      </c>
      <c r="DR65" t="n">
        <v>2.3</v>
      </c>
      <c r="DS65" t="n">
        <v>11</v>
      </c>
      <c r="EB65" t="inlineStr"/>
      <c r="EG65" t="n">
        <v>0</v>
      </c>
      <c r="EH65" t="b">
        <v>1</v>
      </c>
      <c r="EL65" t="n">
        <v>1</v>
      </c>
      <c r="EN65" t="n">
        <v>90</v>
      </c>
      <c r="EP65" t="n">
        <v>55</v>
      </c>
      <c r="ET65" t="inlineStr">
        <is>
          <t>turret_rockets</t>
        </is>
      </c>
      <c r="EU65" t="n">
        <v>4.5</v>
      </c>
      <c r="EV65" t="inlineStr">
        <is>
          <t>Assets/MachineBrigade/Resources/Data/balance.json: vehicles[120]</t>
        </is>
      </c>
      <c r="EW65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66">
      <c r="A66" t="inlineStr">
        <is>
          <t>rocket_turret.cluster</t>
        </is>
      </c>
      <c r="B66" t="inlineStr"/>
      <c r="C66" t="inlineStr"/>
      <c r="D66" t="inlineStr">
        <is>
          <t>Rốc-két chùm</t>
        </is>
      </c>
      <c r="E66" t="inlineStr"/>
      <c r="F66" t="inlineStr"/>
      <c r="G66" t="inlineStr">
        <is>
          <t>rocket_turret</t>
        </is>
      </c>
      <c r="H66" t="n">
        <v>0</v>
      </c>
      <c r="I66" t="n">
        <v>1100</v>
      </c>
      <c r="J66" t="n">
        <v>2420</v>
      </c>
      <c r="K66" t="n">
        <v>1</v>
      </c>
      <c r="L66" t="n">
        <v>1</v>
      </c>
      <c r="M66" t="n">
        <v>1</v>
      </c>
      <c r="N66" t="n">
        <v>1</v>
      </c>
      <c r="O66" t="b">
        <v>1</v>
      </c>
      <c r="P66" t="n">
        <v>0</v>
      </c>
      <c r="Q66" t="n">
        <v>1</v>
      </c>
      <c r="R66" t="n">
        <v>90</v>
      </c>
      <c r="S66" t="n">
        <v>55</v>
      </c>
      <c r="T66" t="n">
        <v>2.3</v>
      </c>
      <c r="U66" t="n">
        <v>4.5</v>
      </c>
      <c r="V66" t="n">
        <v>4.5</v>
      </c>
      <c r="W66" t="b">
        <v>0</v>
      </c>
      <c r="X66" t="n">
        <v>0</v>
      </c>
      <c r="Y66" t="b">
        <v>1</v>
      </c>
      <c r="Z66" t="b">
        <v>1</v>
      </c>
      <c r="AA66" t="n">
        <v>1</v>
      </c>
      <c r="AB66" t="n">
        <v>3.5</v>
      </c>
      <c r="AC66" t="n">
        <v>1</v>
      </c>
      <c r="AD66" t="inlineStr">
        <is>
          <t>turret_rockets_cluster</t>
        </is>
      </c>
      <c r="AE66" t="inlineStr"/>
      <c r="AF66" t="inlineStr"/>
      <c r="AG66" t="inlineStr">
        <is>
          <t>none</t>
        </is>
      </c>
      <c r="AH66" t="inlineStr"/>
      <c r="AI66" t="inlineStr"/>
      <c r="AJ66" t="inlineStr">
        <is>
          <t>rocket_turret</t>
        </is>
      </c>
      <c r="AK66" t="inlineStr">
        <is>
          <t>giong</t>
        </is>
      </c>
      <c r="BH66" t="inlineStr">
        <is>
          <t>rocket_turret</t>
        </is>
      </c>
      <c r="BI66" t="inlineStr">
        <is>
          <t>cluster</t>
        </is>
      </c>
      <c r="BJ66" t="inlineStr">
        <is>
          <t>Medium</t>
        </is>
      </c>
      <c r="BK66" t="inlineStr">
        <is>
          <t>rockets_cluster</t>
        </is>
      </c>
      <c r="BL66" t="b">
        <v>0</v>
      </c>
      <c r="BM66" t="n">
        <v>10</v>
      </c>
      <c r="BN66" t="n">
        <v>10</v>
      </c>
      <c r="BO66" t="n">
        <v>40</v>
      </c>
      <c r="BP66" t="n">
        <v>3.5</v>
      </c>
      <c r="BQ66" t="inlineStr">
        <is>
          <t>Campaign</t>
        </is>
      </c>
      <c r="BR66" t="inlineStr">
        <is>
          <t>rocket_turret</t>
        </is>
      </c>
      <c r="BS66" t="inlineStr"/>
      <c r="BY66" t="inlineStr">
        <is>
          <t>rocket_turret_a</t>
        </is>
      </c>
      <c r="CE66" t="inlineStr">
        <is>
          <t>rocket_turret</t>
        </is>
      </c>
      <c r="CW66" t="inlineStr">
        <is>
          <t>rocket_turret</t>
        </is>
      </c>
      <c r="DS66" t="n">
        <v>10</v>
      </c>
      <c r="EK66" t="inlineStr">
        <is>
          <t>rockets_cluster</t>
        </is>
      </c>
      <c r="ET66" t="inlineStr">
        <is>
          <t>turret_rockets_cluster</t>
        </is>
      </c>
      <c r="EV66" t="inlineStr">
        <is>
          <t>Assets/MachineBrigade/Resources/Data/balance.json: vehicles[99]</t>
        </is>
      </c>
      <c r="EW66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67">
      <c r="A67" t="inlineStr">
        <is>
          <t>rocket_turret.guided</t>
        </is>
      </c>
      <c r="B67" t="inlineStr"/>
      <c r="C67" t="inlineStr"/>
      <c r="D67" t="inlineStr">
        <is>
          <t>Dẫn đường</t>
        </is>
      </c>
      <c r="E67" t="inlineStr"/>
      <c r="F67" t="inlineStr"/>
      <c r="G67" t="inlineStr">
        <is>
          <t>rocket_turret</t>
        </is>
      </c>
      <c r="H67" t="n">
        <v>0</v>
      </c>
      <c r="I67" t="n">
        <v>1100</v>
      </c>
      <c r="J67" t="n">
        <v>2420</v>
      </c>
      <c r="K67" t="n">
        <v>1</v>
      </c>
      <c r="L67" t="n">
        <v>1</v>
      </c>
      <c r="M67" t="n">
        <v>1</v>
      </c>
      <c r="N67" t="n">
        <v>1</v>
      </c>
      <c r="O67" t="b">
        <v>1</v>
      </c>
      <c r="P67" t="n">
        <v>0</v>
      </c>
      <c r="Q67" t="n">
        <v>1</v>
      </c>
      <c r="R67" t="n">
        <v>90</v>
      </c>
      <c r="S67" t="n">
        <v>95</v>
      </c>
      <c r="T67" t="n">
        <v>2.3</v>
      </c>
      <c r="U67" t="n">
        <v>4.5</v>
      </c>
      <c r="V67" t="n">
        <v>4.5</v>
      </c>
      <c r="W67" t="b">
        <v>0</v>
      </c>
      <c r="X67" t="n">
        <v>0</v>
      </c>
      <c r="Y67" t="b">
        <v>1</v>
      </c>
      <c r="Z67" t="b">
        <v>1</v>
      </c>
      <c r="AA67" t="n">
        <v>1</v>
      </c>
      <c r="AB67" t="n">
        <v>3.5</v>
      </c>
      <c r="AC67" t="n">
        <v>1</v>
      </c>
      <c r="AD67" t="inlineStr">
        <is>
          <t>turret_gmlrs</t>
        </is>
      </c>
      <c r="AE67" t="inlineStr"/>
      <c r="AF67" t="inlineStr"/>
      <c r="AG67" t="inlineStr">
        <is>
          <t>none</t>
        </is>
      </c>
      <c r="AH67" t="inlineStr"/>
      <c r="AI67" t="inlineStr"/>
      <c r="AJ67" t="inlineStr">
        <is>
          <t>rocket_turret</t>
        </is>
      </c>
      <c r="AK67" t="inlineStr">
        <is>
          <t>giong</t>
        </is>
      </c>
      <c r="BH67" t="inlineStr">
        <is>
          <t>rocket_turret</t>
        </is>
      </c>
      <c r="BI67" t="inlineStr">
        <is>
          <t>guided</t>
        </is>
      </c>
      <c r="BJ67" t="inlineStr">
        <is>
          <t>Medium</t>
        </is>
      </c>
      <c r="BK67" t="inlineStr">
        <is>
          <t>rockets_guided</t>
        </is>
      </c>
      <c r="BL67" t="b">
        <v>0</v>
      </c>
      <c r="BM67" t="n">
        <v>9</v>
      </c>
      <c r="BN67" t="n">
        <v>9</v>
      </c>
      <c r="BO67" t="n">
        <v>40</v>
      </c>
      <c r="BP67" t="n">
        <v>3.5</v>
      </c>
      <c r="BQ67" t="inlineStr">
        <is>
          <t>Campaign</t>
        </is>
      </c>
      <c r="BR67" t="inlineStr">
        <is>
          <t>rocket_turret</t>
        </is>
      </c>
      <c r="BS67" t="inlineStr"/>
      <c r="BY67" t="inlineStr">
        <is>
          <t>rocket_turret_b</t>
        </is>
      </c>
      <c r="CE67" t="inlineStr">
        <is>
          <t>rocket_turret</t>
        </is>
      </c>
      <c r="CW67" t="inlineStr">
        <is>
          <t>rocket_turret</t>
        </is>
      </c>
      <c r="DS67" t="n">
        <v>9</v>
      </c>
      <c r="EK67" t="inlineStr">
        <is>
          <t>rockets_guided</t>
        </is>
      </c>
      <c r="EP67" t="n">
        <v>95</v>
      </c>
      <c r="ET67" t="inlineStr">
        <is>
          <t>turret_gmlrs</t>
        </is>
      </c>
      <c r="EV67" t="inlineStr">
        <is>
          <t>Assets/MachineBrigade/Resources/Data/balance.json: vehicles[100]</t>
        </is>
      </c>
      <c r="EW67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68">
      <c r="A68" t="inlineStr">
        <is>
          <t>searchlight</t>
        </is>
      </c>
      <c r="B68" t="inlineStr">
        <is>
          <t>Battlefield searchlight</t>
        </is>
      </c>
      <c r="C68" t="inlineStr">
        <is>
          <t>Đèn pha chiến trường</t>
        </is>
      </c>
      <c r="D68" t="inlineStr">
        <is>
          <t>Đèn pha</t>
        </is>
      </c>
      <c r="E68" t="inlineStr"/>
      <c r="F68" t="inlineStr"/>
      <c r="G68" t="inlineStr"/>
      <c r="H68" t="n">
        <v>0</v>
      </c>
      <c r="I68" t="n">
        <v>545</v>
      </c>
      <c r="J68" t="n">
        <v>1199</v>
      </c>
      <c r="K68" t="n">
        <v>1</v>
      </c>
      <c r="L68" t="n">
        <v>1</v>
      </c>
      <c r="M68" t="n">
        <v>1</v>
      </c>
      <c r="N68" t="n">
        <v>1</v>
      </c>
      <c r="O68" t="b">
        <v>1</v>
      </c>
      <c r="P68" t="n">
        <v>0</v>
      </c>
      <c r="Q68" t="n">
        <v>1</v>
      </c>
      <c r="R68" t="n">
        <v>30</v>
      </c>
      <c r="S68" t="n">
        <v>70</v>
      </c>
      <c r="T68" t="n">
        <v>1.8</v>
      </c>
      <c r="U68" t="n">
        <v>3.6</v>
      </c>
      <c r="V68" t="n">
        <v>3</v>
      </c>
      <c r="W68" t="b">
        <v>0</v>
      </c>
      <c r="X68" t="n">
        <v>0</v>
      </c>
      <c r="Y68" t="b">
        <v>1</v>
      </c>
      <c r="Z68" t="b">
        <v>1</v>
      </c>
      <c r="AA68" t="n">
        <v>1</v>
      </c>
      <c r="AB68" t="n">
        <v>3.5</v>
      </c>
      <c r="AC68" t="n">
        <v>1</v>
      </c>
      <c r="AD68" t="inlineStr">
        <is>
          <t>none</t>
        </is>
      </c>
      <c r="AE68" t="inlineStr"/>
      <c r="AF68" t="inlineStr"/>
      <c r="AG68" t="inlineStr">
        <is>
          <t>none</t>
        </is>
      </c>
      <c r="AH68" t="inlineStr"/>
      <c r="AI68" t="inlineStr"/>
      <c r="AJ68" t="inlineStr">
        <is>
          <t>searchlight</t>
        </is>
      </c>
      <c r="AK68" t="inlineStr">
        <is>
          <t>giong</t>
        </is>
      </c>
      <c r="BH68" t="inlineStr"/>
      <c r="BI68" t="inlineStr"/>
      <c r="BJ68" t="inlineStr">
        <is>
          <t>Small</t>
        </is>
      </c>
      <c r="BK68" t="inlineStr"/>
      <c r="BL68" t="b">
        <v>1</v>
      </c>
      <c r="BM68" t="n">
        <v>3</v>
      </c>
      <c r="BN68" t="n">
        <v>3</v>
      </c>
      <c r="BO68" t="n">
        <v>25</v>
      </c>
      <c r="BP68" t="n">
        <v>2.5</v>
      </c>
      <c r="BQ68" t="inlineStr">
        <is>
          <t>Premium</t>
        </is>
      </c>
      <c r="BR68" t="inlineStr">
        <is>
          <t>searchlight</t>
        </is>
      </c>
      <c r="BS68" t="inlineStr"/>
      <c r="BT68" t="n">
        <v>1</v>
      </c>
      <c r="CF68" t="inlineStr">
        <is>
          <t>searchlight.beam;searchlight.flare</t>
        </is>
      </c>
      <c r="CK68" t="n">
        <v>0</v>
      </c>
      <c r="CL68" t="n">
        <v>30</v>
      </c>
      <c r="CM68" t="n">
        <v>0.2</v>
      </c>
      <c r="CN68" t="n">
        <v>4</v>
      </c>
      <c r="CO68" t="inlineStr">
        <is>
          <t>Large</t>
        </is>
      </c>
      <c r="CU68" t="inlineStr">
        <is>
          <t>Small</t>
        </is>
      </c>
      <c r="CV68" t="n">
        <v>545</v>
      </c>
      <c r="CY68" t="n">
        <v>3.6</v>
      </c>
      <c r="DJ68" t="n">
        <v>2.8</v>
      </c>
      <c r="DK68" t="n">
        <v>3.6</v>
      </c>
      <c r="DL68" t="n">
        <v>3</v>
      </c>
      <c r="DR68" t="n">
        <v>1.8</v>
      </c>
      <c r="DS68" t="n">
        <v>3</v>
      </c>
      <c r="DZ68" t="n">
        <v>0.2</v>
      </c>
      <c r="EA68" t="n">
        <v>35</v>
      </c>
      <c r="EG68" t="n">
        <v>0</v>
      </c>
      <c r="EH68" t="b">
        <v>1</v>
      </c>
      <c r="EL68" t="n">
        <v>1</v>
      </c>
      <c r="EN68" t="n">
        <v>30</v>
      </c>
      <c r="EP68" t="n">
        <v>70</v>
      </c>
      <c r="ET68" t="inlineStr">
        <is>
          <t>none</t>
        </is>
      </c>
      <c r="EU68" t="n">
        <v>3</v>
      </c>
      <c r="EV68" t="inlineStr">
        <is>
          <t>Assets/MachineBrigade/Resources/Data/balance.json: vehicles[154]</t>
        </is>
      </c>
      <c r="EW68" t="inlineStr">
        <is>
          <t>{"id":"searchlight","rebuildCp":3,"branches":["searchlight.beam","searchlight.flare"],"modelSize":[3.6,3.0,2.8],"fort":{"size":"Small"},"static":true,"armour":1,"hp":545,"speed":0,"turnRate":1,"turretTurnRate":30,"radius":1.8,"length":3.6,"width":3.0,"cp":0,"vision":70,"weapon":"none","searchlight":{"radius":35,"dazzle":0.2},"deathExplosion":{"damage":30,"radius":4,"delay":0.2,"tier":"Large"}}</t>
        </is>
      </c>
    </row>
    <row r="69">
      <c r="A69" t="inlineStr">
        <is>
          <t>searchlight.beam</t>
        </is>
      </c>
      <c r="B69" t="inlineStr"/>
      <c r="C69" t="inlineStr"/>
      <c r="D69" t="inlineStr">
        <is>
          <t>Đèn pha</t>
        </is>
      </c>
      <c r="E69" t="inlineStr"/>
      <c r="F69" t="inlineStr"/>
      <c r="G69" t="inlineStr">
        <is>
          <t>searchlight</t>
        </is>
      </c>
      <c r="H69" t="n">
        <v>0</v>
      </c>
      <c r="I69" t="n">
        <v>545</v>
      </c>
      <c r="J69" t="n">
        <v>1199</v>
      </c>
      <c r="K69" t="n">
        <v>1</v>
      </c>
      <c r="L69" t="n">
        <v>1</v>
      </c>
      <c r="M69" t="n">
        <v>1</v>
      </c>
      <c r="N69" t="n">
        <v>1</v>
      </c>
      <c r="O69" t="b">
        <v>1</v>
      </c>
      <c r="P69" t="n">
        <v>0</v>
      </c>
      <c r="Q69" t="n">
        <v>1</v>
      </c>
      <c r="R69" t="n">
        <v>30</v>
      </c>
      <c r="S69" t="n">
        <v>70</v>
      </c>
      <c r="T69" t="n">
        <v>1.8</v>
      </c>
      <c r="U69" t="n">
        <v>3.6</v>
      </c>
      <c r="V69" t="n">
        <v>3</v>
      </c>
      <c r="W69" t="b">
        <v>0</v>
      </c>
      <c r="X69" t="n">
        <v>0</v>
      </c>
      <c r="Y69" t="b">
        <v>1</v>
      </c>
      <c r="Z69" t="b">
        <v>1</v>
      </c>
      <c r="AA69" t="n">
        <v>1</v>
      </c>
      <c r="AB69" t="n">
        <v>3.5</v>
      </c>
      <c r="AC69" t="n">
        <v>1</v>
      </c>
      <c r="AD69" t="inlineStr">
        <is>
          <t>none</t>
        </is>
      </c>
      <c r="AE69" t="inlineStr"/>
      <c r="AF69" t="inlineStr"/>
      <c r="AG69" t="inlineStr">
        <is>
          <t>none</t>
        </is>
      </c>
      <c r="AH69" t="inlineStr"/>
      <c r="AI69" t="inlineStr"/>
      <c r="AJ69" t="inlineStr">
        <is>
          <t>searchlight</t>
        </is>
      </c>
      <c r="AK69" t="inlineStr">
        <is>
          <t>moi</t>
        </is>
      </c>
      <c r="BH69" t="inlineStr">
        <is>
          <t>searchlight</t>
        </is>
      </c>
      <c r="BI69" t="inlineStr">
        <is>
          <t>beam</t>
        </is>
      </c>
      <c r="BJ69" t="inlineStr">
        <is>
          <t>Small</t>
        </is>
      </c>
      <c r="BK69" t="inlineStr">
        <is>
          <t>light_area</t>
        </is>
      </c>
      <c r="BL69" t="b">
        <v>0</v>
      </c>
      <c r="BM69" t="n">
        <v>3</v>
      </c>
      <c r="BN69" t="n">
        <v>3</v>
      </c>
      <c r="BO69" t="n">
        <v>25</v>
      </c>
      <c r="BP69" t="n">
        <v>2.5</v>
      </c>
      <c r="BQ69" t="inlineStr">
        <is>
          <t>Campaign</t>
        </is>
      </c>
      <c r="BR69" t="inlineStr">
        <is>
          <t>searchlight</t>
        </is>
      </c>
      <c r="BS69" t="inlineStr"/>
      <c r="CE69" t="inlineStr">
        <is>
          <t>searchlight</t>
        </is>
      </c>
      <c r="CW69" t="inlineStr">
        <is>
          <t>searchlight</t>
        </is>
      </c>
      <c r="DS69" t="n">
        <v>3</v>
      </c>
      <c r="EK69" t="inlineStr">
        <is>
          <t>light_area</t>
        </is>
      </c>
      <c r="EV69" t="inlineStr">
        <is>
          <t>Assets/MachineBrigade/Resources/Data/balance.json: vehicles[155]</t>
        </is>
      </c>
      <c r="EW69" t="inlineStr">
        <is>
          <t>{"id":"searchlight.beam","rebuildCp":3,"inherits":"searchlight","branchOf":"searchlight","towerRole":"light_area"}</t>
        </is>
      </c>
    </row>
    <row r="70">
      <c r="A70" t="inlineStr">
        <is>
          <t>searchlight.flare</t>
        </is>
      </c>
      <c r="B70" t="inlineStr"/>
      <c r="C70" t="inlineStr"/>
      <c r="D70" t="inlineStr">
        <is>
          <t>Pháo sáng</t>
        </is>
      </c>
      <c r="E70" t="inlineStr"/>
      <c r="F70" t="inlineStr"/>
      <c r="G70" t="inlineStr">
        <is>
          <t>flare_tower</t>
        </is>
      </c>
      <c r="H70" t="n">
        <v>0</v>
      </c>
      <c r="I70" t="n">
        <v>455</v>
      </c>
      <c r="J70" t="n">
        <v>1001</v>
      </c>
      <c r="K70" t="n">
        <v>1</v>
      </c>
      <c r="L70" t="n">
        <v>1</v>
      </c>
      <c r="M70" t="n">
        <v>1</v>
      </c>
      <c r="N70" t="n">
        <v>1</v>
      </c>
      <c r="O70" t="b">
        <v>1</v>
      </c>
      <c r="P70" t="n">
        <v>0</v>
      </c>
      <c r="Q70" t="n">
        <v>1</v>
      </c>
      <c r="R70" t="n">
        <v>90</v>
      </c>
      <c r="S70" t="n">
        <v>60</v>
      </c>
      <c r="T70" t="n">
        <v>1.8</v>
      </c>
      <c r="U70" t="n">
        <v>3.6</v>
      </c>
      <c r="V70" t="n">
        <v>3.6</v>
      </c>
      <c r="W70" t="b">
        <v>0</v>
      </c>
      <c r="X70" t="n">
        <v>0</v>
      </c>
      <c r="Y70" t="b">
        <v>1</v>
      </c>
      <c r="Z70" t="b">
        <v>1</v>
      </c>
      <c r="AA70" t="n">
        <v>1</v>
      </c>
      <c r="AB70" t="n">
        <v>3.5</v>
      </c>
      <c r="AC70" t="n">
        <v>1</v>
      </c>
      <c r="AD70" t="inlineStr">
        <is>
          <t>illum_flare</t>
        </is>
      </c>
      <c r="AE70" t="inlineStr"/>
      <c r="AF70" t="inlineStr"/>
      <c r="AG70" t="inlineStr">
        <is>
          <t>flare</t>
        </is>
      </c>
      <c r="AH70" t="n">
        <v>0</v>
      </c>
      <c r="AI70" t="n">
        <v>0</v>
      </c>
      <c r="AJ70" t="inlineStr">
        <is>
          <t>flare_tower</t>
        </is>
      </c>
      <c r="AK70" t="inlineStr">
        <is>
          <t>moi</t>
        </is>
      </c>
      <c r="BH70" t="inlineStr">
        <is>
          <t>searchlight</t>
        </is>
      </c>
      <c r="BI70" t="inlineStr">
        <is>
          <t>flare</t>
        </is>
      </c>
      <c r="BJ70" t="inlineStr">
        <is>
          <t>Small</t>
        </is>
      </c>
      <c r="BK70" t="inlineStr">
        <is>
          <t>light_flare_waves</t>
        </is>
      </c>
      <c r="BL70" t="b">
        <v>0</v>
      </c>
      <c r="BM70" t="n">
        <v>3</v>
      </c>
      <c r="BN70" t="n">
        <v>3</v>
      </c>
      <c r="BO70" t="n">
        <v>25</v>
      </c>
      <c r="BP70" t="n">
        <v>2.5</v>
      </c>
      <c r="BQ70" t="inlineStr">
        <is>
          <t>Campaign</t>
        </is>
      </c>
      <c r="BR70" t="inlineStr">
        <is>
          <t>searchlight</t>
        </is>
      </c>
      <c r="BS70" t="inlineStr"/>
      <c r="CE70" t="inlineStr">
        <is>
          <t>searchlight</t>
        </is>
      </c>
      <c r="CW70" t="inlineStr">
        <is>
          <t>flare_tower</t>
        </is>
      </c>
      <c r="DS70" t="n">
        <v>3</v>
      </c>
      <c r="EK70" t="inlineStr">
        <is>
          <t>light_flare_waves</t>
        </is>
      </c>
      <c r="EV70" t="inlineStr">
        <is>
          <t>Assets/MachineBrigade/Resources/Data/balance.json: vehicles[156]</t>
        </is>
      </c>
      <c r="EW70" t="inlineStr">
        <is>
          <t>{"id":"searchlight.flare","rebuildCp":3,"inherits":"flare_tower","branchOf":"searchlight","towerRole":"light_flare_waves"}</t>
        </is>
      </c>
    </row>
    <row r="71">
      <c r="A71" t="inlineStr">
        <is>
          <t>shield_tower</t>
        </is>
      </c>
      <c r="B71" t="inlineStr">
        <is>
          <t>Shield generator</t>
        </is>
      </c>
      <c r="C71" t="inlineStr">
        <is>
          <t>Máy phát khiên</t>
        </is>
      </c>
      <c r="D71" t="inlineStr">
        <is>
          <t>Máy phát khiên</t>
        </is>
      </c>
      <c r="E71" t="inlineStr"/>
      <c r="F71" t="inlineStr"/>
      <c r="G71" t="inlineStr"/>
      <c r="H71" t="n">
        <v>0</v>
      </c>
      <c r="I71" t="n">
        <v>2000</v>
      </c>
      <c r="J71" t="n">
        <v>4400</v>
      </c>
      <c r="K71" t="n">
        <v>2</v>
      </c>
      <c r="L71" t="n">
        <v>2</v>
      </c>
      <c r="M71" t="n">
        <v>2</v>
      </c>
      <c r="N71" t="n">
        <v>2</v>
      </c>
      <c r="O71" t="b">
        <v>1</v>
      </c>
      <c r="P71" t="n">
        <v>0</v>
      </c>
      <c r="Q71" t="n">
        <v>1</v>
      </c>
      <c r="R71" t="n">
        <v>1</v>
      </c>
      <c r="S71" t="n">
        <v>40</v>
      </c>
      <c r="T71" t="n">
        <v>3.2</v>
      </c>
      <c r="U71" t="n">
        <v>7</v>
      </c>
      <c r="V71" t="n">
        <v>7</v>
      </c>
      <c r="W71" t="b">
        <v>0</v>
      </c>
      <c r="X71" t="n">
        <v>0</v>
      </c>
      <c r="Y71" t="b">
        <v>1</v>
      </c>
      <c r="Z71" t="b">
        <v>1</v>
      </c>
      <c r="AA71" t="n">
        <v>1</v>
      </c>
      <c r="AB71" t="n">
        <v>3.5</v>
      </c>
      <c r="AC71" t="n">
        <v>1</v>
      </c>
      <c r="AD71" t="inlineStr">
        <is>
          <t>none</t>
        </is>
      </c>
      <c r="AE71" t="inlineStr"/>
      <c r="AF71" t="inlineStr"/>
      <c r="AG71" t="inlineStr">
        <is>
          <t>none</t>
        </is>
      </c>
      <c r="AH71" t="inlineStr"/>
      <c r="AI71" t="inlineStr"/>
      <c r="AJ71" t="inlineStr">
        <is>
          <t>shield_tower</t>
        </is>
      </c>
      <c r="AK71" t="inlineStr">
        <is>
          <t>giong</t>
        </is>
      </c>
      <c r="BH71" t="inlineStr"/>
      <c r="BI71" t="inlineStr"/>
      <c r="BJ71" t="inlineStr">
        <is>
          <t>Large</t>
        </is>
      </c>
      <c r="BK71" t="inlineStr"/>
      <c r="BL71" t="b">
        <v>1</v>
      </c>
      <c r="BM71" t="n">
        <v>10</v>
      </c>
      <c r="BN71" t="n">
        <v>10</v>
      </c>
      <c r="BO71" t="n">
        <v>60</v>
      </c>
      <c r="BP71" t="n">
        <v>5</v>
      </c>
      <c r="BQ71" t="inlineStr">
        <is>
          <t>Campaign</t>
        </is>
      </c>
      <c r="BR71" t="inlineStr">
        <is>
          <t>shield_tower</t>
        </is>
      </c>
      <c r="BS71" t="inlineStr"/>
      <c r="BT71" t="n">
        <v>2</v>
      </c>
      <c r="CF71" t="inlineStr">
        <is>
          <t>shield_tower.bulwark;shield_tower.ward</t>
        </is>
      </c>
      <c r="CK71" t="n">
        <v>0</v>
      </c>
      <c r="CL71" t="n">
        <v>160</v>
      </c>
      <c r="CM71" t="n">
        <v>0.4</v>
      </c>
      <c r="CN71" t="n">
        <v>9</v>
      </c>
      <c r="CO71" t="inlineStr">
        <is>
          <t>Huge</t>
        </is>
      </c>
      <c r="CQ71" t="n">
        <v>3000</v>
      </c>
      <c r="CR71" t="n">
        <v>25</v>
      </c>
      <c r="CS71" t="n">
        <v>30</v>
      </c>
      <c r="CU71" t="inlineStr">
        <is>
          <t>Large</t>
        </is>
      </c>
      <c r="CV71" t="n">
        <v>2000</v>
      </c>
      <c r="CY71" t="n">
        <v>7</v>
      </c>
      <c r="DR71" t="n">
        <v>3.2</v>
      </c>
      <c r="DS71" t="n">
        <v>10</v>
      </c>
      <c r="EG71" t="n">
        <v>0</v>
      </c>
      <c r="EH71" t="b">
        <v>1</v>
      </c>
      <c r="EL71" t="n">
        <v>1</v>
      </c>
      <c r="EN71" t="n">
        <v>1</v>
      </c>
      <c r="EP71" t="n">
        <v>40</v>
      </c>
      <c r="ET71" t="inlineStr">
        <is>
          <t>none</t>
        </is>
      </c>
      <c r="EU71" t="n">
        <v>7</v>
      </c>
      <c r="EV71" t="inlineStr">
        <is>
          <t>Assets/MachineBrigade/Resources/Data/balance.json: vehicles[125]</t>
        </is>
      </c>
      <c r="EW7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72">
      <c r="A72" t="inlineStr">
        <is>
          <t>shield_tower.bulwark</t>
        </is>
      </c>
      <c r="B72" t="inlineStr"/>
      <c r="C72" t="inlineStr"/>
      <c r="D72" t="inlineStr">
        <is>
          <t>Vòm khiên</t>
        </is>
      </c>
      <c r="E72" t="inlineStr"/>
      <c r="F72" t="inlineStr"/>
      <c r="G72" t="inlineStr">
        <is>
          <t>shield_tower</t>
        </is>
      </c>
      <c r="H72" t="n">
        <v>0</v>
      </c>
      <c r="I72" t="n">
        <v>2000</v>
      </c>
      <c r="J72" t="n">
        <v>4400</v>
      </c>
      <c r="K72" t="n">
        <v>2</v>
      </c>
      <c r="L72" t="n">
        <v>2</v>
      </c>
      <c r="M72" t="n">
        <v>2</v>
      </c>
      <c r="N72" t="n">
        <v>2</v>
      </c>
      <c r="O72" t="b">
        <v>1</v>
      </c>
      <c r="P72" t="n">
        <v>0</v>
      </c>
      <c r="Q72" t="n">
        <v>1</v>
      </c>
      <c r="R72" t="n">
        <v>1</v>
      </c>
      <c r="S72" t="n">
        <v>40</v>
      </c>
      <c r="T72" t="n">
        <v>3.2</v>
      </c>
      <c r="U72" t="n">
        <v>7</v>
      </c>
      <c r="V72" t="n">
        <v>7</v>
      </c>
      <c r="W72" t="b">
        <v>0</v>
      </c>
      <c r="X72" t="n">
        <v>0</v>
      </c>
      <c r="Y72" t="b">
        <v>1</v>
      </c>
      <c r="Z72" t="b">
        <v>1</v>
      </c>
      <c r="AA72" t="n">
        <v>1</v>
      </c>
      <c r="AB72" t="n">
        <v>3.5</v>
      </c>
      <c r="AC72" t="n">
        <v>1</v>
      </c>
      <c r="AD72" t="inlineStr">
        <is>
          <t>none</t>
        </is>
      </c>
      <c r="AE72" t="inlineStr"/>
      <c r="AF72" t="inlineStr"/>
      <c r="AG72" t="inlineStr">
        <is>
          <t>none</t>
        </is>
      </c>
      <c r="AH72" t="inlineStr"/>
      <c r="AI72" t="inlineStr"/>
      <c r="AJ72" t="inlineStr">
        <is>
          <t>shield_tower</t>
        </is>
      </c>
      <c r="AK72" t="inlineStr">
        <is>
          <t>giong</t>
        </is>
      </c>
      <c r="BH72" t="inlineStr">
        <is>
          <t>shield_tower</t>
        </is>
      </c>
      <c r="BI72" t="inlineStr">
        <is>
          <t>bulwark</t>
        </is>
      </c>
      <c r="BJ72" t="inlineStr">
        <is>
          <t>Large</t>
        </is>
      </c>
      <c r="BK72" t="inlineStr">
        <is>
          <t>shield_dome</t>
        </is>
      </c>
      <c r="BL72" t="b">
        <v>0</v>
      </c>
      <c r="BM72" t="n">
        <v>10</v>
      </c>
      <c r="BN72" t="n">
        <v>10</v>
      </c>
      <c r="BO72" t="n">
        <v>60</v>
      </c>
      <c r="BP72" t="n">
        <v>5</v>
      </c>
      <c r="BQ72" t="inlineStr">
        <is>
          <t>Campaign</t>
        </is>
      </c>
      <c r="BR72" t="inlineStr">
        <is>
          <t>shield_tower</t>
        </is>
      </c>
      <c r="BS72" t="inlineStr"/>
      <c r="BY72" t="inlineStr">
        <is>
          <t>shield_tower_a</t>
        </is>
      </c>
      <c r="CE72" t="inlineStr">
        <is>
          <t>shield_tower</t>
        </is>
      </c>
      <c r="CQ72" t="n">
        <v>4200</v>
      </c>
      <c r="CR72" t="n">
        <v>25</v>
      </c>
      <c r="CS72" t="n">
        <v>28</v>
      </c>
      <c r="CW72" t="inlineStr">
        <is>
          <t>shield_tower</t>
        </is>
      </c>
      <c r="DS72" t="n">
        <v>10</v>
      </c>
      <c r="EK72" t="inlineStr">
        <is>
          <t>shield_dome</t>
        </is>
      </c>
      <c r="EV72" t="inlineStr">
        <is>
          <t>Assets/MachineBrigade/Resources/Data/balance.json: vehicles[127]</t>
        </is>
      </c>
      <c r="EW7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73">
      <c r="A73" t="inlineStr">
        <is>
          <t>shield_tower.ward</t>
        </is>
      </c>
      <c r="B73" t="inlineStr"/>
      <c r="C73" t="inlineStr"/>
      <c r="D73" t="inlineStr">
        <is>
          <t>Lá chắn tháp</t>
        </is>
      </c>
      <c r="E73" t="inlineStr"/>
      <c r="F73" t="inlineStr"/>
      <c r="G73" t="inlineStr"/>
      <c r="H73" t="n">
        <v>0</v>
      </c>
      <c r="I73" t="n">
        <v>2000</v>
      </c>
      <c r="J73" t="n">
        <v>4400</v>
      </c>
      <c r="K73" t="n">
        <v>2</v>
      </c>
      <c r="L73" t="n">
        <v>2</v>
      </c>
      <c r="M73" t="n">
        <v>2</v>
      </c>
      <c r="N73" t="n">
        <v>2</v>
      </c>
      <c r="O73" t="b">
        <v>1</v>
      </c>
      <c r="P73" t="n">
        <v>0</v>
      </c>
      <c r="Q73" t="n">
        <v>1</v>
      </c>
      <c r="R73" t="n">
        <v>1</v>
      </c>
      <c r="S73" t="n">
        <v>40</v>
      </c>
      <c r="T73" t="n">
        <v>3.2</v>
      </c>
      <c r="U73" t="n">
        <v>7</v>
      </c>
      <c r="V73" t="n">
        <v>7</v>
      </c>
      <c r="W73" t="b">
        <v>0</v>
      </c>
      <c r="X73" t="n">
        <v>0</v>
      </c>
      <c r="Y73" t="b">
        <v>1</v>
      </c>
      <c r="Z73" t="b">
        <v>1</v>
      </c>
      <c r="AA73" t="n">
        <v>1</v>
      </c>
      <c r="AB73" t="n">
        <v>3.5</v>
      </c>
      <c r="AC73" t="n">
        <v>1</v>
      </c>
      <c r="AD73" t="inlineStr">
        <is>
          <t>none</t>
        </is>
      </c>
      <c r="AE73" t="inlineStr"/>
      <c r="AF73" t="inlineStr"/>
      <c r="AG73" t="inlineStr">
        <is>
          <t>none</t>
        </is>
      </c>
      <c r="AH73" t="inlineStr"/>
      <c r="AI73" t="inlineStr"/>
      <c r="AJ73" t="inlineStr">
        <is>
          <t>shield_tower</t>
        </is>
      </c>
      <c r="AK73" t="inlineStr">
        <is>
          <t>giong</t>
        </is>
      </c>
      <c r="BH73" t="inlineStr">
        <is>
          <t>shield_tower</t>
        </is>
      </c>
      <c r="BI73" t="inlineStr">
        <is>
          <t>ward</t>
        </is>
      </c>
      <c r="BJ73" t="inlineStr">
        <is>
          <t>Large</t>
        </is>
      </c>
      <c r="BK73" t="inlineStr">
        <is>
          <t>tower_shields</t>
        </is>
      </c>
      <c r="BL73" t="b">
        <v>0</v>
      </c>
      <c r="BM73" t="n">
        <v>10</v>
      </c>
      <c r="BN73" t="n">
        <v>10</v>
      </c>
      <c r="BO73" t="n">
        <v>60</v>
      </c>
      <c r="BP73" t="n">
        <v>5</v>
      </c>
      <c r="BQ73" t="inlineStr">
        <is>
          <t>Campaign</t>
        </is>
      </c>
      <c r="BR73" t="inlineStr">
        <is>
          <t>shield_tower</t>
        </is>
      </c>
      <c r="BS73" t="inlineStr"/>
      <c r="BT73" t="n">
        <v>2</v>
      </c>
      <c r="BY73" t="inlineStr">
        <is>
          <t>shield_tower_b</t>
        </is>
      </c>
      <c r="CE73" t="inlineStr">
        <is>
          <t>shield_tower</t>
        </is>
      </c>
      <c r="CK73" t="n">
        <v>0</v>
      </c>
      <c r="CL73" t="n">
        <v>160</v>
      </c>
      <c r="CM73" t="n">
        <v>0.4</v>
      </c>
      <c r="CN73" t="n">
        <v>9</v>
      </c>
      <c r="CO73" t="inlineStr">
        <is>
          <t>Huge</t>
        </is>
      </c>
      <c r="CU73" t="inlineStr">
        <is>
          <t>Large</t>
        </is>
      </c>
      <c r="CV73" t="n">
        <v>2000</v>
      </c>
      <c r="CY73" t="n">
        <v>7</v>
      </c>
      <c r="DI73" t="inlineStr">
        <is>
          <t>shield_tower</t>
        </is>
      </c>
      <c r="DR73" t="n">
        <v>3.2</v>
      </c>
      <c r="DS73" t="n">
        <v>10</v>
      </c>
      <c r="EG73" t="n">
        <v>0</v>
      </c>
      <c r="EH73" t="b">
        <v>1</v>
      </c>
      <c r="EK73" t="inlineStr">
        <is>
          <t>tower_shields</t>
        </is>
      </c>
      <c r="EL73" t="n">
        <v>1</v>
      </c>
      <c r="EN73" t="n">
        <v>1</v>
      </c>
      <c r="EP73" t="n">
        <v>40</v>
      </c>
      <c r="EQ73" t="n">
        <v>1200</v>
      </c>
      <c r="ER73" t="n">
        <v>28</v>
      </c>
      <c r="ES73" t="n">
        <v>6</v>
      </c>
      <c r="ET73" t="inlineStr">
        <is>
          <t>none</t>
        </is>
      </c>
      <c r="EU73" t="n">
        <v>7</v>
      </c>
      <c r="EV73" t="inlineStr">
        <is>
          <t>Assets/MachineBrigade/Resources/Data/balance.json: vehicles[128]</t>
        </is>
      </c>
      <c r="EW7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74">
      <c r="A74" t="inlineStr">
        <is>
          <t>spawn_bastion</t>
        </is>
      </c>
      <c r="B74" t="inlineStr">
        <is>
          <t>Camp bastion</t>
        </is>
      </c>
      <c r="C74" t="inlineStr">
        <is>
          <t>Tháp căn cứ</t>
        </is>
      </c>
      <c r="D74" t="inlineStr">
        <is>
          <t>Tháp căn cứ</t>
        </is>
      </c>
      <c r="E74" t="inlineStr">
        <is>
          <t>Defense</t>
        </is>
      </c>
      <c r="F74" t="inlineStr"/>
      <c r="G74" t="inlineStr"/>
      <c r="H74" t="n">
        <v>0</v>
      </c>
      <c r="I74" t="n">
        <v>5000</v>
      </c>
      <c r="J74" t="n">
        <v>11000</v>
      </c>
      <c r="K74" t="n">
        <v>4</v>
      </c>
      <c r="L74" t="n">
        <v>3</v>
      </c>
      <c r="M74" t="n">
        <v>3</v>
      </c>
      <c r="N74" t="n">
        <v>3</v>
      </c>
      <c r="O74" t="b">
        <v>1</v>
      </c>
      <c r="P74" t="n">
        <v>0</v>
      </c>
      <c r="Q74" t="n">
        <v>1</v>
      </c>
      <c r="R74" t="n">
        <v>90</v>
      </c>
      <c r="S74" t="n">
        <v>44</v>
      </c>
      <c r="T74" t="n">
        <v>3.8</v>
      </c>
      <c r="U74" t="n">
        <v>8</v>
      </c>
      <c r="V74" t="n">
        <v>8</v>
      </c>
      <c r="W74" t="b">
        <v>0</v>
      </c>
      <c r="X74" t="n">
        <v>0</v>
      </c>
      <c r="Y74" t="b">
        <v>1</v>
      </c>
      <c r="Z74" t="b">
        <v>1</v>
      </c>
      <c r="AA74" t="n">
        <v>1</v>
      </c>
      <c r="AB74" t="n">
        <v>3.5</v>
      </c>
      <c r="AC74" t="n">
        <v>1</v>
      </c>
      <c r="AD74" t="inlineStr">
        <is>
          <t>bastion_gun</t>
        </is>
      </c>
      <c r="AE74" t="inlineStr"/>
      <c r="AF74" t="inlineStr"/>
      <c r="AG74" t="inlineStr">
        <is>
          <t>none</t>
        </is>
      </c>
      <c r="AH74" t="inlineStr"/>
      <c r="AI74" t="inlineStr"/>
      <c r="AJ74" t="inlineStr">
        <is>
          <t>heavy_turret</t>
        </is>
      </c>
      <c r="AK74" t="inlineStr">
        <is>
          <t>giong</t>
        </is>
      </c>
      <c r="BH74" t="inlineStr"/>
      <c r="BI74" t="inlineStr"/>
      <c r="BJ74" t="inlineStr"/>
      <c r="BK74" t="inlineStr"/>
      <c r="BL74" t="b">
        <v>0</v>
      </c>
      <c r="BM74" t="inlineStr"/>
      <c r="BN74" t="n">
        <v>2</v>
      </c>
      <c r="BO74" t="inlineStr"/>
      <c r="BP74" t="inlineStr"/>
      <c r="BQ74" t="inlineStr">
        <is>
          <t>Campaign</t>
        </is>
      </c>
      <c r="BR74" t="inlineStr">
        <is>
          <t>spawn_bastion</t>
        </is>
      </c>
      <c r="BS74" t="inlineStr"/>
      <c r="BU74" t="n">
        <v>4</v>
      </c>
      <c r="BV74" t="n">
        <v>3</v>
      </c>
      <c r="BW74" t="n">
        <v>3</v>
      </c>
      <c r="BX74" t="n">
        <v>3</v>
      </c>
      <c r="CG74" t="inlineStr">
        <is>
          <t>Defense</t>
        </is>
      </c>
      <c r="CK74" t="n">
        <v>0</v>
      </c>
      <c r="CT74" t="b">
        <v>1</v>
      </c>
      <c r="CV74" t="n">
        <v>5000</v>
      </c>
      <c r="CY74" t="n">
        <v>8</v>
      </c>
      <c r="DI74" t="inlineStr">
        <is>
          <t>heavy_turret</t>
        </is>
      </c>
      <c r="DR74" t="n">
        <v>3.8</v>
      </c>
      <c r="EB74" t="inlineStr"/>
      <c r="EG74" t="n">
        <v>0</v>
      </c>
      <c r="EH74" t="b">
        <v>1</v>
      </c>
      <c r="EL74" t="n">
        <v>1</v>
      </c>
      <c r="EN74" t="n">
        <v>90</v>
      </c>
      <c r="EP74" t="n">
        <v>44</v>
      </c>
      <c r="ET74" t="inlineStr">
        <is>
          <t>bastion_gun</t>
        </is>
      </c>
      <c r="EU74" t="n">
        <v>8</v>
      </c>
      <c r="EV74" t="inlineStr">
        <is>
          <t>Assets/MachineBrigade/Resources/Data/balance.json: vehicles[73]</t>
        </is>
      </c>
      <c r="EW7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75">
      <c r="A75" t="inlineStr">
        <is>
          <t>super_gun</t>
        </is>
      </c>
      <c r="B75" t="inlineStr">
        <is>
          <t>Super-gun</t>
        </is>
      </c>
      <c r="C75" t="inlineStr">
        <is>
          <t>Siêu pháo</t>
        </is>
      </c>
      <c r="D75" t="inlineStr">
        <is>
          <t>Siêu pháo</t>
        </is>
      </c>
      <c r="E75" t="inlineStr">
        <is>
          <t>Defense</t>
        </is>
      </c>
      <c r="F75" t="inlineStr"/>
      <c r="G75" t="inlineStr"/>
      <c r="H75" t="n">
        <v>0</v>
      </c>
      <c r="I75" t="n">
        <v>5200</v>
      </c>
      <c r="J75" t="n">
        <v>11440</v>
      </c>
      <c r="K75" t="n">
        <v>3</v>
      </c>
      <c r="L75" t="n">
        <v>3</v>
      </c>
      <c r="M75" t="n">
        <v>3</v>
      </c>
      <c r="N75" t="n">
        <v>3</v>
      </c>
      <c r="O75" t="b">
        <v>1</v>
      </c>
      <c r="P75" t="n">
        <v>0</v>
      </c>
      <c r="Q75" t="n">
        <v>1</v>
      </c>
      <c r="R75" t="n">
        <v>12</v>
      </c>
      <c r="S75" t="n">
        <v>40</v>
      </c>
      <c r="T75" t="n">
        <v>7</v>
      </c>
      <c r="U75" t="n">
        <v>14.4</v>
      </c>
      <c r="V75" t="n">
        <v>14.4</v>
      </c>
      <c r="W75" t="b">
        <v>0</v>
      </c>
      <c r="X75" t="n">
        <v>0</v>
      </c>
      <c r="Y75" t="b">
        <v>1</v>
      </c>
      <c r="Z75" t="b">
        <v>1</v>
      </c>
      <c r="AA75" t="n">
        <v>1</v>
      </c>
      <c r="AB75" t="n">
        <v>3.5</v>
      </c>
      <c r="AC75" t="n">
        <v>1</v>
      </c>
      <c r="AD75" t="inlineStr">
        <is>
          <t>none</t>
        </is>
      </c>
      <c r="AE75" t="inlineStr"/>
      <c r="AF75" t="inlineStr"/>
      <c r="AG75" t="inlineStr">
        <is>
          <t>none</t>
        </is>
      </c>
      <c r="AH75" t="inlineStr"/>
      <c r="AI75" t="inlineStr"/>
      <c r="AJ75" t="inlineStr">
        <is>
          <t>super_gun</t>
        </is>
      </c>
      <c r="AK75" t="inlineStr">
        <is>
          <t>giong</t>
        </is>
      </c>
      <c r="BH75" t="inlineStr"/>
      <c r="BI75" t="inlineStr"/>
      <c r="BJ75" t="inlineStr"/>
      <c r="BK75" t="inlineStr"/>
      <c r="BL75" t="b">
        <v>0</v>
      </c>
      <c r="BM75" t="inlineStr"/>
      <c r="BN75" t="n">
        <v>2</v>
      </c>
      <c r="BO75" t="inlineStr"/>
      <c r="BP75" t="inlineStr"/>
      <c r="BQ75" t="inlineStr">
        <is>
          <t>Campaign</t>
        </is>
      </c>
      <c r="BR75" t="inlineStr">
        <is>
          <t>super_gun</t>
        </is>
      </c>
      <c r="BS75" t="inlineStr"/>
      <c r="BT75" t="n">
        <v>3</v>
      </c>
      <c r="CG75" t="inlineStr">
        <is>
          <t>Defense</t>
        </is>
      </c>
      <c r="CK75" t="n">
        <v>0</v>
      </c>
      <c r="CL75" t="n">
        <v>380</v>
      </c>
      <c r="CM75" t="n">
        <v>0.6</v>
      </c>
      <c r="CN75" t="n">
        <v>18</v>
      </c>
      <c r="CO75" t="inlineStr">
        <is>
          <t>Ultimate</t>
        </is>
      </c>
      <c r="CV75" t="n">
        <v>5200</v>
      </c>
      <c r="CY75" t="n">
        <v>8</v>
      </c>
      <c r="DI75" t="inlineStr">
        <is>
          <t>super_gun</t>
        </is>
      </c>
      <c r="DR75" t="n">
        <v>7</v>
      </c>
      <c r="DY75" t="n">
        <v>1.8</v>
      </c>
      <c r="EG75" t="n">
        <v>0</v>
      </c>
      <c r="EH75" t="b">
        <v>1</v>
      </c>
      <c r="EL75" t="n">
        <v>1</v>
      </c>
      <c r="EN75" t="n">
        <v>12</v>
      </c>
      <c r="EP75" t="n">
        <v>40</v>
      </c>
      <c r="ET75" t="inlineStr">
        <is>
          <t>none</t>
        </is>
      </c>
      <c r="EU75" t="n">
        <v>8</v>
      </c>
      <c r="EV75" t="inlineStr">
        <is>
          <t>Assets/MachineBrigade/Resources/Data/balance.json: vehicles[72]</t>
        </is>
      </c>
      <c r="EW7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76">
      <c r="A76" t="inlineStr">
        <is>
          <t>targeting_station</t>
        </is>
      </c>
      <c r="B76" t="inlineStr">
        <is>
          <t>Fire-control post</t>
        </is>
      </c>
      <c r="C76" t="inlineStr">
        <is>
          <t>Trạm chỉ thị mục tiêu</t>
        </is>
      </c>
      <c r="D76" t="inlineStr">
        <is>
          <t>Trạm chỉ thị</t>
        </is>
      </c>
      <c r="E76" t="inlineStr">
        <is>
          <t>Defense</t>
        </is>
      </c>
      <c r="F76" t="inlineStr"/>
      <c r="G76" t="inlineStr"/>
      <c r="H76" t="n">
        <v>0</v>
      </c>
      <c r="I76" t="n">
        <v>700</v>
      </c>
      <c r="J76" t="n">
        <v>1540</v>
      </c>
      <c r="K76" t="n">
        <v>1</v>
      </c>
      <c r="L76" t="n">
        <v>1</v>
      </c>
      <c r="M76" t="n">
        <v>1</v>
      </c>
      <c r="N76" t="n">
        <v>1</v>
      </c>
      <c r="O76" t="b">
        <v>1</v>
      </c>
      <c r="P76" t="n">
        <v>0</v>
      </c>
      <c r="Q76" t="n">
        <v>1</v>
      </c>
      <c r="R76" t="n">
        <v>1</v>
      </c>
      <c r="S76" t="n">
        <v>110</v>
      </c>
      <c r="T76" t="n">
        <v>3.4</v>
      </c>
      <c r="U76" t="n">
        <v>8</v>
      </c>
      <c r="V76" t="n">
        <v>6.5</v>
      </c>
      <c r="W76" t="b">
        <v>0</v>
      </c>
      <c r="X76" t="n">
        <v>0</v>
      </c>
      <c r="Y76" t="b">
        <v>1</v>
      </c>
      <c r="Z76" t="b">
        <v>1</v>
      </c>
      <c r="AA76" t="n">
        <v>1</v>
      </c>
      <c r="AB76" t="n">
        <v>3.5</v>
      </c>
      <c r="AC76" t="n">
        <v>1</v>
      </c>
      <c r="AD76" t="inlineStr">
        <is>
          <t>none</t>
        </is>
      </c>
      <c r="AE76" t="inlineStr"/>
      <c r="AF76" t="inlineStr"/>
      <c r="AG76" t="inlineStr">
        <is>
          <t>none</t>
        </is>
      </c>
      <c r="AH76" t="inlineStr"/>
      <c r="AI76" t="inlineStr"/>
      <c r="AJ76" t="inlineStr">
        <is>
          <t>targeting_station</t>
        </is>
      </c>
      <c r="AK76" t="inlineStr">
        <is>
          <t>giong</t>
        </is>
      </c>
      <c r="BH76" t="inlineStr"/>
      <c r="BI76" t="inlineStr"/>
      <c r="BJ76" t="inlineStr"/>
      <c r="BK76" t="inlineStr"/>
      <c r="BL76" t="b">
        <v>0</v>
      </c>
      <c r="BM76" t="inlineStr"/>
      <c r="BN76" t="n">
        <v>2</v>
      </c>
      <c r="BO76" t="inlineStr"/>
      <c r="BP76" t="inlineStr"/>
      <c r="BQ76" t="inlineStr">
        <is>
          <t>Campaign</t>
        </is>
      </c>
      <c r="BR76" t="inlineStr">
        <is>
          <t>targeting_station</t>
        </is>
      </c>
      <c r="BS76" t="inlineStr"/>
      <c r="BT76" t="n">
        <v>1</v>
      </c>
      <c r="CG76" t="inlineStr">
        <is>
          <t>Defense</t>
        </is>
      </c>
      <c r="CK76" t="n">
        <v>0</v>
      </c>
      <c r="CL76" t="n">
        <v>80</v>
      </c>
      <c r="CM76" t="n">
        <v>0.3</v>
      </c>
      <c r="CN76" t="n">
        <v>6</v>
      </c>
      <c r="CO76" t="inlineStr">
        <is>
          <t>Huge</t>
        </is>
      </c>
      <c r="CV76" t="n">
        <v>700</v>
      </c>
      <c r="CY76" t="n">
        <v>8</v>
      </c>
      <c r="DR76" t="n">
        <v>3.4</v>
      </c>
      <c r="EG76" t="n">
        <v>0</v>
      </c>
      <c r="EH76" t="b">
        <v>1</v>
      </c>
      <c r="EL76" t="n">
        <v>1</v>
      </c>
      <c r="EN76" t="n">
        <v>1</v>
      </c>
      <c r="EP76" t="n">
        <v>110</v>
      </c>
      <c r="ET76" t="inlineStr">
        <is>
          <t>none</t>
        </is>
      </c>
      <c r="EU76" t="n">
        <v>6.5</v>
      </c>
      <c r="EV76" t="inlineStr">
        <is>
          <t>Assets/MachineBrigade/Resources/Data/balance.json: vehicles[217]</t>
        </is>
      </c>
      <c r="EW7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77">
      <c r="A77" t="inlineStr">
        <is>
          <t>troop_shelter</t>
        </is>
      </c>
      <c r="B77" t="inlineStr">
        <is>
          <t>Troop shelter</t>
        </is>
      </c>
      <c r="C77" t="inlineStr">
        <is>
          <t>Hầm che quân</t>
        </is>
      </c>
      <c r="D77" t="inlineStr">
        <is>
          <t>Hầm che quân</t>
        </is>
      </c>
      <c r="E77" t="inlineStr"/>
      <c r="F77" t="inlineStr"/>
      <c r="G77" t="inlineStr"/>
      <c r="H77" t="n">
        <v>0</v>
      </c>
      <c r="I77" t="n">
        <v>1818</v>
      </c>
      <c r="J77" t="n">
        <v>3999.6</v>
      </c>
      <c r="K77" t="n">
        <v>3</v>
      </c>
      <c r="L77" t="n">
        <v>3</v>
      </c>
      <c r="M77" t="n">
        <v>3</v>
      </c>
      <c r="N77" t="n">
        <v>3</v>
      </c>
      <c r="O77" t="b">
        <v>1</v>
      </c>
      <c r="P77" t="n">
        <v>0</v>
      </c>
      <c r="Q77" t="n">
        <v>1</v>
      </c>
      <c r="R77" t="n">
        <v>1</v>
      </c>
      <c r="S77" t="n">
        <v>30</v>
      </c>
      <c r="T77" t="n">
        <v>2.6</v>
      </c>
      <c r="U77" t="n">
        <v>6</v>
      </c>
      <c r="V77" t="n">
        <v>5</v>
      </c>
      <c r="W77" t="b">
        <v>0</v>
      </c>
      <c r="X77" t="n">
        <v>0</v>
      </c>
      <c r="Y77" t="b">
        <v>1</v>
      </c>
      <c r="Z77" t="b">
        <v>1</v>
      </c>
      <c r="AA77" t="n">
        <v>1</v>
      </c>
      <c r="AB77" t="n">
        <v>3.5</v>
      </c>
      <c r="AC77" t="n">
        <v>1</v>
      </c>
      <c r="AD77" t="inlineStr">
        <is>
          <t>none</t>
        </is>
      </c>
      <c r="AE77" t="inlineStr"/>
      <c r="AF77" t="inlineStr"/>
      <c r="AG77" t="inlineStr">
        <is>
          <t>none</t>
        </is>
      </c>
      <c r="AH77" t="inlineStr"/>
      <c r="AI77" t="inlineStr"/>
      <c r="AJ77" t="inlineStr">
        <is>
          <t>troop_shelter</t>
        </is>
      </c>
      <c r="AK77" t="inlineStr">
        <is>
          <t>giong</t>
        </is>
      </c>
      <c r="BH77" t="inlineStr"/>
      <c r="BI77" t="inlineStr">
        <is>
          <t>noBranch</t>
        </is>
      </c>
      <c r="BJ77" t="inlineStr">
        <is>
          <t>Medium</t>
        </is>
      </c>
      <c r="BK77" t="inlineStr">
        <is>
          <t>shelter_troops</t>
        </is>
      </c>
      <c r="BL77" t="b">
        <v>1</v>
      </c>
      <c r="BM77" t="n">
        <v>5</v>
      </c>
      <c r="BN77" t="n">
        <v>5</v>
      </c>
      <c r="BO77" t="n">
        <v>40</v>
      </c>
      <c r="BP77" t="n">
        <v>3.5</v>
      </c>
      <c r="BQ77" t="inlineStr">
        <is>
          <t>Premium</t>
        </is>
      </c>
      <c r="BR77" t="inlineStr">
        <is>
          <t>troop_shelter</t>
        </is>
      </c>
      <c r="BS77" t="inlineStr"/>
      <c r="BT77" t="n">
        <v>3</v>
      </c>
      <c r="CK77" t="n">
        <v>0</v>
      </c>
      <c r="CU77" t="inlineStr">
        <is>
          <t>Medium</t>
        </is>
      </c>
      <c r="CV77" t="n">
        <v>1818</v>
      </c>
      <c r="CY77" t="n">
        <v>6</v>
      </c>
      <c r="DJ77" t="n">
        <v>2.2</v>
      </c>
      <c r="DK77" t="n">
        <v>6</v>
      </c>
      <c r="DL77" t="n">
        <v>5</v>
      </c>
      <c r="DN77" t="b">
        <v>1</v>
      </c>
      <c r="DR77" t="n">
        <v>2.6</v>
      </c>
      <c r="DS77" t="n">
        <v>5</v>
      </c>
      <c r="EC77" t="n">
        <v>0.5</v>
      </c>
      <c r="ED77" t="n">
        <v>15</v>
      </c>
      <c r="EG77" t="n">
        <v>0</v>
      </c>
      <c r="EH77" t="b">
        <v>1</v>
      </c>
      <c r="EK77" t="inlineStr">
        <is>
          <t>shelter_troops</t>
        </is>
      </c>
      <c r="EL77" t="n">
        <v>1</v>
      </c>
      <c r="EN77" t="n">
        <v>1</v>
      </c>
      <c r="EP77" t="n">
        <v>30</v>
      </c>
      <c r="ET77" t="inlineStr">
        <is>
          <t>none</t>
        </is>
      </c>
      <c r="EU77" t="n">
        <v>5</v>
      </c>
      <c r="EV77" t="inlineStr">
        <is>
          <t>Assets/MachineBrigade/Resources/Data/balance.json: vehicles[163]</t>
        </is>
      </c>
      <c r="EW77" t="inlineStr">
        <is>
          <t>{"id":"troop_shelter","rebuildCp":5,"towerRole":"shelter_troops","noBranch":true,"modelSize":[6.0,5.0,2.2],"fort":{"size":"Medium"},"static":true,"armour":3,"hp":1818,"speed":0,"turnRate":1,"turretTurnRate":1,"radius":2.6,"length":6.0,"width":5.0,"cp":0,"vision":30,"weapon":"none","shelter":{"radius":15,"cut":0.5}}</t>
        </is>
      </c>
    </row>
  </sheetData>
  <autoFilter ref="A1:EW7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9" customWidth="1" min="4" max="4"/>
    <col width="8" customWidth="1" min="5" max="5"/>
    <col width="8" customWidth="1" min="6" max="6"/>
    <col width="60" customWidth="1" min="7" max="7"/>
    <col width="49" customWidth="1" min="8" max="8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F2" t="inlineStr">
        <is>
          <t>missile</t>
        </is>
      </c>
      <c r="G2" t="inlineStr">
        <is>
          <t>Assets/MachineBrigade/Resources/Data/balance.json: vehicles[78].secondary[0]</t>
        </is>
      </c>
      <c r="H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F3" t="inlineStr">
        <is>
          <t>gun</t>
        </is>
      </c>
      <c r="G3" t="inlineStr">
        <is>
          <t>Assets/MachineBrigade/Resources/Data/balance.json: vehicles[110].secondary[0]</t>
        </is>
      </c>
      <c r="H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F4" t="inlineStr">
        <is>
          <t>gun</t>
        </is>
      </c>
      <c r="G4" t="inlineStr">
        <is>
          <t>Assets/MachineBrigade/Resources/Data/balance.json: vehicles[110].secondary[1]</t>
        </is>
      </c>
      <c r="H4" t="inlineStr">
        <is>
          <t>{"weapon":"hmg_roof","slot":"gun","aim":"Free"}</t>
        </is>
      </c>
    </row>
  </sheetData>
  <autoFilter ref="A1:H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vehicles[94]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vehicles[92]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vehicles[93]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vehicles[68]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vehicles[70]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vehicles[69]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vehicles[71]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vehicles[70].secondary[0]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vehicles[70].secondary[1]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vehicles[70].secondary[2]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vehicles[70].secondary[3]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vehicles[69].secondary[0]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vehicles[69].secondary[1]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vehicles[69].secondary[2]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vehicles[69].secondary[3]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vehicles[68].secondary[0]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vehicles[68].secondary[1]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vehicles[68].secondary[2]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9" customWidth="1" min="6" max="6"/>
    <col width="8" customWidth="1" min="7" max="7"/>
    <col width="16" customWidth="1" min="8" max="8"/>
    <col width="29" customWidth="1" min="9" max="9"/>
    <col width="20" customWidth="1" min="10" max="10"/>
    <col width="15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charges</t>
        </is>
      </c>
      <c r="G1" s="1" t="inlineStr">
        <is>
          <t>clear</t>
        </is>
      </c>
      <c r="H1" s="1" t="inlineStr">
        <is>
          <t>dome_seconds_s</t>
        </is>
      </c>
      <c r="I1" s="1" t="inlineStr">
        <is>
          <t>ground</t>
        </is>
      </c>
      <c r="J1" s="1" t="inlineStr">
        <is>
          <t>hq</t>
        </is>
      </c>
      <c r="K1" s="1" t="inlineStr">
        <is>
          <t>regen_delay_s</t>
        </is>
      </c>
      <c r="L1" s="1" t="inlineStr">
        <is>
          <t>stock</t>
        </is>
      </c>
      <c r="M1" s="1" t="inlineStr">
        <is>
          <t>nguon</t>
        </is>
      </c>
      <c r="N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I2" t="inlineStr">
        <is>
          <t>headquarters.fortress_ground</t>
        </is>
      </c>
      <c r="M2" t="inlineStr">
        <is>
          <t>Assets/MachineBrigade/Resources/Data/balance.json: base.hqTypes.fortress</t>
        </is>
      </c>
      <c r="N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G3" t="n">
        <v>30</v>
      </c>
      <c r="L3" t="n">
        <v>2</v>
      </c>
      <c r="M3" t="inlineStr">
        <is>
          <t>Assets/MachineBrigade/Resources/Data/balance.json: base.hqTypes.garrison</t>
        </is>
      </c>
      <c r="N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{"every":[120.0,100.0,100.0,130.0,170.0],"stock":2,"clear":30,"caps":[6,8,10,12,15],"squads":[{"units":["light_tank"]},{"units":["armored_car","scout_jeep"]},{"units":["light_tank","armored_car"]},{"units":["main_battle_tank"]},{"units":["main_battle_tank","scout_jeep"]}]}</t>
        </is>
      </c>
    </row>
    <row r="4">
      <c r="A4" t="inlineStr">
        <is>
          <t>shield</t>
        </is>
      </c>
      <c r="B4" t="inlineStr">
        <is>
          <t>headquarters.shield</t>
        </is>
      </c>
      <c r="F4" t="n">
        <v>4</v>
      </c>
      <c r="H4" t="n">
        <v>10</v>
      </c>
      <c r="J4" t="inlineStr">
        <is>
          <t>headquarters.shield</t>
        </is>
      </c>
      <c r="K4" t="n">
        <v>5</v>
      </c>
      <c r="M4" t="inlineStr">
        <is>
          <t>Assets/MachineBrigade/Resources/Data/balance.json: base.hqTypes.shield</t>
        </is>
      </c>
      <c r="N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N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29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1" customWidth="1" min="61" max="61"/>
    <col width="23" customWidth="1" min="62" max="62"/>
    <col width="25" customWidth="1" min="63" max="63"/>
    <col width="27" customWidth="1" min="64" max="64"/>
    <col width="8" customWidth="1" min="65" max="65"/>
    <col width="24" customWidth="1" min="66" max="66"/>
    <col width="25" customWidth="1" min="67" max="67"/>
    <col width="26" customWidth="1" min="68" max="68"/>
    <col width="22" customWidth="1" min="69" max="69"/>
    <col width="21" customWidth="1" min="70" max="70"/>
    <col width="20" customWidth="1" min="71" max="71"/>
    <col width="23" customWidth="1" min="72" max="72"/>
    <col width="11" customWidth="1" min="73" max="73"/>
    <col width="11" customWidth="1" min="74" max="74"/>
    <col width="8" customWidth="1" min="75" max="75"/>
    <col width="10" customWidth="1" min="76" max="76"/>
    <col width="11" customWidth="1" min="77" max="77"/>
    <col width="21" customWidth="1" min="78" max="78"/>
    <col width="21" customWidth="1" min="79" max="79"/>
    <col width="20" customWidth="1" min="80" max="80"/>
    <col width="10" customWidth="1" min="81" max="81"/>
    <col width="10" customWidth="1" min="82" max="82"/>
    <col width="20" customWidth="1" min="83" max="83"/>
    <col width="23" customWidth="1" min="84" max="84"/>
    <col width="11" customWidth="1" min="85" max="85"/>
    <col width="8" customWidth="1" min="86" max="86"/>
    <col width="17" customWidth="1" min="87" max="87"/>
    <col width="24" customWidth="1" min="88" max="88"/>
    <col width="17" customWidth="1" min="89" max="89"/>
    <col width="21" customWidth="1" min="90" max="90"/>
    <col width="19" customWidth="1" min="91" max="91"/>
    <col width="20" customWidth="1" min="92" max="92"/>
    <col width="15" customWidth="1" min="93" max="93"/>
    <col width="16" customWidth="1" min="94" max="94"/>
    <col width="21" customWidth="1" min="95" max="95"/>
    <col width="16" customWidth="1" min="96" max="96"/>
    <col width="10" customWidth="1" min="97" max="97"/>
    <col width="8" customWidth="1" min="98" max="98"/>
    <col width="9" customWidth="1" min="99" max="99"/>
    <col width="60" customWidth="1" min="100" max="100"/>
    <col width="60" customWidth="1" min="101" max="10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branch_of</t>
        </is>
      </c>
      <c r="BJ1" s="1" t="inlineStr">
        <is>
          <t>counter_battery_bonus</t>
        </is>
      </c>
      <c r="BK1" s="1" t="inlineStr">
        <is>
          <t>counter_battery_range_m</t>
        </is>
      </c>
      <c r="BL1" s="1" t="inlineStr">
        <is>
          <t>counter_battery_seconds_s</t>
        </is>
      </c>
      <c r="BM1" s="1" t="inlineStr">
        <is>
          <t>cp</t>
        </is>
      </c>
      <c r="BN1" s="1" t="inlineStr">
        <is>
          <t>death_explosion_damage</t>
        </is>
      </c>
      <c r="BO1" s="1" t="inlineStr">
        <is>
          <t>death_explosion_delay_s</t>
        </is>
      </c>
      <c r="BP1" s="1" t="inlineStr">
        <is>
          <t>death_explosion_radius_m</t>
        </is>
      </c>
      <c r="BQ1" s="1" t="inlineStr">
        <is>
          <t>death_explosion_tier</t>
        </is>
      </c>
      <c r="BR1" s="1" t="inlineStr">
        <is>
          <t>fire_control_damage</t>
        </is>
      </c>
      <c r="BS1" s="1" t="inlineStr">
        <is>
          <t>fire_control_focus</t>
        </is>
      </c>
      <c r="BT1" s="1" t="inlineStr">
        <is>
          <t>fire_control_radius_m</t>
        </is>
      </c>
      <c r="BU1" s="1" t="inlineStr">
        <is>
          <t>fort_kind</t>
        </is>
      </c>
      <c r="BV1" s="1" t="inlineStr">
        <is>
          <t>fort_size</t>
        </is>
      </c>
      <c r="BW1" s="1" t="inlineStr">
        <is>
          <t>hp</t>
        </is>
      </c>
      <c r="BX1" s="1" t="inlineStr">
        <is>
          <t>length_m</t>
        </is>
      </c>
      <c r="BY1" s="1" t="inlineStr">
        <is>
          <t>model</t>
        </is>
      </c>
      <c r="BZ1" s="1" t="inlineStr">
        <is>
          <t>model_size_height_m</t>
        </is>
      </c>
      <c r="CA1" s="1" t="inlineStr">
        <is>
          <t>model_size_length_m</t>
        </is>
      </c>
      <c r="CB1" s="1" t="inlineStr">
        <is>
          <t>model_size_width_m</t>
        </is>
      </c>
      <c r="CC1" s="1" t="inlineStr">
        <is>
          <t>passable</t>
        </is>
      </c>
      <c r="CD1" s="1" t="inlineStr">
        <is>
          <t>radius_m</t>
        </is>
      </c>
      <c r="CE1" s="1" t="inlineStr">
        <is>
          <t>sight_jammer_close</t>
        </is>
      </c>
      <c r="CF1" s="1" t="inlineStr">
        <is>
          <t>sight_jammer_radius_m</t>
        </is>
      </c>
      <c r="CG1" s="1" t="inlineStr">
        <is>
          <t>speed_m_s</t>
        </is>
      </c>
      <c r="CH1" s="1" t="inlineStr">
        <is>
          <t>static</t>
        </is>
      </c>
      <c r="CI1" s="1" t="inlineStr">
        <is>
          <t>turn_rate_deg_s</t>
        </is>
      </c>
      <c r="CJ1" s="1" t="inlineStr">
        <is>
          <t>turret_turn_rate_deg_s</t>
        </is>
      </c>
      <c r="CK1" s="1" t="inlineStr">
        <is>
          <t>utility_air_cap</t>
        </is>
      </c>
      <c r="CL1" s="1" t="inlineStr">
        <is>
          <t>utility_air_reach_m</t>
        </is>
      </c>
      <c r="CM1" s="1" t="inlineStr">
        <is>
          <t>utility_air_rearm</t>
        </is>
      </c>
      <c r="CN1" s="1" t="inlineStr">
        <is>
          <t>utility_air_repair</t>
        </is>
      </c>
      <c r="CO1" s="1" t="inlineStr">
        <is>
          <t>utility_rearm</t>
        </is>
      </c>
      <c r="CP1" s="1" t="inlineStr">
        <is>
          <t>utility_repair</t>
        </is>
      </c>
      <c r="CQ1" s="1" t="inlineStr">
        <is>
          <t>utility_reveal_base</t>
        </is>
      </c>
      <c r="CR1" s="1" t="inlineStr">
        <is>
          <t>utility_supply</t>
        </is>
      </c>
      <c r="CS1" s="1" t="inlineStr">
        <is>
          <t>vision_m</t>
        </is>
      </c>
      <c r="CT1" s="1" t="inlineStr">
        <is>
          <t>weapon</t>
        </is>
      </c>
      <c r="CU1" s="1" t="inlineStr">
        <is>
          <t>width_m</t>
        </is>
      </c>
      <c r="CV1" s="1" t="inlineStr">
        <is>
          <t>nguon</t>
        </is>
      </c>
      <c r="CW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M2" t="n">
        <v>0</v>
      </c>
      <c r="BU2" t="inlineStr">
        <is>
          <t>Utility</t>
        </is>
      </c>
      <c r="BV2" t="inlineStr">
        <is>
          <t>Medium</t>
        </is>
      </c>
      <c r="BW2" t="n">
        <v>1600</v>
      </c>
      <c r="BX2" t="n">
        <v>6</v>
      </c>
      <c r="BY2" t="inlineStr">
        <is>
          <t>helipad</t>
        </is>
      </c>
      <c r="CC2" t="b">
        <v>1</v>
      </c>
      <c r="CD2" t="n">
        <v>3</v>
      </c>
      <c r="CG2" t="n">
        <v>0</v>
      </c>
      <c r="CH2" t="b">
        <v>1</v>
      </c>
      <c r="CI2" t="n">
        <v>1</v>
      </c>
      <c r="CJ2" t="n">
        <v>1</v>
      </c>
      <c r="CL2" t="n">
        <v>14</v>
      </c>
      <c r="CN2" t="n">
        <v>0.03</v>
      </c>
      <c r="CS2" t="n">
        <v>30</v>
      </c>
      <c r="CT2" t="inlineStr">
        <is>
          <t>none</t>
        </is>
      </c>
      <c r="CU2" t="n">
        <v>6</v>
      </c>
      <c r="CV2" t="inlineStr">
        <is>
          <t>Assets/MachineBrigade/Resources/Data/balance.json: vehicles[113]</t>
        </is>
      </c>
      <c r="CW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utility":{"airRepair":0.03,"airReach":14}}</t>
        </is>
      </c>
    </row>
    <row r="3">
      <c r="A3" t="inlineStr">
        <is>
          <t>airfield.hangar</t>
        </is>
      </c>
      <c r="B3" t="inlineStr"/>
      <c r="C3" t="inlineStr"/>
      <c r="D3" t="inlineStr">
        <is>
          <t>Nhà chứa</t>
        </is>
      </c>
      <c r="E3" t="inlineStr"/>
      <c r="F3" t="inlineStr"/>
      <c r="G3" t="inlineStr"/>
      <c r="H3" t="n">
        <v>0</v>
      </c>
      <c r="I3" t="n">
        <v>1800</v>
      </c>
      <c r="J3" t="n">
        <v>3960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1</v>
      </c>
      <c r="S3" t="n">
        <v>30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helipad</t>
        </is>
      </c>
      <c r="AK3" t="inlineStr">
        <is>
          <t>giong</t>
        </is>
      </c>
      <c r="BH3" t="n">
        <v>2</v>
      </c>
      <c r="BI3" t="inlineStr">
        <is>
          <t>airfield</t>
        </is>
      </c>
      <c r="BM3" t="n">
        <v>0</v>
      </c>
      <c r="BU3" t="inlineStr">
        <is>
          <t>Utility</t>
        </is>
      </c>
      <c r="BV3" t="inlineStr">
        <is>
          <t>Medium</t>
        </is>
      </c>
      <c r="BW3" t="n">
        <v>1800</v>
      </c>
      <c r="BX3" t="n">
        <v>6</v>
      </c>
      <c r="BY3" t="inlineStr">
        <is>
          <t>helipad</t>
        </is>
      </c>
      <c r="CC3" t="b">
        <v>1</v>
      </c>
      <c r="CD3" t="n">
        <v>3</v>
      </c>
      <c r="CG3" t="n">
        <v>0</v>
      </c>
      <c r="CH3" t="b">
        <v>1</v>
      </c>
      <c r="CI3" t="n">
        <v>1</v>
      </c>
      <c r="CJ3" t="n">
        <v>1</v>
      </c>
      <c r="CK3" t="n">
        <v>1</v>
      </c>
      <c r="CL3" t="n">
        <v>14</v>
      </c>
      <c r="CN3" t="n">
        <v>0.03</v>
      </c>
      <c r="CS3" t="n">
        <v>30</v>
      </c>
      <c r="CT3" t="inlineStr">
        <is>
          <t>none</t>
        </is>
      </c>
      <c r="CU3" t="n">
        <v>6</v>
      </c>
      <c r="CV3" t="inlineStr">
        <is>
          <t>Assets/MachineBrigade/Resources/Data/balance.json: vehicles[114]</t>
        </is>
      </c>
      <c r="CW3" t="inlineStr">
        <is>
          <t>{"id":"airfield.hangar","branchOf":"airfield","fort":{"size":"Medium","kind":"Utility"},"model":"helipad","static":true,"passable":true,"armour":2,"hp":1800,"speed":0,"turnRate":1,"turretTurnRate":1,"radius":3,"length":6,"width":6,"cp":0,"vision":30,"weapon":"none","utility":{"airRepair":0.03,"airReach":14,"airCap":1}}</t>
        </is>
      </c>
    </row>
    <row r="4">
      <c r="A4" t="inlineStr">
        <is>
          <t>airfield.service</t>
        </is>
      </c>
      <c r="B4" t="inlineStr"/>
      <c r="C4" t="inlineStr"/>
      <c r="D4" t="inlineStr"/>
      <c r="E4" t="inlineStr"/>
      <c r="F4" t="inlineStr"/>
      <c r="G4" t="inlineStr"/>
      <c r="H4" t="n">
        <v>0</v>
      </c>
      <c r="I4" t="n">
        <v>1600</v>
      </c>
      <c r="J4" t="n">
        <v>3520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helipad</t>
        </is>
      </c>
      <c r="AK4" t="inlineStr">
        <is>
          <t>giong</t>
        </is>
      </c>
      <c r="BH4" t="n">
        <v>1</v>
      </c>
      <c r="BI4" t="inlineStr">
        <is>
          <t>airfield</t>
        </is>
      </c>
      <c r="BM4" t="n">
        <v>0</v>
      </c>
      <c r="BU4" t="inlineStr">
        <is>
          <t>Utility</t>
        </is>
      </c>
      <c r="BV4" t="inlineStr">
        <is>
          <t>Medium</t>
        </is>
      </c>
      <c r="BW4" t="n">
        <v>1600</v>
      </c>
      <c r="BX4" t="n">
        <v>6</v>
      </c>
      <c r="BY4" t="inlineStr">
        <is>
          <t>helipad</t>
        </is>
      </c>
      <c r="CC4" t="b">
        <v>1</v>
      </c>
      <c r="CD4" t="n">
        <v>3</v>
      </c>
      <c r="CG4" t="n">
        <v>0</v>
      </c>
      <c r="CH4" t="b">
        <v>1</v>
      </c>
      <c r="CI4" t="n">
        <v>1</v>
      </c>
      <c r="CJ4" t="n">
        <v>1</v>
      </c>
      <c r="CL4" t="n">
        <v>16</v>
      </c>
      <c r="CM4" t="n">
        <v>1.5</v>
      </c>
      <c r="CN4" t="n">
        <v>0.045</v>
      </c>
      <c r="CS4" t="n">
        <v>30</v>
      </c>
      <c r="CT4" t="inlineStr">
        <is>
          <t>none</t>
        </is>
      </c>
      <c r="CU4" t="n">
        <v>6</v>
      </c>
      <c r="CV4" t="inlineStr">
        <is>
          <t>Assets/MachineBrigade/Resources/Data/balance.json: vehicles[115]</t>
        </is>
      </c>
      <c r="CW4" t="inlineStr">
        <is>
          <t>{"id":"airfield.service","branchOf":"airfield","fort":{"size":"Medium","kind":"Utility"},"model":"helipad","static":true,"passable":true,"armour":1,"hp":1600,"speed":0,"turnRate":1,"turretTurnRate":1,"radius":3,"length":6,"width":6,"cp":0,"vision":30,"weapon":"none","utility":{"airRepair":0.045,"airReach":16,"airRearm":1.5}}</t>
        </is>
      </c>
    </row>
    <row r="5">
      <c r="A5" t="inlineStr">
        <is>
          <t>ammo_depot</t>
        </is>
      </c>
      <c r="B5" t="inlineStr">
        <is>
          <t>Ammunition depot</t>
        </is>
      </c>
      <c r="C5" t="inlineStr">
        <is>
          <t>Kho đạn</t>
        </is>
      </c>
      <c r="D5" t="inlineStr">
        <is>
          <t>Kho đạn</t>
        </is>
      </c>
      <c r="E5" t="inlineStr"/>
      <c r="F5" t="inlineStr"/>
      <c r="G5" t="inlineStr"/>
      <c r="H5" t="n">
        <v>0</v>
      </c>
      <c r="I5" t="n">
        <v>1200</v>
      </c>
      <c r="J5" t="n">
        <v>2640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ammo_dump</t>
        </is>
      </c>
      <c r="AK5" t="inlineStr">
        <is>
          <t>giong</t>
        </is>
      </c>
      <c r="BH5" t="n">
        <v>2</v>
      </c>
      <c r="BM5" t="n">
        <v>0</v>
      </c>
      <c r="BN5" t="n">
        <v>200</v>
      </c>
      <c r="BO5" t="n">
        <v>0.4</v>
      </c>
      <c r="BP5" t="n">
        <v>14</v>
      </c>
      <c r="BQ5" t="inlineStr">
        <is>
          <t>Ultimate</t>
        </is>
      </c>
      <c r="BU5" t="inlineStr">
        <is>
          <t>Utility</t>
        </is>
      </c>
      <c r="BV5" t="inlineStr">
        <is>
          <t>Medium</t>
        </is>
      </c>
      <c r="BW5" t="n">
        <v>1200</v>
      </c>
      <c r="BX5" t="n">
        <v>6</v>
      </c>
      <c r="BY5" t="inlineStr">
        <is>
          <t>ammo_dump</t>
        </is>
      </c>
      <c r="CD5" t="n">
        <v>3</v>
      </c>
      <c r="CG5" t="n">
        <v>0</v>
      </c>
      <c r="CH5" t="b">
        <v>1</v>
      </c>
      <c r="CI5" t="n">
        <v>1</v>
      </c>
      <c r="CJ5" t="n">
        <v>1</v>
      </c>
      <c r="CO5" t="n">
        <v>2</v>
      </c>
      <c r="CS5" t="n">
        <v>30</v>
      </c>
      <c r="CT5" t="inlineStr">
        <is>
          <t>none</t>
        </is>
      </c>
      <c r="CU5" t="n">
        <v>6</v>
      </c>
      <c r="CV5" t="inlineStr">
        <is>
          <t>Assets/MachineBrigade/Resources/Data/balance.json: vehicles[112]</t>
        </is>
      </c>
      <c r="CW5" t="inlineStr">
        <is>
          <t>{"id":"ammo_depot","fort":{"size":"Medium","kind":"Utility"},"model":"ammo_dump","static":true,"armour":2,"hp":1200,"speed":0,"turnRate":1,"turretTurnRate":1,"radius":3,"length":6,"width":6,"cp":0,"vision":30,"weapon":"none","utility":{"rearm":2.0},"deathExplosion":{"damage":200,"radius":14,"delay":0.4,"tier":"Ultimate"}}</t>
        </is>
      </c>
    </row>
    <row r="6">
      <c r="A6" t="inlineStr">
        <is>
          <t>fire_control_centre</t>
        </is>
      </c>
      <c r="B6" t="inlineStr">
        <is>
          <t>Fire-control centre</t>
        </is>
      </c>
      <c r="C6" t="inlineStr">
        <is>
          <t>Trung tâm điều khiển hỏa lực</t>
        </is>
      </c>
      <c r="D6" t="inlineStr">
        <is>
          <t>TT hỏa lực</t>
        </is>
      </c>
      <c r="E6" t="inlineStr"/>
      <c r="F6" t="inlineStr"/>
      <c r="G6" t="inlineStr"/>
      <c r="H6" t="n">
        <v>0</v>
      </c>
      <c r="I6" t="n">
        <v>1136</v>
      </c>
      <c r="J6" t="n">
        <v>2499.2</v>
      </c>
      <c r="K6" t="n">
        <v>1</v>
      </c>
      <c r="L6" t="n">
        <v>1</v>
      </c>
      <c r="M6" t="n">
        <v>1</v>
      </c>
      <c r="N6" t="n">
        <v>1</v>
      </c>
      <c r="O6" t="b">
        <v>1</v>
      </c>
      <c r="P6" t="n">
        <v>0</v>
      </c>
      <c r="Q6" t="n">
        <v>1</v>
      </c>
      <c r="R6" t="n">
        <v>1</v>
      </c>
      <c r="S6" t="n">
        <v>40</v>
      </c>
      <c r="T6" t="n">
        <v>3</v>
      </c>
      <c r="U6" t="n">
        <v>6</v>
      </c>
      <c r="V6" t="n">
        <v>6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fire_control_centre</t>
        </is>
      </c>
      <c r="AK6" t="inlineStr">
        <is>
          <t>giong</t>
        </is>
      </c>
      <c r="BH6" t="n">
        <v>1</v>
      </c>
      <c r="BM6" t="n">
        <v>0</v>
      </c>
      <c r="BN6" t="n">
        <v>90</v>
      </c>
      <c r="BO6" t="n">
        <v>0.4</v>
      </c>
      <c r="BP6" t="n">
        <v>7</v>
      </c>
      <c r="BQ6" t="inlineStr">
        <is>
          <t>Huge</t>
        </is>
      </c>
      <c r="BR6" t="n">
        <v>0.12</v>
      </c>
      <c r="BS6" t="n">
        <v>2</v>
      </c>
      <c r="BT6" t="n">
        <v>30</v>
      </c>
      <c r="BU6" t="inlineStr">
        <is>
          <t>Utility</t>
        </is>
      </c>
      <c r="BV6" t="inlineStr">
        <is>
          <t>Medium</t>
        </is>
      </c>
      <c r="BW6" t="n">
        <v>1136</v>
      </c>
      <c r="BX6" t="n">
        <v>6</v>
      </c>
      <c r="BZ6" t="n">
        <v>5.5</v>
      </c>
      <c r="CA6" t="n">
        <v>6</v>
      </c>
      <c r="CB6" t="n">
        <v>6</v>
      </c>
      <c r="CD6" t="n">
        <v>3</v>
      </c>
      <c r="CG6" t="n">
        <v>0</v>
      </c>
      <c r="CH6" t="b">
        <v>1</v>
      </c>
      <c r="CI6" t="n">
        <v>1</v>
      </c>
      <c r="CJ6" t="n">
        <v>1</v>
      </c>
      <c r="CS6" t="n">
        <v>40</v>
      </c>
      <c r="CT6" t="inlineStr">
        <is>
          <t>none</t>
        </is>
      </c>
      <c r="CU6" t="n">
        <v>6</v>
      </c>
      <c r="CV6" t="inlineStr">
        <is>
          <t>Assets/MachineBrigade/Resources/Data/balance.json: vehicles[153]</t>
        </is>
      </c>
      <c r="CW6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fireControl":{"radius":30,"damage":0.12,"focus":2},"deathExplosion":{"damage":90,"radius":7,"delay":0.4,"tier":"Huge"}}</t>
        </is>
      </c>
    </row>
    <row r="7">
      <c r="A7" t="inlineStr">
        <is>
          <t>logistics_station</t>
        </is>
      </c>
      <c r="B7" t="inlineStr">
        <is>
          <t>Logistics station</t>
        </is>
      </c>
      <c r="C7" t="inlineStr">
        <is>
          <t>Trạm hậu cần</t>
        </is>
      </c>
      <c r="D7" t="inlineStr">
        <is>
          <t>Trạm hậu cần</t>
        </is>
      </c>
      <c r="E7" t="inlineStr"/>
      <c r="F7" t="inlineStr"/>
      <c r="G7" t="inlineStr"/>
      <c r="H7" t="n">
        <v>0</v>
      </c>
      <c r="I7" t="n">
        <v>1400</v>
      </c>
      <c r="J7" t="n">
        <v>3080</v>
      </c>
      <c r="K7" t="n">
        <v>1</v>
      </c>
      <c r="L7" t="n">
        <v>1</v>
      </c>
      <c r="M7" t="n">
        <v>1</v>
      </c>
      <c r="N7" t="n">
        <v>1</v>
      </c>
      <c r="O7" t="b">
        <v>1</v>
      </c>
      <c r="P7" t="n">
        <v>0</v>
      </c>
      <c r="Q7" t="n">
        <v>1</v>
      </c>
      <c r="R7" t="n">
        <v>1</v>
      </c>
      <c r="S7" t="n">
        <v>30</v>
      </c>
      <c r="T7" t="n">
        <v>3</v>
      </c>
      <c r="U7" t="n">
        <v>6</v>
      </c>
      <c r="V7" t="n">
        <v>6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none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logistics_station</t>
        </is>
      </c>
      <c r="AK7" t="inlineStr">
        <is>
          <t>giong</t>
        </is>
      </c>
      <c r="BH7" t="n">
        <v>1</v>
      </c>
      <c r="BM7" t="n">
        <v>0</v>
      </c>
      <c r="BN7" t="n">
        <v>160</v>
      </c>
      <c r="BO7" t="n">
        <v>0.4</v>
      </c>
      <c r="BP7" t="n">
        <v>9</v>
      </c>
      <c r="BQ7" t="inlineStr">
        <is>
          <t>Huge</t>
        </is>
      </c>
      <c r="BU7" t="inlineStr">
        <is>
          <t>Utility</t>
        </is>
      </c>
      <c r="BV7" t="inlineStr">
        <is>
          <t>Medium</t>
        </is>
      </c>
      <c r="BW7" t="n">
        <v>1400</v>
      </c>
      <c r="BX7" t="n">
        <v>6</v>
      </c>
      <c r="CD7" t="n">
        <v>3</v>
      </c>
      <c r="CG7" t="n">
        <v>0</v>
      </c>
      <c r="CH7" t="b">
        <v>1</v>
      </c>
      <c r="CI7" t="n">
        <v>1</v>
      </c>
      <c r="CJ7" t="n">
        <v>1</v>
      </c>
      <c r="CR7" t="n">
        <v>8</v>
      </c>
      <c r="CS7" t="n">
        <v>30</v>
      </c>
      <c r="CT7" t="inlineStr">
        <is>
          <t>none</t>
        </is>
      </c>
      <c r="CU7" t="n">
        <v>6</v>
      </c>
      <c r="CV7" t="inlineStr">
        <is>
          <t>Assets/MachineBrigade/Resources/Data/balance.json: vehicles[116]</t>
        </is>
      </c>
      <c r="CW7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8">
      <c r="A8" t="inlineStr">
        <is>
          <t>radar_station</t>
        </is>
      </c>
      <c r="B8" t="inlineStr">
        <is>
          <t>Radar station</t>
        </is>
      </c>
      <c r="C8" t="inlineStr">
        <is>
          <t>Trạm radar</t>
        </is>
      </c>
      <c r="D8" t="inlineStr">
        <is>
          <t>Trạm radar</t>
        </is>
      </c>
      <c r="E8" t="inlineStr"/>
      <c r="F8" t="inlineStr"/>
      <c r="G8" t="inlineStr"/>
      <c r="H8" t="n">
        <v>0</v>
      </c>
      <c r="I8" t="n">
        <v>1200</v>
      </c>
      <c r="J8" t="n">
        <v>2640</v>
      </c>
      <c r="K8" t="n">
        <v>1</v>
      </c>
      <c r="L8" t="n">
        <v>1</v>
      </c>
      <c r="M8" t="n">
        <v>1</v>
      </c>
      <c r="N8" t="n">
        <v>1</v>
      </c>
      <c r="O8" t="b">
        <v>1</v>
      </c>
      <c r="P8" t="n">
        <v>0</v>
      </c>
      <c r="Q8" t="n">
        <v>1</v>
      </c>
      <c r="R8" t="n">
        <v>1</v>
      </c>
      <c r="S8" t="n">
        <v>60</v>
      </c>
      <c r="T8" t="n">
        <v>3</v>
      </c>
      <c r="U8" t="n">
        <v>6</v>
      </c>
      <c r="V8" t="n">
        <v>6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none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radar_site</t>
        </is>
      </c>
      <c r="AK8" t="inlineStr">
        <is>
          <t>giong</t>
        </is>
      </c>
      <c r="BH8" t="n">
        <v>1</v>
      </c>
      <c r="BJ8" t="n">
        <v>0</v>
      </c>
      <c r="BK8" t="n">
        <v>120</v>
      </c>
      <c r="BL8" t="n">
        <v>8</v>
      </c>
      <c r="BM8" t="n">
        <v>0</v>
      </c>
      <c r="BU8" t="inlineStr">
        <is>
          <t>Utility</t>
        </is>
      </c>
      <c r="BV8" t="inlineStr">
        <is>
          <t>Medium</t>
        </is>
      </c>
      <c r="BW8" t="n">
        <v>1200</v>
      </c>
      <c r="BX8" t="n">
        <v>6</v>
      </c>
      <c r="BY8" t="inlineStr">
        <is>
          <t>radar_site</t>
        </is>
      </c>
      <c r="CD8" t="n">
        <v>3</v>
      </c>
      <c r="CG8" t="n">
        <v>0</v>
      </c>
      <c r="CH8" t="b">
        <v>1</v>
      </c>
      <c r="CI8" t="n">
        <v>1</v>
      </c>
      <c r="CJ8" t="n">
        <v>1</v>
      </c>
      <c r="CQ8" t="b">
        <v>1</v>
      </c>
      <c r="CS8" t="n">
        <v>60</v>
      </c>
      <c r="CT8" t="inlineStr">
        <is>
          <t>none</t>
        </is>
      </c>
      <c r="CU8" t="n">
        <v>6</v>
      </c>
      <c r="CV8" t="inlineStr">
        <is>
          <t>Assets/MachineBrigade/Resources/Data/balance.json: vehicles[117]</t>
        </is>
      </c>
      <c r="CW8" t="inlineStr">
        <is>
          <t>{"id":"radar_station","fort":{"size":"Medium","kind":"Utility"},"model":"radar_site","static":true,"armour":1,"hp":1200,"speed":0,"turnRate":1,"turretTurnRate":1,"radius":3,"length":6,"width":6,"cp":0,"vision":60,"weapon":"none","utility":{"revealBase":true},"counterBattery":{"range":120,"seconds":8,"bonus":0}}</t>
        </is>
      </c>
    </row>
    <row r="9">
      <c r="A9" t="inlineStr">
        <is>
          <t>repair_bay</t>
        </is>
      </c>
      <c r="B9" t="inlineStr">
        <is>
          <t>Repair bay</t>
        </is>
      </c>
      <c r="C9" t="inlineStr">
        <is>
          <t>Xưởng sửa chữa</t>
        </is>
      </c>
      <c r="D9" t="inlineStr">
        <is>
          <t>Xưởng sửa chữa</t>
        </is>
      </c>
      <c r="E9" t="inlineStr"/>
      <c r="F9" t="inlineStr"/>
      <c r="G9" t="inlineStr"/>
      <c r="H9" t="n">
        <v>0</v>
      </c>
      <c r="I9" t="n">
        <v>1600</v>
      </c>
      <c r="J9" t="n">
        <v>3520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1</v>
      </c>
      <c r="S9" t="n">
        <v>30</v>
      </c>
      <c r="T9" t="n">
        <v>3</v>
      </c>
      <c r="U9" t="n">
        <v>6</v>
      </c>
      <c r="V9" t="n">
        <v>6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none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repair_bay</t>
        </is>
      </c>
      <c r="AK9" t="inlineStr">
        <is>
          <t>giong</t>
        </is>
      </c>
      <c r="BH9" t="n">
        <v>2</v>
      </c>
      <c r="BM9" t="n">
        <v>0</v>
      </c>
      <c r="BU9" t="inlineStr">
        <is>
          <t>Utility</t>
        </is>
      </c>
      <c r="BV9" t="inlineStr">
        <is>
          <t>Medium</t>
        </is>
      </c>
      <c r="BW9" t="n">
        <v>1600</v>
      </c>
      <c r="BX9" t="n">
        <v>6</v>
      </c>
      <c r="CD9" t="n">
        <v>3</v>
      </c>
      <c r="CG9" t="n">
        <v>0</v>
      </c>
      <c r="CH9" t="b">
        <v>1</v>
      </c>
      <c r="CI9" t="n">
        <v>1</v>
      </c>
      <c r="CJ9" t="n">
        <v>1</v>
      </c>
      <c r="CP9" t="n">
        <v>0.015</v>
      </c>
      <c r="CS9" t="n">
        <v>30</v>
      </c>
      <c r="CT9" t="inlineStr">
        <is>
          <t>none</t>
        </is>
      </c>
      <c r="CU9" t="n">
        <v>6</v>
      </c>
      <c r="CV9" t="inlineStr">
        <is>
          <t>Assets/MachineBrigade/Resources/Data/balance.json: vehicles[111]</t>
        </is>
      </c>
      <c r="CW9" t="inlineStr">
        <is>
          <t>{"id":"repair_bay","fort":{"size":"Medium","kind":"Utility"},"static":true,"armour":2,"hp":1600,"speed":0,"turnRate":1,"turretTurnRate":1,"radius":3,"length":6,"width":6,"cp":0,"vision":30,"weapon":"none","utility":{"repair":0.015}}</t>
        </is>
      </c>
    </row>
    <row r="10">
      <c r="A10" t="inlineStr">
        <is>
          <t>visual_jammer</t>
        </is>
      </c>
      <c r="B10" t="inlineStr">
        <is>
          <t>Visual jammer</t>
        </is>
      </c>
      <c r="C10" t="inlineStr">
        <is>
          <t>Máy tạo nhiễu tầm nhìn</t>
        </is>
      </c>
      <c r="D10" t="inlineStr">
        <is>
          <t>Nhiễu tầm nhìn</t>
        </is>
      </c>
      <c r="E10" t="inlineStr"/>
      <c r="F10" t="inlineStr"/>
      <c r="G10" t="inlineStr"/>
      <c r="H10" t="n">
        <v>0</v>
      </c>
      <c r="I10" t="n">
        <v>909</v>
      </c>
      <c r="J10" t="n">
        <v>1999.8</v>
      </c>
      <c r="K10" t="n">
        <v>1</v>
      </c>
      <c r="L10" t="n">
        <v>1</v>
      </c>
      <c r="M10" t="n">
        <v>1</v>
      </c>
      <c r="N10" t="n">
        <v>1</v>
      </c>
      <c r="O10" t="b">
        <v>1</v>
      </c>
      <c r="P10" t="n">
        <v>0</v>
      </c>
      <c r="Q10" t="n">
        <v>1</v>
      </c>
      <c r="R10" t="n">
        <v>1</v>
      </c>
      <c r="S10" t="n">
        <v>30</v>
      </c>
      <c r="T10" t="n">
        <v>3</v>
      </c>
      <c r="U10" t="n">
        <v>6</v>
      </c>
      <c r="V10" t="n">
        <v>5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visual_jammer</t>
        </is>
      </c>
      <c r="AK10" t="inlineStr">
        <is>
          <t>giong</t>
        </is>
      </c>
      <c r="BH10" t="n">
        <v>1</v>
      </c>
      <c r="BM10" t="n">
        <v>0</v>
      </c>
      <c r="BN10" t="n">
        <v>70</v>
      </c>
      <c r="BO10" t="n">
        <v>0.4</v>
      </c>
      <c r="BP10" t="n">
        <v>6</v>
      </c>
      <c r="BQ10" t="inlineStr">
        <is>
          <t>Large</t>
        </is>
      </c>
      <c r="BU10" t="inlineStr">
        <is>
          <t>Utility</t>
        </is>
      </c>
      <c r="BV10" t="inlineStr">
        <is>
          <t>Medium</t>
        </is>
      </c>
      <c r="BW10" t="n">
        <v>909</v>
      </c>
      <c r="BX10" t="n">
        <v>6</v>
      </c>
      <c r="BZ10" t="n">
        <v>6.5</v>
      </c>
      <c r="CA10" t="n">
        <v>6</v>
      </c>
      <c r="CB10" t="n">
        <v>5</v>
      </c>
      <c r="CD10" t="n">
        <v>3</v>
      </c>
      <c r="CE10" t="n">
        <v>15</v>
      </c>
      <c r="CF10" t="n">
        <v>35</v>
      </c>
      <c r="CG10" t="n">
        <v>0</v>
      </c>
      <c r="CH10" t="b">
        <v>1</v>
      </c>
      <c r="CI10" t="n">
        <v>1</v>
      </c>
      <c r="CJ10" t="n">
        <v>1</v>
      </c>
      <c r="CS10" t="n">
        <v>30</v>
      </c>
      <c r="CT10" t="inlineStr">
        <is>
          <t>none</t>
        </is>
      </c>
      <c r="CU10" t="n">
        <v>5</v>
      </c>
      <c r="CV10" t="inlineStr">
        <is>
          <t>Assets/MachineBrigade/Resources/Data/balance.json: vehicles[158]</t>
        </is>
      </c>
      <c r="CW10" t="inlineStr">
        <is>
          <t>{"id":"visual_jammer","modelSize":[6.0,5.0,6.5],"fort":{"size":"Medium","kind":"Utility"},"static":true,"armour":1,"hp":909,"speed":0,"turnRate":1,"turretTurnRate":1,"radius":3,"length":6,"width":5,"cp":0,"vision":30,"weapon":"none","sightJammer":{"radius":35,"close":15},"deathExplosion":{"damage":70,"radius":6,"delay":0.4,"tier":"Large"}}</t>
        </is>
      </c>
    </row>
  </sheetData>
  <autoFilter ref="A1:CW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t_gun_emplacement;aa_turret;ew_tower;dragons_teeth;minefield;cp_relay;searchlight;inflatable_decoy;atgm_tower;gun_turret;c_ram;rocket_turret;heavy_flak_tower;laser_ad_station;troop_shelter;heavy_turret;missile_battery;drone_hangar;artillery_emplacement;shield_towe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t_gun_emplacement","aa_turret","ew_tower","dragons_teeth","minefield","cp_relay","searchlight","inflatable_decoy","atgm_tower","gun_turret","c_ram","rocket_turret","heavy_flak_tower","laser_ad_station","troop_shelter","heavy_turret","missile_battery","drone_hangar","artillery_emplacement","shield_towe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9" customWidth="1" min="3" max="3"/>
    <col width="29" customWidth="1" min="4" max="4"/>
    <col width="36" customWidth="1" min="5" max="5"/>
    <col width="14" customWidth="1" min="6" max="6"/>
    <col width="27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n">
        <v>0.75</v>
      </c>
      <c r="G2" t="inlineStr">
        <is>
          <t>2;4;5;6;8;9;10;12;13;14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guard_tower;mg_bunker;aa_turret;at_gun_emplacement</t>
        </is>
      </c>
      <c r="C3" t="inlineStr">
        <is>
          <t>gun_turret;atgm_tower</t>
        </is>
      </c>
      <c r="E3" t="inlineStr">
        <is>
          <t>repair_bay</t>
        </is>
      </c>
      <c r="F3" t="n">
        <v>0.8722</v>
      </c>
      <c r="G3" t="inlineStr">
        <is>
          <t>3;4;6;7;9;10;12;14;15;17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{"level":2,"small":["guard_tower","mg_bunker","aa_turret","at_gun_emplacement"],"medium":["gun_turret","atgm_tower"],"utilities":["repair_bay"]}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guard_tower;mg_bunker;aa_turret;at_gun_emplacement</t>
        </is>
      </c>
      <c r="C4" t="inlineStr">
        <is>
          <t>gun_turret;heavy_flak_tower</t>
        </is>
      </c>
      <c r="D4" t="inlineStr">
        <is>
          <t>heavy_turret</t>
        </is>
      </c>
      <c r="E4" t="inlineStr">
        <is>
          <t>repair_bay;radar_station</t>
        </is>
      </c>
      <c r="F4" t="n">
        <v>1.0414</v>
      </c>
      <c r="G4" t="inlineStr">
        <is>
          <t>3;5;7;9;11;12;14;16;18;20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{"level":3,"small":["guard_tower","mg_bunker","aa_turret","at_gun_emplacement"],"medium":["gun_turret","heavy_flak_tower"],"large":["heavy_turret"],"utilities":["repair_bay","radar_station"]}</t>
        </is>
      </c>
    </row>
    <row r="5">
      <c r="A5" t="inlineStr">
        <is>
          <t>hq4</t>
        </is>
      </c>
      <c r="B5" t="inlineStr">
        <is>
          <t>guard_tower;mg_bunker;aa_turret;at_gun_emplacement;minefield</t>
        </is>
      </c>
      <c r="C5" t="inlineStr">
        <is>
          <t>gun_turret;atgm_tower;heavy_flak_tower</t>
        </is>
      </c>
      <c r="D5" t="inlineStr">
        <is>
          <t>heavy_turret</t>
        </is>
      </c>
      <c r="E5" t="inlineStr">
        <is>
          <t>repair_bay;radar_station</t>
        </is>
      </c>
      <c r="F5" t="n">
        <v>1.1492</v>
      </c>
      <c r="G5" t="inlineStr">
        <is>
          <t>3;6;8;10;12;14;16;18;20;22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{"level":4,"small":["guard_tower","mg_bunker","aa_turret","at_gun_emplacement","minefield"],"medium":["gun_turret","atgm_tower","heavy_flak_tower"],"large":["heavy_turret"],"utilities":["repair_bay","radar_station"]}</t>
        </is>
      </c>
    </row>
    <row r="6">
      <c r="A6" t="inlineStr">
        <is>
          <t>hq5</t>
        </is>
      </c>
      <c r="B6" t="inlineStr">
        <is>
          <t>guard_tower;mg_bunker;aa_turret;at_gun_emplacement;minefield;ew_tower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repair_bay;radar_station;ammo_depot</t>
        </is>
      </c>
      <c r="F6" t="n">
        <v>1.3176</v>
      </c>
      <c r="G6" t="inlineStr">
        <is>
          <t>4;6;9;11;13;16;18;21;23;25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{"level":5,"small":["guard_tower","mg_bunker","aa_turret","at_gun_emplacement","minefield","ew_tower"],"medium":["gun_turret","atgm_tower","c_ram"],"large":["heavy_turret","missile_battery"],"utilities":["repair_bay","radar_station","ammo_depot"]}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5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air/heavy_flak_tower</t>
        </is>
      </c>
      <c r="B6" t="inlineStr">
        <is>
          <t>air</t>
        </is>
      </c>
      <c r="C6" t="inlineStr">
        <is>
          <t>heavy_flak_tower</t>
        </is>
      </c>
      <c r="D6" t="n">
        <v>1.8</v>
      </c>
      <c r="E6" t="inlineStr">
        <is>
          <t>Assets/MachineBrigade/Resources/Data/balance.json: base.ai.styles.air.heavy_flak_tower</t>
        </is>
      </c>
      <c r="F6" t="inlineStr">
        <is>
          <t>1.8</t>
        </is>
      </c>
    </row>
    <row r="7">
      <c r="A7" t="inlineStr">
        <is>
          <t>air/inflatable_decoy</t>
        </is>
      </c>
      <c r="B7" t="inlineStr">
        <is>
          <t>air</t>
        </is>
      </c>
      <c r="C7" t="inlineStr">
        <is>
          <t>inflatable_decoy</t>
        </is>
      </c>
      <c r="D7" t="n">
        <v>1</v>
      </c>
      <c r="E7" t="inlineStr">
        <is>
          <t>Assets/MachineBrigade/Resources/Data/balance.json: base.ai.styles.air.inflatable_decoy</t>
        </is>
      </c>
      <c r="F7" t="inlineStr">
        <is>
          <t>1.0</t>
        </is>
      </c>
    </row>
    <row r="8">
      <c r="A8" t="inlineStr">
        <is>
          <t>air/laser_ad_station</t>
        </is>
      </c>
      <c r="B8" t="inlineStr">
        <is>
          <t>air</t>
        </is>
      </c>
      <c r="C8" t="inlineStr">
        <is>
          <t>laser_ad_station</t>
        </is>
      </c>
      <c r="D8" t="n">
        <v>1</v>
      </c>
      <c r="E8" t="inlineStr">
        <is>
          <t>Assets/MachineBrigade/Resources/Data/balance.json: base.ai.styles.air.laser_ad_station</t>
        </is>
      </c>
      <c r="F8" t="inlineStr">
        <is>
          <t>1.0</t>
        </is>
      </c>
    </row>
    <row r="9">
      <c r="A9" t="inlineStr">
        <is>
          <t>air/missile_battery</t>
        </is>
      </c>
      <c r="B9" t="inlineStr">
        <is>
          <t>air</t>
        </is>
      </c>
      <c r="C9" t="inlineStr">
        <is>
          <t>missile_battery</t>
        </is>
      </c>
      <c r="D9" t="n">
        <v>1.6</v>
      </c>
      <c r="E9" t="inlineStr">
        <is>
          <t>Assets/MachineBrigade/Resources/Data/balance.json: base.ai.styles.air.missile_battery</t>
        </is>
      </c>
      <c r="F9" t="inlineStr">
        <is>
          <t>1.6</t>
        </is>
      </c>
    </row>
    <row r="10">
      <c r="A10" t="inlineStr">
        <is>
          <t>armour/aa_turret</t>
        </is>
      </c>
      <c r="B10" t="inlineStr">
        <is>
          <t>armour</t>
        </is>
      </c>
      <c r="C10" t="inlineStr">
        <is>
          <t>aa_turret</t>
        </is>
      </c>
      <c r="D10" t="n">
        <v>0.8</v>
      </c>
      <c r="E10" t="inlineStr">
        <is>
          <t>Assets/MachineBrigade/Resources/Data/balance.json: base.ai.styles.armour.aa_turret</t>
        </is>
      </c>
      <c r="F10" t="inlineStr">
        <is>
          <t>0.8</t>
        </is>
      </c>
    </row>
    <row r="11">
      <c r="A11" t="inlineStr">
        <is>
          <t>armour/at_gun_emplacement</t>
        </is>
      </c>
      <c r="B11" t="inlineStr">
        <is>
          <t>armour</t>
        </is>
      </c>
      <c r="C11" t="inlineStr">
        <is>
          <t>at_gun_emplacement</t>
        </is>
      </c>
      <c r="D11" t="n">
        <v>1.6</v>
      </c>
      <c r="E11" t="inlineStr">
        <is>
          <t>Assets/MachineBrigade/Resources/Data/balance.json: base.ai.styles.armour.at_gun_emplacement</t>
        </is>
      </c>
      <c r="F11" t="inlineStr">
        <is>
          <t>1.6</t>
        </is>
      </c>
    </row>
    <row r="12">
      <c r="A12" t="inlineStr">
        <is>
          <t>armour/fire_control_centre</t>
        </is>
      </c>
      <c r="B12" t="inlineStr">
        <is>
          <t>armour</t>
        </is>
      </c>
      <c r="C12" t="inlineStr">
        <is>
          <t>fire_control_centre</t>
        </is>
      </c>
      <c r="D12" t="n">
        <v>1</v>
      </c>
      <c r="E12" t="inlineStr">
        <is>
          <t>Assets/MachineBrigade/Resources/Data/balance.json: base.ai.styles.armour.fire_control_centre</t>
        </is>
      </c>
      <c r="F12" t="inlineStr">
        <is>
          <t>1.0</t>
        </is>
      </c>
    </row>
    <row r="13">
      <c r="A13" t="inlineStr">
        <is>
          <t>armour/guard_tower</t>
        </is>
      </c>
      <c r="B13" t="inlineStr">
        <is>
          <t>armour</t>
        </is>
      </c>
      <c r="C13" t="inlineStr">
        <is>
          <t>guard_tower</t>
        </is>
      </c>
      <c r="D13" t="n">
        <v>0.6</v>
      </c>
      <c r="E13" t="inlineStr">
        <is>
          <t>Assets/MachineBrigade/Resources/Data/balance.json: base.ai.styles.armour.guard_tower</t>
        </is>
      </c>
      <c r="F13" t="inlineStr">
        <is>
          <t>0.6</t>
        </is>
      </c>
    </row>
    <row r="14">
      <c r="A14" t="inlineStr">
        <is>
          <t>armour/gun_turret</t>
        </is>
      </c>
      <c r="B14" t="inlineStr">
        <is>
          <t>armour</t>
        </is>
      </c>
      <c r="C14" t="inlineStr">
        <is>
          <t>gun_turret</t>
        </is>
      </c>
      <c r="D14" t="n">
        <v>2</v>
      </c>
      <c r="E14" t="inlineStr">
        <is>
          <t>Assets/MachineBrigade/Resources/Data/balance.json: base.ai.styles.armour.gun_turret</t>
        </is>
      </c>
      <c r="F14" t="inlineStr">
        <is>
          <t>2.0</t>
        </is>
      </c>
    </row>
    <row r="15">
      <c r="A15" t="inlineStr">
        <is>
          <t>armour/heavy_turret</t>
        </is>
      </c>
      <c r="B15" t="inlineStr">
        <is>
          <t>armour</t>
        </is>
      </c>
      <c r="C15" t="inlineStr">
        <is>
          <t>heavy_turret</t>
        </is>
      </c>
      <c r="D15" t="n">
        <v>1.4</v>
      </c>
      <c r="E15" t="inlineStr">
        <is>
          <t>Assets/MachineBrigade/Resources/Data/balance.json: base.ai.styles.armour.heavy_turret</t>
        </is>
      </c>
      <c r="F15" t="inlineStr">
        <is>
          <t>1.4</t>
        </is>
      </c>
    </row>
    <row r="16">
      <c r="A16" t="inlineStr">
        <is>
          <t>armour/inflatable_decoy</t>
        </is>
      </c>
      <c r="B16" t="inlineStr">
        <is>
          <t>armour</t>
        </is>
      </c>
      <c r="C16" t="inlineStr">
        <is>
          <t>inflatable_decoy</t>
        </is>
      </c>
      <c r="D16" t="n">
        <v>0.6</v>
      </c>
      <c r="E16" t="inlineStr">
        <is>
          <t>Assets/MachineBrigade/Resources/Data/balance.json: base.ai.styles.armour.inflatable_decoy</t>
        </is>
      </c>
      <c r="F16" t="inlineStr">
        <is>
          <t>0.6</t>
        </is>
      </c>
    </row>
    <row r="17">
      <c r="A17" t="inlineStr">
        <is>
          <t>armour/mg_bunker</t>
        </is>
      </c>
      <c r="B17" t="inlineStr">
        <is>
          <t>armour</t>
        </is>
      </c>
      <c r="C17" t="inlineStr">
        <is>
          <t>mg_bunker</t>
        </is>
      </c>
      <c r="D17" t="n">
        <v>1</v>
      </c>
      <c r="E17" t="inlineStr">
        <is>
          <t>Assets/MachineBrigade/Resources/Data/balance.json: base.ai.styles.armour.mg_bunker</t>
        </is>
      </c>
      <c r="F17" t="inlineStr">
        <is>
          <t>1.0</t>
        </is>
      </c>
    </row>
    <row r="18">
      <c r="A18" t="inlineStr">
        <is>
          <t>armour/shield_tower</t>
        </is>
      </c>
      <c r="B18" t="inlineStr">
        <is>
          <t>armour</t>
        </is>
      </c>
      <c r="C18" t="inlineStr">
        <is>
          <t>shield_tower</t>
        </is>
      </c>
      <c r="D18" t="n">
        <v>0.8</v>
      </c>
      <c r="E18" t="inlineStr">
        <is>
          <t>Assets/MachineBrigade/Resources/Data/balance.json: base.ai.styles.armour.shield_tower</t>
        </is>
      </c>
      <c r="F18" t="inlineStr">
        <is>
          <t>0.8</t>
        </is>
      </c>
    </row>
    <row r="19">
      <c r="A19" t="inlineStr">
        <is>
          <t>artillery/aa_turret</t>
        </is>
      </c>
      <c r="B19" t="inlineStr">
        <is>
          <t>artillery</t>
        </is>
      </c>
      <c r="C19" t="inlineStr">
        <is>
          <t>aa_turret</t>
        </is>
      </c>
      <c r="D19" t="n">
        <v>0.8</v>
      </c>
      <c r="E19" t="inlineStr">
        <is>
          <t>Assets/MachineBrigade/Resources/Data/balance.json: base.ai.styles.artillery.aa_turret</t>
        </is>
      </c>
      <c r="F19" t="inlineStr">
        <is>
          <t>0.8</t>
        </is>
      </c>
    </row>
    <row r="20">
      <c r="A20" t="inlineStr">
        <is>
          <t>artillery/artillery_emplacement</t>
        </is>
      </c>
      <c r="B20" t="inlineStr">
        <is>
          <t>artillery</t>
        </is>
      </c>
      <c r="C20" t="inlineStr">
        <is>
          <t>artillery_emplacement</t>
        </is>
      </c>
      <c r="D20" t="n">
        <v>2</v>
      </c>
      <c r="E20" t="inlineStr">
        <is>
          <t>Assets/MachineBrigade/Resources/Data/balance.json: base.ai.styles.artillery.artillery_emplacement</t>
        </is>
      </c>
      <c r="F20" t="inlineStr">
        <is>
          <t>2.0</t>
        </is>
      </c>
    </row>
    <row r="21">
      <c r="A21" t="inlineStr">
        <is>
          <t>artillery/fire_control_centre</t>
        </is>
      </c>
      <c r="B21" t="inlineStr">
        <is>
          <t>artillery</t>
        </is>
      </c>
      <c r="C21" t="inlineStr">
        <is>
          <t>fire_control_centre</t>
        </is>
      </c>
      <c r="D21" t="n">
        <v>1</v>
      </c>
      <c r="E21" t="inlineStr">
        <is>
          <t>Assets/MachineBrigade/Resources/Data/balance.json: base.ai.styles.artillery.fire_control_centre</t>
        </is>
      </c>
      <c r="F21" t="inlineStr">
        <is>
          <t>1.0</t>
        </is>
      </c>
    </row>
    <row r="22">
      <c r="A22" t="inlineStr">
        <is>
          <t>artillery/gun_turret</t>
        </is>
      </c>
      <c r="B22" t="inlineStr">
        <is>
          <t>artillery</t>
        </is>
      </c>
      <c r="C22" t="inlineStr">
        <is>
          <t>gun_turret</t>
        </is>
      </c>
      <c r="D22" t="n">
        <v>0.8</v>
      </c>
      <c r="E22" t="inlineStr">
        <is>
          <t>Assets/MachineBrigade/Resources/Data/balance.json: base.ai.styles.artillery.gun_turret</t>
        </is>
      </c>
      <c r="F22" t="inlineStr">
        <is>
          <t>0.8</t>
        </is>
      </c>
    </row>
    <row r="23">
      <c r="A23" t="inlineStr">
        <is>
          <t>artillery/rocket_turret</t>
        </is>
      </c>
      <c r="B23" t="inlineStr">
        <is>
          <t>artillery</t>
        </is>
      </c>
      <c r="C23" t="inlineStr">
        <is>
          <t>rocket_turret</t>
        </is>
      </c>
      <c r="D23" t="n">
        <v>1.6</v>
      </c>
      <c r="E23" t="inlineStr">
        <is>
          <t>Assets/MachineBrigade/Resources/Data/balance.json: base.ai.styles.artillery.rocket_turret</t>
        </is>
      </c>
      <c r="F23" t="inlineStr">
        <is>
          <t>1.6</t>
        </is>
      </c>
    </row>
    <row r="24">
      <c r="A24" t="inlineStr">
        <is>
          <t>artillery/troop_shelter</t>
        </is>
      </c>
      <c r="B24" t="inlineStr">
        <is>
          <t>artillery</t>
        </is>
      </c>
      <c r="C24" t="inlineStr">
        <is>
          <t>troop_shelter</t>
        </is>
      </c>
      <c r="D24" t="n">
        <v>0.6</v>
      </c>
      <c r="E24" t="inlineStr">
        <is>
          <t>Assets/MachineBrigade/Resources/Data/balance.json: base.ai.styles.artillery.troop_shelter</t>
        </is>
      </c>
      <c r="F24" t="inlineStr">
        <is>
          <t>0.6</t>
        </is>
      </c>
    </row>
    <row r="25">
      <c r="A25" t="inlineStr">
        <is>
          <t>aurel/*</t>
        </is>
      </c>
      <c r="B25" t="inlineStr">
        <is>
          <t>aurel</t>
        </is>
      </c>
      <c r="C25" t="inlineStr"/>
      <c r="D25" t="n">
        <v>0.8</v>
      </c>
      <c r="E25" t="inlineStr">
        <is>
          <t>Assets/MachineBrigade/Resources/Data/balance.json: base.ai.styles.aurel["*"]</t>
        </is>
      </c>
      <c r="F25" t="inlineStr">
        <is>
          <t>0.8</t>
        </is>
      </c>
    </row>
    <row r="26">
      <c r="A26" t="inlineStr">
        <is>
          <t>aurel/artillery_emplacement</t>
        </is>
      </c>
      <c r="B26" t="inlineStr">
        <is>
          <t>aurel</t>
        </is>
      </c>
      <c r="C26" t="inlineStr">
        <is>
          <t>artillery_emplacement</t>
        </is>
      </c>
      <c r="D26" t="n">
        <v>1.2</v>
      </c>
      <c r="E26" t="inlineStr">
        <is>
          <t>Assets/MachineBrigade/Resources/Data/balance.json: base.ai.styles.aurel.artillery_emplacement</t>
        </is>
      </c>
      <c r="F26" t="inlineStr">
        <is>
          <t>1.2</t>
        </is>
      </c>
    </row>
    <row r="27">
      <c r="A27" t="inlineStr">
        <is>
          <t>aurel/at_gun_emplacement</t>
        </is>
      </c>
      <c r="B27" t="inlineStr">
        <is>
          <t>aurel</t>
        </is>
      </c>
      <c r="C27" t="inlineStr">
        <is>
          <t>at_gun_emplacement</t>
        </is>
      </c>
      <c r="D27" t="n">
        <v>0.8</v>
      </c>
      <c r="E27" t="inlineStr">
        <is>
          <t>Assets/MachineBrigade/Resources/Data/balance.json: base.ai.styles.aurel.at_gun_emplacement</t>
        </is>
      </c>
      <c r="F27" t="inlineStr">
        <is>
          <t>0.8</t>
        </is>
      </c>
    </row>
    <row r="28">
      <c r="A28" t="inlineStr">
        <is>
          <t>aurel/atgm_tower</t>
        </is>
      </c>
      <c r="B28" t="inlineStr">
        <is>
          <t>aurel</t>
        </is>
      </c>
      <c r="C28" t="inlineStr">
        <is>
          <t>atgm_tower</t>
        </is>
      </c>
      <c r="D28" t="n">
        <v>1.2</v>
      </c>
      <c r="E28" t="inlineStr">
        <is>
          <t>Assets/MachineBrigade/Resources/Data/balance.json: base.ai.styles.aurel.atgm_tower</t>
        </is>
      </c>
      <c r="F28" t="inlineStr">
        <is>
          <t>1.2</t>
        </is>
      </c>
    </row>
    <row r="29">
      <c r="A29" t="inlineStr">
        <is>
          <t>aurel/c_ram</t>
        </is>
      </c>
      <c r="B29" t="inlineStr">
        <is>
          <t>aurel</t>
        </is>
      </c>
      <c r="C29" t="inlineStr">
        <is>
          <t>c_ram</t>
        </is>
      </c>
      <c r="D29" t="n">
        <v>1.2</v>
      </c>
      <c r="E29" t="inlineStr">
        <is>
          <t>Assets/MachineBrigade/Resources/Data/balance.json: base.ai.styles.aurel.c_ram</t>
        </is>
      </c>
      <c r="F29" t="inlineStr">
        <is>
          <t>1.2</t>
        </is>
      </c>
    </row>
    <row r="30">
      <c r="A30" t="inlineStr">
        <is>
          <t>aurel/fire_control_centre</t>
        </is>
      </c>
      <c r="B30" t="inlineStr">
        <is>
          <t>aurel</t>
        </is>
      </c>
      <c r="C30" t="inlineStr">
        <is>
          <t>fire_control_centre</t>
        </is>
      </c>
      <c r="D30" t="n">
        <v>1.2</v>
      </c>
      <c r="E30" t="inlineStr">
        <is>
          <t>Assets/MachineBrigade/Resources/Data/balance.json: base.ai.styles.aurel.fire_control_centre</t>
        </is>
      </c>
      <c r="F30" t="inlineStr">
        <is>
          <t>1.2</t>
        </is>
      </c>
    </row>
    <row r="31">
      <c r="A31" t="inlineStr">
        <is>
          <t>aurel/heavy_flak_tower</t>
        </is>
      </c>
      <c r="B31" t="inlineStr">
        <is>
          <t>aurel</t>
        </is>
      </c>
      <c r="C31" t="inlineStr">
        <is>
          <t>heavy_flak_tower</t>
        </is>
      </c>
      <c r="D31" t="n">
        <v>1</v>
      </c>
      <c r="E31" t="inlineStr">
        <is>
          <t>Assets/MachineBrigade/Resources/Data/balance.json: base.ai.styles.aurel.heavy_flak_tower</t>
        </is>
      </c>
      <c r="F31" t="inlineStr">
        <is>
          <t>1.0</t>
        </is>
      </c>
    </row>
    <row r="32">
      <c r="A32" t="inlineStr">
        <is>
          <t>aurel/heavy_turret</t>
        </is>
      </c>
      <c r="B32" t="inlineStr">
        <is>
          <t>aurel</t>
        </is>
      </c>
      <c r="C32" t="inlineStr">
        <is>
          <t>heavy_turret</t>
        </is>
      </c>
      <c r="D32" t="n">
        <v>1.6</v>
      </c>
      <c r="E32" t="inlineStr">
        <is>
          <t>Assets/MachineBrigade/Resources/Data/balance.json: base.ai.styles.aurel.heavy_turret</t>
        </is>
      </c>
      <c r="F32" t="inlineStr">
        <is>
          <t>1.6</t>
        </is>
      </c>
    </row>
    <row r="33">
      <c r="A33" t="inlineStr">
        <is>
          <t>aurel/heavy_turret.bastion</t>
        </is>
      </c>
      <c r="B33" t="inlineStr">
        <is>
          <t>aurel</t>
        </is>
      </c>
      <c r="C33" t="inlineStr">
        <is>
          <t>heavy_turret.bastion</t>
        </is>
      </c>
      <c r="D33" t="n">
        <v>1.2</v>
      </c>
      <c r="E33" t="inlineStr">
        <is>
          <t>Assets/MachineBrigade/Resources/Data/balance.json: base.ai.styles.aurel["heavy_turret.bastion"]</t>
        </is>
      </c>
      <c r="F33" t="inlineStr">
        <is>
          <t>1.2</t>
        </is>
      </c>
    </row>
    <row r="34">
      <c r="A34" t="inlineStr">
        <is>
          <t>aurel/inflatable_decoy</t>
        </is>
      </c>
      <c r="B34" t="inlineStr">
        <is>
          <t>aurel</t>
        </is>
      </c>
      <c r="C34" t="inlineStr">
        <is>
          <t>inflatable_decoy</t>
        </is>
      </c>
      <c r="D34" t="n">
        <v>0.4</v>
      </c>
      <c r="E34" t="inlineStr">
        <is>
          <t>Assets/MachineBrigade/Resources/Data/balance.json: base.ai.styles.aurel.inflatable_decoy</t>
        </is>
      </c>
      <c r="F34" t="inlineStr">
        <is>
          <t>0.4</t>
        </is>
      </c>
    </row>
    <row r="35">
      <c r="A35" t="inlineStr">
        <is>
          <t>aurel/missile_battery</t>
        </is>
      </c>
      <c r="B35" t="inlineStr">
        <is>
          <t>aurel</t>
        </is>
      </c>
      <c r="C35" t="inlineStr">
        <is>
          <t>missile_battery</t>
        </is>
      </c>
      <c r="D35" t="n">
        <v>1.4</v>
      </c>
      <c r="E35" t="inlineStr">
        <is>
          <t>Assets/MachineBrigade/Resources/Data/balance.json: base.ai.styles.aurel.missile_battery</t>
        </is>
      </c>
      <c r="F35" t="inlineStr">
        <is>
          <t>1.4</t>
        </is>
      </c>
    </row>
    <row r="36">
      <c r="A36" t="inlineStr">
        <is>
          <t>aurel/missile_battery.pac3</t>
        </is>
      </c>
      <c r="B36" t="inlineStr">
        <is>
          <t>aurel</t>
        </is>
      </c>
      <c r="C36" t="inlineStr">
        <is>
          <t>missile_battery.pac3</t>
        </is>
      </c>
      <c r="D36" t="n">
        <v>1.3</v>
      </c>
      <c r="E36" t="inlineStr">
        <is>
          <t>Assets/MachineBrigade/Resources/Data/balance.json: base.ai.styles.aurel["missile_battery.pac3"]</t>
        </is>
      </c>
      <c r="F36" t="inlineStr">
        <is>
          <t>1.3</t>
        </is>
      </c>
    </row>
    <row r="37">
      <c r="A37" t="inlineStr">
        <is>
          <t>aurel/shield_tower.bulwark</t>
        </is>
      </c>
      <c r="B37" t="inlineStr">
        <is>
          <t>aurel</t>
        </is>
      </c>
      <c r="C37" t="inlineStr">
        <is>
          <t>shield_tower.bulwark</t>
        </is>
      </c>
      <c r="D37" t="n">
        <v>1.2</v>
      </c>
      <c r="E37" t="inlineStr">
        <is>
          <t>Assets/MachineBrigade/Resources/Data/balance.json: base.ai.styles.aurel["shield_tower.bulwark"]</t>
        </is>
      </c>
      <c r="F37" t="inlineStr">
        <is>
          <t>1.2</t>
        </is>
      </c>
    </row>
    <row r="38">
      <c r="A38" t="inlineStr">
        <is>
          <t>default/aa_gun_tower</t>
        </is>
      </c>
      <c r="B38" t="inlineStr">
        <is>
          <t>default</t>
        </is>
      </c>
      <c r="C38" t="inlineStr">
        <is>
          <t>aa_gun_tower</t>
        </is>
      </c>
      <c r="D38" t="n">
        <v>0.8</v>
      </c>
      <c r="E38" t="inlineStr">
        <is>
          <t>Assets/MachineBrigade/Resources/Data/balance.json: base.ai.styles.default.aa_gun_tower</t>
        </is>
      </c>
      <c r="F38" t="inlineStr">
        <is>
          <t>0.8</t>
        </is>
      </c>
    </row>
    <row r="39">
      <c r="A39" t="inlineStr">
        <is>
          <t>default/aa_turret</t>
        </is>
      </c>
      <c r="B39" t="inlineStr">
        <is>
          <t>default</t>
        </is>
      </c>
      <c r="C39" t="inlineStr">
        <is>
          <t>aa_turret</t>
        </is>
      </c>
      <c r="D39" t="n">
        <v>1.2</v>
      </c>
      <c r="E39" t="inlineStr">
        <is>
          <t>Assets/MachineBrigade/Resources/Data/balance.json: base.ai.styles.default.aa_turret</t>
        </is>
      </c>
      <c r="F39" t="inlineStr">
        <is>
          <t>1.2</t>
        </is>
      </c>
    </row>
    <row r="40">
      <c r="A40" t="inlineStr">
        <is>
          <t>default/artillery_emplacement</t>
        </is>
      </c>
      <c r="B40" t="inlineStr">
        <is>
          <t>default</t>
        </is>
      </c>
      <c r="C40" t="inlineStr">
        <is>
          <t>artillery_emplacement</t>
        </is>
      </c>
      <c r="D40" t="n">
        <v>0.7</v>
      </c>
      <c r="E40" t="inlineStr">
        <is>
          <t>Assets/MachineBrigade/Resources/Data/balance.json: base.ai.styles.default.artillery_emplacement</t>
        </is>
      </c>
      <c r="F40" t="inlineStr">
        <is>
          <t>0.7</t>
        </is>
      </c>
    </row>
    <row r="41">
      <c r="A41" t="inlineStr">
        <is>
          <t>default/at_gun_emplacement</t>
        </is>
      </c>
      <c r="B41" t="inlineStr">
        <is>
          <t>default</t>
        </is>
      </c>
      <c r="C41" t="inlineStr">
        <is>
          <t>at_gun_emplacement</t>
        </is>
      </c>
      <c r="D41" t="n">
        <v>0.9</v>
      </c>
      <c r="E41" t="inlineStr">
        <is>
          <t>Assets/MachineBrigade/Resources/Data/balance.json: base.ai.styles.default.at_gun_emplacement</t>
        </is>
      </c>
      <c r="F41" t="inlineStr">
        <is>
          <t>0.9</t>
        </is>
      </c>
    </row>
    <row r="42">
      <c r="A42" t="inlineStr">
        <is>
          <t>default/atgm_tower</t>
        </is>
      </c>
      <c r="B42" t="inlineStr">
        <is>
          <t>default</t>
        </is>
      </c>
      <c r="C42" t="inlineStr">
        <is>
          <t>atgm_tower</t>
        </is>
      </c>
      <c r="D42" t="n">
        <v>1</v>
      </c>
      <c r="E42" t="inlineStr">
        <is>
          <t>Assets/MachineBrigade/Resources/Data/balance.json: base.ai.styles.default.atgm_tower</t>
        </is>
      </c>
      <c r="F42" t="inlineStr">
        <is>
          <t>1.0</t>
        </is>
      </c>
    </row>
    <row r="43">
      <c r="A43" t="inlineStr">
        <is>
          <t>default/barrage_balloon</t>
        </is>
      </c>
      <c r="B43" t="inlineStr">
        <is>
          <t>default</t>
        </is>
      </c>
      <c r="C43" t="inlineStr">
        <is>
          <t>barrage_balloon</t>
        </is>
      </c>
      <c r="D43" t="n">
        <v>0.3</v>
      </c>
      <c r="E43" t="inlineStr">
        <is>
          <t>Assets/MachineBrigade/Resources/Data/balance.json: base.ai.styles.default.barrage_balloon</t>
        </is>
      </c>
      <c r="F43" t="inlineStr">
        <is>
          <t>0.3</t>
        </is>
      </c>
    </row>
    <row r="44">
      <c r="A44" t="inlineStr">
        <is>
          <t>default/blast_wall</t>
        </is>
      </c>
      <c r="B44" t="inlineStr">
        <is>
          <t>default</t>
        </is>
      </c>
      <c r="C44" t="inlineStr">
        <is>
          <t>blast_wall</t>
        </is>
      </c>
      <c r="D44" t="n">
        <v>0.4</v>
      </c>
      <c r="E44" t="inlineStr">
        <is>
          <t>Assets/MachineBrigade/Resources/Data/balance.json: base.ai.styles.default.blast_wall</t>
        </is>
      </c>
      <c r="F44" t="inlineStr">
        <is>
          <t>0.4</t>
        </is>
      </c>
    </row>
    <row r="45">
      <c r="A45" t="inlineStr">
        <is>
          <t>default/bunker_shelter_tower</t>
        </is>
      </c>
      <c r="B45" t="inlineStr">
        <is>
          <t>default</t>
        </is>
      </c>
      <c r="C45" t="inlineStr">
        <is>
          <t>bunker_shelter_tower</t>
        </is>
      </c>
      <c r="D45" t="n">
        <v>0.3</v>
      </c>
      <c r="E45" t="inlineStr">
        <is>
          <t>Assets/MachineBrigade/Resources/Data/balance.json: base.ai.styles.default.bunker_shelter_tower</t>
        </is>
      </c>
      <c r="F45" t="inlineStr">
        <is>
          <t>0.3</t>
        </is>
      </c>
    </row>
    <row r="46">
      <c r="A46" t="inlineStr">
        <is>
          <t>default/c_ram</t>
        </is>
      </c>
      <c r="B46" t="inlineStr">
        <is>
          <t>default</t>
        </is>
      </c>
      <c r="C46" t="inlineStr">
        <is>
          <t>c_ram</t>
        </is>
      </c>
      <c r="D46" t="n">
        <v>0.8</v>
      </c>
      <c r="E46" t="inlineStr">
        <is>
          <t>Assets/MachineBrigade/Resources/Data/balance.json: base.ai.styles.default.c_ram</t>
        </is>
      </c>
      <c r="F46" t="inlineStr">
        <is>
          <t>0.8</t>
        </is>
      </c>
    </row>
    <row r="47">
      <c r="A47" t="inlineStr">
        <is>
          <t>default/cp_relay</t>
        </is>
      </c>
      <c r="B47" t="inlineStr">
        <is>
          <t>default</t>
        </is>
      </c>
      <c r="C47" t="inlineStr">
        <is>
          <t>cp_relay</t>
        </is>
      </c>
      <c r="D47" t="n">
        <v>0.35</v>
      </c>
      <c r="E47" t="inlineStr">
        <is>
          <t>Assets/MachineBrigade/Resources/Data/balance.json: base.ai.styles.default.cp_relay</t>
        </is>
      </c>
      <c r="F47" t="inlineStr">
        <is>
          <t>0.35</t>
        </is>
      </c>
    </row>
    <row r="48">
      <c r="A48" t="inlineStr">
        <is>
          <t>default/drone_hangar</t>
        </is>
      </c>
      <c r="B48" t="inlineStr">
        <is>
          <t>default</t>
        </is>
      </c>
      <c r="C48" t="inlineStr">
        <is>
          <t>drone_hangar</t>
        </is>
      </c>
      <c r="D48" t="n">
        <v>0.6</v>
      </c>
      <c r="E48" t="inlineStr">
        <is>
          <t>Assets/MachineBrigade/Resources/Data/balance.json: base.ai.styles.default.drone_hangar</t>
        </is>
      </c>
      <c r="F48" t="inlineStr">
        <is>
          <t>0.6</t>
        </is>
      </c>
    </row>
    <row r="49">
      <c r="A49" t="inlineStr">
        <is>
          <t>default/drone_net_tower</t>
        </is>
      </c>
      <c r="B49" t="inlineStr">
        <is>
          <t>default</t>
        </is>
      </c>
      <c r="C49" t="inlineStr">
        <is>
          <t>drone_net_tower</t>
        </is>
      </c>
      <c r="D49" t="n">
        <v>0.4</v>
      </c>
      <c r="E49" t="inlineStr">
        <is>
          <t>Assets/MachineBrigade/Resources/Data/balance.json: base.ai.styles.default.drone_net_tower</t>
        </is>
      </c>
      <c r="F49" t="inlineStr">
        <is>
          <t>0.4</t>
        </is>
      </c>
    </row>
    <row r="50">
      <c r="A50" t="inlineStr">
        <is>
          <t>default/ew_tower</t>
        </is>
      </c>
      <c r="B50" t="inlineStr">
        <is>
          <t>default</t>
        </is>
      </c>
      <c r="C50" t="inlineStr">
        <is>
          <t>ew_tower</t>
        </is>
      </c>
      <c r="D50" t="n">
        <v>0.6</v>
      </c>
      <c r="E50" t="inlineStr">
        <is>
          <t>Assets/MachineBrigade/Resources/Data/balance.json: base.ai.styles.default.ew_tower</t>
        </is>
      </c>
      <c r="F50" t="inlineStr">
        <is>
          <t>0.6</t>
        </is>
      </c>
    </row>
    <row r="51">
      <c r="A51" t="inlineStr">
        <is>
          <t>default/fire_control_centre</t>
        </is>
      </c>
      <c r="B51" t="inlineStr">
        <is>
          <t>default</t>
        </is>
      </c>
      <c r="C51" t="inlineStr">
        <is>
          <t>fire_control_centre</t>
        </is>
      </c>
      <c r="D51" t="n">
        <v>1</v>
      </c>
      <c r="E51" t="inlineStr">
        <is>
          <t>Assets/MachineBrigade/Resources/Data/balance.json: base.ai.styles.default.fire_control_centre</t>
        </is>
      </c>
      <c r="F51" t="inlineStr">
        <is>
          <t>1.0</t>
        </is>
      </c>
    </row>
    <row r="52">
      <c r="A52" t="inlineStr">
        <is>
          <t>default/flare_searchlight_tower</t>
        </is>
      </c>
      <c r="B52" t="inlineStr">
        <is>
          <t>default</t>
        </is>
      </c>
      <c r="C52" t="inlineStr">
        <is>
          <t>flare_searchlight_tower</t>
        </is>
      </c>
      <c r="D52" t="n">
        <v>0.2</v>
      </c>
      <c r="E52" t="inlineStr">
        <is>
          <t>Assets/MachineBrigade/Resources/Data/balance.json: base.ai.styles.default.flare_searchlight_tower</t>
        </is>
      </c>
      <c r="F52" t="inlineStr">
        <is>
          <t>0.2</t>
        </is>
      </c>
    </row>
    <row r="53">
      <c r="A53" t="inlineStr">
        <is>
          <t>default/flare_tower</t>
        </is>
      </c>
      <c r="B53" t="inlineStr">
        <is>
          <t>default</t>
        </is>
      </c>
      <c r="C53" t="inlineStr">
        <is>
          <t>flare_tower</t>
        </is>
      </c>
      <c r="D53" t="n">
        <v>0.25</v>
      </c>
      <c r="E53" t="inlineStr">
        <is>
          <t>Assets/MachineBrigade/Resources/Data/balance.json: base.ai.styles.default.flare_tower</t>
        </is>
      </c>
      <c r="F53" t="inlineStr">
        <is>
          <t>0.25</t>
        </is>
      </c>
    </row>
    <row r="54">
      <c r="A54" t="inlineStr">
        <is>
          <t>default/guard_tower</t>
        </is>
      </c>
      <c r="B54" t="inlineStr">
        <is>
          <t>default</t>
        </is>
      </c>
      <c r="C54" t="inlineStr">
        <is>
          <t>guard_tower</t>
        </is>
      </c>
      <c r="D54" t="n">
        <v>1</v>
      </c>
      <c r="E54" t="inlineStr">
        <is>
          <t>Assets/MachineBrigade/Resources/Data/balance.json: base.ai.styles.default.guard_tower</t>
        </is>
      </c>
      <c r="F54" t="inlineStr">
        <is>
          <t>1.0</t>
        </is>
      </c>
    </row>
    <row r="55">
      <c r="A55" t="inlineStr">
        <is>
          <t>default/gun_turret</t>
        </is>
      </c>
      <c r="B55" t="inlineStr">
        <is>
          <t>default</t>
        </is>
      </c>
      <c r="C55" t="inlineStr">
        <is>
          <t>gun_turret</t>
        </is>
      </c>
      <c r="D55" t="n">
        <v>1.2</v>
      </c>
      <c r="E55" t="inlineStr">
        <is>
          <t>Assets/MachineBrigade/Resources/Data/balance.json: base.ai.styles.default.gun_turret</t>
        </is>
      </c>
      <c r="F55" t="inlineStr">
        <is>
          <t>1.2</t>
        </is>
      </c>
    </row>
    <row r="56">
      <c r="A56" t="inlineStr">
        <is>
          <t>default/heavy_flak_tower</t>
        </is>
      </c>
      <c r="B56" t="inlineStr">
        <is>
          <t>default</t>
        </is>
      </c>
      <c r="C56" t="inlineStr">
        <is>
          <t>heavy_flak_tower</t>
        </is>
      </c>
      <c r="D56" t="n">
        <v>0.6</v>
      </c>
      <c r="E56" t="inlineStr">
        <is>
          <t>Assets/MachineBrigade/Resources/Data/balance.json: base.ai.styles.default.heavy_flak_tower</t>
        </is>
      </c>
      <c r="F56" t="inlineStr">
        <is>
          <t>0.6</t>
        </is>
      </c>
    </row>
    <row r="57">
      <c r="A57" t="inlineStr">
        <is>
          <t>default/heavy_turret</t>
        </is>
      </c>
      <c r="B57" t="inlineStr">
        <is>
          <t>default</t>
        </is>
      </c>
      <c r="C57" t="inlineStr">
        <is>
          <t>heavy_turret</t>
        </is>
      </c>
      <c r="D57" t="n">
        <v>0.6</v>
      </c>
      <c r="E57" t="inlineStr">
        <is>
          <t>Assets/MachineBrigade/Resources/Data/balance.json: base.ai.styles.default.heavy_turret</t>
        </is>
      </c>
      <c r="F57" t="inlineStr">
        <is>
          <t>0.6</t>
        </is>
      </c>
    </row>
    <row r="58">
      <c r="A58" t="inlineStr">
        <is>
          <t>default/inflatable_decoy</t>
        </is>
      </c>
      <c r="B58" t="inlineStr">
        <is>
          <t>default</t>
        </is>
      </c>
      <c r="C58" t="inlineStr">
        <is>
          <t>inflatable_decoy</t>
        </is>
      </c>
      <c r="D58" t="n">
        <v>0.4</v>
      </c>
      <c r="E58" t="inlineStr">
        <is>
          <t>Assets/MachineBrigade/Resources/Data/balance.json: base.ai.styles.default.inflatable_decoy</t>
        </is>
      </c>
      <c r="F58" t="inlineStr">
        <is>
          <t>0.4</t>
        </is>
      </c>
    </row>
    <row r="59">
      <c r="A59" t="inlineStr">
        <is>
          <t>default/laser_ad_station</t>
        </is>
      </c>
      <c r="B59" t="inlineStr">
        <is>
          <t>default</t>
        </is>
      </c>
      <c r="C59" t="inlineStr">
        <is>
          <t>laser_ad_station</t>
        </is>
      </c>
      <c r="D59" t="n">
        <v>0.5</v>
      </c>
      <c r="E59" t="inlineStr">
        <is>
          <t>Assets/MachineBrigade/Resources/Data/balance.json: base.ai.styles.default.laser_ad_station</t>
        </is>
      </c>
      <c r="F59" t="inlineStr">
        <is>
          <t>0.5</t>
        </is>
      </c>
    </row>
    <row r="60">
      <c r="A60" t="inlineStr">
        <is>
          <t>default/manpads_tower</t>
        </is>
      </c>
      <c r="B60" t="inlineStr">
        <is>
          <t>default</t>
        </is>
      </c>
      <c r="C60" t="inlineStr">
        <is>
          <t>manpads_tower</t>
        </is>
      </c>
      <c r="D60" t="n">
        <v>0.5</v>
      </c>
      <c r="E60" t="inlineStr">
        <is>
          <t>Assets/MachineBrigade/Resources/Data/balance.json: base.ai.styles.default.manpads_tower</t>
        </is>
      </c>
      <c r="F60" t="inlineStr">
        <is>
          <t>0.5</t>
        </is>
      </c>
    </row>
    <row r="61">
      <c r="A61" t="inlineStr">
        <is>
          <t>default/mg_bunker</t>
        </is>
      </c>
      <c r="B61" t="inlineStr">
        <is>
          <t>default</t>
        </is>
      </c>
      <c r="C61" t="inlineStr">
        <is>
          <t>mg_bunker</t>
        </is>
      </c>
      <c r="D61" t="n">
        <v>1</v>
      </c>
      <c r="E61" t="inlineStr">
        <is>
          <t>Assets/MachineBrigade/Resources/Data/balance.json: base.ai.styles.default.mg_bunker</t>
        </is>
      </c>
      <c r="F61" t="inlineStr">
        <is>
          <t>1.0</t>
        </is>
      </c>
    </row>
    <row r="62">
      <c r="A62" t="inlineStr">
        <is>
          <t>default/missile_battery</t>
        </is>
      </c>
      <c r="B62" t="inlineStr">
        <is>
          <t>default</t>
        </is>
      </c>
      <c r="C62" t="inlineStr">
        <is>
          <t>missile_battery</t>
        </is>
      </c>
      <c r="D62" t="n">
        <v>0.6</v>
      </c>
      <c r="E62" t="inlineStr">
        <is>
          <t>Assets/MachineBrigade/Resources/Data/balance.json: base.ai.styles.default.missile_battery</t>
        </is>
      </c>
      <c r="F62" t="inlineStr">
        <is>
          <t>0.6</t>
        </is>
      </c>
    </row>
    <row r="63">
      <c r="A63" t="inlineStr">
        <is>
          <t>default/one_shot_atgm_tower</t>
        </is>
      </c>
      <c r="B63" t="inlineStr">
        <is>
          <t>default</t>
        </is>
      </c>
      <c r="C63" t="inlineStr">
        <is>
          <t>one_shot_atgm_tower</t>
        </is>
      </c>
      <c r="D63" t="n">
        <v>0.4</v>
      </c>
      <c r="E63" t="inlineStr">
        <is>
          <t>Assets/MachineBrigade/Resources/Data/balance.json: base.ai.styles.default.one_shot_atgm_tower</t>
        </is>
      </c>
      <c r="F63" t="inlineStr">
        <is>
          <t>0.4</t>
        </is>
      </c>
    </row>
    <row r="64">
      <c r="A64" t="inlineStr">
        <is>
          <t>default/recoilless_gun_tower</t>
        </is>
      </c>
      <c r="B64" t="inlineStr">
        <is>
          <t>default</t>
        </is>
      </c>
      <c r="C64" t="inlineStr">
        <is>
          <t>recoilless_gun_tower</t>
        </is>
      </c>
      <c r="D64" t="n">
        <v>0.6</v>
      </c>
      <c r="E64" t="inlineStr">
        <is>
          <t>Assets/MachineBrigade/Resources/Data/balance.json: base.ai.styles.default.recoilless_gun_tower</t>
        </is>
      </c>
      <c r="F64" t="inlineStr">
        <is>
          <t>0.6</t>
        </is>
      </c>
    </row>
    <row r="65">
      <c r="A65" t="inlineStr">
        <is>
          <t>default/rocket_turret</t>
        </is>
      </c>
      <c r="B65" t="inlineStr">
        <is>
          <t>default</t>
        </is>
      </c>
      <c r="C65" t="inlineStr">
        <is>
          <t>rocket_turret</t>
        </is>
      </c>
      <c r="D65" t="n">
        <v>0.8</v>
      </c>
      <c r="E65" t="inlineStr">
        <is>
          <t>Assets/MachineBrigade/Resources/Data/balance.json: base.ai.styles.default.rocket_turret</t>
        </is>
      </c>
      <c r="F65" t="inlineStr">
        <is>
          <t>0.8</t>
        </is>
      </c>
    </row>
    <row r="66">
      <c r="A66" t="inlineStr">
        <is>
          <t>default/searchlight</t>
        </is>
      </c>
      <c r="B66" t="inlineStr">
        <is>
          <t>default</t>
        </is>
      </c>
      <c r="C66" t="inlineStr">
        <is>
          <t>searchlight</t>
        </is>
      </c>
      <c r="D66" t="n">
        <v>0.3</v>
      </c>
      <c r="E66" t="inlineStr">
        <is>
          <t>Assets/MachineBrigade/Resources/Data/balance.json: base.ai.styles.default.searchlight</t>
        </is>
      </c>
      <c r="F66" t="inlineStr">
        <is>
          <t>0.3</t>
        </is>
      </c>
    </row>
    <row r="67">
      <c r="A67" t="inlineStr">
        <is>
          <t>default/shield_tower</t>
        </is>
      </c>
      <c r="B67" t="inlineStr">
        <is>
          <t>default</t>
        </is>
      </c>
      <c r="C67" t="inlineStr">
        <is>
          <t>shield_tower</t>
        </is>
      </c>
      <c r="D67" t="n">
        <v>0.5</v>
      </c>
      <c r="E67" t="inlineStr">
        <is>
          <t>Assets/MachineBrigade/Resources/Data/balance.json: base.ai.styles.default.shield_tower</t>
        </is>
      </c>
      <c r="F67" t="inlineStr">
        <is>
          <t>0.5</t>
        </is>
      </c>
    </row>
    <row r="68">
      <c r="A68" t="inlineStr">
        <is>
          <t>default/troop_shelter</t>
        </is>
      </c>
      <c r="B68" t="inlineStr">
        <is>
          <t>default</t>
        </is>
      </c>
      <c r="C68" t="inlineStr">
        <is>
          <t>troop_shelter</t>
        </is>
      </c>
      <c r="D68" t="n">
        <v>0.3</v>
      </c>
      <c r="E68" t="inlineStr">
        <is>
          <t>Assets/MachineBrigade/Resources/Data/balance.json: base.ai.styles.default.troop_shelter</t>
        </is>
      </c>
      <c r="F68" t="inlineStr">
        <is>
          <t>0.3</t>
        </is>
      </c>
    </row>
    <row r="69">
      <c r="A69" t="inlineStr">
        <is>
          <t>default/visual_jammer</t>
        </is>
      </c>
      <c r="B69" t="inlineStr">
        <is>
          <t>default</t>
        </is>
      </c>
      <c r="C69" t="inlineStr">
        <is>
          <t>visual_jammer</t>
        </is>
      </c>
      <c r="D69" t="n">
        <v>0.6</v>
      </c>
      <c r="E69" t="inlineStr">
        <is>
          <t>Assets/MachineBrigade/Resources/Data/balance.json: base.ai.styles.default.visual_jammer</t>
        </is>
      </c>
      <c r="F69" t="inlineStr">
        <is>
          <t>0.6</t>
        </is>
      </c>
    </row>
    <row r="70">
      <c r="A70" t="inlineStr">
        <is>
          <t>kessler/*</t>
        </is>
      </c>
      <c r="B70" t="inlineStr">
        <is>
          <t>kessler</t>
        </is>
      </c>
      <c r="C70" t="inlineStr"/>
      <c r="D70" t="n">
        <v>1</v>
      </c>
      <c r="E70" t="inlineStr">
        <is>
          <t>Assets/MachineBrigade/Resources/Data/balance.json: base.ai.styles.kessler["*"]</t>
        </is>
      </c>
      <c r="F70" t="inlineStr">
        <is>
          <t>1.0</t>
        </is>
      </c>
    </row>
    <row r="71">
      <c r="A71" t="inlineStr">
        <is>
          <t>kessler/inflatable_decoy</t>
        </is>
      </c>
      <c r="B71" t="inlineStr">
        <is>
          <t>kessler</t>
        </is>
      </c>
      <c r="C71" t="inlineStr">
        <is>
          <t>inflatable_decoy</t>
        </is>
      </c>
      <c r="D71" t="n">
        <v>0.6</v>
      </c>
      <c r="E71" t="inlineStr">
        <is>
          <t>Assets/MachineBrigade/Resources/Data/balance.json: base.ai.styles.kessler.inflatable_decoy</t>
        </is>
      </c>
      <c r="F71" t="inlineStr">
        <is>
          <t>0.6</t>
        </is>
      </c>
    </row>
    <row r="72">
      <c r="A72" t="inlineStr">
        <is>
          <t>kessler/searchlight</t>
        </is>
      </c>
      <c r="B72" t="inlineStr">
        <is>
          <t>kessler</t>
        </is>
      </c>
      <c r="C72" t="inlineStr">
        <is>
          <t>searchlight</t>
        </is>
      </c>
      <c r="D72" t="n">
        <v>0.5</v>
      </c>
      <c r="E72" t="inlineStr">
        <is>
          <t>Assets/MachineBrigade/Resources/Data/balance.json: base.ai.styles.kessler.searchlight</t>
        </is>
      </c>
      <c r="F72" t="inlineStr">
        <is>
          <t>0.5</t>
        </is>
      </c>
    </row>
    <row r="73">
      <c r="A73" t="inlineStr">
        <is>
          <t>kessler/visual_jammer</t>
        </is>
      </c>
      <c r="B73" t="inlineStr">
        <is>
          <t>kessler</t>
        </is>
      </c>
      <c r="C73" t="inlineStr">
        <is>
          <t>visual_jammer</t>
        </is>
      </c>
      <c r="D73" t="n">
        <v>0.4</v>
      </c>
      <c r="E73" t="inlineStr">
        <is>
          <t>Assets/MachineBrigade/Resources/Data/balance.json: base.ai.styles.kessler.visual_jammer</t>
        </is>
      </c>
      <c r="F73" t="inlineStr">
        <is>
          <t>0.4</t>
        </is>
      </c>
    </row>
    <row r="74">
      <c r="A74" t="inlineStr">
        <is>
          <t>orlov/aa_turret</t>
        </is>
      </c>
      <c r="B74" t="inlineStr">
        <is>
          <t>orlov</t>
        </is>
      </c>
      <c r="C74" t="inlineStr">
        <is>
          <t>aa_turret</t>
        </is>
      </c>
      <c r="D74" t="n">
        <v>0.8</v>
      </c>
      <c r="E74" t="inlineStr">
        <is>
          <t>Assets/MachineBrigade/Resources/Data/balance.json: base.ai.styles.orlov.aa_turret</t>
        </is>
      </c>
      <c r="F74" t="inlineStr">
        <is>
          <t>0.8</t>
        </is>
      </c>
    </row>
    <row r="75">
      <c r="A75" t="inlineStr">
        <is>
          <t>orlov/artillery_emplacement</t>
        </is>
      </c>
      <c r="B75" t="inlineStr">
        <is>
          <t>orlov</t>
        </is>
      </c>
      <c r="C75" t="inlineStr">
        <is>
          <t>artillery_emplacement</t>
        </is>
      </c>
      <c r="D75" t="n">
        <v>2.6</v>
      </c>
      <c r="E75" t="inlineStr">
        <is>
          <t>Assets/MachineBrigade/Resources/Data/balance.json: base.ai.styles.orlov.artillery_emplacement</t>
        </is>
      </c>
      <c r="F75" t="inlineStr">
        <is>
          <t>2.6</t>
        </is>
      </c>
    </row>
    <row r="76">
      <c r="A76" t="inlineStr">
        <is>
          <t>orlov/artillery_emplacement.cb</t>
        </is>
      </c>
      <c r="B76" t="inlineStr">
        <is>
          <t>orlov</t>
        </is>
      </c>
      <c r="C76" t="inlineStr">
        <is>
          <t>artillery_emplacement.cb</t>
        </is>
      </c>
      <c r="D76" t="n">
        <v>1.3</v>
      </c>
      <c r="E76" t="inlineStr">
        <is>
          <t>Assets/MachineBrigade/Resources/Data/balance.json: base.ai.styles.orlov["artillery_emplacement.cb"]</t>
        </is>
      </c>
      <c r="F76" t="inlineStr">
        <is>
          <t>1.3</t>
        </is>
      </c>
    </row>
    <row r="77">
      <c r="A77" t="inlineStr">
        <is>
          <t>orlov/fire_control_centre</t>
        </is>
      </c>
      <c r="B77" t="inlineStr">
        <is>
          <t>orlov</t>
        </is>
      </c>
      <c r="C77" t="inlineStr">
        <is>
          <t>fire_control_centre</t>
        </is>
      </c>
      <c r="D77" t="n">
        <v>1.2</v>
      </c>
      <c r="E77" t="inlineStr">
        <is>
          <t>Assets/MachineBrigade/Resources/Data/balance.json: base.ai.styles.orlov.fire_control_centre</t>
        </is>
      </c>
      <c r="F77" t="inlineStr">
        <is>
          <t>1.2</t>
        </is>
      </c>
    </row>
    <row r="78">
      <c r="A78" t="inlineStr">
        <is>
          <t>orlov/guard_tower</t>
        </is>
      </c>
      <c r="B78" t="inlineStr">
        <is>
          <t>orlov</t>
        </is>
      </c>
      <c r="C78" t="inlineStr">
        <is>
          <t>guard_tower</t>
        </is>
      </c>
      <c r="D78" t="n">
        <v>1.2</v>
      </c>
      <c r="E78" t="inlineStr">
        <is>
          <t>Assets/MachineBrigade/Resources/Data/balance.json: base.ai.styles.orlov.guard_tower</t>
        </is>
      </c>
      <c r="F78" t="inlineStr">
        <is>
          <t>1.2</t>
        </is>
      </c>
    </row>
    <row r="79">
      <c r="A79" t="inlineStr">
        <is>
          <t>orlov/gun_turret</t>
        </is>
      </c>
      <c r="B79" t="inlineStr">
        <is>
          <t>orlov</t>
        </is>
      </c>
      <c r="C79" t="inlineStr">
        <is>
          <t>gun_turret</t>
        </is>
      </c>
      <c r="D79" t="n">
        <v>0.8</v>
      </c>
      <c r="E79" t="inlineStr">
        <is>
          <t>Assets/MachineBrigade/Resources/Data/balance.json: base.ai.styles.orlov.gun_turret</t>
        </is>
      </c>
      <c r="F79" t="inlineStr">
        <is>
          <t>0.8</t>
        </is>
      </c>
    </row>
    <row r="80">
      <c r="A80" t="inlineStr">
        <is>
          <t>orlov/rocket_turret</t>
        </is>
      </c>
      <c r="B80" t="inlineStr">
        <is>
          <t>orlov</t>
        </is>
      </c>
      <c r="C80" t="inlineStr">
        <is>
          <t>rocket_turret</t>
        </is>
      </c>
      <c r="D80" t="n">
        <v>1.8</v>
      </c>
      <c r="E80" t="inlineStr">
        <is>
          <t>Assets/MachineBrigade/Resources/Data/balance.json: base.ai.styles.orlov.rocket_turret</t>
        </is>
      </c>
      <c r="F80" t="inlineStr">
        <is>
          <t>1.8</t>
        </is>
      </c>
    </row>
    <row r="81">
      <c r="A81" t="inlineStr">
        <is>
          <t>orlov/rocket_turret.guided</t>
        </is>
      </c>
      <c r="B81" t="inlineStr">
        <is>
          <t>orlov</t>
        </is>
      </c>
      <c r="C81" t="inlineStr">
        <is>
          <t>rocket_turret.guided</t>
        </is>
      </c>
      <c r="D81" t="n">
        <v>1.3</v>
      </c>
      <c r="E81" t="inlineStr">
        <is>
          <t>Assets/MachineBrigade/Resources/Data/balance.json: base.ai.styles.orlov["rocket_turret.guided"]</t>
        </is>
      </c>
      <c r="F81" t="inlineStr">
        <is>
          <t>1.3</t>
        </is>
      </c>
    </row>
    <row r="82">
      <c r="A82" t="inlineStr">
        <is>
          <t>orlov/troop_shelter</t>
        </is>
      </c>
      <c r="B82" t="inlineStr">
        <is>
          <t>orlov</t>
        </is>
      </c>
      <c r="C82" t="inlineStr">
        <is>
          <t>troop_shelter</t>
        </is>
      </c>
      <c r="D82" t="n">
        <v>0.4</v>
      </c>
      <c r="E82" t="inlineStr">
        <is>
          <t>Assets/MachineBrigade/Resources/Data/balance.json: base.ai.styles.orlov.troop_shelter</t>
        </is>
      </c>
      <c r="F82" t="inlineStr">
        <is>
          <t>0.4</t>
        </is>
      </c>
    </row>
    <row r="83">
      <c r="A83" t="inlineStr">
        <is>
          <t>quaden/aa_turret</t>
        </is>
      </c>
      <c r="B83" t="inlineStr">
        <is>
          <t>quaden</t>
        </is>
      </c>
      <c r="C83" t="inlineStr">
        <is>
          <t>aa_turret</t>
        </is>
      </c>
      <c r="D83" t="n">
        <v>2.4</v>
      </c>
      <c r="E83" t="inlineStr">
        <is>
          <t>Assets/MachineBrigade/Resources/Data/balance.json: base.ai.styles.quaden.aa_turret</t>
        </is>
      </c>
      <c r="F83" t="inlineStr">
        <is>
          <t>2.4</t>
        </is>
      </c>
    </row>
    <row r="84">
      <c r="A84" t="inlineStr">
        <is>
          <t>quaden/aa_turret.sam</t>
        </is>
      </c>
      <c r="B84" t="inlineStr">
        <is>
          <t>quaden</t>
        </is>
      </c>
      <c r="C84" t="inlineStr">
        <is>
          <t>aa_turret.sam</t>
        </is>
      </c>
      <c r="D84" t="n">
        <v>1.3</v>
      </c>
      <c r="E84" t="inlineStr">
        <is>
          <t>Assets/MachineBrigade/Resources/Data/balance.json: base.ai.styles.quaden["aa_turret.sam"]</t>
        </is>
      </c>
      <c r="F84" t="inlineStr">
        <is>
          <t>1.3</t>
        </is>
      </c>
    </row>
    <row r="85">
      <c r="A85" t="inlineStr">
        <is>
          <t>quaden/c_ram</t>
        </is>
      </c>
      <c r="B85" t="inlineStr">
        <is>
          <t>quaden</t>
        </is>
      </c>
      <c r="C85" t="inlineStr">
        <is>
          <t>c_ram</t>
        </is>
      </c>
      <c r="D85" t="n">
        <v>1.4</v>
      </c>
      <c r="E85" t="inlineStr">
        <is>
          <t>Assets/MachineBrigade/Resources/Data/balance.json: base.ai.styles.quaden.c_ram</t>
        </is>
      </c>
      <c r="F85" t="inlineStr">
        <is>
          <t>1.4</t>
        </is>
      </c>
    </row>
    <row r="86">
      <c r="A86" t="inlineStr">
        <is>
          <t>quaden/c_ram.dome</t>
        </is>
      </c>
      <c r="B86" t="inlineStr">
        <is>
          <t>quaden</t>
        </is>
      </c>
      <c r="C86" t="inlineStr">
        <is>
          <t>c_ram.dome</t>
        </is>
      </c>
      <c r="D86" t="n">
        <v>1.2</v>
      </c>
      <c r="E86" t="inlineStr">
        <is>
          <t>Assets/MachineBrigade/Resources/Data/balance.json: base.ai.styles.quaden["c_ram.dome"]</t>
        </is>
      </c>
      <c r="F86" t="inlineStr">
        <is>
          <t>1.2</t>
        </is>
      </c>
    </row>
    <row r="87">
      <c r="A87" t="inlineStr">
        <is>
          <t>quaden/guard_tower</t>
        </is>
      </c>
      <c r="B87" t="inlineStr">
        <is>
          <t>quaden</t>
        </is>
      </c>
      <c r="C87" t="inlineStr">
        <is>
          <t>guard_tower</t>
        </is>
      </c>
      <c r="D87" t="n">
        <v>1</v>
      </c>
      <c r="E87" t="inlineStr">
        <is>
          <t>Assets/MachineBrigade/Resources/Data/balance.json: base.ai.styles.quaden.guard_tower</t>
        </is>
      </c>
      <c r="F87" t="inlineStr">
        <is>
          <t>1.0</t>
        </is>
      </c>
    </row>
    <row r="88">
      <c r="A88" t="inlineStr">
        <is>
          <t>quaden/gun_turret</t>
        </is>
      </c>
      <c r="B88" t="inlineStr">
        <is>
          <t>quaden</t>
        </is>
      </c>
      <c r="C88" t="inlineStr">
        <is>
          <t>gun_turret</t>
        </is>
      </c>
      <c r="D88" t="n">
        <v>0.6</v>
      </c>
      <c r="E88" t="inlineStr">
        <is>
          <t>Assets/MachineBrigade/Resources/Data/balance.json: base.ai.styles.quaden.gun_turret</t>
        </is>
      </c>
      <c r="F88" t="inlineStr">
        <is>
          <t>0.6</t>
        </is>
      </c>
    </row>
    <row r="89">
      <c r="A89" t="inlineStr">
        <is>
          <t>quaden/heavy_flak_tower</t>
        </is>
      </c>
      <c r="B89" t="inlineStr">
        <is>
          <t>quaden</t>
        </is>
      </c>
      <c r="C89" t="inlineStr">
        <is>
          <t>heavy_flak_tower</t>
        </is>
      </c>
      <c r="D89" t="n">
        <v>2</v>
      </c>
      <c r="E89" t="inlineStr">
        <is>
          <t>Assets/MachineBrigade/Resources/Data/balance.json: base.ai.styles.quaden.heavy_flak_tower</t>
        </is>
      </c>
      <c r="F89" t="inlineStr">
        <is>
          <t>2.0</t>
        </is>
      </c>
    </row>
    <row r="90">
      <c r="A90" t="inlineStr">
        <is>
          <t>quaden/inflatable_decoy</t>
        </is>
      </c>
      <c r="B90" t="inlineStr">
        <is>
          <t>quaden</t>
        </is>
      </c>
      <c r="C90" t="inlineStr">
        <is>
          <t>inflatable_decoy</t>
        </is>
      </c>
      <c r="D90" t="n">
        <v>1</v>
      </c>
      <c r="E90" t="inlineStr">
        <is>
          <t>Assets/MachineBrigade/Resources/Data/balance.json: base.ai.styles.quaden.inflatable_decoy</t>
        </is>
      </c>
      <c r="F90" t="inlineStr">
        <is>
          <t>1.0</t>
        </is>
      </c>
    </row>
    <row r="91">
      <c r="A91" t="inlineStr">
        <is>
          <t>quaden/laser_ad_station</t>
        </is>
      </c>
      <c r="B91" t="inlineStr">
        <is>
          <t>quaden</t>
        </is>
      </c>
      <c r="C91" t="inlineStr">
        <is>
          <t>laser_ad_station</t>
        </is>
      </c>
      <c r="D91" t="n">
        <v>0.8</v>
      </c>
      <c r="E91" t="inlineStr">
        <is>
          <t>Assets/MachineBrigade/Resources/Data/balance.json: base.ai.styles.quaden.laser_ad_station</t>
        </is>
      </c>
      <c r="F91" t="inlineStr">
        <is>
          <t>0.8</t>
        </is>
      </c>
    </row>
    <row r="92">
      <c r="A92" t="inlineStr">
        <is>
          <t>quaden/missile_battery</t>
        </is>
      </c>
      <c r="B92" t="inlineStr">
        <is>
          <t>quaden</t>
        </is>
      </c>
      <c r="C92" t="inlineStr">
        <is>
          <t>missile_battery</t>
        </is>
      </c>
      <c r="D92" t="n">
        <v>2.2</v>
      </c>
      <c r="E92" t="inlineStr">
        <is>
          <t>Assets/MachineBrigade/Resources/Data/balance.json: base.ai.styles.quaden.missile_battery</t>
        </is>
      </c>
      <c r="F92" t="inlineStr">
        <is>
          <t>2.2</t>
        </is>
      </c>
    </row>
    <row r="93">
      <c r="A93" t="inlineStr">
        <is>
          <t>quaden/missile_battery.lrr</t>
        </is>
      </c>
      <c r="B93" t="inlineStr">
        <is>
          <t>quaden</t>
        </is>
      </c>
      <c r="C93" t="inlineStr">
        <is>
          <t>missile_battery.lrr</t>
        </is>
      </c>
      <c r="D93" t="n">
        <v>1.3</v>
      </c>
      <c r="E93" t="inlineStr">
        <is>
          <t>Assets/MachineBrigade/Resources/Data/balance.json: base.ai.styles.quaden["missile_battery.lrr"]</t>
        </is>
      </c>
      <c r="F93" t="inlineStr">
        <is>
          <t>1.3</t>
        </is>
      </c>
    </row>
    <row r="94">
      <c r="A94" t="inlineStr">
        <is>
          <t>sen/aa_turret</t>
        </is>
      </c>
      <c r="B94" t="inlineStr">
        <is>
          <t>sen</t>
        </is>
      </c>
      <c r="C94" t="inlineStr">
        <is>
          <t>aa_turret</t>
        </is>
      </c>
      <c r="D94" t="n">
        <v>1</v>
      </c>
      <c r="E94" t="inlineStr">
        <is>
          <t>Assets/MachineBrigade/Resources/Data/balance.json: base.ai.styles.sen.aa_turret</t>
        </is>
      </c>
      <c r="F94" t="inlineStr">
        <is>
          <t>1.0</t>
        </is>
      </c>
    </row>
    <row r="95">
      <c r="A95" t="inlineStr">
        <is>
          <t>sen/c_ram</t>
        </is>
      </c>
      <c r="B95" t="inlineStr">
        <is>
          <t>sen</t>
        </is>
      </c>
      <c r="C95" t="inlineStr">
        <is>
          <t>c_ram</t>
        </is>
      </c>
      <c r="D95" t="n">
        <v>1.2</v>
      </c>
      <c r="E95" t="inlineStr">
        <is>
          <t>Assets/MachineBrigade/Resources/Data/balance.json: base.ai.styles.sen.c_ram</t>
        </is>
      </c>
      <c r="F95" t="inlineStr">
        <is>
          <t>1.2</t>
        </is>
      </c>
    </row>
    <row r="96">
      <c r="A96" t="inlineStr">
        <is>
          <t>sen/drone_hangar</t>
        </is>
      </c>
      <c r="B96" t="inlineStr">
        <is>
          <t>sen</t>
        </is>
      </c>
      <c r="C96" t="inlineStr">
        <is>
          <t>drone_hangar</t>
        </is>
      </c>
      <c r="D96" t="n">
        <v>2.6</v>
      </c>
      <c r="E96" t="inlineStr">
        <is>
          <t>Assets/MachineBrigade/Resources/Data/balance.json: base.ai.styles.sen.drone_hangar</t>
        </is>
      </c>
      <c r="F96" t="inlineStr">
        <is>
          <t>2.6</t>
        </is>
      </c>
    </row>
    <row r="97">
      <c r="A97" t="inlineStr">
        <is>
          <t>sen/drone_hangar.swarm</t>
        </is>
      </c>
      <c r="B97" t="inlineStr">
        <is>
          <t>sen</t>
        </is>
      </c>
      <c r="C97" t="inlineStr">
        <is>
          <t>drone_hangar.swarm</t>
        </is>
      </c>
      <c r="D97" t="n">
        <v>1.3</v>
      </c>
      <c r="E97" t="inlineStr">
        <is>
          <t>Assets/MachineBrigade/Resources/Data/balance.json: base.ai.styles.sen["drone_hangar.swarm"]</t>
        </is>
      </c>
      <c r="F97" t="inlineStr">
        <is>
          <t>1.3</t>
        </is>
      </c>
    </row>
    <row r="98">
      <c r="A98" t="inlineStr">
        <is>
          <t>sen/ew_tower</t>
        </is>
      </c>
      <c r="B98" t="inlineStr">
        <is>
          <t>sen</t>
        </is>
      </c>
      <c r="C98" t="inlineStr">
        <is>
          <t>ew_tower</t>
        </is>
      </c>
      <c r="D98" t="n">
        <v>1.6</v>
      </c>
      <c r="E98" t="inlineStr">
        <is>
          <t>Assets/MachineBrigade/Resources/Data/balance.json: base.ai.styles.sen.ew_tower</t>
        </is>
      </c>
      <c r="F98" t="inlineStr">
        <is>
          <t>1.6</t>
        </is>
      </c>
    </row>
    <row r="99">
      <c r="A99" t="inlineStr">
        <is>
          <t>sen/ew_tower.drone</t>
        </is>
      </c>
      <c r="B99" t="inlineStr">
        <is>
          <t>sen</t>
        </is>
      </c>
      <c r="C99" t="inlineStr">
        <is>
          <t>ew_tower.drone</t>
        </is>
      </c>
      <c r="D99" t="n">
        <v>1.3</v>
      </c>
      <c r="E99" t="inlineStr">
        <is>
          <t>Assets/MachineBrigade/Resources/Data/balance.json: base.ai.styles.sen["ew_tower.drone"]</t>
        </is>
      </c>
      <c r="F99" t="inlineStr">
        <is>
          <t>1.3</t>
        </is>
      </c>
    </row>
    <row r="100">
      <c r="A100" t="inlineStr">
        <is>
          <t>sen/guard_tower</t>
        </is>
      </c>
      <c r="B100" t="inlineStr">
        <is>
          <t>sen</t>
        </is>
      </c>
      <c r="C100" t="inlineStr">
        <is>
          <t>guard_tower</t>
        </is>
      </c>
      <c r="D100" t="n">
        <v>1</v>
      </c>
      <c r="E100" t="inlineStr">
        <is>
          <t>Assets/MachineBrigade/Resources/Data/balance.json: base.ai.styles.sen.guard_tower</t>
        </is>
      </c>
      <c r="F100" t="inlineStr">
        <is>
          <t>1.0</t>
        </is>
      </c>
    </row>
    <row r="101">
      <c r="A101" t="inlineStr">
        <is>
          <t>sen/gun_turret</t>
        </is>
      </c>
      <c r="B101" t="inlineStr">
        <is>
          <t>sen</t>
        </is>
      </c>
      <c r="C101" t="inlineStr">
        <is>
          <t>gun_turret</t>
        </is>
      </c>
      <c r="D101" t="n">
        <v>0.8</v>
      </c>
      <c r="E101" t="inlineStr">
        <is>
          <t>Assets/MachineBrigade/Resources/Data/balance.json: base.ai.styles.sen.gun_turret</t>
        </is>
      </c>
      <c r="F101" t="inlineStr">
        <is>
          <t>0.8</t>
        </is>
      </c>
    </row>
    <row r="102">
      <c r="A102" t="inlineStr">
        <is>
          <t>sen/laser_ad_station</t>
        </is>
      </c>
      <c r="B102" t="inlineStr">
        <is>
          <t>sen</t>
        </is>
      </c>
      <c r="C102" t="inlineStr">
        <is>
          <t>laser_ad_station</t>
        </is>
      </c>
      <c r="D102" t="n">
        <v>1.2</v>
      </c>
      <c r="E102" t="inlineStr">
        <is>
          <t>Assets/MachineBrigade/Resources/Data/balance.json: base.ai.styles.sen.laser_ad_station</t>
        </is>
      </c>
      <c r="F102" t="inlineStr">
        <is>
          <t>1.2</t>
        </is>
      </c>
    </row>
    <row r="103">
      <c r="A103" t="inlineStr">
        <is>
          <t>sen/visual_jammer</t>
        </is>
      </c>
      <c r="B103" t="inlineStr">
        <is>
          <t>sen</t>
        </is>
      </c>
      <c r="C103" t="inlineStr">
        <is>
          <t>visual_jammer</t>
        </is>
      </c>
      <c r="D103" t="n">
        <v>1</v>
      </c>
      <c r="E103" t="inlineStr">
        <is>
          <t>Assets/MachineBrigade/Resources/Data/balance.json: base.ai.styles.sen.visual_jammer</t>
        </is>
      </c>
      <c r="F103" t="inlineStr">
        <is>
          <t>1.0</t>
        </is>
      </c>
    </row>
    <row r="104">
      <c r="A104" t="inlineStr">
        <is>
          <t>varga/aa_turret</t>
        </is>
      </c>
      <c r="B104" t="inlineStr">
        <is>
          <t>varga</t>
        </is>
      </c>
      <c r="C104" t="inlineStr">
        <is>
          <t>aa_turret</t>
        </is>
      </c>
      <c r="D104" t="n">
        <v>0.8</v>
      </c>
      <c r="E104" t="inlineStr">
        <is>
          <t>Assets/MachineBrigade/Resources/Data/balance.json: base.ai.styles.varga.aa_turret</t>
        </is>
      </c>
      <c r="F104" t="inlineStr">
        <is>
          <t>0.8</t>
        </is>
      </c>
    </row>
    <row r="105">
      <c r="A105" t="inlineStr">
        <is>
          <t>varga/at_gun_emplacement</t>
        </is>
      </c>
      <c r="B105" t="inlineStr">
        <is>
          <t>varga</t>
        </is>
      </c>
      <c r="C105" t="inlineStr">
        <is>
          <t>at_gun_emplacement</t>
        </is>
      </c>
      <c r="D105" t="n">
        <v>1.4</v>
      </c>
      <c r="E105" t="inlineStr">
        <is>
          <t>Assets/MachineBrigade/Resources/Data/balance.json: base.ai.styles.varga.at_gun_emplacement</t>
        </is>
      </c>
      <c r="F105" t="inlineStr">
        <is>
          <t>1.4</t>
        </is>
      </c>
    </row>
    <row r="106">
      <c r="A106" t="inlineStr">
        <is>
          <t>varga/atgm_tower</t>
        </is>
      </c>
      <c r="B106" t="inlineStr">
        <is>
          <t>varga</t>
        </is>
      </c>
      <c r="C106" t="inlineStr">
        <is>
          <t>atgm_tower</t>
        </is>
      </c>
      <c r="D106" t="n">
        <v>2.4</v>
      </c>
      <c r="E106" t="inlineStr">
        <is>
          <t>Assets/MachineBrigade/Resources/Data/balance.json: base.ai.styles.varga.atgm_tower</t>
        </is>
      </c>
      <c r="F106" t="inlineStr">
        <is>
          <t>2.4</t>
        </is>
      </c>
    </row>
    <row r="107">
      <c r="A107" t="inlineStr">
        <is>
          <t>varga/atgm_tower.top</t>
        </is>
      </c>
      <c r="B107" t="inlineStr">
        <is>
          <t>varga</t>
        </is>
      </c>
      <c r="C107" t="inlineStr">
        <is>
          <t>atgm_tower.top</t>
        </is>
      </c>
      <c r="D107" t="n">
        <v>1.3</v>
      </c>
      <c r="E107" t="inlineStr">
        <is>
          <t>Assets/MachineBrigade/Resources/Data/balance.json: base.ai.styles.varga["atgm_tower.top"]</t>
        </is>
      </c>
      <c r="F107" t="inlineStr">
        <is>
          <t>1.3</t>
        </is>
      </c>
    </row>
    <row r="108">
      <c r="A108" t="inlineStr">
        <is>
          <t>varga/fire_control_centre</t>
        </is>
      </c>
      <c r="B108" t="inlineStr">
        <is>
          <t>varga</t>
        </is>
      </c>
      <c r="C108" t="inlineStr">
        <is>
          <t>fire_control_centre</t>
        </is>
      </c>
      <c r="D108" t="n">
        <v>1</v>
      </c>
      <c r="E108" t="inlineStr">
        <is>
          <t>Assets/MachineBrigade/Resources/Data/balance.json: base.ai.styles.varga.fire_control_centre</t>
        </is>
      </c>
      <c r="F108" t="inlineStr">
        <is>
          <t>1.0</t>
        </is>
      </c>
    </row>
    <row r="109">
      <c r="A109" t="inlineStr">
        <is>
          <t>varga/guard_tower</t>
        </is>
      </c>
      <c r="B109" t="inlineStr">
        <is>
          <t>varga</t>
        </is>
      </c>
      <c r="C109" t="inlineStr">
        <is>
          <t>guard_tower</t>
        </is>
      </c>
      <c r="D109" t="n">
        <v>0.6</v>
      </c>
      <c r="E109" t="inlineStr">
        <is>
          <t>Assets/MachineBrigade/Resources/Data/balance.json: base.ai.styles.varga.guard_tower</t>
        </is>
      </c>
      <c r="F109" t="inlineStr">
        <is>
          <t>0.6</t>
        </is>
      </c>
    </row>
    <row r="110">
      <c r="A110" t="inlineStr">
        <is>
          <t>varga/gun_turret</t>
        </is>
      </c>
      <c r="B110" t="inlineStr">
        <is>
          <t>varga</t>
        </is>
      </c>
      <c r="C110" t="inlineStr">
        <is>
          <t>gun_turret</t>
        </is>
      </c>
      <c r="D110" t="n">
        <v>1.8</v>
      </c>
      <c r="E110" t="inlineStr">
        <is>
          <t>Assets/MachineBrigade/Resources/Data/balance.json: base.ai.styles.varga.gun_turret</t>
        </is>
      </c>
      <c r="F110" t="inlineStr">
        <is>
          <t>1.8</t>
        </is>
      </c>
    </row>
    <row r="111">
      <c r="A111" t="inlineStr">
        <is>
          <t>varga/gun_turret.long</t>
        </is>
      </c>
      <c r="B111" t="inlineStr">
        <is>
          <t>varga</t>
        </is>
      </c>
      <c r="C111" t="inlineStr">
        <is>
          <t>gun_turret.long</t>
        </is>
      </c>
      <c r="D111" t="n">
        <v>1.3</v>
      </c>
      <c r="E111" t="inlineStr">
        <is>
          <t>Assets/MachineBrigade/Resources/Data/balance.json: base.ai.styles.varga["gun_turret.long"]</t>
        </is>
      </c>
      <c r="F111" t="inlineStr">
        <is>
          <t>1.3</t>
        </is>
      </c>
    </row>
    <row r="112">
      <c r="A112" t="inlineStr">
        <is>
          <t>varga/heavy_turret</t>
        </is>
      </c>
      <c r="B112" t="inlineStr">
        <is>
          <t>varga</t>
        </is>
      </c>
      <c r="C112" t="inlineStr">
        <is>
          <t>heavy_turret</t>
        </is>
      </c>
      <c r="D112" t="n">
        <v>1.6</v>
      </c>
      <c r="E112" t="inlineStr">
        <is>
          <t>Assets/MachineBrigade/Resources/Data/balance.json: base.ai.styles.varga.heavy_turret</t>
        </is>
      </c>
      <c r="F112" t="inlineStr">
        <is>
          <t>1.6</t>
        </is>
      </c>
    </row>
    <row r="113">
      <c r="A113" t="inlineStr">
        <is>
          <t>varga/mg_bunker</t>
        </is>
      </c>
      <c r="B113" t="inlineStr">
        <is>
          <t>varga</t>
        </is>
      </c>
      <c r="C113" t="inlineStr">
        <is>
          <t>mg_bunker</t>
        </is>
      </c>
      <c r="D113" t="n">
        <v>1</v>
      </c>
      <c r="E113" t="inlineStr">
        <is>
          <t>Assets/MachineBrigade/Resources/Data/balance.json: base.ai.styles.varga.mg_bunker</t>
        </is>
      </c>
      <c r="F113" t="inlineStr">
        <is>
          <t>1.0</t>
        </is>
      </c>
    </row>
  </sheetData>
  <autoFilter ref="A1:F11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4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caesar_155</t>
        </is>
      </c>
      <c r="B2" t="n">
        <v>320</v>
      </c>
      <c r="C2" t="n">
        <v>3</v>
      </c>
      <c r="D2" t="inlineStr">
        <is>
          <t>01_chien_dau/Vu_khi (id caesar_155)</t>
        </is>
      </c>
      <c r="E2" t="inlineStr"/>
    </row>
    <row r="3">
      <c r="A3" t="inlineStr">
        <is>
          <t>gun_105_ags</t>
        </is>
      </c>
      <c r="B3" t="n">
        <v>212</v>
      </c>
      <c r="C3" t="n">
        <v>3</v>
      </c>
      <c r="D3" t="inlineStr">
        <is>
          <t>01_chien_dau/Vu_khi (id gun_105_ags)</t>
        </is>
      </c>
      <c r="E3" t="inlineStr"/>
    </row>
    <row r="4">
      <c r="A4" t="inlineStr">
        <is>
          <t>gun_105_wheeled_he</t>
        </is>
      </c>
      <c r="B4" t="n">
        <v>258</v>
      </c>
      <c r="C4" t="n">
        <v>2</v>
      </c>
      <c r="D4" t="inlineStr">
        <is>
          <t>01_chien_dau/Vu_khi (id gun_105_wheeled_he)</t>
        </is>
      </c>
      <c r="E4" t="inlineStr"/>
    </row>
    <row r="5">
      <c r="A5" t="inlineStr">
        <is>
          <t>gun_125_armata_ke</t>
        </is>
      </c>
      <c r="B5" t="n">
        <v>260</v>
      </c>
      <c r="C5" t="n">
        <v>4</v>
      </c>
      <c r="D5" t="inlineStr">
        <is>
          <t>01_chien_dau/Vu_khi (id gun_125_armata_ke)</t>
        </is>
      </c>
      <c r="E5" t="inlineStr"/>
    </row>
    <row r="6">
      <c r="A6" t="inlineStr">
        <is>
          <t>gun_155_crusader</t>
        </is>
      </c>
      <c r="B6" t="n">
        <v>320</v>
      </c>
      <c r="C6" t="n">
        <v>2</v>
      </c>
      <c r="D6" t="inlineStr">
        <is>
          <t>01_chien_dau/Vu_khi (id gun_155_crusader)</t>
        </is>
      </c>
      <c r="E6" t="inlineStr"/>
    </row>
    <row r="7">
      <c r="A7" t="inlineStr">
        <is>
          <t>ifv_30</t>
        </is>
      </c>
      <c r="B7" t="n">
        <v>22</v>
      </c>
      <c r="C7" t="n">
        <v>2</v>
      </c>
      <c r="D7" t="inlineStr">
        <is>
          <t>01_chien_dau/Vu_khi (id ifv_30)</t>
        </is>
      </c>
      <c r="E7" t="inlineStr"/>
    </row>
    <row r="8">
      <c r="A8" t="inlineStr">
        <is>
          <t>khrizantema</t>
        </is>
      </c>
      <c r="B8" t="n">
        <v>250</v>
      </c>
      <c r="C8" t="n">
        <v>4</v>
      </c>
      <c r="D8" t="inlineStr">
        <is>
          <t>01_chien_dau/Vu_khi (id khrizantema)</t>
        </is>
      </c>
      <c r="E8" t="inlineStr"/>
    </row>
    <row r="9">
      <c r="A9" t="inlineStr">
        <is>
          <t>lancet</t>
        </is>
      </c>
      <c r="B9" t="n">
        <v>240</v>
      </c>
      <c r="C9" t="n">
        <v>4</v>
      </c>
      <c r="D9" t="inlineStr">
        <is>
          <t>01_chien_dau/Vu_khi (id lancet)</t>
        </is>
      </c>
      <c r="E9" t="inlineStr"/>
    </row>
    <row r="10">
      <c r="A10" t="inlineStr">
        <is>
          <t>mlrs_rockets</t>
        </is>
      </c>
      <c r="B10" t="n">
        <v>100</v>
      </c>
      <c r="C10" t="n">
        <v>3</v>
      </c>
      <c r="D10" t="inlineStr">
        <is>
          <t>01_chien_dau/Vu_khi (id mlrs_rockets)</t>
        </is>
      </c>
      <c r="E10" t="inlineStr"/>
    </row>
    <row r="11">
      <c r="A11" t="inlineStr">
        <is>
          <t>spike_nlos</t>
        </is>
      </c>
      <c r="B11" t="n">
        <v>300</v>
      </c>
      <c r="C11" t="n">
        <v>4</v>
      </c>
      <c r="D11" t="inlineStr">
        <is>
          <t>01_chien_dau/Vu_khi (id spike_nlos)</t>
        </is>
      </c>
      <c r="E11" t="inlineStr"/>
    </row>
    <row r="12">
      <c r="A12" t="inlineStr">
        <is>
          <t>thermobaric_rockets</t>
        </is>
      </c>
      <c r="B12" t="n">
        <v>97</v>
      </c>
      <c r="C12" t="n">
        <v>3</v>
      </c>
      <c r="D12" t="inlineStr">
        <is>
          <t>01_chien_dau/Vu_khi (id thermobaric_rockets)</t>
        </is>
      </c>
      <c r="E12" t="inlineStr"/>
    </row>
  </sheetData>
  <autoFilter ref="A1:E1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52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caesar_155</t>
        </is>
      </c>
      <c r="B2" t="b">
        <v>1</v>
      </c>
      <c r="C2" t="b">
        <v>1</v>
      </c>
      <c r="D2" t="n">
        <v>1.5</v>
      </c>
      <c r="E2" t="inlineStr">
        <is>
          <t>01_chien_dau/Vu_khi_suy_ra (id caesar_155)</t>
        </is>
      </c>
      <c r="F2" t="inlineStr"/>
    </row>
    <row r="3">
      <c r="A3" t="inlineStr">
        <is>
          <t>gun_105_ags</t>
        </is>
      </c>
      <c r="B3" t="b">
        <v>0</v>
      </c>
      <c r="C3" t="b">
        <v>1</v>
      </c>
      <c r="D3" t="n">
        <v>0.6</v>
      </c>
      <c r="E3" t="inlineStr">
        <is>
          <t>01_chien_dau/Vu_khi_suy_ra (id gun_105_ags)</t>
        </is>
      </c>
      <c r="F3" t="inlineStr"/>
    </row>
    <row r="4">
      <c r="A4" t="inlineStr">
        <is>
          <t>gun_105_wheeled_he</t>
        </is>
      </c>
      <c r="B4" t="b">
        <v>0</v>
      </c>
      <c r="C4" t="b">
        <v>1</v>
      </c>
      <c r="D4" t="n">
        <v>1.5</v>
      </c>
      <c r="E4" t="inlineStr">
        <is>
          <t>01_chien_dau/Vu_khi_suy_ra (id gun_105_wheeled_he)</t>
        </is>
      </c>
      <c r="F4" t="inlineStr"/>
    </row>
    <row r="5">
      <c r="A5" t="inlineStr">
        <is>
          <t>gun_125_armata_ke</t>
        </is>
      </c>
      <c r="B5" t="b">
        <v>0</v>
      </c>
      <c r="C5" t="b">
        <v>1</v>
      </c>
      <c r="D5" t="n">
        <v>0.6</v>
      </c>
      <c r="E5" t="inlineStr">
        <is>
          <t>01_chien_dau/Vu_khi_suy_ra (id gun_125_armata_ke)</t>
        </is>
      </c>
      <c r="F5" t="inlineStr"/>
    </row>
    <row r="6">
      <c r="A6" t="inlineStr">
        <is>
          <t>gun_155_crusader</t>
        </is>
      </c>
      <c r="B6" t="b">
        <v>0</v>
      </c>
      <c r="C6" t="b">
        <v>1</v>
      </c>
      <c r="D6" t="n">
        <v>1.5</v>
      </c>
      <c r="E6" t="inlineStr">
        <is>
          <t>01_chien_dau/Vu_khi_suy_ra (id gun_155_crusader)</t>
        </is>
      </c>
      <c r="F6" t="inlineStr"/>
    </row>
    <row r="7">
      <c r="A7" t="inlineStr">
        <is>
          <t>ifv_30</t>
        </is>
      </c>
      <c r="B7" t="b">
        <v>0</v>
      </c>
      <c r="C7" t="b">
        <v>1</v>
      </c>
      <c r="D7" t="n">
        <v>0.6</v>
      </c>
      <c r="E7" t="inlineStr">
        <is>
          <t>01_chien_dau/Vu_khi_suy_ra (id ifv_30)</t>
        </is>
      </c>
      <c r="F7" t="inlineStr"/>
    </row>
    <row r="8">
      <c r="A8" t="inlineStr">
        <is>
          <t>khrizantema</t>
        </is>
      </c>
      <c r="B8" t="b">
        <v>0</v>
      </c>
      <c r="C8" t="b">
        <v>1</v>
      </c>
      <c r="D8" t="n">
        <v>0.6</v>
      </c>
      <c r="E8" t="inlineStr">
        <is>
          <t>01_chien_dau/Vu_khi_suy_ra (id khrizantema)</t>
        </is>
      </c>
      <c r="F8" t="inlineStr"/>
    </row>
    <row r="9">
      <c r="A9" t="inlineStr">
        <is>
          <t>lancet</t>
        </is>
      </c>
      <c r="B9" t="b">
        <v>1</v>
      </c>
      <c r="C9" t="b">
        <v>1</v>
      </c>
      <c r="D9" t="n">
        <v>0.6</v>
      </c>
      <c r="E9" t="inlineStr">
        <is>
          <t>01_chien_dau/Vu_khi_suy_ra (id lancet)</t>
        </is>
      </c>
      <c r="F9" t="inlineStr"/>
    </row>
    <row r="10">
      <c r="A10" t="inlineStr">
        <is>
          <t>mlrs_rockets</t>
        </is>
      </c>
      <c r="B10" t="b">
        <v>1</v>
      </c>
      <c r="C10" t="b">
        <v>1</v>
      </c>
      <c r="D10" t="n">
        <v>1.5</v>
      </c>
      <c r="E10" t="inlineStr">
        <is>
          <t>01_chien_dau/Vu_khi_suy_ra (id mlrs_rockets)</t>
        </is>
      </c>
      <c r="F10" t="inlineStr"/>
    </row>
    <row r="11">
      <c r="A11" t="inlineStr">
        <is>
          <t>spike_nlos</t>
        </is>
      </c>
      <c r="B11" t="b">
        <v>1</v>
      </c>
      <c r="C11" t="b">
        <v>1</v>
      </c>
      <c r="D11" t="n">
        <v>0.6</v>
      </c>
      <c r="E11" t="inlineStr">
        <is>
          <t>01_chien_dau/Vu_khi_suy_ra (id spike_nlos)</t>
        </is>
      </c>
      <c r="F11" t="inlineStr"/>
    </row>
    <row r="12">
      <c r="A12" t="inlineStr">
        <is>
          <t>thermobaric_rockets</t>
        </is>
      </c>
      <c r="B12" t="b">
        <v>1</v>
      </c>
      <c r="C12" t="b">
        <v>1</v>
      </c>
      <c r="D12" t="n">
        <v>2</v>
      </c>
      <c r="E12" t="inlineStr">
        <is>
          <t>01_chien_dau/Vu_khi_suy_ra (id thermobaric_rockets)</t>
        </is>
      </c>
      <c r="F12" t="inlineStr"/>
    </row>
  </sheetData>
  <autoFilter ref="A1:F1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0.9974999999999999</v>
      </c>
      <c r="F2" t="n">
        <v>219.4167303643507</v>
      </c>
      <c r="G2" t="n">
        <v>158</v>
      </c>
      <c r="H2" t="n">
        <v>30.3342</v>
      </c>
      <c r="I2" t="n">
        <v>11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0.9974999999999999</v>
      </c>
      <c r="F3" t="n">
        <v>240.3845953002611</v>
      </c>
      <c r="G3" t="n">
        <v>158</v>
      </c>
      <c r="H3" t="n">
        <v>30.3342</v>
      </c>
      <c r="I3" t="n">
        <v>11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0.9974999999999999</v>
      </c>
      <c r="F4" t="n">
        <v>49.64061096136568</v>
      </c>
      <c r="G4" t="n">
        <v>158</v>
      </c>
      <c r="H4" t="n">
        <v>30.3342</v>
      </c>
      <c r="I4" t="n">
        <v>11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artillery_emplacement</t>
        </is>
      </c>
      <c r="B5" t="inlineStr">
        <is>
          <t>Large</t>
        </is>
      </c>
      <c r="C5" t="inlineStr">
        <is>
          <t>ground</t>
        </is>
      </c>
      <c r="D5" t="inlineStr">
        <is>
          <t>chien_dau</t>
        </is>
      </c>
      <c r="E5" t="n">
        <v>1.11</v>
      </c>
      <c r="F5" t="n">
        <v>72.08791208791209</v>
      </c>
      <c r="G5" t="n">
        <v>109.2892857142857</v>
      </c>
      <c r="H5" t="n">
        <v>8.485147678117894</v>
      </c>
      <c r="I5" t="n">
        <v>12</v>
      </c>
      <c r="J5" t="n">
        <v>0.725</v>
      </c>
      <c r="N5" t="n">
        <v>9</v>
      </c>
      <c r="O5" t="n">
        <v>18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Model.price('artillery_emplacement')</t>
        </is>
      </c>
      <c r="V5" t="inlineStr"/>
    </row>
    <row r="6">
      <c r="A6" t="inlineStr">
        <is>
          <t>artillery_emplacement.cb</t>
        </is>
      </c>
      <c r="B6" t="inlineStr">
        <is>
          <t>Large</t>
        </is>
      </c>
      <c r="C6" t="inlineStr">
        <is>
          <t>ground</t>
        </is>
      </c>
      <c r="D6" t="inlineStr">
        <is>
          <t>chien_dau</t>
        </is>
      </c>
      <c r="E6" t="n">
        <v>1.11</v>
      </c>
      <c r="F6" t="n">
        <v>68.64922687931538</v>
      </c>
      <c r="G6" t="n">
        <v>109.2892857142857</v>
      </c>
      <c r="H6" t="n">
        <v>8.485147678117894</v>
      </c>
      <c r="I6" t="n">
        <v>12</v>
      </c>
      <c r="J6" t="n">
        <v>0.725</v>
      </c>
      <c r="N6" t="n">
        <v>9</v>
      </c>
      <c r="O6" t="n">
        <v>18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Model.price('artillery_emplacement.cb')</t>
        </is>
      </c>
      <c r="V6" t="inlineStr"/>
    </row>
    <row r="7">
      <c r="A7" t="inlineStr">
        <is>
          <t>artillery_emplacement.mortar</t>
        </is>
      </c>
      <c r="B7" t="inlineStr">
        <is>
          <t>Large</t>
        </is>
      </c>
      <c r="C7" t="inlineStr">
        <is>
          <t>ground</t>
        </is>
      </c>
      <c r="D7" t="inlineStr">
        <is>
          <t>chien_dau</t>
        </is>
      </c>
      <c r="E7" t="n">
        <v>1.11</v>
      </c>
      <c r="F7" t="n">
        <v>73.33333333333334</v>
      </c>
      <c r="G7" t="n">
        <v>109.2892857142857</v>
      </c>
      <c r="H7" t="n">
        <v>8.485147678117894</v>
      </c>
      <c r="I7" t="n">
        <v>12</v>
      </c>
      <c r="J7" t="n">
        <v>0.725</v>
      </c>
      <c r="N7" t="n">
        <v>9</v>
      </c>
      <c r="O7" t="n">
        <v>18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Model.price('artillery_emplacement.mortar')</t>
        </is>
      </c>
      <c r="V7" t="inlineStr"/>
    </row>
    <row r="8">
      <c r="A8" t="inlineStr">
        <is>
          <t>at_gun_emplacement</t>
        </is>
      </c>
      <c r="B8" t="inlineStr">
        <is>
          <t>Small</t>
        </is>
      </c>
      <c r="C8" t="inlineStr">
        <is>
          <t>at</t>
        </is>
      </c>
      <c r="D8" t="inlineStr">
        <is>
          <t>chien_dau</t>
        </is>
      </c>
      <c r="E8" t="n">
        <v>0.9974999999999999</v>
      </c>
      <c r="F8" t="n">
        <v>34</v>
      </c>
      <c r="G8" t="n">
        <v>288.1801801801802</v>
      </c>
      <c r="H8" t="n">
        <v>7.741351648351649</v>
      </c>
      <c r="I8" t="n">
        <v>23</v>
      </c>
      <c r="J8" t="n">
        <v>0.625</v>
      </c>
      <c r="N8" t="n">
        <v>3</v>
      </c>
      <c r="O8" t="n">
        <v>6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Model.price('at_gun_emplacement')</t>
        </is>
      </c>
      <c r="V8" t="inlineStr"/>
    </row>
    <row r="9">
      <c r="A9" t="inlineStr">
        <is>
          <t>at_gun_emplacement.long</t>
        </is>
      </c>
      <c r="B9" t="inlineStr">
        <is>
          <t>Small</t>
        </is>
      </c>
      <c r="C9" t="inlineStr">
        <is>
          <t>at</t>
        </is>
      </c>
      <c r="D9" t="inlineStr">
        <is>
          <t>chien_dau</t>
        </is>
      </c>
      <c r="E9" t="n">
        <v>0.9974999999999999</v>
      </c>
      <c r="F9" t="n">
        <v>34</v>
      </c>
      <c r="G9" t="n">
        <v>288.1801801801802</v>
      </c>
      <c r="H9" t="n">
        <v>7.741351648351649</v>
      </c>
      <c r="I9" t="n">
        <v>23</v>
      </c>
      <c r="J9" t="n">
        <v>0.625</v>
      </c>
      <c r="N9" t="n">
        <v>3</v>
      </c>
      <c r="O9" t="n">
        <v>6</v>
      </c>
      <c r="P9">
        <f>IF($D$9="chien_dau",Thap!$J$10/MAX(0.000001,$E$9),"")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$S$9-Thap!$BN$10</f>
        <v/>
      </c>
      <c r="U9" t="inlineStr">
        <is>
          <t>Tools/balance/p32_tower_prices.py Model.price('at_gun_emplacement.long')</t>
        </is>
      </c>
      <c r="V9" t="inlineStr"/>
    </row>
    <row r="10">
      <c r="A10" t="inlineStr">
        <is>
          <t>at_gun_emplacement.recoilless</t>
        </is>
      </c>
      <c r="B10" t="inlineStr">
        <is>
          <t>Small</t>
        </is>
      </c>
      <c r="C10" t="inlineStr">
        <is>
          <t>at</t>
        </is>
      </c>
      <c r="D10" t="inlineStr">
        <is>
          <t>chien_dau</t>
        </is>
      </c>
      <c r="E10" t="n">
        <v>1.11</v>
      </c>
      <c r="F10" t="n">
        <v>22.93853073463269</v>
      </c>
      <c r="G10" t="n">
        <v>288.1801801801802</v>
      </c>
      <c r="H10" t="n">
        <v>7.741351648351649</v>
      </c>
      <c r="I10" t="n">
        <v>23</v>
      </c>
      <c r="J10" t="n">
        <v>0.575</v>
      </c>
      <c r="N10" t="n">
        <v>3</v>
      </c>
      <c r="O10" t="n">
        <v>6</v>
      </c>
      <c r="P10">
        <f>IF($D$10="chien_dau",Thap!$J$11/MAX(0.000001,$E$10),"")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$S$10-Thap!$BN$11</f>
        <v/>
      </c>
      <c r="U10" t="inlineStr">
        <is>
          <t>Tools/balance/p32_tower_prices.py Model.price('at_gun_emplacement.recoilless')</t>
        </is>
      </c>
      <c r="V10" t="inlineStr"/>
    </row>
    <row r="11">
      <c r="A11" t="inlineStr">
        <is>
          <t>atgm_tower</t>
        </is>
      </c>
      <c r="B11" t="inlineStr">
        <is>
          <t>Medium</t>
        </is>
      </c>
      <c r="C11" t="inlineStr">
        <is>
          <t>at</t>
        </is>
      </c>
      <c r="D11" t="inlineStr">
        <is>
          <t>chien_dau</t>
        </is>
      </c>
      <c r="E11" t="n">
        <v>0.9375</v>
      </c>
      <c r="F11" t="n">
        <v>82.88288288288288</v>
      </c>
      <c r="G11" t="n">
        <v>266.5666666666667</v>
      </c>
      <c r="H11" t="n">
        <v>7.741351648351649</v>
      </c>
      <c r="I11" t="n">
        <v>23</v>
      </c>
      <c r="J11" t="n">
        <v>0.625</v>
      </c>
      <c r="N11" t="n">
        <v>5</v>
      </c>
      <c r="O11" t="n">
        <v>11</v>
      </c>
      <c r="P11">
        <f>IF($D$11="chien_dau",Thap!$J$12/MAX(0.000001,$E$11),"")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$S$11-Thap!$BN$12</f>
        <v/>
      </c>
      <c r="U11" t="inlineStr">
        <is>
          <t>Tools/balance/p32_tower_prices.py Model.price('atgm_tower')</t>
        </is>
      </c>
      <c r="V11" t="inlineStr"/>
    </row>
    <row r="12">
      <c r="A12" t="inlineStr">
        <is>
          <t>atgm_tower.multi</t>
        </is>
      </c>
      <c r="B12" t="inlineStr">
        <is>
          <t>Medium</t>
        </is>
      </c>
      <c r="C12" t="inlineStr">
        <is>
          <t>at</t>
        </is>
      </c>
      <c r="D12" t="inlineStr">
        <is>
          <t>chien_dau</t>
        </is>
      </c>
      <c r="E12" t="n">
        <v>0.9375</v>
      </c>
      <c r="F12" t="n">
        <v>70.45045045045045</v>
      </c>
      <c r="G12" t="n">
        <v>266.5666666666667</v>
      </c>
      <c r="H12" t="n">
        <v>7.741351648351649</v>
      </c>
      <c r="I12" t="n">
        <v>23</v>
      </c>
      <c r="J12" t="n">
        <v>0.625</v>
      </c>
      <c r="N12" t="n">
        <v>5</v>
      </c>
      <c r="O12" t="n">
        <v>11</v>
      </c>
      <c r="P12">
        <f>IF($D$12="chien_dau",Thap!$J$13/MAX(0.000001,$E$12),"")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$S$12-Thap!$BN$13</f>
        <v/>
      </c>
      <c r="U12" t="inlineStr">
        <is>
          <t>Tools/balance/p32_tower_prices.py Model.price('atgm_tower.multi')</t>
        </is>
      </c>
      <c r="V12" t="inlineStr"/>
    </row>
    <row r="13">
      <c r="A13" t="inlineStr">
        <is>
          <t>atgm_tower.top</t>
        </is>
      </c>
      <c r="B13" t="inlineStr">
        <is>
          <t>Medium</t>
        </is>
      </c>
      <c r="C13" t="inlineStr">
        <is>
          <t>at</t>
        </is>
      </c>
      <c r="D13" t="inlineStr">
        <is>
          <t>chien_dau</t>
        </is>
      </c>
      <c r="E13" t="n">
        <v>0.9375</v>
      </c>
      <c r="F13" t="n">
        <v>88.46153846153847</v>
      </c>
      <c r="G13" t="n">
        <v>266.5666666666667</v>
      </c>
      <c r="H13" t="n">
        <v>7.741351648351649</v>
      </c>
      <c r="I13" t="n">
        <v>23</v>
      </c>
      <c r="J13" t="n">
        <v>0.625</v>
      </c>
      <c r="N13" t="n">
        <v>5</v>
      </c>
      <c r="O13" t="n">
        <v>11</v>
      </c>
      <c r="P13">
        <f>IF($D$13="chien_dau",Thap!$J$14/MAX(0.000001,$E$13),"")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$S$13-Thap!$BN$14</f>
        <v/>
      </c>
      <c r="U13" t="inlineStr">
        <is>
          <t>Tools/balance/p32_tower_prices.py Model.price('atgm_tower.top')</t>
        </is>
      </c>
      <c r="V13" t="inlineStr"/>
    </row>
    <row r="14">
      <c r="A14" t="inlineStr">
        <is>
          <t>c_ram</t>
        </is>
      </c>
      <c r="B14" t="inlineStr">
        <is>
          <t>Medium</t>
        </is>
      </c>
      <c r="C14" t="inlineStr">
        <is>
          <t>util:intercept</t>
        </is>
      </c>
      <c r="D14" t="inlineStr">
        <is>
          <t>intercept</t>
        </is>
      </c>
      <c r="K14" t="n">
        <v>100</v>
      </c>
      <c r="L14" t="n">
        <v>100</v>
      </c>
      <c r="M14" t="n">
        <v>5</v>
      </c>
      <c r="N14" t="n">
        <v>5</v>
      </c>
      <c r="O14" t="n">
        <v>11</v>
      </c>
      <c r="P14">
        <f>IF($D$14="chien_dau",Thap!$J$19/MAX(0.000001,$E$14),"")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$S$14-Thap!$BN$19</f>
        <v/>
      </c>
      <c r="U14" t="inlineStr">
        <is>
          <t>Tools/balance/p32_tower_prices.py Model.price('c_ram')</t>
        </is>
      </c>
      <c r="V14" t="inlineStr"/>
    </row>
    <row r="15">
      <c r="A15" t="inlineStr">
        <is>
          <t>c_ram.centurion</t>
        </is>
      </c>
      <c r="B15" t="inlineStr">
        <is>
          <t>Medium</t>
        </is>
      </c>
      <c r="C15" t="inlineStr">
        <is>
          <t>util:intercept</t>
        </is>
      </c>
      <c r="D15" t="inlineStr">
        <is>
          <t>intercept</t>
        </is>
      </c>
      <c r="K15" t="n">
        <v>120</v>
      </c>
      <c r="L15" t="n">
        <v>100</v>
      </c>
      <c r="M15" t="n">
        <v>5</v>
      </c>
      <c r="N15" t="n">
        <v>5</v>
      </c>
      <c r="O15" t="n">
        <v>11</v>
      </c>
      <c r="P15">
        <f>IF($D$15="chien_dau",Thap!$J$20/MAX(0.000001,$E$15),"")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$S$15-Thap!$BN$20</f>
        <v/>
      </c>
      <c r="U15" t="inlineStr">
        <is>
          <t>Tools/balance/p32_tower_prices.py Model.price('c_ram.centurion')</t>
        </is>
      </c>
      <c r="V15" t="inlineStr"/>
    </row>
    <row r="16">
      <c r="A16" t="inlineStr">
        <is>
          <t>c_ram.dome</t>
        </is>
      </c>
      <c r="B16" t="inlineStr">
        <is>
          <t>Medium</t>
        </is>
      </c>
      <c r="C16" t="inlineStr">
        <is>
          <t>util:intercept</t>
        </is>
      </c>
      <c r="D16" t="inlineStr">
        <is>
          <t>intercept</t>
        </is>
      </c>
      <c r="K16" t="n">
        <v>88.16326530612244</v>
      </c>
      <c r="L16" t="n">
        <v>100</v>
      </c>
      <c r="M16" t="n">
        <v>5</v>
      </c>
      <c r="N16" t="n">
        <v>5</v>
      </c>
      <c r="O16" t="n">
        <v>11</v>
      </c>
      <c r="P16">
        <f>IF($D$16="chien_dau",Thap!$J$21/MAX(0.000001,$E$16),"")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$S$16-Thap!$BN$21</f>
        <v/>
      </c>
      <c r="U16" t="inlineStr">
        <is>
          <t>Tools/balance/p32_tower_prices.py Model.price('c_ram.dome')</t>
        </is>
      </c>
      <c r="V16" t="inlineStr"/>
    </row>
    <row r="17">
      <c r="A17" t="inlineStr">
        <is>
          <t>cp_relay</t>
        </is>
      </c>
      <c r="B17" t="inlineStr">
        <is>
          <t>Small</t>
        </is>
      </c>
      <c r="C17" t="inlineStr">
        <is>
          <t>util:relay</t>
        </is>
      </c>
      <c r="D17" t="inlineStr">
        <is>
          <t>relay</t>
        </is>
      </c>
      <c r="K17" t="n">
        <v>10.8</v>
      </c>
      <c r="N17" t="n">
        <v>3</v>
      </c>
      <c r="O17" t="n">
        <v>6</v>
      </c>
      <c r="P17">
        <f>IF($D$17="chien_dau",Thap!$J$23/MAX(0.000001,$E$17),"")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$S$17-Thap!$BN$23</f>
        <v/>
      </c>
      <c r="U17" t="inlineStr">
        <is>
          <t>Tools/balance/p32_tower_prices.py Model.price('cp_relay')</t>
        </is>
      </c>
      <c r="V17" t="inlineStr"/>
    </row>
    <row r="18">
      <c r="A18" t="inlineStr">
        <is>
          <t>dragons_teeth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Model.price('dragons_teeth')</t>
        </is>
      </c>
      <c r="V18" t="inlineStr"/>
    </row>
    <row r="19">
      <c r="A19" t="inlineStr">
        <is>
          <t>dragons_teeth.hedgehog</t>
        </is>
      </c>
      <c r="B19" t="inlineStr">
        <is>
          <t>Small</t>
        </is>
      </c>
      <c r="C19" t="inlineStr">
        <is>
          <t>util:floor</t>
        </is>
      </c>
      <c r="D19" t="inlineStr">
        <is>
          <t>san</t>
        </is>
      </c>
      <c r="N19" t="n">
        <v>3</v>
      </c>
      <c r="O19" t="n">
        <v>6</v>
      </c>
      <c r="P19">
        <f>IF($D$19="chien_dau",Thap!$J$26/MAX(0.000001,$E$19),"")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$S$19-Thap!$BN$26</f>
        <v/>
      </c>
      <c r="U19" t="inlineStr">
        <is>
          <t>Tools/balance/p32_tower_prices.py Model.price('dragons_teeth.hedgehog')</t>
        </is>
      </c>
      <c r="V19" t="inlineStr"/>
    </row>
    <row r="20">
      <c r="A20" t="inlineStr">
        <is>
          <t>dragons_teeth.wire</t>
        </is>
      </c>
      <c r="B20" t="inlineStr">
        <is>
          <t>Small</t>
        </is>
      </c>
      <c r="C20" t="inlineStr">
        <is>
          <t>util:floor</t>
        </is>
      </c>
      <c r="D20" t="inlineStr">
        <is>
          <t>san</t>
        </is>
      </c>
      <c r="N20" t="n">
        <v>3</v>
      </c>
      <c r="O20" t="n">
        <v>6</v>
      </c>
      <c r="P20">
        <f>IF($D$20="chien_dau",Thap!$J$27/MAX(0.000001,$E$20),"")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$S$20-Thap!$BN$27</f>
        <v/>
      </c>
      <c r="U20" t="inlineStr">
        <is>
          <t>Tools/balance/p32_tower_prices.py Model.price('dragons_teeth.wire')</t>
        </is>
      </c>
      <c r="V20" t="inlineStr"/>
    </row>
    <row r="21">
      <c r="A21" t="inlineStr">
        <is>
          <t>drone_hangar</t>
        </is>
      </c>
      <c r="B21" t="inlineStr">
        <is>
          <t>Large</t>
        </is>
      </c>
      <c r="C21" t="inlineStr">
        <is>
          <t>multi</t>
        </is>
      </c>
      <c r="D21" t="inlineStr">
        <is>
          <t>chien_dau</t>
        </is>
      </c>
      <c r="E21" t="n">
        <v>0.9974999999999999</v>
      </c>
      <c r="F21" t="n">
        <v>49.33333333333334</v>
      </c>
      <c r="G21" t="n">
        <v>172.6666666666667</v>
      </c>
      <c r="H21" t="n">
        <v>8.108317815021726</v>
      </c>
      <c r="I21" t="n">
        <v>75</v>
      </c>
      <c r="J21" t="n">
        <v>0.725</v>
      </c>
      <c r="N21" t="n">
        <v>9</v>
      </c>
      <c r="O21" t="n">
        <v>18</v>
      </c>
      <c r="P21">
        <f>IF($D$21="chien_dau",Thap!$J$28/MAX(0.000001,$E$21),"")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$S$21-Thap!$BN$28</f>
        <v/>
      </c>
      <c r="U21" t="inlineStr">
        <is>
          <t>Tools/balance/p32_tower_prices.py Model.price('drone_hangar')</t>
        </is>
      </c>
      <c r="V21" t="inlineStr"/>
    </row>
    <row r="22">
      <c r="A22" t="inlineStr">
        <is>
          <t>drone_hangar.lancet</t>
        </is>
      </c>
      <c r="B22" t="inlineStr">
        <is>
          <t>Large</t>
        </is>
      </c>
      <c r="C22" t="inlineStr">
        <is>
          <t>multi</t>
        </is>
      </c>
      <c r="D22" t="inlineStr">
        <is>
          <t>chien_dau</t>
        </is>
      </c>
      <c r="E22" t="n">
        <v>0.9974999999999999</v>
      </c>
      <c r="F22" t="n">
        <v>66.66666666666667</v>
      </c>
      <c r="G22" t="n">
        <v>172.6666666666667</v>
      </c>
      <c r="H22" t="n">
        <v>8.108317815021726</v>
      </c>
      <c r="I22" t="n">
        <v>75</v>
      </c>
      <c r="J22" t="n">
        <v>0.725</v>
      </c>
      <c r="N22" t="n">
        <v>9</v>
      </c>
      <c r="O22" t="n">
        <v>18</v>
      </c>
      <c r="P22">
        <f>IF($D$22="chien_dau",Thap!$J$29/MAX(0.000001,$E$22),"")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$S$22-Thap!$BN$29</f>
        <v/>
      </c>
      <c r="U22" t="inlineStr">
        <is>
          <t>Tools/balance/p32_tower_prices.py Model.price('drone_hangar.lancet')</t>
        </is>
      </c>
      <c r="V22" t="inlineStr"/>
    </row>
    <row r="23">
      <c r="A23" t="inlineStr">
        <is>
          <t>drone_hangar.swarm</t>
        </is>
      </c>
      <c r="B23" t="inlineStr">
        <is>
          <t>Large</t>
        </is>
      </c>
      <c r="C23" t="inlineStr">
        <is>
          <t>multi</t>
        </is>
      </c>
      <c r="D23" t="inlineStr">
        <is>
          <t>chien_dau</t>
        </is>
      </c>
      <c r="E23" t="n">
        <v>0.9974999999999999</v>
      </c>
      <c r="F23" t="n">
        <v>65.56962025316457</v>
      </c>
      <c r="G23" t="n">
        <v>172.6666666666667</v>
      </c>
      <c r="H23" t="n">
        <v>8.108317815021726</v>
      </c>
      <c r="I23" t="n">
        <v>75</v>
      </c>
      <c r="J23" t="n">
        <v>0.725</v>
      </c>
      <c r="N23" t="n">
        <v>9</v>
      </c>
      <c r="O23" t="n">
        <v>18</v>
      </c>
      <c r="P23">
        <f>IF($D$23="chien_dau",Thap!$J$30/MAX(0.000001,$E$23),"")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$S$23-Thap!$BN$30</f>
        <v/>
      </c>
      <c r="U23" t="inlineStr">
        <is>
          <t>Tools/balance/p32_tower_prices.py Model.price('drone_hangar.swarm')</t>
        </is>
      </c>
      <c r="V23" t="inlineStr"/>
    </row>
    <row r="24">
      <c r="A24" t="inlineStr">
        <is>
          <t>ew_tower</t>
        </is>
      </c>
      <c r="B24" t="inlineStr">
        <is>
          <t>Small</t>
        </is>
      </c>
      <c r="C24" t="inlineStr">
        <is>
          <t>util:floor</t>
        </is>
      </c>
      <c r="D24" t="inlineStr">
        <is>
          <t>san</t>
        </is>
      </c>
      <c r="N24" t="n">
        <v>3</v>
      </c>
      <c r="O24" t="n">
        <v>6</v>
      </c>
      <c r="P24">
        <f>IF($D$24="chien_dau",Thap!$J$32/MAX(0.000001,$E$24),"")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$S$24-Thap!$BN$32</f>
        <v/>
      </c>
      <c r="U24" t="inlineStr">
        <is>
          <t>Tools/balance/p32_tower_prices.py Model.price('ew_tower')</t>
        </is>
      </c>
      <c r="V24" t="inlineStr"/>
    </row>
    <row r="25">
      <c r="A25" t="inlineStr">
        <is>
          <t>ew_tower.drone</t>
        </is>
      </c>
      <c r="B25" t="inlineStr">
        <is>
          <t>Small</t>
        </is>
      </c>
      <c r="C25" t="inlineStr">
        <is>
          <t>util:floor</t>
        </is>
      </c>
      <c r="D25" t="inlineStr">
        <is>
          <t>san</t>
        </is>
      </c>
      <c r="N25" t="n">
        <v>3</v>
      </c>
      <c r="O25" t="n">
        <v>6</v>
      </c>
      <c r="P25">
        <f>IF($D$25="chien_dau",Thap!$J$33/MAX(0.000001,$E$25),"")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$S$25-Thap!$BN$33</f>
        <v/>
      </c>
      <c r="U25" t="inlineStr">
        <is>
          <t>Tools/balance/p32_tower_prices.py Model.price('ew_tower.drone')</t>
        </is>
      </c>
      <c r="V25" t="inlineStr"/>
    </row>
    <row r="26">
      <c r="A26" t="inlineStr">
        <is>
          <t>ew_tower.spoof</t>
        </is>
      </c>
      <c r="B26" t="inlineStr">
        <is>
          <t>Small</t>
        </is>
      </c>
      <c r="C26" t="inlineStr">
        <is>
          <t>util:floor</t>
        </is>
      </c>
      <c r="D26" t="inlineStr">
        <is>
          <t>san</t>
        </is>
      </c>
      <c r="N26" t="n">
        <v>3</v>
      </c>
      <c r="O26" t="n">
        <v>6</v>
      </c>
      <c r="P26">
        <f>IF($D$26="chien_dau",Thap!$J$34/MAX(0.000001,$E$26),"")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$S$26-Thap!$BN$34</f>
        <v/>
      </c>
      <c r="U26" t="inlineStr">
        <is>
          <t>Tools/balance/p32_tower_prices.py Model.price('ew_tower.spoof')</t>
        </is>
      </c>
      <c r="V26" t="inlineStr"/>
    </row>
    <row r="27">
      <c r="A27" t="inlineStr">
        <is>
          <t>guard_tower</t>
        </is>
      </c>
      <c r="B27" t="inlineStr">
        <is>
          <t>Small</t>
        </is>
      </c>
      <c r="C27" t="inlineStr">
        <is>
          <t>light</t>
        </is>
      </c>
      <c r="D27" t="inlineStr">
        <is>
          <t>chien_dau</t>
        </is>
      </c>
      <c r="E27" t="n">
        <v>1.11</v>
      </c>
      <c r="F27" t="n">
        <v>64.59999999999999</v>
      </c>
      <c r="G27" t="n">
        <v>177.8571428571429</v>
      </c>
      <c r="H27" t="n">
        <v>12.53103662321539</v>
      </c>
      <c r="I27" t="n">
        <v>14</v>
      </c>
      <c r="J27" t="n">
        <v>0.575</v>
      </c>
      <c r="N27" t="n">
        <v>3</v>
      </c>
      <c r="O27" t="n">
        <v>6</v>
      </c>
      <c r="P27">
        <f>IF($D$27="chien_dau",Thap!$J$37/MAX(0.000001,$E$27),"")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$S$27-Thap!$BN$37</f>
        <v/>
      </c>
      <c r="U27" t="inlineStr">
        <is>
          <t>Tools/balance/p32_tower_prices.py Model.price('guard_tower')</t>
        </is>
      </c>
      <c r="V27" t="inlineStr"/>
    </row>
    <row r="28">
      <c r="A28" t="inlineStr">
        <is>
          <t>guard_tower.nest</t>
        </is>
      </c>
      <c r="B28" t="inlineStr">
        <is>
          <t>Small</t>
        </is>
      </c>
      <c r="C28" t="inlineStr">
        <is>
          <t>light</t>
        </is>
      </c>
      <c r="D28" t="inlineStr">
        <is>
          <t>chien_dau</t>
        </is>
      </c>
      <c r="E28" t="n">
        <v>1.11</v>
      </c>
      <c r="F28" t="n">
        <v>66.66666666666667</v>
      </c>
      <c r="G28" t="n">
        <v>177.8571428571429</v>
      </c>
      <c r="H28" t="n">
        <v>12.53103662321539</v>
      </c>
      <c r="I28" t="n">
        <v>14</v>
      </c>
      <c r="J28" t="n">
        <v>0.575</v>
      </c>
      <c r="N28" t="n">
        <v>3</v>
      </c>
      <c r="O28" t="n">
        <v>6</v>
      </c>
      <c r="P28">
        <f>IF($D$28="chien_dau",Thap!$J$38/MAX(0.000001,$E$28),"")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$S$28-Thap!$BN$38</f>
        <v/>
      </c>
      <c r="U28" t="inlineStr">
        <is>
          <t>Tools/balance/p32_tower_prices.py Model.price('guard_tower.nest')</t>
        </is>
      </c>
      <c r="V28" t="inlineStr"/>
    </row>
    <row r="29">
      <c r="A29" t="inlineStr">
        <is>
          <t>guard_tower.watch</t>
        </is>
      </c>
      <c r="B29" t="inlineStr">
        <is>
          <t>Small</t>
        </is>
      </c>
      <c r="C29" t="inlineStr">
        <is>
          <t>light</t>
        </is>
      </c>
      <c r="D29" t="inlineStr">
        <is>
          <t>chien_dau</t>
        </is>
      </c>
      <c r="E29" t="n">
        <v>1.11</v>
      </c>
      <c r="F29" t="n">
        <v>66.89159454305413</v>
      </c>
      <c r="G29" t="n">
        <v>177.8571428571429</v>
      </c>
      <c r="H29" t="n">
        <v>12.53103662321539</v>
      </c>
      <c r="I29" t="n">
        <v>14</v>
      </c>
      <c r="J29" t="n">
        <v>0.575</v>
      </c>
      <c r="N29" t="n">
        <v>3</v>
      </c>
      <c r="O29" t="n">
        <v>6</v>
      </c>
      <c r="P29">
        <f>IF($D$29="chien_dau",Thap!$J$39/MAX(0.000001,$E$29),"")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$S$29-Thap!$BN$39</f>
        <v/>
      </c>
      <c r="U29" t="inlineStr">
        <is>
          <t>Tools/balance/p32_tower_prices.py Model.price('guard_tower.watch')</t>
        </is>
      </c>
      <c r="V29" t="inlineStr"/>
    </row>
    <row r="30">
      <c r="A30" t="inlineStr">
        <is>
          <t>gun_turret</t>
        </is>
      </c>
      <c r="B30" t="inlineStr">
        <is>
          <t>Medium</t>
        </is>
      </c>
      <c r="C30" t="inlineStr">
        <is>
          <t>at</t>
        </is>
      </c>
      <c r="D30" t="inlineStr">
        <is>
          <t>chien_dau</t>
        </is>
      </c>
      <c r="E30" t="n">
        <v>0.675</v>
      </c>
      <c r="F30" t="n">
        <v>83.33333333333334</v>
      </c>
      <c r="G30" t="n">
        <v>266.5666666666667</v>
      </c>
      <c r="H30" t="n">
        <v>7.741351648351649</v>
      </c>
      <c r="I30" t="n">
        <v>23</v>
      </c>
      <c r="J30" t="n">
        <v>0.625</v>
      </c>
      <c r="N30" t="n">
        <v>5</v>
      </c>
      <c r="O30" t="n">
        <v>11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Model.price('gun_turret')</t>
        </is>
      </c>
      <c r="V30" t="inlineStr"/>
    </row>
    <row r="31">
      <c r="A31" t="inlineStr">
        <is>
          <t>gun_turret.auto</t>
        </is>
      </c>
      <c r="B31" t="inlineStr">
        <is>
          <t>Medium</t>
        </is>
      </c>
      <c r="C31" t="inlineStr">
        <is>
          <t>light</t>
        </is>
      </c>
      <c r="D31" t="inlineStr">
        <is>
          <t>chien_dau</t>
        </is>
      </c>
      <c r="E31" t="n">
        <v>0.675</v>
      </c>
      <c r="F31" t="n">
        <v>77.77777777777777</v>
      </c>
      <c r="G31" t="n">
        <v>177.8571428571429</v>
      </c>
      <c r="H31" t="n">
        <v>12.53103662321539</v>
      </c>
      <c r="I31" t="n">
        <v>14</v>
      </c>
      <c r="J31" t="n">
        <v>0.625</v>
      </c>
      <c r="N31" t="n">
        <v>5</v>
      </c>
      <c r="O31" t="n">
        <v>11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Model.price('gun_turret.auto')</t>
        </is>
      </c>
      <c r="V31" t="inlineStr"/>
    </row>
    <row r="32">
      <c r="A32" t="inlineStr">
        <is>
          <t>gun_turret.long</t>
        </is>
      </c>
      <c r="B32" t="inlineStr">
        <is>
          <t>Medium</t>
        </is>
      </c>
      <c r="C32" t="inlineStr">
        <is>
          <t>at</t>
        </is>
      </c>
      <c r="D32" t="inlineStr">
        <is>
          <t>chien_dau</t>
        </is>
      </c>
      <c r="E32" t="n">
        <v>0.675</v>
      </c>
      <c r="F32" t="n">
        <v>73.84615384615384</v>
      </c>
      <c r="G32" t="n">
        <v>266.5666666666667</v>
      </c>
      <c r="H32" t="n">
        <v>7.741351648351649</v>
      </c>
      <c r="I32" t="n">
        <v>23</v>
      </c>
      <c r="J32" t="n">
        <v>0.625</v>
      </c>
      <c r="N32" t="n">
        <v>5</v>
      </c>
      <c r="O32" t="n">
        <v>11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Model.price('gun_turret.long')</t>
        </is>
      </c>
      <c r="V32" t="inlineStr"/>
    </row>
    <row r="33">
      <c r="A33" t="inlineStr">
        <is>
          <t>heavy_flak_tower</t>
        </is>
      </c>
      <c r="B33" t="inlineStr">
        <is>
          <t>Medium</t>
        </is>
      </c>
      <c r="C33" t="inlineStr">
        <is>
          <t>air</t>
        </is>
      </c>
      <c r="D33" t="inlineStr">
        <is>
          <t>chien_dau</t>
        </is>
      </c>
      <c r="E33" t="n">
        <v>0.9375</v>
      </c>
      <c r="F33" t="n">
        <v>78</v>
      </c>
      <c r="G33" t="n">
        <v>158</v>
      </c>
      <c r="H33" t="n">
        <v>30.3342</v>
      </c>
      <c r="I33" t="n">
        <v>11</v>
      </c>
      <c r="J33" t="n">
        <v>0.725</v>
      </c>
      <c r="N33" t="n">
        <v>5</v>
      </c>
      <c r="O33" t="n">
        <v>11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Model.price('heavy_flak_tower')</t>
        </is>
      </c>
      <c r="V33" t="inlineStr"/>
    </row>
    <row r="34">
      <c r="A34" t="inlineStr">
        <is>
          <t>heavy_flak_tower.bofors</t>
        </is>
      </c>
      <c r="B34" t="inlineStr">
        <is>
          <t>Medium</t>
        </is>
      </c>
      <c r="C34" t="inlineStr">
        <is>
          <t>air</t>
        </is>
      </c>
      <c r="D34" t="inlineStr">
        <is>
          <t>chien_dau</t>
        </is>
      </c>
      <c r="E34" t="n">
        <v>0.9375</v>
      </c>
      <c r="F34" t="n">
        <v>100.6451612903226</v>
      </c>
      <c r="G34" t="n">
        <v>158</v>
      </c>
      <c r="H34" t="n">
        <v>30.3342</v>
      </c>
      <c r="I34" t="n">
        <v>11</v>
      </c>
      <c r="J34" t="n">
        <v>0.625</v>
      </c>
      <c r="N34" t="n">
        <v>5</v>
      </c>
      <c r="O34" t="n">
        <v>11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Model.price('heavy_flak_tower.bofors')</t>
        </is>
      </c>
      <c r="V34" t="inlineStr"/>
    </row>
    <row r="35">
      <c r="A35" t="inlineStr">
        <is>
          <t>heavy_flak_tower.heavy</t>
        </is>
      </c>
      <c r="B35" t="inlineStr">
        <is>
          <t>Medium</t>
        </is>
      </c>
      <c r="C35" t="inlineStr">
        <is>
          <t>air</t>
        </is>
      </c>
      <c r="D35" t="inlineStr">
        <is>
          <t>chien_dau</t>
        </is>
      </c>
      <c r="E35" t="n">
        <v>0.9375</v>
      </c>
      <c r="F35" t="n">
        <v>78</v>
      </c>
      <c r="G35" t="n">
        <v>158</v>
      </c>
      <c r="H35" t="n">
        <v>30.3342</v>
      </c>
      <c r="I35" t="n">
        <v>11</v>
      </c>
      <c r="J35" t="n">
        <v>0.725</v>
      </c>
      <c r="N35" t="n">
        <v>5</v>
      </c>
      <c r="O35" t="n">
        <v>11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Model.price('heavy_flak_tower.heavy')</t>
        </is>
      </c>
      <c r="V35" t="inlineStr"/>
    </row>
    <row r="36">
      <c r="A36" t="inlineStr">
        <is>
          <t>heavy_turret</t>
        </is>
      </c>
      <c r="B36" t="inlineStr">
        <is>
          <t>Large</t>
        </is>
      </c>
      <c r="C36" t="inlineStr">
        <is>
          <t>at</t>
        </is>
      </c>
      <c r="D36" t="inlineStr">
        <is>
          <t>chien_dau</t>
        </is>
      </c>
      <c r="E36" t="n">
        <v>0.51</v>
      </c>
      <c r="F36" t="n">
        <v>54.05405405405406</v>
      </c>
      <c r="G36" t="n">
        <v>266.5666666666667</v>
      </c>
      <c r="H36" t="n">
        <v>7.741351648351649</v>
      </c>
      <c r="I36" t="n">
        <v>23</v>
      </c>
      <c r="J36" t="n">
        <v>0.625</v>
      </c>
      <c r="N36" t="n">
        <v>9</v>
      </c>
      <c r="O36" t="n">
        <v>18</v>
      </c>
      <c r="P36">
        <f>IF($D$36="chien_dau",Thap!$J$46/MAX(0.000001,$E$36),"")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$S$36-Thap!$BN$46</f>
        <v/>
      </c>
      <c r="U36" t="inlineStr">
        <is>
          <t>Tools/balance/p32_tower_prices.py Model.price('heavy_turret')</t>
        </is>
      </c>
      <c r="V36" t="inlineStr"/>
    </row>
    <row r="37">
      <c r="A37" t="inlineStr">
        <is>
          <t>heavy_turret.bastion</t>
        </is>
      </c>
      <c r="B37" t="inlineStr">
        <is>
          <t>Large</t>
        </is>
      </c>
      <c r="C37" t="inlineStr">
        <is>
          <t>at</t>
        </is>
      </c>
      <c r="D37" t="inlineStr">
        <is>
          <t>chien_dau</t>
        </is>
      </c>
      <c r="E37" t="n">
        <v>0.51</v>
      </c>
      <c r="F37" t="n">
        <v>104.4394741427858</v>
      </c>
      <c r="G37" t="n">
        <v>266.5666666666667</v>
      </c>
      <c r="H37" t="n">
        <v>7.741351648351649</v>
      </c>
      <c r="I37" t="n">
        <v>23</v>
      </c>
      <c r="J37" t="n">
        <v>0.625</v>
      </c>
      <c r="N37" t="n">
        <v>9</v>
      </c>
      <c r="O37" t="n">
        <v>18</v>
      </c>
      <c r="P37">
        <f>IF($D$37="chien_dau",Thap!$J$47/MAX(0.000001,$E$37),"")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$S$37-Thap!$BN$47</f>
        <v/>
      </c>
      <c r="U37" t="inlineStr">
        <is>
          <t>Tools/balance/p32_tower_prices.py Model.price('heavy_turret.bastion')</t>
        </is>
      </c>
      <c r="V37" t="inlineStr"/>
    </row>
    <row r="38">
      <c r="A38" t="inlineStr">
        <is>
          <t>heavy_turret.coastal</t>
        </is>
      </c>
      <c r="B38" t="inlineStr">
        <is>
          <t>Large</t>
        </is>
      </c>
      <c r="C38" t="inlineStr">
        <is>
          <t>ground</t>
        </is>
      </c>
      <c r="D38" t="inlineStr">
        <is>
          <t>chien_dau</t>
        </is>
      </c>
      <c r="E38" t="n">
        <v>0.51</v>
      </c>
      <c r="F38" t="n">
        <v>55.27350134945072</v>
      </c>
      <c r="G38" t="n">
        <v>109.2892857142857</v>
      </c>
      <c r="H38" t="n">
        <v>8.485147678117894</v>
      </c>
      <c r="I38" t="n">
        <v>12</v>
      </c>
      <c r="J38" t="n">
        <v>0.725</v>
      </c>
      <c r="N38" t="n">
        <v>9</v>
      </c>
      <c r="O38" t="n">
        <v>18</v>
      </c>
      <c r="P38">
        <f>IF($D$38="chien_dau",Thap!$J$48/MAX(0.000001,$E$38),"")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$S$38-Thap!$BN$48</f>
        <v/>
      </c>
      <c r="U38" t="inlineStr">
        <is>
          <t>Tools/balance/p32_tower_prices.py Model.price('heavy_turret.coastal')</t>
        </is>
      </c>
      <c r="V38" t="inlineStr"/>
    </row>
    <row r="39">
      <c r="A39" t="inlineStr">
        <is>
          <t>inflatable_decoy</t>
        </is>
      </c>
      <c r="B39" t="inlineStr">
        <is>
          <t>Small</t>
        </is>
      </c>
      <c r="C39" t="inlineStr">
        <is>
          <t>util:floor</t>
        </is>
      </c>
      <c r="D39" t="inlineStr">
        <is>
          <t>san</t>
        </is>
      </c>
      <c r="N39" t="n">
        <v>3</v>
      </c>
      <c r="O39" t="n">
        <v>6</v>
      </c>
      <c r="P39">
        <f>IF($D$39="chien_dau",Thap!$J$49/MAX(0.000001,$E$39),"")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$S$39-Thap!$BN$49</f>
        <v/>
      </c>
      <c r="U39" t="inlineStr">
        <is>
          <t>Tools/balance/p32_tower_prices.py Model.price('inflatable_decoy')</t>
        </is>
      </c>
      <c r="V39" t="inlineStr"/>
    </row>
    <row r="40">
      <c r="A40" t="inlineStr">
        <is>
          <t>inflatable_decoy.balloon</t>
        </is>
      </c>
      <c r="B40" t="inlineStr">
        <is>
          <t>Small</t>
        </is>
      </c>
      <c r="C40" t="inlineStr">
        <is>
          <t>util:floor</t>
        </is>
      </c>
      <c r="D40" t="inlineStr">
        <is>
          <t>san</t>
        </is>
      </c>
      <c r="N40" t="n">
        <v>3</v>
      </c>
      <c r="O40" t="n">
        <v>6</v>
      </c>
      <c r="P40">
        <f>IF($D$40="chien_dau",Thap!$J$50/MAX(0.000001,$E$40),"")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$S$40-Thap!$BN$50</f>
        <v/>
      </c>
      <c r="U40" t="inlineStr">
        <is>
          <t>Tools/balance/p32_tower_prices.py Model.price('inflatable_decoy.balloon')</t>
        </is>
      </c>
      <c r="V40" t="inlineStr"/>
    </row>
    <row r="41">
      <c r="A41" t="inlineStr">
        <is>
          <t>inflatable_decoy.inflatable</t>
        </is>
      </c>
      <c r="B41" t="inlineStr">
        <is>
          <t>Small</t>
        </is>
      </c>
      <c r="C41" t="inlineStr">
        <is>
          <t>util:floor</t>
        </is>
      </c>
      <c r="D41" t="inlineStr">
        <is>
          <t>san</t>
        </is>
      </c>
      <c r="N41" t="n">
        <v>3</v>
      </c>
      <c r="O41" t="n">
        <v>6</v>
      </c>
      <c r="P41">
        <f>IF($D$41="chien_dau",Thap!$J$51/MAX(0.000001,$E$41),"")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$S$41-Thap!$BN$51</f>
        <v/>
      </c>
      <c r="U41" t="inlineStr">
        <is>
          <t>Tools/balance/p32_tower_prices.py Model.price('inflatable_decoy.inflatable')</t>
        </is>
      </c>
      <c r="V41" t="inlineStr"/>
    </row>
    <row r="42">
      <c r="A42" t="inlineStr">
        <is>
          <t>laser_ad_station</t>
        </is>
      </c>
      <c r="B42" t="inlineStr">
        <is>
          <t>Medium</t>
        </is>
      </c>
      <c r="C42" t="inlineStr">
        <is>
          <t>util:intercept</t>
        </is>
      </c>
      <c r="D42" t="inlineStr">
        <is>
          <t>intercept</t>
        </is>
      </c>
      <c r="K42" t="n">
        <v>97.95918367346938</v>
      </c>
      <c r="L42" t="n">
        <v>100</v>
      </c>
      <c r="M42" t="n">
        <v>5</v>
      </c>
      <c r="N42" t="n">
        <v>5</v>
      </c>
      <c r="O42" t="n">
        <v>11</v>
      </c>
      <c r="P42">
        <f>IF($D$42="chien_dau",Thap!$J$52/MAX(0.000001,$E$42),"")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$S$42-Thap!$BN$52</f>
        <v/>
      </c>
      <c r="U42" t="inlineStr">
        <is>
          <t>Tools/balance/p32_tower_prices.py Model.price('laser_ad_station')</t>
        </is>
      </c>
      <c r="V42" t="inlineStr"/>
    </row>
    <row r="43">
      <c r="A43" t="inlineStr">
        <is>
          <t>laser_ad_station.laser</t>
        </is>
      </c>
      <c r="B43" t="inlineStr">
        <is>
          <t>Medium</t>
        </is>
      </c>
      <c r="C43" t="inlineStr">
        <is>
          <t>util:intercept</t>
        </is>
      </c>
      <c r="D43" t="inlineStr">
        <is>
          <t>intercept</t>
        </is>
      </c>
      <c r="K43" t="n">
        <v>97.95918367346938</v>
      </c>
      <c r="L43" t="n">
        <v>100</v>
      </c>
      <c r="M43" t="n">
        <v>5</v>
      </c>
      <c r="N43" t="n">
        <v>5</v>
      </c>
      <c r="O43" t="n">
        <v>11</v>
      </c>
      <c r="P43">
        <f>IF($D$43="chien_dau",Thap!$J$53/MAX(0.000001,$E$43),"")</f>
        <v/>
      </c>
      <c r="Q43">
        <f>IF($D$43="chien_dau",SQRT(MAX(0,($P$43/$G$43)*($F$43/$H$43))),"")</f>
        <v/>
      </c>
      <c r="R43">
        <f>IF($D$43="chien_dau",$Q$43*$J$43*1.25,IF($D$43="san",$N$43,IF($D$43="relay",$K$43,IF($L$43&gt;0,$M$43*SQRT($K$43/$L$43),$N$43))))</f>
        <v/>
      </c>
      <c r="S43">
        <f>MAX($N$43,MIN($O$43,ROUND($R$43,0)))</f>
        <v/>
      </c>
      <c r="T43">
        <f>$S$43-Thap!$BN$53</f>
        <v/>
      </c>
      <c r="U43" t="inlineStr">
        <is>
          <t>Tools/balance/p32_tower_prices.py Model.price('laser_ad_station.laser')</t>
        </is>
      </c>
      <c r="V43" t="inlineStr"/>
    </row>
    <row r="44">
      <c r="A44" t="inlineStr">
        <is>
          <t>laser_ad_station.net</t>
        </is>
      </c>
      <c r="B44" t="inlineStr">
        <is>
          <t>Medium</t>
        </is>
      </c>
      <c r="C44" t="inlineStr">
        <is>
          <t>util:intercept</t>
        </is>
      </c>
      <c r="D44" t="inlineStr">
        <is>
          <t>intercept</t>
        </is>
      </c>
      <c r="K44" t="n">
        <v>22.04081632653061</v>
      </c>
      <c r="L44" t="n">
        <v>100</v>
      </c>
      <c r="M44" t="n">
        <v>5</v>
      </c>
      <c r="N44" t="n">
        <v>5</v>
      </c>
      <c r="O44" t="n">
        <v>11</v>
      </c>
      <c r="P44">
        <f>IF($D$44="chien_dau",Thap!$J$54/MAX(0.000001,$E$44),"")</f>
        <v/>
      </c>
      <c r="Q44">
        <f>IF($D$44="chien_dau",SQRT(MAX(0,($P$44/$G$44)*($F$44/$H$44))),"")</f>
        <v/>
      </c>
      <c r="R44">
        <f>IF($D$44="chien_dau",$Q$44*$J$44*1.25,IF($D$44="san",$N$44,IF($D$44="relay",$K$44,IF($L$44&gt;0,$M$44*SQRT($K$44/$L$44),$N$44))))</f>
        <v/>
      </c>
      <c r="S44">
        <f>MAX($N$44,MIN($O$44,ROUND($R$44,0)))</f>
        <v/>
      </c>
      <c r="T44">
        <f>$S$44-Thap!$BN$54</f>
        <v/>
      </c>
      <c r="U44" t="inlineStr">
        <is>
          <t>Tools/balance/p32_tower_prices.py Model.price('laser_ad_station.net')</t>
        </is>
      </c>
      <c r="V44" t="inlineStr"/>
    </row>
    <row r="45">
      <c r="A45" t="inlineStr">
        <is>
          <t>mg_bunker</t>
        </is>
      </c>
      <c r="B45" t="inlineStr">
        <is>
          <t>Small</t>
        </is>
      </c>
      <c r="C45" t="inlineStr">
        <is>
          <t>light</t>
        </is>
      </c>
      <c r="D45" t="inlineStr">
        <is>
          <t>chien_dau</t>
        </is>
      </c>
      <c r="E45" t="n">
        <v>0.675</v>
      </c>
      <c r="F45" t="n">
        <v>55.42607142857143</v>
      </c>
      <c r="G45" t="n">
        <v>177.8571428571429</v>
      </c>
      <c r="H45" t="n">
        <v>12.53103662321539</v>
      </c>
      <c r="I45" t="n">
        <v>14</v>
      </c>
      <c r="J45" t="n">
        <v>0.625</v>
      </c>
      <c r="N45" t="n">
        <v>3</v>
      </c>
      <c r="O45" t="n">
        <v>6</v>
      </c>
      <c r="P45">
        <f>IF($D$45="chien_dau",Thap!$J$56/MAX(0.000001,$E$45),"")</f>
        <v/>
      </c>
      <c r="Q45">
        <f>IF($D$45="chien_dau",SQRT(MAX(0,($P$45/$G$45)*($F$45/$H$45))),"")</f>
        <v/>
      </c>
      <c r="R45">
        <f>IF($D$45="chien_dau",$Q$45*$J$45*1.25,IF($D$45="san",$N$45,IF($D$45="relay",$K$45,IF($L$45&gt;0,$M$45*SQRT($K$45/$L$45),$N$45))))</f>
        <v/>
      </c>
      <c r="S45">
        <f>MAX($N$45,MIN($O$45,ROUND($R$45,0)))</f>
        <v/>
      </c>
      <c r="T45">
        <f>$S$45-Thap!$BN$56</f>
        <v/>
      </c>
      <c r="U45" t="inlineStr">
        <is>
          <t>Tools/balance/p32_tower_prices.py Model.price('mg_bunker')</t>
        </is>
      </c>
      <c r="V45" t="inlineStr"/>
    </row>
    <row r="46">
      <c r="A46" t="inlineStr">
        <is>
          <t>mg_bunker.flame</t>
        </is>
      </c>
      <c r="B46" t="inlineStr">
        <is>
          <t>Small</t>
        </is>
      </c>
      <c r="C46" t="inlineStr">
        <is>
          <t>light</t>
        </is>
      </c>
      <c r="D46" t="inlineStr">
        <is>
          <t>chien_dau</t>
        </is>
      </c>
      <c r="E46" t="n">
        <v>0.675</v>
      </c>
      <c r="F46" t="n">
        <v>55.21599999999999</v>
      </c>
      <c r="G46" t="n">
        <v>177.8571428571429</v>
      </c>
      <c r="H46" t="n">
        <v>12.53103662321539</v>
      </c>
      <c r="I46" t="n">
        <v>14</v>
      </c>
      <c r="J46" t="n">
        <v>0.575</v>
      </c>
      <c r="N46" t="n">
        <v>3</v>
      </c>
      <c r="O46" t="n">
        <v>6</v>
      </c>
      <c r="P46">
        <f>IF($D$46="chien_dau",Thap!$J$57/MAX(0.000001,$E$46),"")</f>
        <v/>
      </c>
      <c r="Q46">
        <f>IF($D$46="chien_dau",SQRT(MAX(0,($P$46/$G$46)*($F$46/$H$46))),"")</f>
        <v/>
      </c>
      <c r="R46">
        <f>IF($D$46="chien_dau",$Q$46*$J$46*1.25,IF($D$46="san",$N$46,IF($D$46="relay",$K$46,IF($L$46&gt;0,$M$46*SQRT($K$46/$L$46),$N$46))))</f>
        <v/>
      </c>
      <c r="S46">
        <f>MAX($N$46,MIN($O$46,ROUND($R$46,0)))</f>
        <v/>
      </c>
      <c r="T46">
        <f>$S$46-Thap!$BN$57</f>
        <v/>
      </c>
      <c r="U46" t="inlineStr">
        <is>
          <t>Tools/balance/p32_tower_prices.py Model.price('mg_bunker.flame')</t>
        </is>
      </c>
      <c r="V46" t="inlineStr"/>
    </row>
    <row r="47">
      <c r="A47" t="inlineStr">
        <is>
          <t>mg_bunker.twin</t>
        </is>
      </c>
      <c r="B47" t="inlineStr">
        <is>
          <t>Small</t>
        </is>
      </c>
      <c r="C47" t="inlineStr">
        <is>
          <t>light</t>
        </is>
      </c>
      <c r="D47" t="inlineStr">
        <is>
          <t>chien_dau</t>
        </is>
      </c>
      <c r="E47" t="n">
        <v>0.675</v>
      </c>
      <c r="F47" t="n">
        <v>54.98027197854819</v>
      </c>
      <c r="G47" t="n">
        <v>177.8571428571429</v>
      </c>
      <c r="H47" t="n">
        <v>12.53103662321539</v>
      </c>
      <c r="I47" t="n">
        <v>14</v>
      </c>
      <c r="J47" t="n">
        <v>0.575</v>
      </c>
      <c r="N47" t="n">
        <v>3</v>
      </c>
      <c r="O47" t="n">
        <v>6</v>
      </c>
      <c r="P47">
        <f>IF($D$47="chien_dau",Thap!$J$58/MAX(0.000001,$E$47),"")</f>
        <v/>
      </c>
      <c r="Q47">
        <f>IF($D$47="chien_dau",SQRT(MAX(0,($P$47/$G$47)*($F$47/$H$47))),"")</f>
        <v/>
      </c>
      <c r="R47">
        <f>IF($D$47="chien_dau",$Q$47*$J$47*1.25,IF($D$47="san",$N$47,IF($D$47="relay",$K$47,IF($L$47&gt;0,$M$47*SQRT($K$47/$L$47),$N$47))))</f>
        <v/>
      </c>
      <c r="S47">
        <f>MAX($N$47,MIN($O$47,ROUND($R$47,0)))</f>
        <v/>
      </c>
      <c r="T47">
        <f>$S$47-Thap!$BN$58</f>
        <v/>
      </c>
      <c r="U47" t="inlineStr">
        <is>
          <t>Tools/balance/p32_tower_prices.py Model.price('mg_bunker.twin')</t>
        </is>
      </c>
      <c r="V47" t="inlineStr"/>
    </row>
    <row r="48">
      <c r="A48" t="inlineStr">
        <is>
          <t>minefield</t>
        </is>
      </c>
      <c r="B48" t="inlineStr">
        <is>
          <t>Small</t>
        </is>
      </c>
      <c r="C48" t="inlineStr">
        <is>
          <t>util:floor</t>
        </is>
      </c>
      <c r="D48" t="inlineStr">
        <is>
          <t>san</t>
        </is>
      </c>
      <c r="N48" t="n">
        <v>3</v>
      </c>
      <c r="O48" t="n">
        <v>6</v>
      </c>
      <c r="P48">
        <f>IF($D$48="chien_dau",Thap!$J$59/MAX(0.000001,$E$48),"")</f>
        <v/>
      </c>
      <c r="Q48">
        <f>IF($D$48="chien_dau",SQRT(MAX(0,($P$48/$G$48)*($F$48/$H$48))),"")</f>
        <v/>
      </c>
      <c r="R48">
        <f>IF($D$48="chien_dau",$Q$48*$J$48*1.25,IF($D$48="san",$N$48,IF($D$48="relay",$K$48,IF($L$48&gt;0,$M$48*SQRT($K$48/$L$48),$N$48))))</f>
        <v/>
      </c>
      <c r="S48">
        <f>MAX($N$48,MIN($O$48,ROUND($R$48,0)))</f>
        <v/>
      </c>
      <c r="T48">
        <f>$S$48-Thap!$BN$59</f>
        <v/>
      </c>
      <c r="U48" t="inlineStr">
        <is>
          <t>Tools/balance/p32_tower_prices.py Model.price('minefield')</t>
        </is>
      </c>
      <c r="V48" t="inlineStr"/>
    </row>
    <row r="49">
      <c r="A49" t="inlineStr">
        <is>
          <t>missile_battery</t>
        </is>
      </c>
      <c r="B49" t="inlineStr">
        <is>
          <t>Large</t>
        </is>
      </c>
      <c r="C49" t="inlineStr">
        <is>
          <t>air</t>
        </is>
      </c>
      <c r="D49" t="inlineStr">
        <is>
          <t>chien_dau</t>
        </is>
      </c>
      <c r="E49" t="n">
        <v>1.11</v>
      </c>
      <c r="F49" t="n">
        <v>276.25</v>
      </c>
      <c r="G49" t="n">
        <v>158</v>
      </c>
      <c r="H49" t="n">
        <v>30.3342</v>
      </c>
      <c r="I49" t="n">
        <v>11</v>
      </c>
      <c r="J49" t="n">
        <v>0.725</v>
      </c>
      <c r="N49" t="n">
        <v>9</v>
      </c>
      <c r="O49" t="n">
        <v>18</v>
      </c>
      <c r="P49">
        <f>IF($D$49="chien_dau",Thap!$J$60/MAX(0.000001,$E$49),"")</f>
        <v/>
      </c>
      <c r="Q49">
        <f>IF($D$49="chien_dau",SQRT(MAX(0,($P$49/$G$49)*($F$49/$H$49))),"")</f>
        <v/>
      </c>
      <c r="R49">
        <f>IF($D$49="chien_dau",$Q$49*$J$49*1.25,IF($D$49="san",$N$49,IF($D$49="relay",$K$49,IF($L$49&gt;0,$M$49*SQRT($K$49/$L$49),$N$49))))</f>
        <v/>
      </c>
      <c r="S49">
        <f>MAX($N$49,MIN($O$49,ROUND($R$49,0)))</f>
        <v/>
      </c>
      <c r="T49">
        <f>$S$49-Thap!$BN$60</f>
        <v/>
      </c>
      <c r="U49" t="inlineStr">
        <is>
          <t>Tools/balance/p32_tower_prices.py Model.price('missile_battery')</t>
        </is>
      </c>
      <c r="V49" t="inlineStr"/>
    </row>
    <row r="50">
      <c r="A50" t="inlineStr">
        <is>
          <t>missile_battery.lrr</t>
        </is>
      </c>
      <c r="B50" t="inlineStr">
        <is>
          <t>Large</t>
        </is>
      </c>
      <c r="C50" t="inlineStr">
        <is>
          <t>air</t>
        </is>
      </c>
      <c r="D50" t="inlineStr">
        <is>
          <t>chien_dau</t>
        </is>
      </c>
      <c r="E50" t="n">
        <v>1.11</v>
      </c>
      <c r="F50" t="n">
        <v>226.6666666666667</v>
      </c>
      <c r="G50" t="n">
        <v>158</v>
      </c>
      <c r="H50" t="n">
        <v>30.3342</v>
      </c>
      <c r="I50" t="n">
        <v>11</v>
      </c>
      <c r="J50" t="n">
        <v>0.725</v>
      </c>
      <c r="N50" t="n">
        <v>9</v>
      </c>
      <c r="O50" t="n">
        <v>18</v>
      </c>
      <c r="P50">
        <f>IF($D$50="chien_dau",Thap!$J$61/MAX(0.000001,$E$50),"")</f>
        <v/>
      </c>
      <c r="Q50">
        <f>IF($D$50="chien_dau",SQRT(MAX(0,($P$50/$G$50)*($F$50/$H$50))),"")</f>
        <v/>
      </c>
      <c r="R50">
        <f>IF($D$50="chien_dau",$Q$50*$J$50*1.25,IF($D$50="san",$N$50,IF($D$50="relay",$K$50,IF($L$50&gt;0,$M$50*SQRT($K$50/$L$50),$N$50))))</f>
        <v/>
      </c>
      <c r="S50">
        <f>MAX($N$50,MIN($O$50,ROUND($R$50,0)))</f>
        <v/>
      </c>
      <c r="T50">
        <f>$S$50-Thap!$BN$61</f>
        <v/>
      </c>
      <c r="U50" t="inlineStr">
        <is>
          <t>Tools/balance/p32_tower_prices.py Model.price('missile_battery.lrr')</t>
        </is>
      </c>
      <c r="V50" t="inlineStr"/>
    </row>
    <row r="51">
      <c r="A51" t="inlineStr">
        <is>
          <t>missile_battery.pac3</t>
        </is>
      </c>
      <c r="B51" t="inlineStr">
        <is>
          <t>Large</t>
        </is>
      </c>
      <c r="C51" t="inlineStr">
        <is>
          <t>air</t>
        </is>
      </c>
      <c r="D51" t="inlineStr">
        <is>
          <t>chien_dau</t>
        </is>
      </c>
      <c r="E51" t="n">
        <v>1.11</v>
      </c>
      <c r="F51" t="n">
        <v>139.7014925373134</v>
      </c>
      <c r="G51" t="n">
        <v>158</v>
      </c>
      <c r="H51" t="n">
        <v>30.3342</v>
      </c>
      <c r="I51" t="n">
        <v>11</v>
      </c>
      <c r="J51" t="n">
        <v>0.725</v>
      </c>
      <c r="N51" t="n">
        <v>9</v>
      </c>
      <c r="O51" t="n">
        <v>18</v>
      </c>
      <c r="P51">
        <f>IF($D$51="chien_dau",Thap!$J$62/MAX(0.000001,$E$51),"")</f>
        <v/>
      </c>
      <c r="Q51">
        <f>IF($D$51="chien_dau",SQRT(MAX(0,($P$51/$G$51)*($F$51/$H$51))),"")</f>
        <v/>
      </c>
      <c r="R51">
        <f>IF($D$51="chien_dau",$Q$51*$J$51*1.25,IF($D$51="san",$N$51,IF($D$51="relay",$K$51,IF($L$51&gt;0,$M$51*SQRT($K$51/$L$51),$N$51))))</f>
        <v/>
      </c>
      <c r="S51">
        <f>MAX($N$51,MIN($O$51,ROUND($R$51,0)))</f>
        <v/>
      </c>
      <c r="T51">
        <f>$S$51-Thap!$BN$62</f>
        <v/>
      </c>
      <c r="U51" t="inlineStr">
        <is>
          <t>Tools/balance/p32_tower_prices.py Model.price('missile_battery.pac3')</t>
        </is>
      </c>
      <c r="V51" t="inlineStr"/>
    </row>
    <row r="52">
      <c r="A52" t="inlineStr">
        <is>
          <t>rocket_turret</t>
        </is>
      </c>
      <c r="B52" t="inlineStr">
        <is>
          <t>Medium</t>
        </is>
      </c>
      <c r="C52" t="inlineStr">
        <is>
          <t>ground</t>
        </is>
      </c>
      <c r="D52" t="inlineStr">
        <is>
          <t>chien_dau</t>
        </is>
      </c>
      <c r="E52" t="n">
        <v>1.11</v>
      </c>
      <c r="F52" t="n">
        <v>59.83783783783784</v>
      </c>
      <c r="G52" t="n">
        <v>109.2892857142857</v>
      </c>
      <c r="H52" t="n">
        <v>8.485147678117894</v>
      </c>
      <c r="I52" t="n">
        <v>12</v>
      </c>
      <c r="J52" t="n">
        <v>0.725</v>
      </c>
      <c r="N52" t="n">
        <v>5</v>
      </c>
      <c r="O52" t="n">
        <v>11</v>
      </c>
      <c r="P52">
        <f>IF($D$52="chien_dau",Thap!$J$65/MAX(0.000001,$E$52),"")</f>
        <v/>
      </c>
      <c r="Q52">
        <f>IF($D$52="chien_dau",SQRT(MAX(0,($P$52/$G$52)*($F$52/$H$52))),"")</f>
        <v/>
      </c>
      <c r="R52">
        <f>IF($D$52="chien_dau",$Q$52*$J$52*1.25,IF($D$52="san",$N$52,IF($D$52="relay",$K$52,IF($L$52&gt;0,$M$52*SQRT($K$52/$L$52),$N$52))))</f>
        <v/>
      </c>
      <c r="S52">
        <f>MAX($N$52,MIN($O$52,ROUND($R$52,0)))</f>
        <v/>
      </c>
      <c r="T52">
        <f>$S$52-Thap!$BN$65</f>
        <v/>
      </c>
      <c r="U52" t="inlineStr">
        <is>
          <t>Tools/balance/p32_tower_prices.py Model.price('rocket_turret')</t>
        </is>
      </c>
      <c r="V52" t="inlineStr"/>
    </row>
    <row r="53">
      <c r="A53" t="inlineStr">
        <is>
          <t>rocket_turret.cluster</t>
        </is>
      </c>
      <c r="B53" t="inlineStr">
        <is>
          <t>Medium</t>
        </is>
      </c>
      <c r="C53" t="inlineStr">
        <is>
          <t>ground</t>
        </is>
      </c>
      <c r="D53" t="inlineStr">
        <is>
          <t>chien_dau</t>
        </is>
      </c>
      <c r="E53" t="n">
        <v>1.11</v>
      </c>
      <c r="F53" t="n">
        <v>53.65561224489796</v>
      </c>
      <c r="G53" t="n">
        <v>109.2892857142857</v>
      </c>
      <c r="H53" t="n">
        <v>8.485147678117894</v>
      </c>
      <c r="I53" t="n">
        <v>12</v>
      </c>
      <c r="J53" t="n">
        <v>0.725</v>
      </c>
      <c r="N53" t="n">
        <v>5</v>
      </c>
      <c r="O53" t="n">
        <v>11</v>
      </c>
      <c r="P53">
        <f>IF($D$53="chien_dau",Thap!$J$66/MAX(0.000001,$E$53),"")</f>
        <v/>
      </c>
      <c r="Q53">
        <f>IF($D$53="chien_dau",SQRT(MAX(0,($P$53/$G$53)*($F$53/$H$53))),"")</f>
        <v/>
      </c>
      <c r="R53">
        <f>IF($D$53="chien_dau",$Q$53*$J$53*1.25,IF($D$53="san",$N$53,IF($D$53="relay",$K$53,IF($L$53&gt;0,$M$53*SQRT($K$53/$L$53),$N$53))))</f>
        <v/>
      </c>
      <c r="S53">
        <f>MAX($N$53,MIN($O$53,ROUND($R$53,0)))</f>
        <v/>
      </c>
      <c r="T53">
        <f>$S$53-Thap!$BN$66</f>
        <v/>
      </c>
      <c r="U53" t="inlineStr">
        <is>
          <t>Tools/balance/p32_tower_prices.py Model.price('rocket_turret.cluster')</t>
        </is>
      </c>
      <c r="V53" t="inlineStr"/>
    </row>
    <row r="54">
      <c r="A54" t="inlineStr">
        <is>
          <t>rocket_turret.guided</t>
        </is>
      </c>
      <c r="B54" t="inlineStr">
        <is>
          <t>Medium</t>
        </is>
      </c>
      <c r="C54" t="inlineStr">
        <is>
          <t>ground</t>
        </is>
      </c>
      <c r="D54" t="inlineStr">
        <is>
          <t>chien_dau</t>
        </is>
      </c>
      <c r="E54" t="n">
        <v>1.11</v>
      </c>
      <c r="F54" t="n">
        <v>41</v>
      </c>
      <c r="G54" t="n">
        <v>109.2892857142857</v>
      </c>
      <c r="H54" t="n">
        <v>8.485147678117894</v>
      </c>
      <c r="I54" t="n">
        <v>12</v>
      </c>
      <c r="J54" t="n">
        <v>0.725</v>
      </c>
      <c r="N54" t="n">
        <v>5</v>
      </c>
      <c r="O54" t="n">
        <v>11</v>
      </c>
      <c r="P54">
        <f>IF($D$54="chien_dau",Thap!$J$67/MAX(0.000001,$E$54),"")</f>
        <v/>
      </c>
      <c r="Q54">
        <f>IF($D$54="chien_dau",SQRT(MAX(0,($P$54/$G$54)*($F$54/$H$54))),"")</f>
        <v/>
      </c>
      <c r="R54">
        <f>IF($D$54="chien_dau",$Q$54*$J$54*1.25,IF($D$54="san",$N$54,IF($D$54="relay",$K$54,IF($L$54&gt;0,$M$54*SQRT($K$54/$L$54),$N$54))))</f>
        <v/>
      </c>
      <c r="S54">
        <f>MAX($N$54,MIN($O$54,ROUND($R$54,0)))</f>
        <v/>
      </c>
      <c r="T54">
        <f>$S$54-Thap!$BN$67</f>
        <v/>
      </c>
      <c r="U54" t="inlineStr">
        <is>
          <t>Tools/balance/p32_tower_prices.py Model.price('rocket_turret.guided')</t>
        </is>
      </c>
      <c r="V54" t="inlineStr"/>
    </row>
    <row r="55">
      <c r="A55" t="inlineStr">
        <is>
          <t>searchlight</t>
        </is>
      </c>
      <c r="B55" t="inlineStr">
        <is>
          <t>Small</t>
        </is>
      </c>
      <c r="C55" t="inlineStr">
        <is>
          <t>util:floor</t>
        </is>
      </c>
      <c r="D55" t="inlineStr">
        <is>
          <t>san</t>
        </is>
      </c>
      <c r="N55" t="n">
        <v>3</v>
      </c>
      <c r="O55" t="n">
        <v>6</v>
      </c>
      <c r="P55">
        <f>IF($D$55="chien_dau",Thap!$J$68/MAX(0.000001,$E$55),"")</f>
        <v/>
      </c>
      <c r="Q55">
        <f>IF($D$55="chien_dau",SQRT(MAX(0,($P$55/$G$55)*($F$55/$H$55))),"")</f>
        <v/>
      </c>
      <c r="R55">
        <f>IF($D$55="chien_dau",$Q$55*$J$55*1.25,IF($D$55="san",$N$55,IF($D$55="relay",$K$55,IF($L$55&gt;0,$M$55*SQRT($K$55/$L$55),$N$55))))</f>
        <v/>
      </c>
      <c r="S55">
        <f>MAX($N$55,MIN($O$55,ROUND($R$55,0)))</f>
        <v/>
      </c>
      <c r="T55">
        <f>$S$55-Thap!$BN$68</f>
        <v/>
      </c>
      <c r="U55" t="inlineStr">
        <is>
          <t>Tools/balance/p32_tower_prices.py Model.price('searchlight')</t>
        </is>
      </c>
      <c r="V55" t="inlineStr"/>
    </row>
    <row r="56">
      <c r="A56" t="inlineStr">
        <is>
          <t>searchlight.beam</t>
        </is>
      </c>
      <c r="B56" t="inlineStr">
        <is>
          <t>Small</t>
        </is>
      </c>
      <c r="C56" t="inlineStr">
        <is>
          <t>util:floor</t>
        </is>
      </c>
      <c r="D56" t="inlineStr">
        <is>
          <t>san</t>
        </is>
      </c>
      <c r="N56" t="n">
        <v>3</v>
      </c>
      <c r="O56" t="n">
        <v>6</v>
      </c>
      <c r="P56">
        <f>IF($D$56="chien_dau",Thap!$J$69/MAX(0.000001,$E$56),"")</f>
        <v/>
      </c>
      <c r="Q56">
        <f>IF($D$56="chien_dau",SQRT(MAX(0,($P$56/$G$56)*($F$56/$H$56))),"")</f>
        <v/>
      </c>
      <c r="R56">
        <f>IF($D$56="chien_dau",$Q$56*$J$56*1.25,IF($D$56="san",$N$56,IF($D$56="relay",$K$56,IF($L$56&gt;0,$M$56*SQRT($K$56/$L$56),$N$56))))</f>
        <v/>
      </c>
      <c r="S56">
        <f>MAX($N$56,MIN($O$56,ROUND($R$56,0)))</f>
        <v/>
      </c>
      <c r="T56">
        <f>$S$56-Thap!$BN$69</f>
        <v/>
      </c>
      <c r="U56" t="inlineStr">
        <is>
          <t>Tools/balance/p32_tower_prices.py Model.price('searchlight.beam')</t>
        </is>
      </c>
      <c r="V56" t="inlineStr"/>
    </row>
    <row r="57">
      <c r="A57" t="inlineStr">
        <is>
          <t>searchlight.flare</t>
        </is>
      </c>
      <c r="B57" t="inlineStr">
        <is>
          <t>Small</t>
        </is>
      </c>
      <c r="C57" t="inlineStr">
        <is>
          <t>util:floor</t>
        </is>
      </c>
      <c r="D57" t="inlineStr">
        <is>
          <t>san</t>
        </is>
      </c>
      <c r="N57" t="n">
        <v>3</v>
      </c>
      <c r="O57" t="n">
        <v>6</v>
      </c>
      <c r="P57">
        <f>IF($D$57="chien_dau",Thap!$J$70/MAX(0.000001,$E$57),"")</f>
        <v/>
      </c>
      <c r="Q57">
        <f>IF($D$57="chien_dau",SQRT(MAX(0,($P$57/$G$57)*($F$57/$H$57))),"")</f>
        <v/>
      </c>
      <c r="R57">
        <f>IF($D$57="chien_dau",$Q$57*$J$57*1.25,IF($D$57="san",$N$57,IF($D$57="relay",$K$57,IF($L$57&gt;0,$M$57*SQRT($K$57/$L$57),$N$57))))</f>
        <v/>
      </c>
      <c r="S57">
        <f>MAX($N$57,MIN($O$57,ROUND($R$57,0)))</f>
        <v/>
      </c>
      <c r="T57">
        <f>$S$57-Thap!$BN$70</f>
        <v/>
      </c>
      <c r="U57" t="inlineStr">
        <is>
          <t>Tools/balance/p32_tower_prices.py Model.price('searchlight.flare')</t>
        </is>
      </c>
      <c r="V57" t="inlineStr"/>
    </row>
    <row r="58">
      <c r="A58" t="inlineStr">
        <is>
          <t>shield_tower</t>
        </is>
      </c>
      <c r="B58" t="inlineStr">
        <is>
          <t>Large</t>
        </is>
      </c>
      <c r="C58" t="inlineStr">
        <is>
          <t>util:protect</t>
        </is>
      </c>
      <c r="D58" t="inlineStr">
        <is>
          <t>protect</t>
        </is>
      </c>
      <c r="K58" t="n">
        <v>3600</v>
      </c>
      <c r="L58" t="n">
        <v>900</v>
      </c>
      <c r="M58" t="n">
        <v>5</v>
      </c>
      <c r="N58" t="n">
        <v>9</v>
      </c>
      <c r="O58" t="n">
        <v>18</v>
      </c>
      <c r="P58">
        <f>IF($D$58="chien_dau",Thap!$J$71/MAX(0.000001,$E$58),"")</f>
        <v/>
      </c>
      <c r="Q58">
        <f>IF($D$58="chien_dau",SQRT(MAX(0,($P$58/$G$58)*($F$58/$H$58))),"")</f>
        <v/>
      </c>
      <c r="R58">
        <f>IF($D$58="chien_dau",$Q$58*$J$58*1.25,IF($D$58="san",$N$58,IF($D$58="relay",$K$58,IF($L$58&gt;0,$M$58*SQRT($K$58/$L$58),$N$58))))</f>
        <v/>
      </c>
      <c r="S58">
        <f>MAX($N$58,MIN($O$58,ROUND($R$58,0)))</f>
        <v/>
      </c>
      <c r="T58">
        <f>$S$58-Thap!$BN$71</f>
        <v/>
      </c>
      <c r="U58" t="inlineStr">
        <is>
          <t>Tools/balance/p32_tower_prices.py Model.price('shield_tower')</t>
        </is>
      </c>
      <c r="V58" t="inlineStr"/>
    </row>
    <row r="59">
      <c r="A59" t="inlineStr">
        <is>
          <t>shield_tower.bulwark</t>
        </is>
      </c>
      <c r="B59" t="inlineStr">
        <is>
          <t>Large</t>
        </is>
      </c>
      <c r="C59" t="inlineStr">
        <is>
          <t>util:protect</t>
        </is>
      </c>
      <c r="D59" t="inlineStr">
        <is>
          <t>protect</t>
        </is>
      </c>
      <c r="K59" t="n">
        <v>3600</v>
      </c>
      <c r="L59" t="n">
        <v>900</v>
      </c>
      <c r="M59" t="n">
        <v>5</v>
      </c>
      <c r="N59" t="n">
        <v>9</v>
      </c>
      <c r="O59" t="n">
        <v>18</v>
      </c>
      <c r="P59">
        <f>IF($D$59="chien_dau",Thap!$J$72/MAX(0.000001,$E$59),"")</f>
        <v/>
      </c>
      <c r="Q59">
        <f>IF($D$59="chien_dau",SQRT(MAX(0,($P$59/$G$59)*($F$59/$H$59))),"")</f>
        <v/>
      </c>
      <c r="R59">
        <f>IF($D$59="chien_dau",$Q$59*$J$59*1.25,IF($D$59="san",$N$59,IF($D$59="relay",$K$59,IF($L$59&gt;0,$M$59*SQRT($K$59/$L$59),$N$59))))</f>
        <v/>
      </c>
      <c r="S59">
        <f>MAX($N$59,MIN($O$59,ROUND($R$59,0)))</f>
        <v/>
      </c>
      <c r="T59">
        <f>$S$59-Thap!$BN$72</f>
        <v/>
      </c>
      <c r="U59" t="inlineStr">
        <is>
          <t>Tools/balance/p32_tower_prices.py Model.price('shield_tower.bulwark')</t>
        </is>
      </c>
      <c r="V59" t="inlineStr"/>
    </row>
    <row r="60">
      <c r="A60" t="inlineStr">
        <is>
          <t>shield_tower.ward</t>
        </is>
      </c>
      <c r="B60" t="inlineStr">
        <is>
          <t>Large</t>
        </is>
      </c>
      <c r="C60" t="inlineStr">
        <is>
          <t>util:protect</t>
        </is>
      </c>
      <c r="D60" t="inlineStr">
        <is>
          <t>protect</t>
        </is>
      </c>
      <c r="K60" t="n">
        <v>3600</v>
      </c>
      <c r="L60" t="n">
        <v>900</v>
      </c>
      <c r="M60" t="n">
        <v>5</v>
      </c>
      <c r="N60" t="n">
        <v>9</v>
      </c>
      <c r="O60" t="n">
        <v>18</v>
      </c>
      <c r="P60">
        <f>IF($D$60="chien_dau",Thap!$J$73/MAX(0.000001,$E$60),"")</f>
        <v/>
      </c>
      <c r="Q60">
        <f>IF($D$60="chien_dau",SQRT(MAX(0,($P$60/$G$60)*($F$60/$H$60))),"")</f>
        <v/>
      </c>
      <c r="R60">
        <f>IF($D$60="chien_dau",$Q$60*$J$60*1.25,IF($D$60="san",$N$60,IF($D$60="relay",$K$60,IF($L$60&gt;0,$M$60*SQRT($K$60/$L$60),$N$60))))</f>
        <v/>
      </c>
      <c r="S60">
        <f>MAX($N$60,MIN($O$60,ROUND($R$60,0)))</f>
        <v/>
      </c>
      <c r="T60">
        <f>$S$60-Thap!$BN$73</f>
        <v/>
      </c>
      <c r="U60" t="inlineStr">
        <is>
          <t>Tools/balance/p32_tower_prices.py Model.price('shield_tower.ward')</t>
        </is>
      </c>
      <c r="V60" t="inlineStr"/>
    </row>
    <row r="61">
      <c r="A61" t="inlineStr">
        <is>
          <t>troop_shelter</t>
        </is>
      </c>
      <c r="B61" t="inlineStr">
        <is>
          <t>Medium</t>
        </is>
      </c>
      <c r="C61" t="inlineStr">
        <is>
          <t>util:protect</t>
        </is>
      </c>
      <c r="D61" t="inlineStr">
        <is>
          <t>protect</t>
        </is>
      </c>
      <c r="K61" t="n">
        <v>900</v>
      </c>
      <c r="L61" t="n">
        <v>900</v>
      </c>
      <c r="M61" t="n">
        <v>5</v>
      </c>
      <c r="N61" t="n">
        <v>5</v>
      </c>
      <c r="O61" t="n">
        <v>11</v>
      </c>
      <c r="P61">
        <f>IF($D$61="chien_dau",Thap!$J$77/MAX(0.000001,$E$61),"")</f>
        <v/>
      </c>
      <c r="Q61">
        <f>IF($D$61="chien_dau",SQRT(MAX(0,($P$61/$G$61)*($F$61/$H$61))),"")</f>
        <v/>
      </c>
      <c r="R61">
        <f>IF($D$61="chien_dau",$Q$61*$J$61*1.25,IF($D$61="san",$N$61,IF($D$61="relay",$K$61,IF($L$61&gt;0,$M$61*SQRT($K$61/$L$61),$N$61))))</f>
        <v/>
      </c>
      <c r="S61">
        <f>MAX($N$61,MIN($O$61,ROUND($R$61,0)))</f>
        <v/>
      </c>
      <c r="T61">
        <f>$S$61-Thap!$BN$77</f>
        <v/>
      </c>
      <c r="U61" t="inlineStr">
        <is>
          <t>Tools/balance/p32_tower_prices.py Model.price('troop_shelter')</t>
        </is>
      </c>
      <c r="V61" t="inlineStr"/>
    </row>
  </sheetData>
  <autoFilter ref="A1:V6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7" customWidth="1" min="2" max="2"/>
    <col width="42" customWidth="1" min="3" max="3"/>
    <col width="18" customWidth="1" min="4" max="4"/>
    <col width="60" customWidth="1" min="5" max="5"/>
    <col width="19" customWidth="1" min="6" max="6"/>
    <col width="60" customWidth="1" min="7" max="7"/>
    <col width="12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$12,MATCH($D$2,cc_input_vu_khi!$A$2:$A$12,0))*INDEX(cc_input_bang_xuyen_giap!$B$2:$B$7,MIN(6,MAX(1,IF(INDEX(cc_input_vu_khi_suy_ra!$B$2:$B$12,MATCH($D$2,cc_input_vu_khi_suy_ra!$A$2:$A$12,0)),MAX(1,2-(INDEX(cc_input_vu_khi!$C$2:$C$12,MATCH($D$2,cc_input_vu_khi!$A$2:$A$12,0))-Thap!$K$3)),2-(INDEX(cc_input_vu_khi!$C$2:$C$12,MATCH($D$2,cc_input_vu_khi!$A$2:$A$12,0))-Thap!$K$3))+1)))*INDEX(cc_input_vu_khi_suy_ra!$D$2:$D$12,MATCH($D$2,cc_input_vu_khi_suy_ra!$A$2:$A$12,0))&gt;0,CEILING(Thap!$J$3/(INDEX(cc_input_vu_khi!$B$2:$B$12,MATCH($D$2,cc_input_vu_khi!$A$2:$A$12,0))*INDEX(cc_input_bang_xuyen_giap!$B$2:$B$7,MIN(6,MAX(1,IF(INDEX(cc_input_vu_khi_suy_ra!$B$2:$B$12,MATCH($D$2,cc_input_vu_khi_suy_ra!$A$2:$A$12,0)),MAX(1,2-(INDEX(cc_input_vu_khi!$C$2:$C$12,MATCH($D$2,cc_input_vu_khi!$A$2:$A$12,0))-Thap!$K$3)),2-(INDEX(cc_input_vu_khi!$C$2:$C$12,MATCH($D$2,cc_input_vu_khi!$A$2:$A$12,0))-Thap!$K$3))+1)))*INDEX(cc_input_vu_khi_suy_ra!$D$2:$D$12,MATCH($D$2,cc_input_vu_khi_suy_ra!$A$2:$A$12,0))),1),""))</f>
        <v/>
      </c>
      <c r="F2" t="inlineStr">
        <is>
          <t>gun_105_wheeled_he</t>
        </is>
      </c>
      <c r="G2">
        <f>IF($F$2="","",IF(INDEX(cc_input_vu_khi!$B$2:$B$12,MATCH($F$2,cc_input_vu_khi!$A$2:$A$12,0))*INDEX(cc_input_bang_xuyen_giap!$B$2:$B$7,MIN(6,MAX(1,IF(INDEX(cc_input_vu_khi_suy_ra!$B$2:$B$12,MATCH($F$2,cc_input_vu_khi_suy_ra!$A$2:$A$12,0)),MAX(1,2-(INDEX(cc_input_vu_khi!$C$2:$C$12,MATCH($F$2,cc_input_vu_khi!$A$2:$A$12,0))-Thap!$K$3)),2-(INDEX(cc_input_vu_khi!$C$2:$C$12,MATCH($F$2,cc_input_vu_khi!$A$2:$A$12,0))-Thap!$K$3))+1)))*INDEX(cc_input_vu_khi_suy_ra!$D$2:$D$12,MATCH($F$2,cc_input_vu_khi_suy_ra!$A$2:$A$12,0))&gt;0,CEILING(Thap!$J$3/(INDEX(cc_input_vu_khi!$B$2:$B$12,MATCH($F$2,cc_input_vu_khi!$A$2:$A$12,0))*INDEX(cc_input_bang_xuyen_giap!$B$2:$B$7,MIN(6,MAX(1,IF(INDEX(cc_input_vu_khi_suy_ra!$B$2:$B$12,MATCH($F$2,cc_input_vu_khi_suy_ra!$A$2:$A$12,0)),MAX(1,2-(INDEX(cc_input_vu_khi!$C$2:$C$12,MATCH($F$2,cc_input_vu_khi!$A$2:$A$12,0))-Thap!$K$3)),2-(INDEX(cc_input_vu_khi!$C$2:$C$12,MATCH($F$2,cc_input_vu_khi!$A$2:$A$12,0))-Thap!$K$3))+1)))*INDEX(cc_input_vu_khi_suy_ra!$D$2:$D$12,MATCH($F$2,cc_input_vu_khi_suy_ra!$A$2:$A$12,0))),1),""))</f>
        <v/>
      </c>
      <c r="H2" t="inlineStr">
        <is>
          <t>khrizantema</t>
        </is>
      </c>
      <c r="I2">
        <f>IF($H$2="","",IF(INDEX(cc_input_vu_khi!$B$2:$B$12,MATCH($H$2,cc_input_vu_khi!$A$2:$A$12,0))*INDEX(cc_input_bang_xuyen_giap!$B$2:$B$7,MIN(6,MAX(1,IF(INDEX(cc_input_vu_khi_suy_ra!$B$2:$B$12,MATCH($H$2,cc_input_vu_khi_suy_ra!$A$2:$A$12,0)),MAX(1,2-(INDEX(cc_input_vu_khi!$C$2:$C$12,MATCH($H$2,cc_input_vu_khi!$A$2:$A$12,0))-Thap!$K$3)),2-(INDEX(cc_input_vu_khi!$C$2:$C$12,MATCH($H$2,cc_input_vu_khi!$A$2:$A$12,0))-Thap!$K$3))+1)))*INDEX(cc_input_vu_khi_suy_ra!$D$2:$D$12,MATCH($H$2,cc_input_vu_khi_suy_ra!$A$2:$A$12,0))&gt;0,CEILING(Thap!$J$3/(INDEX(cc_input_vu_khi!$B$2:$B$12,MATCH($H$2,cc_input_vu_khi!$A$2:$A$12,0))*INDEX(cc_input_bang_xuyen_giap!$B$2:$B$7,MIN(6,MAX(1,IF(INDEX(cc_input_vu_khi_suy_ra!$B$2:$B$12,MATCH($H$2,cc_input_vu_khi_suy_ra!$A$2:$A$12,0)),MAX(1,2-(INDEX(cc_input_vu_khi!$C$2:$C$12,MATCH($H$2,cc_input_vu_khi!$A$2:$A$12,0))-Thap!$K$3)),2-(INDEX(cc_input_vu_khi!$C$2:$C$12,MATCH($H$2,cc_input_vu_khi!$A$2:$A$12,0))-Thap!$K$3))+1)))*INDEX(cc_input_vu_khi_suy_ra!$D$2:$D$12,MATCH($H$2,cc_input_vu_khi_suy_ra!$A$2:$A$12,0))),1),""))</f>
        <v/>
      </c>
      <c r="J2" t="inlineStr">
        <is>
          <t>caesar_155</t>
        </is>
      </c>
      <c r="K2">
        <f>IF($J$2="","",IF(INDEX(cc_input_vu_khi!$B$2:$B$12,MATCH($J$2,cc_input_vu_khi!$A$2:$A$12,0))*INDEX(cc_input_bang_xuyen_giap!$B$2:$B$7,MIN(6,MAX(1,IF(INDEX(cc_input_vu_khi_suy_ra!$B$2:$B$12,MATCH($J$2,cc_input_vu_khi_suy_ra!$A$2:$A$12,0)),MAX(1,2-(INDEX(cc_input_vu_khi!$C$2:$C$12,MATCH($J$2,cc_input_vu_khi!$A$2:$A$12,0))-Thap!$K$3)),2-(INDEX(cc_input_vu_khi!$C$2:$C$12,MATCH($J$2,cc_input_vu_khi!$A$2:$A$12,0))-Thap!$K$3))+1)))*INDEX(cc_input_vu_khi_suy_ra!$D$2:$D$12,MATCH($J$2,cc_input_vu_khi_suy_ra!$A$2:$A$12,0))&gt;0,CEILING(Thap!$J$3/(INDEX(cc_input_vu_khi!$B$2:$B$12,MATCH($J$2,cc_input_vu_khi!$A$2:$A$12,0))*INDEX(cc_input_bang_xuyen_giap!$B$2:$B$7,MIN(6,MAX(1,IF(INDEX(cc_input_vu_khi_suy_ra!$B$2:$B$12,MATCH($J$2,cc_input_vu_khi_suy_ra!$A$2:$A$12,0)),MAX(1,2-(INDEX(cc_input_vu_khi!$C$2:$C$12,MATCH($J$2,cc_input_vu_khi!$A$2:$A$12,0))-Thap!$K$3)),2-(INDEX(cc_input_vu_khi!$C$2:$C$12,MATCH($J$2,cc_input_vu_khi!$A$2:$A$12,0))-Thap!$K$3))+1)))*INDEX(cc_input_vu_khi_suy_ra!$D$2:$D$12,MATCH($J$2,cc_input_vu_khi_suy_ra!$A$2:$A$12,0)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$12,MATCH($D$3,cc_input_vu_khi!$A$2:$A$12,0))*INDEX(cc_input_bang_xuyen_giap!$B$2:$B$7,MIN(6,MAX(1,IF(INDEX(cc_input_vu_khi_suy_ra!$B$2:$B$12,MATCH($D$3,cc_input_vu_khi_suy_ra!$A$2:$A$12,0)),MAX(1,2-(INDEX(cc_input_vu_khi!$C$2:$C$12,MATCH($D$3,cc_input_vu_khi!$A$2:$A$12,0))-Thap!$K$4)),2-(INDEX(cc_input_vu_khi!$C$2:$C$12,MATCH($D$3,cc_input_vu_khi!$A$2:$A$12,0))-Thap!$K$4))+1)))*INDEX(cc_input_vu_khi_suy_ra!$D$2:$D$12,MATCH($D$3,cc_input_vu_khi_suy_ra!$A$2:$A$12,0))&gt;0,CEILING(Thap!$J$4/(INDEX(cc_input_vu_khi!$B$2:$B$12,MATCH($D$3,cc_input_vu_khi!$A$2:$A$12,0))*INDEX(cc_input_bang_xuyen_giap!$B$2:$B$7,MIN(6,MAX(1,IF(INDEX(cc_input_vu_khi_suy_ra!$B$2:$B$12,MATCH($D$3,cc_input_vu_khi_suy_ra!$A$2:$A$12,0)),MAX(1,2-(INDEX(cc_input_vu_khi!$C$2:$C$12,MATCH($D$3,cc_input_vu_khi!$A$2:$A$12,0))-Thap!$K$4)),2-(INDEX(cc_input_vu_khi!$C$2:$C$12,MATCH($D$3,cc_input_vu_khi!$A$2:$A$12,0))-Thap!$K$4))+1)))*INDEX(cc_input_vu_khi_suy_ra!$D$2:$D$12,MATCH($D$3,cc_input_vu_khi_suy_ra!$A$2:$A$12,0))),1),""))</f>
        <v/>
      </c>
      <c r="F3" t="inlineStr">
        <is>
          <t>gun_105_wheeled_he</t>
        </is>
      </c>
      <c r="G3">
        <f>IF($F$3="","",IF(INDEX(cc_input_vu_khi!$B$2:$B$12,MATCH($F$3,cc_input_vu_khi!$A$2:$A$12,0))*INDEX(cc_input_bang_xuyen_giap!$B$2:$B$7,MIN(6,MAX(1,IF(INDEX(cc_input_vu_khi_suy_ra!$B$2:$B$12,MATCH($F$3,cc_input_vu_khi_suy_ra!$A$2:$A$12,0)),MAX(1,2-(INDEX(cc_input_vu_khi!$C$2:$C$12,MATCH($F$3,cc_input_vu_khi!$A$2:$A$12,0))-Thap!$K$4)),2-(INDEX(cc_input_vu_khi!$C$2:$C$12,MATCH($F$3,cc_input_vu_khi!$A$2:$A$12,0))-Thap!$K$4))+1)))*INDEX(cc_input_vu_khi_suy_ra!$D$2:$D$12,MATCH($F$3,cc_input_vu_khi_suy_ra!$A$2:$A$12,0))&gt;0,CEILING(Thap!$J$4/(INDEX(cc_input_vu_khi!$B$2:$B$12,MATCH($F$3,cc_input_vu_khi!$A$2:$A$12,0))*INDEX(cc_input_bang_xuyen_giap!$B$2:$B$7,MIN(6,MAX(1,IF(INDEX(cc_input_vu_khi_suy_ra!$B$2:$B$12,MATCH($F$3,cc_input_vu_khi_suy_ra!$A$2:$A$12,0)),MAX(1,2-(INDEX(cc_input_vu_khi!$C$2:$C$12,MATCH($F$3,cc_input_vu_khi!$A$2:$A$12,0))-Thap!$K$4)),2-(INDEX(cc_input_vu_khi!$C$2:$C$12,MATCH($F$3,cc_input_vu_khi!$A$2:$A$12,0))-Thap!$K$4))+1)))*INDEX(cc_input_vu_khi_suy_ra!$D$2:$D$12,MATCH($F$3,cc_input_vu_khi_suy_ra!$A$2:$A$12,0))),1),""))</f>
        <v/>
      </c>
      <c r="H3" t="inlineStr">
        <is>
          <t>khrizantema</t>
        </is>
      </c>
      <c r="I3">
        <f>IF($H$3="","",IF(INDEX(cc_input_vu_khi!$B$2:$B$12,MATCH($H$3,cc_input_vu_khi!$A$2:$A$12,0))*INDEX(cc_input_bang_xuyen_giap!$B$2:$B$7,MIN(6,MAX(1,IF(INDEX(cc_input_vu_khi_suy_ra!$B$2:$B$12,MATCH($H$3,cc_input_vu_khi_suy_ra!$A$2:$A$12,0)),MAX(1,2-(INDEX(cc_input_vu_khi!$C$2:$C$12,MATCH($H$3,cc_input_vu_khi!$A$2:$A$12,0))-Thap!$K$4)),2-(INDEX(cc_input_vu_khi!$C$2:$C$12,MATCH($H$3,cc_input_vu_khi!$A$2:$A$12,0))-Thap!$K$4))+1)))*INDEX(cc_input_vu_khi_suy_ra!$D$2:$D$12,MATCH($H$3,cc_input_vu_khi_suy_ra!$A$2:$A$12,0))&gt;0,CEILING(Thap!$J$4/(INDEX(cc_input_vu_khi!$B$2:$B$12,MATCH($H$3,cc_input_vu_khi!$A$2:$A$12,0))*INDEX(cc_input_bang_xuyen_giap!$B$2:$B$7,MIN(6,MAX(1,IF(INDEX(cc_input_vu_khi_suy_ra!$B$2:$B$12,MATCH($H$3,cc_input_vu_khi_suy_ra!$A$2:$A$12,0)),MAX(1,2-(INDEX(cc_input_vu_khi!$C$2:$C$12,MATCH($H$3,cc_input_vu_khi!$A$2:$A$12,0))-Thap!$K$4)),2-(INDEX(cc_input_vu_khi!$C$2:$C$12,MATCH($H$3,cc_input_vu_khi!$A$2:$A$12,0))-Thap!$K$4))+1)))*INDEX(cc_input_vu_khi_suy_ra!$D$2:$D$12,MATCH($H$3,cc_input_vu_khi_suy_ra!$A$2:$A$12,0))),1),""))</f>
        <v/>
      </c>
      <c r="J3" t="inlineStr">
        <is>
          <t>caesar_155</t>
        </is>
      </c>
      <c r="K3">
        <f>IF($J$3="","",IF(INDEX(cc_input_vu_khi!$B$2:$B$12,MATCH($J$3,cc_input_vu_khi!$A$2:$A$12,0))*INDEX(cc_input_bang_xuyen_giap!$B$2:$B$7,MIN(6,MAX(1,IF(INDEX(cc_input_vu_khi_suy_ra!$B$2:$B$12,MATCH($J$3,cc_input_vu_khi_suy_ra!$A$2:$A$12,0)),MAX(1,2-(INDEX(cc_input_vu_khi!$C$2:$C$12,MATCH($J$3,cc_input_vu_khi!$A$2:$A$12,0))-Thap!$K$4)),2-(INDEX(cc_input_vu_khi!$C$2:$C$12,MATCH($J$3,cc_input_vu_khi!$A$2:$A$12,0))-Thap!$K$4))+1)))*INDEX(cc_input_vu_khi_suy_ra!$D$2:$D$12,MATCH($J$3,cc_input_vu_khi_suy_ra!$A$2:$A$12,0))&gt;0,CEILING(Thap!$J$4/(INDEX(cc_input_vu_khi!$B$2:$B$12,MATCH($J$3,cc_input_vu_khi!$A$2:$A$12,0))*INDEX(cc_input_bang_xuyen_giap!$B$2:$B$7,MIN(6,MAX(1,IF(INDEX(cc_input_vu_khi_suy_ra!$B$2:$B$12,MATCH($J$3,cc_input_vu_khi_suy_ra!$A$2:$A$12,0)),MAX(1,2-(INDEX(cc_input_vu_khi!$C$2:$C$12,MATCH($J$3,cc_input_vu_khi!$A$2:$A$12,0))-Thap!$K$4)),2-(INDEX(cc_input_vu_khi!$C$2:$C$12,MATCH($J$3,cc_input_vu_khi!$A$2:$A$12,0))-Thap!$K$4))+1)))*INDEX(cc_input_vu_khi_suy_ra!$D$2:$D$12,MATCH($J$3,cc_input_vu_khi_suy_ra!$A$2:$A$12,0)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$12,MATCH($D$4,cc_input_vu_khi!$A$2:$A$12,0))*INDEX(cc_input_bang_xuyen_giap!$B$2:$B$7,MIN(6,MAX(1,IF(INDEX(cc_input_vu_khi_suy_ra!$B$2:$B$12,MATCH($D$4,cc_input_vu_khi_suy_ra!$A$2:$A$12,0)),MAX(1,2-(INDEX(cc_input_vu_khi!$C$2:$C$12,MATCH($D$4,cc_input_vu_khi!$A$2:$A$12,0))-Thap!$K$5)),2-(INDEX(cc_input_vu_khi!$C$2:$C$12,MATCH($D$4,cc_input_vu_khi!$A$2:$A$12,0))-Thap!$K$5))+1)))*INDEX(cc_input_vu_khi_suy_ra!$D$2:$D$12,MATCH($D$4,cc_input_vu_khi_suy_ra!$A$2:$A$12,0))&gt;0,CEILING(Thap!$J$5/(INDEX(cc_input_vu_khi!$B$2:$B$12,MATCH($D$4,cc_input_vu_khi!$A$2:$A$12,0))*INDEX(cc_input_bang_xuyen_giap!$B$2:$B$7,MIN(6,MAX(1,IF(INDEX(cc_input_vu_khi_suy_ra!$B$2:$B$12,MATCH($D$4,cc_input_vu_khi_suy_ra!$A$2:$A$12,0)),MAX(1,2-(INDEX(cc_input_vu_khi!$C$2:$C$12,MATCH($D$4,cc_input_vu_khi!$A$2:$A$12,0))-Thap!$K$5)),2-(INDEX(cc_input_vu_khi!$C$2:$C$12,MATCH($D$4,cc_input_vu_khi!$A$2:$A$12,0))-Thap!$K$5))+1)))*INDEX(cc_input_vu_khi_suy_ra!$D$2:$D$12,MATCH($D$4,cc_input_vu_khi_suy_ra!$A$2:$A$12,0))),1),""))</f>
        <v/>
      </c>
      <c r="F4" t="inlineStr">
        <is>
          <t>gun_105_wheeled_he</t>
        </is>
      </c>
      <c r="G4">
        <f>IF($F$4="","",IF(INDEX(cc_input_vu_khi!$B$2:$B$12,MATCH($F$4,cc_input_vu_khi!$A$2:$A$12,0))*INDEX(cc_input_bang_xuyen_giap!$B$2:$B$7,MIN(6,MAX(1,IF(INDEX(cc_input_vu_khi_suy_ra!$B$2:$B$12,MATCH($F$4,cc_input_vu_khi_suy_ra!$A$2:$A$12,0)),MAX(1,2-(INDEX(cc_input_vu_khi!$C$2:$C$12,MATCH($F$4,cc_input_vu_khi!$A$2:$A$12,0))-Thap!$K$5)),2-(INDEX(cc_input_vu_khi!$C$2:$C$12,MATCH($F$4,cc_input_vu_khi!$A$2:$A$12,0))-Thap!$K$5))+1)))*INDEX(cc_input_vu_khi_suy_ra!$D$2:$D$12,MATCH($F$4,cc_input_vu_khi_suy_ra!$A$2:$A$12,0))&gt;0,CEILING(Thap!$J$5/(INDEX(cc_input_vu_khi!$B$2:$B$12,MATCH($F$4,cc_input_vu_khi!$A$2:$A$12,0))*INDEX(cc_input_bang_xuyen_giap!$B$2:$B$7,MIN(6,MAX(1,IF(INDEX(cc_input_vu_khi_suy_ra!$B$2:$B$12,MATCH($F$4,cc_input_vu_khi_suy_ra!$A$2:$A$12,0)),MAX(1,2-(INDEX(cc_input_vu_khi!$C$2:$C$12,MATCH($F$4,cc_input_vu_khi!$A$2:$A$12,0))-Thap!$K$5)),2-(INDEX(cc_input_vu_khi!$C$2:$C$12,MATCH($F$4,cc_input_vu_khi!$A$2:$A$12,0))-Thap!$K$5))+1)))*INDEX(cc_input_vu_khi_suy_ra!$D$2:$D$12,MATCH($F$4,cc_input_vu_khi_suy_ra!$A$2:$A$12,0))),1),""))</f>
        <v/>
      </c>
      <c r="H4" t="inlineStr">
        <is>
          <t>khrizantema</t>
        </is>
      </c>
      <c r="I4">
        <f>IF($H$4="","",IF(INDEX(cc_input_vu_khi!$B$2:$B$12,MATCH($H$4,cc_input_vu_khi!$A$2:$A$12,0))*INDEX(cc_input_bang_xuyen_giap!$B$2:$B$7,MIN(6,MAX(1,IF(INDEX(cc_input_vu_khi_suy_ra!$B$2:$B$12,MATCH($H$4,cc_input_vu_khi_suy_ra!$A$2:$A$12,0)),MAX(1,2-(INDEX(cc_input_vu_khi!$C$2:$C$12,MATCH($H$4,cc_input_vu_khi!$A$2:$A$12,0))-Thap!$K$5)),2-(INDEX(cc_input_vu_khi!$C$2:$C$12,MATCH($H$4,cc_input_vu_khi!$A$2:$A$12,0))-Thap!$K$5))+1)))*INDEX(cc_input_vu_khi_suy_ra!$D$2:$D$12,MATCH($H$4,cc_input_vu_khi_suy_ra!$A$2:$A$12,0))&gt;0,CEILING(Thap!$J$5/(INDEX(cc_input_vu_khi!$B$2:$B$12,MATCH($H$4,cc_input_vu_khi!$A$2:$A$12,0))*INDEX(cc_input_bang_xuyen_giap!$B$2:$B$7,MIN(6,MAX(1,IF(INDEX(cc_input_vu_khi_suy_ra!$B$2:$B$12,MATCH($H$4,cc_input_vu_khi_suy_ra!$A$2:$A$12,0)),MAX(1,2-(INDEX(cc_input_vu_khi!$C$2:$C$12,MATCH($H$4,cc_input_vu_khi!$A$2:$A$12,0))-Thap!$K$5)),2-(INDEX(cc_input_vu_khi!$C$2:$C$12,MATCH($H$4,cc_input_vu_khi!$A$2:$A$12,0))-Thap!$K$5))+1)))*INDEX(cc_input_vu_khi_suy_ra!$D$2:$D$12,MATCH($H$4,cc_input_vu_khi_suy_ra!$A$2:$A$12,0))),1),""))</f>
        <v/>
      </c>
      <c r="J4" t="inlineStr">
        <is>
          <t>caesar_155</t>
        </is>
      </c>
      <c r="K4">
        <f>IF($J$4="","",IF(INDEX(cc_input_vu_khi!$B$2:$B$12,MATCH($J$4,cc_input_vu_khi!$A$2:$A$12,0))*INDEX(cc_input_bang_xuyen_giap!$B$2:$B$7,MIN(6,MAX(1,IF(INDEX(cc_input_vu_khi_suy_ra!$B$2:$B$12,MATCH($J$4,cc_input_vu_khi_suy_ra!$A$2:$A$12,0)),MAX(1,2-(INDEX(cc_input_vu_khi!$C$2:$C$12,MATCH($J$4,cc_input_vu_khi!$A$2:$A$12,0))-Thap!$K$5)),2-(INDEX(cc_input_vu_khi!$C$2:$C$12,MATCH($J$4,cc_input_vu_khi!$A$2:$A$12,0))-Thap!$K$5))+1)))*INDEX(cc_input_vu_khi_suy_ra!$D$2:$D$12,MATCH($J$4,cc_input_vu_khi_suy_ra!$A$2:$A$12,0))&gt;0,CEILING(Thap!$J$5/(INDEX(cc_input_vu_khi!$B$2:$B$12,MATCH($J$4,cc_input_vu_khi!$A$2:$A$12,0))*INDEX(cc_input_bang_xuyen_giap!$B$2:$B$7,MIN(6,MAX(1,IF(INDEX(cc_input_vu_khi_suy_ra!$B$2:$B$12,MATCH($J$4,cc_input_vu_khi_suy_ra!$A$2:$A$12,0)),MAX(1,2-(INDEX(cc_input_vu_khi!$C$2:$C$12,MATCH($J$4,cc_input_vu_khi!$A$2:$A$12,0))-Thap!$K$5)),2-(INDEX(cc_input_vu_khi!$C$2:$C$12,MATCH($J$4,cc_input_vu_khi!$A$2:$A$12,0))-Thap!$K$5))+1)))*INDEX(cc_input_vu_khi_suy_ra!$D$2:$D$12,MATCH($J$4,cc_input_vu_khi_suy_ra!$A$2:$A$12,0)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artillery_emplacement</t>
        </is>
      </c>
      <c r="B5">
        <f>Thap_gia_cong_thuc!$Q$5</f>
        <v/>
      </c>
      <c r="C5">
        <f>IF(ISNUMBER($B$5),$B$5/Thap!$BN$6,"")</f>
        <v/>
      </c>
      <c r="D5" t="inlineStr">
        <is>
          <t>gun_125_armata_ke</t>
        </is>
      </c>
      <c r="E5">
        <f>IF($D$5="","",IF(INDEX(cc_input_vu_khi!$B$2:$B$12,MATCH($D$5,cc_input_vu_khi!$A$2:$A$12,0))*INDEX(cc_input_bang_xuyen_giap!$B$2:$B$7,MIN(6,MAX(1,IF(INDEX(cc_input_vu_khi_suy_ra!$B$2:$B$12,MATCH($D$5,cc_input_vu_khi_suy_ra!$A$2:$A$12,0)),MAX(1,2-(INDEX(cc_input_vu_khi!$C$2:$C$12,MATCH($D$5,cc_input_vu_khi!$A$2:$A$12,0))-Thap!$K$6)),2-(INDEX(cc_input_vu_khi!$C$2:$C$12,MATCH($D$5,cc_input_vu_khi!$A$2:$A$12,0))-Thap!$K$6))+1)))*INDEX(cc_input_vu_khi_suy_ra!$D$2:$D$12,MATCH($D$5,cc_input_vu_khi_suy_ra!$A$2:$A$12,0))&gt;0,CEILING(Thap!$J$6/(INDEX(cc_input_vu_khi!$B$2:$B$12,MATCH($D$5,cc_input_vu_khi!$A$2:$A$12,0))*INDEX(cc_input_bang_xuyen_giap!$B$2:$B$7,MIN(6,MAX(1,IF(INDEX(cc_input_vu_khi_suy_ra!$B$2:$B$12,MATCH($D$5,cc_input_vu_khi_suy_ra!$A$2:$A$12,0)),MAX(1,2-(INDEX(cc_input_vu_khi!$C$2:$C$12,MATCH($D$5,cc_input_vu_khi!$A$2:$A$12,0))-Thap!$K$6)),2-(INDEX(cc_input_vu_khi!$C$2:$C$12,MATCH($D$5,cc_input_vu_khi!$A$2:$A$12,0))-Thap!$K$6))+1)))*INDEX(cc_input_vu_khi_suy_ra!$D$2:$D$12,MATCH($D$5,cc_input_vu_khi_suy_ra!$A$2:$A$12,0))),1),""))</f>
        <v/>
      </c>
      <c r="F5" t="inlineStr">
        <is>
          <t>gun_155_crusader</t>
        </is>
      </c>
      <c r="G5">
        <f>IF($F$5="","",IF(INDEX(cc_input_vu_khi!$B$2:$B$12,MATCH($F$5,cc_input_vu_khi!$A$2:$A$12,0))*INDEX(cc_input_bang_xuyen_giap!$B$2:$B$7,MIN(6,MAX(1,IF(INDEX(cc_input_vu_khi_suy_ra!$B$2:$B$12,MATCH($F$5,cc_input_vu_khi_suy_ra!$A$2:$A$12,0)),MAX(1,2-(INDEX(cc_input_vu_khi!$C$2:$C$12,MATCH($F$5,cc_input_vu_khi!$A$2:$A$12,0))-Thap!$K$6)),2-(INDEX(cc_input_vu_khi!$C$2:$C$12,MATCH($F$5,cc_input_vu_khi!$A$2:$A$12,0))-Thap!$K$6))+1)))*INDEX(cc_input_vu_khi_suy_ra!$D$2:$D$12,MATCH($F$5,cc_input_vu_khi_suy_ra!$A$2:$A$12,0))&gt;0,CEILING(Thap!$J$6/(INDEX(cc_input_vu_khi!$B$2:$B$12,MATCH($F$5,cc_input_vu_khi!$A$2:$A$12,0))*INDEX(cc_input_bang_xuyen_giap!$B$2:$B$7,MIN(6,MAX(1,IF(INDEX(cc_input_vu_khi_suy_ra!$B$2:$B$12,MATCH($F$5,cc_input_vu_khi_suy_ra!$A$2:$A$12,0)),MAX(1,2-(INDEX(cc_input_vu_khi!$C$2:$C$12,MATCH($F$5,cc_input_vu_khi!$A$2:$A$12,0))-Thap!$K$6)),2-(INDEX(cc_input_vu_khi!$C$2:$C$12,MATCH($F$5,cc_input_vu_khi!$A$2:$A$12,0))-Thap!$K$6))+1)))*INDEX(cc_input_vu_khi_suy_ra!$D$2:$D$12,MATCH($F$5,cc_input_vu_khi_suy_ra!$A$2:$A$12,0))),1),""))</f>
        <v/>
      </c>
      <c r="H5" t="inlineStr">
        <is>
          <t>spike_nlos</t>
        </is>
      </c>
      <c r="I5">
        <f>IF($H$5="","",IF(INDEX(cc_input_vu_khi!$B$2:$B$12,MATCH($H$5,cc_input_vu_khi!$A$2:$A$12,0))*INDEX(cc_input_bang_xuyen_giap!$B$2:$B$7,MIN(6,MAX(1,IF(INDEX(cc_input_vu_khi_suy_ra!$B$2:$B$12,MATCH($H$5,cc_input_vu_khi_suy_ra!$A$2:$A$12,0)),MAX(1,2-(INDEX(cc_input_vu_khi!$C$2:$C$12,MATCH($H$5,cc_input_vu_khi!$A$2:$A$12,0))-Thap!$K$6)),2-(INDEX(cc_input_vu_khi!$C$2:$C$12,MATCH($H$5,cc_input_vu_khi!$A$2:$A$12,0))-Thap!$K$6))+1)))*INDEX(cc_input_vu_khi_suy_ra!$D$2:$D$12,MATCH($H$5,cc_input_vu_khi_suy_ra!$A$2:$A$12,0))&gt;0,CEILING(Thap!$J$6/(INDEX(cc_input_vu_khi!$B$2:$B$12,MATCH($H$5,cc_input_vu_khi!$A$2:$A$12,0))*INDEX(cc_input_bang_xuyen_giap!$B$2:$B$7,MIN(6,MAX(1,IF(INDEX(cc_input_vu_khi_suy_ra!$B$2:$B$12,MATCH($H$5,cc_input_vu_khi_suy_ra!$A$2:$A$12,0)),MAX(1,2-(INDEX(cc_input_vu_khi!$C$2:$C$12,MATCH($H$5,cc_input_vu_khi!$A$2:$A$12,0))-Thap!$K$6)),2-(INDEX(cc_input_vu_khi!$C$2:$C$12,MATCH($H$5,cc_input_vu_khi!$A$2:$A$12,0))-Thap!$K$6))+1)))*INDEX(cc_input_vu_khi_suy_ra!$D$2:$D$12,MATCH($H$5,cc_input_vu_khi_suy_ra!$A$2:$A$12,0))),1),""))</f>
        <v/>
      </c>
      <c r="J5" t="inlineStr">
        <is>
          <t>thermobaric_rockets</t>
        </is>
      </c>
      <c r="K5">
        <f>IF($J$5="","",IF(INDEX(cc_input_vu_khi!$B$2:$B$12,MATCH($J$5,cc_input_vu_khi!$A$2:$A$12,0))*INDEX(cc_input_bang_xuyen_giap!$B$2:$B$7,MIN(6,MAX(1,IF(INDEX(cc_input_vu_khi_suy_ra!$B$2:$B$12,MATCH($J$5,cc_input_vu_khi_suy_ra!$A$2:$A$12,0)),MAX(1,2-(INDEX(cc_input_vu_khi!$C$2:$C$12,MATCH($J$5,cc_input_vu_khi!$A$2:$A$12,0))-Thap!$K$6)),2-(INDEX(cc_input_vu_khi!$C$2:$C$12,MATCH($J$5,cc_input_vu_khi!$A$2:$A$12,0))-Thap!$K$6))+1)))*INDEX(cc_input_vu_khi_suy_ra!$D$2:$D$12,MATCH($J$5,cc_input_vu_khi_suy_ra!$A$2:$A$12,0))&gt;0,CEILING(Thap!$J$6/(INDEX(cc_input_vu_khi!$B$2:$B$12,MATCH($J$5,cc_input_vu_khi!$A$2:$A$12,0))*INDEX(cc_input_bang_xuyen_giap!$B$2:$B$7,MIN(6,MAX(1,IF(INDEX(cc_input_vu_khi_suy_ra!$B$2:$B$12,MATCH($J$5,cc_input_vu_khi_suy_ra!$A$2:$A$12,0)),MAX(1,2-(INDEX(cc_input_vu_khi!$C$2:$C$12,MATCH($J$5,cc_input_vu_khi!$A$2:$A$12,0))-Thap!$K$6)),2-(INDEX(cc_input_vu_khi!$C$2:$C$12,MATCH($J$5,cc_input_vu_khi!$A$2:$A$12,0))-Thap!$K$6))+1)))*INDEX(cc_input_vu_khi_suy_ra!$D$2:$D$12,MATCH($J$5,cc_input_vu_khi_suy_ra!$A$2:$A$12,0))),1),""))</f>
        <v/>
      </c>
      <c r="L5" t="inlineStr">
        <is>
          <t>Tools/balance/p32_tower_prices.py Model.price('artillery_emplacement') + threats('Large')</t>
        </is>
      </c>
      <c r="M5" t="inlineStr"/>
    </row>
    <row r="6">
      <c r="A6" t="inlineStr">
        <is>
          <t>artillery_emplacement.cb</t>
        </is>
      </c>
      <c r="B6">
        <f>Thap_gia_cong_thuc!$Q$6</f>
        <v/>
      </c>
      <c r="C6">
        <f>IF(ISNUMBER($B$6),$B$6/Thap!$BN$7,"")</f>
        <v/>
      </c>
      <c r="D6" t="inlineStr">
        <is>
          <t>gun_125_armata_ke</t>
        </is>
      </c>
      <c r="E6">
        <f>IF($D$6="","",IF(INDEX(cc_input_vu_khi!$B$2:$B$12,MATCH($D$6,cc_input_vu_khi!$A$2:$A$12,0))*INDEX(cc_input_bang_xuyen_giap!$B$2:$B$7,MIN(6,MAX(1,IF(INDEX(cc_input_vu_khi_suy_ra!$B$2:$B$12,MATCH($D$6,cc_input_vu_khi_suy_ra!$A$2:$A$12,0)),MAX(1,2-(INDEX(cc_input_vu_khi!$C$2:$C$12,MATCH($D$6,cc_input_vu_khi!$A$2:$A$12,0))-Thap!$K$7)),2-(INDEX(cc_input_vu_khi!$C$2:$C$12,MATCH($D$6,cc_input_vu_khi!$A$2:$A$12,0))-Thap!$K$7))+1)))*INDEX(cc_input_vu_khi_suy_ra!$D$2:$D$12,MATCH($D$6,cc_input_vu_khi_suy_ra!$A$2:$A$12,0))&gt;0,CEILING(Thap!$J$7/(INDEX(cc_input_vu_khi!$B$2:$B$12,MATCH($D$6,cc_input_vu_khi!$A$2:$A$12,0))*INDEX(cc_input_bang_xuyen_giap!$B$2:$B$7,MIN(6,MAX(1,IF(INDEX(cc_input_vu_khi_suy_ra!$B$2:$B$12,MATCH($D$6,cc_input_vu_khi_suy_ra!$A$2:$A$12,0)),MAX(1,2-(INDEX(cc_input_vu_khi!$C$2:$C$12,MATCH($D$6,cc_input_vu_khi!$A$2:$A$12,0))-Thap!$K$7)),2-(INDEX(cc_input_vu_khi!$C$2:$C$12,MATCH($D$6,cc_input_vu_khi!$A$2:$A$12,0))-Thap!$K$7))+1)))*INDEX(cc_input_vu_khi_suy_ra!$D$2:$D$12,MATCH($D$6,cc_input_vu_khi_suy_ra!$A$2:$A$12,0))),1),""))</f>
        <v/>
      </c>
      <c r="F6" t="inlineStr">
        <is>
          <t>gun_155_crusader</t>
        </is>
      </c>
      <c r="G6">
        <f>IF($F$6="","",IF(INDEX(cc_input_vu_khi!$B$2:$B$12,MATCH($F$6,cc_input_vu_khi!$A$2:$A$12,0))*INDEX(cc_input_bang_xuyen_giap!$B$2:$B$7,MIN(6,MAX(1,IF(INDEX(cc_input_vu_khi_suy_ra!$B$2:$B$12,MATCH($F$6,cc_input_vu_khi_suy_ra!$A$2:$A$12,0)),MAX(1,2-(INDEX(cc_input_vu_khi!$C$2:$C$12,MATCH($F$6,cc_input_vu_khi!$A$2:$A$12,0))-Thap!$K$7)),2-(INDEX(cc_input_vu_khi!$C$2:$C$12,MATCH($F$6,cc_input_vu_khi!$A$2:$A$12,0))-Thap!$K$7))+1)))*INDEX(cc_input_vu_khi_suy_ra!$D$2:$D$12,MATCH($F$6,cc_input_vu_khi_suy_ra!$A$2:$A$12,0))&gt;0,CEILING(Thap!$J$7/(INDEX(cc_input_vu_khi!$B$2:$B$12,MATCH($F$6,cc_input_vu_khi!$A$2:$A$12,0))*INDEX(cc_input_bang_xuyen_giap!$B$2:$B$7,MIN(6,MAX(1,IF(INDEX(cc_input_vu_khi_suy_ra!$B$2:$B$12,MATCH($F$6,cc_input_vu_khi_suy_ra!$A$2:$A$12,0)),MAX(1,2-(INDEX(cc_input_vu_khi!$C$2:$C$12,MATCH($F$6,cc_input_vu_khi!$A$2:$A$12,0))-Thap!$K$7)),2-(INDEX(cc_input_vu_khi!$C$2:$C$12,MATCH($F$6,cc_input_vu_khi!$A$2:$A$12,0))-Thap!$K$7))+1)))*INDEX(cc_input_vu_khi_suy_ra!$D$2:$D$12,MATCH($F$6,cc_input_vu_khi_suy_ra!$A$2:$A$12,0))),1),""))</f>
        <v/>
      </c>
      <c r="H6" t="inlineStr">
        <is>
          <t>spike_nlos</t>
        </is>
      </c>
      <c r="I6">
        <f>IF($H$6="","",IF(INDEX(cc_input_vu_khi!$B$2:$B$12,MATCH($H$6,cc_input_vu_khi!$A$2:$A$12,0))*INDEX(cc_input_bang_xuyen_giap!$B$2:$B$7,MIN(6,MAX(1,IF(INDEX(cc_input_vu_khi_suy_ra!$B$2:$B$12,MATCH($H$6,cc_input_vu_khi_suy_ra!$A$2:$A$12,0)),MAX(1,2-(INDEX(cc_input_vu_khi!$C$2:$C$12,MATCH($H$6,cc_input_vu_khi!$A$2:$A$12,0))-Thap!$K$7)),2-(INDEX(cc_input_vu_khi!$C$2:$C$12,MATCH($H$6,cc_input_vu_khi!$A$2:$A$12,0))-Thap!$K$7))+1)))*INDEX(cc_input_vu_khi_suy_ra!$D$2:$D$12,MATCH($H$6,cc_input_vu_khi_suy_ra!$A$2:$A$12,0))&gt;0,CEILING(Thap!$J$7/(INDEX(cc_input_vu_khi!$B$2:$B$12,MATCH($H$6,cc_input_vu_khi!$A$2:$A$12,0))*INDEX(cc_input_bang_xuyen_giap!$B$2:$B$7,MIN(6,MAX(1,IF(INDEX(cc_input_vu_khi_suy_ra!$B$2:$B$12,MATCH($H$6,cc_input_vu_khi_suy_ra!$A$2:$A$12,0)),MAX(1,2-(INDEX(cc_input_vu_khi!$C$2:$C$12,MATCH($H$6,cc_input_vu_khi!$A$2:$A$12,0))-Thap!$K$7)),2-(INDEX(cc_input_vu_khi!$C$2:$C$12,MATCH($H$6,cc_input_vu_khi!$A$2:$A$12,0))-Thap!$K$7))+1)))*INDEX(cc_input_vu_khi_suy_ra!$D$2:$D$12,MATCH($H$6,cc_input_vu_khi_suy_ra!$A$2:$A$12,0))),1),""))</f>
        <v/>
      </c>
      <c r="J6" t="inlineStr">
        <is>
          <t>thermobaric_rockets</t>
        </is>
      </c>
      <c r="K6">
        <f>IF($J$6="","",IF(INDEX(cc_input_vu_khi!$B$2:$B$12,MATCH($J$6,cc_input_vu_khi!$A$2:$A$12,0))*INDEX(cc_input_bang_xuyen_giap!$B$2:$B$7,MIN(6,MAX(1,IF(INDEX(cc_input_vu_khi_suy_ra!$B$2:$B$12,MATCH($J$6,cc_input_vu_khi_suy_ra!$A$2:$A$12,0)),MAX(1,2-(INDEX(cc_input_vu_khi!$C$2:$C$12,MATCH($J$6,cc_input_vu_khi!$A$2:$A$12,0))-Thap!$K$7)),2-(INDEX(cc_input_vu_khi!$C$2:$C$12,MATCH($J$6,cc_input_vu_khi!$A$2:$A$12,0))-Thap!$K$7))+1)))*INDEX(cc_input_vu_khi_suy_ra!$D$2:$D$12,MATCH($J$6,cc_input_vu_khi_suy_ra!$A$2:$A$12,0))&gt;0,CEILING(Thap!$J$7/(INDEX(cc_input_vu_khi!$B$2:$B$12,MATCH($J$6,cc_input_vu_khi!$A$2:$A$12,0))*INDEX(cc_input_bang_xuyen_giap!$B$2:$B$7,MIN(6,MAX(1,IF(INDEX(cc_input_vu_khi_suy_ra!$B$2:$B$12,MATCH($J$6,cc_input_vu_khi_suy_ra!$A$2:$A$12,0)),MAX(1,2-(INDEX(cc_input_vu_khi!$C$2:$C$12,MATCH($J$6,cc_input_vu_khi!$A$2:$A$12,0))-Thap!$K$7)),2-(INDEX(cc_input_vu_khi!$C$2:$C$12,MATCH($J$6,cc_input_vu_khi!$A$2:$A$12,0))-Thap!$K$7))+1)))*INDEX(cc_input_vu_khi_suy_ra!$D$2:$D$12,MATCH($J$6,cc_input_vu_khi_suy_ra!$A$2:$A$12,0))),1),""))</f>
        <v/>
      </c>
      <c r="L6" t="inlineStr">
        <is>
          <t>Tools/balance/p32_tower_prices.py Model.price('artillery_emplacement.cb') + threats('Large')</t>
        </is>
      </c>
      <c r="M6" t="inlineStr"/>
    </row>
    <row r="7">
      <c r="A7" t="inlineStr">
        <is>
          <t>artillery_emplacement.mortar</t>
        </is>
      </c>
      <c r="B7">
        <f>Thap_gia_cong_thuc!$Q$7</f>
        <v/>
      </c>
      <c r="C7">
        <f>IF(ISNUMBER($B$7),$B$7/Thap!$BN$8,"")</f>
        <v/>
      </c>
      <c r="D7" t="inlineStr">
        <is>
          <t>gun_125_armata_ke</t>
        </is>
      </c>
      <c r="E7">
        <f>IF($D$7="","",IF(INDEX(cc_input_vu_khi!$B$2:$B$12,MATCH($D$7,cc_input_vu_khi!$A$2:$A$12,0))*INDEX(cc_input_bang_xuyen_giap!$B$2:$B$7,MIN(6,MAX(1,IF(INDEX(cc_input_vu_khi_suy_ra!$B$2:$B$12,MATCH($D$7,cc_input_vu_khi_suy_ra!$A$2:$A$12,0)),MAX(1,2-(INDEX(cc_input_vu_khi!$C$2:$C$12,MATCH($D$7,cc_input_vu_khi!$A$2:$A$12,0))-Thap!$K$8)),2-(INDEX(cc_input_vu_khi!$C$2:$C$12,MATCH($D$7,cc_input_vu_khi!$A$2:$A$12,0))-Thap!$K$8))+1)))*INDEX(cc_input_vu_khi_suy_ra!$D$2:$D$12,MATCH($D$7,cc_input_vu_khi_suy_ra!$A$2:$A$12,0))&gt;0,CEILING(Thap!$J$8/(INDEX(cc_input_vu_khi!$B$2:$B$12,MATCH($D$7,cc_input_vu_khi!$A$2:$A$12,0))*INDEX(cc_input_bang_xuyen_giap!$B$2:$B$7,MIN(6,MAX(1,IF(INDEX(cc_input_vu_khi_suy_ra!$B$2:$B$12,MATCH($D$7,cc_input_vu_khi_suy_ra!$A$2:$A$12,0)),MAX(1,2-(INDEX(cc_input_vu_khi!$C$2:$C$12,MATCH($D$7,cc_input_vu_khi!$A$2:$A$12,0))-Thap!$K$8)),2-(INDEX(cc_input_vu_khi!$C$2:$C$12,MATCH($D$7,cc_input_vu_khi!$A$2:$A$12,0))-Thap!$K$8))+1)))*INDEX(cc_input_vu_khi_suy_ra!$D$2:$D$12,MATCH($D$7,cc_input_vu_khi_suy_ra!$A$2:$A$12,0))),1),""))</f>
        <v/>
      </c>
      <c r="F7" t="inlineStr">
        <is>
          <t>gun_155_crusader</t>
        </is>
      </c>
      <c r="G7">
        <f>IF($F$7="","",IF(INDEX(cc_input_vu_khi!$B$2:$B$12,MATCH($F$7,cc_input_vu_khi!$A$2:$A$12,0))*INDEX(cc_input_bang_xuyen_giap!$B$2:$B$7,MIN(6,MAX(1,IF(INDEX(cc_input_vu_khi_suy_ra!$B$2:$B$12,MATCH($F$7,cc_input_vu_khi_suy_ra!$A$2:$A$12,0)),MAX(1,2-(INDEX(cc_input_vu_khi!$C$2:$C$12,MATCH($F$7,cc_input_vu_khi!$A$2:$A$12,0))-Thap!$K$8)),2-(INDEX(cc_input_vu_khi!$C$2:$C$12,MATCH($F$7,cc_input_vu_khi!$A$2:$A$12,0))-Thap!$K$8))+1)))*INDEX(cc_input_vu_khi_suy_ra!$D$2:$D$12,MATCH($F$7,cc_input_vu_khi_suy_ra!$A$2:$A$12,0))&gt;0,CEILING(Thap!$J$8/(INDEX(cc_input_vu_khi!$B$2:$B$12,MATCH($F$7,cc_input_vu_khi!$A$2:$A$12,0))*INDEX(cc_input_bang_xuyen_giap!$B$2:$B$7,MIN(6,MAX(1,IF(INDEX(cc_input_vu_khi_suy_ra!$B$2:$B$12,MATCH($F$7,cc_input_vu_khi_suy_ra!$A$2:$A$12,0)),MAX(1,2-(INDEX(cc_input_vu_khi!$C$2:$C$12,MATCH($F$7,cc_input_vu_khi!$A$2:$A$12,0))-Thap!$K$8)),2-(INDEX(cc_input_vu_khi!$C$2:$C$12,MATCH($F$7,cc_input_vu_khi!$A$2:$A$12,0))-Thap!$K$8))+1)))*INDEX(cc_input_vu_khi_suy_ra!$D$2:$D$12,MATCH($F$7,cc_input_vu_khi_suy_ra!$A$2:$A$12,0))),1),""))</f>
        <v/>
      </c>
      <c r="H7" t="inlineStr">
        <is>
          <t>spike_nlos</t>
        </is>
      </c>
      <c r="I7">
        <f>IF($H$7="","",IF(INDEX(cc_input_vu_khi!$B$2:$B$12,MATCH($H$7,cc_input_vu_khi!$A$2:$A$12,0))*INDEX(cc_input_bang_xuyen_giap!$B$2:$B$7,MIN(6,MAX(1,IF(INDEX(cc_input_vu_khi_suy_ra!$B$2:$B$12,MATCH($H$7,cc_input_vu_khi_suy_ra!$A$2:$A$12,0)),MAX(1,2-(INDEX(cc_input_vu_khi!$C$2:$C$12,MATCH($H$7,cc_input_vu_khi!$A$2:$A$12,0))-Thap!$K$8)),2-(INDEX(cc_input_vu_khi!$C$2:$C$12,MATCH($H$7,cc_input_vu_khi!$A$2:$A$12,0))-Thap!$K$8))+1)))*INDEX(cc_input_vu_khi_suy_ra!$D$2:$D$12,MATCH($H$7,cc_input_vu_khi_suy_ra!$A$2:$A$12,0))&gt;0,CEILING(Thap!$J$8/(INDEX(cc_input_vu_khi!$B$2:$B$12,MATCH($H$7,cc_input_vu_khi!$A$2:$A$12,0))*INDEX(cc_input_bang_xuyen_giap!$B$2:$B$7,MIN(6,MAX(1,IF(INDEX(cc_input_vu_khi_suy_ra!$B$2:$B$12,MATCH($H$7,cc_input_vu_khi_suy_ra!$A$2:$A$12,0)),MAX(1,2-(INDEX(cc_input_vu_khi!$C$2:$C$12,MATCH($H$7,cc_input_vu_khi!$A$2:$A$12,0))-Thap!$K$8)),2-(INDEX(cc_input_vu_khi!$C$2:$C$12,MATCH($H$7,cc_input_vu_khi!$A$2:$A$12,0))-Thap!$K$8))+1)))*INDEX(cc_input_vu_khi_suy_ra!$D$2:$D$12,MATCH($H$7,cc_input_vu_khi_suy_ra!$A$2:$A$12,0))),1),""))</f>
        <v/>
      </c>
      <c r="J7" t="inlineStr">
        <is>
          <t>thermobaric_rockets</t>
        </is>
      </c>
      <c r="K7">
        <f>IF($J$7="","",IF(INDEX(cc_input_vu_khi!$B$2:$B$12,MATCH($J$7,cc_input_vu_khi!$A$2:$A$12,0))*INDEX(cc_input_bang_xuyen_giap!$B$2:$B$7,MIN(6,MAX(1,IF(INDEX(cc_input_vu_khi_suy_ra!$B$2:$B$12,MATCH($J$7,cc_input_vu_khi_suy_ra!$A$2:$A$12,0)),MAX(1,2-(INDEX(cc_input_vu_khi!$C$2:$C$12,MATCH($J$7,cc_input_vu_khi!$A$2:$A$12,0))-Thap!$K$8)),2-(INDEX(cc_input_vu_khi!$C$2:$C$12,MATCH($J$7,cc_input_vu_khi!$A$2:$A$12,0))-Thap!$K$8))+1)))*INDEX(cc_input_vu_khi_suy_ra!$D$2:$D$12,MATCH($J$7,cc_input_vu_khi_suy_ra!$A$2:$A$12,0))&gt;0,CEILING(Thap!$J$8/(INDEX(cc_input_vu_khi!$B$2:$B$12,MATCH($J$7,cc_input_vu_khi!$A$2:$A$12,0))*INDEX(cc_input_bang_xuyen_giap!$B$2:$B$7,MIN(6,MAX(1,IF(INDEX(cc_input_vu_khi_suy_ra!$B$2:$B$12,MATCH($J$7,cc_input_vu_khi_suy_ra!$A$2:$A$12,0)),MAX(1,2-(INDEX(cc_input_vu_khi!$C$2:$C$12,MATCH($J$7,cc_input_vu_khi!$A$2:$A$12,0))-Thap!$K$8)),2-(INDEX(cc_input_vu_khi!$C$2:$C$12,MATCH($J$7,cc_input_vu_khi!$A$2:$A$12,0))-Thap!$K$8))+1)))*INDEX(cc_input_vu_khi_suy_ra!$D$2:$D$12,MATCH($J$7,cc_input_vu_khi_suy_ra!$A$2:$A$12,0))),1),""))</f>
        <v/>
      </c>
      <c r="L7" t="inlineStr">
        <is>
          <t>Tools/balance/p32_tower_prices.py Model.price('artillery_emplacement.mortar') + threats('Large')</t>
        </is>
      </c>
      <c r="M7" t="inlineStr"/>
    </row>
    <row r="8">
      <c r="A8" t="inlineStr">
        <is>
          <t>at_gun_emplacement</t>
        </is>
      </c>
      <c r="B8">
        <f>Thap_gia_cong_thuc!$Q$8</f>
        <v/>
      </c>
      <c r="C8">
        <f>IF(ISNUMBER($B$8),$B$8/Thap!$BN$9,"")</f>
        <v/>
      </c>
      <c r="D8" t="inlineStr">
        <is>
          <t>ifv_30</t>
        </is>
      </c>
      <c r="E8">
        <f>IF($D$8="","",IF(INDEX(cc_input_vu_khi!$B$2:$B$12,MATCH($D$8,cc_input_vu_khi!$A$2:$A$12,0))*INDEX(cc_input_bang_xuyen_giap!$B$2:$B$7,MIN(6,MAX(1,IF(INDEX(cc_input_vu_khi_suy_ra!$B$2:$B$12,MATCH($D$8,cc_input_vu_khi_suy_ra!$A$2:$A$12,0)),MAX(1,2-(INDEX(cc_input_vu_khi!$C$2:$C$12,MATCH($D$8,cc_input_vu_khi!$A$2:$A$12,0))-Thap!$K$9)),2-(INDEX(cc_input_vu_khi!$C$2:$C$12,MATCH($D$8,cc_input_vu_khi!$A$2:$A$12,0))-Thap!$K$9))+1)))*INDEX(cc_input_vu_khi_suy_ra!$D$2:$D$12,MATCH($D$8,cc_input_vu_khi_suy_ra!$A$2:$A$12,0))&gt;0,CEILING(Thap!$J$9/(INDEX(cc_input_vu_khi!$B$2:$B$12,MATCH($D$8,cc_input_vu_khi!$A$2:$A$12,0))*INDEX(cc_input_bang_xuyen_giap!$B$2:$B$7,MIN(6,MAX(1,IF(INDEX(cc_input_vu_khi_suy_ra!$B$2:$B$12,MATCH($D$8,cc_input_vu_khi_suy_ra!$A$2:$A$12,0)),MAX(1,2-(INDEX(cc_input_vu_khi!$C$2:$C$12,MATCH($D$8,cc_input_vu_khi!$A$2:$A$12,0))-Thap!$K$9)),2-(INDEX(cc_input_vu_khi!$C$2:$C$12,MATCH($D$8,cc_input_vu_khi!$A$2:$A$12,0))-Thap!$K$9))+1)))*INDEX(cc_input_vu_khi_suy_ra!$D$2:$D$12,MATCH($D$8,cc_input_vu_khi_suy_ra!$A$2:$A$12,0))),1),""))</f>
        <v/>
      </c>
      <c r="F8" t="inlineStr">
        <is>
          <t>gun_105_wheeled_he</t>
        </is>
      </c>
      <c r="G8">
        <f>IF($F$8="","",IF(INDEX(cc_input_vu_khi!$B$2:$B$12,MATCH($F$8,cc_input_vu_khi!$A$2:$A$12,0))*INDEX(cc_input_bang_xuyen_giap!$B$2:$B$7,MIN(6,MAX(1,IF(INDEX(cc_input_vu_khi_suy_ra!$B$2:$B$12,MATCH($F$8,cc_input_vu_khi_suy_ra!$A$2:$A$12,0)),MAX(1,2-(INDEX(cc_input_vu_khi!$C$2:$C$12,MATCH($F$8,cc_input_vu_khi!$A$2:$A$12,0))-Thap!$K$9)),2-(INDEX(cc_input_vu_khi!$C$2:$C$12,MATCH($F$8,cc_input_vu_khi!$A$2:$A$12,0))-Thap!$K$9))+1)))*INDEX(cc_input_vu_khi_suy_ra!$D$2:$D$12,MATCH($F$8,cc_input_vu_khi_suy_ra!$A$2:$A$12,0))&gt;0,CEILING(Thap!$J$9/(INDEX(cc_input_vu_khi!$B$2:$B$12,MATCH($F$8,cc_input_vu_khi!$A$2:$A$12,0))*INDEX(cc_input_bang_xuyen_giap!$B$2:$B$7,MIN(6,MAX(1,IF(INDEX(cc_input_vu_khi_suy_ra!$B$2:$B$12,MATCH($F$8,cc_input_vu_khi_suy_ra!$A$2:$A$12,0)),MAX(1,2-(INDEX(cc_input_vu_khi!$C$2:$C$12,MATCH($F$8,cc_input_vu_khi!$A$2:$A$12,0))-Thap!$K$9)),2-(INDEX(cc_input_vu_khi!$C$2:$C$12,MATCH($F$8,cc_input_vu_khi!$A$2:$A$12,0))-Thap!$K$9))+1)))*INDEX(cc_input_vu_khi_suy_ra!$D$2:$D$12,MATCH($F$8,cc_input_vu_khi_suy_ra!$A$2:$A$12,0))),1),""))</f>
        <v/>
      </c>
      <c r="H8" t="inlineStr">
        <is>
          <t>khrizantema</t>
        </is>
      </c>
      <c r="I8">
        <f>IF($H$8="","",IF(INDEX(cc_input_vu_khi!$B$2:$B$12,MATCH($H$8,cc_input_vu_khi!$A$2:$A$12,0))*INDEX(cc_input_bang_xuyen_giap!$B$2:$B$7,MIN(6,MAX(1,IF(INDEX(cc_input_vu_khi_suy_ra!$B$2:$B$12,MATCH($H$8,cc_input_vu_khi_suy_ra!$A$2:$A$12,0)),MAX(1,2-(INDEX(cc_input_vu_khi!$C$2:$C$12,MATCH($H$8,cc_input_vu_khi!$A$2:$A$12,0))-Thap!$K$9)),2-(INDEX(cc_input_vu_khi!$C$2:$C$12,MATCH($H$8,cc_input_vu_khi!$A$2:$A$12,0))-Thap!$K$9))+1)))*INDEX(cc_input_vu_khi_suy_ra!$D$2:$D$12,MATCH($H$8,cc_input_vu_khi_suy_ra!$A$2:$A$12,0))&gt;0,CEILING(Thap!$J$9/(INDEX(cc_input_vu_khi!$B$2:$B$12,MATCH($H$8,cc_input_vu_khi!$A$2:$A$12,0))*INDEX(cc_input_bang_xuyen_giap!$B$2:$B$7,MIN(6,MAX(1,IF(INDEX(cc_input_vu_khi_suy_ra!$B$2:$B$12,MATCH($H$8,cc_input_vu_khi_suy_ra!$A$2:$A$12,0)),MAX(1,2-(INDEX(cc_input_vu_khi!$C$2:$C$12,MATCH($H$8,cc_input_vu_khi!$A$2:$A$12,0))-Thap!$K$9)),2-(INDEX(cc_input_vu_khi!$C$2:$C$12,MATCH($H$8,cc_input_vu_khi!$A$2:$A$12,0))-Thap!$K$9))+1)))*INDEX(cc_input_vu_khi_suy_ra!$D$2:$D$12,MATCH($H$8,cc_input_vu_khi_suy_ra!$A$2:$A$12,0))),1),""))</f>
        <v/>
      </c>
      <c r="J8" t="inlineStr">
        <is>
          <t>caesar_155</t>
        </is>
      </c>
      <c r="K8">
        <f>IF($J$8="","",IF(INDEX(cc_input_vu_khi!$B$2:$B$12,MATCH($J$8,cc_input_vu_khi!$A$2:$A$12,0))*INDEX(cc_input_bang_xuyen_giap!$B$2:$B$7,MIN(6,MAX(1,IF(INDEX(cc_input_vu_khi_suy_ra!$B$2:$B$12,MATCH($J$8,cc_input_vu_khi_suy_ra!$A$2:$A$12,0)),MAX(1,2-(INDEX(cc_input_vu_khi!$C$2:$C$12,MATCH($J$8,cc_input_vu_khi!$A$2:$A$12,0))-Thap!$K$9)),2-(INDEX(cc_input_vu_khi!$C$2:$C$12,MATCH($J$8,cc_input_vu_khi!$A$2:$A$12,0))-Thap!$K$9))+1)))*INDEX(cc_input_vu_khi_suy_ra!$D$2:$D$12,MATCH($J$8,cc_input_vu_khi_suy_ra!$A$2:$A$12,0))&gt;0,CEILING(Thap!$J$9/(INDEX(cc_input_vu_khi!$B$2:$B$12,MATCH($J$8,cc_input_vu_khi!$A$2:$A$12,0))*INDEX(cc_input_bang_xuyen_giap!$B$2:$B$7,MIN(6,MAX(1,IF(INDEX(cc_input_vu_khi_suy_ra!$B$2:$B$12,MATCH($J$8,cc_input_vu_khi_suy_ra!$A$2:$A$12,0)),MAX(1,2-(INDEX(cc_input_vu_khi!$C$2:$C$12,MATCH($J$8,cc_input_vu_khi!$A$2:$A$12,0))-Thap!$K$9)),2-(INDEX(cc_input_vu_khi!$C$2:$C$12,MATCH($J$8,cc_input_vu_khi!$A$2:$A$12,0))-Thap!$K$9))+1)))*INDEX(cc_input_vu_khi_suy_ra!$D$2:$D$12,MATCH($J$8,cc_input_vu_khi_suy_ra!$A$2:$A$12,0))),1),""))</f>
        <v/>
      </c>
      <c r="L8" t="inlineStr">
        <is>
          <t>Tools/balance/p32_tower_prices.py Model.price('at_gun_emplacement') + threats('Small')</t>
        </is>
      </c>
      <c r="M8" t="inlineStr"/>
    </row>
    <row r="9">
      <c r="A9" t="inlineStr">
        <is>
          <t>at_gun_emplacement.long</t>
        </is>
      </c>
      <c r="B9">
        <f>Thap_gia_cong_thuc!$Q$9</f>
        <v/>
      </c>
      <c r="C9">
        <f>IF(ISNUMBER($B$9),$B$9/Thap!$BN$10,"")</f>
        <v/>
      </c>
      <c r="D9" t="inlineStr">
        <is>
          <t>ifv_30</t>
        </is>
      </c>
      <c r="E9">
        <f>IF($D$9="","",IF(INDEX(cc_input_vu_khi!$B$2:$B$12,MATCH($D$9,cc_input_vu_khi!$A$2:$A$12,0))*INDEX(cc_input_bang_xuyen_giap!$B$2:$B$7,MIN(6,MAX(1,IF(INDEX(cc_input_vu_khi_suy_ra!$B$2:$B$12,MATCH($D$9,cc_input_vu_khi_suy_ra!$A$2:$A$12,0)),MAX(1,2-(INDEX(cc_input_vu_khi!$C$2:$C$12,MATCH($D$9,cc_input_vu_khi!$A$2:$A$12,0))-Thap!$K$10)),2-(INDEX(cc_input_vu_khi!$C$2:$C$12,MATCH($D$9,cc_input_vu_khi!$A$2:$A$12,0))-Thap!$K$10))+1)))*INDEX(cc_input_vu_khi_suy_ra!$D$2:$D$12,MATCH($D$9,cc_input_vu_khi_suy_ra!$A$2:$A$12,0))&gt;0,CEILING(Thap!$J$10/(INDEX(cc_input_vu_khi!$B$2:$B$12,MATCH($D$9,cc_input_vu_khi!$A$2:$A$12,0))*INDEX(cc_input_bang_xuyen_giap!$B$2:$B$7,MIN(6,MAX(1,IF(INDEX(cc_input_vu_khi_suy_ra!$B$2:$B$12,MATCH($D$9,cc_input_vu_khi_suy_ra!$A$2:$A$12,0)),MAX(1,2-(INDEX(cc_input_vu_khi!$C$2:$C$12,MATCH($D$9,cc_input_vu_khi!$A$2:$A$12,0))-Thap!$K$10)),2-(INDEX(cc_input_vu_khi!$C$2:$C$12,MATCH($D$9,cc_input_vu_khi!$A$2:$A$12,0))-Thap!$K$10))+1)))*INDEX(cc_input_vu_khi_suy_ra!$D$2:$D$12,MATCH($D$9,cc_input_vu_khi_suy_ra!$A$2:$A$12,0))),1),""))</f>
        <v/>
      </c>
      <c r="F9" t="inlineStr">
        <is>
          <t>gun_105_wheeled_he</t>
        </is>
      </c>
      <c r="G9">
        <f>IF($F$9="","",IF(INDEX(cc_input_vu_khi!$B$2:$B$12,MATCH($F$9,cc_input_vu_khi!$A$2:$A$12,0))*INDEX(cc_input_bang_xuyen_giap!$B$2:$B$7,MIN(6,MAX(1,IF(INDEX(cc_input_vu_khi_suy_ra!$B$2:$B$12,MATCH($F$9,cc_input_vu_khi_suy_ra!$A$2:$A$12,0)),MAX(1,2-(INDEX(cc_input_vu_khi!$C$2:$C$12,MATCH($F$9,cc_input_vu_khi!$A$2:$A$12,0))-Thap!$K$10)),2-(INDEX(cc_input_vu_khi!$C$2:$C$12,MATCH($F$9,cc_input_vu_khi!$A$2:$A$12,0))-Thap!$K$10))+1)))*INDEX(cc_input_vu_khi_suy_ra!$D$2:$D$12,MATCH($F$9,cc_input_vu_khi_suy_ra!$A$2:$A$12,0))&gt;0,CEILING(Thap!$J$10/(INDEX(cc_input_vu_khi!$B$2:$B$12,MATCH($F$9,cc_input_vu_khi!$A$2:$A$12,0))*INDEX(cc_input_bang_xuyen_giap!$B$2:$B$7,MIN(6,MAX(1,IF(INDEX(cc_input_vu_khi_suy_ra!$B$2:$B$12,MATCH($F$9,cc_input_vu_khi_suy_ra!$A$2:$A$12,0)),MAX(1,2-(INDEX(cc_input_vu_khi!$C$2:$C$12,MATCH($F$9,cc_input_vu_khi!$A$2:$A$12,0))-Thap!$K$10)),2-(INDEX(cc_input_vu_khi!$C$2:$C$12,MATCH($F$9,cc_input_vu_khi!$A$2:$A$12,0))-Thap!$K$10))+1)))*INDEX(cc_input_vu_khi_suy_ra!$D$2:$D$12,MATCH($F$9,cc_input_vu_khi_suy_ra!$A$2:$A$12,0))),1),""))</f>
        <v/>
      </c>
      <c r="H9" t="inlineStr">
        <is>
          <t>khrizantema</t>
        </is>
      </c>
      <c r="I9">
        <f>IF($H$9="","",IF(INDEX(cc_input_vu_khi!$B$2:$B$12,MATCH($H$9,cc_input_vu_khi!$A$2:$A$12,0))*INDEX(cc_input_bang_xuyen_giap!$B$2:$B$7,MIN(6,MAX(1,IF(INDEX(cc_input_vu_khi_suy_ra!$B$2:$B$12,MATCH($H$9,cc_input_vu_khi_suy_ra!$A$2:$A$12,0)),MAX(1,2-(INDEX(cc_input_vu_khi!$C$2:$C$12,MATCH($H$9,cc_input_vu_khi!$A$2:$A$12,0))-Thap!$K$10)),2-(INDEX(cc_input_vu_khi!$C$2:$C$12,MATCH($H$9,cc_input_vu_khi!$A$2:$A$12,0))-Thap!$K$10))+1)))*INDEX(cc_input_vu_khi_suy_ra!$D$2:$D$12,MATCH($H$9,cc_input_vu_khi_suy_ra!$A$2:$A$12,0))&gt;0,CEILING(Thap!$J$10/(INDEX(cc_input_vu_khi!$B$2:$B$12,MATCH($H$9,cc_input_vu_khi!$A$2:$A$12,0))*INDEX(cc_input_bang_xuyen_giap!$B$2:$B$7,MIN(6,MAX(1,IF(INDEX(cc_input_vu_khi_suy_ra!$B$2:$B$12,MATCH($H$9,cc_input_vu_khi_suy_ra!$A$2:$A$12,0)),MAX(1,2-(INDEX(cc_input_vu_khi!$C$2:$C$12,MATCH($H$9,cc_input_vu_khi!$A$2:$A$12,0))-Thap!$K$10)),2-(INDEX(cc_input_vu_khi!$C$2:$C$12,MATCH($H$9,cc_input_vu_khi!$A$2:$A$12,0))-Thap!$K$10))+1)))*INDEX(cc_input_vu_khi_suy_ra!$D$2:$D$12,MATCH($H$9,cc_input_vu_khi_suy_ra!$A$2:$A$12,0))),1),""))</f>
        <v/>
      </c>
      <c r="J9" t="inlineStr">
        <is>
          <t>caesar_155</t>
        </is>
      </c>
      <c r="K9">
        <f>IF($J$9="","",IF(INDEX(cc_input_vu_khi!$B$2:$B$12,MATCH($J$9,cc_input_vu_khi!$A$2:$A$12,0))*INDEX(cc_input_bang_xuyen_giap!$B$2:$B$7,MIN(6,MAX(1,IF(INDEX(cc_input_vu_khi_suy_ra!$B$2:$B$12,MATCH($J$9,cc_input_vu_khi_suy_ra!$A$2:$A$12,0)),MAX(1,2-(INDEX(cc_input_vu_khi!$C$2:$C$12,MATCH($J$9,cc_input_vu_khi!$A$2:$A$12,0))-Thap!$K$10)),2-(INDEX(cc_input_vu_khi!$C$2:$C$12,MATCH($J$9,cc_input_vu_khi!$A$2:$A$12,0))-Thap!$K$10))+1)))*INDEX(cc_input_vu_khi_suy_ra!$D$2:$D$12,MATCH($J$9,cc_input_vu_khi_suy_ra!$A$2:$A$12,0))&gt;0,CEILING(Thap!$J$10/(INDEX(cc_input_vu_khi!$B$2:$B$12,MATCH($J$9,cc_input_vu_khi!$A$2:$A$12,0))*INDEX(cc_input_bang_xuyen_giap!$B$2:$B$7,MIN(6,MAX(1,IF(INDEX(cc_input_vu_khi_suy_ra!$B$2:$B$12,MATCH($J$9,cc_input_vu_khi_suy_ra!$A$2:$A$12,0)),MAX(1,2-(INDEX(cc_input_vu_khi!$C$2:$C$12,MATCH($J$9,cc_input_vu_khi!$A$2:$A$12,0))-Thap!$K$10)),2-(INDEX(cc_input_vu_khi!$C$2:$C$12,MATCH($J$9,cc_input_vu_khi!$A$2:$A$12,0))-Thap!$K$10))+1)))*INDEX(cc_input_vu_khi_suy_ra!$D$2:$D$12,MATCH($J$9,cc_input_vu_khi_suy_ra!$A$2:$A$12,0))),1),""))</f>
        <v/>
      </c>
      <c r="L9" t="inlineStr">
        <is>
          <t>Tools/balance/p32_tower_prices.py Model.price('at_gun_emplacement.long') + threats('Small')</t>
        </is>
      </c>
      <c r="M9" t="inlineStr"/>
    </row>
    <row r="10">
      <c r="A10" t="inlineStr">
        <is>
          <t>at_gun_emplacement.recoilless</t>
        </is>
      </c>
      <c r="B10">
        <f>Thap_gia_cong_thuc!$Q$10</f>
        <v/>
      </c>
      <c r="C10">
        <f>IF(ISNUMBER($B$10),$B$10/Thap!$BN$11,"")</f>
        <v/>
      </c>
      <c r="D10" t="inlineStr">
        <is>
          <t>ifv_30</t>
        </is>
      </c>
      <c r="E10">
        <f>IF($D$10="","",IF(INDEX(cc_input_vu_khi!$B$2:$B$12,MATCH($D$10,cc_input_vu_khi!$A$2:$A$12,0))*INDEX(cc_input_bang_xuyen_giap!$B$2:$B$7,MIN(6,MAX(1,IF(INDEX(cc_input_vu_khi_suy_ra!$B$2:$B$12,MATCH($D$10,cc_input_vu_khi_suy_ra!$A$2:$A$12,0)),MAX(1,2-(INDEX(cc_input_vu_khi!$C$2:$C$12,MATCH($D$10,cc_input_vu_khi!$A$2:$A$12,0))-Thap!$K$11)),2-(INDEX(cc_input_vu_khi!$C$2:$C$12,MATCH($D$10,cc_input_vu_khi!$A$2:$A$12,0))-Thap!$K$11))+1)))*INDEX(cc_input_vu_khi_suy_ra!$D$2:$D$12,MATCH($D$10,cc_input_vu_khi_suy_ra!$A$2:$A$12,0))&gt;0,CEILING(Thap!$J$11/(INDEX(cc_input_vu_khi!$B$2:$B$12,MATCH($D$10,cc_input_vu_khi!$A$2:$A$12,0))*INDEX(cc_input_bang_xuyen_giap!$B$2:$B$7,MIN(6,MAX(1,IF(INDEX(cc_input_vu_khi_suy_ra!$B$2:$B$12,MATCH($D$10,cc_input_vu_khi_suy_ra!$A$2:$A$12,0)),MAX(1,2-(INDEX(cc_input_vu_khi!$C$2:$C$12,MATCH($D$10,cc_input_vu_khi!$A$2:$A$12,0))-Thap!$K$11)),2-(INDEX(cc_input_vu_khi!$C$2:$C$12,MATCH($D$10,cc_input_vu_khi!$A$2:$A$12,0))-Thap!$K$11))+1)))*INDEX(cc_input_vu_khi_suy_ra!$D$2:$D$12,MATCH($D$10,cc_input_vu_khi_suy_ra!$A$2:$A$12,0))),1),""))</f>
        <v/>
      </c>
      <c r="F10" t="inlineStr">
        <is>
          <t>gun_105_wheeled_he</t>
        </is>
      </c>
      <c r="G10">
        <f>IF($F$10="","",IF(INDEX(cc_input_vu_khi!$B$2:$B$12,MATCH($F$10,cc_input_vu_khi!$A$2:$A$12,0))*INDEX(cc_input_bang_xuyen_giap!$B$2:$B$7,MIN(6,MAX(1,IF(INDEX(cc_input_vu_khi_suy_ra!$B$2:$B$12,MATCH($F$10,cc_input_vu_khi_suy_ra!$A$2:$A$12,0)),MAX(1,2-(INDEX(cc_input_vu_khi!$C$2:$C$12,MATCH($F$10,cc_input_vu_khi!$A$2:$A$12,0))-Thap!$K$11)),2-(INDEX(cc_input_vu_khi!$C$2:$C$12,MATCH($F$10,cc_input_vu_khi!$A$2:$A$12,0))-Thap!$K$11))+1)))*INDEX(cc_input_vu_khi_suy_ra!$D$2:$D$12,MATCH($F$10,cc_input_vu_khi_suy_ra!$A$2:$A$12,0))&gt;0,CEILING(Thap!$J$11/(INDEX(cc_input_vu_khi!$B$2:$B$12,MATCH($F$10,cc_input_vu_khi!$A$2:$A$12,0))*INDEX(cc_input_bang_xuyen_giap!$B$2:$B$7,MIN(6,MAX(1,IF(INDEX(cc_input_vu_khi_suy_ra!$B$2:$B$12,MATCH($F$10,cc_input_vu_khi_suy_ra!$A$2:$A$12,0)),MAX(1,2-(INDEX(cc_input_vu_khi!$C$2:$C$12,MATCH($F$10,cc_input_vu_khi!$A$2:$A$12,0))-Thap!$K$11)),2-(INDEX(cc_input_vu_khi!$C$2:$C$12,MATCH($F$10,cc_input_vu_khi!$A$2:$A$12,0))-Thap!$K$11))+1)))*INDEX(cc_input_vu_khi_suy_ra!$D$2:$D$12,MATCH($F$10,cc_input_vu_khi_suy_ra!$A$2:$A$12,0))),1),""))</f>
        <v/>
      </c>
      <c r="H10" t="inlineStr">
        <is>
          <t>khrizantema</t>
        </is>
      </c>
      <c r="I10">
        <f>IF($H$10="","",IF(INDEX(cc_input_vu_khi!$B$2:$B$12,MATCH($H$10,cc_input_vu_khi!$A$2:$A$12,0))*INDEX(cc_input_bang_xuyen_giap!$B$2:$B$7,MIN(6,MAX(1,IF(INDEX(cc_input_vu_khi_suy_ra!$B$2:$B$12,MATCH($H$10,cc_input_vu_khi_suy_ra!$A$2:$A$12,0)),MAX(1,2-(INDEX(cc_input_vu_khi!$C$2:$C$12,MATCH($H$10,cc_input_vu_khi!$A$2:$A$12,0))-Thap!$K$11)),2-(INDEX(cc_input_vu_khi!$C$2:$C$12,MATCH($H$10,cc_input_vu_khi!$A$2:$A$12,0))-Thap!$K$11))+1)))*INDEX(cc_input_vu_khi_suy_ra!$D$2:$D$12,MATCH($H$10,cc_input_vu_khi_suy_ra!$A$2:$A$12,0))&gt;0,CEILING(Thap!$J$11/(INDEX(cc_input_vu_khi!$B$2:$B$12,MATCH($H$10,cc_input_vu_khi!$A$2:$A$12,0))*INDEX(cc_input_bang_xuyen_giap!$B$2:$B$7,MIN(6,MAX(1,IF(INDEX(cc_input_vu_khi_suy_ra!$B$2:$B$12,MATCH($H$10,cc_input_vu_khi_suy_ra!$A$2:$A$12,0)),MAX(1,2-(INDEX(cc_input_vu_khi!$C$2:$C$12,MATCH($H$10,cc_input_vu_khi!$A$2:$A$12,0))-Thap!$K$11)),2-(INDEX(cc_input_vu_khi!$C$2:$C$12,MATCH($H$10,cc_input_vu_khi!$A$2:$A$12,0))-Thap!$K$11))+1)))*INDEX(cc_input_vu_khi_suy_ra!$D$2:$D$12,MATCH($H$10,cc_input_vu_khi_suy_ra!$A$2:$A$12,0))),1),""))</f>
        <v/>
      </c>
      <c r="J10" t="inlineStr">
        <is>
          <t>caesar_155</t>
        </is>
      </c>
      <c r="K10">
        <f>IF($J$10="","",IF(INDEX(cc_input_vu_khi!$B$2:$B$12,MATCH($J$10,cc_input_vu_khi!$A$2:$A$12,0))*INDEX(cc_input_bang_xuyen_giap!$B$2:$B$7,MIN(6,MAX(1,IF(INDEX(cc_input_vu_khi_suy_ra!$B$2:$B$12,MATCH($J$10,cc_input_vu_khi_suy_ra!$A$2:$A$12,0)),MAX(1,2-(INDEX(cc_input_vu_khi!$C$2:$C$12,MATCH($J$10,cc_input_vu_khi!$A$2:$A$12,0))-Thap!$K$11)),2-(INDEX(cc_input_vu_khi!$C$2:$C$12,MATCH($J$10,cc_input_vu_khi!$A$2:$A$12,0))-Thap!$K$11))+1)))*INDEX(cc_input_vu_khi_suy_ra!$D$2:$D$12,MATCH($J$10,cc_input_vu_khi_suy_ra!$A$2:$A$12,0))&gt;0,CEILING(Thap!$J$11/(INDEX(cc_input_vu_khi!$B$2:$B$12,MATCH($J$10,cc_input_vu_khi!$A$2:$A$12,0))*INDEX(cc_input_bang_xuyen_giap!$B$2:$B$7,MIN(6,MAX(1,IF(INDEX(cc_input_vu_khi_suy_ra!$B$2:$B$12,MATCH($J$10,cc_input_vu_khi_suy_ra!$A$2:$A$12,0)),MAX(1,2-(INDEX(cc_input_vu_khi!$C$2:$C$12,MATCH($J$10,cc_input_vu_khi!$A$2:$A$12,0))-Thap!$K$11)),2-(INDEX(cc_input_vu_khi!$C$2:$C$12,MATCH($J$10,cc_input_vu_khi!$A$2:$A$12,0))-Thap!$K$11))+1)))*INDEX(cc_input_vu_khi_suy_ra!$D$2:$D$12,MATCH($J$10,cc_input_vu_khi_suy_ra!$A$2:$A$12,0))),1),""))</f>
        <v/>
      </c>
      <c r="L10" t="inlineStr">
        <is>
          <t>Tools/balance/p32_tower_prices.py Model.price('at_gun_emplacement.recoilless') + threats('Small')</t>
        </is>
      </c>
      <c r="M10" t="inlineStr"/>
    </row>
    <row r="11">
      <c r="A11" t="inlineStr">
        <is>
          <t>atgm_tower</t>
        </is>
      </c>
      <c r="B11">
        <f>Thap_gia_cong_thuc!$Q$11</f>
        <v/>
      </c>
      <c r="C11">
        <f>IF(ISNUMBER($B$11),$B$11/Thap!$BN$12,"")</f>
        <v/>
      </c>
      <c r="D11" t="inlineStr">
        <is>
          <t>gun_105_ags</t>
        </is>
      </c>
      <c r="E11">
        <f>IF($D$11="","",IF(INDEX(cc_input_vu_khi!$B$2:$B$12,MATCH($D$11,cc_input_vu_khi!$A$2:$A$12,0))*INDEX(cc_input_bang_xuyen_giap!$B$2:$B$7,MIN(6,MAX(1,IF(INDEX(cc_input_vu_khi_suy_ra!$B$2:$B$12,MATCH($D$11,cc_input_vu_khi_suy_ra!$A$2:$A$12,0)),MAX(1,2-(INDEX(cc_input_vu_khi!$C$2:$C$12,MATCH($D$11,cc_input_vu_khi!$A$2:$A$12,0))-Thap!$K$12)),2-(INDEX(cc_input_vu_khi!$C$2:$C$12,MATCH($D$11,cc_input_vu_khi!$A$2:$A$12,0))-Thap!$K$12))+1)))*INDEX(cc_input_vu_khi_suy_ra!$D$2:$D$12,MATCH($D$11,cc_input_vu_khi_suy_ra!$A$2:$A$12,0))&gt;0,CEILING(Thap!$J$12/(INDEX(cc_input_vu_khi!$B$2:$B$12,MATCH($D$11,cc_input_vu_khi!$A$2:$A$12,0))*INDEX(cc_input_bang_xuyen_giap!$B$2:$B$7,MIN(6,MAX(1,IF(INDEX(cc_input_vu_khi_suy_ra!$B$2:$B$12,MATCH($D$11,cc_input_vu_khi_suy_ra!$A$2:$A$12,0)),MAX(1,2-(INDEX(cc_input_vu_khi!$C$2:$C$12,MATCH($D$11,cc_input_vu_khi!$A$2:$A$12,0))-Thap!$K$12)),2-(INDEX(cc_input_vu_khi!$C$2:$C$12,MATCH($D$11,cc_input_vu_khi!$A$2:$A$12,0))-Thap!$K$12))+1)))*INDEX(cc_input_vu_khi_suy_ra!$D$2:$D$12,MATCH($D$11,cc_input_vu_khi_suy_ra!$A$2:$A$12,0))),1),""))</f>
        <v/>
      </c>
      <c r="F11" t="inlineStr">
        <is>
          <t>gun_105_wheeled_he</t>
        </is>
      </c>
      <c r="G11">
        <f>IF($F$11="","",IF(INDEX(cc_input_vu_khi!$B$2:$B$12,MATCH($F$11,cc_input_vu_khi!$A$2:$A$12,0))*INDEX(cc_input_bang_xuyen_giap!$B$2:$B$7,MIN(6,MAX(1,IF(INDEX(cc_input_vu_khi_suy_ra!$B$2:$B$12,MATCH($F$11,cc_input_vu_khi_suy_ra!$A$2:$A$12,0)),MAX(1,2-(INDEX(cc_input_vu_khi!$C$2:$C$12,MATCH($F$11,cc_input_vu_khi!$A$2:$A$12,0))-Thap!$K$12)),2-(INDEX(cc_input_vu_khi!$C$2:$C$12,MATCH($F$11,cc_input_vu_khi!$A$2:$A$12,0))-Thap!$K$12))+1)))*INDEX(cc_input_vu_khi_suy_ra!$D$2:$D$12,MATCH($F$11,cc_input_vu_khi_suy_ra!$A$2:$A$12,0))&gt;0,CEILING(Thap!$J$12/(INDEX(cc_input_vu_khi!$B$2:$B$12,MATCH($F$11,cc_input_vu_khi!$A$2:$A$12,0))*INDEX(cc_input_bang_xuyen_giap!$B$2:$B$7,MIN(6,MAX(1,IF(INDEX(cc_input_vu_khi_suy_ra!$B$2:$B$12,MATCH($F$11,cc_input_vu_khi_suy_ra!$A$2:$A$12,0)),MAX(1,2-(INDEX(cc_input_vu_khi!$C$2:$C$12,MATCH($F$11,cc_input_vu_khi!$A$2:$A$12,0))-Thap!$K$12)),2-(INDEX(cc_input_vu_khi!$C$2:$C$12,MATCH($F$11,cc_input_vu_khi!$A$2:$A$12,0))-Thap!$K$12))+1)))*INDEX(cc_input_vu_khi_suy_ra!$D$2:$D$12,MATCH($F$11,cc_input_vu_khi_suy_ra!$A$2:$A$12,0))),1),""))</f>
        <v/>
      </c>
      <c r="H11" t="inlineStr">
        <is>
          <t>lancet</t>
        </is>
      </c>
      <c r="I11">
        <f>IF($H$11="","",IF(INDEX(cc_input_vu_khi!$B$2:$B$12,MATCH($H$11,cc_input_vu_khi!$A$2:$A$12,0))*INDEX(cc_input_bang_xuyen_giap!$B$2:$B$7,MIN(6,MAX(1,IF(INDEX(cc_input_vu_khi_suy_ra!$B$2:$B$12,MATCH($H$11,cc_input_vu_khi_suy_ra!$A$2:$A$12,0)),MAX(1,2-(INDEX(cc_input_vu_khi!$C$2:$C$12,MATCH($H$11,cc_input_vu_khi!$A$2:$A$12,0))-Thap!$K$12)),2-(INDEX(cc_input_vu_khi!$C$2:$C$12,MATCH($H$11,cc_input_vu_khi!$A$2:$A$12,0))-Thap!$K$12))+1)))*INDEX(cc_input_vu_khi_suy_ra!$D$2:$D$12,MATCH($H$11,cc_input_vu_khi_suy_ra!$A$2:$A$12,0))&gt;0,CEILING(Thap!$J$12/(INDEX(cc_input_vu_khi!$B$2:$B$12,MATCH($H$11,cc_input_vu_khi!$A$2:$A$12,0))*INDEX(cc_input_bang_xuyen_giap!$B$2:$B$7,MIN(6,MAX(1,IF(INDEX(cc_input_vu_khi_suy_ra!$B$2:$B$12,MATCH($H$11,cc_input_vu_khi_suy_ra!$A$2:$A$12,0)),MAX(1,2-(INDEX(cc_input_vu_khi!$C$2:$C$12,MATCH($H$11,cc_input_vu_khi!$A$2:$A$12,0))-Thap!$K$12)),2-(INDEX(cc_input_vu_khi!$C$2:$C$12,MATCH($H$11,cc_input_vu_khi!$A$2:$A$12,0))-Thap!$K$12))+1)))*INDEX(cc_input_vu_khi_suy_ra!$D$2:$D$12,MATCH($H$11,cc_input_vu_khi_suy_ra!$A$2:$A$12,0))),1),""))</f>
        <v/>
      </c>
      <c r="J11" t="inlineStr">
        <is>
          <t>mlrs_rockets</t>
        </is>
      </c>
      <c r="K11">
        <f>IF($J$11="","",IF(INDEX(cc_input_vu_khi!$B$2:$B$12,MATCH($J$11,cc_input_vu_khi!$A$2:$A$12,0))*INDEX(cc_input_bang_xuyen_giap!$B$2:$B$7,MIN(6,MAX(1,IF(INDEX(cc_input_vu_khi_suy_ra!$B$2:$B$12,MATCH($J$11,cc_input_vu_khi_suy_ra!$A$2:$A$12,0)),MAX(1,2-(INDEX(cc_input_vu_khi!$C$2:$C$12,MATCH($J$11,cc_input_vu_khi!$A$2:$A$12,0))-Thap!$K$12)),2-(INDEX(cc_input_vu_khi!$C$2:$C$12,MATCH($J$11,cc_input_vu_khi!$A$2:$A$12,0))-Thap!$K$12))+1)))*INDEX(cc_input_vu_khi_suy_ra!$D$2:$D$12,MATCH($J$11,cc_input_vu_khi_suy_ra!$A$2:$A$12,0))&gt;0,CEILING(Thap!$J$12/(INDEX(cc_input_vu_khi!$B$2:$B$12,MATCH($J$11,cc_input_vu_khi!$A$2:$A$12,0))*INDEX(cc_input_bang_xuyen_giap!$B$2:$B$7,MIN(6,MAX(1,IF(INDEX(cc_input_vu_khi_suy_ra!$B$2:$B$12,MATCH($J$11,cc_input_vu_khi_suy_ra!$A$2:$A$12,0)),MAX(1,2-(INDEX(cc_input_vu_khi!$C$2:$C$12,MATCH($J$11,cc_input_vu_khi!$A$2:$A$12,0))-Thap!$K$12)),2-(INDEX(cc_input_vu_khi!$C$2:$C$12,MATCH($J$11,cc_input_vu_khi!$A$2:$A$12,0))-Thap!$K$12))+1)))*INDEX(cc_input_vu_khi_suy_ra!$D$2:$D$12,MATCH($J$11,cc_input_vu_khi_suy_ra!$A$2:$A$12,0))),1),""))</f>
        <v/>
      </c>
      <c r="L11" t="inlineStr">
        <is>
          <t>Tools/balance/p32_tower_prices.py Model.price('atgm_tower') + threats('Medium')</t>
        </is>
      </c>
      <c r="M11" t="inlineStr"/>
    </row>
    <row r="12">
      <c r="A12" t="inlineStr">
        <is>
          <t>atgm_tower.multi</t>
        </is>
      </c>
      <c r="B12">
        <f>Thap_gia_cong_thuc!$Q$12</f>
        <v/>
      </c>
      <c r="C12">
        <f>IF(ISNUMBER($B$12),$B$12/Thap!$BN$13,"")</f>
        <v/>
      </c>
      <c r="D12" t="inlineStr">
        <is>
          <t>gun_105_ags</t>
        </is>
      </c>
      <c r="E12">
        <f>IF($D$12="","",IF(INDEX(cc_input_vu_khi!$B$2:$B$12,MATCH($D$12,cc_input_vu_khi!$A$2:$A$12,0))*INDEX(cc_input_bang_xuyen_giap!$B$2:$B$7,MIN(6,MAX(1,IF(INDEX(cc_input_vu_khi_suy_ra!$B$2:$B$12,MATCH($D$12,cc_input_vu_khi_suy_ra!$A$2:$A$12,0)),MAX(1,2-(INDEX(cc_input_vu_khi!$C$2:$C$12,MATCH($D$12,cc_input_vu_khi!$A$2:$A$12,0))-Thap!$K$13)),2-(INDEX(cc_input_vu_khi!$C$2:$C$12,MATCH($D$12,cc_input_vu_khi!$A$2:$A$12,0))-Thap!$K$13))+1)))*INDEX(cc_input_vu_khi_suy_ra!$D$2:$D$12,MATCH($D$12,cc_input_vu_khi_suy_ra!$A$2:$A$12,0))&gt;0,CEILING(Thap!$J$13/(INDEX(cc_input_vu_khi!$B$2:$B$12,MATCH($D$12,cc_input_vu_khi!$A$2:$A$12,0))*INDEX(cc_input_bang_xuyen_giap!$B$2:$B$7,MIN(6,MAX(1,IF(INDEX(cc_input_vu_khi_suy_ra!$B$2:$B$12,MATCH($D$12,cc_input_vu_khi_suy_ra!$A$2:$A$12,0)),MAX(1,2-(INDEX(cc_input_vu_khi!$C$2:$C$12,MATCH($D$12,cc_input_vu_khi!$A$2:$A$12,0))-Thap!$K$13)),2-(INDEX(cc_input_vu_khi!$C$2:$C$12,MATCH($D$12,cc_input_vu_khi!$A$2:$A$12,0))-Thap!$K$13))+1)))*INDEX(cc_input_vu_khi_suy_ra!$D$2:$D$12,MATCH($D$12,cc_input_vu_khi_suy_ra!$A$2:$A$12,0))),1),""))</f>
        <v/>
      </c>
      <c r="F12" t="inlineStr">
        <is>
          <t>gun_105_wheeled_he</t>
        </is>
      </c>
      <c r="G12">
        <f>IF($F$12="","",IF(INDEX(cc_input_vu_khi!$B$2:$B$12,MATCH($F$12,cc_input_vu_khi!$A$2:$A$12,0))*INDEX(cc_input_bang_xuyen_giap!$B$2:$B$7,MIN(6,MAX(1,IF(INDEX(cc_input_vu_khi_suy_ra!$B$2:$B$12,MATCH($F$12,cc_input_vu_khi_suy_ra!$A$2:$A$12,0)),MAX(1,2-(INDEX(cc_input_vu_khi!$C$2:$C$12,MATCH($F$12,cc_input_vu_khi!$A$2:$A$12,0))-Thap!$K$13)),2-(INDEX(cc_input_vu_khi!$C$2:$C$12,MATCH($F$12,cc_input_vu_khi!$A$2:$A$12,0))-Thap!$K$13))+1)))*INDEX(cc_input_vu_khi_suy_ra!$D$2:$D$12,MATCH($F$12,cc_input_vu_khi_suy_ra!$A$2:$A$12,0))&gt;0,CEILING(Thap!$J$13/(INDEX(cc_input_vu_khi!$B$2:$B$12,MATCH($F$12,cc_input_vu_khi!$A$2:$A$12,0))*INDEX(cc_input_bang_xuyen_giap!$B$2:$B$7,MIN(6,MAX(1,IF(INDEX(cc_input_vu_khi_suy_ra!$B$2:$B$12,MATCH($F$12,cc_input_vu_khi_suy_ra!$A$2:$A$12,0)),MAX(1,2-(INDEX(cc_input_vu_khi!$C$2:$C$12,MATCH($F$12,cc_input_vu_khi!$A$2:$A$12,0))-Thap!$K$13)),2-(INDEX(cc_input_vu_khi!$C$2:$C$12,MATCH($F$12,cc_input_vu_khi!$A$2:$A$12,0))-Thap!$K$13))+1)))*INDEX(cc_input_vu_khi_suy_ra!$D$2:$D$12,MATCH($F$12,cc_input_vu_khi_suy_ra!$A$2:$A$12,0))),1),""))</f>
        <v/>
      </c>
      <c r="H12" t="inlineStr">
        <is>
          <t>lancet</t>
        </is>
      </c>
      <c r="I12">
        <f>IF($H$12="","",IF(INDEX(cc_input_vu_khi!$B$2:$B$12,MATCH($H$12,cc_input_vu_khi!$A$2:$A$12,0))*INDEX(cc_input_bang_xuyen_giap!$B$2:$B$7,MIN(6,MAX(1,IF(INDEX(cc_input_vu_khi_suy_ra!$B$2:$B$12,MATCH($H$12,cc_input_vu_khi_suy_ra!$A$2:$A$12,0)),MAX(1,2-(INDEX(cc_input_vu_khi!$C$2:$C$12,MATCH($H$12,cc_input_vu_khi!$A$2:$A$12,0))-Thap!$K$13)),2-(INDEX(cc_input_vu_khi!$C$2:$C$12,MATCH($H$12,cc_input_vu_khi!$A$2:$A$12,0))-Thap!$K$13))+1)))*INDEX(cc_input_vu_khi_suy_ra!$D$2:$D$12,MATCH($H$12,cc_input_vu_khi_suy_ra!$A$2:$A$12,0))&gt;0,CEILING(Thap!$J$13/(INDEX(cc_input_vu_khi!$B$2:$B$12,MATCH($H$12,cc_input_vu_khi!$A$2:$A$12,0))*INDEX(cc_input_bang_xuyen_giap!$B$2:$B$7,MIN(6,MAX(1,IF(INDEX(cc_input_vu_khi_suy_ra!$B$2:$B$12,MATCH($H$12,cc_input_vu_khi_suy_ra!$A$2:$A$12,0)),MAX(1,2-(INDEX(cc_input_vu_khi!$C$2:$C$12,MATCH($H$12,cc_input_vu_khi!$A$2:$A$12,0))-Thap!$K$13)),2-(INDEX(cc_input_vu_khi!$C$2:$C$12,MATCH($H$12,cc_input_vu_khi!$A$2:$A$12,0))-Thap!$K$13))+1)))*INDEX(cc_input_vu_khi_suy_ra!$D$2:$D$12,MATCH($H$12,cc_input_vu_khi_suy_ra!$A$2:$A$12,0))),1),""))</f>
        <v/>
      </c>
      <c r="J12" t="inlineStr">
        <is>
          <t>mlrs_rockets</t>
        </is>
      </c>
      <c r="K12">
        <f>IF($J$12="","",IF(INDEX(cc_input_vu_khi!$B$2:$B$12,MATCH($J$12,cc_input_vu_khi!$A$2:$A$12,0))*INDEX(cc_input_bang_xuyen_giap!$B$2:$B$7,MIN(6,MAX(1,IF(INDEX(cc_input_vu_khi_suy_ra!$B$2:$B$12,MATCH($J$12,cc_input_vu_khi_suy_ra!$A$2:$A$12,0)),MAX(1,2-(INDEX(cc_input_vu_khi!$C$2:$C$12,MATCH($J$12,cc_input_vu_khi!$A$2:$A$12,0))-Thap!$K$13)),2-(INDEX(cc_input_vu_khi!$C$2:$C$12,MATCH($J$12,cc_input_vu_khi!$A$2:$A$12,0))-Thap!$K$13))+1)))*INDEX(cc_input_vu_khi_suy_ra!$D$2:$D$12,MATCH($J$12,cc_input_vu_khi_suy_ra!$A$2:$A$12,0))&gt;0,CEILING(Thap!$J$13/(INDEX(cc_input_vu_khi!$B$2:$B$12,MATCH($J$12,cc_input_vu_khi!$A$2:$A$12,0))*INDEX(cc_input_bang_xuyen_giap!$B$2:$B$7,MIN(6,MAX(1,IF(INDEX(cc_input_vu_khi_suy_ra!$B$2:$B$12,MATCH($J$12,cc_input_vu_khi_suy_ra!$A$2:$A$12,0)),MAX(1,2-(INDEX(cc_input_vu_khi!$C$2:$C$12,MATCH($J$12,cc_input_vu_khi!$A$2:$A$12,0))-Thap!$K$13)),2-(INDEX(cc_input_vu_khi!$C$2:$C$12,MATCH($J$12,cc_input_vu_khi!$A$2:$A$12,0))-Thap!$K$13))+1)))*INDEX(cc_input_vu_khi_suy_ra!$D$2:$D$12,MATCH($J$12,cc_input_vu_khi_suy_ra!$A$2:$A$12,0))),1),""))</f>
        <v/>
      </c>
      <c r="L12" t="inlineStr">
        <is>
          <t>Tools/balance/p32_tower_prices.py Model.price('atgm_tower.multi') + threats('Medium')</t>
        </is>
      </c>
      <c r="M12" t="inlineStr"/>
    </row>
    <row r="13">
      <c r="A13" t="inlineStr">
        <is>
          <t>atgm_tower.top</t>
        </is>
      </c>
      <c r="B13">
        <f>Thap_gia_cong_thuc!$Q$13</f>
        <v/>
      </c>
      <c r="C13">
        <f>IF(ISNUMBER($B$13),$B$13/Thap!$BN$14,"")</f>
        <v/>
      </c>
      <c r="D13" t="inlineStr">
        <is>
          <t>gun_105_ags</t>
        </is>
      </c>
      <c r="E13">
        <f>IF($D$13="","",IF(INDEX(cc_input_vu_khi!$B$2:$B$12,MATCH($D$13,cc_input_vu_khi!$A$2:$A$12,0))*INDEX(cc_input_bang_xuyen_giap!$B$2:$B$7,MIN(6,MAX(1,IF(INDEX(cc_input_vu_khi_suy_ra!$B$2:$B$12,MATCH($D$13,cc_input_vu_khi_suy_ra!$A$2:$A$12,0)),MAX(1,2-(INDEX(cc_input_vu_khi!$C$2:$C$12,MATCH($D$13,cc_input_vu_khi!$A$2:$A$12,0))-Thap!$K$14)),2-(INDEX(cc_input_vu_khi!$C$2:$C$12,MATCH($D$13,cc_input_vu_khi!$A$2:$A$12,0))-Thap!$K$14))+1)))*INDEX(cc_input_vu_khi_suy_ra!$D$2:$D$12,MATCH($D$13,cc_input_vu_khi_suy_ra!$A$2:$A$12,0))&gt;0,CEILING(Thap!$J$14/(INDEX(cc_input_vu_khi!$B$2:$B$12,MATCH($D$13,cc_input_vu_khi!$A$2:$A$12,0))*INDEX(cc_input_bang_xuyen_giap!$B$2:$B$7,MIN(6,MAX(1,IF(INDEX(cc_input_vu_khi_suy_ra!$B$2:$B$12,MATCH($D$13,cc_input_vu_khi_suy_ra!$A$2:$A$12,0)),MAX(1,2-(INDEX(cc_input_vu_khi!$C$2:$C$12,MATCH($D$13,cc_input_vu_khi!$A$2:$A$12,0))-Thap!$K$14)),2-(INDEX(cc_input_vu_khi!$C$2:$C$12,MATCH($D$13,cc_input_vu_khi!$A$2:$A$12,0))-Thap!$K$14))+1)))*INDEX(cc_input_vu_khi_suy_ra!$D$2:$D$12,MATCH($D$13,cc_input_vu_khi_suy_ra!$A$2:$A$12,0))),1),""))</f>
        <v/>
      </c>
      <c r="F13" t="inlineStr">
        <is>
          <t>gun_105_wheeled_he</t>
        </is>
      </c>
      <c r="G13">
        <f>IF($F$13="","",IF(INDEX(cc_input_vu_khi!$B$2:$B$12,MATCH($F$13,cc_input_vu_khi!$A$2:$A$12,0))*INDEX(cc_input_bang_xuyen_giap!$B$2:$B$7,MIN(6,MAX(1,IF(INDEX(cc_input_vu_khi_suy_ra!$B$2:$B$12,MATCH($F$13,cc_input_vu_khi_suy_ra!$A$2:$A$12,0)),MAX(1,2-(INDEX(cc_input_vu_khi!$C$2:$C$12,MATCH($F$13,cc_input_vu_khi!$A$2:$A$12,0))-Thap!$K$14)),2-(INDEX(cc_input_vu_khi!$C$2:$C$12,MATCH($F$13,cc_input_vu_khi!$A$2:$A$12,0))-Thap!$K$14))+1)))*INDEX(cc_input_vu_khi_suy_ra!$D$2:$D$12,MATCH($F$13,cc_input_vu_khi_suy_ra!$A$2:$A$12,0))&gt;0,CEILING(Thap!$J$14/(INDEX(cc_input_vu_khi!$B$2:$B$12,MATCH($F$13,cc_input_vu_khi!$A$2:$A$12,0))*INDEX(cc_input_bang_xuyen_giap!$B$2:$B$7,MIN(6,MAX(1,IF(INDEX(cc_input_vu_khi_suy_ra!$B$2:$B$12,MATCH($F$13,cc_input_vu_khi_suy_ra!$A$2:$A$12,0)),MAX(1,2-(INDEX(cc_input_vu_khi!$C$2:$C$12,MATCH($F$13,cc_input_vu_khi!$A$2:$A$12,0))-Thap!$K$14)),2-(INDEX(cc_input_vu_khi!$C$2:$C$12,MATCH($F$13,cc_input_vu_khi!$A$2:$A$12,0))-Thap!$K$14))+1)))*INDEX(cc_input_vu_khi_suy_ra!$D$2:$D$12,MATCH($F$13,cc_input_vu_khi_suy_ra!$A$2:$A$12,0))),1),""))</f>
        <v/>
      </c>
      <c r="H13" t="inlineStr">
        <is>
          <t>lancet</t>
        </is>
      </c>
      <c r="I13">
        <f>IF($H$13="","",IF(INDEX(cc_input_vu_khi!$B$2:$B$12,MATCH($H$13,cc_input_vu_khi!$A$2:$A$12,0))*INDEX(cc_input_bang_xuyen_giap!$B$2:$B$7,MIN(6,MAX(1,IF(INDEX(cc_input_vu_khi_suy_ra!$B$2:$B$12,MATCH($H$13,cc_input_vu_khi_suy_ra!$A$2:$A$12,0)),MAX(1,2-(INDEX(cc_input_vu_khi!$C$2:$C$12,MATCH($H$13,cc_input_vu_khi!$A$2:$A$12,0))-Thap!$K$14)),2-(INDEX(cc_input_vu_khi!$C$2:$C$12,MATCH($H$13,cc_input_vu_khi!$A$2:$A$12,0))-Thap!$K$14))+1)))*INDEX(cc_input_vu_khi_suy_ra!$D$2:$D$12,MATCH($H$13,cc_input_vu_khi_suy_ra!$A$2:$A$12,0))&gt;0,CEILING(Thap!$J$14/(INDEX(cc_input_vu_khi!$B$2:$B$12,MATCH($H$13,cc_input_vu_khi!$A$2:$A$12,0))*INDEX(cc_input_bang_xuyen_giap!$B$2:$B$7,MIN(6,MAX(1,IF(INDEX(cc_input_vu_khi_suy_ra!$B$2:$B$12,MATCH($H$13,cc_input_vu_khi_suy_ra!$A$2:$A$12,0)),MAX(1,2-(INDEX(cc_input_vu_khi!$C$2:$C$12,MATCH($H$13,cc_input_vu_khi!$A$2:$A$12,0))-Thap!$K$14)),2-(INDEX(cc_input_vu_khi!$C$2:$C$12,MATCH($H$13,cc_input_vu_khi!$A$2:$A$12,0))-Thap!$K$14))+1)))*INDEX(cc_input_vu_khi_suy_ra!$D$2:$D$12,MATCH($H$13,cc_input_vu_khi_suy_ra!$A$2:$A$12,0))),1),""))</f>
        <v/>
      </c>
      <c r="J13" t="inlineStr">
        <is>
          <t>mlrs_rockets</t>
        </is>
      </c>
      <c r="K13">
        <f>IF($J$13="","",IF(INDEX(cc_input_vu_khi!$B$2:$B$12,MATCH($J$13,cc_input_vu_khi!$A$2:$A$12,0))*INDEX(cc_input_bang_xuyen_giap!$B$2:$B$7,MIN(6,MAX(1,IF(INDEX(cc_input_vu_khi_suy_ra!$B$2:$B$12,MATCH($J$13,cc_input_vu_khi_suy_ra!$A$2:$A$12,0)),MAX(1,2-(INDEX(cc_input_vu_khi!$C$2:$C$12,MATCH($J$13,cc_input_vu_khi!$A$2:$A$12,0))-Thap!$K$14)),2-(INDEX(cc_input_vu_khi!$C$2:$C$12,MATCH($J$13,cc_input_vu_khi!$A$2:$A$12,0))-Thap!$K$14))+1)))*INDEX(cc_input_vu_khi_suy_ra!$D$2:$D$12,MATCH($J$13,cc_input_vu_khi_suy_ra!$A$2:$A$12,0))&gt;0,CEILING(Thap!$J$14/(INDEX(cc_input_vu_khi!$B$2:$B$12,MATCH($J$13,cc_input_vu_khi!$A$2:$A$12,0))*INDEX(cc_input_bang_xuyen_giap!$B$2:$B$7,MIN(6,MAX(1,IF(INDEX(cc_input_vu_khi_suy_ra!$B$2:$B$12,MATCH($J$13,cc_input_vu_khi_suy_ra!$A$2:$A$12,0)),MAX(1,2-(INDEX(cc_input_vu_khi!$C$2:$C$12,MATCH($J$13,cc_input_vu_khi!$A$2:$A$12,0))-Thap!$K$14)),2-(INDEX(cc_input_vu_khi!$C$2:$C$12,MATCH($J$13,cc_input_vu_khi!$A$2:$A$12,0))-Thap!$K$14))+1)))*INDEX(cc_input_vu_khi_suy_ra!$D$2:$D$12,MATCH($J$13,cc_input_vu_khi_suy_ra!$A$2:$A$12,0))),1),""))</f>
        <v/>
      </c>
      <c r="L13" t="inlineStr">
        <is>
          <t>Tools/balance/p32_tower_prices.py Model.price('atgm_tower.top') + threats('Medium')</t>
        </is>
      </c>
      <c r="M13" t="inlineStr"/>
    </row>
    <row r="14">
      <c r="A14" t="inlineStr">
        <is>
          <t>c_ram</t>
        </is>
      </c>
      <c r="B14">
        <f>Thap_gia_cong_thuc!$Q$14</f>
        <v/>
      </c>
      <c r="C14">
        <f>IF(ISNUMBER($B$14),$B$14/Thap!$BN$19,"")</f>
        <v/>
      </c>
      <c r="D14" t="inlineStr">
        <is>
          <t>gun_105_ags</t>
        </is>
      </c>
      <c r="E14">
        <f>IF($D$14="","",IF(INDEX(cc_input_vu_khi!$B$2:$B$12,MATCH($D$14,cc_input_vu_khi!$A$2:$A$12,0))*INDEX(cc_input_bang_xuyen_giap!$B$2:$B$7,MIN(6,MAX(1,IF(INDEX(cc_input_vu_khi_suy_ra!$B$2:$B$12,MATCH($D$14,cc_input_vu_khi_suy_ra!$A$2:$A$12,0)),MAX(1,2-(INDEX(cc_input_vu_khi!$C$2:$C$12,MATCH($D$14,cc_input_vu_khi!$A$2:$A$12,0))-Thap!$K$19)),2-(INDEX(cc_input_vu_khi!$C$2:$C$12,MATCH($D$14,cc_input_vu_khi!$A$2:$A$12,0))-Thap!$K$19))+1)))*INDEX(cc_input_vu_khi_suy_ra!$D$2:$D$12,MATCH($D$14,cc_input_vu_khi_suy_ra!$A$2:$A$12,0))&gt;0,CEILING(Thap!$J$19/(INDEX(cc_input_vu_khi!$B$2:$B$12,MATCH($D$14,cc_input_vu_khi!$A$2:$A$12,0))*INDEX(cc_input_bang_xuyen_giap!$B$2:$B$7,MIN(6,MAX(1,IF(INDEX(cc_input_vu_khi_suy_ra!$B$2:$B$12,MATCH($D$14,cc_input_vu_khi_suy_ra!$A$2:$A$12,0)),MAX(1,2-(INDEX(cc_input_vu_khi!$C$2:$C$12,MATCH($D$14,cc_input_vu_khi!$A$2:$A$12,0))-Thap!$K$19)),2-(INDEX(cc_input_vu_khi!$C$2:$C$12,MATCH($D$14,cc_input_vu_khi!$A$2:$A$12,0))-Thap!$K$19))+1)))*INDEX(cc_input_vu_khi_suy_ra!$D$2:$D$12,MATCH($D$14,cc_input_vu_khi_suy_ra!$A$2:$A$12,0))),1),""))</f>
        <v/>
      </c>
      <c r="F14" t="inlineStr">
        <is>
          <t>gun_105_wheeled_he</t>
        </is>
      </c>
      <c r="G14">
        <f>IF($F$14="","",IF(INDEX(cc_input_vu_khi!$B$2:$B$12,MATCH($F$14,cc_input_vu_khi!$A$2:$A$12,0))*INDEX(cc_input_bang_xuyen_giap!$B$2:$B$7,MIN(6,MAX(1,IF(INDEX(cc_input_vu_khi_suy_ra!$B$2:$B$12,MATCH($F$14,cc_input_vu_khi_suy_ra!$A$2:$A$12,0)),MAX(1,2-(INDEX(cc_input_vu_khi!$C$2:$C$12,MATCH($F$14,cc_input_vu_khi!$A$2:$A$12,0))-Thap!$K$19)),2-(INDEX(cc_input_vu_khi!$C$2:$C$12,MATCH($F$14,cc_input_vu_khi!$A$2:$A$12,0))-Thap!$K$19))+1)))*INDEX(cc_input_vu_khi_suy_ra!$D$2:$D$12,MATCH($F$14,cc_input_vu_khi_suy_ra!$A$2:$A$12,0))&gt;0,CEILING(Thap!$J$19/(INDEX(cc_input_vu_khi!$B$2:$B$12,MATCH($F$14,cc_input_vu_khi!$A$2:$A$12,0))*INDEX(cc_input_bang_xuyen_giap!$B$2:$B$7,MIN(6,MAX(1,IF(INDEX(cc_input_vu_khi_suy_ra!$B$2:$B$12,MATCH($F$14,cc_input_vu_khi_suy_ra!$A$2:$A$12,0)),MAX(1,2-(INDEX(cc_input_vu_khi!$C$2:$C$12,MATCH($F$14,cc_input_vu_khi!$A$2:$A$12,0))-Thap!$K$19)),2-(INDEX(cc_input_vu_khi!$C$2:$C$12,MATCH($F$14,cc_input_vu_khi!$A$2:$A$12,0))-Thap!$K$19))+1)))*INDEX(cc_input_vu_khi_suy_ra!$D$2:$D$12,MATCH($F$14,cc_input_vu_khi_suy_ra!$A$2:$A$12,0))),1),""))</f>
        <v/>
      </c>
      <c r="H14" t="inlineStr">
        <is>
          <t>lancet</t>
        </is>
      </c>
      <c r="I14">
        <f>IF($H$14="","",IF(INDEX(cc_input_vu_khi!$B$2:$B$12,MATCH($H$14,cc_input_vu_khi!$A$2:$A$12,0))*INDEX(cc_input_bang_xuyen_giap!$B$2:$B$7,MIN(6,MAX(1,IF(INDEX(cc_input_vu_khi_suy_ra!$B$2:$B$12,MATCH($H$14,cc_input_vu_khi_suy_ra!$A$2:$A$12,0)),MAX(1,2-(INDEX(cc_input_vu_khi!$C$2:$C$12,MATCH($H$14,cc_input_vu_khi!$A$2:$A$12,0))-Thap!$K$19)),2-(INDEX(cc_input_vu_khi!$C$2:$C$12,MATCH($H$14,cc_input_vu_khi!$A$2:$A$12,0))-Thap!$K$19))+1)))*INDEX(cc_input_vu_khi_suy_ra!$D$2:$D$12,MATCH($H$14,cc_input_vu_khi_suy_ra!$A$2:$A$12,0))&gt;0,CEILING(Thap!$J$19/(INDEX(cc_input_vu_khi!$B$2:$B$12,MATCH($H$14,cc_input_vu_khi!$A$2:$A$12,0))*INDEX(cc_input_bang_xuyen_giap!$B$2:$B$7,MIN(6,MAX(1,IF(INDEX(cc_input_vu_khi_suy_ra!$B$2:$B$12,MATCH($H$14,cc_input_vu_khi_suy_ra!$A$2:$A$12,0)),MAX(1,2-(INDEX(cc_input_vu_khi!$C$2:$C$12,MATCH($H$14,cc_input_vu_khi!$A$2:$A$12,0))-Thap!$K$19)),2-(INDEX(cc_input_vu_khi!$C$2:$C$12,MATCH($H$14,cc_input_vu_khi!$A$2:$A$12,0))-Thap!$K$19))+1)))*INDEX(cc_input_vu_khi_suy_ra!$D$2:$D$12,MATCH($H$14,cc_input_vu_khi_suy_ra!$A$2:$A$12,0))),1),""))</f>
        <v/>
      </c>
      <c r="J14" t="inlineStr">
        <is>
          <t>mlrs_rockets</t>
        </is>
      </c>
      <c r="K14">
        <f>IF($J$14="","",IF(INDEX(cc_input_vu_khi!$B$2:$B$12,MATCH($J$14,cc_input_vu_khi!$A$2:$A$12,0))*INDEX(cc_input_bang_xuyen_giap!$B$2:$B$7,MIN(6,MAX(1,IF(INDEX(cc_input_vu_khi_suy_ra!$B$2:$B$12,MATCH($J$14,cc_input_vu_khi_suy_ra!$A$2:$A$12,0)),MAX(1,2-(INDEX(cc_input_vu_khi!$C$2:$C$12,MATCH($J$14,cc_input_vu_khi!$A$2:$A$12,0))-Thap!$K$19)),2-(INDEX(cc_input_vu_khi!$C$2:$C$12,MATCH($J$14,cc_input_vu_khi!$A$2:$A$12,0))-Thap!$K$19))+1)))*INDEX(cc_input_vu_khi_suy_ra!$D$2:$D$12,MATCH($J$14,cc_input_vu_khi_suy_ra!$A$2:$A$12,0))&gt;0,CEILING(Thap!$J$19/(INDEX(cc_input_vu_khi!$B$2:$B$12,MATCH($J$14,cc_input_vu_khi!$A$2:$A$12,0))*INDEX(cc_input_bang_xuyen_giap!$B$2:$B$7,MIN(6,MAX(1,IF(INDEX(cc_input_vu_khi_suy_ra!$B$2:$B$12,MATCH($J$14,cc_input_vu_khi_suy_ra!$A$2:$A$12,0)),MAX(1,2-(INDEX(cc_input_vu_khi!$C$2:$C$12,MATCH($J$14,cc_input_vu_khi!$A$2:$A$12,0))-Thap!$K$19)),2-(INDEX(cc_input_vu_khi!$C$2:$C$12,MATCH($J$14,cc_input_vu_khi!$A$2:$A$12,0))-Thap!$K$19))+1)))*INDEX(cc_input_vu_khi_suy_ra!$D$2:$D$12,MATCH($J$14,cc_input_vu_khi_suy_ra!$A$2:$A$12,0))),1),""))</f>
        <v/>
      </c>
      <c r="L14" t="inlineStr">
        <is>
          <t>Tools/balance/p32_tower_prices.py Model.price('c_ram') + threats('Medium')</t>
        </is>
      </c>
      <c r="M14" t="inlineStr"/>
    </row>
    <row r="15">
      <c r="A15" t="inlineStr">
        <is>
          <t>c_ram.centurion</t>
        </is>
      </c>
      <c r="B15">
        <f>Thap_gia_cong_thuc!$Q$15</f>
        <v/>
      </c>
      <c r="C15">
        <f>IF(ISNUMBER($B$15),$B$15/Thap!$BN$20,"")</f>
        <v/>
      </c>
      <c r="D15" t="inlineStr">
        <is>
          <t>gun_105_ags</t>
        </is>
      </c>
      <c r="E15">
        <f>IF($D$15="","",IF(INDEX(cc_input_vu_khi!$B$2:$B$12,MATCH($D$15,cc_input_vu_khi!$A$2:$A$12,0))*INDEX(cc_input_bang_xuyen_giap!$B$2:$B$7,MIN(6,MAX(1,IF(INDEX(cc_input_vu_khi_suy_ra!$B$2:$B$12,MATCH($D$15,cc_input_vu_khi_suy_ra!$A$2:$A$12,0)),MAX(1,2-(INDEX(cc_input_vu_khi!$C$2:$C$12,MATCH($D$15,cc_input_vu_khi!$A$2:$A$12,0))-Thap!$K$20)),2-(INDEX(cc_input_vu_khi!$C$2:$C$12,MATCH($D$15,cc_input_vu_khi!$A$2:$A$12,0))-Thap!$K$20))+1)))*INDEX(cc_input_vu_khi_suy_ra!$D$2:$D$12,MATCH($D$15,cc_input_vu_khi_suy_ra!$A$2:$A$12,0))&gt;0,CEILING(Thap!$J$20/(INDEX(cc_input_vu_khi!$B$2:$B$12,MATCH($D$15,cc_input_vu_khi!$A$2:$A$12,0))*INDEX(cc_input_bang_xuyen_giap!$B$2:$B$7,MIN(6,MAX(1,IF(INDEX(cc_input_vu_khi_suy_ra!$B$2:$B$12,MATCH($D$15,cc_input_vu_khi_suy_ra!$A$2:$A$12,0)),MAX(1,2-(INDEX(cc_input_vu_khi!$C$2:$C$12,MATCH($D$15,cc_input_vu_khi!$A$2:$A$12,0))-Thap!$K$20)),2-(INDEX(cc_input_vu_khi!$C$2:$C$12,MATCH($D$15,cc_input_vu_khi!$A$2:$A$12,0))-Thap!$K$20))+1)))*INDEX(cc_input_vu_khi_suy_ra!$D$2:$D$12,MATCH($D$15,cc_input_vu_khi_suy_ra!$A$2:$A$12,0))),1),""))</f>
        <v/>
      </c>
      <c r="F15" t="inlineStr">
        <is>
          <t>gun_105_wheeled_he</t>
        </is>
      </c>
      <c r="G15">
        <f>IF($F$15="","",IF(INDEX(cc_input_vu_khi!$B$2:$B$12,MATCH($F$15,cc_input_vu_khi!$A$2:$A$12,0))*INDEX(cc_input_bang_xuyen_giap!$B$2:$B$7,MIN(6,MAX(1,IF(INDEX(cc_input_vu_khi_suy_ra!$B$2:$B$12,MATCH($F$15,cc_input_vu_khi_suy_ra!$A$2:$A$12,0)),MAX(1,2-(INDEX(cc_input_vu_khi!$C$2:$C$12,MATCH($F$15,cc_input_vu_khi!$A$2:$A$12,0))-Thap!$K$20)),2-(INDEX(cc_input_vu_khi!$C$2:$C$12,MATCH($F$15,cc_input_vu_khi!$A$2:$A$12,0))-Thap!$K$20))+1)))*INDEX(cc_input_vu_khi_suy_ra!$D$2:$D$12,MATCH($F$15,cc_input_vu_khi_suy_ra!$A$2:$A$12,0))&gt;0,CEILING(Thap!$J$20/(INDEX(cc_input_vu_khi!$B$2:$B$12,MATCH($F$15,cc_input_vu_khi!$A$2:$A$12,0))*INDEX(cc_input_bang_xuyen_giap!$B$2:$B$7,MIN(6,MAX(1,IF(INDEX(cc_input_vu_khi_suy_ra!$B$2:$B$12,MATCH($F$15,cc_input_vu_khi_suy_ra!$A$2:$A$12,0)),MAX(1,2-(INDEX(cc_input_vu_khi!$C$2:$C$12,MATCH($F$15,cc_input_vu_khi!$A$2:$A$12,0))-Thap!$K$20)),2-(INDEX(cc_input_vu_khi!$C$2:$C$12,MATCH($F$15,cc_input_vu_khi!$A$2:$A$12,0))-Thap!$K$20))+1)))*INDEX(cc_input_vu_khi_suy_ra!$D$2:$D$12,MATCH($F$15,cc_input_vu_khi_suy_ra!$A$2:$A$12,0))),1),""))</f>
        <v/>
      </c>
      <c r="H15" t="inlineStr">
        <is>
          <t>lancet</t>
        </is>
      </c>
      <c r="I15">
        <f>IF($H$15="","",IF(INDEX(cc_input_vu_khi!$B$2:$B$12,MATCH($H$15,cc_input_vu_khi!$A$2:$A$12,0))*INDEX(cc_input_bang_xuyen_giap!$B$2:$B$7,MIN(6,MAX(1,IF(INDEX(cc_input_vu_khi_suy_ra!$B$2:$B$12,MATCH($H$15,cc_input_vu_khi_suy_ra!$A$2:$A$12,0)),MAX(1,2-(INDEX(cc_input_vu_khi!$C$2:$C$12,MATCH($H$15,cc_input_vu_khi!$A$2:$A$12,0))-Thap!$K$20)),2-(INDEX(cc_input_vu_khi!$C$2:$C$12,MATCH($H$15,cc_input_vu_khi!$A$2:$A$12,0))-Thap!$K$20))+1)))*INDEX(cc_input_vu_khi_suy_ra!$D$2:$D$12,MATCH($H$15,cc_input_vu_khi_suy_ra!$A$2:$A$12,0))&gt;0,CEILING(Thap!$J$20/(INDEX(cc_input_vu_khi!$B$2:$B$12,MATCH($H$15,cc_input_vu_khi!$A$2:$A$12,0))*INDEX(cc_input_bang_xuyen_giap!$B$2:$B$7,MIN(6,MAX(1,IF(INDEX(cc_input_vu_khi_suy_ra!$B$2:$B$12,MATCH($H$15,cc_input_vu_khi_suy_ra!$A$2:$A$12,0)),MAX(1,2-(INDEX(cc_input_vu_khi!$C$2:$C$12,MATCH($H$15,cc_input_vu_khi!$A$2:$A$12,0))-Thap!$K$20)),2-(INDEX(cc_input_vu_khi!$C$2:$C$12,MATCH($H$15,cc_input_vu_khi!$A$2:$A$12,0))-Thap!$K$20))+1)))*INDEX(cc_input_vu_khi_suy_ra!$D$2:$D$12,MATCH($H$15,cc_input_vu_khi_suy_ra!$A$2:$A$12,0))),1),""))</f>
        <v/>
      </c>
      <c r="J15" t="inlineStr">
        <is>
          <t>mlrs_rockets</t>
        </is>
      </c>
      <c r="K15">
        <f>IF($J$15="","",IF(INDEX(cc_input_vu_khi!$B$2:$B$12,MATCH($J$15,cc_input_vu_khi!$A$2:$A$12,0))*INDEX(cc_input_bang_xuyen_giap!$B$2:$B$7,MIN(6,MAX(1,IF(INDEX(cc_input_vu_khi_suy_ra!$B$2:$B$12,MATCH($J$15,cc_input_vu_khi_suy_ra!$A$2:$A$12,0)),MAX(1,2-(INDEX(cc_input_vu_khi!$C$2:$C$12,MATCH($J$15,cc_input_vu_khi!$A$2:$A$12,0))-Thap!$K$20)),2-(INDEX(cc_input_vu_khi!$C$2:$C$12,MATCH($J$15,cc_input_vu_khi!$A$2:$A$12,0))-Thap!$K$20))+1)))*INDEX(cc_input_vu_khi_suy_ra!$D$2:$D$12,MATCH($J$15,cc_input_vu_khi_suy_ra!$A$2:$A$12,0))&gt;0,CEILING(Thap!$J$20/(INDEX(cc_input_vu_khi!$B$2:$B$12,MATCH($J$15,cc_input_vu_khi!$A$2:$A$12,0))*INDEX(cc_input_bang_xuyen_giap!$B$2:$B$7,MIN(6,MAX(1,IF(INDEX(cc_input_vu_khi_suy_ra!$B$2:$B$12,MATCH($J$15,cc_input_vu_khi_suy_ra!$A$2:$A$12,0)),MAX(1,2-(INDEX(cc_input_vu_khi!$C$2:$C$12,MATCH($J$15,cc_input_vu_khi!$A$2:$A$12,0))-Thap!$K$20)),2-(INDEX(cc_input_vu_khi!$C$2:$C$12,MATCH($J$15,cc_input_vu_khi!$A$2:$A$12,0))-Thap!$K$20))+1)))*INDEX(cc_input_vu_khi_suy_ra!$D$2:$D$12,MATCH($J$15,cc_input_vu_khi_suy_ra!$A$2:$A$12,0))),1),""))</f>
        <v/>
      </c>
      <c r="L15" t="inlineStr">
        <is>
          <t>Tools/balance/p32_tower_prices.py Model.price('c_ram.centurion') + threats('Medium')</t>
        </is>
      </c>
      <c r="M15" t="inlineStr"/>
    </row>
    <row r="16">
      <c r="A16" t="inlineStr">
        <is>
          <t>c_ram.dome</t>
        </is>
      </c>
      <c r="B16">
        <f>Thap_gia_cong_thuc!$Q$16</f>
        <v/>
      </c>
      <c r="C16">
        <f>IF(ISNUMBER($B$16),$B$16/Thap!$BN$21,"")</f>
        <v/>
      </c>
      <c r="D16" t="inlineStr">
        <is>
          <t>gun_105_ags</t>
        </is>
      </c>
      <c r="E16">
        <f>IF($D$16="","",IF(INDEX(cc_input_vu_khi!$B$2:$B$12,MATCH($D$16,cc_input_vu_khi!$A$2:$A$12,0))*INDEX(cc_input_bang_xuyen_giap!$B$2:$B$7,MIN(6,MAX(1,IF(INDEX(cc_input_vu_khi_suy_ra!$B$2:$B$12,MATCH($D$16,cc_input_vu_khi_suy_ra!$A$2:$A$12,0)),MAX(1,2-(INDEX(cc_input_vu_khi!$C$2:$C$12,MATCH($D$16,cc_input_vu_khi!$A$2:$A$12,0))-Thap!$K$21)),2-(INDEX(cc_input_vu_khi!$C$2:$C$12,MATCH($D$16,cc_input_vu_khi!$A$2:$A$12,0))-Thap!$K$21))+1)))*INDEX(cc_input_vu_khi_suy_ra!$D$2:$D$12,MATCH($D$16,cc_input_vu_khi_suy_ra!$A$2:$A$12,0))&gt;0,CEILING(Thap!$J$21/(INDEX(cc_input_vu_khi!$B$2:$B$12,MATCH($D$16,cc_input_vu_khi!$A$2:$A$12,0))*INDEX(cc_input_bang_xuyen_giap!$B$2:$B$7,MIN(6,MAX(1,IF(INDEX(cc_input_vu_khi_suy_ra!$B$2:$B$12,MATCH($D$16,cc_input_vu_khi_suy_ra!$A$2:$A$12,0)),MAX(1,2-(INDEX(cc_input_vu_khi!$C$2:$C$12,MATCH($D$16,cc_input_vu_khi!$A$2:$A$12,0))-Thap!$K$21)),2-(INDEX(cc_input_vu_khi!$C$2:$C$12,MATCH($D$16,cc_input_vu_khi!$A$2:$A$12,0))-Thap!$K$21))+1)))*INDEX(cc_input_vu_khi_suy_ra!$D$2:$D$12,MATCH($D$16,cc_input_vu_khi_suy_ra!$A$2:$A$12,0))),1),""))</f>
        <v/>
      </c>
      <c r="F16" t="inlineStr">
        <is>
          <t>gun_105_wheeled_he</t>
        </is>
      </c>
      <c r="G16">
        <f>IF($F$16="","",IF(INDEX(cc_input_vu_khi!$B$2:$B$12,MATCH($F$16,cc_input_vu_khi!$A$2:$A$12,0))*INDEX(cc_input_bang_xuyen_giap!$B$2:$B$7,MIN(6,MAX(1,IF(INDEX(cc_input_vu_khi_suy_ra!$B$2:$B$12,MATCH($F$16,cc_input_vu_khi_suy_ra!$A$2:$A$12,0)),MAX(1,2-(INDEX(cc_input_vu_khi!$C$2:$C$12,MATCH($F$16,cc_input_vu_khi!$A$2:$A$12,0))-Thap!$K$21)),2-(INDEX(cc_input_vu_khi!$C$2:$C$12,MATCH($F$16,cc_input_vu_khi!$A$2:$A$12,0))-Thap!$K$21))+1)))*INDEX(cc_input_vu_khi_suy_ra!$D$2:$D$12,MATCH($F$16,cc_input_vu_khi_suy_ra!$A$2:$A$12,0))&gt;0,CEILING(Thap!$J$21/(INDEX(cc_input_vu_khi!$B$2:$B$12,MATCH($F$16,cc_input_vu_khi!$A$2:$A$12,0))*INDEX(cc_input_bang_xuyen_giap!$B$2:$B$7,MIN(6,MAX(1,IF(INDEX(cc_input_vu_khi_suy_ra!$B$2:$B$12,MATCH($F$16,cc_input_vu_khi_suy_ra!$A$2:$A$12,0)),MAX(1,2-(INDEX(cc_input_vu_khi!$C$2:$C$12,MATCH($F$16,cc_input_vu_khi!$A$2:$A$12,0))-Thap!$K$21)),2-(INDEX(cc_input_vu_khi!$C$2:$C$12,MATCH($F$16,cc_input_vu_khi!$A$2:$A$12,0))-Thap!$K$21))+1)))*INDEX(cc_input_vu_khi_suy_ra!$D$2:$D$12,MATCH($F$16,cc_input_vu_khi_suy_ra!$A$2:$A$12,0))),1),""))</f>
        <v/>
      </c>
      <c r="H16" t="inlineStr">
        <is>
          <t>lancet</t>
        </is>
      </c>
      <c r="I16">
        <f>IF($H$16="","",IF(INDEX(cc_input_vu_khi!$B$2:$B$12,MATCH($H$16,cc_input_vu_khi!$A$2:$A$12,0))*INDEX(cc_input_bang_xuyen_giap!$B$2:$B$7,MIN(6,MAX(1,IF(INDEX(cc_input_vu_khi_suy_ra!$B$2:$B$12,MATCH($H$16,cc_input_vu_khi_suy_ra!$A$2:$A$12,0)),MAX(1,2-(INDEX(cc_input_vu_khi!$C$2:$C$12,MATCH($H$16,cc_input_vu_khi!$A$2:$A$12,0))-Thap!$K$21)),2-(INDEX(cc_input_vu_khi!$C$2:$C$12,MATCH($H$16,cc_input_vu_khi!$A$2:$A$12,0))-Thap!$K$21))+1)))*INDEX(cc_input_vu_khi_suy_ra!$D$2:$D$12,MATCH($H$16,cc_input_vu_khi_suy_ra!$A$2:$A$12,0))&gt;0,CEILING(Thap!$J$21/(INDEX(cc_input_vu_khi!$B$2:$B$12,MATCH($H$16,cc_input_vu_khi!$A$2:$A$12,0))*INDEX(cc_input_bang_xuyen_giap!$B$2:$B$7,MIN(6,MAX(1,IF(INDEX(cc_input_vu_khi_suy_ra!$B$2:$B$12,MATCH($H$16,cc_input_vu_khi_suy_ra!$A$2:$A$12,0)),MAX(1,2-(INDEX(cc_input_vu_khi!$C$2:$C$12,MATCH($H$16,cc_input_vu_khi!$A$2:$A$12,0))-Thap!$K$21)),2-(INDEX(cc_input_vu_khi!$C$2:$C$12,MATCH($H$16,cc_input_vu_khi!$A$2:$A$12,0))-Thap!$K$21))+1)))*INDEX(cc_input_vu_khi_suy_ra!$D$2:$D$12,MATCH($H$16,cc_input_vu_khi_suy_ra!$A$2:$A$12,0))),1),""))</f>
        <v/>
      </c>
      <c r="J16" t="inlineStr">
        <is>
          <t>mlrs_rockets</t>
        </is>
      </c>
      <c r="K16">
        <f>IF($J$16="","",IF(INDEX(cc_input_vu_khi!$B$2:$B$12,MATCH($J$16,cc_input_vu_khi!$A$2:$A$12,0))*INDEX(cc_input_bang_xuyen_giap!$B$2:$B$7,MIN(6,MAX(1,IF(INDEX(cc_input_vu_khi_suy_ra!$B$2:$B$12,MATCH($J$16,cc_input_vu_khi_suy_ra!$A$2:$A$12,0)),MAX(1,2-(INDEX(cc_input_vu_khi!$C$2:$C$12,MATCH($J$16,cc_input_vu_khi!$A$2:$A$12,0))-Thap!$K$21)),2-(INDEX(cc_input_vu_khi!$C$2:$C$12,MATCH($J$16,cc_input_vu_khi!$A$2:$A$12,0))-Thap!$K$21))+1)))*INDEX(cc_input_vu_khi_suy_ra!$D$2:$D$12,MATCH($J$16,cc_input_vu_khi_suy_ra!$A$2:$A$12,0))&gt;0,CEILING(Thap!$J$21/(INDEX(cc_input_vu_khi!$B$2:$B$12,MATCH($J$16,cc_input_vu_khi!$A$2:$A$12,0))*INDEX(cc_input_bang_xuyen_giap!$B$2:$B$7,MIN(6,MAX(1,IF(INDEX(cc_input_vu_khi_suy_ra!$B$2:$B$12,MATCH($J$16,cc_input_vu_khi_suy_ra!$A$2:$A$12,0)),MAX(1,2-(INDEX(cc_input_vu_khi!$C$2:$C$12,MATCH($J$16,cc_input_vu_khi!$A$2:$A$12,0))-Thap!$K$21)),2-(INDEX(cc_input_vu_khi!$C$2:$C$12,MATCH($J$16,cc_input_vu_khi!$A$2:$A$12,0))-Thap!$K$21))+1)))*INDEX(cc_input_vu_khi_suy_ra!$D$2:$D$12,MATCH($J$16,cc_input_vu_khi_suy_ra!$A$2:$A$12,0))),1),""))</f>
        <v/>
      </c>
      <c r="L16" t="inlineStr">
        <is>
          <t>Tools/balance/p32_tower_prices.py Model.price('c_ram.dome') + threats('Medium')</t>
        </is>
      </c>
      <c r="M16" t="inlineStr"/>
    </row>
    <row r="17">
      <c r="A17" t="inlineStr">
        <is>
          <t>cp_relay</t>
        </is>
      </c>
      <c r="B17">
        <f>Thap_gia_cong_thuc!$Q$17</f>
        <v/>
      </c>
      <c r="C17">
        <f>IF(ISNUMBER($B$17),$B$17/Thap!$BN$23,"")</f>
        <v/>
      </c>
      <c r="D17" t="inlineStr">
        <is>
          <t>ifv_30</t>
        </is>
      </c>
      <c r="E17">
        <f>IF($D$17="","",IF(INDEX(cc_input_vu_khi!$B$2:$B$12,MATCH($D$17,cc_input_vu_khi!$A$2:$A$12,0))*INDEX(cc_input_bang_xuyen_giap!$B$2:$B$7,MIN(6,MAX(1,IF(INDEX(cc_input_vu_khi_suy_ra!$B$2:$B$12,MATCH($D$17,cc_input_vu_khi_suy_ra!$A$2:$A$12,0)),MAX(1,2-(INDEX(cc_input_vu_khi!$C$2:$C$12,MATCH($D$17,cc_input_vu_khi!$A$2:$A$12,0))-Thap!$K$23)),2-(INDEX(cc_input_vu_khi!$C$2:$C$12,MATCH($D$17,cc_input_vu_khi!$A$2:$A$12,0))-Thap!$K$23))+1)))*INDEX(cc_input_vu_khi_suy_ra!$D$2:$D$12,MATCH($D$17,cc_input_vu_khi_suy_ra!$A$2:$A$12,0))&gt;0,CEILING(Thap!$J$23/(INDEX(cc_input_vu_khi!$B$2:$B$12,MATCH($D$17,cc_input_vu_khi!$A$2:$A$12,0))*INDEX(cc_input_bang_xuyen_giap!$B$2:$B$7,MIN(6,MAX(1,IF(INDEX(cc_input_vu_khi_suy_ra!$B$2:$B$12,MATCH($D$17,cc_input_vu_khi_suy_ra!$A$2:$A$12,0)),MAX(1,2-(INDEX(cc_input_vu_khi!$C$2:$C$12,MATCH($D$17,cc_input_vu_khi!$A$2:$A$12,0))-Thap!$K$23)),2-(INDEX(cc_input_vu_khi!$C$2:$C$12,MATCH($D$17,cc_input_vu_khi!$A$2:$A$12,0))-Thap!$K$23))+1)))*INDEX(cc_input_vu_khi_suy_ra!$D$2:$D$12,MATCH($D$17,cc_input_vu_khi_suy_ra!$A$2:$A$12,0))),1),""))</f>
        <v/>
      </c>
      <c r="F17" t="inlineStr">
        <is>
          <t>gun_105_wheeled_he</t>
        </is>
      </c>
      <c r="G17">
        <f>IF($F$17="","",IF(INDEX(cc_input_vu_khi!$B$2:$B$12,MATCH($F$17,cc_input_vu_khi!$A$2:$A$12,0))*INDEX(cc_input_bang_xuyen_giap!$B$2:$B$7,MIN(6,MAX(1,IF(INDEX(cc_input_vu_khi_suy_ra!$B$2:$B$12,MATCH($F$17,cc_input_vu_khi_suy_ra!$A$2:$A$12,0)),MAX(1,2-(INDEX(cc_input_vu_khi!$C$2:$C$12,MATCH($F$17,cc_input_vu_khi!$A$2:$A$12,0))-Thap!$K$23)),2-(INDEX(cc_input_vu_khi!$C$2:$C$12,MATCH($F$17,cc_input_vu_khi!$A$2:$A$12,0))-Thap!$K$23))+1)))*INDEX(cc_input_vu_khi_suy_ra!$D$2:$D$12,MATCH($F$17,cc_input_vu_khi_suy_ra!$A$2:$A$12,0))&gt;0,CEILING(Thap!$J$23/(INDEX(cc_input_vu_khi!$B$2:$B$12,MATCH($F$17,cc_input_vu_khi!$A$2:$A$12,0))*INDEX(cc_input_bang_xuyen_giap!$B$2:$B$7,MIN(6,MAX(1,IF(INDEX(cc_input_vu_khi_suy_ra!$B$2:$B$12,MATCH($F$17,cc_input_vu_khi_suy_ra!$A$2:$A$12,0)),MAX(1,2-(INDEX(cc_input_vu_khi!$C$2:$C$12,MATCH($F$17,cc_input_vu_khi!$A$2:$A$12,0))-Thap!$K$23)),2-(INDEX(cc_input_vu_khi!$C$2:$C$12,MATCH($F$17,cc_input_vu_khi!$A$2:$A$12,0))-Thap!$K$23))+1)))*INDEX(cc_input_vu_khi_suy_ra!$D$2:$D$12,MATCH($F$17,cc_input_vu_khi_suy_ra!$A$2:$A$12,0))),1),""))</f>
        <v/>
      </c>
      <c r="H17" t="inlineStr">
        <is>
          <t>khrizantema</t>
        </is>
      </c>
      <c r="I17">
        <f>IF($H$17="","",IF(INDEX(cc_input_vu_khi!$B$2:$B$12,MATCH($H$17,cc_input_vu_khi!$A$2:$A$12,0))*INDEX(cc_input_bang_xuyen_giap!$B$2:$B$7,MIN(6,MAX(1,IF(INDEX(cc_input_vu_khi_suy_ra!$B$2:$B$12,MATCH($H$17,cc_input_vu_khi_suy_ra!$A$2:$A$12,0)),MAX(1,2-(INDEX(cc_input_vu_khi!$C$2:$C$12,MATCH($H$17,cc_input_vu_khi!$A$2:$A$12,0))-Thap!$K$23)),2-(INDEX(cc_input_vu_khi!$C$2:$C$12,MATCH($H$17,cc_input_vu_khi!$A$2:$A$12,0))-Thap!$K$23))+1)))*INDEX(cc_input_vu_khi_suy_ra!$D$2:$D$12,MATCH($H$17,cc_input_vu_khi_suy_ra!$A$2:$A$12,0))&gt;0,CEILING(Thap!$J$23/(INDEX(cc_input_vu_khi!$B$2:$B$12,MATCH($H$17,cc_input_vu_khi!$A$2:$A$12,0))*INDEX(cc_input_bang_xuyen_giap!$B$2:$B$7,MIN(6,MAX(1,IF(INDEX(cc_input_vu_khi_suy_ra!$B$2:$B$12,MATCH($H$17,cc_input_vu_khi_suy_ra!$A$2:$A$12,0)),MAX(1,2-(INDEX(cc_input_vu_khi!$C$2:$C$12,MATCH($H$17,cc_input_vu_khi!$A$2:$A$12,0))-Thap!$K$23)),2-(INDEX(cc_input_vu_khi!$C$2:$C$12,MATCH($H$17,cc_input_vu_khi!$A$2:$A$12,0))-Thap!$K$23))+1)))*INDEX(cc_input_vu_khi_suy_ra!$D$2:$D$12,MATCH($H$17,cc_input_vu_khi_suy_ra!$A$2:$A$12,0))),1),""))</f>
        <v/>
      </c>
      <c r="J17" t="inlineStr">
        <is>
          <t>caesar_155</t>
        </is>
      </c>
      <c r="K17">
        <f>IF($J$17="","",IF(INDEX(cc_input_vu_khi!$B$2:$B$12,MATCH($J$17,cc_input_vu_khi!$A$2:$A$12,0))*INDEX(cc_input_bang_xuyen_giap!$B$2:$B$7,MIN(6,MAX(1,IF(INDEX(cc_input_vu_khi_suy_ra!$B$2:$B$12,MATCH($J$17,cc_input_vu_khi_suy_ra!$A$2:$A$12,0)),MAX(1,2-(INDEX(cc_input_vu_khi!$C$2:$C$12,MATCH($J$17,cc_input_vu_khi!$A$2:$A$12,0))-Thap!$K$23)),2-(INDEX(cc_input_vu_khi!$C$2:$C$12,MATCH($J$17,cc_input_vu_khi!$A$2:$A$12,0))-Thap!$K$23))+1)))*INDEX(cc_input_vu_khi_suy_ra!$D$2:$D$12,MATCH($J$17,cc_input_vu_khi_suy_ra!$A$2:$A$12,0))&gt;0,CEILING(Thap!$J$23/(INDEX(cc_input_vu_khi!$B$2:$B$12,MATCH($J$17,cc_input_vu_khi!$A$2:$A$12,0))*INDEX(cc_input_bang_xuyen_giap!$B$2:$B$7,MIN(6,MAX(1,IF(INDEX(cc_input_vu_khi_suy_ra!$B$2:$B$12,MATCH($J$17,cc_input_vu_khi_suy_ra!$A$2:$A$12,0)),MAX(1,2-(INDEX(cc_input_vu_khi!$C$2:$C$12,MATCH($J$17,cc_input_vu_khi!$A$2:$A$12,0))-Thap!$K$23)),2-(INDEX(cc_input_vu_khi!$C$2:$C$12,MATCH($J$17,cc_input_vu_khi!$A$2:$A$12,0))-Thap!$K$23))+1)))*INDEX(cc_input_vu_khi_suy_ra!$D$2:$D$12,MATCH($J$17,cc_input_vu_khi_suy_ra!$A$2:$A$12,0))),1),""))</f>
        <v/>
      </c>
      <c r="L17" t="inlineStr">
        <is>
          <t>Tools/balance/p32_tower_prices.py Model.price('cp_relay') + threats('Small')</t>
        </is>
      </c>
      <c r="M17" t="inlineStr"/>
    </row>
    <row r="18">
      <c r="A18" t="inlineStr">
        <is>
          <t>dragons_teeth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$12,MATCH($D$18,cc_input_vu_khi!$A$2:$A$12,0))*INDEX(cc_input_bang_xuyen_giap!$B$2:$B$7,MIN(6,MAX(1,IF(INDEX(cc_input_vu_khi_suy_ra!$B$2:$B$12,MATCH($D$18,cc_input_vu_khi_suy_ra!$A$2:$A$12,0)),MAX(1,2-(INDEX(cc_input_vu_khi!$C$2:$C$12,MATCH($D$18,cc_input_vu_khi!$A$2:$A$12,0))-Thap!$K$25)),2-(INDEX(cc_input_vu_khi!$C$2:$C$12,MATCH($D$18,cc_input_vu_khi!$A$2:$A$12,0))-Thap!$K$25))+1)))*INDEX(cc_input_vu_khi_suy_ra!$D$2:$D$12,MATCH($D$18,cc_input_vu_khi_suy_ra!$A$2:$A$12,0))&gt;0,CEILING(Thap!$J$25/(INDEX(cc_input_vu_khi!$B$2:$B$12,MATCH($D$18,cc_input_vu_khi!$A$2:$A$12,0))*INDEX(cc_input_bang_xuyen_giap!$B$2:$B$7,MIN(6,MAX(1,IF(INDEX(cc_input_vu_khi_suy_ra!$B$2:$B$12,MATCH($D$18,cc_input_vu_khi_suy_ra!$A$2:$A$12,0)),MAX(1,2-(INDEX(cc_input_vu_khi!$C$2:$C$12,MATCH($D$18,cc_input_vu_khi!$A$2:$A$12,0))-Thap!$K$25)),2-(INDEX(cc_input_vu_khi!$C$2:$C$12,MATCH($D$18,cc_input_vu_khi!$A$2:$A$12,0))-Thap!$K$25))+1)))*INDEX(cc_input_vu_khi_suy_ra!$D$2:$D$12,MATCH($D$18,cc_input_vu_khi_suy_ra!$A$2:$A$12,0))),1),""))</f>
        <v/>
      </c>
      <c r="F18" t="inlineStr">
        <is>
          <t>gun_105_wheeled_he</t>
        </is>
      </c>
      <c r="G18">
        <f>IF($F$18="","",IF(INDEX(cc_input_vu_khi!$B$2:$B$12,MATCH($F$18,cc_input_vu_khi!$A$2:$A$12,0))*INDEX(cc_input_bang_xuyen_giap!$B$2:$B$7,MIN(6,MAX(1,IF(INDEX(cc_input_vu_khi_suy_ra!$B$2:$B$12,MATCH($F$18,cc_input_vu_khi_suy_ra!$A$2:$A$12,0)),MAX(1,2-(INDEX(cc_input_vu_khi!$C$2:$C$12,MATCH($F$18,cc_input_vu_khi!$A$2:$A$12,0))-Thap!$K$25)),2-(INDEX(cc_input_vu_khi!$C$2:$C$12,MATCH($F$18,cc_input_vu_khi!$A$2:$A$12,0))-Thap!$K$25))+1)))*INDEX(cc_input_vu_khi_suy_ra!$D$2:$D$12,MATCH($F$18,cc_input_vu_khi_suy_ra!$A$2:$A$12,0))&gt;0,CEILING(Thap!$J$25/(INDEX(cc_input_vu_khi!$B$2:$B$12,MATCH($F$18,cc_input_vu_khi!$A$2:$A$12,0))*INDEX(cc_input_bang_xuyen_giap!$B$2:$B$7,MIN(6,MAX(1,IF(INDEX(cc_input_vu_khi_suy_ra!$B$2:$B$12,MATCH($F$18,cc_input_vu_khi_suy_ra!$A$2:$A$12,0)),MAX(1,2-(INDEX(cc_input_vu_khi!$C$2:$C$12,MATCH($F$18,cc_input_vu_khi!$A$2:$A$12,0))-Thap!$K$25)),2-(INDEX(cc_input_vu_khi!$C$2:$C$12,MATCH($F$18,cc_input_vu_khi!$A$2:$A$12,0))-Thap!$K$25))+1)))*INDEX(cc_input_vu_khi_suy_ra!$D$2:$D$12,MATCH($F$18,cc_input_vu_khi_suy_ra!$A$2:$A$12,0))),1),""))</f>
        <v/>
      </c>
      <c r="H18" t="inlineStr">
        <is>
          <t>khrizantema</t>
        </is>
      </c>
      <c r="I18">
        <f>IF($H$18="","",IF(INDEX(cc_input_vu_khi!$B$2:$B$12,MATCH($H$18,cc_input_vu_khi!$A$2:$A$12,0))*INDEX(cc_input_bang_xuyen_giap!$B$2:$B$7,MIN(6,MAX(1,IF(INDEX(cc_input_vu_khi_suy_ra!$B$2:$B$12,MATCH($H$18,cc_input_vu_khi_suy_ra!$A$2:$A$12,0)),MAX(1,2-(INDEX(cc_input_vu_khi!$C$2:$C$12,MATCH($H$18,cc_input_vu_khi!$A$2:$A$12,0))-Thap!$K$25)),2-(INDEX(cc_input_vu_khi!$C$2:$C$12,MATCH($H$18,cc_input_vu_khi!$A$2:$A$12,0))-Thap!$K$25))+1)))*INDEX(cc_input_vu_khi_suy_ra!$D$2:$D$12,MATCH($H$18,cc_input_vu_khi_suy_ra!$A$2:$A$12,0))&gt;0,CEILING(Thap!$J$25/(INDEX(cc_input_vu_khi!$B$2:$B$12,MATCH($H$18,cc_input_vu_khi!$A$2:$A$12,0))*INDEX(cc_input_bang_xuyen_giap!$B$2:$B$7,MIN(6,MAX(1,IF(INDEX(cc_input_vu_khi_suy_ra!$B$2:$B$12,MATCH($H$18,cc_input_vu_khi_suy_ra!$A$2:$A$12,0)),MAX(1,2-(INDEX(cc_input_vu_khi!$C$2:$C$12,MATCH($H$18,cc_input_vu_khi!$A$2:$A$12,0))-Thap!$K$25)),2-(INDEX(cc_input_vu_khi!$C$2:$C$12,MATCH($H$18,cc_input_vu_khi!$A$2:$A$12,0))-Thap!$K$25))+1)))*INDEX(cc_input_vu_khi_suy_ra!$D$2:$D$12,MATCH($H$18,cc_input_vu_khi_suy_ra!$A$2:$A$12,0))),1),""))</f>
        <v/>
      </c>
      <c r="J18" t="inlineStr">
        <is>
          <t>caesar_155</t>
        </is>
      </c>
      <c r="K18">
        <f>IF($J$18="","",IF(INDEX(cc_input_vu_khi!$B$2:$B$12,MATCH($J$18,cc_input_vu_khi!$A$2:$A$12,0))*INDEX(cc_input_bang_xuyen_giap!$B$2:$B$7,MIN(6,MAX(1,IF(INDEX(cc_input_vu_khi_suy_ra!$B$2:$B$12,MATCH($J$18,cc_input_vu_khi_suy_ra!$A$2:$A$12,0)),MAX(1,2-(INDEX(cc_input_vu_khi!$C$2:$C$12,MATCH($J$18,cc_input_vu_khi!$A$2:$A$12,0))-Thap!$K$25)),2-(INDEX(cc_input_vu_khi!$C$2:$C$12,MATCH($J$18,cc_input_vu_khi!$A$2:$A$12,0))-Thap!$K$25))+1)))*INDEX(cc_input_vu_khi_suy_ra!$D$2:$D$12,MATCH($J$18,cc_input_vu_khi_suy_ra!$A$2:$A$12,0))&gt;0,CEILING(Thap!$J$25/(INDEX(cc_input_vu_khi!$B$2:$B$12,MATCH($J$18,cc_input_vu_khi!$A$2:$A$12,0))*INDEX(cc_input_bang_xuyen_giap!$B$2:$B$7,MIN(6,MAX(1,IF(INDEX(cc_input_vu_khi_suy_ra!$B$2:$B$12,MATCH($J$18,cc_input_vu_khi_suy_ra!$A$2:$A$12,0)),MAX(1,2-(INDEX(cc_input_vu_khi!$C$2:$C$12,MATCH($J$18,cc_input_vu_khi!$A$2:$A$12,0))-Thap!$K$25)),2-(INDEX(cc_input_vu_khi!$C$2:$C$12,MATCH($J$18,cc_input_vu_khi!$A$2:$A$12,0))-Thap!$K$25))+1)))*INDEX(cc_input_vu_khi_suy_ra!$D$2:$D$12,MATCH($J$18,cc_input_vu_khi_suy_ra!$A$2:$A$12,0))),1),""))</f>
        <v/>
      </c>
      <c r="L18" t="inlineStr">
        <is>
          <t>Tools/balance/p32_tower_prices.py Model.price('dragons_teeth') + threats('Small')</t>
        </is>
      </c>
      <c r="M18" t="inlineStr"/>
    </row>
    <row r="19">
      <c r="A19" t="inlineStr">
        <is>
          <t>dragons_teeth.hedgehog</t>
        </is>
      </c>
      <c r="B19">
        <f>Thap_gia_cong_thuc!$Q$19</f>
        <v/>
      </c>
      <c r="C19">
        <f>IF(ISNUMBER($B$19),$B$19/Thap!$BN$26,"")</f>
        <v/>
      </c>
      <c r="D19" t="inlineStr">
        <is>
          <t>ifv_30</t>
        </is>
      </c>
      <c r="E19">
        <f>IF($D$19="","",IF(INDEX(cc_input_vu_khi!$B$2:$B$12,MATCH($D$19,cc_input_vu_khi!$A$2:$A$12,0))*INDEX(cc_input_bang_xuyen_giap!$B$2:$B$7,MIN(6,MAX(1,IF(INDEX(cc_input_vu_khi_suy_ra!$B$2:$B$12,MATCH($D$19,cc_input_vu_khi_suy_ra!$A$2:$A$12,0)),MAX(1,2-(INDEX(cc_input_vu_khi!$C$2:$C$12,MATCH($D$19,cc_input_vu_khi!$A$2:$A$12,0))-Thap!$K$26)),2-(INDEX(cc_input_vu_khi!$C$2:$C$12,MATCH($D$19,cc_input_vu_khi!$A$2:$A$12,0))-Thap!$K$26))+1)))*INDEX(cc_input_vu_khi_suy_ra!$D$2:$D$12,MATCH($D$19,cc_input_vu_khi_suy_ra!$A$2:$A$12,0))&gt;0,CEILING(Thap!$J$26/(INDEX(cc_input_vu_khi!$B$2:$B$12,MATCH($D$19,cc_input_vu_khi!$A$2:$A$12,0))*INDEX(cc_input_bang_xuyen_giap!$B$2:$B$7,MIN(6,MAX(1,IF(INDEX(cc_input_vu_khi_suy_ra!$B$2:$B$12,MATCH($D$19,cc_input_vu_khi_suy_ra!$A$2:$A$12,0)),MAX(1,2-(INDEX(cc_input_vu_khi!$C$2:$C$12,MATCH($D$19,cc_input_vu_khi!$A$2:$A$12,0))-Thap!$K$26)),2-(INDEX(cc_input_vu_khi!$C$2:$C$12,MATCH($D$19,cc_input_vu_khi!$A$2:$A$12,0))-Thap!$K$26))+1)))*INDEX(cc_input_vu_khi_suy_ra!$D$2:$D$12,MATCH($D$19,cc_input_vu_khi_suy_ra!$A$2:$A$12,0))),1),""))</f>
        <v/>
      </c>
      <c r="F19" t="inlineStr">
        <is>
          <t>gun_105_wheeled_he</t>
        </is>
      </c>
      <c r="G19">
        <f>IF($F$19="","",IF(INDEX(cc_input_vu_khi!$B$2:$B$12,MATCH($F$19,cc_input_vu_khi!$A$2:$A$12,0))*INDEX(cc_input_bang_xuyen_giap!$B$2:$B$7,MIN(6,MAX(1,IF(INDEX(cc_input_vu_khi_suy_ra!$B$2:$B$12,MATCH($F$19,cc_input_vu_khi_suy_ra!$A$2:$A$12,0)),MAX(1,2-(INDEX(cc_input_vu_khi!$C$2:$C$12,MATCH($F$19,cc_input_vu_khi!$A$2:$A$12,0))-Thap!$K$26)),2-(INDEX(cc_input_vu_khi!$C$2:$C$12,MATCH($F$19,cc_input_vu_khi!$A$2:$A$12,0))-Thap!$K$26))+1)))*INDEX(cc_input_vu_khi_suy_ra!$D$2:$D$12,MATCH($F$19,cc_input_vu_khi_suy_ra!$A$2:$A$12,0))&gt;0,CEILING(Thap!$J$26/(INDEX(cc_input_vu_khi!$B$2:$B$12,MATCH($F$19,cc_input_vu_khi!$A$2:$A$12,0))*INDEX(cc_input_bang_xuyen_giap!$B$2:$B$7,MIN(6,MAX(1,IF(INDEX(cc_input_vu_khi_suy_ra!$B$2:$B$12,MATCH($F$19,cc_input_vu_khi_suy_ra!$A$2:$A$12,0)),MAX(1,2-(INDEX(cc_input_vu_khi!$C$2:$C$12,MATCH($F$19,cc_input_vu_khi!$A$2:$A$12,0))-Thap!$K$26)),2-(INDEX(cc_input_vu_khi!$C$2:$C$12,MATCH($F$19,cc_input_vu_khi!$A$2:$A$12,0))-Thap!$K$26))+1)))*INDEX(cc_input_vu_khi_suy_ra!$D$2:$D$12,MATCH($F$19,cc_input_vu_khi_suy_ra!$A$2:$A$12,0))),1),""))</f>
        <v/>
      </c>
      <c r="H19" t="inlineStr">
        <is>
          <t>khrizantema</t>
        </is>
      </c>
      <c r="I19">
        <f>IF($H$19="","",IF(INDEX(cc_input_vu_khi!$B$2:$B$12,MATCH($H$19,cc_input_vu_khi!$A$2:$A$12,0))*INDEX(cc_input_bang_xuyen_giap!$B$2:$B$7,MIN(6,MAX(1,IF(INDEX(cc_input_vu_khi_suy_ra!$B$2:$B$12,MATCH($H$19,cc_input_vu_khi_suy_ra!$A$2:$A$12,0)),MAX(1,2-(INDEX(cc_input_vu_khi!$C$2:$C$12,MATCH($H$19,cc_input_vu_khi!$A$2:$A$12,0))-Thap!$K$26)),2-(INDEX(cc_input_vu_khi!$C$2:$C$12,MATCH($H$19,cc_input_vu_khi!$A$2:$A$12,0))-Thap!$K$26))+1)))*INDEX(cc_input_vu_khi_suy_ra!$D$2:$D$12,MATCH($H$19,cc_input_vu_khi_suy_ra!$A$2:$A$12,0))&gt;0,CEILING(Thap!$J$26/(INDEX(cc_input_vu_khi!$B$2:$B$12,MATCH($H$19,cc_input_vu_khi!$A$2:$A$12,0))*INDEX(cc_input_bang_xuyen_giap!$B$2:$B$7,MIN(6,MAX(1,IF(INDEX(cc_input_vu_khi_suy_ra!$B$2:$B$12,MATCH($H$19,cc_input_vu_khi_suy_ra!$A$2:$A$12,0)),MAX(1,2-(INDEX(cc_input_vu_khi!$C$2:$C$12,MATCH($H$19,cc_input_vu_khi!$A$2:$A$12,0))-Thap!$K$26)),2-(INDEX(cc_input_vu_khi!$C$2:$C$12,MATCH($H$19,cc_input_vu_khi!$A$2:$A$12,0))-Thap!$K$26))+1)))*INDEX(cc_input_vu_khi_suy_ra!$D$2:$D$12,MATCH($H$19,cc_input_vu_khi_suy_ra!$A$2:$A$12,0))),1),""))</f>
        <v/>
      </c>
      <c r="J19" t="inlineStr">
        <is>
          <t>caesar_155</t>
        </is>
      </c>
      <c r="K19">
        <f>IF($J$19="","",IF(INDEX(cc_input_vu_khi!$B$2:$B$12,MATCH($J$19,cc_input_vu_khi!$A$2:$A$12,0))*INDEX(cc_input_bang_xuyen_giap!$B$2:$B$7,MIN(6,MAX(1,IF(INDEX(cc_input_vu_khi_suy_ra!$B$2:$B$12,MATCH($J$19,cc_input_vu_khi_suy_ra!$A$2:$A$12,0)),MAX(1,2-(INDEX(cc_input_vu_khi!$C$2:$C$12,MATCH($J$19,cc_input_vu_khi!$A$2:$A$12,0))-Thap!$K$26)),2-(INDEX(cc_input_vu_khi!$C$2:$C$12,MATCH($J$19,cc_input_vu_khi!$A$2:$A$12,0))-Thap!$K$26))+1)))*INDEX(cc_input_vu_khi_suy_ra!$D$2:$D$12,MATCH($J$19,cc_input_vu_khi_suy_ra!$A$2:$A$12,0))&gt;0,CEILING(Thap!$J$26/(INDEX(cc_input_vu_khi!$B$2:$B$12,MATCH($J$19,cc_input_vu_khi!$A$2:$A$12,0))*INDEX(cc_input_bang_xuyen_giap!$B$2:$B$7,MIN(6,MAX(1,IF(INDEX(cc_input_vu_khi_suy_ra!$B$2:$B$12,MATCH($J$19,cc_input_vu_khi_suy_ra!$A$2:$A$12,0)),MAX(1,2-(INDEX(cc_input_vu_khi!$C$2:$C$12,MATCH($J$19,cc_input_vu_khi!$A$2:$A$12,0))-Thap!$K$26)),2-(INDEX(cc_input_vu_khi!$C$2:$C$12,MATCH($J$19,cc_input_vu_khi!$A$2:$A$12,0))-Thap!$K$26))+1)))*INDEX(cc_input_vu_khi_suy_ra!$D$2:$D$12,MATCH($J$19,cc_input_vu_khi_suy_ra!$A$2:$A$12,0))),1),""))</f>
        <v/>
      </c>
      <c r="L19" t="inlineStr">
        <is>
          <t>Tools/balance/p32_tower_prices.py Model.price('dragons_teeth.hedgehog') + threats('Small')</t>
        </is>
      </c>
      <c r="M19" t="inlineStr"/>
    </row>
    <row r="20">
      <c r="A20" t="inlineStr">
        <is>
          <t>dragons_teeth.wire</t>
        </is>
      </c>
      <c r="B20">
        <f>Thap_gia_cong_thuc!$Q$20</f>
        <v/>
      </c>
      <c r="C20">
        <f>IF(ISNUMBER($B$20),$B$20/Thap!$BN$27,"")</f>
        <v/>
      </c>
      <c r="D20" t="inlineStr">
        <is>
          <t>ifv_30</t>
        </is>
      </c>
      <c r="E20">
        <f>IF($D$20="","",IF(INDEX(cc_input_vu_khi!$B$2:$B$12,MATCH($D$20,cc_input_vu_khi!$A$2:$A$12,0))*INDEX(cc_input_bang_xuyen_giap!$B$2:$B$7,MIN(6,MAX(1,IF(INDEX(cc_input_vu_khi_suy_ra!$B$2:$B$12,MATCH($D$20,cc_input_vu_khi_suy_ra!$A$2:$A$12,0)),MAX(1,2-(INDEX(cc_input_vu_khi!$C$2:$C$12,MATCH($D$20,cc_input_vu_khi!$A$2:$A$12,0))-Thap!$K$27)),2-(INDEX(cc_input_vu_khi!$C$2:$C$12,MATCH($D$20,cc_input_vu_khi!$A$2:$A$12,0))-Thap!$K$27))+1)))*INDEX(cc_input_vu_khi_suy_ra!$D$2:$D$12,MATCH($D$20,cc_input_vu_khi_suy_ra!$A$2:$A$12,0))&gt;0,CEILING(Thap!$J$27/(INDEX(cc_input_vu_khi!$B$2:$B$12,MATCH($D$20,cc_input_vu_khi!$A$2:$A$12,0))*INDEX(cc_input_bang_xuyen_giap!$B$2:$B$7,MIN(6,MAX(1,IF(INDEX(cc_input_vu_khi_suy_ra!$B$2:$B$12,MATCH($D$20,cc_input_vu_khi_suy_ra!$A$2:$A$12,0)),MAX(1,2-(INDEX(cc_input_vu_khi!$C$2:$C$12,MATCH($D$20,cc_input_vu_khi!$A$2:$A$12,0))-Thap!$K$27)),2-(INDEX(cc_input_vu_khi!$C$2:$C$12,MATCH($D$20,cc_input_vu_khi!$A$2:$A$12,0))-Thap!$K$27))+1)))*INDEX(cc_input_vu_khi_suy_ra!$D$2:$D$12,MATCH($D$20,cc_input_vu_khi_suy_ra!$A$2:$A$12,0))),1),""))</f>
        <v/>
      </c>
      <c r="F20" t="inlineStr">
        <is>
          <t>gun_105_wheeled_he</t>
        </is>
      </c>
      <c r="G20">
        <f>IF($F$20="","",IF(INDEX(cc_input_vu_khi!$B$2:$B$12,MATCH($F$20,cc_input_vu_khi!$A$2:$A$12,0))*INDEX(cc_input_bang_xuyen_giap!$B$2:$B$7,MIN(6,MAX(1,IF(INDEX(cc_input_vu_khi_suy_ra!$B$2:$B$12,MATCH($F$20,cc_input_vu_khi_suy_ra!$A$2:$A$12,0)),MAX(1,2-(INDEX(cc_input_vu_khi!$C$2:$C$12,MATCH($F$20,cc_input_vu_khi!$A$2:$A$12,0))-Thap!$K$27)),2-(INDEX(cc_input_vu_khi!$C$2:$C$12,MATCH($F$20,cc_input_vu_khi!$A$2:$A$12,0))-Thap!$K$27))+1)))*INDEX(cc_input_vu_khi_suy_ra!$D$2:$D$12,MATCH($F$20,cc_input_vu_khi_suy_ra!$A$2:$A$12,0))&gt;0,CEILING(Thap!$J$27/(INDEX(cc_input_vu_khi!$B$2:$B$12,MATCH($F$20,cc_input_vu_khi!$A$2:$A$12,0))*INDEX(cc_input_bang_xuyen_giap!$B$2:$B$7,MIN(6,MAX(1,IF(INDEX(cc_input_vu_khi_suy_ra!$B$2:$B$12,MATCH($F$20,cc_input_vu_khi_suy_ra!$A$2:$A$12,0)),MAX(1,2-(INDEX(cc_input_vu_khi!$C$2:$C$12,MATCH($F$20,cc_input_vu_khi!$A$2:$A$12,0))-Thap!$K$27)),2-(INDEX(cc_input_vu_khi!$C$2:$C$12,MATCH($F$20,cc_input_vu_khi!$A$2:$A$12,0))-Thap!$K$27))+1)))*INDEX(cc_input_vu_khi_suy_ra!$D$2:$D$12,MATCH($F$20,cc_input_vu_khi_suy_ra!$A$2:$A$12,0))),1),""))</f>
        <v/>
      </c>
      <c r="H20" t="inlineStr">
        <is>
          <t>khrizantema</t>
        </is>
      </c>
      <c r="I20">
        <f>IF($H$20="","",IF(INDEX(cc_input_vu_khi!$B$2:$B$12,MATCH($H$20,cc_input_vu_khi!$A$2:$A$12,0))*INDEX(cc_input_bang_xuyen_giap!$B$2:$B$7,MIN(6,MAX(1,IF(INDEX(cc_input_vu_khi_suy_ra!$B$2:$B$12,MATCH($H$20,cc_input_vu_khi_suy_ra!$A$2:$A$12,0)),MAX(1,2-(INDEX(cc_input_vu_khi!$C$2:$C$12,MATCH($H$20,cc_input_vu_khi!$A$2:$A$12,0))-Thap!$K$27)),2-(INDEX(cc_input_vu_khi!$C$2:$C$12,MATCH($H$20,cc_input_vu_khi!$A$2:$A$12,0))-Thap!$K$27))+1)))*INDEX(cc_input_vu_khi_suy_ra!$D$2:$D$12,MATCH($H$20,cc_input_vu_khi_suy_ra!$A$2:$A$12,0))&gt;0,CEILING(Thap!$J$27/(INDEX(cc_input_vu_khi!$B$2:$B$12,MATCH($H$20,cc_input_vu_khi!$A$2:$A$12,0))*INDEX(cc_input_bang_xuyen_giap!$B$2:$B$7,MIN(6,MAX(1,IF(INDEX(cc_input_vu_khi_suy_ra!$B$2:$B$12,MATCH($H$20,cc_input_vu_khi_suy_ra!$A$2:$A$12,0)),MAX(1,2-(INDEX(cc_input_vu_khi!$C$2:$C$12,MATCH($H$20,cc_input_vu_khi!$A$2:$A$12,0))-Thap!$K$27)),2-(INDEX(cc_input_vu_khi!$C$2:$C$12,MATCH($H$20,cc_input_vu_khi!$A$2:$A$12,0))-Thap!$K$27))+1)))*INDEX(cc_input_vu_khi_suy_ra!$D$2:$D$12,MATCH($H$20,cc_input_vu_khi_suy_ra!$A$2:$A$12,0))),1),""))</f>
        <v/>
      </c>
      <c r="J20" t="inlineStr">
        <is>
          <t>caesar_155</t>
        </is>
      </c>
      <c r="K20">
        <f>IF($J$20="","",IF(INDEX(cc_input_vu_khi!$B$2:$B$12,MATCH($J$20,cc_input_vu_khi!$A$2:$A$12,0))*INDEX(cc_input_bang_xuyen_giap!$B$2:$B$7,MIN(6,MAX(1,IF(INDEX(cc_input_vu_khi_suy_ra!$B$2:$B$12,MATCH($J$20,cc_input_vu_khi_suy_ra!$A$2:$A$12,0)),MAX(1,2-(INDEX(cc_input_vu_khi!$C$2:$C$12,MATCH($J$20,cc_input_vu_khi!$A$2:$A$12,0))-Thap!$K$27)),2-(INDEX(cc_input_vu_khi!$C$2:$C$12,MATCH($J$20,cc_input_vu_khi!$A$2:$A$12,0))-Thap!$K$27))+1)))*INDEX(cc_input_vu_khi_suy_ra!$D$2:$D$12,MATCH($J$20,cc_input_vu_khi_suy_ra!$A$2:$A$12,0))&gt;0,CEILING(Thap!$J$27/(INDEX(cc_input_vu_khi!$B$2:$B$12,MATCH($J$20,cc_input_vu_khi!$A$2:$A$12,0))*INDEX(cc_input_bang_xuyen_giap!$B$2:$B$7,MIN(6,MAX(1,IF(INDEX(cc_input_vu_khi_suy_ra!$B$2:$B$12,MATCH($J$20,cc_input_vu_khi_suy_ra!$A$2:$A$12,0)),MAX(1,2-(INDEX(cc_input_vu_khi!$C$2:$C$12,MATCH($J$20,cc_input_vu_khi!$A$2:$A$12,0))-Thap!$K$27)),2-(INDEX(cc_input_vu_khi!$C$2:$C$12,MATCH($J$20,cc_input_vu_khi!$A$2:$A$12,0))-Thap!$K$27))+1)))*INDEX(cc_input_vu_khi_suy_ra!$D$2:$D$12,MATCH($J$20,cc_input_vu_khi_suy_ra!$A$2:$A$12,0))),1),""))</f>
        <v/>
      </c>
      <c r="L20" t="inlineStr">
        <is>
          <t>Tools/balance/p32_tower_prices.py Model.price('dragons_teeth.wire') + threats('Small')</t>
        </is>
      </c>
      <c r="M20" t="inlineStr"/>
    </row>
    <row r="21">
      <c r="A21" t="inlineStr">
        <is>
          <t>drone_hangar</t>
        </is>
      </c>
      <c r="B21">
        <f>Thap_gia_cong_thuc!$Q$21</f>
        <v/>
      </c>
      <c r="C21">
        <f>IF(ISNUMBER($B$21),$B$21/Thap!$BN$28,"")</f>
        <v/>
      </c>
      <c r="D21" t="inlineStr">
        <is>
          <t>gun_125_armata_ke</t>
        </is>
      </c>
      <c r="E21">
        <f>IF($D$21="","",IF(INDEX(cc_input_vu_khi!$B$2:$B$12,MATCH($D$21,cc_input_vu_khi!$A$2:$A$12,0))*INDEX(cc_input_bang_xuyen_giap!$B$2:$B$7,MIN(6,MAX(1,IF(INDEX(cc_input_vu_khi_suy_ra!$B$2:$B$12,MATCH($D$21,cc_input_vu_khi_suy_ra!$A$2:$A$12,0)),MAX(1,2-(INDEX(cc_input_vu_khi!$C$2:$C$12,MATCH($D$21,cc_input_vu_khi!$A$2:$A$12,0))-Thap!$K$28)),2-(INDEX(cc_input_vu_khi!$C$2:$C$12,MATCH($D$21,cc_input_vu_khi!$A$2:$A$12,0))-Thap!$K$28))+1)))*INDEX(cc_input_vu_khi_suy_ra!$D$2:$D$12,MATCH($D$21,cc_input_vu_khi_suy_ra!$A$2:$A$12,0))&gt;0,CEILING(Thap!$J$28/(INDEX(cc_input_vu_khi!$B$2:$B$12,MATCH($D$21,cc_input_vu_khi!$A$2:$A$12,0))*INDEX(cc_input_bang_xuyen_giap!$B$2:$B$7,MIN(6,MAX(1,IF(INDEX(cc_input_vu_khi_suy_ra!$B$2:$B$12,MATCH($D$21,cc_input_vu_khi_suy_ra!$A$2:$A$12,0)),MAX(1,2-(INDEX(cc_input_vu_khi!$C$2:$C$12,MATCH($D$21,cc_input_vu_khi!$A$2:$A$12,0))-Thap!$K$28)),2-(INDEX(cc_input_vu_khi!$C$2:$C$12,MATCH($D$21,cc_input_vu_khi!$A$2:$A$12,0))-Thap!$K$28))+1)))*INDEX(cc_input_vu_khi_suy_ra!$D$2:$D$12,MATCH($D$21,cc_input_vu_khi_suy_ra!$A$2:$A$12,0))),1),""))</f>
        <v/>
      </c>
      <c r="F21" t="inlineStr">
        <is>
          <t>gun_155_crusader</t>
        </is>
      </c>
      <c r="G21">
        <f>IF($F$21="","",IF(INDEX(cc_input_vu_khi!$B$2:$B$12,MATCH($F$21,cc_input_vu_khi!$A$2:$A$12,0))*INDEX(cc_input_bang_xuyen_giap!$B$2:$B$7,MIN(6,MAX(1,IF(INDEX(cc_input_vu_khi_suy_ra!$B$2:$B$12,MATCH($F$21,cc_input_vu_khi_suy_ra!$A$2:$A$12,0)),MAX(1,2-(INDEX(cc_input_vu_khi!$C$2:$C$12,MATCH($F$21,cc_input_vu_khi!$A$2:$A$12,0))-Thap!$K$28)),2-(INDEX(cc_input_vu_khi!$C$2:$C$12,MATCH($F$21,cc_input_vu_khi!$A$2:$A$12,0))-Thap!$K$28))+1)))*INDEX(cc_input_vu_khi_suy_ra!$D$2:$D$12,MATCH($F$21,cc_input_vu_khi_suy_ra!$A$2:$A$12,0))&gt;0,CEILING(Thap!$J$28/(INDEX(cc_input_vu_khi!$B$2:$B$12,MATCH($F$21,cc_input_vu_khi!$A$2:$A$12,0))*INDEX(cc_input_bang_xuyen_giap!$B$2:$B$7,MIN(6,MAX(1,IF(INDEX(cc_input_vu_khi_suy_ra!$B$2:$B$12,MATCH($F$21,cc_input_vu_khi_suy_ra!$A$2:$A$12,0)),MAX(1,2-(INDEX(cc_input_vu_khi!$C$2:$C$12,MATCH($F$21,cc_input_vu_khi!$A$2:$A$12,0))-Thap!$K$28)),2-(INDEX(cc_input_vu_khi!$C$2:$C$12,MATCH($F$21,cc_input_vu_khi!$A$2:$A$12,0))-Thap!$K$28))+1)))*INDEX(cc_input_vu_khi_suy_ra!$D$2:$D$12,MATCH($F$21,cc_input_vu_khi_suy_ra!$A$2:$A$12,0))),1),""))</f>
        <v/>
      </c>
      <c r="H21" t="inlineStr">
        <is>
          <t>spike_nlos</t>
        </is>
      </c>
      <c r="I21">
        <f>IF($H$21="","",IF(INDEX(cc_input_vu_khi!$B$2:$B$12,MATCH($H$21,cc_input_vu_khi!$A$2:$A$12,0))*INDEX(cc_input_bang_xuyen_giap!$B$2:$B$7,MIN(6,MAX(1,IF(INDEX(cc_input_vu_khi_suy_ra!$B$2:$B$12,MATCH($H$21,cc_input_vu_khi_suy_ra!$A$2:$A$12,0)),MAX(1,2-(INDEX(cc_input_vu_khi!$C$2:$C$12,MATCH($H$21,cc_input_vu_khi!$A$2:$A$12,0))-Thap!$K$28)),2-(INDEX(cc_input_vu_khi!$C$2:$C$12,MATCH($H$21,cc_input_vu_khi!$A$2:$A$12,0))-Thap!$K$28))+1)))*INDEX(cc_input_vu_khi_suy_ra!$D$2:$D$12,MATCH($H$21,cc_input_vu_khi_suy_ra!$A$2:$A$12,0))&gt;0,CEILING(Thap!$J$28/(INDEX(cc_input_vu_khi!$B$2:$B$12,MATCH($H$21,cc_input_vu_khi!$A$2:$A$12,0))*INDEX(cc_input_bang_xuyen_giap!$B$2:$B$7,MIN(6,MAX(1,IF(INDEX(cc_input_vu_khi_suy_ra!$B$2:$B$12,MATCH($H$21,cc_input_vu_khi_suy_ra!$A$2:$A$12,0)),MAX(1,2-(INDEX(cc_input_vu_khi!$C$2:$C$12,MATCH($H$21,cc_input_vu_khi!$A$2:$A$12,0))-Thap!$K$28)),2-(INDEX(cc_input_vu_khi!$C$2:$C$12,MATCH($H$21,cc_input_vu_khi!$A$2:$A$12,0))-Thap!$K$28))+1)))*INDEX(cc_input_vu_khi_suy_ra!$D$2:$D$12,MATCH($H$21,cc_input_vu_khi_suy_ra!$A$2:$A$12,0))),1),""))</f>
        <v/>
      </c>
      <c r="J21" t="inlineStr">
        <is>
          <t>thermobaric_rockets</t>
        </is>
      </c>
      <c r="K21">
        <f>IF($J$21="","",IF(INDEX(cc_input_vu_khi!$B$2:$B$12,MATCH($J$21,cc_input_vu_khi!$A$2:$A$12,0))*INDEX(cc_input_bang_xuyen_giap!$B$2:$B$7,MIN(6,MAX(1,IF(INDEX(cc_input_vu_khi_suy_ra!$B$2:$B$12,MATCH($J$21,cc_input_vu_khi_suy_ra!$A$2:$A$12,0)),MAX(1,2-(INDEX(cc_input_vu_khi!$C$2:$C$12,MATCH($J$21,cc_input_vu_khi!$A$2:$A$12,0))-Thap!$K$28)),2-(INDEX(cc_input_vu_khi!$C$2:$C$12,MATCH($J$21,cc_input_vu_khi!$A$2:$A$12,0))-Thap!$K$28))+1)))*INDEX(cc_input_vu_khi_suy_ra!$D$2:$D$12,MATCH($J$21,cc_input_vu_khi_suy_ra!$A$2:$A$12,0))&gt;0,CEILING(Thap!$J$28/(INDEX(cc_input_vu_khi!$B$2:$B$12,MATCH($J$21,cc_input_vu_khi!$A$2:$A$12,0))*INDEX(cc_input_bang_xuyen_giap!$B$2:$B$7,MIN(6,MAX(1,IF(INDEX(cc_input_vu_khi_suy_ra!$B$2:$B$12,MATCH($J$21,cc_input_vu_khi_suy_ra!$A$2:$A$12,0)),MAX(1,2-(INDEX(cc_input_vu_khi!$C$2:$C$12,MATCH($J$21,cc_input_vu_khi!$A$2:$A$12,0))-Thap!$K$28)),2-(INDEX(cc_input_vu_khi!$C$2:$C$12,MATCH($J$21,cc_input_vu_khi!$A$2:$A$12,0))-Thap!$K$28))+1)))*INDEX(cc_input_vu_khi_suy_ra!$D$2:$D$12,MATCH($J$21,cc_input_vu_khi_suy_ra!$A$2:$A$12,0))),1),""))</f>
        <v/>
      </c>
      <c r="L21" t="inlineStr">
        <is>
          <t>Tools/balance/p32_tower_prices.py Model.price('drone_hangar') + threats('Large')</t>
        </is>
      </c>
      <c r="M21" t="inlineStr"/>
    </row>
    <row r="22">
      <c r="A22" t="inlineStr">
        <is>
          <t>drone_hangar.lancet</t>
        </is>
      </c>
      <c r="B22">
        <f>Thap_gia_cong_thuc!$Q$22</f>
        <v/>
      </c>
      <c r="C22">
        <f>IF(ISNUMBER($B$22),$B$22/Thap!$BN$29,"")</f>
        <v/>
      </c>
      <c r="D22" t="inlineStr">
        <is>
          <t>gun_125_armata_ke</t>
        </is>
      </c>
      <c r="E22">
        <f>IF($D$22="","",IF(INDEX(cc_input_vu_khi!$B$2:$B$12,MATCH($D$22,cc_input_vu_khi!$A$2:$A$12,0))*INDEX(cc_input_bang_xuyen_giap!$B$2:$B$7,MIN(6,MAX(1,IF(INDEX(cc_input_vu_khi_suy_ra!$B$2:$B$12,MATCH($D$22,cc_input_vu_khi_suy_ra!$A$2:$A$12,0)),MAX(1,2-(INDEX(cc_input_vu_khi!$C$2:$C$12,MATCH($D$22,cc_input_vu_khi!$A$2:$A$12,0))-Thap!$K$29)),2-(INDEX(cc_input_vu_khi!$C$2:$C$12,MATCH($D$22,cc_input_vu_khi!$A$2:$A$12,0))-Thap!$K$29))+1)))*INDEX(cc_input_vu_khi_suy_ra!$D$2:$D$12,MATCH($D$22,cc_input_vu_khi_suy_ra!$A$2:$A$12,0))&gt;0,CEILING(Thap!$J$29/(INDEX(cc_input_vu_khi!$B$2:$B$12,MATCH($D$22,cc_input_vu_khi!$A$2:$A$12,0))*INDEX(cc_input_bang_xuyen_giap!$B$2:$B$7,MIN(6,MAX(1,IF(INDEX(cc_input_vu_khi_suy_ra!$B$2:$B$12,MATCH($D$22,cc_input_vu_khi_suy_ra!$A$2:$A$12,0)),MAX(1,2-(INDEX(cc_input_vu_khi!$C$2:$C$12,MATCH($D$22,cc_input_vu_khi!$A$2:$A$12,0))-Thap!$K$29)),2-(INDEX(cc_input_vu_khi!$C$2:$C$12,MATCH($D$22,cc_input_vu_khi!$A$2:$A$12,0))-Thap!$K$29))+1)))*INDEX(cc_input_vu_khi_suy_ra!$D$2:$D$12,MATCH($D$22,cc_input_vu_khi_suy_ra!$A$2:$A$12,0))),1),""))</f>
        <v/>
      </c>
      <c r="F22" t="inlineStr">
        <is>
          <t>gun_155_crusader</t>
        </is>
      </c>
      <c r="G22">
        <f>IF($F$22="","",IF(INDEX(cc_input_vu_khi!$B$2:$B$12,MATCH($F$22,cc_input_vu_khi!$A$2:$A$12,0))*INDEX(cc_input_bang_xuyen_giap!$B$2:$B$7,MIN(6,MAX(1,IF(INDEX(cc_input_vu_khi_suy_ra!$B$2:$B$12,MATCH($F$22,cc_input_vu_khi_suy_ra!$A$2:$A$12,0)),MAX(1,2-(INDEX(cc_input_vu_khi!$C$2:$C$12,MATCH($F$22,cc_input_vu_khi!$A$2:$A$12,0))-Thap!$K$29)),2-(INDEX(cc_input_vu_khi!$C$2:$C$12,MATCH($F$22,cc_input_vu_khi!$A$2:$A$12,0))-Thap!$K$29))+1)))*INDEX(cc_input_vu_khi_suy_ra!$D$2:$D$12,MATCH($F$22,cc_input_vu_khi_suy_ra!$A$2:$A$12,0))&gt;0,CEILING(Thap!$J$29/(INDEX(cc_input_vu_khi!$B$2:$B$12,MATCH($F$22,cc_input_vu_khi!$A$2:$A$12,0))*INDEX(cc_input_bang_xuyen_giap!$B$2:$B$7,MIN(6,MAX(1,IF(INDEX(cc_input_vu_khi_suy_ra!$B$2:$B$12,MATCH($F$22,cc_input_vu_khi_suy_ra!$A$2:$A$12,0)),MAX(1,2-(INDEX(cc_input_vu_khi!$C$2:$C$12,MATCH($F$22,cc_input_vu_khi!$A$2:$A$12,0))-Thap!$K$29)),2-(INDEX(cc_input_vu_khi!$C$2:$C$12,MATCH($F$22,cc_input_vu_khi!$A$2:$A$12,0))-Thap!$K$29))+1)))*INDEX(cc_input_vu_khi_suy_ra!$D$2:$D$12,MATCH($F$22,cc_input_vu_khi_suy_ra!$A$2:$A$12,0))),1),""))</f>
        <v/>
      </c>
      <c r="H22" t="inlineStr">
        <is>
          <t>spike_nlos</t>
        </is>
      </c>
      <c r="I22">
        <f>IF($H$22="","",IF(INDEX(cc_input_vu_khi!$B$2:$B$12,MATCH($H$22,cc_input_vu_khi!$A$2:$A$12,0))*INDEX(cc_input_bang_xuyen_giap!$B$2:$B$7,MIN(6,MAX(1,IF(INDEX(cc_input_vu_khi_suy_ra!$B$2:$B$12,MATCH($H$22,cc_input_vu_khi_suy_ra!$A$2:$A$12,0)),MAX(1,2-(INDEX(cc_input_vu_khi!$C$2:$C$12,MATCH($H$22,cc_input_vu_khi!$A$2:$A$12,0))-Thap!$K$29)),2-(INDEX(cc_input_vu_khi!$C$2:$C$12,MATCH($H$22,cc_input_vu_khi!$A$2:$A$12,0))-Thap!$K$29))+1)))*INDEX(cc_input_vu_khi_suy_ra!$D$2:$D$12,MATCH($H$22,cc_input_vu_khi_suy_ra!$A$2:$A$12,0))&gt;0,CEILING(Thap!$J$29/(INDEX(cc_input_vu_khi!$B$2:$B$12,MATCH($H$22,cc_input_vu_khi!$A$2:$A$12,0))*INDEX(cc_input_bang_xuyen_giap!$B$2:$B$7,MIN(6,MAX(1,IF(INDEX(cc_input_vu_khi_suy_ra!$B$2:$B$12,MATCH($H$22,cc_input_vu_khi_suy_ra!$A$2:$A$12,0)),MAX(1,2-(INDEX(cc_input_vu_khi!$C$2:$C$12,MATCH($H$22,cc_input_vu_khi!$A$2:$A$12,0))-Thap!$K$29)),2-(INDEX(cc_input_vu_khi!$C$2:$C$12,MATCH($H$22,cc_input_vu_khi!$A$2:$A$12,0))-Thap!$K$29))+1)))*INDEX(cc_input_vu_khi_suy_ra!$D$2:$D$12,MATCH($H$22,cc_input_vu_khi_suy_ra!$A$2:$A$12,0))),1),""))</f>
        <v/>
      </c>
      <c r="J22" t="inlineStr">
        <is>
          <t>thermobaric_rockets</t>
        </is>
      </c>
      <c r="K22">
        <f>IF($J$22="","",IF(INDEX(cc_input_vu_khi!$B$2:$B$12,MATCH($J$22,cc_input_vu_khi!$A$2:$A$12,0))*INDEX(cc_input_bang_xuyen_giap!$B$2:$B$7,MIN(6,MAX(1,IF(INDEX(cc_input_vu_khi_suy_ra!$B$2:$B$12,MATCH($J$22,cc_input_vu_khi_suy_ra!$A$2:$A$12,0)),MAX(1,2-(INDEX(cc_input_vu_khi!$C$2:$C$12,MATCH($J$22,cc_input_vu_khi!$A$2:$A$12,0))-Thap!$K$29)),2-(INDEX(cc_input_vu_khi!$C$2:$C$12,MATCH($J$22,cc_input_vu_khi!$A$2:$A$12,0))-Thap!$K$29))+1)))*INDEX(cc_input_vu_khi_suy_ra!$D$2:$D$12,MATCH($J$22,cc_input_vu_khi_suy_ra!$A$2:$A$12,0))&gt;0,CEILING(Thap!$J$29/(INDEX(cc_input_vu_khi!$B$2:$B$12,MATCH($J$22,cc_input_vu_khi!$A$2:$A$12,0))*INDEX(cc_input_bang_xuyen_giap!$B$2:$B$7,MIN(6,MAX(1,IF(INDEX(cc_input_vu_khi_suy_ra!$B$2:$B$12,MATCH($J$22,cc_input_vu_khi_suy_ra!$A$2:$A$12,0)),MAX(1,2-(INDEX(cc_input_vu_khi!$C$2:$C$12,MATCH($J$22,cc_input_vu_khi!$A$2:$A$12,0))-Thap!$K$29)),2-(INDEX(cc_input_vu_khi!$C$2:$C$12,MATCH($J$22,cc_input_vu_khi!$A$2:$A$12,0))-Thap!$K$29))+1)))*INDEX(cc_input_vu_khi_suy_ra!$D$2:$D$12,MATCH($J$22,cc_input_vu_khi_suy_ra!$A$2:$A$12,0))),1),""))</f>
        <v/>
      </c>
      <c r="L22" t="inlineStr">
        <is>
          <t>Tools/balance/p32_tower_prices.py Model.price('drone_hangar.lancet') + threats('Large')</t>
        </is>
      </c>
      <c r="M22" t="inlineStr"/>
    </row>
    <row r="23">
      <c r="A23" t="inlineStr">
        <is>
          <t>drone_hangar.swarm</t>
        </is>
      </c>
      <c r="B23">
        <f>Thap_gia_cong_thuc!$Q$23</f>
        <v/>
      </c>
      <c r="C23">
        <f>IF(ISNUMBER($B$23),$B$23/Thap!$BN$30,"")</f>
        <v/>
      </c>
      <c r="D23" t="inlineStr">
        <is>
          <t>gun_125_armata_ke</t>
        </is>
      </c>
      <c r="E23">
        <f>IF($D$23="","",IF(INDEX(cc_input_vu_khi!$B$2:$B$12,MATCH($D$23,cc_input_vu_khi!$A$2:$A$12,0))*INDEX(cc_input_bang_xuyen_giap!$B$2:$B$7,MIN(6,MAX(1,IF(INDEX(cc_input_vu_khi_suy_ra!$B$2:$B$12,MATCH($D$23,cc_input_vu_khi_suy_ra!$A$2:$A$12,0)),MAX(1,2-(INDEX(cc_input_vu_khi!$C$2:$C$12,MATCH($D$23,cc_input_vu_khi!$A$2:$A$12,0))-Thap!$K$30)),2-(INDEX(cc_input_vu_khi!$C$2:$C$12,MATCH($D$23,cc_input_vu_khi!$A$2:$A$12,0))-Thap!$K$30))+1)))*INDEX(cc_input_vu_khi_suy_ra!$D$2:$D$12,MATCH($D$23,cc_input_vu_khi_suy_ra!$A$2:$A$12,0))&gt;0,CEILING(Thap!$J$30/(INDEX(cc_input_vu_khi!$B$2:$B$12,MATCH($D$23,cc_input_vu_khi!$A$2:$A$12,0))*INDEX(cc_input_bang_xuyen_giap!$B$2:$B$7,MIN(6,MAX(1,IF(INDEX(cc_input_vu_khi_suy_ra!$B$2:$B$12,MATCH($D$23,cc_input_vu_khi_suy_ra!$A$2:$A$12,0)),MAX(1,2-(INDEX(cc_input_vu_khi!$C$2:$C$12,MATCH($D$23,cc_input_vu_khi!$A$2:$A$12,0))-Thap!$K$30)),2-(INDEX(cc_input_vu_khi!$C$2:$C$12,MATCH($D$23,cc_input_vu_khi!$A$2:$A$12,0))-Thap!$K$30))+1)))*INDEX(cc_input_vu_khi_suy_ra!$D$2:$D$12,MATCH($D$23,cc_input_vu_khi_suy_ra!$A$2:$A$12,0))),1),""))</f>
        <v/>
      </c>
      <c r="F23" t="inlineStr">
        <is>
          <t>gun_155_crusader</t>
        </is>
      </c>
      <c r="G23">
        <f>IF($F$23="","",IF(INDEX(cc_input_vu_khi!$B$2:$B$12,MATCH($F$23,cc_input_vu_khi!$A$2:$A$12,0))*INDEX(cc_input_bang_xuyen_giap!$B$2:$B$7,MIN(6,MAX(1,IF(INDEX(cc_input_vu_khi_suy_ra!$B$2:$B$12,MATCH($F$23,cc_input_vu_khi_suy_ra!$A$2:$A$12,0)),MAX(1,2-(INDEX(cc_input_vu_khi!$C$2:$C$12,MATCH($F$23,cc_input_vu_khi!$A$2:$A$12,0))-Thap!$K$30)),2-(INDEX(cc_input_vu_khi!$C$2:$C$12,MATCH($F$23,cc_input_vu_khi!$A$2:$A$12,0))-Thap!$K$30))+1)))*INDEX(cc_input_vu_khi_suy_ra!$D$2:$D$12,MATCH($F$23,cc_input_vu_khi_suy_ra!$A$2:$A$12,0))&gt;0,CEILING(Thap!$J$30/(INDEX(cc_input_vu_khi!$B$2:$B$12,MATCH($F$23,cc_input_vu_khi!$A$2:$A$12,0))*INDEX(cc_input_bang_xuyen_giap!$B$2:$B$7,MIN(6,MAX(1,IF(INDEX(cc_input_vu_khi_suy_ra!$B$2:$B$12,MATCH($F$23,cc_input_vu_khi_suy_ra!$A$2:$A$12,0)),MAX(1,2-(INDEX(cc_input_vu_khi!$C$2:$C$12,MATCH($F$23,cc_input_vu_khi!$A$2:$A$12,0))-Thap!$K$30)),2-(INDEX(cc_input_vu_khi!$C$2:$C$12,MATCH($F$23,cc_input_vu_khi!$A$2:$A$12,0))-Thap!$K$30))+1)))*INDEX(cc_input_vu_khi_suy_ra!$D$2:$D$12,MATCH($F$23,cc_input_vu_khi_suy_ra!$A$2:$A$12,0))),1),""))</f>
        <v/>
      </c>
      <c r="H23" t="inlineStr">
        <is>
          <t>spike_nlos</t>
        </is>
      </c>
      <c r="I23">
        <f>IF($H$23="","",IF(INDEX(cc_input_vu_khi!$B$2:$B$12,MATCH($H$23,cc_input_vu_khi!$A$2:$A$12,0))*INDEX(cc_input_bang_xuyen_giap!$B$2:$B$7,MIN(6,MAX(1,IF(INDEX(cc_input_vu_khi_suy_ra!$B$2:$B$12,MATCH($H$23,cc_input_vu_khi_suy_ra!$A$2:$A$12,0)),MAX(1,2-(INDEX(cc_input_vu_khi!$C$2:$C$12,MATCH($H$23,cc_input_vu_khi!$A$2:$A$12,0))-Thap!$K$30)),2-(INDEX(cc_input_vu_khi!$C$2:$C$12,MATCH($H$23,cc_input_vu_khi!$A$2:$A$12,0))-Thap!$K$30))+1)))*INDEX(cc_input_vu_khi_suy_ra!$D$2:$D$12,MATCH($H$23,cc_input_vu_khi_suy_ra!$A$2:$A$12,0))&gt;0,CEILING(Thap!$J$30/(INDEX(cc_input_vu_khi!$B$2:$B$12,MATCH($H$23,cc_input_vu_khi!$A$2:$A$12,0))*INDEX(cc_input_bang_xuyen_giap!$B$2:$B$7,MIN(6,MAX(1,IF(INDEX(cc_input_vu_khi_suy_ra!$B$2:$B$12,MATCH($H$23,cc_input_vu_khi_suy_ra!$A$2:$A$12,0)),MAX(1,2-(INDEX(cc_input_vu_khi!$C$2:$C$12,MATCH($H$23,cc_input_vu_khi!$A$2:$A$12,0))-Thap!$K$30)),2-(INDEX(cc_input_vu_khi!$C$2:$C$12,MATCH($H$23,cc_input_vu_khi!$A$2:$A$12,0))-Thap!$K$30))+1)))*INDEX(cc_input_vu_khi_suy_ra!$D$2:$D$12,MATCH($H$23,cc_input_vu_khi_suy_ra!$A$2:$A$12,0))),1),""))</f>
        <v/>
      </c>
      <c r="J23" t="inlineStr">
        <is>
          <t>thermobaric_rockets</t>
        </is>
      </c>
      <c r="K23">
        <f>IF($J$23="","",IF(INDEX(cc_input_vu_khi!$B$2:$B$12,MATCH($J$23,cc_input_vu_khi!$A$2:$A$12,0))*INDEX(cc_input_bang_xuyen_giap!$B$2:$B$7,MIN(6,MAX(1,IF(INDEX(cc_input_vu_khi_suy_ra!$B$2:$B$12,MATCH($J$23,cc_input_vu_khi_suy_ra!$A$2:$A$12,0)),MAX(1,2-(INDEX(cc_input_vu_khi!$C$2:$C$12,MATCH($J$23,cc_input_vu_khi!$A$2:$A$12,0))-Thap!$K$30)),2-(INDEX(cc_input_vu_khi!$C$2:$C$12,MATCH($J$23,cc_input_vu_khi!$A$2:$A$12,0))-Thap!$K$30))+1)))*INDEX(cc_input_vu_khi_suy_ra!$D$2:$D$12,MATCH($J$23,cc_input_vu_khi_suy_ra!$A$2:$A$12,0))&gt;0,CEILING(Thap!$J$30/(INDEX(cc_input_vu_khi!$B$2:$B$12,MATCH($J$23,cc_input_vu_khi!$A$2:$A$12,0))*INDEX(cc_input_bang_xuyen_giap!$B$2:$B$7,MIN(6,MAX(1,IF(INDEX(cc_input_vu_khi_suy_ra!$B$2:$B$12,MATCH($J$23,cc_input_vu_khi_suy_ra!$A$2:$A$12,0)),MAX(1,2-(INDEX(cc_input_vu_khi!$C$2:$C$12,MATCH($J$23,cc_input_vu_khi!$A$2:$A$12,0))-Thap!$K$30)),2-(INDEX(cc_input_vu_khi!$C$2:$C$12,MATCH($J$23,cc_input_vu_khi!$A$2:$A$12,0))-Thap!$K$30))+1)))*INDEX(cc_input_vu_khi_suy_ra!$D$2:$D$12,MATCH($J$23,cc_input_vu_khi_suy_ra!$A$2:$A$12,0))),1),""))</f>
        <v/>
      </c>
      <c r="L23" t="inlineStr">
        <is>
          <t>Tools/balance/p32_tower_prices.py Model.price('drone_hangar.swarm') + threats('Large')</t>
        </is>
      </c>
      <c r="M23" t="inlineStr"/>
    </row>
    <row r="24">
      <c r="A24" t="inlineStr">
        <is>
          <t>ew_tower</t>
        </is>
      </c>
      <c r="B24">
        <f>Thap_gia_cong_thuc!$Q$24</f>
        <v/>
      </c>
      <c r="C24">
        <f>IF(ISNUMBER($B$24),$B$24/Thap!$BN$32,"")</f>
        <v/>
      </c>
      <c r="D24" t="inlineStr">
        <is>
          <t>ifv_30</t>
        </is>
      </c>
      <c r="E24">
        <f>IF($D$24="","",IF(INDEX(cc_input_vu_khi!$B$2:$B$12,MATCH($D$24,cc_input_vu_khi!$A$2:$A$12,0))*INDEX(cc_input_bang_xuyen_giap!$B$2:$B$7,MIN(6,MAX(1,IF(INDEX(cc_input_vu_khi_suy_ra!$B$2:$B$12,MATCH($D$24,cc_input_vu_khi_suy_ra!$A$2:$A$12,0)),MAX(1,2-(INDEX(cc_input_vu_khi!$C$2:$C$12,MATCH($D$24,cc_input_vu_khi!$A$2:$A$12,0))-Thap!$K$32)),2-(INDEX(cc_input_vu_khi!$C$2:$C$12,MATCH($D$24,cc_input_vu_khi!$A$2:$A$12,0))-Thap!$K$32))+1)))*INDEX(cc_input_vu_khi_suy_ra!$D$2:$D$12,MATCH($D$24,cc_input_vu_khi_suy_ra!$A$2:$A$12,0))&gt;0,CEILING(Thap!$J$32/(INDEX(cc_input_vu_khi!$B$2:$B$12,MATCH($D$24,cc_input_vu_khi!$A$2:$A$12,0))*INDEX(cc_input_bang_xuyen_giap!$B$2:$B$7,MIN(6,MAX(1,IF(INDEX(cc_input_vu_khi_suy_ra!$B$2:$B$12,MATCH($D$24,cc_input_vu_khi_suy_ra!$A$2:$A$12,0)),MAX(1,2-(INDEX(cc_input_vu_khi!$C$2:$C$12,MATCH($D$24,cc_input_vu_khi!$A$2:$A$12,0))-Thap!$K$32)),2-(INDEX(cc_input_vu_khi!$C$2:$C$12,MATCH($D$24,cc_input_vu_khi!$A$2:$A$12,0))-Thap!$K$32))+1)))*INDEX(cc_input_vu_khi_suy_ra!$D$2:$D$12,MATCH($D$24,cc_input_vu_khi_suy_ra!$A$2:$A$12,0))),1),""))</f>
        <v/>
      </c>
      <c r="F24" t="inlineStr">
        <is>
          <t>gun_105_wheeled_he</t>
        </is>
      </c>
      <c r="G24">
        <f>IF($F$24="","",IF(INDEX(cc_input_vu_khi!$B$2:$B$12,MATCH($F$24,cc_input_vu_khi!$A$2:$A$12,0))*INDEX(cc_input_bang_xuyen_giap!$B$2:$B$7,MIN(6,MAX(1,IF(INDEX(cc_input_vu_khi_suy_ra!$B$2:$B$12,MATCH($F$24,cc_input_vu_khi_suy_ra!$A$2:$A$12,0)),MAX(1,2-(INDEX(cc_input_vu_khi!$C$2:$C$12,MATCH($F$24,cc_input_vu_khi!$A$2:$A$12,0))-Thap!$K$32)),2-(INDEX(cc_input_vu_khi!$C$2:$C$12,MATCH($F$24,cc_input_vu_khi!$A$2:$A$12,0))-Thap!$K$32))+1)))*INDEX(cc_input_vu_khi_suy_ra!$D$2:$D$12,MATCH($F$24,cc_input_vu_khi_suy_ra!$A$2:$A$12,0))&gt;0,CEILING(Thap!$J$32/(INDEX(cc_input_vu_khi!$B$2:$B$12,MATCH($F$24,cc_input_vu_khi!$A$2:$A$12,0))*INDEX(cc_input_bang_xuyen_giap!$B$2:$B$7,MIN(6,MAX(1,IF(INDEX(cc_input_vu_khi_suy_ra!$B$2:$B$12,MATCH($F$24,cc_input_vu_khi_suy_ra!$A$2:$A$12,0)),MAX(1,2-(INDEX(cc_input_vu_khi!$C$2:$C$12,MATCH($F$24,cc_input_vu_khi!$A$2:$A$12,0))-Thap!$K$32)),2-(INDEX(cc_input_vu_khi!$C$2:$C$12,MATCH($F$24,cc_input_vu_khi!$A$2:$A$12,0))-Thap!$K$32))+1)))*INDEX(cc_input_vu_khi_suy_ra!$D$2:$D$12,MATCH($F$24,cc_input_vu_khi_suy_ra!$A$2:$A$12,0))),1),""))</f>
        <v/>
      </c>
      <c r="H24" t="inlineStr">
        <is>
          <t>khrizantema</t>
        </is>
      </c>
      <c r="I24">
        <f>IF($H$24="","",IF(INDEX(cc_input_vu_khi!$B$2:$B$12,MATCH($H$24,cc_input_vu_khi!$A$2:$A$12,0))*INDEX(cc_input_bang_xuyen_giap!$B$2:$B$7,MIN(6,MAX(1,IF(INDEX(cc_input_vu_khi_suy_ra!$B$2:$B$12,MATCH($H$24,cc_input_vu_khi_suy_ra!$A$2:$A$12,0)),MAX(1,2-(INDEX(cc_input_vu_khi!$C$2:$C$12,MATCH($H$24,cc_input_vu_khi!$A$2:$A$12,0))-Thap!$K$32)),2-(INDEX(cc_input_vu_khi!$C$2:$C$12,MATCH($H$24,cc_input_vu_khi!$A$2:$A$12,0))-Thap!$K$32))+1)))*INDEX(cc_input_vu_khi_suy_ra!$D$2:$D$12,MATCH($H$24,cc_input_vu_khi_suy_ra!$A$2:$A$12,0))&gt;0,CEILING(Thap!$J$32/(INDEX(cc_input_vu_khi!$B$2:$B$12,MATCH($H$24,cc_input_vu_khi!$A$2:$A$12,0))*INDEX(cc_input_bang_xuyen_giap!$B$2:$B$7,MIN(6,MAX(1,IF(INDEX(cc_input_vu_khi_suy_ra!$B$2:$B$12,MATCH($H$24,cc_input_vu_khi_suy_ra!$A$2:$A$12,0)),MAX(1,2-(INDEX(cc_input_vu_khi!$C$2:$C$12,MATCH($H$24,cc_input_vu_khi!$A$2:$A$12,0))-Thap!$K$32)),2-(INDEX(cc_input_vu_khi!$C$2:$C$12,MATCH($H$24,cc_input_vu_khi!$A$2:$A$12,0))-Thap!$K$32))+1)))*INDEX(cc_input_vu_khi_suy_ra!$D$2:$D$12,MATCH($H$24,cc_input_vu_khi_suy_ra!$A$2:$A$12,0))),1),""))</f>
        <v/>
      </c>
      <c r="J24" t="inlineStr">
        <is>
          <t>caesar_155</t>
        </is>
      </c>
      <c r="K24">
        <f>IF($J$24="","",IF(INDEX(cc_input_vu_khi!$B$2:$B$12,MATCH($J$24,cc_input_vu_khi!$A$2:$A$12,0))*INDEX(cc_input_bang_xuyen_giap!$B$2:$B$7,MIN(6,MAX(1,IF(INDEX(cc_input_vu_khi_suy_ra!$B$2:$B$12,MATCH($J$24,cc_input_vu_khi_suy_ra!$A$2:$A$12,0)),MAX(1,2-(INDEX(cc_input_vu_khi!$C$2:$C$12,MATCH($J$24,cc_input_vu_khi!$A$2:$A$12,0))-Thap!$K$32)),2-(INDEX(cc_input_vu_khi!$C$2:$C$12,MATCH($J$24,cc_input_vu_khi!$A$2:$A$12,0))-Thap!$K$32))+1)))*INDEX(cc_input_vu_khi_suy_ra!$D$2:$D$12,MATCH($J$24,cc_input_vu_khi_suy_ra!$A$2:$A$12,0))&gt;0,CEILING(Thap!$J$32/(INDEX(cc_input_vu_khi!$B$2:$B$12,MATCH($J$24,cc_input_vu_khi!$A$2:$A$12,0))*INDEX(cc_input_bang_xuyen_giap!$B$2:$B$7,MIN(6,MAX(1,IF(INDEX(cc_input_vu_khi_suy_ra!$B$2:$B$12,MATCH($J$24,cc_input_vu_khi_suy_ra!$A$2:$A$12,0)),MAX(1,2-(INDEX(cc_input_vu_khi!$C$2:$C$12,MATCH($J$24,cc_input_vu_khi!$A$2:$A$12,0))-Thap!$K$32)),2-(INDEX(cc_input_vu_khi!$C$2:$C$12,MATCH($J$24,cc_input_vu_khi!$A$2:$A$12,0))-Thap!$K$32))+1)))*INDEX(cc_input_vu_khi_suy_ra!$D$2:$D$12,MATCH($J$24,cc_input_vu_khi_suy_ra!$A$2:$A$12,0))),1),""))</f>
        <v/>
      </c>
      <c r="L24" t="inlineStr">
        <is>
          <t>Tools/balance/p32_tower_prices.py Model.price('ew_tower') + threats('Small')</t>
        </is>
      </c>
      <c r="M24" t="inlineStr"/>
    </row>
    <row r="25">
      <c r="A25" t="inlineStr">
        <is>
          <t>ew_tower.drone</t>
        </is>
      </c>
      <c r="B25">
        <f>Thap_gia_cong_thuc!$Q$25</f>
        <v/>
      </c>
      <c r="C25">
        <f>IF(ISNUMBER($B$25),$B$25/Thap!$BN$33,"")</f>
        <v/>
      </c>
      <c r="D25" t="inlineStr">
        <is>
          <t>ifv_30</t>
        </is>
      </c>
      <c r="E25">
        <f>IF($D$25="","",IF(INDEX(cc_input_vu_khi!$B$2:$B$12,MATCH($D$25,cc_input_vu_khi!$A$2:$A$12,0))*INDEX(cc_input_bang_xuyen_giap!$B$2:$B$7,MIN(6,MAX(1,IF(INDEX(cc_input_vu_khi_suy_ra!$B$2:$B$12,MATCH($D$25,cc_input_vu_khi_suy_ra!$A$2:$A$12,0)),MAX(1,2-(INDEX(cc_input_vu_khi!$C$2:$C$12,MATCH($D$25,cc_input_vu_khi!$A$2:$A$12,0))-Thap!$K$33)),2-(INDEX(cc_input_vu_khi!$C$2:$C$12,MATCH($D$25,cc_input_vu_khi!$A$2:$A$12,0))-Thap!$K$33))+1)))*INDEX(cc_input_vu_khi_suy_ra!$D$2:$D$12,MATCH($D$25,cc_input_vu_khi_suy_ra!$A$2:$A$12,0))&gt;0,CEILING(Thap!$J$33/(INDEX(cc_input_vu_khi!$B$2:$B$12,MATCH($D$25,cc_input_vu_khi!$A$2:$A$12,0))*INDEX(cc_input_bang_xuyen_giap!$B$2:$B$7,MIN(6,MAX(1,IF(INDEX(cc_input_vu_khi_suy_ra!$B$2:$B$12,MATCH($D$25,cc_input_vu_khi_suy_ra!$A$2:$A$12,0)),MAX(1,2-(INDEX(cc_input_vu_khi!$C$2:$C$12,MATCH($D$25,cc_input_vu_khi!$A$2:$A$12,0))-Thap!$K$33)),2-(INDEX(cc_input_vu_khi!$C$2:$C$12,MATCH($D$25,cc_input_vu_khi!$A$2:$A$12,0))-Thap!$K$33))+1)))*INDEX(cc_input_vu_khi_suy_ra!$D$2:$D$12,MATCH($D$25,cc_input_vu_khi_suy_ra!$A$2:$A$12,0))),1),""))</f>
        <v/>
      </c>
      <c r="F25" t="inlineStr">
        <is>
          <t>gun_105_wheeled_he</t>
        </is>
      </c>
      <c r="G25">
        <f>IF($F$25="","",IF(INDEX(cc_input_vu_khi!$B$2:$B$12,MATCH($F$25,cc_input_vu_khi!$A$2:$A$12,0))*INDEX(cc_input_bang_xuyen_giap!$B$2:$B$7,MIN(6,MAX(1,IF(INDEX(cc_input_vu_khi_suy_ra!$B$2:$B$12,MATCH($F$25,cc_input_vu_khi_suy_ra!$A$2:$A$12,0)),MAX(1,2-(INDEX(cc_input_vu_khi!$C$2:$C$12,MATCH($F$25,cc_input_vu_khi!$A$2:$A$12,0))-Thap!$K$33)),2-(INDEX(cc_input_vu_khi!$C$2:$C$12,MATCH($F$25,cc_input_vu_khi!$A$2:$A$12,0))-Thap!$K$33))+1)))*INDEX(cc_input_vu_khi_suy_ra!$D$2:$D$12,MATCH($F$25,cc_input_vu_khi_suy_ra!$A$2:$A$12,0))&gt;0,CEILING(Thap!$J$33/(INDEX(cc_input_vu_khi!$B$2:$B$12,MATCH($F$25,cc_input_vu_khi!$A$2:$A$12,0))*INDEX(cc_input_bang_xuyen_giap!$B$2:$B$7,MIN(6,MAX(1,IF(INDEX(cc_input_vu_khi_suy_ra!$B$2:$B$12,MATCH($F$25,cc_input_vu_khi_suy_ra!$A$2:$A$12,0)),MAX(1,2-(INDEX(cc_input_vu_khi!$C$2:$C$12,MATCH($F$25,cc_input_vu_khi!$A$2:$A$12,0))-Thap!$K$33)),2-(INDEX(cc_input_vu_khi!$C$2:$C$12,MATCH($F$25,cc_input_vu_khi!$A$2:$A$12,0))-Thap!$K$33))+1)))*INDEX(cc_input_vu_khi_suy_ra!$D$2:$D$12,MATCH($F$25,cc_input_vu_khi_suy_ra!$A$2:$A$12,0))),1),""))</f>
        <v/>
      </c>
      <c r="H25" t="inlineStr">
        <is>
          <t>khrizantema</t>
        </is>
      </c>
      <c r="I25">
        <f>IF($H$25="","",IF(INDEX(cc_input_vu_khi!$B$2:$B$12,MATCH($H$25,cc_input_vu_khi!$A$2:$A$12,0))*INDEX(cc_input_bang_xuyen_giap!$B$2:$B$7,MIN(6,MAX(1,IF(INDEX(cc_input_vu_khi_suy_ra!$B$2:$B$12,MATCH($H$25,cc_input_vu_khi_suy_ra!$A$2:$A$12,0)),MAX(1,2-(INDEX(cc_input_vu_khi!$C$2:$C$12,MATCH($H$25,cc_input_vu_khi!$A$2:$A$12,0))-Thap!$K$33)),2-(INDEX(cc_input_vu_khi!$C$2:$C$12,MATCH($H$25,cc_input_vu_khi!$A$2:$A$12,0))-Thap!$K$33))+1)))*INDEX(cc_input_vu_khi_suy_ra!$D$2:$D$12,MATCH($H$25,cc_input_vu_khi_suy_ra!$A$2:$A$12,0))&gt;0,CEILING(Thap!$J$33/(INDEX(cc_input_vu_khi!$B$2:$B$12,MATCH($H$25,cc_input_vu_khi!$A$2:$A$12,0))*INDEX(cc_input_bang_xuyen_giap!$B$2:$B$7,MIN(6,MAX(1,IF(INDEX(cc_input_vu_khi_suy_ra!$B$2:$B$12,MATCH($H$25,cc_input_vu_khi_suy_ra!$A$2:$A$12,0)),MAX(1,2-(INDEX(cc_input_vu_khi!$C$2:$C$12,MATCH($H$25,cc_input_vu_khi!$A$2:$A$12,0))-Thap!$K$33)),2-(INDEX(cc_input_vu_khi!$C$2:$C$12,MATCH($H$25,cc_input_vu_khi!$A$2:$A$12,0))-Thap!$K$33))+1)))*INDEX(cc_input_vu_khi_suy_ra!$D$2:$D$12,MATCH($H$25,cc_input_vu_khi_suy_ra!$A$2:$A$12,0))),1),""))</f>
        <v/>
      </c>
      <c r="J25" t="inlineStr">
        <is>
          <t>caesar_155</t>
        </is>
      </c>
      <c r="K25">
        <f>IF($J$25="","",IF(INDEX(cc_input_vu_khi!$B$2:$B$12,MATCH($J$25,cc_input_vu_khi!$A$2:$A$12,0))*INDEX(cc_input_bang_xuyen_giap!$B$2:$B$7,MIN(6,MAX(1,IF(INDEX(cc_input_vu_khi_suy_ra!$B$2:$B$12,MATCH($J$25,cc_input_vu_khi_suy_ra!$A$2:$A$12,0)),MAX(1,2-(INDEX(cc_input_vu_khi!$C$2:$C$12,MATCH($J$25,cc_input_vu_khi!$A$2:$A$12,0))-Thap!$K$33)),2-(INDEX(cc_input_vu_khi!$C$2:$C$12,MATCH($J$25,cc_input_vu_khi!$A$2:$A$12,0))-Thap!$K$33))+1)))*INDEX(cc_input_vu_khi_suy_ra!$D$2:$D$12,MATCH($J$25,cc_input_vu_khi_suy_ra!$A$2:$A$12,0))&gt;0,CEILING(Thap!$J$33/(INDEX(cc_input_vu_khi!$B$2:$B$12,MATCH($J$25,cc_input_vu_khi!$A$2:$A$12,0))*INDEX(cc_input_bang_xuyen_giap!$B$2:$B$7,MIN(6,MAX(1,IF(INDEX(cc_input_vu_khi_suy_ra!$B$2:$B$12,MATCH($J$25,cc_input_vu_khi_suy_ra!$A$2:$A$12,0)),MAX(1,2-(INDEX(cc_input_vu_khi!$C$2:$C$12,MATCH($J$25,cc_input_vu_khi!$A$2:$A$12,0))-Thap!$K$33)),2-(INDEX(cc_input_vu_khi!$C$2:$C$12,MATCH($J$25,cc_input_vu_khi!$A$2:$A$12,0))-Thap!$K$33))+1)))*INDEX(cc_input_vu_khi_suy_ra!$D$2:$D$12,MATCH($J$25,cc_input_vu_khi_suy_ra!$A$2:$A$12,0))),1),""))</f>
        <v/>
      </c>
      <c r="L25" t="inlineStr">
        <is>
          <t>Tools/balance/p32_tower_prices.py Model.price('ew_tower.drone') + threats('Small')</t>
        </is>
      </c>
      <c r="M25" t="inlineStr"/>
    </row>
    <row r="26">
      <c r="A26" t="inlineStr">
        <is>
          <t>ew_tower.spoof</t>
        </is>
      </c>
      <c r="B26">
        <f>Thap_gia_cong_thuc!$Q$26</f>
        <v/>
      </c>
      <c r="C26">
        <f>IF(ISNUMBER($B$26),$B$26/Thap!$BN$34,"")</f>
        <v/>
      </c>
      <c r="D26" t="inlineStr">
        <is>
          <t>ifv_30</t>
        </is>
      </c>
      <c r="E26">
        <f>IF($D$26="","",IF(INDEX(cc_input_vu_khi!$B$2:$B$12,MATCH($D$26,cc_input_vu_khi!$A$2:$A$12,0))*INDEX(cc_input_bang_xuyen_giap!$B$2:$B$7,MIN(6,MAX(1,IF(INDEX(cc_input_vu_khi_suy_ra!$B$2:$B$12,MATCH($D$26,cc_input_vu_khi_suy_ra!$A$2:$A$12,0)),MAX(1,2-(INDEX(cc_input_vu_khi!$C$2:$C$12,MATCH($D$26,cc_input_vu_khi!$A$2:$A$12,0))-Thap!$K$34)),2-(INDEX(cc_input_vu_khi!$C$2:$C$12,MATCH($D$26,cc_input_vu_khi!$A$2:$A$12,0))-Thap!$K$34))+1)))*INDEX(cc_input_vu_khi_suy_ra!$D$2:$D$12,MATCH($D$26,cc_input_vu_khi_suy_ra!$A$2:$A$12,0))&gt;0,CEILING(Thap!$J$34/(INDEX(cc_input_vu_khi!$B$2:$B$12,MATCH($D$26,cc_input_vu_khi!$A$2:$A$12,0))*INDEX(cc_input_bang_xuyen_giap!$B$2:$B$7,MIN(6,MAX(1,IF(INDEX(cc_input_vu_khi_suy_ra!$B$2:$B$12,MATCH($D$26,cc_input_vu_khi_suy_ra!$A$2:$A$12,0)),MAX(1,2-(INDEX(cc_input_vu_khi!$C$2:$C$12,MATCH($D$26,cc_input_vu_khi!$A$2:$A$12,0))-Thap!$K$34)),2-(INDEX(cc_input_vu_khi!$C$2:$C$12,MATCH($D$26,cc_input_vu_khi!$A$2:$A$12,0))-Thap!$K$34))+1)))*INDEX(cc_input_vu_khi_suy_ra!$D$2:$D$12,MATCH($D$26,cc_input_vu_khi_suy_ra!$A$2:$A$12,0))),1),""))</f>
        <v/>
      </c>
      <c r="F26" t="inlineStr">
        <is>
          <t>gun_105_wheeled_he</t>
        </is>
      </c>
      <c r="G26">
        <f>IF($F$26="","",IF(INDEX(cc_input_vu_khi!$B$2:$B$12,MATCH($F$26,cc_input_vu_khi!$A$2:$A$12,0))*INDEX(cc_input_bang_xuyen_giap!$B$2:$B$7,MIN(6,MAX(1,IF(INDEX(cc_input_vu_khi_suy_ra!$B$2:$B$12,MATCH($F$26,cc_input_vu_khi_suy_ra!$A$2:$A$12,0)),MAX(1,2-(INDEX(cc_input_vu_khi!$C$2:$C$12,MATCH($F$26,cc_input_vu_khi!$A$2:$A$12,0))-Thap!$K$34)),2-(INDEX(cc_input_vu_khi!$C$2:$C$12,MATCH($F$26,cc_input_vu_khi!$A$2:$A$12,0))-Thap!$K$34))+1)))*INDEX(cc_input_vu_khi_suy_ra!$D$2:$D$12,MATCH($F$26,cc_input_vu_khi_suy_ra!$A$2:$A$12,0))&gt;0,CEILING(Thap!$J$34/(INDEX(cc_input_vu_khi!$B$2:$B$12,MATCH($F$26,cc_input_vu_khi!$A$2:$A$12,0))*INDEX(cc_input_bang_xuyen_giap!$B$2:$B$7,MIN(6,MAX(1,IF(INDEX(cc_input_vu_khi_suy_ra!$B$2:$B$12,MATCH($F$26,cc_input_vu_khi_suy_ra!$A$2:$A$12,0)),MAX(1,2-(INDEX(cc_input_vu_khi!$C$2:$C$12,MATCH($F$26,cc_input_vu_khi!$A$2:$A$12,0))-Thap!$K$34)),2-(INDEX(cc_input_vu_khi!$C$2:$C$12,MATCH($F$26,cc_input_vu_khi!$A$2:$A$12,0))-Thap!$K$34))+1)))*INDEX(cc_input_vu_khi_suy_ra!$D$2:$D$12,MATCH($F$26,cc_input_vu_khi_suy_ra!$A$2:$A$12,0))),1),""))</f>
        <v/>
      </c>
      <c r="H26" t="inlineStr">
        <is>
          <t>khrizantema</t>
        </is>
      </c>
      <c r="I26">
        <f>IF($H$26="","",IF(INDEX(cc_input_vu_khi!$B$2:$B$12,MATCH($H$26,cc_input_vu_khi!$A$2:$A$12,0))*INDEX(cc_input_bang_xuyen_giap!$B$2:$B$7,MIN(6,MAX(1,IF(INDEX(cc_input_vu_khi_suy_ra!$B$2:$B$12,MATCH($H$26,cc_input_vu_khi_suy_ra!$A$2:$A$12,0)),MAX(1,2-(INDEX(cc_input_vu_khi!$C$2:$C$12,MATCH($H$26,cc_input_vu_khi!$A$2:$A$12,0))-Thap!$K$34)),2-(INDEX(cc_input_vu_khi!$C$2:$C$12,MATCH($H$26,cc_input_vu_khi!$A$2:$A$12,0))-Thap!$K$34))+1)))*INDEX(cc_input_vu_khi_suy_ra!$D$2:$D$12,MATCH($H$26,cc_input_vu_khi_suy_ra!$A$2:$A$12,0))&gt;0,CEILING(Thap!$J$34/(INDEX(cc_input_vu_khi!$B$2:$B$12,MATCH($H$26,cc_input_vu_khi!$A$2:$A$12,0))*INDEX(cc_input_bang_xuyen_giap!$B$2:$B$7,MIN(6,MAX(1,IF(INDEX(cc_input_vu_khi_suy_ra!$B$2:$B$12,MATCH($H$26,cc_input_vu_khi_suy_ra!$A$2:$A$12,0)),MAX(1,2-(INDEX(cc_input_vu_khi!$C$2:$C$12,MATCH($H$26,cc_input_vu_khi!$A$2:$A$12,0))-Thap!$K$34)),2-(INDEX(cc_input_vu_khi!$C$2:$C$12,MATCH($H$26,cc_input_vu_khi!$A$2:$A$12,0))-Thap!$K$34))+1)))*INDEX(cc_input_vu_khi_suy_ra!$D$2:$D$12,MATCH($H$26,cc_input_vu_khi_suy_ra!$A$2:$A$12,0))),1),""))</f>
        <v/>
      </c>
      <c r="J26" t="inlineStr">
        <is>
          <t>caesar_155</t>
        </is>
      </c>
      <c r="K26">
        <f>IF($J$26="","",IF(INDEX(cc_input_vu_khi!$B$2:$B$12,MATCH($J$26,cc_input_vu_khi!$A$2:$A$12,0))*INDEX(cc_input_bang_xuyen_giap!$B$2:$B$7,MIN(6,MAX(1,IF(INDEX(cc_input_vu_khi_suy_ra!$B$2:$B$12,MATCH($J$26,cc_input_vu_khi_suy_ra!$A$2:$A$12,0)),MAX(1,2-(INDEX(cc_input_vu_khi!$C$2:$C$12,MATCH($J$26,cc_input_vu_khi!$A$2:$A$12,0))-Thap!$K$34)),2-(INDEX(cc_input_vu_khi!$C$2:$C$12,MATCH($J$26,cc_input_vu_khi!$A$2:$A$12,0))-Thap!$K$34))+1)))*INDEX(cc_input_vu_khi_suy_ra!$D$2:$D$12,MATCH($J$26,cc_input_vu_khi_suy_ra!$A$2:$A$12,0))&gt;0,CEILING(Thap!$J$34/(INDEX(cc_input_vu_khi!$B$2:$B$12,MATCH($J$26,cc_input_vu_khi!$A$2:$A$12,0))*INDEX(cc_input_bang_xuyen_giap!$B$2:$B$7,MIN(6,MAX(1,IF(INDEX(cc_input_vu_khi_suy_ra!$B$2:$B$12,MATCH($J$26,cc_input_vu_khi_suy_ra!$A$2:$A$12,0)),MAX(1,2-(INDEX(cc_input_vu_khi!$C$2:$C$12,MATCH($J$26,cc_input_vu_khi!$A$2:$A$12,0))-Thap!$K$34)),2-(INDEX(cc_input_vu_khi!$C$2:$C$12,MATCH($J$26,cc_input_vu_khi!$A$2:$A$12,0))-Thap!$K$34))+1)))*INDEX(cc_input_vu_khi_suy_ra!$D$2:$D$12,MATCH($J$26,cc_input_vu_khi_suy_ra!$A$2:$A$12,0))),1),""))</f>
        <v/>
      </c>
      <c r="L26" t="inlineStr">
        <is>
          <t>Tools/balance/p32_tower_prices.py Model.price('ew_tower.spoof') + threats('Small')</t>
        </is>
      </c>
      <c r="M26" t="inlineStr"/>
    </row>
    <row r="27">
      <c r="A27" t="inlineStr">
        <is>
          <t>guard_tower</t>
        </is>
      </c>
      <c r="B27">
        <f>Thap_gia_cong_thuc!$Q$27</f>
        <v/>
      </c>
      <c r="C27">
        <f>IF(ISNUMBER($B$27),$B$27/Thap!$BN$37,"")</f>
        <v/>
      </c>
      <c r="D27" t="inlineStr">
        <is>
          <t>ifv_30</t>
        </is>
      </c>
      <c r="E27">
        <f>IF($D$27="","",IF(INDEX(cc_input_vu_khi!$B$2:$B$12,MATCH($D$27,cc_input_vu_khi!$A$2:$A$12,0))*INDEX(cc_input_bang_xuyen_giap!$B$2:$B$7,MIN(6,MAX(1,IF(INDEX(cc_input_vu_khi_suy_ra!$B$2:$B$12,MATCH($D$27,cc_input_vu_khi_suy_ra!$A$2:$A$12,0)),MAX(1,2-(INDEX(cc_input_vu_khi!$C$2:$C$12,MATCH($D$27,cc_input_vu_khi!$A$2:$A$12,0))-Thap!$K$37)),2-(INDEX(cc_input_vu_khi!$C$2:$C$12,MATCH($D$27,cc_input_vu_khi!$A$2:$A$12,0))-Thap!$K$37))+1)))*INDEX(cc_input_vu_khi_suy_ra!$D$2:$D$12,MATCH($D$27,cc_input_vu_khi_suy_ra!$A$2:$A$12,0))&gt;0,CEILING(Thap!$J$37/(INDEX(cc_input_vu_khi!$B$2:$B$12,MATCH($D$27,cc_input_vu_khi!$A$2:$A$12,0))*INDEX(cc_input_bang_xuyen_giap!$B$2:$B$7,MIN(6,MAX(1,IF(INDEX(cc_input_vu_khi_suy_ra!$B$2:$B$12,MATCH($D$27,cc_input_vu_khi_suy_ra!$A$2:$A$12,0)),MAX(1,2-(INDEX(cc_input_vu_khi!$C$2:$C$12,MATCH($D$27,cc_input_vu_khi!$A$2:$A$12,0))-Thap!$K$37)),2-(INDEX(cc_input_vu_khi!$C$2:$C$12,MATCH($D$27,cc_input_vu_khi!$A$2:$A$12,0))-Thap!$K$37))+1)))*INDEX(cc_input_vu_khi_suy_ra!$D$2:$D$12,MATCH($D$27,cc_input_vu_khi_suy_ra!$A$2:$A$12,0))),1),""))</f>
        <v/>
      </c>
      <c r="F27" t="inlineStr">
        <is>
          <t>gun_105_wheeled_he</t>
        </is>
      </c>
      <c r="G27">
        <f>IF($F$27="","",IF(INDEX(cc_input_vu_khi!$B$2:$B$12,MATCH($F$27,cc_input_vu_khi!$A$2:$A$12,0))*INDEX(cc_input_bang_xuyen_giap!$B$2:$B$7,MIN(6,MAX(1,IF(INDEX(cc_input_vu_khi_suy_ra!$B$2:$B$12,MATCH($F$27,cc_input_vu_khi_suy_ra!$A$2:$A$12,0)),MAX(1,2-(INDEX(cc_input_vu_khi!$C$2:$C$12,MATCH($F$27,cc_input_vu_khi!$A$2:$A$12,0))-Thap!$K$37)),2-(INDEX(cc_input_vu_khi!$C$2:$C$12,MATCH($F$27,cc_input_vu_khi!$A$2:$A$12,0))-Thap!$K$37))+1)))*INDEX(cc_input_vu_khi_suy_ra!$D$2:$D$12,MATCH($F$27,cc_input_vu_khi_suy_ra!$A$2:$A$12,0))&gt;0,CEILING(Thap!$J$37/(INDEX(cc_input_vu_khi!$B$2:$B$12,MATCH($F$27,cc_input_vu_khi!$A$2:$A$12,0))*INDEX(cc_input_bang_xuyen_giap!$B$2:$B$7,MIN(6,MAX(1,IF(INDEX(cc_input_vu_khi_suy_ra!$B$2:$B$12,MATCH($F$27,cc_input_vu_khi_suy_ra!$A$2:$A$12,0)),MAX(1,2-(INDEX(cc_input_vu_khi!$C$2:$C$12,MATCH($F$27,cc_input_vu_khi!$A$2:$A$12,0))-Thap!$K$37)),2-(INDEX(cc_input_vu_khi!$C$2:$C$12,MATCH($F$27,cc_input_vu_khi!$A$2:$A$12,0))-Thap!$K$37))+1)))*INDEX(cc_input_vu_khi_suy_ra!$D$2:$D$12,MATCH($F$27,cc_input_vu_khi_suy_ra!$A$2:$A$12,0))),1),""))</f>
        <v/>
      </c>
      <c r="H27" t="inlineStr">
        <is>
          <t>khrizantema</t>
        </is>
      </c>
      <c r="I27">
        <f>IF($H$27="","",IF(INDEX(cc_input_vu_khi!$B$2:$B$12,MATCH($H$27,cc_input_vu_khi!$A$2:$A$12,0))*INDEX(cc_input_bang_xuyen_giap!$B$2:$B$7,MIN(6,MAX(1,IF(INDEX(cc_input_vu_khi_suy_ra!$B$2:$B$12,MATCH($H$27,cc_input_vu_khi_suy_ra!$A$2:$A$12,0)),MAX(1,2-(INDEX(cc_input_vu_khi!$C$2:$C$12,MATCH($H$27,cc_input_vu_khi!$A$2:$A$12,0))-Thap!$K$37)),2-(INDEX(cc_input_vu_khi!$C$2:$C$12,MATCH($H$27,cc_input_vu_khi!$A$2:$A$12,0))-Thap!$K$37))+1)))*INDEX(cc_input_vu_khi_suy_ra!$D$2:$D$12,MATCH($H$27,cc_input_vu_khi_suy_ra!$A$2:$A$12,0))&gt;0,CEILING(Thap!$J$37/(INDEX(cc_input_vu_khi!$B$2:$B$12,MATCH($H$27,cc_input_vu_khi!$A$2:$A$12,0))*INDEX(cc_input_bang_xuyen_giap!$B$2:$B$7,MIN(6,MAX(1,IF(INDEX(cc_input_vu_khi_suy_ra!$B$2:$B$12,MATCH($H$27,cc_input_vu_khi_suy_ra!$A$2:$A$12,0)),MAX(1,2-(INDEX(cc_input_vu_khi!$C$2:$C$12,MATCH($H$27,cc_input_vu_khi!$A$2:$A$12,0))-Thap!$K$37)),2-(INDEX(cc_input_vu_khi!$C$2:$C$12,MATCH($H$27,cc_input_vu_khi!$A$2:$A$12,0))-Thap!$K$37))+1)))*INDEX(cc_input_vu_khi_suy_ra!$D$2:$D$12,MATCH($H$27,cc_input_vu_khi_suy_ra!$A$2:$A$12,0))),1),""))</f>
        <v/>
      </c>
      <c r="J27" t="inlineStr">
        <is>
          <t>caesar_155</t>
        </is>
      </c>
      <c r="K27">
        <f>IF($J$27="","",IF(INDEX(cc_input_vu_khi!$B$2:$B$12,MATCH($J$27,cc_input_vu_khi!$A$2:$A$12,0))*INDEX(cc_input_bang_xuyen_giap!$B$2:$B$7,MIN(6,MAX(1,IF(INDEX(cc_input_vu_khi_suy_ra!$B$2:$B$12,MATCH($J$27,cc_input_vu_khi_suy_ra!$A$2:$A$12,0)),MAX(1,2-(INDEX(cc_input_vu_khi!$C$2:$C$12,MATCH($J$27,cc_input_vu_khi!$A$2:$A$12,0))-Thap!$K$37)),2-(INDEX(cc_input_vu_khi!$C$2:$C$12,MATCH($J$27,cc_input_vu_khi!$A$2:$A$12,0))-Thap!$K$37))+1)))*INDEX(cc_input_vu_khi_suy_ra!$D$2:$D$12,MATCH($J$27,cc_input_vu_khi_suy_ra!$A$2:$A$12,0))&gt;0,CEILING(Thap!$J$37/(INDEX(cc_input_vu_khi!$B$2:$B$12,MATCH($J$27,cc_input_vu_khi!$A$2:$A$12,0))*INDEX(cc_input_bang_xuyen_giap!$B$2:$B$7,MIN(6,MAX(1,IF(INDEX(cc_input_vu_khi_suy_ra!$B$2:$B$12,MATCH($J$27,cc_input_vu_khi_suy_ra!$A$2:$A$12,0)),MAX(1,2-(INDEX(cc_input_vu_khi!$C$2:$C$12,MATCH($J$27,cc_input_vu_khi!$A$2:$A$12,0))-Thap!$K$37)),2-(INDEX(cc_input_vu_khi!$C$2:$C$12,MATCH($J$27,cc_input_vu_khi!$A$2:$A$12,0))-Thap!$K$37))+1)))*INDEX(cc_input_vu_khi_suy_ra!$D$2:$D$12,MATCH($J$27,cc_input_vu_khi_suy_ra!$A$2:$A$12,0))),1),""))</f>
        <v/>
      </c>
      <c r="L27" t="inlineStr">
        <is>
          <t>Tools/balance/p32_tower_prices.py Model.price('guard_tower') + threats('Small')</t>
        </is>
      </c>
      <c r="M27" t="inlineStr"/>
    </row>
    <row r="28">
      <c r="A28" t="inlineStr">
        <is>
          <t>guard_tower.nest</t>
        </is>
      </c>
      <c r="B28">
        <f>Thap_gia_cong_thuc!$Q$28</f>
        <v/>
      </c>
      <c r="C28">
        <f>IF(ISNUMBER($B$28),$B$28/Thap!$BN$38,"")</f>
        <v/>
      </c>
      <c r="D28" t="inlineStr">
        <is>
          <t>ifv_30</t>
        </is>
      </c>
      <c r="E28">
        <f>IF($D$28="","",IF(INDEX(cc_input_vu_khi!$B$2:$B$12,MATCH($D$28,cc_input_vu_khi!$A$2:$A$12,0))*INDEX(cc_input_bang_xuyen_giap!$B$2:$B$7,MIN(6,MAX(1,IF(INDEX(cc_input_vu_khi_suy_ra!$B$2:$B$12,MATCH($D$28,cc_input_vu_khi_suy_ra!$A$2:$A$12,0)),MAX(1,2-(INDEX(cc_input_vu_khi!$C$2:$C$12,MATCH($D$28,cc_input_vu_khi!$A$2:$A$12,0))-Thap!$K$38)),2-(INDEX(cc_input_vu_khi!$C$2:$C$12,MATCH($D$28,cc_input_vu_khi!$A$2:$A$12,0))-Thap!$K$38))+1)))*INDEX(cc_input_vu_khi_suy_ra!$D$2:$D$12,MATCH($D$28,cc_input_vu_khi_suy_ra!$A$2:$A$12,0))&gt;0,CEILING(Thap!$J$38/(INDEX(cc_input_vu_khi!$B$2:$B$12,MATCH($D$28,cc_input_vu_khi!$A$2:$A$12,0))*INDEX(cc_input_bang_xuyen_giap!$B$2:$B$7,MIN(6,MAX(1,IF(INDEX(cc_input_vu_khi_suy_ra!$B$2:$B$12,MATCH($D$28,cc_input_vu_khi_suy_ra!$A$2:$A$12,0)),MAX(1,2-(INDEX(cc_input_vu_khi!$C$2:$C$12,MATCH($D$28,cc_input_vu_khi!$A$2:$A$12,0))-Thap!$K$38)),2-(INDEX(cc_input_vu_khi!$C$2:$C$12,MATCH($D$28,cc_input_vu_khi!$A$2:$A$12,0))-Thap!$K$38))+1)))*INDEX(cc_input_vu_khi_suy_ra!$D$2:$D$12,MATCH($D$28,cc_input_vu_khi_suy_ra!$A$2:$A$12,0))),1),""))</f>
        <v/>
      </c>
      <c r="F28" t="inlineStr">
        <is>
          <t>gun_105_wheeled_he</t>
        </is>
      </c>
      <c r="G28">
        <f>IF($F$28="","",IF(INDEX(cc_input_vu_khi!$B$2:$B$12,MATCH($F$28,cc_input_vu_khi!$A$2:$A$12,0))*INDEX(cc_input_bang_xuyen_giap!$B$2:$B$7,MIN(6,MAX(1,IF(INDEX(cc_input_vu_khi_suy_ra!$B$2:$B$12,MATCH($F$28,cc_input_vu_khi_suy_ra!$A$2:$A$12,0)),MAX(1,2-(INDEX(cc_input_vu_khi!$C$2:$C$12,MATCH($F$28,cc_input_vu_khi!$A$2:$A$12,0))-Thap!$K$38)),2-(INDEX(cc_input_vu_khi!$C$2:$C$12,MATCH($F$28,cc_input_vu_khi!$A$2:$A$12,0))-Thap!$K$38))+1)))*INDEX(cc_input_vu_khi_suy_ra!$D$2:$D$12,MATCH($F$28,cc_input_vu_khi_suy_ra!$A$2:$A$12,0))&gt;0,CEILING(Thap!$J$38/(INDEX(cc_input_vu_khi!$B$2:$B$12,MATCH($F$28,cc_input_vu_khi!$A$2:$A$12,0))*INDEX(cc_input_bang_xuyen_giap!$B$2:$B$7,MIN(6,MAX(1,IF(INDEX(cc_input_vu_khi_suy_ra!$B$2:$B$12,MATCH($F$28,cc_input_vu_khi_suy_ra!$A$2:$A$12,0)),MAX(1,2-(INDEX(cc_input_vu_khi!$C$2:$C$12,MATCH($F$28,cc_input_vu_khi!$A$2:$A$12,0))-Thap!$K$38)),2-(INDEX(cc_input_vu_khi!$C$2:$C$12,MATCH($F$28,cc_input_vu_khi!$A$2:$A$12,0))-Thap!$K$38))+1)))*INDEX(cc_input_vu_khi_suy_ra!$D$2:$D$12,MATCH($F$28,cc_input_vu_khi_suy_ra!$A$2:$A$12,0))),1),""))</f>
        <v/>
      </c>
      <c r="H28" t="inlineStr">
        <is>
          <t>khrizantema</t>
        </is>
      </c>
      <c r="I28">
        <f>IF($H$28="","",IF(INDEX(cc_input_vu_khi!$B$2:$B$12,MATCH($H$28,cc_input_vu_khi!$A$2:$A$12,0))*INDEX(cc_input_bang_xuyen_giap!$B$2:$B$7,MIN(6,MAX(1,IF(INDEX(cc_input_vu_khi_suy_ra!$B$2:$B$12,MATCH($H$28,cc_input_vu_khi_suy_ra!$A$2:$A$12,0)),MAX(1,2-(INDEX(cc_input_vu_khi!$C$2:$C$12,MATCH($H$28,cc_input_vu_khi!$A$2:$A$12,0))-Thap!$K$38)),2-(INDEX(cc_input_vu_khi!$C$2:$C$12,MATCH($H$28,cc_input_vu_khi!$A$2:$A$12,0))-Thap!$K$38))+1)))*INDEX(cc_input_vu_khi_suy_ra!$D$2:$D$12,MATCH($H$28,cc_input_vu_khi_suy_ra!$A$2:$A$12,0))&gt;0,CEILING(Thap!$J$38/(INDEX(cc_input_vu_khi!$B$2:$B$12,MATCH($H$28,cc_input_vu_khi!$A$2:$A$12,0))*INDEX(cc_input_bang_xuyen_giap!$B$2:$B$7,MIN(6,MAX(1,IF(INDEX(cc_input_vu_khi_suy_ra!$B$2:$B$12,MATCH($H$28,cc_input_vu_khi_suy_ra!$A$2:$A$12,0)),MAX(1,2-(INDEX(cc_input_vu_khi!$C$2:$C$12,MATCH($H$28,cc_input_vu_khi!$A$2:$A$12,0))-Thap!$K$38)),2-(INDEX(cc_input_vu_khi!$C$2:$C$12,MATCH($H$28,cc_input_vu_khi!$A$2:$A$12,0))-Thap!$K$38))+1)))*INDEX(cc_input_vu_khi_suy_ra!$D$2:$D$12,MATCH($H$28,cc_input_vu_khi_suy_ra!$A$2:$A$12,0))),1),""))</f>
        <v/>
      </c>
      <c r="J28" t="inlineStr">
        <is>
          <t>caesar_155</t>
        </is>
      </c>
      <c r="K28">
        <f>IF($J$28="","",IF(INDEX(cc_input_vu_khi!$B$2:$B$12,MATCH($J$28,cc_input_vu_khi!$A$2:$A$12,0))*INDEX(cc_input_bang_xuyen_giap!$B$2:$B$7,MIN(6,MAX(1,IF(INDEX(cc_input_vu_khi_suy_ra!$B$2:$B$12,MATCH($J$28,cc_input_vu_khi_suy_ra!$A$2:$A$12,0)),MAX(1,2-(INDEX(cc_input_vu_khi!$C$2:$C$12,MATCH($J$28,cc_input_vu_khi!$A$2:$A$12,0))-Thap!$K$38)),2-(INDEX(cc_input_vu_khi!$C$2:$C$12,MATCH($J$28,cc_input_vu_khi!$A$2:$A$12,0))-Thap!$K$38))+1)))*INDEX(cc_input_vu_khi_suy_ra!$D$2:$D$12,MATCH($J$28,cc_input_vu_khi_suy_ra!$A$2:$A$12,0))&gt;0,CEILING(Thap!$J$38/(INDEX(cc_input_vu_khi!$B$2:$B$12,MATCH($J$28,cc_input_vu_khi!$A$2:$A$12,0))*INDEX(cc_input_bang_xuyen_giap!$B$2:$B$7,MIN(6,MAX(1,IF(INDEX(cc_input_vu_khi_suy_ra!$B$2:$B$12,MATCH($J$28,cc_input_vu_khi_suy_ra!$A$2:$A$12,0)),MAX(1,2-(INDEX(cc_input_vu_khi!$C$2:$C$12,MATCH($J$28,cc_input_vu_khi!$A$2:$A$12,0))-Thap!$K$38)),2-(INDEX(cc_input_vu_khi!$C$2:$C$12,MATCH($J$28,cc_input_vu_khi!$A$2:$A$12,0))-Thap!$K$38))+1)))*INDEX(cc_input_vu_khi_suy_ra!$D$2:$D$12,MATCH($J$28,cc_input_vu_khi_suy_ra!$A$2:$A$12,0))),1),""))</f>
        <v/>
      </c>
      <c r="L28" t="inlineStr">
        <is>
          <t>Tools/balance/p32_tower_prices.py Model.price('guard_tower.nest') + threats('Small')</t>
        </is>
      </c>
      <c r="M28" t="inlineStr"/>
    </row>
    <row r="29">
      <c r="A29" t="inlineStr">
        <is>
          <t>guard_tower.watch</t>
        </is>
      </c>
      <c r="B29">
        <f>Thap_gia_cong_thuc!$Q$29</f>
        <v/>
      </c>
      <c r="C29">
        <f>IF(ISNUMBER($B$29),$B$29/Thap!$BN$39,"")</f>
        <v/>
      </c>
      <c r="D29" t="inlineStr">
        <is>
          <t>ifv_30</t>
        </is>
      </c>
      <c r="E29">
        <f>IF($D$29="","",IF(INDEX(cc_input_vu_khi!$B$2:$B$12,MATCH($D$29,cc_input_vu_khi!$A$2:$A$12,0))*INDEX(cc_input_bang_xuyen_giap!$B$2:$B$7,MIN(6,MAX(1,IF(INDEX(cc_input_vu_khi_suy_ra!$B$2:$B$12,MATCH($D$29,cc_input_vu_khi_suy_ra!$A$2:$A$12,0)),MAX(1,2-(INDEX(cc_input_vu_khi!$C$2:$C$12,MATCH($D$29,cc_input_vu_khi!$A$2:$A$12,0))-Thap!$K$39)),2-(INDEX(cc_input_vu_khi!$C$2:$C$12,MATCH($D$29,cc_input_vu_khi!$A$2:$A$12,0))-Thap!$K$39))+1)))*INDEX(cc_input_vu_khi_suy_ra!$D$2:$D$12,MATCH($D$29,cc_input_vu_khi_suy_ra!$A$2:$A$12,0))&gt;0,CEILING(Thap!$J$39/(INDEX(cc_input_vu_khi!$B$2:$B$12,MATCH($D$29,cc_input_vu_khi!$A$2:$A$12,0))*INDEX(cc_input_bang_xuyen_giap!$B$2:$B$7,MIN(6,MAX(1,IF(INDEX(cc_input_vu_khi_suy_ra!$B$2:$B$12,MATCH($D$29,cc_input_vu_khi_suy_ra!$A$2:$A$12,0)),MAX(1,2-(INDEX(cc_input_vu_khi!$C$2:$C$12,MATCH($D$29,cc_input_vu_khi!$A$2:$A$12,0))-Thap!$K$39)),2-(INDEX(cc_input_vu_khi!$C$2:$C$12,MATCH($D$29,cc_input_vu_khi!$A$2:$A$12,0))-Thap!$K$39))+1)))*INDEX(cc_input_vu_khi_suy_ra!$D$2:$D$12,MATCH($D$29,cc_input_vu_khi_suy_ra!$A$2:$A$12,0))),1),""))</f>
        <v/>
      </c>
      <c r="F29" t="inlineStr">
        <is>
          <t>gun_105_wheeled_he</t>
        </is>
      </c>
      <c r="G29">
        <f>IF($F$29="","",IF(INDEX(cc_input_vu_khi!$B$2:$B$12,MATCH($F$29,cc_input_vu_khi!$A$2:$A$12,0))*INDEX(cc_input_bang_xuyen_giap!$B$2:$B$7,MIN(6,MAX(1,IF(INDEX(cc_input_vu_khi_suy_ra!$B$2:$B$12,MATCH($F$29,cc_input_vu_khi_suy_ra!$A$2:$A$12,0)),MAX(1,2-(INDEX(cc_input_vu_khi!$C$2:$C$12,MATCH($F$29,cc_input_vu_khi!$A$2:$A$12,0))-Thap!$K$39)),2-(INDEX(cc_input_vu_khi!$C$2:$C$12,MATCH($F$29,cc_input_vu_khi!$A$2:$A$12,0))-Thap!$K$39))+1)))*INDEX(cc_input_vu_khi_suy_ra!$D$2:$D$12,MATCH($F$29,cc_input_vu_khi_suy_ra!$A$2:$A$12,0))&gt;0,CEILING(Thap!$J$39/(INDEX(cc_input_vu_khi!$B$2:$B$12,MATCH($F$29,cc_input_vu_khi!$A$2:$A$12,0))*INDEX(cc_input_bang_xuyen_giap!$B$2:$B$7,MIN(6,MAX(1,IF(INDEX(cc_input_vu_khi_suy_ra!$B$2:$B$12,MATCH($F$29,cc_input_vu_khi_suy_ra!$A$2:$A$12,0)),MAX(1,2-(INDEX(cc_input_vu_khi!$C$2:$C$12,MATCH($F$29,cc_input_vu_khi!$A$2:$A$12,0))-Thap!$K$39)),2-(INDEX(cc_input_vu_khi!$C$2:$C$12,MATCH($F$29,cc_input_vu_khi!$A$2:$A$12,0))-Thap!$K$39))+1)))*INDEX(cc_input_vu_khi_suy_ra!$D$2:$D$12,MATCH($F$29,cc_input_vu_khi_suy_ra!$A$2:$A$12,0))),1),""))</f>
        <v/>
      </c>
      <c r="H29" t="inlineStr">
        <is>
          <t>khrizantema</t>
        </is>
      </c>
      <c r="I29">
        <f>IF($H$29="","",IF(INDEX(cc_input_vu_khi!$B$2:$B$12,MATCH($H$29,cc_input_vu_khi!$A$2:$A$12,0))*INDEX(cc_input_bang_xuyen_giap!$B$2:$B$7,MIN(6,MAX(1,IF(INDEX(cc_input_vu_khi_suy_ra!$B$2:$B$12,MATCH($H$29,cc_input_vu_khi_suy_ra!$A$2:$A$12,0)),MAX(1,2-(INDEX(cc_input_vu_khi!$C$2:$C$12,MATCH($H$29,cc_input_vu_khi!$A$2:$A$12,0))-Thap!$K$39)),2-(INDEX(cc_input_vu_khi!$C$2:$C$12,MATCH($H$29,cc_input_vu_khi!$A$2:$A$12,0))-Thap!$K$39))+1)))*INDEX(cc_input_vu_khi_suy_ra!$D$2:$D$12,MATCH($H$29,cc_input_vu_khi_suy_ra!$A$2:$A$12,0))&gt;0,CEILING(Thap!$J$39/(INDEX(cc_input_vu_khi!$B$2:$B$12,MATCH($H$29,cc_input_vu_khi!$A$2:$A$12,0))*INDEX(cc_input_bang_xuyen_giap!$B$2:$B$7,MIN(6,MAX(1,IF(INDEX(cc_input_vu_khi_suy_ra!$B$2:$B$12,MATCH($H$29,cc_input_vu_khi_suy_ra!$A$2:$A$12,0)),MAX(1,2-(INDEX(cc_input_vu_khi!$C$2:$C$12,MATCH($H$29,cc_input_vu_khi!$A$2:$A$12,0))-Thap!$K$39)),2-(INDEX(cc_input_vu_khi!$C$2:$C$12,MATCH($H$29,cc_input_vu_khi!$A$2:$A$12,0))-Thap!$K$39))+1)))*INDEX(cc_input_vu_khi_suy_ra!$D$2:$D$12,MATCH($H$29,cc_input_vu_khi_suy_ra!$A$2:$A$12,0))),1),""))</f>
        <v/>
      </c>
      <c r="J29" t="inlineStr">
        <is>
          <t>caesar_155</t>
        </is>
      </c>
      <c r="K29">
        <f>IF($J$29="","",IF(INDEX(cc_input_vu_khi!$B$2:$B$12,MATCH($J$29,cc_input_vu_khi!$A$2:$A$12,0))*INDEX(cc_input_bang_xuyen_giap!$B$2:$B$7,MIN(6,MAX(1,IF(INDEX(cc_input_vu_khi_suy_ra!$B$2:$B$12,MATCH($J$29,cc_input_vu_khi_suy_ra!$A$2:$A$12,0)),MAX(1,2-(INDEX(cc_input_vu_khi!$C$2:$C$12,MATCH($J$29,cc_input_vu_khi!$A$2:$A$12,0))-Thap!$K$39)),2-(INDEX(cc_input_vu_khi!$C$2:$C$12,MATCH($J$29,cc_input_vu_khi!$A$2:$A$12,0))-Thap!$K$39))+1)))*INDEX(cc_input_vu_khi_suy_ra!$D$2:$D$12,MATCH($J$29,cc_input_vu_khi_suy_ra!$A$2:$A$12,0))&gt;0,CEILING(Thap!$J$39/(INDEX(cc_input_vu_khi!$B$2:$B$12,MATCH($J$29,cc_input_vu_khi!$A$2:$A$12,0))*INDEX(cc_input_bang_xuyen_giap!$B$2:$B$7,MIN(6,MAX(1,IF(INDEX(cc_input_vu_khi_suy_ra!$B$2:$B$12,MATCH($J$29,cc_input_vu_khi_suy_ra!$A$2:$A$12,0)),MAX(1,2-(INDEX(cc_input_vu_khi!$C$2:$C$12,MATCH($J$29,cc_input_vu_khi!$A$2:$A$12,0))-Thap!$K$39)),2-(INDEX(cc_input_vu_khi!$C$2:$C$12,MATCH($J$29,cc_input_vu_khi!$A$2:$A$12,0))-Thap!$K$39))+1)))*INDEX(cc_input_vu_khi_suy_ra!$D$2:$D$12,MATCH($J$29,cc_input_vu_khi_suy_ra!$A$2:$A$12,0))),1),""))</f>
        <v/>
      </c>
      <c r="L29" t="inlineStr">
        <is>
          <t>Tools/balance/p32_tower_prices.py Model.price('guard_tower.watch') + threats('Small')</t>
        </is>
      </c>
      <c r="M29" t="inlineStr"/>
    </row>
    <row r="30">
      <c r="A30" t="inlineStr">
        <is>
          <t>gun_turret</t>
        </is>
      </c>
      <c r="B30">
        <f>Thap_gia_cong_thuc!$Q$30</f>
        <v/>
      </c>
      <c r="C30">
        <f>IF(ISNUMBER($B$30),$B$30/Thap!$BN$40,"")</f>
        <v/>
      </c>
      <c r="D30" t="inlineStr">
        <is>
          <t>gun_105_ags</t>
        </is>
      </c>
      <c r="E30">
        <f>IF($D$30="","",IF(INDEX(cc_input_vu_khi!$B$2:$B$12,MATCH($D$30,cc_input_vu_khi!$A$2:$A$12,0))*INDEX(cc_input_bang_xuyen_giap!$B$2:$B$7,MIN(6,MAX(1,IF(INDEX(cc_input_vu_khi_suy_ra!$B$2:$B$12,MATCH($D$30,cc_input_vu_khi_suy_ra!$A$2:$A$12,0)),MAX(1,2-(INDEX(cc_input_vu_khi!$C$2:$C$12,MATCH($D$30,cc_input_vu_khi!$A$2:$A$12,0))-Thap!$K$40)),2-(INDEX(cc_input_vu_khi!$C$2:$C$12,MATCH($D$30,cc_input_vu_khi!$A$2:$A$12,0))-Thap!$K$40))+1)))*INDEX(cc_input_vu_khi_suy_ra!$D$2:$D$12,MATCH($D$30,cc_input_vu_khi_suy_ra!$A$2:$A$12,0))&gt;0,CEILING(Thap!$J$40/(INDEX(cc_input_vu_khi!$B$2:$B$12,MATCH($D$30,cc_input_vu_khi!$A$2:$A$12,0))*INDEX(cc_input_bang_xuyen_giap!$B$2:$B$7,MIN(6,MAX(1,IF(INDEX(cc_input_vu_khi_suy_ra!$B$2:$B$12,MATCH($D$30,cc_input_vu_khi_suy_ra!$A$2:$A$12,0)),MAX(1,2-(INDEX(cc_input_vu_khi!$C$2:$C$12,MATCH($D$30,cc_input_vu_khi!$A$2:$A$12,0))-Thap!$K$40)),2-(INDEX(cc_input_vu_khi!$C$2:$C$12,MATCH($D$30,cc_input_vu_khi!$A$2:$A$12,0))-Thap!$K$40))+1)))*INDEX(cc_input_vu_khi_suy_ra!$D$2:$D$12,MATCH($D$30,cc_input_vu_khi_suy_ra!$A$2:$A$12,0))),1),""))</f>
        <v/>
      </c>
      <c r="F30" t="inlineStr">
        <is>
          <t>gun_105_wheeled_he</t>
        </is>
      </c>
      <c r="G30">
        <f>IF($F$30="","",IF(INDEX(cc_input_vu_khi!$B$2:$B$12,MATCH($F$30,cc_input_vu_khi!$A$2:$A$12,0))*INDEX(cc_input_bang_xuyen_giap!$B$2:$B$7,MIN(6,MAX(1,IF(INDEX(cc_input_vu_khi_suy_ra!$B$2:$B$12,MATCH($F$30,cc_input_vu_khi_suy_ra!$A$2:$A$12,0)),MAX(1,2-(INDEX(cc_input_vu_khi!$C$2:$C$12,MATCH($F$30,cc_input_vu_khi!$A$2:$A$12,0))-Thap!$K$40)),2-(INDEX(cc_input_vu_khi!$C$2:$C$12,MATCH($F$30,cc_input_vu_khi!$A$2:$A$12,0))-Thap!$K$40))+1)))*INDEX(cc_input_vu_khi_suy_ra!$D$2:$D$12,MATCH($F$30,cc_input_vu_khi_suy_ra!$A$2:$A$12,0))&gt;0,CEILING(Thap!$J$40/(INDEX(cc_input_vu_khi!$B$2:$B$12,MATCH($F$30,cc_input_vu_khi!$A$2:$A$12,0))*INDEX(cc_input_bang_xuyen_giap!$B$2:$B$7,MIN(6,MAX(1,IF(INDEX(cc_input_vu_khi_suy_ra!$B$2:$B$12,MATCH($F$30,cc_input_vu_khi_suy_ra!$A$2:$A$12,0)),MAX(1,2-(INDEX(cc_input_vu_khi!$C$2:$C$12,MATCH($F$30,cc_input_vu_khi!$A$2:$A$12,0))-Thap!$K$40)),2-(INDEX(cc_input_vu_khi!$C$2:$C$12,MATCH($F$30,cc_input_vu_khi!$A$2:$A$12,0))-Thap!$K$40))+1)))*INDEX(cc_input_vu_khi_suy_ra!$D$2:$D$12,MATCH($F$30,cc_input_vu_khi_suy_ra!$A$2:$A$12,0))),1),""))</f>
        <v/>
      </c>
      <c r="H30" t="inlineStr">
        <is>
          <t>lancet</t>
        </is>
      </c>
      <c r="I30">
        <f>IF($H$30="","",IF(INDEX(cc_input_vu_khi!$B$2:$B$12,MATCH($H$30,cc_input_vu_khi!$A$2:$A$12,0))*INDEX(cc_input_bang_xuyen_giap!$B$2:$B$7,MIN(6,MAX(1,IF(INDEX(cc_input_vu_khi_suy_ra!$B$2:$B$12,MATCH($H$30,cc_input_vu_khi_suy_ra!$A$2:$A$12,0)),MAX(1,2-(INDEX(cc_input_vu_khi!$C$2:$C$12,MATCH($H$30,cc_input_vu_khi!$A$2:$A$12,0))-Thap!$K$40)),2-(INDEX(cc_input_vu_khi!$C$2:$C$12,MATCH($H$30,cc_input_vu_khi!$A$2:$A$12,0))-Thap!$K$40))+1)))*INDEX(cc_input_vu_khi_suy_ra!$D$2:$D$12,MATCH($H$30,cc_input_vu_khi_suy_ra!$A$2:$A$12,0))&gt;0,CEILING(Thap!$J$40/(INDEX(cc_input_vu_khi!$B$2:$B$12,MATCH($H$30,cc_input_vu_khi!$A$2:$A$12,0))*INDEX(cc_input_bang_xuyen_giap!$B$2:$B$7,MIN(6,MAX(1,IF(INDEX(cc_input_vu_khi_suy_ra!$B$2:$B$12,MATCH($H$30,cc_input_vu_khi_suy_ra!$A$2:$A$12,0)),MAX(1,2-(INDEX(cc_input_vu_khi!$C$2:$C$12,MATCH($H$30,cc_input_vu_khi!$A$2:$A$12,0))-Thap!$K$40)),2-(INDEX(cc_input_vu_khi!$C$2:$C$12,MATCH($H$30,cc_input_vu_khi!$A$2:$A$12,0))-Thap!$K$40))+1)))*INDEX(cc_input_vu_khi_suy_ra!$D$2:$D$12,MATCH($H$30,cc_input_vu_khi_suy_ra!$A$2:$A$12,0))),1),""))</f>
        <v/>
      </c>
      <c r="J30" t="inlineStr">
        <is>
          <t>mlrs_rockets</t>
        </is>
      </c>
      <c r="K30">
        <f>IF($J$30="","",IF(INDEX(cc_input_vu_khi!$B$2:$B$12,MATCH($J$30,cc_input_vu_khi!$A$2:$A$12,0))*INDEX(cc_input_bang_xuyen_giap!$B$2:$B$7,MIN(6,MAX(1,IF(INDEX(cc_input_vu_khi_suy_ra!$B$2:$B$12,MATCH($J$30,cc_input_vu_khi_suy_ra!$A$2:$A$12,0)),MAX(1,2-(INDEX(cc_input_vu_khi!$C$2:$C$12,MATCH($J$30,cc_input_vu_khi!$A$2:$A$12,0))-Thap!$K$40)),2-(INDEX(cc_input_vu_khi!$C$2:$C$12,MATCH($J$30,cc_input_vu_khi!$A$2:$A$12,0))-Thap!$K$40))+1)))*INDEX(cc_input_vu_khi_suy_ra!$D$2:$D$12,MATCH($J$30,cc_input_vu_khi_suy_ra!$A$2:$A$12,0))&gt;0,CEILING(Thap!$J$40/(INDEX(cc_input_vu_khi!$B$2:$B$12,MATCH($J$30,cc_input_vu_khi!$A$2:$A$12,0))*INDEX(cc_input_bang_xuyen_giap!$B$2:$B$7,MIN(6,MAX(1,IF(INDEX(cc_input_vu_khi_suy_ra!$B$2:$B$12,MATCH($J$30,cc_input_vu_khi_suy_ra!$A$2:$A$12,0)),MAX(1,2-(INDEX(cc_input_vu_khi!$C$2:$C$12,MATCH($J$30,cc_input_vu_khi!$A$2:$A$12,0))-Thap!$K$40)),2-(INDEX(cc_input_vu_khi!$C$2:$C$12,MATCH($J$30,cc_input_vu_khi!$A$2:$A$12,0))-Thap!$K$40))+1)))*INDEX(cc_input_vu_khi_suy_ra!$D$2:$D$12,MATCH($J$30,cc_input_vu_khi_suy_ra!$A$2:$A$12,0))),1),""))</f>
        <v/>
      </c>
      <c r="L30" t="inlineStr">
        <is>
          <t>Tools/balance/p32_tower_prices.py Model.price('gun_turret') + threats('Medium')</t>
        </is>
      </c>
      <c r="M30" t="inlineStr"/>
    </row>
    <row r="31">
      <c r="A31" t="inlineStr">
        <is>
          <t>gun_turret.auto</t>
        </is>
      </c>
      <c r="B31">
        <f>Thap_gia_cong_thuc!$Q$31</f>
        <v/>
      </c>
      <c r="C31">
        <f>IF(ISNUMBER($B$31),$B$31/Thap!$BN$41,"")</f>
        <v/>
      </c>
      <c r="D31" t="inlineStr">
        <is>
          <t>gun_105_ags</t>
        </is>
      </c>
      <c r="E31">
        <f>IF($D$31="","",IF(INDEX(cc_input_vu_khi!$B$2:$B$12,MATCH($D$31,cc_input_vu_khi!$A$2:$A$12,0))*INDEX(cc_input_bang_xuyen_giap!$B$2:$B$7,MIN(6,MAX(1,IF(INDEX(cc_input_vu_khi_suy_ra!$B$2:$B$12,MATCH($D$31,cc_input_vu_khi_suy_ra!$A$2:$A$12,0)),MAX(1,2-(INDEX(cc_input_vu_khi!$C$2:$C$12,MATCH($D$31,cc_input_vu_khi!$A$2:$A$12,0))-Thap!$K$41)),2-(INDEX(cc_input_vu_khi!$C$2:$C$12,MATCH($D$31,cc_input_vu_khi!$A$2:$A$12,0))-Thap!$K$41))+1)))*INDEX(cc_input_vu_khi_suy_ra!$D$2:$D$12,MATCH($D$31,cc_input_vu_khi_suy_ra!$A$2:$A$12,0))&gt;0,CEILING(Thap!$J$41/(INDEX(cc_input_vu_khi!$B$2:$B$12,MATCH($D$31,cc_input_vu_khi!$A$2:$A$12,0))*INDEX(cc_input_bang_xuyen_giap!$B$2:$B$7,MIN(6,MAX(1,IF(INDEX(cc_input_vu_khi_suy_ra!$B$2:$B$12,MATCH($D$31,cc_input_vu_khi_suy_ra!$A$2:$A$12,0)),MAX(1,2-(INDEX(cc_input_vu_khi!$C$2:$C$12,MATCH($D$31,cc_input_vu_khi!$A$2:$A$12,0))-Thap!$K$41)),2-(INDEX(cc_input_vu_khi!$C$2:$C$12,MATCH($D$31,cc_input_vu_khi!$A$2:$A$12,0))-Thap!$K$41))+1)))*INDEX(cc_input_vu_khi_suy_ra!$D$2:$D$12,MATCH($D$31,cc_input_vu_khi_suy_ra!$A$2:$A$12,0))),1),""))</f>
        <v/>
      </c>
      <c r="F31" t="inlineStr">
        <is>
          <t>gun_105_wheeled_he</t>
        </is>
      </c>
      <c r="G31">
        <f>IF($F$31="","",IF(INDEX(cc_input_vu_khi!$B$2:$B$12,MATCH($F$31,cc_input_vu_khi!$A$2:$A$12,0))*INDEX(cc_input_bang_xuyen_giap!$B$2:$B$7,MIN(6,MAX(1,IF(INDEX(cc_input_vu_khi_suy_ra!$B$2:$B$12,MATCH($F$31,cc_input_vu_khi_suy_ra!$A$2:$A$12,0)),MAX(1,2-(INDEX(cc_input_vu_khi!$C$2:$C$12,MATCH($F$31,cc_input_vu_khi!$A$2:$A$12,0))-Thap!$K$41)),2-(INDEX(cc_input_vu_khi!$C$2:$C$12,MATCH($F$31,cc_input_vu_khi!$A$2:$A$12,0))-Thap!$K$41))+1)))*INDEX(cc_input_vu_khi_suy_ra!$D$2:$D$12,MATCH($F$31,cc_input_vu_khi_suy_ra!$A$2:$A$12,0))&gt;0,CEILING(Thap!$J$41/(INDEX(cc_input_vu_khi!$B$2:$B$12,MATCH($F$31,cc_input_vu_khi!$A$2:$A$12,0))*INDEX(cc_input_bang_xuyen_giap!$B$2:$B$7,MIN(6,MAX(1,IF(INDEX(cc_input_vu_khi_suy_ra!$B$2:$B$12,MATCH($F$31,cc_input_vu_khi_suy_ra!$A$2:$A$12,0)),MAX(1,2-(INDEX(cc_input_vu_khi!$C$2:$C$12,MATCH($F$31,cc_input_vu_khi!$A$2:$A$12,0))-Thap!$K$41)),2-(INDEX(cc_input_vu_khi!$C$2:$C$12,MATCH($F$31,cc_input_vu_khi!$A$2:$A$12,0))-Thap!$K$41))+1)))*INDEX(cc_input_vu_khi_suy_ra!$D$2:$D$12,MATCH($F$31,cc_input_vu_khi_suy_ra!$A$2:$A$12,0))),1),""))</f>
        <v/>
      </c>
      <c r="H31" t="inlineStr">
        <is>
          <t>lancet</t>
        </is>
      </c>
      <c r="I31">
        <f>IF($H$31="","",IF(INDEX(cc_input_vu_khi!$B$2:$B$12,MATCH($H$31,cc_input_vu_khi!$A$2:$A$12,0))*INDEX(cc_input_bang_xuyen_giap!$B$2:$B$7,MIN(6,MAX(1,IF(INDEX(cc_input_vu_khi_suy_ra!$B$2:$B$12,MATCH($H$31,cc_input_vu_khi_suy_ra!$A$2:$A$12,0)),MAX(1,2-(INDEX(cc_input_vu_khi!$C$2:$C$12,MATCH($H$31,cc_input_vu_khi!$A$2:$A$12,0))-Thap!$K$41)),2-(INDEX(cc_input_vu_khi!$C$2:$C$12,MATCH($H$31,cc_input_vu_khi!$A$2:$A$12,0))-Thap!$K$41))+1)))*INDEX(cc_input_vu_khi_suy_ra!$D$2:$D$12,MATCH($H$31,cc_input_vu_khi_suy_ra!$A$2:$A$12,0))&gt;0,CEILING(Thap!$J$41/(INDEX(cc_input_vu_khi!$B$2:$B$12,MATCH($H$31,cc_input_vu_khi!$A$2:$A$12,0))*INDEX(cc_input_bang_xuyen_giap!$B$2:$B$7,MIN(6,MAX(1,IF(INDEX(cc_input_vu_khi_suy_ra!$B$2:$B$12,MATCH($H$31,cc_input_vu_khi_suy_ra!$A$2:$A$12,0)),MAX(1,2-(INDEX(cc_input_vu_khi!$C$2:$C$12,MATCH($H$31,cc_input_vu_khi!$A$2:$A$12,0))-Thap!$K$41)),2-(INDEX(cc_input_vu_khi!$C$2:$C$12,MATCH($H$31,cc_input_vu_khi!$A$2:$A$12,0))-Thap!$K$41))+1)))*INDEX(cc_input_vu_khi_suy_ra!$D$2:$D$12,MATCH($H$31,cc_input_vu_khi_suy_ra!$A$2:$A$12,0))),1),""))</f>
        <v/>
      </c>
      <c r="J31" t="inlineStr">
        <is>
          <t>mlrs_rockets</t>
        </is>
      </c>
      <c r="K31">
        <f>IF($J$31="","",IF(INDEX(cc_input_vu_khi!$B$2:$B$12,MATCH($J$31,cc_input_vu_khi!$A$2:$A$12,0))*INDEX(cc_input_bang_xuyen_giap!$B$2:$B$7,MIN(6,MAX(1,IF(INDEX(cc_input_vu_khi_suy_ra!$B$2:$B$12,MATCH($J$31,cc_input_vu_khi_suy_ra!$A$2:$A$12,0)),MAX(1,2-(INDEX(cc_input_vu_khi!$C$2:$C$12,MATCH($J$31,cc_input_vu_khi!$A$2:$A$12,0))-Thap!$K$41)),2-(INDEX(cc_input_vu_khi!$C$2:$C$12,MATCH($J$31,cc_input_vu_khi!$A$2:$A$12,0))-Thap!$K$41))+1)))*INDEX(cc_input_vu_khi_suy_ra!$D$2:$D$12,MATCH($J$31,cc_input_vu_khi_suy_ra!$A$2:$A$12,0))&gt;0,CEILING(Thap!$J$41/(INDEX(cc_input_vu_khi!$B$2:$B$12,MATCH($J$31,cc_input_vu_khi!$A$2:$A$12,0))*INDEX(cc_input_bang_xuyen_giap!$B$2:$B$7,MIN(6,MAX(1,IF(INDEX(cc_input_vu_khi_suy_ra!$B$2:$B$12,MATCH($J$31,cc_input_vu_khi_suy_ra!$A$2:$A$12,0)),MAX(1,2-(INDEX(cc_input_vu_khi!$C$2:$C$12,MATCH($J$31,cc_input_vu_khi!$A$2:$A$12,0))-Thap!$K$41)),2-(INDEX(cc_input_vu_khi!$C$2:$C$12,MATCH($J$31,cc_input_vu_khi!$A$2:$A$12,0))-Thap!$K$41))+1)))*INDEX(cc_input_vu_khi_suy_ra!$D$2:$D$12,MATCH($J$31,cc_input_vu_khi_suy_ra!$A$2:$A$12,0))),1),""))</f>
        <v/>
      </c>
      <c r="L31" t="inlineStr">
        <is>
          <t>Tools/balance/p32_tower_prices.py Model.price('gun_turret.auto') + threats('Medium')</t>
        </is>
      </c>
      <c r="M31" t="inlineStr"/>
    </row>
    <row r="32">
      <c r="A32" t="inlineStr">
        <is>
          <t>gun_turret.long</t>
        </is>
      </c>
      <c r="B32">
        <f>Thap_gia_cong_thuc!$Q$32</f>
        <v/>
      </c>
      <c r="C32">
        <f>IF(ISNUMBER($B$32),$B$32/Thap!$BN$42,"")</f>
        <v/>
      </c>
      <c r="D32" t="inlineStr">
        <is>
          <t>gun_105_ags</t>
        </is>
      </c>
      <c r="E32">
        <f>IF($D$32="","",IF(INDEX(cc_input_vu_khi!$B$2:$B$12,MATCH($D$32,cc_input_vu_khi!$A$2:$A$12,0))*INDEX(cc_input_bang_xuyen_giap!$B$2:$B$7,MIN(6,MAX(1,IF(INDEX(cc_input_vu_khi_suy_ra!$B$2:$B$12,MATCH($D$32,cc_input_vu_khi_suy_ra!$A$2:$A$12,0)),MAX(1,2-(INDEX(cc_input_vu_khi!$C$2:$C$12,MATCH($D$32,cc_input_vu_khi!$A$2:$A$12,0))-Thap!$K$42)),2-(INDEX(cc_input_vu_khi!$C$2:$C$12,MATCH($D$32,cc_input_vu_khi!$A$2:$A$12,0))-Thap!$K$42))+1)))*INDEX(cc_input_vu_khi_suy_ra!$D$2:$D$12,MATCH($D$32,cc_input_vu_khi_suy_ra!$A$2:$A$12,0))&gt;0,CEILING(Thap!$J$42/(INDEX(cc_input_vu_khi!$B$2:$B$12,MATCH($D$32,cc_input_vu_khi!$A$2:$A$12,0))*INDEX(cc_input_bang_xuyen_giap!$B$2:$B$7,MIN(6,MAX(1,IF(INDEX(cc_input_vu_khi_suy_ra!$B$2:$B$12,MATCH($D$32,cc_input_vu_khi_suy_ra!$A$2:$A$12,0)),MAX(1,2-(INDEX(cc_input_vu_khi!$C$2:$C$12,MATCH($D$32,cc_input_vu_khi!$A$2:$A$12,0))-Thap!$K$42)),2-(INDEX(cc_input_vu_khi!$C$2:$C$12,MATCH($D$32,cc_input_vu_khi!$A$2:$A$12,0))-Thap!$K$42))+1)))*INDEX(cc_input_vu_khi_suy_ra!$D$2:$D$12,MATCH($D$32,cc_input_vu_khi_suy_ra!$A$2:$A$12,0))),1),""))</f>
        <v/>
      </c>
      <c r="F32" t="inlineStr">
        <is>
          <t>gun_105_wheeled_he</t>
        </is>
      </c>
      <c r="G32">
        <f>IF($F$32="","",IF(INDEX(cc_input_vu_khi!$B$2:$B$12,MATCH($F$32,cc_input_vu_khi!$A$2:$A$12,0))*INDEX(cc_input_bang_xuyen_giap!$B$2:$B$7,MIN(6,MAX(1,IF(INDEX(cc_input_vu_khi_suy_ra!$B$2:$B$12,MATCH($F$32,cc_input_vu_khi_suy_ra!$A$2:$A$12,0)),MAX(1,2-(INDEX(cc_input_vu_khi!$C$2:$C$12,MATCH($F$32,cc_input_vu_khi!$A$2:$A$12,0))-Thap!$K$42)),2-(INDEX(cc_input_vu_khi!$C$2:$C$12,MATCH($F$32,cc_input_vu_khi!$A$2:$A$12,0))-Thap!$K$42))+1)))*INDEX(cc_input_vu_khi_suy_ra!$D$2:$D$12,MATCH($F$32,cc_input_vu_khi_suy_ra!$A$2:$A$12,0))&gt;0,CEILING(Thap!$J$42/(INDEX(cc_input_vu_khi!$B$2:$B$12,MATCH($F$32,cc_input_vu_khi!$A$2:$A$12,0))*INDEX(cc_input_bang_xuyen_giap!$B$2:$B$7,MIN(6,MAX(1,IF(INDEX(cc_input_vu_khi_suy_ra!$B$2:$B$12,MATCH($F$32,cc_input_vu_khi_suy_ra!$A$2:$A$12,0)),MAX(1,2-(INDEX(cc_input_vu_khi!$C$2:$C$12,MATCH($F$32,cc_input_vu_khi!$A$2:$A$12,0))-Thap!$K$42)),2-(INDEX(cc_input_vu_khi!$C$2:$C$12,MATCH($F$32,cc_input_vu_khi!$A$2:$A$12,0))-Thap!$K$42))+1)))*INDEX(cc_input_vu_khi_suy_ra!$D$2:$D$12,MATCH($F$32,cc_input_vu_khi_suy_ra!$A$2:$A$12,0))),1),""))</f>
        <v/>
      </c>
      <c r="H32" t="inlineStr">
        <is>
          <t>lancet</t>
        </is>
      </c>
      <c r="I32">
        <f>IF($H$32="","",IF(INDEX(cc_input_vu_khi!$B$2:$B$12,MATCH($H$32,cc_input_vu_khi!$A$2:$A$12,0))*INDEX(cc_input_bang_xuyen_giap!$B$2:$B$7,MIN(6,MAX(1,IF(INDEX(cc_input_vu_khi_suy_ra!$B$2:$B$12,MATCH($H$32,cc_input_vu_khi_suy_ra!$A$2:$A$12,0)),MAX(1,2-(INDEX(cc_input_vu_khi!$C$2:$C$12,MATCH($H$32,cc_input_vu_khi!$A$2:$A$12,0))-Thap!$K$42)),2-(INDEX(cc_input_vu_khi!$C$2:$C$12,MATCH($H$32,cc_input_vu_khi!$A$2:$A$12,0))-Thap!$K$42))+1)))*INDEX(cc_input_vu_khi_suy_ra!$D$2:$D$12,MATCH($H$32,cc_input_vu_khi_suy_ra!$A$2:$A$12,0))&gt;0,CEILING(Thap!$J$42/(INDEX(cc_input_vu_khi!$B$2:$B$12,MATCH($H$32,cc_input_vu_khi!$A$2:$A$12,0))*INDEX(cc_input_bang_xuyen_giap!$B$2:$B$7,MIN(6,MAX(1,IF(INDEX(cc_input_vu_khi_suy_ra!$B$2:$B$12,MATCH($H$32,cc_input_vu_khi_suy_ra!$A$2:$A$12,0)),MAX(1,2-(INDEX(cc_input_vu_khi!$C$2:$C$12,MATCH($H$32,cc_input_vu_khi!$A$2:$A$12,0))-Thap!$K$42)),2-(INDEX(cc_input_vu_khi!$C$2:$C$12,MATCH($H$32,cc_input_vu_khi!$A$2:$A$12,0))-Thap!$K$42))+1)))*INDEX(cc_input_vu_khi_suy_ra!$D$2:$D$12,MATCH($H$32,cc_input_vu_khi_suy_ra!$A$2:$A$12,0))),1),""))</f>
        <v/>
      </c>
      <c r="J32" t="inlineStr">
        <is>
          <t>mlrs_rockets</t>
        </is>
      </c>
      <c r="K32">
        <f>IF($J$32="","",IF(INDEX(cc_input_vu_khi!$B$2:$B$12,MATCH($J$32,cc_input_vu_khi!$A$2:$A$12,0))*INDEX(cc_input_bang_xuyen_giap!$B$2:$B$7,MIN(6,MAX(1,IF(INDEX(cc_input_vu_khi_suy_ra!$B$2:$B$12,MATCH($J$32,cc_input_vu_khi_suy_ra!$A$2:$A$12,0)),MAX(1,2-(INDEX(cc_input_vu_khi!$C$2:$C$12,MATCH($J$32,cc_input_vu_khi!$A$2:$A$12,0))-Thap!$K$42)),2-(INDEX(cc_input_vu_khi!$C$2:$C$12,MATCH($J$32,cc_input_vu_khi!$A$2:$A$12,0))-Thap!$K$42))+1)))*INDEX(cc_input_vu_khi_suy_ra!$D$2:$D$12,MATCH($J$32,cc_input_vu_khi_suy_ra!$A$2:$A$12,0))&gt;0,CEILING(Thap!$J$42/(INDEX(cc_input_vu_khi!$B$2:$B$12,MATCH($J$32,cc_input_vu_khi!$A$2:$A$12,0))*INDEX(cc_input_bang_xuyen_giap!$B$2:$B$7,MIN(6,MAX(1,IF(INDEX(cc_input_vu_khi_suy_ra!$B$2:$B$12,MATCH($J$32,cc_input_vu_khi_suy_ra!$A$2:$A$12,0)),MAX(1,2-(INDEX(cc_input_vu_khi!$C$2:$C$12,MATCH($J$32,cc_input_vu_khi!$A$2:$A$12,0))-Thap!$K$42)),2-(INDEX(cc_input_vu_khi!$C$2:$C$12,MATCH($J$32,cc_input_vu_khi!$A$2:$A$12,0))-Thap!$K$42))+1)))*INDEX(cc_input_vu_khi_suy_ra!$D$2:$D$12,MATCH($J$32,cc_input_vu_khi_suy_ra!$A$2:$A$12,0))),1),""))</f>
        <v/>
      </c>
      <c r="L32" t="inlineStr">
        <is>
          <t>Tools/balance/p32_tower_prices.py Model.price('gun_turret.long') + threats('Medium')</t>
        </is>
      </c>
      <c r="M32" t="inlineStr"/>
    </row>
    <row r="33">
      <c r="A33" t="inlineStr">
        <is>
          <t>heavy_flak_tower</t>
        </is>
      </c>
      <c r="B33">
        <f>Thap_gia_cong_thuc!$Q$33</f>
        <v/>
      </c>
      <c r="C33">
        <f>IF(ISNUMBER($B$33),$B$33/Thap!$BN$43,"")</f>
        <v/>
      </c>
      <c r="D33" t="inlineStr">
        <is>
          <t>gun_105_ags</t>
        </is>
      </c>
      <c r="E33">
        <f>IF($D$33="","",IF(INDEX(cc_input_vu_khi!$B$2:$B$12,MATCH($D$33,cc_input_vu_khi!$A$2:$A$12,0))*INDEX(cc_input_bang_xuyen_giap!$B$2:$B$7,MIN(6,MAX(1,IF(INDEX(cc_input_vu_khi_suy_ra!$B$2:$B$12,MATCH($D$33,cc_input_vu_khi_suy_ra!$A$2:$A$12,0)),MAX(1,2-(INDEX(cc_input_vu_khi!$C$2:$C$12,MATCH($D$33,cc_input_vu_khi!$A$2:$A$12,0))-Thap!$K$43)),2-(INDEX(cc_input_vu_khi!$C$2:$C$12,MATCH($D$33,cc_input_vu_khi!$A$2:$A$12,0))-Thap!$K$43))+1)))*INDEX(cc_input_vu_khi_suy_ra!$D$2:$D$12,MATCH($D$33,cc_input_vu_khi_suy_ra!$A$2:$A$12,0))&gt;0,CEILING(Thap!$J$43/(INDEX(cc_input_vu_khi!$B$2:$B$12,MATCH($D$33,cc_input_vu_khi!$A$2:$A$12,0))*INDEX(cc_input_bang_xuyen_giap!$B$2:$B$7,MIN(6,MAX(1,IF(INDEX(cc_input_vu_khi_suy_ra!$B$2:$B$12,MATCH($D$33,cc_input_vu_khi_suy_ra!$A$2:$A$12,0)),MAX(1,2-(INDEX(cc_input_vu_khi!$C$2:$C$12,MATCH($D$33,cc_input_vu_khi!$A$2:$A$12,0))-Thap!$K$43)),2-(INDEX(cc_input_vu_khi!$C$2:$C$12,MATCH($D$33,cc_input_vu_khi!$A$2:$A$12,0))-Thap!$K$43))+1)))*INDEX(cc_input_vu_khi_suy_ra!$D$2:$D$12,MATCH($D$33,cc_input_vu_khi_suy_ra!$A$2:$A$12,0))),1),""))</f>
        <v/>
      </c>
      <c r="F33" t="inlineStr">
        <is>
          <t>gun_105_wheeled_he</t>
        </is>
      </c>
      <c r="G33">
        <f>IF($F$33="","",IF(INDEX(cc_input_vu_khi!$B$2:$B$12,MATCH($F$33,cc_input_vu_khi!$A$2:$A$12,0))*INDEX(cc_input_bang_xuyen_giap!$B$2:$B$7,MIN(6,MAX(1,IF(INDEX(cc_input_vu_khi_suy_ra!$B$2:$B$12,MATCH($F$33,cc_input_vu_khi_suy_ra!$A$2:$A$12,0)),MAX(1,2-(INDEX(cc_input_vu_khi!$C$2:$C$12,MATCH($F$33,cc_input_vu_khi!$A$2:$A$12,0))-Thap!$K$43)),2-(INDEX(cc_input_vu_khi!$C$2:$C$12,MATCH($F$33,cc_input_vu_khi!$A$2:$A$12,0))-Thap!$K$43))+1)))*INDEX(cc_input_vu_khi_suy_ra!$D$2:$D$12,MATCH($F$33,cc_input_vu_khi_suy_ra!$A$2:$A$12,0))&gt;0,CEILING(Thap!$J$43/(INDEX(cc_input_vu_khi!$B$2:$B$12,MATCH($F$33,cc_input_vu_khi!$A$2:$A$12,0))*INDEX(cc_input_bang_xuyen_giap!$B$2:$B$7,MIN(6,MAX(1,IF(INDEX(cc_input_vu_khi_suy_ra!$B$2:$B$12,MATCH($F$33,cc_input_vu_khi_suy_ra!$A$2:$A$12,0)),MAX(1,2-(INDEX(cc_input_vu_khi!$C$2:$C$12,MATCH($F$33,cc_input_vu_khi!$A$2:$A$12,0))-Thap!$K$43)),2-(INDEX(cc_input_vu_khi!$C$2:$C$12,MATCH($F$33,cc_input_vu_khi!$A$2:$A$12,0))-Thap!$K$43))+1)))*INDEX(cc_input_vu_khi_suy_ra!$D$2:$D$12,MATCH($F$33,cc_input_vu_khi_suy_ra!$A$2:$A$12,0))),1),""))</f>
        <v/>
      </c>
      <c r="H33" t="inlineStr">
        <is>
          <t>lancet</t>
        </is>
      </c>
      <c r="I33">
        <f>IF($H$33="","",IF(INDEX(cc_input_vu_khi!$B$2:$B$12,MATCH($H$33,cc_input_vu_khi!$A$2:$A$12,0))*INDEX(cc_input_bang_xuyen_giap!$B$2:$B$7,MIN(6,MAX(1,IF(INDEX(cc_input_vu_khi_suy_ra!$B$2:$B$12,MATCH($H$33,cc_input_vu_khi_suy_ra!$A$2:$A$12,0)),MAX(1,2-(INDEX(cc_input_vu_khi!$C$2:$C$12,MATCH($H$33,cc_input_vu_khi!$A$2:$A$12,0))-Thap!$K$43)),2-(INDEX(cc_input_vu_khi!$C$2:$C$12,MATCH($H$33,cc_input_vu_khi!$A$2:$A$12,0))-Thap!$K$43))+1)))*INDEX(cc_input_vu_khi_suy_ra!$D$2:$D$12,MATCH($H$33,cc_input_vu_khi_suy_ra!$A$2:$A$12,0))&gt;0,CEILING(Thap!$J$43/(INDEX(cc_input_vu_khi!$B$2:$B$12,MATCH($H$33,cc_input_vu_khi!$A$2:$A$12,0))*INDEX(cc_input_bang_xuyen_giap!$B$2:$B$7,MIN(6,MAX(1,IF(INDEX(cc_input_vu_khi_suy_ra!$B$2:$B$12,MATCH($H$33,cc_input_vu_khi_suy_ra!$A$2:$A$12,0)),MAX(1,2-(INDEX(cc_input_vu_khi!$C$2:$C$12,MATCH($H$33,cc_input_vu_khi!$A$2:$A$12,0))-Thap!$K$43)),2-(INDEX(cc_input_vu_khi!$C$2:$C$12,MATCH($H$33,cc_input_vu_khi!$A$2:$A$12,0))-Thap!$K$43))+1)))*INDEX(cc_input_vu_khi_suy_ra!$D$2:$D$12,MATCH($H$33,cc_input_vu_khi_suy_ra!$A$2:$A$12,0))),1),""))</f>
        <v/>
      </c>
      <c r="J33" t="inlineStr">
        <is>
          <t>mlrs_rockets</t>
        </is>
      </c>
      <c r="K33">
        <f>IF($J$33="","",IF(INDEX(cc_input_vu_khi!$B$2:$B$12,MATCH($J$33,cc_input_vu_khi!$A$2:$A$12,0))*INDEX(cc_input_bang_xuyen_giap!$B$2:$B$7,MIN(6,MAX(1,IF(INDEX(cc_input_vu_khi_suy_ra!$B$2:$B$12,MATCH($J$33,cc_input_vu_khi_suy_ra!$A$2:$A$12,0)),MAX(1,2-(INDEX(cc_input_vu_khi!$C$2:$C$12,MATCH($J$33,cc_input_vu_khi!$A$2:$A$12,0))-Thap!$K$43)),2-(INDEX(cc_input_vu_khi!$C$2:$C$12,MATCH($J$33,cc_input_vu_khi!$A$2:$A$12,0))-Thap!$K$43))+1)))*INDEX(cc_input_vu_khi_suy_ra!$D$2:$D$12,MATCH($J$33,cc_input_vu_khi_suy_ra!$A$2:$A$12,0))&gt;0,CEILING(Thap!$J$43/(INDEX(cc_input_vu_khi!$B$2:$B$12,MATCH($J$33,cc_input_vu_khi!$A$2:$A$12,0))*INDEX(cc_input_bang_xuyen_giap!$B$2:$B$7,MIN(6,MAX(1,IF(INDEX(cc_input_vu_khi_suy_ra!$B$2:$B$12,MATCH($J$33,cc_input_vu_khi_suy_ra!$A$2:$A$12,0)),MAX(1,2-(INDEX(cc_input_vu_khi!$C$2:$C$12,MATCH($J$33,cc_input_vu_khi!$A$2:$A$12,0))-Thap!$K$43)),2-(INDEX(cc_input_vu_khi!$C$2:$C$12,MATCH($J$33,cc_input_vu_khi!$A$2:$A$12,0))-Thap!$K$43))+1)))*INDEX(cc_input_vu_khi_suy_ra!$D$2:$D$12,MATCH($J$33,cc_input_vu_khi_suy_ra!$A$2:$A$12,0))),1),""))</f>
        <v/>
      </c>
      <c r="L33" t="inlineStr">
        <is>
          <t>Tools/balance/p32_tower_prices.py Model.price('heavy_flak_tower') + threats('Medium')</t>
        </is>
      </c>
      <c r="M33" t="inlineStr"/>
    </row>
    <row r="34">
      <c r="A34" t="inlineStr">
        <is>
          <t>heavy_flak_tower.bofors</t>
        </is>
      </c>
      <c r="B34">
        <f>Thap_gia_cong_thuc!$Q$34</f>
        <v/>
      </c>
      <c r="C34">
        <f>IF(ISNUMBER($B$34),$B$34/Thap!$BN$44,"")</f>
        <v/>
      </c>
      <c r="D34" t="inlineStr">
        <is>
          <t>gun_105_ags</t>
        </is>
      </c>
      <c r="E34">
        <f>IF($D$34="","",IF(INDEX(cc_input_vu_khi!$B$2:$B$12,MATCH($D$34,cc_input_vu_khi!$A$2:$A$12,0))*INDEX(cc_input_bang_xuyen_giap!$B$2:$B$7,MIN(6,MAX(1,IF(INDEX(cc_input_vu_khi_suy_ra!$B$2:$B$12,MATCH($D$34,cc_input_vu_khi_suy_ra!$A$2:$A$12,0)),MAX(1,2-(INDEX(cc_input_vu_khi!$C$2:$C$12,MATCH($D$34,cc_input_vu_khi!$A$2:$A$12,0))-Thap!$K$44)),2-(INDEX(cc_input_vu_khi!$C$2:$C$12,MATCH($D$34,cc_input_vu_khi!$A$2:$A$12,0))-Thap!$K$44))+1)))*INDEX(cc_input_vu_khi_suy_ra!$D$2:$D$12,MATCH($D$34,cc_input_vu_khi_suy_ra!$A$2:$A$12,0))&gt;0,CEILING(Thap!$J$44/(INDEX(cc_input_vu_khi!$B$2:$B$12,MATCH($D$34,cc_input_vu_khi!$A$2:$A$12,0))*INDEX(cc_input_bang_xuyen_giap!$B$2:$B$7,MIN(6,MAX(1,IF(INDEX(cc_input_vu_khi_suy_ra!$B$2:$B$12,MATCH($D$34,cc_input_vu_khi_suy_ra!$A$2:$A$12,0)),MAX(1,2-(INDEX(cc_input_vu_khi!$C$2:$C$12,MATCH($D$34,cc_input_vu_khi!$A$2:$A$12,0))-Thap!$K$44)),2-(INDEX(cc_input_vu_khi!$C$2:$C$12,MATCH($D$34,cc_input_vu_khi!$A$2:$A$12,0))-Thap!$K$44))+1)))*INDEX(cc_input_vu_khi_suy_ra!$D$2:$D$12,MATCH($D$34,cc_input_vu_khi_suy_ra!$A$2:$A$12,0))),1),""))</f>
        <v/>
      </c>
      <c r="F34" t="inlineStr">
        <is>
          <t>gun_105_wheeled_he</t>
        </is>
      </c>
      <c r="G34">
        <f>IF($F$34="","",IF(INDEX(cc_input_vu_khi!$B$2:$B$12,MATCH($F$34,cc_input_vu_khi!$A$2:$A$12,0))*INDEX(cc_input_bang_xuyen_giap!$B$2:$B$7,MIN(6,MAX(1,IF(INDEX(cc_input_vu_khi_suy_ra!$B$2:$B$12,MATCH($F$34,cc_input_vu_khi_suy_ra!$A$2:$A$12,0)),MAX(1,2-(INDEX(cc_input_vu_khi!$C$2:$C$12,MATCH($F$34,cc_input_vu_khi!$A$2:$A$12,0))-Thap!$K$44)),2-(INDEX(cc_input_vu_khi!$C$2:$C$12,MATCH($F$34,cc_input_vu_khi!$A$2:$A$12,0))-Thap!$K$44))+1)))*INDEX(cc_input_vu_khi_suy_ra!$D$2:$D$12,MATCH($F$34,cc_input_vu_khi_suy_ra!$A$2:$A$12,0))&gt;0,CEILING(Thap!$J$44/(INDEX(cc_input_vu_khi!$B$2:$B$12,MATCH($F$34,cc_input_vu_khi!$A$2:$A$12,0))*INDEX(cc_input_bang_xuyen_giap!$B$2:$B$7,MIN(6,MAX(1,IF(INDEX(cc_input_vu_khi_suy_ra!$B$2:$B$12,MATCH($F$34,cc_input_vu_khi_suy_ra!$A$2:$A$12,0)),MAX(1,2-(INDEX(cc_input_vu_khi!$C$2:$C$12,MATCH($F$34,cc_input_vu_khi!$A$2:$A$12,0))-Thap!$K$44)),2-(INDEX(cc_input_vu_khi!$C$2:$C$12,MATCH($F$34,cc_input_vu_khi!$A$2:$A$12,0))-Thap!$K$44))+1)))*INDEX(cc_input_vu_khi_suy_ra!$D$2:$D$12,MATCH($F$34,cc_input_vu_khi_suy_ra!$A$2:$A$12,0))),1),""))</f>
        <v/>
      </c>
      <c r="H34" t="inlineStr">
        <is>
          <t>lancet</t>
        </is>
      </c>
      <c r="I34">
        <f>IF($H$34="","",IF(INDEX(cc_input_vu_khi!$B$2:$B$12,MATCH($H$34,cc_input_vu_khi!$A$2:$A$12,0))*INDEX(cc_input_bang_xuyen_giap!$B$2:$B$7,MIN(6,MAX(1,IF(INDEX(cc_input_vu_khi_suy_ra!$B$2:$B$12,MATCH($H$34,cc_input_vu_khi_suy_ra!$A$2:$A$12,0)),MAX(1,2-(INDEX(cc_input_vu_khi!$C$2:$C$12,MATCH($H$34,cc_input_vu_khi!$A$2:$A$12,0))-Thap!$K$44)),2-(INDEX(cc_input_vu_khi!$C$2:$C$12,MATCH($H$34,cc_input_vu_khi!$A$2:$A$12,0))-Thap!$K$44))+1)))*INDEX(cc_input_vu_khi_suy_ra!$D$2:$D$12,MATCH($H$34,cc_input_vu_khi_suy_ra!$A$2:$A$12,0))&gt;0,CEILING(Thap!$J$44/(INDEX(cc_input_vu_khi!$B$2:$B$12,MATCH($H$34,cc_input_vu_khi!$A$2:$A$12,0))*INDEX(cc_input_bang_xuyen_giap!$B$2:$B$7,MIN(6,MAX(1,IF(INDEX(cc_input_vu_khi_suy_ra!$B$2:$B$12,MATCH($H$34,cc_input_vu_khi_suy_ra!$A$2:$A$12,0)),MAX(1,2-(INDEX(cc_input_vu_khi!$C$2:$C$12,MATCH($H$34,cc_input_vu_khi!$A$2:$A$12,0))-Thap!$K$44)),2-(INDEX(cc_input_vu_khi!$C$2:$C$12,MATCH($H$34,cc_input_vu_khi!$A$2:$A$12,0))-Thap!$K$44))+1)))*INDEX(cc_input_vu_khi_suy_ra!$D$2:$D$12,MATCH($H$34,cc_input_vu_khi_suy_ra!$A$2:$A$12,0))),1),""))</f>
        <v/>
      </c>
      <c r="J34" t="inlineStr">
        <is>
          <t>mlrs_rockets</t>
        </is>
      </c>
      <c r="K34">
        <f>IF($J$34="","",IF(INDEX(cc_input_vu_khi!$B$2:$B$12,MATCH($J$34,cc_input_vu_khi!$A$2:$A$12,0))*INDEX(cc_input_bang_xuyen_giap!$B$2:$B$7,MIN(6,MAX(1,IF(INDEX(cc_input_vu_khi_suy_ra!$B$2:$B$12,MATCH($J$34,cc_input_vu_khi_suy_ra!$A$2:$A$12,0)),MAX(1,2-(INDEX(cc_input_vu_khi!$C$2:$C$12,MATCH($J$34,cc_input_vu_khi!$A$2:$A$12,0))-Thap!$K$44)),2-(INDEX(cc_input_vu_khi!$C$2:$C$12,MATCH($J$34,cc_input_vu_khi!$A$2:$A$12,0))-Thap!$K$44))+1)))*INDEX(cc_input_vu_khi_suy_ra!$D$2:$D$12,MATCH($J$34,cc_input_vu_khi_suy_ra!$A$2:$A$12,0))&gt;0,CEILING(Thap!$J$44/(INDEX(cc_input_vu_khi!$B$2:$B$12,MATCH($J$34,cc_input_vu_khi!$A$2:$A$12,0))*INDEX(cc_input_bang_xuyen_giap!$B$2:$B$7,MIN(6,MAX(1,IF(INDEX(cc_input_vu_khi_suy_ra!$B$2:$B$12,MATCH($J$34,cc_input_vu_khi_suy_ra!$A$2:$A$12,0)),MAX(1,2-(INDEX(cc_input_vu_khi!$C$2:$C$12,MATCH($J$34,cc_input_vu_khi!$A$2:$A$12,0))-Thap!$K$44)),2-(INDEX(cc_input_vu_khi!$C$2:$C$12,MATCH($J$34,cc_input_vu_khi!$A$2:$A$12,0))-Thap!$K$44))+1)))*INDEX(cc_input_vu_khi_suy_ra!$D$2:$D$12,MATCH($J$34,cc_input_vu_khi_suy_ra!$A$2:$A$12,0))),1),""))</f>
        <v/>
      </c>
      <c r="L34" t="inlineStr">
        <is>
          <t>Tools/balance/p32_tower_prices.py Model.price('heavy_flak_tower.bofors') + threats('Medium')</t>
        </is>
      </c>
      <c r="M34" t="inlineStr"/>
    </row>
    <row r="35">
      <c r="A35" t="inlineStr">
        <is>
          <t>heavy_flak_tower.heavy</t>
        </is>
      </c>
      <c r="B35">
        <f>Thap_gia_cong_thuc!$Q$35</f>
        <v/>
      </c>
      <c r="C35">
        <f>IF(ISNUMBER($B$35),$B$35/Thap!$BN$45,"")</f>
        <v/>
      </c>
      <c r="D35" t="inlineStr">
        <is>
          <t>gun_105_ags</t>
        </is>
      </c>
      <c r="E35">
        <f>IF($D$35="","",IF(INDEX(cc_input_vu_khi!$B$2:$B$12,MATCH($D$35,cc_input_vu_khi!$A$2:$A$12,0))*INDEX(cc_input_bang_xuyen_giap!$B$2:$B$7,MIN(6,MAX(1,IF(INDEX(cc_input_vu_khi_suy_ra!$B$2:$B$12,MATCH($D$35,cc_input_vu_khi_suy_ra!$A$2:$A$12,0)),MAX(1,2-(INDEX(cc_input_vu_khi!$C$2:$C$12,MATCH($D$35,cc_input_vu_khi!$A$2:$A$12,0))-Thap!$K$45)),2-(INDEX(cc_input_vu_khi!$C$2:$C$12,MATCH($D$35,cc_input_vu_khi!$A$2:$A$12,0))-Thap!$K$45))+1)))*INDEX(cc_input_vu_khi_suy_ra!$D$2:$D$12,MATCH($D$35,cc_input_vu_khi_suy_ra!$A$2:$A$12,0))&gt;0,CEILING(Thap!$J$45/(INDEX(cc_input_vu_khi!$B$2:$B$12,MATCH($D$35,cc_input_vu_khi!$A$2:$A$12,0))*INDEX(cc_input_bang_xuyen_giap!$B$2:$B$7,MIN(6,MAX(1,IF(INDEX(cc_input_vu_khi_suy_ra!$B$2:$B$12,MATCH($D$35,cc_input_vu_khi_suy_ra!$A$2:$A$12,0)),MAX(1,2-(INDEX(cc_input_vu_khi!$C$2:$C$12,MATCH($D$35,cc_input_vu_khi!$A$2:$A$12,0))-Thap!$K$45)),2-(INDEX(cc_input_vu_khi!$C$2:$C$12,MATCH($D$35,cc_input_vu_khi!$A$2:$A$12,0))-Thap!$K$45))+1)))*INDEX(cc_input_vu_khi_suy_ra!$D$2:$D$12,MATCH($D$35,cc_input_vu_khi_suy_ra!$A$2:$A$12,0))),1),""))</f>
        <v/>
      </c>
      <c r="F35" t="inlineStr">
        <is>
          <t>gun_105_wheeled_he</t>
        </is>
      </c>
      <c r="G35">
        <f>IF($F$35="","",IF(INDEX(cc_input_vu_khi!$B$2:$B$12,MATCH($F$35,cc_input_vu_khi!$A$2:$A$12,0))*INDEX(cc_input_bang_xuyen_giap!$B$2:$B$7,MIN(6,MAX(1,IF(INDEX(cc_input_vu_khi_suy_ra!$B$2:$B$12,MATCH($F$35,cc_input_vu_khi_suy_ra!$A$2:$A$12,0)),MAX(1,2-(INDEX(cc_input_vu_khi!$C$2:$C$12,MATCH($F$35,cc_input_vu_khi!$A$2:$A$12,0))-Thap!$K$45)),2-(INDEX(cc_input_vu_khi!$C$2:$C$12,MATCH($F$35,cc_input_vu_khi!$A$2:$A$12,0))-Thap!$K$45))+1)))*INDEX(cc_input_vu_khi_suy_ra!$D$2:$D$12,MATCH($F$35,cc_input_vu_khi_suy_ra!$A$2:$A$12,0))&gt;0,CEILING(Thap!$J$45/(INDEX(cc_input_vu_khi!$B$2:$B$12,MATCH($F$35,cc_input_vu_khi!$A$2:$A$12,0))*INDEX(cc_input_bang_xuyen_giap!$B$2:$B$7,MIN(6,MAX(1,IF(INDEX(cc_input_vu_khi_suy_ra!$B$2:$B$12,MATCH($F$35,cc_input_vu_khi_suy_ra!$A$2:$A$12,0)),MAX(1,2-(INDEX(cc_input_vu_khi!$C$2:$C$12,MATCH($F$35,cc_input_vu_khi!$A$2:$A$12,0))-Thap!$K$45)),2-(INDEX(cc_input_vu_khi!$C$2:$C$12,MATCH($F$35,cc_input_vu_khi!$A$2:$A$12,0))-Thap!$K$45))+1)))*INDEX(cc_input_vu_khi_suy_ra!$D$2:$D$12,MATCH($F$35,cc_input_vu_khi_suy_ra!$A$2:$A$12,0))),1),""))</f>
        <v/>
      </c>
      <c r="H35" t="inlineStr">
        <is>
          <t>lancet</t>
        </is>
      </c>
      <c r="I35">
        <f>IF($H$35="","",IF(INDEX(cc_input_vu_khi!$B$2:$B$12,MATCH($H$35,cc_input_vu_khi!$A$2:$A$12,0))*INDEX(cc_input_bang_xuyen_giap!$B$2:$B$7,MIN(6,MAX(1,IF(INDEX(cc_input_vu_khi_suy_ra!$B$2:$B$12,MATCH($H$35,cc_input_vu_khi_suy_ra!$A$2:$A$12,0)),MAX(1,2-(INDEX(cc_input_vu_khi!$C$2:$C$12,MATCH($H$35,cc_input_vu_khi!$A$2:$A$12,0))-Thap!$K$45)),2-(INDEX(cc_input_vu_khi!$C$2:$C$12,MATCH($H$35,cc_input_vu_khi!$A$2:$A$12,0))-Thap!$K$45))+1)))*INDEX(cc_input_vu_khi_suy_ra!$D$2:$D$12,MATCH($H$35,cc_input_vu_khi_suy_ra!$A$2:$A$12,0))&gt;0,CEILING(Thap!$J$45/(INDEX(cc_input_vu_khi!$B$2:$B$12,MATCH($H$35,cc_input_vu_khi!$A$2:$A$12,0))*INDEX(cc_input_bang_xuyen_giap!$B$2:$B$7,MIN(6,MAX(1,IF(INDEX(cc_input_vu_khi_suy_ra!$B$2:$B$12,MATCH($H$35,cc_input_vu_khi_suy_ra!$A$2:$A$12,0)),MAX(1,2-(INDEX(cc_input_vu_khi!$C$2:$C$12,MATCH($H$35,cc_input_vu_khi!$A$2:$A$12,0))-Thap!$K$45)),2-(INDEX(cc_input_vu_khi!$C$2:$C$12,MATCH($H$35,cc_input_vu_khi!$A$2:$A$12,0))-Thap!$K$45))+1)))*INDEX(cc_input_vu_khi_suy_ra!$D$2:$D$12,MATCH($H$35,cc_input_vu_khi_suy_ra!$A$2:$A$12,0))),1),""))</f>
        <v/>
      </c>
      <c r="J35" t="inlineStr">
        <is>
          <t>mlrs_rockets</t>
        </is>
      </c>
      <c r="K35">
        <f>IF($J$35="","",IF(INDEX(cc_input_vu_khi!$B$2:$B$12,MATCH($J$35,cc_input_vu_khi!$A$2:$A$12,0))*INDEX(cc_input_bang_xuyen_giap!$B$2:$B$7,MIN(6,MAX(1,IF(INDEX(cc_input_vu_khi_suy_ra!$B$2:$B$12,MATCH($J$35,cc_input_vu_khi_suy_ra!$A$2:$A$12,0)),MAX(1,2-(INDEX(cc_input_vu_khi!$C$2:$C$12,MATCH($J$35,cc_input_vu_khi!$A$2:$A$12,0))-Thap!$K$45)),2-(INDEX(cc_input_vu_khi!$C$2:$C$12,MATCH($J$35,cc_input_vu_khi!$A$2:$A$12,0))-Thap!$K$45))+1)))*INDEX(cc_input_vu_khi_suy_ra!$D$2:$D$12,MATCH($J$35,cc_input_vu_khi_suy_ra!$A$2:$A$12,0))&gt;0,CEILING(Thap!$J$45/(INDEX(cc_input_vu_khi!$B$2:$B$12,MATCH($J$35,cc_input_vu_khi!$A$2:$A$12,0))*INDEX(cc_input_bang_xuyen_giap!$B$2:$B$7,MIN(6,MAX(1,IF(INDEX(cc_input_vu_khi_suy_ra!$B$2:$B$12,MATCH($J$35,cc_input_vu_khi_suy_ra!$A$2:$A$12,0)),MAX(1,2-(INDEX(cc_input_vu_khi!$C$2:$C$12,MATCH($J$35,cc_input_vu_khi!$A$2:$A$12,0))-Thap!$K$45)),2-(INDEX(cc_input_vu_khi!$C$2:$C$12,MATCH($J$35,cc_input_vu_khi!$A$2:$A$12,0))-Thap!$K$45))+1)))*INDEX(cc_input_vu_khi_suy_ra!$D$2:$D$12,MATCH($J$35,cc_input_vu_khi_suy_ra!$A$2:$A$12,0))),1),""))</f>
        <v/>
      </c>
      <c r="L35" t="inlineStr">
        <is>
          <t>Tools/balance/p32_tower_prices.py Model.price('heavy_flak_tower.heavy') + threats('Medium')</t>
        </is>
      </c>
      <c r="M35" t="inlineStr"/>
    </row>
    <row r="36">
      <c r="A36" t="inlineStr">
        <is>
          <t>heavy_turret</t>
        </is>
      </c>
      <c r="B36">
        <f>Thap_gia_cong_thuc!$Q$36</f>
        <v/>
      </c>
      <c r="C36">
        <f>IF(ISNUMBER($B$36),$B$36/Thap!$BN$46,"")</f>
        <v/>
      </c>
      <c r="D36" t="inlineStr">
        <is>
          <t>gun_125_armata_ke</t>
        </is>
      </c>
      <c r="E36">
        <f>IF($D$36="","",IF(INDEX(cc_input_vu_khi!$B$2:$B$12,MATCH($D$36,cc_input_vu_khi!$A$2:$A$12,0))*INDEX(cc_input_bang_xuyen_giap!$B$2:$B$7,MIN(6,MAX(1,IF(INDEX(cc_input_vu_khi_suy_ra!$B$2:$B$12,MATCH($D$36,cc_input_vu_khi_suy_ra!$A$2:$A$12,0)),MAX(1,2-(INDEX(cc_input_vu_khi!$C$2:$C$12,MATCH($D$36,cc_input_vu_khi!$A$2:$A$12,0))-Thap!$K$46)),2-(INDEX(cc_input_vu_khi!$C$2:$C$12,MATCH($D$36,cc_input_vu_khi!$A$2:$A$12,0))-Thap!$K$46))+1)))*INDEX(cc_input_vu_khi_suy_ra!$D$2:$D$12,MATCH($D$36,cc_input_vu_khi_suy_ra!$A$2:$A$12,0))&gt;0,CEILING(Thap!$J$46/(INDEX(cc_input_vu_khi!$B$2:$B$12,MATCH($D$36,cc_input_vu_khi!$A$2:$A$12,0))*INDEX(cc_input_bang_xuyen_giap!$B$2:$B$7,MIN(6,MAX(1,IF(INDEX(cc_input_vu_khi_suy_ra!$B$2:$B$12,MATCH($D$36,cc_input_vu_khi_suy_ra!$A$2:$A$12,0)),MAX(1,2-(INDEX(cc_input_vu_khi!$C$2:$C$12,MATCH($D$36,cc_input_vu_khi!$A$2:$A$12,0))-Thap!$K$46)),2-(INDEX(cc_input_vu_khi!$C$2:$C$12,MATCH($D$36,cc_input_vu_khi!$A$2:$A$12,0))-Thap!$K$46))+1)))*INDEX(cc_input_vu_khi_suy_ra!$D$2:$D$12,MATCH($D$36,cc_input_vu_khi_suy_ra!$A$2:$A$12,0))),1),""))</f>
        <v/>
      </c>
      <c r="F36" t="inlineStr">
        <is>
          <t>gun_155_crusader</t>
        </is>
      </c>
      <c r="G36">
        <f>IF($F$36="","",IF(INDEX(cc_input_vu_khi!$B$2:$B$12,MATCH($F$36,cc_input_vu_khi!$A$2:$A$12,0))*INDEX(cc_input_bang_xuyen_giap!$B$2:$B$7,MIN(6,MAX(1,IF(INDEX(cc_input_vu_khi_suy_ra!$B$2:$B$12,MATCH($F$36,cc_input_vu_khi_suy_ra!$A$2:$A$12,0)),MAX(1,2-(INDEX(cc_input_vu_khi!$C$2:$C$12,MATCH($F$36,cc_input_vu_khi!$A$2:$A$12,0))-Thap!$K$46)),2-(INDEX(cc_input_vu_khi!$C$2:$C$12,MATCH($F$36,cc_input_vu_khi!$A$2:$A$12,0))-Thap!$K$46))+1)))*INDEX(cc_input_vu_khi_suy_ra!$D$2:$D$12,MATCH($F$36,cc_input_vu_khi_suy_ra!$A$2:$A$12,0))&gt;0,CEILING(Thap!$J$46/(INDEX(cc_input_vu_khi!$B$2:$B$12,MATCH($F$36,cc_input_vu_khi!$A$2:$A$12,0))*INDEX(cc_input_bang_xuyen_giap!$B$2:$B$7,MIN(6,MAX(1,IF(INDEX(cc_input_vu_khi_suy_ra!$B$2:$B$12,MATCH($F$36,cc_input_vu_khi_suy_ra!$A$2:$A$12,0)),MAX(1,2-(INDEX(cc_input_vu_khi!$C$2:$C$12,MATCH($F$36,cc_input_vu_khi!$A$2:$A$12,0))-Thap!$K$46)),2-(INDEX(cc_input_vu_khi!$C$2:$C$12,MATCH($F$36,cc_input_vu_khi!$A$2:$A$12,0))-Thap!$K$46))+1)))*INDEX(cc_input_vu_khi_suy_ra!$D$2:$D$12,MATCH($F$36,cc_input_vu_khi_suy_ra!$A$2:$A$12,0))),1),""))</f>
        <v/>
      </c>
      <c r="H36" t="inlineStr">
        <is>
          <t>spike_nlos</t>
        </is>
      </c>
      <c r="I36">
        <f>IF($H$36="","",IF(INDEX(cc_input_vu_khi!$B$2:$B$12,MATCH($H$36,cc_input_vu_khi!$A$2:$A$12,0))*INDEX(cc_input_bang_xuyen_giap!$B$2:$B$7,MIN(6,MAX(1,IF(INDEX(cc_input_vu_khi_suy_ra!$B$2:$B$12,MATCH($H$36,cc_input_vu_khi_suy_ra!$A$2:$A$12,0)),MAX(1,2-(INDEX(cc_input_vu_khi!$C$2:$C$12,MATCH($H$36,cc_input_vu_khi!$A$2:$A$12,0))-Thap!$K$46)),2-(INDEX(cc_input_vu_khi!$C$2:$C$12,MATCH($H$36,cc_input_vu_khi!$A$2:$A$12,0))-Thap!$K$46))+1)))*INDEX(cc_input_vu_khi_suy_ra!$D$2:$D$12,MATCH($H$36,cc_input_vu_khi_suy_ra!$A$2:$A$12,0))&gt;0,CEILING(Thap!$J$46/(INDEX(cc_input_vu_khi!$B$2:$B$12,MATCH($H$36,cc_input_vu_khi!$A$2:$A$12,0))*INDEX(cc_input_bang_xuyen_giap!$B$2:$B$7,MIN(6,MAX(1,IF(INDEX(cc_input_vu_khi_suy_ra!$B$2:$B$12,MATCH($H$36,cc_input_vu_khi_suy_ra!$A$2:$A$12,0)),MAX(1,2-(INDEX(cc_input_vu_khi!$C$2:$C$12,MATCH($H$36,cc_input_vu_khi!$A$2:$A$12,0))-Thap!$K$46)),2-(INDEX(cc_input_vu_khi!$C$2:$C$12,MATCH($H$36,cc_input_vu_khi!$A$2:$A$12,0))-Thap!$K$46))+1)))*INDEX(cc_input_vu_khi_suy_ra!$D$2:$D$12,MATCH($H$36,cc_input_vu_khi_suy_ra!$A$2:$A$12,0))),1),""))</f>
        <v/>
      </c>
      <c r="J36" t="inlineStr">
        <is>
          <t>thermobaric_rockets</t>
        </is>
      </c>
      <c r="K36">
        <f>IF($J$36="","",IF(INDEX(cc_input_vu_khi!$B$2:$B$12,MATCH($J$36,cc_input_vu_khi!$A$2:$A$12,0))*INDEX(cc_input_bang_xuyen_giap!$B$2:$B$7,MIN(6,MAX(1,IF(INDEX(cc_input_vu_khi_suy_ra!$B$2:$B$12,MATCH($J$36,cc_input_vu_khi_suy_ra!$A$2:$A$12,0)),MAX(1,2-(INDEX(cc_input_vu_khi!$C$2:$C$12,MATCH($J$36,cc_input_vu_khi!$A$2:$A$12,0))-Thap!$K$46)),2-(INDEX(cc_input_vu_khi!$C$2:$C$12,MATCH($J$36,cc_input_vu_khi!$A$2:$A$12,0))-Thap!$K$46))+1)))*INDEX(cc_input_vu_khi_suy_ra!$D$2:$D$12,MATCH($J$36,cc_input_vu_khi_suy_ra!$A$2:$A$12,0))&gt;0,CEILING(Thap!$J$46/(INDEX(cc_input_vu_khi!$B$2:$B$12,MATCH($J$36,cc_input_vu_khi!$A$2:$A$12,0))*INDEX(cc_input_bang_xuyen_giap!$B$2:$B$7,MIN(6,MAX(1,IF(INDEX(cc_input_vu_khi_suy_ra!$B$2:$B$12,MATCH($J$36,cc_input_vu_khi_suy_ra!$A$2:$A$12,0)),MAX(1,2-(INDEX(cc_input_vu_khi!$C$2:$C$12,MATCH($J$36,cc_input_vu_khi!$A$2:$A$12,0))-Thap!$K$46)),2-(INDEX(cc_input_vu_khi!$C$2:$C$12,MATCH($J$36,cc_input_vu_khi!$A$2:$A$12,0))-Thap!$K$46))+1)))*INDEX(cc_input_vu_khi_suy_ra!$D$2:$D$12,MATCH($J$36,cc_input_vu_khi_suy_ra!$A$2:$A$12,0))),1),""))</f>
        <v/>
      </c>
      <c r="L36" t="inlineStr">
        <is>
          <t>Tools/balance/p32_tower_prices.py Model.price('heavy_turret') + threats('Large')</t>
        </is>
      </c>
      <c r="M36" t="inlineStr"/>
    </row>
    <row r="37">
      <c r="A37" t="inlineStr">
        <is>
          <t>heavy_turret.bastion</t>
        </is>
      </c>
      <c r="B37">
        <f>Thap_gia_cong_thuc!$Q$37</f>
        <v/>
      </c>
      <c r="C37">
        <f>IF(ISNUMBER($B$37),$B$37/Thap!$BN$47,"")</f>
        <v/>
      </c>
      <c r="D37" t="inlineStr">
        <is>
          <t>gun_125_armata_ke</t>
        </is>
      </c>
      <c r="E37">
        <f>IF($D$37="","",IF(INDEX(cc_input_vu_khi!$B$2:$B$12,MATCH($D$37,cc_input_vu_khi!$A$2:$A$12,0))*INDEX(cc_input_bang_xuyen_giap!$B$2:$B$7,MIN(6,MAX(1,IF(INDEX(cc_input_vu_khi_suy_ra!$B$2:$B$12,MATCH($D$37,cc_input_vu_khi_suy_ra!$A$2:$A$12,0)),MAX(1,2-(INDEX(cc_input_vu_khi!$C$2:$C$12,MATCH($D$37,cc_input_vu_khi!$A$2:$A$12,0))-Thap!$K$47)),2-(INDEX(cc_input_vu_khi!$C$2:$C$12,MATCH($D$37,cc_input_vu_khi!$A$2:$A$12,0))-Thap!$K$47))+1)))*INDEX(cc_input_vu_khi_suy_ra!$D$2:$D$12,MATCH($D$37,cc_input_vu_khi_suy_ra!$A$2:$A$12,0))&gt;0,CEILING(Thap!$J$47/(INDEX(cc_input_vu_khi!$B$2:$B$12,MATCH($D$37,cc_input_vu_khi!$A$2:$A$12,0))*INDEX(cc_input_bang_xuyen_giap!$B$2:$B$7,MIN(6,MAX(1,IF(INDEX(cc_input_vu_khi_suy_ra!$B$2:$B$12,MATCH($D$37,cc_input_vu_khi_suy_ra!$A$2:$A$12,0)),MAX(1,2-(INDEX(cc_input_vu_khi!$C$2:$C$12,MATCH($D$37,cc_input_vu_khi!$A$2:$A$12,0))-Thap!$K$47)),2-(INDEX(cc_input_vu_khi!$C$2:$C$12,MATCH($D$37,cc_input_vu_khi!$A$2:$A$12,0))-Thap!$K$47))+1)))*INDEX(cc_input_vu_khi_suy_ra!$D$2:$D$12,MATCH($D$37,cc_input_vu_khi_suy_ra!$A$2:$A$12,0))),1),""))</f>
        <v/>
      </c>
      <c r="F37" t="inlineStr">
        <is>
          <t>gun_155_crusader</t>
        </is>
      </c>
      <c r="G37">
        <f>IF($F$37="","",IF(INDEX(cc_input_vu_khi!$B$2:$B$12,MATCH($F$37,cc_input_vu_khi!$A$2:$A$12,0))*INDEX(cc_input_bang_xuyen_giap!$B$2:$B$7,MIN(6,MAX(1,IF(INDEX(cc_input_vu_khi_suy_ra!$B$2:$B$12,MATCH($F$37,cc_input_vu_khi_suy_ra!$A$2:$A$12,0)),MAX(1,2-(INDEX(cc_input_vu_khi!$C$2:$C$12,MATCH($F$37,cc_input_vu_khi!$A$2:$A$12,0))-Thap!$K$47)),2-(INDEX(cc_input_vu_khi!$C$2:$C$12,MATCH($F$37,cc_input_vu_khi!$A$2:$A$12,0))-Thap!$K$47))+1)))*INDEX(cc_input_vu_khi_suy_ra!$D$2:$D$12,MATCH($F$37,cc_input_vu_khi_suy_ra!$A$2:$A$12,0))&gt;0,CEILING(Thap!$J$47/(INDEX(cc_input_vu_khi!$B$2:$B$12,MATCH($F$37,cc_input_vu_khi!$A$2:$A$12,0))*INDEX(cc_input_bang_xuyen_giap!$B$2:$B$7,MIN(6,MAX(1,IF(INDEX(cc_input_vu_khi_suy_ra!$B$2:$B$12,MATCH($F$37,cc_input_vu_khi_suy_ra!$A$2:$A$12,0)),MAX(1,2-(INDEX(cc_input_vu_khi!$C$2:$C$12,MATCH($F$37,cc_input_vu_khi!$A$2:$A$12,0))-Thap!$K$47)),2-(INDEX(cc_input_vu_khi!$C$2:$C$12,MATCH($F$37,cc_input_vu_khi!$A$2:$A$12,0))-Thap!$K$47))+1)))*INDEX(cc_input_vu_khi_suy_ra!$D$2:$D$12,MATCH($F$37,cc_input_vu_khi_suy_ra!$A$2:$A$12,0))),1),""))</f>
        <v/>
      </c>
      <c r="H37" t="inlineStr">
        <is>
          <t>spike_nlos</t>
        </is>
      </c>
      <c r="I37">
        <f>IF($H$37="","",IF(INDEX(cc_input_vu_khi!$B$2:$B$12,MATCH($H$37,cc_input_vu_khi!$A$2:$A$12,0))*INDEX(cc_input_bang_xuyen_giap!$B$2:$B$7,MIN(6,MAX(1,IF(INDEX(cc_input_vu_khi_suy_ra!$B$2:$B$12,MATCH($H$37,cc_input_vu_khi_suy_ra!$A$2:$A$12,0)),MAX(1,2-(INDEX(cc_input_vu_khi!$C$2:$C$12,MATCH($H$37,cc_input_vu_khi!$A$2:$A$12,0))-Thap!$K$47)),2-(INDEX(cc_input_vu_khi!$C$2:$C$12,MATCH($H$37,cc_input_vu_khi!$A$2:$A$12,0))-Thap!$K$47))+1)))*INDEX(cc_input_vu_khi_suy_ra!$D$2:$D$12,MATCH($H$37,cc_input_vu_khi_suy_ra!$A$2:$A$12,0))&gt;0,CEILING(Thap!$J$47/(INDEX(cc_input_vu_khi!$B$2:$B$12,MATCH($H$37,cc_input_vu_khi!$A$2:$A$12,0))*INDEX(cc_input_bang_xuyen_giap!$B$2:$B$7,MIN(6,MAX(1,IF(INDEX(cc_input_vu_khi_suy_ra!$B$2:$B$12,MATCH($H$37,cc_input_vu_khi_suy_ra!$A$2:$A$12,0)),MAX(1,2-(INDEX(cc_input_vu_khi!$C$2:$C$12,MATCH($H$37,cc_input_vu_khi!$A$2:$A$12,0))-Thap!$K$47)),2-(INDEX(cc_input_vu_khi!$C$2:$C$12,MATCH($H$37,cc_input_vu_khi!$A$2:$A$12,0))-Thap!$K$47))+1)))*INDEX(cc_input_vu_khi_suy_ra!$D$2:$D$12,MATCH($H$37,cc_input_vu_khi_suy_ra!$A$2:$A$12,0))),1),""))</f>
        <v/>
      </c>
      <c r="J37" t="inlineStr">
        <is>
          <t>thermobaric_rockets</t>
        </is>
      </c>
      <c r="K37">
        <f>IF($J$37="","",IF(INDEX(cc_input_vu_khi!$B$2:$B$12,MATCH($J$37,cc_input_vu_khi!$A$2:$A$12,0))*INDEX(cc_input_bang_xuyen_giap!$B$2:$B$7,MIN(6,MAX(1,IF(INDEX(cc_input_vu_khi_suy_ra!$B$2:$B$12,MATCH($J$37,cc_input_vu_khi_suy_ra!$A$2:$A$12,0)),MAX(1,2-(INDEX(cc_input_vu_khi!$C$2:$C$12,MATCH($J$37,cc_input_vu_khi!$A$2:$A$12,0))-Thap!$K$47)),2-(INDEX(cc_input_vu_khi!$C$2:$C$12,MATCH($J$37,cc_input_vu_khi!$A$2:$A$12,0))-Thap!$K$47))+1)))*INDEX(cc_input_vu_khi_suy_ra!$D$2:$D$12,MATCH($J$37,cc_input_vu_khi_suy_ra!$A$2:$A$12,0))&gt;0,CEILING(Thap!$J$47/(INDEX(cc_input_vu_khi!$B$2:$B$12,MATCH($J$37,cc_input_vu_khi!$A$2:$A$12,0))*INDEX(cc_input_bang_xuyen_giap!$B$2:$B$7,MIN(6,MAX(1,IF(INDEX(cc_input_vu_khi_suy_ra!$B$2:$B$12,MATCH($J$37,cc_input_vu_khi_suy_ra!$A$2:$A$12,0)),MAX(1,2-(INDEX(cc_input_vu_khi!$C$2:$C$12,MATCH($J$37,cc_input_vu_khi!$A$2:$A$12,0))-Thap!$K$47)),2-(INDEX(cc_input_vu_khi!$C$2:$C$12,MATCH($J$37,cc_input_vu_khi!$A$2:$A$12,0))-Thap!$K$47))+1)))*INDEX(cc_input_vu_khi_suy_ra!$D$2:$D$12,MATCH($J$37,cc_input_vu_khi_suy_ra!$A$2:$A$12,0))),1),""))</f>
        <v/>
      </c>
      <c r="L37" t="inlineStr">
        <is>
          <t>Tools/balance/p32_tower_prices.py Model.price('heavy_turret.bastion') + threats('Large')</t>
        </is>
      </c>
      <c r="M37" t="inlineStr"/>
    </row>
    <row r="38">
      <c r="A38" t="inlineStr">
        <is>
          <t>heavy_turret.coastal</t>
        </is>
      </c>
      <c r="B38">
        <f>Thap_gia_cong_thuc!$Q$38</f>
        <v/>
      </c>
      <c r="C38">
        <f>IF(ISNUMBER($B$38),$B$38/Thap!$BN$48,"")</f>
        <v/>
      </c>
      <c r="D38" t="inlineStr">
        <is>
          <t>gun_125_armata_ke</t>
        </is>
      </c>
      <c r="E38">
        <f>IF($D$38="","",IF(INDEX(cc_input_vu_khi!$B$2:$B$12,MATCH($D$38,cc_input_vu_khi!$A$2:$A$12,0))*INDEX(cc_input_bang_xuyen_giap!$B$2:$B$7,MIN(6,MAX(1,IF(INDEX(cc_input_vu_khi_suy_ra!$B$2:$B$12,MATCH($D$38,cc_input_vu_khi_suy_ra!$A$2:$A$12,0)),MAX(1,2-(INDEX(cc_input_vu_khi!$C$2:$C$12,MATCH($D$38,cc_input_vu_khi!$A$2:$A$12,0))-Thap!$K$48)),2-(INDEX(cc_input_vu_khi!$C$2:$C$12,MATCH($D$38,cc_input_vu_khi!$A$2:$A$12,0))-Thap!$K$48))+1)))*INDEX(cc_input_vu_khi_suy_ra!$D$2:$D$12,MATCH($D$38,cc_input_vu_khi_suy_ra!$A$2:$A$12,0))&gt;0,CEILING(Thap!$J$48/(INDEX(cc_input_vu_khi!$B$2:$B$12,MATCH($D$38,cc_input_vu_khi!$A$2:$A$12,0))*INDEX(cc_input_bang_xuyen_giap!$B$2:$B$7,MIN(6,MAX(1,IF(INDEX(cc_input_vu_khi_suy_ra!$B$2:$B$12,MATCH($D$38,cc_input_vu_khi_suy_ra!$A$2:$A$12,0)),MAX(1,2-(INDEX(cc_input_vu_khi!$C$2:$C$12,MATCH($D$38,cc_input_vu_khi!$A$2:$A$12,0))-Thap!$K$48)),2-(INDEX(cc_input_vu_khi!$C$2:$C$12,MATCH($D$38,cc_input_vu_khi!$A$2:$A$12,0))-Thap!$K$48))+1)))*INDEX(cc_input_vu_khi_suy_ra!$D$2:$D$12,MATCH($D$38,cc_input_vu_khi_suy_ra!$A$2:$A$12,0))),1),""))</f>
        <v/>
      </c>
      <c r="F38" t="inlineStr">
        <is>
          <t>gun_155_crusader</t>
        </is>
      </c>
      <c r="G38">
        <f>IF($F$38="","",IF(INDEX(cc_input_vu_khi!$B$2:$B$12,MATCH($F$38,cc_input_vu_khi!$A$2:$A$12,0))*INDEX(cc_input_bang_xuyen_giap!$B$2:$B$7,MIN(6,MAX(1,IF(INDEX(cc_input_vu_khi_suy_ra!$B$2:$B$12,MATCH($F$38,cc_input_vu_khi_suy_ra!$A$2:$A$12,0)),MAX(1,2-(INDEX(cc_input_vu_khi!$C$2:$C$12,MATCH($F$38,cc_input_vu_khi!$A$2:$A$12,0))-Thap!$K$48)),2-(INDEX(cc_input_vu_khi!$C$2:$C$12,MATCH($F$38,cc_input_vu_khi!$A$2:$A$12,0))-Thap!$K$48))+1)))*INDEX(cc_input_vu_khi_suy_ra!$D$2:$D$12,MATCH($F$38,cc_input_vu_khi_suy_ra!$A$2:$A$12,0))&gt;0,CEILING(Thap!$J$48/(INDEX(cc_input_vu_khi!$B$2:$B$12,MATCH($F$38,cc_input_vu_khi!$A$2:$A$12,0))*INDEX(cc_input_bang_xuyen_giap!$B$2:$B$7,MIN(6,MAX(1,IF(INDEX(cc_input_vu_khi_suy_ra!$B$2:$B$12,MATCH($F$38,cc_input_vu_khi_suy_ra!$A$2:$A$12,0)),MAX(1,2-(INDEX(cc_input_vu_khi!$C$2:$C$12,MATCH($F$38,cc_input_vu_khi!$A$2:$A$12,0))-Thap!$K$48)),2-(INDEX(cc_input_vu_khi!$C$2:$C$12,MATCH($F$38,cc_input_vu_khi!$A$2:$A$12,0))-Thap!$K$48))+1)))*INDEX(cc_input_vu_khi_suy_ra!$D$2:$D$12,MATCH($F$38,cc_input_vu_khi_suy_ra!$A$2:$A$12,0))),1),""))</f>
        <v/>
      </c>
      <c r="H38" t="inlineStr">
        <is>
          <t>spike_nlos</t>
        </is>
      </c>
      <c r="I38">
        <f>IF($H$38="","",IF(INDEX(cc_input_vu_khi!$B$2:$B$12,MATCH($H$38,cc_input_vu_khi!$A$2:$A$12,0))*INDEX(cc_input_bang_xuyen_giap!$B$2:$B$7,MIN(6,MAX(1,IF(INDEX(cc_input_vu_khi_suy_ra!$B$2:$B$12,MATCH($H$38,cc_input_vu_khi_suy_ra!$A$2:$A$12,0)),MAX(1,2-(INDEX(cc_input_vu_khi!$C$2:$C$12,MATCH($H$38,cc_input_vu_khi!$A$2:$A$12,0))-Thap!$K$48)),2-(INDEX(cc_input_vu_khi!$C$2:$C$12,MATCH($H$38,cc_input_vu_khi!$A$2:$A$12,0))-Thap!$K$48))+1)))*INDEX(cc_input_vu_khi_suy_ra!$D$2:$D$12,MATCH($H$38,cc_input_vu_khi_suy_ra!$A$2:$A$12,0))&gt;0,CEILING(Thap!$J$48/(INDEX(cc_input_vu_khi!$B$2:$B$12,MATCH($H$38,cc_input_vu_khi!$A$2:$A$12,0))*INDEX(cc_input_bang_xuyen_giap!$B$2:$B$7,MIN(6,MAX(1,IF(INDEX(cc_input_vu_khi_suy_ra!$B$2:$B$12,MATCH($H$38,cc_input_vu_khi_suy_ra!$A$2:$A$12,0)),MAX(1,2-(INDEX(cc_input_vu_khi!$C$2:$C$12,MATCH($H$38,cc_input_vu_khi!$A$2:$A$12,0))-Thap!$K$48)),2-(INDEX(cc_input_vu_khi!$C$2:$C$12,MATCH($H$38,cc_input_vu_khi!$A$2:$A$12,0))-Thap!$K$48))+1)))*INDEX(cc_input_vu_khi_suy_ra!$D$2:$D$12,MATCH($H$38,cc_input_vu_khi_suy_ra!$A$2:$A$12,0))),1),""))</f>
        <v/>
      </c>
      <c r="J38" t="inlineStr">
        <is>
          <t>thermobaric_rockets</t>
        </is>
      </c>
      <c r="K38">
        <f>IF($J$38="","",IF(INDEX(cc_input_vu_khi!$B$2:$B$12,MATCH($J$38,cc_input_vu_khi!$A$2:$A$12,0))*INDEX(cc_input_bang_xuyen_giap!$B$2:$B$7,MIN(6,MAX(1,IF(INDEX(cc_input_vu_khi_suy_ra!$B$2:$B$12,MATCH($J$38,cc_input_vu_khi_suy_ra!$A$2:$A$12,0)),MAX(1,2-(INDEX(cc_input_vu_khi!$C$2:$C$12,MATCH($J$38,cc_input_vu_khi!$A$2:$A$12,0))-Thap!$K$48)),2-(INDEX(cc_input_vu_khi!$C$2:$C$12,MATCH($J$38,cc_input_vu_khi!$A$2:$A$12,0))-Thap!$K$48))+1)))*INDEX(cc_input_vu_khi_suy_ra!$D$2:$D$12,MATCH($J$38,cc_input_vu_khi_suy_ra!$A$2:$A$12,0))&gt;0,CEILING(Thap!$J$48/(INDEX(cc_input_vu_khi!$B$2:$B$12,MATCH($J$38,cc_input_vu_khi!$A$2:$A$12,0))*INDEX(cc_input_bang_xuyen_giap!$B$2:$B$7,MIN(6,MAX(1,IF(INDEX(cc_input_vu_khi_suy_ra!$B$2:$B$12,MATCH($J$38,cc_input_vu_khi_suy_ra!$A$2:$A$12,0)),MAX(1,2-(INDEX(cc_input_vu_khi!$C$2:$C$12,MATCH($J$38,cc_input_vu_khi!$A$2:$A$12,0))-Thap!$K$48)),2-(INDEX(cc_input_vu_khi!$C$2:$C$12,MATCH($J$38,cc_input_vu_khi!$A$2:$A$12,0))-Thap!$K$48))+1)))*INDEX(cc_input_vu_khi_suy_ra!$D$2:$D$12,MATCH($J$38,cc_input_vu_khi_suy_ra!$A$2:$A$12,0))),1),""))</f>
        <v/>
      </c>
      <c r="L38" t="inlineStr">
        <is>
          <t>Tools/balance/p32_tower_prices.py Model.price('heavy_turret.coastal') + threats('Large')</t>
        </is>
      </c>
      <c r="M38" t="inlineStr"/>
    </row>
    <row r="39">
      <c r="A39" t="inlineStr">
        <is>
          <t>inflatable_decoy</t>
        </is>
      </c>
      <c r="B39">
        <f>Thap_gia_cong_thuc!$Q$39</f>
        <v/>
      </c>
      <c r="C39">
        <f>IF(ISNUMBER($B$39),$B$39/Thap!$BN$49,"")</f>
        <v/>
      </c>
      <c r="D39" t="inlineStr">
        <is>
          <t>ifv_30</t>
        </is>
      </c>
      <c r="E39">
        <f>IF($D$39="","",IF(INDEX(cc_input_vu_khi!$B$2:$B$12,MATCH($D$39,cc_input_vu_khi!$A$2:$A$12,0))*INDEX(cc_input_bang_xuyen_giap!$B$2:$B$7,MIN(6,MAX(1,IF(INDEX(cc_input_vu_khi_suy_ra!$B$2:$B$12,MATCH($D$39,cc_input_vu_khi_suy_ra!$A$2:$A$12,0)),MAX(1,2-(INDEX(cc_input_vu_khi!$C$2:$C$12,MATCH($D$39,cc_input_vu_khi!$A$2:$A$12,0))-Thap!$K$49)),2-(INDEX(cc_input_vu_khi!$C$2:$C$12,MATCH($D$39,cc_input_vu_khi!$A$2:$A$12,0))-Thap!$K$49))+1)))*INDEX(cc_input_vu_khi_suy_ra!$D$2:$D$12,MATCH($D$39,cc_input_vu_khi_suy_ra!$A$2:$A$12,0))&gt;0,CEILING(Thap!$J$49/(INDEX(cc_input_vu_khi!$B$2:$B$12,MATCH($D$39,cc_input_vu_khi!$A$2:$A$12,0))*INDEX(cc_input_bang_xuyen_giap!$B$2:$B$7,MIN(6,MAX(1,IF(INDEX(cc_input_vu_khi_suy_ra!$B$2:$B$12,MATCH($D$39,cc_input_vu_khi_suy_ra!$A$2:$A$12,0)),MAX(1,2-(INDEX(cc_input_vu_khi!$C$2:$C$12,MATCH($D$39,cc_input_vu_khi!$A$2:$A$12,0))-Thap!$K$49)),2-(INDEX(cc_input_vu_khi!$C$2:$C$12,MATCH($D$39,cc_input_vu_khi!$A$2:$A$12,0))-Thap!$K$49))+1)))*INDEX(cc_input_vu_khi_suy_ra!$D$2:$D$12,MATCH($D$39,cc_input_vu_khi_suy_ra!$A$2:$A$12,0))),1),""))</f>
        <v/>
      </c>
      <c r="F39" t="inlineStr">
        <is>
          <t>gun_105_wheeled_he</t>
        </is>
      </c>
      <c r="G39">
        <f>IF($F$39="","",IF(INDEX(cc_input_vu_khi!$B$2:$B$12,MATCH($F$39,cc_input_vu_khi!$A$2:$A$12,0))*INDEX(cc_input_bang_xuyen_giap!$B$2:$B$7,MIN(6,MAX(1,IF(INDEX(cc_input_vu_khi_suy_ra!$B$2:$B$12,MATCH($F$39,cc_input_vu_khi_suy_ra!$A$2:$A$12,0)),MAX(1,2-(INDEX(cc_input_vu_khi!$C$2:$C$12,MATCH($F$39,cc_input_vu_khi!$A$2:$A$12,0))-Thap!$K$49)),2-(INDEX(cc_input_vu_khi!$C$2:$C$12,MATCH($F$39,cc_input_vu_khi!$A$2:$A$12,0))-Thap!$K$49))+1)))*INDEX(cc_input_vu_khi_suy_ra!$D$2:$D$12,MATCH($F$39,cc_input_vu_khi_suy_ra!$A$2:$A$12,0))&gt;0,CEILING(Thap!$J$49/(INDEX(cc_input_vu_khi!$B$2:$B$12,MATCH($F$39,cc_input_vu_khi!$A$2:$A$12,0))*INDEX(cc_input_bang_xuyen_giap!$B$2:$B$7,MIN(6,MAX(1,IF(INDEX(cc_input_vu_khi_suy_ra!$B$2:$B$12,MATCH($F$39,cc_input_vu_khi_suy_ra!$A$2:$A$12,0)),MAX(1,2-(INDEX(cc_input_vu_khi!$C$2:$C$12,MATCH($F$39,cc_input_vu_khi!$A$2:$A$12,0))-Thap!$K$49)),2-(INDEX(cc_input_vu_khi!$C$2:$C$12,MATCH($F$39,cc_input_vu_khi!$A$2:$A$12,0))-Thap!$K$49))+1)))*INDEX(cc_input_vu_khi_suy_ra!$D$2:$D$12,MATCH($F$39,cc_input_vu_khi_suy_ra!$A$2:$A$12,0))),1),""))</f>
        <v/>
      </c>
      <c r="H39" t="inlineStr">
        <is>
          <t>khrizantema</t>
        </is>
      </c>
      <c r="I39">
        <f>IF($H$39="","",IF(INDEX(cc_input_vu_khi!$B$2:$B$12,MATCH($H$39,cc_input_vu_khi!$A$2:$A$12,0))*INDEX(cc_input_bang_xuyen_giap!$B$2:$B$7,MIN(6,MAX(1,IF(INDEX(cc_input_vu_khi_suy_ra!$B$2:$B$12,MATCH($H$39,cc_input_vu_khi_suy_ra!$A$2:$A$12,0)),MAX(1,2-(INDEX(cc_input_vu_khi!$C$2:$C$12,MATCH($H$39,cc_input_vu_khi!$A$2:$A$12,0))-Thap!$K$49)),2-(INDEX(cc_input_vu_khi!$C$2:$C$12,MATCH($H$39,cc_input_vu_khi!$A$2:$A$12,0))-Thap!$K$49))+1)))*INDEX(cc_input_vu_khi_suy_ra!$D$2:$D$12,MATCH($H$39,cc_input_vu_khi_suy_ra!$A$2:$A$12,0))&gt;0,CEILING(Thap!$J$49/(INDEX(cc_input_vu_khi!$B$2:$B$12,MATCH($H$39,cc_input_vu_khi!$A$2:$A$12,0))*INDEX(cc_input_bang_xuyen_giap!$B$2:$B$7,MIN(6,MAX(1,IF(INDEX(cc_input_vu_khi_suy_ra!$B$2:$B$12,MATCH($H$39,cc_input_vu_khi_suy_ra!$A$2:$A$12,0)),MAX(1,2-(INDEX(cc_input_vu_khi!$C$2:$C$12,MATCH($H$39,cc_input_vu_khi!$A$2:$A$12,0))-Thap!$K$49)),2-(INDEX(cc_input_vu_khi!$C$2:$C$12,MATCH($H$39,cc_input_vu_khi!$A$2:$A$12,0))-Thap!$K$49))+1)))*INDEX(cc_input_vu_khi_suy_ra!$D$2:$D$12,MATCH($H$39,cc_input_vu_khi_suy_ra!$A$2:$A$12,0))),1),""))</f>
        <v/>
      </c>
      <c r="J39" t="inlineStr">
        <is>
          <t>caesar_155</t>
        </is>
      </c>
      <c r="K39">
        <f>IF($J$39="","",IF(INDEX(cc_input_vu_khi!$B$2:$B$12,MATCH($J$39,cc_input_vu_khi!$A$2:$A$12,0))*INDEX(cc_input_bang_xuyen_giap!$B$2:$B$7,MIN(6,MAX(1,IF(INDEX(cc_input_vu_khi_suy_ra!$B$2:$B$12,MATCH($J$39,cc_input_vu_khi_suy_ra!$A$2:$A$12,0)),MAX(1,2-(INDEX(cc_input_vu_khi!$C$2:$C$12,MATCH($J$39,cc_input_vu_khi!$A$2:$A$12,0))-Thap!$K$49)),2-(INDEX(cc_input_vu_khi!$C$2:$C$12,MATCH($J$39,cc_input_vu_khi!$A$2:$A$12,0))-Thap!$K$49))+1)))*INDEX(cc_input_vu_khi_suy_ra!$D$2:$D$12,MATCH($J$39,cc_input_vu_khi_suy_ra!$A$2:$A$12,0))&gt;0,CEILING(Thap!$J$49/(INDEX(cc_input_vu_khi!$B$2:$B$12,MATCH($J$39,cc_input_vu_khi!$A$2:$A$12,0))*INDEX(cc_input_bang_xuyen_giap!$B$2:$B$7,MIN(6,MAX(1,IF(INDEX(cc_input_vu_khi_suy_ra!$B$2:$B$12,MATCH($J$39,cc_input_vu_khi_suy_ra!$A$2:$A$12,0)),MAX(1,2-(INDEX(cc_input_vu_khi!$C$2:$C$12,MATCH($J$39,cc_input_vu_khi!$A$2:$A$12,0))-Thap!$K$49)),2-(INDEX(cc_input_vu_khi!$C$2:$C$12,MATCH($J$39,cc_input_vu_khi!$A$2:$A$12,0))-Thap!$K$49))+1)))*INDEX(cc_input_vu_khi_suy_ra!$D$2:$D$12,MATCH($J$39,cc_input_vu_khi_suy_ra!$A$2:$A$12,0))),1),""))</f>
        <v/>
      </c>
      <c r="L39" t="inlineStr">
        <is>
          <t>Tools/balance/p32_tower_prices.py Model.price('inflatable_decoy') + threats('Small')</t>
        </is>
      </c>
      <c r="M39" t="inlineStr"/>
    </row>
    <row r="40">
      <c r="A40" t="inlineStr">
        <is>
          <t>inflatable_decoy.balloon</t>
        </is>
      </c>
      <c r="B40">
        <f>Thap_gia_cong_thuc!$Q$40</f>
        <v/>
      </c>
      <c r="C40">
        <f>IF(ISNUMBER($B$40),$B$40/Thap!$BN$50,"")</f>
        <v/>
      </c>
      <c r="D40" t="inlineStr">
        <is>
          <t>ifv_30</t>
        </is>
      </c>
      <c r="E40">
        <f>IF($D$40="","",IF(INDEX(cc_input_vu_khi!$B$2:$B$12,MATCH($D$40,cc_input_vu_khi!$A$2:$A$12,0))*INDEX(cc_input_bang_xuyen_giap!$B$2:$B$7,MIN(6,MAX(1,IF(INDEX(cc_input_vu_khi_suy_ra!$B$2:$B$12,MATCH($D$40,cc_input_vu_khi_suy_ra!$A$2:$A$12,0)),MAX(1,2-(INDEX(cc_input_vu_khi!$C$2:$C$12,MATCH($D$40,cc_input_vu_khi!$A$2:$A$12,0))-Thap!$K$50)),2-(INDEX(cc_input_vu_khi!$C$2:$C$12,MATCH($D$40,cc_input_vu_khi!$A$2:$A$12,0))-Thap!$K$50))+1)))*INDEX(cc_input_vu_khi_suy_ra!$D$2:$D$12,MATCH($D$40,cc_input_vu_khi_suy_ra!$A$2:$A$12,0))&gt;0,CEILING(Thap!$J$50/(INDEX(cc_input_vu_khi!$B$2:$B$12,MATCH($D$40,cc_input_vu_khi!$A$2:$A$12,0))*INDEX(cc_input_bang_xuyen_giap!$B$2:$B$7,MIN(6,MAX(1,IF(INDEX(cc_input_vu_khi_suy_ra!$B$2:$B$12,MATCH($D$40,cc_input_vu_khi_suy_ra!$A$2:$A$12,0)),MAX(1,2-(INDEX(cc_input_vu_khi!$C$2:$C$12,MATCH($D$40,cc_input_vu_khi!$A$2:$A$12,0))-Thap!$K$50)),2-(INDEX(cc_input_vu_khi!$C$2:$C$12,MATCH($D$40,cc_input_vu_khi!$A$2:$A$12,0))-Thap!$K$50))+1)))*INDEX(cc_input_vu_khi_suy_ra!$D$2:$D$12,MATCH($D$40,cc_input_vu_khi_suy_ra!$A$2:$A$12,0))),1),""))</f>
        <v/>
      </c>
      <c r="F40" t="inlineStr">
        <is>
          <t>gun_105_wheeled_he</t>
        </is>
      </c>
      <c r="G40">
        <f>IF($F$40="","",IF(INDEX(cc_input_vu_khi!$B$2:$B$12,MATCH($F$40,cc_input_vu_khi!$A$2:$A$12,0))*INDEX(cc_input_bang_xuyen_giap!$B$2:$B$7,MIN(6,MAX(1,IF(INDEX(cc_input_vu_khi_suy_ra!$B$2:$B$12,MATCH($F$40,cc_input_vu_khi_suy_ra!$A$2:$A$12,0)),MAX(1,2-(INDEX(cc_input_vu_khi!$C$2:$C$12,MATCH($F$40,cc_input_vu_khi!$A$2:$A$12,0))-Thap!$K$50)),2-(INDEX(cc_input_vu_khi!$C$2:$C$12,MATCH($F$40,cc_input_vu_khi!$A$2:$A$12,0))-Thap!$K$50))+1)))*INDEX(cc_input_vu_khi_suy_ra!$D$2:$D$12,MATCH($F$40,cc_input_vu_khi_suy_ra!$A$2:$A$12,0))&gt;0,CEILING(Thap!$J$50/(INDEX(cc_input_vu_khi!$B$2:$B$12,MATCH($F$40,cc_input_vu_khi!$A$2:$A$12,0))*INDEX(cc_input_bang_xuyen_giap!$B$2:$B$7,MIN(6,MAX(1,IF(INDEX(cc_input_vu_khi_suy_ra!$B$2:$B$12,MATCH($F$40,cc_input_vu_khi_suy_ra!$A$2:$A$12,0)),MAX(1,2-(INDEX(cc_input_vu_khi!$C$2:$C$12,MATCH($F$40,cc_input_vu_khi!$A$2:$A$12,0))-Thap!$K$50)),2-(INDEX(cc_input_vu_khi!$C$2:$C$12,MATCH($F$40,cc_input_vu_khi!$A$2:$A$12,0))-Thap!$K$50))+1)))*INDEX(cc_input_vu_khi_suy_ra!$D$2:$D$12,MATCH($F$40,cc_input_vu_khi_suy_ra!$A$2:$A$12,0))),1),""))</f>
        <v/>
      </c>
      <c r="H40" t="inlineStr">
        <is>
          <t>khrizantema</t>
        </is>
      </c>
      <c r="I40">
        <f>IF($H$40="","",IF(INDEX(cc_input_vu_khi!$B$2:$B$12,MATCH($H$40,cc_input_vu_khi!$A$2:$A$12,0))*INDEX(cc_input_bang_xuyen_giap!$B$2:$B$7,MIN(6,MAX(1,IF(INDEX(cc_input_vu_khi_suy_ra!$B$2:$B$12,MATCH($H$40,cc_input_vu_khi_suy_ra!$A$2:$A$12,0)),MAX(1,2-(INDEX(cc_input_vu_khi!$C$2:$C$12,MATCH($H$40,cc_input_vu_khi!$A$2:$A$12,0))-Thap!$K$50)),2-(INDEX(cc_input_vu_khi!$C$2:$C$12,MATCH($H$40,cc_input_vu_khi!$A$2:$A$12,0))-Thap!$K$50))+1)))*INDEX(cc_input_vu_khi_suy_ra!$D$2:$D$12,MATCH($H$40,cc_input_vu_khi_suy_ra!$A$2:$A$12,0))&gt;0,CEILING(Thap!$J$50/(INDEX(cc_input_vu_khi!$B$2:$B$12,MATCH($H$40,cc_input_vu_khi!$A$2:$A$12,0))*INDEX(cc_input_bang_xuyen_giap!$B$2:$B$7,MIN(6,MAX(1,IF(INDEX(cc_input_vu_khi_suy_ra!$B$2:$B$12,MATCH($H$40,cc_input_vu_khi_suy_ra!$A$2:$A$12,0)),MAX(1,2-(INDEX(cc_input_vu_khi!$C$2:$C$12,MATCH($H$40,cc_input_vu_khi!$A$2:$A$12,0))-Thap!$K$50)),2-(INDEX(cc_input_vu_khi!$C$2:$C$12,MATCH($H$40,cc_input_vu_khi!$A$2:$A$12,0))-Thap!$K$50))+1)))*INDEX(cc_input_vu_khi_suy_ra!$D$2:$D$12,MATCH($H$40,cc_input_vu_khi_suy_ra!$A$2:$A$12,0))),1),""))</f>
        <v/>
      </c>
      <c r="J40" t="inlineStr">
        <is>
          <t>caesar_155</t>
        </is>
      </c>
      <c r="K40">
        <f>IF($J$40="","",IF(INDEX(cc_input_vu_khi!$B$2:$B$12,MATCH($J$40,cc_input_vu_khi!$A$2:$A$12,0))*INDEX(cc_input_bang_xuyen_giap!$B$2:$B$7,MIN(6,MAX(1,IF(INDEX(cc_input_vu_khi_suy_ra!$B$2:$B$12,MATCH($J$40,cc_input_vu_khi_suy_ra!$A$2:$A$12,0)),MAX(1,2-(INDEX(cc_input_vu_khi!$C$2:$C$12,MATCH($J$40,cc_input_vu_khi!$A$2:$A$12,0))-Thap!$K$50)),2-(INDEX(cc_input_vu_khi!$C$2:$C$12,MATCH($J$40,cc_input_vu_khi!$A$2:$A$12,0))-Thap!$K$50))+1)))*INDEX(cc_input_vu_khi_suy_ra!$D$2:$D$12,MATCH($J$40,cc_input_vu_khi_suy_ra!$A$2:$A$12,0))&gt;0,CEILING(Thap!$J$50/(INDEX(cc_input_vu_khi!$B$2:$B$12,MATCH($J$40,cc_input_vu_khi!$A$2:$A$12,0))*INDEX(cc_input_bang_xuyen_giap!$B$2:$B$7,MIN(6,MAX(1,IF(INDEX(cc_input_vu_khi_suy_ra!$B$2:$B$12,MATCH($J$40,cc_input_vu_khi_suy_ra!$A$2:$A$12,0)),MAX(1,2-(INDEX(cc_input_vu_khi!$C$2:$C$12,MATCH($J$40,cc_input_vu_khi!$A$2:$A$12,0))-Thap!$K$50)),2-(INDEX(cc_input_vu_khi!$C$2:$C$12,MATCH($J$40,cc_input_vu_khi!$A$2:$A$12,0))-Thap!$K$50))+1)))*INDEX(cc_input_vu_khi_suy_ra!$D$2:$D$12,MATCH($J$40,cc_input_vu_khi_suy_ra!$A$2:$A$12,0))),1),""))</f>
        <v/>
      </c>
      <c r="L40" t="inlineStr">
        <is>
          <t>Tools/balance/p32_tower_prices.py Model.price('inflatable_decoy.balloon') + threats('Small')</t>
        </is>
      </c>
      <c r="M40" t="inlineStr"/>
    </row>
    <row r="41">
      <c r="A41" t="inlineStr">
        <is>
          <t>inflatable_decoy.inflatable</t>
        </is>
      </c>
      <c r="B41">
        <f>Thap_gia_cong_thuc!$Q$41</f>
        <v/>
      </c>
      <c r="C41">
        <f>IF(ISNUMBER($B$41),$B$41/Thap!$BN$51,"")</f>
        <v/>
      </c>
      <c r="D41" t="inlineStr">
        <is>
          <t>ifv_30</t>
        </is>
      </c>
      <c r="E41">
        <f>IF($D$41="","",IF(INDEX(cc_input_vu_khi!$B$2:$B$12,MATCH($D$41,cc_input_vu_khi!$A$2:$A$12,0))*INDEX(cc_input_bang_xuyen_giap!$B$2:$B$7,MIN(6,MAX(1,IF(INDEX(cc_input_vu_khi_suy_ra!$B$2:$B$12,MATCH($D$41,cc_input_vu_khi_suy_ra!$A$2:$A$12,0)),MAX(1,2-(INDEX(cc_input_vu_khi!$C$2:$C$12,MATCH($D$41,cc_input_vu_khi!$A$2:$A$12,0))-Thap!$K$51)),2-(INDEX(cc_input_vu_khi!$C$2:$C$12,MATCH($D$41,cc_input_vu_khi!$A$2:$A$12,0))-Thap!$K$51))+1)))*INDEX(cc_input_vu_khi_suy_ra!$D$2:$D$12,MATCH($D$41,cc_input_vu_khi_suy_ra!$A$2:$A$12,0))&gt;0,CEILING(Thap!$J$51/(INDEX(cc_input_vu_khi!$B$2:$B$12,MATCH($D$41,cc_input_vu_khi!$A$2:$A$12,0))*INDEX(cc_input_bang_xuyen_giap!$B$2:$B$7,MIN(6,MAX(1,IF(INDEX(cc_input_vu_khi_suy_ra!$B$2:$B$12,MATCH($D$41,cc_input_vu_khi_suy_ra!$A$2:$A$12,0)),MAX(1,2-(INDEX(cc_input_vu_khi!$C$2:$C$12,MATCH($D$41,cc_input_vu_khi!$A$2:$A$12,0))-Thap!$K$51)),2-(INDEX(cc_input_vu_khi!$C$2:$C$12,MATCH($D$41,cc_input_vu_khi!$A$2:$A$12,0))-Thap!$K$51))+1)))*INDEX(cc_input_vu_khi_suy_ra!$D$2:$D$12,MATCH($D$41,cc_input_vu_khi_suy_ra!$A$2:$A$12,0))),1),""))</f>
        <v/>
      </c>
      <c r="F41" t="inlineStr">
        <is>
          <t>gun_105_wheeled_he</t>
        </is>
      </c>
      <c r="G41">
        <f>IF($F$41="","",IF(INDEX(cc_input_vu_khi!$B$2:$B$12,MATCH($F$41,cc_input_vu_khi!$A$2:$A$12,0))*INDEX(cc_input_bang_xuyen_giap!$B$2:$B$7,MIN(6,MAX(1,IF(INDEX(cc_input_vu_khi_suy_ra!$B$2:$B$12,MATCH($F$41,cc_input_vu_khi_suy_ra!$A$2:$A$12,0)),MAX(1,2-(INDEX(cc_input_vu_khi!$C$2:$C$12,MATCH($F$41,cc_input_vu_khi!$A$2:$A$12,0))-Thap!$K$51)),2-(INDEX(cc_input_vu_khi!$C$2:$C$12,MATCH($F$41,cc_input_vu_khi!$A$2:$A$12,0))-Thap!$K$51))+1)))*INDEX(cc_input_vu_khi_suy_ra!$D$2:$D$12,MATCH($F$41,cc_input_vu_khi_suy_ra!$A$2:$A$12,0))&gt;0,CEILING(Thap!$J$51/(INDEX(cc_input_vu_khi!$B$2:$B$12,MATCH($F$41,cc_input_vu_khi!$A$2:$A$12,0))*INDEX(cc_input_bang_xuyen_giap!$B$2:$B$7,MIN(6,MAX(1,IF(INDEX(cc_input_vu_khi_suy_ra!$B$2:$B$12,MATCH($F$41,cc_input_vu_khi_suy_ra!$A$2:$A$12,0)),MAX(1,2-(INDEX(cc_input_vu_khi!$C$2:$C$12,MATCH($F$41,cc_input_vu_khi!$A$2:$A$12,0))-Thap!$K$51)),2-(INDEX(cc_input_vu_khi!$C$2:$C$12,MATCH($F$41,cc_input_vu_khi!$A$2:$A$12,0))-Thap!$K$51))+1)))*INDEX(cc_input_vu_khi_suy_ra!$D$2:$D$12,MATCH($F$41,cc_input_vu_khi_suy_ra!$A$2:$A$12,0))),1),""))</f>
        <v/>
      </c>
      <c r="H41" t="inlineStr">
        <is>
          <t>khrizantema</t>
        </is>
      </c>
      <c r="I41">
        <f>IF($H$41="","",IF(INDEX(cc_input_vu_khi!$B$2:$B$12,MATCH($H$41,cc_input_vu_khi!$A$2:$A$12,0))*INDEX(cc_input_bang_xuyen_giap!$B$2:$B$7,MIN(6,MAX(1,IF(INDEX(cc_input_vu_khi_suy_ra!$B$2:$B$12,MATCH($H$41,cc_input_vu_khi_suy_ra!$A$2:$A$12,0)),MAX(1,2-(INDEX(cc_input_vu_khi!$C$2:$C$12,MATCH($H$41,cc_input_vu_khi!$A$2:$A$12,0))-Thap!$K$51)),2-(INDEX(cc_input_vu_khi!$C$2:$C$12,MATCH($H$41,cc_input_vu_khi!$A$2:$A$12,0))-Thap!$K$51))+1)))*INDEX(cc_input_vu_khi_suy_ra!$D$2:$D$12,MATCH($H$41,cc_input_vu_khi_suy_ra!$A$2:$A$12,0))&gt;0,CEILING(Thap!$J$51/(INDEX(cc_input_vu_khi!$B$2:$B$12,MATCH($H$41,cc_input_vu_khi!$A$2:$A$12,0))*INDEX(cc_input_bang_xuyen_giap!$B$2:$B$7,MIN(6,MAX(1,IF(INDEX(cc_input_vu_khi_suy_ra!$B$2:$B$12,MATCH($H$41,cc_input_vu_khi_suy_ra!$A$2:$A$12,0)),MAX(1,2-(INDEX(cc_input_vu_khi!$C$2:$C$12,MATCH($H$41,cc_input_vu_khi!$A$2:$A$12,0))-Thap!$K$51)),2-(INDEX(cc_input_vu_khi!$C$2:$C$12,MATCH($H$41,cc_input_vu_khi!$A$2:$A$12,0))-Thap!$K$51))+1)))*INDEX(cc_input_vu_khi_suy_ra!$D$2:$D$12,MATCH($H$41,cc_input_vu_khi_suy_ra!$A$2:$A$12,0))),1),""))</f>
        <v/>
      </c>
      <c r="J41" t="inlineStr">
        <is>
          <t>caesar_155</t>
        </is>
      </c>
      <c r="K41">
        <f>IF($J$41="","",IF(INDEX(cc_input_vu_khi!$B$2:$B$12,MATCH($J$41,cc_input_vu_khi!$A$2:$A$12,0))*INDEX(cc_input_bang_xuyen_giap!$B$2:$B$7,MIN(6,MAX(1,IF(INDEX(cc_input_vu_khi_suy_ra!$B$2:$B$12,MATCH($J$41,cc_input_vu_khi_suy_ra!$A$2:$A$12,0)),MAX(1,2-(INDEX(cc_input_vu_khi!$C$2:$C$12,MATCH($J$41,cc_input_vu_khi!$A$2:$A$12,0))-Thap!$K$51)),2-(INDEX(cc_input_vu_khi!$C$2:$C$12,MATCH($J$41,cc_input_vu_khi!$A$2:$A$12,0))-Thap!$K$51))+1)))*INDEX(cc_input_vu_khi_suy_ra!$D$2:$D$12,MATCH($J$41,cc_input_vu_khi_suy_ra!$A$2:$A$12,0))&gt;0,CEILING(Thap!$J$51/(INDEX(cc_input_vu_khi!$B$2:$B$12,MATCH($J$41,cc_input_vu_khi!$A$2:$A$12,0))*INDEX(cc_input_bang_xuyen_giap!$B$2:$B$7,MIN(6,MAX(1,IF(INDEX(cc_input_vu_khi_suy_ra!$B$2:$B$12,MATCH($J$41,cc_input_vu_khi_suy_ra!$A$2:$A$12,0)),MAX(1,2-(INDEX(cc_input_vu_khi!$C$2:$C$12,MATCH($J$41,cc_input_vu_khi!$A$2:$A$12,0))-Thap!$K$51)),2-(INDEX(cc_input_vu_khi!$C$2:$C$12,MATCH($J$41,cc_input_vu_khi!$A$2:$A$12,0))-Thap!$K$51))+1)))*INDEX(cc_input_vu_khi_suy_ra!$D$2:$D$12,MATCH($J$41,cc_input_vu_khi_suy_ra!$A$2:$A$12,0))),1),""))</f>
        <v/>
      </c>
      <c r="L41" t="inlineStr">
        <is>
          <t>Tools/balance/p32_tower_prices.py Model.price('inflatable_decoy.inflatable') + threats('Small')</t>
        </is>
      </c>
      <c r="M41" t="inlineStr"/>
    </row>
    <row r="42">
      <c r="A42" t="inlineStr">
        <is>
          <t>laser_ad_station</t>
        </is>
      </c>
      <c r="B42">
        <f>Thap_gia_cong_thuc!$Q$42</f>
        <v/>
      </c>
      <c r="C42">
        <f>IF(ISNUMBER($B$42),$B$42/Thap!$BN$52,"")</f>
        <v/>
      </c>
      <c r="D42" t="inlineStr">
        <is>
          <t>gun_105_ags</t>
        </is>
      </c>
      <c r="E42">
        <f>IF($D$42="","",IF(INDEX(cc_input_vu_khi!$B$2:$B$12,MATCH($D$42,cc_input_vu_khi!$A$2:$A$12,0))*INDEX(cc_input_bang_xuyen_giap!$B$2:$B$7,MIN(6,MAX(1,IF(INDEX(cc_input_vu_khi_suy_ra!$B$2:$B$12,MATCH($D$42,cc_input_vu_khi_suy_ra!$A$2:$A$12,0)),MAX(1,2-(INDEX(cc_input_vu_khi!$C$2:$C$12,MATCH($D$42,cc_input_vu_khi!$A$2:$A$12,0))-Thap!$K$52)),2-(INDEX(cc_input_vu_khi!$C$2:$C$12,MATCH($D$42,cc_input_vu_khi!$A$2:$A$12,0))-Thap!$K$52))+1)))*INDEX(cc_input_vu_khi_suy_ra!$D$2:$D$12,MATCH($D$42,cc_input_vu_khi_suy_ra!$A$2:$A$12,0))&gt;0,CEILING(Thap!$J$52/(INDEX(cc_input_vu_khi!$B$2:$B$12,MATCH($D$42,cc_input_vu_khi!$A$2:$A$12,0))*INDEX(cc_input_bang_xuyen_giap!$B$2:$B$7,MIN(6,MAX(1,IF(INDEX(cc_input_vu_khi_suy_ra!$B$2:$B$12,MATCH($D$42,cc_input_vu_khi_suy_ra!$A$2:$A$12,0)),MAX(1,2-(INDEX(cc_input_vu_khi!$C$2:$C$12,MATCH($D$42,cc_input_vu_khi!$A$2:$A$12,0))-Thap!$K$52)),2-(INDEX(cc_input_vu_khi!$C$2:$C$12,MATCH($D$42,cc_input_vu_khi!$A$2:$A$12,0))-Thap!$K$52))+1)))*INDEX(cc_input_vu_khi_suy_ra!$D$2:$D$12,MATCH($D$42,cc_input_vu_khi_suy_ra!$A$2:$A$12,0))),1),""))</f>
        <v/>
      </c>
      <c r="F42" t="inlineStr">
        <is>
          <t>gun_105_wheeled_he</t>
        </is>
      </c>
      <c r="G42">
        <f>IF($F$42="","",IF(INDEX(cc_input_vu_khi!$B$2:$B$12,MATCH($F$42,cc_input_vu_khi!$A$2:$A$12,0))*INDEX(cc_input_bang_xuyen_giap!$B$2:$B$7,MIN(6,MAX(1,IF(INDEX(cc_input_vu_khi_suy_ra!$B$2:$B$12,MATCH($F$42,cc_input_vu_khi_suy_ra!$A$2:$A$12,0)),MAX(1,2-(INDEX(cc_input_vu_khi!$C$2:$C$12,MATCH($F$42,cc_input_vu_khi!$A$2:$A$12,0))-Thap!$K$52)),2-(INDEX(cc_input_vu_khi!$C$2:$C$12,MATCH($F$42,cc_input_vu_khi!$A$2:$A$12,0))-Thap!$K$52))+1)))*INDEX(cc_input_vu_khi_suy_ra!$D$2:$D$12,MATCH($F$42,cc_input_vu_khi_suy_ra!$A$2:$A$12,0))&gt;0,CEILING(Thap!$J$52/(INDEX(cc_input_vu_khi!$B$2:$B$12,MATCH($F$42,cc_input_vu_khi!$A$2:$A$12,0))*INDEX(cc_input_bang_xuyen_giap!$B$2:$B$7,MIN(6,MAX(1,IF(INDEX(cc_input_vu_khi_suy_ra!$B$2:$B$12,MATCH($F$42,cc_input_vu_khi_suy_ra!$A$2:$A$12,0)),MAX(1,2-(INDEX(cc_input_vu_khi!$C$2:$C$12,MATCH($F$42,cc_input_vu_khi!$A$2:$A$12,0))-Thap!$K$52)),2-(INDEX(cc_input_vu_khi!$C$2:$C$12,MATCH($F$42,cc_input_vu_khi!$A$2:$A$12,0))-Thap!$K$52))+1)))*INDEX(cc_input_vu_khi_suy_ra!$D$2:$D$12,MATCH($F$42,cc_input_vu_khi_suy_ra!$A$2:$A$12,0))),1),""))</f>
        <v/>
      </c>
      <c r="H42" t="inlineStr">
        <is>
          <t>lancet</t>
        </is>
      </c>
      <c r="I42">
        <f>IF($H$42="","",IF(INDEX(cc_input_vu_khi!$B$2:$B$12,MATCH($H$42,cc_input_vu_khi!$A$2:$A$12,0))*INDEX(cc_input_bang_xuyen_giap!$B$2:$B$7,MIN(6,MAX(1,IF(INDEX(cc_input_vu_khi_suy_ra!$B$2:$B$12,MATCH($H$42,cc_input_vu_khi_suy_ra!$A$2:$A$12,0)),MAX(1,2-(INDEX(cc_input_vu_khi!$C$2:$C$12,MATCH($H$42,cc_input_vu_khi!$A$2:$A$12,0))-Thap!$K$52)),2-(INDEX(cc_input_vu_khi!$C$2:$C$12,MATCH($H$42,cc_input_vu_khi!$A$2:$A$12,0))-Thap!$K$52))+1)))*INDEX(cc_input_vu_khi_suy_ra!$D$2:$D$12,MATCH($H$42,cc_input_vu_khi_suy_ra!$A$2:$A$12,0))&gt;0,CEILING(Thap!$J$52/(INDEX(cc_input_vu_khi!$B$2:$B$12,MATCH($H$42,cc_input_vu_khi!$A$2:$A$12,0))*INDEX(cc_input_bang_xuyen_giap!$B$2:$B$7,MIN(6,MAX(1,IF(INDEX(cc_input_vu_khi_suy_ra!$B$2:$B$12,MATCH($H$42,cc_input_vu_khi_suy_ra!$A$2:$A$12,0)),MAX(1,2-(INDEX(cc_input_vu_khi!$C$2:$C$12,MATCH($H$42,cc_input_vu_khi!$A$2:$A$12,0))-Thap!$K$52)),2-(INDEX(cc_input_vu_khi!$C$2:$C$12,MATCH($H$42,cc_input_vu_khi!$A$2:$A$12,0))-Thap!$K$52))+1)))*INDEX(cc_input_vu_khi_suy_ra!$D$2:$D$12,MATCH($H$42,cc_input_vu_khi_suy_ra!$A$2:$A$12,0))),1),""))</f>
        <v/>
      </c>
      <c r="J42" t="inlineStr">
        <is>
          <t>mlrs_rockets</t>
        </is>
      </c>
      <c r="K42">
        <f>IF($J$42="","",IF(INDEX(cc_input_vu_khi!$B$2:$B$12,MATCH($J$42,cc_input_vu_khi!$A$2:$A$12,0))*INDEX(cc_input_bang_xuyen_giap!$B$2:$B$7,MIN(6,MAX(1,IF(INDEX(cc_input_vu_khi_suy_ra!$B$2:$B$12,MATCH($J$42,cc_input_vu_khi_suy_ra!$A$2:$A$12,0)),MAX(1,2-(INDEX(cc_input_vu_khi!$C$2:$C$12,MATCH($J$42,cc_input_vu_khi!$A$2:$A$12,0))-Thap!$K$52)),2-(INDEX(cc_input_vu_khi!$C$2:$C$12,MATCH($J$42,cc_input_vu_khi!$A$2:$A$12,0))-Thap!$K$52))+1)))*INDEX(cc_input_vu_khi_suy_ra!$D$2:$D$12,MATCH($J$42,cc_input_vu_khi_suy_ra!$A$2:$A$12,0))&gt;0,CEILING(Thap!$J$52/(INDEX(cc_input_vu_khi!$B$2:$B$12,MATCH($J$42,cc_input_vu_khi!$A$2:$A$12,0))*INDEX(cc_input_bang_xuyen_giap!$B$2:$B$7,MIN(6,MAX(1,IF(INDEX(cc_input_vu_khi_suy_ra!$B$2:$B$12,MATCH($J$42,cc_input_vu_khi_suy_ra!$A$2:$A$12,0)),MAX(1,2-(INDEX(cc_input_vu_khi!$C$2:$C$12,MATCH($J$42,cc_input_vu_khi!$A$2:$A$12,0))-Thap!$K$52)),2-(INDEX(cc_input_vu_khi!$C$2:$C$12,MATCH($J$42,cc_input_vu_khi!$A$2:$A$12,0))-Thap!$K$52))+1)))*INDEX(cc_input_vu_khi_suy_ra!$D$2:$D$12,MATCH($J$42,cc_input_vu_khi_suy_ra!$A$2:$A$12,0))),1),""))</f>
        <v/>
      </c>
      <c r="L42" t="inlineStr">
        <is>
          <t>Tools/balance/p32_tower_prices.py Model.price('laser_ad_station') + threats('Medium')</t>
        </is>
      </c>
      <c r="M42" t="inlineStr"/>
    </row>
    <row r="43">
      <c r="A43" t="inlineStr">
        <is>
          <t>laser_ad_station.laser</t>
        </is>
      </c>
      <c r="B43">
        <f>Thap_gia_cong_thuc!$Q$43</f>
        <v/>
      </c>
      <c r="C43">
        <f>IF(ISNUMBER($B$43),$B$43/Thap!$BN$53,"")</f>
        <v/>
      </c>
      <c r="D43" t="inlineStr">
        <is>
          <t>gun_105_ags</t>
        </is>
      </c>
      <c r="E43">
        <f>IF($D$43="","",IF(INDEX(cc_input_vu_khi!$B$2:$B$12,MATCH($D$43,cc_input_vu_khi!$A$2:$A$12,0))*INDEX(cc_input_bang_xuyen_giap!$B$2:$B$7,MIN(6,MAX(1,IF(INDEX(cc_input_vu_khi_suy_ra!$B$2:$B$12,MATCH($D$43,cc_input_vu_khi_suy_ra!$A$2:$A$12,0)),MAX(1,2-(INDEX(cc_input_vu_khi!$C$2:$C$12,MATCH($D$43,cc_input_vu_khi!$A$2:$A$12,0))-Thap!$K$53)),2-(INDEX(cc_input_vu_khi!$C$2:$C$12,MATCH($D$43,cc_input_vu_khi!$A$2:$A$12,0))-Thap!$K$53))+1)))*INDEX(cc_input_vu_khi_suy_ra!$D$2:$D$12,MATCH($D$43,cc_input_vu_khi_suy_ra!$A$2:$A$12,0))&gt;0,CEILING(Thap!$J$53/(INDEX(cc_input_vu_khi!$B$2:$B$12,MATCH($D$43,cc_input_vu_khi!$A$2:$A$12,0))*INDEX(cc_input_bang_xuyen_giap!$B$2:$B$7,MIN(6,MAX(1,IF(INDEX(cc_input_vu_khi_suy_ra!$B$2:$B$12,MATCH($D$43,cc_input_vu_khi_suy_ra!$A$2:$A$12,0)),MAX(1,2-(INDEX(cc_input_vu_khi!$C$2:$C$12,MATCH($D$43,cc_input_vu_khi!$A$2:$A$12,0))-Thap!$K$53)),2-(INDEX(cc_input_vu_khi!$C$2:$C$12,MATCH($D$43,cc_input_vu_khi!$A$2:$A$12,0))-Thap!$K$53))+1)))*INDEX(cc_input_vu_khi_suy_ra!$D$2:$D$12,MATCH($D$43,cc_input_vu_khi_suy_ra!$A$2:$A$12,0))),1),""))</f>
        <v/>
      </c>
      <c r="F43" t="inlineStr">
        <is>
          <t>gun_105_wheeled_he</t>
        </is>
      </c>
      <c r="G43">
        <f>IF($F$43="","",IF(INDEX(cc_input_vu_khi!$B$2:$B$12,MATCH($F$43,cc_input_vu_khi!$A$2:$A$12,0))*INDEX(cc_input_bang_xuyen_giap!$B$2:$B$7,MIN(6,MAX(1,IF(INDEX(cc_input_vu_khi_suy_ra!$B$2:$B$12,MATCH($F$43,cc_input_vu_khi_suy_ra!$A$2:$A$12,0)),MAX(1,2-(INDEX(cc_input_vu_khi!$C$2:$C$12,MATCH($F$43,cc_input_vu_khi!$A$2:$A$12,0))-Thap!$K$53)),2-(INDEX(cc_input_vu_khi!$C$2:$C$12,MATCH($F$43,cc_input_vu_khi!$A$2:$A$12,0))-Thap!$K$53))+1)))*INDEX(cc_input_vu_khi_suy_ra!$D$2:$D$12,MATCH($F$43,cc_input_vu_khi_suy_ra!$A$2:$A$12,0))&gt;0,CEILING(Thap!$J$53/(INDEX(cc_input_vu_khi!$B$2:$B$12,MATCH($F$43,cc_input_vu_khi!$A$2:$A$12,0))*INDEX(cc_input_bang_xuyen_giap!$B$2:$B$7,MIN(6,MAX(1,IF(INDEX(cc_input_vu_khi_suy_ra!$B$2:$B$12,MATCH($F$43,cc_input_vu_khi_suy_ra!$A$2:$A$12,0)),MAX(1,2-(INDEX(cc_input_vu_khi!$C$2:$C$12,MATCH($F$43,cc_input_vu_khi!$A$2:$A$12,0))-Thap!$K$53)),2-(INDEX(cc_input_vu_khi!$C$2:$C$12,MATCH($F$43,cc_input_vu_khi!$A$2:$A$12,0))-Thap!$K$53))+1)))*INDEX(cc_input_vu_khi_suy_ra!$D$2:$D$12,MATCH($F$43,cc_input_vu_khi_suy_ra!$A$2:$A$12,0))),1),""))</f>
        <v/>
      </c>
      <c r="H43" t="inlineStr">
        <is>
          <t>lancet</t>
        </is>
      </c>
      <c r="I43">
        <f>IF($H$43="","",IF(INDEX(cc_input_vu_khi!$B$2:$B$12,MATCH($H$43,cc_input_vu_khi!$A$2:$A$12,0))*INDEX(cc_input_bang_xuyen_giap!$B$2:$B$7,MIN(6,MAX(1,IF(INDEX(cc_input_vu_khi_suy_ra!$B$2:$B$12,MATCH($H$43,cc_input_vu_khi_suy_ra!$A$2:$A$12,0)),MAX(1,2-(INDEX(cc_input_vu_khi!$C$2:$C$12,MATCH($H$43,cc_input_vu_khi!$A$2:$A$12,0))-Thap!$K$53)),2-(INDEX(cc_input_vu_khi!$C$2:$C$12,MATCH($H$43,cc_input_vu_khi!$A$2:$A$12,0))-Thap!$K$53))+1)))*INDEX(cc_input_vu_khi_suy_ra!$D$2:$D$12,MATCH($H$43,cc_input_vu_khi_suy_ra!$A$2:$A$12,0))&gt;0,CEILING(Thap!$J$53/(INDEX(cc_input_vu_khi!$B$2:$B$12,MATCH($H$43,cc_input_vu_khi!$A$2:$A$12,0))*INDEX(cc_input_bang_xuyen_giap!$B$2:$B$7,MIN(6,MAX(1,IF(INDEX(cc_input_vu_khi_suy_ra!$B$2:$B$12,MATCH($H$43,cc_input_vu_khi_suy_ra!$A$2:$A$12,0)),MAX(1,2-(INDEX(cc_input_vu_khi!$C$2:$C$12,MATCH($H$43,cc_input_vu_khi!$A$2:$A$12,0))-Thap!$K$53)),2-(INDEX(cc_input_vu_khi!$C$2:$C$12,MATCH($H$43,cc_input_vu_khi!$A$2:$A$12,0))-Thap!$K$53))+1)))*INDEX(cc_input_vu_khi_suy_ra!$D$2:$D$12,MATCH($H$43,cc_input_vu_khi_suy_ra!$A$2:$A$12,0))),1),""))</f>
        <v/>
      </c>
      <c r="J43" t="inlineStr">
        <is>
          <t>mlrs_rockets</t>
        </is>
      </c>
      <c r="K43">
        <f>IF($J$43="","",IF(INDEX(cc_input_vu_khi!$B$2:$B$12,MATCH($J$43,cc_input_vu_khi!$A$2:$A$12,0))*INDEX(cc_input_bang_xuyen_giap!$B$2:$B$7,MIN(6,MAX(1,IF(INDEX(cc_input_vu_khi_suy_ra!$B$2:$B$12,MATCH($J$43,cc_input_vu_khi_suy_ra!$A$2:$A$12,0)),MAX(1,2-(INDEX(cc_input_vu_khi!$C$2:$C$12,MATCH($J$43,cc_input_vu_khi!$A$2:$A$12,0))-Thap!$K$53)),2-(INDEX(cc_input_vu_khi!$C$2:$C$12,MATCH($J$43,cc_input_vu_khi!$A$2:$A$12,0))-Thap!$K$53))+1)))*INDEX(cc_input_vu_khi_suy_ra!$D$2:$D$12,MATCH($J$43,cc_input_vu_khi_suy_ra!$A$2:$A$12,0))&gt;0,CEILING(Thap!$J$53/(INDEX(cc_input_vu_khi!$B$2:$B$12,MATCH($J$43,cc_input_vu_khi!$A$2:$A$12,0))*INDEX(cc_input_bang_xuyen_giap!$B$2:$B$7,MIN(6,MAX(1,IF(INDEX(cc_input_vu_khi_suy_ra!$B$2:$B$12,MATCH($J$43,cc_input_vu_khi_suy_ra!$A$2:$A$12,0)),MAX(1,2-(INDEX(cc_input_vu_khi!$C$2:$C$12,MATCH($J$43,cc_input_vu_khi!$A$2:$A$12,0))-Thap!$K$53)),2-(INDEX(cc_input_vu_khi!$C$2:$C$12,MATCH($J$43,cc_input_vu_khi!$A$2:$A$12,0))-Thap!$K$53))+1)))*INDEX(cc_input_vu_khi_suy_ra!$D$2:$D$12,MATCH($J$43,cc_input_vu_khi_suy_ra!$A$2:$A$12,0))),1),""))</f>
        <v/>
      </c>
      <c r="L43" t="inlineStr">
        <is>
          <t>Tools/balance/p32_tower_prices.py Model.price('laser_ad_station.laser') + threats('Medium')</t>
        </is>
      </c>
      <c r="M43" t="inlineStr"/>
    </row>
    <row r="44">
      <c r="A44" t="inlineStr">
        <is>
          <t>laser_ad_station.net</t>
        </is>
      </c>
      <c r="B44">
        <f>Thap_gia_cong_thuc!$Q$44</f>
        <v/>
      </c>
      <c r="C44">
        <f>IF(ISNUMBER($B$44),$B$44/Thap!$BN$54,"")</f>
        <v/>
      </c>
      <c r="D44" t="inlineStr">
        <is>
          <t>gun_105_ags</t>
        </is>
      </c>
      <c r="E44">
        <f>IF($D$44="","",IF(INDEX(cc_input_vu_khi!$B$2:$B$12,MATCH($D$44,cc_input_vu_khi!$A$2:$A$12,0))*INDEX(cc_input_bang_xuyen_giap!$B$2:$B$7,MIN(6,MAX(1,IF(INDEX(cc_input_vu_khi_suy_ra!$B$2:$B$12,MATCH($D$44,cc_input_vu_khi_suy_ra!$A$2:$A$12,0)),MAX(1,2-(INDEX(cc_input_vu_khi!$C$2:$C$12,MATCH($D$44,cc_input_vu_khi!$A$2:$A$12,0))-Thap!$K$54)),2-(INDEX(cc_input_vu_khi!$C$2:$C$12,MATCH($D$44,cc_input_vu_khi!$A$2:$A$12,0))-Thap!$K$54))+1)))*INDEX(cc_input_vu_khi_suy_ra!$D$2:$D$12,MATCH($D$44,cc_input_vu_khi_suy_ra!$A$2:$A$12,0))&gt;0,CEILING(Thap!$J$54/(INDEX(cc_input_vu_khi!$B$2:$B$12,MATCH($D$44,cc_input_vu_khi!$A$2:$A$12,0))*INDEX(cc_input_bang_xuyen_giap!$B$2:$B$7,MIN(6,MAX(1,IF(INDEX(cc_input_vu_khi_suy_ra!$B$2:$B$12,MATCH($D$44,cc_input_vu_khi_suy_ra!$A$2:$A$12,0)),MAX(1,2-(INDEX(cc_input_vu_khi!$C$2:$C$12,MATCH($D$44,cc_input_vu_khi!$A$2:$A$12,0))-Thap!$K$54)),2-(INDEX(cc_input_vu_khi!$C$2:$C$12,MATCH($D$44,cc_input_vu_khi!$A$2:$A$12,0))-Thap!$K$54))+1)))*INDEX(cc_input_vu_khi_suy_ra!$D$2:$D$12,MATCH($D$44,cc_input_vu_khi_suy_ra!$A$2:$A$12,0))),1),""))</f>
        <v/>
      </c>
      <c r="F44" t="inlineStr">
        <is>
          <t>gun_105_wheeled_he</t>
        </is>
      </c>
      <c r="G44">
        <f>IF($F$44="","",IF(INDEX(cc_input_vu_khi!$B$2:$B$12,MATCH($F$44,cc_input_vu_khi!$A$2:$A$12,0))*INDEX(cc_input_bang_xuyen_giap!$B$2:$B$7,MIN(6,MAX(1,IF(INDEX(cc_input_vu_khi_suy_ra!$B$2:$B$12,MATCH($F$44,cc_input_vu_khi_suy_ra!$A$2:$A$12,0)),MAX(1,2-(INDEX(cc_input_vu_khi!$C$2:$C$12,MATCH($F$44,cc_input_vu_khi!$A$2:$A$12,0))-Thap!$K$54)),2-(INDEX(cc_input_vu_khi!$C$2:$C$12,MATCH($F$44,cc_input_vu_khi!$A$2:$A$12,0))-Thap!$K$54))+1)))*INDEX(cc_input_vu_khi_suy_ra!$D$2:$D$12,MATCH($F$44,cc_input_vu_khi_suy_ra!$A$2:$A$12,0))&gt;0,CEILING(Thap!$J$54/(INDEX(cc_input_vu_khi!$B$2:$B$12,MATCH($F$44,cc_input_vu_khi!$A$2:$A$12,0))*INDEX(cc_input_bang_xuyen_giap!$B$2:$B$7,MIN(6,MAX(1,IF(INDEX(cc_input_vu_khi_suy_ra!$B$2:$B$12,MATCH($F$44,cc_input_vu_khi_suy_ra!$A$2:$A$12,0)),MAX(1,2-(INDEX(cc_input_vu_khi!$C$2:$C$12,MATCH($F$44,cc_input_vu_khi!$A$2:$A$12,0))-Thap!$K$54)),2-(INDEX(cc_input_vu_khi!$C$2:$C$12,MATCH($F$44,cc_input_vu_khi!$A$2:$A$12,0))-Thap!$K$54))+1)))*INDEX(cc_input_vu_khi_suy_ra!$D$2:$D$12,MATCH($F$44,cc_input_vu_khi_suy_ra!$A$2:$A$12,0))),1),""))</f>
        <v/>
      </c>
      <c r="H44" t="inlineStr">
        <is>
          <t>lancet</t>
        </is>
      </c>
      <c r="I44">
        <f>IF($H$44="","",IF(INDEX(cc_input_vu_khi!$B$2:$B$12,MATCH($H$44,cc_input_vu_khi!$A$2:$A$12,0))*INDEX(cc_input_bang_xuyen_giap!$B$2:$B$7,MIN(6,MAX(1,IF(INDEX(cc_input_vu_khi_suy_ra!$B$2:$B$12,MATCH($H$44,cc_input_vu_khi_suy_ra!$A$2:$A$12,0)),MAX(1,2-(INDEX(cc_input_vu_khi!$C$2:$C$12,MATCH($H$44,cc_input_vu_khi!$A$2:$A$12,0))-Thap!$K$54)),2-(INDEX(cc_input_vu_khi!$C$2:$C$12,MATCH($H$44,cc_input_vu_khi!$A$2:$A$12,0))-Thap!$K$54))+1)))*INDEX(cc_input_vu_khi_suy_ra!$D$2:$D$12,MATCH($H$44,cc_input_vu_khi_suy_ra!$A$2:$A$12,0))&gt;0,CEILING(Thap!$J$54/(INDEX(cc_input_vu_khi!$B$2:$B$12,MATCH($H$44,cc_input_vu_khi!$A$2:$A$12,0))*INDEX(cc_input_bang_xuyen_giap!$B$2:$B$7,MIN(6,MAX(1,IF(INDEX(cc_input_vu_khi_suy_ra!$B$2:$B$12,MATCH($H$44,cc_input_vu_khi_suy_ra!$A$2:$A$12,0)),MAX(1,2-(INDEX(cc_input_vu_khi!$C$2:$C$12,MATCH($H$44,cc_input_vu_khi!$A$2:$A$12,0))-Thap!$K$54)),2-(INDEX(cc_input_vu_khi!$C$2:$C$12,MATCH($H$44,cc_input_vu_khi!$A$2:$A$12,0))-Thap!$K$54))+1)))*INDEX(cc_input_vu_khi_suy_ra!$D$2:$D$12,MATCH($H$44,cc_input_vu_khi_suy_ra!$A$2:$A$12,0))),1),""))</f>
        <v/>
      </c>
      <c r="J44" t="inlineStr">
        <is>
          <t>mlrs_rockets</t>
        </is>
      </c>
      <c r="K44">
        <f>IF($J$44="","",IF(INDEX(cc_input_vu_khi!$B$2:$B$12,MATCH($J$44,cc_input_vu_khi!$A$2:$A$12,0))*INDEX(cc_input_bang_xuyen_giap!$B$2:$B$7,MIN(6,MAX(1,IF(INDEX(cc_input_vu_khi_suy_ra!$B$2:$B$12,MATCH($J$44,cc_input_vu_khi_suy_ra!$A$2:$A$12,0)),MAX(1,2-(INDEX(cc_input_vu_khi!$C$2:$C$12,MATCH($J$44,cc_input_vu_khi!$A$2:$A$12,0))-Thap!$K$54)),2-(INDEX(cc_input_vu_khi!$C$2:$C$12,MATCH($J$44,cc_input_vu_khi!$A$2:$A$12,0))-Thap!$K$54))+1)))*INDEX(cc_input_vu_khi_suy_ra!$D$2:$D$12,MATCH($J$44,cc_input_vu_khi_suy_ra!$A$2:$A$12,0))&gt;0,CEILING(Thap!$J$54/(INDEX(cc_input_vu_khi!$B$2:$B$12,MATCH($J$44,cc_input_vu_khi!$A$2:$A$12,0))*INDEX(cc_input_bang_xuyen_giap!$B$2:$B$7,MIN(6,MAX(1,IF(INDEX(cc_input_vu_khi_suy_ra!$B$2:$B$12,MATCH($J$44,cc_input_vu_khi_suy_ra!$A$2:$A$12,0)),MAX(1,2-(INDEX(cc_input_vu_khi!$C$2:$C$12,MATCH($J$44,cc_input_vu_khi!$A$2:$A$12,0))-Thap!$K$54)),2-(INDEX(cc_input_vu_khi!$C$2:$C$12,MATCH($J$44,cc_input_vu_khi!$A$2:$A$12,0))-Thap!$K$54))+1)))*INDEX(cc_input_vu_khi_suy_ra!$D$2:$D$12,MATCH($J$44,cc_input_vu_khi_suy_ra!$A$2:$A$12,0))),1),""))</f>
        <v/>
      </c>
      <c r="L44" t="inlineStr">
        <is>
          <t>Tools/balance/p32_tower_prices.py Model.price('laser_ad_station.net') + threats('Medium')</t>
        </is>
      </c>
      <c r="M44" t="inlineStr"/>
    </row>
    <row r="45">
      <c r="A45" t="inlineStr">
        <is>
          <t>mg_bunker</t>
        </is>
      </c>
      <c r="B45">
        <f>Thap_gia_cong_thuc!$Q$45</f>
        <v/>
      </c>
      <c r="C45">
        <f>IF(ISNUMBER($B$45),$B$45/Thap!$BN$56,"")</f>
        <v/>
      </c>
      <c r="D45" t="inlineStr">
        <is>
          <t>ifv_30</t>
        </is>
      </c>
      <c r="E45">
        <f>IF($D$45="","",IF(INDEX(cc_input_vu_khi!$B$2:$B$12,MATCH($D$45,cc_input_vu_khi!$A$2:$A$12,0))*INDEX(cc_input_bang_xuyen_giap!$B$2:$B$7,MIN(6,MAX(1,IF(INDEX(cc_input_vu_khi_suy_ra!$B$2:$B$12,MATCH($D$45,cc_input_vu_khi_suy_ra!$A$2:$A$12,0)),MAX(1,2-(INDEX(cc_input_vu_khi!$C$2:$C$12,MATCH($D$45,cc_input_vu_khi!$A$2:$A$12,0))-Thap!$K$56)),2-(INDEX(cc_input_vu_khi!$C$2:$C$12,MATCH($D$45,cc_input_vu_khi!$A$2:$A$12,0))-Thap!$K$56))+1)))*INDEX(cc_input_vu_khi_suy_ra!$D$2:$D$12,MATCH($D$45,cc_input_vu_khi_suy_ra!$A$2:$A$12,0))&gt;0,CEILING(Thap!$J$56/(INDEX(cc_input_vu_khi!$B$2:$B$12,MATCH($D$45,cc_input_vu_khi!$A$2:$A$12,0))*INDEX(cc_input_bang_xuyen_giap!$B$2:$B$7,MIN(6,MAX(1,IF(INDEX(cc_input_vu_khi_suy_ra!$B$2:$B$12,MATCH($D$45,cc_input_vu_khi_suy_ra!$A$2:$A$12,0)),MAX(1,2-(INDEX(cc_input_vu_khi!$C$2:$C$12,MATCH($D$45,cc_input_vu_khi!$A$2:$A$12,0))-Thap!$K$56)),2-(INDEX(cc_input_vu_khi!$C$2:$C$12,MATCH($D$45,cc_input_vu_khi!$A$2:$A$12,0))-Thap!$K$56))+1)))*INDEX(cc_input_vu_khi_suy_ra!$D$2:$D$12,MATCH($D$45,cc_input_vu_khi_suy_ra!$A$2:$A$12,0))),1),""))</f>
        <v/>
      </c>
      <c r="F45" t="inlineStr">
        <is>
          <t>gun_105_wheeled_he</t>
        </is>
      </c>
      <c r="G45">
        <f>IF($F$45="","",IF(INDEX(cc_input_vu_khi!$B$2:$B$12,MATCH($F$45,cc_input_vu_khi!$A$2:$A$12,0))*INDEX(cc_input_bang_xuyen_giap!$B$2:$B$7,MIN(6,MAX(1,IF(INDEX(cc_input_vu_khi_suy_ra!$B$2:$B$12,MATCH($F$45,cc_input_vu_khi_suy_ra!$A$2:$A$12,0)),MAX(1,2-(INDEX(cc_input_vu_khi!$C$2:$C$12,MATCH($F$45,cc_input_vu_khi!$A$2:$A$12,0))-Thap!$K$56)),2-(INDEX(cc_input_vu_khi!$C$2:$C$12,MATCH($F$45,cc_input_vu_khi!$A$2:$A$12,0))-Thap!$K$56))+1)))*INDEX(cc_input_vu_khi_suy_ra!$D$2:$D$12,MATCH($F$45,cc_input_vu_khi_suy_ra!$A$2:$A$12,0))&gt;0,CEILING(Thap!$J$56/(INDEX(cc_input_vu_khi!$B$2:$B$12,MATCH($F$45,cc_input_vu_khi!$A$2:$A$12,0))*INDEX(cc_input_bang_xuyen_giap!$B$2:$B$7,MIN(6,MAX(1,IF(INDEX(cc_input_vu_khi_suy_ra!$B$2:$B$12,MATCH($F$45,cc_input_vu_khi_suy_ra!$A$2:$A$12,0)),MAX(1,2-(INDEX(cc_input_vu_khi!$C$2:$C$12,MATCH($F$45,cc_input_vu_khi!$A$2:$A$12,0))-Thap!$K$56)),2-(INDEX(cc_input_vu_khi!$C$2:$C$12,MATCH($F$45,cc_input_vu_khi!$A$2:$A$12,0))-Thap!$K$56))+1)))*INDEX(cc_input_vu_khi_suy_ra!$D$2:$D$12,MATCH($F$45,cc_input_vu_khi_suy_ra!$A$2:$A$12,0))),1),""))</f>
        <v/>
      </c>
      <c r="H45" t="inlineStr">
        <is>
          <t>khrizantema</t>
        </is>
      </c>
      <c r="I45">
        <f>IF($H$45="","",IF(INDEX(cc_input_vu_khi!$B$2:$B$12,MATCH($H$45,cc_input_vu_khi!$A$2:$A$12,0))*INDEX(cc_input_bang_xuyen_giap!$B$2:$B$7,MIN(6,MAX(1,IF(INDEX(cc_input_vu_khi_suy_ra!$B$2:$B$12,MATCH($H$45,cc_input_vu_khi_suy_ra!$A$2:$A$12,0)),MAX(1,2-(INDEX(cc_input_vu_khi!$C$2:$C$12,MATCH($H$45,cc_input_vu_khi!$A$2:$A$12,0))-Thap!$K$56)),2-(INDEX(cc_input_vu_khi!$C$2:$C$12,MATCH($H$45,cc_input_vu_khi!$A$2:$A$12,0))-Thap!$K$56))+1)))*INDEX(cc_input_vu_khi_suy_ra!$D$2:$D$12,MATCH($H$45,cc_input_vu_khi_suy_ra!$A$2:$A$12,0))&gt;0,CEILING(Thap!$J$56/(INDEX(cc_input_vu_khi!$B$2:$B$12,MATCH($H$45,cc_input_vu_khi!$A$2:$A$12,0))*INDEX(cc_input_bang_xuyen_giap!$B$2:$B$7,MIN(6,MAX(1,IF(INDEX(cc_input_vu_khi_suy_ra!$B$2:$B$12,MATCH($H$45,cc_input_vu_khi_suy_ra!$A$2:$A$12,0)),MAX(1,2-(INDEX(cc_input_vu_khi!$C$2:$C$12,MATCH($H$45,cc_input_vu_khi!$A$2:$A$12,0))-Thap!$K$56)),2-(INDEX(cc_input_vu_khi!$C$2:$C$12,MATCH($H$45,cc_input_vu_khi!$A$2:$A$12,0))-Thap!$K$56))+1)))*INDEX(cc_input_vu_khi_suy_ra!$D$2:$D$12,MATCH($H$45,cc_input_vu_khi_suy_ra!$A$2:$A$12,0))),1),""))</f>
        <v/>
      </c>
      <c r="J45" t="inlineStr">
        <is>
          <t>caesar_155</t>
        </is>
      </c>
      <c r="K45">
        <f>IF($J$45="","",IF(INDEX(cc_input_vu_khi!$B$2:$B$12,MATCH($J$45,cc_input_vu_khi!$A$2:$A$12,0))*INDEX(cc_input_bang_xuyen_giap!$B$2:$B$7,MIN(6,MAX(1,IF(INDEX(cc_input_vu_khi_suy_ra!$B$2:$B$12,MATCH($J$45,cc_input_vu_khi_suy_ra!$A$2:$A$12,0)),MAX(1,2-(INDEX(cc_input_vu_khi!$C$2:$C$12,MATCH($J$45,cc_input_vu_khi!$A$2:$A$12,0))-Thap!$K$56)),2-(INDEX(cc_input_vu_khi!$C$2:$C$12,MATCH($J$45,cc_input_vu_khi!$A$2:$A$12,0))-Thap!$K$56))+1)))*INDEX(cc_input_vu_khi_suy_ra!$D$2:$D$12,MATCH($J$45,cc_input_vu_khi_suy_ra!$A$2:$A$12,0))&gt;0,CEILING(Thap!$J$56/(INDEX(cc_input_vu_khi!$B$2:$B$12,MATCH($J$45,cc_input_vu_khi!$A$2:$A$12,0))*INDEX(cc_input_bang_xuyen_giap!$B$2:$B$7,MIN(6,MAX(1,IF(INDEX(cc_input_vu_khi_suy_ra!$B$2:$B$12,MATCH($J$45,cc_input_vu_khi_suy_ra!$A$2:$A$12,0)),MAX(1,2-(INDEX(cc_input_vu_khi!$C$2:$C$12,MATCH($J$45,cc_input_vu_khi!$A$2:$A$12,0))-Thap!$K$56)),2-(INDEX(cc_input_vu_khi!$C$2:$C$12,MATCH($J$45,cc_input_vu_khi!$A$2:$A$12,0))-Thap!$K$56))+1)))*INDEX(cc_input_vu_khi_suy_ra!$D$2:$D$12,MATCH($J$45,cc_input_vu_khi_suy_ra!$A$2:$A$12,0))),1),""))</f>
        <v/>
      </c>
      <c r="L45" t="inlineStr">
        <is>
          <t>Tools/balance/p32_tower_prices.py Model.price('mg_bunker') + threats('Small')</t>
        </is>
      </c>
      <c r="M45" t="inlineStr"/>
    </row>
    <row r="46">
      <c r="A46" t="inlineStr">
        <is>
          <t>mg_bunker.flame</t>
        </is>
      </c>
      <c r="B46">
        <f>Thap_gia_cong_thuc!$Q$46</f>
        <v/>
      </c>
      <c r="C46">
        <f>IF(ISNUMBER($B$46),$B$46/Thap!$BN$57,"")</f>
        <v/>
      </c>
      <c r="D46" t="inlineStr">
        <is>
          <t>ifv_30</t>
        </is>
      </c>
      <c r="E46">
        <f>IF($D$46="","",IF(INDEX(cc_input_vu_khi!$B$2:$B$12,MATCH($D$46,cc_input_vu_khi!$A$2:$A$12,0))*INDEX(cc_input_bang_xuyen_giap!$B$2:$B$7,MIN(6,MAX(1,IF(INDEX(cc_input_vu_khi_suy_ra!$B$2:$B$12,MATCH($D$46,cc_input_vu_khi_suy_ra!$A$2:$A$12,0)),MAX(1,2-(INDEX(cc_input_vu_khi!$C$2:$C$12,MATCH($D$46,cc_input_vu_khi!$A$2:$A$12,0))-Thap!$K$57)),2-(INDEX(cc_input_vu_khi!$C$2:$C$12,MATCH($D$46,cc_input_vu_khi!$A$2:$A$12,0))-Thap!$K$57))+1)))*INDEX(cc_input_vu_khi_suy_ra!$D$2:$D$12,MATCH($D$46,cc_input_vu_khi_suy_ra!$A$2:$A$12,0))&gt;0,CEILING(Thap!$J$57/(INDEX(cc_input_vu_khi!$B$2:$B$12,MATCH($D$46,cc_input_vu_khi!$A$2:$A$12,0))*INDEX(cc_input_bang_xuyen_giap!$B$2:$B$7,MIN(6,MAX(1,IF(INDEX(cc_input_vu_khi_suy_ra!$B$2:$B$12,MATCH($D$46,cc_input_vu_khi_suy_ra!$A$2:$A$12,0)),MAX(1,2-(INDEX(cc_input_vu_khi!$C$2:$C$12,MATCH($D$46,cc_input_vu_khi!$A$2:$A$12,0))-Thap!$K$57)),2-(INDEX(cc_input_vu_khi!$C$2:$C$12,MATCH($D$46,cc_input_vu_khi!$A$2:$A$12,0))-Thap!$K$57))+1)))*INDEX(cc_input_vu_khi_suy_ra!$D$2:$D$12,MATCH($D$46,cc_input_vu_khi_suy_ra!$A$2:$A$12,0))),1),""))</f>
        <v/>
      </c>
      <c r="F46" t="inlineStr">
        <is>
          <t>gun_105_wheeled_he</t>
        </is>
      </c>
      <c r="G46">
        <f>IF($F$46="","",IF(INDEX(cc_input_vu_khi!$B$2:$B$12,MATCH($F$46,cc_input_vu_khi!$A$2:$A$12,0))*INDEX(cc_input_bang_xuyen_giap!$B$2:$B$7,MIN(6,MAX(1,IF(INDEX(cc_input_vu_khi_suy_ra!$B$2:$B$12,MATCH($F$46,cc_input_vu_khi_suy_ra!$A$2:$A$12,0)),MAX(1,2-(INDEX(cc_input_vu_khi!$C$2:$C$12,MATCH($F$46,cc_input_vu_khi!$A$2:$A$12,0))-Thap!$K$57)),2-(INDEX(cc_input_vu_khi!$C$2:$C$12,MATCH($F$46,cc_input_vu_khi!$A$2:$A$12,0))-Thap!$K$57))+1)))*INDEX(cc_input_vu_khi_suy_ra!$D$2:$D$12,MATCH($F$46,cc_input_vu_khi_suy_ra!$A$2:$A$12,0))&gt;0,CEILING(Thap!$J$57/(INDEX(cc_input_vu_khi!$B$2:$B$12,MATCH($F$46,cc_input_vu_khi!$A$2:$A$12,0))*INDEX(cc_input_bang_xuyen_giap!$B$2:$B$7,MIN(6,MAX(1,IF(INDEX(cc_input_vu_khi_suy_ra!$B$2:$B$12,MATCH($F$46,cc_input_vu_khi_suy_ra!$A$2:$A$12,0)),MAX(1,2-(INDEX(cc_input_vu_khi!$C$2:$C$12,MATCH($F$46,cc_input_vu_khi!$A$2:$A$12,0))-Thap!$K$57)),2-(INDEX(cc_input_vu_khi!$C$2:$C$12,MATCH($F$46,cc_input_vu_khi!$A$2:$A$12,0))-Thap!$K$57))+1)))*INDEX(cc_input_vu_khi_suy_ra!$D$2:$D$12,MATCH($F$46,cc_input_vu_khi_suy_ra!$A$2:$A$12,0))),1),""))</f>
        <v/>
      </c>
      <c r="H46" t="inlineStr">
        <is>
          <t>khrizantema</t>
        </is>
      </c>
      <c r="I46">
        <f>IF($H$46="","",IF(INDEX(cc_input_vu_khi!$B$2:$B$12,MATCH($H$46,cc_input_vu_khi!$A$2:$A$12,0))*INDEX(cc_input_bang_xuyen_giap!$B$2:$B$7,MIN(6,MAX(1,IF(INDEX(cc_input_vu_khi_suy_ra!$B$2:$B$12,MATCH($H$46,cc_input_vu_khi_suy_ra!$A$2:$A$12,0)),MAX(1,2-(INDEX(cc_input_vu_khi!$C$2:$C$12,MATCH($H$46,cc_input_vu_khi!$A$2:$A$12,0))-Thap!$K$57)),2-(INDEX(cc_input_vu_khi!$C$2:$C$12,MATCH($H$46,cc_input_vu_khi!$A$2:$A$12,0))-Thap!$K$57))+1)))*INDEX(cc_input_vu_khi_suy_ra!$D$2:$D$12,MATCH($H$46,cc_input_vu_khi_suy_ra!$A$2:$A$12,0))&gt;0,CEILING(Thap!$J$57/(INDEX(cc_input_vu_khi!$B$2:$B$12,MATCH($H$46,cc_input_vu_khi!$A$2:$A$12,0))*INDEX(cc_input_bang_xuyen_giap!$B$2:$B$7,MIN(6,MAX(1,IF(INDEX(cc_input_vu_khi_suy_ra!$B$2:$B$12,MATCH($H$46,cc_input_vu_khi_suy_ra!$A$2:$A$12,0)),MAX(1,2-(INDEX(cc_input_vu_khi!$C$2:$C$12,MATCH($H$46,cc_input_vu_khi!$A$2:$A$12,0))-Thap!$K$57)),2-(INDEX(cc_input_vu_khi!$C$2:$C$12,MATCH($H$46,cc_input_vu_khi!$A$2:$A$12,0))-Thap!$K$57))+1)))*INDEX(cc_input_vu_khi_suy_ra!$D$2:$D$12,MATCH($H$46,cc_input_vu_khi_suy_ra!$A$2:$A$12,0))),1),""))</f>
        <v/>
      </c>
      <c r="J46" t="inlineStr">
        <is>
          <t>caesar_155</t>
        </is>
      </c>
      <c r="K46">
        <f>IF($J$46="","",IF(INDEX(cc_input_vu_khi!$B$2:$B$12,MATCH($J$46,cc_input_vu_khi!$A$2:$A$12,0))*INDEX(cc_input_bang_xuyen_giap!$B$2:$B$7,MIN(6,MAX(1,IF(INDEX(cc_input_vu_khi_suy_ra!$B$2:$B$12,MATCH($J$46,cc_input_vu_khi_suy_ra!$A$2:$A$12,0)),MAX(1,2-(INDEX(cc_input_vu_khi!$C$2:$C$12,MATCH($J$46,cc_input_vu_khi!$A$2:$A$12,0))-Thap!$K$57)),2-(INDEX(cc_input_vu_khi!$C$2:$C$12,MATCH($J$46,cc_input_vu_khi!$A$2:$A$12,0))-Thap!$K$57))+1)))*INDEX(cc_input_vu_khi_suy_ra!$D$2:$D$12,MATCH($J$46,cc_input_vu_khi_suy_ra!$A$2:$A$12,0))&gt;0,CEILING(Thap!$J$57/(INDEX(cc_input_vu_khi!$B$2:$B$12,MATCH($J$46,cc_input_vu_khi!$A$2:$A$12,0))*INDEX(cc_input_bang_xuyen_giap!$B$2:$B$7,MIN(6,MAX(1,IF(INDEX(cc_input_vu_khi_suy_ra!$B$2:$B$12,MATCH($J$46,cc_input_vu_khi_suy_ra!$A$2:$A$12,0)),MAX(1,2-(INDEX(cc_input_vu_khi!$C$2:$C$12,MATCH($J$46,cc_input_vu_khi!$A$2:$A$12,0))-Thap!$K$57)),2-(INDEX(cc_input_vu_khi!$C$2:$C$12,MATCH($J$46,cc_input_vu_khi!$A$2:$A$12,0))-Thap!$K$57))+1)))*INDEX(cc_input_vu_khi_suy_ra!$D$2:$D$12,MATCH($J$46,cc_input_vu_khi_suy_ra!$A$2:$A$12,0))),1),""))</f>
        <v/>
      </c>
      <c r="L46" t="inlineStr">
        <is>
          <t>Tools/balance/p32_tower_prices.py Model.price('mg_bunker.flame') + threats('Small')</t>
        </is>
      </c>
      <c r="M46" t="inlineStr"/>
    </row>
    <row r="47">
      <c r="A47" t="inlineStr">
        <is>
          <t>mg_bunker.twin</t>
        </is>
      </c>
      <c r="B47">
        <f>Thap_gia_cong_thuc!$Q$47</f>
        <v/>
      </c>
      <c r="C47">
        <f>IF(ISNUMBER($B$47),$B$47/Thap!$BN$58,"")</f>
        <v/>
      </c>
      <c r="D47" t="inlineStr">
        <is>
          <t>ifv_30</t>
        </is>
      </c>
      <c r="E47">
        <f>IF($D$47="","",IF(INDEX(cc_input_vu_khi!$B$2:$B$12,MATCH($D$47,cc_input_vu_khi!$A$2:$A$12,0))*INDEX(cc_input_bang_xuyen_giap!$B$2:$B$7,MIN(6,MAX(1,IF(INDEX(cc_input_vu_khi_suy_ra!$B$2:$B$12,MATCH($D$47,cc_input_vu_khi_suy_ra!$A$2:$A$12,0)),MAX(1,2-(INDEX(cc_input_vu_khi!$C$2:$C$12,MATCH($D$47,cc_input_vu_khi!$A$2:$A$12,0))-Thap!$K$58)),2-(INDEX(cc_input_vu_khi!$C$2:$C$12,MATCH($D$47,cc_input_vu_khi!$A$2:$A$12,0))-Thap!$K$58))+1)))*INDEX(cc_input_vu_khi_suy_ra!$D$2:$D$12,MATCH($D$47,cc_input_vu_khi_suy_ra!$A$2:$A$12,0))&gt;0,CEILING(Thap!$J$58/(INDEX(cc_input_vu_khi!$B$2:$B$12,MATCH($D$47,cc_input_vu_khi!$A$2:$A$12,0))*INDEX(cc_input_bang_xuyen_giap!$B$2:$B$7,MIN(6,MAX(1,IF(INDEX(cc_input_vu_khi_suy_ra!$B$2:$B$12,MATCH($D$47,cc_input_vu_khi_suy_ra!$A$2:$A$12,0)),MAX(1,2-(INDEX(cc_input_vu_khi!$C$2:$C$12,MATCH($D$47,cc_input_vu_khi!$A$2:$A$12,0))-Thap!$K$58)),2-(INDEX(cc_input_vu_khi!$C$2:$C$12,MATCH($D$47,cc_input_vu_khi!$A$2:$A$12,0))-Thap!$K$58))+1)))*INDEX(cc_input_vu_khi_suy_ra!$D$2:$D$12,MATCH($D$47,cc_input_vu_khi_suy_ra!$A$2:$A$12,0))),1),""))</f>
        <v/>
      </c>
      <c r="F47" t="inlineStr">
        <is>
          <t>gun_105_wheeled_he</t>
        </is>
      </c>
      <c r="G47">
        <f>IF($F$47="","",IF(INDEX(cc_input_vu_khi!$B$2:$B$12,MATCH($F$47,cc_input_vu_khi!$A$2:$A$12,0))*INDEX(cc_input_bang_xuyen_giap!$B$2:$B$7,MIN(6,MAX(1,IF(INDEX(cc_input_vu_khi_suy_ra!$B$2:$B$12,MATCH($F$47,cc_input_vu_khi_suy_ra!$A$2:$A$12,0)),MAX(1,2-(INDEX(cc_input_vu_khi!$C$2:$C$12,MATCH($F$47,cc_input_vu_khi!$A$2:$A$12,0))-Thap!$K$58)),2-(INDEX(cc_input_vu_khi!$C$2:$C$12,MATCH($F$47,cc_input_vu_khi!$A$2:$A$12,0))-Thap!$K$58))+1)))*INDEX(cc_input_vu_khi_suy_ra!$D$2:$D$12,MATCH($F$47,cc_input_vu_khi_suy_ra!$A$2:$A$12,0))&gt;0,CEILING(Thap!$J$58/(INDEX(cc_input_vu_khi!$B$2:$B$12,MATCH($F$47,cc_input_vu_khi!$A$2:$A$12,0))*INDEX(cc_input_bang_xuyen_giap!$B$2:$B$7,MIN(6,MAX(1,IF(INDEX(cc_input_vu_khi_suy_ra!$B$2:$B$12,MATCH($F$47,cc_input_vu_khi_suy_ra!$A$2:$A$12,0)),MAX(1,2-(INDEX(cc_input_vu_khi!$C$2:$C$12,MATCH($F$47,cc_input_vu_khi!$A$2:$A$12,0))-Thap!$K$58)),2-(INDEX(cc_input_vu_khi!$C$2:$C$12,MATCH($F$47,cc_input_vu_khi!$A$2:$A$12,0))-Thap!$K$58))+1)))*INDEX(cc_input_vu_khi_suy_ra!$D$2:$D$12,MATCH($F$47,cc_input_vu_khi_suy_ra!$A$2:$A$12,0))),1),""))</f>
        <v/>
      </c>
      <c r="H47" t="inlineStr">
        <is>
          <t>khrizantema</t>
        </is>
      </c>
      <c r="I47">
        <f>IF($H$47="","",IF(INDEX(cc_input_vu_khi!$B$2:$B$12,MATCH($H$47,cc_input_vu_khi!$A$2:$A$12,0))*INDEX(cc_input_bang_xuyen_giap!$B$2:$B$7,MIN(6,MAX(1,IF(INDEX(cc_input_vu_khi_suy_ra!$B$2:$B$12,MATCH($H$47,cc_input_vu_khi_suy_ra!$A$2:$A$12,0)),MAX(1,2-(INDEX(cc_input_vu_khi!$C$2:$C$12,MATCH($H$47,cc_input_vu_khi!$A$2:$A$12,0))-Thap!$K$58)),2-(INDEX(cc_input_vu_khi!$C$2:$C$12,MATCH($H$47,cc_input_vu_khi!$A$2:$A$12,0))-Thap!$K$58))+1)))*INDEX(cc_input_vu_khi_suy_ra!$D$2:$D$12,MATCH($H$47,cc_input_vu_khi_suy_ra!$A$2:$A$12,0))&gt;0,CEILING(Thap!$J$58/(INDEX(cc_input_vu_khi!$B$2:$B$12,MATCH($H$47,cc_input_vu_khi!$A$2:$A$12,0))*INDEX(cc_input_bang_xuyen_giap!$B$2:$B$7,MIN(6,MAX(1,IF(INDEX(cc_input_vu_khi_suy_ra!$B$2:$B$12,MATCH($H$47,cc_input_vu_khi_suy_ra!$A$2:$A$12,0)),MAX(1,2-(INDEX(cc_input_vu_khi!$C$2:$C$12,MATCH($H$47,cc_input_vu_khi!$A$2:$A$12,0))-Thap!$K$58)),2-(INDEX(cc_input_vu_khi!$C$2:$C$12,MATCH($H$47,cc_input_vu_khi!$A$2:$A$12,0))-Thap!$K$58))+1)))*INDEX(cc_input_vu_khi_suy_ra!$D$2:$D$12,MATCH($H$47,cc_input_vu_khi_suy_ra!$A$2:$A$12,0))),1),""))</f>
        <v/>
      </c>
      <c r="J47" t="inlineStr">
        <is>
          <t>caesar_155</t>
        </is>
      </c>
      <c r="K47">
        <f>IF($J$47="","",IF(INDEX(cc_input_vu_khi!$B$2:$B$12,MATCH($J$47,cc_input_vu_khi!$A$2:$A$12,0))*INDEX(cc_input_bang_xuyen_giap!$B$2:$B$7,MIN(6,MAX(1,IF(INDEX(cc_input_vu_khi_suy_ra!$B$2:$B$12,MATCH($J$47,cc_input_vu_khi_suy_ra!$A$2:$A$12,0)),MAX(1,2-(INDEX(cc_input_vu_khi!$C$2:$C$12,MATCH($J$47,cc_input_vu_khi!$A$2:$A$12,0))-Thap!$K$58)),2-(INDEX(cc_input_vu_khi!$C$2:$C$12,MATCH($J$47,cc_input_vu_khi!$A$2:$A$12,0))-Thap!$K$58))+1)))*INDEX(cc_input_vu_khi_suy_ra!$D$2:$D$12,MATCH($J$47,cc_input_vu_khi_suy_ra!$A$2:$A$12,0))&gt;0,CEILING(Thap!$J$58/(INDEX(cc_input_vu_khi!$B$2:$B$12,MATCH($J$47,cc_input_vu_khi!$A$2:$A$12,0))*INDEX(cc_input_bang_xuyen_giap!$B$2:$B$7,MIN(6,MAX(1,IF(INDEX(cc_input_vu_khi_suy_ra!$B$2:$B$12,MATCH($J$47,cc_input_vu_khi_suy_ra!$A$2:$A$12,0)),MAX(1,2-(INDEX(cc_input_vu_khi!$C$2:$C$12,MATCH($J$47,cc_input_vu_khi!$A$2:$A$12,0))-Thap!$K$58)),2-(INDEX(cc_input_vu_khi!$C$2:$C$12,MATCH($J$47,cc_input_vu_khi!$A$2:$A$12,0))-Thap!$K$58))+1)))*INDEX(cc_input_vu_khi_suy_ra!$D$2:$D$12,MATCH($J$47,cc_input_vu_khi_suy_ra!$A$2:$A$12,0))),1),""))</f>
        <v/>
      </c>
      <c r="L47" t="inlineStr">
        <is>
          <t>Tools/balance/p32_tower_prices.py Model.price('mg_bunker.twin') + threats('Small')</t>
        </is>
      </c>
      <c r="M47" t="inlineStr"/>
    </row>
    <row r="48">
      <c r="A48" t="inlineStr">
        <is>
          <t>minefield</t>
        </is>
      </c>
      <c r="B48">
        <f>Thap_gia_cong_thuc!$Q$48</f>
        <v/>
      </c>
      <c r="C48">
        <f>IF(ISNUMBER($B$48),$B$48/Thap!$BN$59,"")</f>
        <v/>
      </c>
      <c r="D48" t="inlineStr">
        <is>
          <t>ifv_30</t>
        </is>
      </c>
      <c r="E48">
        <f>IF($D$48="","",IF(INDEX(cc_input_vu_khi!$B$2:$B$12,MATCH($D$48,cc_input_vu_khi!$A$2:$A$12,0))*INDEX(cc_input_bang_xuyen_giap!$B$2:$B$7,MIN(6,MAX(1,IF(INDEX(cc_input_vu_khi_suy_ra!$B$2:$B$12,MATCH($D$48,cc_input_vu_khi_suy_ra!$A$2:$A$12,0)),MAX(1,2-(INDEX(cc_input_vu_khi!$C$2:$C$12,MATCH($D$48,cc_input_vu_khi!$A$2:$A$12,0))-Thap!$K$59)),2-(INDEX(cc_input_vu_khi!$C$2:$C$12,MATCH($D$48,cc_input_vu_khi!$A$2:$A$12,0))-Thap!$K$59))+1)))*INDEX(cc_input_vu_khi_suy_ra!$D$2:$D$12,MATCH($D$48,cc_input_vu_khi_suy_ra!$A$2:$A$12,0))&gt;0,CEILING(Thap!$J$59/(INDEX(cc_input_vu_khi!$B$2:$B$12,MATCH($D$48,cc_input_vu_khi!$A$2:$A$12,0))*INDEX(cc_input_bang_xuyen_giap!$B$2:$B$7,MIN(6,MAX(1,IF(INDEX(cc_input_vu_khi_suy_ra!$B$2:$B$12,MATCH($D$48,cc_input_vu_khi_suy_ra!$A$2:$A$12,0)),MAX(1,2-(INDEX(cc_input_vu_khi!$C$2:$C$12,MATCH($D$48,cc_input_vu_khi!$A$2:$A$12,0))-Thap!$K$59)),2-(INDEX(cc_input_vu_khi!$C$2:$C$12,MATCH($D$48,cc_input_vu_khi!$A$2:$A$12,0))-Thap!$K$59))+1)))*INDEX(cc_input_vu_khi_suy_ra!$D$2:$D$12,MATCH($D$48,cc_input_vu_khi_suy_ra!$A$2:$A$12,0))),1),""))</f>
        <v/>
      </c>
      <c r="F48" t="inlineStr">
        <is>
          <t>gun_105_wheeled_he</t>
        </is>
      </c>
      <c r="G48">
        <f>IF($F$48="","",IF(INDEX(cc_input_vu_khi!$B$2:$B$12,MATCH($F$48,cc_input_vu_khi!$A$2:$A$12,0))*INDEX(cc_input_bang_xuyen_giap!$B$2:$B$7,MIN(6,MAX(1,IF(INDEX(cc_input_vu_khi_suy_ra!$B$2:$B$12,MATCH($F$48,cc_input_vu_khi_suy_ra!$A$2:$A$12,0)),MAX(1,2-(INDEX(cc_input_vu_khi!$C$2:$C$12,MATCH($F$48,cc_input_vu_khi!$A$2:$A$12,0))-Thap!$K$59)),2-(INDEX(cc_input_vu_khi!$C$2:$C$12,MATCH($F$48,cc_input_vu_khi!$A$2:$A$12,0))-Thap!$K$59))+1)))*INDEX(cc_input_vu_khi_suy_ra!$D$2:$D$12,MATCH($F$48,cc_input_vu_khi_suy_ra!$A$2:$A$12,0))&gt;0,CEILING(Thap!$J$59/(INDEX(cc_input_vu_khi!$B$2:$B$12,MATCH($F$48,cc_input_vu_khi!$A$2:$A$12,0))*INDEX(cc_input_bang_xuyen_giap!$B$2:$B$7,MIN(6,MAX(1,IF(INDEX(cc_input_vu_khi_suy_ra!$B$2:$B$12,MATCH($F$48,cc_input_vu_khi_suy_ra!$A$2:$A$12,0)),MAX(1,2-(INDEX(cc_input_vu_khi!$C$2:$C$12,MATCH($F$48,cc_input_vu_khi!$A$2:$A$12,0))-Thap!$K$59)),2-(INDEX(cc_input_vu_khi!$C$2:$C$12,MATCH($F$48,cc_input_vu_khi!$A$2:$A$12,0))-Thap!$K$59))+1)))*INDEX(cc_input_vu_khi_suy_ra!$D$2:$D$12,MATCH($F$48,cc_input_vu_khi_suy_ra!$A$2:$A$12,0))),1),""))</f>
        <v/>
      </c>
      <c r="H48" t="inlineStr">
        <is>
          <t>khrizantema</t>
        </is>
      </c>
      <c r="I48">
        <f>IF($H$48="","",IF(INDEX(cc_input_vu_khi!$B$2:$B$12,MATCH($H$48,cc_input_vu_khi!$A$2:$A$12,0))*INDEX(cc_input_bang_xuyen_giap!$B$2:$B$7,MIN(6,MAX(1,IF(INDEX(cc_input_vu_khi_suy_ra!$B$2:$B$12,MATCH($H$48,cc_input_vu_khi_suy_ra!$A$2:$A$12,0)),MAX(1,2-(INDEX(cc_input_vu_khi!$C$2:$C$12,MATCH($H$48,cc_input_vu_khi!$A$2:$A$12,0))-Thap!$K$59)),2-(INDEX(cc_input_vu_khi!$C$2:$C$12,MATCH($H$48,cc_input_vu_khi!$A$2:$A$12,0))-Thap!$K$59))+1)))*INDEX(cc_input_vu_khi_suy_ra!$D$2:$D$12,MATCH($H$48,cc_input_vu_khi_suy_ra!$A$2:$A$12,0))&gt;0,CEILING(Thap!$J$59/(INDEX(cc_input_vu_khi!$B$2:$B$12,MATCH($H$48,cc_input_vu_khi!$A$2:$A$12,0))*INDEX(cc_input_bang_xuyen_giap!$B$2:$B$7,MIN(6,MAX(1,IF(INDEX(cc_input_vu_khi_suy_ra!$B$2:$B$12,MATCH($H$48,cc_input_vu_khi_suy_ra!$A$2:$A$12,0)),MAX(1,2-(INDEX(cc_input_vu_khi!$C$2:$C$12,MATCH($H$48,cc_input_vu_khi!$A$2:$A$12,0))-Thap!$K$59)),2-(INDEX(cc_input_vu_khi!$C$2:$C$12,MATCH($H$48,cc_input_vu_khi!$A$2:$A$12,0))-Thap!$K$59))+1)))*INDEX(cc_input_vu_khi_suy_ra!$D$2:$D$12,MATCH($H$48,cc_input_vu_khi_suy_ra!$A$2:$A$12,0))),1),""))</f>
        <v/>
      </c>
      <c r="J48" t="inlineStr">
        <is>
          <t>caesar_155</t>
        </is>
      </c>
      <c r="K48">
        <f>IF($J$48="","",IF(INDEX(cc_input_vu_khi!$B$2:$B$12,MATCH($J$48,cc_input_vu_khi!$A$2:$A$12,0))*INDEX(cc_input_bang_xuyen_giap!$B$2:$B$7,MIN(6,MAX(1,IF(INDEX(cc_input_vu_khi_suy_ra!$B$2:$B$12,MATCH($J$48,cc_input_vu_khi_suy_ra!$A$2:$A$12,0)),MAX(1,2-(INDEX(cc_input_vu_khi!$C$2:$C$12,MATCH($J$48,cc_input_vu_khi!$A$2:$A$12,0))-Thap!$K$59)),2-(INDEX(cc_input_vu_khi!$C$2:$C$12,MATCH($J$48,cc_input_vu_khi!$A$2:$A$12,0))-Thap!$K$59))+1)))*INDEX(cc_input_vu_khi_suy_ra!$D$2:$D$12,MATCH($J$48,cc_input_vu_khi_suy_ra!$A$2:$A$12,0))&gt;0,CEILING(Thap!$J$59/(INDEX(cc_input_vu_khi!$B$2:$B$12,MATCH($J$48,cc_input_vu_khi!$A$2:$A$12,0))*INDEX(cc_input_bang_xuyen_giap!$B$2:$B$7,MIN(6,MAX(1,IF(INDEX(cc_input_vu_khi_suy_ra!$B$2:$B$12,MATCH($J$48,cc_input_vu_khi_suy_ra!$A$2:$A$12,0)),MAX(1,2-(INDEX(cc_input_vu_khi!$C$2:$C$12,MATCH($J$48,cc_input_vu_khi!$A$2:$A$12,0))-Thap!$K$59)),2-(INDEX(cc_input_vu_khi!$C$2:$C$12,MATCH($J$48,cc_input_vu_khi!$A$2:$A$12,0))-Thap!$K$59))+1)))*INDEX(cc_input_vu_khi_suy_ra!$D$2:$D$12,MATCH($J$48,cc_input_vu_khi_suy_ra!$A$2:$A$12,0))),1),""))</f>
        <v/>
      </c>
      <c r="L48" t="inlineStr">
        <is>
          <t>Tools/balance/p32_tower_prices.py Model.price('minefield') + threats('Small')</t>
        </is>
      </c>
      <c r="M48" t="inlineStr"/>
    </row>
    <row r="49">
      <c r="A49" t="inlineStr">
        <is>
          <t>missile_battery</t>
        </is>
      </c>
      <c r="B49">
        <f>Thap_gia_cong_thuc!$Q$49</f>
        <v/>
      </c>
      <c r="C49">
        <f>IF(ISNUMBER($B$49),$B$49/Thap!$BN$60,"")</f>
        <v/>
      </c>
      <c r="D49" t="inlineStr">
        <is>
          <t>gun_125_armata_ke</t>
        </is>
      </c>
      <c r="E49">
        <f>IF($D$49="","",IF(INDEX(cc_input_vu_khi!$B$2:$B$12,MATCH($D$49,cc_input_vu_khi!$A$2:$A$12,0))*INDEX(cc_input_bang_xuyen_giap!$B$2:$B$7,MIN(6,MAX(1,IF(INDEX(cc_input_vu_khi_suy_ra!$B$2:$B$12,MATCH($D$49,cc_input_vu_khi_suy_ra!$A$2:$A$12,0)),MAX(1,2-(INDEX(cc_input_vu_khi!$C$2:$C$12,MATCH($D$49,cc_input_vu_khi!$A$2:$A$12,0))-Thap!$K$60)),2-(INDEX(cc_input_vu_khi!$C$2:$C$12,MATCH($D$49,cc_input_vu_khi!$A$2:$A$12,0))-Thap!$K$60))+1)))*INDEX(cc_input_vu_khi_suy_ra!$D$2:$D$12,MATCH($D$49,cc_input_vu_khi_suy_ra!$A$2:$A$12,0))&gt;0,CEILING(Thap!$J$60/(INDEX(cc_input_vu_khi!$B$2:$B$12,MATCH($D$49,cc_input_vu_khi!$A$2:$A$12,0))*INDEX(cc_input_bang_xuyen_giap!$B$2:$B$7,MIN(6,MAX(1,IF(INDEX(cc_input_vu_khi_suy_ra!$B$2:$B$12,MATCH($D$49,cc_input_vu_khi_suy_ra!$A$2:$A$12,0)),MAX(1,2-(INDEX(cc_input_vu_khi!$C$2:$C$12,MATCH($D$49,cc_input_vu_khi!$A$2:$A$12,0))-Thap!$K$60)),2-(INDEX(cc_input_vu_khi!$C$2:$C$12,MATCH($D$49,cc_input_vu_khi!$A$2:$A$12,0))-Thap!$K$60))+1)))*INDEX(cc_input_vu_khi_suy_ra!$D$2:$D$12,MATCH($D$49,cc_input_vu_khi_suy_ra!$A$2:$A$12,0))),1),""))</f>
        <v/>
      </c>
      <c r="F49" t="inlineStr">
        <is>
          <t>gun_155_crusader</t>
        </is>
      </c>
      <c r="G49">
        <f>IF($F$49="","",IF(INDEX(cc_input_vu_khi!$B$2:$B$12,MATCH($F$49,cc_input_vu_khi!$A$2:$A$12,0))*INDEX(cc_input_bang_xuyen_giap!$B$2:$B$7,MIN(6,MAX(1,IF(INDEX(cc_input_vu_khi_suy_ra!$B$2:$B$12,MATCH($F$49,cc_input_vu_khi_suy_ra!$A$2:$A$12,0)),MAX(1,2-(INDEX(cc_input_vu_khi!$C$2:$C$12,MATCH($F$49,cc_input_vu_khi!$A$2:$A$12,0))-Thap!$K$60)),2-(INDEX(cc_input_vu_khi!$C$2:$C$12,MATCH($F$49,cc_input_vu_khi!$A$2:$A$12,0))-Thap!$K$60))+1)))*INDEX(cc_input_vu_khi_suy_ra!$D$2:$D$12,MATCH($F$49,cc_input_vu_khi_suy_ra!$A$2:$A$12,0))&gt;0,CEILING(Thap!$J$60/(INDEX(cc_input_vu_khi!$B$2:$B$12,MATCH($F$49,cc_input_vu_khi!$A$2:$A$12,0))*INDEX(cc_input_bang_xuyen_giap!$B$2:$B$7,MIN(6,MAX(1,IF(INDEX(cc_input_vu_khi_suy_ra!$B$2:$B$12,MATCH($F$49,cc_input_vu_khi_suy_ra!$A$2:$A$12,0)),MAX(1,2-(INDEX(cc_input_vu_khi!$C$2:$C$12,MATCH($F$49,cc_input_vu_khi!$A$2:$A$12,0))-Thap!$K$60)),2-(INDEX(cc_input_vu_khi!$C$2:$C$12,MATCH($F$49,cc_input_vu_khi!$A$2:$A$12,0))-Thap!$K$60))+1)))*INDEX(cc_input_vu_khi_suy_ra!$D$2:$D$12,MATCH($F$49,cc_input_vu_khi_suy_ra!$A$2:$A$12,0))),1),""))</f>
        <v/>
      </c>
      <c r="H49" t="inlineStr">
        <is>
          <t>spike_nlos</t>
        </is>
      </c>
      <c r="I49">
        <f>IF($H$49="","",IF(INDEX(cc_input_vu_khi!$B$2:$B$12,MATCH($H$49,cc_input_vu_khi!$A$2:$A$12,0))*INDEX(cc_input_bang_xuyen_giap!$B$2:$B$7,MIN(6,MAX(1,IF(INDEX(cc_input_vu_khi_suy_ra!$B$2:$B$12,MATCH($H$49,cc_input_vu_khi_suy_ra!$A$2:$A$12,0)),MAX(1,2-(INDEX(cc_input_vu_khi!$C$2:$C$12,MATCH($H$49,cc_input_vu_khi!$A$2:$A$12,0))-Thap!$K$60)),2-(INDEX(cc_input_vu_khi!$C$2:$C$12,MATCH($H$49,cc_input_vu_khi!$A$2:$A$12,0))-Thap!$K$60))+1)))*INDEX(cc_input_vu_khi_suy_ra!$D$2:$D$12,MATCH($H$49,cc_input_vu_khi_suy_ra!$A$2:$A$12,0))&gt;0,CEILING(Thap!$J$60/(INDEX(cc_input_vu_khi!$B$2:$B$12,MATCH($H$49,cc_input_vu_khi!$A$2:$A$12,0))*INDEX(cc_input_bang_xuyen_giap!$B$2:$B$7,MIN(6,MAX(1,IF(INDEX(cc_input_vu_khi_suy_ra!$B$2:$B$12,MATCH($H$49,cc_input_vu_khi_suy_ra!$A$2:$A$12,0)),MAX(1,2-(INDEX(cc_input_vu_khi!$C$2:$C$12,MATCH($H$49,cc_input_vu_khi!$A$2:$A$12,0))-Thap!$K$60)),2-(INDEX(cc_input_vu_khi!$C$2:$C$12,MATCH($H$49,cc_input_vu_khi!$A$2:$A$12,0))-Thap!$K$60))+1)))*INDEX(cc_input_vu_khi_suy_ra!$D$2:$D$12,MATCH($H$49,cc_input_vu_khi_suy_ra!$A$2:$A$12,0))),1),""))</f>
        <v/>
      </c>
      <c r="J49" t="inlineStr">
        <is>
          <t>thermobaric_rockets</t>
        </is>
      </c>
      <c r="K49">
        <f>IF($J$49="","",IF(INDEX(cc_input_vu_khi!$B$2:$B$12,MATCH($J$49,cc_input_vu_khi!$A$2:$A$12,0))*INDEX(cc_input_bang_xuyen_giap!$B$2:$B$7,MIN(6,MAX(1,IF(INDEX(cc_input_vu_khi_suy_ra!$B$2:$B$12,MATCH($J$49,cc_input_vu_khi_suy_ra!$A$2:$A$12,0)),MAX(1,2-(INDEX(cc_input_vu_khi!$C$2:$C$12,MATCH($J$49,cc_input_vu_khi!$A$2:$A$12,0))-Thap!$K$60)),2-(INDEX(cc_input_vu_khi!$C$2:$C$12,MATCH($J$49,cc_input_vu_khi!$A$2:$A$12,0))-Thap!$K$60))+1)))*INDEX(cc_input_vu_khi_suy_ra!$D$2:$D$12,MATCH($J$49,cc_input_vu_khi_suy_ra!$A$2:$A$12,0))&gt;0,CEILING(Thap!$J$60/(INDEX(cc_input_vu_khi!$B$2:$B$12,MATCH($J$49,cc_input_vu_khi!$A$2:$A$12,0))*INDEX(cc_input_bang_xuyen_giap!$B$2:$B$7,MIN(6,MAX(1,IF(INDEX(cc_input_vu_khi_suy_ra!$B$2:$B$12,MATCH($J$49,cc_input_vu_khi_suy_ra!$A$2:$A$12,0)),MAX(1,2-(INDEX(cc_input_vu_khi!$C$2:$C$12,MATCH($J$49,cc_input_vu_khi!$A$2:$A$12,0))-Thap!$K$60)),2-(INDEX(cc_input_vu_khi!$C$2:$C$12,MATCH($J$49,cc_input_vu_khi!$A$2:$A$12,0))-Thap!$K$60))+1)))*INDEX(cc_input_vu_khi_suy_ra!$D$2:$D$12,MATCH($J$49,cc_input_vu_khi_suy_ra!$A$2:$A$12,0))),1),""))</f>
        <v/>
      </c>
      <c r="L49" t="inlineStr">
        <is>
          <t>Tools/balance/p32_tower_prices.py Model.price('missile_battery') + threats('Large')</t>
        </is>
      </c>
      <c r="M49" t="inlineStr"/>
    </row>
    <row r="50">
      <c r="A50" t="inlineStr">
        <is>
          <t>missile_battery.lrr</t>
        </is>
      </c>
      <c r="B50">
        <f>Thap_gia_cong_thuc!$Q$50</f>
        <v/>
      </c>
      <c r="C50">
        <f>IF(ISNUMBER($B$50),$B$50/Thap!$BN$61,"")</f>
        <v/>
      </c>
      <c r="D50" t="inlineStr">
        <is>
          <t>gun_125_armata_ke</t>
        </is>
      </c>
      <c r="E50">
        <f>IF($D$50="","",IF(INDEX(cc_input_vu_khi!$B$2:$B$12,MATCH($D$50,cc_input_vu_khi!$A$2:$A$12,0))*INDEX(cc_input_bang_xuyen_giap!$B$2:$B$7,MIN(6,MAX(1,IF(INDEX(cc_input_vu_khi_suy_ra!$B$2:$B$12,MATCH($D$50,cc_input_vu_khi_suy_ra!$A$2:$A$12,0)),MAX(1,2-(INDEX(cc_input_vu_khi!$C$2:$C$12,MATCH($D$50,cc_input_vu_khi!$A$2:$A$12,0))-Thap!$K$61)),2-(INDEX(cc_input_vu_khi!$C$2:$C$12,MATCH($D$50,cc_input_vu_khi!$A$2:$A$12,0))-Thap!$K$61))+1)))*INDEX(cc_input_vu_khi_suy_ra!$D$2:$D$12,MATCH($D$50,cc_input_vu_khi_suy_ra!$A$2:$A$12,0))&gt;0,CEILING(Thap!$J$61/(INDEX(cc_input_vu_khi!$B$2:$B$12,MATCH($D$50,cc_input_vu_khi!$A$2:$A$12,0))*INDEX(cc_input_bang_xuyen_giap!$B$2:$B$7,MIN(6,MAX(1,IF(INDEX(cc_input_vu_khi_suy_ra!$B$2:$B$12,MATCH($D$50,cc_input_vu_khi_suy_ra!$A$2:$A$12,0)),MAX(1,2-(INDEX(cc_input_vu_khi!$C$2:$C$12,MATCH($D$50,cc_input_vu_khi!$A$2:$A$12,0))-Thap!$K$61)),2-(INDEX(cc_input_vu_khi!$C$2:$C$12,MATCH($D$50,cc_input_vu_khi!$A$2:$A$12,0))-Thap!$K$61))+1)))*INDEX(cc_input_vu_khi_suy_ra!$D$2:$D$12,MATCH($D$50,cc_input_vu_khi_suy_ra!$A$2:$A$12,0))),1),""))</f>
        <v/>
      </c>
      <c r="F50" t="inlineStr">
        <is>
          <t>gun_155_crusader</t>
        </is>
      </c>
      <c r="G50">
        <f>IF($F$50="","",IF(INDEX(cc_input_vu_khi!$B$2:$B$12,MATCH($F$50,cc_input_vu_khi!$A$2:$A$12,0))*INDEX(cc_input_bang_xuyen_giap!$B$2:$B$7,MIN(6,MAX(1,IF(INDEX(cc_input_vu_khi_suy_ra!$B$2:$B$12,MATCH($F$50,cc_input_vu_khi_suy_ra!$A$2:$A$12,0)),MAX(1,2-(INDEX(cc_input_vu_khi!$C$2:$C$12,MATCH($F$50,cc_input_vu_khi!$A$2:$A$12,0))-Thap!$K$61)),2-(INDEX(cc_input_vu_khi!$C$2:$C$12,MATCH($F$50,cc_input_vu_khi!$A$2:$A$12,0))-Thap!$K$61))+1)))*INDEX(cc_input_vu_khi_suy_ra!$D$2:$D$12,MATCH($F$50,cc_input_vu_khi_suy_ra!$A$2:$A$12,0))&gt;0,CEILING(Thap!$J$61/(INDEX(cc_input_vu_khi!$B$2:$B$12,MATCH($F$50,cc_input_vu_khi!$A$2:$A$12,0))*INDEX(cc_input_bang_xuyen_giap!$B$2:$B$7,MIN(6,MAX(1,IF(INDEX(cc_input_vu_khi_suy_ra!$B$2:$B$12,MATCH($F$50,cc_input_vu_khi_suy_ra!$A$2:$A$12,0)),MAX(1,2-(INDEX(cc_input_vu_khi!$C$2:$C$12,MATCH($F$50,cc_input_vu_khi!$A$2:$A$12,0))-Thap!$K$61)),2-(INDEX(cc_input_vu_khi!$C$2:$C$12,MATCH($F$50,cc_input_vu_khi!$A$2:$A$12,0))-Thap!$K$61))+1)))*INDEX(cc_input_vu_khi_suy_ra!$D$2:$D$12,MATCH($F$50,cc_input_vu_khi_suy_ra!$A$2:$A$12,0))),1),""))</f>
        <v/>
      </c>
      <c r="H50" t="inlineStr">
        <is>
          <t>spike_nlos</t>
        </is>
      </c>
      <c r="I50">
        <f>IF($H$50="","",IF(INDEX(cc_input_vu_khi!$B$2:$B$12,MATCH($H$50,cc_input_vu_khi!$A$2:$A$12,0))*INDEX(cc_input_bang_xuyen_giap!$B$2:$B$7,MIN(6,MAX(1,IF(INDEX(cc_input_vu_khi_suy_ra!$B$2:$B$12,MATCH($H$50,cc_input_vu_khi_suy_ra!$A$2:$A$12,0)),MAX(1,2-(INDEX(cc_input_vu_khi!$C$2:$C$12,MATCH($H$50,cc_input_vu_khi!$A$2:$A$12,0))-Thap!$K$61)),2-(INDEX(cc_input_vu_khi!$C$2:$C$12,MATCH($H$50,cc_input_vu_khi!$A$2:$A$12,0))-Thap!$K$61))+1)))*INDEX(cc_input_vu_khi_suy_ra!$D$2:$D$12,MATCH($H$50,cc_input_vu_khi_suy_ra!$A$2:$A$12,0))&gt;0,CEILING(Thap!$J$61/(INDEX(cc_input_vu_khi!$B$2:$B$12,MATCH($H$50,cc_input_vu_khi!$A$2:$A$12,0))*INDEX(cc_input_bang_xuyen_giap!$B$2:$B$7,MIN(6,MAX(1,IF(INDEX(cc_input_vu_khi_suy_ra!$B$2:$B$12,MATCH($H$50,cc_input_vu_khi_suy_ra!$A$2:$A$12,0)),MAX(1,2-(INDEX(cc_input_vu_khi!$C$2:$C$12,MATCH($H$50,cc_input_vu_khi!$A$2:$A$12,0))-Thap!$K$61)),2-(INDEX(cc_input_vu_khi!$C$2:$C$12,MATCH($H$50,cc_input_vu_khi!$A$2:$A$12,0))-Thap!$K$61))+1)))*INDEX(cc_input_vu_khi_suy_ra!$D$2:$D$12,MATCH($H$50,cc_input_vu_khi_suy_ra!$A$2:$A$12,0))),1),""))</f>
        <v/>
      </c>
      <c r="J50" t="inlineStr">
        <is>
          <t>thermobaric_rockets</t>
        </is>
      </c>
      <c r="K50">
        <f>IF($J$50="","",IF(INDEX(cc_input_vu_khi!$B$2:$B$12,MATCH($J$50,cc_input_vu_khi!$A$2:$A$12,0))*INDEX(cc_input_bang_xuyen_giap!$B$2:$B$7,MIN(6,MAX(1,IF(INDEX(cc_input_vu_khi_suy_ra!$B$2:$B$12,MATCH($J$50,cc_input_vu_khi_suy_ra!$A$2:$A$12,0)),MAX(1,2-(INDEX(cc_input_vu_khi!$C$2:$C$12,MATCH($J$50,cc_input_vu_khi!$A$2:$A$12,0))-Thap!$K$61)),2-(INDEX(cc_input_vu_khi!$C$2:$C$12,MATCH($J$50,cc_input_vu_khi!$A$2:$A$12,0))-Thap!$K$61))+1)))*INDEX(cc_input_vu_khi_suy_ra!$D$2:$D$12,MATCH($J$50,cc_input_vu_khi_suy_ra!$A$2:$A$12,0))&gt;0,CEILING(Thap!$J$61/(INDEX(cc_input_vu_khi!$B$2:$B$12,MATCH($J$50,cc_input_vu_khi!$A$2:$A$12,0))*INDEX(cc_input_bang_xuyen_giap!$B$2:$B$7,MIN(6,MAX(1,IF(INDEX(cc_input_vu_khi_suy_ra!$B$2:$B$12,MATCH($J$50,cc_input_vu_khi_suy_ra!$A$2:$A$12,0)),MAX(1,2-(INDEX(cc_input_vu_khi!$C$2:$C$12,MATCH($J$50,cc_input_vu_khi!$A$2:$A$12,0))-Thap!$K$61)),2-(INDEX(cc_input_vu_khi!$C$2:$C$12,MATCH($J$50,cc_input_vu_khi!$A$2:$A$12,0))-Thap!$K$61))+1)))*INDEX(cc_input_vu_khi_suy_ra!$D$2:$D$12,MATCH($J$50,cc_input_vu_khi_suy_ra!$A$2:$A$12,0))),1),""))</f>
        <v/>
      </c>
      <c r="L50" t="inlineStr">
        <is>
          <t>Tools/balance/p32_tower_prices.py Model.price('missile_battery.lrr') + threats('Large')</t>
        </is>
      </c>
      <c r="M50" t="inlineStr"/>
    </row>
    <row r="51">
      <c r="A51" t="inlineStr">
        <is>
          <t>missile_battery.pac3</t>
        </is>
      </c>
      <c r="B51">
        <f>Thap_gia_cong_thuc!$Q$51</f>
        <v/>
      </c>
      <c r="C51">
        <f>IF(ISNUMBER($B$51),$B$51/Thap!$BN$62,"")</f>
        <v/>
      </c>
      <c r="D51" t="inlineStr">
        <is>
          <t>gun_125_armata_ke</t>
        </is>
      </c>
      <c r="E51">
        <f>IF($D$51="","",IF(INDEX(cc_input_vu_khi!$B$2:$B$12,MATCH($D$51,cc_input_vu_khi!$A$2:$A$12,0))*INDEX(cc_input_bang_xuyen_giap!$B$2:$B$7,MIN(6,MAX(1,IF(INDEX(cc_input_vu_khi_suy_ra!$B$2:$B$12,MATCH($D$51,cc_input_vu_khi_suy_ra!$A$2:$A$12,0)),MAX(1,2-(INDEX(cc_input_vu_khi!$C$2:$C$12,MATCH($D$51,cc_input_vu_khi!$A$2:$A$12,0))-Thap!$K$62)),2-(INDEX(cc_input_vu_khi!$C$2:$C$12,MATCH($D$51,cc_input_vu_khi!$A$2:$A$12,0))-Thap!$K$62))+1)))*INDEX(cc_input_vu_khi_suy_ra!$D$2:$D$12,MATCH($D$51,cc_input_vu_khi_suy_ra!$A$2:$A$12,0))&gt;0,CEILING(Thap!$J$62/(INDEX(cc_input_vu_khi!$B$2:$B$12,MATCH($D$51,cc_input_vu_khi!$A$2:$A$12,0))*INDEX(cc_input_bang_xuyen_giap!$B$2:$B$7,MIN(6,MAX(1,IF(INDEX(cc_input_vu_khi_suy_ra!$B$2:$B$12,MATCH($D$51,cc_input_vu_khi_suy_ra!$A$2:$A$12,0)),MAX(1,2-(INDEX(cc_input_vu_khi!$C$2:$C$12,MATCH($D$51,cc_input_vu_khi!$A$2:$A$12,0))-Thap!$K$62)),2-(INDEX(cc_input_vu_khi!$C$2:$C$12,MATCH($D$51,cc_input_vu_khi!$A$2:$A$12,0))-Thap!$K$62))+1)))*INDEX(cc_input_vu_khi_suy_ra!$D$2:$D$12,MATCH($D$51,cc_input_vu_khi_suy_ra!$A$2:$A$12,0))),1),""))</f>
        <v/>
      </c>
      <c r="F51" t="inlineStr">
        <is>
          <t>gun_155_crusader</t>
        </is>
      </c>
      <c r="G51">
        <f>IF($F$51="","",IF(INDEX(cc_input_vu_khi!$B$2:$B$12,MATCH($F$51,cc_input_vu_khi!$A$2:$A$12,0))*INDEX(cc_input_bang_xuyen_giap!$B$2:$B$7,MIN(6,MAX(1,IF(INDEX(cc_input_vu_khi_suy_ra!$B$2:$B$12,MATCH($F$51,cc_input_vu_khi_suy_ra!$A$2:$A$12,0)),MAX(1,2-(INDEX(cc_input_vu_khi!$C$2:$C$12,MATCH($F$51,cc_input_vu_khi!$A$2:$A$12,0))-Thap!$K$62)),2-(INDEX(cc_input_vu_khi!$C$2:$C$12,MATCH($F$51,cc_input_vu_khi!$A$2:$A$12,0))-Thap!$K$62))+1)))*INDEX(cc_input_vu_khi_suy_ra!$D$2:$D$12,MATCH($F$51,cc_input_vu_khi_suy_ra!$A$2:$A$12,0))&gt;0,CEILING(Thap!$J$62/(INDEX(cc_input_vu_khi!$B$2:$B$12,MATCH($F$51,cc_input_vu_khi!$A$2:$A$12,0))*INDEX(cc_input_bang_xuyen_giap!$B$2:$B$7,MIN(6,MAX(1,IF(INDEX(cc_input_vu_khi_suy_ra!$B$2:$B$12,MATCH($F$51,cc_input_vu_khi_suy_ra!$A$2:$A$12,0)),MAX(1,2-(INDEX(cc_input_vu_khi!$C$2:$C$12,MATCH($F$51,cc_input_vu_khi!$A$2:$A$12,0))-Thap!$K$62)),2-(INDEX(cc_input_vu_khi!$C$2:$C$12,MATCH($F$51,cc_input_vu_khi!$A$2:$A$12,0))-Thap!$K$62))+1)))*INDEX(cc_input_vu_khi_suy_ra!$D$2:$D$12,MATCH($F$51,cc_input_vu_khi_suy_ra!$A$2:$A$12,0))),1),""))</f>
        <v/>
      </c>
      <c r="H51" t="inlineStr">
        <is>
          <t>spike_nlos</t>
        </is>
      </c>
      <c r="I51">
        <f>IF($H$51="","",IF(INDEX(cc_input_vu_khi!$B$2:$B$12,MATCH($H$51,cc_input_vu_khi!$A$2:$A$12,0))*INDEX(cc_input_bang_xuyen_giap!$B$2:$B$7,MIN(6,MAX(1,IF(INDEX(cc_input_vu_khi_suy_ra!$B$2:$B$12,MATCH($H$51,cc_input_vu_khi_suy_ra!$A$2:$A$12,0)),MAX(1,2-(INDEX(cc_input_vu_khi!$C$2:$C$12,MATCH($H$51,cc_input_vu_khi!$A$2:$A$12,0))-Thap!$K$62)),2-(INDEX(cc_input_vu_khi!$C$2:$C$12,MATCH($H$51,cc_input_vu_khi!$A$2:$A$12,0))-Thap!$K$62))+1)))*INDEX(cc_input_vu_khi_suy_ra!$D$2:$D$12,MATCH($H$51,cc_input_vu_khi_suy_ra!$A$2:$A$12,0))&gt;0,CEILING(Thap!$J$62/(INDEX(cc_input_vu_khi!$B$2:$B$12,MATCH($H$51,cc_input_vu_khi!$A$2:$A$12,0))*INDEX(cc_input_bang_xuyen_giap!$B$2:$B$7,MIN(6,MAX(1,IF(INDEX(cc_input_vu_khi_suy_ra!$B$2:$B$12,MATCH($H$51,cc_input_vu_khi_suy_ra!$A$2:$A$12,0)),MAX(1,2-(INDEX(cc_input_vu_khi!$C$2:$C$12,MATCH($H$51,cc_input_vu_khi!$A$2:$A$12,0))-Thap!$K$62)),2-(INDEX(cc_input_vu_khi!$C$2:$C$12,MATCH($H$51,cc_input_vu_khi!$A$2:$A$12,0))-Thap!$K$62))+1)))*INDEX(cc_input_vu_khi_suy_ra!$D$2:$D$12,MATCH($H$51,cc_input_vu_khi_suy_ra!$A$2:$A$12,0))),1),""))</f>
        <v/>
      </c>
      <c r="J51" t="inlineStr">
        <is>
          <t>thermobaric_rockets</t>
        </is>
      </c>
      <c r="K51">
        <f>IF($J$51="","",IF(INDEX(cc_input_vu_khi!$B$2:$B$12,MATCH($J$51,cc_input_vu_khi!$A$2:$A$12,0))*INDEX(cc_input_bang_xuyen_giap!$B$2:$B$7,MIN(6,MAX(1,IF(INDEX(cc_input_vu_khi_suy_ra!$B$2:$B$12,MATCH($J$51,cc_input_vu_khi_suy_ra!$A$2:$A$12,0)),MAX(1,2-(INDEX(cc_input_vu_khi!$C$2:$C$12,MATCH($J$51,cc_input_vu_khi!$A$2:$A$12,0))-Thap!$K$62)),2-(INDEX(cc_input_vu_khi!$C$2:$C$12,MATCH($J$51,cc_input_vu_khi!$A$2:$A$12,0))-Thap!$K$62))+1)))*INDEX(cc_input_vu_khi_suy_ra!$D$2:$D$12,MATCH($J$51,cc_input_vu_khi_suy_ra!$A$2:$A$12,0))&gt;0,CEILING(Thap!$J$62/(INDEX(cc_input_vu_khi!$B$2:$B$12,MATCH($J$51,cc_input_vu_khi!$A$2:$A$12,0))*INDEX(cc_input_bang_xuyen_giap!$B$2:$B$7,MIN(6,MAX(1,IF(INDEX(cc_input_vu_khi_suy_ra!$B$2:$B$12,MATCH($J$51,cc_input_vu_khi_suy_ra!$A$2:$A$12,0)),MAX(1,2-(INDEX(cc_input_vu_khi!$C$2:$C$12,MATCH($J$51,cc_input_vu_khi!$A$2:$A$12,0))-Thap!$K$62)),2-(INDEX(cc_input_vu_khi!$C$2:$C$12,MATCH($J$51,cc_input_vu_khi!$A$2:$A$12,0))-Thap!$K$62))+1)))*INDEX(cc_input_vu_khi_suy_ra!$D$2:$D$12,MATCH($J$51,cc_input_vu_khi_suy_ra!$A$2:$A$12,0))),1),""))</f>
        <v/>
      </c>
      <c r="L51" t="inlineStr">
        <is>
          <t>Tools/balance/p32_tower_prices.py Model.price('missile_battery.pac3') + threats('Large')</t>
        </is>
      </c>
      <c r="M51" t="inlineStr"/>
    </row>
    <row r="52">
      <c r="A52" t="inlineStr">
        <is>
          <t>rocket_turret</t>
        </is>
      </c>
      <c r="B52">
        <f>Thap_gia_cong_thuc!$Q$52</f>
        <v/>
      </c>
      <c r="C52">
        <f>IF(ISNUMBER($B$52),$B$52/Thap!$BN$65,"")</f>
        <v/>
      </c>
      <c r="D52" t="inlineStr">
        <is>
          <t>gun_105_ags</t>
        </is>
      </c>
      <c r="E52">
        <f>IF($D$52="","",IF(INDEX(cc_input_vu_khi!$B$2:$B$12,MATCH($D$52,cc_input_vu_khi!$A$2:$A$12,0))*INDEX(cc_input_bang_xuyen_giap!$B$2:$B$7,MIN(6,MAX(1,IF(INDEX(cc_input_vu_khi_suy_ra!$B$2:$B$12,MATCH($D$52,cc_input_vu_khi_suy_ra!$A$2:$A$12,0)),MAX(1,2-(INDEX(cc_input_vu_khi!$C$2:$C$12,MATCH($D$52,cc_input_vu_khi!$A$2:$A$12,0))-Thap!$K$65)),2-(INDEX(cc_input_vu_khi!$C$2:$C$12,MATCH($D$52,cc_input_vu_khi!$A$2:$A$12,0))-Thap!$K$65))+1)))*INDEX(cc_input_vu_khi_suy_ra!$D$2:$D$12,MATCH($D$52,cc_input_vu_khi_suy_ra!$A$2:$A$12,0))&gt;0,CEILING(Thap!$J$65/(INDEX(cc_input_vu_khi!$B$2:$B$12,MATCH($D$52,cc_input_vu_khi!$A$2:$A$12,0))*INDEX(cc_input_bang_xuyen_giap!$B$2:$B$7,MIN(6,MAX(1,IF(INDEX(cc_input_vu_khi_suy_ra!$B$2:$B$12,MATCH($D$52,cc_input_vu_khi_suy_ra!$A$2:$A$12,0)),MAX(1,2-(INDEX(cc_input_vu_khi!$C$2:$C$12,MATCH($D$52,cc_input_vu_khi!$A$2:$A$12,0))-Thap!$K$65)),2-(INDEX(cc_input_vu_khi!$C$2:$C$12,MATCH($D$52,cc_input_vu_khi!$A$2:$A$12,0))-Thap!$K$65))+1)))*INDEX(cc_input_vu_khi_suy_ra!$D$2:$D$12,MATCH($D$52,cc_input_vu_khi_suy_ra!$A$2:$A$12,0))),1),""))</f>
        <v/>
      </c>
      <c r="F52" t="inlineStr">
        <is>
          <t>gun_105_wheeled_he</t>
        </is>
      </c>
      <c r="G52">
        <f>IF($F$52="","",IF(INDEX(cc_input_vu_khi!$B$2:$B$12,MATCH($F$52,cc_input_vu_khi!$A$2:$A$12,0))*INDEX(cc_input_bang_xuyen_giap!$B$2:$B$7,MIN(6,MAX(1,IF(INDEX(cc_input_vu_khi_suy_ra!$B$2:$B$12,MATCH($F$52,cc_input_vu_khi_suy_ra!$A$2:$A$12,0)),MAX(1,2-(INDEX(cc_input_vu_khi!$C$2:$C$12,MATCH($F$52,cc_input_vu_khi!$A$2:$A$12,0))-Thap!$K$65)),2-(INDEX(cc_input_vu_khi!$C$2:$C$12,MATCH($F$52,cc_input_vu_khi!$A$2:$A$12,0))-Thap!$K$65))+1)))*INDEX(cc_input_vu_khi_suy_ra!$D$2:$D$12,MATCH($F$52,cc_input_vu_khi_suy_ra!$A$2:$A$12,0))&gt;0,CEILING(Thap!$J$65/(INDEX(cc_input_vu_khi!$B$2:$B$12,MATCH($F$52,cc_input_vu_khi!$A$2:$A$12,0))*INDEX(cc_input_bang_xuyen_giap!$B$2:$B$7,MIN(6,MAX(1,IF(INDEX(cc_input_vu_khi_suy_ra!$B$2:$B$12,MATCH($F$52,cc_input_vu_khi_suy_ra!$A$2:$A$12,0)),MAX(1,2-(INDEX(cc_input_vu_khi!$C$2:$C$12,MATCH($F$52,cc_input_vu_khi!$A$2:$A$12,0))-Thap!$K$65)),2-(INDEX(cc_input_vu_khi!$C$2:$C$12,MATCH($F$52,cc_input_vu_khi!$A$2:$A$12,0))-Thap!$K$65))+1)))*INDEX(cc_input_vu_khi_suy_ra!$D$2:$D$12,MATCH($F$52,cc_input_vu_khi_suy_ra!$A$2:$A$12,0))),1),""))</f>
        <v/>
      </c>
      <c r="H52" t="inlineStr">
        <is>
          <t>lancet</t>
        </is>
      </c>
      <c r="I52">
        <f>IF($H$52="","",IF(INDEX(cc_input_vu_khi!$B$2:$B$12,MATCH($H$52,cc_input_vu_khi!$A$2:$A$12,0))*INDEX(cc_input_bang_xuyen_giap!$B$2:$B$7,MIN(6,MAX(1,IF(INDEX(cc_input_vu_khi_suy_ra!$B$2:$B$12,MATCH($H$52,cc_input_vu_khi_suy_ra!$A$2:$A$12,0)),MAX(1,2-(INDEX(cc_input_vu_khi!$C$2:$C$12,MATCH($H$52,cc_input_vu_khi!$A$2:$A$12,0))-Thap!$K$65)),2-(INDEX(cc_input_vu_khi!$C$2:$C$12,MATCH($H$52,cc_input_vu_khi!$A$2:$A$12,0))-Thap!$K$65))+1)))*INDEX(cc_input_vu_khi_suy_ra!$D$2:$D$12,MATCH($H$52,cc_input_vu_khi_suy_ra!$A$2:$A$12,0))&gt;0,CEILING(Thap!$J$65/(INDEX(cc_input_vu_khi!$B$2:$B$12,MATCH($H$52,cc_input_vu_khi!$A$2:$A$12,0))*INDEX(cc_input_bang_xuyen_giap!$B$2:$B$7,MIN(6,MAX(1,IF(INDEX(cc_input_vu_khi_suy_ra!$B$2:$B$12,MATCH($H$52,cc_input_vu_khi_suy_ra!$A$2:$A$12,0)),MAX(1,2-(INDEX(cc_input_vu_khi!$C$2:$C$12,MATCH($H$52,cc_input_vu_khi!$A$2:$A$12,0))-Thap!$K$65)),2-(INDEX(cc_input_vu_khi!$C$2:$C$12,MATCH($H$52,cc_input_vu_khi!$A$2:$A$12,0))-Thap!$K$65))+1)))*INDEX(cc_input_vu_khi_suy_ra!$D$2:$D$12,MATCH($H$52,cc_input_vu_khi_suy_ra!$A$2:$A$12,0))),1),""))</f>
        <v/>
      </c>
      <c r="J52" t="inlineStr">
        <is>
          <t>mlrs_rockets</t>
        </is>
      </c>
      <c r="K52">
        <f>IF($J$52="","",IF(INDEX(cc_input_vu_khi!$B$2:$B$12,MATCH($J$52,cc_input_vu_khi!$A$2:$A$12,0))*INDEX(cc_input_bang_xuyen_giap!$B$2:$B$7,MIN(6,MAX(1,IF(INDEX(cc_input_vu_khi_suy_ra!$B$2:$B$12,MATCH($J$52,cc_input_vu_khi_suy_ra!$A$2:$A$12,0)),MAX(1,2-(INDEX(cc_input_vu_khi!$C$2:$C$12,MATCH($J$52,cc_input_vu_khi!$A$2:$A$12,0))-Thap!$K$65)),2-(INDEX(cc_input_vu_khi!$C$2:$C$12,MATCH($J$52,cc_input_vu_khi!$A$2:$A$12,0))-Thap!$K$65))+1)))*INDEX(cc_input_vu_khi_suy_ra!$D$2:$D$12,MATCH($J$52,cc_input_vu_khi_suy_ra!$A$2:$A$12,0))&gt;0,CEILING(Thap!$J$65/(INDEX(cc_input_vu_khi!$B$2:$B$12,MATCH($J$52,cc_input_vu_khi!$A$2:$A$12,0))*INDEX(cc_input_bang_xuyen_giap!$B$2:$B$7,MIN(6,MAX(1,IF(INDEX(cc_input_vu_khi_suy_ra!$B$2:$B$12,MATCH($J$52,cc_input_vu_khi_suy_ra!$A$2:$A$12,0)),MAX(1,2-(INDEX(cc_input_vu_khi!$C$2:$C$12,MATCH($J$52,cc_input_vu_khi!$A$2:$A$12,0))-Thap!$K$65)),2-(INDEX(cc_input_vu_khi!$C$2:$C$12,MATCH($J$52,cc_input_vu_khi!$A$2:$A$12,0))-Thap!$K$65))+1)))*INDEX(cc_input_vu_khi_suy_ra!$D$2:$D$12,MATCH($J$52,cc_input_vu_khi_suy_ra!$A$2:$A$12,0))),1),""))</f>
        <v/>
      </c>
      <c r="L52" t="inlineStr">
        <is>
          <t>Tools/balance/p32_tower_prices.py Model.price('rocket_turret') + threats('Medium')</t>
        </is>
      </c>
      <c r="M52" t="inlineStr"/>
    </row>
    <row r="53">
      <c r="A53" t="inlineStr">
        <is>
          <t>rocket_turret.cluster</t>
        </is>
      </c>
      <c r="B53">
        <f>Thap_gia_cong_thuc!$Q$53</f>
        <v/>
      </c>
      <c r="C53">
        <f>IF(ISNUMBER($B$53),$B$53/Thap!$BN$66,"")</f>
        <v/>
      </c>
      <c r="D53" t="inlineStr">
        <is>
          <t>gun_105_ags</t>
        </is>
      </c>
      <c r="E53">
        <f>IF($D$53="","",IF(INDEX(cc_input_vu_khi!$B$2:$B$12,MATCH($D$53,cc_input_vu_khi!$A$2:$A$12,0))*INDEX(cc_input_bang_xuyen_giap!$B$2:$B$7,MIN(6,MAX(1,IF(INDEX(cc_input_vu_khi_suy_ra!$B$2:$B$12,MATCH($D$53,cc_input_vu_khi_suy_ra!$A$2:$A$12,0)),MAX(1,2-(INDEX(cc_input_vu_khi!$C$2:$C$12,MATCH($D$53,cc_input_vu_khi!$A$2:$A$12,0))-Thap!$K$66)),2-(INDEX(cc_input_vu_khi!$C$2:$C$12,MATCH($D$53,cc_input_vu_khi!$A$2:$A$12,0))-Thap!$K$66))+1)))*INDEX(cc_input_vu_khi_suy_ra!$D$2:$D$12,MATCH($D$53,cc_input_vu_khi_suy_ra!$A$2:$A$12,0))&gt;0,CEILING(Thap!$J$66/(INDEX(cc_input_vu_khi!$B$2:$B$12,MATCH($D$53,cc_input_vu_khi!$A$2:$A$12,0))*INDEX(cc_input_bang_xuyen_giap!$B$2:$B$7,MIN(6,MAX(1,IF(INDEX(cc_input_vu_khi_suy_ra!$B$2:$B$12,MATCH($D$53,cc_input_vu_khi_suy_ra!$A$2:$A$12,0)),MAX(1,2-(INDEX(cc_input_vu_khi!$C$2:$C$12,MATCH($D$53,cc_input_vu_khi!$A$2:$A$12,0))-Thap!$K$66)),2-(INDEX(cc_input_vu_khi!$C$2:$C$12,MATCH($D$53,cc_input_vu_khi!$A$2:$A$12,0))-Thap!$K$66))+1)))*INDEX(cc_input_vu_khi_suy_ra!$D$2:$D$12,MATCH($D$53,cc_input_vu_khi_suy_ra!$A$2:$A$12,0))),1),""))</f>
        <v/>
      </c>
      <c r="F53" t="inlineStr">
        <is>
          <t>gun_105_wheeled_he</t>
        </is>
      </c>
      <c r="G53">
        <f>IF($F$53="","",IF(INDEX(cc_input_vu_khi!$B$2:$B$12,MATCH($F$53,cc_input_vu_khi!$A$2:$A$12,0))*INDEX(cc_input_bang_xuyen_giap!$B$2:$B$7,MIN(6,MAX(1,IF(INDEX(cc_input_vu_khi_suy_ra!$B$2:$B$12,MATCH($F$53,cc_input_vu_khi_suy_ra!$A$2:$A$12,0)),MAX(1,2-(INDEX(cc_input_vu_khi!$C$2:$C$12,MATCH($F$53,cc_input_vu_khi!$A$2:$A$12,0))-Thap!$K$66)),2-(INDEX(cc_input_vu_khi!$C$2:$C$12,MATCH($F$53,cc_input_vu_khi!$A$2:$A$12,0))-Thap!$K$66))+1)))*INDEX(cc_input_vu_khi_suy_ra!$D$2:$D$12,MATCH($F$53,cc_input_vu_khi_suy_ra!$A$2:$A$12,0))&gt;0,CEILING(Thap!$J$66/(INDEX(cc_input_vu_khi!$B$2:$B$12,MATCH($F$53,cc_input_vu_khi!$A$2:$A$12,0))*INDEX(cc_input_bang_xuyen_giap!$B$2:$B$7,MIN(6,MAX(1,IF(INDEX(cc_input_vu_khi_suy_ra!$B$2:$B$12,MATCH($F$53,cc_input_vu_khi_suy_ra!$A$2:$A$12,0)),MAX(1,2-(INDEX(cc_input_vu_khi!$C$2:$C$12,MATCH($F$53,cc_input_vu_khi!$A$2:$A$12,0))-Thap!$K$66)),2-(INDEX(cc_input_vu_khi!$C$2:$C$12,MATCH($F$53,cc_input_vu_khi!$A$2:$A$12,0))-Thap!$K$66))+1)))*INDEX(cc_input_vu_khi_suy_ra!$D$2:$D$12,MATCH($F$53,cc_input_vu_khi_suy_ra!$A$2:$A$12,0))),1),""))</f>
        <v/>
      </c>
      <c r="H53" t="inlineStr">
        <is>
          <t>lancet</t>
        </is>
      </c>
      <c r="I53">
        <f>IF($H$53="","",IF(INDEX(cc_input_vu_khi!$B$2:$B$12,MATCH($H$53,cc_input_vu_khi!$A$2:$A$12,0))*INDEX(cc_input_bang_xuyen_giap!$B$2:$B$7,MIN(6,MAX(1,IF(INDEX(cc_input_vu_khi_suy_ra!$B$2:$B$12,MATCH($H$53,cc_input_vu_khi_suy_ra!$A$2:$A$12,0)),MAX(1,2-(INDEX(cc_input_vu_khi!$C$2:$C$12,MATCH($H$53,cc_input_vu_khi!$A$2:$A$12,0))-Thap!$K$66)),2-(INDEX(cc_input_vu_khi!$C$2:$C$12,MATCH($H$53,cc_input_vu_khi!$A$2:$A$12,0))-Thap!$K$66))+1)))*INDEX(cc_input_vu_khi_suy_ra!$D$2:$D$12,MATCH($H$53,cc_input_vu_khi_suy_ra!$A$2:$A$12,0))&gt;0,CEILING(Thap!$J$66/(INDEX(cc_input_vu_khi!$B$2:$B$12,MATCH($H$53,cc_input_vu_khi!$A$2:$A$12,0))*INDEX(cc_input_bang_xuyen_giap!$B$2:$B$7,MIN(6,MAX(1,IF(INDEX(cc_input_vu_khi_suy_ra!$B$2:$B$12,MATCH($H$53,cc_input_vu_khi_suy_ra!$A$2:$A$12,0)),MAX(1,2-(INDEX(cc_input_vu_khi!$C$2:$C$12,MATCH($H$53,cc_input_vu_khi!$A$2:$A$12,0))-Thap!$K$66)),2-(INDEX(cc_input_vu_khi!$C$2:$C$12,MATCH($H$53,cc_input_vu_khi!$A$2:$A$12,0))-Thap!$K$66))+1)))*INDEX(cc_input_vu_khi_suy_ra!$D$2:$D$12,MATCH($H$53,cc_input_vu_khi_suy_ra!$A$2:$A$12,0))),1),""))</f>
        <v/>
      </c>
      <c r="J53" t="inlineStr">
        <is>
          <t>mlrs_rockets</t>
        </is>
      </c>
      <c r="K53">
        <f>IF($J$53="","",IF(INDEX(cc_input_vu_khi!$B$2:$B$12,MATCH($J$53,cc_input_vu_khi!$A$2:$A$12,0))*INDEX(cc_input_bang_xuyen_giap!$B$2:$B$7,MIN(6,MAX(1,IF(INDEX(cc_input_vu_khi_suy_ra!$B$2:$B$12,MATCH($J$53,cc_input_vu_khi_suy_ra!$A$2:$A$12,0)),MAX(1,2-(INDEX(cc_input_vu_khi!$C$2:$C$12,MATCH($J$53,cc_input_vu_khi!$A$2:$A$12,0))-Thap!$K$66)),2-(INDEX(cc_input_vu_khi!$C$2:$C$12,MATCH($J$53,cc_input_vu_khi!$A$2:$A$12,0))-Thap!$K$66))+1)))*INDEX(cc_input_vu_khi_suy_ra!$D$2:$D$12,MATCH($J$53,cc_input_vu_khi_suy_ra!$A$2:$A$12,0))&gt;0,CEILING(Thap!$J$66/(INDEX(cc_input_vu_khi!$B$2:$B$12,MATCH($J$53,cc_input_vu_khi!$A$2:$A$12,0))*INDEX(cc_input_bang_xuyen_giap!$B$2:$B$7,MIN(6,MAX(1,IF(INDEX(cc_input_vu_khi_suy_ra!$B$2:$B$12,MATCH($J$53,cc_input_vu_khi_suy_ra!$A$2:$A$12,0)),MAX(1,2-(INDEX(cc_input_vu_khi!$C$2:$C$12,MATCH($J$53,cc_input_vu_khi!$A$2:$A$12,0))-Thap!$K$66)),2-(INDEX(cc_input_vu_khi!$C$2:$C$12,MATCH($J$53,cc_input_vu_khi!$A$2:$A$12,0))-Thap!$K$66))+1)))*INDEX(cc_input_vu_khi_suy_ra!$D$2:$D$12,MATCH($J$53,cc_input_vu_khi_suy_ra!$A$2:$A$12,0))),1),""))</f>
        <v/>
      </c>
      <c r="L53" t="inlineStr">
        <is>
          <t>Tools/balance/p32_tower_prices.py Model.price('rocket_turret.cluster') + threats('Medium')</t>
        </is>
      </c>
      <c r="M53" t="inlineStr"/>
    </row>
    <row r="54">
      <c r="A54" t="inlineStr">
        <is>
          <t>rocket_turret.guided</t>
        </is>
      </c>
      <c r="B54">
        <f>Thap_gia_cong_thuc!$Q$54</f>
        <v/>
      </c>
      <c r="C54">
        <f>IF(ISNUMBER($B$54),$B$54/Thap!$BN$67,"")</f>
        <v/>
      </c>
      <c r="D54" t="inlineStr">
        <is>
          <t>gun_105_ags</t>
        </is>
      </c>
      <c r="E54">
        <f>IF($D$54="","",IF(INDEX(cc_input_vu_khi!$B$2:$B$12,MATCH($D$54,cc_input_vu_khi!$A$2:$A$12,0))*INDEX(cc_input_bang_xuyen_giap!$B$2:$B$7,MIN(6,MAX(1,IF(INDEX(cc_input_vu_khi_suy_ra!$B$2:$B$12,MATCH($D$54,cc_input_vu_khi_suy_ra!$A$2:$A$12,0)),MAX(1,2-(INDEX(cc_input_vu_khi!$C$2:$C$12,MATCH($D$54,cc_input_vu_khi!$A$2:$A$12,0))-Thap!$K$67)),2-(INDEX(cc_input_vu_khi!$C$2:$C$12,MATCH($D$54,cc_input_vu_khi!$A$2:$A$12,0))-Thap!$K$67))+1)))*INDEX(cc_input_vu_khi_suy_ra!$D$2:$D$12,MATCH($D$54,cc_input_vu_khi_suy_ra!$A$2:$A$12,0))&gt;0,CEILING(Thap!$J$67/(INDEX(cc_input_vu_khi!$B$2:$B$12,MATCH($D$54,cc_input_vu_khi!$A$2:$A$12,0))*INDEX(cc_input_bang_xuyen_giap!$B$2:$B$7,MIN(6,MAX(1,IF(INDEX(cc_input_vu_khi_suy_ra!$B$2:$B$12,MATCH($D$54,cc_input_vu_khi_suy_ra!$A$2:$A$12,0)),MAX(1,2-(INDEX(cc_input_vu_khi!$C$2:$C$12,MATCH($D$54,cc_input_vu_khi!$A$2:$A$12,0))-Thap!$K$67)),2-(INDEX(cc_input_vu_khi!$C$2:$C$12,MATCH($D$54,cc_input_vu_khi!$A$2:$A$12,0))-Thap!$K$67))+1)))*INDEX(cc_input_vu_khi_suy_ra!$D$2:$D$12,MATCH($D$54,cc_input_vu_khi_suy_ra!$A$2:$A$12,0))),1),""))</f>
        <v/>
      </c>
      <c r="F54" t="inlineStr">
        <is>
          <t>gun_105_wheeled_he</t>
        </is>
      </c>
      <c r="G54">
        <f>IF($F$54="","",IF(INDEX(cc_input_vu_khi!$B$2:$B$12,MATCH($F$54,cc_input_vu_khi!$A$2:$A$12,0))*INDEX(cc_input_bang_xuyen_giap!$B$2:$B$7,MIN(6,MAX(1,IF(INDEX(cc_input_vu_khi_suy_ra!$B$2:$B$12,MATCH($F$54,cc_input_vu_khi_suy_ra!$A$2:$A$12,0)),MAX(1,2-(INDEX(cc_input_vu_khi!$C$2:$C$12,MATCH($F$54,cc_input_vu_khi!$A$2:$A$12,0))-Thap!$K$67)),2-(INDEX(cc_input_vu_khi!$C$2:$C$12,MATCH($F$54,cc_input_vu_khi!$A$2:$A$12,0))-Thap!$K$67))+1)))*INDEX(cc_input_vu_khi_suy_ra!$D$2:$D$12,MATCH($F$54,cc_input_vu_khi_suy_ra!$A$2:$A$12,0))&gt;0,CEILING(Thap!$J$67/(INDEX(cc_input_vu_khi!$B$2:$B$12,MATCH($F$54,cc_input_vu_khi!$A$2:$A$12,0))*INDEX(cc_input_bang_xuyen_giap!$B$2:$B$7,MIN(6,MAX(1,IF(INDEX(cc_input_vu_khi_suy_ra!$B$2:$B$12,MATCH($F$54,cc_input_vu_khi_suy_ra!$A$2:$A$12,0)),MAX(1,2-(INDEX(cc_input_vu_khi!$C$2:$C$12,MATCH($F$54,cc_input_vu_khi!$A$2:$A$12,0))-Thap!$K$67)),2-(INDEX(cc_input_vu_khi!$C$2:$C$12,MATCH($F$54,cc_input_vu_khi!$A$2:$A$12,0))-Thap!$K$67))+1)))*INDEX(cc_input_vu_khi_suy_ra!$D$2:$D$12,MATCH($F$54,cc_input_vu_khi_suy_ra!$A$2:$A$12,0))),1),""))</f>
        <v/>
      </c>
      <c r="H54" t="inlineStr">
        <is>
          <t>lancet</t>
        </is>
      </c>
      <c r="I54">
        <f>IF($H$54="","",IF(INDEX(cc_input_vu_khi!$B$2:$B$12,MATCH($H$54,cc_input_vu_khi!$A$2:$A$12,0))*INDEX(cc_input_bang_xuyen_giap!$B$2:$B$7,MIN(6,MAX(1,IF(INDEX(cc_input_vu_khi_suy_ra!$B$2:$B$12,MATCH($H$54,cc_input_vu_khi_suy_ra!$A$2:$A$12,0)),MAX(1,2-(INDEX(cc_input_vu_khi!$C$2:$C$12,MATCH($H$54,cc_input_vu_khi!$A$2:$A$12,0))-Thap!$K$67)),2-(INDEX(cc_input_vu_khi!$C$2:$C$12,MATCH($H$54,cc_input_vu_khi!$A$2:$A$12,0))-Thap!$K$67))+1)))*INDEX(cc_input_vu_khi_suy_ra!$D$2:$D$12,MATCH($H$54,cc_input_vu_khi_suy_ra!$A$2:$A$12,0))&gt;0,CEILING(Thap!$J$67/(INDEX(cc_input_vu_khi!$B$2:$B$12,MATCH($H$54,cc_input_vu_khi!$A$2:$A$12,0))*INDEX(cc_input_bang_xuyen_giap!$B$2:$B$7,MIN(6,MAX(1,IF(INDEX(cc_input_vu_khi_suy_ra!$B$2:$B$12,MATCH($H$54,cc_input_vu_khi_suy_ra!$A$2:$A$12,0)),MAX(1,2-(INDEX(cc_input_vu_khi!$C$2:$C$12,MATCH($H$54,cc_input_vu_khi!$A$2:$A$12,0))-Thap!$K$67)),2-(INDEX(cc_input_vu_khi!$C$2:$C$12,MATCH($H$54,cc_input_vu_khi!$A$2:$A$12,0))-Thap!$K$67))+1)))*INDEX(cc_input_vu_khi_suy_ra!$D$2:$D$12,MATCH($H$54,cc_input_vu_khi_suy_ra!$A$2:$A$12,0))),1),""))</f>
        <v/>
      </c>
      <c r="J54" t="inlineStr">
        <is>
          <t>mlrs_rockets</t>
        </is>
      </c>
      <c r="K54">
        <f>IF($J$54="","",IF(INDEX(cc_input_vu_khi!$B$2:$B$12,MATCH($J$54,cc_input_vu_khi!$A$2:$A$12,0))*INDEX(cc_input_bang_xuyen_giap!$B$2:$B$7,MIN(6,MAX(1,IF(INDEX(cc_input_vu_khi_suy_ra!$B$2:$B$12,MATCH($J$54,cc_input_vu_khi_suy_ra!$A$2:$A$12,0)),MAX(1,2-(INDEX(cc_input_vu_khi!$C$2:$C$12,MATCH($J$54,cc_input_vu_khi!$A$2:$A$12,0))-Thap!$K$67)),2-(INDEX(cc_input_vu_khi!$C$2:$C$12,MATCH($J$54,cc_input_vu_khi!$A$2:$A$12,0))-Thap!$K$67))+1)))*INDEX(cc_input_vu_khi_suy_ra!$D$2:$D$12,MATCH($J$54,cc_input_vu_khi_suy_ra!$A$2:$A$12,0))&gt;0,CEILING(Thap!$J$67/(INDEX(cc_input_vu_khi!$B$2:$B$12,MATCH($J$54,cc_input_vu_khi!$A$2:$A$12,0))*INDEX(cc_input_bang_xuyen_giap!$B$2:$B$7,MIN(6,MAX(1,IF(INDEX(cc_input_vu_khi_suy_ra!$B$2:$B$12,MATCH($J$54,cc_input_vu_khi_suy_ra!$A$2:$A$12,0)),MAX(1,2-(INDEX(cc_input_vu_khi!$C$2:$C$12,MATCH($J$54,cc_input_vu_khi!$A$2:$A$12,0))-Thap!$K$67)),2-(INDEX(cc_input_vu_khi!$C$2:$C$12,MATCH($J$54,cc_input_vu_khi!$A$2:$A$12,0))-Thap!$K$67))+1)))*INDEX(cc_input_vu_khi_suy_ra!$D$2:$D$12,MATCH($J$54,cc_input_vu_khi_suy_ra!$A$2:$A$12,0))),1),""))</f>
        <v/>
      </c>
      <c r="L54" t="inlineStr">
        <is>
          <t>Tools/balance/p32_tower_prices.py Model.price('rocket_turret.guided') + threats('Medium')</t>
        </is>
      </c>
      <c r="M54" t="inlineStr"/>
    </row>
    <row r="55">
      <c r="A55" t="inlineStr">
        <is>
          <t>searchlight</t>
        </is>
      </c>
      <c r="B55">
        <f>Thap_gia_cong_thuc!$Q$55</f>
        <v/>
      </c>
      <c r="C55">
        <f>IF(ISNUMBER($B$55),$B$55/Thap!$BN$68,"")</f>
        <v/>
      </c>
      <c r="D55" t="inlineStr">
        <is>
          <t>ifv_30</t>
        </is>
      </c>
      <c r="E55">
        <f>IF($D$55="","",IF(INDEX(cc_input_vu_khi!$B$2:$B$12,MATCH($D$55,cc_input_vu_khi!$A$2:$A$12,0))*INDEX(cc_input_bang_xuyen_giap!$B$2:$B$7,MIN(6,MAX(1,IF(INDEX(cc_input_vu_khi_suy_ra!$B$2:$B$12,MATCH($D$55,cc_input_vu_khi_suy_ra!$A$2:$A$12,0)),MAX(1,2-(INDEX(cc_input_vu_khi!$C$2:$C$12,MATCH($D$55,cc_input_vu_khi!$A$2:$A$12,0))-Thap!$K$68)),2-(INDEX(cc_input_vu_khi!$C$2:$C$12,MATCH($D$55,cc_input_vu_khi!$A$2:$A$12,0))-Thap!$K$68))+1)))*INDEX(cc_input_vu_khi_suy_ra!$D$2:$D$12,MATCH($D$55,cc_input_vu_khi_suy_ra!$A$2:$A$12,0))&gt;0,CEILING(Thap!$J$68/(INDEX(cc_input_vu_khi!$B$2:$B$12,MATCH($D$55,cc_input_vu_khi!$A$2:$A$12,0))*INDEX(cc_input_bang_xuyen_giap!$B$2:$B$7,MIN(6,MAX(1,IF(INDEX(cc_input_vu_khi_suy_ra!$B$2:$B$12,MATCH($D$55,cc_input_vu_khi_suy_ra!$A$2:$A$12,0)),MAX(1,2-(INDEX(cc_input_vu_khi!$C$2:$C$12,MATCH($D$55,cc_input_vu_khi!$A$2:$A$12,0))-Thap!$K$68)),2-(INDEX(cc_input_vu_khi!$C$2:$C$12,MATCH($D$55,cc_input_vu_khi!$A$2:$A$12,0))-Thap!$K$68))+1)))*INDEX(cc_input_vu_khi_suy_ra!$D$2:$D$12,MATCH($D$55,cc_input_vu_khi_suy_ra!$A$2:$A$12,0))),1),""))</f>
        <v/>
      </c>
      <c r="F55" t="inlineStr">
        <is>
          <t>gun_105_wheeled_he</t>
        </is>
      </c>
      <c r="G55">
        <f>IF($F$55="","",IF(INDEX(cc_input_vu_khi!$B$2:$B$12,MATCH($F$55,cc_input_vu_khi!$A$2:$A$12,0))*INDEX(cc_input_bang_xuyen_giap!$B$2:$B$7,MIN(6,MAX(1,IF(INDEX(cc_input_vu_khi_suy_ra!$B$2:$B$12,MATCH($F$55,cc_input_vu_khi_suy_ra!$A$2:$A$12,0)),MAX(1,2-(INDEX(cc_input_vu_khi!$C$2:$C$12,MATCH($F$55,cc_input_vu_khi!$A$2:$A$12,0))-Thap!$K$68)),2-(INDEX(cc_input_vu_khi!$C$2:$C$12,MATCH($F$55,cc_input_vu_khi!$A$2:$A$12,0))-Thap!$K$68))+1)))*INDEX(cc_input_vu_khi_suy_ra!$D$2:$D$12,MATCH($F$55,cc_input_vu_khi_suy_ra!$A$2:$A$12,0))&gt;0,CEILING(Thap!$J$68/(INDEX(cc_input_vu_khi!$B$2:$B$12,MATCH($F$55,cc_input_vu_khi!$A$2:$A$12,0))*INDEX(cc_input_bang_xuyen_giap!$B$2:$B$7,MIN(6,MAX(1,IF(INDEX(cc_input_vu_khi_suy_ra!$B$2:$B$12,MATCH($F$55,cc_input_vu_khi_suy_ra!$A$2:$A$12,0)),MAX(1,2-(INDEX(cc_input_vu_khi!$C$2:$C$12,MATCH($F$55,cc_input_vu_khi!$A$2:$A$12,0))-Thap!$K$68)),2-(INDEX(cc_input_vu_khi!$C$2:$C$12,MATCH($F$55,cc_input_vu_khi!$A$2:$A$12,0))-Thap!$K$68))+1)))*INDEX(cc_input_vu_khi_suy_ra!$D$2:$D$12,MATCH($F$55,cc_input_vu_khi_suy_ra!$A$2:$A$12,0))),1),""))</f>
        <v/>
      </c>
      <c r="H55" t="inlineStr">
        <is>
          <t>khrizantema</t>
        </is>
      </c>
      <c r="I55">
        <f>IF($H$55="","",IF(INDEX(cc_input_vu_khi!$B$2:$B$12,MATCH($H$55,cc_input_vu_khi!$A$2:$A$12,0))*INDEX(cc_input_bang_xuyen_giap!$B$2:$B$7,MIN(6,MAX(1,IF(INDEX(cc_input_vu_khi_suy_ra!$B$2:$B$12,MATCH($H$55,cc_input_vu_khi_suy_ra!$A$2:$A$12,0)),MAX(1,2-(INDEX(cc_input_vu_khi!$C$2:$C$12,MATCH($H$55,cc_input_vu_khi!$A$2:$A$12,0))-Thap!$K$68)),2-(INDEX(cc_input_vu_khi!$C$2:$C$12,MATCH($H$55,cc_input_vu_khi!$A$2:$A$12,0))-Thap!$K$68))+1)))*INDEX(cc_input_vu_khi_suy_ra!$D$2:$D$12,MATCH($H$55,cc_input_vu_khi_suy_ra!$A$2:$A$12,0))&gt;0,CEILING(Thap!$J$68/(INDEX(cc_input_vu_khi!$B$2:$B$12,MATCH($H$55,cc_input_vu_khi!$A$2:$A$12,0))*INDEX(cc_input_bang_xuyen_giap!$B$2:$B$7,MIN(6,MAX(1,IF(INDEX(cc_input_vu_khi_suy_ra!$B$2:$B$12,MATCH($H$55,cc_input_vu_khi_suy_ra!$A$2:$A$12,0)),MAX(1,2-(INDEX(cc_input_vu_khi!$C$2:$C$12,MATCH($H$55,cc_input_vu_khi!$A$2:$A$12,0))-Thap!$K$68)),2-(INDEX(cc_input_vu_khi!$C$2:$C$12,MATCH($H$55,cc_input_vu_khi!$A$2:$A$12,0))-Thap!$K$68))+1)))*INDEX(cc_input_vu_khi_suy_ra!$D$2:$D$12,MATCH($H$55,cc_input_vu_khi_suy_ra!$A$2:$A$12,0))),1),""))</f>
        <v/>
      </c>
      <c r="J55" t="inlineStr">
        <is>
          <t>caesar_155</t>
        </is>
      </c>
      <c r="K55">
        <f>IF($J$55="","",IF(INDEX(cc_input_vu_khi!$B$2:$B$12,MATCH($J$55,cc_input_vu_khi!$A$2:$A$12,0))*INDEX(cc_input_bang_xuyen_giap!$B$2:$B$7,MIN(6,MAX(1,IF(INDEX(cc_input_vu_khi_suy_ra!$B$2:$B$12,MATCH($J$55,cc_input_vu_khi_suy_ra!$A$2:$A$12,0)),MAX(1,2-(INDEX(cc_input_vu_khi!$C$2:$C$12,MATCH($J$55,cc_input_vu_khi!$A$2:$A$12,0))-Thap!$K$68)),2-(INDEX(cc_input_vu_khi!$C$2:$C$12,MATCH($J$55,cc_input_vu_khi!$A$2:$A$12,0))-Thap!$K$68))+1)))*INDEX(cc_input_vu_khi_suy_ra!$D$2:$D$12,MATCH($J$55,cc_input_vu_khi_suy_ra!$A$2:$A$12,0))&gt;0,CEILING(Thap!$J$68/(INDEX(cc_input_vu_khi!$B$2:$B$12,MATCH($J$55,cc_input_vu_khi!$A$2:$A$12,0))*INDEX(cc_input_bang_xuyen_giap!$B$2:$B$7,MIN(6,MAX(1,IF(INDEX(cc_input_vu_khi_suy_ra!$B$2:$B$12,MATCH($J$55,cc_input_vu_khi_suy_ra!$A$2:$A$12,0)),MAX(1,2-(INDEX(cc_input_vu_khi!$C$2:$C$12,MATCH($J$55,cc_input_vu_khi!$A$2:$A$12,0))-Thap!$K$68)),2-(INDEX(cc_input_vu_khi!$C$2:$C$12,MATCH($J$55,cc_input_vu_khi!$A$2:$A$12,0))-Thap!$K$68))+1)))*INDEX(cc_input_vu_khi_suy_ra!$D$2:$D$12,MATCH($J$55,cc_input_vu_khi_suy_ra!$A$2:$A$12,0))),1),""))</f>
        <v/>
      </c>
      <c r="L55" t="inlineStr">
        <is>
          <t>Tools/balance/p32_tower_prices.py Model.price('searchlight') + threats('Small')</t>
        </is>
      </c>
      <c r="M55" t="inlineStr"/>
    </row>
    <row r="56">
      <c r="A56" t="inlineStr">
        <is>
          <t>searchlight.beam</t>
        </is>
      </c>
      <c r="B56">
        <f>Thap_gia_cong_thuc!$Q$56</f>
        <v/>
      </c>
      <c r="C56">
        <f>IF(ISNUMBER($B$56),$B$56/Thap!$BN$69,"")</f>
        <v/>
      </c>
      <c r="D56" t="inlineStr">
        <is>
          <t>ifv_30</t>
        </is>
      </c>
      <c r="E56">
        <f>IF($D$56="","",IF(INDEX(cc_input_vu_khi!$B$2:$B$12,MATCH($D$56,cc_input_vu_khi!$A$2:$A$12,0))*INDEX(cc_input_bang_xuyen_giap!$B$2:$B$7,MIN(6,MAX(1,IF(INDEX(cc_input_vu_khi_suy_ra!$B$2:$B$12,MATCH($D$56,cc_input_vu_khi_suy_ra!$A$2:$A$12,0)),MAX(1,2-(INDEX(cc_input_vu_khi!$C$2:$C$12,MATCH($D$56,cc_input_vu_khi!$A$2:$A$12,0))-Thap!$K$69)),2-(INDEX(cc_input_vu_khi!$C$2:$C$12,MATCH($D$56,cc_input_vu_khi!$A$2:$A$12,0))-Thap!$K$69))+1)))*INDEX(cc_input_vu_khi_suy_ra!$D$2:$D$12,MATCH($D$56,cc_input_vu_khi_suy_ra!$A$2:$A$12,0))&gt;0,CEILING(Thap!$J$69/(INDEX(cc_input_vu_khi!$B$2:$B$12,MATCH($D$56,cc_input_vu_khi!$A$2:$A$12,0))*INDEX(cc_input_bang_xuyen_giap!$B$2:$B$7,MIN(6,MAX(1,IF(INDEX(cc_input_vu_khi_suy_ra!$B$2:$B$12,MATCH($D$56,cc_input_vu_khi_suy_ra!$A$2:$A$12,0)),MAX(1,2-(INDEX(cc_input_vu_khi!$C$2:$C$12,MATCH($D$56,cc_input_vu_khi!$A$2:$A$12,0))-Thap!$K$69)),2-(INDEX(cc_input_vu_khi!$C$2:$C$12,MATCH($D$56,cc_input_vu_khi!$A$2:$A$12,0))-Thap!$K$69))+1)))*INDEX(cc_input_vu_khi_suy_ra!$D$2:$D$12,MATCH($D$56,cc_input_vu_khi_suy_ra!$A$2:$A$12,0))),1),""))</f>
        <v/>
      </c>
      <c r="F56" t="inlineStr">
        <is>
          <t>gun_105_wheeled_he</t>
        </is>
      </c>
      <c r="G56">
        <f>IF($F$56="","",IF(INDEX(cc_input_vu_khi!$B$2:$B$12,MATCH($F$56,cc_input_vu_khi!$A$2:$A$12,0))*INDEX(cc_input_bang_xuyen_giap!$B$2:$B$7,MIN(6,MAX(1,IF(INDEX(cc_input_vu_khi_suy_ra!$B$2:$B$12,MATCH($F$56,cc_input_vu_khi_suy_ra!$A$2:$A$12,0)),MAX(1,2-(INDEX(cc_input_vu_khi!$C$2:$C$12,MATCH($F$56,cc_input_vu_khi!$A$2:$A$12,0))-Thap!$K$69)),2-(INDEX(cc_input_vu_khi!$C$2:$C$12,MATCH($F$56,cc_input_vu_khi!$A$2:$A$12,0))-Thap!$K$69))+1)))*INDEX(cc_input_vu_khi_suy_ra!$D$2:$D$12,MATCH($F$56,cc_input_vu_khi_suy_ra!$A$2:$A$12,0))&gt;0,CEILING(Thap!$J$69/(INDEX(cc_input_vu_khi!$B$2:$B$12,MATCH($F$56,cc_input_vu_khi!$A$2:$A$12,0))*INDEX(cc_input_bang_xuyen_giap!$B$2:$B$7,MIN(6,MAX(1,IF(INDEX(cc_input_vu_khi_suy_ra!$B$2:$B$12,MATCH($F$56,cc_input_vu_khi_suy_ra!$A$2:$A$12,0)),MAX(1,2-(INDEX(cc_input_vu_khi!$C$2:$C$12,MATCH($F$56,cc_input_vu_khi!$A$2:$A$12,0))-Thap!$K$69)),2-(INDEX(cc_input_vu_khi!$C$2:$C$12,MATCH($F$56,cc_input_vu_khi!$A$2:$A$12,0))-Thap!$K$69))+1)))*INDEX(cc_input_vu_khi_suy_ra!$D$2:$D$12,MATCH($F$56,cc_input_vu_khi_suy_ra!$A$2:$A$12,0))),1),""))</f>
        <v/>
      </c>
      <c r="H56" t="inlineStr">
        <is>
          <t>khrizantema</t>
        </is>
      </c>
      <c r="I56">
        <f>IF($H$56="","",IF(INDEX(cc_input_vu_khi!$B$2:$B$12,MATCH($H$56,cc_input_vu_khi!$A$2:$A$12,0))*INDEX(cc_input_bang_xuyen_giap!$B$2:$B$7,MIN(6,MAX(1,IF(INDEX(cc_input_vu_khi_suy_ra!$B$2:$B$12,MATCH($H$56,cc_input_vu_khi_suy_ra!$A$2:$A$12,0)),MAX(1,2-(INDEX(cc_input_vu_khi!$C$2:$C$12,MATCH($H$56,cc_input_vu_khi!$A$2:$A$12,0))-Thap!$K$69)),2-(INDEX(cc_input_vu_khi!$C$2:$C$12,MATCH($H$56,cc_input_vu_khi!$A$2:$A$12,0))-Thap!$K$69))+1)))*INDEX(cc_input_vu_khi_suy_ra!$D$2:$D$12,MATCH($H$56,cc_input_vu_khi_suy_ra!$A$2:$A$12,0))&gt;0,CEILING(Thap!$J$69/(INDEX(cc_input_vu_khi!$B$2:$B$12,MATCH($H$56,cc_input_vu_khi!$A$2:$A$12,0))*INDEX(cc_input_bang_xuyen_giap!$B$2:$B$7,MIN(6,MAX(1,IF(INDEX(cc_input_vu_khi_suy_ra!$B$2:$B$12,MATCH($H$56,cc_input_vu_khi_suy_ra!$A$2:$A$12,0)),MAX(1,2-(INDEX(cc_input_vu_khi!$C$2:$C$12,MATCH($H$56,cc_input_vu_khi!$A$2:$A$12,0))-Thap!$K$69)),2-(INDEX(cc_input_vu_khi!$C$2:$C$12,MATCH($H$56,cc_input_vu_khi!$A$2:$A$12,0))-Thap!$K$69))+1)))*INDEX(cc_input_vu_khi_suy_ra!$D$2:$D$12,MATCH($H$56,cc_input_vu_khi_suy_ra!$A$2:$A$12,0))),1),""))</f>
        <v/>
      </c>
      <c r="J56" t="inlineStr">
        <is>
          <t>caesar_155</t>
        </is>
      </c>
      <c r="K56">
        <f>IF($J$56="","",IF(INDEX(cc_input_vu_khi!$B$2:$B$12,MATCH($J$56,cc_input_vu_khi!$A$2:$A$12,0))*INDEX(cc_input_bang_xuyen_giap!$B$2:$B$7,MIN(6,MAX(1,IF(INDEX(cc_input_vu_khi_suy_ra!$B$2:$B$12,MATCH($J$56,cc_input_vu_khi_suy_ra!$A$2:$A$12,0)),MAX(1,2-(INDEX(cc_input_vu_khi!$C$2:$C$12,MATCH($J$56,cc_input_vu_khi!$A$2:$A$12,0))-Thap!$K$69)),2-(INDEX(cc_input_vu_khi!$C$2:$C$12,MATCH($J$56,cc_input_vu_khi!$A$2:$A$12,0))-Thap!$K$69))+1)))*INDEX(cc_input_vu_khi_suy_ra!$D$2:$D$12,MATCH($J$56,cc_input_vu_khi_suy_ra!$A$2:$A$12,0))&gt;0,CEILING(Thap!$J$69/(INDEX(cc_input_vu_khi!$B$2:$B$12,MATCH($J$56,cc_input_vu_khi!$A$2:$A$12,0))*INDEX(cc_input_bang_xuyen_giap!$B$2:$B$7,MIN(6,MAX(1,IF(INDEX(cc_input_vu_khi_suy_ra!$B$2:$B$12,MATCH($J$56,cc_input_vu_khi_suy_ra!$A$2:$A$12,0)),MAX(1,2-(INDEX(cc_input_vu_khi!$C$2:$C$12,MATCH($J$56,cc_input_vu_khi!$A$2:$A$12,0))-Thap!$K$69)),2-(INDEX(cc_input_vu_khi!$C$2:$C$12,MATCH($J$56,cc_input_vu_khi!$A$2:$A$12,0))-Thap!$K$69))+1)))*INDEX(cc_input_vu_khi_suy_ra!$D$2:$D$12,MATCH($J$56,cc_input_vu_khi_suy_ra!$A$2:$A$12,0))),1),""))</f>
        <v/>
      </c>
      <c r="L56" t="inlineStr">
        <is>
          <t>Tools/balance/p32_tower_prices.py Model.price('searchlight.beam') + threats('Small')</t>
        </is>
      </c>
      <c r="M56" t="inlineStr"/>
    </row>
    <row r="57">
      <c r="A57" t="inlineStr">
        <is>
          <t>searchlight.flare</t>
        </is>
      </c>
      <c r="B57">
        <f>Thap_gia_cong_thuc!$Q$57</f>
        <v/>
      </c>
      <c r="C57">
        <f>IF(ISNUMBER($B$57),$B$57/Thap!$BN$70,"")</f>
        <v/>
      </c>
      <c r="D57" t="inlineStr">
        <is>
          <t>ifv_30</t>
        </is>
      </c>
      <c r="E57">
        <f>IF($D$57="","",IF(INDEX(cc_input_vu_khi!$B$2:$B$12,MATCH($D$57,cc_input_vu_khi!$A$2:$A$12,0))*INDEX(cc_input_bang_xuyen_giap!$B$2:$B$7,MIN(6,MAX(1,IF(INDEX(cc_input_vu_khi_suy_ra!$B$2:$B$12,MATCH($D$57,cc_input_vu_khi_suy_ra!$A$2:$A$12,0)),MAX(1,2-(INDEX(cc_input_vu_khi!$C$2:$C$12,MATCH($D$57,cc_input_vu_khi!$A$2:$A$12,0))-Thap!$K$70)),2-(INDEX(cc_input_vu_khi!$C$2:$C$12,MATCH($D$57,cc_input_vu_khi!$A$2:$A$12,0))-Thap!$K$70))+1)))*INDEX(cc_input_vu_khi_suy_ra!$D$2:$D$12,MATCH($D$57,cc_input_vu_khi_suy_ra!$A$2:$A$12,0))&gt;0,CEILING(Thap!$J$70/(INDEX(cc_input_vu_khi!$B$2:$B$12,MATCH($D$57,cc_input_vu_khi!$A$2:$A$12,0))*INDEX(cc_input_bang_xuyen_giap!$B$2:$B$7,MIN(6,MAX(1,IF(INDEX(cc_input_vu_khi_suy_ra!$B$2:$B$12,MATCH($D$57,cc_input_vu_khi_suy_ra!$A$2:$A$12,0)),MAX(1,2-(INDEX(cc_input_vu_khi!$C$2:$C$12,MATCH($D$57,cc_input_vu_khi!$A$2:$A$12,0))-Thap!$K$70)),2-(INDEX(cc_input_vu_khi!$C$2:$C$12,MATCH($D$57,cc_input_vu_khi!$A$2:$A$12,0))-Thap!$K$70))+1)))*INDEX(cc_input_vu_khi_suy_ra!$D$2:$D$12,MATCH($D$57,cc_input_vu_khi_suy_ra!$A$2:$A$12,0))),1),""))</f>
        <v/>
      </c>
      <c r="F57" t="inlineStr">
        <is>
          <t>gun_105_wheeled_he</t>
        </is>
      </c>
      <c r="G57">
        <f>IF($F$57="","",IF(INDEX(cc_input_vu_khi!$B$2:$B$12,MATCH($F$57,cc_input_vu_khi!$A$2:$A$12,0))*INDEX(cc_input_bang_xuyen_giap!$B$2:$B$7,MIN(6,MAX(1,IF(INDEX(cc_input_vu_khi_suy_ra!$B$2:$B$12,MATCH($F$57,cc_input_vu_khi_suy_ra!$A$2:$A$12,0)),MAX(1,2-(INDEX(cc_input_vu_khi!$C$2:$C$12,MATCH($F$57,cc_input_vu_khi!$A$2:$A$12,0))-Thap!$K$70)),2-(INDEX(cc_input_vu_khi!$C$2:$C$12,MATCH($F$57,cc_input_vu_khi!$A$2:$A$12,0))-Thap!$K$70))+1)))*INDEX(cc_input_vu_khi_suy_ra!$D$2:$D$12,MATCH($F$57,cc_input_vu_khi_suy_ra!$A$2:$A$12,0))&gt;0,CEILING(Thap!$J$70/(INDEX(cc_input_vu_khi!$B$2:$B$12,MATCH($F$57,cc_input_vu_khi!$A$2:$A$12,0))*INDEX(cc_input_bang_xuyen_giap!$B$2:$B$7,MIN(6,MAX(1,IF(INDEX(cc_input_vu_khi_suy_ra!$B$2:$B$12,MATCH($F$57,cc_input_vu_khi_suy_ra!$A$2:$A$12,0)),MAX(1,2-(INDEX(cc_input_vu_khi!$C$2:$C$12,MATCH($F$57,cc_input_vu_khi!$A$2:$A$12,0))-Thap!$K$70)),2-(INDEX(cc_input_vu_khi!$C$2:$C$12,MATCH($F$57,cc_input_vu_khi!$A$2:$A$12,0))-Thap!$K$70))+1)))*INDEX(cc_input_vu_khi_suy_ra!$D$2:$D$12,MATCH($F$57,cc_input_vu_khi_suy_ra!$A$2:$A$12,0))),1),""))</f>
        <v/>
      </c>
      <c r="H57" t="inlineStr">
        <is>
          <t>khrizantema</t>
        </is>
      </c>
      <c r="I57">
        <f>IF($H$57="","",IF(INDEX(cc_input_vu_khi!$B$2:$B$12,MATCH($H$57,cc_input_vu_khi!$A$2:$A$12,0))*INDEX(cc_input_bang_xuyen_giap!$B$2:$B$7,MIN(6,MAX(1,IF(INDEX(cc_input_vu_khi_suy_ra!$B$2:$B$12,MATCH($H$57,cc_input_vu_khi_suy_ra!$A$2:$A$12,0)),MAX(1,2-(INDEX(cc_input_vu_khi!$C$2:$C$12,MATCH($H$57,cc_input_vu_khi!$A$2:$A$12,0))-Thap!$K$70)),2-(INDEX(cc_input_vu_khi!$C$2:$C$12,MATCH($H$57,cc_input_vu_khi!$A$2:$A$12,0))-Thap!$K$70))+1)))*INDEX(cc_input_vu_khi_suy_ra!$D$2:$D$12,MATCH($H$57,cc_input_vu_khi_suy_ra!$A$2:$A$12,0))&gt;0,CEILING(Thap!$J$70/(INDEX(cc_input_vu_khi!$B$2:$B$12,MATCH($H$57,cc_input_vu_khi!$A$2:$A$12,0))*INDEX(cc_input_bang_xuyen_giap!$B$2:$B$7,MIN(6,MAX(1,IF(INDEX(cc_input_vu_khi_suy_ra!$B$2:$B$12,MATCH($H$57,cc_input_vu_khi_suy_ra!$A$2:$A$12,0)),MAX(1,2-(INDEX(cc_input_vu_khi!$C$2:$C$12,MATCH($H$57,cc_input_vu_khi!$A$2:$A$12,0))-Thap!$K$70)),2-(INDEX(cc_input_vu_khi!$C$2:$C$12,MATCH($H$57,cc_input_vu_khi!$A$2:$A$12,0))-Thap!$K$70))+1)))*INDEX(cc_input_vu_khi_suy_ra!$D$2:$D$12,MATCH($H$57,cc_input_vu_khi_suy_ra!$A$2:$A$12,0))),1),""))</f>
        <v/>
      </c>
      <c r="J57" t="inlineStr">
        <is>
          <t>caesar_155</t>
        </is>
      </c>
      <c r="K57">
        <f>IF($J$57="","",IF(INDEX(cc_input_vu_khi!$B$2:$B$12,MATCH($J$57,cc_input_vu_khi!$A$2:$A$12,0))*INDEX(cc_input_bang_xuyen_giap!$B$2:$B$7,MIN(6,MAX(1,IF(INDEX(cc_input_vu_khi_suy_ra!$B$2:$B$12,MATCH($J$57,cc_input_vu_khi_suy_ra!$A$2:$A$12,0)),MAX(1,2-(INDEX(cc_input_vu_khi!$C$2:$C$12,MATCH($J$57,cc_input_vu_khi!$A$2:$A$12,0))-Thap!$K$70)),2-(INDEX(cc_input_vu_khi!$C$2:$C$12,MATCH($J$57,cc_input_vu_khi!$A$2:$A$12,0))-Thap!$K$70))+1)))*INDEX(cc_input_vu_khi_suy_ra!$D$2:$D$12,MATCH($J$57,cc_input_vu_khi_suy_ra!$A$2:$A$12,0))&gt;0,CEILING(Thap!$J$70/(INDEX(cc_input_vu_khi!$B$2:$B$12,MATCH($J$57,cc_input_vu_khi!$A$2:$A$12,0))*INDEX(cc_input_bang_xuyen_giap!$B$2:$B$7,MIN(6,MAX(1,IF(INDEX(cc_input_vu_khi_suy_ra!$B$2:$B$12,MATCH($J$57,cc_input_vu_khi_suy_ra!$A$2:$A$12,0)),MAX(1,2-(INDEX(cc_input_vu_khi!$C$2:$C$12,MATCH($J$57,cc_input_vu_khi!$A$2:$A$12,0))-Thap!$K$70)),2-(INDEX(cc_input_vu_khi!$C$2:$C$12,MATCH($J$57,cc_input_vu_khi!$A$2:$A$12,0))-Thap!$K$70))+1)))*INDEX(cc_input_vu_khi_suy_ra!$D$2:$D$12,MATCH($J$57,cc_input_vu_khi_suy_ra!$A$2:$A$12,0))),1),""))</f>
        <v/>
      </c>
      <c r="L57" t="inlineStr">
        <is>
          <t>Tools/balance/p32_tower_prices.py Model.price('searchlight.flare') + threats('Small')</t>
        </is>
      </c>
      <c r="M57" t="inlineStr"/>
    </row>
    <row r="58">
      <c r="A58" t="inlineStr">
        <is>
          <t>shield_tower</t>
        </is>
      </c>
      <c r="B58">
        <f>Thap_gia_cong_thuc!$Q$58</f>
        <v/>
      </c>
      <c r="C58">
        <f>IF(ISNUMBER($B$58),$B$58/Thap!$BN$71,"")</f>
        <v/>
      </c>
      <c r="D58" t="inlineStr">
        <is>
          <t>gun_125_armata_ke</t>
        </is>
      </c>
      <c r="E58">
        <f>IF($D$58="","",IF(INDEX(cc_input_vu_khi!$B$2:$B$12,MATCH($D$58,cc_input_vu_khi!$A$2:$A$12,0))*INDEX(cc_input_bang_xuyen_giap!$B$2:$B$7,MIN(6,MAX(1,IF(INDEX(cc_input_vu_khi_suy_ra!$B$2:$B$12,MATCH($D$58,cc_input_vu_khi_suy_ra!$A$2:$A$12,0)),MAX(1,2-(INDEX(cc_input_vu_khi!$C$2:$C$12,MATCH($D$58,cc_input_vu_khi!$A$2:$A$12,0))-Thap!$K$71)),2-(INDEX(cc_input_vu_khi!$C$2:$C$12,MATCH($D$58,cc_input_vu_khi!$A$2:$A$12,0))-Thap!$K$71))+1)))*INDEX(cc_input_vu_khi_suy_ra!$D$2:$D$12,MATCH($D$58,cc_input_vu_khi_suy_ra!$A$2:$A$12,0))&gt;0,CEILING(Thap!$J$71/(INDEX(cc_input_vu_khi!$B$2:$B$12,MATCH($D$58,cc_input_vu_khi!$A$2:$A$12,0))*INDEX(cc_input_bang_xuyen_giap!$B$2:$B$7,MIN(6,MAX(1,IF(INDEX(cc_input_vu_khi_suy_ra!$B$2:$B$12,MATCH($D$58,cc_input_vu_khi_suy_ra!$A$2:$A$12,0)),MAX(1,2-(INDEX(cc_input_vu_khi!$C$2:$C$12,MATCH($D$58,cc_input_vu_khi!$A$2:$A$12,0))-Thap!$K$71)),2-(INDEX(cc_input_vu_khi!$C$2:$C$12,MATCH($D$58,cc_input_vu_khi!$A$2:$A$12,0))-Thap!$K$71))+1)))*INDEX(cc_input_vu_khi_suy_ra!$D$2:$D$12,MATCH($D$58,cc_input_vu_khi_suy_ra!$A$2:$A$12,0))),1),""))</f>
        <v/>
      </c>
      <c r="F58" t="inlineStr">
        <is>
          <t>gun_155_crusader</t>
        </is>
      </c>
      <c r="G58">
        <f>IF($F$58="","",IF(INDEX(cc_input_vu_khi!$B$2:$B$12,MATCH($F$58,cc_input_vu_khi!$A$2:$A$12,0))*INDEX(cc_input_bang_xuyen_giap!$B$2:$B$7,MIN(6,MAX(1,IF(INDEX(cc_input_vu_khi_suy_ra!$B$2:$B$12,MATCH($F$58,cc_input_vu_khi_suy_ra!$A$2:$A$12,0)),MAX(1,2-(INDEX(cc_input_vu_khi!$C$2:$C$12,MATCH($F$58,cc_input_vu_khi!$A$2:$A$12,0))-Thap!$K$71)),2-(INDEX(cc_input_vu_khi!$C$2:$C$12,MATCH($F$58,cc_input_vu_khi!$A$2:$A$12,0))-Thap!$K$71))+1)))*INDEX(cc_input_vu_khi_suy_ra!$D$2:$D$12,MATCH($F$58,cc_input_vu_khi_suy_ra!$A$2:$A$12,0))&gt;0,CEILING(Thap!$J$71/(INDEX(cc_input_vu_khi!$B$2:$B$12,MATCH($F$58,cc_input_vu_khi!$A$2:$A$12,0))*INDEX(cc_input_bang_xuyen_giap!$B$2:$B$7,MIN(6,MAX(1,IF(INDEX(cc_input_vu_khi_suy_ra!$B$2:$B$12,MATCH($F$58,cc_input_vu_khi_suy_ra!$A$2:$A$12,0)),MAX(1,2-(INDEX(cc_input_vu_khi!$C$2:$C$12,MATCH($F$58,cc_input_vu_khi!$A$2:$A$12,0))-Thap!$K$71)),2-(INDEX(cc_input_vu_khi!$C$2:$C$12,MATCH($F$58,cc_input_vu_khi!$A$2:$A$12,0))-Thap!$K$71))+1)))*INDEX(cc_input_vu_khi_suy_ra!$D$2:$D$12,MATCH($F$58,cc_input_vu_khi_suy_ra!$A$2:$A$12,0))),1),""))</f>
        <v/>
      </c>
      <c r="H58" t="inlineStr">
        <is>
          <t>spike_nlos</t>
        </is>
      </c>
      <c r="I58">
        <f>IF($H$58="","",IF(INDEX(cc_input_vu_khi!$B$2:$B$12,MATCH($H$58,cc_input_vu_khi!$A$2:$A$12,0))*INDEX(cc_input_bang_xuyen_giap!$B$2:$B$7,MIN(6,MAX(1,IF(INDEX(cc_input_vu_khi_suy_ra!$B$2:$B$12,MATCH($H$58,cc_input_vu_khi_suy_ra!$A$2:$A$12,0)),MAX(1,2-(INDEX(cc_input_vu_khi!$C$2:$C$12,MATCH($H$58,cc_input_vu_khi!$A$2:$A$12,0))-Thap!$K$71)),2-(INDEX(cc_input_vu_khi!$C$2:$C$12,MATCH($H$58,cc_input_vu_khi!$A$2:$A$12,0))-Thap!$K$71))+1)))*INDEX(cc_input_vu_khi_suy_ra!$D$2:$D$12,MATCH($H$58,cc_input_vu_khi_suy_ra!$A$2:$A$12,0))&gt;0,CEILING(Thap!$J$71/(INDEX(cc_input_vu_khi!$B$2:$B$12,MATCH($H$58,cc_input_vu_khi!$A$2:$A$12,0))*INDEX(cc_input_bang_xuyen_giap!$B$2:$B$7,MIN(6,MAX(1,IF(INDEX(cc_input_vu_khi_suy_ra!$B$2:$B$12,MATCH($H$58,cc_input_vu_khi_suy_ra!$A$2:$A$12,0)),MAX(1,2-(INDEX(cc_input_vu_khi!$C$2:$C$12,MATCH($H$58,cc_input_vu_khi!$A$2:$A$12,0))-Thap!$K$71)),2-(INDEX(cc_input_vu_khi!$C$2:$C$12,MATCH($H$58,cc_input_vu_khi!$A$2:$A$12,0))-Thap!$K$71))+1)))*INDEX(cc_input_vu_khi_suy_ra!$D$2:$D$12,MATCH($H$58,cc_input_vu_khi_suy_ra!$A$2:$A$12,0))),1),""))</f>
        <v/>
      </c>
      <c r="J58" t="inlineStr">
        <is>
          <t>thermobaric_rockets</t>
        </is>
      </c>
      <c r="K58">
        <f>IF($J$58="","",IF(INDEX(cc_input_vu_khi!$B$2:$B$12,MATCH($J$58,cc_input_vu_khi!$A$2:$A$12,0))*INDEX(cc_input_bang_xuyen_giap!$B$2:$B$7,MIN(6,MAX(1,IF(INDEX(cc_input_vu_khi_suy_ra!$B$2:$B$12,MATCH($J$58,cc_input_vu_khi_suy_ra!$A$2:$A$12,0)),MAX(1,2-(INDEX(cc_input_vu_khi!$C$2:$C$12,MATCH($J$58,cc_input_vu_khi!$A$2:$A$12,0))-Thap!$K$71)),2-(INDEX(cc_input_vu_khi!$C$2:$C$12,MATCH($J$58,cc_input_vu_khi!$A$2:$A$12,0))-Thap!$K$71))+1)))*INDEX(cc_input_vu_khi_suy_ra!$D$2:$D$12,MATCH($J$58,cc_input_vu_khi_suy_ra!$A$2:$A$12,0))&gt;0,CEILING(Thap!$J$71/(INDEX(cc_input_vu_khi!$B$2:$B$12,MATCH($J$58,cc_input_vu_khi!$A$2:$A$12,0))*INDEX(cc_input_bang_xuyen_giap!$B$2:$B$7,MIN(6,MAX(1,IF(INDEX(cc_input_vu_khi_suy_ra!$B$2:$B$12,MATCH($J$58,cc_input_vu_khi_suy_ra!$A$2:$A$12,0)),MAX(1,2-(INDEX(cc_input_vu_khi!$C$2:$C$12,MATCH($J$58,cc_input_vu_khi!$A$2:$A$12,0))-Thap!$K$71)),2-(INDEX(cc_input_vu_khi!$C$2:$C$12,MATCH($J$58,cc_input_vu_khi!$A$2:$A$12,0))-Thap!$K$71))+1)))*INDEX(cc_input_vu_khi_suy_ra!$D$2:$D$12,MATCH($J$58,cc_input_vu_khi_suy_ra!$A$2:$A$12,0))),1),""))</f>
        <v/>
      </c>
      <c r="L58" t="inlineStr">
        <is>
          <t>Tools/balance/p32_tower_prices.py Model.price('shield_tower') + threats('Large')</t>
        </is>
      </c>
      <c r="M58" t="inlineStr"/>
    </row>
    <row r="59">
      <c r="A59" t="inlineStr">
        <is>
          <t>shield_tower.bulwark</t>
        </is>
      </c>
      <c r="B59">
        <f>Thap_gia_cong_thuc!$Q$59</f>
        <v/>
      </c>
      <c r="C59">
        <f>IF(ISNUMBER($B$59),$B$59/Thap!$BN$72,"")</f>
        <v/>
      </c>
      <c r="D59" t="inlineStr">
        <is>
          <t>gun_125_armata_ke</t>
        </is>
      </c>
      <c r="E59">
        <f>IF($D$59="","",IF(INDEX(cc_input_vu_khi!$B$2:$B$12,MATCH($D$59,cc_input_vu_khi!$A$2:$A$12,0))*INDEX(cc_input_bang_xuyen_giap!$B$2:$B$7,MIN(6,MAX(1,IF(INDEX(cc_input_vu_khi_suy_ra!$B$2:$B$12,MATCH($D$59,cc_input_vu_khi_suy_ra!$A$2:$A$12,0)),MAX(1,2-(INDEX(cc_input_vu_khi!$C$2:$C$12,MATCH($D$59,cc_input_vu_khi!$A$2:$A$12,0))-Thap!$K$72)),2-(INDEX(cc_input_vu_khi!$C$2:$C$12,MATCH($D$59,cc_input_vu_khi!$A$2:$A$12,0))-Thap!$K$72))+1)))*INDEX(cc_input_vu_khi_suy_ra!$D$2:$D$12,MATCH($D$59,cc_input_vu_khi_suy_ra!$A$2:$A$12,0))&gt;0,CEILING(Thap!$J$72/(INDEX(cc_input_vu_khi!$B$2:$B$12,MATCH($D$59,cc_input_vu_khi!$A$2:$A$12,0))*INDEX(cc_input_bang_xuyen_giap!$B$2:$B$7,MIN(6,MAX(1,IF(INDEX(cc_input_vu_khi_suy_ra!$B$2:$B$12,MATCH($D$59,cc_input_vu_khi_suy_ra!$A$2:$A$12,0)),MAX(1,2-(INDEX(cc_input_vu_khi!$C$2:$C$12,MATCH($D$59,cc_input_vu_khi!$A$2:$A$12,0))-Thap!$K$72)),2-(INDEX(cc_input_vu_khi!$C$2:$C$12,MATCH($D$59,cc_input_vu_khi!$A$2:$A$12,0))-Thap!$K$72))+1)))*INDEX(cc_input_vu_khi_suy_ra!$D$2:$D$12,MATCH($D$59,cc_input_vu_khi_suy_ra!$A$2:$A$12,0))),1),""))</f>
        <v/>
      </c>
      <c r="F59" t="inlineStr">
        <is>
          <t>gun_155_crusader</t>
        </is>
      </c>
      <c r="G59">
        <f>IF($F$59="","",IF(INDEX(cc_input_vu_khi!$B$2:$B$12,MATCH($F$59,cc_input_vu_khi!$A$2:$A$12,0))*INDEX(cc_input_bang_xuyen_giap!$B$2:$B$7,MIN(6,MAX(1,IF(INDEX(cc_input_vu_khi_suy_ra!$B$2:$B$12,MATCH($F$59,cc_input_vu_khi_suy_ra!$A$2:$A$12,0)),MAX(1,2-(INDEX(cc_input_vu_khi!$C$2:$C$12,MATCH($F$59,cc_input_vu_khi!$A$2:$A$12,0))-Thap!$K$72)),2-(INDEX(cc_input_vu_khi!$C$2:$C$12,MATCH($F$59,cc_input_vu_khi!$A$2:$A$12,0))-Thap!$K$72))+1)))*INDEX(cc_input_vu_khi_suy_ra!$D$2:$D$12,MATCH($F$59,cc_input_vu_khi_suy_ra!$A$2:$A$12,0))&gt;0,CEILING(Thap!$J$72/(INDEX(cc_input_vu_khi!$B$2:$B$12,MATCH($F$59,cc_input_vu_khi!$A$2:$A$12,0))*INDEX(cc_input_bang_xuyen_giap!$B$2:$B$7,MIN(6,MAX(1,IF(INDEX(cc_input_vu_khi_suy_ra!$B$2:$B$12,MATCH($F$59,cc_input_vu_khi_suy_ra!$A$2:$A$12,0)),MAX(1,2-(INDEX(cc_input_vu_khi!$C$2:$C$12,MATCH($F$59,cc_input_vu_khi!$A$2:$A$12,0))-Thap!$K$72)),2-(INDEX(cc_input_vu_khi!$C$2:$C$12,MATCH($F$59,cc_input_vu_khi!$A$2:$A$12,0))-Thap!$K$72))+1)))*INDEX(cc_input_vu_khi_suy_ra!$D$2:$D$12,MATCH($F$59,cc_input_vu_khi_suy_ra!$A$2:$A$12,0))),1),""))</f>
        <v/>
      </c>
      <c r="H59" t="inlineStr">
        <is>
          <t>spike_nlos</t>
        </is>
      </c>
      <c r="I59">
        <f>IF($H$59="","",IF(INDEX(cc_input_vu_khi!$B$2:$B$12,MATCH($H$59,cc_input_vu_khi!$A$2:$A$12,0))*INDEX(cc_input_bang_xuyen_giap!$B$2:$B$7,MIN(6,MAX(1,IF(INDEX(cc_input_vu_khi_suy_ra!$B$2:$B$12,MATCH($H$59,cc_input_vu_khi_suy_ra!$A$2:$A$12,0)),MAX(1,2-(INDEX(cc_input_vu_khi!$C$2:$C$12,MATCH($H$59,cc_input_vu_khi!$A$2:$A$12,0))-Thap!$K$72)),2-(INDEX(cc_input_vu_khi!$C$2:$C$12,MATCH($H$59,cc_input_vu_khi!$A$2:$A$12,0))-Thap!$K$72))+1)))*INDEX(cc_input_vu_khi_suy_ra!$D$2:$D$12,MATCH($H$59,cc_input_vu_khi_suy_ra!$A$2:$A$12,0))&gt;0,CEILING(Thap!$J$72/(INDEX(cc_input_vu_khi!$B$2:$B$12,MATCH($H$59,cc_input_vu_khi!$A$2:$A$12,0))*INDEX(cc_input_bang_xuyen_giap!$B$2:$B$7,MIN(6,MAX(1,IF(INDEX(cc_input_vu_khi_suy_ra!$B$2:$B$12,MATCH($H$59,cc_input_vu_khi_suy_ra!$A$2:$A$12,0)),MAX(1,2-(INDEX(cc_input_vu_khi!$C$2:$C$12,MATCH($H$59,cc_input_vu_khi!$A$2:$A$12,0))-Thap!$K$72)),2-(INDEX(cc_input_vu_khi!$C$2:$C$12,MATCH($H$59,cc_input_vu_khi!$A$2:$A$12,0))-Thap!$K$72))+1)))*INDEX(cc_input_vu_khi_suy_ra!$D$2:$D$12,MATCH($H$59,cc_input_vu_khi_suy_ra!$A$2:$A$12,0))),1),""))</f>
        <v/>
      </c>
      <c r="J59" t="inlineStr">
        <is>
          <t>thermobaric_rockets</t>
        </is>
      </c>
      <c r="K59">
        <f>IF($J$59="","",IF(INDEX(cc_input_vu_khi!$B$2:$B$12,MATCH($J$59,cc_input_vu_khi!$A$2:$A$12,0))*INDEX(cc_input_bang_xuyen_giap!$B$2:$B$7,MIN(6,MAX(1,IF(INDEX(cc_input_vu_khi_suy_ra!$B$2:$B$12,MATCH($J$59,cc_input_vu_khi_suy_ra!$A$2:$A$12,0)),MAX(1,2-(INDEX(cc_input_vu_khi!$C$2:$C$12,MATCH($J$59,cc_input_vu_khi!$A$2:$A$12,0))-Thap!$K$72)),2-(INDEX(cc_input_vu_khi!$C$2:$C$12,MATCH($J$59,cc_input_vu_khi!$A$2:$A$12,0))-Thap!$K$72))+1)))*INDEX(cc_input_vu_khi_suy_ra!$D$2:$D$12,MATCH($J$59,cc_input_vu_khi_suy_ra!$A$2:$A$12,0))&gt;0,CEILING(Thap!$J$72/(INDEX(cc_input_vu_khi!$B$2:$B$12,MATCH($J$59,cc_input_vu_khi!$A$2:$A$12,0))*INDEX(cc_input_bang_xuyen_giap!$B$2:$B$7,MIN(6,MAX(1,IF(INDEX(cc_input_vu_khi_suy_ra!$B$2:$B$12,MATCH($J$59,cc_input_vu_khi_suy_ra!$A$2:$A$12,0)),MAX(1,2-(INDEX(cc_input_vu_khi!$C$2:$C$12,MATCH($J$59,cc_input_vu_khi!$A$2:$A$12,0))-Thap!$K$72)),2-(INDEX(cc_input_vu_khi!$C$2:$C$12,MATCH($J$59,cc_input_vu_khi!$A$2:$A$12,0))-Thap!$K$72))+1)))*INDEX(cc_input_vu_khi_suy_ra!$D$2:$D$12,MATCH($J$59,cc_input_vu_khi_suy_ra!$A$2:$A$12,0))),1),""))</f>
        <v/>
      </c>
      <c r="L59" t="inlineStr">
        <is>
          <t>Tools/balance/p32_tower_prices.py Model.price('shield_tower.bulwark') + threats('Large')</t>
        </is>
      </c>
      <c r="M59" t="inlineStr"/>
    </row>
    <row r="60">
      <c r="A60" t="inlineStr">
        <is>
          <t>shield_tower.ward</t>
        </is>
      </c>
      <c r="B60">
        <f>Thap_gia_cong_thuc!$Q$60</f>
        <v/>
      </c>
      <c r="C60">
        <f>IF(ISNUMBER($B$60),$B$60/Thap!$BN$73,"")</f>
        <v/>
      </c>
      <c r="D60" t="inlineStr">
        <is>
          <t>gun_125_armata_ke</t>
        </is>
      </c>
      <c r="E60">
        <f>IF($D$60="","",IF(INDEX(cc_input_vu_khi!$B$2:$B$12,MATCH($D$60,cc_input_vu_khi!$A$2:$A$12,0))*INDEX(cc_input_bang_xuyen_giap!$B$2:$B$7,MIN(6,MAX(1,IF(INDEX(cc_input_vu_khi_suy_ra!$B$2:$B$12,MATCH($D$60,cc_input_vu_khi_suy_ra!$A$2:$A$12,0)),MAX(1,2-(INDEX(cc_input_vu_khi!$C$2:$C$12,MATCH($D$60,cc_input_vu_khi!$A$2:$A$12,0))-Thap!$K$73)),2-(INDEX(cc_input_vu_khi!$C$2:$C$12,MATCH($D$60,cc_input_vu_khi!$A$2:$A$12,0))-Thap!$K$73))+1)))*INDEX(cc_input_vu_khi_suy_ra!$D$2:$D$12,MATCH($D$60,cc_input_vu_khi_suy_ra!$A$2:$A$12,0))&gt;0,CEILING(Thap!$J$73/(INDEX(cc_input_vu_khi!$B$2:$B$12,MATCH($D$60,cc_input_vu_khi!$A$2:$A$12,0))*INDEX(cc_input_bang_xuyen_giap!$B$2:$B$7,MIN(6,MAX(1,IF(INDEX(cc_input_vu_khi_suy_ra!$B$2:$B$12,MATCH($D$60,cc_input_vu_khi_suy_ra!$A$2:$A$12,0)),MAX(1,2-(INDEX(cc_input_vu_khi!$C$2:$C$12,MATCH($D$60,cc_input_vu_khi!$A$2:$A$12,0))-Thap!$K$73)),2-(INDEX(cc_input_vu_khi!$C$2:$C$12,MATCH($D$60,cc_input_vu_khi!$A$2:$A$12,0))-Thap!$K$73))+1)))*INDEX(cc_input_vu_khi_suy_ra!$D$2:$D$12,MATCH($D$60,cc_input_vu_khi_suy_ra!$A$2:$A$12,0))),1),""))</f>
        <v/>
      </c>
      <c r="F60" t="inlineStr">
        <is>
          <t>gun_155_crusader</t>
        </is>
      </c>
      <c r="G60">
        <f>IF($F$60="","",IF(INDEX(cc_input_vu_khi!$B$2:$B$12,MATCH($F$60,cc_input_vu_khi!$A$2:$A$12,0))*INDEX(cc_input_bang_xuyen_giap!$B$2:$B$7,MIN(6,MAX(1,IF(INDEX(cc_input_vu_khi_suy_ra!$B$2:$B$12,MATCH($F$60,cc_input_vu_khi_suy_ra!$A$2:$A$12,0)),MAX(1,2-(INDEX(cc_input_vu_khi!$C$2:$C$12,MATCH($F$60,cc_input_vu_khi!$A$2:$A$12,0))-Thap!$K$73)),2-(INDEX(cc_input_vu_khi!$C$2:$C$12,MATCH($F$60,cc_input_vu_khi!$A$2:$A$12,0))-Thap!$K$73))+1)))*INDEX(cc_input_vu_khi_suy_ra!$D$2:$D$12,MATCH($F$60,cc_input_vu_khi_suy_ra!$A$2:$A$12,0))&gt;0,CEILING(Thap!$J$73/(INDEX(cc_input_vu_khi!$B$2:$B$12,MATCH($F$60,cc_input_vu_khi!$A$2:$A$12,0))*INDEX(cc_input_bang_xuyen_giap!$B$2:$B$7,MIN(6,MAX(1,IF(INDEX(cc_input_vu_khi_suy_ra!$B$2:$B$12,MATCH($F$60,cc_input_vu_khi_suy_ra!$A$2:$A$12,0)),MAX(1,2-(INDEX(cc_input_vu_khi!$C$2:$C$12,MATCH($F$60,cc_input_vu_khi!$A$2:$A$12,0))-Thap!$K$73)),2-(INDEX(cc_input_vu_khi!$C$2:$C$12,MATCH($F$60,cc_input_vu_khi!$A$2:$A$12,0))-Thap!$K$73))+1)))*INDEX(cc_input_vu_khi_suy_ra!$D$2:$D$12,MATCH($F$60,cc_input_vu_khi_suy_ra!$A$2:$A$12,0))),1),""))</f>
        <v/>
      </c>
      <c r="H60" t="inlineStr">
        <is>
          <t>spike_nlos</t>
        </is>
      </c>
      <c r="I60">
        <f>IF($H$60="","",IF(INDEX(cc_input_vu_khi!$B$2:$B$12,MATCH($H$60,cc_input_vu_khi!$A$2:$A$12,0))*INDEX(cc_input_bang_xuyen_giap!$B$2:$B$7,MIN(6,MAX(1,IF(INDEX(cc_input_vu_khi_suy_ra!$B$2:$B$12,MATCH($H$60,cc_input_vu_khi_suy_ra!$A$2:$A$12,0)),MAX(1,2-(INDEX(cc_input_vu_khi!$C$2:$C$12,MATCH($H$60,cc_input_vu_khi!$A$2:$A$12,0))-Thap!$K$73)),2-(INDEX(cc_input_vu_khi!$C$2:$C$12,MATCH($H$60,cc_input_vu_khi!$A$2:$A$12,0))-Thap!$K$73))+1)))*INDEX(cc_input_vu_khi_suy_ra!$D$2:$D$12,MATCH($H$60,cc_input_vu_khi_suy_ra!$A$2:$A$12,0))&gt;0,CEILING(Thap!$J$73/(INDEX(cc_input_vu_khi!$B$2:$B$12,MATCH($H$60,cc_input_vu_khi!$A$2:$A$12,0))*INDEX(cc_input_bang_xuyen_giap!$B$2:$B$7,MIN(6,MAX(1,IF(INDEX(cc_input_vu_khi_suy_ra!$B$2:$B$12,MATCH($H$60,cc_input_vu_khi_suy_ra!$A$2:$A$12,0)),MAX(1,2-(INDEX(cc_input_vu_khi!$C$2:$C$12,MATCH($H$60,cc_input_vu_khi!$A$2:$A$12,0))-Thap!$K$73)),2-(INDEX(cc_input_vu_khi!$C$2:$C$12,MATCH($H$60,cc_input_vu_khi!$A$2:$A$12,0))-Thap!$K$73))+1)))*INDEX(cc_input_vu_khi_suy_ra!$D$2:$D$12,MATCH($H$60,cc_input_vu_khi_suy_ra!$A$2:$A$12,0))),1),""))</f>
        <v/>
      </c>
      <c r="J60" t="inlineStr">
        <is>
          <t>thermobaric_rockets</t>
        </is>
      </c>
      <c r="K60">
        <f>IF($J$60="","",IF(INDEX(cc_input_vu_khi!$B$2:$B$12,MATCH($J$60,cc_input_vu_khi!$A$2:$A$12,0))*INDEX(cc_input_bang_xuyen_giap!$B$2:$B$7,MIN(6,MAX(1,IF(INDEX(cc_input_vu_khi_suy_ra!$B$2:$B$12,MATCH($J$60,cc_input_vu_khi_suy_ra!$A$2:$A$12,0)),MAX(1,2-(INDEX(cc_input_vu_khi!$C$2:$C$12,MATCH($J$60,cc_input_vu_khi!$A$2:$A$12,0))-Thap!$K$73)),2-(INDEX(cc_input_vu_khi!$C$2:$C$12,MATCH($J$60,cc_input_vu_khi!$A$2:$A$12,0))-Thap!$K$73))+1)))*INDEX(cc_input_vu_khi_suy_ra!$D$2:$D$12,MATCH($J$60,cc_input_vu_khi_suy_ra!$A$2:$A$12,0))&gt;0,CEILING(Thap!$J$73/(INDEX(cc_input_vu_khi!$B$2:$B$12,MATCH($J$60,cc_input_vu_khi!$A$2:$A$12,0))*INDEX(cc_input_bang_xuyen_giap!$B$2:$B$7,MIN(6,MAX(1,IF(INDEX(cc_input_vu_khi_suy_ra!$B$2:$B$12,MATCH($J$60,cc_input_vu_khi_suy_ra!$A$2:$A$12,0)),MAX(1,2-(INDEX(cc_input_vu_khi!$C$2:$C$12,MATCH($J$60,cc_input_vu_khi!$A$2:$A$12,0))-Thap!$K$73)),2-(INDEX(cc_input_vu_khi!$C$2:$C$12,MATCH($J$60,cc_input_vu_khi!$A$2:$A$12,0))-Thap!$K$73))+1)))*INDEX(cc_input_vu_khi_suy_ra!$D$2:$D$12,MATCH($J$60,cc_input_vu_khi_suy_ra!$A$2:$A$12,0))),1),""))</f>
        <v/>
      </c>
      <c r="L60" t="inlineStr">
        <is>
          <t>Tools/balance/p32_tower_prices.py Model.price('shield_tower.ward') + threats('Large')</t>
        </is>
      </c>
      <c r="M60" t="inlineStr"/>
    </row>
    <row r="61">
      <c r="A61" t="inlineStr">
        <is>
          <t>troop_shelter</t>
        </is>
      </c>
      <c r="B61">
        <f>Thap_gia_cong_thuc!$Q$61</f>
        <v/>
      </c>
      <c r="C61">
        <f>IF(ISNUMBER($B$61),$B$61/Thap!$BN$77,"")</f>
        <v/>
      </c>
      <c r="D61" t="inlineStr">
        <is>
          <t>gun_105_ags</t>
        </is>
      </c>
      <c r="E61">
        <f>IF($D$61="","",IF(INDEX(cc_input_vu_khi!$B$2:$B$12,MATCH($D$61,cc_input_vu_khi!$A$2:$A$12,0))*INDEX(cc_input_bang_xuyen_giap!$B$2:$B$7,MIN(6,MAX(1,IF(INDEX(cc_input_vu_khi_suy_ra!$B$2:$B$12,MATCH($D$61,cc_input_vu_khi_suy_ra!$A$2:$A$12,0)),MAX(1,2-(INDEX(cc_input_vu_khi!$C$2:$C$12,MATCH($D$61,cc_input_vu_khi!$A$2:$A$12,0))-Thap!$K$77)),2-(INDEX(cc_input_vu_khi!$C$2:$C$12,MATCH($D$61,cc_input_vu_khi!$A$2:$A$12,0))-Thap!$K$77))+1)))*INDEX(cc_input_vu_khi_suy_ra!$D$2:$D$12,MATCH($D$61,cc_input_vu_khi_suy_ra!$A$2:$A$12,0))&gt;0,CEILING(Thap!$J$77/(INDEX(cc_input_vu_khi!$B$2:$B$12,MATCH($D$61,cc_input_vu_khi!$A$2:$A$12,0))*INDEX(cc_input_bang_xuyen_giap!$B$2:$B$7,MIN(6,MAX(1,IF(INDEX(cc_input_vu_khi_suy_ra!$B$2:$B$12,MATCH($D$61,cc_input_vu_khi_suy_ra!$A$2:$A$12,0)),MAX(1,2-(INDEX(cc_input_vu_khi!$C$2:$C$12,MATCH($D$61,cc_input_vu_khi!$A$2:$A$12,0))-Thap!$K$77)),2-(INDEX(cc_input_vu_khi!$C$2:$C$12,MATCH($D$61,cc_input_vu_khi!$A$2:$A$12,0))-Thap!$K$77))+1)))*INDEX(cc_input_vu_khi_suy_ra!$D$2:$D$12,MATCH($D$61,cc_input_vu_khi_suy_ra!$A$2:$A$12,0))),1),""))</f>
        <v/>
      </c>
      <c r="F61" t="inlineStr">
        <is>
          <t>gun_105_wheeled_he</t>
        </is>
      </c>
      <c r="G61">
        <f>IF($F$61="","",IF(INDEX(cc_input_vu_khi!$B$2:$B$12,MATCH($F$61,cc_input_vu_khi!$A$2:$A$12,0))*INDEX(cc_input_bang_xuyen_giap!$B$2:$B$7,MIN(6,MAX(1,IF(INDEX(cc_input_vu_khi_suy_ra!$B$2:$B$12,MATCH($F$61,cc_input_vu_khi_suy_ra!$A$2:$A$12,0)),MAX(1,2-(INDEX(cc_input_vu_khi!$C$2:$C$12,MATCH($F$61,cc_input_vu_khi!$A$2:$A$12,0))-Thap!$K$77)),2-(INDEX(cc_input_vu_khi!$C$2:$C$12,MATCH($F$61,cc_input_vu_khi!$A$2:$A$12,0))-Thap!$K$77))+1)))*INDEX(cc_input_vu_khi_suy_ra!$D$2:$D$12,MATCH($F$61,cc_input_vu_khi_suy_ra!$A$2:$A$12,0))&gt;0,CEILING(Thap!$J$77/(INDEX(cc_input_vu_khi!$B$2:$B$12,MATCH($F$61,cc_input_vu_khi!$A$2:$A$12,0))*INDEX(cc_input_bang_xuyen_giap!$B$2:$B$7,MIN(6,MAX(1,IF(INDEX(cc_input_vu_khi_suy_ra!$B$2:$B$12,MATCH($F$61,cc_input_vu_khi_suy_ra!$A$2:$A$12,0)),MAX(1,2-(INDEX(cc_input_vu_khi!$C$2:$C$12,MATCH($F$61,cc_input_vu_khi!$A$2:$A$12,0))-Thap!$K$77)),2-(INDEX(cc_input_vu_khi!$C$2:$C$12,MATCH($F$61,cc_input_vu_khi!$A$2:$A$12,0))-Thap!$K$77))+1)))*INDEX(cc_input_vu_khi_suy_ra!$D$2:$D$12,MATCH($F$61,cc_input_vu_khi_suy_ra!$A$2:$A$12,0))),1),""))</f>
        <v/>
      </c>
      <c r="H61" t="inlineStr">
        <is>
          <t>lancet</t>
        </is>
      </c>
      <c r="I61">
        <f>IF($H$61="","",IF(INDEX(cc_input_vu_khi!$B$2:$B$12,MATCH($H$61,cc_input_vu_khi!$A$2:$A$12,0))*INDEX(cc_input_bang_xuyen_giap!$B$2:$B$7,MIN(6,MAX(1,IF(INDEX(cc_input_vu_khi_suy_ra!$B$2:$B$12,MATCH($H$61,cc_input_vu_khi_suy_ra!$A$2:$A$12,0)),MAX(1,2-(INDEX(cc_input_vu_khi!$C$2:$C$12,MATCH($H$61,cc_input_vu_khi!$A$2:$A$12,0))-Thap!$K$77)),2-(INDEX(cc_input_vu_khi!$C$2:$C$12,MATCH($H$61,cc_input_vu_khi!$A$2:$A$12,0))-Thap!$K$77))+1)))*INDEX(cc_input_vu_khi_suy_ra!$D$2:$D$12,MATCH($H$61,cc_input_vu_khi_suy_ra!$A$2:$A$12,0))&gt;0,CEILING(Thap!$J$77/(INDEX(cc_input_vu_khi!$B$2:$B$12,MATCH($H$61,cc_input_vu_khi!$A$2:$A$12,0))*INDEX(cc_input_bang_xuyen_giap!$B$2:$B$7,MIN(6,MAX(1,IF(INDEX(cc_input_vu_khi_suy_ra!$B$2:$B$12,MATCH($H$61,cc_input_vu_khi_suy_ra!$A$2:$A$12,0)),MAX(1,2-(INDEX(cc_input_vu_khi!$C$2:$C$12,MATCH($H$61,cc_input_vu_khi!$A$2:$A$12,0))-Thap!$K$77)),2-(INDEX(cc_input_vu_khi!$C$2:$C$12,MATCH($H$61,cc_input_vu_khi!$A$2:$A$12,0))-Thap!$K$77))+1)))*INDEX(cc_input_vu_khi_suy_ra!$D$2:$D$12,MATCH($H$61,cc_input_vu_khi_suy_ra!$A$2:$A$12,0))),1),""))</f>
        <v/>
      </c>
      <c r="J61" t="inlineStr">
        <is>
          <t>mlrs_rockets</t>
        </is>
      </c>
      <c r="K61">
        <f>IF($J$61="","",IF(INDEX(cc_input_vu_khi!$B$2:$B$12,MATCH($J$61,cc_input_vu_khi!$A$2:$A$12,0))*INDEX(cc_input_bang_xuyen_giap!$B$2:$B$7,MIN(6,MAX(1,IF(INDEX(cc_input_vu_khi_suy_ra!$B$2:$B$12,MATCH($J$61,cc_input_vu_khi_suy_ra!$A$2:$A$12,0)),MAX(1,2-(INDEX(cc_input_vu_khi!$C$2:$C$12,MATCH($J$61,cc_input_vu_khi!$A$2:$A$12,0))-Thap!$K$77)),2-(INDEX(cc_input_vu_khi!$C$2:$C$12,MATCH($J$61,cc_input_vu_khi!$A$2:$A$12,0))-Thap!$K$77))+1)))*INDEX(cc_input_vu_khi_suy_ra!$D$2:$D$12,MATCH($J$61,cc_input_vu_khi_suy_ra!$A$2:$A$12,0))&gt;0,CEILING(Thap!$J$77/(INDEX(cc_input_vu_khi!$B$2:$B$12,MATCH($J$61,cc_input_vu_khi!$A$2:$A$12,0))*INDEX(cc_input_bang_xuyen_giap!$B$2:$B$7,MIN(6,MAX(1,IF(INDEX(cc_input_vu_khi_suy_ra!$B$2:$B$12,MATCH($J$61,cc_input_vu_khi_suy_ra!$A$2:$A$12,0)),MAX(1,2-(INDEX(cc_input_vu_khi!$C$2:$C$12,MATCH($J$61,cc_input_vu_khi!$A$2:$A$12,0))-Thap!$K$77)),2-(INDEX(cc_input_vu_khi!$C$2:$C$12,MATCH($J$61,cc_input_vu_khi!$A$2:$A$12,0))-Thap!$K$77))+1)))*INDEX(cc_input_vu_khi_suy_ra!$D$2:$D$12,MATCH($J$61,cc_input_vu_khi_suy_ra!$A$2:$A$12,0))),1),""))</f>
        <v/>
      </c>
      <c r="L61" t="inlineStr">
        <is>
          <t>Tools/balance/p32_tower_prices.py Model.price('troop_shelter') + threats('Medium')</t>
        </is>
      </c>
      <c r="M61" t="inlineStr"/>
    </row>
  </sheetData>
  <autoFilter ref="A1:M6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2.938539575707716</v>
      </c>
      <c r="G2" t="n">
        <v>1.545937170937171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3.647842231913028</v>
      </c>
      <c r="G3" t="n">
        <v>1.919094419094419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4.255815937231866</v>
      </c>
      <c r="G4" t="n">
        <v>2.238943488943489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4.965118593437177</v>
      </c>
      <c r="G5" t="n">
        <v>2.612100737100737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5.573092298756015</v>
      </c>
      <c r="G6" t="n">
        <v>2.931949806949807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3.519968168786019</v>
      </c>
      <c r="G7" t="n">
        <v>0.8529308529308528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4.399960210982525</v>
      </c>
      <c r="G8" t="n">
        <v>1.066163566163566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5.059954242629903</v>
      </c>
      <c r="G9" t="n">
        <v>1.226088101088101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5.939946284826408</v>
      </c>
      <c r="G10" t="n">
        <v>1.439320814320814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6.819938327022912</v>
      </c>
      <c r="G11" t="n">
        <v>1.652553527553527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2.685152685152685</v>
      </c>
      <c r="G17" t="n">
        <v>0.9168463320463321</v>
      </c>
      <c r="H17" t="n">
        <v>0.938223938223938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2.685152685152685</v>
      </c>
      <c r="G18" t="n">
        <v>1.701604633204633</v>
      </c>
      <c r="H18" t="n">
        <v>1.133687258687259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2.685152685152685</v>
      </c>
      <c r="G19" t="n">
        <v>2.447513513513514</v>
      </c>
      <c r="H19" t="n">
        <v>1.407335907335907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2.685152685152685</v>
      </c>
      <c r="G20" t="n">
        <v>3.216732046332046</v>
      </c>
      <c r="H20" t="n">
        <v>1.563706563706563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2.685152685152685</v>
      </c>
      <c r="G21" t="n">
        <v>4.102498841698842</v>
      </c>
      <c r="H21" t="n">
        <v>1.680984555984556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airfield</t>
        </is>
      </c>
      <c r="B6" t="inlineStr">
        <is>
          <t>airfield</t>
        </is>
      </c>
      <c r="C6" t="inlineStr">
        <is>
          <t>Sân bay dã chiến</t>
        </is>
      </c>
      <c r="D6" t="inlineStr">
        <is>
          <t>doi_that</t>
        </is>
      </c>
      <c r="E6" t="inlineStr">
        <is>
          <t>bãi đáp trực thăng (chữ H)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Bãi đáp sửa chữa và nạp đạn cho máy bay</t>
        </is>
      </c>
      <c r="L6" t="inlineStr"/>
      <c r="M6" t="inlineStr"/>
      <c r="N6" t="inlineStr"/>
      <c r="O6" t="inlineStr">
        <is>
          <t>ban_dau_doan</t>
        </is>
      </c>
      <c r="P6" t="inlineStr">
        <is>
          <t>R_unit_refs;R_machine_brigade_can_bang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Y6" t="inlineStr">
        <is>
          <t>Bãi đáp sửa chữa và nạp đạn cho máy bay</t>
        </is>
      </c>
      <c r="Z6" t="inlineStr">
        <is>
          <t>bãi đáp trực thăng (chữ H) — Bãi đáp sửa chữa và nạp đạn cho máy bay</t>
        </is>
      </c>
      <c r="AA6" t="inlineStr"/>
      <c r="AB6" t="inlineStr"/>
      <c r="AC6" t="inlineStr"/>
      <c r="AD6" t="inlineStr">
        <is>
          <t>Mo_dun_tien_ich</t>
        </is>
      </c>
      <c r="AE6" t="inlineStr"/>
      <c r="AF6" t="inlineStr"/>
      <c r="AG6" t="inlineStr">
        <is>
          <t>Tools/docs/unit_refs.json: airfield; Tools/models/reference_real.json: units.airfield</t>
        </is>
      </c>
      <c r="AH6" t="inlineStr"/>
    </row>
    <row r="7">
      <c r="A7" t="inlineStr">
        <is>
          <t>airfield.hangar</t>
        </is>
      </c>
      <c r="B7" t="inlineStr">
        <is>
          <t>airfield.hangar</t>
        </is>
      </c>
      <c r="C7" t="inlineStr">
        <is>
          <t>airfield.hangar</t>
        </is>
      </c>
      <c r="D7" t="inlineStr">
        <is>
          <t>doi_that</t>
        </is>
      </c>
      <c r="E7" t="inlineStr">
        <is>
          <t>nhà chứa máy bay dã chiến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nhánh nhà chứa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ước đoán: nhánh nhà chứa</t>
        </is>
      </c>
      <c r="Z7" t="inlineStr">
        <is>
          <t>nhà chứa máy bay dã chiến — ước đoán: nhánh nhà chứa</t>
        </is>
      </c>
      <c r="AA7" t="inlineStr"/>
      <c r="AB7" t="inlineStr"/>
      <c r="AC7" t="inlineStr"/>
      <c r="AD7" t="inlineStr">
        <is>
          <t>Mo_dun_tien_ich</t>
        </is>
      </c>
      <c r="AE7" t="inlineStr">
        <is>
          <t>hangar</t>
        </is>
      </c>
      <c r="AF7" t="inlineStr"/>
      <c r="AG7" t="inlineStr">
        <is>
          <t>Tools/docs/unit_refs.json: airfield.hangar; Tools/models/reference_real.json: units.airfield.hangar</t>
        </is>
      </c>
      <c r="AH7" t="inlineStr"/>
    </row>
    <row r="8">
      <c r="A8" t="inlineStr">
        <is>
          <t>airfield.service</t>
        </is>
      </c>
      <c r="B8" t="inlineStr">
        <is>
          <t>airfield.service</t>
        </is>
      </c>
      <c r="C8" t="inlineStr">
        <is>
          <t>airfield.service</t>
        </is>
      </c>
      <c r="D8" t="inlineStr">
        <is>
          <t>doi_that</t>
        </is>
      </c>
      <c r="E8" t="inlineStr">
        <is>
          <t>FARP (điểm tiếp đạn và nhiên liệu tiền phương)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nhánh phục vụ máy bay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ước đoán: nhánh phục vụ máy bay</t>
        </is>
      </c>
      <c r="Z8" t="inlineStr">
        <is>
          <t>FARP (điểm tiếp đạn và nhiên liệu tiền phương) — ước đoán: nhánh phục vụ máy bay</t>
        </is>
      </c>
      <c r="AA8" t="inlineStr"/>
      <c r="AB8" t="inlineStr"/>
      <c r="AC8" t="inlineStr"/>
      <c r="AD8" t="inlineStr">
        <is>
          <t>Mo_dun_tien_ich</t>
        </is>
      </c>
      <c r="AE8" t="inlineStr">
        <is>
          <t>service</t>
        </is>
      </c>
      <c r="AF8" t="inlineStr"/>
      <c r="AG8" t="inlineStr">
        <is>
          <t>Tools/docs/unit_refs.json: airfield.service; Tools/models/reference_real.json: units.airfield.service</t>
        </is>
      </c>
      <c r="AH8" t="inlineStr"/>
    </row>
    <row r="9">
      <c r="A9" t="inlineStr">
        <is>
          <t>ammo_depot</t>
        </is>
      </c>
      <c r="B9" t="inlineStr">
        <is>
          <t>ammo_depot</t>
        </is>
      </c>
      <c r="C9" t="inlineStr">
        <is>
          <t>Kho đạn</t>
        </is>
      </c>
      <c r="D9" t="inlineStr">
        <is>
          <t>doi_that</t>
        </is>
      </c>
      <c r="E9" t="inlineStr">
        <is>
          <t>kho đạn dã chiến dưới lưới ngụy trang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Kho đạn, nổ lớn khi bị phá</t>
        </is>
      </c>
      <c r="L9" t="inlineStr"/>
      <c r="M9" t="inlineStr"/>
      <c r="N9" t="inlineStr"/>
      <c r="O9" t="inlineStr">
        <is>
          <t>ban_dau_doan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Kho đạn, nổ lớn khi bị phá</t>
        </is>
      </c>
      <c r="Z9" t="inlineStr">
        <is>
          <t>kho đạn dã chiến dưới lưới ngụy trang — Kho đạn, nổ lớn khi bị phá</t>
        </is>
      </c>
      <c r="AA9" t="inlineStr"/>
      <c r="AB9" t="inlineStr"/>
      <c r="AC9" t="inlineStr"/>
      <c r="AD9" t="inlineStr">
        <is>
          <t>Mo_dun_tien_ich</t>
        </is>
      </c>
      <c r="AE9" t="inlineStr"/>
      <c r="AF9" t="inlineStr"/>
      <c r="AG9" t="inlineStr">
        <is>
          <t>Tools/docs/unit_refs.json: ammo_depot; Tools/models/reference_real.json: units.ammo_depot</t>
        </is>
      </c>
      <c r="AH9" t="inlineStr"/>
    </row>
    <row r="10">
      <c r="A10" t="inlineStr">
        <is>
          <t>artillery_emplacement</t>
        </is>
      </c>
      <c r="B10" t="inlineStr">
        <is>
          <t>artillery_emplacement</t>
        </is>
      </c>
      <c r="C10" t="inlineStr">
        <is>
          <t>Trận địa pháo</t>
        </is>
      </c>
      <c r="D10" t="inlineStr">
        <is>
          <t>doi_that</t>
        </is>
      </c>
      <c r="E10" t="inlineStr">
        <is>
          <t>2A65 Msta-B / D-20 152 mm (lựu pháo kéo);M284 155 mm</t>
        </is>
      </c>
      <c r="F10" t="inlineStr">
        <is>
          <t>NEED_SOURCE</t>
        </is>
      </c>
      <c r="G10" t="inlineStr">
        <is>
          <t>NEED_SOURCE</t>
        </is>
      </c>
      <c r="H10" t="inlineStr">
        <is>
          <t>WARNO</t>
        </is>
      </c>
      <c r="I10" t="inlineStr">
        <is>
          <t>phản pháo</t>
        </is>
      </c>
      <c r="J10" t="inlineStr"/>
      <c r="K10" t="inlineStr">
        <is>
          <t>lựu pháo kéo trong ụ bao cát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R_unit_refs;R_machine_brigade_can_bang;R_artillery_emplacement;R_machine_brigade_ai_research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đoán: lựu pháo kéo trong ụ bao cát</t>
        </is>
      </c>
      <c r="Z10" t="inlineStr">
        <is>
          <t>2A65 Msta-B / D-20 152 mm (lựu pháo kéo), M284 155 mm — ước đoán: lựu pháo kéo trong ụ bao cát</t>
        </is>
      </c>
      <c r="AA10" t="inlineStr"/>
      <c r="AB10" t="inlineStr"/>
      <c r="AC10" t="inlineStr">
        <is>
          <t>Tools/blender/specs/artillery_emplacement.json: real = towed 155 mm howitzer, M198 class (balance.json howitzer_fixed: M284 155 mm; unit_refs 2A65 / D-20 / M284); a round gun pit with an earth revetment and sandbags; confidence = xấp xỉ (M198 in a gun pit, photographs)</t>
        </is>
      </c>
      <c r="AD10" t="inlineStr">
        <is>
          <t>Thap</t>
        </is>
      </c>
      <c r="AE10" t="inlineStr"/>
      <c r="AF10" t="inlineStr"/>
      <c r="AG10" t="inlineStr">
        <is>
          <t>Tools/docs/unit_refs.json: artillery_emplacement; Tools/models/reference_real.json: units.artillery_emplacement</t>
        </is>
      </c>
      <c r="AH10" t="inlineStr"/>
    </row>
    <row r="11">
      <c r="A11" t="inlineStr">
        <is>
          <t>artillery_emplacement.cb</t>
        </is>
      </c>
      <c r="B11" t="inlineStr">
        <is>
          <t>artillery_emplacement.cb</t>
        </is>
      </c>
      <c r="C11" t="inlineStr">
        <is>
          <t>artillery_emplacement.cb</t>
        </is>
      </c>
      <c r="D11" t="inlineStr">
        <is>
          <t>doi_that</t>
        </is>
      </c>
      <c r="E11" t="inlineStr">
        <is>
          <t>M284 155 mm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Nhánh lựu pháo phản pháo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Nhánh lựu pháo phản pháo</t>
        </is>
      </c>
      <c r="Z11" t="inlineStr">
        <is>
          <t>M284 155 mm — Nhánh lựu pháo phản pháo</t>
        </is>
      </c>
      <c r="AA11" t="inlineStr"/>
      <c r="AB11" t="inlineStr"/>
      <c r="AC11" t="inlineStr"/>
      <c r="AD11" t="inlineStr">
        <is>
          <t>Thap</t>
        </is>
      </c>
      <c r="AE11" t="inlineStr">
        <is>
          <t>cb</t>
        </is>
      </c>
      <c r="AF11" t="inlineStr"/>
      <c r="AG11" t="inlineStr">
        <is>
          <t>Tools/docs/unit_refs.json: artillery_emplacement.cb; Tools/models/reference_real.json: units.artillery_emplacement.cb</t>
        </is>
      </c>
      <c r="AH11" t="inlineStr"/>
    </row>
    <row r="12">
      <c r="A12" t="inlineStr">
        <is>
          <t>artillery_emplacement.mortar</t>
        </is>
      </c>
      <c r="B12" t="inlineStr">
        <is>
          <t>artillery_emplacement.mortar</t>
        </is>
      </c>
      <c r="C12" t="inlineStr">
        <is>
          <t>artillery_emplacement.mortar</t>
        </is>
      </c>
      <c r="D12" t="inlineStr">
        <is>
          <t>doi_that</t>
        </is>
      </c>
      <c r="E12" t="inlineStr">
        <is>
          <t>2B8 240 mm;2S4 Tyulpan;M-240 (cối kéo 240 mm)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Nhánh cối 240 mm bắn cầu vồng</t>
        </is>
      </c>
      <c r="L12" t="inlineStr"/>
      <c r="M12" t="inlineStr"/>
      <c r="N12" t="inlineStr"/>
      <c r="O12" t="inlineStr">
        <is>
          <t>ban_dau_doan</t>
        </is>
      </c>
      <c r="P12" t="inlineStr">
        <is>
          <t>R_unit_refs;R_machine_brigade_can_bang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Y12" t="inlineStr">
        <is>
          <t>Nhánh cối 240 mm bắn cầu vồng</t>
        </is>
      </c>
      <c r="Z12" t="inlineStr">
        <is>
          <t>2B8 240 mm, 2S4 Tyulpan, M-240 (cối kéo 240 mm) — Nhánh cối 240 mm bắn cầu vồng</t>
        </is>
      </c>
      <c r="AA12" t="inlineStr">
        <is>
          <t>2S4 Tyulpan</t>
        </is>
      </c>
      <c r="AB12" t="inlineStr"/>
      <c r="AC12" t="inlineStr"/>
      <c r="AD12" t="inlineStr">
        <is>
          <t>Thap</t>
        </is>
      </c>
      <c r="AE12" t="inlineStr">
        <is>
          <t>mortar</t>
        </is>
      </c>
      <c r="AF12" t="inlineStr"/>
      <c r="AG12" t="inlineStr">
        <is>
          <t>Tools/docs/unit_refs.json: artillery_emplacement.mortar; Tools/models/reference_real.json: units.artillery_emplacement.mortar</t>
        </is>
      </c>
      <c r="AH12" t="inlineStr"/>
    </row>
    <row r="13">
      <c r="A13" t="inlineStr">
        <is>
          <t>at_gun_emplacement</t>
        </is>
      </c>
      <c r="B13" t="inlineStr">
        <is>
          <t>at_gun_emplacement</t>
        </is>
      </c>
      <c r="C13" t="inlineStr">
        <is>
          <t>Ụ pháo chống tăng</t>
        </is>
      </c>
      <c r="D13" t="inlineStr">
        <is>
          <t>doi_that</t>
        </is>
      </c>
      <c r="E13" t="inlineStr">
        <is>
          <t>2A45 Sprut-B 125 mm</t>
        </is>
      </c>
      <c r="F13" t="inlineStr">
        <is>
          <t>NEED_SOURCE</t>
        </is>
      </c>
      <c r="G13" t="inlineStr">
        <is>
          <t>NEED_SOURCE</t>
        </is>
      </c>
      <c r="H13" t="inlineStr">
        <is>
          <t>Company of Heroes</t>
        </is>
      </c>
      <c r="I13" t="inlineStr">
        <is>
          <t>hình dáng: pháo chống tăng</t>
        </is>
      </c>
      <c r="J13" t="inlineStr"/>
      <c r="K13" t="inlineStr">
        <is>
          <t>Ụ pháo chống tăng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R_unit_refs;R_at_gun_emplacement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pháo chống tăng</t>
        </is>
      </c>
      <c r="Z13" t="inlineStr"/>
      <c r="AA13" t="inlineStr"/>
      <c r="AB13" t="inlineStr"/>
      <c r="AC13" t="inlineStr">
        <is>
          <t>Tools/blender/specs/at_gun_emplacement.json: real = MT-12 (2A29) Rapira 100 mm smoothbore anti-tank gun on its split-trail carriage; confidence = xấp xỉ (MT-12 layout and proportions; the emplacement is a field gun pit)</t>
        </is>
      </c>
      <c r="AD13" t="inlineStr">
        <is>
          <t>Thap</t>
        </is>
      </c>
      <c r="AE13" t="inlineStr"/>
      <c r="AF13" t="inlineStr"/>
      <c r="AG13" t="inlineStr">
        <is>
          <t>Tools/docs/unit_refs.json: at_gun_emplacement; Tools/models/reference_real.json: units.at_gun_emplacement</t>
        </is>
      </c>
      <c r="AH13" t="inlineStr"/>
    </row>
    <row r="14">
      <c r="A14" t="inlineStr">
        <is>
          <t>at_gun_emplacement.long</t>
        </is>
      </c>
      <c r="B14" t="inlineStr">
        <is>
          <t>at_gun_emplacement.long</t>
        </is>
      </c>
      <c r="C14" t="inlineStr">
        <is>
          <t>at_gun_emplacement.long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/>
      <c r="AD14" t="inlineStr">
        <is>
          <t>Thap</t>
        </is>
      </c>
      <c r="AE14" t="inlineStr">
        <is>
          <t>long</t>
        </is>
      </c>
      <c r="AF14" t="inlineStr"/>
      <c r="AG14" t="inlineStr">
        <is>
          <t>Tools/docs/unit_refs.json: at_gun_emplacement.long; Tools/models/reference_real.json: units.at_gun_emplacement.long</t>
        </is>
      </c>
      <c r="AH14" t="inlineStr"/>
    </row>
    <row r="15">
      <c r="A15" t="inlineStr">
        <is>
          <t>at_gun_emplacement.recoilless</t>
        </is>
      </c>
      <c r="B15" t="inlineStr">
        <is>
          <t>at_gun_emplacement.recoilless</t>
        </is>
      </c>
      <c r="C15" t="inlineStr">
        <is>
          <t>at_gun_emplacement.recoilless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Z15" t="inlineStr"/>
      <c r="AA15" t="inlineStr"/>
      <c r="AB15" t="inlineStr"/>
      <c r="AC15" t="inlineStr"/>
      <c r="AD15" t="inlineStr">
        <is>
          <t>Thap</t>
        </is>
      </c>
      <c r="AE15" t="inlineStr">
        <is>
          <t>recoilless</t>
        </is>
      </c>
      <c r="AF15" t="inlineStr"/>
      <c r="AG15" t="inlineStr">
        <is>
          <t>Tools/docs/unit_refs.json: at_gun_emplacement.recoilless; Tools/models/reference_real.json: units.at_gun_emplacement.recoilless</t>
        </is>
      </c>
      <c r="AH15" t="inlineStr"/>
    </row>
    <row r="16">
      <c r="A16" t="inlineStr">
        <is>
          <t>atgm_tower</t>
        </is>
      </c>
      <c r="B16" t="inlineStr">
        <is>
          <t>atgm_tower</t>
        </is>
      </c>
      <c r="C16" t="inlineStr">
        <is>
          <t>Tháp tên lửa chống tăng</t>
        </is>
      </c>
      <c r="D16" t="inlineStr">
        <is>
          <t>doi_that</t>
        </is>
      </c>
      <c r="E16" t="inlineStr">
        <is>
          <t>9M133 Kornet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Tháp bê tông phóng tên lửa chống tăng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R_unit_refs;R_machine_brigade_can_bang;R_atgm_tower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Tháp bê tông phóng tên lửa chống tăng</t>
        </is>
      </c>
      <c r="Z16" t="inlineStr">
        <is>
          <t>9M133 Kornet — Tháp bê tông phóng tên lửa chống tăng</t>
        </is>
      </c>
      <c r="AA16" t="inlineStr"/>
      <c r="AB16" t="inlineStr"/>
      <c r="AC16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16" t="inlineStr">
        <is>
          <t>Thap</t>
        </is>
      </c>
      <c r="AE16" t="inlineStr"/>
      <c r="AF16" t="inlineStr"/>
      <c r="AG16" t="inlineStr">
        <is>
          <t>Tools/docs/unit_refs.json: atgm_tower; Tools/models/reference_real.json: units.atgm_tower</t>
        </is>
      </c>
      <c r="AH16" t="inlineStr"/>
    </row>
    <row r="17">
      <c r="A17" t="inlineStr">
        <is>
          <t>atgm_tower.multi</t>
        </is>
      </c>
      <c r="B17" t="inlineStr">
        <is>
          <t>atgm_tower.multi</t>
        </is>
      </c>
      <c r="C17" t="inlineStr">
        <is>
          <t>atgm_tower.multi</t>
        </is>
      </c>
      <c r="D17" t="inlineStr">
        <is>
          <t>doi_that</t>
        </is>
      </c>
      <c r="E17" t="inlineStr">
        <is>
          <t>9M133 Kornet;Kornet-EM (bệ nhiều ống)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ước đoán (Kornet-EM): nhánh đa năng bốn ống và radar nhỏ</t>
        </is>
      </c>
      <c r="L17" t="inlineStr"/>
      <c r="M17" t="inlineStr"/>
      <c r="N17" t="inlineStr"/>
      <c r="O17" t="inlineStr">
        <is>
          <t>uoc_dinh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ước đoán (Kornet-EM): nhánh đa năng bốn ống và radar nhỏ</t>
        </is>
      </c>
      <c r="Z17" t="inlineStr">
        <is>
          <t>9M133 Kornet, Kornet-EM (bệ nhiều ống) — ước đoán (Kornet-EM): nhánh đa năng bốn ống và radar nhỏ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multi</t>
        </is>
      </c>
      <c r="AF17" t="inlineStr"/>
      <c r="AG17" t="inlineStr">
        <is>
          <t>Tools/docs/unit_refs.json: atgm_tower.multi; Tools/models/reference_real.json: units.atgm_tower.multi</t>
        </is>
      </c>
      <c r="AH17" t="inlineStr"/>
    </row>
    <row r="18">
      <c r="A18" t="inlineStr">
        <is>
          <t>atgm_tower.top</t>
        </is>
      </c>
      <c r="B18" t="inlineStr">
        <is>
          <t>atgm_tower.top</t>
        </is>
      </c>
      <c r="C18" t="inlineStr">
        <is>
          <t>atgm_tower.top</t>
        </is>
      </c>
      <c r="D18" t="inlineStr">
        <is>
          <t>doi_that</t>
        </is>
      </c>
      <c r="E18" t="inlineStr">
        <is>
          <t>9M133 Kornet;FGM-148 Javelin (đánh nóc)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ước đoán (Javelin): nhánh tên lửa đánh nóc</t>
        </is>
      </c>
      <c r="L18" t="inlineStr"/>
      <c r="M18" t="inlineStr"/>
      <c r="N18" t="inlineStr"/>
      <c r="O18" t="inlineStr">
        <is>
          <t>uoc_dinh</t>
        </is>
      </c>
      <c r="P18" t="inlineStr">
        <is>
          <t>R_unit_refs;R_machine_brigade_can_bang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ước đoán (Javelin): nhánh tên lửa đánh nóc</t>
        </is>
      </c>
      <c r="Z18" t="inlineStr">
        <is>
          <t>9M133 Kornet, FGM-148 Javelin (đánh nóc) — ước đoán (Javelin): nhánh tên lửa đánh nóc</t>
        </is>
      </c>
      <c r="AA18" t="inlineStr"/>
      <c r="AB18" t="inlineStr"/>
      <c r="AC18" t="inlineStr"/>
      <c r="AD18" t="inlineStr">
        <is>
          <t>Thap</t>
        </is>
      </c>
      <c r="AE18" t="inlineStr">
        <is>
          <t>top</t>
        </is>
      </c>
      <c r="AF18" t="inlineStr"/>
      <c r="AG18" t="inlineStr">
        <is>
          <t>Tools/docs/unit_refs.json: atgm_tower.top; Tools/models/reference_real.json: units.atgm_tower.top</t>
        </is>
      </c>
      <c r="AH18" t="inlineStr"/>
    </row>
    <row r="19">
      <c r="A19" t="inlineStr">
        <is>
          <t>barrage_balloon</t>
        </is>
      </c>
      <c r="B19" t="inlineStr">
        <is>
          <t>barrage_balloon</t>
        </is>
      </c>
      <c r="C19" t="inlineStr">
        <is>
          <t>Khí cầu neo radar (JLENS)</t>
        </is>
      </c>
      <c r="D19" t="inlineStr">
        <is>
          <t>doi_that</t>
        </is>
      </c>
      <c r="E19" t="inlineStr">
        <is>
          <t>JLENS (khí cầu neo radar)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Khí cầu neo radar: bom địch kém chính xác, lộ máy bay tàng hình gần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R_unit_refs;R_barrage_balloon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Khí cầu neo radar: bom địch kém chính xác, lộ máy bay tàng hình gần</t>
        </is>
      </c>
      <c r="Z19" t="inlineStr"/>
      <c r="AA19" t="inlineStr"/>
      <c r="AB19" t="inlineStr"/>
      <c r="AC19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9" t="inlineStr">
        <is>
          <t>Thap</t>
        </is>
      </c>
      <c r="AE19" t="inlineStr"/>
      <c r="AF19" t="inlineStr"/>
      <c r="AG19" t="inlineStr">
        <is>
          <t>Tools/docs/unit_refs.json: barrage_balloon; Tools/models/reference_real.json: units.barrage_balloon</t>
        </is>
      </c>
      <c r="AH19" t="inlineStr"/>
    </row>
    <row r="20">
      <c r="A20" t="inlineStr">
        <is>
          <t>blast_wall</t>
        </is>
      </c>
      <c r="B20" t="inlineStr">
        <is>
          <t>blast_wall</t>
        </is>
      </c>
      <c r="C20" t="inlineStr">
        <is>
          <t>Tường chắn đạn</t>
        </is>
      </c>
      <c r="D20" t="inlineStr">
        <is>
          <t>NEED_SOURCE</t>
        </is>
      </c>
      <c r="E20" t="inlineStr"/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>
        <is>
          <t>R_blast_wall</t>
        </is>
      </c>
      <c r="Q20" t="inlineStr">
        <is>
          <t>repo không có tham chiếu cho thực thể này (unit_refs.json, reference_real.json, bảng cân bằng)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Z20" t="inlineStr"/>
      <c r="AA20" t="inlineStr"/>
      <c r="AB20" t="inlineStr"/>
      <c r="AC20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20" t="inlineStr">
        <is>
          <t>Thap</t>
        </is>
      </c>
      <c r="AE20" t="inlineStr"/>
      <c r="AF20" t="inlineStr"/>
      <c r="AG20" t="inlineStr">
        <is>
          <t>Tools/docs/unit_refs.json: blast_wall; Tools/models/reference_real.json: units.blast_wall</t>
        </is>
      </c>
      <c r="AH20" t="inlineStr"/>
    </row>
    <row r="21">
      <c r="A21" t="inlineStr">
        <is>
          <t>bulwark_post</t>
        </is>
      </c>
      <c r="B21" t="inlineStr">
        <is>
          <t>bulwark_post</t>
        </is>
      </c>
      <c r="C21" t="inlineStr">
        <is>
          <t>Ụ súng dã chiến</t>
        </is>
      </c>
      <c r="D21" t="inlineStr">
        <is>
          <t>doi_that</t>
        </is>
      </c>
      <c r="E21" t="inlineStr">
        <is>
          <t>NSV 12,7 mm;lô cốt hình nấm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Ụ súng máy tạm sau khi tháp đổ (trang bị Bulwark)</t>
        </is>
      </c>
      <c r="L21" t="inlineStr"/>
      <c r="M21" t="inlineStr"/>
      <c r="N21" t="inlineStr"/>
      <c r="O21" t="inlineStr">
        <is>
          <t>ban_dau_doan</t>
        </is>
      </c>
      <c r="P21" t="inlineStr">
        <is>
          <t>R_unit_refs;R_machine_brigade_can_bang;R_bulwark_post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Ụ súng máy tạm sau khi tháp đổ (trang bị Bulwark)</t>
        </is>
      </c>
      <c r="Z21" t="inlineStr">
        <is>
          <t>NSV 12,7 mm, lô cốt hình nấm — Ụ súng máy tạm sau khi tháp đổ (trang bị Bulwark)</t>
        </is>
      </c>
      <c r="AA21" t="inlineStr"/>
      <c r="AB21" t="inlineStr"/>
      <c r="AC21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21" t="inlineStr">
        <is>
          <t>Thap</t>
        </is>
      </c>
      <c r="AE21" t="inlineStr"/>
      <c r="AF21" t="inlineStr"/>
      <c r="AG21" t="inlineStr">
        <is>
          <t>Tools/docs/unit_refs.json: bulwark_post; Tools/models/reference_real.json: units.bulwark_post</t>
        </is>
      </c>
      <c r="AH21" t="inlineStr"/>
    </row>
    <row r="22">
      <c r="A22" t="inlineStr">
        <is>
          <t>bunker_shelter_tower</t>
        </is>
      </c>
      <c r="B22" t="inlineStr">
        <is>
          <t>bunker_shelter_tower</t>
        </is>
      </c>
      <c r="C22" t="inlineStr">
        <is>
          <t>Hầm ngầm che quân</t>
        </is>
      </c>
      <c r="D22" t="inlineStr">
        <is>
          <t>NEED_SOURCE</t>
        </is>
      </c>
      <c r="E22" t="inlineStr"/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>
        <is>
          <t>R_bunker_shelter_tower</t>
        </is>
      </c>
      <c r="Q22" t="inlineStr">
        <is>
          <t>repo không có tham chiếu cho thực thể này (unit_refs.json, reference_real.json, bảng cân bằng)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Z22" t="inlineStr"/>
      <c r="AA22" t="inlineStr"/>
      <c r="AB22" t="inlineStr"/>
      <c r="AC22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22" t="inlineStr">
        <is>
          <t>Thap</t>
        </is>
      </c>
      <c r="AE22" t="inlineStr"/>
      <c r="AF22" t="inlineStr"/>
      <c r="AG22" t="inlineStr">
        <is>
          <t>Tools/docs/unit_refs.json: bunker_shelter_tower; Tools/models/reference_real.json: units.bunker_shelter_tower</t>
        </is>
      </c>
      <c r="AH22" t="inlineStr"/>
    </row>
    <row r="23">
      <c r="A23" t="inlineStr">
        <is>
          <t>c_ram</t>
        </is>
      </c>
      <c r="B23" t="inlineStr">
        <is>
          <t>c_ram</t>
        </is>
      </c>
      <c r="C23" t="inlineStr">
        <is>
          <t>Trạm đánh chặn C-RAM</t>
        </is>
      </c>
      <c r="D23" t="inlineStr">
        <is>
          <t>doi_that</t>
        </is>
      </c>
      <c r="E23" t="inlineStr">
        <is>
          <t>Centurion C-RAM;Phalanx Block 1B (M61 20 mm)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Pháo phòng thủ tầm gần chống rốc-két, pháo và cối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R_unit_refs;R_machine_brigade_can_bang;R_c_ram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Pháo phòng thủ tầm gần chống rốc-két, pháo và cối</t>
        </is>
      </c>
      <c r="Z23" t="inlineStr">
        <is>
          <t>Centurion C-RAM, Phalanx Block 1B (M61 20 mm) — Pháo phòng thủ tầm gần chống rốc-két, pháo và cối</t>
        </is>
      </c>
      <c r="AA23" t="inlineStr">
        <is>
          <t>Phalanx: 4.500 phát/phút</t>
        </is>
      </c>
      <c r="AB23" t="inlineStr"/>
      <c r="AC23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23" t="inlineStr">
        <is>
          <t>Thap</t>
        </is>
      </c>
      <c r="AE23" t="inlineStr"/>
      <c r="AF23" t="inlineStr"/>
      <c r="AG23" t="inlineStr">
        <is>
          <t>Tools/docs/unit_refs.json: c_ram; Tools/models/reference_real.json: units.c_ram</t>
        </is>
      </c>
      <c r="AH23" t="inlineStr"/>
    </row>
    <row r="24">
      <c r="A24" t="inlineStr">
        <is>
          <t>c_ram.centurion</t>
        </is>
      </c>
      <c r="B24" t="inlineStr">
        <is>
          <t>c_ram.centurion</t>
        </is>
      </c>
      <c r="C24" t="inlineStr">
        <is>
          <t>c_ram.centurion</t>
        </is>
      </c>
      <c r="D24" t="inlineStr">
        <is>
          <t>doi_that</t>
        </is>
      </c>
      <c r="E24" t="inlineStr">
        <is>
          <t>Centurion C-RAM;Phalanx CIWS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C-RAM tầm gần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C-RAM tầm gần</t>
        </is>
      </c>
      <c r="Z24" t="inlineStr">
        <is>
          <t>Centurion C-RAM, Phalanx CIWS — Nhánh C-RAM tầm gần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centurion</t>
        </is>
      </c>
      <c r="AF24" t="inlineStr"/>
      <c r="AG24" t="inlineStr">
        <is>
          <t>Tools/docs/unit_refs.json: c_ram.centurion; Tools/models/reference_real.json: units.c_ram.centurion</t>
        </is>
      </c>
      <c r="AH24" t="inlineStr"/>
    </row>
    <row r="25">
      <c r="A25" t="inlineStr">
        <is>
          <t>c_ram.dome</t>
        </is>
      </c>
      <c r="B25" t="inlineStr">
        <is>
          <t>c_ram.dome</t>
        </is>
      </c>
      <c r="C25" t="inlineStr">
        <is>
          <t>c_ram.dome</t>
        </is>
      </c>
      <c r="D25" t="inlineStr">
        <is>
          <t>doi_that</t>
        </is>
      </c>
      <c r="E25" t="inlineStr">
        <is>
          <t>Iron Dome (tên lửa Tamir)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Nhánh Vòm Sắt đánh chặn rốc-két</t>
        </is>
      </c>
      <c r="L25" t="inlineStr"/>
      <c r="M25" t="inlineStr"/>
      <c r="N25" t="inlineStr"/>
      <c r="O25" t="inlineStr">
        <is>
          <t>ban_dau_doan</t>
        </is>
      </c>
      <c r="P25" t="inlineStr">
        <is>
          <t>R_unit_refs;R_machine_brigade_can_bang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Y25" t="inlineStr">
        <is>
          <t>Nhánh Vòm Sắt đánh chặn rốc-két</t>
        </is>
      </c>
      <c r="Z25" t="inlineStr">
        <is>
          <t>Iron Dome (tên lửa Tamir) — Nhánh Vòm Sắt đánh chặn rốc-két</t>
        </is>
      </c>
      <c r="AA25" t="inlineStr"/>
      <c r="AB25" t="inlineStr"/>
      <c r="AC25" t="inlineStr"/>
      <c r="AD25" t="inlineStr">
        <is>
          <t>Thap</t>
        </is>
      </c>
      <c r="AE25" t="inlineStr">
        <is>
          <t>dome</t>
        </is>
      </c>
      <c r="AF25" t="inlineStr"/>
      <c r="AG25" t="inlineStr">
        <is>
          <t>Tools/docs/unit_refs.json: c_ram.dome; Tools/models/reference_real.json: units.c_ram.dome</t>
        </is>
      </c>
      <c r="AH25" t="inlineStr"/>
    </row>
    <row r="26">
      <c r="A26" t="inlineStr">
        <is>
          <t>coastal_battery</t>
        </is>
      </c>
      <c r="B26" t="inlineStr">
        <is>
          <t>coastal_battery</t>
        </is>
      </c>
      <c r="C26" t="inlineStr">
        <is>
          <t>Trận địa pháo bờ biển</t>
        </is>
      </c>
      <c r="D26" t="inlineStr">
        <is>
          <t>doi_that</t>
        </is>
      </c>
      <c r="E26" t="inlineStr">
        <is>
          <t>A-222 Bereg (240 mm);AK-130 130 mm (tháp pháo hạm đặt trên bờ);K-300P Bastion-P;M284 155 mm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Trận địa pháo bờ biển</t>
        </is>
      </c>
      <c r="L26" t="inlineStr"/>
      <c r="M26" t="inlineStr"/>
      <c r="N26" t="inlineStr"/>
      <c r="O26" t="inlineStr">
        <is>
          <t>ban_dau_doan</t>
        </is>
      </c>
      <c r="P26" t="inlineStr">
        <is>
          <t>R_unit_refs;R_machine_brigade_can_bang;R_coastal_battery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Trận địa pháo bờ biển</t>
        </is>
      </c>
      <c r="Z26" t="inlineStr">
        <is>
          <t>A-222 Bereg (240 mm), AK-130 130 mm (tháp pháo hạm đặt trên bờ), K-300P Bastion-P, M284 155 mm — Trận địa pháo bờ biển</t>
        </is>
      </c>
      <c r="AA26" t="inlineStr"/>
      <c r="AB26" t="inlineStr"/>
      <c r="AC26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26" t="inlineStr">
        <is>
          <t>Thap</t>
        </is>
      </c>
      <c r="AE26" t="inlineStr"/>
      <c r="AF26" t="inlineStr"/>
      <c r="AG26" t="inlineStr">
        <is>
          <t>Tools/docs/unit_refs.json: coastal_battery; Tools/models/reference_real.json: units.coastal_battery</t>
        </is>
      </c>
      <c r="AH26" t="inlineStr"/>
    </row>
    <row r="27">
      <c r="A27" t="inlineStr">
        <is>
          <t>cp_relay</t>
        </is>
      </c>
      <c r="B27" t="inlineStr">
        <is>
          <t>cp_relay</t>
        </is>
      </c>
      <c r="C27" t="inlineStr">
        <is>
          <t>Trạm tiếp tế CP</t>
        </is>
      </c>
      <c r="D27" t="inlineStr">
        <is>
          <t>doi_that</t>
        </is>
      </c>
      <c r="E27" t="inlineStr">
        <is>
          <t>trạm tiếp sóng thông tin dã chiến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Trạm tiếp sóng CP, cột lưới hai chảo ăng-ten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R_unit_refs;R_machine_brigade_can_bang;R_cp_relay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Trạm tiếp sóng CP, cột lưới hai chảo ăng-ten</t>
        </is>
      </c>
      <c r="Z27" t="inlineStr">
        <is>
          <t>trạm tiếp sóng thông tin dã chiến — Trạm tiếp sóng CP, cột lưới hai chảo ăng-ten</t>
        </is>
      </c>
      <c r="AA27" t="inlineStr"/>
      <c r="AB27" t="inlineStr"/>
      <c r="AC27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7" t="inlineStr">
        <is>
          <t>Thap</t>
        </is>
      </c>
      <c r="AE27" t="inlineStr"/>
      <c r="AF27" t="inlineStr"/>
      <c r="AG27" t="inlineStr">
        <is>
          <t>Tools/docs/unit_refs.json: cp_relay; Tools/models/reference_real.json: units.cp_relay</t>
        </is>
      </c>
      <c r="AH27" t="inlineStr"/>
    </row>
    <row r="28">
      <c r="A28" t="inlineStr">
        <is>
          <t>cp_relay.hardened</t>
        </is>
      </c>
      <c r="B28" t="inlineStr">
        <is>
          <t>cp_relay</t>
        </is>
      </c>
      <c r="C28" t="inlineStr">
        <is>
          <t>Trạm tiếp tế CP (cp_relay.hardened)</t>
        </is>
      </c>
      <c r="D28" t="inlineStr">
        <is>
          <t>doi_that</t>
        </is>
      </c>
      <c r="E28" t="inlineStr">
        <is>
          <t>trạm tiếp tế kiên cố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trạm tiếp tế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R_unit_refs;R_machine_brigade_can_bang;R_cp_relay</t>
        </is>
      </c>
      <c r="Q28" t="inlineStr">
        <is>
          <t>khóa 'cp_relay.hardened' của unit_refs.json không còn là thực thể (nhánh cũ; cp_relay giờ noBranch): giữ để không mất ghi chú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trạm tiếp tế</t>
        </is>
      </c>
      <c r="Z28" t="inlineStr">
        <is>
          <t>trạm tiếp sóng thông tin dã chiến — Trạm tiếp sóng CP, cột lưới hai chảo ăng-ten</t>
        </is>
      </c>
      <c r="AA28" t="inlineStr"/>
      <c r="AB28" t="inlineStr"/>
      <c r="AC28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8" t="inlineStr">
        <is>
          <t>Thap</t>
        </is>
      </c>
      <c r="AE28" t="inlineStr"/>
      <c r="AF28" t="inlineStr"/>
      <c r="AG28" t="inlineStr">
        <is>
          <t>Tools/docs/unit_refs.json: cp_relay.hardened; Tools/models/reference_real.json: units.cp_relay</t>
        </is>
      </c>
      <c r="AH28" t="inlineStr"/>
    </row>
    <row r="29">
      <c r="A29" t="inlineStr">
        <is>
          <t>cp_relay.loot</t>
        </is>
      </c>
      <c r="B29" t="inlineStr">
        <is>
          <t>cp_relay</t>
        </is>
      </c>
      <c r="C29" t="inlineStr">
        <is>
          <t>Trạm tiếp tế CP (cp_relay.loot)</t>
        </is>
      </c>
      <c r="D29" t="inlineStr">
        <is>
          <t>doi_that</t>
        </is>
      </c>
      <c r="E29" t="inlineStr">
        <is>
          <t>kho chiến lợi phẩm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nhánh kho chiến lợi phẩm</t>
        </is>
      </c>
      <c r="L29" t="inlineStr"/>
      <c r="M29" t="inlineStr"/>
      <c r="N29" t="inlineStr"/>
      <c r="O29" t="inlineStr">
        <is>
          <t>uoc_dinh</t>
        </is>
      </c>
      <c r="P29" t="inlineStr">
        <is>
          <t>R_unit_refs;R_machine_brigade_can_bang;R_cp_relay</t>
        </is>
      </c>
      <c r="Q29" t="inlineStr">
        <is>
          <t>khóa 'cp_relay.loot' của unit_refs.json không còn là thực thể (nhánh cũ; cp_relay giờ noBranch): giữ để không mất ghi chú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Y29" t="inlineStr">
        <is>
          <t>ước đoán: nhánh kho chiến lợi phẩm</t>
        </is>
      </c>
      <c r="Z29" t="inlineStr">
        <is>
          <t>trạm tiếp sóng thông tin dã chiến — Trạm tiếp sóng CP, cột lưới hai chảo ăng-ten</t>
        </is>
      </c>
      <c r="AA29" t="inlineStr"/>
      <c r="AB29" t="inlineStr"/>
      <c r="AC2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9" t="inlineStr">
        <is>
          <t>Thap</t>
        </is>
      </c>
      <c r="AE29" t="inlineStr"/>
      <c r="AF29" t="inlineStr"/>
      <c r="AG29" t="inlineStr">
        <is>
          <t>Tools/docs/unit_refs.json: cp_relay.loot; Tools/models/reference_real.json: units.cp_relay</t>
        </is>
      </c>
      <c r="AH29" t="inlineStr"/>
    </row>
    <row r="30">
      <c r="A30" t="inlineStr">
        <is>
          <t>decoy_tank</t>
        </is>
      </c>
      <c r="B30" t="inlineStr">
        <is>
          <t>decoy_tank</t>
        </is>
      </c>
      <c r="C30" t="inlineStr">
        <is>
          <t>Xe tăng bơm hơi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/>
      <c r="AD30" t="inlineStr">
        <is>
          <t>Thap</t>
        </is>
      </c>
      <c r="AE30" t="inlineStr"/>
      <c r="AF30" t="inlineStr"/>
      <c r="AG30" t="inlineStr">
        <is>
          <t>Tools/docs/unit_refs.json: decoy_tank; Tools/models/reference_real.json: units.decoy_tank</t>
        </is>
      </c>
      <c r="AH30" t="inlineStr"/>
    </row>
    <row r="31">
      <c r="A31" t="inlineStr">
        <is>
          <t>dragons_teeth</t>
        </is>
      </c>
      <c r="B31" t="inlineStr">
        <is>
          <t>dragons_teeth</t>
        </is>
      </c>
      <c r="C31" t="inlineStr">
        <is>
          <t>Răng rồng</t>
        </is>
      </c>
      <c r="D31" t="inlineStr">
        <is>
          <t>doi_that</t>
        </is>
      </c>
      <c r="E31" t="inlineStr">
        <is>
          <t>răng rồng tuyến Siegfried (Westwall);nhím thép (Czech hedgehog)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Chướng ngại chống tăng bê tông hai hàng so le</t>
        </is>
      </c>
      <c r="L31" t="inlineStr"/>
      <c r="M31" t="inlineStr"/>
      <c r="N31" t="inlineStr"/>
      <c r="O31" t="inlineStr">
        <is>
          <t>ban_dau_doan</t>
        </is>
      </c>
      <c r="P31" t="inlineStr">
        <is>
          <t>R_unit_refs;R_machine_brigade_can_bang;R_dragons_teeth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Y31" t="inlineStr">
        <is>
          <t>Chướng ngại chống tăng bê tông hai hàng so le</t>
        </is>
      </c>
      <c r="Z31" t="inlineStr">
        <is>
          <t>răng rồng tuyến Siegfried (Westwall), nhím thép (Czech hedgehog) — Chướng ngại chống tăng bê tông hai hàng so le</t>
        </is>
      </c>
      <c r="AA31" t="inlineStr"/>
      <c r="AB31" t="inlineStr"/>
      <c r="AC31" t="inlineStr">
        <is>
          <t>Tools/blender/specs/dragons_teeth.json: real = Westwall / Siegfried line dragon's teeth (Hoeckerhindernis); Czech hedgehog; confidence = tham_khao_thuc (Westwall teeth; rows repeat every 5 m so segments tile)</t>
        </is>
      </c>
      <c r="AD31" t="inlineStr">
        <is>
          <t>Thap</t>
        </is>
      </c>
      <c r="AE31" t="inlineStr"/>
      <c r="AF31" t="inlineStr"/>
      <c r="AG31" t="inlineStr">
        <is>
          <t>Tools/docs/unit_refs.json: dragons_teeth; Tools/models/reference_real.json: units.dragons_teeth</t>
        </is>
      </c>
      <c r="AH31" t="inlineStr"/>
    </row>
    <row r="32">
      <c r="A32" t="inlineStr">
        <is>
          <t>dragons_teeth.hedgehog</t>
        </is>
      </c>
      <c r="B32" t="inlineStr">
        <is>
          <t>dragons_teeth.hedgehog</t>
        </is>
      </c>
      <c r="C32" t="inlineStr">
        <is>
          <t>dragons_teeth.hedgehog</t>
        </is>
      </c>
      <c r="D32" t="inlineStr">
        <is>
          <t>doi_that</t>
        </is>
      </c>
      <c r="E32" t="inlineStr">
        <is>
          <t>nhím thép (Czech hedgehog)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Nhánh nhím thép chống tăng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Nhánh nhím thép chống tăng</t>
        </is>
      </c>
      <c r="Z32" t="inlineStr">
        <is>
          <t>nhím thép (Czech hedgehog) — Nhánh nhím thép chống tăng</t>
        </is>
      </c>
      <c r="AA32" t="inlineStr"/>
      <c r="AB32" t="inlineStr"/>
      <c r="AC32" t="inlineStr"/>
      <c r="AD32" t="inlineStr">
        <is>
          <t>Thap</t>
        </is>
      </c>
      <c r="AE32" t="inlineStr">
        <is>
          <t>hedgehog</t>
        </is>
      </c>
      <c r="AF32" t="inlineStr"/>
      <c r="AG32" t="inlineStr">
        <is>
          <t>Tools/docs/unit_refs.json: dragons_teeth.hedgehog; Tools/models/reference_real.json: units.dragons_teeth.hedgehog</t>
        </is>
      </c>
      <c r="AH32" t="inlineStr"/>
    </row>
    <row r="33">
      <c r="A33" t="inlineStr">
        <is>
          <t>dragons_teeth.wire</t>
        </is>
      </c>
      <c r="B33" t="inlineStr">
        <is>
          <t>dragons_teeth.wire</t>
        </is>
      </c>
      <c r="C33" t="inlineStr">
        <is>
          <t>dragons_teeth.wire</t>
        </is>
      </c>
      <c r="D33" t="inlineStr">
        <is>
          <t>doi_that</t>
        </is>
      </c>
      <c r="E33" t="inlineStr">
        <is>
          <t>dây thép gai concertina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Nhánh hàng rào dây thép gai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Nhánh hàng rào dây thép gai</t>
        </is>
      </c>
      <c r="Z33" t="inlineStr">
        <is>
          <t>dây thép gai concertina — Nhánh hàng rào dây thép gai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wire</t>
        </is>
      </c>
      <c r="AF33" t="inlineStr"/>
      <c r="AG33" t="inlineStr">
        <is>
          <t>Tools/docs/unit_refs.json: dragons_teeth.wire; Tools/models/reference_real.json: units.dragons_teeth.wire</t>
        </is>
      </c>
      <c r="AH33" t="inlineStr"/>
    </row>
    <row r="34">
      <c r="A34" t="inlineStr">
        <is>
          <t>drone_hangar</t>
        </is>
      </c>
      <c r="B34" t="inlineStr">
        <is>
          <t>drone_hangar</t>
        </is>
      </c>
      <c r="C34" t="inlineStr">
        <is>
          <t>Nhà chứa drone</t>
        </is>
      </c>
      <c r="D34" t="inlineStr">
        <is>
          <t>doi_that</t>
        </is>
      </c>
      <c r="E34" t="inlineStr">
        <is>
          <t>hầm trú ẩn máy bay bê tông dạng vòm;drone FPV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Hầm vòm phủ đất phóng drone FPV</t>
        </is>
      </c>
      <c r="L34" t="inlineStr"/>
      <c r="M34" t="inlineStr"/>
      <c r="N34" t="inlineStr"/>
      <c r="O34" t="inlineStr">
        <is>
          <t>ban_dau_doan</t>
        </is>
      </c>
      <c r="P34" t="inlineStr">
        <is>
          <t>R_unit_refs;R_machine_brigade_can_bang;R_drone_hangar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Hầm vòm phủ đất phóng drone FPV</t>
        </is>
      </c>
      <c r="Z34" t="inlineStr">
        <is>
          <t>hầm trú ẩn máy bay bê tông dạng vòm, drone FPV — Hầm vòm phủ đất phóng drone FPV</t>
        </is>
      </c>
      <c r="AA34" t="inlineStr"/>
      <c r="AB34" t="inlineStr"/>
      <c r="AC34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34" t="inlineStr">
        <is>
          <t>Thap</t>
        </is>
      </c>
      <c r="AE34" t="inlineStr"/>
      <c r="AF34" t="inlineStr"/>
      <c r="AG34" t="inlineStr">
        <is>
          <t>Tools/docs/unit_refs.json: drone_hangar; Tools/models/reference_real.json: units.drone_hangar</t>
        </is>
      </c>
      <c r="AH34" t="inlineStr"/>
    </row>
    <row r="35">
      <c r="A35" t="inlineStr">
        <is>
          <t>drone_hangar.lancet</t>
        </is>
      </c>
      <c r="B35" t="inlineStr">
        <is>
          <t>drone_hangar.lancet</t>
        </is>
      </c>
      <c r="C35" t="inlineStr">
        <is>
          <t>drone_hangar.lancet</t>
        </is>
      </c>
      <c r="D35" t="inlineStr">
        <is>
          <t>doi_that</t>
        </is>
      </c>
      <c r="E35" t="inlineStr">
        <is>
          <t>ZALA Lancet-3 (máy phóng ray)</t>
        </is>
      </c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>
        <is>
          <t>Nhánh phóng Lancet</t>
        </is>
      </c>
      <c r="L35" t="inlineStr"/>
      <c r="M35" t="inlineStr"/>
      <c r="N35" t="inlineStr"/>
      <c r="O35" t="inlineStr">
        <is>
          <t>ban_dau_doan</t>
        </is>
      </c>
      <c r="P35" t="inlineStr">
        <is>
          <t>R_unit_refs;R_machine_brigade_can_bang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Nhánh phóng Lancet</t>
        </is>
      </c>
      <c r="Z35" t="inlineStr">
        <is>
          <t>ZALA Lancet-3 (máy phóng ray) — Nhánh phóng Lancet</t>
        </is>
      </c>
      <c r="AA35" t="inlineStr"/>
      <c r="AB35" t="inlineStr"/>
      <c r="AC35" t="inlineStr"/>
      <c r="AD35" t="inlineStr">
        <is>
          <t>Thap</t>
        </is>
      </c>
      <c r="AE35" t="inlineStr">
        <is>
          <t>lancet</t>
        </is>
      </c>
      <c r="AF35" t="inlineStr"/>
      <c r="AG35" t="inlineStr">
        <is>
          <t>Tools/docs/unit_refs.json: drone_hangar.lancet; Tools/models/reference_real.json: units.drone_hangar.lancet</t>
        </is>
      </c>
      <c r="AH35" t="inlineStr"/>
    </row>
    <row r="36">
      <c r="A36" t="inlineStr">
        <is>
          <t>drone_hangar.swarm</t>
        </is>
      </c>
      <c r="B36" t="inlineStr">
        <is>
          <t>drone_hangar.swarm</t>
        </is>
      </c>
      <c r="C36" t="inlineStr">
        <is>
          <t>drone_hangar.swarm</t>
        </is>
      </c>
      <c r="D36" t="inlineStr">
        <is>
          <t>doi_that</t>
        </is>
      </c>
      <c r="E36" t="inlineStr">
        <is>
          <t>bầy drone FPV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phóng bầy drone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phóng bầy drone</t>
        </is>
      </c>
      <c r="Z36" t="inlineStr">
        <is>
          <t>bầy drone FPV — Nhánh phóng bầy drone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swarm</t>
        </is>
      </c>
      <c r="AF36" t="inlineStr"/>
      <c r="AG36" t="inlineStr">
        <is>
          <t>Tools/docs/unit_refs.json: drone_hangar.swarm; Tools/models/reference_real.json: units.drone_hangar.swarm</t>
        </is>
      </c>
      <c r="AH36" t="inlineStr"/>
    </row>
    <row r="37">
      <c r="A37" t="inlineStr">
        <is>
          <t>drone_net_tower</t>
        </is>
      </c>
      <c r="B37" t="inlineStr">
        <is>
          <t>drone_net_tower</t>
        </is>
      </c>
      <c r="C37" t="inlineStr">
        <is>
          <t>Lưới chắn drone</t>
        </is>
      </c>
      <c r="D37" t="inlineStr">
        <is>
          <t>NEED_SOURCE</t>
        </is>
      </c>
      <c r="E37" t="inlineStr"/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>
        <is>
          <t>R_drone_net_tower</t>
        </is>
      </c>
      <c r="Q37" t="inlineStr">
        <is>
          <t>repo không có tham chiếu cho thực thể này (unit_refs.json, reference_real.json, bảng cân bằng)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Z37" t="inlineStr"/>
      <c r="AA37" t="inlineStr"/>
      <c r="AB37" t="inlineStr"/>
      <c r="AC37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37" t="inlineStr">
        <is>
          <t>Thap</t>
        </is>
      </c>
      <c r="AE37" t="inlineStr"/>
      <c r="AF37" t="inlineStr"/>
      <c r="AG37" t="inlineStr">
        <is>
          <t>Tools/docs/unit_refs.json: drone_net_tower; Tools/models/reference_real.json: units.drone_net_tower</t>
        </is>
      </c>
      <c r="AH37" t="inlineStr"/>
    </row>
    <row r="38">
      <c r="A38" t="inlineStr">
        <is>
          <t>ew_tower</t>
        </is>
      </c>
      <c r="B38" t="inlineStr">
        <is>
          <t>ew_tower</t>
        </is>
      </c>
      <c r="C38" t="inlineStr">
        <is>
          <t>Tháp gây nhiễu EW</t>
        </is>
      </c>
      <c r="D38" t="inlineStr">
        <is>
          <t>doi_that</t>
        </is>
      </c>
      <c r="E38" t="inlineStr">
        <is>
          <t>Murmansk-BN;cột ăng-ten tác chiến điện tử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Command: Modern Operations</t>
        </is>
      </c>
      <c r="I38" t="inlineStr">
        <is>
          <t>EMCON</t>
        </is>
      </c>
      <c r="J38" t="inlineStr"/>
      <c r="K38" t="inlineStr">
        <is>
          <t>cột lưới thép gây nhiễu điện tử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R_unit_refs;R_machine_brigade_can_bang;R_ew_tower;R_machine_brigade_ai_research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cột lưới thép gây nhiễu điện tử</t>
        </is>
      </c>
      <c r="Z38" t="inlineStr">
        <is>
          <t>Murmansk-BN, cột ăng-ten tác chiến điện tử — ước đoán: cột lưới thép gây nhiễu điện tử</t>
        </is>
      </c>
      <c r="AA38" t="inlineStr"/>
      <c r="AB38" t="inlineStr"/>
      <c r="AC38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38" t="inlineStr">
        <is>
          <t>Thap</t>
        </is>
      </c>
      <c r="AE38" t="inlineStr"/>
      <c r="AF38" t="inlineStr"/>
      <c r="AG38" t="inlineStr">
        <is>
          <t>Tools/docs/unit_refs.json: ew_tower; Tools/models/reference_real.json: units.ew_tower</t>
        </is>
      </c>
      <c r="AH38" t="inlineStr"/>
    </row>
    <row r="39">
      <c r="A39" t="inlineStr">
        <is>
          <t>ew_tower.drone</t>
        </is>
      </c>
      <c r="B39" t="inlineStr">
        <is>
          <t>ew_tower.drone</t>
        </is>
      </c>
      <c r="C39" t="inlineStr">
        <is>
          <t>ew_tower.drone</t>
        </is>
      </c>
      <c r="D39" t="inlineStr">
        <is>
          <t>doi_that</t>
        </is>
      </c>
      <c r="E39" t="inlineStr">
        <is>
          <t>Rafael Drone Dome;Bukovel-AD</t>
        </is>
      </c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>
        <is>
          <t>nhánh gây nhiễu drone</t>
        </is>
      </c>
      <c r="L39" t="inlineStr"/>
      <c r="M39" t="inlineStr"/>
      <c r="N39" t="inlineStr"/>
      <c r="O39" t="inlineStr">
        <is>
          <t>uoc_dinh</t>
        </is>
      </c>
      <c r="P39" t="inlineStr">
        <is>
          <t>R_unit_refs;R_machine_brigade_can_bang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Y39" t="inlineStr">
        <is>
          <t>ước đoán: nhánh gây nhiễu drone</t>
        </is>
      </c>
      <c r="Z39" t="inlineStr">
        <is>
          <t>Rafael Drone Dome, Bukovel-AD — ước đoán: nhánh gây nhiễu drone</t>
        </is>
      </c>
      <c r="AA39" t="inlineStr"/>
      <c r="AB39" t="inlineStr"/>
      <c r="AC39" t="inlineStr"/>
      <c r="AD39" t="inlineStr">
        <is>
          <t>Thap</t>
        </is>
      </c>
      <c r="AE39" t="inlineStr">
        <is>
          <t>drone</t>
        </is>
      </c>
      <c r="AF39" t="inlineStr"/>
      <c r="AG39" t="inlineStr">
        <is>
          <t>Tools/docs/unit_refs.json: ew_tower.drone; Tools/models/reference_real.json: units.ew_tower.drone</t>
        </is>
      </c>
      <c r="AH39" t="inlineStr"/>
    </row>
    <row r="40">
      <c r="A40" t="inlineStr">
        <is>
          <t>ew_tower.spoof</t>
        </is>
      </c>
      <c r="B40" t="inlineStr">
        <is>
          <t>ew_tower.spoof</t>
        </is>
      </c>
      <c r="C40" t="inlineStr">
        <is>
          <t>ew_tower.spoof</t>
        </is>
      </c>
      <c r="D40" t="inlineStr">
        <is>
          <t>doi_that</t>
        </is>
      </c>
      <c r="E40" t="inlineStr">
        <is>
          <t>Pole-21;mồi nhử radar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nhánh đánh lừa radar và tên lửa</t>
        </is>
      </c>
      <c r="L40" t="inlineStr"/>
      <c r="M40" t="inlineStr"/>
      <c r="N40" t="inlineStr"/>
      <c r="O40" t="inlineStr">
        <is>
          <t>uoc_dinh</t>
        </is>
      </c>
      <c r="P40" t="inlineStr">
        <is>
          <t>R_unit_refs;R_machine_brigade_can_bang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Y40" t="inlineStr">
        <is>
          <t>ước đoán: nhánh đánh lừa radar và tên lửa</t>
        </is>
      </c>
      <c r="Z40" t="inlineStr">
        <is>
          <t>Pole-21, mồi nhử radar — ước đoán: nhánh đánh lừa radar và tên lửa</t>
        </is>
      </c>
      <c r="AA40" t="inlineStr"/>
      <c r="AB40" t="inlineStr"/>
      <c r="AC40" t="inlineStr"/>
      <c r="AD40" t="inlineStr">
        <is>
          <t>Thap</t>
        </is>
      </c>
      <c r="AE40" t="inlineStr">
        <is>
          <t>spoof</t>
        </is>
      </c>
      <c r="AF40" t="inlineStr"/>
      <c r="AG40" t="inlineStr">
        <is>
          <t>Tools/docs/unit_refs.json: ew_tower.spoof; Tools/models/reference_real.json: units.ew_tower.spoof</t>
        </is>
      </c>
      <c r="AH40" t="inlineStr"/>
    </row>
    <row r="41">
      <c r="A41" t="inlineStr">
        <is>
          <t>fire_control_centre</t>
        </is>
      </c>
      <c r="B41" t="inlineStr">
        <is>
          <t>fire_control_centre</t>
        </is>
      </c>
      <c r="C41" t="inlineStr">
        <is>
          <t>Trung tâm điều khiển hỏa lực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>
        <is>
          <t>R_fire_control_centre</t>
        </is>
      </c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41" t="inlineStr">
        <is>
          <t>Mo_dun_tien_ich</t>
        </is>
      </c>
      <c r="AE41" t="inlineStr"/>
      <c r="AF41" t="inlineStr"/>
      <c r="AG41" t="inlineStr">
        <is>
          <t>Tools/docs/unit_refs.json: fire_control_centre; Tools/models/reference_real.json: units.fire_control_centre</t>
        </is>
      </c>
      <c r="AH41" t="inlineStr"/>
    </row>
    <row r="42">
      <c r="A42" t="inlineStr">
        <is>
          <t>flare_searchlight_tower</t>
        </is>
      </c>
      <c r="B42" t="inlineStr">
        <is>
          <t>flare_searchlight_tower</t>
        </is>
      </c>
      <c r="C42" t="inlineStr">
        <is>
          <t>Tháp pháo sáng (ô nhỏ)</t>
        </is>
      </c>
      <c r="D42" t="inlineStr">
        <is>
          <t>NEED_SOURCE</t>
        </is>
      </c>
      <c r="E42" t="inlineStr"/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>
        <is>
          <t>R_flare_searchlight_tower</t>
        </is>
      </c>
      <c r="Q42" t="inlineStr">
        <is>
          <t>repo không có tham chiếu cho thực thể này (unit_refs.json, reference_real.json, bảng cân bằng)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Z42" t="inlineStr"/>
      <c r="AA42" t="inlineStr"/>
      <c r="AB42" t="inlineStr"/>
      <c r="AC42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42" t="inlineStr">
        <is>
          <t>Thap</t>
        </is>
      </c>
      <c r="AE42" t="inlineStr"/>
      <c r="AF42" t="inlineStr"/>
      <c r="AG42" t="inlineStr">
        <is>
          <t>Tools/docs/unit_refs.json: flare_searchlight_tower; Tools/models/reference_real.json: units.flare_searchlight_tower</t>
        </is>
      </c>
      <c r="AH42" t="inlineStr"/>
    </row>
    <row r="43">
      <c r="A43" t="inlineStr">
        <is>
          <t>flare_tower</t>
        </is>
      </c>
      <c r="B43" t="inlineStr">
        <is>
          <t>flare_tower</t>
        </is>
      </c>
      <c r="C43" t="inlineStr">
        <is>
          <t>Tháp pháo sáng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>
        <is>
          <t>R_flare_tower</t>
        </is>
      </c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Z43" t="inlineStr"/>
      <c r="AA43" t="inlineStr"/>
      <c r="AB43" t="inlineStr"/>
      <c r="AC43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43" t="inlineStr">
        <is>
          <t>Thap</t>
        </is>
      </c>
      <c r="AE43" t="inlineStr"/>
      <c r="AF43" t="inlineStr"/>
      <c r="AG43" t="inlineStr">
        <is>
          <t>Tools/docs/unit_refs.json: flare_tower; Tools/models/reference_real.json: units.flare_tower</t>
        </is>
      </c>
      <c r="AH43" t="inlineStr"/>
    </row>
    <row r="44">
      <c r="A44" t="inlineStr">
        <is>
          <t>guard_tower</t>
        </is>
      </c>
      <c r="B44" t="inlineStr">
        <is>
          <t>guard_tower</t>
        </is>
      </c>
      <c r="C44" t="inlineStr">
        <is>
          <t>Tháp canh</t>
        </is>
      </c>
      <c r="D44" t="inlineStr">
        <is>
          <t>doi_that</t>
        </is>
      </c>
      <c r="E44" t="inlineStr">
        <is>
          <t>M2 Browning 12,7 mm;Mk 19 40 mm</t>
        </is>
      </c>
      <c r="F44" t="inlineStr">
        <is>
          <t>NEED_SOURCE</t>
        </is>
      </c>
      <c r="G44" t="inlineStr">
        <is>
          <t>NEED_SOURCE</t>
        </is>
      </c>
      <c r="H44" t="inlineStr">
        <is>
          <t>Kingdom Rush;Bloons TD 6</t>
        </is>
      </c>
      <c r="I44" t="inlineStr">
        <is>
          <t>chọn mục tiêu (chế độ bắn của tháp);chế độ chọn mục tiêu</t>
        </is>
      </c>
      <c r="J44" t="inlineStr"/>
      <c r="K44" t="inlineStr">
        <is>
          <t>Tháp canh thép 11 m trên lô cốt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R_unit_refs;R_machine_brigade_can_bang;R_machine_brigade_ai_research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Tháp canh thép 11 m trên lô cốt</t>
        </is>
      </c>
      <c r="Z44" t="inlineStr">
        <is>
          <t>M2 Browning 12,7 mm, Mk 19 40 mm — Tháp canh thép 11 m trên lô cốt</t>
        </is>
      </c>
      <c r="AA44" t="inlineStr"/>
      <c r="AB44" t="inlineStr"/>
      <c r="AC44" t="inlineStr"/>
      <c r="AD44" t="inlineStr">
        <is>
          <t>Thap</t>
        </is>
      </c>
      <c r="AE44" t="inlineStr"/>
      <c r="AF44" t="inlineStr"/>
      <c r="AG44" t="inlineStr">
        <is>
          <t>Tools/docs/unit_refs.json: guard_tower; Tools/models/reference_real.json: units.guard_tower</t>
        </is>
      </c>
      <c r="AH44" t="inlineStr"/>
    </row>
    <row r="45">
      <c r="A45" t="inlineStr">
        <is>
          <t>guard_tower.nest</t>
        </is>
      </c>
      <c r="B45" t="inlineStr">
        <is>
          <t>guard_tower.nest</t>
        </is>
      </c>
      <c r="C45" t="inlineStr">
        <is>
          <t>guard_tower.nest</t>
        </is>
      </c>
      <c r="D45" t="inlineStr">
        <is>
          <t>doi_that</t>
        </is>
      </c>
      <c r="E45" t="inlineStr">
        <is>
          <t>M242 Bushmaster 25 mm</t>
        </is>
      </c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>
        <is>
          <t>Tháp canh nhánh ổ pháo 25 mm</t>
        </is>
      </c>
      <c r="L45" t="inlineStr"/>
      <c r="M45" t="inlineStr"/>
      <c r="N45" t="inlineStr"/>
      <c r="O45" t="inlineStr">
        <is>
          <t>ban_dau_doan</t>
        </is>
      </c>
      <c r="P45" t="inlineStr">
        <is>
          <t>R_unit_refs;R_machine_brigade_can_bang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Y45" t="inlineStr">
        <is>
          <t>Tháp canh nhánh ổ pháo 25 mm</t>
        </is>
      </c>
      <c r="Z45" t="inlineStr">
        <is>
          <t>M242 Bushmaster 25 mm — Tháp canh nhánh ổ pháo 25 mm</t>
        </is>
      </c>
      <c r="AA45" t="inlineStr"/>
      <c r="AB45" t="inlineStr"/>
      <c r="AC45" t="inlineStr"/>
      <c r="AD45" t="inlineStr">
        <is>
          <t>Thap</t>
        </is>
      </c>
      <c r="AE45" t="inlineStr">
        <is>
          <t>nest</t>
        </is>
      </c>
      <c r="AF45" t="inlineStr"/>
      <c r="AG45" t="inlineStr">
        <is>
          <t>Tools/docs/unit_refs.json: guard_tower.nest; Tools/models/reference_real.json: units.guard_tower.nest</t>
        </is>
      </c>
      <c r="AH45" t="inlineStr"/>
    </row>
    <row r="46">
      <c r="A46" t="inlineStr">
        <is>
          <t>guard_tower.watch</t>
        </is>
      </c>
      <c r="B46" t="inlineStr">
        <is>
          <t>guard_tower.watch</t>
        </is>
      </c>
      <c r="C46" t="inlineStr">
        <is>
          <t>guard_tower.watch</t>
        </is>
      </c>
      <c r="D46" t="inlineStr">
        <is>
          <t>doi_that</t>
        </is>
      </c>
      <c r="E46" t="inlineStr">
        <is>
          <t>tháp quan sát biên giới có khí tài quang học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nhánh quan sát của tháp canh</t>
        </is>
      </c>
      <c r="L46" t="inlineStr"/>
      <c r="M46" t="inlineStr"/>
      <c r="N46" t="inlineStr"/>
      <c r="O46" t="inlineStr">
        <is>
          <t>uoc_dinh</t>
        </is>
      </c>
      <c r="P46" t="inlineStr">
        <is>
          <t>R_unit_refs;R_machine_brigade_can_bang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Y46" t="inlineStr">
        <is>
          <t>ước đoán: nhánh quan sát của tháp canh</t>
        </is>
      </c>
      <c r="Z46" t="inlineStr">
        <is>
          <t>tháp quan sát biên giới có khí tài quang học — ước đoán: nhánh quan sát của tháp canh</t>
        </is>
      </c>
      <c r="AA46" t="inlineStr"/>
      <c r="AB46" t="inlineStr"/>
      <c r="AC46" t="inlineStr"/>
      <c r="AD46" t="inlineStr">
        <is>
          <t>Thap</t>
        </is>
      </c>
      <c r="AE46" t="inlineStr">
        <is>
          <t>watch</t>
        </is>
      </c>
      <c r="AF46" t="inlineStr"/>
      <c r="AG46" t="inlineStr">
        <is>
          <t>Tools/docs/unit_refs.json: guard_tower.watch; Tools/models/reference_real.json: units.guard_tower.watch</t>
        </is>
      </c>
      <c r="AH46" t="inlineStr"/>
    </row>
    <row r="47">
      <c r="A47" t="inlineStr">
        <is>
          <t>gun_turret</t>
        </is>
      </c>
      <c r="B47" t="inlineStr">
        <is>
          <t>gun_turret</t>
        </is>
      </c>
      <c r="C47" t="inlineStr">
        <is>
          <t>Tháp pháo</t>
        </is>
      </c>
      <c r="D47" t="inlineStr">
        <is>
          <t>doi_that</t>
        </is>
      </c>
      <c r="E47" t="inlineStr">
        <is>
          <t>Rh-120 L/44 120 mm;tháp xe tăng T-55 / T-72 chôn làm công sự</t>
        </is>
      </c>
      <c r="F47" t="inlineStr">
        <is>
          <t>NEED_SOURCE</t>
        </is>
      </c>
      <c r="G47" t="inlineStr">
        <is>
          <t>NEED_SOURCE</t>
        </is>
      </c>
      <c r="H47" t="inlineStr">
        <is>
          <t>Kingdom Rush</t>
        </is>
      </c>
      <c r="I47" t="inlineStr">
        <is>
          <t>chọn mục tiêu (chế độ bắn của tháp)</t>
        </is>
      </c>
      <c r="J47" t="inlineStr"/>
      <c r="K47" t="inlineStr">
        <is>
          <t>tháp pháo 120 mm trên công sự chôn</t>
        </is>
      </c>
      <c r="L47" t="inlineStr"/>
      <c r="M47" t="inlineStr"/>
      <c r="N47" t="inlineStr"/>
      <c r="O47" t="inlineStr">
        <is>
          <t>uoc_dinh</t>
        </is>
      </c>
      <c r="P47" t="inlineStr">
        <is>
          <t>R_unit_refs;R_machine_brigade_can_bang;R_gun_turret;R_machine_brigade_ai_research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ước đoán: tháp pháo 120 mm trên công sự chôn</t>
        </is>
      </c>
      <c r="Z47" t="inlineStr">
        <is>
          <t>Rh-120 L/44 120 mm, tháp xe tăng T-55 / T-72 chôn làm công sự — ước đoán: tháp pháo 120 mm trên công sự chôn</t>
        </is>
      </c>
      <c r="AA47" t="inlineStr"/>
      <c r="AB47" t="inlineStr"/>
      <c r="AC47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47" t="inlineStr">
        <is>
          <t>Thap</t>
        </is>
      </c>
      <c r="AE47" t="inlineStr"/>
      <c r="AF47" t="inlineStr"/>
      <c r="AG47" t="inlineStr">
        <is>
          <t>Tools/docs/unit_refs.json: gun_turret; Tools/models/reference_real.json: units.gun_turret</t>
        </is>
      </c>
      <c r="AH47" t="inlineStr"/>
    </row>
    <row r="48">
      <c r="A48" t="inlineStr">
        <is>
          <t>gun_turret.auto</t>
        </is>
      </c>
      <c r="B48" t="inlineStr">
        <is>
          <t>gun_turret.auto</t>
        </is>
      </c>
      <c r="C48" t="inlineStr">
        <is>
          <t>gun_turret.auto</t>
        </is>
      </c>
      <c r="D48" t="inlineStr">
        <is>
          <t>doi_that</t>
        </is>
      </c>
      <c r="E48" t="inlineStr">
        <is>
          <t>AU-220M 57 mm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Nhánh pháo tự động 57 mm hai nòng</t>
        </is>
      </c>
      <c r="L48" t="inlineStr"/>
      <c r="M48" t="inlineStr"/>
      <c r="N48" t="inlineStr"/>
      <c r="O48" t="inlineStr">
        <is>
          <t>ban_dau_doan</t>
        </is>
      </c>
      <c r="P48" t="inlineStr">
        <is>
          <t>R_unit_refs;R_machine_brigade_can_bang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Y48" t="inlineStr">
        <is>
          <t>Nhánh pháo tự động 57 mm hai nòng</t>
        </is>
      </c>
      <c r="Z48" t="inlineStr">
        <is>
          <t>AU-220M 57 mm — Nhánh pháo tự động 57 mm hai nòng</t>
        </is>
      </c>
      <c r="AA48" t="inlineStr"/>
      <c r="AB48" t="inlineStr"/>
      <c r="AC48" t="inlineStr"/>
      <c r="AD48" t="inlineStr">
        <is>
          <t>Thap</t>
        </is>
      </c>
      <c r="AE48" t="inlineStr">
        <is>
          <t>auto</t>
        </is>
      </c>
      <c r="AF48" t="inlineStr"/>
      <c r="AG48" t="inlineStr">
        <is>
          <t>Tools/docs/unit_refs.json: gun_turret.auto; Tools/models/reference_real.json: units.gun_turret.auto</t>
        </is>
      </c>
      <c r="AH48" t="inlineStr"/>
    </row>
    <row r="49">
      <c r="A49" t="inlineStr">
        <is>
          <t>gun_turret.long</t>
        </is>
      </c>
      <c r="B49" t="inlineStr">
        <is>
          <t>gun_turret.long</t>
        </is>
      </c>
      <c r="C49" t="inlineStr">
        <is>
          <t>gun_turret.long</t>
        </is>
      </c>
      <c r="D49" t="inlineStr">
        <is>
          <t>doi_that</t>
        </is>
      </c>
      <c r="E49" t="inlineStr">
        <is>
          <t>Rh-120 L/55 (Leopard 2A6)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Nhánh pháo bắn tỉa 120 mm nòng dài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Nhánh pháo bắn tỉa 120 mm nòng dài</t>
        </is>
      </c>
      <c r="Z49" t="inlineStr">
        <is>
          <t>Rh-120 L/55 (Leopard 2A6) — Nhánh pháo bắn tỉa 120 mm nòng dài</t>
        </is>
      </c>
      <c r="AA49" t="inlineStr">
        <is>
          <t>Rh-120 L/55: sơ tốc cao hơn L/44</t>
        </is>
      </c>
      <c r="AB49" t="inlineStr"/>
      <c r="AC49" t="inlineStr"/>
      <c r="AD49" t="inlineStr">
        <is>
          <t>Thap</t>
        </is>
      </c>
      <c r="AE49" t="inlineStr">
        <is>
          <t>long</t>
        </is>
      </c>
      <c r="AF49" t="inlineStr"/>
      <c r="AG49" t="inlineStr">
        <is>
          <t>Tools/docs/unit_refs.json: gun_turret.long; Tools/models/reference_real.json: units.gun_turret.long</t>
        </is>
      </c>
      <c r="AH49" t="inlineStr"/>
    </row>
    <row r="50">
      <c r="A50" t="inlineStr">
        <is>
          <t>headquarters</t>
        </is>
      </c>
      <c r="B50" t="inlineStr">
        <is>
          <t>headquarters</t>
        </is>
      </c>
      <c r="C50" t="inlineStr">
        <is>
          <t>Sở chỉ huy</t>
        </is>
      </c>
      <c r="D50" t="inlineStr">
        <is>
          <t>doi_that</t>
        </is>
      </c>
      <c r="E50" t="inlineStr">
        <is>
          <t>sở chỉ huy bê tông kiên cố;2A83 152 mm;2A38 30 mm</t>
        </is>
      </c>
      <c r="F50" t="inlineStr">
        <is>
          <t>NEED_SOURCE</t>
        </is>
      </c>
      <c r="G50" t="inlineStr">
        <is>
          <t>NEED_SOURCE</t>
        </is>
      </c>
      <c r="H50" t="inlineStr">
        <is>
          <t>Command &amp; Conquer</t>
        </is>
      </c>
      <c r="I50" t="inlineStr">
        <is>
          <t>hình dáng: Construction Yard</t>
        </is>
      </c>
      <c r="J50" t="inlineStr"/>
      <c r="K50" t="inlineStr">
        <is>
          <t>khối chỉ huy bê tông hai tầng có tháp pháo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R_unit_refs;R_machine_brigade_can_bang;R_headquarters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khối chỉ huy bê tông hai tầng có tháp pháo</t>
        </is>
      </c>
      <c r="Z50" t="inlineStr">
        <is>
          <t>sở chỉ huy bê tông kiên cố, 2A83 152 mm, 2A38 30 mm · Construction Yard (Command &amp; Conquer) — ước đoán: khối chỉ huy bê tông</t>
        </is>
      </c>
      <c r="AA50" t="inlineStr"/>
      <c r="AB50" t="inlineStr"/>
      <c r="AC50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50" t="inlineStr">
        <is>
          <t>Nha_chinh</t>
        </is>
      </c>
      <c r="AE50" t="inlineStr"/>
      <c r="AF50" t="inlineStr"/>
      <c r="AG50" t="inlineStr">
        <is>
          <t>Tools/docs/unit_refs.json: headquarters; Tools/models/reference_real.json: units.headquarters</t>
        </is>
      </c>
      <c r="AH50" t="inlineStr"/>
    </row>
    <row r="51">
      <c r="A51" t="inlineStr">
        <is>
          <t>headquarters.fortress_air</t>
        </is>
      </c>
      <c r="B51" t="inlineStr">
        <is>
          <t>headquarters.fortress_air</t>
        </is>
      </c>
      <c r="C51" t="inlineStr">
        <is>
          <t>Sở chỉ huy · Pháo đài phòng không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Z51" t="inlineStr"/>
      <c r="AA51" t="inlineStr"/>
      <c r="AB51" t="inlineStr"/>
      <c r="AC51" t="inlineStr"/>
      <c r="AD51" t="inlineStr">
        <is>
          <t>Nha_chinh</t>
        </is>
      </c>
      <c r="AE51" t="inlineStr">
        <is>
          <t>fortress_air</t>
        </is>
      </c>
      <c r="AF51" t="inlineStr"/>
      <c r="AG51" t="inlineStr">
        <is>
          <t>Tools/docs/unit_refs.json: headquarters.fortress_air; Tools/models/reference_real.json: units.headquarters.fortress_air</t>
        </is>
      </c>
      <c r="AH51" t="inlineStr"/>
    </row>
    <row r="52">
      <c r="A52" t="inlineStr">
        <is>
          <t>headquarters.fortress_ground</t>
        </is>
      </c>
      <c r="B52" t="inlineStr">
        <is>
          <t>headquarters.fortress_ground</t>
        </is>
      </c>
      <c r="C52" t="inlineStr">
        <is>
          <t>Sở chỉ huy · Pháo đài</t>
        </is>
      </c>
      <c r="D52" t="inlineStr">
        <is>
          <t>NEED_SOURCE</t>
        </is>
      </c>
      <c r="E52" t="inlineStr"/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có tham chiếu cho thực thể này (unit_refs.json, reference_real.json, bảng cân bằng)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Z52" t="inlineStr"/>
      <c r="AA52" t="inlineStr"/>
      <c r="AB52" t="inlineStr"/>
      <c r="AC52" t="inlineStr"/>
      <c r="AD52" t="inlineStr">
        <is>
          <t>Nha_chinh</t>
        </is>
      </c>
      <c r="AE52" t="inlineStr">
        <is>
          <t>fortress_ground</t>
        </is>
      </c>
      <c r="AF52" t="inlineStr"/>
      <c r="AG52" t="inlineStr">
        <is>
          <t>Tools/docs/unit_refs.json: headquarters.fortress_ground; Tools/models/reference_real.json: units.headquarters.fortress_ground</t>
        </is>
      </c>
      <c r="AH52" t="inlineStr"/>
    </row>
    <row r="53">
      <c r="A53" t="inlineStr">
        <is>
          <t>headquarters.shield</t>
        </is>
      </c>
      <c r="B53" t="inlineStr">
        <is>
          <t>headquarters.shield</t>
        </is>
      </c>
      <c r="C53" t="inlineStr">
        <is>
          <t>Sở chỉ huy · Lá chắn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Z53" t="inlineStr"/>
      <c r="AA53" t="inlineStr"/>
      <c r="AB53" t="inlineStr"/>
      <c r="AC53" t="inlineStr"/>
      <c r="AD53" t="inlineStr">
        <is>
          <t>Nha_chinh</t>
        </is>
      </c>
      <c r="AE53" t="inlineStr">
        <is>
          <t>shield</t>
        </is>
      </c>
      <c r="AF53" t="inlineStr"/>
      <c r="AG53" t="inlineStr">
        <is>
          <t>Tools/docs/unit_refs.json: headquarters.shield; Tools/models/reference_real.json: units.headquarters.shield</t>
        </is>
      </c>
      <c r="AH53" t="inlineStr"/>
    </row>
    <row r="54">
      <c r="A54" t="inlineStr">
        <is>
          <t>heavy_flak_tower</t>
        </is>
      </c>
      <c r="B54" t="inlineStr">
        <is>
          <t>heavy_flak_tower</t>
        </is>
      </c>
      <c r="C54" t="inlineStr">
        <is>
          <t>Tháp cao xạ hạng nặng</t>
        </is>
      </c>
      <c r="D54" t="inlineStr">
        <is>
          <t>doi_that</t>
        </is>
      </c>
      <c r="E54" t="inlineStr">
        <is>
          <t>KS-19 100 mm (1947)</t>
        </is>
      </c>
      <c r="F54" t="inlineStr">
        <is>
          <t>NEED_SOURCE</t>
        </is>
      </c>
      <c r="G54" t="inlineStr">
        <is>
          <t>NEED_SOURCE</t>
        </is>
      </c>
      <c r="H54" t="inlineStr">
        <is>
          <t>Red Alert 2</t>
        </is>
      </c>
      <c r="I54" t="inlineStr">
        <is>
          <t>hình dáng: Flak Cannon</t>
        </is>
      </c>
      <c r="J54" t="inlineStr"/>
      <c r="K54" t="inlineStr">
        <is>
          <t>Tháp cao xạ hạng nặng 100 mm, nổ chậm, nổ to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R_unit_refs;R_heavy_flak_tower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Tháp cao xạ hạng nặng 100 mm, nổ chậm, nổ to</t>
        </is>
      </c>
      <c r="Z54" t="inlineStr"/>
      <c r="AA54" t="inlineStr"/>
      <c r="AB54" t="inlineStr"/>
      <c r="AC54" t="inlineStr">
        <is>
          <t>Tools/blender/specs/heavy_flak_tower.json: real = KS-19 100 mm heavy anti-aircraft gun (1947) on a fixed pedestal; an optical rangefinder on a tripod; confidence = xấp xỉ (KS-19 layout: shield, fuse setter, loading tray, multi-baffle brake; the site is a field-built log pit)</t>
        </is>
      </c>
      <c r="AD54" t="inlineStr">
        <is>
          <t>Thap</t>
        </is>
      </c>
      <c r="AE54" t="inlineStr"/>
      <c r="AF54" t="inlineStr"/>
      <c r="AG54" t="inlineStr">
        <is>
          <t>Tools/docs/unit_refs.json: heavy_flak_tower; Tools/models/reference_real.json: units.heavy_flak_tower</t>
        </is>
      </c>
      <c r="AH54" t="inlineStr"/>
    </row>
    <row r="55">
      <c r="A55" t="inlineStr">
        <is>
          <t>heavy_flak_tower.bofors</t>
        </is>
      </c>
      <c r="B55" t="inlineStr">
        <is>
          <t>heavy_flak_tower.bofors</t>
        </is>
      </c>
      <c r="C55" t="inlineStr">
        <is>
          <t>heavy_flak_tower.bofors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/>
      <c r="AD55" t="inlineStr">
        <is>
          <t>Thap</t>
        </is>
      </c>
      <c r="AE55" t="inlineStr">
        <is>
          <t>bofors</t>
        </is>
      </c>
      <c r="AF55" t="inlineStr"/>
      <c r="AG55" t="inlineStr">
        <is>
          <t>Tools/docs/unit_refs.json: heavy_flak_tower.bofors; Tools/models/reference_real.json: units.heavy_flak_tower.bofors</t>
        </is>
      </c>
      <c r="AH55" t="inlineStr"/>
    </row>
    <row r="56">
      <c r="A56" t="inlineStr">
        <is>
          <t>heavy_flak_tower.heavy</t>
        </is>
      </c>
      <c r="B56" t="inlineStr">
        <is>
          <t>heavy_flak_tower.heavy</t>
        </is>
      </c>
      <c r="C56" t="inlineStr">
        <is>
          <t>heavy_flak_tower.heavy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/>
      <c r="AD56" t="inlineStr">
        <is>
          <t>Thap</t>
        </is>
      </c>
      <c r="AE56" t="inlineStr">
        <is>
          <t>heavy</t>
        </is>
      </c>
      <c r="AF56" t="inlineStr"/>
      <c r="AG56" t="inlineStr">
        <is>
          <t>Tools/docs/unit_refs.json: heavy_flak_tower.heavy; Tools/models/reference_real.json: units.heavy_flak_tower.heavy</t>
        </is>
      </c>
      <c r="AH56" t="inlineStr"/>
    </row>
    <row r="57">
      <c r="A57" t="inlineStr">
        <is>
          <t>heavy_turret</t>
        </is>
      </c>
      <c r="B57" t="inlineStr">
        <is>
          <t>heavy_turret</t>
        </is>
      </c>
      <c r="C57" t="inlineStr">
        <is>
          <t>Tháp pháo hạng nặng</t>
        </is>
      </c>
      <c r="D57" t="inlineStr">
        <is>
          <t>doi_that</t>
        </is>
      </c>
      <c r="E57" t="inlineStr">
        <is>
          <t>AK-130 130 mm (tháp pháo hạm đặt trên bờ);A-222 Bereg;M284 155 mm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Tháp pháo bờ biển hai nòng 155 mm</t>
        </is>
      </c>
      <c r="L57" t="inlineStr"/>
      <c r="M57" t="inlineStr"/>
      <c r="N57" t="inlineStr"/>
      <c r="O57" t="inlineStr">
        <is>
          <t>ban_dau_doan</t>
        </is>
      </c>
      <c r="P57" t="inlineStr">
        <is>
          <t>R_unit_refs;R_machine_brigade_can_bang;R_heavy_turret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Tháp pháo bờ biển hai nòng 155 mm</t>
        </is>
      </c>
      <c r="Z57" t="inlineStr">
        <is>
          <t>AK-130 130 mm (tháp pháo hạm đặt trên bờ), A-222 Bereg, M284 155 mm — Tháp pháo bờ biển hai nòng 155 mm</t>
        </is>
      </c>
      <c r="AA57" t="inlineStr">
        <is>
          <t>Pháo bờ biển 155 mm</t>
        </is>
      </c>
      <c r="AB57" t="inlineStr"/>
      <c r="AC57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57" t="inlineStr">
        <is>
          <t>Thap</t>
        </is>
      </c>
      <c r="AE57" t="inlineStr"/>
      <c r="AF57" t="inlineStr"/>
      <c r="AG57" t="inlineStr">
        <is>
          <t>Tools/docs/unit_refs.json: heavy_turret; Tools/models/reference_real.json: units.heavy_turret</t>
        </is>
      </c>
      <c r="AH57" t="inlineStr"/>
    </row>
    <row r="58">
      <c r="A58" t="inlineStr">
        <is>
          <t>heavy_turret.bastion</t>
        </is>
      </c>
      <c r="B58" t="inlineStr">
        <is>
          <t>heavy_turret.bastion</t>
        </is>
      </c>
      <c r="C58" t="inlineStr">
        <is>
          <t>heavy_turret.bastion</t>
        </is>
      </c>
      <c r="D58" t="inlineStr">
        <is>
          <t>doi_that</t>
        </is>
      </c>
      <c r="E58" t="inlineStr">
        <is>
          <t>pháo đài tuyến Maginot (tháp pháo ở góc)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nhánh pháo đài thép hai tháp nhỏ ở góc</t>
        </is>
      </c>
      <c r="L58" t="inlineStr"/>
      <c r="M58" t="inlineStr"/>
      <c r="N58" t="inlineStr"/>
      <c r="O58" t="inlineStr">
        <is>
          <t>uoc_dinh</t>
        </is>
      </c>
      <c r="P58" t="inlineStr">
        <is>
          <t>R_unit_refs;R_machine_brigade_can_bang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ước đoán: nhánh pháo đài thép hai tháp nhỏ ở góc</t>
        </is>
      </c>
      <c r="Z58" t="inlineStr">
        <is>
          <t>pháo đài tuyến Maginot (tháp pháo ở góc) — ước đoán: nhánh pháo đài thép hai tháp nhỏ ở góc</t>
        </is>
      </c>
      <c r="AA58" t="inlineStr"/>
      <c r="AB58" t="inlineStr"/>
      <c r="AC58" t="inlineStr"/>
      <c r="AD58" t="inlineStr">
        <is>
          <t>Thap</t>
        </is>
      </c>
      <c r="AE58" t="inlineStr">
        <is>
          <t>bastion</t>
        </is>
      </c>
      <c r="AF58" t="inlineStr"/>
      <c r="AG58" t="inlineStr">
        <is>
          <t>Tools/docs/unit_refs.json: heavy_turret.bastion; Tools/models/reference_real.json: units.heavy_turret.bastion</t>
        </is>
      </c>
      <c r="AH58" t="inlineStr"/>
    </row>
    <row r="59">
      <c r="A59" t="inlineStr">
        <is>
          <t>heavy_turret.coastal</t>
        </is>
      </c>
      <c r="B59" t="inlineStr">
        <is>
          <t>heavy_turret.coastal</t>
        </is>
      </c>
      <c r="C59" t="inlineStr">
        <is>
          <t>heavy_turret.coastal</t>
        </is>
      </c>
      <c r="D59" t="inlineStr">
        <is>
          <t>doi_that</t>
        </is>
      </c>
      <c r="E59" t="inlineStr">
        <is>
          <t>A-222 Bereg (240 mm);AK-130 130 mm (tháp pháo hạm đặt trên bờ);K-300P Bastion-P;M284 155 mm (tầm xa)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pháo bờ biển tầm xa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pháo bờ biển tầm xa</t>
        </is>
      </c>
      <c r="Z59" t="inlineStr">
        <is>
          <t>A-222 Bereg (240 mm), AK-130 130 mm (tháp pháo hạm đặt trên bờ), K-300P Bastion-P, M284 155 mm (tầm xa) — Nhánh pháo bờ biển tầm xa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coastal</t>
        </is>
      </c>
      <c r="AF59" t="inlineStr"/>
      <c r="AG59" t="inlineStr">
        <is>
          <t>Tools/docs/unit_refs.json: heavy_turret.coastal; Tools/models/reference_real.json: units.heavy_turret.coastal</t>
        </is>
      </c>
      <c r="AH59" t="inlineStr"/>
    </row>
    <row r="60">
      <c r="A60" t="inlineStr">
        <is>
          <t>inflatable_decoy</t>
        </is>
      </c>
      <c r="B60" t="inlineStr">
        <is>
          <t>inflatable_decoy</t>
        </is>
      </c>
      <c r="C60" t="inlineStr">
        <is>
          <t>Mồi nhử bơm hơi</t>
        </is>
      </c>
      <c r="D60" t="inlineStr">
        <is>
          <t>NEED_SOURCE</t>
        </is>
      </c>
      <c r="E60" t="inlineStr"/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>
        <is>
          <t>R_inflatable_decoy</t>
        </is>
      </c>
      <c r="Q60" t="inlineStr">
        <is>
          <t>repo không có tham chiếu cho thực thể này (unit_refs.json, reference_real.json, bảng cân bằng)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Z60" t="inlineStr"/>
      <c r="AA60" t="inlineStr"/>
      <c r="AB60" t="inlineStr"/>
      <c r="AC60" t="inlineStr">
        <is>
          <t>Tools/blender/specs/inflatable_decoy.json: real = inflatable military decoys (gun and turret dummies as used in the war in Ukraine), here a replica of the wave 2 gun_turret (def decoy.mimic gun_turret); confidence = xấp xỉ (the gun_turret builder dimensions; published inflatable decoys)</t>
        </is>
      </c>
      <c r="AD60" t="inlineStr">
        <is>
          <t>Thap</t>
        </is>
      </c>
      <c r="AE60" t="inlineStr"/>
      <c r="AF60" t="inlineStr"/>
      <c r="AG60" t="inlineStr">
        <is>
          <t>Tools/docs/unit_refs.json: inflatable_decoy; Tools/models/reference_real.json: units.inflatable_decoy</t>
        </is>
      </c>
      <c r="AH60" t="inlineStr"/>
    </row>
    <row r="61">
      <c r="A61" t="inlineStr">
        <is>
          <t>inflatable_decoy.balloon</t>
        </is>
      </c>
      <c r="B61" t="inlineStr">
        <is>
          <t>inflatable_decoy.balloon</t>
        </is>
      </c>
      <c r="C61" t="inlineStr">
        <is>
          <t>inflatable_decoy.balloon</t>
        </is>
      </c>
      <c r="D61" t="inlineStr">
        <is>
          <t>NEED_SOURCE</t>
        </is>
      </c>
      <c r="E61" t="inlineStr"/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có tham chiếu cho thực thể này (unit_refs.json, reference_real.json, bảng cân bằng)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Z61" t="inlineStr"/>
      <c r="AA61" t="inlineStr"/>
      <c r="AB61" t="inlineStr"/>
      <c r="AC61" t="inlineStr"/>
      <c r="AD61" t="inlineStr">
        <is>
          <t>Thap</t>
        </is>
      </c>
      <c r="AE61" t="inlineStr">
        <is>
          <t>balloon</t>
        </is>
      </c>
      <c r="AF61" t="inlineStr"/>
      <c r="AG61" t="inlineStr">
        <is>
          <t>Tools/docs/unit_refs.json: inflatable_decoy.balloon; Tools/models/reference_real.json: units.inflatable_decoy.balloon</t>
        </is>
      </c>
      <c r="AH61" t="inlineStr"/>
    </row>
    <row r="62">
      <c r="A62" t="inlineStr">
        <is>
          <t>inflatable_decoy.inflatable</t>
        </is>
      </c>
      <c r="B62" t="inlineStr">
        <is>
          <t>inflatable_decoy.inflatable</t>
        </is>
      </c>
      <c r="C62" t="inlineStr">
        <is>
          <t>inflatable_decoy.inflatable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Thap</t>
        </is>
      </c>
      <c r="AE62" t="inlineStr">
        <is>
          <t>inflatable</t>
        </is>
      </c>
      <c r="AF62" t="inlineStr"/>
      <c r="AG62" t="inlineStr">
        <is>
          <t>Tools/docs/unit_refs.json: inflatable_decoy.inflatable; Tools/models/reference_real.json: units.inflatable_decoy.inflatable</t>
        </is>
      </c>
      <c r="AH62" t="inlineStr"/>
    </row>
    <row r="63">
      <c r="A63" t="inlineStr">
        <is>
          <t>laser_ad_station</t>
        </is>
      </c>
      <c r="B63" t="inlineStr">
        <is>
          <t>laser_ad_station</t>
        </is>
      </c>
      <c r="C63" t="inlineStr">
        <is>
          <t>Trạm phòng không laser chống drone</t>
        </is>
      </c>
      <c r="D63" t="inlineStr">
        <is>
          <t>NEED_SOURCE</t>
        </is>
      </c>
      <c r="E63" t="inlineStr"/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>
        <is>
          <t>R_laser_ad_station</t>
        </is>
      </c>
      <c r="Q63" t="inlineStr">
        <is>
          <t>repo không có tham chiếu cho thực thể này (unit_refs.json, reference_real.json, bảng cân bằng)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Z63" t="inlineStr"/>
      <c r="AA63" t="inlineStr"/>
      <c r="AB63" t="inlineStr"/>
      <c r="AC63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63" t="inlineStr">
        <is>
          <t>Thap</t>
        </is>
      </c>
      <c r="AE63" t="inlineStr"/>
      <c r="AF63" t="inlineStr"/>
      <c r="AG63" t="inlineStr">
        <is>
          <t>Tools/docs/unit_refs.json: laser_ad_station; Tools/models/reference_real.json: units.laser_ad_station</t>
        </is>
      </c>
      <c r="AH63" t="inlineStr"/>
    </row>
    <row r="64">
      <c r="A64" t="inlineStr">
        <is>
          <t>laser_ad_station.laser</t>
        </is>
      </c>
      <c r="B64" t="inlineStr">
        <is>
          <t>laser_ad_station.laser</t>
        </is>
      </c>
      <c r="C64" t="inlineStr">
        <is>
          <t>laser_ad_station.laser</t>
        </is>
      </c>
      <c r="D64" t="inlineStr">
        <is>
          <t>NEED_SOURCE</t>
        </is>
      </c>
      <c r="E64" t="inlineStr"/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có tham chiếu cho thực thể này (unit_refs.json, reference_real.json, bảng cân bằng)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Z64" t="inlineStr"/>
      <c r="AA64" t="inlineStr"/>
      <c r="AB64" t="inlineStr"/>
      <c r="AC64" t="inlineStr"/>
      <c r="AD64" t="inlineStr">
        <is>
          <t>Thap</t>
        </is>
      </c>
      <c r="AE64" t="inlineStr">
        <is>
          <t>laser</t>
        </is>
      </c>
      <c r="AF64" t="inlineStr"/>
      <c r="AG64" t="inlineStr">
        <is>
          <t>Tools/docs/unit_refs.json: laser_ad_station.laser; Tools/models/reference_real.json: units.laser_ad_station.laser</t>
        </is>
      </c>
      <c r="AH64" t="inlineStr"/>
    </row>
    <row r="65">
      <c r="A65" t="inlineStr">
        <is>
          <t>laser_ad_station.net</t>
        </is>
      </c>
      <c r="B65" t="inlineStr">
        <is>
          <t>laser_ad_station.net</t>
        </is>
      </c>
      <c r="C65" t="inlineStr">
        <is>
          <t>laser_ad_station.net</t>
        </is>
      </c>
      <c r="D65" t="inlineStr">
        <is>
          <t>NEED_SOURCE</t>
        </is>
      </c>
      <c r="E65" t="inlineStr"/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có tham chiếu cho thực thể này (unit_refs.json, reference_real.json, bảng cân bằng)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Z65" t="inlineStr"/>
      <c r="AA65" t="inlineStr"/>
      <c r="AB65" t="inlineStr"/>
      <c r="AC65" t="inlineStr"/>
      <c r="AD65" t="inlineStr">
        <is>
          <t>Thap</t>
        </is>
      </c>
      <c r="AE65" t="inlineStr">
        <is>
          <t>net</t>
        </is>
      </c>
      <c r="AF65" t="inlineStr"/>
      <c r="AG65" t="inlineStr">
        <is>
          <t>Tools/docs/unit_refs.json: laser_ad_station.net; Tools/models/reference_real.json: units.laser_ad_station.net</t>
        </is>
      </c>
      <c r="AH65" t="inlineStr"/>
    </row>
    <row r="66">
      <c r="A66" t="inlineStr">
        <is>
          <t>logistics_station</t>
        </is>
      </c>
      <c r="B66" t="inlineStr">
        <is>
          <t>logistics_station</t>
        </is>
      </c>
      <c r="C66" t="inlineStr">
        <is>
          <t>Trạm hậu cần</t>
        </is>
      </c>
      <c r="D66" t="inlineStr">
        <is>
          <t>doi_that</t>
        </is>
      </c>
      <c r="E66" t="inlineStr">
        <is>
          <t>kho nhiên liệu dã chiến (bồn nằm trong đê đất)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hậu cần, thêm tiếp tế cho quân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R_unit_refs;R_machine_brigade_can_bang;R_logistics_station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hậu cần, thêm tiếp tế cho quân</t>
        </is>
      </c>
      <c r="Z66" t="inlineStr">
        <is>
          <t>kho nhiên liệu dã chiến (bồn nằm trong đê đất) — Trạm hậu cần, thêm tiếp tế cho quân</t>
        </is>
      </c>
      <c r="AA66" t="inlineStr"/>
      <c r="AB66" t="inlineStr"/>
      <c r="AC66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66" t="inlineStr">
        <is>
          <t>Mo_dun_tien_ich</t>
        </is>
      </c>
      <c r="AE66" t="inlineStr"/>
      <c r="AF66" t="inlineStr"/>
      <c r="AG66" t="inlineStr">
        <is>
          <t>Tools/docs/unit_refs.json: logistics_station; Tools/models/reference_real.json: units.logistics_station</t>
        </is>
      </c>
      <c r="AH66" t="inlineStr"/>
    </row>
    <row r="67">
      <c r="A67" t="inlineStr">
        <is>
          <t>manpads_tower</t>
        </is>
      </c>
      <c r="B67" t="inlineStr">
        <is>
          <t>manpads_tower</t>
        </is>
      </c>
      <c r="C67" t="inlineStr">
        <is>
          <t>Tổ tên lửa vác vai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>
        <is>
          <t>R_manpads_tower</t>
        </is>
      </c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67" t="inlineStr">
        <is>
          <t>Thap</t>
        </is>
      </c>
      <c r="AE67" t="inlineStr"/>
      <c r="AF67" t="inlineStr"/>
      <c r="AG67" t="inlineStr">
        <is>
          <t>Tools/docs/unit_refs.json: manpads_tower; Tools/models/reference_real.json: units.manpads_tower</t>
        </is>
      </c>
      <c r="AH67" t="inlineStr"/>
    </row>
    <row r="68">
      <c r="A68" t="inlineStr">
        <is>
          <t>mg_bunker</t>
        </is>
      </c>
      <c r="B68" t="inlineStr">
        <is>
          <t>mg_bunker</t>
        </is>
      </c>
      <c r="C68" t="inlineStr">
        <is>
          <t>Lô cốt súng máy</t>
        </is>
      </c>
      <c r="D68" t="inlineStr">
        <is>
          <t>doi_that</t>
        </is>
      </c>
      <c r="E68" t="inlineStr">
        <is>
          <t>NSV 12,7 mm;9M113 Konkurs;lô cốt hình nấm</t>
        </is>
      </c>
      <c r="F68" t="inlineStr">
        <is>
          <t>NEED_SOURCE</t>
        </is>
      </c>
      <c r="G68" t="inlineStr">
        <is>
          <t>NEED_SOURCE</t>
        </is>
      </c>
      <c r="H68" t="inlineStr">
        <is>
          <t>Company of Heroes</t>
        </is>
      </c>
      <c r="I68" t="inlineStr">
        <is>
          <t>chọn mục tiêu (chế độ bắn của tháp)</t>
        </is>
      </c>
      <c r="J68" t="inlineStr"/>
      <c r="K68" t="inlineStr">
        <is>
          <t>Lô cốt tròn có khe bắn quanh thân</t>
        </is>
      </c>
      <c r="L68" t="inlineStr"/>
      <c r="M68" t="inlineStr"/>
      <c r="N68" t="inlineStr"/>
      <c r="O68" t="inlineStr">
        <is>
          <t>ban_dau_doan</t>
        </is>
      </c>
      <c r="P68" t="inlineStr">
        <is>
          <t>R_unit_refs;R_machine_brigade_can_bang;R_mg_bunker;R_machine_brigade_ai_research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Y68" t="inlineStr">
        <is>
          <t>Lô cốt tròn có khe bắn quanh thân</t>
        </is>
      </c>
      <c r="Z68" t="inlineStr">
        <is>
          <t>NSV 12,7 mm, 9M113 Konkurs, lô cốt hình nấm — Lô cốt tròn có khe bắn quanh thân</t>
        </is>
      </c>
      <c r="AA68" t="inlineStr"/>
      <c r="AB68" t="inlineStr"/>
      <c r="AC68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68" t="inlineStr">
        <is>
          <t>Thap</t>
        </is>
      </c>
      <c r="AE68" t="inlineStr"/>
      <c r="AF68" t="inlineStr"/>
      <c r="AG68" t="inlineStr">
        <is>
          <t>Tools/docs/unit_refs.json: mg_bunker; Tools/models/reference_real.json: units.mg_bunker</t>
        </is>
      </c>
      <c r="AH68" t="inlineStr"/>
    </row>
    <row r="69">
      <c r="A69" t="inlineStr">
        <is>
          <t>mg_bunker.flame</t>
        </is>
      </c>
      <c r="B69" t="inlineStr">
        <is>
          <t>mg_bunker.flame</t>
        </is>
      </c>
      <c r="C69" t="inlineStr">
        <is>
          <t>mg_bunker.flame</t>
        </is>
      </c>
      <c r="D69" t="inlineStr">
        <is>
          <t>doi_that</t>
        </is>
      </c>
      <c r="E69" t="inlineStr">
        <is>
          <t>Abwehrflammenwerfer 42;lô cốt súng phun lửa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nhánh lô cốt phun lửa</t>
        </is>
      </c>
      <c r="L69" t="inlineStr"/>
      <c r="M69" t="inlineStr"/>
      <c r="N69" t="inlineStr"/>
      <c r="O69" t="inlineStr">
        <is>
          <t>uoc_dinh</t>
        </is>
      </c>
      <c r="P69" t="inlineStr">
        <is>
          <t>R_unit_refs;R_machine_brigade_can_bang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Y69" t="inlineStr">
        <is>
          <t>ước đoán: nhánh lô cốt phun lửa</t>
        </is>
      </c>
      <c r="Z69" t="inlineStr">
        <is>
          <t>Abwehrflammenwerfer 42, lô cốt súng phun lửa — ước đoán: nhánh lô cốt phun lửa</t>
        </is>
      </c>
      <c r="AA69" t="inlineStr"/>
      <c r="AB69" t="inlineStr"/>
      <c r="AC69" t="inlineStr"/>
      <c r="AD69" t="inlineStr">
        <is>
          <t>Thap</t>
        </is>
      </c>
      <c r="AE69" t="inlineStr">
        <is>
          <t>flame</t>
        </is>
      </c>
      <c r="AF69" t="inlineStr"/>
      <c r="AG69" t="inlineStr">
        <is>
          <t>Tools/docs/unit_refs.json: mg_bunker.flame; Tools/models/reference_real.json: units.mg_bunker.flame</t>
        </is>
      </c>
      <c r="AH69" t="inlineStr"/>
    </row>
    <row r="70">
      <c r="A70" t="inlineStr">
        <is>
          <t>mg_bunker.twin</t>
        </is>
      </c>
      <c r="B70" t="inlineStr">
        <is>
          <t>mg_bunker.twin</t>
        </is>
      </c>
      <c r="C70" t="inlineStr">
        <is>
          <t>mg_bunker.twin</t>
        </is>
      </c>
      <c r="D70" t="inlineStr">
        <is>
          <t>doi_that</t>
        </is>
      </c>
      <c r="E70" t="inlineStr">
        <is>
          <t>NSV 12,7 mm (bệ đôi);lô cốt hình nấm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Lô cốt nhánh súng máy đôi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R_unit_refs;R_machine_brigade_can_bang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Y70" t="inlineStr">
        <is>
          <t>Lô cốt nhánh súng máy đôi</t>
        </is>
      </c>
      <c r="Z70" t="inlineStr">
        <is>
          <t>NSV 12,7 mm (bệ đôi), lô cốt hình nấm — Lô cốt nhánh súng máy đôi</t>
        </is>
      </c>
      <c r="AA70" t="inlineStr"/>
      <c r="AB70" t="inlineStr"/>
      <c r="AC70" t="inlineStr"/>
      <c r="AD70" t="inlineStr">
        <is>
          <t>Thap</t>
        </is>
      </c>
      <c r="AE70" t="inlineStr">
        <is>
          <t>twin</t>
        </is>
      </c>
      <c r="AF70" t="inlineStr"/>
      <c r="AG70" t="inlineStr">
        <is>
          <t>Tools/docs/unit_refs.json: mg_bunker.twin; Tools/models/reference_real.json: units.mg_bunker.twin</t>
        </is>
      </c>
      <c r="AH70" t="inlineStr"/>
    </row>
    <row r="71">
      <c r="A71" t="inlineStr">
        <is>
          <t>minefield</t>
        </is>
      </c>
      <c r="B71" t="inlineStr">
        <is>
          <t>minefield</t>
        </is>
      </c>
      <c r="C71" t="inlineStr">
        <is>
          <t>Bãi mìn</t>
        </is>
      </c>
      <c r="D71" t="inlineStr">
        <is>
          <t>doi_that</t>
        </is>
      </c>
      <c r="E71" t="inlineStr">
        <is>
          <t>bãi mìn có rào và biển báo 'MINES'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Bãi mìn đánh dấu bằng cọc, dây thép gai và băng đỏ trắng</t>
        </is>
      </c>
      <c r="L71" t="inlineStr"/>
      <c r="M71" t="inlineStr"/>
      <c r="N71" t="inlineStr"/>
      <c r="O71" t="inlineStr">
        <is>
          <t>ban_dau_doan</t>
        </is>
      </c>
      <c r="P71" t="inlineStr">
        <is>
          <t>R_unit_refs;R_machine_brigade_can_bang;R_minefield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Y71" t="inlineStr">
        <is>
          <t>Bãi mìn đánh dấu bằng cọc, dây thép gai và băng đỏ trắng</t>
        </is>
      </c>
      <c r="Z71" t="inlineStr">
        <is>
          <t>bãi mìn có rào và biển báo 'MINES' — Bãi mìn đánh dấu bằng cọc, dây thép gai và băng đỏ trắng</t>
        </is>
      </c>
      <c r="AA71" t="inlineStr"/>
      <c r="AB71" t="inlineStr"/>
      <c r="AC71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1" t="inlineStr">
        <is>
          <t>Thap</t>
        </is>
      </c>
      <c r="AE71" t="inlineStr"/>
      <c r="AF71" t="inlineStr"/>
      <c r="AG71" t="inlineStr">
        <is>
          <t>Tools/docs/unit_refs.json: minefield; Tools/models/reference_real.json: units.minefield</t>
        </is>
      </c>
      <c r="AH71" t="inlineStr"/>
    </row>
    <row r="72">
      <c r="A72" t="inlineStr">
        <is>
          <t>minefield.at</t>
        </is>
      </c>
      <c r="B72" t="inlineStr">
        <is>
          <t>minefield</t>
        </is>
      </c>
      <c r="C72" t="inlineStr">
        <is>
          <t>Bãi mìn (minefield.at)</t>
        </is>
      </c>
      <c r="D72" t="inlineStr">
        <is>
          <t>doi_that</t>
        </is>
      </c>
      <c r="E72" t="inlineStr">
        <is>
          <t>TM-62;M15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nhánh mìn chống tăng</t>
        </is>
      </c>
      <c r="L72" t="inlineStr"/>
      <c r="M72" t="inlineStr"/>
      <c r="N72" t="inlineStr"/>
      <c r="O72" t="inlineStr">
        <is>
          <t>uoc_dinh</t>
        </is>
      </c>
      <c r="P72" t="inlineStr">
        <is>
          <t>R_unit_refs;R_machine_brigade_can_bang;R_minefield</t>
        </is>
      </c>
      <c r="Q72" t="inlineStr">
        <is>
          <t>khóa 'minefield.at' của unit_refs.json không còn là thực thể (nhánh cũ; minefield giờ noBranch): giữ để không mất ghi chú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Y72" t="inlineStr">
        <is>
          <t>ước đoán: nhánh mìn chống tăng</t>
        </is>
      </c>
      <c r="Z72" t="inlineStr">
        <is>
          <t>bãi mìn có rào và biển báo 'MINES' — Bãi mìn đánh dấu bằng cọc, dây thép gai và băng đỏ trắng</t>
        </is>
      </c>
      <c r="AA72" t="inlineStr"/>
      <c r="AB72" t="inlineStr"/>
      <c r="AC72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2" t="inlineStr">
        <is>
          <t>Thap</t>
        </is>
      </c>
      <c r="AE72" t="inlineStr"/>
      <c r="AF72" t="inlineStr"/>
      <c r="AG72" t="inlineStr">
        <is>
          <t>Tools/docs/unit_refs.json: minefield.at; Tools/models/reference_real.json: units.minefield</t>
        </is>
      </c>
      <c r="AH72" t="inlineStr"/>
    </row>
    <row r="73">
      <c r="A73" t="inlineStr">
        <is>
          <t>minefield.scatter</t>
        </is>
      </c>
      <c r="B73" t="inlineStr">
        <is>
          <t>minefield</t>
        </is>
      </c>
      <c r="C73" t="inlineStr">
        <is>
          <t>Bãi mìn (minefield.scatter)</t>
        </is>
      </c>
      <c r="D73" t="inlineStr">
        <is>
          <t>doi_that</t>
        </is>
      </c>
      <c r="E73" t="inlineStr">
        <is>
          <t>M139 Volcano;PFM-1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nhánh mìn rải</t>
        </is>
      </c>
      <c r="L73" t="inlineStr"/>
      <c r="M73" t="inlineStr"/>
      <c r="N73" t="inlineStr"/>
      <c r="O73" t="inlineStr">
        <is>
          <t>uoc_dinh</t>
        </is>
      </c>
      <c r="P73" t="inlineStr">
        <is>
          <t>R_unit_refs;R_machine_brigade_can_bang;R_minefield</t>
        </is>
      </c>
      <c r="Q73" t="inlineStr">
        <is>
          <t>khóa 'minefield.scatter' của unit_refs.json không còn là thực thể (nhánh cũ; minefield giờ noBranch): giữ để không mất ghi chú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Y73" t="inlineStr">
        <is>
          <t>ước đoán: nhánh mìn rải</t>
        </is>
      </c>
      <c r="Z73" t="inlineStr">
        <is>
          <t>bãi mìn có rào và biển báo 'MINES' — Bãi mìn đánh dấu bằng cọc, dây thép gai và băng đỏ trắng</t>
        </is>
      </c>
      <c r="AA73" t="inlineStr"/>
      <c r="AB73" t="inlineStr"/>
      <c r="AC73" t="inlineStr">
        <is>
          <t>Tools/blender/specs/minefield.json: real = TM-62M anti-tank mines with MVCh-62 pressure fuzes; minefield marking: pickets, warning tape, red triangle signs; confidence = xấp xỉ (TM-62M / PTM-3 photographs; minefield marking practice)</t>
        </is>
      </c>
      <c r="AD73" t="inlineStr">
        <is>
          <t>Thap</t>
        </is>
      </c>
      <c r="AE73" t="inlineStr"/>
      <c r="AF73" t="inlineStr"/>
      <c r="AG73" t="inlineStr">
        <is>
          <t>Tools/docs/unit_refs.json: minefield.scatter; Tools/models/reference_real.json: units.minefield</t>
        </is>
      </c>
      <c r="AH73" t="inlineStr"/>
    </row>
    <row r="74">
      <c r="A74" t="inlineStr">
        <is>
          <t>missile_battery</t>
        </is>
      </c>
      <c r="B74" t="inlineStr">
        <is>
          <t>missile_battery</t>
        </is>
      </c>
      <c r="C74" t="inlineStr">
        <is>
          <t>Trạm tên lửa phòng không tầm xa</t>
        </is>
      </c>
      <c r="D74" t="inlineStr">
        <is>
          <t>doi_that</t>
        </is>
      </c>
      <c r="E74" t="inlineStr">
        <is>
          <t>MIM-104 Patriot PAC-2;S-300</t>
        </is>
      </c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>
        <is>
          <t>Trận địa tên lửa phòng không bốn ống phóng</t>
        </is>
      </c>
      <c r="L74" t="inlineStr"/>
      <c r="M74" t="inlineStr"/>
      <c r="N74" t="inlineStr"/>
      <c r="O74" t="inlineStr">
        <is>
          <t>ban_dau_doan</t>
        </is>
      </c>
      <c r="P74" t="inlineStr">
        <is>
          <t>R_unit_refs;R_machine_brigade_can_bang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Y74" t="inlineStr">
        <is>
          <t>Trận địa tên lửa phòng không bốn ống phóng</t>
        </is>
      </c>
      <c r="Z74" t="inlineStr">
        <is>
          <t>MIM-104 Patriot PAC-2, S-300 — Trận địa tên lửa phòng không bốn ống phóng</t>
        </is>
      </c>
      <c r="AA74" t="inlineStr">
        <is>
          <t>PAC-2: Mach 4</t>
        </is>
      </c>
      <c r="AB74" t="inlineStr"/>
      <c r="AC74" t="inlineStr"/>
      <c r="AD74" t="inlineStr">
        <is>
          <t>Thap</t>
        </is>
      </c>
      <c r="AE74" t="inlineStr"/>
      <c r="AF74" t="inlineStr"/>
      <c r="AG74" t="inlineStr">
        <is>
          <t>Tools/docs/unit_refs.json: missile_battery; Tools/models/reference_real.json: units.missile_battery</t>
        </is>
      </c>
      <c r="AH74" t="inlineStr"/>
    </row>
    <row r="75">
      <c r="A75" t="inlineStr">
        <is>
          <t>missile_battery.lrr</t>
        </is>
      </c>
      <c r="B75" t="inlineStr">
        <is>
          <t>missile_battery.lrr</t>
        </is>
      </c>
      <c r="C75" t="inlineStr">
        <is>
          <t>missile_battery.lrr</t>
        </is>
      </c>
      <c r="D75" t="inlineStr">
        <is>
          <t>doi_that</t>
        </is>
      </c>
      <c r="E75" t="inlineStr">
        <is>
          <t>MIM-104 Patriot PAC-2;radar AN/MPQ-65</t>
        </is>
      </c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>
        <is>
          <t>Nhánh radar tầm xa</t>
        </is>
      </c>
      <c r="L75" t="inlineStr"/>
      <c r="M75" t="inlineStr"/>
      <c r="N75" t="inlineStr"/>
      <c r="O75" t="inlineStr">
        <is>
          <t>ban_dau_doan</t>
        </is>
      </c>
      <c r="P75" t="inlineStr">
        <is>
          <t>R_unit_refs;R_machine_brigade_can_bang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Y75" t="inlineStr">
        <is>
          <t>Nhánh radar tầm xa</t>
        </is>
      </c>
      <c r="Z75" t="inlineStr">
        <is>
          <t>MIM-104 Patriot PAC-2, radar AN/MPQ-65 — Nhánh radar tầm xa</t>
        </is>
      </c>
      <c r="AA75" t="inlineStr">
        <is>
          <t>Patriot radar tầm xa</t>
        </is>
      </c>
      <c r="AB75" t="inlineStr"/>
      <c r="AC75" t="inlineStr"/>
      <c r="AD75" t="inlineStr">
        <is>
          <t>Thap</t>
        </is>
      </c>
      <c r="AE75" t="inlineStr">
        <is>
          <t>lrr</t>
        </is>
      </c>
      <c r="AF75" t="inlineStr"/>
      <c r="AG75" t="inlineStr">
        <is>
          <t>Tools/docs/unit_refs.json: missile_battery.lrr; Tools/models/reference_real.json: units.missile_battery.lrr</t>
        </is>
      </c>
      <c r="AH75" t="inlineStr"/>
    </row>
    <row r="76">
      <c r="A76" t="inlineStr">
        <is>
          <t>missile_battery.pac3</t>
        </is>
      </c>
      <c r="B76" t="inlineStr">
        <is>
          <t>missile_battery.pac3</t>
        </is>
      </c>
      <c r="C76" t="inlineStr">
        <is>
          <t>missile_battery.pac3</t>
        </is>
      </c>
      <c r="D76" t="inlineStr">
        <is>
          <t>doi_that</t>
        </is>
      </c>
      <c r="E76" t="inlineStr">
        <is>
          <t>Patriot PAC-3 MSE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Nhánh tên lửa PAC-3</t>
        </is>
      </c>
      <c r="L76" t="inlineStr"/>
      <c r="M76" t="inlineStr"/>
      <c r="N76" t="inlineStr"/>
      <c r="O76" t="inlineStr">
        <is>
          <t>ban_dau_doan</t>
        </is>
      </c>
      <c r="P76" t="inlineStr">
        <is>
          <t>R_unit_refs;R_machine_brigade_can_bang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Y76" t="inlineStr">
        <is>
          <t>Nhánh tên lửa PAC-3</t>
        </is>
      </c>
      <c r="Z76" t="inlineStr">
        <is>
          <t>Patriot PAC-3 MSE — Nhánh tên lửa PAC-3</t>
        </is>
      </c>
      <c r="AA76" t="inlineStr">
        <is>
          <t>PAC-3 MSE: Mach 5</t>
        </is>
      </c>
      <c r="AB76" t="inlineStr"/>
      <c r="AC76" t="inlineStr"/>
      <c r="AD76" t="inlineStr">
        <is>
          <t>Thap</t>
        </is>
      </c>
      <c r="AE76" t="inlineStr">
        <is>
          <t>pac3</t>
        </is>
      </c>
      <c r="AF76" t="inlineStr"/>
      <c r="AG76" t="inlineStr">
        <is>
          <t>Tools/docs/unit_refs.json: missile_battery.pac3; Tools/models/reference_real.json: units.missile_battery.pac3</t>
        </is>
      </c>
      <c r="AH76" t="inlineStr"/>
    </row>
    <row r="77">
      <c r="A77" t="inlineStr">
        <is>
          <t>one_shot_atgm_tower</t>
        </is>
      </c>
      <c r="B77" t="inlineStr">
        <is>
          <t>one_shot_atgm_tower</t>
        </is>
      </c>
      <c r="C77" t="inlineStr">
        <is>
          <t>Bệ tên lửa phòng thủ một lần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R_one_shot_atgm_tower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77" t="inlineStr">
        <is>
          <t>Thap</t>
        </is>
      </c>
      <c r="AE77" t="inlineStr"/>
      <c r="AF77" t="inlineStr"/>
      <c r="AG77" t="inlineStr">
        <is>
          <t>Tools/docs/unit_refs.json: one_shot_atgm_tower; Tools/models/reference_real.json: units.one_shot_atgm_tower</t>
        </is>
      </c>
      <c r="AH77" t="inlineStr"/>
    </row>
    <row r="78">
      <c r="A78" t="inlineStr">
        <is>
          <t>radar_station</t>
        </is>
      </c>
      <c r="B78" t="inlineStr">
        <is>
          <t>radar_station</t>
        </is>
      </c>
      <c r="C78" t="inlineStr">
        <is>
          <t>Trạm radar</t>
        </is>
      </c>
      <c r="D78" t="inlineStr">
        <is>
          <t>doi_that</t>
        </is>
      </c>
      <c r="E78" t="inlineStr">
        <is>
          <t>trạm radar vòm cầu (radome)</t>
        </is>
      </c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>
        <is>
          <t>Trạm radar lộ mục tiêu tàng hình quanh căn cứ</t>
        </is>
      </c>
      <c r="L78" t="inlineStr"/>
      <c r="M78" t="inlineStr"/>
      <c r="N78" t="inlineStr"/>
      <c r="O78" t="inlineStr">
        <is>
          <t>ban_dau_doan</t>
        </is>
      </c>
      <c r="P78" t="inlineStr">
        <is>
          <t>R_unit_refs;R_machine_brigade_can_bang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Y78" t="inlineStr">
        <is>
          <t>Trạm radar lộ mục tiêu tàng hình quanh căn cứ</t>
        </is>
      </c>
      <c r="Z78" t="inlineStr">
        <is>
          <t>trạm radar vòm cầu (radome) — Trạm radar lộ mục tiêu tàng hình quanh căn cứ</t>
        </is>
      </c>
      <c r="AA78" t="inlineStr"/>
      <c r="AB78" t="inlineStr"/>
      <c r="AC78" t="inlineStr"/>
      <c r="AD78" t="inlineStr">
        <is>
          <t>Mo_dun_tien_ich</t>
        </is>
      </c>
      <c r="AE78" t="inlineStr"/>
      <c r="AF78" t="inlineStr"/>
      <c r="AG78" t="inlineStr">
        <is>
          <t>Tools/docs/unit_refs.json: radar_station; Tools/models/reference_real.json: units.radar_station</t>
        </is>
      </c>
      <c r="AH78" t="inlineStr"/>
    </row>
    <row r="79">
      <c r="A79" t="inlineStr">
        <is>
          <t>recoilless_gun_tower</t>
        </is>
      </c>
      <c r="B79" t="inlineStr">
        <is>
          <t>recoilless_gun_tower</t>
        </is>
      </c>
      <c r="C79" t="inlineStr">
        <is>
          <t>Ụ súng không giật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>
        <is>
          <t>R_recoilless_gun_tower</t>
        </is>
      </c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NEED_SOURCE</t>
        </is>
      </c>
      <c r="T79" t="inlineStr">
        <is>
          <t>NEED_SOURCE</t>
        </is>
      </c>
      <c r="U79" t="inlineStr">
        <is>
          <t>NEED_SOURCE</t>
        </is>
      </c>
      <c r="Z79" t="inlineStr"/>
      <c r="AA79" t="inlineStr"/>
      <c r="AB79" t="inlineStr"/>
      <c r="AC79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79" t="inlineStr">
        <is>
          <t>Thap</t>
        </is>
      </c>
      <c r="AE79" t="inlineStr"/>
      <c r="AF79" t="inlineStr"/>
      <c r="AG79" t="inlineStr">
        <is>
          <t>Tools/docs/unit_refs.json: recoilless_gun_tower; Tools/models/reference_real.json: units.recoilless_gun_tower</t>
        </is>
      </c>
      <c r="AH79" t="inlineStr"/>
    </row>
    <row r="80">
      <c r="A80" t="inlineStr">
        <is>
          <t>repair_bay</t>
        </is>
      </c>
      <c r="B80" t="inlineStr">
        <is>
          <t>repair_bay</t>
        </is>
      </c>
      <c r="C80" t="inlineStr">
        <is>
          <t>Xưởng sửa chữa</t>
        </is>
      </c>
      <c r="D80" t="inlineStr">
        <is>
          <t>doi_that</t>
        </is>
      </c>
      <c r="E80" t="inlineStr">
        <is>
          <t>nhà vòm thép Quonset / Nissen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xưởng sửa chữa xe dã chiến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R_unit_refs;R_machine_brigade_can_bang;R_repair_bay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NEED_SOURCE</t>
        </is>
      </c>
      <c r="T80" t="inlineStr">
        <is>
          <t>NEED_SOURCE</t>
        </is>
      </c>
      <c r="U80" t="inlineStr">
        <is>
          <t>NEED_SOURCE</t>
        </is>
      </c>
      <c r="Y80" t="inlineStr">
        <is>
          <t>ước đoán: xưởng sửa chữa xe dã chiến</t>
        </is>
      </c>
      <c r="Z80" t="inlineStr">
        <is>
          <t>nhà vòm thép Quonset / Nissen — ước đoán: xưởng sửa chữa xe dã chiến</t>
        </is>
      </c>
      <c r="AA80" t="inlineStr"/>
      <c r="AB80" t="inlineStr"/>
      <c r="AC80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80" t="inlineStr">
        <is>
          <t>Mo_dun_tien_ich</t>
        </is>
      </c>
      <c r="AE80" t="inlineStr"/>
      <c r="AF80" t="inlineStr"/>
      <c r="AG80" t="inlineStr">
        <is>
          <t>Tools/docs/unit_refs.json: repair_bay; Tools/models/reference_real.json: units.repair_bay</t>
        </is>
      </c>
      <c r="AH80" t="inlineStr"/>
    </row>
    <row r="81">
      <c r="A81" t="inlineStr">
        <is>
          <t>rocket_turret</t>
        </is>
      </c>
      <c r="B81" t="inlineStr">
        <is>
          <t>rocket_turret</t>
        </is>
      </c>
      <c r="C81" t="inlineStr">
        <is>
          <t>Dàn rốc-két</t>
        </is>
      </c>
      <c r="D81" t="inlineStr">
        <is>
          <t>doi_that</t>
        </is>
      </c>
      <c r="E81" t="inlineStr">
        <is>
          <t>BM-21 Grad 122 mm</t>
        </is>
      </c>
      <c r="F81" t="inlineStr">
        <is>
          <t>NEED_SOURCE</t>
        </is>
      </c>
      <c r="G81" t="inlineStr">
        <is>
          <t>NEED_SOURCE</t>
        </is>
      </c>
      <c r="H81" t="inlineStr">
        <is>
          <t>Supreme Commander</t>
        </is>
      </c>
      <c r="I81" t="inlineStr">
        <is>
          <t>chọn mục tiêu (chế độ bắn của tháp)</t>
        </is>
      </c>
      <c r="J81" t="inlineStr"/>
      <c r="K81" t="inlineStr">
        <is>
          <t>Giàn phóng rốc-két sau tường chắn</t>
        </is>
      </c>
      <c r="L81" t="inlineStr"/>
      <c r="M81" t="inlineStr"/>
      <c r="N81" t="inlineStr"/>
      <c r="O81" t="inlineStr">
        <is>
          <t>ban_dau_doan</t>
        </is>
      </c>
      <c r="P81" t="inlineStr">
        <is>
          <t>R_unit_refs;R_machine_brigade_can_bang;R_rocket_turret;R_machine_brigade_ai_research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Y81" t="inlineStr">
        <is>
          <t>Giàn phóng rốc-két sau tường chắn</t>
        </is>
      </c>
      <c r="Z81" t="inlineStr">
        <is>
          <t>BM-21 Grad 122 mm — Giàn phóng rốc-két sau tường chắn</t>
        </is>
      </c>
      <c r="AA81" t="inlineStr">
        <is>
          <t>BM-21</t>
        </is>
      </c>
      <c r="AB81" t="inlineStr"/>
      <c r="AC81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81" t="inlineStr">
        <is>
          <t>Thap</t>
        </is>
      </c>
      <c r="AE81" t="inlineStr"/>
      <c r="AF81" t="inlineStr"/>
      <c r="AG81" t="inlineStr">
        <is>
          <t>Tools/docs/unit_refs.json: rocket_turret; Tools/models/reference_real.json: units.rocket_turret</t>
        </is>
      </c>
      <c r="AH81" t="inlineStr"/>
    </row>
    <row r="82">
      <c r="A82" t="inlineStr">
        <is>
          <t>rocket_turret.cluster</t>
        </is>
      </c>
      <c r="B82" t="inlineStr">
        <is>
          <t>rocket_turret.cluster</t>
        </is>
      </c>
      <c r="C82" t="inlineStr">
        <is>
          <t>rocket_turret.cluster</t>
        </is>
      </c>
      <c r="D82" t="inlineStr">
        <is>
          <t>doi_that</t>
        </is>
      </c>
      <c r="E82" t="inlineStr">
        <is>
          <t>BM-21 Grad 122 mm (đầu đạn chùm)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Nhánh rốc-két chùm</t>
        </is>
      </c>
      <c r="L82" t="inlineStr"/>
      <c r="M82" t="inlineStr"/>
      <c r="N82" t="inlineStr"/>
      <c r="O82" t="inlineStr">
        <is>
          <t>ban_dau_doan</t>
        </is>
      </c>
      <c r="P82" t="inlineStr">
        <is>
          <t>R_unit_refs;R_machine_brigade_can_bang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Y82" t="inlineStr">
        <is>
          <t>Nhánh rốc-két chùm</t>
        </is>
      </c>
      <c r="Z82" t="inlineStr">
        <is>
          <t>BM-21 Grad 122 mm (đầu đạn chùm) — Nhánh rốc-két chùm</t>
        </is>
      </c>
      <c r="AA82" t="inlineStr"/>
      <c r="AB82" t="inlineStr"/>
      <c r="AC82" t="inlineStr"/>
      <c r="AD82" t="inlineStr">
        <is>
          <t>Thap</t>
        </is>
      </c>
      <c r="AE82" t="inlineStr">
        <is>
          <t>cluster</t>
        </is>
      </c>
      <c r="AF82" t="inlineStr"/>
      <c r="AG82" t="inlineStr">
        <is>
          <t>Tools/docs/unit_refs.json: rocket_turret.cluster; Tools/models/reference_real.json: units.rocket_turret.cluster</t>
        </is>
      </c>
      <c r="AH82" t="inlineStr"/>
    </row>
    <row r="83">
      <c r="A83" t="inlineStr">
        <is>
          <t>rocket_turret.guided</t>
        </is>
      </c>
      <c r="B83" t="inlineStr">
        <is>
          <t>rocket_turret.guided</t>
        </is>
      </c>
      <c r="C83" t="inlineStr">
        <is>
          <t>rocket_turret.guided</t>
        </is>
      </c>
      <c r="D83" t="inlineStr">
        <is>
          <t>doi_that</t>
        </is>
      </c>
      <c r="E83" t="inlineStr">
        <is>
          <t>M31 GMLRS 227 mm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Nhánh rốc-két dẫn đường tầm xa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Nhánh rốc-két dẫn đường tầm xa</t>
        </is>
      </c>
      <c r="Z83" t="inlineStr">
        <is>
          <t>M31 GMLRS 227 mm — Nhánh rốc-két dẫn đường tầm xa</t>
        </is>
      </c>
      <c r="AA83" t="inlineStr">
        <is>
          <t>GMLRS: đầu nổ 90 kg</t>
        </is>
      </c>
      <c r="AB83" t="inlineStr"/>
      <c r="AC83" t="inlineStr"/>
      <c r="AD83" t="inlineStr">
        <is>
          <t>Thap</t>
        </is>
      </c>
      <c r="AE83" t="inlineStr">
        <is>
          <t>guided</t>
        </is>
      </c>
      <c r="AF83" t="inlineStr"/>
      <c r="AG83" t="inlineStr">
        <is>
          <t>Tools/docs/unit_refs.json: rocket_turret.guided; Tools/models/reference_real.json: units.rocket_turret.guided</t>
        </is>
      </c>
      <c r="AH83" t="inlineStr"/>
    </row>
    <row r="84">
      <c r="A84" t="inlineStr">
        <is>
          <t>searchlight</t>
        </is>
      </c>
      <c r="B84" t="inlineStr">
        <is>
          <t>searchlight</t>
        </is>
      </c>
      <c r="C84" t="inlineStr">
        <is>
          <t>Đèn pha chiến trường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>
        <is>
          <t>R_searchlight</t>
        </is>
      </c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NEED_SOURCE</t>
        </is>
      </c>
      <c r="T84" t="inlineStr">
        <is>
          <t>NEED_SOURCE</t>
        </is>
      </c>
      <c r="U84" t="inlineStr">
        <is>
          <t>NEED_SOURCE</t>
        </is>
      </c>
      <c r="Z84" t="inlineStr"/>
      <c r="AA84" t="inlineStr"/>
      <c r="AB84" t="inlineStr"/>
      <c r="AC84" t="inlineStr">
        <is>
          <t>Tools/blender/specs/searchlight.json: real = Sperry 60-inch (150 cm) anti-aircraft / defence searchlight on its four-wheeled trailer; a generator skid; confidence = xấp xỉ (the 60-inch light's drum, louvred door, ventilation hood and trailer; the emplacement is a field set-up)</t>
        </is>
      </c>
      <c r="AD84" t="inlineStr">
        <is>
          <t>Thap</t>
        </is>
      </c>
      <c r="AE84" t="inlineStr"/>
      <c r="AF84" t="inlineStr"/>
      <c r="AG84" t="inlineStr">
        <is>
          <t>Tools/docs/unit_refs.json: searchlight; Tools/models/reference_real.json: units.searchlight</t>
        </is>
      </c>
      <c r="AH84" t="inlineStr"/>
    </row>
    <row r="85">
      <c r="A85" t="inlineStr">
        <is>
          <t>searchlight.beam</t>
        </is>
      </c>
      <c r="B85" t="inlineStr">
        <is>
          <t>searchlight.beam</t>
        </is>
      </c>
      <c r="C85" t="inlineStr">
        <is>
          <t>searchlight.beam</t>
        </is>
      </c>
      <c r="D85" t="inlineStr">
        <is>
          <t>NEED_SOURCE</t>
        </is>
      </c>
      <c r="E85" t="inlineStr"/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có tham chiếu cho thực thể này (unit_refs.json, reference_real.json, bảng cân bằng)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Z85" t="inlineStr"/>
      <c r="AA85" t="inlineStr"/>
      <c r="AB85" t="inlineStr"/>
      <c r="AC85" t="inlineStr"/>
      <c r="AD85" t="inlineStr">
        <is>
          <t>Thap</t>
        </is>
      </c>
      <c r="AE85" t="inlineStr">
        <is>
          <t>beam</t>
        </is>
      </c>
      <c r="AF85" t="inlineStr"/>
      <c r="AG85" t="inlineStr">
        <is>
          <t>Tools/docs/unit_refs.json: searchlight.beam; Tools/models/reference_real.json: units.searchlight.beam</t>
        </is>
      </c>
      <c r="AH85" t="inlineStr"/>
    </row>
    <row r="86">
      <c r="A86" t="inlineStr">
        <is>
          <t>searchlight.flare</t>
        </is>
      </c>
      <c r="B86" t="inlineStr">
        <is>
          <t>searchlight.flare</t>
        </is>
      </c>
      <c r="C86" t="inlineStr">
        <is>
          <t>searchlight.flare</t>
        </is>
      </c>
      <c r="D86" t="inlineStr">
        <is>
          <t>NEED_SOURCE</t>
        </is>
      </c>
      <c r="E86" t="inlineStr"/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có tham chiếu cho thực thể này (unit_refs.json, reference_real.json, bảng cân bằng)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Z86" t="inlineStr"/>
      <c r="AA86" t="inlineStr"/>
      <c r="AB86" t="inlineStr"/>
      <c r="AC86" t="inlineStr"/>
      <c r="AD86" t="inlineStr">
        <is>
          <t>Thap</t>
        </is>
      </c>
      <c r="AE86" t="inlineStr">
        <is>
          <t>flare</t>
        </is>
      </c>
      <c r="AF86" t="inlineStr"/>
      <c r="AG86" t="inlineStr">
        <is>
          <t>Tools/docs/unit_refs.json: searchlight.flare; Tools/models/reference_real.json: units.searchlight.flare</t>
        </is>
      </c>
      <c r="AH86" t="inlineStr"/>
    </row>
    <row r="87">
      <c r="A87" t="inlineStr">
        <is>
          <t>shield_tower</t>
        </is>
      </c>
      <c r="B87" t="inlineStr">
        <is>
          <t>shield_tower</t>
        </is>
      </c>
      <c r="C87" t="inlineStr">
        <is>
          <t>Máy phát khiên</t>
        </is>
      </c>
      <c r="D87" t="inlineStr">
        <is>
          <t>game</t>
        </is>
      </c>
      <c r="E87" t="inlineStr"/>
      <c r="F87" t="inlineStr"/>
      <c r="G87" t="inlineStr"/>
      <c r="H87" t="inlineStr">
        <is>
          <t>StarCraft II;Supreme Commander</t>
        </is>
      </c>
      <c r="I87" t="inlineStr">
        <is>
          <t>hình dáng: Shield Battery;hình dáng: Shield Generator</t>
        </is>
      </c>
      <c r="J87" t="inlineStr"/>
      <c r="K87" t="inlineStr">
        <is>
          <t>tháp phát khiên năng lượng (viễn tưởng)</t>
        </is>
      </c>
      <c r="L87" t="inlineStr"/>
      <c r="M87" t="inlineStr"/>
      <c r="N87" t="inlineStr"/>
      <c r="O87" t="inlineStr">
        <is>
          <t>uoc_dinh</t>
        </is>
      </c>
      <c r="P87" t="inlineStr">
        <is>
          <t>R_unit_refs;R_machine_brigade_can_bang;R_shield_tower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Y87" t="inlineStr">
        <is>
          <t>ước đoán: tháp phát khiên năng lượng (viễn tưởng)</t>
        </is>
      </c>
      <c r="Z87" t="inlineStr">
        <is>
          <t>Shield Battery (StarCraft II), Shield Generator (Supreme Commander) — ước đoán: tháp phát khiên năng lượng (viễn tưởng)</t>
        </is>
      </c>
      <c r="AA87" t="inlineStr"/>
      <c r="AB87" t="inlineStr"/>
      <c r="AC87" t="inlineStr">
        <is>
          <t>Tools/blender/specs/shield_tower.json: real = ; confidence = uoc_dinh (fiction; unit_refs media: Shield Battery (StarCraft II), Shield Generator (Supreme Commander))</t>
        </is>
      </c>
      <c r="AD87" t="inlineStr">
        <is>
          <t>Thap</t>
        </is>
      </c>
      <c r="AE87" t="inlineStr"/>
      <c r="AF87" t="inlineStr"/>
      <c r="AG87" t="inlineStr">
        <is>
          <t>Tools/docs/unit_refs.json: shield_tower; Tools/models/reference_real.json: units.shield_tower</t>
        </is>
      </c>
      <c r="AH87" t="inlineStr"/>
    </row>
    <row r="88">
      <c r="A88" t="inlineStr">
        <is>
          <t>shield_tower.bulwark</t>
        </is>
      </c>
      <c r="B88" t="inlineStr">
        <is>
          <t>shield_tower.bulwark</t>
        </is>
      </c>
      <c r="C88" t="inlineStr">
        <is>
          <t>shield_tower.bulwark</t>
        </is>
      </c>
      <c r="D88" t="inlineStr">
        <is>
          <t>game</t>
        </is>
      </c>
      <c r="E88" t="inlineStr"/>
      <c r="F88" t="inlineStr"/>
      <c r="G88" t="inlineStr"/>
      <c r="H88" t="inlineStr">
        <is>
          <t>Supreme Commander;Halo 3</t>
        </is>
      </c>
      <c r="I88" t="inlineStr">
        <is>
          <t>hình dáng: Shield Generator;hình dáng: Bubble Shield</t>
        </is>
      </c>
      <c r="J88" t="inlineStr"/>
      <c r="K88" t="inlineStr">
        <is>
          <t>nhánh vòm khiên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/>
      <c r="T88" t="inlineStr"/>
      <c r="U88" t="inlineStr"/>
      <c r="Y88" t="inlineStr">
        <is>
          <t>ước đoán: nhánh vòm khiên</t>
        </is>
      </c>
      <c r="Z88" t="inlineStr">
        <is>
          <t>Shield Generator (Supreme Commander), Bubble Shield (Halo 3) — ước đoán: nhánh vòm khiên</t>
        </is>
      </c>
      <c r="AA88" t="inlineStr"/>
      <c r="AB88" t="inlineStr"/>
      <c r="AC88" t="inlineStr"/>
      <c r="AD88" t="inlineStr">
        <is>
          <t>Thap</t>
        </is>
      </c>
      <c r="AE88" t="inlineStr">
        <is>
          <t>bulwark</t>
        </is>
      </c>
      <c r="AF88" t="inlineStr"/>
      <c r="AG88" t="inlineStr">
        <is>
          <t>Tools/docs/unit_refs.json: shield_tower.bulwark; Tools/models/reference_real.json: units.shield_tower.bulwark</t>
        </is>
      </c>
      <c r="AH88" t="inlineStr"/>
    </row>
    <row r="89">
      <c r="A89" t="inlineStr">
        <is>
          <t>shield_tower.ward</t>
        </is>
      </c>
      <c r="B89" t="inlineStr">
        <is>
          <t>shield_tower.ward</t>
        </is>
      </c>
      <c r="C89" t="inlineStr">
        <is>
          <t>shield_tower.ward</t>
        </is>
      </c>
      <c r="D89" t="inlineStr">
        <is>
          <t>game</t>
        </is>
      </c>
      <c r="E89" t="inlineStr"/>
      <c r="F89" t="inlineStr"/>
      <c r="G89" t="inlineStr"/>
      <c r="H89" t="inlineStr">
        <is>
          <t>StarCraft II</t>
        </is>
      </c>
      <c r="I89" t="inlineStr">
        <is>
          <t>hình dáng: Shield Battery</t>
        </is>
      </c>
      <c r="J89" t="inlineStr"/>
      <c r="K89" t="inlineStr">
        <is>
          <t>nhánh chiếu khiên sang tháp khác</t>
        </is>
      </c>
      <c r="L89" t="inlineStr"/>
      <c r="M89" t="inlineStr"/>
      <c r="N89" t="inlineStr"/>
      <c r="O89" t="inlineStr">
        <is>
          <t>uoc_dinh</t>
        </is>
      </c>
      <c r="P89" t="inlineStr">
        <is>
          <t>R_unit_refs;R_machine_brigade_can_bang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/>
      <c r="T89" t="inlineStr"/>
      <c r="U89" t="inlineStr"/>
      <c r="Y89" t="inlineStr">
        <is>
          <t>ước đoán: nhánh chiếu khiên sang tháp khác</t>
        </is>
      </c>
      <c r="Z89" t="inlineStr">
        <is>
          <t>Shield Battery (StarCraft II) — ước đoán: nhánh chiếu khiên sang tháp khác</t>
        </is>
      </c>
      <c r="AA89" t="inlineStr"/>
      <c r="AB89" t="inlineStr"/>
      <c r="AC89" t="inlineStr"/>
      <c r="AD89" t="inlineStr">
        <is>
          <t>Thap</t>
        </is>
      </c>
      <c r="AE89" t="inlineStr">
        <is>
          <t>ward</t>
        </is>
      </c>
      <c r="AF89" t="inlineStr"/>
      <c r="AG89" t="inlineStr">
        <is>
          <t>Tools/docs/unit_refs.json: shield_tower.ward; Tools/models/reference_real.json: units.shield_tower.ward</t>
        </is>
      </c>
      <c r="AH89" t="inlineStr"/>
    </row>
    <row r="90">
      <c r="A90" t="inlineStr">
        <is>
          <t>spawn_bastion</t>
        </is>
      </c>
      <c r="B90" t="inlineStr">
        <is>
          <t>spawn_bastion</t>
        </is>
      </c>
      <c r="C90" t="inlineStr">
        <is>
          <t>Tháp căn cứ</t>
        </is>
      </c>
      <c r="D90" t="inlineStr">
        <is>
          <t>doi_that</t>
        </is>
      </c>
      <c r="E90" t="inlineStr">
        <is>
          <t>A-222 Bereg (240 mm);AK-130 130 mm (tháp pháo hạm đặt trên bờ);K-300P Bastion-P</t>
        </is>
      </c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>
        <is>
          <t>Pháo đài canh điểm xuất quân (model tháp pháo hạng nặng)</t>
        </is>
      </c>
      <c r="L90" t="inlineStr"/>
      <c r="M90" t="inlineStr"/>
      <c r="N90" t="inlineStr"/>
      <c r="O90" t="inlineStr">
        <is>
          <t>ban_dau_doan</t>
        </is>
      </c>
      <c r="P90" t="inlineStr">
        <is>
          <t>R_unit_refs;R_machine_brigade_can_bang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Y90" t="inlineStr">
        <is>
          <t>Pháo đài canh điểm xuất quân (model tháp pháo hạng nặng)</t>
        </is>
      </c>
      <c r="Z90" t="inlineStr">
        <is>
          <t>A-222 Bereg (240 mm), AK-130 130 mm (tháp pháo hạm đặt trên bờ), K-300P Bastion-P — Pháo đài canh điểm xuất quân (model tháp pháo hạng nặng)</t>
        </is>
      </c>
      <c r="AA90" t="inlineStr"/>
      <c r="AB90" t="inlineStr"/>
      <c r="AC90" t="inlineStr"/>
      <c r="AD90" t="inlineStr">
        <is>
          <t>Thap</t>
        </is>
      </c>
      <c r="AE90" t="inlineStr"/>
      <c r="AF90" t="inlineStr"/>
      <c r="AG90" t="inlineStr">
        <is>
          <t>Tools/docs/unit_refs.json: spawn_bastion; Tools/models/reference_real.json: units.spawn_bastion</t>
        </is>
      </c>
      <c r="AH90" t="inlineStr"/>
    </row>
    <row r="91">
      <c r="A91" t="inlineStr">
        <is>
          <t>super_gun</t>
        </is>
      </c>
      <c r="B91" t="inlineStr">
        <is>
          <t>super_gun</t>
        </is>
      </c>
      <c r="C91" t="inlineStr">
        <is>
          <t>Siêu pháo</t>
        </is>
      </c>
      <c r="D91" t="inlineStr">
        <is>
          <t>doi_that</t>
        </is>
      </c>
      <c r="E91" t="inlineStr">
        <is>
          <t>A-222 Bereg (240 mm);AK-130 130 mm (tháp pháo hạm đặt trên bờ);K-300P Bastion-P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Siêu pháo hai nòng của pháo đài (model tháp pháo hạng nặng phóng to)</t>
        </is>
      </c>
      <c r="L91" t="inlineStr"/>
      <c r="M91" t="inlineStr"/>
      <c r="N91" t="inlineStr"/>
      <c r="O91" t="inlineStr">
        <is>
          <t>ban_dau_doan</t>
        </is>
      </c>
      <c r="P91" t="inlineStr">
        <is>
          <t>R_unit_refs;R_machine_brigade_can_bang;R_super_gun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NEED_SOURCE</t>
        </is>
      </c>
      <c r="T91" t="inlineStr">
        <is>
          <t>NEED_SOURCE</t>
        </is>
      </c>
      <c r="U91" t="inlineStr">
        <is>
          <t>NEED_SOURCE</t>
        </is>
      </c>
      <c r="Y91" t="inlineStr">
        <is>
          <t>Siêu pháo hai nòng của pháo đài (model tháp pháo hạng nặng phóng to)</t>
        </is>
      </c>
      <c r="Z91" t="inlineStr">
        <is>
          <t>A-222 Bereg (240 mm), AK-130 130 mm (tháp pháo hạm đặt trên bờ), K-300P Bastion-P — Siêu pháo hai nòng của pháo đài (model tháp pháo hạng nặng phóng to)</t>
        </is>
      </c>
      <c r="AA91" t="inlineStr"/>
      <c r="AB91" t="inlineStr"/>
      <c r="AC91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91" t="inlineStr">
        <is>
          <t>Thap</t>
        </is>
      </c>
      <c r="AE91" t="inlineStr"/>
      <c r="AF91" t="inlineStr"/>
      <c r="AG91" t="inlineStr">
        <is>
          <t>Tools/docs/unit_refs.json: super_gun; Tools/models/reference_real.json: units.super_gun</t>
        </is>
      </c>
      <c r="AH91" t="inlineStr"/>
    </row>
    <row r="92">
      <c r="A92" t="inlineStr">
        <is>
          <t>targeting_station</t>
        </is>
      </c>
      <c r="B92" t="inlineStr">
        <is>
          <t>targeting_station</t>
        </is>
      </c>
      <c r="C92" t="inlineStr">
        <is>
          <t>Trạm chỉ thị mục tiêu</t>
        </is>
      </c>
      <c r="D92" t="inlineStr">
        <is>
          <t>doi_that</t>
        </is>
      </c>
      <c r="E92" t="inlineStr">
        <is>
          <t>radar Würzburg-Riese;trạm đo xa pháo bờ biển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Trạm điều khiển hỏa lực của siêu pháo</t>
        </is>
      </c>
      <c r="L92" t="inlineStr"/>
      <c r="M92" t="inlineStr"/>
      <c r="N92" t="inlineStr"/>
      <c r="O92" t="inlineStr">
        <is>
          <t>ban_dau_doan</t>
        </is>
      </c>
      <c r="P92" t="inlineStr">
        <is>
          <t>R_unit_refs;R_machine_brigade_can_bang;R_targeting_station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Y92" t="inlineStr">
        <is>
          <t>Trạm điều khiển hỏa lực của siêu pháo</t>
        </is>
      </c>
      <c r="Z92" t="inlineStr">
        <is>
          <t>radar Würzburg-Riese, trạm đo xa pháo bờ biển — Trạm điều khiển hỏa lực của siêu pháo</t>
        </is>
      </c>
      <c r="AA92" t="inlineStr"/>
      <c r="AB92" t="inlineStr"/>
      <c r="AC92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92" t="inlineStr">
        <is>
          <t>Thap</t>
        </is>
      </c>
      <c r="AE92" t="inlineStr"/>
      <c r="AF92" t="inlineStr"/>
      <c r="AG92" t="inlineStr">
        <is>
          <t>Tools/docs/unit_refs.json: targeting_station; Tools/models/reference_real.json: units.targeting_station</t>
        </is>
      </c>
      <c r="AH92" t="inlineStr"/>
    </row>
    <row r="93">
      <c r="A93" t="inlineStr">
        <is>
          <t>troop_shelter</t>
        </is>
      </c>
      <c r="B93" t="inlineStr">
        <is>
          <t>troop_shelter</t>
        </is>
      </c>
      <c r="C93" t="inlineStr">
        <is>
          <t>Hầm che quân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R_troop_shelter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NEED_SOURCE</t>
        </is>
      </c>
      <c r="T93" t="inlineStr">
        <is>
          <t>NEED_SOURCE</t>
        </is>
      </c>
      <c r="U93" t="inlineStr">
        <is>
          <t>NEED_SOURCE</t>
        </is>
      </c>
      <c r="Z93" t="inlineStr"/>
      <c r="AA93" t="inlineStr"/>
      <c r="AB93" t="inlineStr"/>
      <c r="AC93" t="inlineStr">
        <is>
          <t>Tools/blender/specs/troop_shelter.json: real = a half-buried cast concrete troop bunker with an earth berm and a sandbag blast baffle at its entrance; confidence = ban_dau_doan (a common field bunker layout; no single real model)</t>
        </is>
      </c>
      <c r="AD93" t="inlineStr">
        <is>
          <t>Thap</t>
        </is>
      </c>
      <c r="AE93" t="inlineStr"/>
      <c r="AF93" t="inlineStr"/>
      <c r="AG93" t="inlineStr">
        <is>
          <t>Tools/docs/unit_refs.json: troop_shelter; Tools/models/reference_real.json: units.troop_shelter</t>
        </is>
      </c>
      <c r="AH93" t="inlineStr"/>
    </row>
    <row r="94">
      <c r="A94" t="inlineStr">
        <is>
          <t>visual_jammer</t>
        </is>
      </c>
      <c r="B94" t="inlineStr">
        <is>
          <t>visual_jammer</t>
        </is>
      </c>
      <c r="C94" t="inlineStr">
        <is>
          <t>Máy tạo nhiễu tầm nhìn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>
        <is>
          <t>R_visual_jammer</t>
        </is>
      </c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NEED_SOURCE</t>
        </is>
      </c>
      <c r="T94" t="inlineStr">
        <is>
          <t>NEED_SOURCE</t>
        </is>
      </c>
      <c r="U94" t="inlineStr">
        <is>
          <t>NEED_SOURCE</t>
        </is>
      </c>
      <c r="Z94" t="inlineStr"/>
      <c r="AA94" t="inlineStr"/>
      <c r="AB94" t="inlineStr"/>
      <c r="AC94" t="inlineStr">
        <is>
          <t>Tools/blender/specs/visual_jammer.json: real = a dazzler / decoy-light post: a lattice mast with a lamp drum and strobes, smoke generators, a control shelter; confidence = ước đoán (no real reference; L8's layout kept)</t>
        </is>
      </c>
      <c r="AD94" t="inlineStr">
        <is>
          <t>Mo_dun_tien_ich</t>
        </is>
      </c>
      <c r="AE94" t="inlineStr"/>
      <c r="AF94" t="inlineStr"/>
      <c r="AG94" t="inlineStr">
        <is>
          <t>Tools/docs/unit_refs.json: visual_jammer; Tools/models/reference_real.json: units.visual_jammer</t>
        </is>
      </c>
      <c r="AH94" t="inlineStr"/>
    </row>
    <row r="95">
      <c r="A95" t="inlineStr">
        <is>
          <t>wall_gun</t>
        </is>
      </c>
      <c r="B95" t="inlineStr">
        <is>
          <t>wall_gun</t>
        </is>
      </c>
      <c r="C95" t="inlineStr">
        <is>
          <t>Tường gắn súng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>
        <is>
          <t>R_wall_gun</t>
        </is>
      </c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NEED_SOURCE</t>
        </is>
      </c>
      <c r="T95" t="inlineStr">
        <is>
          <t>NEED_SOURCE</t>
        </is>
      </c>
      <c r="U95" t="inlineStr">
        <is>
          <t>NEED_SOURCE</t>
        </is>
      </c>
      <c r="Z95" t="inlineStr"/>
      <c r="AA95" t="inlineStr"/>
      <c r="AB95" t="inlineStr"/>
      <c r="AC95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95" t="inlineStr">
        <is>
          <t>Tuong</t>
        </is>
      </c>
      <c r="AE95" t="inlineStr"/>
      <c r="AF95" t="inlineStr">
        <is>
          <t>NEED_SOURCE</t>
        </is>
      </c>
      <c r="AG95" t="inlineStr">
        <is>
          <t>Tools/docs/unit_refs.json: wall_gun; Tools/models/reference_real.json: units.wall_gun</t>
        </is>
      </c>
      <c r="AH95" t="inlineStr"/>
    </row>
    <row r="96">
      <c r="A96" t="inlineStr">
        <is>
          <t>wall_hesco</t>
        </is>
      </c>
      <c r="B96" t="inlineStr">
        <is>
          <t>wall_hesco</t>
        </is>
      </c>
      <c r="C96" t="inlineStr">
        <is>
          <t>Tường HESCO</t>
        </is>
      </c>
      <c r="D96" t="inlineStr">
        <is>
          <t>doi_that</t>
        </is>
      </c>
      <c r="E96" t="inlineStr">
        <is>
          <t>HESCO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model: ba khoang rọ đá 4 m trên ụ đất, dây thép gai (DECISIONS, Models của mb_p32_walls.py)</t>
        </is>
      </c>
      <c r="L96" t="inlineStr"/>
      <c r="M96" t="inlineStr"/>
      <c r="N96" t="inlineStr"/>
      <c r="O96" t="inlineStr">
        <is>
          <t>ban_dau_doan</t>
        </is>
      </c>
      <c r="P96" t="inlineStr">
        <is>
          <t>R_decisions;R_wall_hesco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NEED_SOURCE</t>
        </is>
      </c>
      <c r="T96" t="inlineStr">
        <is>
          <t>NEED_SOURCE</t>
        </is>
      </c>
      <c r="U96" t="inlineStr">
        <is>
          <t>NEED_SOURCE</t>
        </is>
      </c>
      <c r="Z96" t="inlineStr"/>
      <c r="AA96" t="inlineStr"/>
      <c r="AB96" t="inlineStr"/>
      <c r="AC96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96" t="inlineStr">
        <is>
          <t>Tuong</t>
        </is>
      </c>
      <c r="AE96" t="inlineStr"/>
      <c r="AF96" t="inlineStr">
        <is>
          <t>NEED_SOURCE</t>
        </is>
      </c>
      <c r="AG96" t="inlineStr">
        <is>
          <t>Tools/docs/unit_refs.json: wall_hesco; Tools/models/reference_real.json: units.wall_hesco</t>
        </is>
      </c>
      <c r="AH96" t="inlineStr"/>
    </row>
    <row r="97">
      <c r="A97" t="inlineStr">
        <is>
          <t>wall_t</t>
        </is>
      </c>
      <c r="B97" t="inlineStr">
        <is>
          <t>wall_t</t>
        </is>
      </c>
      <c r="C97" t="inlineStr">
        <is>
          <t>Tường chữ T</t>
        </is>
      </c>
      <c r="D97" t="inlineStr">
        <is>
          <t>doi_that</t>
        </is>
      </c>
      <c r="E97" t="inlineStr">
        <is>
          <t>T-wall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model: năm tấm T-wall đúc sẵn (DECISIONS, Models của mb_p32_walls.py)</t>
        </is>
      </c>
      <c r="L97" t="inlineStr"/>
      <c r="M97" t="inlineStr"/>
      <c r="N97" t="inlineStr"/>
      <c r="O97" t="inlineStr">
        <is>
          <t>ban_dau_doan</t>
        </is>
      </c>
      <c r="P97" t="inlineStr">
        <is>
          <t>R_decisions;R_wall_t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NEED_SOURCE</t>
        </is>
      </c>
      <c r="T97" t="inlineStr">
        <is>
          <t>NEED_SOURCE</t>
        </is>
      </c>
      <c r="U97" t="inlineStr">
        <is>
          <t>NEED_SOURCE</t>
        </is>
      </c>
      <c r="Z97" t="inlineStr"/>
      <c r="AA97" t="inlineStr"/>
      <c r="AB97" t="inlineStr"/>
      <c r="AC97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97" t="inlineStr">
        <is>
          <t>Tuong</t>
        </is>
      </c>
      <c r="AE97" t="inlineStr"/>
      <c r="AF97" t="inlineStr">
        <is>
          <t>NEED_SOURCE</t>
        </is>
      </c>
      <c r="AG97" t="inlineStr">
        <is>
          <t>Tools/docs/unit_refs.json: wall_t; Tools/models/reference_real.json: units.wall_t</t>
        </is>
      </c>
      <c r="AH97" t="inlineStr"/>
    </row>
  </sheetData>
  <autoFilter ref="A1:AH9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1" customWidth="1" min="1" max="1"/>
    <col width="29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60/INDEX(cc_input_nhip_that!$B$2:$B$36,MATCH($P$2,cc_input_nhip_that!$A$2:$A$36,0))/IF(INDEX(cc_input_nhip_that!$C$2:$C$36,MATCH($P$2,cc_input_nhip_that!$A$2:$A$36,0))="gun",0.7,1)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60/INDEX(cc_input_nhip_that!$B$2:$B$36,MATCH($P$3,cc_input_nhip_that!$A$2:$A$36,0))/IF(INDEX(cc_input_nhip_that!$C$2:$C$36,MATCH($P$3,cc_input_nhip_that!$A$2:$A$36,0))="gun",0.7,1)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60/INDEX(cc_input_nhip_that!$B$2:$B$36,MATCH($P$4,cc_input_nhip_that!$A$2:$A$36,0))/IF(INDEX(cc_input_nhip_that!$C$2:$C$36,MATCH($P$4,cc_input_nhip_that!$A$2:$A$36,0))="gun",0.7,1)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60/INDEX(cc_input_nhip_that!$B$2:$B$36,MATCH($P$5,cc_input_nhip_that!$A$2:$A$36,0))/IF(INDEX(cc_input_nhip_that!$C$2:$C$36,MATCH($P$5,cc_input_nhip_that!$A$2:$A$36,0))="gun",0.7,1)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60/INDEX(cc_input_nhip_that!$B$2:$B$36,MATCH($P$6,cc_input_nhip_that!$A$2:$A$36,0))/IF(INDEX(cc_input_nhip_that!$C$2:$C$36,MATCH($P$6,cc_input_nhip_that!$A$2:$A$36,0))="gun",0.7,1)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artillery_emplacement.cb/howitzer_cb/nhip</t>
        </is>
      </c>
      <c r="B7" t="inlineStr">
        <is>
          <t>artillery_emplacement.cb</t>
        </is>
      </c>
      <c r="C7" t="inlineStr">
        <is>
          <t>khe_mot_nong_mot_vien</t>
        </is>
      </c>
      <c r="D7" t="inlineStr">
        <is>
          <t>s</t>
        </is>
      </c>
      <c r="E7" t="n">
        <v>4.549992857</v>
      </c>
      <c r="F7">
        <f>60/INDEX(cc_input_nhip_that!$B$2:$B$36,MATCH($P$7,cc_input_nhip_that!$A$2:$A$36,0))/IF(INDEX(cc_input_nhip_that!$C$2:$C$36,MATCH($P$7,cc_input_nhip_that!$A$2:$A$36,0))="gun",0.7,1)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TC0123</t>
        </is>
      </c>
      <c r="N7" t="inlineStr">
        <is>
          <t>R_balance;R_full_weapon_audit;D_us_army_m109a7_fact_file;R_machine_brigade_can_bang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howitzer_cb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artillery_emplacement.mortar/mortar_240_fixed/nhip</t>
        </is>
      </c>
      <c r="B8" t="inlineStr">
        <is>
          <t>artillery_emplacement.mortar</t>
        </is>
      </c>
      <c r="C8" t="inlineStr">
        <is>
          <t>khe_mot_nong_mot_vien</t>
        </is>
      </c>
      <c r="D8" t="inlineStr">
        <is>
          <t>s</t>
        </is>
      </c>
      <c r="E8" t="n">
        <v>6.75</v>
      </c>
      <c r="F8">
        <f>60/INDEX(cc_input_nhip_that!$B$2:$B$36,MATCH($P$8,cc_input_nhip_that!$A$2:$A$36,0))/IF(INDEX(cc_input_nhip_that!$C$2:$C$36,MATCH($P$8,cc_input_nhip_that!$A$2:$A$36,0))="gun",0.7,1)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TC0124</t>
        </is>
      </c>
      <c r="N8" t="inlineStr">
        <is>
          <t>R_balance;R_full_weapon_audit;W_wikipedia_2s4_tyulpan;R_machine_brigade_can_bang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mortar_240_fixed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artillery_emplacement/howitzer_fixed/nhip</t>
        </is>
      </c>
      <c r="B9" t="inlineStr">
        <is>
          <t>artillery_emplacement</t>
        </is>
      </c>
      <c r="C9" t="inlineStr">
        <is>
          <t>khe_mot_nong_mot_vien</t>
        </is>
      </c>
      <c r="D9" t="inlineStr">
        <is>
          <t>s</t>
        </is>
      </c>
      <c r="E9" t="n">
        <v>4.549992857</v>
      </c>
      <c r="F9">
        <f>60/INDEX(cc_input_nhip_that!$B$2:$B$36,MATCH($P$9,cc_input_nhip_that!$A$2:$A$36,0))/IF(INDEX(cc_input_nhip_that!$C$2:$C$36,MATCH($P$9,cc_input_nhip_that!$A$2:$A$36,0))="gun",0.7,1)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TC0125</t>
        </is>
      </c>
      <c r="N9" t="inlineStr">
        <is>
          <t>R_balance;R_full_weapon_audit;D_us_army_m109a7_fact_file;R_machine_brigade_can_bang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howitzer_fixed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at_gun_emplacement/at_gun_100/nhip</t>
        </is>
      </c>
      <c r="B10" t="inlineStr">
        <is>
          <t>at_gun_emplacement</t>
        </is>
      </c>
      <c r="C10" t="inlineStr">
        <is>
          <t>khe_mot_nong_mot_vien</t>
        </is>
      </c>
      <c r="D10" t="inlineStr">
        <is>
          <t>s</t>
        </is>
      </c>
      <c r="E10" t="n">
        <v>5.000002041</v>
      </c>
      <c r="F10">
        <f>60/INDEX(cc_input_nhip_that!$B$2:$B$36,MATCH($P$10,cc_input_nhip_that!$A$2:$A$36,0))/IF(INDEX(cc_input_nhip_that!$C$2:$C$36,MATCH($P$10,cc_input_nhip_that!$A$2:$A$36,0))="gun",0.7,1)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R_balance;R_full_weapon_audit;W_wikipedia_mt_12_rapira</t>
        </is>
      </c>
      <c r="O10" t="inlineStr">
        <is>
          <t>nhịp tháp so với hệ thống thật (định nghĩa như 01_chien_dau/Vu_khi_so_sanh_that)</t>
        </is>
      </c>
      <c r="P10" t="inlineStr">
        <is>
          <t>at_gun_100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atgm_tower.multi/kornet_multi/nhip</t>
        </is>
      </c>
      <c r="B11" t="inlineStr">
        <is>
          <t>atgm_tower.multi</t>
        </is>
      </c>
      <c r="C11" t="inlineStr">
        <is>
          <t>khe_mot_nong_mot_vien</t>
        </is>
      </c>
      <c r="D11" t="inlineStr">
        <is>
          <t>s</t>
        </is>
      </c>
      <c r="E11" t="n">
        <v>5.55</v>
      </c>
      <c r="F11">
        <f>60/INDEX(cc_input_nhip_that!$B$2:$B$36,MATCH($P$11,cc_input_nhip_that!$A$2:$A$36,0))/IF(INDEX(cc_input_nhip_that!$C$2:$C$36,MATCH($P$11,cc_input_nhip_that!$A$2:$A$36,0))="gun",0.7,1)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TC0126</t>
        </is>
      </c>
      <c r="N11" t="inlineStr">
        <is>
          <t>R_balance;R_full_weapon_audit;W_wikipedia_9m133_kornet;W_wikipedia_bai_cua_tung_ten_lua_bang_warhead;R_machine_brigade_can_bang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kornet_multi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atgm_tower.top/kornet_top/nhip</t>
        </is>
      </c>
      <c r="B12" t="inlineStr">
        <is>
          <t>atgm_tower.top</t>
        </is>
      </c>
      <c r="C12" t="inlineStr">
        <is>
          <t>khe_mot_nong_mot_vien</t>
        </is>
      </c>
      <c r="D12" t="inlineStr">
        <is>
          <t>s</t>
        </is>
      </c>
      <c r="E12" t="n">
        <v>5.2</v>
      </c>
      <c r="F12">
        <f>60/INDEX(cc_input_nhip_that!$B$2:$B$36,MATCH($P$12,cc_input_nhip_that!$A$2:$A$36,0))/IF(INDEX(cc_input_nhip_that!$C$2:$C$36,MATCH($P$12,cc_input_nhip_that!$A$2:$A$36,0))="gun",0.7,1)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TC0127</t>
        </is>
      </c>
      <c r="N12" t="inlineStr">
        <is>
          <t>R_balance;R_full_weapon_audit;W_wikipedia_9m133_kornet;W_wikipedia_bai_cua_tung_ten_lua_bang_warhead;R_machine_brigade_can_bang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kornet_top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atgm_tower/tower_kornet/nhip</t>
        </is>
      </c>
      <c r="B13" t="inlineStr">
        <is>
          <t>atgm_tower</t>
        </is>
      </c>
      <c r="C13" t="inlineStr">
        <is>
          <t>khe_mot_nong_mot_vien</t>
        </is>
      </c>
      <c r="D13" t="inlineStr">
        <is>
          <t>s</t>
        </is>
      </c>
      <c r="E13" t="n">
        <v>5.55</v>
      </c>
      <c r="F13">
        <f>60/INDEX(cc_input_nhip_that!$B$2:$B$36,MATCH($P$13,cc_input_nhip_that!$A$2:$A$36,0))/IF(INDEX(cc_input_nhip_that!$C$2:$C$36,MATCH($P$13,cc_input_nhip_that!$A$2:$A$36,0))="gun",0.7,1)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TC0128</t>
        </is>
      </c>
      <c r="N13" t="inlineStr">
        <is>
          <t>R_balance;R_full_weapon_audit;W_wikipedia_9m133_kornet;W_wikipedia_bai_cua_tung_ten_lua_bang_warhead;R_machine_brigade_can_bang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tower_kornet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bulwark_post/bunker_hmg/nhip</t>
        </is>
      </c>
      <c r="B14" t="inlineStr">
        <is>
          <t>bulwark_post</t>
        </is>
      </c>
      <c r="C14" t="inlineStr">
        <is>
          <t>khe_mot_nong_mot_vien</t>
        </is>
      </c>
      <c r="D14" t="inlineStr">
        <is>
          <t>s</t>
        </is>
      </c>
      <c r="E14" t="n">
        <v>0.08866665</v>
      </c>
      <c r="F14">
        <f>60/INDEX(cc_input_nhip_that!$B$2:$B$36,MATCH($P$14,cc_input_nhip_that!$A$2:$A$36,0))/IF(INDEX(cc_input_nhip_that!$C$2:$C$36,MATCH($P$14,cc_input_nhip_that!$A$2:$A$36,0))="gun",0.7,1)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R_balance;R_full_weapon_audit;W_wikipedia_nsv_machine_gun;R_machine_brigade_can_bang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bunker_hmg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c_ram.dome/tamir/nhip</t>
        </is>
      </c>
      <c r="B15" t="inlineStr">
        <is>
          <t>c_ram.dome</t>
        </is>
      </c>
      <c r="C15" t="inlineStr">
        <is>
          <t>khe_mot_nong_mot_vien</t>
        </is>
      </c>
      <c r="D15" t="inlineStr">
        <is>
          <t>s</t>
        </is>
      </c>
      <c r="E15" t="n">
        <v>6.833333</v>
      </c>
      <c r="F15">
        <f>60/INDEX(cc_input_nhip_that!$B$2:$B$36,MATCH($P$15,cc_input_nhip_that!$A$2:$A$36,0))/IF(INDEX(cc_input_nhip_that!$C$2:$C$36,MATCH($P$15,cc_input_nhip_that!$A$2:$A$36,0))="gun",0.7,1)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>
        <is>
          <t>TC0129</t>
        </is>
      </c>
      <c r="N15" t="inlineStr">
        <is>
          <t>R_balance;R_full_weapon_audit;R_decisions;R_machine_brigade_can_bang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tamir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c_ram/c_ram_gatling/nhip</t>
        </is>
      </c>
      <c r="B16" t="inlineStr">
        <is>
          <t>c_ram</t>
        </is>
      </c>
      <c r="C16" t="inlineStr">
        <is>
          <t>khe_mot_nong_mot_vien</t>
        </is>
      </c>
      <c r="D16" t="inlineStr">
        <is>
          <t>s</t>
        </is>
      </c>
      <c r="E16" t="n">
        <v>0.035</v>
      </c>
      <c r="F16">
        <f>60/INDEX(cc_input_nhip_that!$B$2:$B$36,MATCH($P$16,cc_input_nhip_that!$A$2:$A$36,0))/IF(INDEX(cc_input_nhip_that!$C$2:$C$36,MATCH($P$16,cc_input_nhip_that!$A$2:$A$36,0))="gun",0.7,1)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R_balance;R_full_weapon_audit;W_wikipedia_phalanx_ciws;R_machine_brigade_can_bang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c_ram_gatling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coastal_battery/gun_155_coastal/nhip</t>
        </is>
      </c>
      <c r="B17" t="inlineStr">
        <is>
          <t>coastal_battery</t>
        </is>
      </c>
      <c r="C17" t="inlineStr">
        <is>
          <t>khe_mot_nong_mot_vien</t>
        </is>
      </c>
      <c r="D17" t="inlineStr">
        <is>
          <t>s</t>
        </is>
      </c>
      <c r="E17" t="n">
        <v>4.420007143</v>
      </c>
      <c r="F17">
        <f>60/INDEX(cc_input_nhip_that!$B$2:$B$36,MATCH($P$17,cc_input_nhip_that!$A$2:$A$36,0))/IF(INDEX(cc_input_nhip_that!$C$2:$C$36,MATCH($P$17,cc_input_nhip_that!$A$2:$A$36,0))="gun",0.7,1)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TC0130</t>
        </is>
      </c>
      <c r="N17" t="inlineStr">
        <is>
          <t>R_balance;R_full_weapon_audit;D_us_army_m109a7_fact_file;R_machine_brigade_can_bang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gun_155_coastal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guard_tower.nest/tower_ac25/nhip</t>
        </is>
      </c>
      <c r="B18" t="inlineStr">
        <is>
          <t>guard_tower.nest</t>
        </is>
      </c>
      <c r="C18" t="inlineStr">
        <is>
          <t>khe_mot_nong_mot_vien</t>
        </is>
      </c>
      <c r="D18" t="inlineStr">
        <is>
          <t>s</t>
        </is>
      </c>
      <c r="E18" t="n">
        <v>0.255</v>
      </c>
      <c r="F18">
        <f>60/INDEX(cc_input_nhip_that!$B$2:$B$36,MATCH($P$18,cc_input_nhip_that!$A$2:$A$36,0))/IF(INDEX(cc_input_nhip_that!$C$2:$C$36,MATCH($P$18,cc_input_nhip_that!$A$2:$A$36,0))="gun",0.7,1)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R_balance;R_full_weapon_audit;W_wikipedia_m242_bushmaster;R_machine_brigade_can_bang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tower_ac25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guard_tower/tower_hmg/nhip</t>
        </is>
      </c>
      <c r="B19" t="inlineStr">
        <is>
          <t>guard_tower</t>
        </is>
      </c>
      <c r="C19" t="inlineStr">
        <is>
          <t>khe_mot_nong_mot_vien</t>
        </is>
      </c>
      <c r="D19" t="inlineStr">
        <is>
          <t>s</t>
        </is>
      </c>
      <c r="E19" t="n">
        <v>0.125</v>
      </c>
      <c r="F19">
        <f>60/INDEX(cc_input_nhip_that!$B$2:$B$36,MATCH($P$19,cc_input_nhip_that!$A$2:$A$36,0))/IF(INDEX(cc_input_nhip_that!$C$2:$C$36,MATCH($P$19,cc_input_nhip_that!$A$2:$A$36,0))="gun",0.7,1)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tower_hmg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gun_turret.auto/gun_57_auto/nhip</t>
        </is>
      </c>
      <c r="B20" t="inlineStr">
        <is>
          <t>gun_turret.auto</t>
        </is>
      </c>
      <c r="C20" t="inlineStr">
        <is>
          <t>khe_mot_nong_mot_vien</t>
        </is>
      </c>
      <c r="D20" t="inlineStr">
        <is>
          <t>s</t>
        </is>
      </c>
      <c r="E20" t="n">
        <v>0.9</v>
      </c>
      <c r="F20">
        <f>60/INDEX(cc_input_nhip_that!$B$2:$B$36,MATCH($P$20,cc_input_nhip_that!$A$2:$A$36,0))/IF(INDEX(cc_input_nhip_that!$C$2:$C$36,MATCH($P$20,cc_input_nhip_that!$A$2:$A$36,0))="gun",0.7,1)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R_balance;R_full_weapon_audit;W_wikipedia_au_220m;R_machine_brigade_can_bang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gun_57_auto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gun_turret.long/turret_gun_120_long/nhip</t>
        </is>
      </c>
      <c r="B21" t="inlineStr">
        <is>
          <t>gun_turret.long</t>
        </is>
      </c>
      <c r="C21" t="inlineStr">
        <is>
          <t>khe_mot_nong_mot_vien</t>
        </is>
      </c>
      <c r="D21" t="inlineStr">
        <is>
          <t>s</t>
        </is>
      </c>
      <c r="E21" t="n">
        <v>3.9</v>
      </c>
      <c r="F21">
        <f>60/INDEX(cc_input_nhip_that!$B$2:$B$36,MATCH($P$21,cc_input_nhip_that!$A$2:$A$36,0))/IF(INDEX(cc_input_nhip_that!$C$2:$C$36,MATCH($P$21,cc_input_nhip_that!$A$2:$A$36,0))="gun",0.7,1)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TC0131</t>
        </is>
      </c>
      <c r="N21" t="inlineStr">
        <is>
          <t>R_balance;R_full_weapon_audit;W_wikipedia_rheinmetall_120_mm_gun;R_machine_brigade_can_bang</t>
        </is>
      </c>
      <c r="O21" t="inlineStr">
        <is>
          <t>nhịp tháp so với hệ thống thật (định nghĩa như 01_chien_dau/Vu_khi_so_sanh_that)</t>
        </is>
      </c>
      <c r="P21" t="inlineStr">
        <is>
          <t>turret_gun_120_long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gun_turret/turret_gun_120/nhip</t>
        </is>
      </c>
      <c r="B22" t="inlineStr">
        <is>
          <t>gun_turret</t>
        </is>
      </c>
      <c r="C22" t="inlineStr">
        <is>
          <t>khe_mot_nong_mot_vien</t>
        </is>
      </c>
      <c r="D22" t="inlineStr">
        <is>
          <t>s</t>
        </is>
      </c>
      <c r="E22" t="n">
        <v>2.88</v>
      </c>
      <c r="F22">
        <f>60/INDEX(cc_input_nhip_that!$B$2:$B$36,MATCH($P$22,cc_input_nhip_that!$A$2:$A$36,0))/IF(INDEX(cc_input_nhip_that!$C$2:$C$36,MATCH($P$22,cc_input_nhip_that!$A$2:$A$36,0))="gun",0.7,1)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>
        <is>
          <t>TC0132</t>
        </is>
      </c>
      <c r="N22" t="inlineStr">
        <is>
          <t>R_balance;R_full_weapon_audit;W_wikipedia_rheinmetall_120_mm_gun;R_machine_brigade_can_bang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turret_gun_120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heavy_flak_tower/flak_88/nhip</t>
        </is>
      </c>
      <c r="B23" t="inlineStr">
        <is>
          <t>heavy_flak_tower</t>
        </is>
      </c>
      <c r="C23" t="inlineStr">
        <is>
          <t>khe_mot_nong_mot_vien</t>
        </is>
      </c>
      <c r="D23" t="inlineStr">
        <is>
          <t>s</t>
        </is>
      </c>
      <c r="E23" t="n">
        <v>2</v>
      </c>
      <c r="F23">
        <f>60/INDEX(cc_input_nhip_that!$B$2:$B$36,MATCH($P$23,cc_input_nhip_that!$A$2:$A$36,0))/IF(INDEX(cc_input_nhip_that!$C$2:$C$36,MATCH($P$23,cc_input_nhip_that!$A$2:$A$36,0))="gun",0.7,1)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>
        <is>
          <t>TC0133</t>
        </is>
      </c>
      <c r="N23" t="inlineStr">
        <is>
          <t>R_balance;R_full_weapon_audit;W_wikipedia_ks_19</t>
        </is>
      </c>
      <c r="O23" t="inlineStr">
        <is>
          <t>nhịp tháp so với hệ thống thật (định nghĩa như 01_chien_dau/Vu_khi_so_sanh_that)</t>
        </is>
      </c>
      <c r="P23" t="inlineStr">
        <is>
          <t>flak_88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heavy_turret.bastion/hmg_roof/nhip</t>
        </is>
      </c>
      <c r="B24" t="inlineStr">
        <is>
          <t>heavy_turret.bastion</t>
        </is>
      </c>
      <c r="C24" t="inlineStr">
        <is>
          <t>khe_mot_nong_mot_vien</t>
        </is>
      </c>
      <c r="D24" t="inlineStr">
        <is>
          <t>s</t>
        </is>
      </c>
      <c r="E24" t="n">
        <v>0.1611</v>
      </c>
      <c r="F24">
        <f>60/INDEX(cc_input_nhip_that!$B$2:$B$36,MATCH($P$24,cc_input_nhip_that!$A$2:$A$36,0))/IF(INDEX(cc_input_nhip_that!$C$2:$C$36,MATCH($P$24,cc_input_nhip_that!$A$2:$A$36,0))="gun",0.7,1)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R_balance;R_full_weapon_audit;D_us_army_fm_3_22_65;R_machine_brigade_can_bang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hmg_roof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heavy_turret.coastal/gun_155_twin_coastlr/nhip</t>
        </is>
      </c>
      <c r="B25" t="inlineStr">
        <is>
          <t>heavy_turret.coastal</t>
        </is>
      </c>
      <c r="C25" t="inlineStr">
        <is>
          <t>khe_mot_nong_mot_vien</t>
        </is>
      </c>
      <c r="D25" t="inlineStr">
        <is>
          <t>s</t>
        </is>
      </c>
      <c r="E25" t="n">
        <v>5.55</v>
      </c>
      <c r="F25">
        <f>60/INDEX(cc_input_nhip_that!$B$2:$B$36,MATCH($P$25,cc_input_nhip_that!$A$2:$A$36,0))/IF(INDEX(cc_input_nhip_that!$C$2:$C$36,MATCH($P$25,cc_input_nhip_that!$A$2:$A$36,0))="gun",0.7,1)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>
        <is>
          <t>TC0134</t>
        </is>
      </c>
      <c r="N25" t="inlineStr">
        <is>
          <t>R_balance;R_full_weapon_audit;D_us_army_m109a7_fact_file;R_machine_brigade_can_bang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gun_155_twin_coastlr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heavy_turret/gun_155_twin_ap/nhip</t>
        </is>
      </c>
      <c r="B26" t="inlineStr">
        <is>
          <t>heavy_turret</t>
        </is>
      </c>
      <c r="C26" t="inlineStr">
        <is>
          <t>khe_mot_nong_mot_vien</t>
        </is>
      </c>
      <c r="D26" t="inlineStr">
        <is>
          <t>s</t>
        </is>
      </c>
      <c r="E26" t="n">
        <v>5.55</v>
      </c>
      <c r="F26">
        <f>60/INDEX(cc_input_nhip_that!$B$2:$B$36,MATCH($P$26,cc_input_nhip_that!$A$2:$A$36,0))/IF(INDEX(cc_input_nhip_that!$C$2:$C$36,MATCH($P$26,cc_input_nhip_that!$A$2:$A$36,0))="gun",0.7,1)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TC0135</t>
        </is>
      </c>
      <c r="N26" t="inlineStr">
        <is>
          <t>R_balance;R_full_weapon_audit;D_us_army_m109a7_fact_file</t>
        </is>
      </c>
      <c r="O26" t="inlineStr">
        <is>
          <t>nhịp tháp so với hệ thống thật (định nghĩa như 01_chien_dau/Vu_khi_so_sanh_that)</t>
        </is>
      </c>
      <c r="P26" t="inlineStr">
        <is>
          <t>gun_155_twin_ap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manpads_tower/sam/nhip</t>
        </is>
      </c>
      <c r="B27" t="inlineStr">
        <is>
          <t>manpads_tower</t>
        </is>
      </c>
      <c r="C27" t="inlineStr">
        <is>
          <t>khe_mot_nong_mot_vien</t>
        </is>
      </c>
      <c r="D27" t="inlineStr">
        <is>
          <t>s</t>
        </is>
      </c>
      <c r="E27" t="n">
        <v>4.452</v>
      </c>
      <c r="F27">
        <f>60/INDEX(cc_input_nhip_that!$B$2:$B$36,MATCH($P$27,cc_input_nhip_that!$A$2:$A$36,0))/IF(INDEX(cc_input_nhip_that!$C$2:$C$36,MATCH($P$27,cc_input_nhip_that!$A$2:$A$36,0))="gun",0.7,1)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/>
      <c r="N27" t="inlineStr">
        <is>
          <t>R_balance;R_full_weapon_audit;W_wikipedia_bai_cua_tung_ten_lua_bang_warhead;R_machine_brigade_can_bang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sam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mg_bunker.twin/bunker_hmg_twin/nhip</t>
        </is>
      </c>
      <c r="B28" t="inlineStr">
        <is>
          <t>mg_bunker.twin</t>
        </is>
      </c>
      <c r="C28" t="inlineStr">
        <is>
          <t>khe_mot_nong_mot_vien</t>
        </is>
      </c>
      <c r="D28" t="inlineStr">
        <is>
          <t>s</t>
        </is>
      </c>
      <c r="E28" t="n">
        <v>0.1533333</v>
      </c>
      <c r="F28">
        <f>60/INDEX(cc_input_nhip_that!$B$2:$B$36,MATCH($P$28,cc_input_nhip_that!$A$2:$A$36,0))/IF(INDEX(cc_input_nhip_that!$C$2:$C$36,MATCH($P$28,cc_input_nhip_that!$A$2:$A$36,0))="gun",0.7,1)</f>
        <v/>
      </c>
      <c r="G28">
        <f>$E$28/$F$28</f>
        <v/>
      </c>
      <c r="H28" t="n">
        <v>0.6</v>
      </c>
      <c r="I28" t="n">
        <v>2</v>
      </c>
      <c r="J28" t="b">
        <v>1</v>
      </c>
      <c r="K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nhịp tháp so với hệ thống thật (định nghĩa như 01_chien_dau/Vu_khi_so_sanh_that)</t>
        </is>
      </c>
      <c r="P28" t="inlineStr">
        <is>
          <t>bunker_hmg_twin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mg_bunker/bunker_hmg/nhip</t>
        </is>
      </c>
      <c r="B29" t="inlineStr">
        <is>
          <t>mg_bunker</t>
        </is>
      </c>
      <c r="C29" t="inlineStr">
        <is>
          <t>khe_mot_nong_mot_vien</t>
        </is>
      </c>
      <c r="D29" t="inlineStr">
        <is>
          <t>s</t>
        </is>
      </c>
      <c r="E29" t="n">
        <v>0.08866665</v>
      </c>
      <c r="F29">
        <f>60/INDEX(cc_input_nhip_that!$B$2:$B$36,MATCH($P$29,cc_input_nhip_that!$A$2:$A$36,0))/IF(INDEX(cc_input_nhip_that!$C$2:$C$36,MATCH($P$29,cc_input_nhip_that!$A$2:$A$36,0))="gun",0.7,1)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R_balance;R_full_weapon_audit;W_wikipedia_nsv_machine_gun;R_machine_brigade_can_bang</t>
        </is>
      </c>
      <c r="O29" t="inlineStr">
        <is>
          <t>nhịp tháp so với hệ thống thật (định nghĩa như 01_chien_dau/Vu_khi_so_sanh_that)</t>
        </is>
      </c>
      <c r="P29" t="inlineStr">
        <is>
          <t>bunker_hmg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missile_battery.lrr/sam_battery_lrr/nhip</t>
        </is>
      </c>
      <c r="B30" t="inlineStr">
        <is>
          <t>missile_battery.lrr</t>
        </is>
      </c>
      <c r="C30" t="inlineStr">
        <is>
          <t>khe_mot_nong_mot_vien</t>
        </is>
      </c>
      <c r="D30" t="inlineStr">
        <is>
          <t>s</t>
        </is>
      </c>
      <c r="E30" t="n">
        <v>1.95</v>
      </c>
      <c r="F30">
        <f>60/INDEX(cc_input_nhip_that!$B$2:$B$36,MATCH($P$30,cc_input_nhip_that!$A$2:$A$36,0))/IF(INDEX(cc_input_nhip_that!$C$2:$C$36,MATCH($P$30,cc_input_nhip_that!$A$2:$A$36,0))="gun",0.7,1)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R_balance;R_full_weapon_audit;W_wikipedia_mim_104_patriot;R_machine_brigade_can_bang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sam_battery_lrr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missile_battery.pac3/sam_pac3/nhip</t>
        </is>
      </c>
      <c r="B31" t="inlineStr">
        <is>
          <t>missile_battery.pac3</t>
        </is>
      </c>
      <c r="C31" t="inlineStr">
        <is>
          <t>khe_mot_nong_mot_vien</t>
        </is>
      </c>
      <c r="D31" t="inlineStr">
        <is>
          <t>s</t>
        </is>
      </c>
      <c r="E31" t="n">
        <v>3.350001</v>
      </c>
      <c r="F31">
        <f>60/INDEX(cc_input_nhip_that!$B$2:$B$36,MATCH($P$31,cc_input_nhip_that!$A$2:$A$36,0))/IF(INDEX(cc_input_nhip_that!$C$2:$C$36,MATCH($P$31,cc_input_nhip_that!$A$2:$A$36,0))="gun",0.7,1)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R_balance;R_full_weapon_audit;W_wikipedia_mim_104_patriot;W_wikipedia_bai_cua_tung_ten_lua_bang_warhead;R_machine_brigade_can_bang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sam_pac3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missile_battery/patriot/nhip</t>
        </is>
      </c>
      <c r="B32" t="inlineStr">
        <is>
          <t>missile_battery</t>
        </is>
      </c>
      <c r="C32" t="inlineStr">
        <is>
          <t>khe_mot_nong_mot_vien</t>
        </is>
      </c>
      <c r="D32" t="inlineStr">
        <is>
          <t>s</t>
        </is>
      </c>
      <c r="E32" t="n">
        <v>1.599999</v>
      </c>
      <c r="F32">
        <f>60/INDEX(cc_input_nhip_that!$B$2:$B$36,MATCH($P$32,cc_input_nhip_that!$A$2:$A$36,0))/IF(INDEX(cc_input_nhip_that!$C$2:$C$36,MATCH($P$32,cc_input_nhip_that!$A$2:$A$36,0))="gun",0.7,1)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>
        <is>
          <t>TC0136</t>
        </is>
      </c>
      <c r="N32" t="inlineStr">
        <is>
          <t>R_balance;R_full_weapon_audit;W_wikipedia_mim_104_patriot;R_machine_brigade_can_bang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patriot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one_shot_atgm_tower/one_shot_kornet/nhip</t>
        </is>
      </c>
      <c r="B33" t="inlineStr">
        <is>
          <t>one_shot_atgm_tower</t>
        </is>
      </c>
      <c r="C33" t="inlineStr">
        <is>
          <t>khe_mot_nong_mot_vien</t>
        </is>
      </c>
      <c r="D33" t="inlineStr">
        <is>
          <t>s</t>
        </is>
      </c>
      <c r="E33" t="n">
        <v>1.2</v>
      </c>
      <c r="F33">
        <f>60/INDEX(cc_input_nhip_that!$B$2:$B$36,MATCH($P$33,cc_input_nhip_that!$A$2:$A$36,0))/IF(INDEX(cc_input_nhip_that!$C$2:$C$36,MATCH($P$33,cc_input_nhip_that!$A$2:$A$36,0))="gun",0.7,1)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TC0137</t>
        </is>
      </c>
      <c r="N33" t="inlineStr">
        <is>
          <t>R_balance;R_full_weapon_audit;W_wikipedia_9m133_kornet;W_wikipedia_bai_cua_tung_ten_lua_bang_warhead</t>
        </is>
      </c>
      <c r="O33" t="inlineStr">
        <is>
          <t>nhịp tháp so với hệ thống thật (định nghĩa như 01_chien_dau/Vu_khi_so_sanh_that)</t>
        </is>
      </c>
      <c r="P33" t="inlineStr">
        <is>
          <t>one_shot_kornet</t>
        </is>
      </c>
      <c r="Q33" t="inlineStr">
        <is>
          <t>Tools/balance/full_weapon_audit.py (bảng REAL) qua input_nhip_that / input_ty_le_nhip</t>
        </is>
      </c>
      <c r="R33" t="inlineStr"/>
    </row>
    <row r="34">
      <c r="A34" t="inlineStr">
        <is>
          <t>recoilless_gun_tower/spg9_73mm/nhip</t>
        </is>
      </c>
      <c r="B34" t="inlineStr">
        <is>
          <t>recoilless_gun_tower</t>
        </is>
      </c>
      <c r="C34" t="inlineStr">
        <is>
          <t>khe_mot_nong_mot_vien</t>
        </is>
      </c>
      <c r="D34" t="inlineStr">
        <is>
          <t>s</t>
        </is>
      </c>
      <c r="E34" t="n">
        <v>6.67</v>
      </c>
      <c r="F34">
        <f>60/INDEX(cc_input_nhip_that!$B$2:$B$36,MATCH($P$34,cc_input_nhip_that!$A$2:$A$36,0))/IF(INDEX(cc_input_nhip_that!$C$2:$C$36,MATCH($P$34,cc_input_nhip_that!$A$2:$A$36,0))="gun",0.7,1)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>
        <is>
          <t>TC0138</t>
        </is>
      </c>
      <c r="N34" t="inlineStr">
        <is>
          <t>R_balance;R_full_weapon_audit;W_wikipedia_spg_9</t>
        </is>
      </c>
      <c r="O34" t="inlineStr">
        <is>
          <t>nhịp tháp so với hệ thống thật (định nghĩa như 01_chien_dau/Vu_khi_so_sanh_that)</t>
        </is>
      </c>
      <c r="P34" t="inlineStr">
        <is>
          <t>spg9_73mm</t>
        </is>
      </c>
      <c r="Q34" t="inlineStr">
        <is>
          <t>Tools/balance/full_weapon_audit.py (bảng REAL) qua input_nhip_that / input_ty_le_nhip</t>
        </is>
      </c>
      <c r="R34" t="inlineStr"/>
    </row>
    <row r="35">
      <c r="A35" t="inlineStr">
        <is>
          <t>rocket_turret.cluster/turret_rockets_cluster/nhip</t>
        </is>
      </c>
      <c r="B35" t="inlineStr">
        <is>
          <t>rocket_turret.cluster</t>
        </is>
      </c>
      <c r="C35" t="inlineStr">
        <is>
          <t>khe_mot_nong_mot_vien</t>
        </is>
      </c>
      <c r="D35" t="inlineStr">
        <is>
          <t>s</t>
        </is>
      </c>
      <c r="E35" t="n">
        <v>0.5</v>
      </c>
      <c r="F35">
        <f>60/INDEX(cc_input_nhip_that!$B$2:$B$36,MATCH($P$35,cc_input_nhip_that!$A$2:$A$36,0))/IF(INDEX(cc_input_nhip_that!$C$2:$C$36,MATCH($P$35,cc_input_nhip_that!$A$2:$A$36,0))="gun",0.7,1)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R_balance;R_full_weapon_audit;W_wikipedia_bm_21_grad;R_machine_brigade_can_bang</t>
        </is>
      </c>
      <c r="O35" t="inlineStr">
        <is>
          <t>nhịp tháp so với hệ thống thật (định nghĩa như 01_chien_dau/Vu_khi_so_sanh_that)</t>
        </is>
      </c>
      <c r="P35" t="inlineStr">
        <is>
          <t>turret_rockets_cluster</t>
        </is>
      </c>
      <c r="Q35" t="inlineStr">
        <is>
          <t>Tools/balance/full_weapon_audit.py (bảng REAL) qua input_nhip_that / input_ty_le_nhip</t>
        </is>
      </c>
      <c r="R35" t="inlineStr"/>
    </row>
    <row r="36">
      <c r="A36" t="inlineStr">
        <is>
          <t>rocket_turret.guided/turret_gmlrs/nhip</t>
        </is>
      </c>
      <c r="B36" t="inlineStr">
        <is>
          <t>rocket_turret.guided</t>
        </is>
      </c>
      <c r="C36" t="inlineStr">
        <is>
          <t>khe_mot_nong_mot_vien</t>
        </is>
      </c>
      <c r="D36" t="inlineStr">
        <is>
          <t>s</t>
        </is>
      </c>
      <c r="E36" t="n">
        <v>0.5</v>
      </c>
      <c r="F36">
        <f>60/INDEX(cc_input_nhip_that!$B$2:$B$36,MATCH($P$36,cc_input_nhip_that!$A$2:$A$36,0))/IF(INDEX(cc_input_nhip_that!$C$2:$C$36,MATCH($P$36,cc_input_nhip_that!$A$2:$A$36,0))="gun",0.7,1)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TC0139</t>
        </is>
      </c>
      <c r="N36" t="inlineStr">
        <is>
          <t>R_balance;R_full_weapon_audit;W_wikipedia_m270_mlrs;R_machine_brigade_can_bang</t>
        </is>
      </c>
      <c r="O36" t="inlineStr">
        <is>
          <t>nhịp tháp so với hệ thống thật (định nghĩa như 01_chien_dau/Vu_khi_so_sanh_that)</t>
        </is>
      </c>
      <c r="P36" t="inlineStr">
        <is>
          <t>turret_gmlrs</t>
        </is>
      </c>
      <c r="Q36" t="inlineStr">
        <is>
          <t>Tools/balance/full_weapon_audit.py (bảng REAL) qua input_nhip_that / input_ty_le_nhip</t>
        </is>
      </c>
      <c r="R36" t="inlineStr"/>
    </row>
    <row r="37">
      <c r="A37" t="inlineStr">
        <is>
          <t>rocket_turret/turret_rockets/nhip</t>
        </is>
      </c>
      <c r="B37" t="inlineStr">
        <is>
          <t>rocket_turret</t>
        </is>
      </c>
      <c r="C37" t="inlineStr">
        <is>
          <t>khe_mot_nong_mot_vien</t>
        </is>
      </c>
      <c r="D37" t="inlineStr">
        <is>
          <t>s</t>
        </is>
      </c>
      <c r="E37" t="n">
        <v>0.5</v>
      </c>
      <c r="F37">
        <f>60/INDEX(cc_input_nhip_that!$B$2:$B$36,MATCH($P$37,cc_input_nhip_that!$A$2:$A$36,0))/IF(INDEX(cc_input_nhip_that!$C$2:$C$36,MATCH($P$37,cc_input_nhip_that!$A$2:$A$36,0))="gun",0.7,1)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R_balance;R_full_weapon_audit;W_wikipedia_bm_21_grad;R_machine_brigade_can_bang</t>
        </is>
      </c>
      <c r="O37" t="inlineStr">
        <is>
          <t>nhịp tháp so với hệ thống thật (định nghĩa như 01_chien_dau/Vu_khi_so_sanh_that)</t>
        </is>
      </c>
      <c r="P37" t="inlineStr">
        <is>
          <t>turret_rockets</t>
        </is>
      </c>
      <c r="Q37" t="inlineStr">
        <is>
          <t>Tools/balance/full_weapon_audit.py (bảng REAL) qua input_nhip_that / input_ty_le_nhip</t>
        </is>
      </c>
      <c r="R37" t="inlineStr"/>
    </row>
    <row r="38">
      <c r="A38" t="inlineStr">
        <is>
          <t>spawn_bastion/bastion_gun/nhip</t>
        </is>
      </c>
      <c r="B38" t="inlineStr">
        <is>
          <t>spawn_bastion</t>
        </is>
      </c>
      <c r="C38" t="inlineStr">
        <is>
          <t>khe_mot_nong_mot_vien</t>
        </is>
      </c>
      <c r="D38" t="inlineStr">
        <is>
          <t>s</t>
        </is>
      </c>
      <c r="E38" t="n">
        <v>5.209997143</v>
      </c>
      <c r="F38">
        <f>60/INDEX(cc_input_nhip_that!$B$2:$B$36,MATCH($P$38,cc_input_nhip_that!$A$2:$A$36,0))/IF(INDEX(cc_input_nhip_that!$C$2:$C$36,MATCH($P$38,cc_input_nhip_that!$A$2:$A$36,0))="gun",0.7,1)</f>
        <v/>
      </c>
      <c r="G38">
        <f>$E$38/$F$38</f>
        <v/>
      </c>
      <c r="H38" t="n">
        <v>0.6</v>
      </c>
      <c r="I38" t="n">
        <v>2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R_balance;R_full_weapon_audit;R_machine_brigade_can_bang</t>
        </is>
      </c>
      <c r="O38" t="inlineStr">
        <is>
          <t>nhịp tháp so với hệ thống thật (định nghĩa như 01_chien_dau/Vu_khi_so_sanh_that)</t>
        </is>
      </c>
      <c r="P38" t="inlineStr">
        <is>
          <t>bastion_gun</t>
        </is>
      </c>
      <c r="Q38" t="inlineStr">
        <is>
          <t>Tools/balance/full_weapon_audit.py (bảng REAL) qua input_nhip_that / input_ty_le_nhip</t>
        </is>
      </c>
      <c r="R38" t="inlineStr"/>
    </row>
  </sheetData>
  <autoFilter ref="A1:R3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at_gun_100</t>
        </is>
      </c>
      <c r="B2" t="n">
        <v>14</v>
      </c>
      <c r="C2" t="inlineStr">
        <is>
          <t>gun</t>
        </is>
      </c>
      <c r="D2" t="inlineStr">
        <is>
          <t>Wikipedia 'MT-12 Rapira': 6-14 rpm</t>
        </is>
      </c>
      <c r="E2" t="inlineStr">
        <is>
          <t>01_chien_dau/Vu_khi (id at_gun_100)</t>
        </is>
      </c>
      <c r="F2" t="inlineStr"/>
    </row>
    <row r="3">
      <c r="A3" t="inlineStr">
        <is>
          <t>bastion_gun</t>
        </is>
      </c>
      <c r="B3" t="n">
        <v>10</v>
      </c>
      <c r="C3" t="inlineStr">
        <is>
          <t>gun</t>
        </is>
      </c>
      <c r="D3" t="inlineStr">
        <is>
          <t>Object 195 / T-14 152 mm, est. ~10 rpm (the sheet)</t>
        </is>
      </c>
      <c r="E3" t="inlineStr">
        <is>
          <t>01_chien_dau/Vu_khi (id bastion_gun)</t>
        </is>
      </c>
      <c r="F3" t="inlineStr"/>
    </row>
    <row r="4">
      <c r="A4" t="inlineStr">
        <is>
          <t>bofors_l70</t>
        </is>
      </c>
      <c r="B4" t="n">
        <v>330</v>
      </c>
      <c r="C4" t="inlineStr">
        <is>
          <t>aa</t>
        </is>
      </c>
      <c r="D4" t="inlineStr">
        <is>
          <t>Wikipedia 'Bofors 40 mm L/70': 240-330 rpm</t>
        </is>
      </c>
      <c r="E4" t="inlineStr">
        <is>
          <t>01_chien_dau/Vu_khi (id bofors_l70)</t>
        </is>
      </c>
      <c r="F4" t="inlineStr"/>
    </row>
    <row r="5">
      <c r="A5" t="inlineStr">
        <is>
          <t>bunker_hmg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bunker_hmg)</t>
        </is>
      </c>
      <c r="F5" t="inlineStr"/>
    </row>
    <row r="6">
      <c r="A6" t="inlineStr">
        <is>
          <t>bunker_hmg_twin</t>
        </is>
      </c>
      <c r="B6" t="n">
        <v>800</v>
      </c>
      <c r="C6" t="inlineStr">
        <is>
          <t>mg</t>
        </is>
      </c>
      <c r="D6" t="inlineStr">
        <is>
          <t>Wikipedia 'NSV machine gun': 700-800 cyclic, 100 practical</t>
        </is>
      </c>
      <c r="E6" t="inlineStr">
        <is>
          <t>01_chien_dau/Vu_khi (id bunker_hmg_twin)</t>
        </is>
      </c>
      <c r="F6" t="inlineStr"/>
    </row>
    <row r="7">
      <c r="A7" t="inlineStr">
        <is>
          <t>c_ram_gatling</t>
        </is>
      </c>
      <c r="B7" t="n">
        <v>4500</v>
      </c>
      <c r="C7" t="inlineStr">
        <is>
          <t>aa</t>
        </is>
      </c>
      <c r="D7" t="inlineStr">
        <is>
          <t>Wikipedia 'Phalanx CIWS': 4,500 rpm (C-RAM)</t>
        </is>
      </c>
      <c r="E7" t="inlineStr">
        <is>
          <t>01_chien_dau/Vu_khi (id c_ram_gatling)</t>
        </is>
      </c>
      <c r="F7" t="inlineStr"/>
    </row>
    <row r="8">
      <c r="A8" t="inlineStr">
        <is>
          <t>flak_88</t>
        </is>
      </c>
      <c r="B8" t="n">
        <v>15</v>
      </c>
      <c r="C8" t="inlineStr">
        <is>
          <t>aa</t>
        </is>
      </c>
      <c r="D8" t="inlineStr">
        <is>
          <t>Wikipedia 'KS-19': 15 rpm</t>
        </is>
      </c>
      <c r="E8" t="inlineStr">
        <is>
          <t>01_chien_dau/Vu_khi (id flak_88)</t>
        </is>
      </c>
      <c r="F8" t="inlineStr"/>
    </row>
    <row r="9">
      <c r="A9" t="inlineStr">
        <is>
          <t>flak_quad</t>
        </is>
      </c>
      <c r="B9" t="n">
        <v>1000</v>
      </c>
      <c r="C9" t="inlineStr">
        <is>
          <t>aa</t>
        </is>
      </c>
      <c r="D9" t="inlineStr">
        <is>
          <t>Wikipedia 'ZSU-23-4 Shilka': 4 x 850-1,000 rpm</t>
        </is>
      </c>
      <c r="E9" t="inlineStr">
        <is>
          <t>01_chien_dau/Vu_khi (id flak_quad)</t>
        </is>
      </c>
      <c r="F9" t="inlineStr"/>
    </row>
    <row r="10">
      <c r="A10" t="inlineStr">
        <is>
          <t>gun_57_auto</t>
        </is>
      </c>
      <c r="B10" t="n">
        <v>120</v>
      </c>
      <c r="C10" t="inlineStr">
        <is>
          <t>ac</t>
        </is>
      </c>
      <c r="D10" t="inlineStr">
        <is>
          <t>Wikipedia 'AU-220M': 80-120 rpm</t>
        </is>
      </c>
      <c r="E10" t="inlineStr">
        <is>
          <t>01_chien_dau/Vu_khi (id gun_57_auto)</t>
        </is>
      </c>
      <c r="F10" t="inlineStr"/>
    </row>
    <row r="11">
      <c r="A11" t="inlineStr">
        <is>
          <t>gun_155_coastal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gun_155_coastal)</t>
        </is>
      </c>
      <c r="F11" t="inlineStr"/>
    </row>
    <row r="12">
      <c r="A12" t="inlineStr">
        <is>
          <t>gun_155_twin_ap</t>
        </is>
      </c>
      <c r="B12" t="n">
        <v>4</v>
      </c>
      <c r="C12" t="inlineStr">
        <is>
          <t>gun</t>
        </is>
      </c>
      <c r="D12" t="inlineStr">
        <is>
          <t>US Army M109A7 fact file: 4 rpm for 3 min, 1 rpm sustained</t>
        </is>
      </c>
      <c r="E12" t="inlineStr">
        <is>
          <t>01_chien_dau/Vu_khi (id gun_155_twin_ap)</t>
        </is>
      </c>
      <c r="F12" t="inlineStr"/>
    </row>
    <row r="13">
      <c r="A13" t="inlineStr">
        <is>
          <t>gun_155_twin_coastlr</t>
        </is>
      </c>
      <c r="B13" t="n">
        <v>4</v>
      </c>
      <c r="C13" t="inlineStr">
        <is>
          <t>gun</t>
        </is>
      </c>
      <c r="D13" t="inlineStr">
        <is>
          <t>US Army M109A7 fact file: 4 rpm for 3 min, 1 rpm sustained</t>
        </is>
      </c>
      <c r="E13" t="inlineStr">
        <is>
          <t>01_chien_dau/Vu_khi (id gun_155_twin_coastlr)</t>
        </is>
      </c>
      <c r="F13" t="inlineStr"/>
    </row>
    <row r="14">
      <c r="A14" t="inlineStr">
        <is>
          <t>hmg_roof</t>
        </is>
      </c>
      <c r="B14" t="n">
        <v>600</v>
      </c>
      <c r="C14" t="inlineStr">
        <is>
          <t>mg</t>
        </is>
      </c>
      <c r="D14" t="inlineStr">
        <is>
          <t>US Army FM 3-22.65: cyclic 450-600, rapid 40 rpm</t>
        </is>
      </c>
      <c r="E14" t="inlineStr">
        <is>
          <t>01_chien_dau/Vu_khi (id hmg_roof)</t>
        </is>
      </c>
      <c r="F14" t="inlineStr"/>
    </row>
    <row r="15">
      <c r="A15" t="inlineStr">
        <is>
          <t>howitzer_cb</t>
        </is>
      </c>
      <c r="B15" t="n">
        <v>4</v>
      </c>
      <c r="C15" t="inlineStr">
        <is>
          <t>gun</t>
        </is>
      </c>
      <c r="D15" t="inlineStr">
        <is>
          <t>US Army M109A7 fact file: 4 rpm for 3 min, 1 rpm sustained</t>
        </is>
      </c>
      <c r="E15" t="inlineStr">
        <is>
          <t>01_chien_dau/Vu_khi (id howitzer_cb)</t>
        </is>
      </c>
      <c r="F15" t="inlineStr"/>
    </row>
    <row r="16">
      <c r="A16" t="inlineStr">
        <is>
          <t>howitzer_fixed</t>
        </is>
      </c>
      <c r="B16" t="n">
        <v>4</v>
      </c>
      <c r="C16" t="inlineStr">
        <is>
          <t>gun</t>
        </is>
      </c>
      <c r="D16" t="inlineStr">
        <is>
          <t>US Army M109A7 fact file: 4 rpm for 3 min, 1 rpm sustained</t>
        </is>
      </c>
      <c r="E16" t="inlineStr">
        <is>
          <t>01_chien_dau/Vu_khi (id howitzer_fixed)</t>
        </is>
      </c>
      <c r="F16" t="inlineStr"/>
    </row>
    <row r="17">
      <c r="A17" t="inlineStr">
        <is>
          <t>kornet_multi</t>
        </is>
      </c>
      <c r="B17" t="n">
        <v>3</v>
      </c>
      <c r="C17" t="inlineStr">
        <is>
          <t>atgm</t>
        </is>
      </c>
      <c r="D17" t="inlineStr">
        <is>
          <t>Wikipedia '9M133 Kornet': 2-3 rpm</t>
        </is>
      </c>
      <c r="E17" t="inlineStr">
        <is>
          <t>01_chien_dau/Vu_khi (id kornet_multi)</t>
        </is>
      </c>
      <c r="F17" t="inlineStr"/>
    </row>
    <row r="18">
      <c r="A18" t="inlineStr">
        <is>
          <t>kornet_top</t>
        </is>
      </c>
      <c r="B18" t="n">
        <v>3</v>
      </c>
      <c r="C18" t="inlineStr">
        <is>
          <t>atgm</t>
        </is>
      </c>
      <c r="D18" t="inlineStr">
        <is>
          <t>Wikipedia '9M133 Kornet': 2-3 rpm</t>
        </is>
      </c>
      <c r="E18" t="inlineStr">
        <is>
          <t>01_chien_dau/Vu_khi (id kornet_top)</t>
        </is>
      </c>
      <c r="F18" t="inlineStr"/>
    </row>
    <row r="19">
      <c r="A19" t="inlineStr">
        <is>
          <t>mortar_240_fixed</t>
        </is>
      </c>
      <c r="B19" t="n">
        <v>1</v>
      </c>
      <c r="C19" t="inlineStr">
        <is>
          <t>gun</t>
        </is>
      </c>
      <c r="D19" t="inlineStr">
        <is>
          <t>Wikipedia '2S4 Tyulpan': ~1 rpm</t>
        </is>
      </c>
      <c r="E19" t="inlineStr">
        <is>
          <t>01_chien_dau/Vu_khi (id mortar_240_fixed)</t>
        </is>
      </c>
      <c r="F19" t="inlineStr"/>
    </row>
    <row r="20">
      <c r="A20" t="inlineStr">
        <is>
          <t>one_shot_kornet</t>
        </is>
      </c>
      <c r="B20" t="n">
        <v>3</v>
      </c>
      <c r="C20" t="inlineStr">
        <is>
          <t>atgm</t>
        </is>
      </c>
      <c r="D20" t="inlineStr">
        <is>
          <t>Wikipedia '9M133 Kornet': 2-3 rpm</t>
        </is>
      </c>
      <c r="E20" t="inlineStr">
        <is>
          <t>01_chien_dau/Vu_khi (id one_shot_kornet)</t>
        </is>
      </c>
      <c r="F20" t="inlineStr"/>
    </row>
    <row r="21">
      <c r="A21" t="inlineStr">
        <is>
          <t>patriot</t>
        </is>
      </c>
      <c r="B21" t="n">
        <v>20</v>
      </c>
      <c r="C21" t="inlineStr">
        <is>
          <t>missile</t>
        </is>
      </c>
      <c r="D21" t="inlineStr">
        <is>
          <t>Wikipedia 'MIM-104 Patriot': ripples a few seconds apart (est. 3 s)</t>
        </is>
      </c>
      <c r="E21" t="inlineStr">
        <is>
          <t>01_chien_dau/Vu_khi (id patriot)</t>
        </is>
      </c>
      <c r="F21" t="inlineStr"/>
    </row>
    <row r="22">
      <c r="A22" t="inlineStr">
        <is>
          <t>sam</t>
        </is>
      </c>
      <c r="B22" t="n">
        <v>20</v>
      </c>
      <c r="C22" t="inlineStr">
        <is>
          <t>missile</t>
        </is>
      </c>
      <c r="D22" t="inlineStr">
        <is>
          <t>Avenger / Stormer: ~3 s between rounds (est.); a MANPADS team 6-10 s</t>
        </is>
      </c>
      <c r="E22" t="inlineStr">
        <is>
          <t>01_chien_dau/Vu_khi (id sam)</t>
        </is>
      </c>
      <c r="F22" t="inlineStr"/>
    </row>
    <row r="23">
      <c r="A23" t="inlineStr">
        <is>
          <t>sam_battery_lrr</t>
        </is>
      </c>
      <c r="B23" t="n">
        <v>20</v>
      </c>
      <c r="C23" t="inlineStr">
        <is>
          <t>missile</t>
        </is>
      </c>
      <c r="D23" t="inlineStr">
        <is>
          <t>Wikipedia 'MIM-104 Patriot': ripples a few seconds apart (est. 3 s)</t>
        </is>
      </c>
      <c r="E23" t="inlineStr">
        <is>
          <t>01_chien_dau/Vu_khi (id sam_battery_lrr)</t>
        </is>
      </c>
      <c r="F23" t="inlineStr"/>
    </row>
    <row r="24">
      <c r="A24" t="inlineStr">
        <is>
          <t>sam_pac3</t>
        </is>
      </c>
      <c r="B24" t="n">
        <v>20</v>
      </c>
      <c r="C24" t="inlineStr">
        <is>
          <t>missile</t>
        </is>
      </c>
      <c r="D24" t="inlineStr">
        <is>
          <t>Wikipedia 'MIM-104 Patriot': ripples a few seconds apart (est. 3 s)</t>
        </is>
      </c>
      <c r="E24" t="inlineStr">
        <is>
          <t>01_chien_dau/Vu_khi (id sam_pac3)</t>
        </is>
      </c>
      <c r="F24" t="inlineStr"/>
    </row>
    <row r="25">
      <c r="A25" t="inlineStr">
        <is>
          <t>spg9_73mm</t>
        </is>
      </c>
      <c r="B25" t="n">
        <v>6</v>
      </c>
      <c r="C25" t="inlineStr">
        <is>
          <t>gun</t>
        </is>
      </c>
      <c r="D25" t="inlineStr">
        <is>
          <t>Wikipedia 'SPG-9': 5-6 rpm</t>
        </is>
      </c>
      <c r="E25" t="inlineStr">
        <is>
          <t>01_chien_dau/Vu_khi (id spg9_73mm)</t>
        </is>
      </c>
      <c r="F25" t="inlineStr"/>
    </row>
    <row r="26">
      <c r="A26" t="inlineStr">
        <is>
          <t>stinger_post</t>
        </is>
      </c>
      <c r="B26" t="n">
        <v>20</v>
      </c>
      <c r="C26" t="inlineStr">
        <is>
          <t>missile</t>
        </is>
      </c>
      <c r="D26" t="inlineStr">
        <is>
          <t>Avenger / Stormer: ~3 s between rounds (est.); a MANPADS team 6-10 s</t>
        </is>
      </c>
      <c r="E26" t="inlineStr">
        <is>
          <t>01_chien_dau/Vu_khi (id stinger_post)</t>
        </is>
      </c>
      <c r="F26" t="inlineStr"/>
    </row>
    <row r="27">
      <c r="A27" t="inlineStr">
        <is>
          <t>tamir</t>
        </is>
      </c>
      <c r="B27" t="n">
        <v>60</v>
      </c>
      <c r="C27" t="inlineStr">
        <is>
          <t>missile</t>
        </is>
      </c>
      <c r="D27" t="inlineStr">
        <is>
          <t>Iron Dome: launches 1-2 s apart (DECISIONS 19R)</t>
        </is>
      </c>
      <c r="E27" t="inlineStr">
        <is>
          <t>01_chien_dau/Vu_khi (id tamir)</t>
        </is>
      </c>
      <c r="F27" t="inlineStr"/>
    </row>
    <row r="28">
      <c r="A28" t="inlineStr">
        <is>
          <t>tower_ac25</t>
        </is>
      </c>
      <c r="B28" t="n">
        <v>500</v>
      </c>
      <c r="C28" t="inlineStr">
        <is>
          <t>ac</t>
        </is>
      </c>
      <c r="D28" t="inlineStr">
        <is>
          <t>Wikipedia 'M242 Bushmaster': 200 or 500 rpm</t>
        </is>
      </c>
      <c r="E28" t="inlineStr">
        <is>
          <t>01_chien_dau/Vu_khi (id tower_ac25)</t>
        </is>
      </c>
      <c r="F28" t="inlineStr"/>
    </row>
    <row r="29">
      <c r="A29" t="inlineStr">
        <is>
          <t>tower_flak_30</t>
        </is>
      </c>
      <c r="B29" t="n">
        <v>2500</v>
      </c>
      <c r="C29" t="inlineStr">
        <is>
          <t>aa</t>
        </is>
      </c>
      <c r="D29" t="inlineStr">
        <is>
          <t>Wikipedia '2A38': 4,060-5,000 rpm the twin mount</t>
        </is>
      </c>
      <c r="E29" t="inlineStr">
        <is>
          <t>01_chien_dau/Vu_khi (id tower_flak_30)</t>
        </is>
      </c>
      <c r="F29" t="inlineStr"/>
    </row>
    <row r="30">
      <c r="A30" t="inlineStr">
        <is>
          <t>tower_hmg</t>
        </is>
      </c>
      <c r="B30" t="n">
        <v>600</v>
      </c>
      <c r="C30" t="inlineStr">
        <is>
          <t>mg</t>
        </is>
      </c>
      <c r="D30" t="inlineStr">
        <is>
          <t>US Army FM 3-22.65: cyclic 450-600, rapid 40 rpm</t>
        </is>
      </c>
      <c r="E30" t="inlineStr">
        <is>
          <t>01_chien_dau/Vu_khi (id tower_hmg)</t>
        </is>
      </c>
      <c r="F30" t="inlineStr"/>
    </row>
    <row r="31">
      <c r="A31" t="inlineStr">
        <is>
          <t>tower_kornet</t>
        </is>
      </c>
      <c r="B31" t="n">
        <v>3</v>
      </c>
      <c r="C31" t="inlineStr">
        <is>
          <t>atgm</t>
        </is>
      </c>
      <c r="D31" t="inlineStr">
        <is>
          <t>Wikipedia '9M133 Kornet': 2-3 rpm</t>
        </is>
      </c>
      <c r="E31" t="inlineStr">
        <is>
          <t>01_chien_dau/Vu_khi (id tower_kornet)</t>
        </is>
      </c>
      <c r="F31" t="inlineStr"/>
    </row>
    <row r="32">
      <c r="A32" t="inlineStr">
        <is>
          <t>turret_gmlrs</t>
        </is>
      </c>
      <c r="B32" t="n">
        <v>12</v>
      </c>
      <c r="C32" t="inlineStr">
        <is>
          <t>rocket</t>
        </is>
      </c>
      <c r="D32" t="inlineStr">
        <is>
          <t>Wikipedia 'M270 MLRS': 12 rockets in under a minute</t>
        </is>
      </c>
      <c r="E32" t="inlineStr">
        <is>
          <t>01_chien_dau/Vu_khi (id turret_gmlrs)</t>
        </is>
      </c>
      <c r="F32" t="inlineStr"/>
    </row>
    <row r="33">
      <c r="A33" t="inlineStr">
        <is>
          <t>turret_gun_120</t>
        </is>
      </c>
      <c r="B33" t="n">
        <v>8</v>
      </c>
      <c r="C33" t="inlineStr">
        <is>
          <t>gun</t>
        </is>
      </c>
      <c r="D33" t="inlineStr">
        <is>
          <t>the sheet's 'Ngoài đời': Rh-120 6-8 rpm with a loader (Wikipedia 'Rheinmetall 120 mm gun')</t>
        </is>
      </c>
      <c r="E33" t="inlineStr">
        <is>
          <t>01_chien_dau/Vu_khi (id turret_gun_120)</t>
        </is>
      </c>
      <c r="F33" t="inlineStr"/>
    </row>
    <row r="34">
      <c r="A34" t="inlineStr">
        <is>
          <t>turret_gun_120_long</t>
        </is>
      </c>
      <c r="B34" t="n">
        <v>8</v>
      </c>
      <c r="C34" t="inlineStr">
        <is>
          <t>gun</t>
        </is>
      </c>
      <c r="D34" t="inlineStr">
        <is>
          <t>the sheet's 'Ngoài đời': Rh-120 6-8 rpm with a loader (Wikipedia 'Rheinmetall 120 mm gun')</t>
        </is>
      </c>
      <c r="E34" t="inlineStr">
        <is>
          <t>01_chien_dau/Vu_khi (id turret_gun_120_long)</t>
        </is>
      </c>
      <c r="F34" t="inlineStr"/>
    </row>
    <row r="35">
      <c r="A35" t="inlineStr">
        <is>
          <t>turret_rockets</t>
        </is>
      </c>
      <c r="B35" t="n">
        <v>120</v>
      </c>
      <c r="C35" t="inlineStr">
        <is>
          <t>rocket</t>
        </is>
      </c>
      <c r="D35" t="inlineStr">
        <is>
          <t>Wikipedia 'BM-21 Grad': 40 rockets in 20 s</t>
        </is>
      </c>
      <c r="E35" t="inlineStr">
        <is>
          <t>01_chien_dau/Vu_khi (id turret_rockets)</t>
        </is>
      </c>
      <c r="F35" t="inlineStr"/>
    </row>
    <row r="36">
      <c r="A36" t="inlineStr">
        <is>
          <t>turret_rockets_cluster</t>
        </is>
      </c>
      <c r="B36" t="n">
        <v>120</v>
      </c>
      <c r="C36" t="inlineStr">
        <is>
          <t>rocket</t>
        </is>
      </c>
      <c r="D36" t="inlineStr">
        <is>
          <t>Wikipedia 'BM-21 Grad': 40 rockets in 20 s</t>
        </is>
      </c>
      <c r="E36" t="inlineStr">
        <is>
          <t>01_chien_dau/Vu_khi (id turret_rockets_cluster)</t>
        </is>
      </c>
      <c r="F36" t="inlineStr"/>
    </row>
  </sheetData>
  <autoFilter ref="A1:F3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at_gun_100</t>
        </is>
      </c>
      <c r="B2" t="n">
        <v>0.816667</v>
      </c>
      <c r="C2" t="inlineStr">
        <is>
          <t>ok</t>
        </is>
      </c>
      <c r="D2" t="inlineStr">
        <is>
          <t>01_chien_dau/Vu_khi_suy_ra (id at_gun_100)</t>
        </is>
      </c>
      <c r="E2" t="inlineStr"/>
    </row>
    <row r="3">
      <c r="A3" t="inlineStr">
        <is>
          <t>bastion_gun</t>
        </is>
      </c>
      <c r="B3" t="n">
        <v>0.607833</v>
      </c>
      <c r="C3" t="inlineStr">
        <is>
          <t>ok</t>
        </is>
      </c>
      <c r="D3" t="inlineStr">
        <is>
          <t>01_chien_dau/Vu_khi_suy_ra (id bastion_gun)</t>
        </is>
      </c>
      <c r="E3" t="inlineStr"/>
    </row>
    <row r="4">
      <c r="A4" t="inlineStr">
        <is>
          <t>bofors_l70</t>
        </is>
      </c>
      <c r="B4" t="n">
        <v>2.13125</v>
      </c>
      <c r="C4" t="inlineStr">
        <is>
          <t>ok</t>
        </is>
      </c>
      <c r="D4" t="inlineStr">
        <is>
          <t>01_chien_dau/Vu_khi_suy_ra (id bofors_l70)</t>
        </is>
      </c>
      <c r="E4" t="inlineStr"/>
    </row>
    <row r="5">
      <c r="A5" t="inlineStr">
        <is>
          <t>bunker_hmg</t>
        </is>
      </c>
      <c r="B5" t="n">
        <v>1.182222</v>
      </c>
      <c r="C5" t="inlineStr">
        <is>
          <t>ok</t>
        </is>
      </c>
      <c r="D5" t="inlineStr">
        <is>
          <t>01_chien_dau/Vu_khi_suy_ra (id bunker_hmg)</t>
        </is>
      </c>
      <c r="E5" t="inlineStr"/>
    </row>
    <row r="6">
      <c r="A6" t="inlineStr">
        <is>
          <t>bunker_hmg_twin</t>
        </is>
      </c>
      <c r="B6" t="n">
        <v>2.044444</v>
      </c>
      <c r="C6" t="inlineStr">
        <is>
          <t>ok</t>
        </is>
      </c>
      <c r="D6" t="inlineStr">
        <is>
          <t>01_chien_dau/Vu_khi_suy_ra (id bunker_hmg_twin)</t>
        </is>
      </c>
      <c r="E6" t="inlineStr"/>
    </row>
    <row r="7">
      <c r="A7" t="inlineStr">
        <is>
          <t>c_ram_gatling</t>
        </is>
      </c>
      <c r="B7" t="n">
        <v>2.625</v>
      </c>
      <c r="C7" t="inlineStr">
        <is>
          <t>ok</t>
        </is>
      </c>
      <c r="D7" t="inlineStr">
        <is>
          <t>01_chien_dau/Vu_khi_suy_ra (id c_ram_gatling)</t>
        </is>
      </c>
      <c r="E7" t="inlineStr"/>
    </row>
    <row r="8">
      <c r="A8" t="inlineStr">
        <is>
          <t>flak_88</t>
        </is>
      </c>
      <c r="B8" t="n">
        <v>0.5</v>
      </c>
      <c r="C8" t="inlineStr">
        <is>
          <t>NHANH_QUA</t>
        </is>
      </c>
      <c r="D8" t="inlineStr">
        <is>
          <t>01_chien_dau/Vu_khi_suy_ra (id flak_88)</t>
        </is>
      </c>
      <c r="E8" t="inlineStr"/>
    </row>
    <row r="9">
      <c r="A9" t="inlineStr">
        <is>
          <t>flak_quad</t>
        </is>
      </c>
      <c r="B9" t="n">
        <v>3.971852</v>
      </c>
      <c r="C9" t="inlineStr">
        <is>
          <t>ok</t>
        </is>
      </c>
      <c r="D9" t="inlineStr">
        <is>
          <t>01_chien_dau/Vu_khi_suy_ra (id flak_quad)</t>
        </is>
      </c>
      <c r="E9" t="inlineStr"/>
    </row>
    <row r="10">
      <c r="A10" t="inlineStr">
        <is>
          <t>gun_57_auto</t>
        </is>
      </c>
      <c r="B10" t="n">
        <v>1.8</v>
      </c>
      <c r="C10" t="inlineStr">
        <is>
          <t>ok</t>
        </is>
      </c>
      <c r="D10" t="inlineStr">
        <is>
          <t>01_chien_dau/Vu_khi_suy_ra (id gun_57_auto)</t>
        </is>
      </c>
      <c r="E10" t="inlineStr"/>
    </row>
    <row r="11">
      <c r="A11" t="inlineStr">
        <is>
          <t>gun_155_coastal</t>
        </is>
      </c>
      <c r="B11" t="n">
        <v>0.206267</v>
      </c>
      <c r="C11" t="inlineStr">
        <is>
          <t>NHANH_QUA</t>
        </is>
      </c>
      <c r="D11" t="inlineStr">
        <is>
          <t>01_chien_dau/Vu_khi_suy_ra (id gun_155_coastal)</t>
        </is>
      </c>
      <c r="E11" t="inlineStr"/>
    </row>
    <row r="12">
      <c r="A12" t="inlineStr">
        <is>
          <t>gun_155_twin_ap</t>
        </is>
      </c>
      <c r="B12" t="n">
        <v>0.259</v>
      </c>
      <c r="C12" t="inlineStr">
        <is>
          <t>NHANH_QUA</t>
        </is>
      </c>
      <c r="D12" t="inlineStr">
        <is>
          <t>01_chien_dau/Vu_khi_suy_ra (id gun_155_twin_ap)</t>
        </is>
      </c>
      <c r="E12" t="inlineStr"/>
    </row>
    <row r="13">
      <c r="A13" t="inlineStr">
        <is>
          <t>gun_155_twin_coastlr</t>
        </is>
      </c>
      <c r="B13" t="n">
        <v>0.259</v>
      </c>
      <c r="C13" t="inlineStr">
        <is>
          <t>NHANH_QUA</t>
        </is>
      </c>
      <c r="D13" t="inlineStr">
        <is>
          <t>01_chien_dau/Vu_khi_suy_ra (id gun_155_twin_coastlr)</t>
        </is>
      </c>
      <c r="E13" t="inlineStr"/>
    </row>
    <row r="14">
      <c r="A14" t="inlineStr">
        <is>
          <t>hmg_roof</t>
        </is>
      </c>
      <c r="B14" t="n">
        <v>1.611</v>
      </c>
      <c r="C14" t="inlineStr">
        <is>
          <t>ok</t>
        </is>
      </c>
      <c r="D14" t="inlineStr">
        <is>
          <t>01_chien_dau/Vu_khi_suy_ra (id hmg_roof)</t>
        </is>
      </c>
      <c r="E14" t="inlineStr"/>
    </row>
    <row r="15">
      <c r="A15" t="inlineStr">
        <is>
          <t>howitzer_cb</t>
        </is>
      </c>
      <c r="B15" t="n">
        <v>0.212333</v>
      </c>
      <c r="C15" t="inlineStr">
        <is>
          <t>NHANH_QUA</t>
        </is>
      </c>
      <c r="D15" t="inlineStr">
        <is>
          <t>01_chien_dau/Vu_khi_suy_ra (id howitzer_cb)</t>
        </is>
      </c>
      <c r="E15" t="inlineStr"/>
    </row>
    <row r="16">
      <c r="A16" t="inlineStr">
        <is>
          <t>howitzer_fixed</t>
        </is>
      </c>
      <c r="B16" t="n">
        <v>0.212333</v>
      </c>
      <c r="C16" t="inlineStr">
        <is>
          <t>NHANH_QUA</t>
        </is>
      </c>
      <c r="D16" t="inlineStr">
        <is>
          <t>01_chien_dau/Vu_khi_suy_ra (id howitzer_fixed)</t>
        </is>
      </c>
      <c r="E16" t="inlineStr"/>
    </row>
    <row r="17">
      <c r="A17" t="inlineStr">
        <is>
          <t>kornet_multi</t>
        </is>
      </c>
      <c r="B17" t="n">
        <v>0.2775</v>
      </c>
      <c r="C17" t="inlineStr">
        <is>
          <t>NHANH_QUA</t>
        </is>
      </c>
      <c r="D17" t="inlineStr">
        <is>
          <t>01_chien_dau/Vu_khi_suy_ra (id kornet_multi)</t>
        </is>
      </c>
      <c r="E17" t="inlineStr"/>
    </row>
    <row r="18">
      <c r="A18" t="inlineStr">
        <is>
          <t>kornet_top</t>
        </is>
      </c>
      <c r="B18" t="n">
        <v>0.26</v>
      </c>
      <c r="C18" t="inlineStr">
        <is>
          <t>NHANH_QUA</t>
        </is>
      </c>
      <c r="D18" t="inlineStr">
        <is>
          <t>01_chien_dau/Vu_khi_suy_ra (id kornet_top)</t>
        </is>
      </c>
      <c r="E18" t="inlineStr"/>
    </row>
    <row r="19">
      <c r="A19" t="inlineStr">
        <is>
          <t>mortar_240_fixed</t>
        </is>
      </c>
      <c r="B19" t="n">
        <v>0.07875</v>
      </c>
      <c r="C19" t="inlineStr">
        <is>
          <t>NHANH_QUA</t>
        </is>
      </c>
      <c r="D19" t="inlineStr">
        <is>
          <t>01_chien_dau/Vu_khi_suy_ra (id mortar_240_fixed)</t>
        </is>
      </c>
      <c r="E19" t="inlineStr"/>
    </row>
    <row r="20">
      <c r="A20" t="inlineStr">
        <is>
          <t>one_shot_kornet</t>
        </is>
      </c>
      <c r="B20" t="n">
        <v>0.06</v>
      </c>
      <c r="C20" t="inlineStr">
        <is>
          <t>NHANH_QUA;LECH_DOT_1</t>
        </is>
      </c>
      <c r="D20" t="inlineStr">
        <is>
          <t>01_chien_dau/Vu_khi_suy_ra (id one_shot_kornet)</t>
        </is>
      </c>
      <c r="E20" t="inlineStr"/>
    </row>
    <row r="21">
      <c r="A21" t="inlineStr">
        <is>
          <t>patriot</t>
        </is>
      </c>
      <c r="B21" t="n">
        <v>0.5333329999999999</v>
      </c>
      <c r="C21" t="inlineStr">
        <is>
          <t>NHANH_QUA</t>
        </is>
      </c>
      <c r="D21" t="inlineStr">
        <is>
          <t>01_chien_dau/Vu_khi_suy_ra (id patriot)</t>
        </is>
      </c>
      <c r="E21" t="inlineStr"/>
    </row>
    <row r="22">
      <c r="A22" t="inlineStr">
        <is>
          <t>sam</t>
        </is>
      </c>
      <c r="B22" t="n">
        <v>1.484</v>
      </c>
      <c r="C22" t="inlineStr">
        <is>
          <t>ok</t>
        </is>
      </c>
      <c r="D22" t="inlineStr">
        <is>
          <t>01_chien_dau/Vu_khi_suy_ra (id sam)</t>
        </is>
      </c>
      <c r="E22" t="inlineStr"/>
    </row>
    <row r="23">
      <c r="A23" t="inlineStr">
        <is>
          <t>sam_battery_lrr</t>
        </is>
      </c>
      <c r="B23" t="n">
        <v>0.65</v>
      </c>
      <c r="C23" t="inlineStr">
        <is>
          <t>NHANH_QUA</t>
        </is>
      </c>
      <c r="D23" t="inlineStr">
        <is>
          <t>01_chien_dau/Vu_khi_suy_ra (id sam_battery_lrr)</t>
        </is>
      </c>
      <c r="E23" t="inlineStr"/>
    </row>
    <row r="24">
      <c r="A24" t="inlineStr">
        <is>
          <t>sam_pac3</t>
        </is>
      </c>
      <c r="B24" t="n">
        <v>1.116667</v>
      </c>
      <c r="C24" t="inlineStr">
        <is>
          <t>NHANH_QUA</t>
        </is>
      </c>
      <c r="D24" t="inlineStr">
        <is>
          <t>01_chien_dau/Vu_khi_suy_ra (id sam_pac3)</t>
        </is>
      </c>
      <c r="E24" t="inlineStr"/>
    </row>
    <row r="25">
      <c r="A25" t="inlineStr">
        <is>
          <t>spg9_73mm</t>
        </is>
      </c>
      <c r="B25" t="n">
        <v>0.4669</v>
      </c>
      <c r="C25" t="inlineStr">
        <is>
          <t>NHANH_QUA</t>
        </is>
      </c>
      <c r="D25" t="inlineStr">
        <is>
          <t>01_chien_dau/Vu_khi_suy_ra (id spg9_73mm)</t>
        </is>
      </c>
      <c r="E25" t="inlineStr"/>
    </row>
    <row r="26">
      <c r="A26" t="inlineStr">
        <is>
          <t>stinger_post</t>
        </is>
      </c>
      <c r="B26" t="n">
        <v>1.484</v>
      </c>
      <c r="C26" t="inlineStr">
        <is>
          <t>ok</t>
        </is>
      </c>
      <c r="D26" t="inlineStr">
        <is>
          <t>01_chien_dau/Vu_khi_suy_ra (id stinger_post)</t>
        </is>
      </c>
      <c r="E26" t="inlineStr"/>
    </row>
    <row r="27">
      <c r="A27" t="inlineStr">
        <is>
          <t>tamir</t>
        </is>
      </c>
      <c r="B27" t="n">
        <v>6.833333</v>
      </c>
      <c r="C27" t="inlineStr">
        <is>
          <t>CHAM_QUA</t>
        </is>
      </c>
      <c r="D27" t="inlineStr">
        <is>
          <t>01_chien_dau/Vu_khi_suy_ra (id tamir)</t>
        </is>
      </c>
      <c r="E27" t="inlineStr"/>
    </row>
    <row r="28">
      <c r="A28" t="inlineStr">
        <is>
          <t>tower_ac25</t>
        </is>
      </c>
      <c r="B28" t="n">
        <v>2.125</v>
      </c>
      <c r="C28" t="inlineStr">
        <is>
          <t>ok</t>
        </is>
      </c>
      <c r="D28" t="inlineStr">
        <is>
          <t>01_chien_dau/Vu_khi_suy_ra (id tower_ac25)</t>
        </is>
      </c>
      <c r="E28" t="inlineStr"/>
    </row>
    <row r="29">
      <c r="A29" t="inlineStr">
        <is>
          <t>tower_flak_30</t>
        </is>
      </c>
      <c r="B29" t="n">
        <v>4.466667</v>
      </c>
      <c r="C29" t="inlineStr">
        <is>
          <t>ok</t>
        </is>
      </c>
      <c r="D29" t="inlineStr">
        <is>
          <t>01_chien_dau/Vu_khi_suy_ra (id tower_flak_30)</t>
        </is>
      </c>
      <c r="E29" t="inlineStr"/>
    </row>
    <row r="30">
      <c r="A30" t="inlineStr">
        <is>
          <t>tower_hmg</t>
        </is>
      </c>
      <c r="B30" t="n">
        <v>1.25</v>
      </c>
      <c r="C30" t="inlineStr">
        <is>
          <t>ok</t>
        </is>
      </c>
      <c r="D30" t="inlineStr">
        <is>
          <t>01_chien_dau/Vu_khi_suy_ra (id tower_hmg)</t>
        </is>
      </c>
      <c r="E30" t="inlineStr"/>
    </row>
    <row r="31">
      <c r="A31" t="inlineStr">
        <is>
          <t>tower_kornet</t>
        </is>
      </c>
      <c r="B31" t="n">
        <v>0.2775</v>
      </c>
      <c r="C31" t="inlineStr">
        <is>
          <t>NHANH_QUA</t>
        </is>
      </c>
      <c r="D31" t="inlineStr">
        <is>
          <t>01_chien_dau/Vu_khi_suy_ra (id tower_kornet)</t>
        </is>
      </c>
      <c r="E31" t="inlineStr"/>
    </row>
    <row r="32">
      <c r="A32" t="inlineStr">
        <is>
          <t>turret_gmlrs</t>
        </is>
      </c>
      <c r="B32" t="n">
        <v>0.1</v>
      </c>
      <c r="C32" t="inlineStr">
        <is>
          <t>NHANH_QUA</t>
        </is>
      </c>
      <c r="D32" t="inlineStr">
        <is>
          <t>01_chien_dau/Vu_khi_suy_ra (id turret_gmlrs)</t>
        </is>
      </c>
      <c r="E32" t="inlineStr"/>
    </row>
    <row r="33">
      <c r="A33" t="inlineStr">
        <is>
          <t>turret_gun_120</t>
        </is>
      </c>
      <c r="B33" t="n">
        <v>0.2688</v>
      </c>
      <c r="C33" t="inlineStr">
        <is>
          <t>NHANH_QUA</t>
        </is>
      </c>
      <c r="D33" t="inlineStr">
        <is>
          <t>01_chien_dau/Vu_khi_suy_ra (id turret_gun_120)</t>
        </is>
      </c>
      <c r="E33" t="inlineStr"/>
    </row>
    <row r="34">
      <c r="A34" t="inlineStr">
        <is>
          <t>turret_gun_120_long</t>
        </is>
      </c>
      <c r="B34" t="n">
        <v>0.364</v>
      </c>
      <c r="C34" t="inlineStr">
        <is>
          <t>NHANH_QUA</t>
        </is>
      </c>
      <c r="D34" t="inlineStr">
        <is>
          <t>01_chien_dau/Vu_khi_suy_ra (id turret_gun_120_long)</t>
        </is>
      </c>
      <c r="E34" t="inlineStr"/>
    </row>
    <row r="35">
      <c r="A35" t="inlineStr">
        <is>
          <t>turret_rockets</t>
        </is>
      </c>
      <c r="B35" t="n">
        <v>1</v>
      </c>
      <c r="C35" t="inlineStr">
        <is>
          <t>ok</t>
        </is>
      </c>
      <c r="D35" t="inlineStr">
        <is>
          <t>01_chien_dau/Vu_khi_suy_ra (id turret_rockets)</t>
        </is>
      </c>
      <c r="E35" t="inlineStr"/>
    </row>
    <row r="36">
      <c r="A36" t="inlineStr">
        <is>
          <t>turret_rockets_cluster</t>
        </is>
      </c>
      <c r="B36" t="n">
        <v>1</v>
      </c>
      <c r="C36" t="inlineStr">
        <is>
          <t>ok</t>
        </is>
      </c>
      <c r="D36" t="inlineStr">
        <is>
          <t>01_chien_dau/Vu_khi_suy_ra (id turret_rockets_cluster)</t>
        </is>
      </c>
      <c r="E36" t="inlineStr"/>
    </row>
  </sheetData>
  <autoFilter ref="A1:E3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1" customWidth="1" min="2" max="2"/>
    <col width="13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2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bases.baseSystem.lookEvery</t>
        </is>
      </c>
      <c r="B2" t="inlineStr">
        <is>
          <t>baseSystem</t>
        </is>
      </c>
      <c r="C2" t="inlineStr">
        <is>
          <t>lookEvery</t>
        </is>
      </c>
      <c r="D2" t="n">
        <v>0.25</v>
      </c>
      <c r="F2" t="inlineStr">
        <is>
          <t>s</t>
        </is>
      </c>
      <c r="G2" t="inlineStr">
        <is>
          <t>thoi_gian</t>
        </is>
      </c>
      <c r="H2" t="inlineStr">
        <is>
          <t>04</t>
        </is>
      </c>
      <c r="I2" t="inlineStr">
        <is>
          <t>BaseSystem.LookEvery</t>
        </is>
      </c>
      <c r="J2" t="inlineStr">
        <is>
          <t>Assets/MachineBrigade/Resources/Data/tunables.json: bases.baseSystem.lookEvery</t>
        </is>
      </c>
      <c r="K2" t="inlineStr">
        <is>
          <t>{"value":0.25,"unit":"s","kind":"thoi_gian","linh_vuc":"04","code":"BaseSystem.LookEvery"}</t>
        </is>
      </c>
    </row>
    <row r="3">
      <c r="A3" t="inlineStr">
        <is>
          <t>bases.gear.bulwarkShare</t>
        </is>
      </c>
      <c r="B3" t="inlineStr">
        <is>
          <t>gear</t>
        </is>
      </c>
      <c r="C3" t="inlineStr">
        <is>
          <t>bulwarkShare</t>
        </is>
      </c>
      <c r="D3" t="n">
        <v>0.35</v>
      </c>
      <c r="F3" t="inlineStr">
        <is>
          <t>share</t>
        </is>
      </c>
      <c r="G3" t="inlineStr">
        <is>
          <t>nguong</t>
        </is>
      </c>
      <c r="H3" t="inlineStr">
        <is>
          <t>04</t>
        </is>
      </c>
      <c r="I3" t="inlineStr">
        <is>
          <t>Gear.BulwarkShare</t>
        </is>
      </c>
      <c r="J3" t="inlineStr">
        <is>
          <t>Assets/MachineBrigade/Resources/Data/tunables.json: bases.gear.bulwarkShare</t>
        </is>
      </c>
      <c r="K3" t="inlineStr">
        <is>
          <t>{"value":0.35,"unit":"share","kind":"nguong","linh_vuc":"04","code":"Gear.BulwarkShare"}</t>
        </is>
      </c>
    </row>
  </sheetData>
  <autoFilter ref="A1:K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