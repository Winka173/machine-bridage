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_do" sheetId="1" state="visible" r:id="rId1"/>
    <sheet name="Sao_chien_dich" sheetId="2" state="visible" r:id="rId2"/>
    <sheet name="Vo_han" sheetId="3" state="visible" r:id="rId3"/>
    <sheet name="Kinh_te" sheetId="4" state="visible" r:id="rId4"/>
    <sheet name="Do_kho" sheetId="5" state="visible" r:id="rId5"/>
    <sheet name="Diem_tac_chien" sheetId="6" state="visible" r:id="rId6"/>
    <sheet name="Tac_chien_bac" sheetId="7" state="visible" r:id="rId7"/>
    <sheet name="Mutator" sheetId="8" state="visible" r:id="rId8"/>
    <sheet name="Che_do_thoi_luong" sheetId="9" state="visible" r:id="rId9"/>
    <sheet name="Kinh_te_suy_ra" sheetId="10" state="visible" r:id="rId10"/>
    <sheet name="Kiem_tinh_che_do" sheetId="11" state="visible" r:id="rId11"/>
    <sheet name="Che_do_hoc_thuyet_AI" sheetId="12" state="visible" r:id="rId12"/>
    <sheet name="Che_do_tham_chieu" sheetId="13" state="visible" r:id="rId13"/>
    <sheet name="Nang_hang" sheetId="14" state="visible" r:id="rId14"/>
    <sheet name="Hom_do" sheetId="15" state="visible" r:id="rId15"/>
    <sheet name="Cua_hang" sheetId="16" state="visible" r:id="rId16"/>
    <sheet name="Nhiem_vu_ngay" sheetId="17" state="visible" r:id="rId17"/>
    <sheet name="Skin" sheetId="18" state="visible" r:id="rId18"/>
    <sheet name="Ban_do_menu" sheetId="19" state="visible" r:id="rId19"/>
    <sheet name="Meta_bang_hang" sheetId="20" state="visible" r:id="rId20"/>
    <sheet name="Mo_khoa" sheetId="21" state="visible" r:id="rId21"/>
    <sheet name="Mo_khoa_chung" sheetId="22" state="visible" r:id="rId22"/>
    <sheet name="Meta_kinh_te_nguon" sheetId="23" state="visible" r:id="rId23"/>
    <sheet name="Meta_kinh_te_tran" sheetId="24" state="visible" r:id="rId24"/>
    <sheet name="Meta_kinh_te" sheetId="25" state="visible" r:id="rId25"/>
    <sheet name="Cai_dat_mac_dinh" sheetId="26" state="visible" r:id="rId26"/>
    <sheet name="Mutator_tuan" sheetId="27" state="visible" r:id="rId27"/>
    <sheet name="Thu_hang" sheetId="28" state="visible" r:id="rId28"/>
    <sheet name="Thuong" sheetId="29" state="visible" r:id="rId29"/>
    <sheet name="Meta_tham_chieu" sheetId="30" state="visible" r:id="rId30"/>
    <sheet name="Hang_so_che_do" sheetId="31" state="visible" r:id="rId31"/>
  </sheets>
  <definedNames>
    <definedName name="_xlnm._FilterDatabase" localSheetId="0" hidden="1">'Che_do'!$A$1:$AY$13</definedName>
    <definedName name="_xlnm._FilterDatabase" localSheetId="1" hidden="1">'Sao_chien_dich'!$A$1:$G$16</definedName>
    <definedName name="_xlnm._FilterDatabase" localSheetId="2" hidden="1">'Vo_han'!$A$1:$E$7</definedName>
    <definedName name="_xlnm._FilterDatabase" localSheetId="3" hidden="1">'Kinh_te'!$A$1:$H$19</definedName>
    <definedName name="_xlnm._FilterDatabase" localSheetId="4" hidden="1">'Do_kho'!$A$1:$M$5</definedName>
    <definedName name="_xlnm._FilterDatabase" localSheetId="5" hidden="1">'Diem_tac_chien'!$A$1:$H$9</definedName>
    <definedName name="_xlnm._FilterDatabase" localSheetId="6" hidden="1">'Tac_chien_bac'!$A$1:$G$5</definedName>
    <definedName name="_xlnm._FilterDatabase" localSheetId="7" hidden="1">'Mutator'!$A$1:$AC$21</definedName>
    <definedName name="_xlnm._FilterDatabase" localSheetId="8" hidden="1">'Che_do_thoi_luong'!$A$1:$T$13</definedName>
    <definedName name="_xlnm._FilterDatabase" localSheetId="9" hidden="1">'Kinh_te_suy_ra'!$A$1:$AF$45</definedName>
    <definedName name="_xlnm._FilterDatabase" localSheetId="10" hidden="1">'Kiem_tinh_che_do'!$A$1:$U$37</definedName>
    <definedName name="_xlnm._FilterDatabase" localSheetId="11" hidden="1">'Che_do_hoc_thuyet_AI'!$A$1:$Z$29</definedName>
    <definedName name="_xlnm._FilterDatabase" localSheetId="12" hidden="1">'Che_do_tham_chieu'!$A$1:$V$13</definedName>
    <definedName name="_xlnm._FilterDatabase" localSheetId="13" hidden="1">'Nang_hang'!$A$1:$F$11</definedName>
    <definedName name="_xlnm._FilterDatabase" localSheetId="14" hidden="1">'Hom_do'!$A$1:$R$5</definedName>
    <definedName name="_xlnm._FilterDatabase" localSheetId="15" hidden="1">'Cua_hang'!$A$1:$F$7</definedName>
    <definedName name="_xlnm._FilterDatabase" localSheetId="16" hidden="1">'Nhiem_vu_ngay'!$A$1:$F$9</definedName>
    <definedName name="_xlnm._FilterDatabase" localSheetId="17" hidden="1">'Skin'!$A$1:$K$11</definedName>
    <definedName name="_xlnm._FilterDatabase" localSheetId="18" hidden="1">'Ban_do_menu'!$A$1:$F$26</definedName>
    <definedName name="_xlnm._FilterDatabase" localSheetId="19" hidden="1">'Meta_bang_hang'!$A$1:$F$113</definedName>
    <definedName name="_xlnm._FilterDatabase" localSheetId="20" hidden="1">'Mo_khoa'!$A$1:$G$89</definedName>
    <definedName name="_xlnm._FilterDatabase" localSheetId="21" hidden="1">'Mo_khoa_chung'!$A$1:$H$4</definedName>
    <definedName name="_xlnm._FilterDatabase" localSheetId="22" hidden="1">'Meta_kinh_te_nguon'!$A$1:$I$24</definedName>
    <definedName name="_xlnm._FilterDatabase" localSheetId="23" hidden="1">'Meta_kinh_te_tran'!$A$1:$J$13</definedName>
    <definedName name="_xlnm._FilterDatabase" localSheetId="24" hidden="1">'Meta_kinh_te'!$A$1:$K$11</definedName>
    <definedName name="_xlnm._FilterDatabase" localSheetId="25" hidden="1">'Cai_dat_mac_dinh'!$A$1:$E$23</definedName>
    <definedName name="_xlnm._FilterDatabase" localSheetId="26" hidden="1">'Mutator_tuan'!$A$1:$E$2</definedName>
    <definedName name="_xlnm._FilterDatabase" localSheetId="27" hidden="1">'Thu_hang'!$A$1:$E$2</definedName>
    <definedName name="_xlnm._FilterDatabase" localSheetId="28" hidden="1">'Thuong'!$A$1:$E$2</definedName>
    <definedName name="_xlnm._FilterDatabase" localSheetId="29" hidden="1">'Meta_tham_chieu'!$A$1:$U$14</definedName>
    <definedName name="_xlnm._FilterDatabase" localSheetId="30" hidden="1">'Hang_so_che_do'!$A$1:$K$73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8" customWidth="1" min="3" max="3"/>
    <col width="24" customWidth="1" min="4" max="4"/>
    <col width="11" customWidth="1" min="5" max="5"/>
    <col width="19" customWidth="1" min="6" max="6"/>
    <col width="60" customWidth="1" min="7" max="7"/>
    <col width="9" customWidth="1" min="8" max="8"/>
    <col width="26" customWidth="1" min="9" max="9"/>
    <col width="26" customWidth="1" min="10" max="10"/>
    <col width="21" customWidth="1" min="11" max="11"/>
    <col width="15" customWidth="1" min="12" max="12"/>
    <col width="19" customWidth="1" min="13" max="13"/>
    <col width="16" customWidth="1" min="14" max="14"/>
    <col width="22" customWidth="1" min="15" max="15"/>
    <col width="23" customWidth="1" min="16" max="16"/>
    <col width="27" customWidth="1" min="17" max="17"/>
    <col width="21" customWidth="1" min="18" max="18"/>
    <col width="21" customWidth="1" min="19" max="19"/>
    <col width="18" customWidth="1" min="20" max="20"/>
    <col width="28" customWidth="1" min="21" max="21"/>
    <col width="16" customWidth="1" min="22" max="22"/>
    <col width="27" customWidth="1" min="23" max="23"/>
    <col width="18" customWidth="1" min="24" max="24"/>
    <col width="24" customWidth="1" min="25" max="25"/>
    <col width="22" customWidth="1" min="26" max="26"/>
    <col width="18" customWidth="1" min="27" max="27"/>
    <col width="23" customWidth="1" min="28" max="28"/>
    <col width="20" customWidth="1" min="29" max="29"/>
    <col width="16" customWidth="1" min="30" max="30"/>
    <col width="24" customWidth="1" min="31" max="31"/>
    <col width="22" customWidth="1" min="32" max="32"/>
    <col width="15" customWidth="1" min="33" max="33"/>
    <col width="22" customWidth="1" min="34" max="34"/>
    <col width="29" customWidth="1" min="35" max="35"/>
    <col width="16" customWidth="1" min="36" max="36"/>
    <col width="22" customWidth="1" min="37" max="37"/>
    <col width="15" customWidth="1" min="38" max="38"/>
    <col width="60" customWidth="1" min="39" max="39"/>
    <col width="60" customWidth="1" min="40" max="40"/>
    <col width="58" customWidth="1" min="41" max="41"/>
    <col width="27" customWidth="1" min="42" max="42"/>
    <col width="60" customWidth="1" min="43" max="43"/>
    <col width="57" customWidth="1" min="44" max="44"/>
    <col width="60" customWidth="1" min="45" max="45"/>
    <col width="60" customWidth="1" min="46" max="46"/>
    <col width="60" customWidth="1" min="47" max="47"/>
    <col width="60" customWidth="1" min="48" max="48"/>
    <col width="60" customWidth="1" min="49" max="49"/>
    <col width="60" customWidth="1" min="50" max="50"/>
    <col width="60" customWidth="1" min="51" max="51"/>
  </cols>
  <sheetData>
    <row r="1">
      <c r="A1" s="1" t="inlineStr">
        <is>
          <t>id</t>
        </is>
      </c>
      <c r="B1" s="1" t="inlineStr">
        <is>
          <t>ten_che_do</t>
        </is>
      </c>
      <c r="C1" s="1" t="inlineStr">
        <is>
          <t>kho_cp</t>
        </is>
      </c>
      <c r="D1" s="1" t="inlineStr">
        <is>
          <t>cp_khoi_dau_nhan_he_so</t>
        </is>
      </c>
      <c r="E1" s="1" t="inlineStr">
        <is>
          <t>ho_so_ai</t>
        </is>
      </c>
      <c r="F1" s="1" t="inlineStr">
        <is>
          <t>trung_lap</t>
        </is>
      </c>
      <c r="G1" s="1" t="inlineStr">
        <is>
          <t>lists_maps</t>
        </is>
      </c>
      <c r="H1" s="1" t="inlineStr">
        <is>
          <t>numbers</t>
        </is>
      </c>
      <c r="I1" s="1" t="inlineStr">
        <is>
          <t>numbers_anti_snipe_range</t>
        </is>
      </c>
      <c r="J1" s="1" t="inlineStr">
        <is>
          <t>numbers_anti_snipe_share</t>
        </is>
      </c>
      <c r="K1" s="1" t="inlineStr">
        <is>
          <t>numbers_base_radius</t>
        </is>
      </c>
      <c r="L1" s="1" t="inlineStr">
        <is>
          <t>numbers_bleed</t>
        </is>
      </c>
      <c r="M1" s="1" t="inlineStr">
        <is>
          <t>numbers_boss_wave</t>
        </is>
      </c>
      <c r="N1" s="1" t="inlineStr">
        <is>
          <t>numbers_bosses</t>
        </is>
      </c>
      <c r="O1" s="1" t="inlineStr">
        <is>
          <t>numbers_catch_up_max</t>
        </is>
      </c>
      <c r="P1" s="1" t="inlineStr">
        <is>
          <t>numbers_escalation_at</t>
        </is>
      </c>
      <c r="Q1" s="1" t="inlineStr">
        <is>
          <t>numbers_escalation_income</t>
        </is>
      </c>
      <c r="R1" s="1" t="inlineStr">
        <is>
          <t>numbers_final_phase</t>
        </is>
      </c>
      <c r="S1" s="1" t="inlineStr">
        <is>
          <t>numbers_final_scale</t>
        </is>
      </c>
      <c r="T1" s="1" t="inlineStr">
        <is>
          <t>numbers_kill_cap</t>
        </is>
      </c>
      <c r="U1" s="1" t="inlineStr">
        <is>
          <t>numbers_kill_ticket_factor</t>
        </is>
      </c>
      <c r="V1" s="1" t="inlineStr">
        <is>
          <t>numbers_losses</t>
        </is>
      </c>
      <c r="W1" s="1" t="inlineStr">
        <is>
          <t>numbers_losses_at_zero_cp</t>
        </is>
      </c>
      <c r="X1" s="1" t="inlineStr">
        <is>
          <t>numbers_max_bank</t>
        </is>
      </c>
      <c r="Y1" s="1" t="inlineStr">
        <is>
          <t>numbers_mini_boss_wave</t>
        </is>
      </c>
      <c r="Z1" s="1" t="inlineStr">
        <is>
          <t>numbers_neutrals_max</t>
        </is>
      </c>
      <c r="AA1" s="1" t="inlineStr">
        <is>
          <t>numbers_overtime</t>
        </is>
      </c>
      <c r="AB1" s="1" t="inlineStr">
        <is>
          <t>numbers_overtime_lead</t>
        </is>
      </c>
      <c r="AC1" s="1" t="inlineStr">
        <is>
          <t>numbers_per_second</t>
        </is>
      </c>
      <c r="AD1" s="1" t="inlineStr">
        <is>
          <t>numbers_points</t>
        </is>
      </c>
      <c r="AE1" s="1" t="inlineStr">
        <is>
          <t>numbers_rebuild_cutoff</t>
        </is>
      </c>
      <c r="AF1" s="1" t="inlineStr">
        <is>
          <t>numbers_sector_bonus</t>
        </is>
      </c>
      <c r="AG1" s="1" t="inlineStr">
        <is>
          <t>numbers_start</t>
        </is>
      </c>
      <c r="AH1" s="1" t="inlineStr">
        <is>
          <t>numbers_sudden_death</t>
        </is>
      </c>
      <c r="AI1" s="1" t="inlineStr">
        <is>
          <t>numbers_sudden_death_income</t>
        </is>
      </c>
      <c r="AJ1" s="1" t="inlineStr">
        <is>
          <t>numbers_target</t>
        </is>
      </c>
      <c r="AK1" s="1" t="inlineStr">
        <is>
          <t>numbers_time_limit_s</t>
        </is>
      </c>
      <c r="AL1" s="1" t="inlineStr">
        <is>
          <t>numbers_waves</t>
        </is>
      </c>
      <c r="AM1" s="1" t="inlineStr">
        <is>
          <t>text_anti_snipe_rule</t>
        </is>
      </c>
      <c r="AN1" s="1" t="inlineStr">
        <is>
          <t>text_breach_rule</t>
        </is>
      </c>
      <c r="AO1" s="1" t="inlineStr">
        <is>
          <t>text_catch_up_policy</t>
        </is>
      </c>
      <c r="AP1" s="1" t="inlineStr">
        <is>
          <t>text_draw_rule</t>
        </is>
      </c>
      <c r="AQ1" s="1" t="inlineStr">
        <is>
          <t>text_escalation</t>
        </is>
      </c>
      <c r="AR1" s="1" t="inlineStr">
        <is>
          <t>text_lose_condition</t>
        </is>
      </c>
      <c r="AS1" s="1" t="inlineStr">
        <is>
          <t>text_map_eligibility</t>
        </is>
      </c>
      <c r="AT1" s="1" t="inlineStr">
        <is>
          <t>text_overtime_rule</t>
        </is>
      </c>
      <c r="AU1" s="1" t="inlineStr">
        <is>
          <t>text_score_rule</t>
        </is>
      </c>
      <c r="AV1" s="1" t="inlineStr">
        <is>
          <t>text_time_limit</t>
        </is>
      </c>
      <c r="AW1" s="1" t="inlineStr">
        <is>
          <t>text_win_condition</t>
        </is>
      </c>
      <c r="AX1" s="1" t="inlineStr">
        <is>
          <t>nguon</t>
        </is>
      </c>
      <c r="AY1" s="1" t="inlineStr">
        <is>
          <t>raw_json</t>
        </is>
      </c>
    </row>
    <row r="2">
      <c r="A2" t="inlineStr">
        <is>
          <t>assault</t>
        </is>
      </c>
      <c r="B2" t="inlineStr">
        <is>
          <t>Assault</t>
        </is>
      </c>
      <c r="C2" t="inlineStr">
        <is>
          <t>30;45</t>
        </is>
      </c>
      <c r="D2" t="b">
        <v>1</v>
      </c>
      <c r="E2" t="inlineStr">
        <is>
          <t>assault</t>
        </is>
      </c>
      <c r="F2" t="inlineStr">
        <is>
          <t>ammo_depot</t>
        </is>
      </c>
      <c r="O2" t="n">
        <v>0.25</v>
      </c>
      <c r="X2" t="n">
        <v>300</v>
      </c>
      <c r="AA2" t="n">
        <v>60</v>
      </c>
      <c r="AF2" t="n">
        <v>150</v>
      </c>
      <c r="AG2" t="n">
        <v>240</v>
      </c>
      <c r="AO2" t="inlineStr">
        <is>
          <t>Như hiện có</t>
        </is>
      </c>
      <c r="AP2" t="inlineStr">
        <is>
          <t>Không có hòa</t>
        </is>
      </c>
      <c r="AR2" t="inlineStr">
        <is>
          <t>Hết quỹ thời gian</t>
        </is>
      </c>
      <c r="AT2" t="inlineStr">
        <is>
          <t>Hết giờ khi đang chiếm dở: kéo dài tới khi chiếm xong hoặc bị đẩy ra, tối đa 60 s</t>
        </is>
      </c>
      <c r="AU2" t="inlineStr">
        <is>
          <t>Không tính điểm; sao (nếu là màn chiến dịch) theo số khu</t>
        </is>
      </c>
      <c r="AV2" t="inlineStr">
        <is>
          <t>Bắt đầu 4:00; chiếm A +2:30; chiếm B +2:30; quỹ tối đa 5:00</t>
        </is>
      </c>
      <c r="AW2" t="inlineStr">
        <is>
          <t>Chiếm A, B, C</t>
        </is>
      </c>
      <c r="AX2" t="inlineStr">
        <is>
          <t>Assets/MachineBrigade/Resources/Data/balance.json: matchRules.modes.assault</t>
        </is>
      </c>
      <c r="AY2" t="inlineStr">
        <is>
          <t>{"text":{"winCondition":"Chiếm A, B, C","loseCondition":"Hết quỹ thời gian","timeLimit":"Bắt đầu 4:00; chiếm A +2:30; chiếm B +2:30; quỹ tối đa 5:00","overtimeRule":"Hết giờ khi đang chiếm dở: kéo dài tới khi chiếm xong hoặc bị đẩy ra, tối đa 60 s","drawRule":"Không có hòa","scoreRule":"Không tính điểm; sao (nếu là màn chiến dịch) theo số khu","catchUpPolicy":"Như hiện có"},"numbers":{"start":240,"sectorBonus":150,"maxBank":300,"overtime":60,"catchUpMax":0.25}}</t>
        </is>
      </c>
    </row>
    <row r="3">
      <c r="A3" t="inlineStr">
        <is>
          <t>bossrush</t>
        </is>
      </c>
      <c r="B3" t="inlineStr">
        <is>
          <t>BossRush</t>
        </is>
      </c>
      <c r="C3" t="inlineStr">
        <is>
          <t>45;60</t>
        </is>
      </c>
      <c r="D3" t="b">
        <v>1</v>
      </c>
      <c r="E3" t="inlineStr">
        <is>
          <t>bossrush</t>
        </is>
      </c>
      <c r="F3" t="inlineStr"/>
      <c r="N3" t="n">
        <v>10</v>
      </c>
      <c r="AK3" t="n">
        <v>1800</v>
      </c>
      <c r="AO3" t="inlineStr">
        <is>
          <t>Không áp</t>
        </is>
      </c>
      <c r="AP3" t="inlineStr">
        <is>
          <t>Không</t>
        </is>
      </c>
      <c r="AR3" t="inlineStr">
        <is>
          <t>Mất toàn bộ quân hoặc hết 30 phút</t>
        </is>
      </c>
      <c r="AT3" t="inlineStr">
        <is>
          <t>Không</t>
        </is>
      </c>
      <c r="AU3" t="inlineStr">
        <is>
          <t>Xếp hạng: số boss hạ (giảm dần) → thời gian hoàn thành (tăng dần) → số bộ phận phá (giảm dần). Thưởng CP mỗi bộ phận giữ nguyên</t>
        </is>
      </c>
      <c r="AV3" t="inlineStr">
        <is>
          <t>30 phút</t>
        </is>
      </c>
      <c r="AW3" t="inlineStr">
        <is>
          <t>Hạ đủ 10 boss</t>
        </is>
      </c>
      <c r="AX3" t="inlineStr">
        <is>
          <t>Assets/MachineBrigade/Resources/Data/balance.json: matchRules.modes.bossrush</t>
        </is>
      </c>
      <c r="AY3" t="inlineStr">
        <is>
          <t>{"text":{"winCondition":"Hạ đủ 10 boss","loseCondition":"Mất toàn bộ quân hoặc hết 30 phút","timeLimit":"30 phút","overtimeRule":"Không","drawRule":"Không","scoreRule":"Xếp hạng: số boss hạ (giảm dần) → thời gian hoàn thành (tăng dần) → số bộ phận phá (giảm dần). Thưởng CP mỗi bộ phận giữ nguyên","catchUpPolicy":"Không áp"},"numbers":{"bosses":10,"timeLimit":1800}}</t>
        </is>
      </c>
    </row>
    <row r="4">
      <c r="A4" t="inlineStr">
        <is>
          <t>conquest</t>
        </is>
      </c>
      <c r="B4" t="inlineStr">
        <is>
          <t>Conquest</t>
        </is>
      </c>
      <c r="C4" t="inlineStr">
        <is>
          <t>30;45</t>
        </is>
      </c>
      <c r="D4" t="b">
        <v>1</v>
      </c>
      <c r="E4" t="inlineStr">
        <is>
          <t>conquest</t>
        </is>
      </c>
      <c r="F4" t="inlineStr">
        <is>
          <t>radar;workshop</t>
        </is>
      </c>
      <c r="L4" t="n">
        <v>0.8</v>
      </c>
      <c r="O4" t="n">
        <v>0.25</v>
      </c>
      <c r="R4" t="n">
        <v>120</v>
      </c>
      <c r="S4" t="n">
        <v>2</v>
      </c>
      <c r="U4" t="n">
        <v>0</v>
      </c>
      <c r="AA4" t="n">
        <v>60</v>
      </c>
      <c r="AD4" t="n">
        <v>500</v>
      </c>
      <c r="AK4" t="n">
        <v>600</v>
      </c>
      <c r="AO4" t="inlineStr">
        <is>
          <t>Giảm (tối đa +25%)</t>
        </is>
      </c>
      <c r="AP4" t="inlineStr">
        <is>
          <t>Hòa nếu hết hiệp phụ</t>
        </is>
      </c>
      <c r="AR4" t="inlineStr">
        <is>
          <t>Về 0 điểm, hoặc ít điểm hơn khi hết giờ</t>
        </is>
      </c>
      <c r="AT4" t="inlineStr">
        <is>
          <t>Bằng điểm khi hết giờ: tối đa 60 s, bên chiếm thêm cứ điểm trước thắng</t>
        </is>
      </c>
      <c r="AU4" t="inlineStr">
        <is>
          <t>500 điểm mỗi bên; bên giữ ít cứ điểm hơn mất 0,8 × (chênh lệch số cứ điểm) điểm/s; 2 phút cuối ×2; giữ cả 3 không cộng thêm</t>
        </is>
      </c>
      <c r="AV4" t="inlineStr">
        <is>
          <t>10 phút</t>
        </is>
      </c>
      <c r="AW4" t="inlineStr">
        <is>
          <t>Đối phương về 0 điểm, hoặc nhiều điểm hơn khi hết giờ</t>
        </is>
      </c>
      <c r="AX4" t="inlineStr">
        <is>
          <t>Assets/MachineBrigade/Resources/Data/balance.json: matchRules.modes.conquest</t>
        </is>
      </c>
      <c r="AY4" t="inlineStr">
        <is>
          <t>{"text":{"winCondition":"Đối phương về 0 điểm, hoặc nhiều điểm hơn khi hết giờ","loseCondition":"Về 0 điểm, hoặc ít điểm hơn khi hết giờ","timeLimit":"10 phút","overtimeRule":"Bằng điểm khi hết giờ: tối đa 60 s, bên chiếm thêm cứ điểm trước thắng","drawRule":"Hòa nếu hết hiệp phụ","scoreRule":"500 điểm mỗi bên; bên giữ ít cứ điểm hơn mất 0,8 × (chênh lệch số cứ điểm) điểm/s; 2 phút cuối ×2; giữ cả 3 không cộng thêm","catchUpPolicy":"Giảm (tối đa +25%)"},"numbers":{"points":500,"bleed":0.8,"killTicketFactor":0,"timeLimit":600,"finalPhase":120,"finalScale":2,"overtime":60,"catchUpMax":0.25}}</t>
        </is>
      </c>
    </row>
    <row r="5">
      <c r="A5" t="inlineStr">
        <is>
          <t>deathmatch</t>
        </is>
      </c>
      <c r="B5" t="inlineStr">
        <is>
          <t>Deathmatch</t>
        </is>
      </c>
      <c r="C5" t="inlineStr">
        <is>
          <t>30;45</t>
        </is>
      </c>
      <c r="D5" t="b">
        <v>1</v>
      </c>
      <c r="E5" t="inlineStr">
        <is>
          <t>deathmatch</t>
        </is>
      </c>
      <c r="F5" t="inlineStr">
        <is>
          <t>ammo_depot;aa_site</t>
        </is>
      </c>
      <c r="O5" t="n">
        <v>0.25</v>
      </c>
      <c r="T5" t="n">
        <v>18</v>
      </c>
      <c r="AA5" t="n">
        <v>60</v>
      </c>
      <c r="AJ5" t="n">
        <v>480</v>
      </c>
      <c r="AK5" t="n">
        <v>540</v>
      </c>
      <c r="AO5" t="inlineStr">
        <is>
          <t>Giảm (tối đa +25%)</t>
        </is>
      </c>
      <c r="AP5" t="inlineStr">
        <is>
          <t>Hòa nếu hết hiệp phụ</t>
        </is>
      </c>
      <c r="AR5" t="inlineStr">
        <is>
          <t>Đối phương đạt 480 trước, hoặc ít điểm hơn khi hết giờ</t>
        </is>
      </c>
      <c r="AT5" t="inlineStr">
        <is>
          <t>Bằng điểm: tối đa 60 s, xe bị hạ đầu tiên quyết định</t>
        </is>
      </c>
      <c r="AU5" t="inlineStr">
        <is>
          <t>Mỗi xe địch bị hạ: min(baseCP, 18) điểm. Dùng baseCP, không dùng giá sau giảm</t>
        </is>
      </c>
      <c r="AV5" t="inlineStr">
        <is>
          <t>9 phút</t>
        </is>
      </c>
      <c r="AW5" t="inlineStr">
        <is>
          <t>Đạt 480 điểm, hoặc nhiều điểm hơn khi hết giờ</t>
        </is>
      </c>
      <c r="AX5" t="inlineStr">
        <is>
          <t>Assets/MachineBrigade/Resources/Data/balance.json: matchRules.modes.deathmatch</t>
        </is>
      </c>
      <c r="AY5" t="inlineStr">
        <is>
          <t>{"text":{"winCondition":"Đạt 480 điểm, hoặc nhiều điểm hơn khi hết giờ","loseCondition":"Đối phương đạt 480 trước, hoặc ít điểm hơn khi hết giờ","timeLimit":"9 phút","overtimeRule":"Bằng điểm: tối đa 60 s, xe bị hạ đầu tiên quyết định","drawRule":"Hòa nếu hết hiệp phụ","scoreRule":"Mỗi xe địch bị hạ: min(baseCP, 18) điểm. Dùng baseCP, không dùng giá sau giảm","catchUpPolicy":"Giảm (tối đa +25%)"},"numbers":{"target":480,"killCap":18,"timeLimit":540,"overtime":60,"catchUpMax":0.25}}</t>
        </is>
      </c>
    </row>
    <row r="6">
      <c r="A6" t="inlineStr">
        <is>
          <t>defend</t>
        </is>
      </c>
      <c r="B6" t="inlineStr">
        <is>
          <t>Defend</t>
        </is>
      </c>
      <c r="C6" t="inlineStr">
        <is>
          <t>30;45</t>
        </is>
      </c>
      <c r="D6" t="b">
        <v>1</v>
      </c>
      <c r="E6" t="inlineStr">
        <is>
          <t>defend</t>
        </is>
      </c>
      <c r="F6" t="inlineStr"/>
      <c r="AK6" t="n">
        <v>720</v>
      </c>
      <c r="AO6" t="inlineStr">
        <is>
          <t>Không áp (đợt theo Sức mạnh căn cứ)</t>
        </is>
      </c>
      <c r="AP6" t="inlineStr">
        <is>
          <t>Không</t>
        </is>
      </c>
      <c r="AR6" t="inlineStr">
        <is>
          <t>Mất sở chỉ huy</t>
        </is>
      </c>
      <c r="AT6" t="inlineStr">
        <is>
          <t>Không</t>
        </is>
      </c>
      <c r="AU6" t="inlineStr">
        <is>
          <t>Không tính điểm; sao (nếu là màn chiến dịch) theo máu sở chỉ huy và số tuyến còn giữ; mất tuyến ngoài KHÔNG là thất bại</t>
        </is>
      </c>
      <c r="AV6" t="inlineStr">
        <is>
          <t>12 phút</t>
        </is>
      </c>
      <c r="AW6" t="inlineStr">
        <is>
          <t>Sở chỉ huy còn đứng khi hết giờ</t>
        </is>
      </c>
      <c r="AX6" t="inlineStr">
        <is>
          <t>Assets/MachineBrigade/Resources/Data/balance.json: matchRules.modes.defend</t>
        </is>
      </c>
      <c r="AY6" t="inlineStr">
        <is>
          <t>{"text":{"winCondition":"Sở chỉ huy còn đứng khi hết giờ","loseCondition":"Mất sở chỉ huy","timeLimit":"12 phút","overtimeRule":"Không","drawRule":"Không","scoreRule":"Không tính điểm; sao (nếu là màn chiến dịch) theo máu sở chỉ huy và số tuyến còn giữ; mất tuyến ngoài KHÔNG là thất bại","catchUpPolicy":"Không áp (đợt theo Sức mạnh căn cứ)"},"numbers":{"timeLimit":720}}</t>
        </is>
      </c>
    </row>
    <row r="7">
      <c r="A7" t="inlineStr">
        <is>
          <t>endless</t>
        </is>
      </c>
      <c r="B7" t="inlineStr">
        <is>
          <t>Endless</t>
        </is>
      </c>
      <c r="C7" t="inlineStr">
        <is>
          <t>30;45</t>
        </is>
      </c>
      <c r="D7" t="b">
        <v>1</v>
      </c>
      <c r="E7" t="inlineStr">
        <is>
          <t>defend</t>
        </is>
      </c>
      <c r="F7" t="inlineStr"/>
      <c r="H7" t="inlineStr"/>
      <c r="AO7" t="inlineStr">
        <is>
          <t>Không áp</t>
        </is>
      </c>
      <c r="AP7" t="inlineStr">
        <is>
          <t>Không</t>
        </is>
      </c>
      <c r="AR7" t="inlineStr">
        <is>
          <t>Mất sở chỉ huy</t>
        </is>
      </c>
      <c r="AT7" t="inlineStr">
        <is>
          <t>Không</t>
        </is>
      </c>
      <c r="AU7" t="inlineStr">
        <is>
          <t>Xếp hạng theo thứ tự: đợt hoàn thành (giảm dần) → baseCP xe địch đã hạ (giảm dần) → thời gian sống (giảm dần)</t>
        </is>
      </c>
      <c r="AV7" t="inlineStr">
        <is>
          <t>Không giới hạn</t>
        </is>
      </c>
      <c r="AW7" t="inlineStr">
        <is>
          <t>Không có trạng thái thắng</t>
        </is>
      </c>
      <c r="AX7" t="inlineStr">
        <is>
          <t>Assets/MachineBrigade/Resources/Data/balance.json: matchRules.modes.endless</t>
        </is>
      </c>
      <c r="AY7" t="inlineStr">
        <is>
          <t>{"text":{"winCondition":"Không có trạng thái thắng","loseCondition":"Mất sở chỉ huy","timeLimit":"Không giới hạn","overtimeRule":"Không","drawRule":"Không","scoreRule":"Xếp hạng theo thứ tự: đợt hoàn thành (giảm dần) → baseCP xe địch đã hạ (giảm dần) → thời gian sống (giảm dần)","catchUpPolicy":"Không áp"},"numbers":{}}</t>
        </is>
      </c>
    </row>
    <row r="8">
      <c r="A8" t="inlineStr">
        <is>
          <t>hill</t>
        </is>
      </c>
      <c r="B8" t="inlineStr">
        <is>
          <t>KingOfTheHill</t>
        </is>
      </c>
      <c r="C8" t="inlineStr">
        <is>
          <t>30;45</t>
        </is>
      </c>
      <c r="D8" t="b">
        <v>1</v>
      </c>
      <c r="E8" t="inlineStr">
        <is>
          <t>hill</t>
        </is>
      </c>
      <c r="F8" t="inlineStr">
        <is>
          <t>workshop</t>
        </is>
      </c>
      <c r="O8" t="n">
        <v>0.25</v>
      </c>
      <c r="AA8" t="n">
        <v>60</v>
      </c>
      <c r="AC8" t="n">
        <v>1</v>
      </c>
      <c r="AJ8" t="n">
        <v>170</v>
      </c>
      <c r="AK8" t="n">
        <v>540</v>
      </c>
      <c r="AO8" t="inlineStr">
        <is>
          <t>Như hiện có</t>
        </is>
      </c>
      <c r="AP8" t="inlineStr">
        <is>
          <t>Hòa nếu hết hiệp phụ</t>
        </is>
      </c>
      <c r="AR8" t="inlineStr">
        <is>
          <t>Ngược lại</t>
        </is>
      </c>
      <c r="AT8" t="inlineStr">
        <is>
          <t>Bằng điểm hoặc đồi đang tranh khi hết giờ: tối đa 60 s; còn tranh thì kéo dài, một bên giữ riêng thì phân định</t>
        </is>
      </c>
      <c r="AU8" t="inlineStr">
        <is>
          <t>Một mình giữ đồi: +1 điểm/s; tranh chấp hoặc trống: 0</t>
        </is>
      </c>
      <c r="AV8" t="inlineStr">
        <is>
          <t>9 phút</t>
        </is>
      </c>
      <c r="AW8" t="inlineStr">
        <is>
          <t>Đạt 170 điểm, hoặc dẫn khi hết giờ</t>
        </is>
      </c>
      <c r="AX8" t="inlineStr">
        <is>
          <t>Assets/MachineBrigade/Resources/Data/balance.json: matchRules.modes.hill</t>
        </is>
      </c>
      <c r="AY8" t="inlineStr">
        <is>
          <t>{"text":{"winCondition":"Đạt 170 điểm, hoặc dẫn khi hết giờ","loseCondition":"Ngược lại","timeLimit":"9 phút","overtimeRule":"Bằng điểm hoặc đồi đang tranh khi hết giờ: tối đa 60 s; còn tranh thì kéo dài, một bên giữ riêng thì phân định","drawRule":"Hòa nếu hết hiệp phụ","scoreRule":"Một mình giữ đồi: +1 điểm/s; tranh chấp hoặc trống: 0","catchUpPolicy":"Như hiện có"},"numbers":{"target":170,"perSecond":1,"timeLimit":540,"overtime":60,"catchUpMax":0.25}}</t>
        </is>
      </c>
    </row>
    <row r="9">
      <c r="A9" t="inlineStr">
        <is>
          <t>operations</t>
        </is>
      </c>
      <c r="B9" t="inlineStr">
        <is>
          <t>Operation</t>
        </is>
      </c>
      <c r="D9" t="b">
        <v>0</v>
      </c>
      <c r="E9" t="inlineStr">
        <is>
          <t>operation</t>
        </is>
      </c>
      <c r="F9" t="inlineStr"/>
      <c r="V9" t="n">
        <v>2000</v>
      </c>
      <c r="W9" t="n">
        <v>150</v>
      </c>
      <c r="AO9" t="inlineStr">
        <is>
          <t>Như màn gốc</t>
        </is>
      </c>
      <c r="AP9" t="inlineStr">
        <is>
          <t>Như màn gốc</t>
        </is>
      </c>
      <c r="AR9" t="inlineStr">
        <is>
          <t>Như màn gốc</t>
        </is>
      </c>
      <c r="AT9" t="inlineStr">
        <is>
          <t>Như màn gốc</t>
        </is>
      </c>
      <c r="AU9" t="inlineStr">
        <is>
          <t>Giữ công thức hiện có (5.000 + thời gian + tổn thất + máu sở chỉ huy, × hệ số cấp). Phần tổn thất đổi từ số xe sang baseCP đã mất: 2.000 khi mất 0, về 0 khi mất 150 baseCP</t>
        </is>
      </c>
      <c r="AV9" t="inlineStr">
        <is>
          <t>Như màn gốc</t>
        </is>
      </c>
      <c r="AW9" t="inlineStr">
        <is>
          <t>Như màn gốc</t>
        </is>
      </c>
      <c r="AX9" t="inlineStr">
        <is>
          <t>Assets/MachineBrigade/Resources/Data/balance.json: matchRules.modes.operations</t>
        </is>
      </c>
      <c r="AY9" t="inlineStr">
        <is>
          <t>{"text":{"winCondition":"Như màn gốc","loseCondition":"Như màn gốc","timeLimit":"Như màn gốc","overtimeRule":"Như màn gốc","drawRule":"Như màn gốc","scoreRule":"Giữ công thức hiện có (5.000 + thời gian + tổn thất + máu sở chỉ huy, × hệ số cấp). Phần tổn thất đổi từ số xe sang baseCP đã mất: 2.000 khi mất 0, về 0 khi mất 150 baseCP","catchUpPolicy":"Như màn gốc"},"numbers":{"losses":2000,"lossesAtZeroCp":150}}</t>
        </is>
      </c>
    </row>
    <row r="10">
      <c r="A10" t="inlineStr">
        <is>
          <t>showdown</t>
        </is>
      </c>
      <c r="B10" t="inlineStr">
        <is>
          <t>Showdown</t>
        </is>
      </c>
      <c r="D10" t="b">
        <v>1</v>
      </c>
      <c r="E10" t="inlineStr">
        <is>
          <t>showdown</t>
        </is>
      </c>
      <c r="F10" t="inlineStr">
        <is>
          <t>ammo_depot</t>
        </is>
      </c>
      <c r="G10" t="inlineStr">
        <is>
          <t>ashfield;capital;coralisles;dunebreak;foundry;frostpeak;greenvale;ironport;junglepass;landingbeach;launchsite;lighthousebay;metrocity;openpit;orbitalgate;redrock;rustyard;saltflat;skyhold;swamp;veyra_old_quarter;whiteout</t>
        </is>
      </c>
      <c r="I10" t="n">
        <v>60</v>
      </c>
      <c r="J10" t="n">
        <v>0.25</v>
      </c>
      <c r="K10" t="n">
        <v>46</v>
      </c>
      <c r="O10" t="n">
        <v>0.25</v>
      </c>
      <c r="P10" t="n">
        <v>360</v>
      </c>
      <c r="Q10" t="n">
        <v>1.5</v>
      </c>
      <c r="Z10" t="n">
        <v>2</v>
      </c>
      <c r="AB10" t="n">
        <v>0.05</v>
      </c>
      <c r="AE10" t="n">
        <v>600</v>
      </c>
      <c r="AH10" t="n">
        <v>90</v>
      </c>
      <c r="AI10" t="n">
        <v>2</v>
      </c>
      <c r="AK10" t="n">
        <v>720</v>
      </c>
      <c r="AM10" t="inlineStr">
        <is>
          <t>Nhà chính chỉ nhận 25% sát thương từ pháo binh, tên lửa và máy bay bắn từ ngoài 60 m, cho tới khi outerDefenseBreached</t>
        </is>
      </c>
      <c r="AN10" t="inlineStr">
        <is>
          <t>outerDefenseBreached khi quân mặt đất địch vào qua cổng chính (cổng trại là lối mở), hoặc một đoạn tường ngoài thành RUBBLE và mở được đường từ phía công vào trong căn cứ (kiểm bằng trạng thái NavGrid)</t>
        </is>
      </c>
      <c r="AO10" t="inlineStr">
        <is>
          <t>Chỉ bắt kịp thu nhập, trần +25%; không tiếp viện miễn phí</t>
        </is>
      </c>
      <c r="AP10" t="inlineStr">
        <is>
          <t>Bằng nhau sau đột tử → hòa</t>
        </is>
      </c>
      <c r="AQ10" t="inlineStr">
        <is>
          <t>Phút 6: thu nhập ×1,5 cho cả hai phe, trạm CP ngừng tạo CP; phút 10: tháp bị phá không xây lại (lần đã trừ CP thì hoàn tất)</t>
        </is>
      </c>
      <c r="AR10" t="inlineStr">
        <is>
          <t>Mất nhà chính</t>
        </is>
      </c>
      <c r="AS10" t="inlineStr">
        <is>
          <t>Chỉ bản đồ 300×300 đạt ngưỡng đối xứng của docs/checks/map_audit.md (không dùng 300×480)</t>
        </is>
      </c>
      <c r="AT10" t="inlineStr">
        <is>
          <t>Hết 12 phút: bên có nhà chính còn nhiều % máu hơn từ 5 điểm phần trăm trở lên thắng ngay; chênh dưới 5 điểm → đột tử 90 s (tắt chống bắn tỉa, không xây lại tháp, thu nhập ×2, không đặt lại hồi chiêu kỹ năng nhà chính): phá nhà chính thì thắng, hết 90 s thì bên gây nhiều sát thương lên nhà chính đối phương trong đột tử hơn thắng</t>
        </is>
      </c>
      <c r="AU10" t="inlineStr">
        <is>
          <t>Không có điểm phụ</t>
        </is>
      </c>
      <c r="AV10" t="inlineStr">
        <is>
          <t>12 phút</t>
        </is>
      </c>
      <c r="AW10" t="inlineStr">
        <is>
          <t>Phá nhà chính đối phương</t>
        </is>
      </c>
      <c r="AX10" t="inlineStr">
        <is>
          <t>Assets/MachineBrigade/Resources/Data/balance.json: matchRules.modes.showdown</t>
        </is>
      </c>
      <c r="AY10" t="inlineStr">
        <is>
          <t>{"text":{"winCondition":"Phá nhà chính đối phương","loseCondition":"Mất nhà chính","timeLimit":"12 phút","overtimeRule":"Hết 12 phút: bên có nhà chính còn nhiều % máu hơn từ 5 điểm phần trăm trở lên thắng ngay; chênh dưới 5 điểm → đột tử 90 s (tắt chống bắn tỉa, không xây lại tháp, thu nhập ×2, không đặt lại hồi chiêu kỹ năng nhà chính): phá nhà chính thì thắng, hết 90 s thì bên gây nhiều sát thương lên nhà chính đối phương trong đột tử hơn thắng","drawRule":"Bằng nhau sau đột tử → hòa","scoreRule":"Không có điểm phụ","catchUpPolicy":"Chỉ bắt kịp thu nhập, trần +25%; không tiếp viện miễn phí","antiSnipeRule":"Nhà chính chỉ nhận 25% sát thương từ pháo binh, tên lửa và máy bay bắn từ ngoài 60 m, cho tới khi outerDefenseBreached","breachRule":"outerDefenseBreached khi quân mặt đất địch vào qua cổng chính (cổng trại là lối mở), hoặc một đoạn tường ngoài thành RUBBLE và mở được đường từ phía công vào trong căn cứ (kiểm bằng trạng thái NavGrid)","escalation":"Phút 6: thu nhập ×1,5 cho cả hai phe, trạm CP ngừng tạo CP; phút 10: tháp bị phá không xây lại (lần đã trừ CP thì hoàn tất)","mapEligibility":"Chỉ bản đồ 300×300 đạt ngưỡng đối xứng của docs/checks/map_audit.md (không dùng 300×480)"},"numbers":{"timeLimit":720,"antiSnipeShare":0.25,"antiSnipeRange":60,"escalationAt":360,"escalationIncome":1.5,"rebuildCutoff":600,"overtimeLead":0.05,"suddenDeath":90,"suddenDeathIncome":2,"catchUpMax":0.25,"baseRadius":46,"neutralsMax":2},"lists":{"maps":["ashfield","capital","coralisles","dunebreak","foundry","frostpeak","greenvale","ironport","junglepass","landingbeach","launchsite","lighthousebay","metrocity","openpit","orbitalgate","redrock","rustyard","saltflat","skyhold","swamp","veyra_old_quarter","whiteout"]}}</t>
        </is>
      </c>
    </row>
    <row r="11">
      <c r="A11" t="inlineStr">
        <is>
          <t>siege</t>
        </is>
      </c>
      <c r="B11" t="inlineStr">
        <is>
          <t>Siege</t>
        </is>
      </c>
      <c r="C11" t="inlineStr">
        <is>
          <t>40;55</t>
        </is>
      </c>
      <c r="D11" t="b">
        <v>1</v>
      </c>
      <c r="E11" t="inlineStr">
        <is>
          <t>siege</t>
        </is>
      </c>
      <c r="F11" t="inlineStr">
        <is>
          <t>aa_site</t>
        </is>
      </c>
      <c r="AA11" t="n">
        <v>60</v>
      </c>
      <c r="AK11" t="n">
        <v>1080</v>
      </c>
      <c r="AO11" t="inlineStr">
        <is>
          <t>Như hiện có</t>
        </is>
      </c>
      <c r="AP11" t="inlineStr">
        <is>
          <t>Không có hòa</t>
        </is>
      </c>
      <c r="AR11" t="inlineStr">
        <is>
          <t>Hết giờ</t>
        </is>
      </c>
      <c r="AT11" t="inlineStr">
        <is>
          <t>Mục tiêu cuối đang bị tấn công khi hết giờ: tối đa 60 s</t>
        </is>
      </c>
      <c r="AU11" t="inlineStr">
        <is>
          <t>Không tính điểm</t>
        </is>
      </c>
      <c r="AV11" t="inlineStr">
        <is>
          <t>18 phút mặc định; màn chiến dịch dùng giới hạn thời gian riêng</t>
        </is>
      </c>
      <c r="AW11" t="inlineStr">
        <is>
          <t>Hạ sở chỉ huy pháo đài</t>
        </is>
      </c>
      <c r="AX11" t="inlineStr">
        <is>
          <t>Assets/MachineBrigade/Resources/Data/balance.json: matchRules.modes.siege</t>
        </is>
      </c>
      <c r="AY11" t="inlineStr">
        <is>
          <t>{"text":{"winCondition":"Hạ sở chỉ huy pháo đài","loseCondition":"Hết giờ","timeLimit":"18 phút mặc định; màn chiến dịch dùng giới hạn thời gian riêng","overtimeRule":"Mục tiêu cuối đang bị tấn công khi hết giờ: tối đa 60 s","drawRule":"Không có hòa","scoreRule":"Không tính điểm","catchUpPolicy":"Như hiện có"},"numbers":{"timeLimit":1080,"overtime":60}}</t>
        </is>
      </c>
    </row>
    <row r="12">
      <c r="A12" t="inlineStr">
        <is>
          <t>survival</t>
        </is>
      </c>
      <c r="B12" t="inlineStr">
        <is>
          <t>Survival</t>
        </is>
      </c>
      <c r="C12" t="inlineStr">
        <is>
          <t>30;40</t>
        </is>
      </c>
      <c r="D12" t="b">
        <v>1</v>
      </c>
      <c r="E12" t="inlineStr">
        <is>
          <t>survival</t>
        </is>
      </c>
      <c r="F12" t="inlineStr">
        <is>
          <t>workshop</t>
        </is>
      </c>
      <c r="M12" t="n">
        <v>10</v>
      </c>
      <c r="Y12" t="n">
        <v>5</v>
      </c>
      <c r="AL12" t="n">
        <v>10</v>
      </c>
      <c r="AO12" t="inlineStr">
        <is>
          <t>Không áp</t>
        </is>
      </c>
      <c r="AP12" t="inlineStr">
        <is>
          <t>Không</t>
        </is>
      </c>
      <c r="AR12" t="inlineStr">
        <is>
          <t>Mất toàn bộ quân hoặc địch chiếm bãi thả</t>
        </is>
      </c>
      <c r="AT12" t="inlineStr">
        <is>
          <t>Không</t>
        </is>
      </c>
      <c r="AU12" t="inlineStr">
        <is>
          <t>Số đợt đã qua</t>
        </is>
      </c>
      <c r="AV12" t="inlineStr">
        <is>
          <t>10 đợt; nhịp mục tiêu khoảng 60 giây/đợt, tổng khoảng 10 phút</t>
        </is>
      </c>
      <c r="AW12" t="inlineStr">
        <is>
          <t>Qua hết đợt 10 (đợt 5 có mini boss, đợt 10 có boss chủ lực)</t>
        </is>
      </c>
      <c r="AX12" t="inlineStr">
        <is>
          <t>Assets/MachineBrigade/Resources/Data/balance.json: matchRules.modes.survival</t>
        </is>
      </c>
      <c r="AY12" t="inlineStr">
        <is>
          <t>{"text":{"winCondition":"Qua hết đợt 10 (đợt 5 có mini boss, đợt 10 có boss chủ lực)","loseCondition":"Mất toàn bộ quân hoặc địch chiếm bãi thả","timeLimit":"10 đợt; nhịp mục tiêu khoảng 60 giây/đợt, tổng khoảng 10 phút","overtimeRule":"Không","drawRule":"Không","scoreRule":"Số đợt đã qua","catchUpPolicy":"Không áp"},"numbers":{"waves":10,"miniBossWave":5,"bossWave":10}}</t>
        </is>
      </c>
    </row>
    <row r="13">
      <c r="A13" t="inlineStr">
        <is>
          <t>weekly</t>
        </is>
      </c>
      <c r="B13" t="inlineStr">
        <is>
          <t>Weekly</t>
        </is>
      </c>
      <c r="D13" t="b">
        <v>1</v>
      </c>
      <c r="E13" t="inlineStr">
        <is>
          <t>siege</t>
        </is>
      </c>
      <c r="F13" t="inlineStr">
        <is>
          <t>ammo_depot</t>
        </is>
      </c>
      <c r="AA13" t="n">
        <v>60</v>
      </c>
      <c r="AO13" t="inlineStr">
        <is>
          <t>Như Công thành</t>
        </is>
      </c>
      <c r="AP13" t="inlineStr">
        <is>
          <t>Không</t>
        </is>
      </c>
      <c r="AR13" t="inlineStr">
        <is>
          <t>Mỗi lần đánh có thể dừng giữa chừng; lớp đã phá được giữ</t>
        </is>
      </c>
      <c r="AT13" t="inlineStr">
        <is>
          <t>Như Công thành</t>
        </is>
      </c>
      <c r="AU13" t="inlineStr">
        <is>
          <t>Xếp hạng: đã phá xong? → số lần đánh (tăng dần) → tổng thời gian giao chiến (tăng dần)</t>
        </is>
      </c>
      <c r="AV13" t="inlineStr">
        <is>
          <t>Theo lần đánh (như Công thành) + chu kỳ tuần</t>
        </is>
      </c>
      <c r="AW13" t="inlineStr">
        <is>
          <t>Hạ sở chỉ huy trước khi tuần kết thúc</t>
        </is>
      </c>
      <c r="AX13" t="inlineStr">
        <is>
          <t>Assets/MachineBrigade/Resources/Data/balance.json: matchRules.modes.weekly</t>
        </is>
      </c>
      <c r="AY13" t="inlineStr">
        <is>
          <t>{"text":{"winCondition":"Hạ sở chỉ huy trước khi tuần kết thúc","loseCondition":"Mỗi lần đánh có thể dừng giữa chừng; lớp đã phá được giữ","timeLimit":"Theo lần đánh (như Công thành) + chu kỳ tuần","overtimeRule":"Như Công thành","drawRule":"Không","scoreRule":"Xếp hạng: đã phá xong? → số lần đánh (tăng dần) → tổng thời gian giao chiến (tăng dần)","catchUpPolicy":"Như Công thành"},"numbers":{"overtime":60}}</t>
        </is>
      </c>
    </row>
  </sheetData>
  <autoFilter ref="A1:AY13"/>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2" customWidth="1" min="3" max="3"/>
    <col width="11" customWidth="1" min="4" max="4"/>
    <col width="12" customWidth="1" min="5" max="5"/>
    <col width="60" customWidth="1" min="6" max="6"/>
    <col width="10" customWidth="1" min="7" max="7"/>
  </cols>
  <sheetData>
    <row r="1">
      <c r="A1" s="1" t="inlineStr">
        <is>
          <t>id</t>
        </is>
      </c>
      <c r="B1" s="1" t="inlineStr">
        <is>
          <t>sao2_kind</t>
        </is>
      </c>
      <c r="C1" s="1" t="inlineStr">
        <is>
          <t>sao2_value</t>
        </is>
      </c>
      <c r="D1" s="1" t="inlineStr">
        <is>
          <t>sao3_kind</t>
        </is>
      </c>
      <c r="E1" s="1" t="inlineStr">
        <is>
          <t>sao3_value</t>
        </is>
      </c>
      <c r="F1" s="1" t="inlineStr">
        <is>
          <t>nguon</t>
        </is>
      </c>
      <c r="G1" s="1" t="inlineStr">
        <is>
          <t>raw_json</t>
        </is>
      </c>
    </row>
    <row r="2">
      <c r="A2" t="inlineStr">
        <is>
          <t>Boss</t>
        </is>
      </c>
      <c r="B2" t="inlineStr">
        <is>
          <t>BossParts</t>
        </is>
      </c>
      <c r="C2" t="n">
        <v>2</v>
      </c>
      <c r="D2" t="inlineStr">
        <is>
          <t>NoAircraft</t>
        </is>
      </c>
      <c r="F2" t="inlineStr">
        <is>
          <t>Assets/MachineBrigade/Resources/Data/balance.json: matchRules.starMastery.Boss</t>
        </is>
      </c>
      <c r="G2" t="inlineStr"/>
    </row>
    <row r="3">
      <c r="A3" t="inlineStr">
        <is>
          <t>Capture</t>
        </is>
      </c>
      <c r="B3" t="inlineStr">
        <is>
          <t>LossShare</t>
        </is>
      </c>
      <c r="C3" t="n">
        <v>0.4</v>
      </c>
      <c r="D3" t="inlineStr">
        <is>
          <t>Kills</t>
        </is>
      </c>
      <c r="E3" t="n">
        <v>10</v>
      </c>
      <c r="F3" t="inlineStr">
        <is>
          <t>Assets/MachineBrigade/Resources/Data/balance.json: matchRules.starMastery.Capture</t>
        </is>
      </c>
      <c r="G3" t="inlineStr"/>
    </row>
    <row r="4">
      <c r="A4" t="inlineStr">
        <is>
          <t>Destroy</t>
        </is>
      </c>
      <c r="B4" t="inlineStr">
        <is>
          <t>LossShare</t>
        </is>
      </c>
      <c r="C4" t="n">
        <v>0.4</v>
      </c>
      <c r="D4" t="inlineStr">
        <is>
          <t>NoStrikes</t>
        </is>
      </c>
      <c r="F4" t="inlineStr">
        <is>
          <t>Assets/MachineBrigade/Resources/Data/balance.json: matchRules.starMastery.Destroy</t>
        </is>
      </c>
      <c r="G4" t="inlineStr"/>
    </row>
    <row r="5">
      <c r="A5" t="inlineStr">
        <is>
          <t>Duel</t>
        </is>
      </c>
      <c r="B5" t="inlineStr">
        <is>
          <t>HqShare</t>
        </is>
      </c>
      <c r="C5" t="n">
        <v>0.5</v>
      </c>
      <c r="D5" t="inlineStr">
        <is>
          <t>Kills</t>
        </is>
      </c>
      <c r="E5" t="n">
        <v>15</v>
      </c>
      <c r="F5" t="inlineStr">
        <is>
          <t>Assets/MachineBrigade/Resources/Data/balance.json: matchRules.starMastery.Duel</t>
        </is>
      </c>
      <c r="G5" t="inlineStr"/>
    </row>
    <row r="6">
      <c r="A6" t="inlineStr">
        <is>
          <t>Escort</t>
        </is>
      </c>
      <c r="B6" t="inlineStr">
        <is>
          <t>ConvoyShare</t>
        </is>
      </c>
      <c r="C6" t="n">
        <v>0.8</v>
      </c>
      <c r="D6" t="inlineStr">
        <is>
          <t>Kills</t>
        </is>
      </c>
      <c r="E6" t="n">
        <v>10</v>
      </c>
      <c r="F6" t="inlineStr">
        <is>
          <t>Assets/MachineBrigade/Resources/Data/balance.json: matchRules.starMastery.Escort</t>
        </is>
      </c>
      <c r="G6" t="inlineStr"/>
    </row>
    <row r="7">
      <c r="A7" t="inlineStr">
        <is>
          <t>Evacuate</t>
        </is>
      </c>
      <c r="B7" t="inlineStr">
        <is>
          <t>ConvoyShare</t>
        </is>
      </c>
      <c r="C7" t="n">
        <v>0.8</v>
      </c>
      <c r="D7" t="inlineStr">
        <is>
          <t>Kills</t>
        </is>
      </c>
      <c r="E7" t="n">
        <v>10</v>
      </c>
      <c r="F7" t="inlineStr">
        <is>
          <t>Assets/MachineBrigade/Resources/Data/balance.json: matchRules.starMastery.Evacuate</t>
        </is>
      </c>
      <c r="G7" t="inlineStr"/>
    </row>
    <row r="8">
      <c r="A8" t="inlineStr">
        <is>
          <t>Hold</t>
        </is>
      </c>
      <c r="B8" t="inlineStr">
        <is>
          <t>HoldShare</t>
        </is>
      </c>
      <c r="C8" t="n">
        <v>0.8</v>
      </c>
      <c r="D8" t="inlineStr">
        <is>
          <t>Kills</t>
        </is>
      </c>
      <c r="E8" t="n">
        <v>15</v>
      </c>
      <c r="F8" t="inlineStr">
        <is>
          <t>Assets/MachineBrigade/Resources/Data/balance.json: matchRules.starMastery.Hold</t>
        </is>
      </c>
      <c r="G8" t="inlineStr"/>
    </row>
    <row r="9">
      <c r="A9" t="inlineStr">
        <is>
          <t>Hunt</t>
        </is>
      </c>
      <c r="B9" t="inlineStr">
        <is>
          <t>LossShare</t>
        </is>
      </c>
      <c r="C9" t="n">
        <v>0.4</v>
      </c>
      <c r="D9" t="inlineStr">
        <is>
          <t>Kills</t>
        </is>
      </c>
      <c r="E9" t="n">
        <v>10</v>
      </c>
      <c r="F9" t="inlineStr">
        <is>
          <t>Assets/MachineBrigade/Resources/Data/balance.json: matchRules.starMastery.Hunt</t>
        </is>
      </c>
      <c r="G9" t="inlineStr"/>
    </row>
    <row r="10">
      <c r="A10" t="inlineStr">
        <is>
          <t>Intercept</t>
        </is>
      </c>
      <c r="B10" t="inlineStr">
        <is>
          <t>LossShare</t>
        </is>
      </c>
      <c r="C10" t="n">
        <v>0.4</v>
      </c>
      <c r="D10" t="inlineStr">
        <is>
          <t>NoStrikes</t>
        </is>
      </c>
      <c r="F10" t="inlineStr">
        <is>
          <t>Assets/MachineBrigade/Resources/Data/balance.json: matchRules.starMastery.Intercept</t>
        </is>
      </c>
      <c r="G10" t="inlineStr"/>
    </row>
    <row r="11">
      <c r="A11" t="inlineStr">
        <is>
          <t>Outpost</t>
        </is>
      </c>
      <c r="B11" t="inlineStr">
        <is>
          <t>HoldShare</t>
        </is>
      </c>
      <c r="C11" t="n">
        <v>0.8</v>
      </c>
      <c r="D11" t="inlineStr">
        <is>
          <t>Kills</t>
        </is>
      </c>
      <c r="E11" t="n">
        <v>12</v>
      </c>
      <c r="F11" t="inlineStr">
        <is>
          <t>Assets/MachineBrigade/Resources/Data/balance.json: matchRules.starMastery.Outpost</t>
        </is>
      </c>
      <c r="G11" t="inlineStr"/>
    </row>
    <row r="12">
      <c r="A12" t="inlineStr">
        <is>
          <t>Protect</t>
        </is>
      </c>
      <c r="B12" t="inlineStr">
        <is>
          <t>ProtectShare</t>
        </is>
      </c>
      <c r="C12" t="n">
        <v>0.75</v>
      </c>
      <c r="D12" t="inlineStr">
        <is>
          <t>Kills</t>
        </is>
      </c>
      <c r="E12" t="n">
        <v>15</v>
      </c>
      <c r="F12" t="inlineStr">
        <is>
          <t>Assets/MachineBrigade/Resources/Data/balance.json: matchRules.starMastery.Protect</t>
        </is>
      </c>
      <c r="G12" t="inlineStr"/>
    </row>
    <row r="13">
      <c r="A13" t="inlineStr">
        <is>
          <t>Recon</t>
        </is>
      </c>
      <c r="B13" t="inlineStr">
        <is>
          <t>ReconQuiet</t>
        </is>
      </c>
      <c r="C13" t="n">
        <v>0.67</v>
      </c>
      <c r="D13" t="inlineStr">
        <is>
          <t>NoStrikes</t>
        </is>
      </c>
      <c r="F13" t="inlineStr">
        <is>
          <t>Assets/MachineBrigade/Resources/Data/balance.json: matchRules.starMastery.Recon</t>
        </is>
      </c>
      <c r="G13" t="inlineStr"/>
    </row>
    <row r="14">
      <c r="A14" t="inlineStr">
        <is>
          <t>Relieve</t>
        </is>
      </c>
      <c r="B14" t="inlineStr">
        <is>
          <t>LossShare</t>
        </is>
      </c>
      <c r="C14" t="n">
        <v>0.4</v>
      </c>
      <c r="D14" t="inlineStr">
        <is>
          <t>Kills</t>
        </is>
      </c>
      <c r="E14" t="n">
        <v>12</v>
      </c>
      <c r="F14" t="inlineStr">
        <is>
          <t>Assets/MachineBrigade/Resources/Data/balance.json: matchRules.starMastery.Relieve</t>
        </is>
      </c>
      <c r="G14" t="inlineStr"/>
    </row>
    <row r="15">
      <c r="A15" t="inlineStr">
        <is>
          <t>ShootDown</t>
        </is>
      </c>
      <c r="B15" t="inlineStr">
        <is>
          <t>LossShare</t>
        </is>
      </c>
      <c r="C15" t="n">
        <v>0.4</v>
      </c>
      <c r="D15" t="inlineStr">
        <is>
          <t>Kills</t>
        </is>
      </c>
      <c r="E15" t="n">
        <v>12</v>
      </c>
      <c r="F15" t="inlineStr">
        <is>
          <t>Assets/MachineBrigade/Resources/Data/balance.json: matchRules.starMastery.ShootDown</t>
        </is>
      </c>
      <c r="G15" t="inlineStr"/>
    </row>
    <row r="16">
      <c r="A16" t="inlineStr">
        <is>
          <t>Survive</t>
        </is>
      </c>
      <c r="B16" t="inlineStr">
        <is>
          <t>HqShare</t>
        </is>
      </c>
      <c r="C16" t="n">
        <v>0.5</v>
      </c>
      <c r="D16" t="inlineStr">
        <is>
          <t>Kills</t>
        </is>
      </c>
      <c r="E16" t="n">
        <v>20</v>
      </c>
      <c r="F16" t="inlineStr">
        <is>
          <t>Assets/MachineBrigade/Resources/Data/balance.json: matchRules.starMastery.Survive</t>
        </is>
      </c>
      <c r="G16" t="inlineStr"/>
    </row>
  </sheetData>
  <autoFilter ref="A1:G16"/>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9" customWidth="1" min="3" max="3"/>
    <col width="60" customWidth="1" min="4" max="4"/>
    <col width="38" customWidth="1" min="5" max="5"/>
  </cols>
  <sheetData>
    <row r="1">
      <c r="A1" s="1" t="inlineStr">
        <is>
          <t>id</t>
        </is>
      </c>
      <c r="B1" s="1" t="inlineStr">
        <is>
          <t>thu_tu_xep_hang</t>
        </is>
      </c>
      <c r="C1" s="1" t="inlineStr">
        <is>
          <t>he_so_tang_thuong</t>
        </is>
      </c>
      <c r="D1" s="1" t="inlineStr">
        <is>
          <t>nguon</t>
        </is>
      </c>
      <c r="E1" s="1" t="inlineStr">
        <is>
          <t>raw_json</t>
        </is>
      </c>
    </row>
    <row r="2">
      <c r="A2" t="inlineStr">
        <is>
          <t>bossrush</t>
        </is>
      </c>
      <c r="B2" t="inlineStr">
        <is>
          <t>-bosses;+seconds;-parts</t>
        </is>
      </c>
      <c r="C2" t="n">
        <v>0.9</v>
      </c>
      <c r="D2" t="inlineStr">
        <is>
          <t>Assets/MachineBrigade/Resources/Data/balance.json: matchRules.leaderboards.bossrush</t>
        </is>
      </c>
      <c r="E2" t="inlineStr">
        <is>
          <t>["-bosses","+seconds","-parts"]</t>
        </is>
      </c>
    </row>
    <row r="3">
      <c r="A3" t="inlineStr">
        <is>
          <t>bossrushEndless</t>
        </is>
      </c>
      <c r="B3" t="inlineStr">
        <is>
          <t>-bosses;+seconds;-parts</t>
        </is>
      </c>
      <c r="C3" t="n">
        <v>0.9</v>
      </c>
      <c r="D3" t="inlineStr">
        <is>
          <t>Assets/MachineBrigade/Resources/Data/balance.json: matchRules.leaderboards.bossrushEndless</t>
        </is>
      </c>
      <c r="E3" t="inlineStr">
        <is>
          <t>["-bosses","+seconds","-parts"]</t>
        </is>
      </c>
    </row>
    <row r="4">
      <c r="A4" t="inlineStr">
        <is>
          <t>defendEndless</t>
        </is>
      </c>
      <c r="B4" t="inlineStr">
        <is>
          <t>-waves;-killedBaseCp;-seconds</t>
        </is>
      </c>
      <c r="C4" t="n">
        <v>0.9</v>
      </c>
      <c r="D4" t="inlineStr">
        <is>
          <t>Assets/MachineBrigade/Resources/Data/balance.json: matchRules.leaderboards.defendEndless</t>
        </is>
      </c>
      <c r="E4" t="inlineStr">
        <is>
          <t>["-waves","-killedBaseCp","-seconds"]</t>
        </is>
      </c>
    </row>
    <row r="5">
      <c r="A5" t="inlineStr">
        <is>
          <t>endless</t>
        </is>
      </c>
      <c r="B5" t="inlineStr">
        <is>
          <t>-waves;-killedBaseCp;-seconds</t>
        </is>
      </c>
      <c r="C5" t="n">
        <v>0.9</v>
      </c>
      <c r="D5" t="inlineStr">
        <is>
          <t>Assets/MachineBrigade/Resources/Data/balance.json: matchRules.leaderboards.endless</t>
        </is>
      </c>
      <c r="E5" t="inlineStr">
        <is>
          <t>["-waves","-killedBaseCp","-seconds"]</t>
        </is>
      </c>
    </row>
    <row r="6">
      <c r="A6" t="inlineStr">
        <is>
          <t>survivalEndless</t>
        </is>
      </c>
      <c r="B6" t="inlineStr">
        <is>
          <t>-waves;-killedBaseCp;-seconds</t>
        </is>
      </c>
      <c r="C6" t="n">
        <v>0.9</v>
      </c>
      <c r="D6" t="inlineStr">
        <is>
          <t>Assets/MachineBrigade/Resources/Data/balance.json: matchRules.leaderboards.survivalEndless</t>
        </is>
      </c>
      <c r="E6" t="inlineStr">
        <is>
          <t>["-waves","-killedBaseCp","-seconds"]</t>
        </is>
      </c>
    </row>
    <row r="7">
      <c r="A7" t="inlineStr">
        <is>
          <t>weekly</t>
        </is>
      </c>
      <c r="B7" t="inlineStr">
        <is>
          <t>-cleared;+attempts;+seconds</t>
        </is>
      </c>
      <c r="C7" t="n">
        <v>0.9</v>
      </c>
      <c r="D7" t="inlineStr">
        <is>
          <t>Assets/MachineBrigade/Resources/Data/balance.json: matchRules.leaderboards.weekly</t>
        </is>
      </c>
      <c r="E7" t="inlineStr">
        <is>
          <t>["-cleared","+attempts","+seconds"]</t>
        </is>
      </c>
    </row>
  </sheetData>
  <autoFilter ref="A1:E7"/>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8" customWidth="1" min="2" max="2"/>
    <col width="60" customWidth="1" min="3" max="3"/>
    <col width="12" customWidth="1" min="4" max="4"/>
    <col width="60" customWidth="1" min="5" max="5"/>
    <col width="8" customWidth="1" min="6" max="6"/>
    <col width="60" customWidth="1" min="7" max="7"/>
    <col width="60"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campaign.economy.payScale["2"]</t>
        </is>
      </c>
      <c r="B2" t="inlineStr">
        <is>
          <t>economy</t>
        </is>
      </c>
      <c r="C2" t="inlineStr">
        <is>
          <t>2</t>
        </is>
      </c>
      <c r="D2" t="n">
        <v>1.66</v>
      </c>
      <c r="F2" t="inlineStr"/>
      <c r="G2" t="inlineStr">
        <is>
          <t>Assets/MachineBrigade/Resources/Data/campaign.json: economy.payScale["2"]</t>
        </is>
      </c>
      <c r="H2" t="inlineStr">
        <is>
          <t>1.66</t>
        </is>
      </c>
    </row>
    <row r="3">
      <c r="A3" t="inlineStr">
        <is>
          <t>campaign.economy.payScale["3"]</t>
        </is>
      </c>
      <c r="B3" t="inlineStr">
        <is>
          <t>economy</t>
        </is>
      </c>
      <c r="C3" t="inlineStr">
        <is>
          <t>3</t>
        </is>
      </c>
      <c r="D3" t="n">
        <v>1</v>
      </c>
      <c r="F3" t="inlineStr"/>
      <c r="G3" t="inlineStr">
        <is>
          <t>Assets/MachineBrigade/Resources/Data/campaign.json: economy.payScale["3"]</t>
        </is>
      </c>
      <c r="H3" t="inlineStr">
        <is>
          <t>1.0</t>
        </is>
      </c>
    </row>
    <row r="4">
      <c r="A4" t="inlineStr">
        <is>
          <t>economy.armyCap.Campaign</t>
        </is>
      </c>
      <c r="B4" t="inlineStr">
        <is>
          <t>economy</t>
        </is>
      </c>
      <c r="C4" t="inlineStr">
        <is>
          <t>Campaign</t>
        </is>
      </c>
      <c r="D4" t="n">
        <v>24</v>
      </c>
      <c r="F4" t="inlineStr"/>
      <c r="G4" t="inlineStr">
        <is>
          <t>Assets/MachineBrigade/Resources/Data/balance.json: economy.armyCap.Campaign</t>
        </is>
      </c>
      <c r="H4" t="inlineStr">
        <is>
          <t>24</t>
        </is>
      </c>
    </row>
    <row r="5">
      <c r="A5" t="inlineStr">
        <is>
          <t>economy.armyCap.Survival</t>
        </is>
      </c>
      <c r="B5" t="inlineStr">
        <is>
          <t>economy</t>
        </is>
      </c>
      <c r="C5" t="inlineStr">
        <is>
          <t>Survival</t>
        </is>
      </c>
      <c r="D5" t="n">
        <v>30</v>
      </c>
      <c r="F5" t="inlineStr"/>
      <c r="G5" t="inlineStr">
        <is>
          <t>Assets/MachineBrigade/Resources/Data/balance.json: economy.armyCap.Survival</t>
        </is>
      </c>
      <c r="H5" t="inlineStr">
        <is>
          <t>30</t>
        </is>
      </c>
    </row>
    <row r="6">
      <c r="A6" t="inlineStr">
        <is>
          <t>economy.armyCap.default</t>
        </is>
      </c>
      <c r="B6" t="inlineStr">
        <is>
          <t>economy</t>
        </is>
      </c>
      <c r="C6" t="inlineStr">
        <is>
          <t>default</t>
        </is>
      </c>
      <c r="D6" t="n">
        <v>40</v>
      </c>
      <c r="F6" t="inlineStr"/>
      <c r="G6" t="inlineStr">
        <is>
          <t>Assets/MachineBrigade/Resources/Data/balance.json: economy.armyCap.default</t>
        </is>
      </c>
      <c r="H6" t="inlineStr">
        <is>
          <t>40</t>
        </is>
      </c>
    </row>
    <row r="7">
      <c r="A7" t="inlineStr">
        <is>
          <t>economy.enemyScaling</t>
        </is>
      </c>
      <c r="B7" t="inlineStr">
        <is>
          <t>economy</t>
        </is>
      </c>
      <c r="C7" t="inlineStr">
        <is>
          <t>enemyScaling</t>
        </is>
      </c>
      <c r="D7" t="n">
        <v>0.55</v>
      </c>
      <c r="F7" t="inlineStr"/>
      <c r="G7" t="inlineStr">
        <is>
          <t>Assets/MachineBrigade/Resources/Data/balance.json: economy.enemyScaling</t>
        </is>
      </c>
      <c r="H7" t="inlineStr">
        <is>
          <t>0.55</t>
        </is>
      </c>
    </row>
    <row r="8">
      <c r="A8" t="inlineStr">
        <is>
          <t>economy.enemyScalingModes.Weekly</t>
        </is>
      </c>
      <c r="B8" t="inlineStr">
        <is>
          <t>economy</t>
        </is>
      </c>
      <c r="C8" t="inlineStr">
        <is>
          <t>Weekly</t>
        </is>
      </c>
      <c r="D8" t="n">
        <v>0.5</v>
      </c>
      <c r="F8" t="inlineStr"/>
      <c r="G8" t="inlineStr">
        <is>
          <t>Assets/MachineBrigade/Resources/Data/balance.json: economy.enemyScalingModes.Weekly</t>
        </is>
      </c>
      <c r="H8" t="inlineStr">
        <is>
          <t>0.5</t>
        </is>
      </c>
    </row>
    <row r="9">
      <c r="A9" t="inlineStr">
        <is>
          <t>economy.income</t>
        </is>
      </c>
      <c r="B9" t="inlineStr">
        <is>
          <t>economy</t>
        </is>
      </c>
      <c r="C9" t="inlineStr">
        <is>
          <t>income</t>
        </is>
      </c>
      <c r="D9" t="n">
        <v>0.9</v>
      </c>
      <c r="F9" t="inlineStr"/>
      <c r="G9" t="inlineStr">
        <is>
          <t>Assets/MachineBrigade/Resources/Data/balance.json: economy.income</t>
        </is>
      </c>
      <c r="H9" t="inlineStr">
        <is>
          <t>0.9</t>
        </is>
      </c>
    </row>
    <row r="10">
      <c r="A10" t="inlineStr">
        <is>
          <t>economy.startCp.modes</t>
        </is>
      </c>
      <c r="B10" t="inlineStr">
        <is>
          <t>economy</t>
        </is>
      </c>
      <c r="C10" t="inlineStr">
        <is>
          <t>modes</t>
        </is>
      </c>
      <c r="E10" t="inlineStr">
        <is>
          <t>Conquest;Deathmatch;KingOfTheHill;Assault;Siege;Weekly;Defend;Endless;Survival;BossRush;Campaign;Showdown</t>
        </is>
      </c>
      <c r="F10" t="inlineStr"/>
      <c r="G10" t="inlineStr">
        <is>
          <t>Assets/MachineBrigade/Resources/Data/balance.json: economy.startCp.modes</t>
        </is>
      </c>
      <c r="H10" t="inlineStr">
        <is>
          <t>["Conquest","Deathmatch","KingOfTheHill","Assault","Siege","Weekly","Defend","Endless","Survival","BossRush","Campaign","Showdown"]</t>
        </is>
      </c>
    </row>
    <row r="11">
      <c r="A11" t="inlineStr">
        <is>
          <t>economy.startCp.scale</t>
        </is>
      </c>
      <c r="B11" t="inlineStr">
        <is>
          <t>economy</t>
        </is>
      </c>
      <c r="C11" t="inlineStr">
        <is>
          <t>scale</t>
        </is>
      </c>
      <c r="D11" t="n">
        <v>1.16</v>
      </c>
      <c r="F11" t="inlineStr"/>
      <c r="G11" t="inlineStr">
        <is>
          <t>Assets/MachineBrigade/Resources/Data/balance.json: economy.startCp.scale</t>
        </is>
      </c>
      <c r="H11" t="inlineStr">
        <is>
          <t>1.16</t>
        </is>
      </c>
    </row>
    <row r="12">
      <c r="A12" t="inlineStr">
        <is>
          <t>economy.supply</t>
        </is>
      </c>
      <c r="B12" t="inlineStr">
        <is>
          <t>economy</t>
        </is>
      </c>
      <c r="C12" t="inlineStr">
        <is>
          <t>supply</t>
        </is>
      </c>
      <c r="D12" t="n">
        <v>1.05</v>
      </c>
      <c r="F12" t="inlineStr"/>
      <c r="G12" t="inlineStr">
        <is>
          <t>Assets/MachineBrigade/Resources/Data/balance.json: economy.supply</t>
        </is>
      </c>
      <c r="H12" t="inlineStr">
        <is>
          <t>1.05</t>
        </is>
      </c>
    </row>
    <row r="13">
      <c r="A13" t="inlineStr">
        <is>
          <t>economy.vehicleCap.Defend</t>
        </is>
      </c>
      <c r="B13" t="inlineStr">
        <is>
          <t>economy</t>
        </is>
      </c>
      <c r="C13" t="inlineStr">
        <is>
          <t>Defend</t>
        </is>
      </c>
      <c r="D13" t="n">
        <v>48</v>
      </c>
      <c r="F13" t="inlineStr"/>
      <c r="G13" t="inlineStr">
        <is>
          <t>Assets/MachineBrigade/Resources/Data/balance.json: economy.vehicleCap.Defend</t>
        </is>
      </c>
      <c r="H13" t="inlineStr">
        <is>
          <t>48</t>
        </is>
      </c>
    </row>
    <row r="14">
      <c r="A14" t="inlineStr">
        <is>
          <t>economy.vehicleCap.Endless</t>
        </is>
      </c>
      <c r="B14" t="inlineStr">
        <is>
          <t>economy</t>
        </is>
      </c>
      <c r="C14" t="inlineStr">
        <is>
          <t>Endless</t>
        </is>
      </c>
      <c r="D14" t="n">
        <v>48</v>
      </c>
      <c r="F14" t="inlineStr"/>
      <c r="G14" t="inlineStr">
        <is>
          <t>Assets/MachineBrigade/Resources/Data/balance.json: economy.vehicleCap.Endless</t>
        </is>
      </c>
      <c r="H14" t="inlineStr">
        <is>
          <t>48</t>
        </is>
      </c>
    </row>
    <row r="15">
      <c r="A15" t="inlineStr">
        <is>
          <t>economy.vehicleCap.Operation</t>
        </is>
      </c>
      <c r="B15" t="inlineStr">
        <is>
          <t>economy</t>
        </is>
      </c>
      <c r="C15" t="inlineStr">
        <is>
          <t>Operation</t>
        </is>
      </c>
      <c r="D15" t="n">
        <v>48</v>
      </c>
      <c r="F15" t="inlineStr"/>
      <c r="G15" t="inlineStr">
        <is>
          <t>Assets/MachineBrigade/Resources/Data/balance.json: economy.vehicleCap.Operation</t>
        </is>
      </c>
      <c r="H15" t="inlineStr">
        <is>
          <t>48</t>
        </is>
      </c>
    </row>
    <row r="16">
      <c r="A16" t="inlineStr">
        <is>
          <t>economy.vehicleCap.Siege</t>
        </is>
      </c>
      <c r="B16" t="inlineStr">
        <is>
          <t>economy</t>
        </is>
      </c>
      <c r="C16" t="inlineStr">
        <is>
          <t>Siege</t>
        </is>
      </c>
      <c r="D16" t="n">
        <v>48</v>
      </c>
      <c r="F16" t="inlineStr"/>
      <c r="G16" t="inlineStr">
        <is>
          <t>Assets/MachineBrigade/Resources/Data/balance.json: economy.vehicleCap.Siege</t>
        </is>
      </c>
      <c r="H16" t="inlineStr">
        <is>
          <t>48</t>
        </is>
      </c>
    </row>
    <row r="17">
      <c r="A17" t="inlineStr">
        <is>
          <t>economy.vehicleCap.default</t>
        </is>
      </c>
      <c r="B17" t="inlineStr">
        <is>
          <t>economy</t>
        </is>
      </c>
      <c r="C17" t="inlineStr">
        <is>
          <t>default</t>
        </is>
      </c>
      <c r="D17" t="n">
        <v>32</v>
      </c>
      <c r="F17" t="inlineStr"/>
      <c r="G17" t="inlineStr">
        <is>
          <t>Assets/MachineBrigade/Resources/Data/balance.json: economy.vehicleCap.default</t>
        </is>
      </c>
      <c r="H17" t="inlineStr">
        <is>
          <t>32</t>
        </is>
      </c>
    </row>
    <row r="18">
      <c r="A18" t="inlineStr">
        <is>
          <t>ma.hoan_cp_khi_ha</t>
        </is>
      </c>
      <c r="B18" t="inlineStr">
        <is>
          <t>ma</t>
        </is>
      </c>
      <c r="C18" t="inlineStr">
        <is>
          <t>hoàn CP khi hạ, bắt kịp, thưởng rút lui, thưởng bộ phận boss, thứ tự áp</t>
        </is>
      </c>
      <c r="E18" t="inlineStr">
        <is>
          <t>kill_share 0.25; tran_hoan_khi_ha 0.45; tran_hoan_khi_mat 0.15; duong_bat_kip (ban/doi_thu:tang_thu_nhap) 1:1;0.75:1;0.6:1.1364;0.5:1.2273;0.4:1.3182;0.3:1.4091;0.2:1.5;0.1:1.5; duong_phat_tiep_te (quan/tiep_te:thu_nhap_giu) 1:1;1.25:0.875;1.5:0.75;2:0.5;2.5:0.25;3:0.25</t>
        </is>
      </c>
      <c r="G18" t="inlineStr">
        <is>
          <t>Assets/MachineBrigade/Scripts/Sim (mã kinh tế)</t>
        </is>
      </c>
      <c r="H18" t="inlineStr"/>
    </row>
    <row r="19">
      <c r="A19" t="inlineStr">
        <is>
          <t>ma.tiep_te_cong_thuc</t>
        </is>
      </c>
      <c r="B19" t="inlineStr">
        <is>
          <t>ma</t>
        </is>
      </c>
      <c r="C19" t="inlineStr">
        <is>
          <t>tiếp tế: công thức, ngưỡng, đường phạt, tối đa -75 %</t>
        </is>
      </c>
      <c r="E19" t="inlineStr">
        <is>
          <t>armyCap = round((economy.armyCap[mode] x supplyPriceScale + bonus) x economy.supply x commander); supply = floor(armyCap x supplyPerArmyCap); income kept = max(upkeepFloor, 1 - upkeepSlope x (army - supply) / supply) above the supply</t>
        </is>
      </c>
      <c r="G19" t="inlineStr">
        <is>
          <t>Assets/MachineBrigade/Scripts/Sim (mã kinh tế)</t>
        </is>
      </c>
      <c r="H19" t="inlineStr"/>
    </row>
  </sheetData>
  <autoFilter ref="A1:H19"/>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3" customWidth="1" min="2" max="2"/>
    <col width="8" customWidth="1" min="3" max="3"/>
    <col width="14" customWidth="1" min="4" max="4"/>
    <col width="20" customWidth="1" min="5" max="5"/>
    <col width="20" customWidth="1" min="6" max="6"/>
    <col width="16" customWidth="1" min="7" max="7"/>
    <col width="17" customWidth="1" min="8" max="8"/>
    <col width="14" customWidth="1" min="9" max="9"/>
    <col width="17" customWidth="1" min="10" max="10"/>
    <col width="20" customWidth="1" min="11" max="11"/>
    <col width="60" customWidth="1" min="12" max="12"/>
    <col width="10" customWidth="1" min="13" max="13"/>
  </cols>
  <sheetData>
    <row r="1">
      <c r="A1" s="1" t="inlineStr">
        <is>
          <t>id</t>
        </is>
      </c>
      <c r="B1" s="1" t="inlineStr">
        <is>
          <t>he_so_dich_tran_nhanh</t>
        </is>
      </c>
      <c r="C1" s="1" t="inlineStr">
        <is>
          <t>thu_tu</t>
        </is>
      </c>
      <c r="D1" s="1" t="inlineStr">
        <is>
          <t>bien_co_ally</t>
        </is>
      </c>
      <c r="E1" s="1" t="inlineStr">
        <is>
          <t>bien_co_ally_waves</t>
        </is>
      </c>
      <c r="F1" s="1" t="inlineStr">
        <is>
          <t>bien_co_directions</t>
        </is>
      </c>
      <c r="G1" s="1" t="inlineStr">
        <is>
          <t>bien_co_elites</t>
        </is>
      </c>
      <c r="H1" s="1" t="inlineStr">
        <is>
          <t>bien_co_escorts</t>
        </is>
      </c>
      <c r="I1" s="1" t="inlineStr">
        <is>
          <t>bien_co_step</t>
        </is>
      </c>
      <c r="J1" s="1" t="inlineStr">
        <is>
          <t>bien_co_warning</t>
        </is>
      </c>
      <c r="K1" s="1" t="inlineStr">
        <is>
          <t>bien_co_wave_scale</t>
        </is>
      </c>
      <c r="L1" s="1" t="inlineStr">
        <is>
          <t>nguon</t>
        </is>
      </c>
      <c r="M1" s="1" t="inlineStr">
        <is>
          <t>raw_json</t>
        </is>
      </c>
    </row>
    <row r="2">
      <c r="A2" t="inlineStr">
        <is>
          <t>Easy</t>
        </is>
      </c>
      <c r="B2" t="n">
        <v>0.4</v>
      </c>
      <c r="C2" t="n">
        <v>0</v>
      </c>
      <c r="D2" t="n">
        <v>0.7</v>
      </c>
      <c r="E2" t="n">
        <v>-1</v>
      </c>
      <c r="F2" t="inlineStr">
        <is>
          <t>1;2</t>
        </is>
      </c>
      <c r="G2" t="b">
        <v>0</v>
      </c>
      <c r="H2" t="n">
        <v>2</v>
      </c>
      <c r="I2" t="n">
        <v>0</v>
      </c>
      <c r="J2" t="n">
        <v>15</v>
      </c>
      <c r="K2" t="n">
        <v>0.7</v>
      </c>
      <c r="L2" t="inlineStr">
        <is>
          <t>Assets/MachineBrigade/Resources/Data/balance.json: economy.enemyScalingQuick.Easy</t>
        </is>
      </c>
      <c r="M2" t="inlineStr"/>
    </row>
    <row r="3">
      <c r="A3" t="inlineStr">
        <is>
          <t>Hard</t>
        </is>
      </c>
      <c r="B3" t="n">
        <v>0.85</v>
      </c>
      <c r="C3" t="n">
        <v>2</v>
      </c>
      <c r="D3" t="n">
        <v>0.3</v>
      </c>
      <c r="E3" t="n">
        <v>-1</v>
      </c>
      <c r="F3" t="inlineStr">
        <is>
          <t>2;3</t>
        </is>
      </c>
      <c r="G3" t="b">
        <v>0</v>
      </c>
      <c r="H3" t="n">
        <v>4</v>
      </c>
      <c r="I3" t="n">
        <v>2</v>
      </c>
      <c r="J3" t="n">
        <v>8</v>
      </c>
      <c r="K3" t="n">
        <v>1.15</v>
      </c>
      <c r="L3" t="inlineStr">
        <is>
          <t>Assets/MachineBrigade/Resources/Data/balance.json: economy.enemyScalingQuick.Hard</t>
        </is>
      </c>
      <c r="M3" t="inlineStr"/>
    </row>
    <row r="4">
      <c r="A4" t="inlineStr">
        <is>
          <t>Normal</t>
        </is>
      </c>
      <c r="B4" t="n">
        <v>0.75</v>
      </c>
      <c r="C4" t="n">
        <v>1</v>
      </c>
      <c r="D4" t="n">
        <v>0.5</v>
      </c>
      <c r="E4" t="n">
        <v>-1</v>
      </c>
      <c r="F4" t="inlineStr">
        <is>
          <t>2;2</t>
        </is>
      </c>
      <c r="G4" t="b">
        <v>0</v>
      </c>
      <c r="H4" t="n">
        <v>3</v>
      </c>
      <c r="I4" t="n">
        <v>1</v>
      </c>
      <c r="J4" t="n">
        <v>10</v>
      </c>
      <c r="K4" t="n">
        <v>1</v>
      </c>
      <c r="L4" t="inlineStr">
        <is>
          <t>Assets/MachineBrigade/Resources/Data/balance.json: economy.enemyScalingQuick.Normal</t>
        </is>
      </c>
      <c r="M4" t="inlineStr"/>
    </row>
    <row r="5">
      <c r="A5" t="inlineStr">
        <is>
          <t>VeryHard</t>
        </is>
      </c>
      <c r="B5" t="n">
        <v>1.08</v>
      </c>
      <c r="C5" t="n">
        <v>3</v>
      </c>
      <c r="D5" t="n">
        <v>0.15</v>
      </c>
      <c r="E5" t="n">
        <v>1</v>
      </c>
      <c r="F5" t="inlineStr">
        <is>
          <t>3;4</t>
        </is>
      </c>
      <c r="G5" t="b">
        <v>1</v>
      </c>
      <c r="H5" t="n">
        <v>5</v>
      </c>
      <c r="I5" t="n">
        <v>3</v>
      </c>
      <c r="J5" t="n">
        <v>6</v>
      </c>
      <c r="K5" t="n">
        <v>1.3</v>
      </c>
      <c r="L5" t="inlineStr">
        <is>
          <t>Assets/MachineBrigade/Resources/Data/balance.json: economy.enemyScalingQuick.VeryHard</t>
        </is>
      </c>
      <c r="M5" t="inlineStr"/>
    </row>
  </sheetData>
  <autoFilter ref="A1:M5"/>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8" customWidth="1" min="2" max="2"/>
    <col width="15" customWidth="1" min="3" max="3"/>
    <col width="12" customWidth="1" min="4" max="4"/>
    <col width="13" customWidth="1" min="5" max="5"/>
    <col width="8" customWidth="1" min="6" max="6"/>
    <col width="60" customWidth="1" min="7" max="7"/>
    <col width="10"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score.hq</t>
        </is>
      </c>
      <c r="B2" t="inlineStr"/>
      <c r="C2" t="inlineStr">
        <is>
          <t>hq</t>
        </is>
      </c>
      <c r="D2" t="n">
        <v>2000</v>
      </c>
      <c r="F2" t="inlineStr"/>
      <c r="G2" t="inlineStr">
        <is>
          <t>Assets/MachineBrigade/Resources/Data/operations.json: score.hq</t>
        </is>
      </c>
      <c r="H2" t="inlineStr">
        <is>
          <t>2000</t>
        </is>
      </c>
    </row>
    <row r="3">
      <c r="A3" t="inlineStr">
        <is>
          <t>score.losses</t>
        </is>
      </c>
      <c r="B3" t="inlineStr"/>
      <c r="C3" t="inlineStr">
        <is>
          <t>losses</t>
        </is>
      </c>
      <c r="D3" t="n">
        <v>2000</v>
      </c>
      <c r="F3" t="inlineStr"/>
      <c r="G3" t="inlineStr">
        <is>
          <t>Assets/MachineBrigade/Resources/Data/operations.json: score.losses</t>
        </is>
      </c>
      <c r="H3" t="inlineStr">
        <is>
          <t>2000</t>
        </is>
      </c>
    </row>
    <row r="4">
      <c r="A4" t="inlineStr">
        <is>
          <t>score.lossesAtZeroCp</t>
        </is>
      </c>
      <c r="B4" t="inlineStr"/>
      <c r="C4" t="inlineStr">
        <is>
          <t>lossesAtZeroCp</t>
        </is>
      </c>
      <c r="D4" t="n">
        <v>150</v>
      </c>
      <c r="F4" t="inlineStr"/>
      <c r="G4" t="inlineStr">
        <is>
          <t>Assets/MachineBrigade/Resources/Data/operations.json: score.lossesAtZeroCp</t>
        </is>
      </c>
      <c r="H4" t="inlineStr">
        <is>
          <t>150</t>
        </is>
      </c>
    </row>
    <row r="5">
      <c r="A5" t="inlineStr">
        <is>
          <t>score.par</t>
        </is>
      </c>
      <c r="B5" t="inlineStr"/>
      <c r="C5" t="inlineStr">
        <is>
          <t>par</t>
        </is>
      </c>
      <c r="D5" t="n">
        <v>1500</v>
      </c>
      <c r="F5" t="inlineStr"/>
      <c r="G5" t="inlineStr">
        <is>
          <t>Assets/MachineBrigade/Resources/Data/operations.json: score.par</t>
        </is>
      </c>
      <c r="H5" t="inlineStr">
        <is>
          <t>1500</t>
        </is>
      </c>
    </row>
    <row r="6">
      <c r="A6" t="inlineStr">
        <is>
          <t>score.time</t>
        </is>
      </c>
      <c r="B6" t="inlineStr"/>
      <c r="C6" t="inlineStr">
        <is>
          <t>time</t>
        </is>
      </c>
      <c r="D6" t="n">
        <v>3000</v>
      </c>
      <c r="F6" t="inlineStr"/>
      <c r="G6" t="inlineStr">
        <is>
          <t>Assets/MachineBrigade/Resources/Data/operations.json: score.time</t>
        </is>
      </c>
      <c r="H6" t="inlineStr">
        <is>
          <t>3000</t>
        </is>
      </c>
    </row>
    <row r="7">
      <c r="A7" t="inlineStr">
        <is>
          <t>score.win</t>
        </is>
      </c>
      <c r="B7" t="inlineStr"/>
      <c r="C7" t="inlineStr">
        <is>
          <t>win</t>
        </is>
      </c>
      <c r="D7" t="n">
        <v>5000</v>
      </c>
      <c r="F7" t="inlineStr"/>
      <c r="G7" t="inlineStr">
        <is>
          <t>Assets/MachineBrigade/Resources/Data/operations.json: score.win</t>
        </is>
      </c>
      <c r="H7" t="inlineStr">
        <is>
          <t>5000</t>
        </is>
      </c>
    </row>
    <row r="8">
      <c r="A8" t="inlineStr">
        <is>
          <t>weekly.fortress</t>
        </is>
      </c>
      <c r="B8" t="inlineStr"/>
      <c r="C8" t="inlineStr">
        <is>
          <t>fortress</t>
        </is>
      </c>
      <c r="D8" t="n">
        <v>600</v>
      </c>
      <c r="F8" t="inlineStr"/>
      <c r="G8" t="inlineStr">
        <is>
          <t>Assets/MachineBrigade/Resources/Data/operations.json: weekly.fortress</t>
        </is>
      </c>
      <c r="H8" t="inlineStr">
        <is>
          <t>600</t>
        </is>
      </c>
    </row>
    <row r="9">
      <c r="A9" t="inlineStr">
        <is>
          <t>weekly.operation</t>
        </is>
      </c>
      <c r="B9" t="inlineStr"/>
      <c r="C9" t="inlineStr">
        <is>
          <t>operation</t>
        </is>
      </c>
      <c r="D9" t="n">
        <v>800</v>
      </c>
      <c r="F9" t="inlineStr"/>
      <c r="G9" t="inlineStr">
        <is>
          <t>Assets/MachineBrigade/Resources/Data/operations.json: weekly.operation</t>
        </is>
      </c>
      <c r="H9" t="inlineStr">
        <is>
          <t>800</t>
        </is>
      </c>
    </row>
  </sheetData>
  <autoFilter ref="A1:H9"/>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5" customWidth="1" min="3" max="3"/>
    <col width="8" customWidth="1" min="4" max="4"/>
    <col width="10" customWidth="1" min="5" max="5"/>
    <col width="60" customWidth="1" min="6" max="6"/>
    <col width="60" customWidth="1" min="7" max="7"/>
  </cols>
  <sheetData>
    <row r="1">
      <c r="A1" s="1" t="inlineStr">
        <is>
          <t>id</t>
        </is>
      </c>
      <c r="B1" s="1" t="inlineStr">
        <is>
          <t>enemy</t>
        </is>
      </c>
      <c r="C1" s="1" t="inlineStr">
        <is>
          <t>player_income</t>
        </is>
      </c>
      <c r="D1" s="1" t="inlineStr">
        <is>
          <t>score</t>
        </is>
      </c>
      <c r="E1" s="1" t="inlineStr">
        <is>
          <t>supports</t>
        </is>
      </c>
      <c r="F1" s="1" t="inlineStr">
        <is>
          <t>nguon</t>
        </is>
      </c>
      <c r="G1" s="1" t="inlineStr">
        <is>
          <t>raw_json</t>
        </is>
      </c>
    </row>
    <row r="2">
      <c r="A2" t="inlineStr">
        <is>
          <t>heroic</t>
        </is>
      </c>
      <c r="B2" t="n">
        <v>1.3</v>
      </c>
      <c r="C2" t="n">
        <v>1</v>
      </c>
      <c r="D2" t="n">
        <v>1.3</v>
      </c>
      <c r="E2" t="b">
        <v>1</v>
      </c>
      <c r="F2" t="inlineStr">
        <is>
          <t>Assets/MachineBrigade/Resources/Data/operations.json: tiers[1]</t>
        </is>
      </c>
      <c r="G2" t="inlineStr">
        <is>
          <t>{"id":"heroic","enemy":1.3,"playerIncome":1.0,"supports":true,"score":1.3}</t>
        </is>
      </c>
    </row>
    <row r="3">
      <c r="A3" t="inlineStr">
        <is>
          <t>iron</t>
        </is>
      </c>
      <c r="B3" t="n">
        <v>1.3</v>
      </c>
      <c r="C3" t="n">
        <v>0.8</v>
      </c>
      <c r="D3" t="n">
        <v>1.6</v>
      </c>
      <c r="E3" t="b">
        <v>0</v>
      </c>
      <c r="F3" t="inlineStr">
        <is>
          <t>Assets/MachineBrigade/Resources/Data/operations.json: tiers[2]</t>
        </is>
      </c>
      <c r="G3" t="inlineStr">
        <is>
          <t>{"id":"iron","enemy":1.3,"playerIncome":0.8,"supports":false,"score":1.6}</t>
        </is>
      </c>
    </row>
    <row r="4">
      <c r="A4" t="inlineStr">
        <is>
          <t>legend</t>
        </is>
      </c>
      <c r="B4" t="n">
        <v>1.6</v>
      </c>
      <c r="C4" t="n">
        <v>0.75</v>
      </c>
      <c r="D4" t="n">
        <v>2</v>
      </c>
      <c r="E4" t="b">
        <v>0</v>
      </c>
      <c r="F4" t="inlineStr">
        <is>
          <t>Assets/MachineBrigade/Resources/Data/operations.json: tiers[3]</t>
        </is>
      </c>
      <c r="G4" t="inlineStr">
        <is>
          <t>{"id":"legend","enemy":1.6,"playerIncome":0.75,"supports":false,"score":2.0}</t>
        </is>
      </c>
    </row>
    <row r="5">
      <c r="A5" t="inlineStr">
        <is>
          <t>normal</t>
        </is>
      </c>
      <c r="B5" t="n">
        <v>1</v>
      </c>
      <c r="C5" t="n">
        <v>1</v>
      </c>
      <c r="D5" t="n">
        <v>1</v>
      </c>
      <c r="E5" t="b">
        <v>1</v>
      </c>
      <c r="F5" t="inlineStr">
        <is>
          <t>Assets/MachineBrigade/Resources/Data/operations.json: tiers[0]</t>
        </is>
      </c>
      <c r="G5" t="inlineStr">
        <is>
          <t>{"id":"normal","enemy":1.0,"playerIncome":1.0,"supports":true,"score":1.0}</t>
        </is>
      </c>
    </row>
  </sheetData>
  <autoFilter ref="A1:G5"/>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30" customWidth="1" min="2" max="2"/>
    <col width="9" customWidth="1" min="3" max="3"/>
    <col width="13" customWidth="1" min="4" max="4"/>
    <col width="9" customWidth="1" min="5" max="5"/>
    <col width="12" customWidth="1" min="6" max="6"/>
    <col width="11" customWidth="1" min="7" max="7"/>
    <col width="10" customWidth="1" min="8" max="8"/>
    <col width="10" customWidth="1" min="9" max="9"/>
    <col width="14" customWidth="1" min="10" max="10"/>
    <col width="12" customWidth="1" min="11" max="11"/>
    <col width="15" customWidth="1" min="12" max="12"/>
    <col width="15" customWidth="1" min="13" max="13"/>
    <col width="8" customWidth="1" min="14" max="14"/>
    <col width="11" customWidth="1" min="15" max="15"/>
    <col width="13" customWidth="1" min="16" max="16"/>
    <col width="14" customWidth="1" min="17" max="17"/>
    <col width="15" customWidth="1" min="18" max="18"/>
    <col width="15" customWidth="1" min="19" max="19"/>
    <col width="8" customWidth="1" min="20" max="20"/>
    <col width="8" customWidth="1" min="21" max="21"/>
    <col width="11" customWidth="1" min="22" max="22"/>
    <col width="8" customWidth="1" min="23" max="23"/>
    <col width="12" customWidth="1" min="24" max="24"/>
    <col width="14" customWidth="1" min="25" max="25"/>
    <col width="10" customWidth="1" min="26" max="26"/>
    <col width="9" customWidth="1" min="27" max="27"/>
    <col width="60" customWidth="1" min="28" max="28"/>
    <col width="60" customWidth="1" min="29" max="29"/>
  </cols>
  <sheetData>
    <row r="1">
      <c r="A1" s="1" t="inlineStr">
        <is>
          <t>id</t>
        </is>
      </c>
      <c r="B1" s="1" t="inlineStr">
        <is>
          <t>excludes</t>
        </is>
      </c>
      <c r="C1" s="1" t="inlineStr">
        <is>
          <t>class</t>
        </is>
      </c>
      <c r="D1" s="1" t="inlineStr">
        <is>
          <t>both_damage</t>
        </is>
      </c>
      <c r="E1" s="1" t="inlineStr">
        <is>
          <t>both_hp</t>
        </is>
      </c>
      <c r="F1" s="1" t="inlineStr">
        <is>
          <t>empty_base</t>
        </is>
      </c>
      <c r="G1" s="1" t="inlineStr">
        <is>
          <t>enemy_air</t>
        </is>
      </c>
      <c r="H1" s="1" t="inlineStr">
        <is>
          <t>enemy_cp</t>
        </is>
      </c>
      <c r="I1" s="1" t="inlineStr">
        <is>
          <t>enemy_hp</t>
        </is>
      </c>
      <c r="J1" s="1" t="inlineStr">
        <is>
          <t>enemy_income</t>
        </is>
      </c>
      <c r="K1" s="1" t="inlineStr">
        <is>
          <t>extra_boss</t>
        </is>
      </c>
      <c r="L1" s="1" t="inlineStr">
        <is>
          <t>extra_escorts</t>
        </is>
      </c>
      <c r="M1" s="1" t="inlineStr">
        <is>
          <t>extra_raiders</t>
        </is>
      </c>
      <c r="N1" s="1" t="inlineStr">
        <is>
          <t>no_air</t>
        </is>
      </c>
      <c r="O1" s="1" t="inlineStr">
        <is>
          <t>no_repair</t>
        </is>
      </c>
      <c r="P1" s="1" t="inlineStr">
        <is>
          <t>no_supports</t>
        </is>
      </c>
      <c r="Q1" s="1" t="inlineStr">
        <is>
          <t>player_heavy</t>
        </is>
      </c>
      <c r="R1" s="1" t="inlineStr">
        <is>
          <t>player_income</t>
        </is>
      </c>
      <c r="S1" s="1" t="inlineStr">
        <is>
          <t>player_max_cp</t>
        </is>
      </c>
      <c r="T1" s="1" t="inlineStr">
        <is>
          <t>raids</t>
        </is>
      </c>
      <c r="U1" s="1" t="inlineStr">
        <is>
          <t>score</t>
        </is>
      </c>
      <c r="V1" s="1" t="inlineStr">
        <is>
          <t>sea_sight</t>
        </is>
      </c>
      <c r="W1" s="1" t="inlineStr">
        <is>
          <t>swarm</t>
        </is>
      </c>
      <c r="X1" s="1" t="inlineStr">
        <is>
          <t>time_scale</t>
        </is>
      </c>
      <c r="Y1" s="1" t="inlineStr">
        <is>
          <t>tower_damage</t>
        </is>
      </c>
      <c r="Z1" s="1" t="inlineStr">
        <is>
          <t>tower_hp</t>
        </is>
      </c>
      <c r="AA1" s="1" t="inlineStr">
        <is>
          <t>weather</t>
        </is>
      </c>
      <c r="AB1" s="1" t="inlineStr">
        <is>
          <t>nguon</t>
        </is>
      </c>
      <c r="AC1" s="1" t="inlineStr">
        <is>
          <t>raw_json</t>
        </is>
      </c>
    </row>
    <row r="2">
      <c r="A2" t="inlineStr">
        <is>
          <t>armour_only</t>
        </is>
      </c>
      <c r="B2" t="inlineStr">
        <is>
          <t>light_deck;enemy_air</t>
        </is>
      </c>
      <c r="C2" t="inlineStr">
        <is>
          <t>rule</t>
        </is>
      </c>
      <c r="Q2" t="b">
        <v>1</v>
      </c>
      <c r="U2" t="n">
        <v>0.15</v>
      </c>
      <c r="AB2" t="inlineStr">
        <is>
          <t>Assets/MachineBrigade/Resources/Data/operations.json: mutators[8]</t>
        </is>
      </c>
      <c r="AC2" t="inlineStr">
        <is>
          <t>{"id":"armour_only","class":"rule","score":0.15,"playerHeavy":true,"excludes":["light_deck","enemy_air"]}</t>
        </is>
      </c>
    </row>
    <row r="3">
      <c r="A3" t="inlineStr">
        <is>
          <t>empty_base</t>
        </is>
      </c>
      <c r="B3" t="inlineStr">
        <is>
          <t>towers_x2</t>
        </is>
      </c>
      <c r="C3" t="inlineStr">
        <is>
          <t>pressure</t>
        </is>
      </c>
      <c r="F3" t="b">
        <v>1</v>
      </c>
      <c r="U3" t="n">
        <v>0.25</v>
      </c>
      <c r="AB3" t="inlineStr">
        <is>
          <t>Assets/MachineBrigade/Resources/Data/operations.json: mutators[16]</t>
        </is>
      </c>
      <c r="AC3" t="inlineStr">
        <is>
          <t>{"id":"empty_base","class":"pressure","score":0.25,"emptyBase":true,"excludes":["towers_x2"]}</t>
        </is>
      </c>
    </row>
    <row r="4">
      <c r="A4" t="inlineStr">
        <is>
          <t>enemy_air</t>
        </is>
      </c>
      <c r="B4" t="inlineStr">
        <is>
          <t>no_air;armour_only;light_deck</t>
        </is>
      </c>
      <c r="C4" t="inlineStr">
        <is>
          <t>pressure</t>
        </is>
      </c>
      <c r="G4" t="b">
        <v>1</v>
      </c>
      <c r="U4" t="n">
        <v>0.25</v>
      </c>
      <c r="AB4" t="inlineStr">
        <is>
          <t>Assets/MachineBrigade/Resources/Data/operations.json: mutators[1]</t>
        </is>
      </c>
      <c r="AC4" t="inlineStr">
        <is>
          <t>{"id":"enemy_air","class":"pressure","score":0.25,"enemyAir":true,"excludes":["no_air","armour_only","light_deck"]}</t>
        </is>
      </c>
    </row>
    <row r="5">
      <c r="A5" t="inlineStr">
        <is>
          <t>fleet</t>
        </is>
      </c>
      <c r="C5" t="inlineStr">
        <is>
          <t>pressure</t>
        </is>
      </c>
      <c r="J5" t="n">
        <v>1.1</v>
      </c>
      <c r="L5" t="n">
        <v>1</v>
      </c>
      <c r="M5" t="n">
        <v>2</v>
      </c>
      <c r="U5" t="n">
        <v>0.2</v>
      </c>
      <c r="AB5" t="inlineStr">
        <is>
          <t>Assets/MachineBrigade/Resources/Data/operations.json: mutators[19]</t>
        </is>
      </c>
      <c r="AC5" t="inlineStr">
        <is>
          <t>{"id":"fleet","class":"pressure","score":0.2,"extraEscorts":1,"extraRaiders":2,"enemyIncome":1.1}</t>
        </is>
      </c>
    </row>
    <row r="6">
      <c r="A6" t="inlineStr">
        <is>
          <t>general_boost</t>
        </is>
      </c>
      <c r="B6" t="inlineStr">
        <is>
          <t>veterans</t>
        </is>
      </c>
      <c r="C6" t="inlineStr">
        <is>
          <t>pressure</t>
        </is>
      </c>
      <c r="H6" t="n">
        <v>1.5</v>
      </c>
      <c r="J6" t="n">
        <v>1.3</v>
      </c>
      <c r="U6" t="n">
        <v>0.25</v>
      </c>
      <c r="AB6" t="inlineStr">
        <is>
          <t>Assets/MachineBrigade/Resources/Data/operations.json: mutators[6]</t>
        </is>
      </c>
      <c r="AC6" t="inlineStr">
        <is>
          <t>{"id":"general_boost","class":"pressure","score":0.25,"enemyCp":1.5,"enemyIncome":1.3,"excludes":["veterans"]}</t>
        </is>
      </c>
    </row>
    <row r="7">
      <c r="A7" t="inlineStr">
        <is>
          <t>glass_cannon</t>
        </is>
      </c>
      <c r="C7" t="inlineStr">
        <is>
          <t>rule</t>
        </is>
      </c>
      <c r="D7" t="n">
        <v>1.5</v>
      </c>
      <c r="E7" t="n">
        <v>0.75</v>
      </c>
      <c r="U7" t="n">
        <v>0.1</v>
      </c>
      <c r="AB7" t="inlineStr">
        <is>
          <t>Assets/MachineBrigade/Resources/Data/operations.json: mutators[10]</t>
        </is>
      </c>
      <c r="AC7" t="inlineStr">
        <is>
          <t>{"id":"glass_cannon","class":"rule","score":0.1,"bothDamage":1.5,"bothHp":0.75}</t>
        </is>
      </c>
    </row>
    <row r="8">
      <c r="A8" t="inlineStr">
        <is>
          <t>iron_rain</t>
        </is>
      </c>
      <c r="C8" t="inlineStr">
        <is>
          <t>rule</t>
        </is>
      </c>
      <c r="T8" t="b">
        <v>1</v>
      </c>
      <c r="U8" t="n">
        <v>0.1</v>
      </c>
      <c r="AB8" t="inlineStr">
        <is>
          <t>Assets/MachineBrigade/Resources/Data/operations.json: mutators[14]</t>
        </is>
      </c>
      <c r="AC8" t="inlineStr">
        <is>
          <t>{"id":"iron_rain","class":"rule","score":0.1,"raids":true}</t>
        </is>
      </c>
    </row>
    <row r="9">
      <c r="A9" t="inlineStr">
        <is>
          <t>lean_logistics</t>
        </is>
      </c>
      <c r="C9" t="inlineStr">
        <is>
          <t>pressure</t>
        </is>
      </c>
      <c r="R9" t="n">
        <v>0.75</v>
      </c>
      <c r="U9" t="n">
        <v>0.2</v>
      </c>
      <c r="AB9" t="inlineStr">
        <is>
          <t>Assets/MachineBrigade/Resources/Data/operations.json: mutators[13]</t>
        </is>
      </c>
      <c r="AC9" t="inlineStr">
        <is>
          <t>{"id":"lean_logistics","class":"pressure","score":0.2,"playerIncome":0.75}</t>
        </is>
      </c>
    </row>
    <row r="10">
      <c r="A10" t="inlineStr">
        <is>
          <t>light_deck</t>
        </is>
      </c>
      <c r="B10" t="inlineStr">
        <is>
          <t>armour_only</t>
        </is>
      </c>
      <c r="C10" t="inlineStr">
        <is>
          <t>rule</t>
        </is>
      </c>
      <c r="S10" t="n">
        <v>8</v>
      </c>
      <c r="U10" t="n">
        <v>0.2</v>
      </c>
      <c r="AB10" t="inlineStr">
        <is>
          <t>Assets/MachineBrigade/Resources/Data/operations.json: mutators[7]</t>
        </is>
      </c>
      <c r="AC10" t="inlineStr">
        <is>
          <t>{"id":"light_deck","class":"rule","score":0.2,"playerMaxCp":8,"excludes":["armour_only"]}</t>
        </is>
      </c>
    </row>
    <row r="11">
      <c r="A11" t="inlineStr">
        <is>
          <t>night_ops</t>
        </is>
      </c>
      <c r="B11" t="inlineStr">
        <is>
          <t>storm</t>
        </is>
      </c>
      <c r="C11" t="inlineStr">
        <is>
          <t>rule</t>
        </is>
      </c>
      <c r="U11" t="n">
        <v>0.05</v>
      </c>
      <c r="AA11" t="inlineStr">
        <is>
          <t>Night</t>
        </is>
      </c>
      <c r="AB11" t="inlineStr">
        <is>
          <t>Assets/MachineBrigade/Resources/Data/operations.json: mutators[17]</t>
        </is>
      </c>
      <c r="AC11" t="inlineStr">
        <is>
          <t>{"id":"night_ops","class":"rule","score":0.05,"weather":"Night","excludes":["storm"]}</t>
        </is>
      </c>
    </row>
    <row r="12">
      <c r="A12" t="inlineStr">
        <is>
          <t>no_air</t>
        </is>
      </c>
      <c r="B12" t="inlineStr">
        <is>
          <t>enemy_air</t>
        </is>
      </c>
      <c r="C12" t="inlineStr">
        <is>
          <t>rule</t>
        </is>
      </c>
      <c r="N12" t="b">
        <v>1</v>
      </c>
      <c r="U12" t="n">
        <v>0.1</v>
      </c>
      <c r="AB12" t="inlineStr">
        <is>
          <t>Assets/MachineBrigade/Resources/Data/operations.json: mutators[9]</t>
        </is>
      </c>
      <c r="AC12" t="inlineStr">
        <is>
          <t>{"id":"no_air","class":"rule","score":0.1,"noAir":true,"excludes":["enemy_air"]}</t>
        </is>
      </c>
    </row>
    <row r="13">
      <c r="A13" t="inlineStr">
        <is>
          <t>no_repair</t>
        </is>
      </c>
      <c r="C13" t="inlineStr">
        <is>
          <t>rule</t>
        </is>
      </c>
      <c r="O13" t="b">
        <v>1</v>
      </c>
      <c r="U13" t="n">
        <v>0.15</v>
      </c>
      <c r="AB13" t="inlineStr">
        <is>
          <t>Assets/MachineBrigade/Resources/Data/operations.json: mutators[5]</t>
        </is>
      </c>
      <c r="AC13" t="inlineStr">
        <is>
          <t>{"id":"no_repair","class":"rule","score":0.15,"noRepair":true}</t>
        </is>
      </c>
    </row>
    <row r="14">
      <c r="A14" t="inlineStr">
        <is>
          <t>no_support</t>
        </is>
      </c>
      <c r="C14" t="inlineStr">
        <is>
          <t>rule</t>
        </is>
      </c>
      <c r="P14" t="b">
        <v>1</v>
      </c>
      <c r="U14" t="n">
        <v>0.2</v>
      </c>
      <c r="AB14" t="inlineStr">
        <is>
          <t>Assets/MachineBrigade/Resources/Data/operations.json: mutators[2]</t>
        </is>
      </c>
      <c r="AC14" t="inlineStr">
        <is>
          <t>{"id":"no_support","class":"rule","score":0.2,"noSupports":true}</t>
        </is>
      </c>
    </row>
    <row r="15">
      <c r="A15" t="inlineStr">
        <is>
          <t>sea_storm</t>
        </is>
      </c>
      <c r="B15" t="inlineStr">
        <is>
          <t>storm</t>
        </is>
      </c>
      <c r="C15" t="inlineStr">
        <is>
          <t>rule</t>
        </is>
      </c>
      <c r="U15" t="n">
        <v>0.15</v>
      </c>
      <c r="V15" t="n">
        <v>0.55</v>
      </c>
      <c r="AA15" t="inlineStr">
        <is>
          <t>Storm</t>
        </is>
      </c>
      <c r="AB15" t="inlineStr">
        <is>
          <t>Assets/MachineBrigade/Resources/Data/operations.json: mutators[18]</t>
        </is>
      </c>
      <c r="AC15" t="inlineStr">
        <is>
          <t>{"id":"sea_storm","class":"rule","score":0.15,"weather":"Storm","seaSight":0.55,"excludes":["storm"]}</t>
        </is>
      </c>
    </row>
    <row r="16">
      <c r="A16" t="inlineStr">
        <is>
          <t>storm</t>
        </is>
      </c>
      <c r="C16" t="inlineStr">
        <is>
          <t>rule</t>
        </is>
      </c>
      <c r="U16" t="n">
        <v>0.05</v>
      </c>
      <c r="AA16" t="inlineStr">
        <is>
          <t>Storm</t>
        </is>
      </c>
      <c r="AB16" t="inlineStr">
        <is>
          <t>Assets/MachineBrigade/Resources/Data/operations.json: mutators[0]</t>
        </is>
      </c>
      <c r="AC16" t="inlineStr">
        <is>
          <t>{"id":"storm","class":"rule","score":0.05,"weather":"Storm"}</t>
        </is>
      </c>
    </row>
    <row r="17">
      <c r="A17" t="inlineStr">
        <is>
          <t>swarm</t>
        </is>
      </c>
      <c r="C17" t="inlineStr">
        <is>
          <t>pressure</t>
        </is>
      </c>
      <c r="U17" t="n">
        <v>0.2</v>
      </c>
      <c r="W17" t="b">
        <v>1</v>
      </c>
      <c r="AB17" t="inlineStr">
        <is>
          <t>Assets/MachineBrigade/Resources/Data/operations.json: mutators[15]</t>
        </is>
      </c>
      <c r="AC17" t="inlineStr">
        <is>
          <t>{"id":"swarm","class":"pressure","score":0.2,"swarm":true}</t>
        </is>
      </c>
    </row>
    <row r="18">
      <c r="A18" t="inlineStr">
        <is>
          <t>time_attack</t>
        </is>
      </c>
      <c r="B18" t="inlineStr">
        <is>
          <t>two_bosses</t>
        </is>
      </c>
      <c r="C18" t="inlineStr">
        <is>
          <t>pressure</t>
        </is>
      </c>
      <c r="U18" t="n">
        <v>0.2</v>
      </c>
      <c r="X18" t="n">
        <v>0.7</v>
      </c>
      <c r="AB18" t="inlineStr">
        <is>
          <t>Assets/MachineBrigade/Resources/Data/operations.json: mutators[12]</t>
        </is>
      </c>
      <c r="AC18" t="inlineStr">
        <is>
          <t>{"id":"time_attack","class":"pressure","score":0.2,"timeScale":0.7,"excludes":["two_bosses"]}</t>
        </is>
      </c>
    </row>
    <row r="19">
      <c r="A19" t="inlineStr">
        <is>
          <t>towers_x2</t>
        </is>
      </c>
      <c r="C19" t="inlineStr">
        <is>
          <t>pressure</t>
        </is>
      </c>
      <c r="U19" t="n">
        <v>0.2</v>
      </c>
      <c r="Y19" t="n">
        <v>1.5</v>
      </c>
      <c r="Z19" t="n">
        <v>2</v>
      </c>
      <c r="AB19" t="inlineStr">
        <is>
          <t>Assets/MachineBrigade/Resources/Data/operations.json: mutators[4]</t>
        </is>
      </c>
      <c r="AC19" t="inlineStr">
        <is>
          <t>{"id":"towers_x2","class":"pressure","score":0.2,"towerHp":2.0,"towerDamage":1.5}</t>
        </is>
      </c>
    </row>
    <row r="20">
      <c r="A20" t="inlineStr">
        <is>
          <t>two_bosses</t>
        </is>
      </c>
      <c r="B20" t="inlineStr">
        <is>
          <t>time_attack</t>
        </is>
      </c>
      <c r="C20" t="inlineStr">
        <is>
          <t>pressure</t>
        </is>
      </c>
      <c r="K20" t="b">
        <v>1</v>
      </c>
      <c r="U20" t="n">
        <v>0.3</v>
      </c>
      <c r="AB20" t="inlineStr">
        <is>
          <t>Assets/MachineBrigade/Resources/Data/operations.json: mutators[3]</t>
        </is>
      </c>
      <c r="AC20" t="inlineStr">
        <is>
          <t>{"id":"two_bosses","class":"pressure","score":0.3,"extraBoss":true,"excludes":["time_attack"]}</t>
        </is>
      </c>
    </row>
    <row r="21">
      <c r="A21" t="inlineStr">
        <is>
          <t>veterans</t>
        </is>
      </c>
      <c r="B21" t="inlineStr">
        <is>
          <t>general_boost</t>
        </is>
      </c>
      <c r="C21" t="inlineStr">
        <is>
          <t>pressure</t>
        </is>
      </c>
      <c r="I21" t="n">
        <v>1.25</v>
      </c>
      <c r="U21" t="n">
        <v>0.2</v>
      </c>
      <c r="AB21" t="inlineStr">
        <is>
          <t>Assets/MachineBrigade/Resources/Data/operations.json: mutators[11]</t>
        </is>
      </c>
      <c r="AC21" t="inlineStr">
        <is>
          <t>{"id":"veterans","class":"pressure","score":0.2,"enemyHp":1.25,"excludes":["general_boost"]}</t>
        </is>
      </c>
    </row>
  </sheetData>
  <autoFilter ref="A1:AC21"/>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7" customWidth="1" min="2" max="2"/>
    <col width="18" customWidth="1" min="3" max="3"/>
    <col width="20" customWidth="1" min="4" max="4"/>
    <col width="15" customWidth="1" min="5" max="5"/>
    <col width="11" customWidth="1" min="6" max="6"/>
    <col width="12" customWidth="1" min="7" max="7"/>
    <col width="60" customWidth="1" min="8" max="8"/>
    <col width="46" customWidth="1" min="9" max="9"/>
    <col width="60" customWidth="1" min="10" max="10"/>
    <col width="60" customWidth="1" min="11" max="11"/>
    <col width="60" customWidth="1" min="12" max="12"/>
    <col width="42" customWidth="1" min="13" max="13"/>
    <col width="60" customWidth="1" min="14" max="14"/>
    <col width="60" customWidth="1" min="15" max="15"/>
    <col width="54" customWidth="1" min="16" max="16"/>
    <col width="56" customWidth="1" min="17" max="17"/>
    <col width="60" customWidth="1" min="18" max="18"/>
    <col width="57" customWidth="1" min="19" max="19"/>
    <col width="10" customWidth="1" min="20" max="20"/>
  </cols>
  <sheetData>
    <row r="1">
      <c r="A1" s="1" t="inlineStr">
        <is>
          <t>id</t>
        </is>
      </c>
      <c r="B1" s="1" t="inlineStr">
        <is>
          <t>doc_gio_du_lieu</t>
        </is>
      </c>
      <c r="C1" s="1" t="inlineStr">
        <is>
          <t>gio_bat_dau_ma_s</t>
        </is>
      </c>
      <c r="D1" s="1" t="inlineStr">
        <is>
          <t>thuong_giai_doan_s</t>
        </is>
      </c>
      <c r="E1" s="1" t="inlineStr">
        <is>
          <t>tran_quy_ma_s</t>
        </is>
      </c>
      <c r="F1" s="1" t="inlineStr">
        <is>
          <t>dot_dau_s</t>
        </is>
      </c>
      <c r="G1" s="1" t="inlineStr">
        <is>
          <t>cach_dot_s</t>
        </is>
      </c>
      <c r="H1" s="1" t="inlineStr">
        <is>
          <t>nguon_ma</t>
        </is>
      </c>
      <c r="I1" s="1" t="inlineStr">
        <is>
          <t>gio_du_lieu_s</t>
        </is>
      </c>
      <c r="J1" s="1" t="inlineStr">
        <is>
          <t>hiep_phu_s</t>
        </is>
      </c>
      <c r="K1" s="1" t="inlineStr">
        <is>
          <t>gio_vao_tran_s</t>
        </is>
      </c>
      <c r="L1" s="1" t="inlineStr">
        <is>
          <t>quy_cong_them_s</t>
        </is>
      </c>
      <c r="M1" s="1" t="inlineStr">
        <is>
          <t>thoi_luong_toi_da_s</t>
        </is>
      </c>
      <c r="N1" s="1" t="inlineStr">
        <is>
          <t>thang_som_nhat_s</t>
        </is>
      </c>
      <c r="O1" s="1" t="inlineStr">
        <is>
          <t>so_ha_toi_thieu</t>
        </is>
      </c>
      <c r="P1" s="1" t="inlineStr">
        <is>
          <t>dot_cuoi_bat_dau_s</t>
        </is>
      </c>
      <c r="Q1" s="1" t="inlineStr">
        <is>
          <t>thoi_luong_tham_chieu_s</t>
        </is>
      </c>
      <c r="R1" s="1" t="inlineStr">
        <is>
          <t>lech_gio_du_lieu_s</t>
        </is>
      </c>
      <c r="S1" s="1" t="inlineStr">
        <is>
          <t>nguon</t>
        </is>
      </c>
      <c r="T1" s="1" t="inlineStr">
        <is>
          <t>raw_json</t>
        </is>
      </c>
    </row>
    <row r="2">
      <c r="A2" t="inlineStr">
        <is>
          <t>assault</t>
        </is>
      </c>
      <c r="B2" t="b">
        <v>0</v>
      </c>
      <c r="C2" t="n">
        <v>300</v>
      </c>
      <c r="D2" t="inlineStr"/>
      <c r="E2" t="inlineStr"/>
      <c r="F2" t="inlineStr"/>
      <c r="G2" t="inlineStr"/>
      <c r="H2" t="inlineStr">
        <is>
          <t>Game/Match/ModeSessions.cs:602</t>
        </is>
      </c>
      <c r="I2">
        <f>IF(ISNUMBER(Che_do!$AK$2),Che_do!$AK$2,"")</f>
        <v/>
      </c>
      <c r="J2">
        <f>IF(ISNUMBER(Che_do!$AA$2),Che_do!$AA$2,0)+IF(ISNUMBER(Che_do!$AH$2),Che_do!$AH$2,0)</f>
        <v/>
      </c>
      <c r="K2">
        <f>IF(AND($B$2,ISNUMBER($I$2)),$I$2,IF(ISNUMBER(Che_do!$AG$2),Che_do!$AG$2*$C$2/300,IF(ISNUMBER($C$2),$C$2,"")))</f>
        <v/>
      </c>
      <c r="L2">
        <f>IF(ISNUMBER(Che_do!$AF$2),2*MIN(Che_do!$AF$2,Che_do!$X$2),IF(ISNUMBER($D$2),MIN($D$2,2*$E$2),0))</f>
        <v/>
      </c>
      <c r="M2">
        <f>IF(ISNUMBER($K$2),$K$2+$L$2+$J$2,"")</f>
        <v/>
      </c>
      <c r="N2">
        <f>IF(ISNUMBER(Che_do!$L$2),IF(Che_do!$AD$2/(Che_do!$L$2*3)&lt;=Che_do!$AK$2-Che_do!$R$2,Che_do!$AD$2/(Che_do!$L$2*3),Che_do!$AK$2-Che_do!$R$2+(Che_do!$AD$2-Che_do!$L$2*3*(Che_do!$AK$2-Che_do!$R$2))/(Che_do!$L$2*3*Che_do!$S$2)),IF(ISNUMBER(Che_do!$AC$2),Che_do!$AJ$2/Che_do!$AC$2,""))</f>
        <v/>
      </c>
      <c r="O2">
        <f>IF(ISNUMBER(Che_do!$T$2),CEILING(Che_do!$AJ$2/Che_do!$T$2,1),"")</f>
        <v/>
      </c>
      <c r="P2">
        <f>IF(ISNUMBER($F$2),$F$2+(Che_do!$AL$2-1)*$G$2,"")</f>
        <v/>
      </c>
      <c r="Q2">
        <f>IF(ISNUMBER($M$2),$M$2,IF(ISNUMBER($P$2),$P$2,""))</f>
        <v/>
      </c>
      <c r="R2">
        <f>IF(AND(ISNUMBER($I$2),ISNUMBER($C$2),NOT($B$2)),$I$2-($C$2+$L$2),"")</f>
        <v/>
      </c>
      <c r="S2" t="inlineStr">
        <is>
          <t>04_che_do_kinh_te_ai/Che_do (assault) + C# của chế độ</t>
        </is>
      </c>
      <c r="T2" t="inlineStr"/>
    </row>
    <row r="3">
      <c r="A3" t="inlineStr">
        <is>
          <t>bossrush</t>
        </is>
      </c>
      <c r="B3" t="b">
        <v>0</v>
      </c>
      <c r="C3" t="n">
        <v>1800</v>
      </c>
      <c r="D3" t="inlineStr"/>
      <c r="E3" t="inlineStr"/>
      <c r="F3" t="inlineStr"/>
      <c r="G3" t="inlineStr"/>
      <c r="H3" t="inlineStr">
        <is>
          <t>tunables.json: bosses.bossHunts.weeklyMinutes.value</t>
        </is>
      </c>
      <c r="I3">
        <f>IF(ISNUMBER(Che_do!$AK$3),Che_do!$AK$3,"")</f>
        <v/>
      </c>
      <c r="J3">
        <f>IF(ISNUMBER(Che_do!$AA$3),Che_do!$AA$3,0)+IF(ISNUMBER(Che_do!$AH$3),Che_do!$AH$3,0)</f>
        <v/>
      </c>
      <c r="K3">
        <f>IF(AND($B$3,ISNUMBER($I$3)),$I$3,IF(ISNUMBER(Che_do!$AG$3),Che_do!$AG$3*$C$3/300,IF(ISNUMBER($C$3),$C$3,"")))</f>
        <v/>
      </c>
      <c r="L3">
        <f>IF(ISNUMBER(Che_do!$AF$3),2*MIN(Che_do!$AF$3,Che_do!$X$3),IF(ISNUMBER($D$3),MIN($D$3,2*$E$3),0))</f>
        <v/>
      </c>
      <c r="M3">
        <f>IF(ISNUMBER($K$3),$K$3+$L$3+$J$3,"")</f>
        <v/>
      </c>
      <c r="N3">
        <f>IF(ISNUMBER(Che_do!$L$3),IF(Che_do!$AD$3/(Che_do!$L$3*3)&lt;=Che_do!$AK$3-Che_do!$R$3,Che_do!$AD$3/(Che_do!$L$3*3),Che_do!$AK$3-Che_do!$R$3+(Che_do!$AD$3-Che_do!$L$3*3*(Che_do!$AK$3-Che_do!$R$3))/(Che_do!$L$3*3*Che_do!$S$3)),IF(ISNUMBER(Che_do!$AC$3),Che_do!$AJ$3/Che_do!$AC$3,""))</f>
        <v/>
      </c>
      <c r="O3">
        <f>IF(ISNUMBER(Che_do!$T$3),CEILING(Che_do!$AJ$3/Che_do!$T$3,1),"")</f>
        <v/>
      </c>
      <c r="P3">
        <f>IF(ISNUMBER($F$3),$F$3+(Che_do!$AL$3-1)*$G$3,"")</f>
        <v/>
      </c>
      <c r="Q3">
        <f>IF(ISNUMBER($M$3),$M$3,IF(ISNUMBER($P$3),$P$3,""))</f>
        <v/>
      </c>
      <c r="R3">
        <f>IF(AND(ISNUMBER($I$3),ISNUMBER($C$3),NOT($B$3)),$I$3-($C$3+$L$3),"")</f>
        <v/>
      </c>
      <c r="S3" t="inlineStr">
        <is>
          <t>04_che_do_kinh_te_ai/Che_do (bossrush) + C# của chế độ</t>
        </is>
      </c>
      <c r="T3" t="inlineStr"/>
    </row>
    <row r="4">
      <c r="A4" t="inlineStr">
        <is>
          <t>conquest</t>
        </is>
      </c>
      <c r="B4" t="b">
        <v>1</v>
      </c>
      <c r="C4" t="inlineStr"/>
      <c r="D4" t="inlineStr"/>
      <c r="E4" t="inlineStr"/>
      <c r="F4" t="inlineStr"/>
      <c r="G4" t="inlineStr"/>
      <c r="H4" t="inlineStr"/>
      <c r="I4">
        <f>IF(ISNUMBER(Che_do!$AK$4),Che_do!$AK$4,"")</f>
        <v/>
      </c>
      <c r="J4">
        <f>IF(ISNUMBER(Che_do!$AA$4),Che_do!$AA$4,0)+IF(ISNUMBER(Che_do!$AH$4),Che_do!$AH$4,0)</f>
        <v/>
      </c>
      <c r="K4">
        <f>IF(AND($B$4,ISNUMBER($I$4)),$I$4,IF(ISNUMBER(Che_do!$AG$4),Che_do!$AG$4*$C$4/300,IF(ISNUMBER($C$4),$C$4,"")))</f>
        <v/>
      </c>
      <c r="L4">
        <f>IF(ISNUMBER(Che_do!$AF$4),2*MIN(Che_do!$AF$4,Che_do!$X$4),IF(ISNUMBER($D$4),MIN($D$4,2*$E$4),0))</f>
        <v/>
      </c>
      <c r="M4">
        <f>IF(ISNUMBER($K$4),$K$4+$L$4+$J$4,"")</f>
        <v/>
      </c>
      <c r="N4">
        <f>IF(ISNUMBER(Che_do!$L$4),IF(Che_do!$AD$4/(Che_do!$L$4*3)&lt;=Che_do!$AK$4-Che_do!$R$4,Che_do!$AD$4/(Che_do!$L$4*3),Che_do!$AK$4-Che_do!$R$4+(Che_do!$AD$4-Che_do!$L$4*3*(Che_do!$AK$4-Che_do!$R$4))/(Che_do!$L$4*3*Che_do!$S$4)),IF(ISNUMBER(Che_do!$AC$4),Che_do!$AJ$4/Che_do!$AC$4,""))</f>
        <v/>
      </c>
      <c r="O4">
        <f>IF(ISNUMBER(Che_do!$T$4),CEILING(Che_do!$AJ$4/Che_do!$T$4,1),"")</f>
        <v/>
      </c>
      <c r="P4">
        <f>IF(ISNUMBER($F$4),$F$4+(Che_do!$AL$4-1)*$G$4,"")</f>
        <v/>
      </c>
      <c r="Q4">
        <f>IF(ISNUMBER($M$4),$M$4,IF(ISNUMBER($P$4),$P$4,""))</f>
        <v/>
      </c>
      <c r="R4">
        <f>IF(AND(ISNUMBER($I$4),ISNUMBER($C$4),NOT($B$4)),$I$4-($C$4+$L$4),"")</f>
        <v/>
      </c>
      <c r="S4" t="inlineStr">
        <is>
          <t>04_che_do_kinh_te_ai/Che_do (conquest) + C# của chế độ</t>
        </is>
      </c>
      <c r="T4" t="inlineStr"/>
    </row>
    <row r="5">
      <c r="A5" t="inlineStr">
        <is>
          <t>deathmatch</t>
        </is>
      </c>
      <c r="B5" t="b">
        <v>1</v>
      </c>
      <c r="C5" t="inlineStr"/>
      <c r="D5" t="inlineStr"/>
      <c r="E5" t="inlineStr"/>
      <c r="F5" t="inlineStr"/>
      <c r="G5" t="inlineStr"/>
      <c r="H5" t="inlineStr"/>
      <c r="I5">
        <f>IF(ISNUMBER(Che_do!$AK$5),Che_do!$AK$5,"")</f>
        <v/>
      </c>
      <c r="J5">
        <f>IF(ISNUMBER(Che_do!$AA$5),Che_do!$AA$5,0)+IF(ISNUMBER(Che_do!$AH$5),Che_do!$AH$5,0)</f>
        <v/>
      </c>
      <c r="K5">
        <f>IF(AND($B$5,ISNUMBER($I$5)),$I$5,IF(ISNUMBER(Che_do!$AG$5),Che_do!$AG$5*$C$5/300,IF(ISNUMBER($C$5),$C$5,"")))</f>
        <v/>
      </c>
      <c r="L5">
        <f>IF(ISNUMBER(Che_do!$AF$5),2*MIN(Che_do!$AF$5,Che_do!$X$5),IF(ISNUMBER($D$5),MIN($D$5,2*$E$5),0))</f>
        <v/>
      </c>
      <c r="M5">
        <f>IF(ISNUMBER($K$5),$K$5+$L$5+$J$5,"")</f>
        <v/>
      </c>
      <c r="N5">
        <f>IF(ISNUMBER(Che_do!$L$5),IF(Che_do!$AD$5/(Che_do!$L$5*3)&lt;=Che_do!$AK$5-Che_do!$R$5,Che_do!$AD$5/(Che_do!$L$5*3),Che_do!$AK$5-Che_do!$R$5+(Che_do!$AD$5-Che_do!$L$5*3*(Che_do!$AK$5-Che_do!$R$5))/(Che_do!$L$5*3*Che_do!$S$5)),IF(ISNUMBER(Che_do!$AC$5),Che_do!$AJ$5/Che_do!$AC$5,""))</f>
        <v/>
      </c>
      <c r="O5">
        <f>IF(ISNUMBER(Che_do!$T$5),CEILING(Che_do!$AJ$5/Che_do!$T$5,1),"")</f>
        <v/>
      </c>
      <c r="P5">
        <f>IF(ISNUMBER($F$5),$F$5+(Che_do!$AL$5-1)*$G$5,"")</f>
        <v/>
      </c>
      <c r="Q5">
        <f>IF(ISNUMBER($M$5),$M$5,IF(ISNUMBER($P$5),$P$5,""))</f>
        <v/>
      </c>
      <c r="R5">
        <f>IF(AND(ISNUMBER($I$5),ISNUMBER($C$5),NOT($B$5)),$I$5-($C$5+$L$5),"")</f>
        <v/>
      </c>
      <c r="S5" t="inlineStr">
        <is>
          <t>04_che_do_kinh_te_ai/Che_do (deathmatch) + C# của chế độ</t>
        </is>
      </c>
      <c r="T5" t="inlineStr"/>
    </row>
    <row r="6">
      <c r="A6" t="inlineStr">
        <is>
          <t>defend</t>
        </is>
      </c>
      <c r="B6" t="b">
        <v>1</v>
      </c>
      <c r="C6" t="n">
        <v>480</v>
      </c>
      <c r="D6" t="n">
        <v>150</v>
      </c>
      <c r="E6" t="n">
        <v>900</v>
      </c>
      <c r="F6" t="inlineStr"/>
      <c r="G6" t="inlineStr"/>
      <c r="H6" t="inlineStr">
        <is>
          <t>Game/Match/ModeSessions.cs:691</t>
        </is>
      </c>
      <c r="I6">
        <f>IF(ISNUMBER(Che_do!$AK$6),Che_do!$AK$6,"")</f>
        <v/>
      </c>
      <c r="J6">
        <f>IF(ISNUMBER(Che_do!$AA$6),Che_do!$AA$6,0)+IF(ISNUMBER(Che_do!$AH$6),Che_do!$AH$6,0)</f>
        <v/>
      </c>
      <c r="K6">
        <f>IF(AND($B$6,ISNUMBER($I$6)),$I$6,IF(ISNUMBER(Che_do!$AG$6),Che_do!$AG$6*$C$6/300,IF(ISNUMBER($C$6),$C$6,"")))</f>
        <v/>
      </c>
      <c r="L6">
        <f>IF(ISNUMBER(Che_do!$AF$6),2*MIN(Che_do!$AF$6,Che_do!$X$6),IF(ISNUMBER($D$6),MIN($D$6,2*$E$6),0))</f>
        <v/>
      </c>
      <c r="M6">
        <f>IF(ISNUMBER($K$6),$K$6+$L$6+$J$6,"")</f>
        <v/>
      </c>
      <c r="N6">
        <f>IF(ISNUMBER(Che_do!$L$6),IF(Che_do!$AD$6/(Che_do!$L$6*3)&lt;=Che_do!$AK$6-Che_do!$R$6,Che_do!$AD$6/(Che_do!$L$6*3),Che_do!$AK$6-Che_do!$R$6+(Che_do!$AD$6-Che_do!$L$6*3*(Che_do!$AK$6-Che_do!$R$6))/(Che_do!$L$6*3*Che_do!$S$6)),IF(ISNUMBER(Che_do!$AC$6),Che_do!$AJ$6/Che_do!$AC$6,""))</f>
        <v/>
      </c>
      <c r="O6">
        <f>IF(ISNUMBER(Che_do!$T$6),CEILING(Che_do!$AJ$6/Che_do!$T$6,1),"")</f>
        <v/>
      </c>
      <c r="P6">
        <f>IF(ISNUMBER($F$6),$F$6+(Che_do!$AL$6-1)*$G$6,"")</f>
        <v/>
      </c>
      <c r="Q6">
        <f>IF(ISNUMBER($M$6),$M$6,IF(ISNUMBER($P$6),$P$6,""))</f>
        <v/>
      </c>
      <c r="R6">
        <f>IF(AND(ISNUMBER($I$6),ISNUMBER($C$6),NOT($B$6)),$I$6-($C$6+$L$6),"")</f>
        <v/>
      </c>
      <c r="S6" t="inlineStr">
        <is>
          <t>04_che_do_kinh_te_ai/Che_do (defend) + C# của chế độ</t>
        </is>
      </c>
      <c r="T6" t="inlineStr"/>
    </row>
    <row r="7">
      <c r="A7" t="inlineStr">
        <is>
          <t>endless</t>
        </is>
      </c>
      <c r="B7" t="b">
        <v>0</v>
      </c>
      <c r="C7" t="inlineStr"/>
      <c r="D7" t="inlineStr"/>
      <c r="E7" t="inlineStr"/>
      <c r="F7" t="inlineStr"/>
      <c r="G7" t="inlineStr"/>
      <c r="H7" t="inlineStr"/>
      <c r="I7">
        <f>IF(ISNUMBER(Che_do!$AK$7),Che_do!$AK$7,"")</f>
        <v/>
      </c>
      <c r="J7">
        <f>IF(ISNUMBER(Che_do!$AA$7),Che_do!$AA$7,0)+IF(ISNUMBER(Che_do!$AH$7),Che_do!$AH$7,0)</f>
        <v/>
      </c>
      <c r="K7">
        <f>IF(AND($B$7,ISNUMBER($I$7)),$I$7,IF(ISNUMBER(Che_do!$AG$7),Che_do!$AG$7*$C$7/300,IF(ISNUMBER($C$7),$C$7,"")))</f>
        <v/>
      </c>
      <c r="L7">
        <f>IF(ISNUMBER(Che_do!$AF$7),2*MIN(Che_do!$AF$7,Che_do!$X$7),IF(ISNUMBER($D$7),MIN($D$7,2*$E$7),0))</f>
        <v/>
      </c>
      <c r="M7">
        <f>IF(ISNUMBER($K$7),$K$7+$L$7+$J$7,"")</f>
        <v/>
      </c>
      <c r="N7">
        <f>IF(ISNUMBER(Che_do!$L$7),IF(Che_do!$AD$7/(Che_do!$L$7*3)&lt;=Che_do!$AK$7-Che_do!$R$7,Che_do!$AD$7/(Che_do!$L$7*3),Che_do!$AK$7-Che_do!$R$7+(Che_do!$AD$7-Che_do!$L$7*3*(Che_do!$AK$7-Che_do!$R$7))/(Che_do!$L$7*3*Che_do!$S$7)),IF(ISNUMBER(Che_do!$AC$7),Che_do!$AJ$7/Che_do!$AC$7,""))</f>
        <v/>
      </c>
      <c r="O7">
        <f>IF(ISNUMBER(Che_do!$T$7),CEILING(Che_do!$AJ$7/Che_do!$T$7,1),"")</f>
        <v/>
      </c>
      <c r="P7">
        <f>IF(ISNUMBER($F$7),$F$7+(Che_do!$AL$7-1)*$G$7,"")</f>
        <v/>
      </c>
      <c r="Q7">
        <f>IF(ISNUMBER($M$7),$M$7,IF(ISNUMBER($P$7),$P$7,""))</f>
        <v/>
      </c>
      <c r="R7">
        <f>IF(AND(ISNUMBER($I$7),ISNUMBER($C$7),NOT($B$7)),$I$7-($C$7+$L$7),"")</f>
        <v/>
      </c>
      <c r="S7" t="inlineStr">
        <is>
          <t>04_che_do_kinh_te_ai/Che_do (endless) + C# của chế độ</t>
        </is>
      </c>
      <c r="T7" t="inlineStr"/>
    </row>
    <row r="8">
      <c r="A8" t="inlineStr">
        <is>
          <t>hill</t>
        </is>
      </c>
      <c r="B8" t="b">
        <v>1</v>
      </c>
      <c r="C8" t="inlineStr"/>
      <c r="D8" t="inlineStr"/>
      <c r="E8" t="inlineStr"/>
      <c r="F8" t="inlineStr"/>
      <c r="G8" t="inlineStr"/>
      <c r="H8" t="inlineStr"/>
      <c r="I8">
        <f>IF(ISNUMBER(Che_do!$AK$8),Che_do!$AK$8,"")</f>
        <v/>
      </c>
      <c r="J8">
        <f>IF(ISNUMBER(Che_do!$AA$8),Che_do!$AA$8,0)+IF(ISNUMBER(Che_do!$AH$8),Che_do!$AH$8,0)</f>
        <v/>
      </c>
      <c r="K8">
        <f>IF(AND($B$8,ISNUMBER($I$8)),$I$8,IF(ISNUMBER(Che_do!$AG$8),Che_do!$AG$8*$C$8/300,IF(ISNUMBER($C$8),$C$8,"")))</f>
        <v/>
      </c>
      <c r="L8">
        <f>IF(ISNUMBER(Che_do!$AF$8),2*MIN(Che_do!$AF$8,Che_do!$X$8),IF(ISNUMBER($D$8),MIN($D$8,2*$E$8),0))</f>
        <v/>
      </c>
      <c r="M8">
        <f>IF(ISNUMBER($K$8),$K$8+$L$8+$J$8,"")</f>
        <v/>
      </c>
      <c r="N8">
        <f>IF(ISNUMBER(Che_do!$L$8),IF(Che_do!$AD$8/(Che_do!$L$8*3)&lt;=Che_do!$AK$8-Che_do!$R$8,Che_do!$AD$8/(Che_do!$L$8*3),Che_do!$AK$8-Che_do!$R$8+(Che_do!$AD$8-Che_do!$L$8*3*(Che_do!$AK$8-Che_do!$R$8))/(Che_do!$L$8*3*Che_do!$S$8)),IF(ISNUMBER(Che_do!$AC$8),Che_do!$AJ$8/Che_do!$AC$8,""))</f>
        <v/>
      </c>
      <c r="O8">
        <f>IF(ISNUMBER(Che_do!$T$8),CEILING(Che_do!$AJ$8/Che_do!$T$8,1),"")</f>
        <v/>
      </c>
      <c r="P8">
        <f>IF(ISNUMBER($F$8),$F$8+(Che_do!$AL$8-1)*$G$8,"")</f>
        <v/>
      </c>
      <c r="Q8">
        <f>IF(ISNUMBER($M$8),$M$8,IF(ISNUMBER($P$8),$P$8,""))</f>
        <v/>
      </c>
      <c r="R8">
        <f>IF(AND(ISNUMBER($I$8),ISNUMBER($C$8),NOT($B$8)),$I$8-($C$8+$L$8),"")</f>
        <v/>
      </c>
      <c r="S8" t="inlineStr">
        <is>
          <t>04_che_do_kinh_te_ai/Che_do (hill) + C# của chế độ</t>
        </is>
      </c>
      <c r="T8" t="inlineStr"/>
    </row>
    <row r="9">
      <c r="A9" t="inlineStr">
        <is>
          <t>operations</t>
        </is>
      </c>
      <c r="B9" t="b">
        <v>0</v>
      </c>
      <c r="C9" t="inlineStr"/>
      <c r="D9" t="inlineStr"/>
      <c r="E9" t="inlineStr"/>
      <c r="F9" t="inlineStr"/>
      <c r="G9" t="inlineStr"/>
      <c r="H9" t="inlineStr"/>
      <c r="I9">
        <f>IF(ISNUMBER(Che_do!$AK$9),Che_do!$AK$9,"")</f>
        <v/>
      </c>
      <c r="J9">
        <f>IF(ISNUMBER(Che_do!$AA$9),Che_do!$AA$9,0)+IF(ISNUMBER(Che_do!$AH$9),Che_do!$AH$9,0)</f>
        <v/>
      </c>
      <c r="K9">
        <f>IF(AND($B$9,ISNUMBER($I$9)),$I$9,IF(ISNUMBER(Che_do!$AG$9),Che_do!$AG$9*$C$9/300,IF(ISNUMBER($C$9),$C$9,"")))</f>
        <v/>
      </c>
      <c r="L9">
        <f>IF(ISNUMBER(Che_do!$AF$9),2*MIN(Che_do!$AF$9,Che_do!$X$9),IF(ISNUMBER($D$9),MIN($D$9,2*$E$9),0))</f>
        <v/>
      </c>
      <c r="M9">
        <f>IF(ISNUMBER($K$9),$K$9+$L$9+$J$9,"")</f>
        <v/>
      </c>
      <c r="N9">
        <f>IF(ISNUMBER(Che_do!$L$9),IF(Che_do!$AD$9/(Che_do!$L$9*3)&lt;=Che_do!$AK$9-Che_do!$R$9,Che_do!$AD$9/(Che_do!$L$9*3),Che_do!$AK$9-Che_do!$R$9+(Che_do!$AD$9-Che_do!$L$9*3*(Che_do!$AK$9-Che_do!$R$9))/(Che_do!$L$9*3*Che_do!$S$9)),IF(ISNUMBER(Che_do!$AC$9),Che_do!$AJ$9/Che_do!$AC$9,""))</f>
        <v/>
      </c>
      <c r="O9">
        <f>IF(ISNUMBER(Che_do!$T$9),CEILING(Che_do!$AJ$9/Che_do!$T$9,1),"")</f>
        <v/>
      </c>
      <c r="P9">
        <f>IF(ISNUMBER($F$9),$F$9+(Che_do!$AL$9-1)*$G$9,"")</f>
        <v/>
      </c>
      <c r="Q9">
        <f>IF(ISNUMBER($M$9),$M$9,IF(ISNUMBER($P$9),$P$9,""))</f>
        <v/>
      </c>
      <c r="R9">
        <f>IF(AND(ISNUMBER($I$9),ISNUMBER($C$9),NOT($B$9)),$I$9-($C$9+$L$9),"")</f>
        <v/>
      </c>
      <c r="S9" t="inlineStr">
        <is>
          <t>04_che_do_kinh_te_ai/Che_do (operations) + C# của chế độ</t>
        </is>
      </c>
      <c r="T9" t="inlineStr"/>
    </row>
    <row r="10">
      <c r="A10" t="inlineStr">
        <is>
          <t>showdown</t>
        </is>
      </c>
      <c r="B10" t="b">
        <v>1</v>
      </c>
      <c r="C10" t="inlineStr"/>
      <c r="D10" t="inlineStr"/>
      <c r="E10" t="inlineStr"/>
      <c r="F10" t="inlineStr"/>
      <c r="G10" t="inlineStr"/>
      <c r="H10" t="inlineStr"/>
      <c r="I10">
        <f>IF(ISNUMBER(Che_do!$AK$10),Che_do!$AK$10,"")</f>
        <v/>
      </c>
      <c r="J10">
        <f>IF(ISNUMBER(Che_do!$AA$10),Che_do!$AA$10,0)+IF(ISNUMBER(Che_do!$AH$10),Che_do!$AH$10,0)</f>
        <v/>
      </c>
      <c r="K10">
        <f>IF(AND($B$10,ISNUMBER($I$10)),$I$10,IF(ISNUMBER(Che_do!$AG$10),Che_do!$AG$10*$C$10/300,IF(ISNUMBER($C$10),$C$10,"")))</f>
        <v/>
      </c>
      <c r="L10">
        <f>IF(ISNUMBER(Che_do!$AF$10),2*MIN(Che_do!$AF$10,Che_do!$X$10),IF(ISNUMBER($D$10),MIN($D$10,2*$E$10),0))</f>
        <v/>
      </c>
      <c r="M10">
        <f>IF(ISNUMBER($K$10),$K$10+$L$10+$J$10,"")</f>
        <v/>
      </c>
      <c r="N10">
        <f>IF(ISNUMBER(Che_do!$L$10),IF(Che_do!$AD$10/(Che_do!$L$10*3)&lt;=Che_do!$AK$10-Che_do!$R$10,Che_do!$AD$10/(Che_do!$L$10*3),Che_do!$AK$10-Che_do!$R$10+(Che_do!$AD$10-Che_do!$L$10*3*(Che_do!$AK$10-Che_do!$R$10))/(Che_do!$L$10*3*Che_do!$S$10)),IF(ISNUMBER(Che_do!$AC$10),Che_do!$AJ$10/Che_do!$AC$10,""))</f>
        <v/>
      </c>
      <c r="O10">
        <f>IF(ISNUMBER(Che_do!$T$10),CEILING(Che_do!$AJ$10/Che_do!$T$10,1),"")</f>
        <v/>
      </c>
      <c r="P10">
        <f>IF(ISNUMBER($F$10),$F$10+(Che_do!$AL$10-1)*$G$10,"")</f>
        <v/>
      </c>
      <c r="Q10">
        <f>IF(ISNUMBER($M$10),$M$10,IF(ISNUMBER($P$10),$P$10,""))</f>
        <v/>
      </c>
      <c r="R10">
        <f>IF(AND(ISNUMBER($I$10),ISNUMBER($C$10),NOT($B$10)),$I$10-($C$10+$L$10),"")</f>
        <v/>
      </c>
      <c r="S10" t="inlineStr">
        <is>
          <t>04_che_do_kinh_te_ai/Che_do (showdown) + C# của chế độ</t>
        </is>
      </c>
      <c r="T10" t="inlineStr"/>
    </row>
    <row r="11">
      <c r="A11" t="inlineStr">
        <is>
          <t>siege</t>
        </is>
      </c>
      <c r="B11" t="b">
        <v>1</v>
      </c>
      <c r="C11" t="n">
        <v>480</v>
      </c>
      <c r="D11" t="n">
        <v>600</v>
      </c>
      <c r="E11" t="n">
        <v>900</v>
      </c>
      <c r="F11" t="inlineStr"/>
      <c r="G11" t="inlineStr"/>
      <c r="H11" t="inlineStr">
        <is>
          <t>Game/Match/ModeSessions.cs:874, 879</t>
        </is>
      </c>
      <c r="I11">
        <f>IF(ISNUMBER(Che_do!$AK$11),Che_do!$AK$11,"")</f>
        <v/>
      </c>
      <c r="J11">
        <f>IF(ISNUMBER(Che_do!$AA$11),Che_do!$AA$11,0)+IF(ISNUMBER(Che_do!$AH$11),Che_do!$AH$11,0)</f>
        <v/>
      </c>
      <c r="K11">
        <f>IF(AND($B$11,ISNUMBER($I$11)),$I$11,IF(ISNUMBER(Che_do!$AG$11),Che_do!$AG$11*$C$11/300,IF(ISNUMBER($C$11),$C$11,"")))</f>
        <v/>
      </c>
      <c r="L11">
        <f>IF(ISNUMBER(Che_do!$AF$11),2*MIN(Che_do!$AF$11,Che_do!$X$11),IF(ISNUMBER($D$11),MIN($D$11,2*$E$11),0))</f>
        <v/>
      </c>
      <c r="M11">
        <f>IF(ISNUMBER($K$11),$K$11+$L$11+$J$11,"")</f>
        <v/>
      </c>
      <c r="N11">
        <f>IF(ISNUMBER(Che_do!$L$11),IF(Che_do!$AD$11/(Che_do!$L$11*3)&lt;=Che_do!$AK$11-Che_do!$R$11,Che_do!$AD$11/(Che_do!$L$11*3),Che_do!$AK$11-Che_do!$R$11+(Che_do!$AD$11-Che_do!$L$11*3*(Che_do!$AK$11-Che_do!$R$11))/(Che_do!$L$11*3*Che_do!$S$11)),IF(ISNUMBER(Che_do!$AC$11),Che_do!$AJ$11/Che_do!$AC$11,""))</f>
        <v/>
      </c>
      <c r="O11">
        <f>IF(ISNUMBER(Che_do!$T$11),CEILING(Che_do!$AJ$11/Che_do!$T$11,1),"")</f>
        <v/>
      </c>
      <c r="P11">
        <f>IF(ISNUMBER($F$11),$F$11+(Che_do!$AL$11-1)*$G$11,"")</f>
        <v/>
      </c>
      <c r="Q11">
        <f>IF(ISNUMBER($M$11),$M$11,IF(ISNUMBER($P$11),$P$11,""))</f>
        <v/>
      </c>
      <c r="R11">
        <f>IF(AND(ISNUMBER($I$11),ISNUMBER($C$11),NOT($B$11)),$I$11-($C$11+$L$11),"")</f>
        <v/>
      </c>
      <c r="S11" t="inlineStr">
        <is>
          <t>04_che_do_kinh_te_ai/Che_do (siege) + C# của chế độ</t>
        </is>
      </c>
      <c r="T11" t="inlineStr"/>
    </row>
    <row r="12">
      <c r="A12" t="inlineStr">
        <is>
          <t>survival</t>
        </is>
      </c>
      <c r="B12" t="b">
        <v>0</v>
      </c>
      <c r="C12" t="inlineStr"/>
      <c r="D12" t="inlineStr"/>
      <c r="E12" t="inlineStr"/>
      <c r="F12" t="n">
        <v>20</v>
      </c>
      <c r="G12" t="n">
        <v>30</v>
      </c>
      <c r="H12" t="inlineStr">
        <is>
          <t>tunables.json: modes.sandboxMode.firstWaveDelay.value, tunables.json: modes.sandboxMode.waveInterval.value</t>
        </is>
      </c>
      <c r="I12">
        <f>IF(ISNUMBER(Che_do!$AK$12),Che_do!$AK$12,"")</f>
        <v/>
      </c>
      <c r="J12">
        <f>IF(ISNUMBER(Che_do!$AA$12),Che_do!$AA$12,0)+IF(ISNUMBER(Che_do!$AH$12),Che_do!$AH$12,0)</f>
        <v/>
      </c>
      <c r="K12">
        <f>IF(AND($B$12,ISNUMBER($I$12)),$I$12,IF(ISNUMBER(Che_do!$AG$12),Che_do!$AG$12*$C$12/300,IF(ISNUMBER($C$12),$C$12,"")))</f>
        <v/>
      </c>
      <c r="L12">
        <f>IF(ISNUMBER(Che_do!$AF$12),2*MIN(Che_do!$AF$12,Che_do!$X$12),IF(ISNUMBER($D$12),MIN($D$12,2*$E$12),0))</f>
        <v/>
      </c>
      <c r="M12">
        <f>IF(ISNUMBER($K$12),$K$12+$L$12+$J$12,"")</f>
        <v/>
      </c>
      <c r="N12">
        <f>IF(ISNUMBER(Che_do!$L$12),IF(Che_do!$AD$12/(Che_do!$L$12*3)&lt;=Che_do!$AK$12-Che_do!$R$12,Che_do!$AD$12/(Che_do!$L$12*3),Che_do!$AK$12-Che_do!$R$12+(Che_do!$AD$12-Che_do!$L$12*3*(Che_do!$AK$12-Che_do!$R$12))/(Che_do!$L$12*3*Che_do!$S$12)),IF(ISNUMBER(Che_do!$AC$12),Che_do!$AJ$12/Che_do!$AC$12,""))</f>
        <v/>
      </c>
      <c r="O12">
        <f>IF(ISNUMBER(Che_do!$T$12),CEILING(Che_do!$AJ$12/Che_do!$T$12,1),"")</f>
        <v/>
      </c>
      <c r="P12">
        <f>IF(ISNUMBER($F$12),$F$12+(Che_do!$AL$12-1)*$G$12,"")</f>
        <v/>
      </c>
      <c r="Q12">
        <f>IF(ISNUMBER($M$12),$M$12,IF(ISNUMBER($P$12),$P$12,""))</f>
        <v/>
      </c>
      <c r="R12">
        <f>IF(AND(ISNUMBER($I$12),ISNUMBER($C$12),NOT($B$12)),$I$12-($C$12+$L$12),"")</f>
        <v/>
      </c>
      <c r="S12" t="inlineStr">
        <is>
          <t>04_che_do_kinh_te_ai/Che_do (survival) + C# của chế độ</t>
        </is>
      </c>
      <c r="T12" t="inlineStr"/>
    </row>
    <row r="13">
      <c r="A13" t="inlineStr">
        <is>
          <t>weekly</t>
        </is>
      </c>
      <c r="B13" t="b">
        <v>1</v>
      </c>
      <c r="C13" t="n">
        <v>300</v>
      </c>
      <c r="D13" t="n">
        <v>540</v>
      </c>
      <c r="E13" t="n">
        <v>600</v>
      </c>
      <c r="F13" t="inlineStr"/>
      <c r="G13" t="inlineStr"/>
      <c r="H13" t="inlineStr">
        <is>
          <t>Game/Match/ModeSessions.cs:797, Sim/Modes/SiegeModes.cs:56</t>
        </is>
      </c>
      <c r="I13">
        <f>IF(ISNUMBER(Che_do!$AK$13),Che_do!$AK$13,"")</f>
        <v/>
      </c>
      <c r="J13">
        <f>IF(ISNUMBER(Che_do!$AA$13),Che_do!$AA$13,0)+IF(ISNUMBER(Che_do!$AH$13),Che_do!$AH$13,0)</f>
        <v/>
      </c>
      <c r="K13">
        <f>IF(AND($B$13,ISNUMBER($I$13)),$I$13,IF(ISNUMBER(Che_do!$AG$13),Che_do!$AG$13*$C$13/300,IF(ISNUMBER($C$13),$C$13,"")))</f>
        <v/>
      </c>
      <c r="L13">
        <f>IF(ISNUMBER(Che_do!$AF$13),2*MIN(Che_do!$AF$13,Che_do!$X$13),IF(ISNUMBER($D$13),MIN($D$13,2*$E$13),0))</f>
        <v/>
      </c>
      <c r="M13">
        <f>IF(ISNUMBER($K$13),$K$13+$L$13+$J$13,"")</f>
        <v/>
      </c>
      <c r="N13">
        <f>IF(ISNUMBER(Che_do!$L$13),IF(Che_do!$AD$13/(Che_do!$L$13*3)&lt;=Che_do!$AK$13-Che_do!$R$13,Che_do!$AD$13/(Che_do!$L$13*3),Che_do!$AK$13-Che_do!$R$13+(Che_do!$AD$13-Che_do!$L$13*3*(Che_do!$AK$13-Che_do!$R$13))/(Che_do!$L$13*3*Che_do!$S$13)),IF(ISNUMBER(Che_do!$AC$13),Che_do!$AJ$13/Che_do!$AC$13,""))</f>
        <v/>
      </c>
      <c r="O13">
        <f>IF(ISNUMBER(Che_do!$T$13),CEILING(Che_do!$AJ$13/Che_do!$T$13,1),"")</f>
        <v/>
      </c>
      <c r="P13">
        <f>IF(ISNUMBER($F$13),$F$13+(Che_do!$AL$13-1)*$G$13,"")</f>
        <v/>
      </c>
      <c r="Q13">
        <f>IF(ISNUMBER($M$13),$M$13,IF(ISNUMBER($P$13),$P$13,""))</f>
        <v/>
      </c>
      <c r="R13">
        <f>IF(AND(ISNUMBER($I$13),ISNUMBER($C$13),NOT($B$13)),$I$13-($C$13+$L$13),"")</f>
        <v/>
      </c>
      <c r="S13" t="inlineStr">
        <is>
          <t>04_che_do_kinh_te_ai/Che_do (weekly) + C# của chế độ</t>
        </is>
      </c>
      <c r="T13" t="inlineStr"/>
    </row>
  </sheetData>
  <autoFilter ref="A1:T13"/>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9" customWidth="1" min="3" max="3"/>
    <col width="27" customWidth="1" min="4" max="4"/>
    <col width="29" customWidth="1" min="5" max="5"/>
    <col width="21" customWidth="1" min="6" max="6"/>
    <col width="23" customWidth="1" min="7" max="7"/>
    <col width="19" customWidth="1" min="8" max="8"/>
    <col width="19" customWidth="1" min="9" max="9"/>
    <col width="22" customWidth="1" min="10" max="10"/>
    <col width="54" customWidth="1" min="11" max="11"/>
    <col width="60" customWidth="1" min="12" max="12"/>
    <col width="60" customWidth="1" min="13" max="13"/>
    <col width="29" customWidth="1" min="14" max="14"/>
    <col width="60" customWidth="1" min="15" max="15"/>
    <col width="23" customWidth="1" min="16" max="16"/>
    <col width="28" customWidth="1" min="17" max="17"/>
    <col width="31" customWidth="1" min="18" max="18"/>
    <col width="60" customWidth="1" min="19" max="19"/>
    <col width="25" customWidth="1" min="20" max="20"/>
    <col width="25" customWidth="1" min="21" max="21"/>
    <col width="60" customWidth="1" min="22" max="22"/>
    <col width="60" customWidth="1" min="23" max="23"/>
    <col width="60" customWidth="1" min="24" max="24"/>
    <col width="60" customWidth="1" min="25" max="25"/>
    <col width="60" customWidth="1" min="26" max="26"/>
    <col width="60" customWidth="1" min="27" max="27"/>
    <col width="60" customWidth="1" min="28" max="28"/>
    <col width="60" customWidth="1" min="29" max="29"/>
    <col width="59" customWidth="1" min="30" max="30"/>
    <col width="60" customWidth="1" min="31" max="31"/>
    <col width="10" customWidth="1" min="32" max="32"/>
  </cols>
  <sheetData>
    <row r="1">
      <c r="A1" s="1" t="inlineStr">
        <is>
          <t>id</t>
        </is>
      </c>
      <c r="B1" s="1" t="inlineStr">
        <is>
          <t>che_do</t>
        </is>
      </c>
      <c r="C1" s="1" t="inlineStr">
        <is>
          <t>do_kho</t>
        </is>
      </c>
      <c r="D1" s="1" t="inlineStr">
        <is>
          <t>cp_khoi_dau_nguoi_choi_ma</t>
        </is>
      </c>
      <c r="E1" s="1" t="inlineStr">
        <is>
          <t>thu_nhap_nguoi_choi_ma_cp_s</t>
        </is>
      </c>
      <c r="F1" s="1" t="inlineStr">
        <is>
          <t>cp_khoi_dau_dich_ma</t>
        </is>
      </c>
      <c r="G1" s="1" t="inlineStr">
        <is>
          <t>thu_nhap_dich_ma_cp_s</t>
        </is>
      </c>
      <c r="H1" s="1" t="inlineStr">
        <is>
          <t>he_so_dich_che_do</t>
        </is>
      </c>
      <c r="I1" s="1" t="inlineStr">
        <is>
          <t>he_so_dich_do_kho</t>
        </is>
      </c>
      <c r="J1" s="1" t="inlineStr">
        <is>
          <t>thuong_muc_tieu_cp_s</t>
        </is>
      </c>
      <c r="K1" s="1" t="inlineStr">
        <is>
          <t>ghi_chu</t>
        </is>
      </c>
      <c r="L1" s="1" t="inlineStr">
        <is>
          <t>nguon_ma</t>
        </is>
      </c>
      <c r="M1" s="1" t="inlineStr">
        <is>
          <t>cp_khoi_dau_nguoi_choi</t>
        </is>
      </c>
      <c r="N1" s="1" t="inlineStr">
        <is>
          <t>cp_khoi_dau_nguoi_choi_game</t>
        </is>
      </c>
      <c r="O1" s="1" t="inlineStr">
        <is>
          <t>cp_khoi_dau_dich</t>
        </is>
      </c>
      <c r="P1" s="1" t="inlineStr">
        <is>
          <t>cp_khoi_dau_dich_game</t>
        </is>
      </c>
      <c r="Q1" s="1" t="inlineStr">
        <is>
          <t>thu_nhap_nguoi_choi_cp_s</t>
        </is>
      </c>
      <c r="R1" s="1" t="inlineStr">
        <is>
          <t>thu_nhap_nguoi_choi_cp_s_game</t>
        </is>
      </c>
      <c r="S1" s="1" t="inlineStr">
        <is>
          <t>thu_nhap_dich_cp_s</t>
        </is>
      </c>
      <c r="T1" s="1" t="inlineStr">
        <is>
          <t>thu_nhap_dich_cp_s_game</t>
        </is>
      </c>
      <c r="U1" s="1" t="inlineStr">
        <is>
          <t>thoi_luong_tham_chieu_s</t>
        </is>
      </c>
      <c r="V1" s="1" t="inlineStr">
        <is>
          <t>cp_nguoi_choi_25</t>
        </is>
      </c>
      <c r="W1" s="1" t="inlineStr">
        <is>
          <t>cp_nguoi_choi_50</t>
        </is>
      </c>
      <c r="X1" s="1" t="inlineStr">
        <is>
          <t>cp_nguoi_choi_75</t>
        </is>
      </c>
      <c r="Y1" s="1" t="inlineStr">
        <is>
          <t>cp_nguoi_choi_100</t>
        </is>
      </c>
      <c r="Z1" s="1" t="inlineStr">
        <is>
          <t>cp_dich_25</t>
        </is>
      </c>
      <c r="AA1" s="1" t="inlineStr">
        <is>
          <t>cp_dich_50</t>
        </is>
      </c>
      <c r="AB1" s="1" t="inlineStr">
        <is>
          <t>cp_dich_75</t>
        </is>
      </c>
      <c r="AC1" s="1" t="inlineStr">
        <is>
          <t>cp_dich_100</t>
        </is>
      </c>
      <c r="AD1" s="1" t="inlineStr">
        <is>
          <t>ty_le_dich_nguoi_choi_100</t>
        </is>
      </c>
      <c r="AE1" s="1" t="inlineStr">
        <is>
          <t>nguon</t>
        </is>
      </c>
      <c r="AF1" s="1" t="inlineStr">
        <is>
          <t>raw_json</t>
        </is>
      </c>
    </row>
    <row r="2">
      <c r="A2" t="inlineStr">
        <is>
          <t>assault/Easy</t>
        </is>
      </c>
      <c r="B2" t="inlineStr">
        <is>
          <t>assault</t>
        </is>
      </c>
      <c r="C2" t="inlineStr">
        <is>
          <t>Easy</t>
        </is>
      </c>
      <c r="D2" t="n">
        <v>20</v>
      </c>
      <c r="E2" t="n">
        <v>1.45</v>
      </c>
      <c r="F2" t="n">
        <v>32</v>
      </c>
      <c r="G2" t="n">
        <v>1.3</v>
      </c>
      <c r="H2" t="n">
        <v>1</v>
      </c>
      <c r="I2" t="n">
        <v>0.8</v>
      </c>
      <c r="J2" t="n">
        <v>0</v>
      </c>
      <c r="K2" t="inlineStr">
        <is>
          <t>thưởng khu (8 CP, +0,25 CP/s mỗi khu) không tính</t>
        </is>
      </c>
      <c r="L2" t="inlineStr">
        <is>
          <t>Game/Match/ModeSessions.cs:606; Sim/AI/ConquestAi.cs:65</t>
        </is>
      </c>
      <c r="M2">
        <f>IF(ISNUMBER($D$2),IF(AND(ISNUMBER(FIND(";"&amp;Che_do!$B$2&amp;";",";"&amp;Kinh_te!$E$10&amp;";")),$D$2&gt;0,Kinh_te!$D$11&lt;&gt;1),ROUND($D$2*Kinh_te!$D$11,0),$D$2),"")</f>
        <v/>
      </c>
      <c r="N2" t="n">
        <v>23</v>
      </c>
      <c r="O2">
        <f>IF(ISNUMBER($F$2),IF(AND(ISNUMBER(FIND(";"&amp;Che_do!$B$2&amp;";",";"&amp;Kinh_te!$E$10&amp;";")),$F$2&gt;0,Kinh_te!$D$11&lt;&gt;1),ROUND($F$2*Kinh_te!$D$11,0),$F$2),"")</f>
        <v/>
      </c>
      <c r="P2" t="n">
        <v>37</v>
      </c>
      <c r="Q2">
        <f>($E$2+$J$2)*Kinh_te!$D$9</f>
        <v/>
      </c>
      <c r="R2" t="n">
        <v>1.305</v>
      </c>
      <c r="S2">
        <f>IF(ISNUMBER($G$2),($G$2+$J$2)*Kinh_te!$D$9*$H$2*$I$2,"")</f>
        <v/>
      </c>
      <c r="T2" t="n">
        <v>0.9360000000000002</v>
      </c>
      <c r="U2">
        <f>Che_do_thoi_luong!$Q$2</f>
        <v/>
      </c>
      <c r="V2">
        <f>IF(AND(ISNUMBER($U$2),ISNUMBER($M$2)),$M$2+$Q$2*0.25*$U$2,"")</f>
        <v/>
      </c>
      <c r="W2">
        <f>IF(AND(ISNUMBER($U$2),ISNUMBER($M$2)),$M$2+$Q$2*0.5*$U$2,"")</f>
        <v/>
      </c>
      <c r="X2">
        <f>IF(AND(ISNUMBER($U$2),ISNUMBER($M$2)),$M$2+$Q$2*0.75*$U$2,"")</f>
        <v/>
      </c>
      <c r="Y2">
        <f>IF(AND(ISNUMBER($U$2),ISNUMBER($M$2)),$M$2+$Q$2*1.0*$U$2,"")</f>
        <v/>
      </c>
      <c r="Z2">
        <f>IF(AND(ISNUMBER($U$2),ISNUMBER($O$2)),$O$2+$S$2*0.25*$U$2,"")</f>
        <v/>
      </c>
      <c r="AA2">
        <f>IF(AND(ISNUMBER($U$2),ISNUMBER($O$2)),$O$2+$S$2*0.5*$U$2,"")</f>
        <v/>
      </c>
      <c r="AB2">
        <f>IF(AND(ISNUMBER($U$2),ISNUMBER($O$2)),$O$2+$S$2*0.75*$U$2,"")</f>
        <v/>
      </c>
      <c r="AC2">
        <f>IF(AND(ISNUMBER($U$2),ISNUMBER($O$2)),$O$2+$S$2*1.0*$U$2,"")</f>
        <v/>
      </c>
      <c r="AD2">
        <f>IF(AND(ISNUMBER($AC$2),ISNUMBER($Y$2)),$AC$2/$Y$2,"")</f>
        <v/>
      </c>
      <c r="AE2" t="inlineStr">
        <is>
          <t>C#: Game/Match/ModeSessions.cs:606; Sim/AI/ConquestAi.cs:65</t>
        </is>
      </c>
      <c r="AF2" t="inlineStr"/>
    </row>
    <row r="3">
      <c r="A3" t="inlineStr">
        <is>
          <t>assault/Hard</t>
        </is>
      </c>
      <c r="B3" t="inlineStr">
        <is>
          <t>assault</t>
        </is>
      </c>
      <c r="C3" t="inlineStr">
        <is>
          <t>Hard</t>
        </is>
      </c>
      <c r="D3" t="n">
        <v>20</v>
      </c>
      <c r="E3" t="n">
        <v>1.45</v>
      </c>
      <c r="F3" t="n">
        <v>32</v>
      </c>
      <c r="G3" t="n">
        <v>1.3</v>
      </c>
      <c r="H3" t="n">
        <v>1</v>
      </c>
      <c r="I3" t="n">
        <v>1.2</v>
      </c>
      <c r="J3" t="n">
        <v>0</v>
      </c>
      <c r="K3" t="inlineStr">
        <is>
          <t>thưởng khu (8 CP, +0,25 CP/s mỗi khu) không tính</t>
        </is>
      </c>
      <c r="L3" t="inlineStr">
        <is>
          <t>Game/Match/ModeSessions.cs:606; Sim/AI/ConquestAi.cs:68</t>
        </is>
      </c>
      <c r="M3">
        <f>IF(ISNUMBER($D$3),IF(AND(ISNUMBER(FIND(";"&amp;Che_do!$B$2&amp;";",";"&amp;Kinh_te!$E$10&amp;";")),$D$3&gt;0,Kinh_te!$D$11&lt;&gt;1),ROUND($D$3*Kinh_te!$D$11,0),$D$3),"")</f>
        <v/>
      </c>
      <c r="N3" t="n">
        <v>23</v>
      </c>
      <c r="O3">
        <f>IF(ISNUMBER($F$3),IF(AND(ISNUMBER(FIND(";"&amp;Che_do!$B$2&amp;";",";"&amp;Kinh_te!$E$10&amp;";")),$F$3&gt;0,Kinh_te!$D$11&lt;&gt;1),ROUND($F$3*Kinh_te!$D$11,0),$F$3),"")</f>
        <v/>
      </c>
      <c r="P3" t="n">
        <v>37</v>
      </c>
      <c r="Q3">
        <f>($E$3+$J$3)*Kinh_te!$D$9</f>
        <v/>
      </c>
      <c r="R3" t="n">
        <v>1.305</v>
      </c>
      <c r="S3">
        <f>IF(ISNUMBER($G$3),($G$3+$J$3)*Kinh_te!$D$9*$H$3*$I$3,"")</f>
        <v/>
      </c>
      <c r="T3" t="n">
        <v>1.404</v>
      </c>
      <c r="U3">
        <f>Che_do_thoi_luong!$Q$2</f>
        <v/>
      </c>
      <c r="V3">
        <f>IF(AND(ISNUMBER($U$3),ISNUMBER($M$3)),$M$3+$Q$3*0.25*$U$3,"")</f>
        <v/>
      </c>
      <c r="W3">
        <f>IF(AND(ISNUMBER($U$3),ISNUMBER($M$3)),$M$3+$Q$3*0.5*$U$3,"")</f>
        <v/>
      </c>
      <c r="X3">
        <f>IF(AND(ISNUMBER($U$3),ISNUMBER($M$3)),$M$3+$Q$3*0.75*$U$3,"")</f>
        <v/>
      </c>
      <c r="Y3">
        <f>IF(AND(ISNUMBER($U$3),ISNUMBER($M$3)),$M$3+$Q$3*1.0*$U$3,"")</f>
        <v/>
      </c>
      <c r="Z3">
        <f>IF(AND(ISNUMBER($U$3),ISNUMBER($O$3)),$O$3+$S$3*0.25*$U$3,"")</f>
        <v/>
      </c>
      <c r="AA3">
        <f>IF(AND(ISNUMBER($U$3),ISNUMBER($O$3)),$O$3+$S$3*0.5*$U$3,"")</f>
        <v/>
      </c>
      <c r="AB3">
        <f>IF(AND(ISNUMBER($U$3),ISNUMBER($O$3)),$O$3+$S$3*0.75*$U$3,"")</f>
        <v/>
      </c>
      <c r="AC3">
        <f>IF(AND(ISNUMBER($U$3),ISNUMBER($O$3)),$O$3+$S$3*1.0*$U$3,"")</f>
        <v/>
      </c>
      <c r="AD3">
        <f>IF(AND(ISNUMBER($AC$3),ISNUMBER($Y$3)),$AC$3/$Y$3,"")</f>
        <v/>
      </c>
      <c r="AE3" t="inlineStr">
        <is>
          <t>C#: Game/Match/ModeSessions.cs:606; Sim/AI/ConquestAi.cs:68</t>
        </is>
      </c>
      <c r="AF3" t="inlineStr"/>
    </row>
    <row r="4">
      <c r="A4" t="inlineStr">
        <is>
          <t>assault/Normal</t>
        </is>
      </c>
      <c r="B4" t="inlineStr">
        <is>
          <t>assault</t>
        </is>
      </c>
      <c r="C4" t="inlineStr">
        <is>
          <t>Normal</t>
        </is>
      </c>
      <c r="D4" t="n">
        <v>20</v>
      </c>
      <c r="E4" t="n">
        <v>1.45</v>
      </c>
      <c r="F4" t="n">
        <v>32</v>
      </c>
      <c r="G4" t="n">
        <v>1.3</v>
      </c>
      <c r="H4" t="n">
        <v>1</v>
      </c>
      <c r="I4" t="n">
        <v>0.7</v>
      </c>
      <c r="J4" t="n">
        <v>0</v>
      </c>
      <c r="K4" t="inlineStr">
        <is>
          <t>thưởng khu (8 CP, +0,25 CP/s mỗi khu) không tính</t>
        </is>
      </c>
      <c r="L4" t="inlineStr">
        <is>
          <t>Game/Match/ModeSessions.cs:606; Sim/AI/ConquestAi.cs:67</t>
        </is>
      </c>
      <c r="M4">
        <f>IF(ISNUMBER($D$4),IF(AND(ISNUMBER(FIND(";"&amp;Che_do!$B$2&amp;";",";"&amp;Kinh_te!$E$10&amp;";")),$D$4&gt;0,Kinh_te!$D$11&lt;&gt;1),ROUND($D$4*Kinh_te!$D$11,0),$D$4),"")</f>
        <v/>
      </c>
      <c r="N4" t="n">
        <v>23</v>
      </c>
      <c r="O4">
        <f>IF(ISNUMBER($F$4),IF(AND(ISNUMBER(FIND(";"&amp;Che_do!$B$2&amp;";",";"&amp;Kinh_te!$E$10&amp;";")),$F$4&gt;0,Kinh_te!$D$11&lt;&gt;1),ROUND($F$4*Kinh_te!$D$11,0),$F$4),"")</f>
        <v/>
      </c>
      <c r="P4" t="n">
        <v>37</v>
      </c>
      <c r="Q4">
        <f>($E$4+$J$4)*Kinh_te!$D$9</f>
        <v/>
      </c>
      <c r="R4" t="n">
        <v>1.305</v>
      </c>
      <c r="S4">
        <f>IF(ISNUMBER($G$4),($G$4+$J$4)*Kinh_te!$D$9*$H$4*$I$4,"")</f>
        <v/>
      </c>
      <c r="T4" t="n">
        <v>0.8190000000000001</v>
      </c>
      <c r="U4">
        <f>Che_do_thoi_luong!$Q$2</f>
        <v/>
      </c>
      <c r="V4">
        <f>IF(AND(ISNUMBER($U$4),ISNUMBER($M$4)),$M$4+$Q$4*0.25*$U$4,"")</f>
        <v/>
      </c>
      <c r="W4">
        <f>IF(AND(ISNUMBER($U$4),ISNUMBER($M$4)),$M$4+$Q$4*0.5*$U$4,"")</f>
        <v/>
      </c>
      <c r="X4">
        <f>IF(AND(ISNUMBER($U$4),ISNUMBER($M$4)),$M$4+$Q$4*0.75*$U$4,"")</f>
        <v/>
      </c>
      <c r="Y4">
        <f>IF(AND(ISNUMBER($U$4),ISNUMBER($M$4)),$M$4+$Q$4*1.0*$U$4,"")</f>
        <v/>
      </c>
      <c r="Z4">
        <f>IF(AND(ISNUMBER($U$4),ISNUMBER($O$4)),$O$4+$S$4*0.25*$U$4,"")</f>
        <v/>
      </c>
      <c r="AA4">
        <f>IF(AND(ISNUMBER($U$4),ISNUMBER($O$4)),$O$4+$S$4*0.5*$U$4,"")</f>
        <v/>
      </c>
      <c r="AB4">
        <f>IF(AND(ISNUMBER($U$4),ISNUMBER($O$4)),$O$4+$S$4*0.75*$U$4,"")</f>
        <v/>
      </c>
      <c r="AC4">
        <f>IF(AND(ISNUMBER($U$4),ISNUMBER($O$4)),$O$4+$S$4*1.0*$U$4,"")</f>
        <v/>
      </c>
      <c r="AD4">
        <f>IF(AND(ISNUMBER($AC$4),ISNUMBER($Y$4)),$AC$4/$Y$4,"")</f>
        <v/>
      </c>
      <c r="AE4" t="inlineStr">
        <is>
          <t>C#: Game/Match/ModeSessions.cs:606; Sim/AI/ConquestAi.cs:67</t>
        </is>
      </c>
      <c r="AF4" t="inlineStr"/>
    </row>
    <row r="5">
      <c r="A5" t="inlineStr">
        <is>
          <t>assault/VeryHard</t>
        </is>
      </c>
      <c r="B5" t="inlineStr">
        <is>
          <t>assault</t>
        </is>
      </c>
      <c r="C5" t="inlineStr">
        <is>
          <t>VeryHard</t>
        </is>
      </c>
      <c r="D5" t="n">
        <v>20</v>
      </c>
      <c r="E5" t="n">
        <v>1.45</v>
      </c>
      <c r="F5" t="n">
        <v>32</v>
      </c>
      <c r="G5" t="n">
        <v>1.3</v>
      </c>
      <c r="H5" t="n">
        <v>1</v>
      </c>
      <c r="I5" t="n">
        <v>1.4</v>
      </c>
      <c r="J5" t="n">
        <v>0</v>
      </c>
      <c r="K5" t="inlineStr">
        <is>
          <t>thưởng khu (8 CP, +0,25 CP/s mỗi khu) không tính</t>
        </is>
      </c>
      <c r="L5" t="inlineStr">
        <is>
          <t>Game/Match/ModeSessions.cs:606; Sim/AI/ConquestAi.cs:69</t>
        </is>
      </c>
      <c r="M5">
        <f>IF(ISNUMBER($D$5),IF(AND(ISNUMBER(FIND(";"&amp;Che_do!$B$2&amp;";",";"&amp;Kinh_te!$E$10&amp;";")),$D$5&gt;0,Kinh_te!$D$11&lt;&gt;1),ROUND($D$5*Kinh_te!$D$11,0),$D$5),"")</f>
        <v/>
      </c>
      <c r="N5" t="n">
        <v>23</v>
      </c>
      <c r="O5">
        <f>IF(ISNUMBER($F$5),IF(AND(ISNUMBER(FIND(";"&amp;Che_do!$B$2&amp;";",";"&amp;Kinh_te!$E$10&amp;";")),$F$5&gt;0,Kinh_te!$D$11&lt;&gt;1),ROUND($F$5*Kinh_te!$D$11,0),$F$5),"")</f>
        <v/>
      </c>
      <c r="P5" t="n">
        <v>37</v>
      </c>
      <c r="Q5">
        <f>($E$5+$J$5)*Kinh_te!$D$9</f>
        <v/>
      </c>
      <c r="R5" t="n">
        <v>1.305</v>
      </c>
      <c r="S5">
        <f>IF(ISNUMBER($G$5),($G$5+$J$5)*Kinh_te!$D$9*$H$5*$I$5,"")</f>
        <v/>
      </c>
      <c r="T5" t="n">
        <v>1.638</v>
      </c>
      <c r="U5">
        <f>Che_do_thoi_luong!$Q$2</f>
        <v/>
      </c>
      <c r="V5">
        <f>IF(AND(ISNUMBER($U$5),ISNUMBER($M$5)),$M$5+$Q$5*0.25*$U$5,"")</f>
        <v/>
      </c>
      <c r="W5">
        <f>IF(AND(ISNUMBER($U$5),ISNUMBER($M$5)),$M$5+$Q$5*0.5*$U$5,"")</f>
        <v/>
      </c>
      <c r="X5">
        <f>IF(AND(ISNUMBER($U$5),ISNUMBER($M$5)),$M$5+$Q$5*0.75*$U$5,"")</f>
        <v/>
      </c>
      <c r="Y5">
        <f>IF(AND(ISNUMBER($U$5),ISNUMBER($M$5)),$M$5+$Q$5*1.0*$U$5,"")</f>
        <v/>
      </c>
      <c r="Z5">
        <f>IF(AND(ISNUMBER($U$5),ISNUMBER($O$5)),$O$5+$S$5*0.25*$U$5,"")</f>
        <v/>
      </c>
      <c r="AA5">
        <f>IF(AND(ISNUMBER($U$5),ISNUMBER($O$5)),$O$5+$S$5*0.5*$U$5,"")</f>
        <v/>
      </c>
      <c r="AB5">
        <f>IF(AND(ISNUMBER($U$5),ISNUMBER($O$5)),$O$5+$S$5*0.75*$U$5,"")</f>
        <v/>
      </c>
      <c r="AC5">
        <f>IF(AND(ISNUMBER($U$5),ISNUMBER($O$5)),$O$5+$S$5*1.0*$U$5,"")</f>
        <v/>
      </c>
      <c r="AD5">
        <f>IF(AND(ISNUMBER($AC$5),ISNUMBER($Y$5)),$AC$5/$Y$5,"")</f>
        <v/>
      </c>
      <c r="AE5" t="inlineStr">
        <is>
          <t>C#: Game/Match/ModeSessions.cs:606; Sim/AI/ConquestAi.cs:69</t>
        </is>
      </c>
      <c r="AF5" t="inlineStr"/>
    </row>
    <row r="6">
      <c r="A6" t="inlineStr">
        <is>
          <t>bossrush/Easy</t>
        </is>
      </c>
      <c r="B6" t="inlineStr">
        <is>
          <t>bossrush</t>
        </is>
      </c>
      <c r="C6" t="inlineStr">
        <is>
          <t>Easy</t>
        </is>
      </c>
      <c r="D6" t="n">
        <v>40</v>
      </c>
      <c r="E6" t="n">
        <v>1.8</v>
      </c>
      <c r="F6" t="inlineStr"/>
      <c r="G6" t="inlineStr"/>
      <c r="H6" t="inlineStr"/>
      <c r="I6" t="inlineStr"/>
      <c r="J6" t="n">
        <v>0</v>
      </c>
      <c r="K6" t="inlineStr">
        <is>
          <t>thưởng boss (8 CP mỗi 25 % máu, 12 khi hạ) không tính</t>
        </is>
      </c>
      <c r="L6" t="inlineStr">
        <is>
          <t>Game/Match/ModeSessions.cs:979</t>
        </is>
      </c>
      <c r="M6">
        <f>IF(ISNUMBER($D$6),IF(AND(ISNUMBER(FIND(";"&amp;Che_do!$B$3&amp;";",";"&amp;Kinh_te!$E$10&amp;";")),$D$6&gt;0,Kinh_te!$D$11&lt;&gt;1),ROUND($D$6*Kinh_te!$D$11,0),$D$6),"")</f>
        <v/>
      </c>
      <c r="N6" t="n">
        <v>46</v>
      </c>
      <c r="O6">
        <f>IF(ISNUMBER($F$6),IF(AND(ISNUMBER(FIND(";"&amp;Che_do!$B$3&amp;";",";"&amp;Kinh_te!$E$10&amp;";")),$F$6&gt;0,Kinh_te!$D$11&lt;&gt;1),ROUND($F$6*Kinh_te!$D$11,0),$F$6),"")</f>
        <v/>
      </c>
      <c r="P6" t="inlineStr"/>
      <c r="Q6">
        <f>($E$6+$J$6)*Kinh_te!$D$9</f>
        <v/>
      </c>
      <c r="R6" t="n">
        <v>1.62</v>
      </c>
      <c r="S6">
        <f>IF(ISNUMBER($G$6),($G$6+$J$6)*Kinh_te!$D$9*$H$6*$I$6,"")</f>
        <v/>
      </c>
      <c r="T6" t="inlineStr"/>
      <c r="U6">
        <f>Che_do_thoi_luong!$Q$3</f>
        <v/>
      </c>
      <c r="V6">
        <f>IF(AND(ISNUMBER($U$6),ISNUMBER($M$6)),$M$6+$Q$6*0.25*$U$6,"")</f>
        <v/>
      </c>
      <c r="W6">
        <f>IF(AND(ISNUMBER($U$6),ISNUMBER($M$6)),$M$6+$Q$6*0.5*$U$6,"")</f>
        <v/>
      </c>
      <c r="X6">
        <f>IF(AND(ISNUMBER($U$6),ISNUMBER($M$6)),$M$6+$Q$6*0.75*$U$6,"")</f>
        <v/>
      </c>
      <c r="Y6">
        <f>IF(AND(ISNUMBER($U$6),ISNUMBER($M$6)),$M$6+$Q$6*1.0*$U$6,"")</f>
        <v/>
      </c>
      <c r="Z6">
        <f>IF(AND(ISNUMBER($U$6),ISNUMBER($O$6)),$O$6+$S$6*0.25*$U$6,"")</f>
        <v/>
      </c>
      <c r="AA6">
        <f>IF(AND(ISNUMBER($U$6),ISNUMBER($O$6)),$O$6+$S$6*0.5*$U$6,"")</f>
        <v/>
      </c>
      <c r="AB6">
        <f>IF(AND(ISNUMBER($U$6),ISNUMBER($O$6)),$O$6+$S$6*0.75*$U$6,"")</f>
        <v/>
      </c>
      <c r="AC6">
        <f>IF(AND(ISNUMBER($U$6),ISNUMBER($O$6)),$O$6+$S$6*1.0*$U$6,"")</f>
        <v/>
      </c>
      <c r="AD6">
        <f>IF(AND(ISNUMBER($AC$6),ISNUMBER($Y$6)),$AC$6/$Y$6,"")</f>
        <v/>
      </c>
      <c r="AE6" t="inlineStr">
        <is>
          <t>C#: Game/Match/ModeSessions.cs:979; Sim/AI/ConquestAi.cs:65</t>
        </is>
      </c>
      <c r="AF6" t="inlineStr"/>
    </row>
    <row r="7">
      <c r="A7" t="inlineStr">
        <is>
          <t>bossrush/Hard</t>
        </is>
      </c>
      <c r="B7" t="inlineStr">
        <is>
          <t>bossrush</t>
        </is>
      </c>
      <c r="C7" t="inlineStr">
        <is>
          <t>Hard</t>
        </is>
      </c>
      <c r="D7" t="n">
        <v>40</v>
      </c>
      <c r="E7" t="n">
        <v>1.6</v>
      </c>
      <c r="F7" t="inlineStr"/>
      <c r="G7" t="inlineStr"/>
      <c r="H7" t="inlineStr"/>
      <c r="I7" t="inlineStr"/>
      <c r="J7" t="n">
        <v>0</v>
      </c>
      <c r="K7" t="inlineStr">
        <is>
          <t>thưởng boss (8 CP mỗi 25 % máu, 12 khi hạ) không tính</t>
        </is>
      </c>
      <c r="L7" t="inlineStr">
        <is>
          <t>Game/Match/ModeSessions.cs:979</t>
        </is>
      </c>
      <c r="M7">
        <f>IF(ISNUMBER($D$7),IF(AND(ISNUMBER(FIND(";"&amp;Che_do!$B$3&amp;";",";"&amp;Kinh_te!$E$10&amp;";")),$D$7&gt;0,Kinh_te!$D$11&lt;&gt;1),ROUND($D$7*Kinh_te!$D$11,0),$D$7),"")</f>
        <v/>
      </c>
      <c r="N7" t="n">
        <v>46</v>
      </c>
      <c r="O7">
        <f>IF(ISNUMBER($F$7),IF(AND(ISNUMBER(FIND(";"&amp;Che_do!$B$3&amp;";",";"&amp;Kinh_te!$E$10&amp;";")),$F$7&gt;0,Kinh_te!$D$11&lt;&gt;1),ROUND($F$7*Kinh_te!$D$11,0),$F$7),"")</f>
        <v/>
      </c>
      <c r="P7" t="inlineStr"/>
      <c r="Q7">
        <f>($E$7+$J$7)*Kinh_te!$D$9</f>
        <v/>
      </c>
      <c r="R7" t="n">
        <v>1.44</v>
      </c>
      <c r="S7">
        <f>IF(ISNUMBER($G$7),($G$7+$J$7)*Kinh_te!$D$9*$H$7*$I$7,"")</f>
        <v/>
      </c>
      <c r="T7" t="inlineStr"/>
      <c r="U7">
        <f>Che_do_thoi_luong!$Q$3</f>
        <v/>
      </c>
      <c r="V7">
        <f>IF(AND(ISNUMBER($U$7),ISNUMBER($M$7)),$M$7+$Q$7*0.25*$U$7,"")</f>
        <v/>
      </c>
      <c r="W7">
        <f>IF(AND(ISNUMBER($U$7),ISNUMBER($M$7)),$M$7+$Q$7*0.5*$U$7,"")</f>
        <v/>
      </c>
      <c r="X7">
        <f>IF(AND(ISNUMBER($U$7),ISNUMBER($M$7)),$M$7+$Q$7*0.75*$U$7,"")</f>
        <v/>
      </c>
      <c r="Y7">
        <f>IF(AND(ISNUMBER($U$7),ISNUMBER($M$7)),$M$7+$Q$7*1.0*$U$7,"")</f>
        <v/>
      </c>
      <c r="Z7">
        <f>IF(AND(ISNUMBER($U$7),ISNUMBER($O$7)),$O$7+$S$7*0.25*$U$7,"")</f>
        <v/>
      </c>
      <c r="AA7">
        <f>IF(AND(ISNUMBER($U$7),ISNUMBER($O$7)),$O$7+$S$7*0.5*$U$7,"")</f>
        <v/>
      </c>
      <c r="AB7">
        <f>IF(AND(ISNUMBER($U$7),ISNUMBER($O$7)),$O$7+$S$7*0.75*$U$7,"")</f>
        <v/>
      </c>
      <c r="AC7">
        <f>IF(AND(ISNUMBER($U$7),ISNUMBER($O$7)),$O$7+$S$7*1.0*$U$7,"")</f>
        <v/>
      </c>
      <c r="AD7">
        <f>IF(AND(ISNUMBER($AC$7),ISNUMBER($Y$7)),$AC$7/$Y$7,"")</f>
        <v/>
      </c>
      <c r="AE7" t="inlineStr">
        <is>
          <t>C#: Game/Match/ModeSessions.cs:979; Sim/AI/ConquestAi.cs:68</t>
        </is>
      </c>
      <c r="AF7" t="inlineStr"/>
    </row>
    <row r="8">
      <c r="A8" t="inlineStr">
        <is>
          <t>bossrush/Normal</t>
        </is>
      </c>
      <c r="B8" t="inlineStr">
        <is>
          <t>bossrush</t>
        </is>
      </c>
      <c r="C8" t="inlineStr">
        <is>
          <t>Normal</t>
        </is>
      </c>
      <c r="D8" t="n">
        <v>40</v>
      </c>
      <c r="E8" t="n">
        <v>1.8</v>
      </c>
      <c r="F8" t="inlineStr"/>
      <c r="G8" t="inlineStr"/>
      <c r="H8" t="inlineStr"/>
      <c r="I8" t="inlineStr"/>
      <c r="J8" t="n">
        <v>0</v>
      </c>
      <c r="K8" t="inlineStr">
        <is>
          <t>thưởng boss (8 CP mỗi 25 % máu, 12 khi hạ) không tính</t>
        </is>
      </c>
      <c r="L8" t="inlineStr">
        <is>
          <t>Game/Match/ModeSessions.cs:979</t>
        </is>
      </c>
      <c r="M8">
        <f>IF(ISNUMBER($D$8),IF(AND(ISNUMBER(FIND(";"&amp;Che_do!$B$3&amp;";",";"&amp;Kinh_te!$E$10&amp;";")),$D$8&gt;0,Kinh_te!$D$11&lt;&gt;1),ROUND($D$8*Kinh_te!$D$11,0),$D$8),"")</f>
        <v/>
      </c>
      <c r="N8" t="n">
        <v>46</v>
      </c>
      <c r="O8">
        <f>IF(ISNUMBER($F$8),IF(AND(ISNUMBER(FIND(";"&amp;Che_do!$B$3&amp;";",";"&amp;Kinh_te!$E$10&amp;";")),$F$8&gt;0,Kinh_te!$D$11&lt;&gt;1),ROUND($F$8*Kinh_te!$D$11,0),$F$8),"")</f>
        <v/>
      </c>
      <c r="P8" t="inlineStr"/>
      <c r="Q8">
        <f>($E$8+$J$8)*Kinh_te!$D$9</f>
        <v/>
      </c>
      <c r="R8" t="n">
        <v>1.62</v>
      </c>
      <c r="S8">
        <f>IF(ISNUMBER($G$8),($G$8+$J$8)*Kinh_te!$D$9*$H$8*$I$8,"")</f>
        <v/>
      </c>
      <c r="T8" t="inlineStr"/>
      <c r="U8">
        <f>Che_do_thoi_luong!$Q$3</f>
        <v/>
      </c>
      <c r="V8">
        <f>IF(AND(ISNUMBER($U$8),ISNUMBER($M$8)),$M$8+$Q$8*0.25*$U$8,"")</f>
        <v/>
      </c>
      <c r="W8">
        <f>IF(AND(ISNUMBER($U$8),ISNUMBER($M$8)),$M$8+$Q$8*0.5*$U$8,"")</f>
        <v/>
      </c>
      <c r="X8">
        <f>IF(AND(ISNUMBER($U$8),ISNUMBER($M$8)),$M$8+$Q$8*0.75*$U$8,"")</f>
        <v/>
      </c>
      <c r="Y8">
        <f>IF(AND(ISNUMBER($U$8),ISNUMBER($M$8)),$M$8+$Q$8*1.0*$U$8,"")</f>
        <v/>
      </c>
      <c r="Z8">
        <f>IF(AND(ISNUMBER($U$8),ISNUMBER($O$8)),$O$8+$S$8*0.25*$U$8,"")</f>
        <v/>
      </c>
      <c r="AA8">
        <f>IF(AND(ISNUMBER($U$8),ISNUMBER($O$8)),$O$8+$S$8*0.5*$U$8,"")</f>
        <v/>
      </c>
      <c r="AB8">
        <f>IF(AND(ISNUMBER($U$8),ISNUMBER($O$8)),$O$8+$S$8*0.75*$U$8,"")</f>
        <v/>
      </c>
      <c r="AC8">
        <f>IF(AND(ISNUMBER($U$8),ISNUMBER($O$8)),$O$8+$S$8*1.0*$U$8,"")</f>
        <v/>
      </c>
      <c r="AD8">
        <f>IF(AND(ISNUMBER($AC$8),ISNUMBER($Y$8)),$AC$8/$Y$8,"")</f>
        <v/>
      </c>
      <c r="AE8" t="inlineStr">
        <is>
          <t>C#: Game/Match/ModeSessions.cs:979; Sim/AI/ConquestAi.cs:67</t>
        </is>
      </c>
      <c r="AF8" t="inlineStr"/>
    </row>
    <row r="9">
      <c r="A9" t="inlineStr">
        <is>
          <t>bossrush/VeryHard</t>
        </is>
      </c>
      <c r="B9" t="inlineStr">
        <is>
          <t>bossrush</t>
        </is>
      </c>
      <c r="C9" t="inlineStr">
        <is>
          <t>VeryHard</t>
        </is>
      </c>
      <c r="D9" t="n">
        <v>40</v>
      </c>
      <c r="E9" t="n">
        <v>1.45</v>
      </c>
      <c r="F9" t="inlineStr"/>
      <c r="G9" t="inlineStr"/>
      <c r="H9" t="inlineStr"/>
      <c r="I9" t="inlineStr"/>
      <c r="J9" t="n">
        <v>0</v>
      </c>
      <c r="K9" t="inlineStr">
        <is>
          <t>thưởng boss (8 CP mỗi 25 % máu, 12 khi hạ) không tính</t>
        </is>
      </c>
      <c r="L9" t="inlineStr">
        <is>
          <t>Game/Match/ModeSessions.cs:979</t>
        </is>
      </c>
      <c r="M9">
        <f>IF(ISNUMBER($D$9),IF(AND(ISNUMBER(FIND(";"&amp;Che_do!$B$3&amp;";",";"&amp;Kinh_te!$E$10&amp;";")),$D$9&gt;0,Kinh_te!$D$11&lt;&gt;1),ROUND($D$9*Kinh_te!$D$11,0),$D$9),"")</f>
        <v/>
      </c>
      <c r="N9" t="n">
        <v>46</v>
      </c>
      <c r="O9">
        <f>IF(ISNUMBER($F$9),IF(AND(ISNUMBER(FIND(";"&amp;Che_do!$B$3&amp;";",";"&amp;Kinh_te!$E$10&amp;";")),$F$9&gt;0,Kinh_te!$D$11&lt;&gt;1),ROUND($F$9*Kinh_te!$D$11,0),$F$9),"")</f>
        <v/>
      </c>
      <c r="P9" t="inlineStr"/>
      <c r="Q9">
        <f>($E$9+$J$9)*Kinh_te!$D$9</f>
        <v/>
      </c>
      <c r="R9" t="n">
        <v>1.305</v>
      </c>
      <c r="S9">
        <f>IF(ISNUMBER($G$9),($G$9+$J$9)*Kinh_te!$D$9*$H$9*$I$9,"")</f>
        <v/>
      </c>
      <c r="T9" t="inlineStr"/>
      <c r="U9">
        <f>Che_do_thoi_luong!$Q$3</f>
        <v/>
      </c>
      <c r="V9">
        <f>IF(AND(ISNUMBER($U$9),ISNUMBER($M$9)),$M$9+$Q$9*0.25*$U$9,"")</f>
        <v/>
      </c>
      <c r="W9">
        <f>IF(AND(ISNUMBER($U$9),ISNUMBER($M$9)),$M$9+$Q$9*0.5*$U$9,"")</f>
        <v/>
      </c>
      <c r="X9">
        <f>IF(AND(ISNUMBER($U$9),ISNUMBER($M$9)),$M$9+$Q$9*0.75*$U$9,"")</f>
        <v/>
      </c>
      <c r="Y9">
        <f>IF(AND(ISNUMBER($U$9),ISNUMBER($M$9)),$M$9+$Q$9*1.0*$U$9,"")</f>
        <v/>
      </c>
      <c r="Z9">
        <f>IF(AND(ISNUMBER($U$9),ISNUMBER($O$9)),$O$9+$S$9*0.25*$U$9,"")</f>
        <v/>
      </c>
      <c r="AA9">
        <f>IF(AND(ISNUMBER($U$9),ISNUMBER($O$9)),$O$9+$S$9*0.5*$U$9,"")</f>
        <v/>
      </c>
      <c r="AB9">
        <f>IF(AND(ISNUMBER($U$9),ISNUMBER($O$9)),$O$9+$S$9*0.75*$U$9,"")</f>
        <v/>
      </c>
      <c r="AC9">
        <f>IF(AND(ISNUMBER($U$9),ISNUMBER($O$9)),$O$9+$S$9*1.0*$U$9,"")</f>
        <v/>
      </c>
      <c r="AD9">
        <f>IF(AND(ISNUMBER($AC$9),ISNUMBER($Y$9)),$AC$9/$Y$9,"")</f>
        <v/>
      </c>
      <c r="AE9" t="inlineStr">
        <is>
          <t>C#: Game/Match/ModeSessions.cs:979; Sim/AI/ConquestAi.cs:69</t>
        </is>
      </c>
      <c r="AF9" t="inlineStr"/>
    </row>
    <row r="10">
      <c r="A10" t="inlineStr">
        <is>
          <t>conquest/Easy</t>
        </is>
      </c>
      <c r="B10" t="inlineStr">
        <is>
          <t>conquest</t>
        </is>
      </c>
      <c r="C10" t="inlineStr">
        <is>
          <t>Easy</t>
        </is>
      </c>
      <c r="D10" t="n">
        <v>14</v>
      </c>
      <c r="E10" t="n">
        <v>1</v>
      </c>
      <c r="F10" t="n">
        <v>14</v>
      </c>
      <c r="G10" t="n">
        <v>1</v>
      </c>
      <c r="H10" t="n">
        <v>1.18</v>
      </c>
      <c r="I10" t="n">
        <v>0.8</v>
      </c>
      <c r="J10" t="n">
        <v>0.225</v>
      </c>
      <c r="K10" t="inlineStr">
        <is>
          <t>PointIncome x 1,5 cứ điểm (chia đều 3 cứ điểm)</t>
        </is>
      </c>
      <c r="L10" t="inlineStr">
        <is>
          <t>Sim/Modes/ConquestMode.cs:64; Sim/Economy/EconomySystem.cs:27; Game/Match/ModeSessions.cs:480; Game/Match/ModeSessions.cs:473; Sim/AI/ConquestAi.cs:65</t>
        </is>
      </c>
      <c r="M10">
        <f>IF(ISNUMBER($D$10),IF(AND(ISNUMBER(FIND(";"&amp;Che_do!$B$4&amp;";",";"&amp;Kinh_te!$E$10&amp;";")),$D$10&gt;0,Kinh_te!$D$11&lt;&gt;1),ROUND($D$10*Kinh_te!$D$11,0),$D$10),"")</f>
        <v/>
      </c>
      <c r="N10" t="n">
        <v>16</v>
      </c>
      <c r="O10">
        <f>IF(ISNUMBER($F$10),IF(AND(ISNUMBER(FIND(";"&amp;Che_do!$B$4&amp;";",";"&amp;Kinh_te!$E$10&amp;";")),$F$10&gt;0,Kinh_te!$D$11&lt;&gt;1),ROUND($F$10*Kinh_te!$D$11,0),$F$10),"")</f>
        <v/>
      </c>
      <c r="P10" t="n">
        <v>16</v>
      </c>
      <c r="Q10">
        <f>($E$10+$J$10)*Kinh_te!$D$9</f>
        <v/>
      </c>
      <c r="R10" t="n">
        <v>1.1025</v>
      </c>
      <c r="S10">
        <f>IF(ISNUMBER($G$10),($G$10+$J$10)*Kinh_te!$D$9*$H$10*$I$10,"")</f>
        <v/>
      </c>
      <c r="T10" t="n">
        <v>1.04076</v>
      </c>
      <c r="U10">
        <f>Che_do_thoi_luong!$Q$4</f>
        <v/>
      </c>
      <c r="V10">
        <f>IF(AND(ISNUMBER($U$10),ISNUMBER($M$10)),$M$10+$Q$10*0.25*$U$10,"")</f>
        <v/>
      </c>
      <c r="W10">
        <f>IF(AND(ISNUMBER($U$10),ISNUMBER($M$10)),$M$10+$Q$10*0.5*$U$10,"")</f>
        <v/>
      </c>
      <c r="X10">
        <f>IF(AND(ISNUMBER($U$10),ISNUMBER($M$10)),$M$10+$Q$10*0.75*$U$10,"")</f>
        <v/>
      </c>
      <c r="Y10">
        <f>IF(AND(ISNUMBER($U$10),ISNUMBER($M$10)),$M$10+$Q$10*1.0*$U$10,"")</f>
        <v/>
      </c>
      <c r="Z10">
        <f>IF(AND(ISNUMBER($U$10),ISNUMBER($O$10)),$O$10+$S$10*0.25*$U$10,"")</f>
        <v/>
      </c>
      <c r="AA10">
        <f>IF(AND(ISNUMBER($U$10),ISNUMBER($O$10)),$O$10+$S$10*0.5*$U$10,"")</f>
        <v/>
      </c>
      <c r="AB10">
        <f>IF(AND(ISNUMBER($U$10),ISNUMBER($O$10)),$O$10+$S$10*0.75*$U$10,"")</f>
        <v/>
      </c>
      <c r="AC10">
        <f>IF(AND(ISNUMBER($U$10),ISNUMBER($O$10)),$O$10+$S$10*1.0*$U$10,"")</f>
        <v/>
      </c>
      <c r="AD10">
        <f>IF(AND(ISNUMBER($AC$10),ISNUMBER($Y$10)),$AC$10/$Y$10,"")</f>
        <v/>
      </c>
      <c r="AE10" t="inlineStr">
        <is>
          <t>C#: Sim/Modes/ConquestMode.cs:64; Sim/Economy/EconomySystem.cs:27; Game/Match/ModeSessions.cs:480; Game/Match/ModeSessions.cs:473; Sim/AI/ConquestAi.cs:65</t>
        </is>
      </c>
      <c r="AF10" t="inlineStr"/>
    </row>
    <row r="11">
      <c r="A11" t="inlineStr">
        <is>
          <t>conquest/Hard</t>
        </is>
      </c>
      <c r="B11" t="inlineStr">
        <is>
          <t>conquest</t>
        </is>
      </c>
      <c r="C11" t="inlineStr">
        <is>
          <t>Hard</t>
        </is>
      </c>
      <c r="D11" t="n">
        <v>14</v>
      </c>
      <c r="E11" t="n">
        <v>1</v>
      </c>
      <c r="F11" t="n">
        <v>14</v>
      </c>
      <c r="G11" t="n">
        <v>1</v>
      </c>
      <c r="H11" t="n">
        <v>1.18</v>
      </c>
      <c r="I11" t="n">
        <v>1.2</v>
      </c>
      <c r="J11" t="n">
        <v>0.225</v>
      </c>
      <c r="K11" t="inlineStr">
        <is>
          <t>PointIncome x 1,5 cứ điểm (chia đều 3 cứ điểm)</t>
        </is>
      </c>
      <c r="L11" t="inlineStr">
        <is>
          <t>Sim/Modes/ConquestMode.cs:64; Sim/Economy/EconomySystem.cs:27; Game/Match/ModeSessions.cs:480; Game/Match/ModeSessions.cs:473; Sim/AI/ConquestAi.cs:68</t>
        </is>
      </c>
      <c r="M11">
        <f>IF(ISNUMBER($D$11),IF(AND(ISNUMBER(FIND(";"&amp;Che_do!$B$4&amp;";",";"&amp;Kinh_te!$E$10&amp;";")),$D$11&gt;0,Kinh_te!$D$11&lt;&gt;1),ROUND($D$11*Kinh_te!$D$11,0),$D$11),"")</f>
        <v/>
      </c>
      <c r="N11" t="n">
        <v>16</v>
      </c>
      <c r="O11">
        <f>IF(ISNUMBER($F$11),IF(AND(ISNUMBER(FIND(";"&amp;Che_do!$B$4&amp;";",";"&amp;Kinh_te!$E$10&amp;";")),$F$11&gt;0,Kinh_te!$D$11&lt;&gt;1),ROUND($F$11*Kinh_te!$D$11,0),$F$11),"")</f>
        <v/>
      </c>
      <c r="P11" t="n">
        <v>16</v>
      </c>
      <c r="Q11">
        <f>($E$11+$J$11)*Kinh_te!$D$9</f>
        <v/>
      </c>
      <c r="R11" t="n">
        <v>1.1025</v>
      </c>
      <c r="S11">
        <f>IF(ISNUMBER($G$11),($G$11+$J$11)*Kinh_te!$D$9*$H$11*$I$11,"")</f>
        <v/>
      </c>
      <c r="T11" t="n">
        <v>1.56114</v>
      </c>
      <c r="U11">
        <f>Che_do_thoi_luong!$Q$4</f>
        <v/>
      </c>
      <c r="V11">
        <f>IF(AND(ISNUMBER($U$11),ISNUMBER($M$11)),$M$11+$Q$11*0.25*$U$11,"")</f>
        <v/>
      </c>
      <c r="W11">
        <f>IF(AND(ISNUMBER($U$11),ISNUMBER($M$11)),$M$11+$Q$11*0.5*$U$11,"")</f>
        <v/>
      </c>
      <c r="X11">
        <f>IF(AND(ISNUMBER($U$11),ISNUMBER($M$11)),$M$11+$Q$11*0.75*$U$11,"")</f>
        <v/>
      </c>
      <c r="Y11">
        <f>IF(AND(ISNUMBER($U$11),ISNUMBER($M$11)),$M$11+$Q$11*1.0*$U$11,"")</f>
        <v/>
      </c>
      <c r="Z11">
        <f>IF(AND(ISNUMBER($U$11),ISNUMBER($O$11)),$O$11+$S$11*0.25*$U$11,"")</f>
        <v/>
      </c>
      <c r="AA11">
        <f>IF(AND(ISNUMBER($U$11),ISNUMBER($O$11)),$O$11+$S$11*0.5*$U$11,"")</f>
        <v/>
      </c>
      <c r="AB11">
        <f>IF(AND(ISNUMBER($U$11),ISNUMBER($O$11)),$O$11+$S$11*0.75*$U$11,"")</f>
        <v/>
      </c>
      <c r="AC11">
        <f>IF(AND(ISNUMBER($U$11),ISNUMBER($O$11)),$O$11+$S$11*1.0*$U$11,"")</f>
        <v/>
      </c>
      <c r="AD11">
        <f>IF(AND(ISNUMBER($AC$11),ISNUMBER($Y$11)),$AC$11/$Y$11,"")</f>
        <v/>
      </c>
      <c r="AE11" t="inlineStr">
        <is>
          <t>C#: Sim/Modes/ConquestMode.cs:64; Sim/Economy/EconomySystem.cs:27; Game/Match/ModeSessions.cs:480; Game/Match/ModeSessions.cs:473; Sim/AI/ConquestAi.cs:68</t>
        </is>
      </c>
      <c r="AF11" t="inlineStr"/>
    </row>
    <row r="12">
      <c r="A12" t="inlineStr">
        <is>
          <t>conquest/Normal</t>
        </is>
      </c>
      <c r="B12" t="inlineStr">
        <is>
          <t>conquest</t>
        </is>
      </c>
      <c r="C12" t="inlineStr">
        <is>
          <t>Normal</t>
        </is>
      </c>
      <c r="D12" t="n">
        <v>14</v>
      </c>
      <c r="E12" t="n">
        <v>1</v>
      </c>
      <c r="F12" t="n">
        <v>14</v>
      </c>
      <c r="G12" t="n">
        <v>1</v>
      </c>
      <c r="H12" t="n">
        <v>1.18</v>
      </c>
      <c r="I12" t="n">
        <v>0.7</v>
      </c>
      <c r="J12" t="n">
        <v>0.225</v>
      </c>
      <c r="K12" t="inlineStr">
        <is>
          <t>PointIncome x 1,5 cứ điểm (chia đều 3 cứ điểm)</t>
        </is>
      </c>
      <c r="L12" t="inlineStr">
        <is>
          <t>Sim/Modes/ConquestMode.cs:64; Sim/Economy/EconomySystem.cs:27; Game/Match/ModeSessions.cs:480; Game/Match/ModeSessions.cs:473; Sim/AI/ConquestAi.cs:67</t>
        </is>
      </c>
      <c r="M12">
        <f>IF(ISNUMBER($D$12),IF(AND(ISNUMBER(FIND(";"&amp;Che_do!$B$4&amp;";",";"&amp;Kinh_te!$E$10&amp;";")),$D$12&gt;0,Kinh_te!$D$11&lt;&gt;1),ROUND($D$12*Kinh_te!$D$11,0),$D$12),"")</f>
        <v/>
      </c>
      <c r="N12" t="n">
        <v>16</v>
      </c>
      <c r="O12">
        <f>IF(ISNUMBER($F$12),IF(AND(ISNUMBER(FIND(";"&amp;Che_do!$B$4&amp;";",";"&amp;Kinh_te!$E$10&amp;";")),$F$12&gt;0,Kinh_te!$D$11&lt;&gt;1),ROUND($F$12*Kinh_te!$D$11,0),$F$12),"")</f>
        <v/>
      </c>
      <c r="P12" t="n">
        <v>16</v>
      </c>
      <c r="Q12">
        <f>($E$12+$J$12)*Kinh_te!$D$9</f>
        <v/>
      </c>
      <c r="R12" t="n">
        <v>1.1025</v>
      </c>
      <c r="S12">
        <f>IF(ISNUMBER($G$12),($G$12+$J$12)*Kinh_te!$D$9*$H$12*$I$12,"")</f>
        <v/>
      </c>
      <c r="T12" t="n">
        <v>0.9106649999999999</v>
      </c>
      <c r="U12">
        <f>Che_do_thoi_luong!$Q$4</f>
        <v/>
      </c>
      <c r="V12">
        <f>IF(AND(ISNUMBER($U$12),ISNUMBER($M$12)),$M$12+$Q$12*0.25*$U$12,"")</f>
        <v/>
      </c>
      <c r="W12">
        <f>IF(AND(ISNUMBER($U$12),ISNUMBER($M$12)),$M$12+$Q$12*0.5*$U$12,"")</f>
        <v/>
      </c>
      <c r="X12">
        <f>IF(AND(ISNUMBER($U$12),ISNUMBER($M$12)),$M$12+$Q$12*0.75*$U$12,"")</f>
        <v/>
      </c>
      <c r="Y12">
        <f>IF(AND(ISNUMBER($U$12),ISNUMBER($M$12)),$M$12+$Q$12*1.0*$U$12,"")</f>
        <v/>
      </c>
      <c r="Z12">
        <f>IF(AND(ISNUMBER($U$12),ISNUMBER($O$12)),$O$12+$S$12*0.25*$U$12,"")</f>
        <v/>
      </c>
      <c r="AA12">
        <f>IF(AND(ISNUMBER($U$12),ISNUMBER($O$12)),$O$12+$S$12*0.5*$U$12,"")</f>
        <v/>
      </c>
      <c r="AB12">
        <f>IF(AND(ISNUMBER($U$12),ISNUMBER($O$12)),$O$12+$S$12*0.75*$U$12,"")</f>
        <v/>
      </c>
      <c r="AC12">
        <f>IF(AND(ISNUMBER($U$12),ISNUMBER($O$12)),$O$12+$S$12*1.0*$U$12,"")</f>
        <v/>
      </c>
      <c r="AD12">
        <f>IF(AND(ISNUMBER($AC$12),ISNUMBER($Y$12)),$AC$12/$Y$12,"")</f>
        <v/>
      </c>
      <c r="AE12" t="inlineStr">
        <is>
          <t>C#: Sim/Modes/ConquestMode.cs:64; Sim/Economy/EconomySystem.cs:27; Game/Match/ModeSessions.cs:480; Game/Match/ModeSessions.cs:473; Sim/AI/ConquestAi.cs:67</t>
        </is>
      </c>
      <c r="AF12" t="inlineStr"/>
    </row>
    <row r="13">
      <c r="A13" t="inlineStr">
        <is>
          <t>conquest/VeryHard</t>
        </is>
      </c>
      <c r="B13" t="inlineStr">
        <is>
          <t>conquest</t>
        </is>
      </c>
      <c r="C13" t="inlineStr">
        <is>
          <t>VeryHard</t>
        </is>
      </c>
      <c r="D13" t="n">
        <v>14</v>
      </c>
      <c r="E13" t="n">
        <v>1</v>
      </c>
      <c r="F13" t="n">
        <v>14</v>
      </c>
      <c r="G13" t="n">
        <v>1</v>
      </c>
      <c r="H13" t="n">
        <v>1.18</v>
      </c>
      <c r="I13" t="n">
        <v>1.4</v>
      </c>
      <c r="J13" t="n">
        <v>0.225</v>
      </c>
      <c r="K13" t="inlineStr">
        <is>
          <t>PointIncome x 1,5 cứ điểm (chia đều 3 cứ điểm)</t>
        </is>
      </c>
      <c r="L13" t="inlineStr">
        <is>
          <t>Sim/Modes/ConquestMode.cs:64; Sim/Economy/EconomySystem.cs:27; Game/Match/ModeSessions.cs:480; Game/Match/ModeSessions.cs:473; Sim/AI/ConquestAi.cs:69</t>
        </is>
      </c>
      <c r="M13">
        <f>IF(ISNUMBER($D$13),IF(AND(ISNUMBER(FIND(";"&amp;Che_do!$B$4&amp;";",";"&amp;Kinh_te!$E$10&amp;";")),$D$13&gt;0,Kinh_te!$D$11&lt;&gt;1),ROUND($D$13*Kinh_te!$D$11,0),$D$13),"")</f>
        <v/>
      </c>
      <c r="N13" t="n">
        <v>16</v>
      </c>
      <c r="O13">
        <f>IF(ISNUMBER($F$13),IF(AND(ISNUMBER(FIND(";"&amp;Che_do!$B$4&amp;";",";"&amp;Kinh_te!$E$10&amp;";")),$F$13&gt;0,Kinh_te!$D$11&lt;&gt;1),ROUND($F$13*Kinh_te!$D$11,0),$F$13),"")</f>
        <v/>
      </c>
      <c r="P13" t="n">
        <v>16</v>
      </c>
      <c r="Q13">
        <f>($E$13+$J$13)*Kinh_te!$D$9</f>
        <v/>
      </c>
      <c r="R13" t="n">
        <v>1.1025</v>
      </c>
      <c r="S13">
        <f>IF(ISNUMBER($G$13),($G$13+$J$13)*Kinh_te!$D$9*$H$13*$I$13,"")</f>
        <v/>
      </c>
      <c r="T13" t="n">
        <v>1.82133</v>
      </c>
      <c r="U13">
        <f>Che_do_thoi_luong!$Q$4</f>
        <v/>
      </c>
      <c r="V13">
        <f>IF(AND(ISNUMBER($U$13),ISNUMBER($M$13)),$M$13+$Q$13*0.25*$U$13,"")</f>
        <v/>
      </c>
      <c r="W13">
        <f>IF(AND(ISNUMBER($U$13),ISNUMBER($M$13)),$M$13+$Q$13*0.5*$U$13,"")</f>
        <v/>
      </c>
      <c r="X13">
        <f>IF(AND(ISNUMBER($U$13),ISNUMBER($M$13)),$M$13+$Q$13*0.75*$U$13,"")</f>
        <v/>
      </c>
      <c r="Y13">
        <f>IF(AND(ISNUMBER($U$13),ISNUMBER($M$13)),$M$13+$Q$13*1.0*$U$13,"")</f>
        <v/>
      </c>
      <c r="Z13">
        <f>IF(AND(ISNUMBER($U$13),ISNUMBER($O$13)),$O$13+$S$13*0.25*$U$13,"")</f>
        <v/>
      </c>
      <c r="AA13">
        <f>IF(AND(ISNUMBER($U$13),ISNUMBER($O$13)),$O$13+$S$13*0.5*$U$13,"")</f>
        <v/>
      </c>
      <c r="AB13">
        <f>IF(AND(ISNUMBER($U$13),ISNUMBER($O$13)),$O$13+$S$13*0.75*$U$13,"")</f>
        <v/>
      </c>
      <c r="AC13">
        <f>IF(AND(ISNUMBER($U$13),ISNUMBER($O$13)),$O$13+$S$13*1.0*$U$13,"")</f>
        <v/>
      </c>
      <c r="AD13">
        <f>IF(AND(ISNUMBER($AC$13),ISNUMBER($Y$13)),$AC$13/$Y$13,"")</f>
        <v/>
      </c>
      <c r="AE13" t="inlineStr">
        <is>
          <t>C#: Sim/Modes/ConquestMode.cs:64; Sim/Economy/EconomySystem.cs:27; Game/Match/ModeSessions.cs:480; Game/Match/ModeSessions.cs:473; Sim/AI/ConquestAi.cs:69</t>
        </is>
      </c>
      <c r="AF13" t="inlineStr"/>
    </row>
    <row r="14">
      <c r="A14" t="inlineStr">
        <is>
          <t>deathmatch/Easy</t>
        </is>
      </c>
      <c r="B14" t="inlineStr">
        <is>
          <t>deathmatch</t>
        </is>
      </c>
      <c r="C14" t="inlineStr">
        <is>
          <t>Easy</t>
        </is>
      </c>
      <c r="D14" t="n">
        <v>18</v>
      </c>
      <c r="E14" t="n">
        <v>1.35</v>
      </c>
      <c r="F14" t="n">
        <v>18</v>
      </c>
      <c r="G14" t="n">
        <v>1.2</v>
      </c>
      <c r="H14" t="n">
        <v>1</v>
      </c>
      <c r="I14" t="n">
        <v>0.8</v>
      </c>
      <c r="J14" t="n">
        <v>0</v>
      </c>
      <c r="K14" t="inlineStr"/>
      <c r="L14" t="inlineStr">
        <is>
          <t>Game/Match/ModeSessions.cs:517; Sim/AI/ConquestAi.cs:65</t>
        </is>
      </c>
      <c r="M14">
        <f>IF(ISNUMBER($D$14),IF(AND(ISNUMBER(FIND(";"&amp;Che_do!$B$5&amp;";",";"&amp;Kinh_te!$E$10&amp;";")),$D$14&gt;0,Kinh_te!$D$11&lt;&gt;1),ROUND($D$14*Kinh_te!$D$11,0),$D$14),"")</f>
        <v/>
      </c>
      <c r="N14" t="n">
        <v>21</v>
      </c>
      <c r="O14">
        <f>IF(ISNUMBER($F$14),IF(AND(ISNUMBER(FIND(";"&amp;Che_do!$B$5&amp;";",";"&amp;Kinh_te!$E$10&amp;";")),$F$14&gt;0,Kinh_te!$D$11&lt;&gt;1),ROUND($F$14*Kinh_te!$D$11,0),$F$14),"")</f>
        <v/>
      </c>
      <c r="P14" t="n">
        <v>21</v>
      </c>
      <c r="Q14">
        <f>($E$14+$J$14)*Kinh_te!$D$9</f>
        <v/>
      </c>
      <c r="R14" t="n">
        <v>1.215</v>
      </c>
      <c r="S14">
        <f>IF(ISNUMBER($G$14),($G$14+$J$14)*Kinh_te!$D$9*$H$14*$I$14,"")</f>
        <v/>
      </c>
      <c r="T14" t="n">
        <v>0.8640000000000001</v>
      </c>
      <c r="U14">
        <f>Che_do_thoi_luong!$Q$5</f>
        <v/>
      </c>
      <c r="V14">
        <f>IF(AND(ISNUMBER($U$14),ISNUMBER($M$14)),$M$14+$Q$14*0.25*$U$14,"")</f>
        <v/>
      </c>
      <c r="W14">
        <f>IF(AND(ISNUMBER($U$14),ISNUMBER($M$14)),$M$14+$Q$14*0.5*$U$14,"")</f>
        <v/>
      </c>
      <c r="X14">
        <f>IF(AND(ISNUMBER($U$14),ISNUMBER($M$14)),$M$14+$Q$14*0.75*$U$14,"")</f>
        <v/>
      </c>
      <c r="Y14">
        <f>IF(AND(ISNUMBER($U$14),ISNUMBER($M$14)),$M$14+$Q$14*1.0*$U$14,"")</f>
        <v/>
      </c>
      <c r="Z14">
        <f>IF(AND(ISNUMBER($U$14),ISNUMBER($O$14)),$O$14+$S$14*0.25*$U$14,"")</f>
        <v/>
      </c>
      <c r="AA14">
        <f>IF(AND(ISNUMBER($U$14),ISNUMBER($O$14)),$O$14+$S$14*0.5*$U$14,"")</f>
        <v/>
      </c>
      <c r="AB14">
        <f>IF(AND(ISNUMBER($U$14),ISNUMBER($O$14)),$O$14+$S$14*0.75*$U$14,"")</f>
        <v/>
      </c>
      <c r="AC14">
        <f>IF(AND(ISNUMBER($U$14),ISNUMBER($O$14)),$O$14+$S$14*1.0*$U$14,"")</f>
        <v/>
      </c>
      <c r="AD14">
        <f>IF(AND(ISNUMBER($AC$14),ISNUMBER($Y$14)),$AC$14/$Y$14,"")</f>
        <v/>
      </c>
      <c r="AE14" t="inlineStr">
        <is>
          <t>C#: Game/Match/ModeSessions.cs:517; Sim/AI/ConquestAi.cs:65</t>
        </is>
      </c>
      <c r="AF14" t="inlineStr"/>
    </row>
    <row r="15">
      <c r="A15" t="inlineStr">
        <is>
          <t>deathmatch/Hard</t>
        </is>
      </c>
      <c r="B15" t="inlineStr">
        <is>
          <t>deathmatch</t>
        </is>
      </c>
      <c r="C15" t="inlineStr">
        <is>
          <t>Hard</t>
        </is>
      </c>
      <c r="D15" t="n">
        <v>18</v>
      </c>
      <c r="E15" t="n">
        <v>1.35</v>
      </c>
      <c r="F15" t="n">
        <v>18</v>
      </c>
      <c r="G15" t="n">
        <v>1.2</v>
      </c>
      <c r="H15" t="n">
        <v>1</v>
      </c>
      <c r="I15" t="n">
        <v>1.2</v>
      </c>
      <c r="J15" t="n">
        <v>0</v>
      </c>
      <c r="K15" t="inlineStr"/>
      <c r="L15" t="inlineStr">
        <is>
          <t>Game/Match/ModeSessions.cs:517; Sim/AI/ConquestAi.cs:68</t>
        </is>
      </c>
      <c r="M15">
        <f>IF(ISNUMBER($D$15),IF(AND(ISNUMBER(FIND(";"&amp;Che_do!$B$5&amp;";",";"&amp;Kinh_te!$E$10&amp;";")),$D$15&gt;0,Kinh_te!$D$11&lt;&gt;1),ROUND($D$15*Kinh_te!$D$11,0),$D$15),"")</f>
        <v/>
      </c>
      <c r="N15" t="n">
        <v>21</v>
      </c>
      <c r="O15">
        <f>IF(ISNUMBER($F$15),IF(AND(ISNUMBER(FIND(";"&amp;Che_do!$B$5&amp;";",";"&amp;Kinh_te!$E$10&amp;";")),$F$15&gt;0,Kinh_te!$D$11&lt;&gt;1),ROUND($F$15*Kinh_te!$D$11,0),$F$15),"")</f>
        <v/>
      </c>
      <c r="P15" t="n">
        <v>21</v>
      </c>
      <c r="Q15">
        <f>($E$15+$J$15)*Kinh_te!$D$9</f>
        <v/>
      </c>
      <c r="R15" t="n">
        <v>1.215</v>
      </c>
      <c r="S15">
        <f>IF(ISNUMBER($G$15),($G$15+$J$15)*Kinh_te!$D$9*$H$15*$I$15,"")</f>
        <v/>
      </c>
      <c r="T15" t="n">
        <v>1.296</v>
      </c>
      <c r="U15">
        <f>Che_do_thoi_luong!$Q$5</f>
        <v/>
      </c>
      <c r="V15">
        <f>IF(AND(ISNUMBER($U$15),ISNUMBER($M$15)),$M$15+$Q$15*0.25*$U$15,"")</f>
        <v/>
      </c>
      <c r="W15">
        <f>IF(AND(ISNUMBER($U$15),ISNUMBER($M$15)),$M$15+$Q$15*0.5*$U$15,"")</f>
        <v/>
      </c>
      <c r="X15">
        <f>IF(AND(ISNUMBER($U$15),ISNUMBER($M$15)),$M$15+$Q$15*0.75*$U$15,"")</f>
        <v/>
      </c>
      <c r="Y15">
        <f>IF(AND(ISNUMBER($U$15),ISNUMBER($M$15)),$M$15+$Q$15*1.0*$U$15,"")</f>
        <v/>
      </c>
      <c r="Z15">
        <f>IF(AND(ISNUMBER($U$15),ISNUMBER($O$15)),$O$15+$S$15*0.25*$U$15,"")</f>
        <v/>
      </c>
      <c r="AA15">
        <f>IF(AND(ISNUMBER($U$15),ISNUMBER($O$15)),$O$15+$S$15*0.5*$U$15,"")</f>
        <v/>
      </c>
      <c r="AB15">
        <f>IF(AND(ISNUMBER($U$15),ISNUMBER($O$15)),$O$15+$S$15*0.75*$U$15,"")</f>
        <v/>
      </c>
      <c r="AC15">
        <f>IF(AND(ISNUMBER($U$15),ISNUMBER($O$15)),$O$15+$S$15*1.0*$U$15,"")</f>
        <v/>
      </c>
      <c r="AD15">
        <f>IF(AND(ISNUMBER($AC$15),ISNUMBER($Y$15)),$AC$15/$Y$15,"")</f>
        <v/>
      </c>
      <c r="AE15" t="inlineStr">
        <is>
          <t>C#: Game/Match/ModeSessions.cs:517; Sim/AI/ConquestAi.cs:68</t>
        </is>
      </c>
      <c r="AF15" t="inlineStr"/>
    </row>
    <row r="16">
      <c r="A16" t="inlineStr">
        <is>
          <t>deathmatch/Normal</t>
        </is>
      </c>
      <c r="B16" t="inlineStr">
        <is>
          <t>deathmatch</t>
        </is>
      </c>
      <c r="C16" t="inlineStr">
        <is>
          <t>Normal</t>
        </is>
      </c>
      <c r="D16" t="n">
        <v>18</v>
      </c>
      <c r="E16" t="n">
        <v>1.35</v>
      </c>
      <c r="F16" t="n">
        <v>18</v>
      </c>
      <c r="G16" t="n">
        <v>1.2</v>
      </c>
      <c r="H16" t="n">
        <v>1</v>
      </c>
      <c r="I16" t="n">
        <v>0.7</v>
      </c>
      <c r="J16" t="n">
        <v>0</v>
      </c>
      <c r="K16" t="inlineStr"/>
      <c r="L16" t="inlineStr">
        <is>
          <t>Game/Match/ModeSessions.cs:517; Sim/AI/ConquestAi.cs:67</t>
        </is>
      </c>
      <c r="M16">
        <f>IF(ISNUMBER($D$16),IF(AND(ISNUMBER(FIND(";"&amp;Che_do!$B$5&amp;";",";"&amp;Kinh_te!$E$10&amp;";")),$D$16&gt;0,Kinh_te!$D$11&lt;&gt;1),ROUND($D$16*Kinh_te!$D$11,0),$D$16),"")</f>
        <v/>
      </c>
      <c r="N16" t="n">
        <v>21</v>
      </c>
      <c r="O16">
        <f>IF(ISNUMBER($F$16),IF(AND(ISNUMBER(FIND(";"&amp;Che_do!$B$5&amp;";",";"&amp;Kinh_te!$E$10&amp;";")),$F$16&gt;0,Kinh_te!$D$11&lt;&gt;1),ROUND($F$16*Kinh_te!$D$11,0),$F$16),"")</f>
        <v/>
      </c>
      <c r="P16" t="n">
        <v>21</v>
      </c>
      <c r="Q16">
        <f>($E$16+$J$16)*Kinh_te!$D$9</f>
        <v/>
      </c>
      <c r="R16" t="n">
        <v>1.215</v>
      </c>
      <c r="S16">
        <f>IF(ISNUMBER($G$16),($G$16+$J$16)*Kinh_te!$D$9*$H$16*$I$16,"")</f>
        <v/>
      </c>
      <c r="T16" t="n">
        <v>0.756</v>
      </c>
      <c r="U16">
        <f>Che_do_thoi_luong!$Q$5</f>
        <v/>
      </c>
      <c r="V16">
        <f>IF(AND(ISNUMBER($U$16),ISNUMBER($M$16)),$M$16+$Q$16*0.25*$U$16,"")</f>
        <v/>
      </c>
      <c r="W16">
        <f>IF(AND(ISNUMBER($U$16),ISNUMBER($M$16)),$M$16+$Q$16*0.5*$U$16,"")</f>
        <v/>
      </c>
      <c r="X16">
        <f>IF(AND(ISNUMBER($U$16),ISNUMBER($M$16)),$M$16+$Q$16*0.75*$U$16,"")</f>
        <v/>
      </c>
      <c r="Y16">
        <f>IF(AND(ISNUMBER($U$16),ISNUMBER($M$16)),$M$16+$Q$16*1.0*$U$16,"")</f>
        <v/>
      </c>
      <c r="Z16">
        <f>IF(AND(ISNUMBER($U$16),ISNUMBER($O$16)),$O$16+$S$16*0.25*$U$16,"")</f>
        <v/>
      </c>
      <c r="AA16">
        <f>IF(AND(ISNUMBER($U$16),ISNUMBER($O$16)),$O$16+$S$16*0.5*$U$16,"")</f>
        <v/>
      </c>
      <c r="AB16">
        <f>IF(AND(ISNUMBER($U$16),ISNUMBER($O$16)),$O$16+$S$16*0.75*$U$16,"")</f>
        <v/>
      </c>
      <c r="AC16">
        <f>IF(AND(ISNUMBER($U$16),ISNUMBER($O$16)),$O$16+$S$16*1.0*$U$16,"")</f>
        <v/>
      </c>
      <c r="AD16">
        <f>IF(AND(ISNUMBER($AC$16),ISNUMBER($Y$16)),$AC$16/$Y$16,"")</f>
        <v/>
      </c>
      <c r="AE16" t="inlineStr">
        <is>
          <t>C#: Game/Match/ModeSessions.cs:517; Sim/AI/ConquestAi.cs:67</t>
        </is>
      </c>
      <c r="AF16" t="inlineStr"/>
    </row>
    <row r="17">
      <c r="A17" t="inlineStr">
        <is>
          <t>deathmatch/VeryHard</t>
        </is>
      </c>
      <c r="B17" t="inlineStr">
        <is>
          <t>deathmatch</t>
        </is>
      </c>
      <c r="C17" t="inlineStr">
        <is>
          <t>VeryHard</t>
        </is>
      </c>
      <c r="D17" t="n">
        <v>18</v>
      </c>
      <c r="E17" t="n">
        <v>1.35</v>
      </c>
      <c r="F17" t="n">
        <v>18</v>
      </c>
      <c r="G17" t="n">
        <v>1.2</v>
      </c>
      <c r="H17" t="n">
        <v>1</v>
      </c>
      <c r="I17" t="n">
        <v>1.4</v>
      </c>
      <c r="J17" t="n">
        <v>0</v>
      </c>
      <c r="K17" t="inlineStr"/>
      <c r="L17" t="inlineStr">
        <is>
          <t>Game/Match/ModeSessions.cs:517; Sim/AI/ConquestAi.cs:69</t>
        </is>
      </c>
      <c r="M17">
        <f>IF(ISNUMBER($D$17),IF(AND(ISNUMBER(FIND(";"&amp;Che_do!$B$5&amp;";",";"&amp;Kinh_te!$E$10&amp;";")),$D$17&gt;0,Kinh_te!$D$11&lt;&gt;1),ROUND($D$17*Kinh_te!$D$11,0),$D$17),"")</f>
        <v/>
      </c>
      <c r="N17" t="n">
        <v>21</v>
      </c>
      <c r="O17">
        <f>IF(ISNUMBER($F$17),IF(AND(ISNUMBER(FIND(";"&amp;Che_do!$B$5&amp;";",";"&amp;Kinh_te!$E$10&amp;";")),$F$17&gt;0,Kinh_te!$D$11&lt;&gt;1),ROUND($F$17*Kinh_te!$D$11,0),$F$17),"")</f>
        <v/>
      </c>
      <c r="P17" t="n">
        <v>21</v>
      </c>
      <c r="Q17">
        <f>($E$17+$J$17)*Kinh_te!$D$9</f>
        <v/>
      </c>
      <c r="R17" t="n">
        <v>1.215</v>
      </c>
      <c r="S17">
        <f>IF(ISNUMBER($G$17),($G$17+$J$17)*Kinh_te!$D$9*$H$17*$I$17,"")</f>
        <v/>
      </c>
      <c r="T17" t="n">
        <v>1.512</v>
      </c>
      <c r="U17">
        <f>Che_do_thoi_luong!$Q$5</f>
        <v/>
      </c>
      <c r="V17">
        <f>IF(AND(ISNUMBER($U$17),ISNUMBER($M$17)),$M$17+$Q$17*0.25*$U$17,"")</f>
        <v/>
      </c>
      <c r="W17">
        <f>IF(AND(ISNUMBER($U$17),ISNUMBER($M$17)),$M$17+$Q$17*0.5*$U$17,"")</f>
        <v/>
      </c>
      <c r="X17">
        <f>IF(AND(ISNUMBER($U$17),ISNUMBER($M$17)),$M$17+$Q$17*0.75*$U$17,"")</f>
        <v/>
      </c>
      <c r="Y17">
        <f>IF(AND(ISNUMBER($U$17),ISNUMBER($M$17)),$M$17+$Q$17*1.0*$U$17,"")</f>
        <v/>
      </c>
      <c r="Z17">
        <f>IF(AND(ISNUMBER($U$17),ISNUMBER($O$17)),$O$17+$S$17*0.25*$U$17,"")</f>
        <v/>
      </c>
      <c r="AA17">
        <f>IF(AND(ISNUMBER($U$17),ISNUMBER($O$17)),$O$17+$S$17*0.5*$U$17,"")</f>
        <v/>
      </c>
      <c r="AB17">
        <f>IF(AND(ISNUMBER($U$17),ISNUMBER($O$17)),$O$17+$S$17*0.75*$U$17,"")</f>
        <v/>
      </c>
      <c r="AC17">
        <f>IF(AND(ISNUMBER($U$17),ISNUMBER($O$17)),$O$17+$S$17*1.0*$U$17,"")</f>
        <v/>
      </c>
      <c r="AD17">
        <f>IF(AND(ISNUMBER($AC$17),ISNUMBER($Y$17)),$AC$17/$Y$17,"")</f>
        <v/>
      </c>
      <c r="AE17" t="inlineStr">
        <is>
          <t>C#: Game/Match/ModeSessions.cs:517; Sim/AI/ConquestAi.cs:69</t>
        </is>
      </c>
      <c r="AF17" t="inlineStr"/>
    </row>
    <row r="18">
      <c r="A18" t="inlineStr">
        <is>
          <t>defend/Easy</t>
        </is>
      </c>
      <c r="B18" t="inlineStr">
        <is>
          <t>defend</t>
        </is>
      </c>
      <c r="C18" t="inlineStr">
        <is>
          <t>Easy</t>
        </is>
      </c>
      <c r="D18" t="n">
        <v>30</v>
      </c>
      <c r="E18" t="n">
        <v>1.35</v>
      </c>
      <c r="F18" t="n">
        <v>22</v>
      </c>
      <c r="G18" t="n">
        <v>1.1</v>
      </c>
      <c r="H18" t="n">
        <v>1</v>
      </c>
      <c r="I18" t="n">
        <v>0.8</v>
      </c>
      <c r="J18" t="n">
        <v>0</v>
      </c>
      <c r="K18" t="inlineStr"/>
      <c r="L18" t="inlineStr">
        <is>
          <t>Game/Match/ModeSessions.cs:682; Game/Match/ModeSessions.cs:685; Sim/AI/ConquestAi.cs:65</t>
        </is>
      </c>
      <c r="M18">
        <f>IF(ISNUMBER($D$18),IF(AND(ISNUMBER(FIND(";"&amp;Che_do!$B$6&amp;";",";"&amp;Kinh_te!$E$10&amp;";")),$D$18&gt;0,Kinh_te!$D$11&lt;&gt;1),ROUND($D$18*Kinh_te!$D$11,0),$D$18),"")</f>
        <v/>
      </c>
      <c r="N18" t="n">
        <v>35</v>
      </c>
      <c r="O18">
        <f>IF(ISNUMBER($F$18),IF(AND(ISNUMBER(FIND(";"&amp;Che_do!$B$6&amp;";",";"&amp;Kinh_te!$E$10&amp;";")),$F$18&gt;0,Kinh_te!$D$11&lt;&gt;1),ROUND($F$18*Kinh_te!$D$11,0),$F$18),"")</f>
        <v/>
      </c>
      <c r="P18" t="n">
        <v>26</v>
      </c>
      <c r="Q18">
        <f>($E$18+$J$18)*Kinh_te!$D$9</f>
        <v/>
      </c>
      <c r="R18" t="n">
        <v>1.215</v>
      </c>
      <c r="S18">
        <f>IF(ISNUMBER($G$18),($G$18+$J$18)*Kinh_te!$D$9*$H$18*$I$18,"")</f>
        <v/>
      </c>
      <c r="T18" t="n">
        <v>0.7920000000000001</v>
      </c>
      <c r="U18">
        <f>Che_do_thoi_luong!$Q$6</f>
        <v/>
      </c>
      <c r="V18">
        <f>IF(AND(ISNUMBER($U$18),ISNUMBER($M$18)),$M$18+$Q$18*0.25*$U$18,"")</f>
        <v/>
      </c>
      <c r="W18">
        <f>IF(AND(ISNUMBER($U$18),ISNUMBER($M$18)),$M$18+$Q$18*0.5*$U$18,"")</f>
        <v/>
      </c>
      <c r="X18">
        <f>IF(AND(ISNUMBER($U$18),ISNUMBER($M$18)),$M$18+$Q$18*0.75*$U$18,"")</f>
        <v/>
      </c>
      <c r="Y18">
        <f>IF(AND(ISNUMBER($U$18),ISNUMBER($M$18)),$M$18+$Q$18*1.0*$U$18,"")</f>
        <v/>
      </c>
      <c r="Z18">
        <f>IF(AND(ISNUMBER($U$18),ISNUMBER($O$18)),$O$18+$S$18*0.25*$U$18,"")</f>
        <v/>
      </c>
      <c r="AA18">
        <f>IF(AND(ISNUMBER($U$18),ISNUMBER($O$18)),$O$18+$S$18*0.5*$U$18,"")</f>
        <v/>
      </c>
      <c r="AB18">
        <f>IF(AND(ISNUMBER($U$18),ISNUMBER($O$18)),$O$18+$S$18*0.75*$U$18,"")</f>
        <v/>
      </c>
      <c r="AC18">
        <f>IF(AND(ISNUMBER($U$18),ISNUMBER($O$18)),$O$18+$S$18*1.0*$U$18,"")</f>
        <v/>
      </c>
      <c r="AD18">
        <f>IF(AND(ISNUMBER($AC$18),ISNUMBER($Y$18)),$AC$18/$Y$18,"")</f>
        <v/>
      </c>
      <c r="AE18" t="inlineStr">
        <is>
          <t>C#: Game/Match/ModeSessions.cs:682; Game/Match/ModeSessions.cs:685; Sim/AI/ConquestAi.cs:65</t>
        </is>
      </c>
      <c r="AF18" t="inlineStr"/>
    </row>
    <row r="19">
      <c r="A19" t="inlineStr">
        <is>
          <t>defend/Hard</t>
        </is>
      </c>
      <c r="B19" t="inlineStr">
        <is>
          <t>defend</t>
        </is>
      </c>
      <c r="C19" t="inlineStr">
        <is>
          <t>Hard</t>
        </is>
      </c>
      <c r="D19" t="n">
        <v>30</v>
      </c>
      <c r="E19" t="n">
        <v>1.35</v>
      </c>
      <c r="F19" t="n">
        <v>22</v>
      </c>
      <c r="G19" t="n">
        <v>1.1</v>
      </c>
      <c r="H19" t="n">
        <v>1</v>
      </c>
      <c r="I19" t="n">
        <v>1.2</v>
      </c>
      <c r="J19" t="n">
        <v>0</v>
      </c>
      <c r="K19" t="inlineStr"/>
      <c r="L19" t="inlineStr">
        <is>
          <t>Game/Match/ModeSessions.cs:682; Game/Match/ModeSessions.cs:685; Sim/AI/ConquestAi.cs:68</t>
        </is>
      </c>
      <c r="M19">
        <f>IF(ISNUMBER($D$19),IF(AND(ISNUMBER(FIND(";"&amp;Che_do!$B$6&amp;";",";"&amp;Kinh_te!$E$10&amp;";")),$D$19&gt;0,Kinh_te!$D$11&lt;&gt;1),ROUND($D$19*Kinh_te!$D$11,0),$D$19),"")</f>
        <v/>
      </c>
      <c r="N19" t="n">
        <v>35</v>
      </c>
      <c r="O19">
        <f>IF(ISNUMBER($F$19),IF(AND(ISNUMBER(FIND(";"&amp;Che_do!$B$6&amp;";",";"&amp;Kinh_te!$E$10&amp;";")),$F$19&gt;0,Kinh_te!$D$11&lt;&gt;1),ROUND($F$19*Kinh_te!$D$11,0),$F$19),"")</f>
        <v/>
      </c>
      <c r="P19" t="n">
        <v>26</v>
      </c>
      <c r="Q19">
        <f>($E$19+$J$19)*Kinh_te!$D$9</f>
        <v/>
      </c>
      <c r="R19" t="n">
        <v>1.215</v>
      </c>
      <c r="S19">
        <f>IF(ISNUMBER($G$19),($G$19+$J$19)*Kinh_te!$D$9*$H$19*$I$19,"")</f>
        <v/>
      </c>
      <c r="T19" t="n">
        <v>1.188</v>
      </c>
      <c r="U19">
        <f>Che_do_thoi_luong!$Q$6</f>
        <v/>
      </c>
      <c r="V19">
        <f>IF(AND(ISNUMBER($U$19),ISNUMBER($M$19)),$M$19+$Q$19*0.25*$U$19,"")</f>
        <v/>
      </c>
      <c r="W19">
        <f>IF(AND(ISNUMBER($U$19),ISNUMBER($M$19)),$M$19+$Q$19*0.5*$U$19,"")</f>
        <v/>
      </c>
      <c r="X19">
        <f>IF(AND(ISNUMBER($U$19),ISNUMBER($M$19)),$M$19+$Q$19*0.75*$U$19,"")</f>
        <v/>
      </c>
      <c r="Y19">
        <f>IF(AND(ISNUMBER($U$19),ISNUMBER($M$19)),$M$19+$Q$19*1.0*$U$19,"")</f>
        <v/>
      </c>
      <c r="Z19">
        <f>IF(AND(ISNUMBER($U$19),ISNUMBER($O$19)),$O$19+$S$19*0.25*$U$19,"")</f>
        <v/>
      </c>
      <c r="AA19">
        <f>IF(AND(ISNUMBER($U$19),ISNUMBER($O$19)),$O$19+$S$19*0.5*$U$19,"")</f>
        <v/>
      </c>
      <c r="AB19">
        <f>IF(AND(ISNUMBER($U$19),ISNUMBER($O$19)),$O$19+$S$19*0.75*$U$19,"")</f>
        <v/>
      </c>
      <c r="AC19">
        <f>IF(AND(ISNUMBER($U$19),ISNUMBER($O$19)),$O$19+$S$19*1.0*$U$19,"")</f>
        <v/>
      </c>
      <c r="AD19">
        <f>IF(AND(ISNUMBER($AC$19),ISNUMBER($Y$19)),$AC$19/$Y$19,"")</f>
        <v/>
      </c>
      <c r="AE19" t="inlineStr">
        <is>
          <t>C#: Game/Match/ModeSessions.cs:682; Game/Match/ModeSessions.cs:685; Sim/AI/ConquestAi.cs:68</t>
        </is>
      </c>
      <c r="AF19" t="inlineStr"/>
    </row>
    <row r="20">
      <c r="A20" t="inlineStr">
        <is>
          <t>defend/Normal</t>
        </is>
      </c>
      <c r="B20" t="inlineStr">
        <is>
          <t>defend</t>
        </is>
      </c>
      <c r="C20" t="inlineStr">
        <is>
          <t>Normal</t>
        </is>
      </c>
      <c r="D20" t="n">
        <v>30</v>
      </c>
      <c r="E20" t="n">
        <v>1.35</v>
      </c>
      <c r="F20" t="n">
        <v>22</v>
      </c>
      <c r="G20" t="n">
        <v>1.1</v>
      </c>
      <c r="H20" t="n">
        <v>1</v>
      </c>
      <c r="I20" t="n">
        <v>0.7</v>
      </c>
      <c r="J20" t="n">
        <v>0</v>
      </c>
      <c r="K20" t="inlineStr"/>
      <c r="L20" t="inlineStr">
        <is>
          <t>Game/Match/ModeSessions.cs:682; Game/Match/ModeSessions.cs:685; Sim/AI/ConquestAi.cs:67</t>
        </is>
      </c>
      <c r="M20">
        <f>IF(ISNUMBER($D$20),IF(AND(ISNUMBER(FIND(";"&amp;Che_do!$B$6&amp;";",";"&amp;Kinh_te!$E$10&amp;";")),$D$20&gt;0,Kinh_te!$D$11&lt;&gt;1),ROUND($D$20*Kinh_te!$D$11,0),$D$20),"")</f>
        <v/>
      </c>
      <c r="N20" t="n">
        <v>35</v>
      </c>
      <c r="O20">
        <f>IF(ISNUMBER($F$20),IF(AND(ISNUMBER(FIND(";"&amp;Che_do!$B$6&amp;";",";"&amp;Kinh_te!$E$10&amp;";")),$F$20&gt;0,Kinh_te!$D$11&lt;&gt;1),ROUND($F$20*Kinh_te!$D$11,0),$F$20),"")</f>
        <v/>
      </c>
      <c r="P20" t="n">
        <v>26</v>
      </c>
      <c r="Q20">
        <f>($E$20+$J$20)*Kinh_te!$D$9</f>
        <v/>
      </c>
      <c r="R20" t="n">
        <v>1.215</v>
      </c>
      <c r="S20">
        <f>IF(ISNUMBER($G$20),($G$20+$J$20)*Kinh_te!$D$9*$H$20*$I$20,"")</f>
        <v/>
      </c>
      <c r="T20" t="n">
        <v>0.6930000000000001</v>
      </c>
      <c r="U20">
        <f>Che_do_thoi_luong!$Q$6</f>
        <v/>
      </c>
      <c r="V20">
        <f>IF(AND(ISNUMBER($U$20),ISNUMBER($M$20)),$M$20+$Q$20*0.25*$U$20,"")</f>
        <v/>
      </c>
      <c r="W20">
        <f>IF(AND(ISNUMBER($U$20),ISNUMBER($M$20)),$M$20+$Q$20*0.5*$U$20,"")</f>
        <v/>
      </c>
      <c r="X20">
        <f>IF(AND(ISNUMBER($U$20),ISNUMBER($M$20)),$M$20+$Q$20*0.75*$U$20,"")</f>
        <v/>
      </c>
      <c r="Y20">
        <f>IF(AND(ISNUMBER($U$20),ISNUMBER($M$20)),$M$20+$Q$20*1.0*$U$20,"")</f>
        <v/>
      </c>
      <c r="Z20">
        <f>IF(AND(ISNUMBER($U$20),ISNUMBER($O$20)),$O$20+$S$20*0.25*$U$20,"")</f>
        <v/>
      </c>
      <c r="AA20">
        <f>IF(AND(ISNUMBER($U$20),ISNUMBER($O$20)),$O$20+$S$20*0.5*$U$20,"")</f>
        <v/>
      </c>
      <c r="AB20">
        <f>IF(AND(ISNUMBER($U$20),ISNUMBER($O$20)),$O$20+$S$20*0.75*$U$20,"")</f>
        <v/>
      </c>
      <c r="AC20">
        <f>IF(AND(ISNUMBER($U$20),ISNUMBER($O$20)),$O$20+$S$20*1.0*$U$20,"")</f>
        <v/>
      </c>
      <c r="AD20">
        <f>IF(AND(ISNUMBER($AC$20),ISNUMBER($Y$20)),$AC$20/$Y$20,"")</f>
        <v/>
      </c>
      <c r="AE20" t="inlineStr">
        <is>
          <t>C#: Game/Match/ModeSessions.cs:682; Game/Match/ModeSessions.cs:685; Sim/AI/ConquestAi.cs:67</t>
        </is>
      </c>
      <c r="AF20" t="inlineStr"/>
    </row>
    <row r="21">
      <c r="A21" t="inlineStr">
        <is>
          <t>defend/VeryHard</t>
        </is>
      </c>
      <c r="B21" t="inlineStr">
        <is>
          <t>defend</t>
        </is>
      </c>
      <c r="C21" t="inlineStr">
        <is>
          <t>VeryHard</t>
        </is>
      </c>
      <c r="D21" t="n">
        <v>30</v>
      </c>
      <c r="E21" t="n">
        <v>1.35</v>
      </c>
      <c r="F21" t="n">
        <v>22</v>
      </c>
      <c r="G21" t="n">
        <v>1.1</v>
      </c>
      <c r="H21" t="n">
        <v>1</v>
      </c>
      <c r="I21" t="n">
        <v>1.4</v>
      </c>
      <c r="J21" t="n">
        <v>0</v>
      </c>
      <c r="K21" t="inlineStr"/>
      <c r="L21" t="inlineStr">
        <is>
          <t>Game/Match/ModeSessions.cs:682; Game/Match/ModeSessions.cs:685; Sim/AI/ConquestAi.cs:69</t>
        </is>
      </c>
      <c r="M21">
        <f>IF(ISNUMBER($D$21),IF(AND(ISNUMBER(FIND(";"&amp;Che_do!$B$6&amp;";",";"&amp;Kinh_te!$E$10&amp;";")),$D$21&gt;0,Kinh_te!$D$11&lt;&gt;1),ROUND($D$21*Kinh_te!$D$11,0),$D$21),"")</f>
        <v/>
      </c>
      <c r="N21" t="n">
        <v>35</v>
      </c>
      <c r="O21">
        <f>IF(ISNUMBER($F$21),IF(AND(ISNUMBER(FIND(";"&amp;Che_do!$B$6&amp;";",";"&amp;Kinh_te!$E$10&amp;";")),$F$21&gt;0,Kinh_te!$D$11&lt;&gt;1),ROUND($F$21*Kinh_te!$D$11,0),$F$21),"")</f>
        <v/>
      </c>
      <c r="P21" t="n">
        <v>26</v>
      </c>
      <c r="Q21">
        <f>($E$21+$J$21)*Kinh_te!$D$9</f>
        <v/>
      </c>
      <c r="R21" t="n">
        <v>1.215</v>
      </c>
      <c r="S21">
        <f>IF(ISNUMBER($G$21),($G$21+$J$21)*Kinh_te!$D$9*$H$21*$I$21,"")</f>
        <v/>
      </c>
      <c r="T21" t="n">
        <v>1.386</v>
      </c>
      <c r="U21">
        <f>Che_do_thoi_luong!$Q$6</f>
        <v/>
      </c>
      <c r="V21">
        <f>IF(AND(ISNUMBER($U$21),ISNUMBER($M$21)),$M$21+$Q$21*0.25*$U$21,"")</f>
        <v/>
      </c>
      <c r="W21">
        <f>IF(AND(ISNUMBER($U$21),ISNUMBER($M$21)),$M$21+$Q$21*0.5*$U$21,"")</f>
        <v/>
      </c>
      <c r="X21">
        <f>IF(AND(ISNUMBER($U$21),ISNUMBER($M$21)),$M$21+$Q$21*0.75*$U$21,"")</f>
        <v/>
      </c>
      <c r="Y21">
        <f>IF(AND(ISNUMBER($U$21),ISNUMBER($M$21)),$M$21+$Q$21*1.0*$U$21,"")</f>
        <v/>
      </c>
      <c r="Z21">
        <f>IF(AND(ISNUMBER($U$21),ISNUMBER($O$21)),$O$21+$S$21*0.25*$U$21,"")</f>
        <v/>
      </c>
      <c r="AA21">
        <f>IF(AND(ISNUMBER($U$21),ISNUMBER($O$21)),$O$21+$S$21*0.5*$U$21,"")</f>
        <v/>
      </c>
      <c r="AB21">
        <f>IF(AND(ISNUMBER($U$21),ISNUMBER($O$21)),$O$21+$S$21*0.75*$U$21,"")</f>
        <v/>
      </c>
      <c r="AC21">
        <f>IF(AND(ISNUMBER($U$21),ISNUMBER($O$21)),$O$21+$S$21*1.0*$U$21,"")</f>
        <v/>
      </c>
      <c r="AD21">
        <f>IF(AND(ISNUMBER($AC$21),ISNUMBER($Y$21)),$AC$21/$Y$21,"")</f>
        <v/>
      </c>
      <c r="AE21" t="inlineStr">
        <is>
          <t>C#: Game/Match/ModeSessions.cs:682; Game/Match/ModeSessions.cs:685; Sim/AI/ConquestAi.cs:69</t>
        </is>
      </c>
      <c r="AF21" t="inlineStr"/>
    </row>
    <row r="22">
      <c r="A22" t="inlineStr">
        <is>
          <t>endless/Easy</t>
        </is>
      </c>
      <c r="B22" t="inlineStr">
        <is>
          <t>endless</t>
        </is>
      </c>
      <c r="C22" t="inlineStr">
        <is>
          <t>Easy</t>
        </is>
      </c>
      <c r="D22" t="n">
        <v>30</v>
      </c>
      <c r="E22" t="n">
        <v>1.35</v>
      </c>
      <c r="F22" t="n">
        <v>22</v>
      </c>
      <c r="G22" t="n">
        <v>1.1</v>
      </c>
      <c r="H22" t="n">
        <v>1</v>
      </c>
      <c r="I22" t="n">
        <v>0.8</v>
      </c>
      <c r="J22" t="n">
        <v>0</v>
      </c>
      <c r="K22" t="inlineStr"/>
      <c r="L22" t="inlineStr">
        <is>
          <t>Game/Match/ModeSessions.cs:682; Game/Match/ModeSessions.cs:685; Sim/AI/ConquestAi.cs:65</t>
        </is>
      </c>
      <c r="M22">
        <f>IF(ISNUMBER($D$22),IF(AND(ISNUMBER(FIND(";"&amp;Che_do!$B$7&amp;";",";"&amp;Kinh_te!$E$10&amp;";")),$D$22&gt;0,Kinh_te!$D$11&lt;&gt;1),ROUND($D$22*Kinh_te!$D$11,0),$D$22),"")</f>
        <v/>
      </c>
      <c r="N22" t="n">
        <v>35</v>
      </c>
      <c r="O22">
        <f>IF(ISNUMBER($F$22),IF(AND(ISNUMBER(FIND(";"&amp;Che_do!$B$7&amp;";",";"&amp;Kinh_te!$E$10&amp;";")),$F$22&gt;0,Kinh_te!$D$11&lt;&gt;1),ROUND($F$22*Kinh_te!$D$11,0),$F$22),"")</f>
        <v/>
      </c>
      <c r="P22" t="n">
        <v>26</v>
      </c>
      <c r="Q22">
        <f>($E$22+$J$22)*Kinh_te!$D$9</f>
        <v/>
      </c>
      <c r="R22" t="n">
        <v>1.215</v>
      </c>
      <c r="S22">
        <f>IF(ISNUMBER($G$22),($G$22+$J$22)*Kinh_te!$D$9*$H$22*$I$22,"")</f>
        <v/>
      </c>
      <c r="T22" t="n">
        <v>0.7920000000000001</v>
      </c>
      <c r="U22">
        <f>Che_do_thoi_luong!$Q$7</f>
        <v/>
      </c>
      <c r="V22">
        <f>IF(AND(ISNUMBER($U$22),ISNUMBER($M$22)),$M$22+$Q$22*0.25*$U$22,"")</f>
        <v/>
      </c>
      <c r="W22">
        <f>IF(AND(ISNUMBER($U$22),ISNUMBER($M$22)),$M$22+$Q$22*0.5*$U$22,"")</f>
        <v/>
      </c>
      <c r="X22">
        <f>IF(AND(ISNUMBER($U$22),ISNUMBER($M$22)),$M$22+$Q$22*0.75*$U$22,"")</f>
        <v/>
      </c>
      <c r="Y22">
        <f>IF(AND(ISNUMBER($U$22),ISNUMBER($M$22)),$M$22+$Q$22*1.0*$U$22,"")</f>
        <v/>
      </c>
      <c r="Z22">
        <f>IF(AND(ISNUMBER($U$22),ISNUMBER($O$22)),$O$22+$S$22*0.25*$U$22,"")</f>
        <v/>
      </c>
      <c r="AA22">
        <f>IF(AND(ISNUMBER($U$22),ISNUMBER($O$22)),$O$22+$S$22*0.5*$U$22,"")</f>
        <v/>
      </c>
      <c r="AB22">
        <f>IF(AND(ISNUMBER($U$22),ISNUMBER($O$22)),$O$22+$S$22*0.75*$U$22,"")</f>
        <v/>
      </c>
      <c r="AC22">
        <f>IF(AND(ISNUMBER($U$22),ISNUMBER($O$22)),$O$22+$S$22*1.0*$U$22,"")</f>
        <v/>
      </c>
      <c r="AD22">
        <f>IF(AND(ISNUMBER($AC$22),ISNUMBER($Y$22)),$AC$22/$Y$22,"")</f>
        <v/>
      </c>
      <c r="AE22" t="inlineStr">
        <is>
          <t>C#: Game/Match/ModeSessions.cs:682; Game/Match/ModeSessions.cs:685; Sim/AI/ConquestAi.cs:65</t>
        </is>
      </c>
      <c r="AF22" t="inlineStr"/>
    </row>
    <row r="23">
      <c r="A23" t="inlineStr">
        <is>
          <t>endless/Hard</t>
        </is>
      </c>
      <c r="B23" t="inlineStr">
        <is>
          <t>endless</t>
        </is>
      </c>
      <c r="C23" t="inlineStr">
        <is>
          <t>Hard</t>
        </is>
      </c>
      <c r="D23" t="n">
        <v>30</v>
      </c>
      <c r="E23" t="n">
        <v>1.35</v>
      </c>
      <c r="F23" t="n">
        <v>22</v>
      </c>
      <c r="G23" t="n">
        <v>1.1</v>
      </c>
      <c r="H23" t="n">
        <v>1</v>
      </c>
      <c r="I23" t="n">
        <v>1.2</v>
      </c>
      <c r="J23" t="n">
        <v>0</v>
      </c>
      <c r="K23" t="inlineStr"/>
      <c r="L23" t="inlineStr">
        <is>
          <t>Game/Match/ModeSessions.cs:682; Game/Match/ModeSessions.cs:685; Sim/AI/ConquestAi.cs:68</t>
        </is>
      </c>
      <c r="M23">
        <f>IF(ISNUMBER($D$23),IF(AND(ISNUMBER(FIND(";"&amp;Che_do!$B$7&amp;";",";"&amp;Kinh_te!$E$10&amp;";")),$D$23&gt;0,Kinh_te!$D$11&lt;&gt;1),ROUND($D$23*Kinh_te!$D$11,0),$D$23),"")</f>
        <v/>
      </c>
      <c r="N23" t="n">
        <v>35</v>
      </c>
      <c r="O23">
        <f>IF(ISNUMBER($F$23),IF(AND(ISNUMBER(FIND(";"&amp;Che_do!$B$7&amp;";",";"&amp;Kinh_te!$E$10&amp;";")),$F$23&gt;0,Kinh_te!$D$11&lt;&gt;1),ROUND($F$23*Kinh_te!$D$11,0),$F$23),"")</f>
        <v/>
      </c>
      <c r="P23" t="n">
        <v>26</v>
      </c>
      <c r="Q23">
        <f>($E$23+$J$23)*Kinh_te!$D$9</f>
        <v/>
      </c>
      <c r="R23" t="n">
        <v>1.215</v>
      </c>
      <c r="S23">
        <f>IF(ISNUMBER($G$23),($G$23+$J$23)*Kinh_te!$D$9*$H$23*$I$23,"")</f>
        <v/>
      </c>
      <c r="T23" t="n">
        <v>1.188</v>
      </c>
      <c r="U23">
        <f>Che_do_thoi_luong!$Q$7</f>
        <v/>
      </c>
      <c r="V23">
        <f>IF(AND(ISNUMBER($U$23),ISNUMBER($M$23)),$M$23+$Q$23*0.25*$U$23,"")</f>
        <v/>
      </c>
      <c r="W23">
        <f>IF(AND(ISNUMBER($U$23),ISNUMBER($M$23)),$M$23+$Q$23*0.5*$U$23,"")</f>
        <v/>
      </c>
      <c r="X23">
        <f>IF(AND(ISNUMBER($U$23),ISNUMBER($M$23)),$M$23+$Q$23*0.75*$U$23,"")</f>
        <v/>
      </c>
      <c r="Y23">
        <f>IF(AND(ISNUMBER($U$23),ISNUMBER($M$23)),$M$23+$Q$23*1.0*$U$23,"")</f>
        <v/>
      </c>
      <c r="Z23">
        <f>IF(AND(ISNUMBER($U$23),ISNUMBER($O$23)),$O$23+$S$23*0.25*$U$23,"")</f>
        <v/>
      </c>
      <c r="AA23">
        <f>IF(AND(ISNUMBER($U$23),ISNUMBER($O$23)),$O$23+$S$23*0.5*$U$23,"")</f>
        <v/>
      </c>
      <c r="AB23">
        <f>IF(AND(ISNUMBER($U$23),ISNUMBER($O$23)),$O$23+$S$23*0.75*$U$23,"")</f>
        <v/>
      </c>
      <c r="AC23">
        <f>IF(AND(ISNUMBER($U$23),ISNUMBER($O$23)),$O$23+$S$23*1.0*$U$23,"")</f>
        <v/>
      </c>
      <c r="AD23">
        <f>IF(AND(ISNUMBER($AC$23),ISNUMBER($Y$23)),$AC$23/$Y$23,"")</f>
        <v/>
      </c>
      <c r="AE23" t="inlineStr">
        <is>
          <t>C#: Game/Match/ModeSessions.cs:682; Game/Match/ModeSessions.cs:685; Sim/AI/ConquestAi.cs:68</t>
        </is>
      </c>
      <c r="AF23" t="inlineStr"/>
    </row>
    <row r="24">
      <c r="A24" t="inlineStr">
        <is>
          <t>endless/Normal</t>
        </is>
      </c>
      <c r="B24" t="inlineStr">
        <is>
          <t>endless</t>
        </is>
      </c>
      <c r="C24" t="inlineStr">
        <is>
          <t>Normal</t>
        </is>
      </c>
      <c r="D24" t="n">
        <v>30</v>
      </c>
      <c r="E24" t="n">
        <v>1.35</v>
      </c>
      <c r="F24" t="n">
        <v>22</v>
      </c>
      <c r="G24" t="n">
        <v>1.1</v>
      </c>
      <c r="H24" t="n">
        <v>1</v>
      </c>
      <c r="I24" t="n">
        <v>0.7</v>
      </c>
      <c r="J24" t="n">
        <v>0</v>
      </c>
      <c r="K24" t="inlineStr"/>
      <c r="L24" t="inlineStr">
        <is>
          <t>Game/Match/ModeSessions.cs:682; Game/Match/ModeSessions.cs:685; Sim/AI/ConquestAi.cs:67</t>
        </is>
      </c>
      <c r="M24">
        <f>IF(ISNUMBER($D$24),IF(AND(ISNUMBER(FIND(";"&amp;Che_do!$B$7&amp;";",";"&amp;Kinh_te!$E$10&amp;";")),$D$24&gt;0,Kinh_te!$D$11&lt;&gt;1),ROUND($D$24*Kinh_te!$D$11,0),$D$24),"")</f>
        <v/>
      </c>
      <c r="N24" t="n">
        <v>35</v>
      </c>
      <c r="O24">
        <f>IF(ISNUMBER($F$24),IF(AND(ISNUMBER(FIND(";"&amp;Che_do!$B$7&amp;";",";"&amp;Kinh_te!$E$10&amp;";")),$F$24&gt;0,Kinh_te!$D$11&lt;&gt;1),ROUND($F$24*Kinh_te!$D$11,0),$F$24),"")</f>
        <v/>
      </c>
      <c r="P24" t="n">
        <v>26</v>
      </c>
      <c r="Q24">
        <f>($E$24+$J$24)*Kinh_te!$D$9</f>
        <v/>
      </c>
      <c r="R24" t="n">
        <v>1.215</v>
      </c>
      <c r="S24">
        <f>IF(ISNUMBER($G$24),($G$24+$J$24)*Kinh_te!$D$9*$H$24*$I$24,"")</f>
        <v/>
      </c>
      <c r="T24" t="n">
        <v>0.6930000000000001</v>
      </c>
      <c r="U24">
        <f>Che_do_thoi_luong!$Q$7</f>
        <v/>
      </c>
      <c r="V24">
        <f>IF(AND(ISNUMBER($U$24),ISNUMBER($M$24)),$M$24+$Q$24*0.25*$U$24,"")</f>
        <v/>
      </c>
      <c r="W24">
        <f>IF(AND(ISNUMBER($U$24),ISNUMBER($M$24)),$M$24+$Q$24*0.5*$U$24,"")</f>
        <v/>
      </c>
      <c r="X24">
        <f>IF(AND(ISNUMBER($U$24),ISNUMBER($M$24)),$M$24+$Q$24*0.75*$U$24,"")</f>
        <v/>
      </c>
      <c r="Y24">
        <f>IF(AND(ISNUMBER($U$24),ISNUMBER($M$24)),$M$24+$Q$24*1.0*$U$24,"")</f>
        <v/>
      </c>
      <c r="Z24">
        <f>IF(AND(ISNUMBER($U$24),ISNUMBER($O$24)),$O$24+$S$24*0.25*$U$24,"")</f>
        <v/>
      </c>
      <c r="AA24">
        <f>IF(AND(ISNUMBER($U$24),ISNUMBER($O$24)),$O$24+$S$24*0.5*$U$24,"")</f>
        <v/>
      </c>
      <c r="AB24">
        <f>IF(AND(ISNUMBER($U$24),ISNUMBER($O$24)),$O$24+$S$24*0.75*$U$24,"")</f>
        <v/>
      </c>
      <c r="AC24">
        <f>IF(AND(ISNUMBER($U$24),ISNUMBER($O$24)),$O$24+$S$24*1.0*$U$24,"")</f>
        <v/>
      </c>
      <c r="AD24">
        <f>IF(AND(ISNUMBER($AC$24),ISNUMBER($Y$24)),$AC$24/$Y$24,"")</f>
        <v/>
      </c>
      <c r="AE24" t="inlineStr">
        <is>
          <t>C#: Game/Match/ModeSessions.cs:682; Game/Match/ModeSessions.cs:685; Sim/AI/ConquestAi.cs:67</t>
        </is>
      </c>
      <c r="AF24" t="inlineStr"/>
    </row>
    <row r="25">
      <c r="A25" t="inlineStr">
        <is>
          <t>endless/VeryHard</t>
        </is>
      </c>
      <c r="B25" t="inlineStr">
        <is>
          <t>endless</t>
        </is>
      </c>
      <c r="C25" t="inlineStr">
        <is>
          <t>VeryHard</t>
        </is>
      </c>
      <c r="D25" t="n">
        <v>30</v>
      </c>
      <c r="E25" t="n">
        <v>1.35</v>
      </c>
      <c r="F25" t="n">
        <v>22</v>
      </c>
      <c r="G25" t="n">
        <v>1.1</v>
      </c>
      <c r="H25" t="n">
        <v>1</v>
      </c>
      <c r="I25" t="n">
        <v>1.4</v>
      </c>
      <c r="J25" t="n">
        <v>0</v>
      </c>
      <c r="K25" t="inlineStr"/>
      <c r="L25" t="inlineStr">
        <is>
          <t>Game/Match/ModeSessions.cs:682; Game/Match/ModeSessions.cs:685; Sim/AI/ConquestAi.cs:69</t>
        </is>
      </c>
      <c r="M25">
        <f>IF(ISNUMBER($D$25),IF(AND(ISNUMBER(FIND(";"&amp;Che_do!$B$7&amp;";",";"&amp;Kinh_te!$E$10&amp;";")),$D$25&gt;0,Kinh_te!$D$11&lt;&gt;1),ROUND($D$25*Kinh_te!$D$11,0),$D$25),"")</f>
        <v/>
      </c>
      <c r="N25" t="n">
        <v>35</v>
      </c>
      <c r="O25">
        <f>IF(ISNUMBER($F$25),IF(AND(ISNUMBER(FIND(";"&amp;Che_do!$B$7&amp;";",";"&amp;Kinh_te!$E$10&amp;";")),$F$25&gt;0,Kinh_te!$D$11&lt;&gt;1),ROUND($F$25*Kinh_te!$D$11,0),$F$25),"")</f>
        <v/>
      </c>
      <c r="P25" t="n">
        <v>26</v>
      </c>
      <c r="Q25">
        <f>($E$25+$J$25)*Kinh_te!$D$9</f>
        <v/>
      </c>
      <c r="R25" t="n">
        <v>1.215</v>
      </c>
      <c r="S25">
        <f>IF(ISNUMBER($G$25),($G$25+$J$25)*Kinh_te!$D$9*$H$25*$I$25,"")</f>
        <v/>
      </c>
      <c r="T25" t="n">
        <v>1.386</v>
      </c>
      <c r="U25">
        <f>Che_do_thoi_luong!$Q$7</f>
        <v/>
      </c>
      <c r="V25">
        <f>IF(AND(ISNUMBER($U$25),ISNUMBER($M$25)),$M$25+$Q$25*0.25*$U$25,"")</f>
        <v/>
      </c>
      <c r="W25">
        <f>IF(AND(ISNUMBER($U$25),ISNUMBER($M$25)),$M$25+$Q$25*0.5*$U$25,"")</f>
        <v/>
      </c>
      <c r="X25">
        <f>IF(AND(ISNUMBER($U$25),ISNUMBER($M$25)),$M$25+$Q$25*0.75*$U$25,"")</f>
        <v/>
      </c>
      <c r="Y25">
        <f>IF(AND(ISNUMBER($U$25),ISNUMBER($M$25)),$M$25+$Q$25*1.0*$U$25,"")</f>
        <v/>
      </c>
      <c r="Z25">
        <f>IF(AND(ISNUMBER($U$25),ISNUMBER($O$25)),$O$25+$S$25*0.25*$U$25,"")</f>
        <v/>
      </c>
      <c r="AA25">
        <f>IF(AND(ISNUMBER($U$25),ISNUMBER($O$25)),$O$25+$S$25*0.5*$U$25,"")</f>
        <v/>
      </c>
      <c r="AB25">
        <f>IF(AND(ISNUMBER($U$25),ISNUMBER($O$25)),$O$25+$S$25*0.75*$U$25,"")</f>
        <v/>
      </c>
      <c r="AC25">
        <f>IF(AND(ISNUMBER($U$25),ISNUMBER($O$25)),$O$25+$S$25*1.0*$U$25,"")</f>
        <v/>
      </c>
      <c r="AD25">
        <f>IF(AND(ISNUMBER($AC$25),ISNUMBER($Y$25)),$AC$25/$Y$25,"")</f>
        <v/>
      </c>
      <c r="AE25" t="inlineStr">
        <is>
          <t>C#: Game/Match/ModeSessions.cs:682; Game/Match/ModeSessions.cs:685; Sim/AI/ConquestAi.cs:69</t>
        </is>
      </c>
      <c r="AF25" t="inlineStr"/>
    </row>
    <row r="26">
      <c r="A26" t="inlineStr">
        <is>
          <t>hill/Easy</t>
        </is>
      </c>
      <c r="B26" t="inlineStr">
        <is>
          <t>hill</t>
        </is>
      </c>
      <c r="C26" t="inlineStr">
        <is>
          <t>Easy</t>
        </is>
      </c>
      <c r="D26" t="n">
        <v>16</v>
      </c>
      <c r="E26" t="n">
        <v>1.2</v>
      </c>
      <c r="F26" t="n">
        <v>16</v>
      </c>
      <c r="G26" t="n">
        <v>1.1</v>
      </c>
      <c r="H26" t="n">
        <v>1</v>
      </c>
      <c r="I26" t="n">
        <v>0.8</v>
      </c>
      <c r="J26" t="n">
        <v>0.175</v>
      </c>
      <c r="K26" t="inlineStr">
        <is>
          <t>bên giữ đồi +0,35 CP/s, mỗi bên giữ một nửa thời gian</t>
        </is>
      </c>
      <c r="L26" t="inlineStr">
        <is>
          <t>Game/Match/ModeSessions.cs:560; Sim/Modes/QuickModes.cs:251; Sim/AI/ConquestAi.cs:65</t>
        </is>
      </c>
      <c r="M26">
        <f>IF(ISNUMBER($D$26),IF(AND(ISNUMBER(FIND(";"&amp;Che_do!$B$8&amp;";",";"&amp;Kinh_te!$E$10&amp;";")),$D$26&gt;0,Kinh_te!$D$11&lt;&gt;1),ROUND($D$26*Kinh_te!$D$11,0),$D$26),"")</f>
        <v/>
      </c>
      <c r="N26" t="n">
        <v>19</v>
      </c>
      <c r="O26">
        <f>IF(ISNUMBER($F$26),IF(AND(ISNUMBER(FIND(";"&amp;Che_do!$B$8&amp;";",";"&amp;Kinh_te!$E$10&amp;";")),$F$26&gt;0,Kinh_te!$D$11&lt;&gt;1),ROUND($F$26*Kinh_te!$D$11,0),$F$26),"")</f>
        <v/>
      </c>
      <c r="P26" t="n">
        <v>19</v>
      </c>
      <c r="Q26">
        <f>($E$26+$J$26)*Kinh_te!$D$9</f>
        <v/>
      </c>
      <c r="R26" t="n">
        <v>1.2375</v>
      </c>
      <c r="S26">
        <f>IF(ISNUMBER($G$26),($G$26+$J$26)*Kinh_te!$D$9*$H$26*$I$26,"")</f>
        <v/>
      </c>
      <c r="T26" t="n">
        <v>0.9180000000000001</v>
      </c>
      <c r="U26">
        <f>Che_do_thoi_luong!$Q$8</f>
        <v/>
      </c>
      <c r="V26">
        <f>IF(AND(ISNUMBER($U$26),ISNUMBER($M$26)),$M$26+$Q$26*0.25*$U$26,"")</f>
        <v/>
      </c>
      <c r="W26">
        <f>IF(AND(ISNUMBER($U$26),ISNUMBER($M$26)),$M$26+$Q$26*0.5*$U$26,"")</f>
        <v/>
      </c>
      <c r="X26">
        <f>IF(AND(ISNUMBER($U$26),ISNUMBER($M$26)),$M$26+$Q$26*0.75*$U$26,"")</f>
        <v/>
      </c>
      <c r="Y26">
        <f>IF(AND(ISNUMBER($U$26),ISNUMBER($M$26)),$M$26+$Q$26*1.0*$U$26,"")</f>
        <v/>
      </c>
      <c r="Z26">
        <f>IF(AND(ISNUMBER($U$26),ISNUMBER($O$26)),$O$26+$S$26*0.25*$U$26,"")</f>
        <v/>
      </c>
      <c r="AA26">
        <f>IF(AND(ISNUMBER($U$26),ISNUMBER($O$26)),$O$26+$S$26*0.5*$U$26,"")</f>
        <v/>
      </c>
      <c r="AB26">
        <f>IF(AND(ISNUMBER($U$26),ISNUMBER($O$26)),$O$26+$S$26*0.75*$U$26,"")</f>
        <v/>
      </c>
      <c r="AC26">
        <f>IF(AND(ISNUMBER($U$26),ISNUMBER($O$26)),$O$26+$S$26*1.0*$U$26,"")</f>
        <v/>
      </c>
      <c r="AD26">
        <f>IF(AND(ISNUMBER($AC$26),ISNUMBER($Y$26)),$AC$26/$Y$26,"")</f>
        <v/>
      </c>
      <c r="AE26" t="inlineStr">
        <is>
          <t>C#: Game/Match/ModeSessions.cs:560; Sim/Modes/QuickModes.cs:251; Sim/AI/ConquestAi.cs:65</t>
        </is>
      </c>
      <c r="AF26" t="inlineStr"/>
    </row>
    <row r="27">
      <c r="A27" t="inlineStr">
        <is>
          <t>hill/Hard</t>
        </is>
      </c>
      <c r="B27" t="inlineStr">
        <is>
          <t>hill</t>
        </is>
      </c>
      <c r="C27" t="inlineStr">
        <is>
          <t>Hard</t>
        </is>
      </c>
      <c r="D27" t="n">
        <v>16</v>
      </c>
      <c r="E27" t="n">
        <v>1.2</v>
      </c>
      <c r="F27" t="n">
        <v>16</v>
      </c>
      <c r="G27" t="n">
        <v>1.1</v>
      </c>
      <c r="H27" t="n">
        <v>1</v>
      </c>
      <c r="I27" t="n">
        <v>1.2</v>
      </c>
      <c r="J27" t="n">
        <v>0.175</v>
      </c>
      <c r="K27" t="inlineStr">
        <is>
          <t>bên giữ đồi +0,35 CP/s, mỗi bên giữ một nửa thời gian</t>
        </is>
      </c>
      <c r="L27" t="inlineStr">
        <is>
          <t>Game/Match/ModeSessions.cs:560; Sim/Modes/QuickModes.cs:251; Sim/AI/ConquestAi.cs:68</t>
        </is>
      </c>
      <c r="M27">
        <f>IF(ISNUMBER($D$27),IF(AND(ISNUMBER(FIND(";"&amp;Che_do!$B$8&amp;";",";"&amp;Kinh_te!$E$10&amp;";")),$D$27&gt;0,Kinh_te!$D$11&lt;&gt;1),ROUND($D$27*Kinh_te!$D$11,0),$D$27),"")</f>
        <v/>
      </c>
      <c r="N27" t="n">
        <v>19</v>
      </c>
      <c r="O27">
        <f>IF(ISNUMBER($F$27),IF(AND(ISNUMBER(FIND(";"&amp;Che_do!$B$8&amp;";",";"&amp;Kinh_te!$E$10&amp;";")),$F$27&gt;0,Kinh_te!$D$11&lt;&gt;1),ROUND($F$27*Kinh_te!$D$11,0),$F$27),"")</f>
        <v/>
      </c>
      <c r="P27" t="n">
        <v>19</v>
      </c>
      <c r="Q27">
        <f>($E$27+$J$27)*Kinh_te!$D$9</f>
        <v/>
      </c>
      <c r="R27" t="n">
        <v>1.2375</v>
      </c>
      <c r="S27">
        <f>IF(ISNUMBER($G$27),($G$27+$J$27)*Kinh_te!$D$9*$H$27*$I$27,"")</f>
        <v/>
      </c>
      <c r="T27" t="n">
        <v>1.377</v>
      </c>
      <c r="U27">
        <f>Che_do_thoi_luong!$Q$8</f>
        <v/>
      </c>
      <c r="V27">
        <f>IF(AND(ISNUMBER($U$27),ISNUMBER($M$27)),$M$27+$Q$27*0.25*$U$27,"")</f>
        <v/>
      </c>
      <c r="W27">
        <f>IF(AND(ISNUMBER($U$27),ISNUMBER($M$27)),$M$27+$Q$27*0.5*$U$27,"")</f>
        <v/>
      </c>
      <c r="X27">
        <f>IF(AND(ISNUMBER($U$27),ISNUMBER($M$27)),$M$27+$Q$27*0.75*$U$27,"")</f>
        <v/>
      </c>
      <c r="Y27">
        <f>IF(AND(ISNUMBER($U$27),ISNUMBER($M$27)),$M$27+$Q$27*1.0*$U$27,"")</f>
        <v/>
      </c>
      <c r="Z27">
        <f>IF(AND(ISNUMBER($U$27),ISNUMBER($O$27)),$O$27+$S$27*0.25*$U$27,"")</f>
        <v/>
      </c>
      <c r="AA27">
        <f>IF(AND(ISNUMBER($U$27),ISNUMBER($O$27)),$O$27+$S$27*0.5*$U$27,"")</f>
        <v/>
      </c>
      <c r="AB27">
        <f>IF(AND(ISNUMBER($U$27),ISNUMBER($O$27)),$O$27+$S$27*0.75*$U$27,"")</f>
        <v/>
      </c>
      <c r="AC27">
        <f>IF(AND(ISNUMBER($U$27),ISNUMBER($O$27)),$O$27+$S$27*1.0*$U$27,"")</f>
        <v/>
      </c>
      <c r="AD27">
        <f>IF(AND(ISNUMBER($AC$27),ISNUMBER($Y$27)),$AC$27/$Y$27,"")</f>
        <v/>
      </c>
      <c r="AE27" t="inlineStr">
        <is>
          <t>C#: Game/Match/ModeSessions.cs:560; Sim/Modes/QuickModes.cs:251; Sim/AI/ConquestAi.cs:68</t>
        </is>
      </c>
      <c r="AF27" t="inlineStr"/>
    </row>
    <row r="28">
      <c r="A28" t="inlineStr">
        <is>
          <t>hill/Normal</t>
        </is>
      </c>
      <c r="B28" t="inlineStr">
        <is>
          <t>hill</t>
        </is>
      </c>
      <c r="C28" t="inlineStr">
        <is>
          <t>Normal</t>
        </is>
      </c>
      <c r="D28" t="n">
        <v>16</v>
      </c>
      <c r="E28" t="n">
        <v>1.2</v>
      </c>
      <c r="F28" t="n">
        <v>16</v>
      </c>
      <c r="G28" t="n">
        <v>1.1</v>
      </c>
      <c r="H28" t="n">
        <v>1</v>
      </c>
      <c r="I28" t="n">
        <v>0.7</v>
      </c>
      <c r="J28" t="n">
        <v>0.175</v>
      </c>
      <c r="K28" t="inlineStr">
        <is>
          <t>bên giữ đồi +0,35 CP/s, mỗi bên giữ một nửa thời gian</t>
        </is>
      </c>
      <c r="L28" t="inlineStr">
        <is>
          <t>Game/Match/ModeSessions.cs:560; Sim/Modes/QuickModes.cs:251; Sim/AI/ConquestAi.cs:67</t>
        </is>
      </c>
      <c r="M28">
        <f>IF(ISNUMBER($D$28),IF(AND(ISNUMBER(FIND(";"&amp;Che_do!$B$8&amp;";",";"&amp;Kinh_te!$E$10&amp;";")),$D$28&gt;0,Kinh_te!$D$11&lt;&gt;1),ROUND($D$28*Kinh_te!$D$11,0),$D$28),"")</f>
        <v/>
      </c>
      <c r="N28" t="n">
        <v>19</v>
      </c>
      <c r="O28">
        <f>IF(ISNUMBER($F$28),IF(AND(ISNUMBER(FIND(";"&amp;Che_do!$B$8&amp;";",";"&amp;Kinh_te!$E$10&amp;";")),$F$28&gt;0,Kinh_te!$D$11&lt;&gt;1),ROUND($F$28*Kinh_te!$D$11,0),$F$28),"")</f>
        <v/>
      </c>
      <c r="P28" t="n">
        <v>19</v>
      </c>
      <c r="Q28">
        <f>($E$28+$J$28)*Kinh_te!$D$9</f>
        <v/>
      </c>
      <c r="R28" t="n">
        <v>1.2375</v>
      </c>
      <c r="S28">
        <f>IF(ISNUMBER($G$28),($G$28+$J$28)*Kinh_te!$D$9*$H$28*$I$28,"")</f>
        <v/>
      </c>
      <c r="T28" t="n">
        <v>0.80325</v>
      </c>
      <c r="U28">
        <f>Che_do_thoi_luong!$Q$8</f>
        <v/>
      </c>
      <c r="V28">
        <f>IF(AND(ISNUMBER($U$28),ISNUMBER($M$28)),$M$28+$Q$28*0.25*$U$28,"")</f>
        <v/>
      </c>
      <c r="W28">
        <f>IF(AND(ISNUMBER($U$28),ISNUMBER($M$28)),$M$28+$Q$28*0.5*$U$28,"")</f>
        <v/>
      </c>
      <c r="X28">
        <f>IF(AND(ISNUMBER($U$28),ISNUMBER($M$28)),$M$28+$Q$28*0.75*$U$28,"")</f>
        <v/>
      </c>
      <c r="Y28">
        <f>IF(AND(ISNUMBER($U$28),ISNUMBER($M$28)),$M$28+$Q$28*1.0*$U$28,"")</f>
        <v/>
      </c>
      <c r="Z28">
        <f>IF(AND(ISNUMBER($U$28),ISNUMBER($O$28)),$O$28+$S$28*0.25*$U$28,"")</f>
        <v/>
      </c>
      <c r="AA28">
        <f>IF(AND(ISNUMBER($U$28),ISNUMBER($O$28)),$O$28+$S$28*0.5*$U$28,"")</f>
        <v/>
      </c>
      <c r="AB28">
        <f>IF(AND(ISNUMBER($U$28),ISNUMBER($O$28)),$O$28+$S$28*0.75*$U$28,"")</f>
        <v/>
      </c>
      <c r="AC28">
        <f>IF(AND(ISNUMBER($U$28),ISNUMBER($O$28)),$O$28+$S$28*1.0*$U$28,"")</f>
        <v/>
      </c>
      <c r="AD28">
        <f>IF(AND(ISNUMBER($AC$28),ISNUMBER($Y$28)),$AC$28/$Y$28,"")</f>
        <v/>
      </c>
      <c r="AE28" t="inlineStr">
        <is>
          <t>C#: Game/Match/ModeSessions.cs:560; Sim/Modes/QuickModes.cs:251; Sim/AI/ConquestAi.cs:67</t>
        </is>
      </c>
      <c r="AF28" t="inlineStr"/>
    </row>
    <row r="29">
      <c r="A29" t="inlineStr">
        <is>
          <t>hill/VeryHard</t>
        </is>
      </c>
      <c r="B29" t="inlineStr">
        <is>
          <t>hill</t>
        </is>
      </c>
      <c r="C29" t="inlineStr">
        <is>
          <t>VeryHard</t>
        </is>
      </c>
      <c r="D29" t="n">
        <v>16</v>
      </c>
      <c r="E29" t="n">
        <v>1.2</v>
      </c>
      <c r="F29" t="n">
        <v>16</v>
      </c>
      <c r="G29" t="n">
        <v>1.1</v>
      </c>
      <c r="H29" t="n">
        <v>1</v>
      </c>
      <c r="I29" t="n">
        <v>1.4</v>
      </c>
      <c r="J29" t="n">
        <v>0.175</v>
      </c>
      <c r="K29" t="inlineStr">
        <is>
          <t>bên giữ đồi +0,35 CP/s, mỗi bên giữ một nửa thời gian</t>
        </is>
      </c>
      <c r="L29" t="inlineStr">
        <is>
          <t>Game/Match/ModeSessions.cs:560; Sim/Modes/QuickModes.cs:251; Sim/AI/ConquestAi.cs:69</t>
        </is>
      </c>
      <c r="M29">
        <f>IF(ISNUMBER($D$29),IF(AND(ISNUMBER(FIND(";"&amp;Che_do!$B$8&amp;";",";"&amp;Kinh_te!$E$10&amp;";")),$D$29&gt;0,Kinh_te!$D$11&lt;&gt;1),ROUND($D$29*Kinh_te!$D$11,0),$D$29),"")</f>
        <v/>
      </c>
      <c r="N29" t="n">
        <v>19</v>
      </c>
      <c r="O29">
        <f>IF(ISNUMBER($F$29),IF(AND(ISNUMBER(FIND(";"&amp;Che_do!$B$8&amp;";",";"&amp;Kinh_te!$E$10&amp;";")),$F$29&gt;0,Kinh_te!$D$11&lt;&gt;1),ROUND($F$29*Kinh_te!$D$11,0),$F$29),"")</f>
        <v/>
      </c>
      <c r="P29" t="n">
        <v>19</v>
      </c>
      <c r="Q29">
        <f>($E$29+$J$29)*Kinh_te!$D$9</f>
        <v/>
      </c>
      <c r="R29" t="n">
        <v>1.2375</v>
      </c>
      <c r="S29">
        <f>IF(ISNUMBER($G$29),($G$29+$J$29)*Kinh_te!$D$9*$H$29*$I$29,"")</f>
        <v/>
      </c>
      <c r="T29" t="n">
        <v>1.6065</v>
      </c>
      <c r="U29">
        <f>Che_do_thoi_luong!$Q$8</f>
        <v/>
      </c>
      <c r="V29">
        <f>IF(AND(ISNUMBER($U$29),ISNUMBER($M$29)),$M$29+$Q$29*0.25*$U$29,"")</f>
        <v/>
      </c>
      <c r="W29">
        <f>IF(AND(ISNUMBER($U$29),ISNUMBER($M$29)),$M$29+$Q$29*0.5*$U$29,"")</f>
        <v/>
      </c>
      <c r="X29">
        <f>IF(AND(ISNUMBER($U$29),ISNUMBER($M$29)),$M$29+$Q$29*0.75*$U$29,"")</f>
        <v/>
      </c>
      <c r="Y29">
        <f>IF(AND(ISNUMBER($U$29),ISNUMBER($M$29)),$M$29+$Q$29*1.0*$U$29,"")</f>
        <v/>
      </c>
      <c r="Z29">
        <f>IF(AND(ISNUMBER($U$29),ISNUMBER($O$29)),$O$29+$S$29*0.25*$U$29,"")</f>
        <v/>
      </c>
      <c r="AA29">
        <f>IF(AND(ISNUMBER($U$29),ISNUMBER($O$29)),$O$29+$S$29*0.5*$U$29,"")</f>
        <v/>
      </c>
      <c r="AB29">
        <f>IF(AND(ISNUMBER($U$29),ISNUMBER($O$29)),$O$29+$S$29*0.75*$U$29,"")</f>
        <v/>
      </c>
      <c r="AC29">
        <f>IF(AND(ISNUMBER($U$29),ISNUMBER($O$29)),$O$29+$S$29*1.0*$U$29,"")</f>
        <v/>
      </c>
      <c r="AD29">
        <f>IF(AND(ISNUMBER($AC$29),ISNUMBER($Y$29)),$AC$29/$Y$29,"")</f>
        <v/>
      </c>
      <c r="AE29" t="inlineStr">
        <is>
          <t>C#: Game/Match/ModeSessions.cs:560; Sim/Modes/QuickModes.cs:251; Sim/AI/ConquestAi.cs:69</t>
        </is>
      </c>
      <c r="AF29" t="inlineStr"/>
    </row>
    <row r="30">
      <c r="A30" t="inlineStr">
        <is>
          <t>showdown/Easy</t>
        </is>
      </c>
      <c r="B30" t="inlineStr">
        <is>
          <t>showdown</t>
        </is>
      </c>
      <c r="C30" t="inlineStr">
        <is>
          <t>Easy</t>
        </is>
      </c>
      <c r="D30" t="n">
        <v>18</v>
      </c>
      <c r="E30" t="n">
        <v>1.35</v>
      </c>
      <c r="F30" t="n">
        <v>18</v>
      </c>
      <c r="G30" t="n">
        <v>1.35</v>
      </c>
      <c r="H30" t="n">
        <v>1</v>
      </c>
      <c r="I30" t="n">
        <v>0.8</v>
      </c>
      <c r="J30" t="n">
        <v>0</v>
      </c>
      <c r="K30" t="inlineStr"/>
      <c r="L30" t="inlineStr">
        <is>
          <t>Game/Match/ShowdownSession.cs:48; Sim/AI/ConquestAi.cs:65</t>
        </is>
      </c>
      <c r="M30">
        <f>IF(ISNUMBER($D$30),IF(AND(ISNUMBER(FIND(";"&amp;Che_do!$B$10&amp;";",";"&amp;Kinh_te!$E$10&amp;";")),$D$30&gt;0,Kinh_te!$D$11&lt;&gt;1),ROUND($D$30*Kinh_te!$D$11,0),$D$30),"")</f>
        <v/>
      </c>
      <c r="N30" t="n">
        <v>21</v>
      </c>
      <c r="O30">
        <f>IF(ISNUMBER($F$30),IF(AND(ISNUMBER(FIND(";"&amp;Che_do!$B$10&amp;";",";"&amp;Kinh_te!$E$10&amp;";")),$F$30&gt;0,Kinh_te!$D$11&lt;&gt;1),ROUND($F$30*Kinh_te!$D$11,0),$F$30),"")</f>
        <v/>
      </c>
      <c r="P30" t="n">
        <v>21</v>
      </c>
      <c r="Q30">
        <f>($E$30+$J$30)*Kinh_te!$D$9</f>
        <v/>
      </c>
      <c r="R30" t="n">
        <v>1.215</v>
      </c>
      <c r="S30">
        <f>IF(ISNUMBER($G$30),($G$30+$J$30)*Kinh_te!$D$9*$H$30*$I$30,"")</f>
        <v/>
      </c>
      <c r="T30" t="n">
        <v>0.9720000000000002</v>
      </c>
      <c r="U30">
        <f>Che_do_thoi_luong!$Q$10</f>
        <v/>
      </c>
      <c r="V30">
        <f>IF(AND(ISNUMBER($U$30),ISNUMBER($M$30)),$M$30+$Q$30*0.25*$U$30,"")</f>
        <v/>
      </c>
      <c r="W30">
        <f>IF(AND(ISNUMBER($U$30),ISNUMBER($M$30)),$M$30+$Q$30*0.5*$U$30,"")</f>
        <v/>
      </c>
      <c r="X30">
        <f>IF(AND(ISNUMBER($U$30),ISNUMBER($M$30)),$M$30+$Q$30*0.75*$U$30,"")</f>
        <v/>
      </c>
      <c r="Y30">
        <f>IF(AND(ISNUMBER($U$30),ISNUMBER($M$30)),$M$30+$Q$30*1.0*$U$30,"")</f>
        <v/>
      </c>
      <c r="Z30">
        <f>IF(AND(ISNUMBER($U$30),ISNUMBER($O$30)),$O$30+$S$30*0.25*$U$30,"")</f>
        <v/>
      </c>
      <c r="AA30">
        <f>IF(AND(ISNUMBER($U$30),ISNUMBER($O$30)),$O$30+$S$30*0.5*$U$30,"")</f>
        <v/>
      </c>
      <c r="AB30">
        <f>IF(AND(ISNUMBER($U$30),ISNUMBER($O$30)),$O$30+$S$30*0.75*$U$30,"")</f>
        <v/>
      </c>
      <c r="AC30">
        <f>IF(AND(ISNUMBER($U$30),ISNUMBER($O$30)),$O$30+$S$30*1.0*$U$30,"")</f>
        <v/>
      </c>
      <c r="AD30">
        <f>IF(AND(ISNUMBER($AC$30),ISNUMBER($Y$30)),$AC$30/$Y$30,"")</f>
        <v/>
      </c>
      <c r="AE30" t="inlineStr">
        <is>
          <t>C#: Game/Match/ShowdownSession.cs:48; Sim/AI/ConquestAi.cs:65</t>
        </is>
      </c>
      <c r="AF30" t="inlineStr"/>
    </row>
    <row r="31">
      <c r="A31" t="inlineStr">
        <is>
          <t>showdown/Hard</t>
        </is>
      </c>
      <c r="B31" t="inlineStr">
        <is>
          <t>showdown</t>
        </is>
      </c>
      <c r="C31" t="inlineStr">
        <is>
          <t>Hard</t>
        </is>
      </c>
      <c r="D31" t="n">
        <v>18</v>
      </c>
      <c r="E31" t="n">
        <v>1.35</v>
      </c>
      <c r="F31" t="n">
        <v>18</v>
      </c>
      <c r="G31" t="n">
        <v>1.35</v>
      </c>
      <c r="H31" t="n">
        <v>1</v>
      </c>
      <c r="I31" t="n">
        <v>1.2</v>
      </c>
      <c r="J31" t="n">
        <v>0</v>
      </c>
      <c r="K31" t="inlineStr"/>
      <c r="L31" t="inlineStr">
        <is>
          <t>Game/Match/ShowdownSession.cs:48; Sim/AI/ConquestAi.cs:68</t>
        </is>
      </c>
      <c r="M31">
        <f>IF(ISNUMBER($D$31),IF(AND(ISNUMBER(FIND(";"&amp;Che_do!$B$10&amp;";",";"&amp;Kinh_te!$E$10&amp;";")),$D$31&gt;0,Kinh_te!$D$11&lt;&gt;1),ROUND($D$31*Kinh_te!$D$11,0),$D$31),"")</f>
        <v/>
      </c>
      <c r="N31" t="n">
        <v>21</v>
      </c>
      <c r="O31">
        <f>IF(ISNUMBER($F$31),IF(AND(ISNUMBER(FIND(";"&amp;Che_do!$B$10&amp;";",";"&amp;Kinh_te!$E$10&amp;";")),$F$31&gt;0,Kinh_te!$D$11&lt;&gt;1),ROUND($F$31*Kinh_te!$D$11,0),$F$31),"")</f>
        <v/>
      </c>
      <c r="P31" t="n">
        <v>21</v>
      </c>
      <c r="Q31">
        <f>($E$31+$J$31)*Kinh_te!$D$9</f>
        <v/>
      </c>
      <c r="R31" t="n">
        <v>1.215</v>
      </c>
      <c r="S31">
        <f>IF(ISNUMBER($G$31),($G$31+$J$31)*Kinh_te!$D$9*$H$31*$I$31,"")</f>
        <v/>
      </c>
      <c r="T31" t="n">
        <v>1.458</v>
      </c>
      <c r="U31">
        <f>Che_do_thoi_luong!$Q$10</f>
        <v/>
      </c>
      <c r="V31">
        <f>IF(AND(ISNUMBER($U$31),ISNUMBER($M$31)),$M$31+$Q$31*0.25*$U$31,"")</f>
        <v/>
      </c>
      <c r="W31">
        <f>IF(AND(ISNUMBER($U$31),ISNUMBER($M$31)),$M$31+$Q$31*0.5*$U$31,"")</f>
        <v/>
      </c>
      <c r="X31">
        <f>IF(AND(ISNUMBER($U$31),ISNUMBER($M$31)),$M$31+$Q$31*0.75*$U$31,"")</f>
        <v/>
      </c>
      <c r="Y31">
        <f>IF(AND(ISNUMBER($U$31),ISNUMBER($M$31)),$M$31+$Q$31*1.0*$U$31,"")</f>
        <v/>
      </c>
      <c r="Z31">
        <f>IF(AND(ISNUMBER($U$31),ISNUMBER($O$31)),$O$31+$S$31*0.25*$U$31,"")</f>
        <v/>
      </c>
      <c r="AA31">
        <f>IF(AND(ISNUMBER($U$31),ISNUMBER($O$31)),$O$31+$S$31*0.5*$U$31,"")</f>
        <v/>
      </c>
      <c r="AB31">
        <f>IF(AND(ISNUMBER($U$31),ISNUMBER($O$31)),$O$31+$S$31*0.75*$U$31,"")</f>
        <v/>
      </c>
      <c r="AC31">
        <f>IF(AND(ISNUMBER($U$31),ISNUMBER($O$31)),$O$31+$S$31*1.0*$U$31,"")</f>
        <v/>
      </c>
      <c r="AD31">
        <f>IF(AND(ISNUMBER($AC$31),ISNUMBER($Y$31)),$AC$31/$Y$31,"")</f>
        <v/>
      </c>
      <c r="AE31" t="inlineStr">
        <is>
          <t>C#: Game/Match/ShowdownSession.cs:48; Sim/AI/ConquestAi.cs:68</t>
        </is>
      </c>
      <c r="AF31" t="inlineStr"/>
    </row>
    <row r="32">
      <c r="A32" t="inlineStr">
        <is>
          <t>showdown/Normal</t>
        </is>
      </c>
      <c r="B32" t="inlineStr">
        <is>
          <t>showdown</t>
        </is>
      </c>
      <c r="C32" t="inlineStr">
        <is>
          <t>Normal</t>
        </is>
      </c>
      <c r="D32" t="n">
        <v>18</v>
      </c>
      <c r="E32" t="n">
        <v>1.35</v>
      </c>
      <c r="F32" t="n">
        <v>18</v>
      </c>
      <c r="G32" t="n">
        <v>1.35</v>
      </c>
      <c r="H32" t="n">
        <v>1</v>
      </c>
      <c r="I32" t="n">
        <v>0.7</v>
      </c>
      <c r="J32" t="n">
        <v>0</v>
      </c>
      <c r="K32" t="inlineStr"/>
      <c r="L32" t="inlineStr">
        <is>
          <t>Game/Match/ShowdownSession.cs:48; Sim/AI/ConquestAi.cs:67</t>
        </is>
      </c>
      <c r="M32">
        <f>IF(ISNUMBER($D$32),IF(AND(ISNUMBER(FIND(";"&amp;Che_do!$B$10&amp;";",";"&amp;Kinh_te!$E$10&amp;";")),$D$32&gt;0,Kinh_te!$D$11&lt;&gt;1),ROUND($D$32*Kinh_te!$D$11,0),$D$32),"")</f>
        <v/>
      </c>
      <c r="N32" t="n">
        <v>21</v>
      </c>
      <c r="O32">
        <f>IF(ISNUMBER($F$32),IF(AND(ISNUMBER(FIND(";"&amp;Che_do!$B$10&amp;";",";"&amp;Kinh_te!$E$10&amp;";")),$F$32&gt;0,Kinh_te!$D$11&lt;&gt;1),ROUND($F$32*Kinh_te!$D$11,0),$F$32),"")</f>
        <v/>
      </c>
      <c r="P32" t="n">
        <v>21</v>
      </c>
      <c r="Q32">
        <f>($E$32+$J$32)*Kinh_te!$D$9</f>
        <v/>
      </c>
      <c r="R32" t="n">
        <v>1.215</v>
      </c>
      <c r="S32">
        <f>IF(ISNUMBER($G$32),($G$32+$J$32)*Kinh_te!$D$9*$H$32*$I$32,"")</f>
        <v/>
      </c>
      <c r="T32" t="n">
        <v>0.8505</v>
      </c>
      <c r="U32">
        <f>Che_do_thoi_luong!$Q$10</f>
        <v/>
      </c>
      <c r="V32">
        <f>IF(AND(ISNUMBER($U$32),ISNUMBER($M$32)),$M$32+$Q$32*0.25*$U$32,"")</f>
        <v/>
      </c>
      <c r="W32">
        <f>IF(AND(ISNUMBER($U$32),ISNUMBER($M$32)),$M$32+$Q$32*0.5*$U$32,"")</f>
        <v/>
      </c>
      <c r="X32">
        <f>IF(AND(ISNUMBER($U$32),ISNUMBER($M$32)),$M$32+$Q$32*0.75*$U$32,"")</f>
        <v/>
      </c>
      <c r="Y32">
        <f>IF(AND(ISNUMBER($U$32),ISNUMBER($M$32)),$M$32+$Q$32*1.0*$U$32,"")</f>
        <v/>
      </c>
      <c r="Z32">
        <f>IF(AND(ISNUMBER($U$32),ISNUMBER($O$32)),$O$32+$S$32*0.25*$U$32,"")</f>
        <v/>
      </c>
      <c r="AA32">
        <f>IF(AND(ISNUMBER($U$32),ISNUMBER($O$32)),$O$32+$S$32*0.5*$U$32,"")</f>
        <v/>
      </c>
      <c r="AB32">
        <f>IF(AND(ISNUMBER($U$32),ISNUMBER($O$32)),$O$32+$S$32*0.75*$U$32,"")</f>
        <v/>
      </c>
      <c r="AC32">
        <f>IF(AND(ISNUMBER($U$32),ISNUMBER($O$32)),$O$32+$S$32*1.0*$U$32,"")</f>
        <v/>
      </c>
      <c r="AD32">
        <f>IF(AND(ISNUMBER($AC$32),ISNUMBER($Y$32)),$AC$32/$Y$32,"")</f>
        <v/>
      </c>
      <c r="AE32" t="inlineStr">
        <is>
          <t>C#: Game/Match/ShowdownSession.cs:48; Sim/AI/ConquestAi.cs:67</t>
        </is>
      </c>
      <c r="AF32" t="inlineStr"/>
    </row>
    <row r="33">
      <c r="A33" t="inlineStr">
        <is>
          <t>showdown/VeryHard</t>
        </is>
      </c>
      <c r="B33" t="inlineStr">
        <is>
          <t>showdown</t>
        </is>
      </c>
      <c r="C33" t="inlineStr">
        <is>
          <t>VeryHard</t>
        </is>
      </c>
      <c r="D33" t="n">
        <v>18</v>
      </c>
      <c r="E33" t="n">
        <v>1.35</v>
      </c>
      <c r="F33" t="n">
        <v>18</v>
      </c>
      <c r="G33" t="n">
        <v>1.35</v>
      </c>
      <c r="H33" t="n">
        <v>1</v>
      </c>
      <c r="I33" t="n">
        <v>1.4</v>
      </c>
      <c r="J33" t="n">
        <v>0</v>
      </c>
      <c r="K33" t="inlineStr"/>
      <c r="L33" t="inlineStr">
        <is>
          <t>Game/Match/ShowdownSession.cs:48; Sim/AI/ConquestAi.cs:69</t>
        </is>
      </c>
      <c r="M33">
        <f>IF(ISNUMBER($D$33),IF(AND(ISNUMBER(FIND(";"&amp;Che_do!$B$10&amp;";",";"&amp;Kinh_te!$E$10&amp;";")),$D$33&gt;0,Kinh_te!$D$11&lt;&gt;1),ROUND($D$33*Kinh_te!$D$11,0),$D$33),"")</f>
        <v/>
      </c>
      <c r="N33" t="n">
        <v>21</v>
      </c>
      <c r="O33">
        <f>IF(ISNUMBER($F$33),IF(AND(ISNUMBER(FIND(";"&amp;Che_do!$B$10&amp;";",";"&amp;Kinh_te!$E$10&amp;";")),$F$33&gt;0,Kinh_te!$D$11&lt;&gt;1),ROUND($F$33*Kinh_te!$D$11,0),$F$33),"")</f>
        <v/>
      </c>
      <c r="P33" t="n">
        <v>21</v>
      </c>
      <c r="Q33">
        <f>($E$33+$J$33)*Kinh_te!$D$9</f>
        <v/>
      </c>
      <c r="R33" t="n">
        <v>1.215</v>
      </c>
      <c r="S33">
        <f>IF(ISNUMBER($G$33),($G$33+$J$33)*Kinh_te!$D$9*$H$33*$I$33,"")</f>
        <v/>
      </c>
      <c r="T33" t="n">
        <v>1.701</v>
      </c>
      <c r="U33">
        <f>Che_do_thoi_luong!$Q$10</f>
        <v/>
      </c>
      <c r="V33">
        <f>IF(AND(ISNUMBER($U$33),ISNUMBER($M$33)),$M$33+$Q$33*0.25*$U$33,"")</f>
        <v/>
      </c>
      <c r="W33">
        <f>IF(AND(ISNUMBER($U$33),ISNUMBER($M$33)),$M$33+$Q$33*0.5*$U$33,"")</f>
        <v/>
      </c>
      <c r="X33">
        <f>IF(AND(ISNUMBER($U$33),ISNUMBER($M$33)),$M$33+$Q$33*0.75*$U$33,"")</f>
        <v/>
      </c>
      <c r="Y33">
        <f>IF(AND(ISNUMBER($U$33),ISNUMBER($M$33)),$M$33+$Q$33*1.0*$U$33,"")</f>
        <v/>
      </c>
      <c r="Z33">
        <f>IF(AND(ISNUMBER($U$33),ISNUMBER($O$33)),$O$33+$S$33*0.25*$U$33,"")</f>
        <v/>
      </c>
      <c r="AA33">
        <f>IF(AND(ISNUMBER($U$33),ISNUMBER($O$33)),$O$33+$S$33*0.5*$U$33,"")</f>
        <v/>
      </c>
      <c r="AB33">
        <f>IF(AND(ISNUMBER($U$33),ISNUMBER($O$33)),$O$33+$S$33*0.75*$U$33,"")</f>
        <v/>
      </c>
      <c r="AC33">
        <f>IF(AND(ISNUMBER($U$33),ISNUMBER($O$33)),$O$33+$S$33*1.0*$U$33,"")</f>
        <v/>
      </c>
      <c r="AD33">
        <f>IF(AND(ISNUMBER($AC$33),ISNUMBER($Y$33)),$AC$33/$Y$33,"")</f>
        <v/>
      </c>
      <c r="AE33" t="inlineStr">
        <is>
          <t>C#: Game/Match/ShowdownSession.cs:48; Sim/AI/ConquestAi.cs:69</t>
        </is>
      </c>
      <c r="AF33" t="inlineStr"/>
    </row>
    <row r="34">
      <c r="A34" t="inlineStr">
        <is>
          <t>siege/Easy</t>
        </is>
      </c>
      <c r="B34" t="inlineStr">
        <is>
          <t>siege</t>
        </is>
      </c>
      <c r="C34" t="inlineStr">
        <is>
          <t>Easy</t>
        </is>
      </c>
      <c r="D34" t="n">
        <v>38</v>
      </c>
      <c r="E34" t="n">
        <v>2.4</v>
      </c>
      <c r="F34" t="n">
        <v>20</v>
      </c>
      <c r="G34" t="n">
        <v>0.8</v>
      </c>
      <c r="H34" t="n">
        <v>1</v>
      </c>
      <c r="I34" t="n">
        <v>0.8</v>
      </c>
      <c r="J34" t="n">
        <v>0</v>
      </c>
      <c r="K34" t="inlineStr"/>
      <c r="L34" t="inlineStr">
        <is>
          <t>Game/Match/ModeSessions.cs:863; Game/Match/ModeSessions.cs:871; Sim/AI/ConquestAi.cs:65</t>
        </is>
      </c>
      <c r="M34">
        <f>IF(ISNUMBER($D$34),IF(AND(ISNUMBER(FIND(";"&amp;Che_do!$B$11&amp;";",";"&amp;Kinh_te!$E$10&amp;";")),$D$34&gt;0,Kinh_te!$D$11&lt;&gt;1),ROUND($D$34*Kinh_te!$D$11,0),$D$34),"")</f>
        <v/>
      </c>
      <c r="N34" t="n">
        <v>44</v>
      </c>
      <c r="O34">
        <f>IF(ISNUMBER($F$34),IF(AND(ISNUMBER(FIND(";"&amp;Che_do!$B$11&amp;";",";"&amp;Kinh_te!$E$10&amp;";")),$F$34&gt;0,Kinh_te!$D$11&lt;&gt;1),ROUND($F$34*Kinh_te!$D$11,0),$F$34),"")</f>
        <v/>
      </c>
      <c r="P34" t="n">
        <v>23</v>
      </c>
      <c r="Q34">
        <f>($E$34+$J$34)*Kinh_te!$D$9</f>
        <v/>
      </c>
      <c r="R34" t="n">
        <v>2.16</v>
      </c>
      <c r="S34">
        <f>IF(ISNUMBER($G$34),($G$34+$J$34)*Kinh_te!$D$9*$H$34*$I$34,"")</f>
        <v/>
      </c>
      <c r="T34" t="n">
        <v>0.5760000000000001</v>
      </c>
      <c r="U34">
        <f>Che_do_thoi_luong!$Q$11</f>
        <v/>
      </c>
      <c r="V34">
        <f>IF(AND(ISNUMBER($U$34),ISNUMBER($M$34)),$M$34+$Q$34*0.25*$U$34,"")</f>
        <v/>
      </c>
      <c r="W34">
        <f>IF(AND(ISNUMBER($U$34),ISNUMBER($M$34)),$M$34+$Q$34*0.5*$U$34,"")</f>
        <v/>
      </c>
      <c r="X34">
        <f>IF(AND(ISNUMBER($U$34),ISNUMBER($M$34)),$M$34+$Q$34*0.75*$U$34,"")</f>
        <v/>
      </c>
      <c r="Y34">
        <f>IF(AND(ISNUMBER($U$34),ISNUMBER($M$34)),$M$34+$Q$34*1.0*$U$34,"")</f>
        <v/>
      </c>
      <c r="Z34">
        <f>IF(AND(ISNUMBER($U$34),ISNUMBER($O$34)),$O$34+$S$34*0.25*$U$34,"")</f>
        <v/>
      </c>
      <c r="AA34">
        <f>IF(AND(ISNUMBER($U$34),ISNUMBER($O$34)),$O$34+$S$34*0.5*$U$34,"")</f>
        <v/>
      </c>
      <c r="AB34">
        <f>IF(AND(ISNUMBER($U$34),ISNUMBER($O$34)),$O$34+$S$34*0.75*$U$34,"")</f>
        <v/>
      </c>
      <c r="AC34">
        <f>IF(AND(ISNUMBER($U$34),ISNUMBER($O$34)),$O$34+$S$34*1.0*$U$34,"")</f>
        <v/>
      </c>
      <c r="AD34">
        <f>IF(AND(ISNUMBER($AC$34),ISNUMBER($Y$34)),$AC$34/$Y$34,"")</f>
        <v/>
      </c>
      <c r="AE34" t="inlineStr">
        <is>
          <t>C#: Game/Match/ModeSessions.cs:863; Game/Match/ModeSessions.cs:871; Sim/AI/ConquestAi.cs:65</t>
        </is>
      </c>
      <c r="AF34" t="inlineStr"/>
    </row>
    <row r="35">
      <c r="A35" t="inlineStr">
        <is>
          <t>siege/Hard</t>
        </is>
      </c>
      <c r="B35" t="inlineStr">
        <is>
          <t>siege</t>
        </is>
      </c>
      <c r="C35" t="inlineStr">
        <is>
          <t>Hard</t>
        </is>
      </c>
      <c r="D35" t="n">
        <v>38</v>
      </c>
      <c r="E35" t="n">
        <v>2.4</v>
      </c>
      <c r="F35" t="n">
        <v>24</v>
      </c>
      <c r="G35" t="n">
        <v>0.8</v>
      </c>
      <c r="H35" t="n">
        <v>1</v>
      </c>
      <c r="I35" t="n">
        <v>1.2</v>
      </c>
      <c r="J35" t="n">
        <v>0</v>
      </c>
      <c r="K35" t="inlineStr"/>
      <c r="L35" t="inlineStr">
        <is>
          <t>Game/Match/ModeSessions.cs:863; Game/Match/ModeSessions.cs:871; Sim/AI/ConquestAi.cs:68</t>
        </is>
      </c>
      <c r="M35">
        <f>IF(ISNUMBER($D$35),IF(AND(ISNUMBER(FIND(";"&amp;Che_do!$B$11&amp;";",";"&amp;Kinh_te!$E$10&amp;";")),$D$35&gt;0,Kinh_te!$D$11&lt;&gt;1),ROUND($D$35*Kinh_te!$D$11,0),$D$35),"")</f>
        <v/>
      </c>
      <c r="N35" t="n">
        <v>44</v>
      </c>
      <c r="O35">
        <f>IF(ISNUMBER($F$35),IF(AND(ISNUMBER(FIND(";"&amp;Che_do!$B$11&amp;";",";"&amp;Kinh_te!$E$10&amp;";")),$F$35&gt;0,Kinh_te!$D$11&lt;&gt;1),ROUND($F$35*Kinh_te!$D$11,0),$F$35),"")</f>
        <v/>
      </c>
      <c r="P35" t="n">
        <v>28</v>
      </c>
      <c r="Q35">
        <f>($E$35+$J$35)*Kinh_te!$D$9</f>
        <v/>
      </c>
      <c r="R35" t="n">
        <v>2.16</v>
      </c>
      <c r="S35">
        <f>IF(ISNUMBER($G$35),($G$35+$J$35)*Kinh_te!$D$9*$H$35*$I$35,"")</f>
        <v/>
      </c>
      <c r="T35" t="n">
        <v>0.8640000000000001</v>
      </c>
      <c r="U35">
        <f>Che_do_thoi_luong!$Q$11</f>
        <v/>
      </c>
      <c r="V35">
        <f>IF(AND(ISNUMBER($U$35),ISNUMBER($M$35)),$M$35+$Q$35*0.25*$U$35,"")</f>
        <v/>
      </c>
      <c r="W35">
        <f>IF(AND(ISNUMBER($U$35),ISNUMBER($M$35)),$M$35+$Q$35*0.5*$U$35,"")</f>
        <v/>
      </c>
      <c r="X35">
        <f>IF(AND(ISNUMBER($U$35),ISNUMBER($M$35)),$M$35+$Q$35*0.75*$U$35,"")</f>
        <v/>
      </c>
      <c r="Y35">
        <f>IF(AND(ISNUMBER($U$35),ISNUMBER($M$35)),$M$35+$Q$35*1.0*$U$35,"")</f>
        <v/>
      </c>
      <c r="Z35">
        <f>IF(AND(ISNUMBER($U$35),ISNUMBER($O$35)),$O$35+$S$35*0.25*$U$35,"")</f>
        <v/>
      </c>
      <c r="AA35">
        <f>IF(AND(ISNUMBER($U$35),ISNUMBER($O$35)),$O$35+$S$35*0.5*$U$35,"")</f>
        <v/>
      </c>
      <c r="AB35">
        <f>IF(AND(ISNUMBER($U$35),ISNUMBER($O$35)),$O$35+$S$35*0.75*$U$35,"")</f>
        <v/>
      </c>
      <c r="AC35">
        <f>IF(AND(ISNUMBER($U$35),ISNUMBER($O$35)),$O$35+$S$35*1.0*$U$35,"")</f>
        <v/>
      </c>
      <c r="AD35">
        <f>IF(AND(ISNUMBER($AC$35),ISNUMBER($Y$35)),$AC$35/$Y$35,"")</f>
        <v/>
      </c>
      <c r="AE35" t="inlineStr">
        <is>
          <t>C#: Game/Match/ModeSessions.cs:863; Game/Match/ModeSessions.cs:871; Sim/AI/ConquestAi.cs:68</t>
        </is>
      </c>
      <c r="AF35" t="inlineStr"/>
    </row>
    <row r="36">
      <c r="A36" t="inlineStr">
        <is>
          <t>siege/Normal</t>
        </is>
      </c>
      <c r="B36" t="inlineStr">
        <is>
          <t>siege</t>
        </is>
      </c>
      <c r="C36" t="inlineStr">
        <is>
          <t>Normal</t>
        </is>
      </c>
      <c r="D36" t="n">
        <v>38</v>
      </c>
      <c r="E36" t="n">
        <v>2.4</v>
      </c>
      <c r="F36" t="n">
        <v>20</v>
      </c>
      <c r="G36" t="n">
        <v>0.8</v>
      </c>
      <c r="H36" t="n">
        <v>1</v>
      </c>
      <c r="I36" t="n">
        <v>0.7</v>
      </c>
      <c r="J36" t="n">
        <v>0</v>
      </c>
      <c r="K36" t="inlineStr"/>
      <c r="L36" t="inlineStr">
        <is>
          <t>Game/Match/ModeSessions.cs:863; Game/Match/ModeSessions.cs:871; Sim/AI/ConquestAi.cs:67</t>
        </is>
      </c>
      <c r="M36">
        <f>IF(ISNUMBER($D$36),IF(AND(ISNUMBER(FIND(";"&amp;Che_do!$B$11&amp;";",";"&amp;Kinh_te!$E$10&amp;";")),$D$36&gt;0,Kinh_te!$D$11&lt;&gt;1),ROUND($D$36*Kinh_te!$D$11,0),$D$36),"")</f>
        <v/>
      </c>
      <c r="N36" t="n">
        <v>44</v>
      </c>
      <c r="O36">
        <f>IF(ISNUMBER($F$36),IF(AND(ISNUMBER(FIND(";"&amp;Che_do!$B$11&amp;";",";"&amp;Kinh_te!$E$10&amp;";")),$F$36&gt;0,Kinh_te!$D$11&lt;&gt;1),ROUND($F$36*Kinh_te!$D$11,0),$F$36),"")</f>
        <v/>
      </c>
      <c r="P36" t="n">
        <v>23</v>
      </c>
      <c r="Q36">
        <f>($E$36+$J$36)*Kinh_te!$D$9</f>
        <v/>
      </c>
      <c r="R36" t="n">
        <v>2.16</v>
      </c>
      <c r="S36">
        <f>IF(ISNUMBER($G$36),($G$36+$J$36)*Kinh_te!$D$9*$H$36*$I$36,"")</f>
        <v/>
      </c>
      <c r="T36" t="n">
        <v>0.504</v>
      </c>
      <c r="U36">
        <f>Che_do_thoi_luong!$Q$11</f>
        <v/>
      </c>
      <c r="V36">
        <f>IF(AND(ISNUMBER($U$36),ISNUMBER($M$36)),$M$36+$Q$36*0.25*$U$36,"")</f>
        <v/>
      </c>
      <c r="W36">
        <f>IF(AND(ISNUMBER($U$36),ISNUMBER($M$36)),$M$36+$Q$36*0.5*$U$36,"")</f>
        <v/>
      </c>
      <c r="X36">
        <f>IF(AND(ISNUMBER($U$36),ISNUMBER($M$36)),$M$36+$Q$36*0.75*$U$36,"")</f>
        <v/>
      </c>
      <c r="Y36">
        <f>IF(AND(ISNUMBER($U$36),ISNUMBER($M$36)),$M$36+$Q$36*1.0*$U$36,"")</f>
        <v/>
      </c>
      <c r="Z36">
        <f>IF(AND(ISNUMBER($U$36),ISNUMBER($O$36)),$O$36+$S$36*0.25*$U$36,"")</f>
        <v/>
      </c>
      <c r="AA36">
        <f>IF(AND(ISNUMBER($U$36),ISNUMBER($O$36)),$O$36+$S$36*0.5*$U$36,"")</f>
        <v/>
      </c>
      <c r="AB36">
        <f>IF(AND(ISNUMBER($U$36),ISNUMBER($O$36)),$O$36+$S$36*0.75*$U$36,"")</f>
        <v/>
      </c>
      <c r="AC36">
        <f>IF(AND(ISNUMBER($U$36),ISNUMBER($O$36)),$O$36+$S$36*1.0*$U$36,"")</f>
        <v/>
      </c>
      <c r="AD36">
        <f>IF(AND(ISNUMBER($AC$36),ISNUMBER($Y$36)),$AC$36/$Y$36,"")</f>
        <v/>
      </c>
      <c r="AE36" t="inlineStr">
        <is>
          <t>C#: Game/Match/ModeSessions.cs:863; Game/Match/ModeSessions.cs:871; Sim/AI/ConquestAi.cs:67</t>
        </is>
      </c>
      <c r="AF36" t="inlineStr"/>
    </row>
    <row r="37">
      <c r="A37" t="inlineStr">
        <is>
          <t>siege/VeryHard</t>
        </is>
      </c>
      <c r="B37" t="inlineStr">
        <is>
          <t>siege</t>
        </is>
      </c>
      <c r="C37" t="inlineStr">
        <is>
          <t>VeryHard</t>
        </is>
      </c>
      <c r="D37" t="n">
        <v>38</v>
      </c>
      <c r="E37" t="n">
        <v>2.4</v>
      </c>
      <c r="F37" t="n">
        <v>24</v>
      </c>
      <c r="G37" t="n">
        <v>0.8</v>
      </c>
      <c r="H37" t="n">
        <v>1</v>
      </c>
      <c r="I37" t="n">
        <v>1.4</v>
      </c>
      <c r="J37" t="n">
        <v>0</v>
      </c>
      <c r="K37" t="inlineStr"/>
      <c r="L37" t="inlineStr">
        <is>
          <t>Game/Match/ModeSessions.cs:863; Game/Match/ModeSessions.cs:871; Sim/AI/ConquestAi.cs:69</t>
        </is>
      </c>
      <c r="M37">
        <f>IF(ISNUMBER($D$37),IF(AND(ISNUMBER(FIND(";"&amp;Che_do!$B$11&amp;";",";"&amp;Kinh_te!$E$10&amp;";")),$D$37&gt;0,Kinh_te!$D$11&lt;&gt;1),ROUND($D$37*Kinh_te!$D$11,0),$D$37),"")</f>
        <v/>
      </c>
      <c r="N37" t="n">
        <v>44</v>
      </c>
      <c r="O37">
        <f>IF(ISNUMBER($F$37),IF(AND(ISNUMBER(FIND(";"&amp;Che_do!$B$11&amp;";",";"&amp;Kinh_te!$E$10&amp;";")),$F$37&gt;0,Kinh_te!$D$11&lt;&gt;1),ROUND($F$37*Kinh_te!$D$11,0),$F$37),"")</f>
        <v/>
      </c>
      <c r="P37" t="n">
        <v>28</v>
      </c>
      <c r="Q37">
        <f>($E$37+$J$37)*Kinh_te!$D$9</f>
        <v/>
      </c>
      <c r="R37" t="n">
        <v>2.16</v>
      </c>
      <c r="S37">
        <f>IF(ISNUMBER($G$37),($G$37+$J$37)*Kinh_te!$D$9*$H$37*$I$37,"")</f>
        <v/>
      </c>
      <c r="T37" t="n">
        <v>1.008</v>
      </c>
      <c r="U37">
        <f>Che_do_thoi_luong!$Q$11</f>
        <v/>
      </c>
      <c r="V37">
        <f>IF(AND(ISNUMBER($U$37),ISNUMBER($M$37)),$M$37+$Q$37*0.25*$U$37,"")</f>
        <v/>
      </c>
      <c r="W37">
        <f>IF(AND(ISNUMBER($U$37),ISNUMBER($M$37)),$M$37+$Q$37*0.5*$U$37,"")</f>
        <v/>
      </c>
      <c r="X37">
        <f>IF(AND(ISNUMBER($U$37),ISNUMBER($M$37)),$M$37+$Q$37*0.75*$U$37,"")</f>
        <v/>
      </c>
      <c r="Y37">
        <f>IF(AND(ISNUMBER($U$37),ISNUMBER($M$37)),$M$37+$Q$37*1.0*$U$37,"")</f>
        <v/>
      </c>
      <c r="Z37">
        <f>IF(AND(ISNUMBER($U$37),ISNUMBER($O$37)),$O$37+$S$37*0.25*$U$37,"")</f>
        <v/>
      </c>
      <c r="AA37">
        <f>IF(AND(ISNUMBER($U$37),ISNUMBER($O$37)),$O$37+$S$37*0.5*$U$37,"")</f>
        <v/>
      </c>
      <c r="AB37">
        <f>IF(AND(ISNUMBER($U$37),ISNUMBER($O$37)),$O$37+$S$37*0.75*$U$37,"")</f>
        <v/>
      </c>
      <c r="AC37">
        <f>IF(AND(ISNUMBER($U$37),ISNUMBER($O$37)),$O$37+$S$37*1.0*$U$37,"")</f>
        <v/>
      </c>
      <c r="AD37">
        <f>IF(AND(ISNUMBER($AC$37),ISNUMBER($Y$37)),$AC$37/$Y$37,"")</f>
        <v/>
      </c>
      <c r="AE37" t="inlineStr">
        <is>
          <t>C#: Game/Match/ModeSessions.cs:863; Game/Match/ModeSessions.cs:871; Sim/AI/ConquestAi.cs:69</t>
        </is>
      </c>
      <c r="AF37" t="inlineStr"/>
    </row>
    <row r="38">
      <c r="A38" t="inlineStr">
        <is>
          <t>survival/Easy</t>
        </is>
      </c>
      <c r="B38" t="inlineStr">
        <is>
          <t>survival</t>
        </is>
      </c>
      <c r="C38" t="inlineStr">
        <is>
          <t>Easy</t>
        </is>
      </c>
      <c r="D38" t="n">
        <v>16</v>
      </c>
      <c r="E38" t="n">
        <v>0.9</v>
      </c>
      <c r="F38" t="inlineStr"/>
      <c r="G38" t="inlineStr"/>
      <c r="H38" t="inlineStr"/>
      <c r="I38" t="inlineStr"/>
      <c r="J38" t="n">
        <v>0</v>
      </c>
      <c r="K38" t="inlineStr"/>
      <c r="L38" t="inlineStr">
        <is>
          <t>Game/Match/ModeSessions.cs:1202</t>
        </is>
      </c>
      <c r="M38">
        <f>IF(ISNUMBER($D$38),IF(AND(ISNUMBER(FIND(";"&amp;Che_do!$B$12&amp;";",";"&amp;Kinh_te!$E$10&amp;";")),$D$38&gt;0,Kinh_te!$D$11&lt;&gt;1),ROUND($D$38*Kinh_te!$D$11,0),$D$38),"")</f>
        <v/>
      </c>
      <c r="N38" t="n">
        <v>19</v>
      </c>
      <c r="O38">
        <f>IF(ISNUMBER($F$38),IF(AND(ISNUMBER(FIND(";"&amp;Che_do!$B$12&amp;";",";"&amp;Kinh_te!$E$10&amp;";")),$F$38&gt;0,Kinh_te!$D$11&lt;&gt;1),ROUND($F$38*Kinh_te!$D$11,0),$F$38),"")</f>
        <v/>
      </c>
      <c r="P38" t="inlineStr"/>
      <c r="Q38">
        <f>($E$38+$J$38)*Kinh_te!$D$9</f>
        <v/>
      </c>
      <c r="R38" t="n">
        <v>0.8100000000000001</v>
      </c>
      <c r="S38">
        <f>IF(ISNUMBER($G$38),($G$38+$J$38)*Kinh_te!$D$9*$H$38*$I$38,"")</f>
        <v/>
      </c>
      <c r="T38" t="inlineStr"/>
      <c r="U38">
        <f>Che_do_thoi_luong!$Q$12</f>
        <v/>
      </c>
      <c r="V38">
        <f>IF(AND(ISNUMBER($U$38),ISNUMBER($M$38)),$M$38+$Q$38*0.25*$U$38,"")</f>
        <v/>
      </c>
      <c r="W38">
        <f>IF(AND(ISNUMBER($U$38),ISNUMBER($M$38)),$M$38+$Q$38*0.5*$U$38,"")</f>
        <v/>
      </c>
      <c r="X38">
        <f>IF(AND(ISNUMBER($U$38),ISNUMBER($M$38)),$M$38+$Q$38*0.75*$U$38,"")</f>
        <v/>
      </c>
      <c r="Y38">
        <f>IF(AND(ISNUMBER($U$38),ISNUMBER($M$38)),$M$38+$Q$38*1.0*$U$38,"")</f>
        <v/>
      </c>
      <c r="Z38">
        <f>IF(AND(ISNUMBER($U$38),ISNUMBER($O$38)),$O$38+$S$38*0.25*$U$38,"")</f>
        <v/>
      </c>
      <c r="AA38">
        <f>IF(AND(ISNUMBER($U$38),ISNUMBER($O$38)),$O$38+$S$38*0.5*$U$38,"")</f>
        <v/>
      </c>
      <c r="AB38">
        <f>IF(AND(ISNUMBER($U$38),ISNUMBER($O$38)),$O$38+$S$38*0.75*$U$38,"")</f>
        <v/>
      </c>
      <c r="AC38">
        <f>IF(AND(ISNUMBER($U$38),ISNUMBER($O$38)),$O$38+$S$38*1.0*$U$38,"")</f>
        <v/>
      </c>
      <c r="AD38">
        <f>IF(AND(ISNUMBER($AC$38),ISNUMBER($Y$38)),$AC$38/$Y$38,"")</f>
        <v/>
      </c>
      <c r="AE38" t="inlineStr">
        <is>
          <t>C#: Game/Match/ModeSessions.cs:1202; Sim/AI/ConquestAi.cs:65</t>
        </is>
      </c>
      <c r="AF38" t="inlineStr"/>
    </row>
    <row r="39">
      <c r="A39" t="inlineStr">
        <is>
          <t>survival/Hard</t>
        </is>
      </c>
      <c r="B39" t="inlineStr">
        <is>
          <t>survival</t>
        </is>
      </c>
      <c r="C39" t="inlineStr">
        <is>
          <t>Hard</t>
        </is>
      </c>
      <c r="D39" t="n">
        <v>16</v>
      </c>
      <c r="E39" t="n">
        <v>0.9</v>
      </c>
      <c r="F39" t="inlineStr"/>
      <c r="G39" t="inlineStr"/>
      <c r="H39" t="inlineStr"/>
      <c r="I39" t="inlineStr"/>
      <c r="J39" t="n">
        <v>0</v>
      </c>
      <c r="K39" t="inlineStr"/>
      <c r="L39" t="inlineStr">
        <is>
          <t>Game/Match/ModeSessions.cs:1202</t>
        </is>
      </c>
      <c r="M39">
        <f>IF(ISNUMBER($D$39),IF(AND(ISNUMBER(FIND(";"&amp;Che_do!$B$12&amp;";",";"&amp;Kinh_te!$E$10&amp;";")),$D$39&gt;0,Kinh_te!$D$11&lt;&gt;1),ROUND($D$39*Kinh_te!$D$11,0),$D$39),"")</f>
        <v/>
      </c>
      <c r="N39" t="n">
        <v>19</v>
      </c>
      <c r="O39">
        <f>IF(ISNUMBER($F$39),IF(AND(ISNUMBER(FIND(";"&amp;Che_do!$B$12&amp;";",";"&amp;Kinh_te!$E$10&amp;";")),$F$39&gt;0,Kinh_te!$D$11&lt;&gt;1),ROUND($F$39*Kinh_te!$D$11,0),$F$39),"")</f>
        <v/>
      </c>
      <c r="P39" t="inlineStr"/>
      <c r="Q39">
        <f>($E$39+$J$39)*Kinh_te!$D$9</f>
        <v/>
      </c>
      <c r="R39" t="n">
        <v>0.8100000000000001</v>
      </c>
      <c r="S39">
        <f>IF(ISNUMBER($G$39),($G$39+$J$39)*Kinh_te!$D$9*$H$39*$I$39,"")</f>
        <v/>
      </c>
      <c r="T39" t="inlineStr"/>
      <c r="U39">
        <f>Che_do_thoi_luong!$Q$12</f>
        <v/>
      </c>
      <c r="V39">
        <f>IF(AND(ISNUMBER($U$39),ISNUMBER($M$39)),$M$39+$Q$39*0.25*$U$39,"")</f>
        <v/>
      </c>
      <c r="W39">
        <f>IF(AND(ISNUMBER($U$39),ISNUMBER($M$39)),$M$39+$Q$39*0.5*$U$39,"")</f>
        <v/>
      </c>
      <c r="X39">
        <f>IF(AND(ISNUMBER($U$39),ISNUMBER($M$39)),$M$39+$Q$39*0.75*$U$39,"")</f>
        <v/>
      </c>
      <c r="Y39">
        <f>IF(AND(ISNUMBER($U$39),ISNUMBER($M$39)),$M$39+$Q$39*1.0*$U$39,"")</f>
        <v/>
      </c>
      <c r="Z39">
        <f>IF(AND(ISNUMBER($U$39),ISNUMBER($O$39)),$O$39+$S$39*0.25*$U$39,"")</f>
        <v/>
      </c>
      <c r="AA39">
        <f>IF(AND(ISNUMBER($U$39),ISNUMBER($O$39)),$O$39+$S$39*0.5*$U$39,"")</f>
        <v/>
      </c>
      <c r="AB39">
        <f>IF(AND(ISNUMBER($U$39),ISNUMBER($O$39)),$O$39+$S$39*0.75*$U$39,"")</f>
        <v/>
      </c>
      <c r="AC39">
        <f>IF(AND(ISNUMBER($U$39),ISNUMBER($O$39)),$O$39+$S$39*1.0*$U$39,"")</f>
        <v/>
      </c>
      <c r="AD39">
        <f>IF(AND(ISNUMBER($AC$39),ISNUMBER($Y$39)),$AC$39/$Y$39,"")</f>
        <v/>
      </c>
      <c r="AE39" t="inlineStr">
        <is>
          <t>C#: Game/Match/ModeSessions.cs:1202; Sim/AI/ConquestAi.cs:68</t>
        </is>
      </c>
      <c r="AF39" t="inlineStr"/>
    </row>
    <row r="40">
      <c r="A40" t="inlineStr">
        <is>
          <t>survival/Normal</t>
        </is>
      </c>
      <c r="B40" t="inlineStr">
        <is>
          <t>survival</t>
        </is>
      </c>
      <c r="C40" t="inlineStr">
        <is>
          <t>Normal</t>
        </is>
      </c>
      <c r="D40" t="n">
        <v>16</v>
      </c>
      <c r="E40" t="n">
        <v>0.9</v>
      </c>
      <c r="F40" t="inlineStr"/>
      <c r="G40" t="inlineStr"/>
      <c r="H40" t="inlineStr"/>
      <c r="I40" t="inlineStr"/>
      <c r="J40" t="n">
        <v>0</v>
      </c>
      <c r="K40" t="inlineStr"/>
      <c r="L40" t="inlineStr">
        <is>
          <t>Game/Match/ModeSessions.cs:1202</t>
        </is>
      </c>
      <c r="M40">
        <f>IF(ISNUMBER($D$40),IF(AND(ISNUMBER(FIND(";"&amp;Che_do!$B$12&amp;";",";"&amp;Kinh_te!$E$10&amp;";")),$D$40&gt;0,Kinh_te!$D$11&lt;&gt;1),ROUND($D$40*Kinh_te!$D$11,0),$D$40),"")</f>
        <v/>
      </c>
      <c r="N40" t="n">
        <v>19</v>
      </c>
      <c r="O40">
        <f>IF(ISNUMBER($F$40),IF(AND(ISNUMBER(FIND(";"&amp;Che_do!$B$12&amp;";",";"&amp;Kinh_te!$E$10&amp;";")),$F$40&gt;0,Kinh_te!$D$11&lt;&gt;1),ROUND($F$40*Kinh_te!$D$11,0),$F$40),"")</f>
        <v/>
      </c>
      <c r="P40" t="inlineStr"/>
      <c r="Q40">
        <f>($E$40+$J$40)*Kinh_te!$D$9</f>
        <v/>
      </c>
      <c r="R40" t="n">
        <v>0.8100000000000001</v>
      </c>
      <c r="S40">
        <f>IF(ISNUMBER($G$40),($G$40+$J$40)*Kinh_te!$D$9*$H$40*$I$40,"")</f>
        <v/>
      </c>
      <c r="T40" t="inlineStr"/>
      <c r="U40">
        <f>Che_do_thoi_luong!$Q$12</f>
        <v/>
      </c>
      <c r="V40">
        <f>IF(AND(ISNUMBER($U$40),ISNUMBER($M$40)),$M$40+$Q$40*0.25*$U$40,"")</f>
        <v/>
      </c>
      <c r="W40">
        <f>IF(AND(ISNUMBER($U$40),ISNUMBER($M$40)),$M$40+$Q$40*0.5*$U$40,"")</f>
        <v/>
      </c>
      <c r="X40">
        <f>IF(AND(ISNUMBER($U$40),ISNUMBER($M$40)),$M$40+$Q$40*0.75*$U$40,"")</f>
        <v/>
      </c>
      <c r="Y40">
        <f>IF(AND(ISNUMBER($U$40),ISNUMBER($M$40)),$M$40+$Q$40*1.0*$U$40,"")</f>
        <v/>
      </c>
      <c r="Z40">
        <f>IF(AND(ISNUMBER($U$40),ISNUMBER($O$40)),$O$40+$S$40*0.25*$U$40,"")</f>
        <v/>
      </c>
      <c r="AA40">
        <f>IF(AND(ISNUMBER($U$40),ISNUMBER($O$40)),$O$40+$S$40*0.5*$U$40,"")</f>
        <v/>
      </c>
      <c r="AB40">
        <f>IF(AND(ISNUMBER($U$40),ISNUMBER($O$40)),$O$40+$S$40*0.75*$U$40,"")</f>
        <v/>
      </c>
      <c r="AC40">
        <f>IF(AND(ISNUMBER($U$40),ISNUMBER($O$40)),$O$40+$S$40*1.0*$U$40,"")</f>
        <v/>
      </c>
      <c r="AD40">
        <f>IF(AND(ISNUMBER($AC$40),ISNUMBER($Y$40)),$AC$40/$Y$40,"")</f>
        <v/>
      </c>
      <c r="AE40" t="inlineStr">
        <is>
          <t>C#: Game/Match/ModeSessions.cs:1202; Sim/AI/ConquestAi.cs:67</t>
        </is>
      </c>
      <c r="AF40" t="inlineStr"/>
    </row>
    <row r="41">
      <c r="A41" t="inlineStr">
        <is>
          <t>survival/VeryHard</t>
        </is>
      </c>
      <c r="B41" t="inlineStr">
        <is>
          <t>survival</t>
        </is>
      </c>
      <c r="C41" t="inlineStr">
        <is>
          <t>VeryHard</t>
        </is>
      </c>
      <c r="D41" t="n">
        <v>16</v>
      </c>
      <c r="E41" t="n">
        <v>0.9</v>
      </c>
      <c r="F41" t="inlineStr"/>
      <c r="G41" t="inlineStr"/>
      <c r="H41" t="inlineStr"/>
      <c r="I41" t="inlineStr"/>
      <c r="J41" t="n">
        <v>0</v>
      </c>
      <c r="K41" t="inlineStr"/>
      <c r="L41" t="inlineStr">
        <is>
          <t>Game/Match/ModeSessions.cs:1202</t>
        </is>
      </c>
      <c r="M41">
        <f>IF(ISNUMBER($D$41),IF(AND(ISNUMBER(FIND(";"&amp;Che_do!$B$12&amp;";",";"&amp;Kinh_te!$E$10&amp;";")),$D$41&gt;0,Kinh_te!$D$11&lt;&gt;1),ROUND($D$41*Kinh_te!$D$11,0),$D$41),"")</f>
        <v/>
      </c>
      <c r="N41" t="n">
        <v>19</v>
      </c>
      <c r="O41">
        <f>IF(ISNUMBER($F$41),IF(AND(ISNUMBER(FIND(";"&amp;Che_do!$B$12&amp;";",";"&amp;Kinh_te!$E$10&amp;";")),$F$41&gt;0,Kinh_te!$D$11&lt;&gt;1),ROUND($F$41*Kinh_te!$D$11,0),$F$41),"")</f>
        <v/>
      </c>
      <c r="P41" t="inlineStr"/>
      <c r="Q41">
        <f>($E$41+$J$41)*Kinh_te!$D$9</f>
        <v/>
      </c>
      <c r="R41" t="n">
        <v>0.8100000000000001</v>
      </c>
      <c r="S41">
        <f>IF(ISNUMBER($G$41),($G$41+$J$41)*Kinh_te!$D$9*$H$41*$I$41,"")</f>
        <v/>
      </c>
      <c r="T41" t="inlineStr"/>
      <c r="U41">
        <f>Che_do_thoi_luong!$Q$12</f>
        <v/>
      </c>
      <c r="V41">
        <f>IF(AND(ISNUMBER($U$41),ISNUMBER($M$41)),$M$41+$Q$41*0.25*$U$41,"")</f>
        <v/>
      </c>
      <c r="W41">
        <f>IF(AND(ISNUMBER($U$41),ISNUMBER($M$41)),$M$41+$Q$41*0.5*$U$41,"")</f>
        <v/>
      </c>
      <c r="X41">
        <f>IF(AND(ISNUMBER($U$41),ISNUMBER($M$41)),$M$41+$Q$41*0.75*$U$41,"")</f>
        <v/>
      </c>
      <c r="Y41">
        <f>IF(AND(ISNUMBER($U$41),ISNUMBER($M$41)),$M$41+$Q$41*1.0*$U$41,"")</f>
        <v/>
      </c>
      <c r="Z41">
        <f>IF(AND(ISNUMBER($U$41),ISNUMBER($O$41)),$O$41+$S$41*0.25*$U$41,"")</f>
        <v/>
      </c>
      <c r="AA41">
        <f>IF(AND(ISNUMBER($U$41),ISNUMBER($O$41)),$O$41+$S$41*0.5*$U$41,"")</f>
        <v/>
      </c>
      <c r="AB41">
        <f>IF(AND(ISNUMBER($U$41),ISNUMBER($O$41)),$O$41+$S$41*0.75*$U$41,"")</f>
        <v/>
      </c>
      <c r="AC41">
        <f>IF(AND(ISNUMBER($U$41),ISNUMBER($O$41)),$O$41+$S$41*1.0*$U$41,"")</f>
        <v/>
      </c>
      <c r="AD41">
        <f>IF(AND(ISNUMBER($AC$41),ISNUMBER($Y$41)),$AC$41/$Y$41,"")</f>
        <v/>
      </c>
      <c r="AE41" t="inlineStr">
        <is>
          <t>C#: Game/Match/ModeSessions.cs:1202; Sim/AI/ConquestAi.cs:69</t>
        </is>
      </c>
      <c r="AF41" t="inlineStr"/>
    </row>
    <row r="42">
      <c r="A42" t="inlineStr">
        <is>
          <t>weekly/Easy</t>
        </is>
      </c>
      <c r="B42" t="inlineStr">
        <is>
          <t>weekly</t>
        </is>
      </c>
      <c r="C42" t="inlineStr">
        <is>
          <t>Easy</t>
        </is>
      </c>
      <c r="D42" t="n">
        <v>26</v>
      </c>
      <c r="E42" t="n">
        <v>1.5</v>
      </c>
      <c r="F42" t="n">
        <v>22</v>
      </c>
      <c r="G42" t="n">
        <v>1.15</v>
      </c>
      <c r="H42" t="n">
        <v>1</v>
      </c>
      <c r="I42" t="n">
        <v>0.8</v>
      </c>
      <c r="J42" t="n">
        <v>0</v>
      </c>
      <c r="K42" t="inlineStr"/>
      <c r="L42" t="inlineStr">
        <is>
          <t>Game/Match/ModeSessions.cs:793; Game/Match/ModeSessions.cs:798; Sim/AI/ConquestAi.cs:65</t>
        </is>
      </c>
      <c r="M42">
        <f>IF(ISNUMBER($D$42),IF(AND(ISNUMBER(FIND(";"&amp;Che_do!$B$13&amp;";",";"&amp;Kinh_te!$E$10&amp;";")),$D$42&gt;0,Kinh_te!$D$11&lt;&gt;1),ROUND($D$42*Kinh_te!$D$11,0),$D$42),"")</f>
        <v/>
      </c>
      <c r="N42" t="n">
        <v>30</v>
      </c>
      <c r="O42">
        <f>IF(ISNUMBER($F$42),IF(AND(ISNUMBER(FIND(";"&amp;Che_do!$B$13&amp;";",";"&amp;Kinh_te!$E$10&amp;";")),$F$42&gt;0,Kinh_te!$D$11&lt;&gt;1),ROUND($F$42*Kinh_te!$D$11,0),$F$42),"")</f>
        <v/>
      </c>
      <c r="P42" t="n">
        <v>26</v>
      </c>
      <c r="Q42">
        <f>($E$42+$J$42)*Kinh_te!$D$9</f>
        <v/>
      </c>
      <c r="R42" t="n">
        <v>1.35</v>
      </c>
      <c r="S42">
        <f>IF(ISNUMBER($G$42),($G$42+$J$42)*Kinh_te!$D$9*$H$42*$I$42,"")</f>
        <v/>
      </c>
      <c r="T42" t="n">
        <v>0.8280000000000001</v>
      </c>
      <c r="U42">
        <f>Che_do_thoi_luong!$Q$13</f>
        <v/>
      </c>
      <c r="V42">
        <f>IF(AND(ISNUMBER($U$42),ISNUMBER($M$42)),$M$42+$Q$42*0.25*$U$42,"")</f>
        <v/>
      </c>
      <c r="W42">
        <f>IF(AND(ISNUMBER($U$42),ISNUMBER($M$42)),$M$42+$Q$42*0.5*$U$42,"")</f>
        <v/>
      </c>
      <c r="X42">
        <f>IF(AND(ISNUMBER($U$42),ISNUMBER($M$42)),$M$42+$Q$42*0.75*$U$42,"")</f>
        <v/>
      </c>
      <c r="Y42">
        <f>IF(AND(ISNUMBER($U$42),ISNUMBER($M$42)),$M$42+$Q$42*1.0*$U$42,"")</f>
        <v/>
      </c>
      <c r="Z42">
        <f>IF(AND(ISNUMBER($U$42),ISNUMBER($O$42)),$O$42+$S$42*0.25*$U$42,"")</f>
        <v/>
      </c>
      <c r="AA42">
        <f>IF(AND(ISNUMBER($U$42),ISNUMBER($O$42)),$O$42+$S$42*0.5*$U$42,"")</f>
        <v/>
      </c>
      <c r="AB42">
        <f>IF(AND(ISNUMBER($U$42),ISNUMBER($O$42)),$O$42+$S$42*0.75*$U$42,"")</f>
        <v/>
      </c>
      <c r="AC42">
        <f>IF(AND(ISNUMBER($U$42),ISNUMBER($O$42)),$O$42+$S$42*1.0*$U$42,"")</f>
        <v/>
      </c>
      <c r="AD42">
        <f>IF(AND(ISNUMBER($AC$42),ISNUMBER($Y$42)),$AC$42/$Y$42,"")</f>
        <v/>
      </c>
      <c r="AE42" t="inlineStr">
        <is>
          <t>C#: Game/Match/ModeSessions.cs:793; Game/Match/ModeSessions.cs:798; Sim/AI/ConquestAi.cs:65</t>
        </is>
      </c>
      <c r="AF42" t="inlineStr"/>
    </row>
    <row r="43">
      <c r="A43" t="inlineStr">
        <is>
          <t>weekly/Hard</t>
        </is>
      </c>
      <c r="B43" t="inlineStr">
        <is>
          <t>weekly</t>
        </is>
      </c>
      <c r="C43" t="inlineStr">
        <is>
          <t>Hard</t>
        </is>
      </c>
      <c r="D43" t="n">
        <v>26</v>
      </c>
      <c r="E43" t="n">
        <v>1.5</v>
      </c>
      <c r="F43" t="n">
        <v>22</v>
      </c>
      <c r="G43" t="n">
        <v>1.15</v>
      </c>
      <c r="H43" t="n">
        <v>1</v>
      </c>
      <c r="I43" t="n">
        <v>1.2</v>
      </c>
      <c r="J43" t="n">
        <v>0</v>
      </c>
      <c r="K43" t="inlineStr"/>
      <c r="L43" t="inlineStr">
        <is>
          <t>Game/Match/ModeSessions.cs:793; Game/Match/ModeSessions.cs:798; Sim/AI/ConquestAi.cs:68</t>
        </is>
      </c>
      <c r="M43">
        <f>IF(ISNUMBER($D$43),IF(AND(ISNUMBER(FIND(";"&amp;Che_do!$B$13&amp;";",";"&amp;Kinh_te!$E$10&amp;";")),$D$43&gt;0,Kinh_te!$D$11&lt;&gt;1),ROUND($D$43*Kinh_te!$D$11,0),$D$43),"")</f>
        <v/>
      </c>
      <c r="N43" t="n">
        <v>30</v>
      </c>
      <c r="O43">
        <f>IF(ISNUMBER($F$43),IF(AND(ISNUMBER(FIND(";"&amp;Che_do!$B$13&amp;";",";"&amp;Kinh_te!$E$10&amp;";")),$F$43&gt;0,Kinh_te!$D$11&lt;&gt;1),ROUND($F$43*Kinh_te!$D$11,0),$F$43),"")</f>
        <v/>
      </c>
      <c r="P43" t="n">
        <v>26</v>
      </c>
      <c r="Q43">
        <f>($E$43+$J$43)*Kinh_te!$D$9</f>
        <v/>
      </c>
      <c r="R43" t="n">
        <v>1.35</v>
      </c>
      <c r="S43">
        <f>IF(ISNUMBER($G$43),($G$43+$J$43)*Kinh_te!$D$9*$H$43*$I$43,"")</f>
        <v/>
      </c>
      <c r="T43" t="n">
        <v>1.242</v>
      </c>
      <c r="U43">
        <f>Che_do_thoi_luong!$Q$13</f>
        <v/>
      </c>
      <c r="V43">
        <f>IF(AND(ISNUMBER($U$43),ISNUMBER($M$43)),$M$43+$Q$43*0.25*$U$43,"")</f>
        <v/>
      </c>
      <c r="W43">
        <f>IF(AND(ISNUMBER($U$43),ISNUMBER($M$43)),$M$43+$Q$43*0.5*$U$43,"")</f>
        <v/>
      </c>
      <c r="X43">
        <f>IF(AND(ISNUMBER($U$43),ISNUMBER($M$43)),$M$43+$Q$43*0.75*$U$43,"")</f>
        <v/>
      </c>
      <c r="Y43">
        <f>IF(AND(ISNUMBER($U$43),ISNUMBER($M$43)),$M$43+$Q$43*1.0*$U$43,"")</f>
        <v/>
      </c>
      <c r="Z43">
        <f>IF(AND(ISNUMBER($U$43),ISNUMBER($O$43)),$O$43+$S$43*0.25*$U$43,"")</f>
        <v/>
      </c>
      <c r="AA43">
        <f>IF(AND(ISNUMBER($U$43),ISNUMBER($O$43)),$O$43+$S$43*0.5*$U$43,"")</f>
        <v/>
      </c>
      <c r="AB43">
        <f>IF(AND(ISNUMBER($U$43),ISNUMBER($O$43)),$O$43+$S$43*0.75*$U$43,"")</f>
        <v/>
      </c>
      <c r="AC43">
        <f>IF(AND(ISNUMBER($U$43),ISNUMBER($O$43)),$O$43+$S$43*1.0*$U$43,"")</f>
        <v/>
      </c>
      <c r="AD43">
        <f>IF(AND(ISNUMBER($AC$43),ISNUMBER($Y$43)),$AC$43/$Y$43,"")</f>
        <v/>
      </c>
      <c r="AE43" t="inlineStr">
        <is>
          <t>C#: Game/Match/ModeSessions.cs:793; Game/Match/ModeSessions.cs:798; Sim/AI/ConquestAi.cs:68</t>
        </is>
      </c>
      <c r="AF43" t="inlineStr"/>
    </row>
    <row r="44">
      <c r="A44" t="inlineStr">
        <is>
          <t>weekly/Normal</t>
        </is>
      </c>
      <c r="B44" t="inlineStr">
        <is>
          <t>weekly</t>
        </is>
      </c>
      <c r="C44" t="inlineStr">
        <is>
          <t>Normal</t>
        </is>
      </c>
      <c r="D44" t="n">
        <v>26</v>
      </c>
      <c r="E44" t="n">
        <v>1.5</v>
      </c>
      <c r="F44" t="n">
        <v>22</v>
      </c>
      <c r="G44" t="n">
        <v>1.15</v>
      </c>
      <c r="H44" t="n">
        <v>1</v>
      </c>
      <c r="I44" t="n">
        <v>0.7</v>
      </c>
      <c r="J44" t="n">
        <v>0</v>
      </c>
      <c r="K44" t="inlineStr"/>
      <c r="L44" t="inlineStr">
        <is>
          <t>Game/Match/ModeSessions.cs:793; Game/Match/ModeSessions.cs:798; Sim/AI/ConquestAi.cs:67</t>
        </is>
      </c>
      <c r="M44">
        <f>IF(ISNUMBER($D$44),IF(AND(ISNUMBER(FIND(";"&amp;Che_do!$B$13&amp;";",";"&amp;Kinh_te!$E$10&amp;";")),$D$44&gt;0,Kinh_te!$D$11&lt;&gt;1),ROUND($D$44*Kinh_te!$D$11,0),$D$44),"")</f>
        <v/>
      </c>
      <c r="N44" t="n">
        <v>30</v>
      </c>
      <c r="O44">
        <f>IF(ISNUMBER($F$44),IF(AND(ISNUMBER(FIND(";"&amp;Che_do!$B$13&amp;";",";"&amp;Kinh_te!$E$10&amp;";")),$F$44&gt;0,Kinh_te!$D$11&lt;&gt;1),ROUND($F$44*Kinh_te!$D$11,0),$F$44),"")</f>
        <v/>
      </c>
      <c r="P44" t="n">
        <v>26</v>
      </c>
      <c r="Q44">
        <f>($E$44+$J$44)*Kinh_te!$D$9</f>
        <v/>
      </c>
      <c r="R44" t="n">
        <v>1.35</v>
      </c>
      <c r="S44">
        <f>IF(ISNUMBER($G$44),($G$44+$J$44)*Kinh_te!$D$9*$H$44*$I$44,"")</f>
        <v/>
      </c>
      <c r="T44" t="n">
        <v>0.7244999999999999</v>
      </c>
      <c r="U44">
        <f>Che_do_thoi_luong!$Q$13</f>
        <v/>
      </c>
      <c r="V44">
        <f>IF(AND(ISNUMBER($U$44),ISNUMBER($M$44)),$M$44+$Q$44*0.25*$U$44,"")</f>
        <v/>
      </c>
      <c r="W44">
        <f>IF(AND(ISNUMBER($U$44),ISNUMBER($M$44)),$M$44+$Q$44*0.5*$U$44,"")</f>
        <v/>
      </c>
      <c r="X44">
        <f>IF(AND(ISNUMBER($U$44),ISNUMBER($M$44)),$M$44+$Q$44*0.75*$U$44,"")</f>
        <v/>
      </c>
      <c r="Y44">
        <f>IF(AND(ISNUMBER($U$44),ISNUMBER($M$44)),$M$44+$Q$44*1.0*$U$44,"")</f>
        <v/>
      </c>
      <c r="Z44">
        <f>IF(AND(ISNUMBER($U$44),ISNUMBER($O$44)),$O$44+$S$44*0.25*$U$44,"")</f>
        <v/>
      </c>
      <c r="AA44">
        <f>IF(AND(ISNUMBER($U$44),ISNUMBER($O$44)),$O$44+$S$44*0.5*$U$44,"")</f>
        <v/>
      </c>
      <c r="AB44">
        <f>IF(AND(ISNUMBER($U$44),ISNUMBER($O$44)),$O$44+$S$44*0.75*$U$44,"")</f>
        <v/>
      </c>
      <c r="AC44">
        <f>IF(AND(ISNUMBER($U$44),ISNUMBER($O$44)),$O$44+$S$44*1.0*$U$44,"")</f>
        <v/>
      </c>
      <c r="AD44">
        <f>IF(AND(ISNUMBER($AC$44),ISNUMBER($Y$44)),$AC$44/$Y$44,"")</f>
        <v/>
      </c>
      <c r="AE44" t="inlineStr">
        <is>
          <t>C#: Game/Match/ModeSessions.cs:793; Game/Match/ModeSessions.cs:798; Sim/AI/ConquestAi.cs:67</t>
        </is>
      </c>
      <c r="AF44" t="inlineStr"/>
    </row>
    <row r="45">
      <c r="A45" t="inlineStr">
        <is>
          <t>weekly/VeryHard</t>
        </is>
      </c>
      <c r="B45" t="inlineStr">
        <is>
          <t>weekly</t>
        </is>
      </c>
      <c r="C45" t="inlineStr">
        <is>
          <t>VeryHard</t>
        </is>
      </c>
      <c r="D45" t="n">
        <v>26</v>
      </c>
      <c r="E45" t="n">
        <v>1.5</v>
      </c>
      <c r="F45" t="n">
        <v>22</v>
      </c>
      <c r="G45" t="n">
        <v>1.15</v>
      </c>
      <c r="H45" t="n">
        <v>1</v>
      </c>
      <c r="I45" t="n">
        <v>1.4</v>
      </c>
      <c r="J45" t="n">
        <v>0</v>
      </c>
      <c r="K45" t="inlineStr"/>
      <c r="L45" t="inlineStr">
        <is>
          <t>Game/Match/ModeSessions.cs:793; Game/Match/ModeSessions.cs:798; Sim/AI/ConquestAi.cs:69</t>
        </is>
      </c>
      <c r="M45">
        <f>IF(ISNUMBER($D$45),IF(AND(ISNUMBER(FIND(";"&amp;Che_do!$B$13&amp;";",";"&amp;Kinh_te!$E$10&amp;";")),$D$45&gt;0,Kinh_te!$D$11&lt;&gt;1),ROUND($D$45*Kinh_te!$D$11,0),$D$45),"")</f>
        <v/>
      </c>
      <c r="N45" t="n">
        <v>30</v>
      </c>
      <c r="O45">
        <f>IF(ISNUMBER($F$45),IF(AND(ISNUMBER(FIND(";"&amp;Che_do!$B$13&amp;";",";"&amp;Kinh_te!$E$10&amp;";")),$F$45&gt;0,Kinh_te!$D$11&lt;&gt;1),ROUND($F$45*Kinh_te!$D$11,0),$F$45),"")</f>
        <v/>
      </c>
      <c r="P45" t="n">
        <v>26</v>
      </c>
      <c r="Q45">
        <f>($E$45+$J$45)*Kinh_te!$D$9</f>
        <v/>
      </c>
      <c r="R45" t="n">
        <v>1.35</v>
      </c>
      <c r="S45">
        <f>IF(ISNUMBER($G$45),($G$45+$J$45)*Kinh_te!$D$9*$H$45*$I$45,"")</f>
        <v/>
      </c>
      <c r="T45" t="n">
        <v>1.449</v>
      </c>
      <c r="U45">
        <f>Che_do_thoi_luong!$Q$13</f>
        <v/>
      </c>
      <c r="V45">
        <f>IF(AND(ISNUMBER($U$45),ISNUMBER($M$45)),$M$45+$Q$45*0.25*$U$45,"")</f>
        <v/>
      </c>
      <c r="W45">
        <f>IF(AND(ISNUMBER($U$45),ISNUMBER($M$45)),$M$45+$Q$45*0.5*$U$45,"")</f>
        <v/>
      </c>
      <c r="X45">
        <f>IF(AND(ISNUMBER($U$45),ISNUMBER($M$45)),$M$45+$Q$45*0.75*$U$45,"")</f>
        <v/>
      </c>
      <c r="Y45">
        <f>IF(AND(ISNUMBER($U$45),ISNUMBER($M$45)),$M$45+$Q$45*1.0*$U$45,"")</f>
        <v/>
      </c>
      <c r="Z45">
        <f>IF(AND(ISNUMBER($U$45),ISNUMBER($O$45)),$O$45+$S$45*0.25*$U$45,"")</f>
        <v/>
      </c>
      <c r="AA45">
        <f>IF(AND(ISNUMBER($U$45),ISNUMBER($O$45)),$O$45+$S$45*0.5*$U$45,"")</f>
        <v/>
      </c>
      <c r="AB45">
        <f>IF(AND(ISNUMBER($U$45),ISNUMBER($O$45)),$O$45+$S$45*0.75*$U$45,"")</f>
        <v/>
      </c>
      <c r="AC45">
        <f>IF(AND(ISNUMBER($U$45),ISNUMBER($O$45)),$O$45+$S$45*1.0*$U$45,"")</f>
        <v/>
      </c>
      <c r="AD45">
        <f>IF(AND(ISNUMBER($AC$45),ISNUMBER($Y$45)),$AC$45/$Y$45,"")</f>
        <v/>
      </c>
      <c r="AE45" t="inlineStr">
        <is>
          <t>C#: Game/Match/ModeSessions.cs:793; Game/Match/ModeSessions.cs:798; Sim/AI/ConquestAi.cs:69</t>
        </is>
      </c>
      <c r="AF45" t="inlineStr"/>
    </row>
  </sheetData>
  <autoFilter ref="A1:AF45"/>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1" customWidth="1" min="2" max="2"/>
    <col width="11" customWidth="1" min="3" max="3"/>
    <col width="10" customWidth="1" min="4" max="4"/>
    <col width="23" customWidth="1" min="5" max="5"/>
    <col width="24" customWidth="1" min="6" max="6"/>
    <col width="19" customWidth="1" min="7" max="7"/>
    <col width="20" customWidth="1" min="8" max="8"/>
    <col width="18" customWidth="1" min="9" max="9"/>
    <col width="19" customWidth="1" min="10" max="10"/>
    <col width="19" customWidth="1" min="11" max="11"/>
    <col width="17" customWidth="1" min="12" max="12"/>
    <col width="49" customWidth="1" min="13" max="13"/>
    <col width="60" customWidth="1" min="14" max="14"/>
    <col width="20" customWidth="1" min="15" max="15"/>
    <col width="19" customWidth="1" min="16" max="16"/>
    <col width="27" customWidth="1" min="17" max="17"/>
    <col width="15" customWidth="1" min="18" max="18"/>
    <col width="60" customWidth="1" min="19" max="19"/>
    <col width="60" customWidth="1" min="20" max="20"/>
    <col width="10" customWidth="1" min="21" max="21"/>
  </cols>
  <sheetData>
    <row r="1">
      <c r="A1" s="1" t="inlineStr">
        <is>
          <t>id</t>
        </is>
      </c>
      <c r="B1" s="1" t="inlineStr">
        <is>
          <t>che_do</t>
        </is>
      </c>
      <c r="C1" s="1" t="inlineStr">
        <is>
          <t>phan_tram</t>
        </is>
      </c>
      <c r="D1" s="1" t="inlineStr">
        <is>
          <t>doi_xung</t>
        </is>
      </c>
      <c r="E1" s="1" t="inlineStr">
        <is>
          <t>thoi_luong_muc_tieu_s</t>
        </is>
      </c>
      <c r="F1" s="1" t="inlineStr">
        <is>
          <t>mien_phi_nguoi_choi_cp</t>
        </is>
      </c>
      <c r="G1" s="1" t="inlineStr">
        <is>
          <t>mien_phi_dich_cp</t>
        </is>
      </c>
      <c r="H1" s="1" t="inlineStr">
        <is>
          <t>tinh_nguoi_choi_cp</t>
        </is>
      </c>
      <c r="I1" s="1" t="inlineStr">
        <is>
          <t>tinh_dich_cp</t>
        </is>
      </c>
      <c r="J1" s="1" t="inlineStr">
        <is>
          <t>nhip_nguoi_choi_s</t>
        </is>
      </c>
      <c r="K1" s="1" t="inlineStr">
        <is>
          <t>nhip_dich_s</t>
        </is>
      </c>
      <c r="L1" s="1" t="inlineStr">
        <is>
          <t>t_s</t>
        </is>
      </c>
      <c r="M1" s="1" t="inlineStr">
        <is>
          <t>kinh_te_nguoi_choi_cp</t>
        </is>
      </c>
      <c r="N1" s="1" t="inlineStr">
        <is>
          <t>kinh_te_dich_cp</t>
        </is>
      </c>
      <c r="O1" s="1" t="inlineStr">
        <is>
          <t>tong_nguoi_choi_cp</t>
        </is>
      </c>
      <c r="P1" s="1" t="inlineStr">
        <is>
          <t>tong_dich_cp</t>
        </is>
      </c>
      <c r="Q1" s="1" t="inlineStr">
        <is>
          <t>dai_suc_manh</t>
        </is>
      </c>
      <c r="R1" s="1" t="inlineStr">
        <is>
          <t>lech_pct</t>
        </is>
      </c>
      <c r="S1" s="1" t="inlineStr">
        <is>
          <t>trang_thai</t>
        </is>
      </c>
      <c r="T1" s="1" t="inlineStr">
        <is>
          <t>nguon</t>
        </is>
      </c>
      <c r="U1" s="1" t="inlineStr">
        <is>
          <t>raw_json</t>
        </is>
      </c>
    </row>
    <row r="2">
      <c r="A2" t="inlineStr">
        <is>
          <t>assault/25</t>
        </is>
      </c>
      <c r="B2" t="inlineStr">
        <is>
          <t>assault</t>
        </is>
      </c>
      <c r="C2" t="n">
        <v>25</v>
      </c>
      <c r="D2" t="b">
        <v>0</v>
      </c>
      <c r="E2" t="n">
        <v>600</v>
      </c>
      <c r="F2" t="n">
        <v>0</v>
      </c>
      <c r="G2" t="n">
        <v>0</v>
      </c>
      <c r="H2" t="n">
        <v>0</v>
      </c>
      <c r="I2" t="n">
        <v>0</v>
      </c>
      <c r="J2" t="n">
        <v>26.09230769230769</v>
      </c>
      <c r="K2" t="n">
        <v>25.90769230769231</v>
      </c>
      <c r="L2">
        <f>$C$2/100*$E$2</f>
        <v/>
      </c>
      <c r="M2">
        <f>Kinh_te_suy_ra!$M$4+Kinh_te_suy_ra!$Q$4*$L$2</f>
        <v/>
      </c>
      <c r="N2">
        <f>IF(ISNUMBER(Kinh_te_suy_ra!$O$4),Kinh_te_suy_ra!$O$4+Kinh_te_suy_ra!$S$4*$L$2,0)</f>
        <v/>
      </c>
      <c r="O2">
        <f>$M$2+$F$2+$H$2</f>
        <v/>
      </c>
      <c r="P2">
        <f>$N$2+$G$2+$I$2</f>
        <v/>
      </c>
      <c r="Q2">
        <f>$P$2/MAX(0.000001,$O$2)</f>
        <v/>
      </c>
      <c r="R2">
        <f>($Q$2-1)*100</f>
        <v/>
      </c>
      <c r="S2">
        <f>IF($D$2,IF(ABS($R$2)&gt;30,"RED",IF(ABS($R$2)&gt;20,"YELLOW","GREEN")),"THEO_VAI")</f>
        <v/>
      </c>
      <c r="T2" t="inlineStr">
        <is>
          <t>Tools/audit/mode_static_audit.py MODES['Assault'] + 04_che_do_kinh_te_ai/Kinh_te_suy_ra (assault/Normal)</t>
        </is>
      </c>
      <c r="U2" t="inlineStr"/>
    </row>
    <row r="3">
      <c r="A3" t="inlineStr">
        <is>
          <t>assault/50</t>
        </is>
      </c>
      <c r="B3" t="inlineStr">
        <is>
          <t>assault</t>
        </is>
      </c>
      <c r="C3" t="n">
        <v>50</v>
      </c>
      <c r="D3" t="b">
        <v>0</v>
      </c>
      <c r="E3" t="n">
        <v>600</v>
      </c>
      <c r="F3" t="n">
        <v>0</v>
      </c>
      <c r="G3" t="n">
        <v>0</v>
      </c>
      <c r="H3" t="n">
        <v>0</v>
      </c>
      <c r="I3" t="n">
        <v>0</v>
      </c>
      <c r="J3" t="n">
        <v>26.09230769230769</v>
      </c>
      <c r="K3" t="n">
        <v>25.90769230769231</v>
      </c>
      <c r="L3">
        <f>$C$3/100*$E$3</f>
        <v/>
      </c>
      <c r="M3">
        <f>Kinh_te_suy_ra!$M$4+Kinh_te_suy_ra!$Q$4*$L$3</f>
        <v/>
      </c>
      <c r="N3">
        <f>IF(ISNUMBER(Kinh_te_suy_ra!$O$4),Kinh_te_suy_ra!$O$4+Kinh_te_suy_ra!$S$4*$L$3,0)</f>
        <v/>
      </c>
      <c r="O3">
        <f>$M$3+$F$3+$H$3</f>
        <v/>
      </c>
      <c r="P3">
        <f>$N$3+$G$3+$I$3</f>
        <v/>
      </c>
      <c r="Q3">
        <f>$P$3/MAX(0.000001,$O$3)</f>
        <v/>
      </c>
      <c r="R3">
        <f>($Q$3-1)*100</f>
        <v/>
      </c>
      <c r="S3">
        <f>IF($D$3,IF(ABS($R$3)&gt;30,"RED",IF(ABS($R$3)&gt;20,"YELLOW","GREEN")),"THEO_VAI")</f>
        <v/>
      </c>
      <c r="T3" t="inlineStr">
        <is>
          <t>Tools/audit/mode_static_audit.py MODES['Assault'] + 04_che_do_kinh_te_ai/Kinh_te_suy_ra (assault/Normal)</t>
        </is>
      </c>
      <c r="U3" t="inlineStr"/>
    </row>
    <row r="4">
      <c r="A4" t="inlineStr">
        <is>
          <t>assault/75</t>
        </is>
      </c>
      <c r="B4" t="inlineStr">
        <is>
          <t>assault</t>
        </is>
      </c>
      <c r="C4" t="n">
        <v>75</v>
      </c>
      <c r="D4" t="b">
        <v>0</v>
      </c>
      <c r="E4" t="n">
        <v>600</v>
      </c>
      <c r="F4" t="n">
        <v>0</v>
      </c>
      <c r="G4" t="n">
        <v>0</v>
      </c>
      <c r="H4" t="n">
        <v>0</v>
      </c>
      <c r="I4" t="n">
        <v>0</v>
      </c>
      <c r="J4" t="n">
        <v>26.09230769230769</v>
      </c>
      <c r="K4" t="n">
        <v>25.90769230769231</v>
      </c>
      <c r="L4">
        <f>$C$4/100*$E$4</f>
        <v/>
      </c>
      <c r="M4">
        <f>Kinh_te_suy_ra!$M$4+Kinh_te_suy_ra!$Q$4*$L$4</f>
        <v/>
      </c>
      <c r="N4">
        <f>IF(ISNUMBER(Kinh_te_suy_ra!$O$4),Kinh_te_suy_ra!$O$4+Kinh_te_suy_ra!$S$4*$L$4,0)</f>
        <v/>
      </c>
      <c r="O4">
        <f>$M$4+$F$4+$H$4</f>
        <v/>
      </c>
      <c r="P4">
        <f>$N$4+$G$4+$I$4</f>
        <v/>
      </c>
      <c r="Q4">
        <f>$P$4/MAX(0.000001,$O$4)</f>
        <v/>
      </c>
      <c r="R4">
        <f>($Q$4-1)*100</f>
        <v/>
      </c>
      <c r="S4">
        <f>IF($D$4,IF(ABS($R$4)&gt;30,"RED",IF(ABS($R$4)&gt;20,"YELLOW","GREEN")),"THEO_VAI")</f>
        <v/>
      </c>
      <c r="T4" t="inlineStr">
        <is>
          <t>Tools/audit/mode_static_audit.py MODES['Assault'] + 04_che_do_kinh_te_ai/Kinh_te_suy_ra (assault/Normal)</t>
        </is>
      </c>
      <c r="U4" t="inlineStr"/>
    </row>
    <row r="5">
      <c r="A5" t="inlineStr">
        <is>
          <t>assault/100</t>
        </is>
      </c>
      <c r="B5" t="inlineStr">
        <is>
          <t>assault</t>
        </is>
      </c>
      <c r="C5" t="n">
        <v>100</v>
      </c>
      <c r="D5" t="b">
        <v>0</v>
      </c>
      <c r="E5" t="n">
        <v>600</v>
      </c>
      <c r="F5" t="n">
        <v>0</v>
      </c>
      <c r="G5" t="n">
        <v>0</v>
      </c>
      <c r="H5" t="n">
        <v>0</v>
      </c>
      <c r="I5" t="n">
        <v>0</v>
      </c>
      <c r="J5" t="n">
        <v>26.09230769230769</v>
      </c>
      <c r="K5" t="n">
        <v>25.90769230769231</v>
      </c>
      <c r="L5">
        <f>$C$5/100*$E$5</f>
        <v/>
      </c>
      <c r="M5">
        <f>Kinh_te_suy_ra!$M$4+Kinh_te_suy_ra!$Q$4*$L$5</f>
        <v/>
      </c>
      <c r="N5">
        <f>IF(ISNUMBER(Kinh_te_suy_ra!$O$4),Kinh_te_suy_ra!$O$4+Kinh_te_suy_ra!$S$4*$L$5,0)</f>
        <v/>
      </c>
      <c r="O5">
        <f>$M$5+$F$5+$H$5</f>
        <v/>
      </c>
      <c r="P5">
        <f>$N$5+$G$5+$I$5</f>
        <v/>
      </c>
      <c r="Q5">
        <f>$P$5/MAX(0.000001,$O$5)</f>
        <v/>
      </c>
      <c r="R5">
        <f>($Q$5-1)*100</f>
        <v/>
      </c>
      <c r="S5">
        <f>IF($D$5,IF(ABS($R$5)&gt;30,"RED",IF(ABS($R$5)&gt;20,"YELLOW","GREEN")),"THEO_VAI")</f>
        <v/>
      </c>
      <c r="T5" t="inlineStr">
        <is>
          <t>Tools/audit/mode_static_audit.py MODES['Assault'] + 04_che_do_kinh_te_ai/Kinh_te_suy_ra (assault/Normal)</t>
        </is>
      </c>
      <c r="U5" t="inlineStr"/>
    </row>
    <row r="6">
      <c r="A6" t="inlineStr">
        <is>
          <t>bossrush/25</t>
        </is>
      </c>
      <c r="B6" t="inlineStr">
        <is>
          <t>bossrush</t>
        </is>
      </c>
      <c r="C6" t="n">
        <v>25</v>
      </c>
      <c r="D6" t="b">
        <v>0</v>
      </c>
      <c r="E6" t="n">
        <v>1200</v>
      </c>
      <c r="F6" t="n">
        <v>0</v>
      </c>
      <c r="G6" t="n">
        <v>799.0473871454815</v>
      </c>
      <c r="H6" t="n">
        <v>0</v>
      </c>
      <c r="I6" t="n">
        <v>0</v>
      </c>
      <c r="J6" t="n">
        <v>26.09230769230769</v>
      </c>
      <c r="K6" t="n">
        <v>25.90769230769231</v>
      </c>
      <c r="L6">
        <f>$C$6/100*$E$6</f>
        <v/>
      </c>
      <c r="M6">
        <f>Kinh_te_suy_ra!$M$8+Kinh_te_suy_ra!$Q$8*$L$6</f>
        <v/>
      </c>
      <c r="N6">
        <f>IF(ISNUMBER(Kinh_te_suy_ra!$O$8),Kinh_te_suy_ra!$O$8+Kinh_te_suy_ra!$S$8*$L$6,0)</f>
        <v/>
      </c>
      <c r="O6">
        <f>$M$6+$F$6+$H$6</f>
        <v/>
      </c>
      <c r="P6">
        <f>$N$6+$G$6+$I$6</f>
        <v/>
      </c>
      <c r="Q6">
        <f>$P$6/MAX(0.000001,$O$6)</f>
        <v/>
      </c>
      <c r="R6">
        <f>($Q$6-1)*100</f>
        <v/>
      </c>
      <c r="S6">
        <f>IF($D$6,IF(ABS($R$6)&gt;30,"RED",IF(ABS($R$6)&gt;20,"YELLOW","GREEN")),"THEO_VAI")</f>
        <v/>
      </c>
      <c r="T6" t="inlineStr">
        <is>
          <t>Tools/audit/mode_static_audit.py MODES['BossRush'] + 04_che_do_kinh_te_ai/Kinh_te_suy_ra (bossrush/Normal)</t>
        </is>
      </c>
      <c r="U6" t="inlineStr"/>
    </row>
    <row r="7">
      <c r="A7" t="inlineStr">
        <is>
          <t>bossrush/50</t>
        </is>
      </c>
      <c r="B7" t="inlineStr">
        <is>
          <t>bossrush</t>
        </is>
      </c>
      <c r="C7" t="n">
        <v>50</v>
      </c>
      <c r="D7" t="b">
        <v>0</v>
      </c>
      <c r="E7" t="n">
        <v>1200</v>
      </c>
      <c r="F7" t="n">
        <v>0</v>
      </c>
      <c r="G7" t="n">
        <v>1598.094774290963</v>
      </c>
      <c r="H7" t="n">
        <v>0</v>
      </c>
      <c r="I7" t="n">
        <v>0</v>
      </c>
      <c r="J7" t="n">
        <v>26.09230769230769</v>
      </c>
      <c r="K7" t="n">
        <v>25.90769230769231</v>
      </c>
      <c r="L7">
        <f>$C$7/100*$E$7</f>
        <v/>
      </c>
      <c r="M7">
        <f>Kinh_te_suy_ra!$M$8+Kinh_te_suy_ra!$Q$8*$L$7</f>
        <v/>
      </c>
      <c r="N7">
        <f>IF(ISNUMBER(Kinh_te_suy_ra!$O$8),Kinh_te_suy_ra!$O$8+Kinh_te_suy_ra!$S$8*$L$7,0)</f>
        <v/>
      </c>
      <c r="O7">
        <f>$M$7+$F$7+$H$7</f>
        <v/>
      </c>
      <c r="P7">
        <f>$N$7+$G$7+$I$7</f>
        <v/>
      </c>
      <c r="Q7">
        <f>$P$7/MAX(0.000001,$O$7)</f>
        <v/>
      </c>
      <c r="R7">
        <f>($Q$7-1)*100</f>
        <v/>
      </c>
      <c r="S7">
        <f>IF($D$7,IF(ABS($R$7)&gt;30,"RED",IF(ABS($R$7)&gt;20,"YELLOW","GREEN")),"THEO_VAI")</f>
        <v/>
      </c>
      <c r="T7" t="inlineStr">
        <is>
          <t>Tools/audit/mode_static_audit.py MODES['BossRush'] + 04_che_do_kinh_te_ai/Kinh_te_suy_ra (bossrush/Normal)</t>
        </is>
      </c>
      <c r="U7" t="inlineStr"/>
    </row>
    <row r="8">
      <c r="A8" t="inlineStr">
        <is>
          <t>bossrush/75</t>
        </is>
      </c>
      <c r="B8" t="inlineStr">
        <is>
          <t>bossrush</t>
        </is>
      </c>
      <c r="C8" t="n">
        <v>75</v>
      </c>
      <c r="D8" t="b">
        <v>0</v>
      </c>
      <c r="E8" t="n">
        <v>1200</v>
      </c>
      <c r="F8" t="n">
        <v>0</v>
      </c>
      <c r="G8" t="n">
        <v>2397.142161436444</v>
      </c>
      <c r="H8" t="n">
        <v>0</v>
      </c>
      <c r="I8" t="n">
        <v>0</v>
      </c>
      <c r="J8" t="n">
        <v>26.09230769230769</v>
      </c>
      <c r="K8" t="n">
        <v>25.90769230769231</v>
      </c>
      <c r="L8">
        <f>$C$8/100*$E$8</f>
        <v/>
      </c>
      <c r="M8">
        <f>Kinh_te_suy_ra!$M$8+Kinh_te_suy_ra!$Q$8*$L$8</f>
        <v/>
      </c>
      <c r="N8">
        <f>IF(ISNUMBER(Kinh_te_suy_ra!$O$8),Kinh_te_suy_ra!$O$8+Kinh_te_suy_ra!$S$8*$L$8,0)</f>
        <v/>
      </c>
      <c r="O8">
        <f>$M$8+$F$8+$H$8</f>
        <v/>
      </c>
      <c r="P8">
        <f>$N$8+$G$8+$I$8</f>
        <v/>
      </c>
      <c r="Q8">
        <f>$P$8/MAX(0.000001,$O$8)</f>
        <v/>
      </c>
      <c r="R8">
        <f>($Q$8-1)*100</f>
        <v/>
      </c>
      <c r="S8">
        <f>IF($D$8,IF(ABS($R$8)&gt;30,"RED",IF(ABS($R$8)&gt;20,"YELLOW","GREEN")),"THEO_VAI")</f>
        <v/>
      </c>
      <c r="T8" t="inlineStr">
        <is>
          <t>Tools/audit/mode_static_audit.py MODES['BossRush'] + 04_che_do_kinh_te_ai/Kinh_te_suy_ra (bossrush/Normal)</t>
        </is>
      </c>
      <c r="U8" t="inlineStr"/>
    </row>
    <row r="9">
      <c r="A9" t="inlineStr">
        <is>
          <t>bossrush/100</t>
        </is>
      </c>
      <c r="B9" t="inlineStr">
        <is>
          <t>bossrush</t>
        </is>
      </c>
      <c r="C9" t="n">
        <v>100</v>
      </c>
      <c r="D9" t="b">
        <v>0</v>
      </c>
      <c r="E9" t="n">
        <v>1200</v>
      </c>
      <c r="F9" t="n">
        <v>0</v>
      </c>
      <c r="G9" t="n">
        <v>3196.189548581926</v>
      </c>
      <c r="H9" t="n">
        <v>0</v>
      </c>
      <c r="I9" t="n">
        <v>0</v>
      </c>
      <c r="J9" t="n">
        <v>26.09230769230769</v>
      </c>
      <c r="K9" t="n">
        <v>25.90769230769231</v>
      </c>
      <c r="L9">
        <f>$C$9/100*$E$9</f>
        <v/>
      </c>
      <c r="M9">
        <f>Kinh_te_suy_ra!$M$8+Kinh_te_suy_ra!$Q$8*$L$9</f>
        <v/>
      </c>
      <c r="N9">
        <f>IF(ISNUMBER(Kinh_te_suy_ra!$O$8),Kinh_te_suy_ra!$O$8+Kinh_te_suy_ra!$S$8*$L$9,0)</f>
        <v/>
      </c>
      <c r="O9">
        <f>$M$9+$F$9+$H$9</f>
        <v/>
      </c>
      <c r="P9">
        <f>$N$9+$G$9+$I$9</f>
        <v/>
      </c>
      <c r="Q9">
        <f>$P$9/MAX(0.000001,$O$9)</f>
        <v/>
      </c>
      <c r="R9">
        <f>($Q$9-1)*100</f>
        <v/>
      </c>
      <c r="S9">
        <f>IF($D$9,IF(ABS($R$9)&gt;30,"RED",IF(ABS($R$9)&gt;20,"YELLOW","GREEN")),"THEO_VAI")</f>
        <v/>
      </c>
      <c r="T9" t="inlineStr">
        <is>
          <t>Tools/audit/mode_static_audit.py MODES['BossRush'] + 04_che_do_kinh_te_ai/Kinh_te_suy_ra (bossrush/Normal)</t>
        </is>
      </c>
      <c r="U9" t="inlineStr"/>
    </row>
    <row r="10">
      <c r="A10" t="inlineStr">
        <is>
          <t>conquest/25</t>
        </is>
      </c>
      <c r="B10" t="inlineStr">
        <is>
          <t>conquest</t>
        </is>
      </c>
      <c r="C10" t="n">
        <v>25</v>
      </c>
      <c r="D10" t="b">
        <v>1</v>
      </c>
      <c r="E10" t="n">
        <v>480</v>
      </c>
      <c r="F10" t="n">
        <v>0</v>
      </c>
      <c r="G10" t="n">
        <v>0</v>
      </c>
      <c r="H10" t="n">
        <v>0</v>
      </c>
      <c r="I10" t="n">
        <v>0</v>
      </c>
      <c r="J10" t="n">
        <v>26.09230769230769</v>
      </c>
      <c r="K10" t="n">
        <v>25.90769230769231</v>
      </c>
      <c r="L10">
        <f>$C$10/100*$E$10</f>
        <v/>
      </c>
      <c r="M10">
        <f>Kinh_te_suy_ra!$M$12+Kinh_te_suy_ra!$Q$12*$L$10</f>
        <v/>
      </c>
      <c r="N10">
        <f>IF(ISNUMBER(Kinh_te_suy_ra!$O$12),Kinh_te_suy_ra!$O$12+Kinh_te_suy_ra!$S$12*$L$10,0)</f>
        <v/>
      </c>
      <c r="O10">
        <f>$M$10+$F$10+$H$10</f>
        <v/>
      </c>
      <c r="P10">
        <f>$N$10+$G$10+$I$10</f>
        <v/>
      </c>
      <c r="Q10">
        <f>$P$10/MAX(0.000001,$O$10)</f>
        <v/>
      </c>
      <c r="R10">
        <f>($Q$10-1)*100</f>
        <v/>
      </c>
      <c r="S10">
        <f>IF($D$10,IF(ABS($R$10)&gt;30,"RED",IF(ABS($R$10)&gt;20,"YELLOW","GREEN")),"THEO_VAI")</f>
        <v/>
      </c>
      <c r="T10" t="inlineStr">
        <is>
          <t>Tools/audit/mode_static_audit.py MODES['Conquest'] + 04_che_do_kinh_te_ai/Kinh_te_suy_ra (conquest/Normal)</t>
        </is>
      </c>
      <c r="U10" t="inlineStr"/>
    </row>
    <row r="11">
      <c r="A11" t="inlineStr">
        <is>
          <t>conquest/50</t>
        </is>
      </c>
      <c r="B11" t="inlineStr">
        <is>
          <t>conquest</t>
        </is>
      </c>
      <c r="C11" t="n">
        <v>50</v>
      </c>
      <c r="D11" t="b">
        <v>1</v>
      </c>
      <c r="E11" t="n">
        <v>480</v>
      </c>
      <c r="F11" t="n">
        <v>0</v>
      </c>
      <c r="G11" t="n">
        <v>0</v>
      </c>
      <c r="H11" t="n">
        <v>0</v>
      </c>
      <c r="I11" t="n">
        <v>0</v>
      </c>
      <c r="J11" t="n">
        <v>26.09230769230769</v>
      </c>
      <c r="K11" t="n">
        <v>25.90769230769231</v>
      </c>
      <c r="L11">
        <f>$C$11/100*$E$11</f>
        <v/>
      </c>
      <c r="M11">
        <f>Kinh_te_suy_ra!$M$12+Kinh_te_suy_ra!$Q$12*$L$11</f>
        <v/>
      </c>
      <c r="N11">
        <f>IF(ISNUMBER(Kinh_te_suy_ra!$O$12),Kinh_te_suy_ra!$O$12+Kinh_te_suy_ra!$S$12*$L$11,0)</f>
        <v/>
      </c>
      <c r="O11">
        <f>$M$11+$F$11+$H$11</f>
        <v/>
      </c>
      <c r="P11">
        <f>$N$11+$G$11+$I$11</f>
        <v/>
      </c>
      <c r="Q11">
        <f>$P$11/MAX(0.000001,$O$11)</f>
        <v/>
      </c>
      <c r="R11">
        <f>($Q$11-1)*100</f>
        <v/>
      </c>
      <c r="S11">
        <f>IF($D$11,IF(ABS($R$11)&gt;30,"RED",IF(ABS($R$11)&gt;20,"YELLOW","GREEN")),"THEO_VAI")</f>
        <v/>
      </c>
      <c r="T11" t="inlineStr">
        <is>
          <t>Tools/audit/mode_static_audit.py MODES['Conquest'] + 04_che_do_kinh_te_ai/Kinh_te_suy_ra (conquest/Normal)</t>
        </is>
      </c>
      <c r="U11" t="inlineStr"/>
    </row>
    <row r="12">
      <c r="A12" t="inlineStr">
        <is>
          <t>conquest/75</t>
        </is>
      </c>
      <c r="B12" t="inlineStr">
        <is>
          <t>conquest</t>
        </is>
      </c>
      <c r="C12" t="n">
        <v>75</v>
      </c>
      <c r="D12" t="b">
        <v>1</v>
      </c>
      <c r="E12" t="n">
        <v>480</v>
      </c>
      <c r="F12" t="n">
        <v>0</v>
      </c>
      <c r="G12" t="n">
        <v>0</v>
      </c>
      <c r="H12" t="n">
        <v>0</v>
      </c>
      <c r="I12" t="n">
        <v>0</v>
      </c>
      <c r="J12" t="n">
        <v>26.09230769230769</v>
      </c>
      <c r="K12" t="n">
        <v>25.90769230769231</v>
      </c>
      <c r="L12">
        <f>$C$12/100*$E$12</f>
        <v/>
      </c>
      <c r="M12">
        <f>Kinh_te_suy_ra!$M$12+Kinh_te_suy_ra!$Q$12*$L$12</f>
        <v/>
      </c>
      <c r="N12">
        <f>IF(ISNUMBER(Kinh_te_suy_ra!$O$12),Kinh_te_suy_ra!$O$12+Kinh_te_suy_ra!$S$12*$L$12,0)</f>
        <v/>
      </c>
      <c r="O12">
        <f>$M$12+$F$12+$H$12</f>
        <v/>
      </c>
      <c r="P12">
        <f>$N$12+$G$12+$I$12</f>
        <v/>
      </c>
      <c r="Q12">
        <f>$P$12/MAX(0.000001,$O$12)</f>
        <v/>
      </c>
      <c r="R12">
        <f>($Q$12-1)*100</f>
        <v/>
      </c>
      <c r="S12">
        <f>IF($D$12,IF(ABS($R$12)&gt;30,"RED",IF(ABS($R$12)&gt;20,"YELLOW","GREEN")),"THEO_VAI")</f>
        <v/>
      </c>
      <c r="T12" t="inlineStr">
        <is>
          <t>Tools/audit/mode_static_audit.py MODES['Conquest'] + 04_che_do_kinh_te_ai/Kinh_te_suy_ra (conquest/Normal)</t>
        </is>
      </c>
      <c r="U12" t="inlineStr"/>
    </row>
    <row r="13">
      <c r="A13" t="inlineStr">
        <is>
          <t>conquest/100</t>
        </is>
      </c>
      <c r="B13" t="inlineStr">
        <is>
          <t>conquest</t>
        </is>
      </c>
      <c r="C13" t="n">
        <v>100</v>
      </c>
      <c r="D13" t="b">
        <v>1</v>
      </c>
      <c r="E13" t="n">
        <v>480</v>
      </c>
      <c r="F13" t="n">
        <v>0</v>
      </c>
      <c r="G13" t="n">
        <v>0</v>
      </c>
      <c r="H13" t="n">
        <v>0</v>
      </c>
      <c r="I13" t="n">
        <v>0</v>
      </c>
      <c r="J13" t="n">
        <v>26.09230769230769</v>
      </c>
      <c r="K13" t="n">
        <v>25.90769230769231</v>
      </c>
      <c r="L13">
        <f>$C$13/100*$E$13</f>
        <v/>
      </c>
      <c r="M13">
        <f>Kinh_te_suy_ra!$M$12+Kinh_te_suy_ra!$Q$12*$L$13</f>
        <v/>
      </c>
      <c r="N13">
        <f>IF(ISNUMBER(Kinh_te_suy_ra!$O$12),Kinh_te_suy_ra!$O$12+Kinh_te_suy_ra!$S$12*$L$13,0)</f>
        <v/>
      </c>
      <c r="O13">
        <f>$M$13+$F$13+$H$13</f>
        <v/>
      </c>
      <c r="P13">
        <f>$N$13+$G$13+$I$13</f>
        <v/>
      </c>
      <c r="Q13">
        <f>$P$13/MAX(0.000001,$O$13)</f>
        <v/>
      </c>
      <c r="R13">
        <f>($Q$13-1)*100</f>
        <v/>
      </c>
      <c r="S13">
        <f>IF($D$13,IF(ABS($R$13)&gt;30,"RED",IF(ABS($R$13)&gt;20,"YELLOW","GREEN")),"THEO_VAI")</f>
        <v/>
      </c>
      <c r="T13" t="inlineStr">
        <is>
          <t>Tools/audit/mode_static_audit.py MODES['Conquest'] + 04_che_do_kinh_te_ai/Kinh_te_suy_ra (conquest/Normal)</t>
        </is>
      </c>
      <c r="U13" t="inlineStr"/>
    </row>
    <row r="14">
      <c r="A14" t="inlineStr">
        <is>
          <t>deathmatch/25</t>
        </is>
      </c>
      <c r="B14" t="inlineStr">
        <is>
          <t>deathmatch</t>
        </is>
      </c>
      <c r="C14" t="n">
        <v>25</v>
      </c>
      <c r="D14" t="b">
        <v>1</v>
      </c>
      <c r="E14" t="n">
        <v>450</v>
      </c>
      <c r="F14" t="n">
        <v>0</v>
      </c>
      <c r="G14" t="n">
        <v>0</v>
      </c>
      <c r="H14" t="n">
        <v>0</v>
      </c>
      <c r="I14" t="n">
        <v>0</v>
      </c>
      <c r="J14" t="n">
        <v>26.09230769230769</v>
      </c>
      <c r="K14" t="n">
        <v>25.90769230769231</v>
      </c>
      <c r="L14">
        <f>$C$14/100*$E$14</f>
        <v/>
      </c>
      <c r="M14">
        <f>Kinh_te_suy_ra!$M$16+Kinh_te_suy_ra!$Q$16*$L$14</f>
        <v/>
      </c>
      <c r="N14">
        <f>IF(ISNUMBER(Kinh_te_suy_ra!$O$16),Kinh_te_suy_ra!$O$16+Kinh_te_suy_ra!$S$16*$L$14,0)</f>
        <v/>
      </c>
      <c r="O14">
        <f>$M$14+$F$14+$H$14</f>
        <v/>
      </c>
      <c r="P14">
        <f>$N$14+$G$14+$I$14</f>
        <v/>
      </c>
      <c r="Q14">
        <f>$P$14/MAX(0.000001,$O$14)</f>
        <v/>
      </c>
      <c r="R14">
        <f>($Q$14-1)*100</f>
        <v/>
      </c>
      <c r="S14">
        <f>IF($D$14,IF(ABS($R$14)&gt;30,"RED",IF(ABS($R$14)&gt;20,"YELLOW","GREEN")),"THEO_VAI")</f>
        <v/>
      </c>
      <c r="T14" t="inlineStr">
        <is>
          <t>Tools/audit/mode_static_audit.py MODES['Deathmatch'] + 04_che_do_kinh_te_ai/Kinh_te_suy_ra (deathmatch/Normal)</t>
        </is>
      </c>
      <c r="U14" t="inlineStr"/>
    </row>
    <row r="15">
      <c r="A15" t="inlineStr">
        <is>
          <t>deathmatch/50</t>
        </is>
      </c>
      <c r="B15" t="inlineStr">
        <is>
          <t>deathmatch</t>
        </is>
      </c>
      <c r="C15" t="n">
        <v>50</v>
      </c>
      <c r="D15" t="b">
        <v>1</v>
      </c>
      <c r="E15" t="n">
        <v>450</v>
      </c>
      <c r="F15" t="n">
        <v>0</v>
      </c>
      <c r="G15" t="n">
        <v>0</v>
      </c>
      <c r="H15" t="n">
        <v>0</v>
      </c>
      <c r="I15" t="n">
        <v>0</v>
      </c>
      <c r="J15" t="n">
        <v>26.09230769230769</v>
      </c>
      <c r="K15" t="n">
        <v>25.90769230769231</v>
      </c>
      <c r="L15">
        <f>$C$15/100*$E$15</f>
        <v/>
      </c>
      <c r="M15">
        <f>Kinh_te_suy_ra!$M$16+Kinh_te_suy_ra!$Q$16*$L$15</f>
        <v/>
      </c>
      <c r="N15">
        <f>IF(ISNUMBER(Kinh_te_suy_ra!$O$16),Kinh_te_suy_ra!$O$16+Kinh_te_suy_ra!$S$16*$L$15,0)</f>
        <v/>
      </c>
      <c r="O15">
        <f>$M$15+$F$15+$H$15</f>
        <v/>
      </c>
      <c r="P15">
        <f>$N$15+$G$15+$I$15</f>
        <v/>
      </c>
      <c r="Q15">
        <f>$P$15/MAX(0.000001,$O$15)</f>
        <v/>
      </c>
      <c r="R15">
        <f>($Q$15-1)*100</f>
        <v/>
      </c>
      <c r="S15">
        <f>IF($D$15,IF(ABS($R$15)&gt;30,"RED",IF(ABS($R$15)&gt;20,"YELLOW","GREEN")),"THEO_VAI")</f>
        <v/>
      </c>
      <c r="T15" t="inlineStr">
        <is>
          <t>Tools/audit/mode_static_audit.py MODES['Deathmatch'] + 04_che_do_kinh_te_ai/Kinh_te_suy_ra (deathmatch/Normal)</t>
        </is>
      </c>
      <c r="U15" t="inlineStr"/>
    </row>
    <row r="16">
      <c r="A16" t="inlineStr">
        <is>
          <t>deathmatch/75</t>
        </is>
      </c>
      <c r="B16" t="inlineStr">
        <is>
          <t>deathmatch</t>
        </is>
      </c>
      <c r="C16" t="n">
        <v>75</v>
      </c>
      <c r="D16" t="b">
        <v>1</v>
      </c>
      <c r="E16" t="n">
        <v>450</v>
      </c>
      <c r="F16" t="n">
        <v>0</v>
      </c>
      <c r="G16" t="n">
        <v>0</v>
      </c>
      <c r="H16" t="n">
        <v>0</v>
      </c>
      <c r="I16" t="n">
        <v>0</v>
      </c>
      <c r="J16" t="n">
        <v>26.09230769230769</v>
      </c>
      <c r="K16" t="n">
        <v>25.90769230769231</v>
      </c>
      <c r="L16">
        <f>$C$16/100*$E$16</f>
        <v/>
      </c>
      <c r="M16">
        <f>Kinh_te_suy_ra!$M$16+Kinh_te_suy_ra!$Q$16*$L$16</f>
        <v/>
      </c>
      <c r="N16">
        <f>IF(ISNUMBER(Kinh_te_suy_ra!$O$16),Kinh_te_suy_ra!$O$16+Kinh_te_suy_ra!$S$16*$L$16,0)</f>
        <v/>
      </c>
      <c r="O16">
        <f>$M$16+$F$16+$H$16</f>
        <v/>
      </c>
      <c r="P16">
        <f>$N$16+$G$16+$I$16</f>
        <v/>
      </c>
      <c r="Q16">
        <f>$P$16/MAX(0.000001,$O$16)</f>
        <v/>
      </c>
      <c r="R16">
        <f>($Q$16-1)*100</f>
        <v/>
      </c>
      <c r="S16">
        <f>IF($D$16,IF(ABS($R$16)&gt;30,"RED",IF(ABS($R$16)&gt;20,"YELLOW","GREEN")),"THEO_VAI")</f>
        <v/>
      </c>
      <c r="T16" t="inlineStr">
        <is>
          <t>Tools/audit/mode_static_audit.py MODES['Deathmatch'] + 04_che_do_kinh_te_ai/Kinh_te_suy_ra (deathmatch/Normal)</t>
        </is>
      </c>
      <c r="U16" t="inlineStr"/>
    </row>
    <row r="17">
      <c r="A17" t="inlineStr">
        <is>
          <t>deathmatch/100</t>
        </is>
      </c>
      <c r="B17" t="inlineStr">
        <is>
          <t>deathmatch</t>
        </is>
      </c>
      <c r="C17" t="n">
        <v>100</v>
      </c>
      <c r="D17" t="b">
        <v>1</v>
      </c>
      <c r="E17" t="n">
        <v>450</v>
      </c>
      <c r="F17" t="n">
        <v>0</v>
      </c>
      <c r="G17" t="n">
        <v>0</v>
      </c>
      <c r="H17" t="n">
        <v>0</v>
      </c>
      <c r="I17" t="n">
        <v>0</v>
      </c>
      <c r="J17" t="n">
        <v>26.09230769230769</v>
      </c>
      <c r="K17" t="n">
        <v>25.90769230769231</v>
      </c>
      <c r="L17">
        <f>$C$17/100*$E$17</f>
        <v/>
      </c>
      <c r="M17">
        <f>Kinh_te_suy_ra!$M$16+Kinh_te_suy_ra!$Q$16*$L$17</f>
        <v/>
      </c>
      <c r="N17">
        <f>IF(ISNUMBER(Kinh_te_suy_ra!$O$16),Kinh_te_suy_ra!$O$16+Kinh_te_suy_ra!$S$16*$L$17,0)</f>
        <v/>
      </c>
      <c r="O17">
        <f>$M$17+$F$17+$H$17</f>
        <v/>
      </c>
      <c r="P17">
        <f>$N$17+$G$17+$I$17</f>
        <v/>
      </c>
      <c r="Q17">
        <f>$P$17/MAX(0.000001,$O$17)</f>
        <v/>
      </c>
      <c r="R17">
        <f>($Q$17-1)*100</f>
        <v/>
      </c>
      <c r="S17">
        <f>IF($D$17,IF(ABS($R$17)&gt;30,"RED",IF(ABS($R$17)&gt;20,"YELLOW","GREEN")),"THEO_VAI")</f>
        <v/>
      </c>
      <c r="T17" t="inlineStr">
        <is>
          <t>Tools/audit/mode_static_audit.py MODES['Deathmatch'] + 04_che_do_kinh_te_ai/Kinh_te_suy_ra (deathmatch/Normal)</t>
        </is>
      </c>
      <c r="U17" t="inlineStr"/>
    </row>
    <row r="18">
      <c r="A18" t="inlineStr">
        <is>
          <t>defend/25</t>
        </is>
      </c>
      <c r="B18" t="inlineStr">
        <is>
          <t>defend</t>
        </is>
      </c>
      <c r="C18" t="n">
        <v>25</v>
      </c>
      <c r="D18" t="b">
        <v>0</v>
      </c>
      <c r="E18" t="n">
        <v>720</v>
      </c>
      <c r="F18" t="n">
        <v>0</v>
      </c>
      <c r="G18" t="n">
        <v>59.9625</v>
      </c>
      <c r="H18" t="n">
        <v>133.0011477705853</v>
      </c>
      <c r="I18" t="n">
        <v>0</v>
      </c>
      <c r="J18" t="n">
        <v>27.90769230769231</v>
      </c>
      <c r="K18" t="n">
        <v>52.56923076923077</v>
      </c>
      <c r="L18">
        <f>$C$18/100*$E$18</f>
        <v/>
      </c>
      <c r="M18">
        <f>Kinh_te_suy_ra!$M$20+Kinh_te_suy_ra!$Q$20*$L$18</f>
        <v/>
      </c>
      <c r="N18">
        <f>IF(ISNUMBER(Kinh_te_suy_ra!$O$20),Kinh_te_suy_ra!$O$20+Kinh_te_suy_ra!$S$20*$L$18,0)</f>
        <v/>
      </c>
      <c r="O18">
        <f>$M$18+$F$18+$H$18</f>
        <v/>
      </c>
      <c r="P18">
        <f>$N$18+$G$18+$I$18</f>
        <v/>
      </c>
      <c r="Q18">
        <f>$P$18/MAX(0.000001,$O$18)</f>
        <v/>
      </c>
      <c r="R18">
        <f>($Q$18-1)*100</f>
        <v/>
      </c>
      <c r="S18">
        <f>IF($D$18,IF(ABS($R$18)&gt;30,"RED",IF(ABS($R$18)&gt;20,"YELLOW","GREEN")),"THEO_VAI")</f>
        <v/>
      </c>
      <c r="T18" t="inlineStr">
        <is>
          <t>Tools/audit/mode_static_audit.py MODES['Defend'] + 04_che_do_kinh_te_ai/Kinh_te_suy_ra (defend/Normal)</t>
        </is>
      </c>
      <c r="U18" t="inlineStr"/>
    </row>
    <row r="19">
      <c r="A19" t="inlineStr">
        <is>
          <t>defend/50</t>
        </is>
      </c>
      <c r="B19" t="inlineStr">
        <is>
          <t>defend</t>
        </is>
      </c>
      <c r="C19" t="n">
        <v>50</v>
      </c>
      <c r="D19" t="b">
        <v>0</v>
      </c>
      <c r="E19" t="n">
        <v>720</v>
      </c>
      <c r="F19" t="n">
        <v>0</v>
      </c>
      <c r="G19" t="n">
        <v>253.6875</v>
      </c>
      <c r="H19" t="n">
        <v>133.0011477705853</v>
      </c>
      <c r="I19" t="n">
        <v>0</v>
      </c>
      <c r="J19" t="n">
        <v>27.90769230769231</v>
      </c>
      <c r="K19" t="n">
        <v>52.56923076923077</v>
      </c>
      <c r="L19">
        <f>$C$19/100*$E$19</f>
        <v/>
      </c>
      <c r="M19">
        <f>Kinh_te_suy_ra!$M$20+Kinh_te_suy_ra!$Q$20*$L$19</f>
        <v/>
      </c>
      <c r="N19">
        <f>IF(ISNUMBER(Kinh_te_suy_ra!$O$20),Kinh_te_suy_ra!$O$20+Kinh_te_suy_ra!$S$20*$L$19,0)</f>
        <v/>
      </c>
      <c r="O19">
        <f>$M$19+$F$19+$H$19</f>
        <v/>
      </c>
      <c r="P19">
        <f>$N$19+$G$19+$I$19</f>
        <v/>
      </c>
      <c r="Q19">
        <f>$P$19/MAX(0.000001,$O$19)</f>
        <v/>
      </c>
      <c r="R19">
        <f>($Q$19-1)*100</f>
        <v/>
      </c>
      <c r="S19">
        <f>IF($D$19,IF(ABS($R$19)&gt;30,"RED",IF(ABS($R$19)&gt;20,"YELLOW","GREEN")),"THEO_VAI")</f>
        <v/>
      </c>
      <c r="T19" t="inlineStr">
        <is>
          <t>Tools/audit/mode_static_audit.py MODES['Defend'] + 04_che_do_kinh_te_ai/Kinh_te_suy_ra (defend/Normal)</t>
        </is>
      </c>
      <c r="U19" t="inlineStr"/>
    </row>
    <row r="20">
      <c r="A20" t="inlineStr">
        <is>
          <t>defend/75</t>
        </is>
      </c>
      <c r="B20" t="inlineStr">
        <is>
          <t>defend</t>
        </is>
      </c>
      <c r="C20" t="n">
        <v>75</v>
      </c>
      <c r="D20" t="b">
        <v>0</v>
      </c>
      <c r="E20" t="n">
        <v>720</v>
      </c>
      <c r="F20" t="n">
        <v>0</v>
      </c>
      <c r="G20" t="n">
        <v>452.025</v>
      </c>
      <c r="H20" t="n">
        <v>133.0011477705853</v>
      </c>
      <c r="I20" t="n">
        <v>0</v>
      </c>
      <c r="J20" t="n">
        <v>27.90769230769231</v>
      </c>
      <c r="K20" t="n">
        <v>52.56923076923077</v>
      </c>
      <c r="L20">
        <f>$C$20/100*$E$20</f>
        <v/>
      </c>
      <c r="M20">
        <f>Kinh_te_suy_ra!$M$20+Kinh_te_suy_ra!$Q$20*$L$20</f>
        <v/>
      </c>
      <c r="N20">
        <f>IF(ISNUMBER(Kinh_te_suy_ra!$O$20),Kinh_te_suy_ra!$O$20+Kinh_te_suy_ra!$S$20*$L$20,0)</f>
        <v/>
      </c>
      <c r="O20">
        <f>$M$20+$F$20+$H$20</f>
        <v/>
      </c>
      <c r="P20">
        <f>$N$20+$G$20+$I$20</f>
        <v/>
      </c>
      <c r="Q20">
        <f>$P$20/MAX(0.000001,$O$20)</f>
        <v/>
      </c>
      <c r="R20">
        <f>($Q$20-1)*100</f>
        <v/>
      </c>
      <c r="S20">
        <f>IF($D$20,IF(ABS($R$20)&gt;30,"RED",IF(ABS($R$20)&gt;20,"YELLOW","GREEN")),"THEO_VAI")</f>
        <v/>
      </c>
      <c r="T20" t="inlineStr">
        <is>
          <t>Tools/audit/mode_static_audit.py MODES['Defend'] + 04_che_do_kinh_te_ai/Kinh_te_suy_ra (defend/Normal)</t>
        </is>
      </c>
      <c r="U20" t="inlineStr"/>
    </row>
    <row r="21">
      <c r="A21" t="inlineStr">
        <is>
          <t>defend/100</t>
        </is>
      </c>
      <c r="B21" t="inlineStr">
        <is>
          <t>defend</t>
        </is>
      </c>
      <c r="C21" t="n">
        <v>100</v>
      </c>
      <c r="D21" t="b">
        <v>0</v>
      </c>
      <c r="E21" t="n">
        <v>720</v>
      </c>
      <c r="F21" t="n">
        <v>0</v>
      </c>
      <c r="G21" t="n">
        <v>853.3124999999999</v>
      </c>
      <c r="H21" t="n">
        <v>133.0011477705853</v>
      </c>
      <c r="I21" t="n">
        <v>0</v>
      </c>
      <c r="J21" t="n">
        <v>27.90769230769231</v>
      </c>
      <c r="K21" t="n">
        <v>52.56923076923077</v>
      </c>
      <c r="L21">
        <f>$C$21/100*$E$21</f>
        <v/>
      </c>
      <c r="M21">
        <f>Kinh_te_suy_ra!$M$20+Kinh_te_suy_ra!$Q$20*$L$21</f>
        <v/>
      </c>
      <c r="N21">
        <f>IF(ISNUMBER(Kinh_te_suy_ra!$O$20),Kinh_te_suy_ra!$O$20+Kinh_te_suy_ra!$S$20*$L$21,0)</f>
        <v/>
      </c>
      <c r="O21">
        <f>$M$21+$F$21+$H$21</f>
        <v/>
      </c>
      <c r="P21">
        <f>$N$21+$G$21+$I$21</f>
        <v/>
      </c>
      <c r="Q21">
        <f>$P$21/MAX(0.000001,$O$21)</f>
        <v/>
      </c>
      <c r="R21">
        <f>($Q$21-1)*100</f>
        <v/>
      </c>
      <c r="S21">
        <f>IF($D$21,IF(ABS($R$21)&gt;30,"RED",IF(ABS($R$21)&gt;20,"YELLOW","GREEN")),"THEO_VAI")</f>
        <v/>
      </c>
      <c r="T21" t="inlineStr">
        <is>
          <t>Tools/audit/mode_static_audit.py MODES['Defend'] + 04_che_do_kinh_te_ai/Kinh_te_suy_ra (defend/Normal)</t>
        </is>
      </c>
      <c r="U21" t="inlineStr"/>
    </row>
    <row r="22">
      <c r="A22" t="inlineStr">
        <is>
          <t>hill/25</t>
        </is>
      </c>
      <c r="B22" t="inlineStr">
        <is>
          <t>hill</t>
        </is>
      </c>
      <c r="C22" t="n">
        <v>25</v>
      </c>
      <c r="D22" t="b">
        <v>1</v>
      </c>
      <c r="E22" t="n">
        <v>450</v>
      </c>
      <c r="F22" t="n">
        <v>0</v>
      </c>
      <c r="G22" t="n">
        <v>0</v>
      </c>
      <c r="H22" t="n">
        <v>0</v>
      </c>
      <c r="I22" t="n">
        <v>0</v>
      </c>
      <c r="J22" t="n">
        <v>26.09230769230769</v>
      </c>
      <c r="K22" t="n">
        <v>25.90769230769231</v>
      </c>
      <c r="L22">
        <f>$C$22/100*$E$22</f>
        <v/>
      </c>
      <c r="M22">
        <f>Kinh_te_suy_ra!$M$28+Kinh_te_suy_ra!$Q$28*$L$22</f>
        <v/>
      </c>
      <c r="N22">
        <f>IF(ISNUMBER(Kinh_te_suy_ra!$O$28),Kinh_te_suy_ra!$O$28+Kinh_te_suy_ra!$S$28*$L$22,0)</f>
        <v/>
      </c>
      <c r="O22">
        <f>$M$22+$F$22+$H$22</f>
        <v/>
      </c>
      <c r="P22">
        <f>$N$22+$G$22+$I$22</f>
        <v/>
      </c>
      <c r="Q22">
        <f>$P$22/MAX(0.000001,$O$22)</f>
        <v/>
      </c>
      <c r="R22">
        <f>($Q$22-1)*100</f>
        <v/>
      </c>
      <c r="S22">
        <f>IF($D$22,IF(ABS($R$22)&gt;30,"RED",IF(ABS($R$22)&gt;20,"YELLOW","GREEN")),"THEO_VAI")</f>
        <v/>
      </c>
      <c r="T22" t="inlineStr">
        <is>
          <t>Tools/audit/mode_static_audit.py MODES['KingOfTheHill'] + 04_che_do_kinh_te_ai/Kinh_te_suy_ra (hill/Normal)</t>
        </is>
      </c>
      <c r="U22" t="inlineStr"/>
    </row>
    <row r="23">
      <c r="A23" t="inlineStr">
        <is>
          <t>hill/50</t>
        </is>
      </c>
      <c r="B23" t="inlineStr">
        <is>
          <t>hill</t>
        </is>
      </c>
      <c r="C23" t="n">
        <v>50</v>
      </c>
      <c r="D23" t="b">
        <v>1</v>
      </c>
      <c r="E23" t="n">
        <v>450</v>
      </c>
      <c r="F23" t="n">
        <v>0</v>
      </c>
      <c r="G23" t="n">
        <v>0</v>
      </c>
      <c r="H23" t="n">
        <v>0</v>
      </c>
      <c r="I23" t="n">
        <v>0</v>
      </c>
      <c r="J23" t="n">
        <v>26.09230769230769</v>
      </c>
      <c r="K23" t="n">
        <v>25.90769230769231</v>
      </c>
      <c r="L23">
        <f>$C$23/100*$E$23</f>
        <v/>
      </c>
      <c r="M23">
        <f>Kinh_te_suy_ra!$M$28+Kinh_te_suy_ra!$Q$28*$L$23</f>
        <v/>
      </c>
      <c r="N23">
        <f>IF(ISNUMBER(Kinh_te_suy_ra!$O$28),Kinh_te_suy_ra!$O$28+Kinh_te_suy_ra!$S$28*$L$23,0)</f>
        <v/>
      </c>
      <c r="O23">
        <f>$M$23+$F$23+$H$23</f>
        <v/>
      </c>
      <c r="P23">
        <f>$N$23+$G$23+$I$23</f>
        <v/>
      </c>
      <c r="Q23">
        <f>$P$23/MAX(0.000001,$O$23)</f>
        <v/>
      </c>
      <c r="R23">
        <f>($Q$23-1)*100</f>
        <v/>
      </c>
      <c r="S23">
        <f>IF($D$23,IF(ABS($R$23)&gt;30,"RED",IF(ABS($R$23)&gt;20,"YELLOW","GREEN")),"THEO_VAI")</f>
        <v/>
      </c>
      <c r="T23" t="inlineStr">
        <is>
          <t>Tools/audit/mode_static_audit.py MODES['KingOfTheHill'] + 04_che_do_kinh_te_ai/Kinh_te_suy_ra (hill/Normal)</t>
        </is>
      </c>
      <c r="U23" t="inlineStr"/>
    </row>
    <row r="24">
      <c r="A24" t="inlineStr">
        <is>
          <t>hill/75</t>
        </is>
      </c>
      <c r="B24" t="inlineStr">
        <is>
          <t>hill</t>
        </is>
      </c>
      <c r="C24" t="n">
        <v>75</v>
      </c>
      <c r="D24" t="b">
        <v>1</v>
      </c>
      <c r="E24" t="n">
        <v>450</v>
      </c>
      <c r="F24" t="n">
        <v>0</v>
      </c>
      <c r="G24" t="n">
        <v>0</v>
      </c>
      <c r="H24" t="n">
        <v>0</v>
      </c>
      <c r="I24" t="n">
        <v>0</v>
      </c>
      <c r="J24" t="n">
        <v>26.09230769230769</v>
      </c>
      <c r="K24" t="n">
        <v>25.90769230769231</v>
      </c>
      <c r="L24">
        <f>$C$24/100*$E$24</f>
        <v/>
      </c>
      <c r="M24">
        <f>Kinh_te_suy_ra!$M$28+Kinh_te_suy_ra!$Q$28*$L$24</f>
        <v/>
      </c>
      <c r="N24">
        <f>IF(ISNUMBER(Kinh_te_suy_ra!$O$28),Kinh_te_suy_ra!$O$28+Kinh_te_suy_ra!$S$28*$L$24,0)</f>
        <v/>
      </c>
      <c r="O24">
        <f>$M$24+$F$24+$H$24</f>
        <v/>
      </c>
      <c r="P24">
        <f>$N$24+$G$24+$I$24</f>
        <v/>
      </c>
      <c r="Q24">
        <f>$P$24/MAX(0.000001,$O$24)</f>
        <v/>
      </c>
      <c r="R24">
        <f>($Q$24-1)*100</f>
        <v/>
      </c>
      <c r="S24">
        <f>IF($D$24,IF(ABS($R$24)&gt;30,"RED",IF(ABS($R$24)&gt;20,"YELLOW","GREEN")),"THEO_VAI")</f>
        <v/>
      </c>
      <c r="T24" t="inlineStr">
        <is>
          <t>Tools/audit/mode_static_audit.py MODES['KingOfTheHill'] + 04_che_do_kinh_te_ai/Kinh_te_suy_ra (hill/Normal)</t>
        </is>
      </c>
      <c r="U24" t="inlineStr"/>
    </row>
    <row r="25">
      <c r="A25" t="inlineStr">
        <is>
          <t>hill/100</t>
        </is>
      </c>
      <c r="B25" t="inlineStr">
        <is>
          <t>hill</t>
        </is>
      </c>
      <c r="C25" t="n">
        <v>100</v>
      </c>
      <c r="D25" t="b">
        <v>1</v>
      </c>
      <c r="E25" t="n">
        <v>450</v>
      </c>
      <c r="F25" t="n">
        <v>0</v>
      </c>
      <c r="G25" t="n">
        <v>0</v>
      </c>
      <c r="H25" t="n">
        <v>0</v>
      </c>
      <c r="I25" t="n">
        <v>0</v>
      </c>
      <c r="J25" t="n">
        <v>26.09230769230769</v>
      </c>
      <c r="K25" t="n">
        <v>25.90769230769231</v>
      </c>
      <c r="L25">
        <f>$C$25/100*$E$25</f>
        <v/>
      </c>
      <c r="M25">
        <f>Kinh_te_suy_ra!$M$28+Kinh_te_suy_ra!$Q$28*$L$25</f>
        <v/>
      </c>
      <c r="N25">
        <f>IF(ISNUMBER(Kinh_te_suy_ra!$O$28),Kinh_te_suy_ra!$O$28+Kinh_te_suy_ra!$S$28*$L$25,0)</f>
        <v/>
      </c>
      <c r="O25">
        <f>$M$25+$F$25+$H$25</f>
        <v/>
      </c>
      <c r="P25">
        <f>$N$25+$G$25+$I$25</f>
        <v/>
      </c>
      <c r="Q25">
        <f>$P$25/MAX(0.000001,$O$25)</f>
        <v/>
      </c>
      <c r="R25">
        <f>($Q$25-1)*100</f>
        <v/>
      </c>
      <c r="S25">
        <f>IF($D$25,IF(ABS($R$25)&gt;30,"RED",IF(ABS($R$25)&gt;20,"YELLOW","GREEN")),"THEO_VAI")</f>
        <v/>
      </c>
      <c r="T25" t="inlineStr">
        <is>
          <t>Tools/audit/mode_static_audit.py MODES['KingOfTheHill'] + 04_che_do_kinh_te_ai/Kinh_te_suy_ra (hill/Normal)</t>
        </is>
      </c>
      <c r="U25" t="inlineStr"/>
    </row>
    <row r="26">
      <c r="A26" t="inlineStr">
        <is>
          <t>siege/25</t>
        </is>
      </c>
      <c r="B26" t="inlineStr">
        <is>
          <t>siege</t>
        </is>
      </c>
      <c r="C26" t="n">
        <v>25</v>
      </c>
      <c r="D26" t="b">
        <v>0</v>
      </c>
      <c r="E26" t="n">
        <v>750</v>
      </c>
      <c r="F26" t="n">
        <v>0</v>
      </c>
      <c r="G26" t="n">
        <v>0</v>
      </c>
      <c r="H26" t="n">
        <v>0</v>
      </c>
      <c r="I26" t="n">
        <v>589.0050829840205</v>
      </c>
      <c r="J26" t="n">
        <v>53.95384615384615</v>
      </c>
      <c r="K26" t="n">
        <v>2.846153846153846</v>
      </c>
      <c r="L26">
        <f>$C$26/100*$E$26</f>
        <v/>
      </c>
      <c r="M26">
        <f>Kinh_te_suy_ra!$M$36+Kinh_te_suy_ra!$Q$36*$L$26</f>
        <v/>
      </c>
      <c r="N26">
        <f>IF(ISNUMBER(Kinh_te_suy_ra!$O$36),Kinh_te_suy_ra!$O$36+Kinh_te_suy_ra!$S$36*$L$26,0)</f>
        <v/>
      </c>
      <c r="O26">
        <f>$M$26+$F$26+$H$26</f>
        <v/>
      </c>
      <c r="P26">
        <f>$N$26+$G$26+$I$26</f>
        <v/>
      </c>
      <c r="Q26">
        <f>$P$26/MAX(0.000001,$O$26)</f>
        <v/>
      </c>
      <c r="R26">
        <f>($Q$26-1)*100</f>
        <v/>
      </c>
      <c r="S26">
        <f>IF($D$26,IF(ABS($R$26)&gt;30,"RED",IF(ABS($R$26)&gt;20,"YELLOW","GREEN")),"THEO_VAI")</f>
        <v/>
      </c>
      <c r="T26" t="inlineStr">
        <is>
          <t>Tools/audit/mode_static_audit.py MODES['Siege'] + 04_che_do_kinh_te_ai/Kinh_te_suy_ra (siege/Normal)</t>
        </is>
      </c>
      <c r="U26" t="inlineStr"/>
    </row>
    <row r="27">
      <c r="A27" t="inlineStr">
        <is>
          <t>siege/50</t>
        </is>
      </c>
      <c r="B27" t="inlineStr">
        <is>
          <t>siege</t>
        </is>
      </c>
      <c r="C27" t="n">
        <v>50</v>
      </c>
      <c r="D27" t="b">
        <v>0</v>
      </c>
      <c r="E27" t="n">
        <v>750</v>
      </c>
      <c r="F27" t="n">
        <v>0</v>
      </c>
      <c r="G27" t="n">
        <v>0</v>
      </c>
      <c r="H27" t="n">
        <v>0</v>
      </c>
      <c r="I27" t="n">
        <v>589.0050829840205</v>
      </c>
      <c r="J27" t="n">
        <v>53.95384615384615</v>
      </c>
      <c r="K27" t="n">
        <v>2.846153846153846</v>
      </c>
      <c r="L27">
        <f>$C$27/100*$E$27</f>
        <v/>
      </c>
      <c r="M27">
        <f>Kinh_te_suy_ra!$M$36+Kinh_te_suy_ra!$Q$36*$L$27</f>
        <v/>
      </c>
      <c r="N27">
        <f>IF(ISNUMBER(Kinh_te_suy_ra!$O$36),Kinh_te_suy_ra!$O$36+Kinh_te_suy_ra!$S$36*$L$27,0)</f>
        <v/>
      </c>
      <c r="O27">
        <f>$M$27+$F$27+$H$27</f>
        <v/>
      </c>
      <c r="P27">
        <f>$N$27+$G$27+$I$27</f>
        <v/>
      </c>
      <c r="Q27">
        <f>$P$27/MAX(0.000001,$O$27)</f>
        <v/>
      </c>
      <c r="R27">
        <f>($Q$27-1)*100</f>
        <v/>
      </c>
      <c r="S27">
        <f>IF($D$27,IF(ABS($R$27)&gt;30,"RED",IF(ABS($R$27)&gt;20,"YELLOW","GREEN")),"THEO_VAI")</f>
        <v/>
      </c>
      <c r="T27" t="inlineStr">
        <is>
          <t>Tools/audit/mode_static_audit.py MODES['Siege'] + 04_che_do_kinh_te_ai/Kinh_te_suy_ra (siege/Normal)</t>
        </is>
      </c>
      <c r="U27" t="inlineStr"/>
    </row>
    <row r="28">
      <c r="A28" t="inlineStr">
        <is>
          <t>siege/75</t>
        </is>
      </c>
      <c r="B28" t="inlineStr">
        <is>
          <t>siege</t>
        </is>
      </c>
      <c r="C28" t="n">
        <v>75</v>
      </c>
      <c r="D28" t="b">
        <v>0</v>
      </c>
      <c r="E28" t="n">
        <v>750</v>
      </c>
      <c r="F28" t="n">
        <v>0</v>
      </c>
      <c r="G28" t="n">
        <v>0</v>
      </c>
      <c r="H28" t="n">
        <v>0</v>
      </c>
      <c r="I28" t="n">
        <v>589.0050829840205</v>
      </c>
      <c r="J28" t="n">
        <v>53.95384615384615</v>
      </c>
      <c r="K28" t="n">
        <v>2.846153846153846</v>
      </c>
      <c r="L28">
        <f>$C$28/100*$E$28</f>
        <v/>
      </c>
      <c r="M28">
        <f>Kinh_te_suy_ra!$M$36+Kinh_te_suy_ra!$Q$36*$L$28</f>
        <v/>
      </c>
      <c r="N28">
        <f>IF(ISNUMBER(Kinh_te_suy_ra!$O$36),Kinh_te_suy_ra!$O$36+Kinh_te_suy_ra!$S$36*$L$28,0)</f>
        <v/>
      </c>
      <c r="O28">
        <f>$M$28+$F$28+$H$28</f>
        <v/>
      </c>
      <c r="P28">
        <f>$N$28+$G$28+$I$28</f>
        <v/>
      </c>
      <c r="Q28">
        <f>$P$28/MAX(0.000001,$O$28)</f>
        <v/>
      </c>
      <c r="R28">
        <f>($Q$28-1)*100</f>
        <v/>
      </c>
      <c r="S28">
        <f>IF($D$28,IF(ABS($R$28)&gt;30,"RED",IF(ABS($R$28)&gt;20,"YELLOW","GREEN")),"THEO_VAI")</f>
        <v/>
      </c>
      <c r="T28" t="inlineStr">
        <is>
          <t>Tools/audit/mode_static_audit.py MODES['Siege'] + 04_che_do_kinh_te_ai/Kinh_te_suy_ra (siege/Normal)</t>
        </is>
      </c>
      <c r="U28" t="inlineStr"/>
    </row>
    <row r="29">
      <c r="A29" t="inlineStr">
        <is>
          <t>siege/100</t>
        </is>
      </c>
      <c r="B29" t="inlineStr">
        <is>
          <t>siege</t>
        </is>
      </c>
      <c r="C29" t="n">
        <v>100</v>
      </c>
      <c r="D29" t="b">
        <v>0</v>
      </c>
      <c r="E29" t="n">
        <v>750</v>
      </c>
      <c r="F29" t="n">
        <v>0</v>
      </c>
      <c r="G29" t="n">
        <v>0</v>
      </c>
      <c r="H29" t="n">
        <v>0</v>
      </c>
      <c r="I29" t="n">
        <v>589.0050829840205</v>
      </c>
      <c r="J29" t="n">
        <v>53.95384615384615</v>
      </c>
      <c r="K29" t="n">
        <v>2.846153846153846</v>
      </c>
      <c r="L29">
        <f>$C$29/100*$E$29</f>
        <v/>
      </c>
      <c r="M29">
        <f>Kinh_te_suy_ra!$M$36+Kinh_te_suy_ra!$Q$36*$L$29</f>
        <v/>
      </c>
      <c r="N29">
        <f>IF(ISNUMBER(Kinh_te_suy_ra!$O$36),Kinh_te_suy_ra!$O$36+Kinh_te_suy_ra!$S$36*$L$29,0)</f>
        <v/>
      </c>
      <c r="O29">
        <f>$M$29+$F$29+$H$29</f>
        <v/>
      </c>
      <c r="P29">
        <f>$N$29+$G$29+$I$29</f>
        <v/>
      </c>
      <c r="Q29">
        <f>$P$29/MAX(0.000001,$O$29)</f>
        <v/>
      </c>
      <c r="R29">
        <f>($Q$29-1)*100</f>
        <v/>
      </c>
      <c r="S29">
        <f>IF($D$29,IF(ABS($R$29)&gt;30,"RED",IF(ABS($R$29)&gt;20,"YELLOW","GREEN")),"THEO_VAI")</f>
        <v/>
      </c>
      <c r="T29" t="inlineStr">
        <is>
          <t>Tools/audit/mode_static_audit.py MODES['Siege'] + 04_che_do_kinh_te_ai/Kinh_te_suy_ra (siege/Normal)</t>
        </is>
      </c>
      <c r="U29" t="inlineStr"/>
    </row>
    <row r="30">
      <c r="A30" t="inlineStr">
        <is>
          <t>survival/25</t>
        </is>
      </c>
      <c r="B30" t="inlineStr">
        <is>
          <t>survival</t>
        </is>
      </c>
      <c r="C30" t="n">
        <v>25</v>
      </c>
      <c r="D30" t="b">
        <v>0</v>
      </c>
      <c r="E30" t="n">
        <v>600</v>
      </c>
      <c r="F30" t="n">
        <v>0</v>
      </c>
      <c r="G30" t="n">
        <v>404.0082797189625</v>
      </c>
      <c r="H30" t="n">
        <v>0</v>
      </c>
      <c r="I30" t="n">
        <v>0</v>
      </c>
      <c r="J30" t="n">
        <v>26.09230769230769</v>
      </c>
      <c r="K30" t="n">
        <v>25.90769230769231</v>
      </c>
      <c r="L30">
        <f>$C$30/100*$E$30</f>
        <v/>
      </c>
      <c r="M30">
        <f>Kinh_te_suy_ra!$M$40+Kinh_te_suy_ra!$Q$40*$L$30</f>
        <v/>
      </c>
      <c r="N30">
        <f>IF(ISNUMBER(Kinh_te_suy_ra!$O$40),Kinh_te_suy_ra!$O$40+Kinh_te_suy_ra!$S$40*$L$30,0)</f>
        <v/>
      </c>
      <c r="O30">
        <f>$M$30+$F$30+$H$30</f>
        <v/>
      </c>
      <c r="P30">
        <f>$N$30+$G$30+$I$30</f>
        <v/>
      </c>
      <c r="Q30">
        <f>$P$30/MAX(0.000001,$O$30)</f>
        <v/>
      </c>
      <c r="R30">
        <f>($Q$30-1)*100</f>
        <v/>
      </c>
      <c r="S30">
        <f>IF($D$30,IF(ABS($R$30)&gt;30,"RED",IF(ABS($R$30)&gt;20,"YELLOW","GREEN")),"THEO_VAI")</f>
        <v/>
      </c>
      <c r="T30" t="inlineStr">
        <is>
          <t>Tools/audit/mode_static_audit.py MODES['Survival'] + 04_che_do_kinh_te_ai/Kinh_te_suy_ra (survival/Normal)</t>
        </is>
      </c>
      <c r="U30" t="inlineStr"/>
    </row>
    <row r="31">
      <c r="A31" t="inlineStr">
        <is>
          <t>survival/50</t>
        </is>
      </c>
      <c r="B31" t="inlineStr">
        <is>
          <t>survival</t>
        </is>
      </c>
      <c r="C31" t="n">
        <v>50</v>
      </c>
      <c r="D31" t="b">
        <v>0</v>
      </c>
      <c r="E31" t="n">
        <v>600</v>
      </c>
      <c r="F31" t="n">
        <v>0</v>
      </c>
      <c r="G31" t="n">
        <v>1181.206659716385</v>
      </c>
      <c r="H31" t="n">
        <v>0</v>
      </c>
      <c r="I31" t="n">
        <v>0</v>
      </c>
      <c r="J31" t="n">
        <v>26.09230769230769</v>
      </c>
      <c r="K31" t="n">
        <v>25.90769230769231</v>
      </c>
      <c r="L31">
        <f>$C$31/100*$E$31</f>
        <v/>
      </c>
      <c r="M31">
        <f>Kinh_te_suy_ra!$M$40+Kinh_te_suy_ra!$Q$40*$L$31</f>
        <v/>
      </c>
      <c r="N31">
        <f>IF(ISNUMBER(Kinh_te_suy_ra!$O$40),Kinh_te_suy_ra!$O$40+Kinh_te_suy_ra!$S$40*$L$31,0)</f>
        <v/>
      </c>
      <c r="O31">
        <f>$M$31+$F$31+$H$31</f>
        <v/>
      </c>
      <c r="P31">
        <f>$N$31+$G$31+$I$31</f>
        <v/>
      </c>
      <c r="Q31">
        <f>$P$31/MAX(0.000001,$O$31)</f>
        <v/>
      </c>
      <c r="R31">
        <f>($Q$31-1)*100</f>
        <v/>
      </c>
      <c r="S31">
        <f>IF($D$31,IF(ABS($R$31)&gt;30,"RED",IF(ABS($R$31)&gt;20,"YELLOW","GREEN")),"THEO_VAI")</f>
        <v/>
      </c>
      <c r="T31" t="inlineStr">
        <is>
          <t>Tools/audit/mode_static_audit.py MODES['Survival'] + 04_che_do_kinh_te_ai/Kinh_te_suy_ra (survival/Normal)</t>
        </is>
      </c>
      <c r="U31" t="inlineStr"/>
    </row>
    <row r="32">
      <c r="A32" t="inlineStr">
        <is>
          <t>survival/75</t>
        </is>
      </c>
      <c r="B32" t="inlineStr">
        <is>
          <t>survival</t>
        </is>
      </c>
      <c r="C32" t="n">
        <v>75</v>
      </c>
      <c r="D32" t="b">
        <v>0</v>
      </c>
      <c r="E32" t="n">
        <v>600</v>
      </c>
      <c r="F32" t="n">
        <v>0</v>
      </c>
      <c r="G32" t="n">
        <v>1181.206659716385</v>
      </c>
      <c r="H32" t="n">
        <v>0</v>
      </c>
      <c r="I32" t="n">
        <v>0</v>
      </c>
      <c r="J32" t="n">
        <v>26.09230769230769</v>
      </c>
      <c r="K32" t="n">
        <v>25.90769230769231</v>
      </c>
      <c r="L32">
        <f>$C$32/100*$E$32</f>
        <v/>
      </c>
      <c r="M32">
        <f>Kinh_te_suy_ra!$M$40+Kinh_te_suy_ra!$Q$40*$L$32</f>
        <v/>
      </c>
      <c r="N32">
        <f>IF(ISNUMBER(Kinh_te_suy_ra!$O$40),Kinh_te_suy_ra!$O$40+Kinh_te_suy_ra!$S$40*$L$32,0)</f>
        <v/>
      </c>
      <c r="O32">
        <f>$M$32+$F$32+$H$32</f>
        <v/>
      </c>
      <c r="P32">
        <f>$N$32+$G$32+$I$32</f>
        <v/>
      </c>
      <c r="Q32">
        <f>$P$32/MAX(0.000001,$O$32)</f>
        <v/>
      </c>
      <c r="R32">
        <f>($Q$32-1)*100</f>
        <v/>
      </c>
      <c r="S32">
        <f>IF($D$32,IF(ABS($R$32)&gt;30,"RED",IF(ABS($R$32)&gt;20,"YELLOW","GREEN")),"THEO_VAI")</f>
        <v/>
      </c>
      <c r="T32" t="inlineStr">
        <is>
          <t>Tools/audit/mode_static_audit.py MODES['Survival'] + 04_che_do_kinh_te_ai/Kinh_te_suy_ra (survival/Normal)</t>
        </is>
      </c>
      <c r="U32" t="inlineStr"/>
    </row>
    <row r="33">
      <c r="A33" t="inlineStr">
        <is>
          <t>survival/100</t>
        </is>
      </c>
      <c r="B33" t="inlineStr">
        <is>
          <t>survival</t>
        </is>
      </c>
      <c r="C33" t="n">
        <v>100</v>
      </c>
      <c r="D33" t="b">
        <v>0</v>
      </c>
      <c r="E33" t="n">
        <v>600</v>
      </c>
      <c r="F33" t="n">
        <v>0</v>
      </c>
      <c r="G33" t="n">
        <v>1181.206659716385</v>
      </c>
      <c r="H33" t="n">
        <v>0</v>
      </c>
      <c r="I33" t="n">
        <v>0</v>
      </c>
      <c r="J33" t="n">
        <v>26.09230769230769</v>
      </c>
      <c r="K33" t="n">
        <v>25.90769230769231</v>
      </c>
      <c r="L33">
        <f>$C$33/100*$E$33</f>
        <v/>
      </c>
      <c r="M33">
        <f>Kinh_te_suy_ra!$M$40+Kinh_te_suy_ra!$Q$40*$L$33</f>
        <v/>
      </c>
      <c r="N33">
        <f>IF(ISNUMBER(Kinh_te_suy_ra!$O$40),Kinh_te_suy_ra!$O$40+Kinh_te_suy_ra!$S$40*$L$33,0)</f>
        <v/>
      </c>
      <c r="O33">
        <f>$M$33+$F$33+$H$33</f>
        <v/>
      </c>
      <c r="P33">
        <f>$N$33+$G$33+$I$33</f>
        <v/>
      </c>
      <c r="Q33">
        <f>$P$33/MAX(0.000001,$O$33)</f>
        <v/>
      </c>
      <c r="R33">
        <f>($Q$33-1)*100</f>
        <v/>
      </c>
      <c r="S33">
        <f>IF($D$33,IF(ABS($R$33)&gt;30,"RED",IF(ABS($R$33)&gt;20,"YELLOW","GREEN")),"THEO_VAI")</f>
        <v/>
      </c>
      <c r="T33" t="inlineStr">
        <is>
          <t>Tools/audit/mode_static_audit.py MODES['Survival'] + 04_che_do_kinh_te_ai/Kinh_te_suy_ra (survival/Normal)</t>
        </is>
      </c>
      <c r="U33" t="inlineStr"/>
    </row>
    <row r="34">
      <c r="A34" t="inlineStr">
        <is>
          <t>weekly/25</t>
        </is>
      </c>
      <c r="B34" t="inlineStr">
        <is>
          <t>weekly</t>
        </is>
      </c>
      <c r="C34" t="n">
        <v>25</v>
      </c>
      <c r="D34" t="b">
        <v>0</v>
      </c>
      <c r="E34" t="n">
        <v>750</v>
      </c>
      <c r="F34" t="n">
        <v>0</v>
      </c>
      <c r="G34" t="n">
        <v>0</v>
      </c>
      <c r="H34" t="n">
        <v>0</v>
      </c>
      <c r="I34" t="n">
        <v>589.0050829840205</v>
      </c>
      <c r="J34" t="n">
        <v>53.95384615384615</v>
      </c>
      <c r="K34" t="n">
        <v>2.846153846153846</v>
      </c>
      <c r="L34">
        <f>$C$34/100*$E$34</f>
        <v/>
      </c>
      <c r="M34">
        <f>Kinh_te_suy_ra!$M$44+Kinh_te_suy_ra!$Q$44*$L$34</f>
        <v/>
      </c>
      <c r="N34">
        <f>IF(ISNUMBER(Kinh_te_suy_ra!$O$44),Kinh_te_suy_ra!$O$44+Kinh_te_suy_ra!$S$44*$L$34,0)</f>
        <v/>
      </c>
      <c r="O34">
        <f>$M$34+$F$34+$H$34</f>
        <v/>
      </c>
      <c r="P34">
        <f>$N$34+$G$34+$I$34</f>
        <v/>
      </c>
      <c r="Q34">
        <f>$P$34/MAX(0.000001,$O$34)</f>
        <v/>
      </c>
      <c r="R34">
        <f>($Q$34-1)*100</f>
        <v/>
      </c>
      <c r="S34">
        <f>IF($D$34,IF(ABS($R$34)&gt;30,"RED",IF(ABS($R$34)&gt;20,"YELLOW","GREEN")),"THEO_VAI")</f>
        <v/>
      </c>
      <c r="T34" t="inlineStr">
        <is>
          <t>Tools/audit/mode_static_audit.py MODES['Weekly'] + 04_che_do_kinh_te_ai/Kinh_te_suy_ra (weekly/Normal)</t>
        </is>
      </c>
      <c r="U34" t="inlineStr"/>
    </row>
    <row r="35">
      <c r="A35" t="inlineStr">
        <is>
          <t>weekly/50</t>
        </is>
      </c>
      <c r="B35" t="inlineStr">
        <is>
          <t>weekly</t>
        </is>
      </c>
      <c r="C35" t="n">
        <v>50</v>
      </c>
      <c r="D35" t="b">
        <v>0</v>
      </c>
      <c r="E35" t="n">
        <v>750</v>
      </c>
      <c r="F35" t="n">
        <v>0</v>
      </c>
      <c r="G35" t="n">
        <v>0</v>
      </c>
      <c r="H35" t="n">
        <v>0</v>
      </c>
      <c r="I35" t="n">
        <v>589.0050829840205</v>
      </c>
      <c r="J35" t="n">
        <v>53.95384615384615</v>
      </c>
      <c r="K35" t="n">
        <v>2.846153846153846</v>
      </c>
      <c r="L35">
        <f>$C$35/100*$E$35</f>
        <v/>
      </c>
      <c r="M35">
        <f>Kinh_te_suy_ra!$M$44+Kinh_te_suy_ra!$Q$44*$L$35</f>
        <v/>
      </c>
      <c r="N35">
        <f>IF(ISNUMBER(Kinh_te_suy_ra!$O$44),Kinh_te_suy_ra!$O$44+Kinh_te_suy_ra!$S$44*$L$35,0)</f>
        <v/>
      </c>
      <c r="O35">
        <f>$M$35+$F$35+$H$35</f>
        <v/>
      </c>
      <c r="P35">
        <f>$N$35+$G$35+$I$35</f>
        <v/>
      </c>
      <c r="Q35">
        <f>$P$35/MAX(0.000001,$O$35)</f>
        <v/>
      </c>
      <c r="R35">
        <f>($Q$35-1)*100</f>
        <v/>
      </c>
      <c r="S35">
        <f>IF($D$35,IF(ABS($R$35)&gt;30,"RED",IF(ABS($R$35)&gt;20,"YELLOW","GREEN")),"THEO_VAI")</f>
        <v/>
      </c>
      <c r="T35" t="inlineStr">
        <is>
          <t>Tools/audit/mode_static_audit.py MODES['Weekly'] + 04_che_do_kinh_te_ai/Kinh_te_suy_ra (weekly/Normal)</t>
        </is>
      </c>
      <c r="U35" t="inlineStr"/>
    </row>
    <row r="36">
      <c r="A36" t="inlineStr">
        <is>
          <t>weekly/75</t>
        </is>
      </c>
      <c r="B36" t="inlineStr">
        <is>
          <t>weekly</t>
        </is>
      </c>
      <c r="C36" t="n">
        <v>75</v>
      </c>
      <c r="D36" t="b">
        <v>0</v>
      </c>
      <c r="E36" t="n">
        <v>750</v>
      </c>
      <c r="F36" t="n">
        <v>0</v>
      </c>
      <c r="G36" t="n">
        <v>0</v>
      </c>
      <c r="H36" t="n">
        <v>0</v>
      </c>
      <c r="I36" t="n">
        <v>589.0050829840205</v>
      </c>
      <c r="J36" t="n">
        <v>53.95384615384615</v>
      </c>
      <c r="K36" t="n">
        <v>2.846153846153846</v>
      </c>
      <c r="L36">
        <f>$C$36/100*$E$36</f>
        <v/>
      </c>
      <c r="M36">
        <f>Kinh_te_suy_ra!$M$44+Kinh_te_suy_ra!$Q$44*$L$36</f>
        <v/>
      </c>
      <c r="N36">
        <f>IF(ISNUMBER(Kinh_te_suy_ra!$O$44),Kinh_te_suy_ra!$O$44+Kinh_te_suy_ra!$S$44*$L$36,0)</f>
        <v/>
      </c>
      <c r="O36">
        <f>$M$36+$F$36+$H$36</f>
        <v/>
      </c>
      <c r="P36">
        <f>$N$36+$G$36+$I$36</f>
        <v/>
      </c>
      <c r="Q36">
        <f>$P$36/MAX(0.000001,$O$36)</f>
        <v/>
      </c>
      <c r="R36">
        <f>($Q$36-1)*100</f>
        <v/>
      </c>
      <c r="S36">
        <f>IF($D$36,IF(ABS($R$36)&gt;30,"RED",IF(ABS($R$36)&gt;20,"YELLOW","GREEN")),"THEO_VAI")</f>
        <v/>
      </c>
      <c r="T36" t="inlineStr">
        <is>
          <t>Tools/audit/mode_static_audit.py MODES['Weekly'] + 04_che_do_kinh_te_ai/Kinh_te_suy_ra (weekly/Normal)</t>
        </is>
      </c>
      <c r="U36" t="inlineStr"/>
    </row>
    <row r="37">
      <c r="A37" t="inlineStr">
        <is>
          <t>weekly/100</t>
        </is>
      </c>
      <c r="B37" t="inlineStr">
        <is>
          <t>weekly</t>
        </is>
      </c>
      <c r="C37" t="n">
        <v>100</v>
      </c>
      <c r="D37" t="b">
        <v>0</v>
      </c>
      <c r="E37" t="n">
        <v>750</v>
      </c>
      <c r="F37" t="n">
        <v>0</v>
      </c>
      <c r="G37" t="n">
        <v>0</v>
      </c>
      <c r="H37" t="n">
        <v>0</v>
      </c>
      <c r="I37" t="n">
        <v>589.0050829840205</v>
      </c>
      <c r="J37" t="n">
        <v>53.95384615384615</v>
      </c>
      <c r="K37" t="n">
        <v>2.846153846153846</v>
      </c>
      <c r="L37">
        <f>$C$37/100*$E$37</f>
        <v/>
      </c>
      <c r="M37">
        <f>Kinh_te_suy_ra!$M$44+Kinh_te_suy_ra!$Q$44*$L$37</f>
        <v/>
      </c>
      <c r="N37">
        <f>IF(ISNUMBER(Kinh_te_suy_ra!$O$44),Kinh_te_suy_ra!$O$44+Kinh_te_suy_ra!$S$44*$L$37,0)</f>
        <v/>
      </c>
      <c r="O37">
        <f>$M$37+$F$37+$H$37</f>
        <v/>
      </c>
      <c r="P37">
        <f>$N$37+$G$37+$I$37</f>
        <v/>
      </c>
      <c r="Q37">
        <f>$P$37/MAX(0.000001,$O$37)</f>
        <v/>
      </c>
      <c r="R37">
        <f>($Q$37-1)*100</f>
        <v/>
      </c>
      <c r="S37">
        <f>IF($D$37,IF(ABS($R$37)&gt;30,"RED",IF(ABS($R$37)&gt;20,"YELLOW","GREEN")),"THEO_VAI")</f>
        <v/>
      </c>
      <c r="T37" t="inlineStr">
        <is>
          <t>Tools/audit/mode_static_audit.py MODES['Weekly'] + 04_che_do_kinh_te_ai/Kinh_te_suy_ra (weekly/Normal)</t>
        </is>
      </c>
      <c r="U37" t="inlineStr"/>
    </row>
  </sheetData>
  <autoFilter ref="A1:U37"/>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9" customWidth="1" min="2" max="2"/>
    <col width="17" customWidth="1" min="3" max="3"/>
    <col width="10" customWidth="1" min="4" max="4"/>
    <col width="10" customWidth="1" min="5" max="5"/>
    <col width="17" customWidth="1" min="6" max="6"/>
    <col width="10" customWidth="1" min="7" max="7"/>
    <col width="12" customWidth="1" min="8" max="8"/>
    <col width="12" customWidth="1" min="9" max="9"/>
    <col width="14" customWidth="1" min="10" max="10"/>
    <col width="13" customWidth="1" min="11" max="11"/>
    <col width="17" customWidth="1" min="12" max="12"/>
    <col width="15" customWidth="1" min="13" max="13"/>
    <col width="15" customWidth="1" min="14" max="14"/>
    <col width="8" customWidth="1" min="15" max="15"/>
    <col width="9" customWidth="1" min="16" max="16"/>
    <col width="14" customWidth="1" min="17" max="17"/>
    <col width="16" customWidth="1" min="18" max="18"/>
    <col width="22" customWidth="1" min="19" max="19"/>
    <col width="8" customWidth="1" min="20" max="20"/>
    <col width="15" customWidth="1" min="21" max="21"/>
    <col width="17" customWidth="1" min="22" max="22"/>
    <col width="13" customWidth="1" min="23" max="23"/>
    <col width="60" customWidth="1" min="24" max="24"/>
    <col width="60" customWidth="1" min="25" max="25"/>
    <col width="10" customWidth="1" min="26" max="26"/>
  </cols>
  <sheetData>
    <row r="1">
      <c r="A1" s="1" t="inlineStr">
        <is>
          <t>id</t>
        </is>
      </c>
      <c r="B1" s="1" t="inlineStr">
        <is>
          <t>ke_thua</t>
        </is>
      </c>
      <c r="C1" s="1" t="inlineStr">
        <is>
          <t>che_do</t>
        </is>
      </c>
      <c r="D1" s="1" t="inlineStr">
        <is>
          <t>muc_tieu</t>
        </is>
      </c>
      <c r="E1" s="1" t="inlineStr">
        <is>
          <t>AirFirst</t>
        </is>
      </c>
      <c r="F1" s="1" t="inlineStr">
        <is>
          <t>ArtilleryWeight</t>
        </is>
      </c>
      <c r="G1" s="1" t="inlineStr">
        <is>
          <t>BandBias</t>
        </is>
      </c>
      <c r="H1" s="1" t="inlineStr">
        <is>
          <t>BossWeight</t>
        </is>
      </c>
      <c r="I1" s="1" t="inlineStr">
        <is>
          <t>Escalating</t>
        </is>
      </c>
      <c r="J1" s="1" t="inlineStr">
        <is>
          <t>EscortWeight</t>
        </is>
      </c>
      <c r="K1" s="1" t="inlineStr">
        <is>
          <t>FastReserve</t>
        </is>
      </c>
      <c r="L1" s="1" t="inlineStr">
        <is>
          <t>FireSupport</t>
        </is>
      </c>
      <c r="M1" s="1" t="inlineStr">
        <is>
          <t>Frontline</t>
        </is>
      </c>
      <c r="N1" s="1" t="inlineStr">
        <is>
          <t>MissionTarget</t>
        </is>
      </c>
      <c r="O1" s="1" t="inlineStr">
        <is>
          <t>Phased</t>
        </is>
      </c>
      <c r="P1" s="1" t="inlineStr">
        <is>
          <t>Pursuit</t>
        </is>
      </c>
      <c r="Q1" s="1" t="inlineStr">
        <is>
          <t>QuietStrikes</t>
        </is>
      </c>
      <c r="R1" s="1" t="inlineStr">
        <is>
          <t>ReserveAllowed</t>
        </is>
      </c>
      <c r="S1" s="1" t="inlineStr">
        <is>
          <t>ReserveEmergencyOnly</t>
        </is>
      </c>
      <c r="T1" s="1" t="inlineStr">
        <is>
          <t>Rotate</t>
        </is>
      </c>
      <c r="U1" s="1" t="inlineStr">
        <is>
          <t>ShootAndScoot</t>
        </is>
      </c>
      <c r="V1" s="1" t="inlineStr">
        <is>
          <t>StructureWeight</t>
        </is>
      </c>
      <c r="W1" s="1" t="inlineStr">
        <is>
          <t>TowerWeight</t>
        </is>
      </c>
      <c r="X1" s="1" t="inlineStr">
        <is>
          <t>Triggers</t>
        </is>
      </c>
      <c r="Y1" s="1" t="inlineStr">
        <is>
          <t>nguon</t>
        </is>
      </c>
      <c r="Z1" s="1" t="inlineStr">
        <is>
          <t>raw_json</t>
        </is>
      </c>
    </row>
    <row r="2">
      <c r="A2" t="inlineStr">
        <is>
          <t>assault</t>
        </is>
      </c>
      <c r="B2" t="inlineStr">
        <is>
          <t>balanced_objective</t>
        </is>
      </c>
      <c r="C2" t="inlineStr">
        <is>
          <t>Assault</t>
        </is>
      </c>
      <c r="D2" t="inlineStr"/>
      <c r="E2" t="inlineStr">
        <is>
          <t>false</t>
        </is>
      </c>
      <c r="F2" t="inlineStr">
        <is>
          <t>1</t>
        </is>
      </c>
      <c r="G2" t="inlineStr">
        <is>
          <t>0.5</t>
        </is>
      </c>
      <c r="H2" t="inlineStr">
        <is>
          <t>1</t>
        </is>
      </c>
      <c r="I2" t="inlineStr">
        <is>
          <t>false</t>
        </is>
      </c>
      <c r="J2" t="inlineStr">
        <is>
          <t>1</t>
        </is>
      </c>
      <c r="K2" t="inlineStr">
        <is>
          <t>false</t>
        </is>
      </c>
      <c r="L2" t="inlineStr">
        <is>
          <t>FrontLogical</t>
        </is>
      </c>
      <c r="M2" t="inlineStr">
        <is>
          <t>Advance</t>
        </is>
      </c>
      <c r="N2" t="inlineStr">
        <is>
          <t>false</t>
        </is>
      </c>
      <c r="O2" t="inlineStr">
        <is>
          <t>false</t>
        </is>
      </c>
      <c r="P2" t="inlineStr">
        <is>
          <t>Normal</t>
        </is>
      </c>
      <c r="Q2" t="inlineStr">
        <is>
          <t>false</t>
        </is>
      </c>
      <c r="R2" t="inlineStr">
        <is>
          <t>true</t>
        </is>
      </c>
      <c r="S2" t="inlineStr">
        <is>
          <t>false</t>
        </is>
      </c>
      <c r="T2" t="inlineStr">
        <is>
          <t>false</t>
        </is>
      </c>
      <c r="U2" t="inlineStr">
        <is>
          <t>false</t>
        </is>
      </c>
      <c r="V2" t="inlineStr">
        <is>
          <t>1</t>
        </is>
      </c>
      <c r="W2" t="inlineStr">
        <is>
          <t>1.4</t>
        </is>
      </c>
      <c r="X2" t="inlineStr">
        <is>
          <t>Utilization|FrontMoved|RangeBandLost|CounterBattery|RouteChanged|PhaseChange|TerrainChange</t>
        </is>
      </c>
      <c r="Y2" t="inlineStr">
        <is>
          <t>Assets/MachineBrigade/Scripts/Sim/AI/P2/ModeCombatDoctrine.cs:239</t>
        </is>
      </c>
      <c r="Z2" t="inlineStr"/>
    </row>
    <row r="3">
      <c r="A3" t="inlineStr">
        <is>
          <t>balanced_objective</t>
        </is>
      </c>
      <c r="B3" t="inlineStr"/>
      <c r="C3" t="inlineStr"/>
      <c r="D3" t="inlineStr"/>
      <c r="E3" t="inlineStr">
        <is>
          <t>false</t>
        </is>
      </c>
      <c r="F3" t="inlineStr">
        <is>
          <t>1</t>
        </is>
      </c>
      <c r="G3" t="inlineStr">
        <is>
          <t>0.5</t>
        </is>
      </c>
      <c r="H3" t="inlineStr">
        <is>
          <t>1</t>
        </is>
      </c>
      <c r="I3" t="inlineStr">
        <is>
          <t>false</t>
        </is>
      </c>
      <c r="J3" t="inlineStr">
        <is>
          <t>1</t>
        </is>
      </c>
      <c r="K3" t="inlineStr">
        <is>
          <t>false</t>
        </is>
      </c>
      <c r="L3" t="inlineStr">
        <is>
          <t>FrontLogical</t>
        </is>
      </c>
      <c r="M3" t="inlineStr">
        <is>
          <t>Advance</t>
        </is>
      </c>
      <c r="N3" t="inlineStr">
        <is>
          <t>false</t>
        </is>
      </c>
      <c r="O3" t="inlineStr">
        <is>
          <t>false</t>
        </is>
      </c>
      <c r="P3" t="inlineStr">
        <is>
          <t>Normal</t>
        </is>
      </c>
      <c r="Q3" t="inlineStr">
        <is>
          <t>false</t>
        </is>
      </c>
      <c r="R3" t="inlineStr">
        <is>
          <t>true</t>
        </is>
      </c>
      <c r="S3" t="inlineStr">
        <is>
          <t>false</t>
        </is>
      </c>
      <c r="T3" t="inlineStr">
        <is>
          <t>false</t>
        </is>
      </c>
      <c r="U3" t="inlineStr">
        <is>
          <t>false</t>
        </is>
      </c>
      <c r="V3" t="inlineStr">
        <is>
          <t>1</t>
        </is>
      </c>
      <c r="W3" t="inlineStr">
        <is>
          <t>1</t>
        </is>
      </c>
      <c r="X3" t="inlineStr">
        <is>
          <t>All</t>
        </is>
      </c>
      <c r="Y3" t="inlineStr">
        <is>
          <t>Assets/MachineBrigade/Scripts/Sim/AI/P2/ModeCombatDoctrine.cs:227</t>
        </is>
      </c>
      <c r="Z3" t="inlineStr"/>
    </row>
    <row r="4">
      <c r="A4" t="inlineStr">
        <is>
          <t>bossrush</t>
        </is>
      </c>
      <c r="B4" t="inlineStr">
        <is>
          <t>balanced_objective</t>
        </is>
      </c>
      <c r="C4" t="inlineStr">
        <is>
          <t>BossRush</t>
        </is>
      </c>
      <c r="D4" t="inlineStr"/>
      <c r="E4" t="inlineStr">
        <is>
          <t>false</t>
        </is>
      </c>
      <c r="F4" t="inlineStr">
        <is>
          <t>1</t>
        </is>
      </c>
      <c r="G4" t="inlineStr">
        <is>
          <t>0.5</t>
        </is>
      </c>
      <c r="H4" t="inlineStr">
        <is>
          <t>1.3</t>
        </is>
      </c>
      <c r="I4" t="inlineStr">
        <is>
          <t>false</t>
        </is>
      </c>
      <c r="J4" t="inlineStr">
        <is>
          <t>1.1</t>
        </is>
      </c>
      <c r="K4" t="inlineStr">
        <is>
          <t>false</t>
        </is>
      </c>
      <c r="L4" t="inlineStr">
        <is>
          <t>BossPredict</t>
        </is>
      </c>
      <c r="M4" t="inlineStr">
        <is>
          <t>BossFocus</t>
        </is>
      </c>
      <c r="N4" t="inlineStr">
        <is>
          <t>false</t>
        </is>
      </c>
      <c r="O4" t="inlineStr">
        <is>
          <t>false</t>
        </is>
      </c>
      <c r="P4" t="inlineStr">
        <is>
          <t>Normal</t>
        </is>
      </c>
      <c r="Q4" t="inlineStr">
        <is>
          <t>false</t>
        </is>
      </c>
      <c r="R4" t="inlineStr">
        <is>
          <t>false</t>
        </is>
      </c>
      <c r="S4" t="inlineStr">
        <is>
          <t>false</t>
        </is>
      </c>
      <c r="T4" t="inlineStr">
        <is>
          <t>false</t>
        </is>
      </c>
      <c r="U4" t="inlineStr">
        <is>
          <t>false</t>
        </is>
      </c>
      <c r="V4" t="inlineStr">
        <is>
          <t>1</t>
        </is>
      </c>
      <c r="W4" t="inlineStr">
        <is>
          <t>1</t>
        </is>
      </c>
      <c r="X4" t="inlineStr">
        <is>
          <t>All</t>
        </is>
      </c>
      <c r="Y4" t="inlineStr">
        <is>
          <t>Assets/MachineBrigade/Scripts/Sim/AI/P2/ModeCombatDoctrine.cs:324</t>
        </is>
      </c>
      <c r="Z4" t="inlineStr"/>
    </row>
    <row r="5">
      <c r="A5" t="inlineStr">
        <is>
          <t>bossrush_goal</t>
        </is>
      </c>
      <c r="B5" t="inlineStr">
        <is>
          <t>bossrush</t>
        </is>
      </c>
      <c r="C5" t="inlineStr"/>
      <c r="D5" t="inlineStr">
        <is>
          <t>Boss</t>
        </is>
      </c>
      <c r="E5" t="inlineStr">
        <is>
          <t>false</t>
        </is>
      </c>
      <c r="F5" t="inlineStr">
        <is>
          <t>1</t>
        </is>
      </c>
      <c r="G5" t="inlineStr">
        <is>
          <t>0.5</t>
        </is>
      </c>
      <c r="H5" t="inlineStr">
        <is>
          <t>1.3</t>
        </is>
      </c>
      <c r="I5" t="inlineStr">
        <is>
          <t>false</t>
        </is>
      </c>
      <c r="J5" t="inlineStr">
        <is>
          <t>1.1</t>
        </is>
      </c>
      <c r="K5" t="inlineStr">
        <is>
          <t>false</t>
        </is>
      </c>
      <c r="L5" t="inlineStr">
        <is>
          <t>BossPredict</t>
        </is>
      </c>
      <c r="M5" t="inlineStr">
        <is>
          <t>BossFocus</t>
        </is>
      </c>
      <c r="N5" t="inlineStr">
        <is>
          <t>false</t>
        </is>
      </c>
      <c r="O5" t="inlineStr">
        <is>
          <t>false</t>
        </is>
      </c>
      <c r="P5" t="inlineStr">
        <is>
          <t>Normal</t>
        </is>
      </c>
      <c r="Q5" t="inlineStr">
        <is>
          <t>false</t>
        </is>
      </c>
      <c r="R5" t="inlineStr">
        <is>
          <t>false</t>
        </is>
      </c>
      <c r="S5" t="inlineStr">
        <is>
          <t>false</t>
        </is>
      </c>
      <c r="T5" t="inlineStr">
        <is>
          <t>false</t>
        </is>
      </c>
      <c r="U5" t="inlineStr">
        <is>
          <t>false</t>
        </is>
      </c>
      <c r="V5" t="inlineStr">
        <is>
          <t>1</t>
        </is>
      </c>
      <c r="W5" t="inlineStr">
        <is>
          <t>1</t>
        </is>
      </c>
      <c r="X5" t="inlineStr">
        <is>
          <t>All</t>
        </is>
      </c>
      <c r="Y5" t="inlineStr">
        <is>
          <t>Assets/MachineBrigade/Scripts/Sim/AI/P2/ModeCombatDoctrine.cs:332</t>
        </is>
      </c>
      <c r="Z5" t="inlineStr"/>
    </row>
    <row r="6">
      <c r="A6" t="inlineStr">
        <is>
          <t>capture</t>
        </is>
      </c>
      <c r="B6" t="inlineStr">
        <is>
          <t>conquest</t>
        </is>
      </c>
      <c r="C6" t="inlineStr"/>
      <c r="D6" t="inlineStr">
        <is>
          <t>Capture</t>
        </is>
      </c>
      <c r="E6" t="inlineStr">
        <is>
          <t>false</t>
        </is>
      </c>
      <c r="F6" t="inlineStr">
        <is>
          <t>1</t>
        </is>
      </c>
      <c r="G6" t="inlineStr">
        <is>
          <t>0.5</t>
        </is>
      </c>
      <c r="H6" t="inlineStr">
        <is>
          <t>1</t>
        </is>
      </c>
      <c r="I6" t="inlineStr">
        <is>
          <t>false</t>
        </is>
      </c>
      <c r="J6" t="inlineStr">
        <is>
          <t>1</t>
        </is>
      </c>
      <c r="K6" t="inlineStr">
        <is>
          <t>true</t>
        </is>
      </c>
      <c r="L6" t="inlineStr">
        <is>
          <t>ObjectiveCover</t>
        </is>
      </c>
      <c r="M6" t="inlineStr">
        <is>
          <t>ObjectiveBody</t>
        </is>
      </c>
      <c r="N6" t="inlineStr">
        <is>
          <t>false</t>
        </is>
      </c>
      <c r="O6" t="inlineStr">
        <is>
          <t>false</t>
        </is>
      </c>
      <c r="P6" t="inlineStr">
        <is>
          <t>Normal</t>
        </is>
      </c>
      <c r="Q6" t="inlineStr">
        <is>
          <t>false</t>
        </is>
      </c>
      <c r="R6" t="inlineStr">
        <is>
          <t>true</t>
        </is>
      </c>
      <c r="S6" t="inlineStr">
        <is>
          <t>false</t>
        </is>
      </c>
      <c r="T6" t="inlineStr">
        <is>
          <t>false</t>
        </is>
      </c>
      <c r="U6" t="inlineStr">
        <is>
          <t>false</t>
        </is>
      </c>
      <c r="V6" t="inlineStr">
        <is>
          <t>1</t>
        </is>
      </c>
      <c r="W6" t="inlineStr">
        <is>
          <t>1</t>
        </is>
      </c>
      <c r="X6" t="inlineStr">
        <is>
          <t>ObjectiveUncovered|Utilization|CounterBattery|PhaseChange|TerrainChange</t>
        </is>
      </c>
      <c r="Y6" t="inlineStr">
        <is>
          <t>Assets/MachineBrigade/Scripts/Sim/AI/P2/ModeCombatDoctrine.cs:287</t>
        </is>
      </c>
      <c r="Z6" t="inlineStr"/>
    </row>
    <row r="7">
      <c r="A7" t="inlineStr">
        <is>
          <t>conquest</t>
        </is>
      </c>
      <c r="B7" t="inlineStr">
        <is>
          <t>balanced_objective</t>
        </is>
      </c>
      <c r="C7" t="inlineStr">
        <is>
          <t>Conquest;Sandbox</t>
        </is>
      </c>
      <c r="D7" t="inlineStr"/>
      <c r="E7" t="inlineStr">
        <is>
          <t>false</t>
        </is>
      </c>
      <c r="F7" t="inlineStr">
        <is>
          <t>1</t>
        </is>
      </c>
      <c r="G7" t="inlineStr">
        <is>
          <t>0.5</t>
        </is>
      </c>
      <c r="H7" t="inlineStr">
        <is>
          <t>1</t>
        </is>
      </c>
      <c r="I7" t="inlineStr">
        <is>
          <t>false</t>
        </is>
      </c>
      <c r="J7" t="inlineStr">
        <is>
          <t>1</t>
        </is>
      </c>
      <c r="K7" t="inlineStr">
        <is>
          <t>true</t>
        </is>
      </c>
      <c r="L7" t="inlineStr">
        <is>
          <t>ObjectiveCover</t>
        </is>
      </c>
      <c r="M7" t="inlineStr">
        <is>
          <t>ObjectiveBody</t>
        </is>
      </c>
      <c r="N7" t="inlineStr">
        <is>
          <t>false</t>
        </is>
      </c>
      <c r="O7" t="inlineStr">
        <is>
          <t>false</t>
        </is>
      </c>
      <c r="P7" t="inlineStr">
        <is>
          <t>Normal</t>
        </is>
      </c>
      <c r="Q7" t="inlineStr">
        <is>
          <t>false</t>
        </is>
      </c>
      <c r="R7" t="inlineStr">
        <is>
          <t>true</t>
        </is>
      </c>
      <c r="S7" t="inlineStr">
        <is>
          <t>false</t>
        </is>
      </c>
      <c r="T7" t="inlineStr">
        <is>
          <t>false</t>
        </is>
      </c>
      <c r="U7" t="inlineStr">
        <is>
          <t>false</t>
        </is>
      </c>
      <c r="V7" t="inlineStr">
        <is>
          <t>1</t>
        </is>
      </c>
      <c r="W7" t="inlineStr">
        <is>
          <t>1</t>
        </is>
      </c>
      <c r="X7" t="inlineStr">
        <is>
          <t>ObjectiveUncovered|Utilization|CounterBattery|PhaseChange|TerrainChange</t>
        </is>
      </c>
      <c r="Y7" t="inlineStr">
        <is>
          <t>Assets/MachineBrigade/Scripts/Sim/AI/P2/ModeCombatDoctrine.cs:279</t>
        </is>
      </c>
      <c r="Z7" t="inlineStr"/>
    </row>
    <row r="8">
      <c r="A8" t="inlineStr">
        <is>
          <t>deathmatch</t>
        </is>
      </c>
      <c r="B8" t="inlineStr">
        <is>
          <t>balanced_objective</t>
        </is>
      </c>
      <c r="C8" t="inlineStr">
        <is>
          <t>Deathmatch</t>
        </is>
      </c>
      <c r="D8" t="inlineStr"/>
      <c r="E8" t="inlineStr">
        <is>
          <t>false</t>
        </is>
      </c>
      <c r="F8" t="inlineStr">
        <is>
          <t>1</t>
        </is>
      </c>
      <c r="G8" t="inlineStr">
        <is>
          <t>0.5</t>
        </is>
      </c>
      <c r="H8" t="inlineStr">
        <is>
          <t>1</t>
        </is>
      </c>
      <c r="I8" t="inlineStr">
        <is>
          <t>false</t>
        </is>
      </c>
      <c r="J8" t="inlineStr">
        <is>
          <t>1</t>
        </is>
      </c>
      <c r="K8" t="inlineStr">
        <is>
          <t>false</t>
        </is>
      </c>
      <c r="L8" t="inlineStr">
        <is>
          <t>FrontLogical</t>
        </is>
      </c>
      <c r="M8" t="inlineStr">
        <is>
          <t>Mobile</t>
        </is>
      </c>
      <c r="N8" t="inlineStr">
        <is>
          <t>false</t>
        </is>
      </c>
      <c r="O8" t="inlineStr">
        <is>
          <t>false</t>
        </is>
      </c>
      <c r="P8" t="inlineStr">
        <is>
          <t>Normal</t>
        </is>
      </c>
      <c r="Q8" t="inlineStr">
        <is>
          <t>false</t>
        </is>
      </c>
      <c r="R8" t="inlineStr">
        <is>
          <t>true</t>
        </is>
      </c>
      <c r="S8" t="inlineStr">
        <is>
          <t>false</t>
        </is>
      </c>
      <c r="T8" t="inlineStr">
        <is>
          <t>false</t>
        </is>
      </c>
      <c r="U8" t="inlineStr">
        <is>
          <t>false</t>
        </is>
      </c>
      <c r="V8" t="inlineStr">
        <is>
          <t>1</t>
        </is>
      </c>
      <c r="W8" t="inlineStr">
        <is>
          <t>1</t>
        </is>
      </c>
      <c r="X8" t="inlineStr">
        <is>
          <t>Utilization|FrontMoved|RangeBandLost|PocketCompromised|CounterBattery|TerrainChange</t>
        </is>
      </c>
      <c r="Y8" t="inlineStr">
        <is>
          <t>Assets/MachineBrigade/Scripts/Sim/AI/P2/ModeCombatDoctrine.cs:334</t>
        </is>
      </c>
      <c r="Z8" t="inlineStr"/>
    </row>
    <row r="9">
      <c r="A9" t="inlineStr">
        <is>
          <t>defend</t>
        </is>
      </c>
      <c r="B9" t="inlineStr">
        <is>
          <t>balanced_objective</t>
        </is>
      </c>
      <c r="C9" t="inlineStr">
        <is>
          <t>Defend</t>
        </is>
      </c>
      <c r="D9" t="inlineStr"/>
      <c r="E9" t="inlineStr">
        <is>
          <t>false</t>
        </is>
      </c>
      <c r="F9" t="inlineStr">
        <is>
          <t>1</t>
        </is>
      </c>
      <c r="G9" t="inlineStr">
        <is>
          <t>0.8</t>
        </is>
      </c>
      <c r="H9" t="inlineStr">
        <is>
          <t>1</t>
        </is>
      </c>
      <c r="I9" t="inlineStr">
        <is>
          <t>false</t>
        </is>
      </c>
      <c r="J9" t="inlineStr">
        <is>
          <t>1</t>
        </is>
      </c>
      <c r="K9" t="inlineStr">
        <is>
          <t>false</t>
        </is>
      </c>
      <c r="L9" t="inlineStr">
        <is>
          <t>DefenceLine</t>
        </is>
      </c>
      <c r="M9" t="inlineStr">
        <is>
          <t>HoldLine</t>
        </is>
      </c>
      <c r="N9" t="inlineStr">
        <is>
          <t>false</t>
        </is>
      </c>
      <c r="O9" t="inlineStr">
        <is>
          <t>false</t>
        </is>
      </c>
      <c r="P9" t="inlineStr">
        <is>
          <t>NoChase</t>
        </is>
      </c>
      <c r="Q9" t="inlineStr">
        <is>
          <t>false</t>
        </is>
      </c>
      <c r="R9" t="inlineStr">
        <is>
          <t>true</t>
        </is>
      </c>
      <c r="S9" t="inlineStr">
        <is>
          <t>false</t>
        </is>
      </c>
      <c r="T9" t="inlineStr">
        <is>
          <t>false</t>
        </is>
      </c>
      <c r="U9" t="inlineStr">
        <is>
          <t>false</t>
        </is>
      </c>
      <c r="V9" t="inlineStr">
        <is>
          <t>1</t>
        </is>
      </c>
      <c r="W9" t="inlineStr">
        <is>
          <t>1</t>
        </is>
      </c>
      <c r="X9" t="inlineStr">
        <is>
          <t>Utilization|RangeBandLost|CounterBattery|PhaseChange|TerrainChange</t>
        </is>
      </c>
      <c r="Y9" t="inlineStr">
        <is>
          <t>Assets/MachineBrigade/Scripts/Sim/AI/P2/ModeCombatDoctrine.cs:250</t>
        </is>
      </c>
      <c r="Z9" t="inlineStr"/>
    </row>
    <row r="10">
      <c r="A10" t="inlineStr">
        <is>
          <t>destroy</t>
        </is>
      </c>
      <c r="B10" t="inlineStr">
        <is>
          <t>assault</t>
        </is>
      </c>
      <c r="C10" t="inlineStr"/>
      <c r="D10" t="inlineStr">
        <is>
          <t>Destroy</t>
        </is>
      </c>
      <c r="E10" t="inlineStr">
        <is>
          <t>false</t>
        </is>
      </c>
      <c r="F10" t="inlineStr">
        <is>
          <t>1</t>
        </is>
      </c>
      <c r="G10" t="inlineStr">
        <is>
          <t>0.5</t>
        </is>
      </c>
      <c r="H10" t="inlineStr">
        <is>
          <t>1</t>
        </is>
      </c>
      <c r="I10" t="inlineStr">
        <is>
          <t>false</t>
        </is>
      </c>
      <c r="J10" t="inlineStr">
        <is>
          <t>1</t>
        </is>
      </c>
      <c r="K10" t="inlineStr">
        <is>
          <t>false</t>
        </is>
      </c>
      <c r="L10" t="inlineStr">
        <is>
          <t>FrontLogical</t>
        </is>
      </c>
      <c r="M10" t="inlineStr">
        <is>
          <t>Advance</t>
        </is>
      </c>
      <c r="N10" t="inlineStr">
        <is>
          <t>true</t>
        </is>
      </c>
      <c r="O10" t="inlineStr">
        <is>
          <t>false</t>
        </is>
      </c>
      <c r="P10" t="inlineStr">
        <is>
          <t>Normal</t>
        </is>
      </c>
      <c r="Q10" t="inlineStr">
        <is>
          <t>false</t>
        </is>
      </c>
      <c r="R10" t="inlineStr">
        <is>
          <t>true</t>
        </is>
      </c>
      <c r="S10" t="inlineStr">
        <is>
          <t>false</t>
        </is>
      </c>
      <c r="T10" t="inlineStr">
        <is>
          <t>false</t>
        </is>
      </c>
      <c r="U10" t="inlineStr">
        <is>
          <t>false</t>
        </is>
      </c>
      <c r="V10" t="inlineStr">
        <is>
          <t>1.3</t>
        </is>
      </c>
      <c r="W10" t="inlineStr">
        <is>
          <t>1.4</t>
        </is>
      </c>
      <c r="X10" t="inlineStr">
        <is>
          <t>Utilization|FrontMoved|RangeBandLost|CounterBattery|RouteChanged|PhaseChange|TerrainChange</t>
        </is>
      </c>
      <c r="Y10" t="inlineStr">
        <is>
          <t>Assets/MachineBrigade/Scripts/Sim/AI/P2/ModeCombatDoctrine.cs:248</t>
        </is>
      </c>
      <c r="Z10" t="inlineStr"/>
    </row>
    <row r="11">
      <c r="A11" t="inlineStr">
        <is>
          <t>duel</t>
        </is>
      </c>
      <c r="B11" t="inlineStr">
        <is>
          <t>deathmatch</t>
        </is>
      </c>
      <c r="C11" t="inlineStr"/>
      <c r="D11" t="inlineStr">
        <is>
          <t>Duel</t>
        </is>
      </c>
      <c r="E11" t="inlineStr">
        <is>
          <t>false</t>
        </is>
      </c>
      <c r="F11" t="inlineStr">
        <is>
          <t>1</t>
        </is>
      </c>
      <c r="G11" t="inlineStr">
        <is>
          <t>0.5</t>
        </is>
      </c>
      <c r="H11" t="inlineStr">
        <is>
          <t>1</t>
        </is>
      </c>
      <c r="I11" t="inlineStr">
        <is>
          <t>false</t>
        </is>
      </c>
      <c r="J11" t="inlineStr">
        <is>
          <t>1</t>
        </is>
      </c>
      <c r="K11" t="inlineStr">
        <is>
          <t>false</t>
        </is>
      </c>
      <c r="L11" t="inlineStr">
        <is>
          <t>FrontLogical</t>
        </is>
      </c>
      <c r="M11" t="inlineStr">
        <is>
          <t>Mobile</t>
        </is>
      </c>
      <c r="N11" t="inlineStr">
        <is>
          <t>false</t>
        </is>
      </c>
      <c r="O11" t="inlineStr">
        <is>
          <t>false</t>
        </is>
      </c>
      <c r="P11" t="inlineStr">
        <is>
          <t>Normal</t>
        </is>
      </c>
      <c r="Q11" t="inlineStr">
        <is>
          <t>false</t>
        </is>
      </c>
      <c r="R11" t="inlineStr">
        <is>
          <t>false)</t>
        </is>
      </c>
      <c r="S11" t="inlineStr">
        <is>
          <t>false</t>
        </is>
      </c>
      <c r="T11" t="inlineStr">
        <is>
          <t>false</t>
        </is>
      </c>
      <c r="U11" t="inlineStr">
        <is>
          <t>false</t>
        </is>
      </c>
      <c r="V11" t="inlineStr">
        <is>
          <t>1</t>
        </is>
      </c>
      <c r="W11" t="inlineStr">
        <is>
          <t>1</t>
        </is>
      </c>
      <c r="X11" t="inlineStr">
        <is>
          <t>Utilization|FrontMoved|RangeBandLost|PocketCompromised|CounterBattery|TerrainChange</t>
        </is>
      </c>
      <c r="Y11" t="inlineStr">
        <is>
          <t>Assets/MachineBrigade/Scripts/Sim/AI/P2/ModeCombatDoctrine.cs:341</t>
        </is>
      </c>
      <c r="Z11" t="inlineStr"/>
    </row>
    <row r="12">
      <c r="A12" t="inlineStr">
        <is>
          <t>endless</t>
        </is>
      </c>
      <c r="B12" t="inlineStr">
        <is>
          <t>defend</t>
        </is>
      </c>
      <c r="C12" t="inlineStr">
        <is>
          <t>Endless</t>
        </is>
      </c>
      <c r="D12" t="inlineStr"/>
      <c r="E12" t="inlineStr">
        <is>
          <t>false</t>
        </is>
      </c>
      <c r="F12" t="inlineStr">
        <is>
          <t>1</t>
        </is>
      </c>
      <c r="G12" t="inlineStr">
        <is>
          <t>0.8</t>
        </is>
      </c>
      <c r="H12" t="inlineStr">
        <is>
          <t>1</t>
        </is>
      </c>
      <c r="I12" t="inlineStr">
        <is>
          <t>false</t>
        </is>
      </c>
      <c r="J12" t="inlineStr">
        <is>
          <t>1</t>
        </is>
      </c>
      <c r="K12" t="inlineStr">
        <is>
          <t>false</t>
        </is>
      </c>
      <c r="L12" t="inlineStr">
        <is>
          <t>PreparedPockets</t>
        </is>
      </c>
      <c r="M12" t="inlineStr">
        <is>
          <t>HoldLine</t>
        </is>
      </c>
      <c r="N12" t="inlineStr">
        <is>
          <t>false</t>
        </is>
      </c>
      <c r="O12" t="inlineStr">
        <is>
          <t>false</t>
        </is>
      </c>
      <c r="P12" t="inlineStr">
        <is>
          <t>NoChase</t>
        </is>
      </c>
      <c r="Q12" t="inlineStr">
        <is>
          <t>false</t>
        </is>
      </c>
      <c r="R12" t="inlineStr">
        <is>
          <t>true</t>
        </is>
      </c>
      <c r="S12" t="inlineStr">
        <is>
          <t>true</t>
        </is>
      </c>
      <c r="T12" t="inlineStr">
        <is>
          <t>true</t>
        </is>
      </c>
      <c r="U12" t="inlineStr">
        <is>
          <t>false</t>
        </is>
      </c>
      <c r="V12" t="inlineStr">
        <is>
          <t>1</t>
        </is>
      </c>
      <c r="W12" t="inlineStr">
        <is>
          <t>1</t>
        </is>
      </c>
      <c r="X12" t="inlineStr">
        <is>
          <t>Utilization|RangeBandLost|CounterBattery|PhaseChange|TerrainChange|Rotation|WaveDirection</t>
        </is>
      </c>
      <c r="Y12" t="inlineStr">
        <is>
          <t>Assets/MachineBrigade/Scripts/Sim/AI/P2/ModeCombatDoctrine.cs:271</t>
        </is>
      </c>
      <c r="Z12" t="inlineStr"/>
    </row>
    <row r="13">
      <c r="A13" t="inlineStr">
        <is>
          <t>escort</t>
        </is>
      </c>
      <c r="B13" t="inlineStr">
        <is>
          <t>balanced_objective</t>
        </is>
      </c>
      <c r="C13" t="inlineStr"/>
      <c r="D13" t="inlineStr">
        <is>
          <t>Escort</t>
        </is>
      </c>
      <c r="E13" t="inlineStr">
        <is>
          <t>false</t>
        </is>
      </c>
      <c r="F13" t="inlineStr">
        <is>
          <t>1</t>
        </is>
      </c>
      <c r="G13" t="inlineStr">
        <is>
          <t>0.5</t>
        </is>
      </c>
      <c r="H13" t="inlineStr">
        <is>
          <t>1</t>
        </is>
      </c>
      <c r="I13" t="inlineStr">
        <is>
          <t>false</t>
        </is>
      </c>
      <c r="J13" t="inlineStr">
        <is>
          <t>1</t>
        </is>
      </c>
      <c r="K13" t="inlineStr">
        <is>
          <t>false</t>
        </is>
      </c>
      <c r="L13" t="inlineStr">
        <is>
          <t>ConvoyLeapfrog</t>
        </is>
      </c>
      <c r="M13" t="inlineStr">
        <is>
          <t>ConvoyScreen</t>
        </is>
      </c>
      <c r="N13" t="inlineStr">
        <is>
          <t>false</t>
        </is>
      </c>
      <c r="O13" t="inlineStr">
        <is>
          <t>false</t>
        </is>
      </c>
      <c r="P13" t="inlineStr">
        <is>
          <t>Leash</t>
        </is>
      </c>
      <c r="Q13" t="inlineStr">
        <is>
          <t>false</t>
        </is>
      </c>
      <c r="R13" t="inlineStr">
        <is>
          <t>true</t>
        </is>
      </c>
      <c r="S13" t="inlineStr">
        <is>
          <t>false</t>
        </is>
      </c>
      <c r="T13" t="inlineStr">
        <is>
          <t>false</t>
        </is>
      </c>
      <c r="U13" t="inlineStr">
        <is>
          <t>false</t>
        </is>
      </c>
      <c r="V13" t="inlineStr">
        <is>
          <t>1</t>
        </is>
      </c>
      <c r="W13" t="inlineStr">
        <is>
          <t>1</t>
        </is>
      </c>
      <c r="X13" t="inlineStr">
        <is>
          <t>RangeBandLost|RouteChanged|CounterBattery|PhaseChange|TerrainChange</t>
        </is>
      </c>
      <c r="Y13" t="inlineStr">
        <is>
          <t>Assets/MachineBrigade/Scripts/Sim/AI/P2/ModeCombatDoctrine.cs:290</t>
        </is>
      </c>
      <c r="Z13" t="inlineStr"/>
    </row>
    <row r="14">
      <c r="A14" t="inlineStr">
        <is>
          <t>evacuate</t>
        </is>
      </c>
      <c r="B14" t="inlineStr">
        <is>
          <t>escort</t>
        </is>
      </c>
      <c r="C14" t="inlineStr"/>
      <c r="D14" t="inlineStr">
        <is>
          <t>Evacuate</t>
        </is>
      </c>
      <c r="E14" t="inlineStr">
        <is>
          <t>false</t>
        </is>
      </c>
      <c r="F14" t="inlineStr">
        <is>
          <t>1</t>
        </is>
      </c>
      <c r="G14" t="inlineStr">
        <is>
          <t>0.5</t>
        </is>
      </c>
      <c r="H14" t="inlineStr">
        <is>
          <t>1</t>
        </is>
      </c>
      <c r="I14" t="inlineStr">
        <is>
          <t>false</t>
        </is>
      </c>
      <c r="J14" t="inlineStr">
        <is>
          <t>1</t>
        </is>
      </c>
      <c r="K14" t="inlineStr">
        <is>
          <t>false</t>
        </is>
      </c>
      <c r="L14" t="inlineStr">
        <is>
          <t>ConvoyLeapfrog</t>
        </is>
      </c>
      <c r="M14" t="inlineStr">
        <is>
          <t>ConvoyScreen</t>
        </is>
      </c>
      <c r="N14" t="inlineStr">
        <is>
          <t>false</t>
        </is>
      </c>
      <c r="O14" t="inlineStr">
        <is>
          <t>false</t>
        </is>
      </c>
      <c r="P14" t="inlineStr">
        <is>
          <t>NoChase)</t>
        </is>
      </c>
      <c r="Q14" t="inlineStr">
        <is>
          <t>false</t>
        </is>
      </c>
      <c r="R14" t="inlineStr">
        <is>
          <t>true</t>
        </is>
      </c>
      <c r="S14" t="inlineStr">
        <is>
          <t>false</t>
        </is>
      </c>
      <c r="T14" t="inlineStr">
        <is>
          <t>false</t>
        </is>
      </c>
      <c r="U14" t="inlineStr">
        <is>
          <t>false</t>
        </is>
      </c>
      <c r="V14" t="inlineStr">
        <is>
          <t>1</t>
        </is>
      </c>
      <c r="W14" t="inlineStr">
        <is>
          <t>1</t>
        </is>
      </c>
      <c r="X14" t="inlineStr">
        <is>
          <t>RangeBandLost|RouteChanged|CounterBattery|PhaseChange|TerrainChange</t>
        </is>
      </c>
      <c r="Y14" t="inlineStr">
        <is>
          <t>Assets/MachineBrigade/Scripts/Sim/AI/P2/ModeCombatDoctrine.cs:299</t>
        </is>
      </c>
      <c r="Z14" t="inlineStr"/>
    </row>
    <row r="15">
      <c r="A15" t="inlineStr">
        <is>
          <t>fixed_deck</t>
        </is>
      </c>
      <c r="B15" t="inlineStr">
        <is>
          <t>balanced_objective</t>
        </is>
      </c>
      <c r="C15" t="inlineStr">
        <is>
          <t>FixedDeck</t>
        </is>
      </c>
      <c r="D15" t="inlineStr"/>
      <c r="E15" t="inlineStr">
        <is>
          <t>false</t>
        </is>
      </c>
      <c r="F15" t="inlineStr">
        <is>
          <t>1</t>
        </is>
      </c>
      <c r="G15" t="inlineStr">
        <is>
          <t>0.5</t>
        </is>
      </c>
      <c r="H15" t="inlineStr">
        <is>
          <t>1</t>
        </is>
      </c>
      <c r="I15" t="inlineStr">
        <is>
          <t>false</t>
        </is>
      </c>
      <c r="J15" t="inlineStr">
        <is>
          <t>1</t>
        </is>
      </c>
      <c r="K15" t="inlineStr">
        <is>
          <t>false</t>
        </is>
      </c>
      <c r="L15" t="inlineStr">
        <is>
          <t>FrontLogical</t>
        </is>
      </c>
      <c r="M15" t="inlineStr">
        <is>
          <t>Advance</t>
        </is>
      </c>
      <c r="N15" t="inlineStr">
        <is>
          <t>false</t>
        </is>
      </c>
      <c r="O15" t="inlineStr">
        <is>
          <t>false</t>
        </is>
      </c>
      <c r="P15" t="inlineStr">
        <is>
          <t>Normal</t>
        </is>
      </c>
      <c r="Q15" t="inlineStr">
        <is>
          <t>false</t>
        </is>
      </c>
      <c r="R15" t="inlineStr">
        <is>
          <t>true</t>
        </is>
      </c>
      <c r="S15" t="inlineStr">
        <is>
          <t>false</t>
        </is>
      </c>
      <c r="T15" t="inlineStr">
        <is>
          <t>false</t>
        </is>
      </c>
      <c r="U15" t="inlineStr">
        <is>
          <t>false</t>
        </is>
      </c>
      <c r="V15" t="inlineStr">
        <is>
          <t>1</t>
        </is>
      </c>
      <c r="W15" t="inlineStr">
        <is>
          <t>1</t>
        </is>
      </c>
      <c r="X15" t="inlineStr">
        <is>
          <t>All</t>
        </is>
      </c>
      <c r="Y15" t="inlineStr">
        <is>
          <t>Assets/MachineBrigade/Scripts/Sim/AI/P2/ModeCombatDoctrine.cs:377</t>
        </is>
      </c>
      <c r="Z15" t="inlineStr"/>
    </row>
    <row r="16">
      <c r="A16" t="inlineStr">
        <is>
          <t>hill</t>
        </is>
      </c>
      <c r="B16" t="inlineStr">
        <is>
          <t>conquest</t>
        </is>
      </c>
      <c r="C16" t="inlineStr">
        <is>
          <t>KingOfTheHill</t>
        </is>
      </c>
      <c r="D16" t="inlineStr"/>
      <c r="E16" t="inlineStr">
        <is>
          <t>false</t>
        </is>
      </c>
      <c r="F16" t="inlineStr">
        <is>
          <t>1</t>
        </is>
      </c>
      <c r="G16" t="inlineStr">
        <is>
          <t>0.5</t>
        </is>
      </c>
      <c r="H16" t="inlineStr">
        <is>
          <t>1</t>
        </is>
      </c>
      <c r="I16" t="inlineStr">
        <is>
          <t>false</t>
        </is>
      </c>
      <c r="J16" t="inlineStr">
        <is>
          <t>1</t>
        </is>
      </c>
      <c r="K16" t="inlineStr">
        <is>
          <t>true</t>
        </is>
      </c>
      <c r="L16" t="inlineStr">
        <is>
          <t>ObjectiveCover</t>
        </is>
      </c>
      <c r="M16" t="inlineStr">
        <is>
          <t>ObjectiveBody</t>
        </is>
      </c>
      <c r="N16" t="inlineStr">
        <is>
          <t>false</t>
        </is>
      </c>
      <c r="O16" t="inlineStr">
        <is>
          <t>false</t>
        </is>
      </c>
      <c r="P16" t="inlineStr">
        <is>
          <t>Normal</t>
        </is>
      </c>
      <c r="Q16" t="inlineStr">
        <is>
          <t>false</t>
        </is>
      </c>
      <c r="R16" t="inlineStr">
        <is>
          <t>true</t>
        </is>
      </c>
      <c r="S16" t="inlineStr">
        <is>
          <t>false</t>
        </is>
      </c>
      <c r="T16" t="inlineStr">
        <is>
          <t>false</t>
        </is>
      </c>
      <c r="U16" t="inlineStr">
        <is>
          <t>false</t>
        </is>
      </c>
      <c r="V16" t="inlineStr">
        <is>
          <t>1</t>
        </is>
      </c>
      <c r="W16" t="inlineStr">
        <is>
          <t>1</t>
        </is>
      </c>
      <c r="X16" t="inlineStr">
        <is>
          <t>ObjectiveUncovered|Utilization|CounterBattery|PhaseChange|TerrainChange</t>
        </is>
      </c>
      <c r="Y16" t="inlineStr">
        <is>
          <t>Assets/MachineBrigade/Scripts/Sim/AI/P2/ModeCombatDoctrine.cs:288</t>
        </is>
      </c>
      <c r="Z16" t="inlineStr"/>
    </row>
    <row r="17">
      <c r="A17" t="inlineStr">
        <is>
          <t>hold</t>
        </is>
      </c>
      <c r="B17" t="inlineStr">
        <is>
          <t>defend</t>
        </is>
      </c>
      <c r="C17" t="inlineStr"/>
      <c r="D17" t="inlineStr">
        <is>
          <t>Hold</t>
        </is>
      </c>
      <c r="E17" t="inlineStr">
        <is>
          <t>false</t>
        </is>
      </c>
      <c r="F17" t="inlineStr">
        <is>
          <t>1</t>
        </is>
      </c>
      <c r="G17" t="inlineStr">
        <is>
          <t>0.8</t>
        </is>
      </c>
      <c r="H17" t="inlineStr">
        <is>
          <t>1</t>
        </is>
      </c>
      <c r="I17" t="inlineStr">
        <is>
          <t>false</t>
        </is>
      </c>
      <c r="J17" t="inlineStr">
        <is>
          <t>1</t>
        </is>
      </c>
      <c r="K17" t="inlineStr">
        <is>
          <t>false</t>
        </is>
      </c>
      <c r="L17" t="inlineStr">
        <is>
          <t>DefenceLine</t>
        </is>
      </c>
      <c r="M17" t="inlineStr">
        <is>
          <t>ObjectiveBody)</t>
        </is>
      </c>
      <c r="N17" t="inlineStr">
        <is>
          <t>false</t>
        </is>
      </c>
      <c r="O17" t="inlineStr">
        <is>
          <t>false</t>
        </is>
      </c>
      <c r="P17" t="inlineStr">
        <is>
          <t>NoChase</t>
        </is>
      </c>
      <c r="Q17" t="inlineStr">
        <is>
          <t>false</t>
        </is>
      </c>
      <c r="R17" t="inlineStr">
        <is>
          <t>true</t>
        </is>
      </c>
      <c r="S17" t="inlineStr">
        <is>
          <t>false</t>
        </is>
      </c>
      <c r="T17" t="inlineStr">
        <is>
          <t>false</t>
        </is>
      </c>
      <c r="U17" t="inlineStr">
        <is>
          <t>false</t>
        </is>
      </c>
      <c r="V17" t="inlineStr">
        <is>
          <t>1</t>
        </is>
      </c>
      <c r="W17" t="inlineStr">
        <is>
          <t>1</t>
        </is>
      </c>
      <c r="X17" t="inlineStr">
        <is>
          <t>Utilization|RangeBandLost|CounterBattery|PhaseChange|TerrainChange</t>
        </is>
      </c>
      <c r="Y17" t="inlineStr">
        <is>
          <t>Assets/MachineBrigade/Scripts/Sim/AI/P2/ModeCombatDoctrine.cs:260</t>
        </is>
      </c>
      <c r="Z17" t="inlineStr"/>
    </row>
    <row r="18">
      <c r="A18" t="inlineStr">
        <is>
          <t>hunt</t>
        </is>
      </c>
      <c r="B18" t="inlineStr">
        <is>
          <t>balanced_objective</t>
        </is>
      </c>
      <c r="C18" t="inlineStr"/>
      <c r="D18" t="inlineStr">
        <is>
          <t>Hunt</t>
        </is>
      </c>
      <c r="E18" t="inlineStr">
        <is>
          <t>false</t>
        </is>
      </c>
      <c r="F18" t="inlineStr">
        <is>
          <t>1</t>
        </is>
      </c>
      <c r="G18" t="inlineStr">
        <is>
          <t>0.5</t>
        </is>
      </c>
      <c r="H18" t="inlineStr">
        <is>
          <t>1</t>
        </is>
      </c>
      <c r="I18" t="inlineStr">
        <is>
          <t>false</t>
        </is>
      </c>
      <c r="J18" t="inlineStr">
        <is>
          <t>1</t>
        </is>
      </c>
      <c r="K18" t="inlineStr">
        <is>
          <t>false</t>
        </is>
      </c>
      <c r="L18" t="inlineStr">
        <is>
          <t>InterceptPredict</t>
        </is>
      </c>
      <c r="M18" t="inlineStr">
        <is>
          <t>Mobile</t>
        </is>
      </c>
      <c r="N18" t="inlineStr">
        <is>
          <t>false</t>
        </is>
      </c>
      <c r="O18" t="inlineStr">
        <is>
          <t>false</t>
        </is>
      </c>
      <c r="P18" t="inlineStr">
        <is>
          <t>Leash</t>
        </is>
      </c>
      <c r="Q18" t="inlineStr">
        <is>
          <t>false</t>
        </is>
      </c>
      <c r="R18" t="inlineStr">
        <is>
          <t>true</t>
        </is>
      </c>
      <c r="S18" t="inlineStr">
        <is>
          <t>false</t>
        </is>
      </c>
      <c r="T18" t="inlineStr">
        <is>
          <t>false</t>
        </is>
      </c>
      <c r="U18" t="inlineStr">
        <is>
          <t>false</t>
        </is>
      </c>
      <c r="V18" t="inlineStr">
        <is>
          <t>1</t>
        </is>
      </c>
      <c r="W18" t="inlineStr">
        <is>
          <t>1</t>
        </is>
      </c>
      <c r="X18" t="inlineStr">
        <is>
          <t>All</t>
        </is>
      </c>
      <c r="Y18" t="inlineStr">
        <is>
          <t>Assets/MachineBrigade/Scripts/Sim/AI/P2/ModeCombatDoctrine.cs:343</t>
        </is>
      </c>
      <c r="Z18" t="inlineStr"/>
    </row>
    <row r="19">
      <c r="A19" t="inlineStr">
        <is>
          <t>intercept</t>
        </is>
      </c>
      <c r="B19" t="inlineStr">
        <is>
          <t>hunt</t>
        </is>
      </c>
      <c r="C19" t="inlineStr"/>
      <c r="D19" t="inlineStr">
        <is>
          <t>Intercept</t>
        </is>
      </c>
      <c r="E19" t="inlineStr">
        <is>
          <t>false</t>
        </is>
      </c>
      <c r="F19" t="inlineStr">
        <is>
          <t>1</t>
        </is>
      </c>
      <c r="G19" t="inlineStr">
        <is>
          <t>0.5</t>
        </is>
      </c>
      <c r="H19" t="inlineStr">
        <is>
          <t>1</t>
        </is>
      </c>
      <c r="I19" t="inlineStr">
        <is>
          <t>false</t>
        </is>
      </c>
      <c r="J19" t="inlineStr">
        <is>
          <t>1</t>
        </is>
      </c>
      <c r="K19" t="inlineStr">
        <is>
          <t>false</t>
        </is>
      </c>
      <c r="L19" t="inlineStr">
        <is>
          <t>InterceptPredict</t>
        </is>
      </c>
      <c r="M19" t="inlineStr">
        <is>
          <t>Mobile</t>
        </is>
      </c>
      <c r="N19" t="inlineStr">
        <is>
          <t>false</t>
        </is>
      </c>
      <c r="O19" t="inlineStr">
        <is>
          <t>false</t>
        </is>
      </c>
      <c r="P19" t="inlineStr">
        <is>
          <t>Leash</t>
        </is>
      </c>
      <c r="Q19" t="inlineStr">
        <is>
          <t>false</t>
        </is>
      </c>
      <c r="R19" t="inlineStr">
        <is>
          <t>false)</t>
        </is>
      </c>
      <c r="S19" t="inlineStr">
        <is>
          <t>false</t>
        </is>
      </c>
      <c r="T19" t="inlineStr">
        <is>
          <t>false</t>
        </is>
      </c>
      <c r="U19" t="inlineStr">
        <is>
          <t>false</t>
        </is>
      </c>
      <c r="V19" t="inlineStr">
        <is>
          <t>1</t>
        </is>
      </c>
      <c r="W19" t="inlineStr">
        <is>
          <t>1</t>
        </is>
      </c>
      <c r="X19" t="inlineStr">
        <is>
          <t>All</t>
        </is>
      </c>
      <c r="Y19" t="inlineStr">
        <is>
          <t>Assets/MachineBrigade/Scripts/Sim/AI/P2/ModeCombatDoctrine.cs:349</t>
        </is>
      </c>
      <c r="Z19" t="inlineStr"/>
    </row>
    <row r="20">
      <c r="A20" t="inlineStr">
        <is>
          <t>operation</t>
        </is>
      </c>
      <c r="B20" t="inlineStr">
        <is>
          <t>assault</t>
        </is>
      </c>
      <c r="C20" t="inlineStr">
        <is>
          <t>Operation</t>
        </is>
      </c>
      <c r="D20" t="inlineStr"/>
      <c r="E20" t="inlineStr">
        <is>
          <t>false</t>
        </is>
      </c>
      <c r="F20" t="inlineStr">
        <is>
          <t>1</t>
        </is>
      </c>
      <c r="G20" t="inlineStr">
        <is>
          <t>0.5</t>
        </is>
      </c>
      <c r="H20" t="inlineStr">
        <is>
          <t>1</t>
        </is>
      </c>
      <c r="I20" t="inlineStr">
        <is>
          <t>false</t>
        </is>
      </c>
      <c r="J20" t="inlineStr">
        <is>
          <t>1</t>
        </is>
      </c>
      <c r="K20" t="inlineStr">
        <is>
          <t>false</t>
        </is>
      </c>
      <c r="L20" t="inlineStr">
        <is>
          <t>FrontLogical</t>
        </is>
      </c>
      <c r="M20" t="inlineStr">
        <is>
          <t>Advance</t>
        </is>
      </c>
      <c r="N20" t="inlineStr">
        <is>
          <t>false</t>
        </is>
      </c>
      <c r="O20" t="inlineStr">
        <is>
          <t>true)</t>
        </is>
      </c>
      <c r="P20" t="inlineStr">
        <is>
          <t>Normal</t>
        </is>
      </c>
      <c r="Q20" t="inlineStr">
        <is>
          <t>false</t>
        </is>
      </c>
      <c r="R20" t="inlineStr">
        <is>
          <t>true</t>
        </is>
      </c>
      <c r="S20" t="inlineStr">
        <is>
          <t>false</t>
        </is>
      </c>
      <c r="T20" t="inlineStr">
        <is>
          <t>false</t>
        </is>
      </c>
      <c r="U20" t="inlineStr">
        <is>
          <t>false</t>
        </is>
      </c>
      <c r="V20" t="inlineStr">
        <is>
          <t>1</t>
        </is>
      </c>
      <c r="W20" t="inlineStr">
        <is>
          <t>1.4</t>
        </is>
      </c>
      <c r="X20" t="inlineStr">
        <is>
          <t>Utilization|FrontMoved|RangeBandLost|CounterBattery|RouteChanged|PhaseChange|TerrainChange</t>
        </is>
      </c>
      <c r="Y20" t="inlineStr">
        <is>
          <t>Assets/MachineBrigade/Scripts/Sim/AI/P2/ModeCombatDoctrine.cs:360</t>
        </is>
      </c>
      <c r="Z20" t="inlineStr"/>
    </row>
    <row r="21">
      <c r="A21" t="inlineStr">
        <is>
          <t>outpost</t>
        </is>
      </c>
      <c r="B21" t="inlineStr">
        <is>
          <t>defend</t>
        </is>
      </c>
      <c r="C21" t="inlineStr"/>
      <c r="D21" t="inlineStr">
        <is>
          <t>Outpost</t>
        </is>
      </c>
      <c r="E21" t="inlineStr">
        <is>
          <t>false</t>
        </is>
      </c>
      <c r="F21" t="inlineStr">
        <is>
          <t>1</t>
        </is>
      </c>
      <c r="G21" t="inlineStr">
        <is>
          <t>0.7)</t>
        </is>
      </c>
      <c r="H21" t="inlineStr">
        <is>
          <t>1</t>
        </is>
      </c>
      <c r="I21" t="inlineStr">
        <is>
          <t>false</t>
        </is>
      </c>
      <c r="J21" t="inlineStr">
        <is>
          <t>1</t>
        </is>
      </c>
      <c r="K21" t="inlineStr">
        <is>
          <t>false</t>
        </is>
      </c>
      <c r="L21" t="inlineStr">
        <is>
          <t>DefenceLine</t>
        </is>
      </c>
      <c r="M21" t="inlineStr">
        <is>
          <t>HoldLine</t>
        </is>
      </c>
      <c r="N21" t="inlineStr">
        <is>
          <t>false</t>
        </is>
      </c>
      <c r="O21" t="inlineStr">
        <is>
          <t>false</t>
        </is>
      </c>
      <c r="P21" t="inlineStr">
        <is>
          <t>NoChase</t>
        </is>
      </c>
      <c r="Q21" t="inlineStr">
        <is>
          <t>false</t>
        </is>
      </c>
      <c r="R21" t="inlineStr">
        <is>
          <t>true</t>
        </is>
      </c>
      <c r="S21" t="inlineStr">
        <is>
          <t>false</t>
        </is>
      </c>
      <c r="T21" t="inlineStr">
        <is>
          <t>false</t>
        </is>
      </c>
      <c r="U21" t="inlineStr">
        <is>
          <t>false</t>
        </is>
      </c>
      <c r="V21" t="inlineStr">
        <is>
          <t>1</t>
        </is>
      </c>
      <c r="W21" t="inlineStr">
        <is>
          <t>1</t>
        </is>
      </c>
      <c r="X21" t="inlineStr">
        <is>
          <t>Utilization|RangeBandLost|CounterBattery|PhaseChange|TerrainChange</t>
        </is>
      </c>
      <c r="Y21" t="inlineStr">
        <is>
          <t>Assets/MachineBrigade/Scripts/Sim/AI/P2/ModeCombatDoctrine.cs:262</t>
        </is>
      </c>
      <c r="Z21" t="inlineStr"/>
    </row>
    <row r="22">
      <c r="A22" t="inlineStr">
        <is>
          <t>protect</t>
        </is>
      </c>
      <c r="B22" t="inlineStr">
        <is>
          <t>defend</t>
        </is>
      </c>
      <c r="C22" t="inlineStr"/>
      <c r="D22" t="inlineStr">
        <is>
          <t>Protect</t>
        </is>
      </c>
      <c r="E22" t="inlineStr">
        <is>
          <t>false</t>
        </is>
      </c>
      <c r="F22" t="inlineStr">
        <is>
          <t>1</t>
        </is>
      </c>
      <c r="G22" t="inlineStr">
        <is>
          <t>0.8</t>
        </is>
      </c>
      <c r="H22" t="inlineStr">
        <is>
          <t>1</t>
        </is>
      </c>
      <c r="I22" t="inlineStr">
        <is>
          <t>false</t>
        </is>
      </c>
      <c r="J22" t="inlineStr">
        <is>
          <t>1</t>
        </is>
      </c>
      <c r="K22" t="inlineStr">
        <is>
          <t>false</t>
        </is>
      </c>
      <c r="L22" t="inlineStr">
        <is>
          <t>DefenceLine</t>
        </is>
      </c>
      <c r="M22" t="inlineStr">
        <is>
          <t>HoldLine</t>
        </is>
      </c>
      <c r="N22" t="inlineStr">
        <is>
          <t>false</t>
        </is>
      </c>
      <c r="O22" t="inlineStr">
        <is>
          <t>false</t>
        </is>
      </c>
      <c r="P22" t="inlineStr">
        <is>
          <t>NoChase)</t>
        </is>
      </c>
      <c r="Q22" t="inlineStr">
        <is>
          <t>false</t>
        </is>
      </c>
      <c r="R22" t="inlineStr">
        <is>
          <t>true</t>
        </is>
      </c>
      <c r="S22" t="inlineStr">
        <is>
          <t>false</t>
        </is>
      </c>
      <c r="T22" t="inlineStr">
        <is>
          <t>false</t>
        </is>
      </c>
      <c r="U22" t="inlineStr">
        <is>
          <t>false</t>
        </is>
      </c>
      <c r="V22" t="inlineStr">
        <is>
          <t>1</t>
        </is>
      </c>
      <c r="W22" t="inlineStr">
        <is>
          <t>1</t>
        </is>
      </c>
      <c r="X22" t="inlineStr">
        <is>
          <t>Utilization|RangeBandLost|CounterBattery|PhaseChange|TerrainChange</t>
        </is>
      </c>
      <c r="Y22" t="inlineStr">
        <is>
          <t>Assets/MachineBrigade/Scripts/Sim/AI/P2/ModeCombatDoctrine.cs:261</t>
        </is>
      </c>
      <c r="Z22" t="inlineStr"/>
    </row>
    <row r="23">
      <c r="A23" t="inlineStr">
        <is>
          <t>recon</t>
        </is>
      </c>
      <c r="B23" t="inlineStr">
        <is>
          <t>balanced_objective</t>
        </is>
      </c>
      <c r="C23" t="inlineStr"/>
      <c r="D23" t="inlineStr">
        <is>
          <t>Recon</t>
        </is>
      </c>
      <c r="E23" t="inlineStr">
        <is>
          <t>false</t>
        </is>
      </c>
      <c r="F23" t="inlineStr">
        <is>
          <t>1</t>
        </is>
      </c>
      <c r="G23" t="inlineStr">
        <is>
          <t>1</t>
        </is>
      </c>
      <c r="H23" t="inlineStr">
        <is>
          <t>1</t>
        </is>
      </c>
      <c r="I23" t="inlineStr">
        <is>
          <t>false</t>
        </is>
      </c>
      <c r="J23" t="inlineStr">
        <is>
          <t>1</t>
        </is>
      </c>
      <c r="K23" t="inlineStr">
        <is>
          <t>false</t>
        </is>
      </c>
      <c r="L23" t="inlineStr">
        <is>
          <t>Quiet</t>
        </is>
      </c>
      <c r="M23" t="inlineStr">
        <is>
          <t>Mobile</t>
        </is>
      </c>
      <c r="N23" t="inlineStr">
        <is>
          <t>false</t>
        </is>
      </c>
      <c r="O23" t="inlineStr">
        <is>
          <t>false</t>
        </is>
      </c>
      <c r="P23" t="inlineStr">
        <is>
          <t>NoChase</t>
        </is>
      </c>
      <c r="Q23" t="inlineStr">
        <is>
          <t>true</t>
        </is>
      </c>
      <c r="R23" t="inlineStr">
        <is>
          <t>true</t>
        </is>
      </c>
      <c r="S23" t="inlineStr">
        <is>
          <t>false</t>
        </is>
      </c>
      <c r="T23" t="inlineStr">
        <is>
          <t>false</t>
        </is>
      </c>
      <c r="U23" t="inlineStr">
        <is>
          <t>false</t>
        </is>
      </c>
      <c r="V23" t="inlineStr">
        <is>
          <t>1</t>
        </is>
      </c>
      <c r="W23" t="inlineStr">
        <is>
          <t>1</t>
        </is>
      </c>
      <c r="X23" t="inlineStr">
        <is>
          <t>All</t>
        </is>
      </c>
      <c r="Y23" t="inlineStr">
        <is>
          <t>Assets/MachineBrigade/Scripts/Sim/AI/P2/ModeCombatDoctrine.cs:351</t>
        </is>
      </c>
      <c r="Z23" t="inlineStr"/>
    </row>
    <row r="24">
      <c r="A24" t="inlineStr">
        <is>
          <t>relieve</t>
        </is>
      </c>
      <c r="B24" t="inlineStr">
        <is>
          <t>defend</t>
        </is>
      </c>
      <c r="C24" t="inlineStr"/>
      <c r="D24" t="inlineStr">
        <is>
          <t>Relieve</t>
        </is>
      </c>
      <c r="E24" t="inlineStr">
        <is>
          <t>false</t>
        </is>
      </c>
      <c r="F24" t="inlineStr">
        <is>
          <t>1</t>
        </is>
      </c>
      <c r="G24" t="inlineStr">
        <is>
          <t>0.6</t>
        </is>
      </c>
      <c r="H24" t="inlineStr">
        <is>
          <t>1</t>
        </is>
      </c>
      <c r="I24" t="inlineStr">
        <is>
          <t>false</t>
        </is>
      </c>
      <c r="J24" t="inlineStr">
        <is>
          <t>1</t>
        </is>
      </c>
      <c r="K24" t="inlineStr">
        <is>
          <t>false</t>
        </is>
      </c>
      <c r="L24" t="inlineStr">
        <is>
          <t>FrontLogical</t>
        </is>
      </c>
      <c r="M24" t="inlineStr">
        <is>
          <t>Advance</t>
        </is>
      </c>
      <c r="N24" t="inlineStr">
        <is>
          <t>false</t>
        </is>
      </c>
      <c r="O24" t="inlineStr">
        <is>
          <t>false</t>
        </is>
      </c>
      <c r="P24" t="inlineStr">
        <is>
          <t>Leash</t>
        </is>
      </c>
      <c r="Q24" t="inlineStr">
        <is>
          <t>false</t>
        </is>
      </c>
      <c r="R24" t="inlineStr">
        <is>
          <t>true</t>
        </is>
      </c>
      <c r="S24" t="inlineStr">
        <is>
          <t>false</t>
        </is>
      </c>
      <c r="T24" t="inlineStr">
        <is>
          <t>false</t>
        </is>
      </c>
      <c r="U24" t="inlineStr">
        <is>
          <t>false</t>
        </is>
      </c>
      <c r="V24" t="inlineStr">
        <is>
          <t>1</t>
        </is>
      </c>
      <c r="W24" t="inlineStr">
        <is>
          <t>1</t>
        </is>
      </c>
      <c r="X24" t="inlineStr">
        <is>
          <t>Utilization|RangeBandLost|CounterBattery|PhaseChange|TerrainChange</t>
        </is>
      </c>
      <c r="Y24" t="inlineStr">
        <is>
          <t>Assets/MachineBrigade/Scripts/Sim/AI/P2/ModeCombatDoctrine.cs:263</t>
        </is>
      </c>
      <c r="Z24" t="inlineStr"/>
    </row>
    <row r="25">
      <c r="A25" t="inlineStr">
        <is>
          <t>shootdown</t>
        </is>
      </c>
      <c r="B25" t="inlineStr">
        <is>
          <t>balanced_objective</t>
        </is>
      </c>
      <c r="C25" t="inlineStr"/>
      <c r="D25" t="inlineStr">
        <is>
          <t>ShootDown</t>
        </is>
      </c>
      <c r="E25" t="inlineStr">
        <is>
          <t>true</t>
        </is>
      </c>
      <c r="F25" t="inlineStr">
        <is>
          <t>1</t>
        </is>
      </c>
      <c r="G25" t="inlineStr">
        <is>
          <t>0.5</t>
        </is>
      </c>
      <c r="H25" t="inlineStr">
        <is>
          <t>1</t>
        </is>
      </c>
      <c r="I25" t="inlineStr">
        <is>
          <t>false</t>
        </is>
      </c>
      <c r="J25" t="inlineStr">
        <is>
          <t>1</t>
        </is>
      </c>
      <c r="K25" t="inlineStr">
        <is>
          <t>false</t>
        </is>
      </c>
      <c r="L25" t="inlineStr">
        <is>
          <t>DefenceLine</t>
        </is>
      </c>
      <c r="M25" t="inlineStr">
        <is>
          <t>HoldLine</t>
        </is>
      </c>
      <c r="N25" t="inlineStr">
        <is>
          <t>false</t>
        </is>
      </c>
      <c r="O25" t="inlineStr">
        <is>
          <t>false</t>
        </is>
      </c>
      <c r="P25" t="inlineStr">
        <is>
          <t>NoChase</t>
        </is>
      </c>
      <c r="Q25" t="inlineStr">
        <is>
          <t>false</t>
        </is>
      </c>
      <c r="R25" t="inlineStr">
        <is>
          <t>true</t>
        </is>
      </c>
      <c r="S25" t="inlineStr">
        <is>
          <t>false</t>
        </is>
      </c>
      <c r="T25" t="inlineStr">
        <is>
          <t>false</t>
        </is>
      </c>
      <c r="U25" t="inlineStr">
        <is>
          <t>false</t>
        </is>
      </c>
      <c r="V25" t="inlineStr">
        <is>
          <t>1</t>
        </is>
      </c>
      <c r="W25" t="inlineStr">
        <is>
          <t>1</t>
        </is>
      </c>
      <c r="X25" t="inlineStr">
        <is>
          <t>All</t>
        </is>
      </c>
      <c r="Y25" t="inlineStr">
        <is>
          <t>Assets/MachineBrigade/Scripts/Sim/AI/P2/ModeCombatDoctrine.cs:369</t>
        </is>
      </c>
      <c r="Z25" t="inlineStr"/>
    </row>
    <row r="26">
      <c r="A26" t="inlineStr">
        <is>
          <t>showdown</t>
        </is>
      </c>
      <c r="B26" t="inlineStr">
        <is>
          <t>balanced_objective</t>
        </is>
      </c>
      <c r="C26" t="inlineStr">
        <is>
          <t>Showdown</t>
        </is>
      </c>
      <c r="D26" t="inlineStr"/>
      <c r="E26" t="inlineStr">
        <is>
          <t>false</t>
        </is>
      </c>
      <c r="F26" t="inlineStr">
        <is>
          <t>1</t>
        </is>
      </c>
      <c r="G26" t="inlineStr">
        <is>
          <t>0.5</t>
        </is>
      </c>
      <c r="H26" t="inlineStr">
        <is>
          <t>1</t>
        </is>
      </c>
      <c r="I26" t="inlineStr">
        <is>
          <t>true</t>
        </is>
      </c>
      <c r="J26" t="inlineStr">
        <is>
          <t>1</t>
        </is>
      </c>
      <c r="K26" t="inlineStr">
        <is>
          <t>false</t>
        </is>
      </c>
      <c r="L26" t="inlineStr">
        <is>
          <t>FrontLogical</t>
        </is>
      </c>
      <c r="M26" t="inlineStr">
        <is>
          <t>Advance</t>
        </is>
      </c>
      <c r="N26" t="inlineStr">
        <is>
          <t>false</t>
        </is>
      </c>
      <c r="O26" t="inlineStr">
        <is>
          <t>false</t>
        </is>
      </c>
      <c r="P26" t="inlineStr">
        <is>
          <t>Normal</t>
        </is>
      </c>
      <c r="Q26" t="inlineStr">
        <is>
          <t>false</t>
        </is>
      </c>
      <c r="R26" t="inlineStr">
        <is>
          <t>true</t>
        </is>
      </c>
      <c r="S26" t="inlineStr">
        <is>
          <t>false</t>
        </is>
      </c>
      <c r="T26" t="inlineStr">
        <is>
          <t>false</t>
        </is>
      </c>
      <c r="U26" t="inlineStr">
        <is>
          <t>false</t>
        </is>
      </c>
      <c r="V26" t="inlineStr">
        <is>
          <t>1</t>
        </is>
      </c>
      <c r="W26" t="inlineStr">
        <is>
          <t>1.2</t>
        </is>
      </c>
      <c r="X26" t="inlineStr">
        <is>
          <t>All</t>
        </is>
      </c>
      <c r="Y26" t="inlineStr">
        <is>
          <t>Assets/MachineBrigade/Scripts/Sim/AI/P2/ModeCombatDoctrine.cs:362</t>
        </is>
      </c>
      <c r="Z26" t="inlineStr"/>
    </row>
    <row r="27">
      <c r="A27" t="inlineStr">
        <is>
          <t>siege</t>
        </is>
      </c>
      <c r="B27" t="inlineStr">
        <is>
          <t>balanced_objective</t>
        </is>
      </c>
      <c r="C27" t="inlineStr">
        <is>
          <t>Siege</t>
        </is>
      </c>
      <c r="D27" t="inlineStr"/>
      <c r="E27" t="inlineStr">
        <is>
          <t>false</t>
        </is>
      </c>
      <c r="F27" t="inlineStr">
        <is>
          <t>1.3</t>
        </is>
      </c>
      <c r="G27" t="inlineStr">
        <is>
          <t>0.5</t>
        </is>
      </c>
      <c r="H27" t="inlineStr">
        <is>
          <t>1</t>
        </is>
      </c>
      <c r="I27" t="inlineStr">
        <is>
          <t>false</t>
        </is>
      </c>
      <c r="J27" t="inlineStr">
        <is>
          <t>1</t>
        </is>
      </c>
      <c r="K27" t="inlineStr">
        <is>
          <t>false</t>
        </is>
      </c>
      <c r="L27" t="inlineStr">
        <is>
          <t>SiegeLayers</t>
        </is>
      </c>
      <c r="M27" t="inlineStr">
        <is>
          <t>Advance</t>
        </is>
      </c>
      <c r="N27" t="inlineStr">
        <is>
          <t>false</t>
        </is>
      </c>
      <c r="O27" t="inlineStr">
        <is>
          <t>false</t>
        </is>
      </c>
      <c r="P27" t="inlineStr">
        <is>
          <t>Normal</t>
        </is>
      </c>
      <c r="Q27" t="inlineStr">
        <is>
          <t>false</t>
        </is>
      </c>
      <c r="R27" t="inlineStr">
        <is>
          <t>false</t>
        </is>
      </c>
      <c r="S27" t="inlineStr">
        <is>
          <t>false</t>
        </is>
      </c>
      <c r="T27" t="inlineStr">
        <is>
          <t>false</t>
        </is>
      </c>
      <c r="U27" t="inlineStr">
        <is>
          <t>true</t>
        </is>
      </c>
      <c r="V27" t="inlineStr">
        <is>
          <t>1</t>
        </is>
      </c>
      <c r="W27" t="inlineStr">
        <is>
          <t>1.5</t>
        </is>
      </c>
      <c r="X27" t="inlineStr">
        <is>
          <t>All</t>
        </is>
      </c>
      <c r="Y27" t="inlineStr">
        <is>
          <t>Assets/MachineBrigade/Scripts/Sim/AI/P2/ModeCombatDoctrine.cs:301</t>
        </is>
      </c>
      <c r="Z27" t="inlineStr"/>
    </row>
    <row r="28">
      <c r="A28" t="inlineStr">
        <is>
          <t>survival</t>
        </is>
      </c>
      <c r="B28" t="inlineStr">
        <is>
          <t>balanced_objective</t>
        </is>
      </c>
      <c r="C28" t="inlineStr">
        <is>
          <t>Survival</t>
        </is>
      </c>
      <c r="D28" t="inlineStr">
        <is>
          <t>Survive</t>
        </is>
      </c>
      <c r="E28" t="inlineStr">
        <is>
          <t>false</t>
        </is>
      </c>
      <c r="F28" t="inlineStr">
        <is>
          <t>1</t>
        </is>
      </c>
      <c r="G28" t="inlineStr">
        <is>
          <t>0.5</t>
        </is>
      </c>
      <c r="H28" t="inlineStr">
        <is>
          <t>1</t>
        </is>
      </c>
      <c r="I28" t="inlineStr">
        <is>
          <t>false</t>
        </is>
      </c>
      <c r="J28" t="inlineStr">
        <is>
          <t>1</t>
        </is>
      </c>
      <c r="K28" t="inlineStr">
        <is>
          <t>false</t>
        </is>
      </c>
      <c r="L28" t="inlineStr">
        <is>
          <t>PreparedPockets</t>
        </is>
      </c>
      <c r="M28" t="inlineStr">
        <is>
          <t>Survival</t>
        </is>
      </c>
      <c r="N28" t="inlineStr">
        <is>
          <t>false</t>
        </is>
      </c>
      <c r="O28" t="inlineStr">
        <is>
          <t>false</t>
        </is>
      </c>
      <c r="P28" t="inlineStr">
        <is>
          <t>NoChase</t>
        </is>
      </c>
      <c r="Q28" t="inlineStr">
        <is>
          <t>false</t>
        </is>
      </c>
      <c r="R28" t="inlineStr">
        <is>
          <t>false</t>
        </is>
      </c>
      <c r="S28" t="inlineStr">
        <is>
          <t>false</t>
        </is>
      </c>
      <c r="T28" t="inlineStr">
        <is>
          <t>true</t>
        </is>
      </c>
      <c r="U28" t="inlineStr">
        <is>
          <t>false</t>
        </is>
      </c>
      <c r="V28" t="inlineStr">
        <is>
          <t>1</t>
        </is>
      </c>
      <c r="W28" t="inlineStr">
        <is>
          <t>1</t>
        </is>
      </c>
      <c r="X28" t="inlineStr">
        <is>
          <t>WaveDirection|Rotation|CounterBattery|RangeBandLost|TerrainChange</t>
        </is>
      </c>
      <c r="Y28" t="inlineStr">
        <is>
          <t>Assets/MachineBrigade/Scripts/Sim/AI/P2/ModeCombatDoctrine.cs:313</t>
        </is>
      </c>
      <c r="Z28" t="inlineStr"/>
    </row>
    <row r="29">
      <c r="A29" t="inlineStr">
        <is>
          <t>weekly</t>
        </is>
      </c>
      <c r="B29" t="inlineStr">
        <is>
          <t>siege</t>
        </is>
      </c>
      <c r="C29" t="inlineStr">
        <is>
          <t>Weekly</t>
        </is>
      </c>
      <c r="D29" t="inlineStr"/>
      <c r="E29" t="inlineStr">
        <is>
          <t>false</t>
        </is>
      </c>
      <c r="F29" t="inlineStr">
        <is>
          <t>1.3</t>
        </is>
      </c>
      <c r="G29" t="inlineStr">
        <is>
          <t>0.5</t>
        </is>
      </c>
      <c r="H29" t="inlineStr">
        <is>
          <t>1</t>
        </is>
      </c>
      <c r="I29" t="inlineStr">
        <is>
          <t>false</t>
        </is>
      </c>
      <c r="J29" t="inlineStr">
        <is>
          <t>1</t>
        </is>
      </c>
      <c r="K29" t="inlineStr">
        <is>
          <t>false</t>
        </is>
      </c>
      <c r="L29" t="inlineStr">
        <is>
          <t>SiegeLayers</t>
        </is>
      </c>
      <c r="M29" t="inlineStr">
        <is>
          <t>Advance</t>
        </is>
      </c>
      <c r="N29" t="inlineStr">
        <is>
          <t>true)</t>
        </is>
      </c>
      <c r="O29" t="inlineStr">
        <is>
          <t>false</t>
        </is>
      </c>
      <c r="P29" t="inlineStr">
        <is>
          <t>Normal</t>
        </is>
      </c>
      <c r="Q29" t="inlineStr">
        <is>
          <t>false</t>
        </is>
      </c>
      <c r="R29" t="inlineStr">
        <is>
          <t>false</t>
        </is>
      </c>
      <c r="S29" t="inlineStr">
        <is>
          <t>false</t>
        </is>
      </c>
      <c r="T29" t="inlineStr">
        <is>
          <t>false</t>
        </is>
      </c>
      <c r="U29" t="inlineStr">
        <is>
          <t>true</t>
        </is>
      </c>
      <c r="V29" t="inlineStr">
        <is>
          <t>1</t>
        </is>
      </c>
      <c r="W29" t="inlineStr">
        <is>
          <t>1.5</t>
        </is>
      </c>
      <c r="X29" t="inlineStr">
        <is>
          <t>All</t>
        </is>
      </c>
      <c r="Y29" t="inlineStr">
        <is>
          <t>Assets/MachineBrigade/Scripts/Sim/AI/P2/ModeCombatDoctrine.cs:311</t>
        </is>
      </c>
      <c r="Z29" t="inlineStr"/>
    </row>
  </sheetData>
  <autoFilter ref="A1:Z29"/>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4" customWidth="1" min="3" max="3"/>
    <col width="17" customWidth="1" min="4" max="4"/>
    <col width="14" customWidth="1" min="5" max="5"/>
    <col width="10" customWidth="1" min="6" max="6"/>
    <col width="21" customWidth="1" min="7" max="7"/>
    <col width="18" customWidth="1" min="8" max="8"/>
    <col width="41" customWidth="1" min="9" max="9"/>
    <col width="17" customWidth="1" min="10" max="10"/>
    <col width="60" customWidth="1" min="11" max="11"/>
    <col width="23" customWidth="1" min="12" max="12"/>
    <col width="12" customWidth="1" min="13" max="13"/>
    <col width="24" customWidth="1" min="14" max="14"/>
    <col width="13" customWidth="1" min="15" max="15"/>
    <col width="12" customWidth="1" min="16" max="16"/>
    <col width="37" customWidth="1" min="17" max="17"/>
    <col width="60" customWidth="1" min="18" max="18"/>
    <col width="31" customWidth="1" min="19" max="19"/>
    <col width="12" customWidth="1" min="20" max="20"/>
    <col width="44" customWidth="1" min="21" max="21"/>
    <col width="10" customWidth="1" min="22" max="22"/>
  </cols>
  <sheetData>
    <row r="1">
      <c r="A1" s="1" t="inlineStr">
        <is>
          <t>id</t>
        </is>
      </c>
      <c r="B1" s="1" t="inlineStr">
        <is>
          <t>entity_id</t>
        </is>
      </c>
      <c r="C1" s="1" t="inlineStr">
        <is>
          <t>ten_hien_thi</t>
        </is>
      </c>
      <c r="D1" s="1" t="inlineStr">
        <is>
          <t>loai_tham_chieu</t>
        </is>
      </c>
      <c r="E1" s="1" t="inlineStr">
        <is>
          <t>ten_mau_that</t>
        </is>
      </c>
      <c r="F1" s="1" t="inlineStr">
        <is>
          <t>quoc_gia</t>
        </is>
      </c>
      <c r="G1" s="1" t="inlineStr">
        <is>
          <t>nam_dua_vao_su_dung</t>
        </is>
      </c>
      <c r="H1" s="1" t="inlineStr">
        <is>
          <t>ten_game</t>
        </is>
      </c>
      <c r="I1" s="1" t="inlineStr">
        <is>
          <t>co_che_game</t>
        </is>
      </c>
      <c r="J1" s="1" t="inlineStr">
        <is>
          <t>ten_phim_truyen</t>
        </is>
      </c>
      <c r="K1" s="1" t="inlineStr">
        <is>
          <t>diem_giong</t>
        </is>
      </c>
      <c r="L1" s="1" t="inlineStr">
        <is>
          <t>diem_khac_co_chu_dich</t>
        </is>
      </c>
      <c r="M1" s="1" t="inlineStr">
        <is>
          <t>ly_do_khac</t>
        </is>
      </c>
      <c r="N1" s="1" t="inlineStr">
        <is>
          <t>cam_giac_khac_khi_choi</t>
        </is>
      </c>
      <c r="O1" s="1" t="inlineStr">
        <is>
          <t>do_tin_cay</t>
        </is>
      </c>
      <c r="P1" s="1" t="inlineStr">
        <is>
          <t>nguon_id</t>
        </is>
      </c>
      <c r="Q1" s="1" t="inlineStr">
        <is>
          <t>ly_do</t>
        </is>
      </c>
      <c r="R1" s="1" t="inlineStr">
        <is>
          <t>ghi_chu_ban_quyen</t>
        </is>
      </c>
      <c r="S1" s="1" t="inlineStr">
        <is>
          <t>co_che_giu_nguyen</t>
        </is>
      </c>
      <c r="T1" s="1" t="inlineStr">
        <is>
          <t>co_che_doi</t>
        </is>
      </c>
      <c r="U1" s="1" t="inlineStr">
        <is>
          <t>nguon</t>
        </is>
      </c>
      <c r="V1" s="1" t="inlineStr">
        <is>
          <t>raw_json</t>
        </is>
      </c>
    </row>
    <row r="2">
      <c r="A2" t="inlineStr">
        <is>
          <t>assault</t>
        </is>
      </c>
      <c r="B2" t="inlineStr">
        <is>
          <t>assault</t>
        </is>
      </c>
      <c r="C2" t="inlineStr">
        <is>
          <t>Assault</t>
        </is>
      </c>
      <c r="D2" t="inlineStr">
        <is>
          <t>NEED_SOURCE</t>
        </is>
      </c>
      <c r="E2" t="inlineStr"/>
      <c r="F2" t="inlineStr"/>
      <c r="G2" t="inlineStr"/>
      <c r="H2" t="inlineStr">
        <is>
          <t>NEED_SOURCE</t>
        </is>
      </c>
      <c r="I2" t="inlineStr"/>
      <c r="J2" t="inlineStr"/>
      <c r="K2" t="inlineStr"/>
      <c r="L2" t="inlineStr"/>
      <c r="M2" t="inlineStr"/>
      <c r="N2" t="inlineStr"/>
      <c r="O2" t="inlineStr">
        <is>
          <t>NEED_SOURCE</t>
        </is>
      </c>
      <c r="P2" t="inlineStr"/>
      <c r="Q2" t="inlineStr">
        <is>
          <t>repo không có tham chiếu cho mục này</t>
        </is>
      </c>
      <c r="R2" t="inlineStr">
        <is>
          <t>chỉ ở mức ý tưởng và thông số (sự kiện); không dùng tên, logo, văn bản, ảnh hay mô hình có bản quyền; tên và phù hiệu quốc gia thật không hiện cho người chơi</t>
        </is>
      </c>
      <c r="S2" t="inlineStr"/>
      <c r="T2" t="inlineStr"/>
      <c r="U2" t="inlineStr">
        <is>
          <t>spec 12.2 (05)</t>
        </is>
      </c>
      <c r="V2" t="inlineStr"/>
    </row>
    <row r="3">
      <c r="A3" t="inlineStr">
        <is>
          <t>bossrush</t>
        </is>
      </c>
      <c r="B3" t="inlineStr">
        <is>
          <t>bossrush</t>
        </is>
      </c>
      <c r="C3" t="inlineStr">
        <is>
          <t>BossRush</t>
        </is>
      </c>
      <c r="D3" t="inlineStr">
        <is>
          <t>NEED_SOURCE</t>
        </is>
      </c>
      <c r="E3" t="inlineStr"/>
      <c r="F3" t="inlineStr"/>
      <c r="G3" t="inlineStr"/>
      <c r="H3" t="inlineStr">
        <is>
          <t>NEED_SOURCE</t>
        </is>
      </c>
      <c r="I3" t="inlineStr"/>
      <c r="J3" t="inlineStr"/>
      <c r="K3" t="inlineStr"/>
      <c r="L3" t="inlineStr"/>
      <c r="M3" t="inlineStr"/>
      <c r="N3" t="inlineStr"/>
      <c r="O3" t="inlineStr">
        <is>
          <t>NEED_SOURCE</t>
        </is>
      </c>
      <c r="P3" t="inlineStr"/>
      <c r="Q3" t="inlineStr">
        <is>
          <t>repo không có tham chiếu cho mục này</t>
        </is>
      </c>
      <c r="R3" t="inlineStr">
        <is>
          <t>chỉ ở mức ý tưởng và thông số (sự kiện); không dùng tên, logo, văn bản, ảnh hay mô hình có bản quyền; tên và phù hiệu quốc gia thật không hiện cho người chơi</t>
        </is>
      </c>
      <c r="S3" t="inlineStr"/>
      <c r="T3" t="inlineStr"/>
      <c r="U3" t="inlineStr">
        <is>
          <t>spec 12.2 (05)</t>
        </is>
      </c>
      <c r="V3" t="inlineStr"/>
    </row>
    <row r="4">
      <c r="A4" t="inlineStr">
        <is>
          <t>conquest</t>
        </is>
      </c>
      <c r="B4" t="inlineStr">
        <is>
          <t>conquest</t>
        </is>
      </c>
      <c r="C4" t="inlineStr">
        <is>
          <t>Conquest</t>
        </is>
      </c>
      <c r="D4" t="inlineStr">
        <is>
          <t>game</t>
        </is>
      </c>
      <c r="E4" t="inlineStr"/>
      <c r="F4" t="inlineStr"/>
      <c r="G4" t="inlineStr"/>
      <c r="H4" t="inlineStr">
        <is>
          <t>Company of Heroes</t>
        </is>
      </c>
      <c r="I4" t="inlineStr">
        <is>
          <t>Bleed: bên giữ ít cứ điểm hơn bị trừ dần</t>
        </is>
      </c>
      <c r="J4" t="inlineStr"/>
      <c r="K4" t="inlineStr">
        <is>
          <t>DECISIONS mục '28 5 (cloud, 2026-10-02)': Conquest đã trừ dần bên giữ ít điểm hơn</t>
        </is>
      </c>
      <c r="L4" t="inlineStr"/>
      <c r="M4" t="inlineStr"/>
      <c r="N4" t="inlineStr"/>
      <c r="O4" t="inlineStr">
        <is>
          <t>ban_dau_doan</t>
        </is>
      </c>
      <c r="P4" t="inlineStr">
        <is>
          <t>R_decisions</t>
        </is>
      </c>
      <c r="Q4" t="inlineStr"/>
      <c r="R4" t="inlineStr">
        <is>
          <t>chỉ ở mức ý tưởng và thông số (sự kiện); không dùng tên, logo, văn bản, ảnh hay mô hình có bản quyền; tên và phù hiệu quốc gia thật không hiện cho người chơi</t>
        </is>
      </c>
      <c r="S4" t="inlineStr">
        <is>
          <t>trừ dần bên giữ ít cứ điểm hơn</t>
        </is>
      </c>
      <c r="T4" t="inlineStr">
        <is>
          <t>NEED_SOURCE</t>
        </is>
      </c>
      <c r="U4" t="inlineStr">
        <is>
          <t>Docs/DECISIONS.md: 28 5 (cloud, 2026-10-02)</t>
        </is>
      </c>
      <c r="V4" t="inlineStr"/>
    </row>
    <row r="5">
      <c r="A5" t="inlineStr">
        <is>
          <t>deathmatch</t>
        </is>
      </c>
      <c r="B5" t="inlineStr">
        <is>
          <t>deathmatch</t>
        </is>
      </c>
      <c r="C5" t="inlineStr">
        <is>
          <t>Deathmatch</t>
        </is>
      </c>
      <c r="D5" t="inlineStr">
        <is>
          <t>NEED_SOURCE</t>
        </is>
      </c>
      <c r="E5" t="inlineStr"/>
      <c r="F5" t="inlineStr"/>
      <c r="G5" t="inlineStr"/>
      <c r="H5" t="inlineStr">
        <is>
          <t>NEED_SOURCE</t>
        </is>
      </c>
      <c r="I5" t="inlineStr"/>
      <c r="J5" t="inlineStr"/>
      <c r="K5" t="inlineStr"/>
      <c r="L5" t="inlineStr"/>
      <c r="M5" t="inlineStr"/>
      <c r="N5" t="inlineStr"/>
      <c r="O5" t="inlineStr">
        <is>
          <t>NEED_SOURCE</t>
        </is>
      </c>
      <c r="P5" t="inlineStr"/>
      <c r="Q5" t="inlineStr">
        <is>
          <t>repo không có tham chiếu cho mục này</t>
        </is>
      </c>
      <c r="R5" t="inlineStr">
        <is>
          <t>chỉ ở mức ý tưởng và thông số (sự kiện); không dùng tên, logo, văn bản, ảnh hay mô hình có bản quyền; tên và phù hiệu quốc gia thật không hiện cho người chơi</t>
        </is>
      </c>
      <c r="S5" t="inlineStr"/>
      <c r="T5" t="inlineStr"/>
      <c r="U5" t="inlineStr">
        <is>
          <t>spec 12.2 (05)</t>
        </is>
      </c>
      <c r="V5" t="inlineStr"/>
    </row>
    <row r="6">
      <c r="A6" t="inlineStr">
        <is>
          <t>defend</t>
        </is>
      </c>
      <c r="B6" t="inlineStr">
        <is>
          <t>defend</t>
        </is>
      </c>
      <c r="C6" t="inlineStr">
        <is>
          <t>Defend</t>
        </is>
      </c>
      <c r="D6" t="inlineStr">
        <is>
          <t>NEED_SOURCE</t>
        </is>
      </c>
      <c r="E6" t="inlineStr"/>
      <c r="F6" t="inlineStr"/>
      <c r="G6" t="inlineStr"/>
      <c r="H6" t="inlineStr">
        <is>
          <t>NEED_SOURCE</t>
        </is>
      </c>
      <c r="I6" t="inlineStr"/>
      <c r="J6" t="inlineStr"/>
      <c r="K6" t="inlineStr"/>
      <c r="L6" t="inlineStr"/>
      <c r="M6" t="inlineStr"/>
      <c r="N6" t="inlineStr"/>
      <c r="O6" t="inlineStr">
        <is>
          <t>NEED_SOURCE</t>
        </is>
      </c>
      <c r="P6" t="inlineStr"/>
      <c r="Q6" t="inlineStr">
        <is>
          <t>repo không có tham chiếu cho mục này</t>
        </is>
      </c>
      <c r="R6" t="inlineStr">
        <is>
          <t>chỉ ở mức ý tưởng và thông số (sự kiện); không dùng tên, logo, văn bản, ảnh hay mô hình có bản quyền; tên và phù hiệu quốc gia thật không hiện cho người chơi</t>
        </is>
      </c>
      <c r="S6" t="inlineStr"/>
      <c r="T6" t="inlineStr"/>
      <c r="U6" t="inlineStr">
        <is>
          <t>spec 12.2 (05)</t>
        </is>
      </c>
      <c r="V6" t="inlineStr"/>
    </row>
    <row r="7">
      <c r="A7" t="inlineStr">
        <is>
          <t>endless</t>
        </is>
      </c>
      <c r="B7" t="inlineStr">
        <is>
          <t>endless</t>
        </is>
      </c>
      <c r="C7" t="inlineStr">
        <is>
          <t>Endless</t>
        </is>
      </c>
      <c r="D7" t="inlineStr">
        <is>
          <t>NEED_SOURCE</t>
        </is>
      </c>
      <c r="E7" t="inlineStr"/>
      <c r="F7" t="inlineStr"/>
      <c r="G7" t="inlineStr"/>
      <c r="H7" t="inlineStr">
        <is>
          <t>NEED_SOURCE</t>
        </is>
      </c>
      <c r="I7" t="inlineStr"/>
      <c r="J7" t="inlineStr"/>
      <c r="K7" t="inlineStr"/>
      <c r="L7" t="inlineStr"/>
      <c r="M7" t="inlineStr"/>
      <c r="N7" t="inlineStr"/>
      <c r="O7" t="inlineStr">
        <is>
          <t>NEED_SOURCE</t>
        </is>
      </c>
      <c r="P7" t="inlineStr"/>
      <c r="Q7" t="inlineStr">
        <is>
          <t>repo không có tham chiếu cho mục này</t>
        </is>
      </c>
      <c r="R7" t="inlineStr">
        <is>
          <t>chỉ ở mức ý tưởng và thông số (sự kiện); không dùng tên, logo, văn bản, ảnh hay mô hình có bản quyền; tên và phù hiệu quốc gia thật không hiện cho người chơi</t>
        </is>
      </c>
      <c r="S7" t="inlineStr"/>
      <c r="T7" t="inlineStr"/>
      <c r="U7" t="inlineStr">
        <is>
          <t>spec 12.2 (05)</t>
        </is>
      </c>
      <c r="V7" t="inlineStr"/>
    </row>
    <row r="8">
      <c r="A8" t="inlineStr">
        <is>
          <t>hill</t>
        </is>
      </c>
      <c r="B8" t="inlineStr">
        <is>
          <t>hill</t>
        </is>
      </c>
      <c r="C8" t="inlineStr">
        <is>
          <t>KingOfTheHill</t>
        </is>
      </c>
      <c r="D8" t="inlineStr">
        <is>
          <t>NEED_SOURCE</t>
        </is>
      </c>
      <c r="E8" t="inlineStr"/>
      <c r="F8" t="inlineStr"/>
      <c r="G8" t="inlineStr"/>
      <c r="H8" t="inlineStr">
        <is>
          <t>NEED_SOURCE</t>
        </is>
      </c>
      <c r="I8" t="inlineStr"/>
      <c r="J8" t="inlineStr"/>
      <c r="K8" t="inlineStr"/>
      <c r="L8" t="inlineStr"/>
      <c r="M8" t="inlineStr"/>
      <c r="N8" t="inlineStr"/>
      <c r="O8" t="inlineStr">
        <is>
          <t>NEED_SOURCE</t>
        </is>
      </c>
      <c r="P8" t="inlineStr"/>
      <c r="Q8" t="inlineStr">
        <is>
          <t>repo không có tham chiếu cho mục này</t>
        </is>
      </c>
      <c r="R8" t="inlineStr">
        <is>
          <t>chỉ ở mức ý tưởng và thông số (sự kiện); không dùng tên, logo, văn bản, ảnh hay mô hình có bản quyền; tên và phù hiệu quốc gia thật không hiện cho người chơi</t>
        </is>
      </c>
      <c r="S8" t="inlineStr"/>
      <c r="T8" t="inlineStr"/>
      <c r="U8" t="inlineStr">
        <is>
          <t>spec 12.2 (05)</t>
        </is>
      </c>
      <c r="V8" t="inlineStr"/>
    </row>
    <row r="9">
      <c r="A9" t="inlineStr">
        <is>
          <t>operations</t>
        </is>
      </c>
      <c r="B9" t="inlineStr">
        <is>
          <t>operations</t>
        </is>
      </c>
      <c r="C9" t="inlineStr">
        <is>
          <t>Operation</t>
        </is>
      </c>
      <c r="D9" t="inlineStr">
        <is>
          <t>NEED_SOURCE</t>
        </is>
      </c>
      <c r="E9" t="inlineStr"/>
      <c r="F9" t="inlineStr"/>
      <c r="G9" t="inlineStr"/>
      <c r="H9" t="inlineStr">
        <is>
          <t>NEED_SOURCE</t>
        </is>
      </c>
      <c r="I9" t="inlineStr"/>
      <c r="J9" t="inlineStr"/>
      <c r="K9" t="inlineStr"/>
      <c r="L9" t="inlineStr"/>
      <c r="M9" t="inlineStr"/>
      <c r="N9" t="inlineStr"/>
      <c r="O9" t="inlineStr">
        <is>
          <t>NEED_SOURCE</t>
        </is>
      </c>
      <c r="P9" t="inlineStr"/>
      <c r="Q9" t="inlineStr">
        <is>
          <t>repo không có tham chiếu cho mục này</t>
        </is>
      </c>
      <c r="R9" t="inlineStr">
        <is>
          <t>chỉ ở mức ý tưởng và thông số (sự kiện); không dùng tên, logo, văn bản, ảnh hay mô hình có bản quyền; tên và phù hiệu quốc gia thật không hiện cho người chơi</t>
        </is>
      </c>
      <c r="S9" t="inlineStr"/>
      <c r="T9" t="inlineStr"/>
      <c r="U9" t="inlineStr">
        <is>
          <t>spec 12.2 (05)</t>
        </is>
      </c>
      <c r="V9" t="inlineStr"/>
    </row>
    <row r="10">
      <c r="A10" t="inlineStr">
        <is>
          <t>showdown</t>
        </is>
      </c>
      <c r="B10" t="inlineStr">
        <is>
          <t>showdown</t>
        </is>
      </c>
      <c r="C10" t="inlineStr">
        <is>
          <t>Showdown</t>
        </is>
      </c>
      <c r="D10" t="inlineStr">
        <is>
          <t>NEED_SOURCE</t>
        </is>
      </c>
      <c r="E10" t="inlineStr"/>
      <c r="F10" t="inlineStr"/>
      <c r="G10" t="inlineStr"/>
      <c r="H10" t="inlineStr">
        <is>
          <t>NEED_SOURCE</t>
        </is>
      </c>
      <c r="I10" t="inlineStr"/>
      <c r="J10" t="inlineStr"/>
      <c r="K10" t="inlineStr"/>
      <c r="L10" t="inlineStr"/>
      <c r="M10" t="inlineStr"/>
      <c r="N10" t="inlineStr"/>
      <c r="O10" t="inlineStr">
        <is>
          <t>NEED_SOURCE</t>
        </is>
      </c>
      <c r="P10" t="inlineStr"/>
      <c r="Q10" t="inlineStr">
        <is>
          <t>repo không có tham chiếu cho mục này</t>
        </is>
      </c>
      <c r="R10" t="inlineStr">
        <is>
          <t>chỉ ở mức ý tưởng và thông số (sự kiện); không dùng tên, logo, văn bản, ảnh hay mô hình có bản quyền; tên và phù hiệu quốc gia thật không hiện cho người chơi</t>
        </is>
      </c>
      <c r="S10" t="inlineStr"/>
      <c r="T10" t="inlineStr"/>
      <c r="U10" t="inlineStr">
        <is>
          <t>spec 12.2 (05)</t>
        </is>
      </c>
      <c r="V10" t="inlineStr"/>
    </row>
    <row r="11">
      <c r="A11" t="inlineStr">
        <is>
          <t>siege</t>
        </is>
      </c>
      <c r="B11" t="inlineStr">
        <is>
          <t>siege</t>
        </is>
      </c>
      <c r="C11" t="inlineStr">
        <is>
          <t>Siege</t>
        </is>
      </c>
      <c r="D11" t="inlineStr">
        <is>
          <t>NEED_SOURCE</t>
        </is>
      </c>
      <c r="E11" t="inlineStr"/>
      <c r="F11" t="inlineStr"/>
      <c r="G11" t="inlineStr"/>
      <c r="H11" t="inlineStr">
        <is>
          <t>NEED_SOURCE</t>
        </is>
      </c>
      <c r="I11" t="inlineStr"/>
      <c r="J11" t="inlineStr"/>
      <c r="K11" t="inlineStr"/>
      <c r="L11" t="inlineStr"/>
      <c r="M11" t="inlineStr"/>
      <c r="N11" t="inlineStr"/>
      <c r="O11" t="inlineStr">
        <is>
          <t>NEED_SOURCE</t>
        </is>
      </c>
      <c r="P11" t="inlineStr"/>
      <c r="Q11" t="inlineStr">
        <is>
          <t>repo không có tham chiếu cho mục này</t>
        </is>
      </c>
      <c r="R11" t="inlineStr">
        <is>
          <t>chỉ ở mức ý tưởng và thông số (sự kiện); không dùng tên, logo, văn bản, ảnh hay mô hình có bản quyền; tên và phù hiệu quốc gia thật không hiện cho người chơi</t>
        </is>
      </c>
      <c r="S11" t="inlineStr"/>
      <c r="T11" t="inlineStr"/>
      <c r="U11" t="inlineStr">
        <is>
          <t>spec 12.2 (05)</t>
        </is>
      </c>
      <c r="V11" t="inlineStr"/>
    </row>
    <row r="12">
      <c r="A12" t="inlineStr">
        <is>
          <t>survival</t>
        </is>
      </c>
      <c r="B12" t="inlineStr">
        <is>
          <t>survival</t>
        </is>
      </c>
      <c r="C12" t="inlineStr">
        <is>
          <t>Survival</t>
        </is>
      </c>
      <c r="D12" t="inlineStr">
        <is>
          <t>NEED_SOURCE</t>
        </is>
      </c>
      <c r="E12" t="inlineStr"/>
      <c r="F12" t="inlineStr"/>
      <c r="G12" t="inlineStr"/>
      <c r="H12" t="inlineStr">
        <is>
          <t>NEED_SOURCE</t>
        </is>
      </c>
      <c r="I12" t="inlineStr"/>
      <c r="J12" t="inlineStr"/>
      <c r="K12" t="inlineStr"/>
      <c r="L12" t="inlineStr"/>
      <c r="M12" t="inlineStr"/>
      <c r="N12" t="inlineStr"/>
      <c r="O12" t="inlineStr">
        <is>
          <t>NEED_SOURCE</t>
        </is>
      </c>
      <c r="P12" t="inlineStr"/>
      <c r="Q12" t="inlineStr">
        <is>
          <t>repo không có tham chiếu cho mục này</t>
        </is>
      </c>
      <c r="R12" t="inlineStr">
        <is>
          <t>chỉ ở mức ý tưởng và thông số (sự kiện); không dùng tên, logo, văn bản, ảnh hay mô hình có bản quyền; tên và phù hiệu quốc gia thật không hiện cho người chơi</t>
        </is>
      </c>
      <c r="S12" t="inlineStr"/>
      <c r="T12" t="inlineStr"/>
      <c r="U12" t="inlineStr">
        <is>
          <t>spec 12.2 (05)</t>
        </is>
      </c>
      <c r="V12" t="inlineStr"/>
    </row>
    <row r="13">
      <c r="A13" t="inlineStr">
        <is>
          <t>weekly</t>
        </is>
      </c>
      <c r="B13" t="inlineStr">
        <is>
          <t>weekly</t>
        </is>
      </c>
      <c r="C13" t="inlineStr">
        <is>
          <t>Weekly</t>
        </is>
      </c>
      <c r="D13" t="inlineStr">
        <is>
          <t>NEED_SOURCE</t>
        </is>
      </c>
      <c r="E13" t="inlineStr"/>
      <c r="F13" t="inlineStr"/>
      <c r="G13" t="inlineStr"/>
      <c r="H13" t="inlineStr">
        <is>
          <t>NEED_SOURCE</t>
        </is>
      </c>
      <c r="I13" t="inlineStr"/>
      <c r="J13" t="inlineStr"/>
      <c r="K13" t="inlineStr"/>
      <c r="L13" t="inlineStr"/>
      <c r="M13" t="inlineStr"/>
      <c r="N13" t="inlineStr"/>
      <c r="O13" t="inlineStr">
        <is>
          <t>NEED_SOURCE</t>
        </is>
      </c>
      <c r="P13" t="inlineStr"/>
      <c r="Q13" t="inlineStr">
        <is>
          <t>repo không có tham chiếu cho mục này</t>
        </is>
      </c>
      <c r="R13" t="inlineStr">
        <is>
          <t>chỉ ở mức ý tưởng và thông số (sự kiện); không dùng tên, logo, văn bản, ảnh hay mô hình có bản quyền; tên và phù hiệu quốc gia thật không hiện cho người chơi</t>
        </is>
      </c>
      <c r="S13" t="inlineStr"/>
      <c r="T13" t="inlineStr"/>
      <c r="U13" t="inlineStr">
        <is>
          <t>spec 12.2 (05)</t>
        </is>
      </c>
      <c r="V13" t="inlineStr"/>
    </row>
  </sheetData>
  <autoFilter ref="A1:V13"/>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4" customWidth="1" min="4" max="4"/>
    <col width="60" customWidth="1" min="5" max="5"/>
    <col width="10" customWidth="1" min="6" max="6"/>
  </cols>
  <sheetData>
    <row r="1">
      <c r="A1" s="1" t="inlineStr">
        <is>
          <t>id</t>
        </is>
      </c>
      <c r="B1" s="1" t="inlineStr">
        <is>
          <t>hang</t>
        </is>
      </c>
      <c r="C1" s="1" t="inlineStr">
        <is>
          <t>xu</t>
        </is>
      </c>
      <c r="D1" s="1" t="inlineStr">
        <is>
          <t>ban_thiet_ke</t>
        </is>
      </c>
      <c r="E1" s="1" t="inlineStr">
        <is>
          <t>nguon</t>
        </is>
      </c>
      <c r="F1" s="1" t="inlineStr">
        <is>
          <t>raw_json</t>
        </is>
      </c>
    </row>
    <row r="2">
      <c r="A2" t="n">
        <v>1</v>
      </c>
      <c r="B2" t="n">
        <v>1</v>
      </c>
      <c r="C2" t="n">
        <v>0</v>
      </c>
      <c r="D2" t="n">
        <v>0</v>
      </c>
      <c r="E2" t="inlineStr">
        <is>
          <t>Assets/MachineBrigade/Scripts/Game/Match/Arsenal.cs:128 (Coins)</t>
        </is>
      </c>
      <c r="F2" t="inlineStr"/>
    </row>
    <row r="3">
      <c r="A3" t="n">
        <v>2</v>
      </c>
      <c r="B3" t="n">
        <v>2</v>
      </c>
      <c r="C3" t="n">
        <v>50</v>
      </c>
      <c r="D3" t="n">
        <v>2</v>
      </c>
      <c r="E3" t="inlineStr">
        <is>
          <t>Assets/MachineBrigade/Scripts/Game/Match/Arsenal.cs:128 (Coins)</t>
        </is>
      </c>
      <c r="F3" t="inlineStr"/>
    </row>
    <row r="4">
      <c r="A4" t="n">
        <v>3</v>
      </c>
      <c r="B4" t="n">
        <v>3</v>
      </c>
      <c r="C4" t="n">
        <v>100</v>
      </c>
      <c r="D4" t="n">
        <v>4</v>
      </c>
      <c r="E4" t="inlineStr">
        <is>
          <t>Assets/MachineBrigade/Scripts/Game/Match/Arsenal.cs:128 (Coins)</t>
        </is>
      </c>
      <c r="F4" t="inlineStr"/>
    </row>
    <row r="5">
      <c r="A5" t="n">
        <v>4</v>
      </c>
      <c r="B5" t="n">
        <v>4</v>
      </c>
      <c r="C5" t="n">
        <v>200</v>
      </c>
      <c r="D5" t="n">
        <v>8</v>
      </c>
      <c r="E5" t="inlineStr">
        <is>
          <t>Assets/MachineBrigade/Scripts/Game/Match/Arsenal.cs:128 (Coins)</t>
        </is>
      </c>
      <c r="F5" t="inlineStr"/>
    </row>
    <row r="6">
      <c r="A6" t="n">
        <v>5</v>
      </c>
      <c r="B6" t="n">
        <v>5</v>
      </c>
      <c r="C6" t="n">
        <v>400</v>
      </c>
      <c r="D6" t="n">
        <v>12</v>
      </c>
      <c r="E6" t="inlineStr">
        <is>
          <t>Assets/MachineBrigade/Scripts/Game/Match/Arsenal.cs:128 (Coins)</t>
        </is>
      </c>
      <c r="F6" t="inlineStr"/>
    </row>
    <row r="7">
      <c r="A7" t="n">
        <v>6</v>
      </c>
      <c r="B7" t="n">
        <v>6</v>
      </c>
      <c r="C7" t="n">
        <v>700</v>
      </c>
      <c r="D7" t="n">
        <v>20</v>
      </c>
      <c r="E7" t="inlineStr">
        <is>
          <t>Assets/MachineBrigade/Scripts/Game/Match/Arsenal.cs:128 (Coins)</t>
        </is>
      </c>
      <c r="F7" t="inlineStr"/>
    </row>
    <row r="8">
      <c r="A8" t="n">
        <v>7</v>
      </c>
      <c r="B8" t="n">
        <v>7</v>
      </c>
      <c r="C8" t="n">
        <v>1200</v>
      </c>
      <c r="D8" t="n">
        <v>30</v>
      </c>
      <c r="E8" t="inlineStr">
        <is>
          <t>Assets/MachineBrigade/Scripts/Game/Match/Arsenal.cs:128 (Coins)</t>
        </is>
      </c>
      <c r="F8" t="inlineStr"/>
    </row>
    <row r="9">
      <c r="A9" t="n">
        <v>8</v>
      </c>
      <c r="B9" t="n">
        <v>8</v>
      </c>
      <c r="C9" t="n">
        <v>2000</v>
      </c>
      <c r="D9" t="n">
        <v>45</v>
      </c>
      <c r="E9" t="inlineStr">
        <is>
          <t>Assets/MachineBrigade/Scripts/Game/Match/Arsenal.cs:128 (Coins)</t>
        </is>
      </c>
      <c r="F9" t="inlineStr"/>
    </row>
    <row r="10">
      <c r="A10" t="n">
        <v>9</v>
      </c>
      <c r="B10" t="n">
        <v>9</v>
      </c>
      <c r="C10" t="n">
        <v>3200</v>
      </c>
      <c r="D10" t="n">
        <v>65</v>
      </c>
      <c r="E10" t="inlineStr">
        <is>
          <t>Assets/MachineBrigade/Scripts/Game/Match/Arsenal.cs:128 (Coins)</t>
        </is>
      </c>
      <c r="F10" t="inlineStr"/>
    </row>
    <row r="11">
      <c r="A11" t="n">
        <v>10</v>
      </c>
      <c r="B11" t="n">
        <v>10</v>
      </c>
      <c r="C11" t="n">
        <v>5000</v>
      </c>
      <c r="D11" t="n">
        <v>90</v>
      </c>
      <c r="E11" t="inlineStr">
        <is>
          <t>Assets/MachineBrigade/Scripts/Game/Match/Arsenal.cs:128 (Coins)</t>
        </is>
      </c>
      <c r="F11" t="inlineStr"/>
    </row>
  </sheetData>
  <autoFilter ref="A1:F11"/>
  <pageMargins left="0.75" right="0.75" top="1" bottom="1" header="0.5" footer="0.5"/>
</worksheet>
</file>

<file path=xl/worksheets/sheet1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9" customWidth="1" min="3" max="3"/>
    <col width="9" customWidth="1" min="4" max="4"/>
    <col width="9" customWidth="1" min="5" max="5"/>
    <col width="9" customWidth="1" min="6" max="6"/>
    <col width="9" customWidth="1" min="7" max="7"/>
    <col width="8" customWidth="1" min="8" max="8"/>
    <col width="11" customWidth="1" min="9" max="9"/>
    <col width="12" customWidth="1" min="10" max="10"/>
    <col width="13" customWidth="1" min="11" max="11"/>
    <col width="13" customWidth="1" min="12" max="12"/>
    <col width="12" customWidth="1" min="13" max="13"/>
    <col width="11" customWidth="1" min="14" max="14"/>
    <col width="16" customWidth="1" min="15" max="15"/>
    <col width="13" customWidth="1" min="16" max="16"/>
    <col width="60" customWidth="1" min="17" max="17"/>
    <col width="10" customWidth="1" min="18" max="18"/>
  </cols>
  <sheetData>
    <row r="1">
      <c r="A1" s="1" t="inlineStr">
        <is>
          <t>id</t>
        </is>
      </c>
      <c r="B1" s="1" t="inlineStr">
        <is>
          <t>bac_hom</t>
        </is>
      </c>
      <c r="C1" s="1" t="inlineStr">
        <is>
          <t>ty_le_0</t>
        </is>
      </c>
      <c r="D1" s="1" t="inlineStr">
        <is>
          <t>ty_le_1</t>
        </is>
      </c>
      <c r="E1" s="1" t="inlineStr">
        <is>
          <t>ty_le_2</t>
        </is>
      </c>
      <c r="F1" s="1" t="inlineStr">
        <is>
          <t>ty_le_3</t>
        </is>
      </c>
      <c r="G1" s="1" t="inlineStr">
        <is>
          <t>ty_le_4</t>
        </is>
      </c>
      <c r="H1" s="1" t="inlineStr">
        <is>
          <t>rolls</t>
        </is>
      </c>
      <c r="I1" s="1" t="inlineStr">
        <is>
          <t>coins_low</t>
        </is>
      </c>
      <c r="J1" s="1" t="inlineStr">
        <is>
          <t>coins_high</t>
        </is>
      </c>
      <c r="K1" s="1" t="inlineStr">
        <is>
          <t>print_count</t>
        </is>
      </c>
      <c r="L1" s="1" t="inlineStr">
        <is>
          <t>print_cards</t>
        </is>
      </c>
      <c r="M1" s="1" t="inlineStr">
        <is>
          <t>coin_price</t>
        </is>
      </c>
      <c r="N1" s="1" t="inlineStr">
        <is>
          <t>epic_pity</t>
        </is>
      </c>
      <c r="O1" s="1" t="inlineStr">
        <is>
          <t>legendary_pity</t>
        </is>
      </c>
      <c r="P1" s="1" t="inlineStr">
        <is>
          <t>tower_share</t>
        </is>
      </c>
      <c r="Q1" s="1" t="inlineStr">
        <is>
          <t>nguon</t>
        </is>
      </c>
      <c r="R1" s="1" t="inlineStr">
        <is>
          <t>raw_json</t>
        </is>
      </c>
    </row>
    <row r="2">
      <c r="A2" t="n">
        <v>0</v>
      </c>
      <c r="B2" t="n">
        <v>0</v>
      </c>
      <c r="C2" t="n">
        <v>0.7</v>
      </c>
      <c r="D2" t="n">
        <v>0.25</v>
      </c>
      <c r="E2" t="n">
        <v>0.045</v>
      </c>
      <c r="F2" t="n">
        <v>0.005</v>
      </c>
      <c r="G2" t="n">
        <v>0</v>
      </c>
      <c r="H2" t="n">
        <v>1</v>
      </c>
      <c r="I2" t="n">
        <v>60</v>
      </c>
      <c r="J2" t="n">
        <v>120</v>
      </c>
      <c r="K2" t="n">
        <v>6</v>
      </c>
      <c r="L2" t="n">
        <v>1</v>
      </c>
      <c r="M2" t="n">
        <v>0</v>
      </c>
      <c r="N2" t="n">
        <v>0</v>
      </c>
      <c r="O2" t="n">
        <v>0</v>
      </c>
      <c r="P2" t="n">
        <v>0.2</v>
      </c>
      <c r="Q2" t="inlineStr">
        <is>
          <t>Assets/MachineBrigade/Scripts/Game/Match/Arsenal.cs:479 (Rolls)</t>
        </is>
      </c>
      <c r="R2" t="inlineStr"/>
    </row>
    <row r="3">
      <c r="A3" t="n">
        <v>1</v>
      </c>
      <c r="B3" t="n">
        <v>1</v>
      </c>
      <c r="C3" t="n">
        <v>0.5</v>
      </c>
      <c r="D3" t="n">
        <v>0.35</v>
      </c>
      <c r="E3" t="n">
        <v>0.12</v>
      </c>
      <c r="F3" t="n">
        <v>0.028</v>
      </c>
      <c r="G3" t="n">
        <v>0.002</v>
      </c>
      <c r="H3" t="n">
        <v>2</v>
      </c>
      <c r="I3" t="n">
        <v>250</v>
      </c>
      <c r="J3" t="n">
        <v>350</v>
      </c>
      <c r="K3" t="n">
        <v>15</v>
      </c>
      <c r="L3" t="n">
        <v>2</v>
      </c>
      <c r="M3" t="n">
        <v>900</v>
      </c>
      <c r="N3" t="n">
        <v>0</v>
      </c>
      <c r="O3" t="n">
        <v>0</v>
      </c>
      <c r="P3" t="n">
        <v>0.2</v>
      </c>
      <c r="Q3" t="inlineStr">
        <is>
          <t>Assets/MachineBrigade/Scripts/Game/Match/Arsenal.cs:479 (Rolls)</t>
        </is>
      </c>
      <c r="R3" t="inlineStr"/>
    </row>
    <row r="4">
      <c r="A4" t="n">
        <v>2</v>
      </c>
      <c r="B4" t="n">
        <v>2</v>
      </c>
      <c r="C4" t="n">
        <v>0.2</v>
      </c>
      <c r="D4" t="n">
        <v>0.42</v>
      </c>
      <c r="E4" t="n">
        <v>0.28</v>
      </c>
      <c r="F4" t="n">
        <v>0.08500000000000001</v>
      </c>
      <c r="G4" t="n">
        <v>0.015</v>
      </c>
      <c r="H4" t="n">
        <v>4</v>
      </c>
      <c r="I4" t="n">
        <v>800</v>
      </c>
      <c r="J4" t="n">
        <v>1000</v>
      </c>
      <c r="K4" t="n">
        <v>45</v>
      </c>
      <c r="L4" t="n">
        <v>3</v>
      </c>
      <c r="M4" t="n">
        <v>3000</v>
      </c>
      <c r="N4" t="n">
        <v>5</v>
      </c>
      <c r="O4" t="n">
        <v>25</v>
      </c>
      <c r="P4" t="n">
        <v>0.2</v>
      </c>
      <c r="Q4" t="inlineStr">
        <is>
          <t>Assets/MachineBrigade/Scripts/Game/Match/Arsenal.cs:479 (Rolls)</t>
        </is>
      </c>
      <c r="R4" t="inlineStr"/>
    </row>
    <row r="5">
      <c r="A5" t="n">
        <v>3</v>
      </c>
      <c r="B5" t="n">
        <v>3</v>
      </c>
      <c r="C5" t="n">
        <v>0</v>
      </c>
      <c r="D5" t="n">
        <v>0.25</v>
      </c>
      <c r="E5" t="n">
        <v>0.45</v>
      </c>
      <c r="F5" t="n">
        <v>0.24</v>
      </c>
      <c r="G5" t="n">
        <v>0.06</v>
      </c>
      <c r="H5" t="n">
        <v>6</v>
      </c>
      <c r="I5" t="n">
        <v>2000</v>
      </c>
      <c r="J5" t="n">
        <v>2500</v>
      </c>
      <c r="K5" t="n">
        <v>120</v>
      </c>
      <c r="L5" t="n">
        <v>4</v>
      </c>
      <c r="M5" t="n">
        <v>8000</v>
      </c>
      <c r="N5" t="n">
        <v>0</v>
      </c>
      <c r="O5" t="n">
        <v>4</v>
      </c>
      <c r="P5" t="n">
        <v>0.2</v>
      </c>
      <c r="Q5" t="inlineStr">
        <is>
          <t>Assets/MachineBrigade/Scripts/Game/Match/Arsenal.cs:479 (Rolls)</t>
        </is>
      </c>
      <c r="R5" t="inlineStr"/>
    </row>
  </sheetData>
  <autoFilter ref="A1:R5"/>
  <pageMargins left="0.75" right="0.75" top="1" bottom="1" header="0.5" footer="0.5"/>
</worksheet>
</file>

<file path=xl/worksheets/sheet1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8" customWidth="1" min="3" max="3"/>
    <col width="14" customWidth="1" min="4" max="4"/>
    <col width="60" customWidth="1" min="5" max="5"/>
    <col width="33" customWidth="1" min="6" max="6"/>
  </cols>
  <sheetData>
    <row r="1">
      <c r="A1" s="1" t="inlineStr">
        <is>
          <t>id</t>
        </is>
      </c>
      <c r="B1" s="1" t="inlineStr">
        <is>
          <t>id_goi</t>
        </is>
      </c>
      <c r="C1" s="1" t="inlineStr">
        <is>
          <t>xu</t>
        </is>
      </c>
      <c r="D1" s="1" t="inlineStr">
        <is>
          <t>gia_hien_thi</t>
        </is>
      </c>
      <c r="E1" s="1" t="inlineStr">
        <is>
          <t>nguon</t>
        </is>
      </c>
      <c r="F1" s="1" t="inlineStr">
        <is>
          <t>raw_json</t>
        </is>
      </c>
    </row>
    <row r="2">
      <c r="A2" t="inlineStr">
        <is>
          <t>coins_1200</t>
        </is>
      </c>
      <c r="B2" t="inlineStr">
        <is>
          <t>coins_1200</t>
        </is>
      </c>
      <c r="C2" t="n">
        <v>1200</v>
      </c>
      <c r="D2" t="inlineStr">
        <is>
          <t>$0.99</t>
        </is>
      </c>
      <c r="E2" t="inlineStr">
        <is>
          <t>Assets/MachineBrigade/Scripts/Game/Match/Arsenal.cs:641 (Packs[0])</t>
        </is>
      </c>
      <c r="F2" t="inlineStr">
        <is>
          <t>["coins_1200",1200,"$0.99"]</t>
        </is>
      </c>
    </row>
    <row r="3">
      <c r="A3" t="inlineStr">
        <is>
          <t>coins_7000</t>
        </is>
      </c>
      <c r="B3" t="inlineStr">
        <is>
          <t>coins_7000</t>
        </is>
      </c>
      <c r="C3" t="n">
        <v>7000</v>
      </c>
      <c r="D3" t="inlineStr">
        <is>
          <t>$4.99</t>
        </is>
      </c>
      <c r="E3" t="inlineStr">
        <is>
          <t>Assets/MachineBrigade/Scripts/Game/Match/Arsenal.cs:641 (Packs[1])</t>
        </is>
      </c>
      <c r="F3" t="inlineStr">
        <is>
          <t>["coins_7000",7000,"$4.99"]</t>
        </is>
      </c>
    </row>
    <row r="4">
      <c r="A4" t="inlineStr">
        <is>
          <t>coins_15000</t>
        </is>
      </c>
      <c r="B4" t="inlineStr">
        <is>
          <t>coins_15000</t>
        </is>
      </c>
      <c r="C4" t="n">
        <v>15000</v>
      </c>
      <c r="D4" t="inlineStr">
        <is>
          <t>$9.99</t>
        </is>
      </c>
      <c r="E4" t="inlineStr">
        <is>
          <t>Assets/MachineBrigade/Scripts/Game/Match/Arsenal.cs:641 (Packs[2])</t>
        </is>
      </c>
      <c r="F4" t="inlineStr">
        <is>
          <t>["coins_15000",15000,"$9.99"]</t>
        </is>
      </c>
    </row>
    <row r="5">
      <c r="A5" t="inlineStr">
        <is>
          <t>coins_32000</t>
        </is>
      </c>
      <c r="B5" t="inlineStr">
        <is>
          <t>coins_32000</t>
        </is>
      </c>
      <c r="C5" t="n">
        <v>32000</v>
      </c>
      <c r="D5" t="inlineStr">
        <is>
          <t>$19.99</t>
        </is>
      </c>
      <c r="E5" t="inlineStr">
        <is>
          <t>Assets/MachineBrigade/Scripts/Game/Match/Arsenal.cs:642 (Packs[3])</t>
        </is>
      </c>
      <c r="F5" t="inlineStr">
        <is>
          <t>["coins_32000",32000,"$19.99"]</t>
        </is>
      </c>
    </row>
    <row r="6">
      <c r="A6" t="inlineStr">
        <is>
          <t>coins_85000</t>
        </is>
      </c>
      <c r="B6" t="inlineStr">
        <is>
          <t>coins_85000</t>
        </is>
      </c>
      <c r="C6" t="n">
        <v>85000</v>
      </c>
      <c r="D6" t="inlineStr">
        <is>
          <t>$49.99</t>
        </is>
      </c>
      <c r="E6" t="inlineStr">
        <is>
          <t>Assets/MachineBrigade/Scripts/Game/Match/Arsenal.cs:642 (Packs[4])</t>
        </is>
      </c>
      <c r="F6" t="inlineStr">
        <is>
          <t>["coins_85000",85000,"$49.99"]</t>
        </is>
      </c>
    </row>
    <row r="7">
      <c r="A7" t="inlineStr">
        <is>
          <t>coins_180000</t>
        </is>
      </c>
      <c r="B7" t="inlineStr">
        <is>
          <t>coins_180000</t>
        </is>
      </c>
      <c r="C7" t="n">
        <v>180000</v>
      </c>
      <c r="D7" t="inlineStr">
        <is>
          <t>$99.99</t>
        </is>
      </c>
      <c r="E7" t="inlineStr">
        <is>
          <t>Assets/MachineBrigade/Scripts/Game/Match/Arsenal.cs:642 (Packs[5])</t>
        </is>
      </c>
      <c r="F7" t="inlineStr">
        <is>
          <t>["coins_180000",180000,"$99.99"]</t>
        </is>
      </c>
    </row>
  </sheetData>
  <autoFilter ref="A1:F7"/>
  <pageMargins left="0.75" right="0.75" top="1" bottom="1" header="0.5" footer="0.5"/>
</worksheet>
</file>

<file path=xl/worksheets/sheet1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1" customWidth="1" min="4" max="4"/>
    <col width="60" customWidth="1" min="5" max="5"/>
    <col width="29" customWidth="1" min="6" max="6"/>
  </cols>
  <sheetData>
    <row r="1">
      <c r="A1" s="1" t="inlineStr">
        <is>
          <t>id</t>
        </is>
      </c>
      <c r="B1" s="1" t="inlineStr">
        <is>
          <t>loai</t>
        </is>
      </c>
      <c r="C1" s="1" t="inlineStr">
        <is>
          <t>muc_tieu</t>
        </is>
      </c>
      <c r="D1" s="1" t="inlineStr">
        <is>
          <t>thuong_xu</t>
        </is>
      </c>
      <c r="E1" s="1" t="inlineStr">
        <is>
          <t>nguon</t>
        </is>
      </c>
      <c r="F1" s="1" t="inlineStr">
        <is>
          <t>raw_json</t>
        </is>
      </c>
    </row>
    <row r="2">
      <c r="A2" t="inlineStr">
        <is>
          <t>bosses</t>
        </is>
      </c>
      <c r="B2" t="inlineStr">
        <is>
          <t>bosses</t>
        </is>
      </c>
      <c r="C2" t="inlineStr">
        <is>
          <t>1;1;2</t>
        </is>
      </c>
      <c r="D2" t="n">
        <v>250</v>
      </c>
      <c r="E2" t="inlineStr">
        <is>
          <t>Assets/MachineBrigade/Scripts/Game/Match/DailyMissions.cs:36 (Pool[5])</t>
        </is>
      </c>
      <c r="F2" t="inlineStr">
        <is>
          <t>["bosses",[1,1,2],250]</t>
        </is>
      </c>
    </row>
    <row r="3">
      <c r="A3" t="inlineStr">
        <is>
          <t>buildings</t>
        </is>
      </c>
      <c r="B3" t="inlineStr">
        <is>
          <t>buildings</t>
        </is>
      </c>
      <c r="C3" t="inlineStr">
        <is>
          <t>12;20;30</t>
        </is>
      </c>
      <c r="D3" t="n">
        <v>120</v>
      </c>
      <c r="E3" t="inlineStr">
        <is>
          <t>Assets/MachineBrigade/Scripts/Game/Match/DailyMissions.cs:34 (Pool[3])</t>
        </is>
      </c>
      <c r="F3" t="inlineStr">
        <is>
          <t>["buildings",[12,20,30],120]</t>
        </is>
      </c>
    </row>
    <row r="4">
      <c r="A4" t="inlineStr">
        <is>
          <t>captures</t>
        </is>
      </c>
      <c r="B4" t="inlineStr">
        <is>
          <t>captures</t>
        </is>
      </c>
      <c r="C4" t="inlineStr">
        <is>
          <t>4;8;12</t>
        </is>
      </c>
      <c r="D4" t="n">
        <v>130</v>
      </c>
      <c r="E4" t="inlineStr">
        <is>
          <t>Assets/MachineBrigade/Scripts/Game/Match/DailyMissions.cs:35 (Pool[4])</t>
        </is>
      </c>
      <c r="F4" t="inlineStr">
        <is>
          <t>["captures",[4,8,12],130]</t>
        </is>
      </c>
    </row>
    <row r="5">
      <c r="A5" t="inlineStr">
        <is>
          <t>elites</t>
        </is>
      </c>
      <c r="B5" t="inlineStr">
        <is>
          <t>elites</t>
        </is>
      </c>
      <c r="C5" t="inlineStr">
        <is>
          <t>3;5;8</t>
        </is>
      </c>
      <c r="D5" t="n">
        <v>160</v>
      </c>
      <c r="E5" t="inlineStr">
        <is>
          <t>Assets/MachineBrigade/Scripts/Game/Match/DailyMissions.cs:37 (Pool[6])</t>
        </is>
      </c>
      <c r="F5" t="inlineStr">
        <is>
          <t>["elites",[3,5,8],160]</t>
        </is>
      </c>
    </row>
    <row r="6">
      <c r="A6" t="inlineStr">
        <is>
          <t>items</t>
        </is>
      </c>
      <c r="B6" t="inlineStr">
        <is>
          <t>items</t>
        </is>
      </c>
      <c r="C6" t="inlineStr">
        <is>
          <t>1;2;3</t>
        </is>
      </c>
      <c r="D6" t="n">
        <v>100</v>
      </c>
      <c r="E6" t="inlineStr">
        <is>
          <t>Assets/MachineBrigade/Scripts/Game/Match/DailyMissions.cs:38 (Pool[7])</t>
        </is>
      </c>
      <c r="F6" t="inlineStr">
        <is>
          <t>["items",[1,2,3],100]</t>
        </is>
      </c>
    </row>
    <row r="7">
      <c r="A7" t="inlineStr">
        <is>
          <t>kills</t>
        </is>
      </c>
      <c r="B7" t="inlineStr">
        <is>
          <t>kills</t>
        </is>
      </c>
      <c r="C7" t="inlineStr">
        <is>
          <t>40;60;90</t>
        </is>
      </c>
      <c r="D7" t="n">
        <v>150</v>
      </c>
      <c r="E7" t="inlineStr">
        <is>
          <t>Assets/MachineBrigade/Scripts/Game/Match/DailyMissions.cs:31 (Pool[0])</t>
        </is>
      </c>
      <c r="F7" t="inlineStr">
        <is>
          <t>["kills",[40,60,90],150]</t>
        </is>
      </c>
    </row>
    <row r="8">
      <c r="A8" t="inlineStr">
        <is>
          <t>strikes</t>
        </is>
      </c>
      <c r="B8" t="inlineStr">
        <is>
          <t>strikes</t>
        </is>
      </c>
      <c r="C8" t="inlineStr">
        <is>
          <t>6;10;15</t>
        </is>
      </c>
      <c r="D8" t="n">
        <v>120</v>
      </c>
      <c r="E8" t="inlineStr">
        <is>
          <t>Assets/MachineBrigade/Scripts/Game/Match/DailyMissions.cs:33 (Pool[2])</t>
        </is>
      </c>
      <c r="F8" t="inlineStr">
        <is>
          <t>["strikes",[6,10,15],120]</t>
        </is>
      </c>
    </row>
    <row r="9">
      <c r="A9" t="inlineStr">
        <is>
          <t>wins</t>
        </is>
      </c>
      <c r="B9" t="inlineStr">
        <is>
          <t>wins</t>
        </is>
      </c>
      <c r="C9" t="inlineStr">
        <is>
          <t>1;2;3</t>
        </is>
      </c>
      <c r="D9" t="n">
        <v>180</v>
      </c>
      <c r="E9" t="inlineStr">
        <is>
          <t>Assets/MachineBrigade/Scripts/Game/Match/DailyMissions.cs:32 (Pool[1])</t>
        </is>
      </c>
      <c r="F9" t="inlineStr">
        <is>
          <t>["wins",[1,2,3],180]</t>
        </is>
      </c>
    </row>
  </sheetData>
  <autoFilter ref="A1:F9"/>
  <pageMargins left="0.75" right="0.75" top="1" bottom="1" header="0.5" footer="0.5"/>
</worksheet>
</file>

<file path=xl/worksheets/sheet1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10" customWidth="1" min="3" max="3"/>
    <col width="9" customWidth="1" min="4" max="4"/>
    <col width="8" customWidth="1" min="5" max="5"/>
    <col width="11" customWidth="1" min="6" max="6"/>
    <col width="8" customWidth="1" min="7" max="7"/>
    <col width="12" customWidth="1" min="8" max="8"/>
    <col width="11" customWidth="1" min="9" max="9"/>
    <col width="60" customWidth="1" min="10" max="10"/>
    <col width="60" customWidth="1" min="11" max="11"/>
  </cols>
  <sheetData>
    <row r="1">
      <c r="A1" s="1" t="inlineStr">
        <is>
          <t>id</t>
        </is>
      </c>
      <c r="B1" s="1" t="inlineStr">
        <is>
          <t>base_hex</t>
        </is>
      </c>
      <c r="C1" s="1" t="inlineStr">
        <is>
          <t>metallic</t>
        </is>
      </c>
      <c r="D1" s="1" t="inlineStr">
        <is>
          <t>pattern</t>
        </is>
      </c>
      <c r="E1" s="1" t="inlineStr">
        <is>
          <t>price</t>
        </is>
      </c>
      <c r="F1" s="1" t="inlineStr">
        <is>
          <t>roughness</t>
        </is>
      </c>
      <c r="G1" s="1" t="inlineStr">
        <is>
          <t>scale</t>
        </is>
      </c>
      <c r="H1" s="1" t="inlineStr">
        <is>
          <t>second_hex</t>
        </is>
      </c>
      <c r="I1" s="1" t="inlineStr">
        <is>
          <t>third_hex</t>
        </is>
      </c>
      <c r="J1" s="1" t="inlineStr">
        <is>
          <t>nguon</t>
        </is>
      </c>
      <c r="K1" s="1" t="inlineStr">
        <is>
          <t>raw_json</t>
        </is>
      </c>
    </row>
    <row r="2">
      <c r="A2" t="inlineStr">
        <is>
          <t>arctic</t>
        </is>
      </c>
      <c r="B2" t="inlineStr">
        <is>
          <t>#e4e9ec</t>
        </is>
      </c>
      <c r="D2" t="inlineStr">
        <is>
          <t>Blotches</t>
        </is>
      </c>
      <c r="E2" t="n">
        <v>900</v>
      </c>
      <c r="G2" t="n">
        <v>0.34</v>
      </c>
      <c r="H2" t="inlineStr">
        <is>
          <t>#b4bec5</t>
        </is>
      </c>
      <c r="I2" t="inlineStr">
        <is>
          <t>#7b8790</t>
        </is>
      </c>
      <c r="J2" t="inlineStr">
        <is>
          <t>Assets/MachineBrigade/Scripts/Game/Match/Skins.cs:57 (All[3])</t>
        </is>
      </c>
      <c r="K2" t="inlineStr">
        <is>
          <t>{"id":"arctic","price":900,"baseHex":"#e4e9ec","secondHex":"#b4bec5","thirdHex":"#7b8790","pattern":"Blotches","scale":0.34}</t>
        </is>
      </c>
    </row>
    <row r="3">
      <c r="A3" t="inlineStr">
        <is>
          <t>desert</t>
        </is>
      </c>
      <c r="B3" t="inlineStr">
        <is>
          <t>#c7a46a</t>
        </is>
      </c>
      <c r="D3" t="inlineStr">
        <is>
          <t>Blotches</t>
        </is>
      </c>
      <c r="E3" t="n">
        <v>500</v>
      </c>
      <c r="G3" t="n">
        <v>0.32</v>
      </c>
      <c r="H3" t="inlineStr">
        <is>
          <t>#9a7646</t>
        </is>
      </c>
      <c r="I3" t="inlineStr">
        <is>
          <t>#6f5535</t>
        </is>
      </c>
      <c r="J3" t="inlineStr">
        <is>
          <t>Assets/MachineBrigade/Scripts/Game/Match/Skins.cs:55 (All[1])</t>
        </is>
      </c>
      <c r="K3" t="inlineStr">
        <is>
          <t>{"id":"desert","price":500,"baseHex":"#c7a46a","secondHex":"#9a7646","thirdHex":"#6f5535","pattern":"Blotches","scale":0.32}</t>
        </is>
      </c>
    </row>
    <row r="4">
      <c r="A4" t="inlineStr">
        <is>
          <t>gold</t>
        </is>
      </c>
      <c r="B4" t="inlineStr">
        <is>
          <t>#d5a63c</t>
        </is>
      </c>
      <c r="C4" t="n">
        <v>0.92</v>
      </c>
      <c r="D4" t="inlineStr">
        <is>
          <t>Plain</t>
        </is>
      </c>
      <c r="E4" t="n">
        <v>6000</v>
      </c>
      <c r="F4" t="n">
        <v>0.26</v>
      </c>
      <c r="G4" t="n">
        <v>0.35</v>
      </c>
      <c r="H4" t="inlineStr">
        <is>
          <t>#b8872a</t>
        </is>
      </c>
      <c r="I4" t="inlineStr">
        <is>
          <t>#f0cd6c</t>
        </is>
      </c>
      <c r="J4" t="inlineStr">
        <is>
          <t>Assets/MachineBrigade/Scripts/Game/Match/Skins.cs:63 (All[9])</t>
        </is>
      </c>
      <c r="K4" t="inlineStr">
        <is>
          <t>{"id":"gold","price":6000,"baseHex":"#d5a63c","secondHex":"#b8872a","thirdHex":"#f0cd6c","pattern":"Plain","scale":0.35,"metallic":0.92,"roughness":0.26}</t>
        </is>
      </c>
    </row>
    <row r="5">
      <c r="A5" t="inlineStr">
        <is>
          <t>midnight</t>
        </is>
      </c>
      <c r="B5" t="inlineStr">
        <is>
          <t>#272b31</t>
        </is>
      </c>
      <c r="C5" t="n">
        <v>0.35</v>
      </c>
      <c r="D5" t="inlineStr">
        <is>
          <t>Digital</t>
        </is>
      </c>
      <c r="E5" t="n">
        <v>3000</v>
      </c>
      <c r="F5" t="n">
        <v>0.35</v>
      </c>
      <c r="G5" t="n">
        <v>0.6</v>
      </c>
      <c r="H5" t="inlineStr">
        <is>
          <t>#3b4550</t>
        </is>
      </c>
      <c r="I5" t="inlineStr">
        <is>
          <t>#4fd7ff</t>
        </is>
      </c>
      <c r="J5" t="inlineStr">
        <is>
          <t>Assets/MachineBrigade/Scripts/Game/Match/Skins.cs:61 (All[7])</t>
        </is>
      </c>
      <c r="K5" t="inlineStr">
        <is>
          <t>{"id":"midnight","price":3000,"baseHex":"#272b31","secondHex":"#3b4550","thirdHex":"#4fd7ff","pattern":"Digital","scale":0.6,"metallic":0.35,"roughness":0.35}</t>
        </is>
      </c>
    </row>
    <row r="6">
      <c r="A6" t="inlineStr">
        <is>
          <t>ocean</t>
        </is>
      </c>
      <c r="B6" t="inlineStr">
        <is>
          <t>#4b6b8c</t>
        </is>
      </c>
      <c r="D6" t="inlineStr">
        <is>
          <t>Digital</t>
        </is>
      </c>
      <c r="E6" t="n">
        <v>1500</v>
      </c>
      <c r="G6" t="n">
        <v>0.55</v>
      </c>
      <c r="H6" t="inlineStr">
        <is>
          <t>#2c435e</t>
        </is>
      </c>
      <c r="I6" t="inlineStr">
        <is>
          <t>#8aa7c4</t>
        </is>
      </c>
      <c r="J6" t="inlineStr">
        <is>
          <t>Assets/MachineBrigade/Scripts/Game/Match/Skins.cs:59 (All[5])</t>
        </is>
      </c>
      <c r="K6" t="inlineStr">
        <is>
          <t>{"id":"ocean","price":1500,"baseHex":"#4b6b8c","secondHex":"#2c435e","thirdHex":"#8aa7c4","pattern":"Digital","scale":0.55}</t>
        </is>
      </c>
    </row>
    <row r="7">
      <c r="A7" t="inlineStr">
        <is>
          <t>olive</t>
        </is>
      </c>
      <c r="B7" t="inlineStr">
        <is>
          <t>#7a9654</t>
        </is>
      </c>
      <c r="D7" t="inlineStr">
        <is>
          <t>Plain</t>
        </is>
      </c>
      <c r="E7" t="n">
        <v>0</v>
      </c>
      <c r="H7" t="inlineStr">
        <is>
          <t>#7a9654</t>
        </is>
      </c>
      <c r="I7" t="inlineStr">
        <is>
          <t>#7a9654</t>
        </is>
      </c>
      <c r="J7" t="inlineStr">
        <is>
          <t>Assets/MachineBrigade/Scripts/Game/Match/Skins.cs:54 (All[0])</t>
        </is>
      </c>
      <c r="K7" t="inlineStr">
        <is>
          <t>{"id":"olive","price":0,"baseHex":"#7a9654","secondHex":"#7a9654","thirdHex":"#7a9654","pattern":"Plain"}</t>
        </is>
      </c>
    </row>
    <row r="8">
      <c r="A8" t="inlineStr">
        <is>
          <t>steel</t>
        </is>
      </c>
      <c r="B8" t="inlineStr">
        <is>
          <t>#b3bcc3</t>
        </is>
      </c>
      <c r="C8" t="n">
        <v>0.9</v>
      </c>
      <c r="D8" t="inlineStr">
        <is>
          <t>Plain</t>
        </is>
      </c>
      <c r="E8" t="n">
        <v>4500</v>
      </c>
      <c r="F8" t="n">
        <v>0.24</v>
      </c>
      <c r="G8" t="n">
        <v>0.35</v>
      </c>
      <c r="H8" t="inlineStr">
        <is>
          <t>#8c969e</t>
        </is>
      </c>
      <c r="I8" t="inlineStr">
        <is>
          <t>#d7dde2</t>
        </is>
      </c>
      <c r="J8" t="inlineStr">
        <is>
          <t>Assets/MachineBrigade/Scripts/Game/Match/Skins.cs:62 (All[8])</t>
        </is>
      </c>
      <c r="K8" t="inlineStr">
        <is>
          <t>{"id":"steel","price":4500,"baseHex":"#b3bcc3","secondHex":"#8c969e","thirdHex":"#d7dde2","pattern":"Plain","scale":0.35,"metallic":0.9,"roughness":0.24}</t>
        </is>
      </c>
    </row>
    <row r="9">
      <c r="A9" t="inlineStr">
        <is>
          <t>tiger</t>
        </is>
      </c>
      <c r="B9" t="inlineStr">
        <is>
          <t>#d9832c</t>
        </is>
      </c>
      <c r="D9" t="inlineStr">
        <is>
          <t>Stripes</t>
        </is>
      </c>
      <c r="E9" t="n">
        <v>2500</v>
      </c>
      <c r="G9" t="n">
        <v>0.5</v>
      </c>
      <c r="H9" t="inlineStr">
        <is>
          <t>#1e1b18</t>
        </is>
      </c>
      <c r="I9" t="inlineStr">
        <is>
          <t>#d9832c</t>
        </is>
      </c>
      <c r="J9" t="inlineStr">
        <is>
          <t>Assets/MachineBrigade/Scripts/Game/Match/Skins.cs:60 (All[6])</t>
        </is>
      </c>
      <c r="K9" t="inlineStr">
        <is>
          <t>{"id":"tiger","price":2500,"baseHex":"#d9832c","secondHex":"#1e1b18","thirdHex":"#d9832c","pattern":"Stripes","scale":0.5}</t>
        </is>
      </c>
    </row>
    <row r="10">
      <c r="A10" t="inlineStr">
        <is>
          <t>urban</t>
        </is>
      </c>
      <c r="B10" t="inlineStr">
        <is>
          <t>#8b9197</t>
        </is>
      </c>
      <c r="D10" t="inlineStr">
        <is>
          <t>Digital</t>
        </is>
      </c>
      <c r="E10" t="n">
        <v>1200</v>
      </c>
      <c r="G10" t="n">
        <v>0.55</v>
      </c>
      <c r="H10" t="inlineStr">
        <is>
          <t>#5a6066</t>
        </is>
      </c>
      <c r="I10" t="inlineStr">
        <is>
          <t>#b9bdc1</t>
        </is>
      </c>
      <c r="J10" t="inlineStr">
        <is>
          <t>Assets/MachineBrigade/Scripts/Game/Match/Skins.cs:58 (All[4])</t>
        </is>
      </c>
      <c r="K10" t="inlineStr">
        <is>
          <t>{"id":"urban","price":1200,"baseHex":"#8b9197","secondHex":"#5a6066","thirdHex":"#b9bdc1","pattern":"Digital","scale":0.55}</t>
        </is>
      </c>
    </row>
    <row r="11">
      <c r="A11" t="inlineStr">
        <is>
          <t>woodland</t>
        </is>
      </c>
      <c r="B11" t="inlineStr">
        <is>
          <t>#617540</t>
        </is>
      </c>
      <c r="D11" t="inlineStr">
        <is>
          <t>Blotches</t>
        </is>
      </c>
      <c r="E11" t="n">
        <v>800</v>
      </c>
      <c r="G11" t="n">
        <v>0.36</v>
      </c>
      <c r="H11" t="inlineStr">
        <is>
          <t>#3c4a29</t>
        </is>
      </c>
      <c r="I11" t="inlineStr">
        <is>
          <t>#6d5436</t>
        </is>
      </c>
      <c r="J11" t="inlineStr">
        <is>
          <t>Assets/MachineBrigade/Scripts/Game/Match/Skins.cs:56 (All[2])</t>
        </is>
      </c>
      <c r="K11" t="inlineStr">
        <is>
          <t>{"id":"woodland","price":800,"baseHex":"#617540","secondHex":"#3c4a29","thirdHex":"#6d5436","pattern":"Blotches","scale":0.36}</t>
        </is>
      </c>
    </row>
  </sheetData>
  <autoFilter ref="A1:K11"/>
  <pageMargins left="0.75" right="0.75" top="1" bottom="1" header="0.5" footer="0.5"/>
</worksheet>
</file>

<file path=xl/worksheets/sheet1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10" customWidth="1" min="3" max="3"/>
    <col width="42" customWidth="1" min="4" max="4"/>
    <col width="60" customWidth="1" min="5" max="5"/>
    <col width="60" customWidth="1" min="6" max="6"/>
  </cols>
  <sheetData>
    <row r="1">
      <c r="A1" s="1" t="inlineStr">
        <is>
          <t>id</t>
        </is>
      </c>
      <c r="B1" s="1" t="inlineStr">
        <is>
          <t>icon</t>
        </is>
      </c>
      <c r="C1" s="1" t="inlineStr">
        <is>
          <t>theme</t>
        </is>
      </c>
      <c r="D1" s="1" t="inlineStr">
        <is>
          <t>weathers</t>
        </is>
      </c>
      <c r="E1" s="1" t="inlineStr">
        <is>
          <t>nguon</t>
        </is>
      </c>
      <c r="F1" s="1" t="inlineStr">
        <is>
          <t>raw_json</t>
        </is>
      </c>
    </row>
    <row r="2">
      <c r="A2" t="inlineStr">
        <is>
          <t>ashfield</t>
        </is>
      </c>
      <c r="B2" t="inlineStr">
        <is>
          <t>pine</t>
        </is>
      </c>
      <c r="C2" t="inlineStr">
        <is>
          <t>temperate</t>
        </is>
      </c>
      <c r="D2" t="inlineStr">
        <is>
          <t>Clear;Clear;Overcast;Rain;Storm;Fog;Night</t>
        </is>
      </c>
      <c r="E2" t="inlineStr">
        <is>
          <t>Assets/MachineBrigade/Scripts/Game/Match/MatchSettings.cs:203 (AllMaps[0])</t>
        </is>
      </c>
      <c r="F2" t="inlineStr">
        <is>
          <t>{"id":"ashfield","theme":"temperate","icon":"pine","weathers":["Clear","Clear","Overcast","Rain","Storm","Fog","Night"]}</t>
        </is>
      </c>
    </row>
    <row r="3">
      <c r="A3" t="inlineStr">
        <is>
          <t>borderbridge</t>
        </is>
      </c>
      <c r="B3" t="inlineStr">
        <is>
          <t>flag</t>
        </is>
      </c>
      <c r="C3" t="inlineStr">
        <is>
          <t>temperate</t>
        </is>
      </c>
      <c r="D3" t="inlineStr">
        <is>
          <t>Clear;Overcast;Rain;Fog;Storm;Night</t>
        </is>
      </c>
      <c r="E3" t="inlineStr">
        <is>
          <t>Assets/MachineBrigade/Scripts/Game/Match/MatchSettings.cs:243 (AllMaps[17])</t>
        </is>
      </c>
      <c r="F3" t="inlineStr">
        <is>
          <t>{"id":"borderbridge","theme":"temperate","icon":"flag","weathers":["Clear","Overcast","Rain","Fog","Storm","Night"]}</t>
        </is>
      </c>
    </row>
    <row r="4">
      <c r="A4" t="inlineStr">
        <is>
          <t>capital</t>
        </is>
      </c>
      <c r="B4" t="inlineStr">
        <is>
          <t>crown</t>
        </is>
      </c>
      <c r="C4" t="inlineStr">
        <is>
          <t>urban</t>
        </is>
      </c>
      <c r="D4" t="inlineStr">
        <is>
          <t>Clear;Night;Overcast;Rain;Fog;Storm</t>
        </is>
      </c>
      <c r="E4" t="inlineStr">
        <is>
          <t>Assets/MachineBrigade/Scripts/Game/Match/MatchSettings.cs:235 (AllMaps[14])</t>
        </is>
      </c>
      <c r="F4" t="inlineStr">
        <is>
          <t>{"id":"capital","theme":"urban","icon":"crown","weathers":["Clear","Night","Overcast","Rain","Fog","Storm"]}</t>
        </is>
      </c>
    </row>
    <row r="5">
      <c r="A5" t="inlineStr">
        <is>
          <t>coralisles</t>
        </is>
      </c>
      <c r="B5" t="inlineStr">
        <is>
          <t>sun</t>
        </is>
      </c>
      <c r="C5" t="inlineStr">
        <is>
          <t>desert</t>
        </is>
      </c>
      <c r="D5" t="inlineStr">
        <is>
          <t>Clear;Clear;Storm;Overcast;Night</t>
        </is>
      </c>
      <c r="E5" t="inlineStr">
        <is>
          <t>Assets/MachineBrigade/Scripts/Game/Match/MatchSettings.cs:247 (AllMaps[19])</t>
        </is>
      </c>
      <c r="F5" t="inlineStr">
        <is>
          <t>{"id":"coralisles","theme":"desert","icon":"sun","weathers":["Clear","Clear","Storm","Overcast","Night"]}</t>
        </is>
      </c>
    </row>
    <row r="6">
      <c r="A6" t="inlineStr">
        <is>
          <t>dunebreak</t>
        </is>
      </c>
      <c r="B6" t="inlineStr">
        <is>
          <t>dune</t>
        </is>
      </c>
      <c r="C6" t="inlineStr">
        <is>
          <t>desert</t>
        </is>
      </c>
      <c r="D6" t="inlineStr">
        <is>
          <t>Clear;Clear;Sandstorm;Overcast;Night</t>
        </is>
      </c>
      <c r="E6" t="inlineStr">
        <is>
          <t>Assets/MachineBrigade/Scripts/Game/Match/MatchSettings.cs:205 (AllMaps[1])</t>
        </is>
      </c>
      <c r="F6" t="inlineStr">
        <is>
          <t>{"id":"dunebreak","theme":"desert","icon":"dune","weathers":["Clear","Clear","Sandstorm","Overcast","Night"]}</t>
        </is>
      </c>
    </row>
    <row r="7">
      <c r="A7" t="inlineStr">
        <is>
          <t>emberridge</t>
        </is>
      </c>
      <c r="B7" t="inlineStr">
        <is>
          <t>flame</t>
        </is>
      </c>
      <c r="C7" t="inlineStr">
        <is>
          <t>volcanic</t>
        </is>
      </c>
      <c r="D7" t="inlineStr">
        <is>
          <t>Night;Night;Clear;Overcast;Fog;Storm</t>
        </is>
      </c>
      <c r="E7" t="inlineStr">
        <is>
          <t>Assets/MachineBrigade/Scripts/Game/Match/MatchSettings.cs:220 (AllMaps[8])</t>
        </is>
      </c>
      <c r="F7" t="inlineStr">
        <is>
          <t>{"id":"emberridge","theme":"volcanic","icon":"flame","weathers":["Night","Night","Clear","Overcast","Fog","Storm"]}</t>
        </is>
      </c>
    </row>
    <row r="8">
      <c r="A8" t="inlineStr">
        <is>
          <t>foundry</t>
        </is>
      </c>
      <c r="B8" t="inlineStr">
        <is>
          <t>gear</t>
        </is>
      </c>
      <c r="C8" t="inlineStr">
        <is>
          <t>urban</t>
        </is>
      </c>
      <c r="D8" t="inlineStr">
        <is>
          <t>Overcast;Clear;Rain;Fog;Night;Night</t>
        </is>
      </c>
      <c r="E8" t="inlineStr">
        <is>
          <t>Assets/MachineBrigade/Scripts/Game/Match/MatchSettings.cs:260 (AllMaps[23])</t>
        </is>
      </c>
      <c r="F8" t="inlineStr">
        <is>
          <t>{"id":"foundry","theme":"urban","icon":"gear","weathers":["Overcast","Clear","Rain","Fog","Night","Night"]}</t>
        </is>
      </c>
    </row>
    <row r="9">
      <c r="A9" t="inlineStr">
        <is>
          <t>frostpeak</t>
        </is>
      </c>
      <c r="B9" t="inlineStr">
        <is>
          <t>snow</t>
        </is>
      </c>
      <c r="C9" t="inlineStr">
        <is>
          <t>snow</t>
        </is>
      </c>
      <c r="D9" t="inlineStr">
        <is>
          <t>Snow;Clear;Overcast;Fog;Night</t>
        </is>
      </c>
      <c r="E9" t="inlineStr">
        <is>
          <t>Assets/MachineBrigade/Scripts/Game/Match/MatchSettings.cs:207 (AllMaps[2])</t>
        </is>
      </c>
      <c r="F9" t="inlineStr">
        <is>
          <t>{"id":"frostpeak","theme":"snow","icon":"snow","weathers":["Snow","Clear","Overcast","Fog","Night"]}</t>
        </is>
      </c>
    </row>
    <row r="10">
      <c r="A10" t="inlineStr">
        <is>
          <t>greenvale</t>
        </is>
      </c>
      <c r="B10" t="inlineStr">
        <is>
          <t>pine</t>
        </is>
      </c>
      <c r="C10" t="inlineStr">
        <is>
          <t>temperate</t>
        </is>
      </c>
      <c r="D10" t="inlineStr">
        <is>
          <t>Clear;Overcast;Rain;Storm;Fog;Night</t>
        </is>
      </c>
      <c r="E10" t="inlineStr">
        <is>
          <t>Assets/MachineBrigade/Scripts/Game/Match/MatchSettings.cs:215 (AllMaps[6])</t>
        </is>
      </c>
      <c r="F10" t="inlineStr">
        <is>
          <t>{"id":"greenvale","theme":"temperate","icon":"pine","weathers":["Clear","Overcast","Rain","Storm","Fog","Night"]}</t>
        </is>
      </c>
    </row>
    <row r="11">
      <c r="A11" t="inlineStr">
        <is>
          <t>hydrodam</t>
        </is>
      </c>
      <c r="B11" t="inlineStr">
        <is>
          <t>bolt</t>
        </is>
      </c>
      <c r="C11" t="inlineStr">
        <is>
          <t>temperate</t>
        </is>
      </c>
      <c r="D11" t="inlineStr">
        <is>
          <t>Clear;Overcast;Rain;Fog;Storm;Night</t>
        </is>
      </c>
      <c r="E11" t="inlineStr">
        <is>
          <t>Assets/MachineBrigade/Scripts/Game/Match/MatchSettings.cs:233 (AllMaps[13])</t>
        </is>
      </c>
      <c r="F11" t="inlineStr">
        <is>
          <t>{"id":"hydrodam","theme":"temperate","icon":"bolt","weathers":["Clear","Overcast","Rain","Fog","Storm","Night"]}</t>
        </is>
      </c>
    </row>
    <row r="12">
      <c r="A12" t="inlineStr">
        <is>
          <t>ironport</t>
        </is>
      </c>
      <c r="B12" t="inlineStr">
        <is>
          <t>anchor</t>
        </is>
      </c>
      <c r="C12" t="inlineStr">
        <is>
          <t>harbor</t>
        </is>
      </c>
      <c r="D12" t="inlineStr">
        <is>
          <t>Clear;Overcast;Rain;Storm;Fog;Night</t>
        </is>
      </c>
      <c r="E12" t="inlineStr">
        <is>
          <t>Assets/MachineBrigade/Scripts/Game/Match/MatchSettings.cs:209 (AllMaps[3])</t>
        </is>
      </c>
      <c r="F12" t="inlineStr">
        <is>
          <t>{"id":"ironport","theme":"harbor","icon":"anchor","weathers":["Clear","Overcast","Rain","Storm","Fog","Night"]}</t>
        </is>
      </c>
    </row>
    <row r="13">
      <c r="A13" t="inlineStr">
        <is>
          <t>junglepass</t>
        </is>
      </c>
      <c r="B13" t="inlineStr">
        <is>
          <t>pine</t>
        </is>
      </c>
      <c r="C13" t="inlineStr">
        <is>
          <t>jungle</t>
        </is>
      </c>
      <c r="D13" t="inlineStr">
        <is>
          <t>Clear;Rain;Fog;Storm;Overcast;Night</t>
        </is>
      </c>
      <c r="E13" t="inlineStr">
        <is>
          <t>Assets/MachineBrigade/Scripts/Game/Match/MatchSettings.cs:222 (AllMaps[9])</t>
        </is>
      </c>
      <c r="F13" t="inlineStr">
        <is>
          <t>{"id":"junglepass","theme":"jungle","icon":"pine","weathers":["Clear","Rain","Fog","Storm","Overcast","Night"]}</t>
        </is>
      </c>
    </row>
    <row r="14">
      <c r="A14" t="inlineStr">
        <is>
          <t>landingbeach</t>
        </is>
      </c>
      <c r="B14" t="inlineStr">
        <is>
          <t>anchor</t>
        </is>
      </c>
      <c r="C14" t="inlineStr">
        <is>
          <t>temperate</t>
        </is>
      </c>
      <c r="D14" t="inlineStr">
        <is>
          <t>Overcast;Fog;Clear;Rain;Storm;Night</t>
        </is>
      </c>
      <c r="E14" t="inlineStr">
        <is>
          <t>Assets/MachineBrigade/Scripts/Game/Match/MatchSettings.cs:231 (AllMaps[12])</t>
        </is>
      </c>
      <c r="F14" t="inlineStr">
        <is>
          <t>{"id":"landingbeach","theme":"temperate","icon":"anchor","weathers":["Overcast","Fog","Clear","Rain","Storm","Night"]}</t>
        </is>
      </c>
    </row>
    <row r="15">
      <c r="A15" t="inlineStr">
        <is>
          <t>launchsite</t>
        </is>
      </c>
      <c r="B15" t="inlineStr">
        <is>
          <t>missile</t>
        </is>
      </c>
      <c r="C15" t="inlineStr">
        <is>
          <t>desert</t>
        </is>
      </c>
      <c r="D15" t="inlineStr">
        <is>
          <t>Clear;Night;Clear;Sandstorm;Night</t>
        </is>
      </c>
      <c r="E15" t="inlineStr">
        <is>
          <t>Assets/MachineBrigade/Scripts/Game/Match/MatchSettings.cs:238 (AllMaps[15])</t>
        </is>
      </c>
      <c r="F15" t="inlineStr">
        <is>
          <t>{"id":"launchsite","theme":"desert","icon":"missile","weathers":["Clear","Night","Clear","Sandstorm","Night"]}</t>
        </is>
      </c>
    </row>
    <row r="16">
      <c r="A16" t="inlineStr">
        <is>
          <t>lighthousebay</t>
        </is>
      </c>
      <c r="B16" t="inlineStr">
        <is>
          <t>anchor</t>
        </is>
      </c>
      <c r="C16" t="inlineStr">
        <is>
          <t>temperate</t>
        </is>
      </c>
      <c r="D16" t="inlineStr">
        <is>
          <t>Overcast;Clear;Fog;Rain;Storm;Night</t>
        </is>
      </c>
      <c r="E16" t="inlineStr">
        <is>
          <t>Assets/MachineBrigade/Scripts/Game/Match/MatchSettings.cs:250 (AllMaps[20])</t>
        </is>
      </c>
      <c r="F16" t="inlineStr">
        <is>
          <t>{"id":"lighthousebay","theme":"temperate","icon":"anchor","weathers":["Overcast","Clear","Fog","Rain","Storm","Night"]}</t>
        </is>
      </c>
    </row>
    <row r="17">
      <c r="A17" t="inlineStr">
        <is>
          <t>metrocity</t>
        </is>
      </c>
      <c r="B17" t="inlineStr">
        <is>
          <t>home</t>
        </is>
      </c>
      <c r="C17" t="inlineStr">
        <is>
          <t>urban</t>
        </is>
      </c>
      <c r="D17" t="inlineStr">
        <is>
          <t>Night;Night;Clear;Rain;Overcast;Fog;Storm</t>
        </is>
      </c>
      <c r="E17" t="inlineStr">
        <is>
          <t>Assets/MachineBrigade/Scripts/Game/Match/MatchSettings.cs:227 (AllMaps[11])</t>
        </is>
      </c>
      <c r="F17" t="inlineStr">
        <is>
          <t>{"id":"metrocity","theme":"urban","icon":"home","weathers":["Night","Night","Clear","Rain","Overcast","Fog","Storm"]}</t>
        </is>
      </c>
    </row>
    <row r="18">
      <c r="A18" t="inlineStr">
        <is>
          <t>openpit</t>
        </is>
      </c>
      <c r="B18" t="inlineStr">
        <is>
          <t>gear</t>
        </is>
      </c>
      <c r="C18" t="inlineStr">
        <is>
          <t>desert</t>
        </is>
      </c>
      <c r="D18" t="inlineStr">
        <is>
          <t>Clear;Clear;Sandstorm;Overcast;Night</t>
        </is>
      </c>
      <c r="E18" t="inlineStr">
        <is>
          <t>Assets/MachineBrigade/Scripts/Game/Match/MatchSettings.cs:253 (AllMaps[21])</t>
        </is>
      </c>
      <c r="F18" t="inlineStr">
        <is>
          <t>{"id":"openpit","theme":"desert","icon":"gear","weathers":["Clear","Clear","Sandstorm","Overcast","Night"]}</t>
        </is>
      </c>
    </row>
    <row r="19">
      <c r="A19" t="inlineStr">
        <is>
          <t>orbitalgate</t>
        </is>
      </c>
      <c r="B19" t="inlineStr">
        <is>
          <t>globe</t>
        </is>
      </c>
      <c r="C19" t="inlineStr">
        <is>
          <t>snow</t>
        </is>
      </c>
      <c r="D19" t="inlineStr">
        <is>
          <t>Snow;Clear;Night;Overcast;Fog;Night</t>
        </is>
      </c>
      <c r="E19" t="inlineStr">
        <is>
          <t>Assets/MachineBrigade/Scripts/Game/Match/MatchSettings.cs:256 (AllMaps[22])</t>
        </is>
      </c>
      <c r="F19" t="inlineStr">
        <is>
          <t>{"id":"orbitalgate","theme":"snow","icon":"globe","weathers":["Snow","Clear","Night","Overcast","Fog","Night"]}</t>
        </is>
      </c>
    </row>
    <row r="20">
      <c r="A20" t="inlineStr">
        <is>
          <t>redrock</t>
        </is>
      </c>
      <c r="B20" t="inlineStr">
        <is>
          <t>dune</t>
        </is>
      </c>
      <c r="C20" t="inlineStr">
        <is>
          <t>desert</t>
        </is>
      </c>
      <c r="D20" t="inlineStr">
        <is>
          <t>Clear;Clear;Sandstorm;Night</t>
        </is>
      </c>
      <c r="E20" t="inlineStr">
        <is>
          <t>Assets/MachineBrigade/Scripts/Game/Match/MatchSettings.cs:211 (AllMaps[4])</t>
        </is>
      </c>
      <c r="F20" t="inlineStr">
        <is>
          <t>{"id":"redrock","theme":"desert","icon":"dune","weathers":["Clear","Clear","Sandstorm","Night"]}</t>
        </is>
      </c>
    </row>
    <row r="21">
      <c r="A21" t="inlineStr">
        <is>
          <t>rustyard</t>
        </is>
      </c>
      <c r="B21" t="inlineStr">
        <is>
          <t>anchor</t>
        </is>
      </c>
      <c r="C21" t="inlineStr">
        <is>
          <t>harbor</t>
        </is>
      </c>
      <c r="D21" t="inlineStr">
        <is>
          <t>Clear;Overcast;Rain;Fog;Night</t>
        </is>
      </c>
      <c r="E21" t="inlineStr">
        <is>
          <t>Assets/MachineBrigade/Scripts/Game/Match/MatchSettings.cs:217 (AllMaps[7])</t>
        </is>
      </c>
      <c r="F21" t="inlineStr">
        <is>
          <t>{"id":"rustyard","theme":"harbor","icon":"anchor","weathers":["Clear","Overcast","Rain","Fog","Night"]}</t>
        </is>
      </c>
    </row>
    <row r="22">
      <c r="A22" t="inlineStr">
        <is>
          <t>saltflat</t>
        </is>
      </c>
      <c r="B22" t="inlineStr">
        <is>
          <t>dune</t>
        </is>
      </c>
      <c r="C22" t="inlineStr">
        <is>
          <t>desert</t>
        </is>
      </c>
      <c r="D22" t="inlineStr">
        <is>
          <t>Clear;Clear;Clear;Sandstorm;Night</t>
        </is>
      </c>
      <c r="E22" t="inlineStr">
        <is>
          <t>Assets/MachineBrigade/Scripts/Game/Match/MatchSettings.cs:241 (AllMaps[16])</t>
        </is>
      </c>
      <c r="F22" t="inlineStr">
        <is>
          <t>{"id":"saltflat","theme":"desert","icon":"dune","weathers":["Clear","Clear","Clear","Sandstorm","Night"]}</t>
        </is>
      </c>
    </row>
    <row r="23">
      <c r="A23" t="inlineStr">
        <is>
          <t>skyhold</t>
        </is>
      </c>
      <c r="B23" t="inlineStr">
        <is>
          <t>jet</t>
        </is>
      </c>
      <c r="C23" t="inlineStr">
        <is>
          <t>temperate</t>
        </is>
      </c>
      <c r="D23" t="inlineStr">
        <is>
          <t>Clear;Clear;Overcast;Rain;Fog;Night</t>
        </is>
      </c>
      <c r="E23" t="inlineStr">
        <is>
          <t>Assets/MachineBrigade/Scripts/Game/Match/MatchSettings.cs:224 (AllMaps[10])</t>
        </is>
      </c>
      <c r="F23" t="inlineStr">
        <is>
          <t>{"id":"skyhold","theme":"temperate","icon":"jet","weathers":["Clear","Clear","Overcast","Rain","Fog","Night"]}</t>
        </is>
      </c>
    </row>
    <row r="24">
      <c r="A24" t="inlineStr">
        <is>
          <t>swamp</t>
        </is>
      </c>
      <c r="B24" t="inlineStr">
        <is>
          <t>fog</t>
        </is>
      </c>
      <c r="C24" t="inlineStr">
        <is>
          <t>jungle</t>
        </is>
      </c>
      <c r="D24" t="inlineStr">
        <is>
          <t>Fog;Rain;Overcast;Storm;Clear;Night</t>
        </is>
      </c>
      <c r="E24" t="inlineStr">
        <is>
          <t>Assets/MachineBrigade/Scripts/Game/Match/MatchSettings.cs:245 (AllMaps[18])</t>
        </is>
      </c>
      <c r="F24" t="inlineStr">
        <is>
          <t>{"id":"swamp","theme":"jungle","icon":"fog","weathers":["Fog","Rain","Overcast","Storm","Clear","Night"]}</t>
        </is>
      </c>
    </row>
    <row r="25">
      <c r="A25" t="inlineStr">
        <is>
          <t>veyra_old_quarter</t>
        </is>
      </c>
      <c r="B25" t="inlineStr">
        <is>
          <t>tower</t>
        </is>
      </c>
      <c r="C25" t="inlineStr">
        <is>
          <t>urban</t>
        </is>
      </c>
      <c r="D25" t="inlineStr">
        <is>
          <t>Clear;Night;Overcast;Rain;Fog;Storm</t>
        </is>
      </c>
      <c r="E25" t="inlineStr">
        <is>
          <t>Assets/MachineBrigade/Scripts/Game/Match/MatchSettings.cs:262 (AllMaps[24])</t>
        </is>
      </c>
      <c r="F25" t="inlineStr">
        <is>
          <t>{"id":"veyra_old_quarter","theme":"urban","icon":"tower","weathers":["Clear","Night","Overcast","Rain","Fog","Storm"]}</t>
        </is>
      </c>
    </row>
    <row r="26">
      <c r="A26" t="inlineStr">
        <is>
          <t>whiteout</t>
        </is>
      </c>
      <c r="B26" t="inlineStr">
        <is>
          <t>snow</t>
        </is>
      </c>
      <c r="C26" t="inlineStr">
        <is>
          <t>snow</t>
        </is>
      </c>
      <c r="D26" t="inlineStr">
        <is>
          <t>Snow;Snow;Fog;Clear;Night</t>
        </is>
      </c>
      <c r="E26" t="inlineStr">
        <is>
          <t>Assets/MachineBrigade/Scripts/Game/Match/MatchSettings.cs:213 (AllMaps[5])</t>
        </is>
      </c>
      <c r="F26" t="inlineStr">
        <is>
          <t>{"id":"whiteout","theme":"snow","icon":"snow","weathers":["Snow","Snow","Fog","Clear","Night"]}</t>
        </is>
      </c>
    </row>
  </sheetData>
  <autoFilter ref="A1:F26"/>
  <pageMargins left="0.75" right="0.75" top="1" bottom="1" header="0.5" footer="0.5"/>
</worksheet>
</file>

<file path=xl/worksheets/sheet2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35" customWidth="1" min="2" max="2"/>
    <col width="8" customWidth="1" min="3" max="3"/>
    <col width="30" customWidth="1" min="4" max="4"/>
    <col width="60" customWidth="1" min="5" max="5"/>
    <col width="32" customWidth="1" min="6" max="6"/>
  </cols>
  <sheetData>
    <row r="1">
      <c r="A1" s="1" t="inlineStr">
        <is>
          <t>id</t>
        </is>
      </c>
      <c r="B1" s="1" t="inlineStr">
        <is>
          <t>bang</t>
        </is>
      </c>
      <c r="C1" s="1" t="inlineStr">
        <is>
          <t>chi_so</t>
        </is>
      </c>
      <c r="D1" s="1" t="inlineStr">
        <is>
          <t>gia_tri</t>
        </is>
      </c>
      <c r="E1" s="1" t="inlineStr">
        <is>
          <t>nguon</t>
        </is>
      </c>
      <c r="F1" s="1" t="inlineStr">
        <is>
          <t>raw_json</t>
        </is>
      </c>
    </row>
    <row r="2">
      <c r="A2" t="inlineStr">
        <is>
          <t>GraphicsOptions#AntiAliasingLevels/0</t>
        </is>
      </c>
      <c r="B2" t="inlineStr">
        <is>
          <t>GraphicsOptions#AntiAliasingLevels</t>
        </is>
      </c>
      <c r="C2" t="n">
        <v>0</v>
      </c>
      <c r="D2" t="n">
        <v>1</v>
      </c>
      <c r="E2" t="inlineStr">
        <is>
          <t>Assets/MachineBrigade/Scripts/Game/Match/GraphicsOptions.cs:45 (AntiAliasingLevels[0])</t>
        </is>
      </c>
      <c r="F2" t="inlineStr">
        <is>
          <t>1</t>
        </is>
      </c>
    </row>
    <row r="3">
      <c r="A3" t="inlineStr">
        <is>
          <t>GraphicsOptions#AntiAliasingLevels/1</t>
        </is>
      </c>
      <c r="B3" t="inlineStr">
        <is>
          <t>GraphicsOptions#AntiAliasingLevels</t>
        </is>
      </c>
      <c r="C3" t="n">
        <v>1</v>
      </c>
      <c r="D3" t="n">
        <v>2</v>
      </c>
      <c r="E3" t="inlineStr">
        <is>
          <t>Assets/MachineBrigade/Scripts/Game/Match/GraphicsOptions.cs:45 (AntiAliasingLevels[1])</t>
        </is>
      </c>
      <c r="F3" t="inlineStr">
        <is>
          <t>2</t>
        </is>
      </c>
    </row>
    <row r="4">
      <c r="A4" t="inlineStr">
        <is>
          <t>GraphicsOptions#AntiAliasingLevels/2</t>
        </is>
      </c>
      <c r="B4" t="inlineStr">
        <is>
          <t>GraphicsOptions#AntiAliasingLevels</t>
        </is>
      </c>
      <c r="C4" t="n">
        <v>2</v>
      </c>
      <c r="D4" t="n">
        <v>4</v>
      </c>
      <c r="E4" t="inlineStr">
        <is>
          <t>Assets/MachineBrigade/Scripts/Game/Match/GraphicsOptions.cs:45 (AntiAliasingLevels[2])</t>
        </is>
      </c>
      <c r="F4" t="inlineStr">
        <is>
          <t>4</t>
        </is>
      </c>
    </row>
    <row r="5">
      <c r="A5" t="inlineStr">
        <is>
          <t>GraphicsOptions#FrameRates/0</t>
        </is>
      </c>
      <c r="B5" t="inlineStr">
        <is>
          <t>GraphicsOptions#FrameRates</t>
        </is>
      </c>
      <c r="C5" t="n">
        <v>0</v>
      </c>
      <c r="D5" t="n">
        <v>30</v>
      </c>
      <c r="E5" t="inlineStr">
        <is>
          <t>Assets/MachineBrigade/Scripts/Game/Match/GraphicsOptions.cs:46 (FrameRates[0])</t>
        </is>
      </c>
      <c r="F5" t="inlineStr">
        <is>
          <t>30</t>
        </is>
      </c>
    </row>
    <row r="6">
      <c r="A6" t="inlineStr">
        <is>
          <t>GraphicsOptions#FrameRates/1</t>
        </is>
      </c>
      <c r="B6" t="inlineStr">
        <is>
          <t>GraphicsOptions#FrameRates</t>
        </is>
      </c>
      <c r="C6" t="n">
        <v>1</v>
      </c>
      <c r="D6" t="n">
        <v>60</v>
      </c>
      <c r="E6" t="inlineStr">
        <is>
          <t>Assets/MachineBrigade/Scripts/Game/Match/GraphicsOptions.cs:46 (FrameRates[1])</t>
        </is>
      </c>
      <c r="F6" t="inlineStr">
        <is>
          <t>60</t>
        </is>
      </c>
    </row>
    <row r="7">
      <c r="A7" t="inlineStr">
        <is>
          <t>GraphicsOptions#FrameRates/2</t>
        </is>
      </c>
      <c r="B7" t="inlineStr">
        <is>
          <t>GraphicsOptions#FrameRates</t>
        </is>
      </c>
      <c r="C7" t="n">
        <v>2</v>
      </c>
      <c r="D7" t="n">
        <v>90</v>
      </c>
      <c r="E7" t="inlineStr">
        <is>
          <t>Assets/MachineBrigade/Scripts/Game/Match/GraphicsOptions.cs:46 (FrameRates[2])</t>
        </is>
      </c>
      <c r="F7" t="inlineStr">
        <is>
          <t>90</t>
        </is>
      </c>
    </row>
    <row r="8">
      <c r="A8" t="inlineStr">
        <is>
          <t>GraphicsOptions#FrameRates/3</t>
        </is>
      </c>
      <c r="B8" t="inlineStr">
        <is>
          <t>GraphicsOptions#FrameRates</t>
        </is>
      </c>
      <c r="C8" t="n">
        <v>3</v>
      </c>
      <c r="D8" t="n">
        <v>120</v>
      </c>
      <c r="E8" t="inlineStr">
        <is>
          <t>Assets/MachineBrigade/Scripts/Game/Match/GraphicsOptions.cs:46 (FrameRates[3])</t>
        </is>
      </c>
      <c r="F8" t="inlineStr">
        <is>
          <t>120</t>
        </is>
      </c>
    </row>
    <row r="9">
      <c r="A9" t="inlineStr">
        <is>
          <t>GraphicsOptions#RenderScales/0</t>
        </is>
      </c>
      <c r="B9" t="inlineStr">
        <is>
          <t>GraphicsOptions#RenderScales</t>
        </is>
      </c>
      <c r="C9" t="n">
        <v>0</v>
      </c>
      <c r="D9" t="n">
        <v>70</v>
      </c>
      <c r="E9" t="inlineStr">
        <is>
          <t>Assets/MachineBrigade/Scripts/Game/Match/GraphicsOptions.cs:44 (RenderScales[0])</t>
        </is>
      </c>
      <c r="F9" t="inlineStr">
        <is>
          <t>70</t>
        </is>
      </c>
    </row>
    <row r="10">
      <c r="A10" t="inlineStr">
        <is>
          <t>GraphicsOptions#RenderScales/1</t>
        </is>
      </c>
      <c r="B10" t="inlineStr">
        <is>
          <t>GraphicsOptions#RenderScales</t>
        </is>
      </c>
      <c r="C10" t="n">
        <v>1</v>
      </c>
      <c r="D10" t="n">
        <v>85</v>
      </c>
      <c r="E10" t="inlineStr">
        <is>
          <t>Assets/MachineBrigade/Scripts/Game/Match/GraphicsOptions.cs:44 (RenderScales[1])</t>
        </is>
      </c>
      <c r="F10" t="inlineStr">
        <is>
          <t>85</t>
        </is>
      </c>
    </row>
    <row r="11">
      <c r="A11" t="inlineStr">
        <is>
          <t>GraphicsOptions#RenderScales/2</t>
        </is>
      </c>
      <c r="B11" t="inlineStr">
        <is>
          <t>GraphicsOptions#RenderScales</t>
        </is>
      </c>
      <c r="C11" t="n">
        <v>2</v>
      </c>
      <c r="D11" t="n">
        <v>100</v>
      </c>
      <c r="E11" t="inlineStr">
        <is>
          <t>Assets/MachineBrigade/Scripts/Game/Match/GraphicsOptions.cs:44 (RenderScales[2])</t>
        </is>
      </c>
      <c r="F11" t="inlineStr">
        <is>
          <t>100</t>
        </is>
      </c>
    </row>
    <row r="12">
      <c r="A12" t="inlineStr">
        <is>
          <t>MatchSettings#AllSupports/0</t>
        </is>
      </c>
      <c r="B12" t="inlineStr">
        <is>
          <t>MatchSettings#AllSupports</t>
        </is>
      </c>
      <c r="C12" t="n">
        <v>0</v>
      </c>
      <c r="D12" t="inlineStr">
        <is>
          <t>artillery_barrage</t>
        </is>
      </c>
      <c r="E12" t="inlineStr">
        <is>
          <t>Assets/MachineBrigade/Scripts/Game/Match/MatchSettings.cs:153 (AllSupports[0])</t>
        </is>
      </c>
      <c r="F12" t="inlineStr">
        <is>
          <t>"artillery_barrage"</t>
        </is>
      </c>
    </row>
    <row r="13">
      <c r="A13" t="inlineStr">
        <is>
          <t>MatchSettings#AllSupports/1</t>
        </is>
      </c>
      <c r="B13" t="inlineStr">
        <is>
          <t>MatchSettings#AllSupports</t>
        </is>
      </c>
      <c r="C13" t="n">
        <v>1</v>
      </c>
      <c r="D13" t="inlineStr">
        <is>
          <t>airstrike</t>
        </is>
      </c>
      <c r="E13" t="inlineStr">
        <is>
          <t>Assets/MachineBrigade/Scripts/Game/Match/MatchSettings.cs:153 (AllSupports[1])</t>
        </is>
      </c>
      <c r="F13" t="inlineStr">
        <is>
          <t>"airstrike"</t>
        </is>
      </c>
    </row>
    <row r="14">
      <c r="A14" t="inlineStr">
        <is>
          <t>MatchSettings#AllSupports/2</t>
        </is>
      </c>
      <c r="B14" t="inlineStr">
        <is>
          <t>MatchSettings#AllSupports</t>
        </is>
      </c>
      <c r="C14" t="n">
        <v>2</v>
      </c>
      <c r="D14" t="inlineStr">
        <is>
          <t>cruise_missile</t>
        </is>
      </c>
      <c r="E14" t="inlineStr">
        <is>
          <t>Assets/MachineBrigade/Scripts/Game/Match/MatchSettings.cs:153 (AllSupports[2])</t>
        </is>
      </c>
      <c r="F14" t="inlineStr">
        <is>
          <t>"cruise_missile"</t>
        </is>
      </c>
    </row>
    <row r="15">
      <c r="A15" t="inlineStr">
        <is>
          <t>MatchSettings#AllSupports/3</t>
        </is>
      </c>
      <c r="B15" t="inlineStr">
        <is>
          <t>MatchSettings#AllSupports</t>
        </is>
      </c>
      <c r="C15" t="n">
        <v>3</v>
      </c>
      <c r="D15" t="inlineStr">
        <is>
          <t>repair_drop</t>
        </is>
      </c>
      <c r="E15" t="inlineStr">
        <is>
          <t>Assets/MachineBrigade/Scripts/Game/Match/MatchSettings.cs:153 (AllSupports[3])</t>
        </is>
      </c>
      <c r="F15" t="inlineStr">
        <is>
          <t>"repair_drop"</t>
        </is>
      </c>
    </row>
    <row r="16">
      <c r="A16" t="inlineStr">
        <is>
          <t>MatchSettings#AllSupports/4</t>
        </is>
      </c>
      <c r="B16" t="inlineStr">
        <is>
          <t>MatchSettings#AllSupports</t>
        </is>
      </c>
      <c r="C16" t="n">
        <v>4</v>
      </c>
      <c r="D16" t="inlineStr">
        <is>
          <t>napalm_strike</t>
        </is>
      </c>
      <c r="E16" t="inlineStr">
        <is>
          <t>Assets/MachineBrigade/Scripts/Game/Match/MatchSettings.cs:153 (AllSupports[4])</t>
        </is>
      </c>
      <c r="F16" t="inlineStr">
        <is>
          <t>"napalm_strike"</t>
        </is>
      </c>
    </row>
    <row r="17">
      <c r="A17" t="inlineStr">
        <is>
          <t>MatchSettings#AllSupports/5</t>
        </is>
      </c>
      <c r="B17" t="inlineStr">
        <is>
          <t>MatchSettings#AllSupports</t>
        </is>
      </c>
      <c r="C17" t="n">
        <v>5</v>
      </c>
      <c r="D17" t="inlineStr">
        <is>
          <t>remote_mines</t>
        </is>
      </c>
      <c r="E17" t="inlineStr">
        <is>
          <t>Assets/MachineBrigade/Scripts/Game/Match/MatchSettings.cs:154 (AllSupports[5])</t>
        </is>
      </c>
      <c r="F17" t="inlineStr">
        <is>
          <t>"remote_mines"</t>
        </is>
      </c>
    </row>
    <row r="18">
      <c r="A18" t="inlineStr">
        <is>
          <t>MatchSettings#AllSupports/6</t>
        </is>
      </c>
      <c r="B18" t="inlineStr">
        <is>
          <t>MatchSettings#AllSupports</t>
        </is>
      </c>
      <c r="C18" t="n">
        <v>6</v>
      </c>
      <c r="D18" t="inlineStr">
        <is>
          <t>field_tower</t>
        </is>
      </c>
      <c r="E18" t="inlineStr">
        <is>
          <t>Assets/MachineBrigade/Scripts/Game/Match/MatchSettings.cs:154 (AllSupports[6])</t>
        </is>
      </c>
      <c r="F18" t="inlineStr">
        <is>
          <t>"field_tower"</t>
        </is>
      </c>
    </row>
    <row r="19">
      <c r="A19" t="inlineStr">
        <is>
          <t>MatchSettings#AllSupports/7</t>
        </is>
      </c>
      <c r="B19" t="inlineStr">
        <is>
          <t>MatchSettings#AllSupports</t>
        </is>
      </c>
      <c r="C19" t="n">
        <v>7</v>
      </c>
      <c r="D19" t="inlineStr">
        <is>
          <t>glide_bomb_strike</t>
        </is>
      </c>
      <c r="E19" t="inlineStr">
        <is>
          <t>Assets/MachineBrigade/Scripts/Game/Match/MatchSettings.cs:156 (AllSupports[7])</t>
        </is>
      </c>
      <c r="F19" t="inlineStr">
        <is>
          <t>"glide_bomb_strike"</t>
        </is>
      </c>
    </row>
    <row r="20">
      <c r="A20" t="inlineStr">
        <is>
          <t>MatchSettings#AllVehicles/0</t>
        </is>
      </c>
      <c r="B20" t="inlineStr">
        <is>
          <t>MatchSettings#AllVehicles</t>
        </is>
      </c>
      <c r="C20" t="n">
        <v>0</v>
      </c>
      <c r="D20" t="inlineStr">
        <is>
          <t>scout_jeep</t>
        </is>
      </c>
      <c r="E20" t="inlineStr">
        <is>
          <t>Assets/MachineBrigade/Scripts/Game/Match/MatchSettings.cs:118 (AllVehicles[0])</t>
        </is>
      </c>
      <c r="F20" t="inlineStr">
        <is>
          <t>"scout_jeep"</t>
        </is>
      </c>
    </row>
    <row r="21">
      <c r="A21" t="inlineStr">
        <is>
          <t>MatchSettings#AllVehicles/1</t>
        </is>
      </c>
      <c r="B21" t="inlineStr">
        <is>
          <t>MatchSettings#AllVehicles</t>
        </is>
      </c>
      <c r="C21" t="n">
        <v>1</v>
      </c>
      <c r="D21" t="inlineStr">
        <is>
          <t>armored_car</t>
        </is>
      </c>
      <c r="E21" t="inlineStr">
        <is>
          <t>Assets/MachineBrigade/Scripts/Game/Match/MatchSettings.cs:118 (AllVehicles[1])</t>
        </is>
      </c>
      <c r="F21" t="inlineStr">
        <is>
          <t>"armored_car"</t>
        </is>
      </c>
    </row>
    <row r="22">
      <c r="A22" t="inlineStr">
        <is>
          <t>MatchSettings#AllVehicles/2</t>
        </is>
      </c>
      <c r="B22" t="inlineStr">
        <is>
          <t>MatchSettings#AllVehicles</t>
        </is>
      </c>
      <c r="C22" t="n">
        <v>2</v>
      </c>
      <c r="D22" t="inlineStr">
        <is>
          <t>rocket_technical</t>
        </is>
      </c>
      <c r="E22" t="inlineStr">
        <is>
          <t>Assets/MachineBrigade/Scripts/Game/Match/MatchSettings.cs:118 (AllVehicles[2])</t>
        </is>
      </c>
      <c r="F22" t="inlineStr">
        <is>
          <t>"rocket_technical"</t>
        </is>
      </c>
    </row>
    <row r="23">
      <c r="A23" t="inlineStr">
        <is>
          <t>MatchSettings#AllVehicles/3</t>
        </is>
      </c>
      <c r="B23" t="inlineStr">
        <is>
          <t>MatchSettings#AllVehicles</t>
        </is>
      </c>
      <c r="C23" t="n">
        <v>3</v>
      </c>
      <c r="D23" t="inlineStr">
        <is>
          <t>light_tank</t>
        </is>
      </c>
      <c r="E23" t="inlineStr">
        <is>
          <t>Assets/MachineBrigade/Scripts/Game/Match/MatchSettings.cs:118 (AllVehicles[3])</t>
        </is>
      </c>
      <c r="F23" t="inlineStr">
        <is>
          <t>"light_tank"</t>
        </is>
      </c>
    </row>
    <row r="24">
      <c r="A24" t="inlineStr">
        <is>
          <t>MatchSettings#AllVehicles/4</t>
        </is>
      </c>
      <c r="B24" t="inlineStr">
        <is>
          <t>MatchSettings#AllVehicles</t>
        </is>
      </c>
      <c r="C24" t="n">
        <v>4</v>
      </c>
      <c r="D24" t="inlineStr">
        <is>
          <t>main_battle_tank</t>
        </is>
      </c>
      <c r="E24" t="inlineStr">
        <is>
          <t>Assets/MachineBrigade/Scripts/Game/Match/MatchSettings.cs:118 (AllVehicles[4])</t>
        </is>
      </c>
      <c r="F24" t="inlineStr">
        <is>
          <t>"main_battle_tank"</t>
        </is>
      </c>
    </row>
    <row r="25">
      <c r="A25" t="inlineStr">
        <is>
          <t>MatchSettings#AllVehicles/5</t>
        </is>
      </c>
      <c r="B25" t="inlineStr">
        <is>
          <t>MatchSettings#AllVehicles</t>
        </is>
      </c>
      <c r="C25" t="n">
        <v>5</v>
      </c>
      <c r="D25" t="inlineStr">
        <is>
          <t>heavy_tank</t>
        </is>
      </c>
      <c r="E25" t="inlineStr">
        <is>
          <t>Assets/MachineBrigade/Scripts/Game/Match/MatchSettings.cs:118 (AllVehicles[5])</t>
        </is>
      </c>
      <c r="F25" t="inlineStr">
        <is>
          <t>"heavy_tank"</t>
        </is>
      </c>
    </row>
    <row r="26">
      <c r="A26" t="inlineStr">
        <is>
          <t>MatchSettings#AllVehicles/6</t>
        </is>
      </c>
      <c r="B26" t="inlineStr">
        <is>
          <t>MatchSettings#AllVehicles</t>
        </is>
      </c>
      <c r="C26" t="n">
        <v>6</v>
      </c>
      <c r="D26" t="inlineStr">
        <is>
          <t>tank_destroyer</t>
        </is>
      </c>
      <c r="E26" t="inlineStr">
        <is>
          <t>Assets/MachineBrigade/Scripts/Game/Match/MatchSettings.cs:119 (AllVehicles[6])</t>
        </is>
      </c>
      <c r="F26" t="inlineStr">
        <is>
          <t>"tank_destroyer"</t>
        </is>
      </c>
    </row>
    <row r="27">
      <c r="A27" t="inlineStr">
        <is>
          <t>MatchSettings#AllVehicles/7</t>
        </is>
      </c>
      <c r="B27" t="inlineStr">
        <is>
          <t>MatchSettings#AllVehicles</t>
        </is>
      </c>
      <c r="C27" t="n">
        <v>7</v>
      </c>
      <c r="D27" t="inlineStr">
        <is>
          <t>flame_tank</t>
        </is>
      </c>
      <c r="E27" t="inlineStr">
        <is>
          <t>Assets/MachineBrigade/Scripts/Game/Match/MatchSettings.cs:119 (AllVehicles[7])</t>
        </is>
      </c>
      <c r="F27" t="inlineStr">
        <is>
          <t>"flame_tank"</t>
        </is>
      </c>
    </row>
    <row r="28">
      <c r="A28" t="inlineStr">
        <is>
          <t>MatchSettings#AllVehicles/8</t>
        </is>
      </c>
      <c r="B28" t="inlineStr">
        <is>
          <t>MatchSettings#AllVehicles</t>
        </is>
      </c>
      <c r="C28" t="n">
        <v>8</v>
      </c>
      <c r="D28" t="inlineStr">
        <is>
          <t>mortar_carrier</t>
        </is>
      </c>
      <c r="E28" t="inlineStr">
        <is>
          <t>Assets/MachineBrigade/Scripts/Game/Match/MatchSettings.cs:119 (AllVehicles[8])</t>
        </is>
      </c>
      <c r="F28" t="inlineStr">
        <is>
          <t>"mortar_carrier"</t>
        </is>
      </c>
    </row>
    <row r="29">
      <c r="A29" t="inlineStr">
        <is>
          <t>MatchSettings#AllVehicles/9</t>
        </is>
      </c>
      <c r="B29" t="inlineStr">
        <is>
          <t>MatchSettings#AllVehicles</t>
        </is>
      </c>
      <c r="C29" t="n">
        <v>9</v>
      </c>
      <c r="D29" t="inlineStr">
        <is>
          <t>artillery</t>
        </is>
      </c>
      <c r="E29" t="inlineStr">
        <is>
          <t>Assets/MachineBrigade/Scripts/Game/Match/MatchSettings.cs:119 (AllVehicles[9])</t>
        </is>
      </c>
      <c r="F29" t="inlineStr">
        <is>
          <t>"artillery"</t>
        </is>
      </c>
    </row>
    <row r="30">
      <c r="A30" t="inlineStr">
        <is>
          <t>MatchSettings#AllVehicles/10</t>
        </is>
      </c>
      <c r="B30" t="inlineStr">
        <is>
          <t>MatchSettings#AllVehicles</t>
        </is>
      </c>
      <c r="C30" t="n">
        <v>10</v>
      </c>
      <c r="D30" t="inlineStr">
        <is>
          <t>mlrs</t>
        </is>
      </c>
      <c r="E30" t="inlineStr">
        <is>
          <t>Assets/MachineBrigade/Scripts/Game/Match/MatchSettings.cs:119 (AllVehicles[10])</t>
        </is>
      </c>
      <c r="F30" t="inlineStr">
        <is>
          <t>"mlrs"</t>
        </is>
      </c>
    </row>
    <row r="31">
      <c r="A31" t="inlineStr">
        <is>
          <t>MatchSettings#AllVehicles/11</t>
        </is>
      </c>
      <c r="B31" t="inlineStr">
        <is>
          <t>MatchSettings#AllVehicles</t>
        </is>
      </c>
      <c r="C31" t="n">
        <v>11</v>
      </c>
      <c r="D31" t="inlineStr">
        <is>
          <t>aa_vehicle</t>
        </is>
      </c>
      <c r="E31" t="inlineStr">
        <is>
          <t>Assets/MachineBrigade/Scripts/Game/Match/MatchSettings.cs:119 (AllVehicles[11])</t>
        </is>
      </c>
      <c r="F31" t="inlineStr">
        <is>
          <t>"aa_vehicle"</t>
        </is>
      </c>
    </row>
    <row r="32">
      <c r="A32" t="inlineStr">
        <is>
          <t>MatchSettings#AllVehicles/12</t>
        </is>
      </c>
      <c r="B32" t="inlineStr">
        <is>
          <t>MatchSettings#AllVehicles</t>
        </is>
      </c>
      <c r="C32" t="n">
        <v>12</v>
      </c>
      <c r="D32" t="inlineStr">
        <is>
          <t>sam_launcher</t>
        </is>
      </c>
      <c r="E32" t="inlineStr">
        <is>
          <t>Assets/MachineBrigade/Scripts/Game/Match/MatchSettings.cs:119 (AllVehicles[12])</t>
        </is>
      </c>
      <c r="F32" t="inlineStr">
        <is>
          <t>"sam_launcher"</t>
        </is>
      </c>
    </row>
    <row r="33">
      <c r="A33" t="inlineStr">
        <is>
          <t>MatchSettings#AllVehicles/13</t>
        </is>
      </c>
      <c r="B33" t="inlineStr">
        <is>
          <t>MatchSettings#AllVehicles</t>
        </is>
      </c>
      <c r="C33" t="n">
        <v>13</v>
      </c>
      <c r="D33" t="inlineStr">
        <is>
          <t>scout_heli</t>
        </is>
      </c>
      <c r="E33" t="inlineStr">
        <is>
          <t>Assets/MachineBrigade/Scripts/Game/Match/MatchSettings.cs:120 (AllVehicles[13])</t>
        </is>
      </c>
      <c r="F33" t="inlineStr">
        <is>
          <t>"scout_heli"</t>
        </is>
      </c>
    </row>
    <row r="34">
      <c r="A34" t="inlineStr">
        <is>
          <t>MatchSettings#AllVehicles/14</t>
        </is>
      </c>
      <c r="B34" t="inlineStr">
        <is>
          <t>MatchSettings#AllVehicles</t>
        </is>
      </c>
      <c r="C34" t="n">
        <v>14</v>
      </c>
      <c r="D34" t="inlineStr">
        <is>
          <t>attack_helicopter</t>
        </is>
      </c>
      <c r="E34" t="inlineStr">
        <is>
          <t>Assets/MachineBrigade/Scripts/Game/Match/MatchSettings.cs:120 (AllVehicles[14])</t>
        </is>
      </c>
      <c r="F34" t="inlineStr">
        <is>
          <t>"attack_helicopter"</t>
        </is>
      </c>
    </row>
    <row r="35">
      <c r="A35" t="inlineStr">
        <is>
          <t>MatchSettings#AllVehicles/15</t>
        </is>
      </c>
      <c r="B35" t="inlineStr">
        <is>
          <t>MatchSettings#AllVehicles</t>
        </is>
      </c>
      <c r="C35" t="n">
        <v>15</v>
      </c>
      <c r="D35" t="inlineStr">
        <is>
          <t>strike_drone</t>
        </is>
      </c>
      <c r="E35" t="inlineStr">
        <is>
          <t>Assets/MachineBrigade/Scripts/Game/Match/MatchSettings.cs:120 (AllVehicles[15])</t>
        </is>
      </c>
      <c r="F35" t="inlineStr">
        <is>
          <t>"strike_drone"</t>
        </is>
      </c>
    </row>
    <row r="36">
      <c r="A36" t="inlineStr">
        <is>
          <t>MatchSettings#AllVehicles/16</t>
        </is>
      </c>
      <c r="B36" t="inlineStr">
        <is>
          <t>MatchSettings#AllVehicles</t>
        </is>
      </c>
      <c r="C36" t="n">
        <v>16</v>
      </c>
      <c r="D36" t="inlineStr">
        <is>
          <t>attack_jet</t>
        </is>
      </c>
      <c r="E36" t="inlineStr">
        <is>
          <t>Assets/MachineBrigade/Scripts/Game/Match/MatchSettings.cs:120 (AllVehicles[16])</t>
        </is>
      </c>
      <c r="F36" t="inlineStr">
        <is>
          <t>"attack_jet"</t>
        </is>
      </c>
    </row>
    <row r="37">
      <c r="A37" t="inlineStr">
        <is>
          <t>MatchSettings#AllVehicles/17</t>
        </is>
      </c>
      <c r="B37" t="inlineStr">
        <is>
          <t>MatchSettings#AllVehicles</t>
        </is>
      </c>
      <c r="C37" t="n">
        <v>17</v>
      </c>
      <c r="D37" t="inlineStr">
        <is>
          <t>ifv</t>
        </is>
      </c>
      <c r="E37" t="inlineStr">
        <is>
          <t>Assets/MachineBrigade/Scripts/Game/Match/MatchSettings.cs:121 (AllVehicles[17])</t>
        </is>
      </c>
      <c r="F37" t="inlineStr">
        <is>
          <t>"ifv"</t>
        </is>
      </c>
    </row>
    <row r="38">
      <c r="A38" t="inlineStr">
        <is>
          <t>MatchSettings#AllVehicles/18</t>
        </is>
      </c>
      <c r="B38" t="inlineStr">
        <is>
          <t>MatchSettings#AllVehicles</t>
        </is>
      </c>
      <c r="C38" t="n">
        <v>18</v>
      </c>
      <c r="D38" t="inlineStr">
        <is>
          <t>thermobaric_launcher</t>
        </is>
      </c>
      <c r="E38" t="inlineStr">
        <is>
          <t>Assets/MachineBrigade/Scripts/Game/Match/MatchSettings.cs:121 (AllVehicles[18])</t>
        </is>
      </c>
      <c r="F38" t="inlineStr">
        <is>
          <t>"thermobaric_launcher"</t>
        </is>
      </c>
    </row>
    <row r="39">
      <c r="A39" t="inlineStr">
        <is>
          <t>MatchSettings#AllVehicles/19</t>
        </is>
      </c>
      <c r="B39" t="inlineStr">
        <is>
          <t>MatchSettings#AllVehicles</t>
        </is>
      </c>
      <c r="C39" t="n">
        <v>19</v>
      </c>
      <c r="D39" t="inlineStr">
        <is>
          <t>heavy_aa</t>
        </is>
      </c>
      <c r="E39" t="inlineStr">
        <is>
          <t>Assets/MachineBrigade/Scripts/Game/Match/MatchSettings.cs:121 (AllVehicles[19])</t>
        </is>
      </c>
      <c r="F39" t="inlineStr">
        <is>
          <t>"heavy_aa"</t>
        </is>
      </c>
    </row>
    <row r="40">
      <c r="A40" t="inlineStr">
        <is>
          <t>MatchSettings#AllVehicles/20</t>
        </is>
      </c>
      <c r="B40" t="inlineStr">
        <is>
          <t>MatchSettings#AllVehicles</t>
        </is>
      </c>
      <c r="C40" t="n">
        <v>20</v>
      </c>
      <c r="D40" t="inlineStr">
        <is>
          <t>titan_tank</t>
        </is>
      </c>
      <c r="E40" t="inlineStr">
        <is>
          <t>Assets/MachineBrigade/Scripts/Game/Match/MatchSettings.cs:121 (AllVehicles[20])</t>
        </is>
      </c>
      <c r="F40" t="inlineStr">
        <is>
          <t>"titan_tank"</t>
        </is>
      </c>
    </row>
    <row r="41">
      <c r="A41" t="inlineStr">
        <is>
          <t>MatchSettings#AllVehicles/21</t>
        </is>
      </c>
      <c r="B41" t="inlineStr">
        <is>
          <t>MatchSettings#AllVehicles</t>
        </is>
      </c>
      <c r="C41" t="n">
        <v>21</v>
      </c>
      <c r="D41" t="inlineStr">
        <is>
          <t>heavy_bomber</t>
        </is>
      </c>
      <c r="E41" t="inlineStr">
        <is>
          <t>Assets/MachineBrigade/Scripts/Game/Match/MatchSettings.cs:122 (AllVehicles[21])</t>
        </is>
      </c>
      <c r="F41" t="inlineStr">
        <is>
          <t>"heavy_bomber"</t>
        </is>
      </c>
    </row>
    <row r="42">
      <c r="A42" t="inlineStr">
        <is>
          <t>MatchSettings#AllVehicles/22</t>
        </is>
      </c>
      <c r="B42" t="inlineStr">
        <is>
          <t>MatchSettings#AllVehicles</t>
        </is>
      </c>
      <c r="C42" t="n">
        <v>22</v>
      </c>
      <c r="D42" t="inlineStr">
        <is>
          <t>stealth_bomber</t>
        </is>
      </c>
      <c r="E42" t="inlineStr">
        <is>
          <t>Assets/MachineBrigade/Scripts/Game/Match/MatchSettings.cs:122 (AllVehicles[22])</t>
        </is>
      </c>
      <c r="F42" t="inlineStr">
        <is>
          <t>"stealth_bomber"</t>
        </is>
      </c>
    </row>
    <row r="43">
      <c r="A43" t="inlineStr">
        <is>
          <t>MatchSettings#AllVehicles/23</t>
        </is>
      </c>
      <c r="B43" t="inlineStr">
        <is>
          <t>MatchSettings#AllVehicles</t>
        </is>
      </c>
      <c r="C43" t="n">
        <v>23</v>
      </c>
      <c r="D43" t="inlineStr">
        <is>
          <t>sky_gunship</t>
        </is>
      </c>
      <c r="E43" t="inlineStr">
        <is>
          <t>Assets/MachineBrigade/Scripts/Game/Match/MatchSettings.cs:124 (AllVehicles[23])</t>
        </is>
      </c>
      <c r="F43" t="inlineStr">
        <is>
          <t>"sky_gunship"</t>
        </is>
      </c>
    </row>
    <row r="44">
      <c r="A44" t="inlineStr">
        <is>
          <t>MatchSettings#AllVehicles/24</t>
        </is>
      </c>
      <c r="B44" t="inlineStr">
        <is>
          <t>MatchSettings#AllVehicles</t>
        </is>
      </c>
      <c r="C44" t="n">
        <v>24</v>
      </c>
      <c r="D44" t="inlineStr">
        <is>
          <t>twin_tank</t>
        </is>
      </c>
      <c r="E44" t="inlineStr">
        <is>
          <t>Assets/MachineBrigade/Scripts/Game/Match/MatchSettings.cs:125 (AllVehicles[24])</t>
        </is>
      </c>
      <c r="F44" t="inlineStr">
        <is>
          <t>"twin_tank"</t>
        </is>
      </c>
    </row>
    <row r="45">
      <c r="A45" t="inlineStr">
        <is>
          <t>MatchSettings#AllVehicles/25</t>
        </is>
      </c>
      <c r="B45" t="inlineStr">
        <is>
          <t>MatchSettings#AllVehicles</t>
        </is>
      </c>
      <c r="C45" t="n">
        <v>25</v>
      </c>
      <c r="D45" t="inlineStr">
        <is>
          <t>siege_tank</t>
        </is>
      </c>
      <c r="E45" t="inlineStr">
        <is>
          <t>Assets/MachineBrigade/Scripts/Game/Match/MatchSettings.cs:125 (AllVehicles[25])</t>
        </is>
      </c>
      <c r="F45" t="inlineStr">
        <is>
          <t>"siege_tank"</t>
        </is>
      </c>
    </row>
    <row r="46">
      <c r="A46" t="inlineStr">
        <is>
          <t>MatchSettings#AllVehicles/26</t>
        </is>
      </c>
      <c r="B46" t="inlineStr">
        <is>
          <t>MatchSettings#AllVehicles</t>
        </is>
      </c>
      <c r="C46" t="n">
        <v>26</v>
      </c>
      <c r="D46" t="inlineStr">
        <is>
          <t>heavy_rocket_artillery</t>
        </is>
      </c>
      <c r="E46" t="inlineStr">
        <is>
          <t>Assets/MachineBrigade/Scripts/Game/Match/MatchSettings.cs:125 (AllVehicles[26])</t>
        </is>
      </c>
      <c r="F46" t="inlineStr">
        <is>
          <t>"heavy_rocket_artillery"</t>
        </is>
      </c>
    </row>
    <row r="47">
      <c r="A47" t="inlineStr">
        <is>
          <t>MatchSettings#AllVehicles/27</t>
        </is>
      </c>
      <c r="B47" t="inlineStr">
        <is>
          <t>MatchSettings#AllVehicles</t>
        </is>
      </c>
      <c r="C47" t="n">
        <v>27</v>
      </c>
      <c r="D47" t="inlineStr">
        <is>
          <t>ballistic_launcher</t>
        </is>
      </c>
      <c r="E47" t="inlineStr">
        <is>
          <t>Assets/MachineBrigade/Scripts/Game/Match/MatchSettings.cs:125 (AllVehicles[27])</t>
        </is>
      </c>
      <c r="F47" t="inlineStr">
        <is>
          <t>"ballistic_launcher"</t>
        </is>
      </c>
    </row>
    <row r="48">
      <c r="A48" t="inlineStr">
        <is>
          <t>MatchSettings#AllVehicles/28</t>
        </is>
      </c>
      <c r="B48" t="inlineStr">
        <is>
          <t>MatchSettings#AllVehicles</t>
        </is>
      </c>
      <c r="C48" t="n">
        <v>28</v>
      </c>
      <c r="D48" t="inlineStr">
        <is>
          <t>engineer_vehicle</t>
        </is>
      </c>
      <c r="E48" t="inlineStr">
        <is>
          <t>Assets/MachineBrigade/Scripts/Game/Match/MatchSettings.cs:127 (AllVehicles[28])</t>
        </is>
      </c>
      <c r="F48" t="inlineStr">
        <is>
          <t>"engineer_vehicle"</t>
        </is>
      </c>
    </row>
    <row r="49">
      <c r="A49" t="inlineStr">
        <is>
          <t>MatchSettings#AllVehicles/29</t>
        </is>
      </c>
      <c r="B49" t="inlineStr">
        <is>
          <t>MatchSettings#AllVehicles</t>
        </is>
      </c>
      <c r="C49" t="n">
        <v>29</v>
      </c>
      <c r="D49" t="inlineStr">
        <is>
          <t>ew_jammer</t>
        </is>
      </c>
      <c r="E49" t="inlineStr">
        <is>
          <t>Assets/MachineBrigade/Scripts/Game/Match/MatchSettings.cs:127 (AllVehicles[29])</t>
        </is>
      </c>
      <c r="F49" t="inlineStr">
        <is>
          <t>"ew_jammer"</t>
        </is>
      </c>
    </row>
    <row r="50">
      <c r="A50" t="inlineStr">
        <is>
          <t>MatchSettings#AllVehicles/30</t>
        </is>
      </c>
      <c r="B50" t="inlineStr">
        <is>
          <t>MatchSettings#AllVehicles</t>
        </is>
      </c>
      <c r="C50" t="n">
        <v>30</v>
      </c>
      <c r="D50" t="inlineStr">
        <is>
          <t>fpv_carrier</t>
        </is>
      </c>
      <c r="E50" t="inlineStr">
        <is>
          <t>Assets/MachineBrigade/Scripts/Game/Match/MatchSettings.cs:127 (AllVehicles[30])</t>
        </is>
      </c>
      <c r="F50" t="inlineStr">
        <is>
          <t>"fpv_carrier"</t>
        </is>
      </c>
    </row>
    <row r="51">
      <c r="A51" t="inlineStr">
        <is>
          <t>MatchSettings#AllVehicles/31</t>
        </is>
      </c>
      <c r="B51" t="inlineStr">
        <is>
          <t>MatchSettings#AllVehicles</t>
        </is>
      </c>
      <c r="C51" t="n">
        <v>31</v>
      </c>
      <c r="D51" t="inlineStr">
        <is>
          <t>mine_layer</t>
        </is>
      </c>
      <c r="E51" t="inlineStr">
        <is>
          <t>Assets/MachineBrigade/Scripts/Game/Match/MatchSettings.cs:127 (AllVehicles[31])</t>
        </is>
      </c>
      <c r="F51" t="inlineStr">
        <is>
          <t>"mine_layer"</t>
        </is>
      </c>
    </row>
    <row r="52">
      <c r="A52" t="inlineStr">
        <is>
          <t>MatchSettings#AllVehicles/32</t>
        </is>
      </c>
      <c r="B52" t="inlineStr">
        <is>
          <t>MatchSettings#AllVehicles</t>
        </is>
      </c>
      <c r="C52" t="n">
        <v>32</v>
      </c>
      <c r="D52" t="inlineStr">
        <is>
          <t>ammo_carrier</t>
        </is>
      </c>
      <c r="E52" t="inlineStr">
        <is>
          <t>Assets/MachineBrigade/Scripts/Game/Match/MatchSettings.cs:127 (AllVehicles[32])</t>
        </is>
      </c>
      <c r="F52" t="inlineStr">
        <is>
          <t>"ammo_carrier"</t>
        </is>
      </c>
    </row>
    <row r="53">
      <c r="A53" t="inlineStr">
        <is>
          <t>MatchSettings#AllVehicles/33</t>
        </is>
      </c>
      <c r="B53" t="inlineStr">
        <is>
          <t>MatchSettings#AllVehicles</t>
        </is>
      </c>
      <c r="C53" t="n">
        <v>33</v>
      </c>
      <c r="D53" t="inlineStr">
        <is>
          <t>fighter_jet</t>
        </is>
      </c>
      <c r="E53" t="inlineStr">
        <is>
          <t>Assets/MachineBrigade/Scripts/Game/Match/MatchSettings.cs:128 (AllVehicles[33])</t>
        </is>
      </c>
      <c r="F53" t="inlineStr">
        <is>
          <t>"fighter_jet"</t>
        </is>
      </c>
    </row>
    <row r="54">
      <c r="A54" t="inlineStr">
        <is>
          <t>MatchSettings#AllVehicles/34</t>
        </is>
      </c>
      <c r="B54" t="inlineStr">
        <is>
          <t>MatchSettings#AllVehicles</t>
        </is>
      </c>
      <c r="C54" t="n">
        <v>34</v>
      </c>
      <c r="D54" t="inlineStr">
        <is>
          <t>recon_drone</t>
        </is>
      </c>
      <c r="E54" t="inlineStr">
        <is>
          <t>Assets/MachineBrigade/Scripts/Game/Match/MatchSettings.cs:128 (AllVehicles[34])</t>
        </is>
      </c>
      <c r="F54" t="inlineStr">
        <is>
          <t>"recon_drone"</t>
        </is>
      </c>
    </row>
    <row r="55">
      <c r="A55" t="inlineStr">
        <is>
          <t>MatchSettings#AllVehicles/35</t>
        </is>
      </c>
      <c r="B55" t="inlineStr">
        <is>
          <t>MatchSettings#AllVehicles</t>
        </is>
      </c>
      <c r="C55" t="n">
        <v>35</v>
      </c>
      <c r="D55" t="inlineStr">
        <is>
          <t>vbied</t>
        </is>
      </c>
      <c r="E55" t="inlineStr">
        <is>
          <t>Assets/MachineBrigade/Scripts/Game/Match/MatchSettings.cs:129 (AllVehicles[35])</t>
        </is>
      </c>
      <c r="F55" t="inlineStr">
        <is>
          <t>"vbied"</t>
        </is>
      </c>
    </row>
    <row r="56">
      <c r="A56" t="inlineStr">
        <is>
          <t>MatchSettings#AllVehicles/36</t>
        </is>
      </c>
      <c r="B56" t="inlineStr">
        <is>
          <t>MatchSettings#AllVehicles</t>
        </is>
      </c>
      <c r="C56" t="n">
        <v>36</v>
      </c>
      <c r="D56" t="inlineStr">
        <is>
          <t>zu23_technical</t>
        </is>
      </c>
      <c r="E56" t="inlineStr">
        <is>
          <t>Assets/MachineBrigade/Scripts/Game/Match/MatchSettings.cs:129 (AllVehicles[36])</t>
        </is>
      </c>
      <c r="F56" t="inlineStr">
        <is>
          <t>"zu23_technical"</t>
        </is>
      </c>
    </row>
    <row r="57">
      <c r="A57" t="inlineStr">
        <is>
          <t>MatchSettings#AllVehicles/37</t>
        </is>
      </c>
      <c r="B57" t="inlineStr">
        <is>
          <t>MatchSettings#AllVehicles</t>
        </is>
      </c>
      <c r="C57" t="n">
        <v>37</v>
      </c>
      <c r="D57" t="inlineStr">
        <is>
          <t>shahed_truck</t>
        </is>
      </c>
      <c r="E57" t="inlineStr">
        <is>
          <t>Assets/MachineBrigade/Scripts/Game/Match/MatchSettings.cs:129 (AllVehicles[37])</t>
        </is>
      </c>
      <c r="F57" t="inlineStr">
        <is>
          <t>"shahed_truck"</t>
        </is>
      </c>
    </row>
    <row r="58">
      <c r="A58" t="inlineStr">
        <is>
          <t>MatchSettings#AllVehicles/38</t>
        </is>
      </c>
      <c r="B58" t="inlineStr">
        <is>
          <t>MatchSettings#AllVehicles</t>
        </is>
      </c>
      <c r="C58" t="n">
        <v>38</v>
      </c>
      <c r="D58" t="inlineStr">
        <is>
          <t>iron_beam</t>
        </is>
      </c>
      <c r="E58" t="inlineStr">
        <is>
          <t>Assets/MachineBrigade/Scripts/Game/Match/MatchSettings.cs:129 (AllVehicles[38])</t>
        </is>
      </c>
      <c r="F58" t="inlineStr">
        <is>
          <t>"iron_beam"</t>
        </is>
      </c>
    </row>
    <row r="59">
      <c r="A59" t="inlineStr">
        <is>
          <t>MatchSettings#AllVehicles/39</t>
        </is>
      </c>
      <c r="B59" t="inlineStr">
        <is>
          <t>MatchSettings#AllVehicles</t>
        </is>
      </c>
      <c r="C59" t="n">
        <v>39</v>
      </c>
      <c r="D59" t="inlineStr">
        <is>
          <t>railgun_truck</t>
        </is>
      </c>
      <c r="E59" t="inlineStr">
        <is>
          <t>Assets/MachineBrigade/Scripts/Game/Match/MatchSettings.cs:129 (AllVehicles[39])</t>
        </is>
      </c>
      <c r="F59" t="inlineStr">
        <is>
          <t>"railgun_truck"</t>
        </is>
      </c>
    </row>
    <row r="60">
      <c r="A60" t="inlineStr">
        <is>
          <t>MatchSettings#AllVehicles/40</t>
        </is>
      </c>
      <c r="B60" t="inlineStr">
        <is>
          <t>MatchSettings#AllVehicles</t>
        </is>
      </c>
      <c r="C60" t="n">
        <v>40</v>
      </c>
      <c r="D60" t="inlineStr">
        <is>
          <t>command_vehicle</t>
        </is>
      </c>
      <c r="E60" t="inlineStr">
        <is>
          <t>Assets/MachineBrigade/Scripts/Game/Match/MatchSettings.cs:130 (AllVehicles[40])</t>
        </is>
      </c>
      <c r="F60" t="inlineStr">
        <is>
          <t>"command_vehicle"</t>
        </is>
      </c>
    </row>
    <row r="61">
      <c r="A61" t="inlineStr">
        <is>
          <t>MatchSettings#AllVehicles/41</t>
        </is>
      </c>
      <c r="B61" t="inlineStr">
        <is>
          <t>MatchSettings#AllVehicles</t>
        </is>
      </c>
      <c r="C61" t="n">
        <v>41</v>
      </c>
      <c r="D61" t="inlineStr">
        <is>
          <t>wheeled_gun</t>
        </is>
      </c>
      <c r="E61" t="inlineStr">
        <is>
          <t>Assets/MachineBrigade/Scripts/Game/Match/MatchSettings.cs:130 (AllVehicles[41])</t>
        </is>
      </c>
      <c r="F61" t="inlineStr">
        <is>
          <t>"wheeled_gun"</t>
        </is>
      </c>
    </row>
    <row r="62">
      <c r="A62" t="inlineStr">
        <is>
          <t>MatchSettings#AllVehicles/42</t>
        </is>
      </c>
      <c r="B62" t="inlineStr">
        <is>
          <t>MatchSettings#AllVehicles</t>
        </is>
      </c>
      <c r="C62" t="n">
        <v>42</v>
      </c>
      <c r="D62" t="inlineStr">
        <is>
          <t>long_sam</t>
        </is>
      </c>
      <c r="E62" t="inlineStr">
        <is>
          <t>Assets/MachineBrigade/Scripts/Game/Match/MatchSettings.cs:130 (AllVehicles[42])</t>
        </is>
      </c>
      <c r="F62" t="inlineStr">
        <is>
          <t>"long_sam"</t>
        </is>
      </c>
    </row>
    <row r="63">
      <c r="A63" t="inlineStr">
        <is>
          <t>MatchSettings#AllVehicles/43</t>
        </is>
      </c>
      <c r="B63" t="inlineStr">
        <is>
          <t>MatchSettings#AllVehicles</t>
        </is>
      </c>
      <c r="C63" t="n">
        <v>43</v>
      </c>
      <c r="D63" t="inlineStr">
        <is>
          <t>armored_bulldozer</t>
        </is>
      </c>
      <c r="E63" t="inlineStr">
        <is>
          <t>Assets/MachineBrigade/Scripts/Game/Match/MatchSettings.cs:131 (AllVehicles[43])</t>
        </is>
      </c>
      <c r="F63" t="inlineStr">
        <is>
          <t>"armored_bulldozer"</t>
        </is>
      </c>
    </row>
    <row r="64">
      <c r="A64" t="inlineStr">
        <is>
          <t>MatchSettings#AllVehicles/44</t>
        </is>
      </c>
      <c r="B64" t="inlineStr">
        <is>
          <t>MatchSettings#AllVehicles</t>
        </is>
      </c>
      <c r="C64" t="n">
        <v>44</v>
      </c>
      <c r="D64" t="inlineStr">
        <is>
          <t>stealth_fighter</t>
        </is>
      </c>
      <c r="E64" t="inlineStr">
        <is>
          <t>Assets/MachineBrigade/Scripts/Game/Match/MatchSettings.cs:133 (AllVehicles[44])</t>
        </is>
      </c>
      <c r="F64" t="inlineStr">
        <is>
          <t>"stealth_fighter"</t>
        </is>
      </c>
    </row>
    <row r="65">
      <c r="A65" t="inlineStr">
        <is>
          <t>MatchSettings#AllVehicles/45</t>
        </is>
      </c>
      <c r="B65" t="inlineStr">
        <is>
          <t>MatchSettings#AllVehicles</t>
        </is>
      </c>
      <c r="C65" t="n">
        <v>45</v>
      </c>
      <c r="D65" t="inlineStr">
        <is>
          <t>laser_tank</t>
        </is>
      </c>
      <c r="E65" t="inlineStr">
        <is>
          <t>Assets/MachineBrigade/Scripts/Game/Match/MatchSettings.cs:133 (AllVehicles[45])</t>
        </is>
      </c>
      <c r="F65" t="inlineStr">
        <is>
          <t>"laser_tank"</t>
        </is>
      </c>
    </row>
    <row r="66">
      <c r="A66" t="inlineStr">
        <is>
          <t>MatchSettings#AllVehicles/46</t>
        </is>
      </c>
      <c r="B66" t="inlineStr">
        <is>
          <t>MatchSettings#AllVehicles</t>
        </is>
      </c>
      <c r="C66" t="n">
        <v>46</v>
      </c>
      <c r="D66" t="inlineStr">
        <is>
          <t>shield_carrier</t>
        </is>
      </c>
      <c r="E66" t="inlineStr">
        <is>
          <t>Assets/MachineBrigade/Scripts/Game/Match/MatchSettings.cs:133 (AllVehicles[46])</t>
        </is>
      </c>
      <c r="F66" t="inlineStr">
        <is>
          <t>"shield_carrier"</t>
        </is>
      </c>
    </row>
    <row r="67">
      <c r="A67" t="inlineStr">
        <is>
          <t>MatchSettings#AllVehicles/47</t>
        </is>
      </c>
      <c r="B67" t="inlineStr">
        <is>
          <t>MatchSettings#AllVehicles</t>
        </is>
      </c>
      <c r="C67" t="n">
        <v>47</v>
      </c>
      <c r="D67" t="inlineStr">
        <is>
          <t>swarm_carrier</t>
        </is>
      </c>
      <c r="E67" t="inlineStr">
        <is>
          <t>Assets/MachineBrigade/Scripts/Game/Match/MatchSettings.cs:133 (AllVehicles[47])</t>
        </is>
      </c>
      <c r="F67" t="inlineStr">
        <is>
          <t>"swarm_carrier"</t>
        </is>
      </c>
    </row>
    <row r="68">
      <c r="A68" t="inlineStr">
        <is>
          <t>MatchSettings#AllVehicles/48</t>
        </is>
      </c>
      <c r="B68" t="inlineStr">
        <is>
          <t>MatchSettings#AllVehicles</t>
        </is>
      </c>
      <c r="C68" t="n">
        <v>48</v>
      </c>
      <c r="D68" t="inlineStr">
        <is>
          <t>aa_gun_vehicle</t>
        </is>
      </c>
      <c r="E68" t="inlineStr">
        <is>
          <t>Assets/MachineBrigade/Scripts/Game/Match/MatchSettings.cs:135 (AllVehicles[48])</t>
        </is>
      </c>
      <c r="F68" t="inlineStr">
        <is>
          <t>"aa_gun_vehicle"</t>
        </is>
      </c>
    </row>
    <row r="69">
      <c r="A69" t="inlineStr">
        <is>
          <t>MatchSettings#AllVehicles/49</t>
        </is>
      </c>
      <c r="B69" t="inlineStr">
        <is>
          <t>MatchSettings#AllVehicles</t>
        </is>
      </c>
      <c r="C69" t="n">
        <v>49</v>
      </c>
      <c r="D69" t="inlineStr">
        <is>
          <t>recoilless_jeep</t>
        </is>
      </c>
      <c r="E69" t="inlineStr">
        <is>
          <t>Assets/MachineBrigade/Scripts/Game/Match/MatchSettings.cs:136 (AllVehicles[49])</t>
        </is>
      </c>
      <c r="F69" t="inlineStr">
        <is>
          <t>"recoilless_jeep"</t>
        </is>
      </c>
    </row>
    <row r="70">
      <c r="A70" t="inlineStr">
        <is>
          <t>MatchSettings#AllVehicles/50</t>
        </is>
      </c>
      <c r="B70" t="inlineStr">
        <is>
          <t>MatchSettings#AllVehicles</t>
        </is>
      </c>
      <c r="C70" t="n">
        <v>50</v>
      </c>
      <c r="D70" t="inlineStr">
        <is>
          <t>sp_mortar</t>
        </is>
      </c>
      <c r="E70" t="inlineStr">
        <is>
          <t>Assets/MachineBrigade/Scripts/Game/Match/MatchSettings.cs:137 (AllVehicles[50])</t>
        </is>
      </c>
      <c r="F70" t="inlineStr">
        <is>
          <t>"sp_mortar"</t>
        </is>
      </c>
    </row>
    <row r="71">
      <c r="A71" t="inlineStr">
        <is>
          <t>MatchSettings#AllVehicles/51</t>
        </is>
      </c>
      <c r="B71" t="inlineStr">
        <is>
          <t>MatchSettings#AllVehicles</t>
        </is>
      </c>
      <c r="C71" t="n">
        <v>51</v>
      </c>
      <c r="D71" t="inlineStr">
        <is>
          <t>next_gen_tank</t>
        </is>
      </c>
      <c r="E71" t="inlineStr">
        <is>
          <t>Assets/MachineBrigade/Scripts/Game/Match/MatchSettings.cs:141 (AllVehicles[51])</t>
        </is>
      </c>
      <c r="F71" t="inlineStr">
        <is>
          <t>"next_gen_tank"</t>
        </is>
      </c>
    </row>
    <row r="72">
      <c r="A72" t="inlineStr">
        <is>
          <t>MatchSettings#AllVehicles/52</t>
        </is>
      </c>
      <c r="B72" t="inlineStr">
        <is>
          <t>MatchSettings#AllVehicles</t>
        </is>
      </c>
      <c r="C72" t="n">
        <v>52</v>
      </c>
      <c r="D72" t="inlineStr">
        <is>
          <t>demolition_line_vehicle</t>
        </is>
      </c>
      <c r="E72" t="inlineStr">
        <is>
          <t>Assets/MachineBrigade/Scripts/Game/Match/MatchSettings.cs:142 (AllVehicles[52])</t>
        </is>
      </c>
      <c r="F72" t="inlineStr">
        <is>
          <t>"demolition_line_vehicle"</t>
        </is>
      </c>
    </row>
    <row r="73">
      <c r="A73" t="inlineStr">
        <is>
          <t>MatchSettings#AllVehicles/53</t>
        </is>
      </c>
      <c r="B73" t="inlineStr">
        <is>
          <t>MatchSettings#AllVehicles</t>
        </is>
      </c>
      <c r="C73" t="n">
        <v>53</v>
      </c>
      <c r="D73" t="inlineStr">
        <is>
          <t>river_patrol_boat</t>
        </is>
      </c>
      <c r="E73" t="inlineStr">
        <is>
          <t>Assets/MachineBrigade/Scripts/Game/Match/MatchSettings.cs:143 (AllVehicles[53])</t>
        </is>
      </c>
      <c r="F73" t="inlineStr">
        <is>
          <t>"river_patrol_boat"</t>
        </is>
      </c>
    </row>
    <row r="74">
      <c r="A74" t="inlineStr">
        <is>
          <t>MatchSettings#AllVehicles/54</t>
        </is>
      </c>
      <c r="B74" t="inlineStr">
        <is>
          <t>MatchSettings#AllVehicles</t>
        </is>
      </c>
      <c r="C74" t="n">
        <v>54</v>
      </c>
      <c r="D74" t="inlineStr">
        <is>
          <t>river_gunboat</t>
        </is>
      </c>
      <c r="E74" t="inlineStr">
        <is>
          <t>Assets/MachineBrigade/Scripts/Game/Match/MatchSettings.cs:144 (AllVehicles[54])</t>
        </is>
      </c>
      <c r="F74" t="inlineStr">
        <is>
          <t>"river_gunboat"</t>
        </is>
      </c>
    </row>
    <row r="75">
      <c r="A75" t="inlineStr">
        <is>
          <t>MatchSettings#AllVehicles/55</t>
        </is>
      </c>
      <c r="B75" t="inlineStr">
        <is>
          <t>MatchSettings#AllVehicles</t>
        </is>
      </c>
      <c r="C75" t="n">
        <v>55</v>
      </c>
      <c r="D75" t="inlineStr">
        <is>
          <t>stealth_naval_strike</t>
        </is>
      </c>
      <c r="E75" t="inlineStr">
        <is>
          <t>Assets/MachineBrigade/Scripts/Game/Match/MatchSettings.cs:145 (AllVehicles[55])</t>
        </is>
      </c>
      <c r="F75" t="inlineStr">
        <is>
          <t>"stealth_naval_strike"</t>
        </is>
      </c>
    </row>
    <row r="76">
      <c r="A76" t="inlineStr">
        <is>
          <t>MatchSettings#AllVehicles/56</t>
        </is>
      </c>
      <c r="B76" t="inlineStr">
        <is>
          <t>MatchSettings#AllVehicles</t>
        </is>
      </c>
      <c r="C76" t="n">
        <v>56</v>
      </c>
      <c r="D76" t="inlineStr">
        <is>
          <t>twin_rotor_gunship</t>
        </is>
      </c>
      <c r="E76" t="inlineStr">
        <is>
          <t>Assets/MachineBrigade/Scripts/Game/Match/MatchSettings.cs:146 (AllVehicles[56])</t>
        </is>
      </c>
      <c r="F76" t="inlineStr">
        <is>
          <t>"twin_rotor_gunship"</t>
        </is>
      </c>
    </row>
    <row r="77">
      <c r="A77" t="inlineStr">
        <is>
          <t>MatchSettings#AllVehicles/57</t>
        </is>
      </c>
      <c r="B77" t="inlineStr">
        <is>
          <t>MatchSettings#AllVehicles</t>
        </is>
      </c>
      <c r="C77" t="n">
        <v>57</v>
      </c>
      <c r="D77" t="inlineStr">
        <is>
          <t>ground_cruise_missile_vehicle</t>
        </is>
      </c>
      <c r="E77" t="inlineStr">
        <is>
          <t>Assets/MachineBrigade/Scripts/Game/Match/MatchSettings.cs:147 (AllVehicles[57])</t>
        </is>
      </c>
      <c r="F77" t="inlineStr">
        <is>
          <t>"ground_cruise_missile_vehicle"</t>
        </is>
      </c>
    </row>
    <row r="78">
      <c r="A78" t="inlineStr">
        <is>
          <t>MatchSettings#AllVehicles/58</t>
        </is>
      </c>
      <c r="B78" t="inlineStr">
        <is>
          <t>MatchSettings#AllVehicles</t>
        </is>
      </c>
      <c r="C78" t="n">
        <v>58</v>
      </c>
      <c r="D78" t="inlineStr">
        <is>
          <t>gps_jammer_vehicle</t>
        </is>
      </c>
      <c r="E78" t="inlineStr">
        <is>
          <t>Assets/MachineBrigade/Scripts/Game/Match/MatchSettings.cs:148 (AllVehicles[58])</t>
        </is>
      </c>
      <c r="F78" t="inlineStr">
        <is>
          <t>"gps_jammer_vehicle"</t>
        </is>
      </c>
    </row>
    <row r="79">
      <c r="A79" t="inlineStr">
        <is>
          <t>PlayerProfile#DefaultLarge/0</t>
        </is>
      </c>
      <c r="B79" t="inlineStr">
        <is>
          <t>PlayerProfile#DefaultLarge</t>
        </is>
      </c>
      <c r="C79" t="n">
        <v>0</v>
      </c>
      <c r="D79" t="inlineStr">
        <is>
          <t>heavy_turret</t>
        </is>
      </c>
      <c r="E79" t="inlineStr">
        <is>
          <t>Assets/MachineBrigade/Scripts/Game/Match/PlayerProfile.cs:191 (DefaultLarge[0])</t>
        </is>
      </c>
      <c r="F79" t="inlineStr">
        <is>
          <t>"heavy_turret"</t>
        </is>
      </c>
    </row>
    <row r="80">
      <c r="A80" t="inlineStr">
        <is>
          <t>PlayerProfile#DefaultLarge/1</t>
        </is>
      </c>
      <c r="B80" t="inlineStr">
        <is>
          <t>PlayerProfile#DefaultLarge</t>
        </is>
      </c>
      <c r="C80" t="n">
        <v>1</v>
      </c>
      <c r="D80" t="inlineStr">
        <is>
          <t>missile_battery</t>
        </is>
      </c>
      <c r="E80" t="inlineStr">
        <is>
          <t>Assets/MachineBrigade/Scripts/Game/Match/PlayerProfile.cs:191 (DefaultLarge[1])</t>
        </is>
      </c>
      <c r="F80" t="inlineStr">
        <is>
          <t>"missile_battery"</t>
        </is>
      </c>
    </row>
    <row r="81">
      <c r="A81" t="inlineStr">
        <is>
          <t>PlayerProfile#DefaultMedium/0</t>
        </is>
      </c>
      <c r="B81" t="inlineStr">
        <is>
          <t>PlayerProfile#DefaultMedium</t>
        </is>
      </c>
      <c r="C81" t="n">
        <v>0</v>
      </c>
      <c r="D81" t="inlineStr">
        <is>
          <t>gun_turret</t>
        </is>
      </c>
      <c r="E81" t="inlineStr">
        <is>
          <t>Assets/MachineBrigade/Scripts/Game/Match/PlayerProfile.cs:185 (DefaultMedium[0])</t>
        </is>
      </c>
      <c r="F81" t="inlineStr">
        <is>
          <t>"gun_turret"</t>
        </is>
      </c>
    </row>
    <row r="82">
      <c r="A82" t="inlineStr">
        <is>
          <t>PlayerProfile#DefaultMedium/1</t>
        </is>
      </c>
      <c r="B82" t="inlineStr">
        <is>
          <t>PlayerProfile#DefaultMedium</t>
        </is>
      </c>
      <c r="C82" t="n">
        <v>1</v>
      </c>
      <c r="D82" t="inlineStr">
        <is>
          <t>rocket_turret</t>
        </is>
      </c>
      <c r="E82" t="inlineStr">
        <is>
          <t>Assets/MachineBrigade/Scripts/Game/Match/PlayerProfile.cs:185 (DefaultMedium[1])</t>
        </is>
      </c>
      <c r="F82" t="inlineStr">
        <is>
          <t>"rocket_turret"</t>
        </is>
      </c>
    </row>
    <row r="83">
      <c r="A83" t="inlineStr">
        <is>
          <t>PlayerProfile#DefaultMedium/2</t>
        </is>
      </c>
      <c r="B83" t="inlineStr">
        <is>
          <t>PlayerProfile#DefaultMedium</t>
        </is>
      </c>
      <c r="C83" t="n">
        <v>2</v>
      </c>
      <c r="D83" t="inlineStr">
        <is>
          <t>atgm_tower</t>
        </is>
      </c>
      <c r="E83" t="inlineStr">
        <is>
          <t>Assets/MachineBrigade/Scripts/Game/Match/PlayerProfile.cs:185 (DefaultMedium[2])</t>
        </is>
      </c>
      <c r="F83" t="inlineStr">
        <is>
          <t>"atgm_tower"</t>
        </is>
      </c>
    </row>
    <row r="84">
      <c r="A84" t="inlineStr">
        <is>
          <t>PlayerProfile#DefaultSmall/0</t>
        </is>
      </c>
      <c r="B84" t="inlineStr">
        <is>
          <t>PlayerProfile#DefaultSmall</t>
        </is>
      </c>
      <c r="C84" t="n">
        <v>0</v>
      </c>
      <c r="D84" t="inlineStr">
        <is>
          <t>guard_tower</t>
        </is>
      </c>
      <c r="E84" t="inlineStr">
        <is>
          <t>Assets/MachineBrigade/Scripts/Game/Match/PlayerProfile.cs:183 (DefaultSmall[0])</t>
        </is>
      </c>
      <c r="F84" t="inlineStr">
        <is>
          <t>"guard_tower"</t>
        </is>
      </c>
    </row>
    <row r="85">
      <c r="A85" t="inlineStr">
        <is>
          <t>PlayerProfile#DefaultSmall/1</t>
        </is>
      </c>
      <c r="B85" t="inlineStr">
        <is>
          <t>PlayerProfile#DefaultSmall</t>
        </is>
      </c>
      <c r="C85" t="n">
        <v>1</v>
      </c>
      <c r="D85" t="inlineStr">
        <is>
          <t>aa_turret</t>
        </is>
      </c>
      <c r="E85" t="inlineStr">
        <is>
          <t>Assets/MachineBrigade/Scripts/Game/Match/PlayerProfile.cs:183 (DefaultSmall[1])</t>
        </is>
      </c>
      <c r="F85" t="inlineStr">
        <is>
          <t>"aa_turret"</t>
        </is>
      </c>
    </row>
    <row r="86">
      <c r="A86" t="inlineStr">
        <is>
          <t>PlayerProfile#DefaultSmall/2</t>
        </is>
      </c>
      <c r="B86" t="inlineStr">
        <is>
          <t>PlayerProfile#DefaultSmall</t>
        </is>
      </c>
      <c r="C86" t="n">
        <v>2</v>
      </c>
      <c r="D86" t="inlineStr">
        <is>
          <t>mg_bunker</t>
        </is>
      </c>
      <c r="E86" t="inlineStr">
        <is>
          <t>Assets/MachineBrigade/Scripts/Game/Match/PlayerProfile.cs:183 (DefaultSmall[2])</t>
        </is>
      </c>
      <c r="F86" t="inlineStr">
        <is>
          <t>"mg_bunker"</t>
        </is>
      </c>
    </row>
    <row r="87">
      <c r="A87" t="inlineStr">
        <is>
          <t>PlayerProfile#DefaultSmall/3</t>
        </is>
      </c>
      <c r="B87" t="inlineStr">
        <is>
          <t>PlayerProfile#DefaultSmall</t>
        </is>
      </c>
      <c r="C87" t="n">
        <v>3</v>
      </c>
      <c r="D87" t="inlineStr">
        <is>
          <t>guard_tower</t>
        </is>
      </c>
      <c r="E87" t="inlineStr">
        <is>
          <t>Assets/MachineBrigade/Scripts/Game/Match/PlayerProfile.cs:183 (DefaultSmall[3])</t>
        </is>
      </c>
      <c r="F87" t="inlineStr">
        <is>
          <t>"guard_tower"</t>
        </is>
      </c>
    </row>
    <row r="88">
      <c r="A88" t="inlineStr">
        <is>
          <t>PlayerProfile#DefaultSmall/4</t>
        </is>
      </c>
      <c r="B88" t="inlineStr">
        <is>
          <t>PlayerProfile#DefaultSmall</t>
        </is>
      </c>
      <c r="C88" t="n">
        <v>4</v>
      </c>
      <c r="D88" t="inlineStr">
        <is>
          <t>aa_turret</t>
        </is>
      </c>
      <c r="E88" t="inlineStr">
        <is>
          <t>Assets/MachineBrigade/Scripts/Game/Match/PlayerProfile.cs:183 (DefaultSmall[4])</t>
        </is>
      </c>
      <c r="F88" t="inlineStr">
        <is>
          <t>"aa_turret"</t>
        </is>
      </c>
    </row>
    <row r="89">
      <c r="A89" t="inlineStr">
        <is>
          <t>PlayerProfile#DefaultSmall/5</t>
        </is>
      </c>
      <c r="B89" t="inlineStr">
        <is>
          <t>PlayerProfile#DefaultSmall</t>
        </is>
      </c>
      <c r="C89" t="n">
        <v>5</v>
      </c>
      <c r="D89" t="inlineStr">
        <is>
          <t>mg_bunker</t>
        </is>
      </c>
      <c r="E89" t="inlineStr">
        <is>
          <t>Assets/MachineBrigade/Scripts/Game/Match/PlayerProfile.cs:183 (DefaultSmall[5])</t>
        </is>
      </c>
      <c r="F89" t="inlineStr">
        <is>
          <t>"mg_bunker"</t>
        </is>
      </c>
    </row>
    <row r="90">
      <c r="A90" t="inlineStr">
        <is>
          <t>PlayerProfile#OldDoctrinesSold/0</t>
        </is>
      </c>
      <c r="B90" t="inlineStr">
        <is>
          <t>PlayerProfile#OldDoctrinesSold</t>
        </is>
      </c>
      <c r="C90" t="n">
        <v>0</v>
      </c>
      <c r="D90" t="inlineStr">
        <is>
          <t>air</t>
        </is>
      </c>
      <c r="E90" t="inlineStr">
        <is>
          <t>Assets/MachineBrigade/Scripts/Game/Match/PlayerProfile.cs:215 (OldDoctrinesSold[0])</t>
        </is>
      </c>
      <c r="F90" t="inlineStr">
        <is>
          <t>"air"</t>
        </is>
      </c>
    </row>
    <row r="91">
      <c r="A91" t="inlineStr">
        <is>
          <t>PlayerProfile#OldDoctrinesSold/1</t>
        </is>
      </c>
      <c r="B91" t="inlineStr">
        <is>
          <t>PlayerProfile#OldDoctrinesSold</t>
        </is>
      </c>
      <c r="C91" t="n">
        <v>1</v>
      </c>
      <c r="D91" t="inlineStr">
        <is>
          <t>artillery</t>
        </is>
      </c>
      <c r="E91" t="inlineStr">
        <is>
          <t>Assets/MachineBrigade/Scripts/Game/Match/PlayerProfile.cs:215 (OldDoctrinesSold[1])</t>
        </is>
      </c>
      <c r="F91" t="inlineStr">
        <is>
          <t>"artillery"</t>
        </is>
      </c>
    </row>
    <row r="92">
      <c r="A92" t="inlineStr">
        <is>
          <t>PlayerProfile#OldDoctrinesSold/2</t>
        </is>
      </c>
      <c r="B92" t="inlineStr">
        <is>
          <t>PlayerProfile#OldDoctrinesSold</t>
        </is>
      </c>
      <c r="C92" t="n">
        <v>2</v>
      </c>
      <c r="D92" t="inlineStr">
        <is>
          <t>blitz</t>
        </is>
      </c>
      <c r="E92" t="inlineStr">
        <is>
          <t>Assets/MachineBrigade/Scripts/Game/Match/PlayerProfile.cs:215 (OldDoctrinesSold[2])</t>
        </is>
      </c>
      <c r="F92" t="inlineStr">
        <is>
          <t>"blitz"</t>
        </is>
      </c>
    </row>
    <row r="93">
      <c r="A93" t="inlineStr">
        <is>
          <t>PlayerProfile#OldDoctrinesSold/3</t>
        </is>
      </c>
      <c r="B93" t="inlineStr">
        <is>
          <t>PlayerProfile#OldDoctrinesSold</t>
        </is>
      </c>
      <c r="C93" t="n">
        <v>3</v>
      </c>
      <c r="D93" t="inlineStr">
        <is>
          <t>logistics</t>
        </is>
      </c>
      <c r="E93" t="inlineStr">
        <is>
          <t>Assets/MachineBrigade/Scripts/Game/Match/PlayerProfile.cs:215 (OldDoctrinesSold[3])</t>
        </is>
      </c>
      <c r="F93" t="inlineStr">
        <is>
          <t>"logistics"</t>
        </is>
      </c>
    </row>
    <row r="94">
      <c r="A94" t="inlineStr">
        <is>
          <t>Progression#FormerStarters/0</t>
        </is>
      </c>
      <c r="B94" t="inlineStr">
        <is>
          <t>Progression#FormerStarters</t>
        </is>
      </c>
      <c r="C94" t="n">
        <v>0</v>
      </c>
      <c r="D94" t="inlineStr">
        <is>
          <t>light_tank</t>
        </is>
      </c>
      <c r="E94" t="inlineStr">
        <is>
          <t>Assets/MachineBrigade/Scripts/Game/Match/Progression.cs:38 (FormerStarters[0])</t>
        </is>
      </c>
      <c r="F94" t="inlineStr">
        <is>
          <t>"light_tank"</t>
        </is>
      </c>
    </row>
    <row r="95">
      <c r="A95" t="inlineStr">
        <is>
          <t>Progression#FormerStarters/1</t>
        </is>
      </c>
      <c r="B95" t="inlineStr">
        <is>
          <t>Progression#FormerStarters</t>
        </is>
      </c>
      <c r="C95" t="n">
        <v>1</v>
      </c>
      <c r="D95" t="inlineStr">
        <is>
          <t>aa_vehicle</t>
        </is>
      </c>
      <c r="E95" t="inlineStr">
        <is>
          <t>Assets/MachineBrigade/Scripts/Game/Match/Progression.cs:38 (FormerStarters[1])</t>
        </is>
      </c>
      <c r="F95" t="inlineStr">
        <is>
          <t>"aa_vehicle"</t>
        </is>
      </c>
    </row>
    <row r="96">
      <c r="A96" t="inlineStr">
        <is>
          <t>Progression#FormerStarters/2</t>
        </is>
      </c>
      <c r="B96" t="inlineStr">
        <is>
          <t>Progression#FormerStarters</t>
        </is>
      </c>
      <c r="C96" t="n">
        <v>2</v>
      </c>
      <c r="D96" t="inlineStr">
        <is>
          <t>artillery</t>
        </is>
      </c>
      <c r="E96" t="inlineStr">
        <is>
          <t>Assets/MachineBrigade/Scripts/Game/Match/Progression.cs:38 (FormerStarters[2])</t>
        </is>
      </c>
      <c r="F96" t="inlineStr">
        <is>
          <t>"artillery"</t>
        </is>
      </c>
    </row>
    <row r="97">
      <c r="A97" t="inlineStr">
        <is>
          <t>Progression#Items/0</t>
        </is>
      </c>
      <c r="B97" t="inlineStr">
        <is>
          <t>Progression#Items</t>
        </is>
      </c>
      <c r="C97" t="n">
        <v>0</v>
      </c>
      <c r="D97" t="inlineStr">
        <is>
          <t>moab</t>
        </is>
      </c>
      <c r="E97" t="inlineStr">
        <is>
          <t>Assets/MachineBrigade/Scripts/Game/Match/Progression.cs:168 (Items[0])</t>
        </is>
      </c>
      <c r="F97" t="inlineStr">
        <is>
          <t>"moab"</t>
        </is>
      </c>
    </row>
    <row r="98">
      <c r="A98" t="inlineStr">
        <is>
          <t>Progression#Items/1</t>
        </is>
      </c>
      <c r="B98" t="inlineStr">
        <is>
          <t>Progression#Items</t>
        </is>
      </c>
      <c r="C98" t="n">
        <v>1</v>
      </c>
      <c r="D98" t="inlineStr">
        <is>
          <t>cluster_strike</t>
        </is>
      </c>
      <c r="E98" t="inlineStr">
        <is>
          <t>Assets/MachineBrigade/Scripts/Game/Match/Progression.cs:168 (Items[1])</t>
        </is>
      </c>
      <c r="F98" t="inlineStr">
        <is>
          <t>"cluster_strike"</t>
        </is>
      </c>
    </row>
    <row r="99">
      <c r="A99" t="inlineStr">
        <is>
          <t>Progression#Items/2</t>
        </is>
      </c>
      <c r="B99" t="inlineStr">
        <is>
          <t>Progression#Items</t>
        </is>
      </c>
      <c r="C99" t="n">
        <v>2</v>
      </c>
      <c r="D99" t="inlineStr">
        <is>
          <t>field_repair</t>
        </is>
      </c>
      <c r="E99" t="inlineStr">
        <is>
          <t>Assets/MachineBrigade/Scripts/Game/Match/Progression.cs:168 (Items[2])</t>
        </is>
      </c>
      <c r="F99" t="inlineStr">
        <is>
          <t>"field_repair"</t>
        </is>
      </c>
    </row>
    <row r="100">
      <c r="A100" t="inlineStr">
        <is>
          <t>Progression#Items/3</t>
        </is>
      </c>
      <c r="B100" t="inlineStr">
        <is>
          <t>Progression#Items</t>
        </is>
      </c>
      <c r="C100" t="n">
        <v>3</v>
      </c>
      <c r="D100" t="inlineStr">
        <is>
          <t>emp_blast</t>
        </is>
      </c>
      <c r="E100" t="inlineStr">
        <is>
          <t>Assets/MachineBrigade/Scripts/Game/Match/Progression.cs:168 (Items[3])</t>
        </is>
      </c>
      <c r="F100" t="inlineStr">
        <is>
          <t>"emp_blast"</t>
        </is>
      </c>
    </row>
    <row r="101">
      <c r="A101" t="inlineStr">
        <is>
          <t>Progression#Items/4</t>
        </is>
      </c>
      <c r="B101" t="inlineStr">
        <is>
          <t>Progression#Items</t>
        </is>
      </c>
      <c r="C101" t="n">
        <v>4</v>
      </c>
      <c r="D101" t="inlineStr">
        <is>
          <t>shield_dome</t>
        </is>
      </c>
      <c r="E101" t="inlineStr">
        <is>
          <t>Assets/MachineBrigade/Scripts/Game/Match/Progression.cs:168 (Items[4])</t>
        </is>
      </c>
      <c r="F101" t="inlineStr">
        <is>
          <t>"shield_dome"</t>
        </is>
      </c>
    </row>
    <row r="102">
      <c r="A102" t="inlineStr">
        <is>
          <t>Progression#SheetLoot/0</t>
        </is>
      </c>
      <c r="B102" t="inlineStr">
        <is>
          <t>Progression#SheetLoot</t>
        </is>
      </c>
      <c r="C102" t="n">
        <v>0</v>
      </c>
      <c r="D102" t="inlineStr">
        <is>
          <t>swarm_carrier</t>
        </is>
      </c>
      <c r="E102" t="inlineStr">
        <is>
          <t>Assets/MachineBrigade/Scripts/Game/Match/Progression.cs:41 (SheetLoot[0])</t>
        </is>
      </c>
      <c r="F102" t="inlineStr">
        <is>
          <t>"swarm_carrier"</t>
        </is>
      </c>
    </row>
    <row r="103">
      <c r="A103" t="inlineStr">
        <is>
          <t>Progression#SheetLoot/1</t>
        </is>
      </c>
      <c r="B103" t="inlineStr">
        <is>
          <t>Progression#SheetLoot</t>
        </is>
      </c>
      <c r="C103" t="n">
        <v>1</v>
      </c>
      <c r="D103" t="inlineStr">
        <is>
          <t>railgun_truck</t>
        </is>
      </c>
      <c r="E103" t="inlineStr">
        <is>
          <t>Assets/MachineBrigade/Scripts/Game/Match/Progression.cs:41 (SheetLoot[1])</t>
        </is>
      </c>
      <c r="F103" t="inlineStr">
        <is>
          <t>"railgun_truck"</t>
        </is>
      </c>
    </row>
    <row r="104">
      <c r="A104" t="inlineStr">
        <is>
          <t>Progression#StarterSupports/0</t>
        </is>
      </c>
      <c r="B104" t="inlineStr">
        <is>
          <t>Progression#StarterSupports</t>
        </is>
      </c>
      <c r="C104" t="n">
        <v>0</v>
      </c>
      <c r="D104" t="inlineStr">
        <is>
          <t>artillery_barrage</t>
        </is>
      </c>
      <c r="E104" t="inlineStr">
        <is>
          <t>Assets/MachineBrigade/Scripts/Game/Match/Progression.cs:91 (StarterSupports[0])</t>
        </is>
      </c>
      <c r="F104" t="inlineStr">
        <is>
          <t>"artillery_barrage"</t>
        </is>
      </c>
    </row>
    <row r="105">
      <c r="A105" t="inlineStr">
        <is>
          <t>Progression#StarterSupports/1</t>
        </is>
      </c>
      <c r="B105" t="inlineStr">
        <is>
          <t>Progression#StarterSupports</t>
        </is>
      </c>
      <c r="C105" t="n">
        <v>1</v>
      </c>
      <c r="D105" t="inlineStr">
        <is>
          <t>repair_drop</t>
        </is>
      </c>
      <c r="E105" t="inlineStr">
        <is>
          <t>Assets/MachineBrigade/Scripts/Game/Match/Progression.cs:91 (StarterSupports[1])</t>
        </is>
      </c>
      <c r="F105" t="inlineStr">
        <is>
          <t>"repair_drop"</t>
        </is>
      </c>
    </row>
    <row r="106">
      <c r="A106" t="inlineStr">
        <is>
          <t>Progression#StarterTowers/0</t>
        </is>
      </c>
      <c r="B106" t="inlineStr">
        <is>
          <t>Progression#StarterTowers</t>
        </is>
      </c>
      <c r="C106" t="n">
        <v>0</v>
      </c>
      <c r="D106" t="inlineStr">
        <is>
          <t>guard_tower</t>
        </is>
      </c>
      <c r="E106" t="inlineStr">
        <is>
          <t>Assets/MachineBrigade/Scripts/Game/Match/Progression.cs:94 (StarterTowers[0])</t>
        </is>
      </c>
      <c r="F106" t="inlineStr">
        <is>
          <t>"guard_tower"</t>
        </is>
      </c>
    </row>
    <row r="107">
      <c r="A107" t="inlineStr">
        <is>
          <t>Progression#StarterTowers/1</t>
        </is>
      </c>
      <c r="B107" t="inlineStr">
        <is>
          <t>Progression#StarterTowers</t>
        </is>
      </c>
      <c r="C107" t="n">
        <v>1</v>
      </c>
      <c r="D107" t="inlineStr">
        <is>
          <t>mg_bunker</t>
        </is>
      </c>
      <c r="E107" t="inlineStr">
        <is>
          <t>Assets/MachineBrigade/Scripts/Game/Match/Progression.cs:94 (StarterTowers[1])</t>
        </is>
      </c>
      <c r="F107" t="inlineStr">
        <is>
          <t>"mg_bunker"</t>
        </is>
      </c>
    </row>
    <row r="108">
      <c r="A108" t="inlineStr">
        <is>
          <t>Progression#StarterTowers/2</t>
        </is>
      </c>
      <c r="B108" t="inlineStr">
        <is>
          <t>Progression#StarterTowers</t>
        </is>
      </c>
      <c r="C108" t="n">
        <v>2</v>
      </c>
      <c r="D108" t="inlineStr">
        <is>
          <t>aa_turret</t>
        </is>
      </c>
      <c r="E108" t="inlineStr">
        <is>
          <t>Assets/MachineBrigade/Scripts/Game/Match/Progression.cs:94 (StarterTowers[2])</t>
        </is>
      </c>
      <c r="F108" t="inlineStr">
        <is>
          <t>"aa_turret"</t>
        </is>
      </c>
    </row>
    <row r="109">
      <c r="A109" t="inlineStr">
        <is>
          <t>Progression#StarterTowers/3</t>
        </is>
      </c>
      <c r="B109" t="inlineStr">
        <is>
          <t>Progression#StarterTowers</t>
        </is>
      </c>
      <c r="C109" t="n">
        <v>3</v>
      </c>
      <c r="D109" t="inlineStr">
        <is>
          <t>gun_turret</t>
        </is>
      </c>
      <c r="E109" t="inlineStr">
        <is>
          <t>Assets/MachineBrigade/Scripts/Game/Match/Progression.cs:94 (StarterTowers[3])</t>
        </is>
      </c>
      <c r="F109" t="inlineStr">
        <is>
          <t>"gun_turret"</t>
        </is>
      </c>
    </row>
    <row r="110">
      <c r="A110" t="inlineStr">
        <is>
          <t>Progression#StarterVehicles/0</t>
        </is>
      </c>
      <c r="B110" t="inlineStr">
        <is>
          <t>Progression#StarterVehicles</t>
        </is>
      </c>
      <c r="C110" t="n">
        <v>0</v>
      </c>
      <c r="D110" t="inlineStr">
        <is>
          <t>scout_jeep</t>
        </is>
      </c>
      <c r="E110" t="inlineStr">
        <is>
          <t>Assets/MachineBrigade/Scripts/Game/Match/Progression.cs:35 (StarterVehicles[0])</t>
        </is>
      </c>
      <c r="F110" t="inlineStr">
        <is>
          <t>"scout_jeep"</t>
        </is>
      </c>
    </row>
    <row r="111">
      <c r="A111" t="inlineStr">
        <is>
          <t>Progression#StarterVehicles/1</t>
        </is>
      </c>
      <c r="B111" t="inlineStr">
        <is>
          <t>Progression#StarterVehicles</t>
        </is>
      </c>
      <c r="C111" t="n">
        <v>1</v>
      </c>
      <c r="D111" t="inlineStr">
        <is>
          <t>armored_car</t>
        </is>
      </c>
      <c r="E111" t="inlineStr">
        <is>
          <t>Assets/MachineBrigade/Scripts/Game/Match/Progression.cs:35 (StarterVehicles[1])</t>
        </is>
      </c>
      <c r="F111" t="inlineStr">
        <is>
          <t>"armored_car"</t>
        </is>
      </c>
    </row>
    <row r="112">
      <c r="A112" t="inlineStr">
        <is>
          <t>Progression#StarterVehicles/2</t>
        </is>
      </c>
      <c r="B112" t="inlineStr">
        <is>
          <t>Progression#StarterVehicles</t>
        </is>
      </c>
      <c r="C112" t="n">
        <v>2</v>
      </c>
      <c r="D112" t="inlineStr">
        <is>
          <t>ifv</t>
        </is>
      </c>
      <c r="E112" t="inlineStr">
        <is>
          <t>Assets/MachineBrigade/Scripts/Game/Match/Progression.cs:35 (StarterVehicles[2])</t>
        </is>
      </c>
      <c r="F112" t="inlineStr">
        <is>
          <t>"ifv"</t>
        </is>
      </c>
    </row>
    <row r="113">
      <c r="A113" t="inlineStr">
        <is>
          <t>Progression#StarterVehicles/3</t>
        </is>
      </c>
      <c r="B113" t="inlineStr">
        <is>
          <t>Progression#StarterVehicles</t>
        </is>
      </c>
      <c r="C113" t="n">
        <v>3</v>
      </c>
      <c r="D113" t="inlineStr">
        <is>
          <t>main_battle_tank</t>
        </is>
      </c>
      <c r="E113" t="inlineStr">
        <is>
          <t>Assets/MachineBrigade/Scripts/Game/Match/Progression.cs:35 (StarterVehicles[3])</t>
        </is>
      </c>
      <c r="F113" t="inlineStr">
        <is>
          <t>"main_battle_tank"</t>
        </is>
      </c>
    </row>
  </sheetData>
  <autoFilter ref="A1:F113"/>
  <pageMargins left="0.75" right="0.75" top="1" bottom="1" header="0.5" footer="0.5"/>
</worksheet>
</file>

<file path=xl/worksheets/sheet2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23" customWidth="1" min="2" max="2"/>
    <col width="8" customWidth="1" min="3" max="3"/>
    <col width="8" customWidth="1" min="4" max="4"/>
    <col width="28" customWidth="1" min="5" max="5"/>
    <col width="60" customWidth="1" min="6" max="6"/>
    <col width="30" customWidth="1" min="7" max="7"/>
  </cols>
  <sheetData>
    <row r="1">
      <c r="A1" s="1" t="inlineStr">
        <is>
          <t>id</t>
        </is>
      </c>
      <c r="B1" s="1" t="inlineStr">
        <is>
          <t>the</t>
        </is>
      </c>
      <c r="C1" s="1" t="inlineStr">
        <is>
          <t>chuong</t>
        </is>
      </c>
      <c r="D1" s="1" t="inlineStr">
        <is>
          <t>early</t>
        </is>
      </c>
      <c r="E1" s="1" t="inlineStr">
        <is>
          <t>notCards</t>
        </is>
      </c>
      <c r="F1" s="1" t="inlineStr">
        <is>
          <t>nguon</t>
        </is>
      </c>
      <c r="G1" s="1" t="inlineStr">
        <is>
          <t>raw_json</t>
        </is>
      </c>
    </row>
    <row r="2">
      <c r="A2" t="inlineStr">
        <is>
          <t>chapters.aa_vehicle</t>
        </is>
      </c>
      <c r="B2" t="inlineStr">
        <is>
          <t>aa_vehicle</t>
        </is>
      </c>
      <c r="C2" t="n">
        <v>2</v>
      </c>
      <c r="F2" t="inlineStr">
        <is>
          <t>Tools/campaign/unlocks_sheet.json: chapters.aa_vehicle</t>
        </is>
      </c>
      <c r="G2" t="inlineStr">
        <is>
          <t>2</t>
        </is>
      </c>
    </row>
    <row r="3">
      <c r="A3" t="inlineStr">
        <is>
          <t>chapters.ammo_carrier</t>
        </is>
      </c>
      <c r="B3" t="inlineStr">
        <is>
          <t>ammo_carrier</t>
        </is>
      </c>
      <c r="C3" t="n">
        <v>2</v>
      </c>
      <c r="F3" t="inlineStr">
        <is>
          <t>Tools/campaign/unlocks_sheet.json: chapters.ammo_carrier</t>
        </is>
      </c>
      <c r="G3" t="inlineStr">
        <is>
          <t>2</t>
        </is>
      </c>
    </row>
    <row r="4">
      <c r="A4" t="inlineStr">
        <is>
          <t>chapters.armored_bulldozer</t>
        </is>
      </c>
      <c r="B4" t="inlineStr">
        <is>
          <t>armored_bulldozer</t>
        </is>
      </c>
      <c r="C4" t="n">
        <v>4</v>
      </c>
      <c r="F4" t="inlineStr">
        <is>
          <t>Tools/campaign/unlocks_sheet.json: chapters.armored_bulldozer</t>
        </is>
      </c>
      <c r="G4" t="inlineStr">
        <is>
          <t>4</t>
        </is>
      </c>
    </row>
    <row r="5">
      <c r="A5" t="inlineStr">
        <is>
          <t>chapters.artillery</t>
        </is>
      </c>
      <c r="B5" t="inlineStr">
        <is>
          <t>artillery</t>
        </is>
      </c>
      <c r="C5" t="n">
        <v>2</v>
      </c>
      <c r="F5" t="inlineStr">
        <is>
          <t>Tools/campaign/unlocks_sheet.json: chapters.artillery</t>
        </is>
      </c>
      <c r="G5" t="inlineStr">
        <is>
          <t>2</t>
        </is>
      </c>
    </row>
    <row r="6">
      <c r="A6" t="inlineStr">
        <is>
          <t>chapters.attack_helicopter</t>
        </is>
      </c>
      <c r="B6" t="inlineStr">
        <is>
          <t>attack_helicopter</t>
        </is>
      </c>
      <c r="C6" t="n">
        <v>3</v>
      </c>
      <c r="F6" t="inlineStr">
        <is>
          <t>Tools/campaign/unlocks_sheet.json: chapters.attack_helicopter</t>
        </is>
      </c>
      <c r="G6" t="inlineStr">
        <is>
          <t>3</t>
        </is>
      </c>
    </row>
    <row r="7">
      <c r="A7" t="inlineStr">
        <is>
          <t>chapters.attack_jet</t>
        </is>
      </c>
      <c r="B7" t="inlineStr">
        <is>
          <t>attack_jet</t>
        </is>
      </c>
      <c r="C7" t="n">
        <v>7</v>
      </c>
      <c r="F7" t="inlineStr">
        <is>
          <t>Tools/campaign/unlocks_sheet.json: chapters.attack_jet</t>
        </is>
      </c>
      <c r="G7" t="inlineStr">
        <is>
          <t>7</t>
        </is>
      </c>
    </row>
    <row r="8">
      <c r="A8" t="inlineStr">
        <is>
          <t>chapters.ballistic_launcher</t>
        </is>
      </c>
      <c r="B8" t="inlineStr">
        <is>
          <t>ballistic_launcher</t>
        </is>
      </c>
      <c r="C8" t="n">
        <v>8</v>
      </c>
      <c r="F8" t="inlineStr">
        <is>
          <t>Tools/campaign/unlocks_sheet.json: chapters.ballistic_launcher</t>
        </is>
      </c>
      <c r="G8" t="inlineStr">
        <is>
          <t>8</t>
        </is>
      </c>
    </row>
    <row r="9">
      <c r="A9" t="inlineStr">
        <is>
          <t>chapters.command_vehicle</t>
        </is>
      </c>
      <c r="B9" t="inlineStr">
        <is>
          <t>command_vehicle</t>
        </is>
      </c>
      <c r="C9" t="n">
        <v>4</v>
      </c>
      <c r="F9" t="inlineStr">
        <is>
          <t>Tools/campaign/unlocks_sheet.json: chapters.command_vehicle</t>
        </is>
      </c>
      <c r="G9" t="inlineStr">
        <is>
          <t>4</t>
        </is>
      </c>
    </row>
    <row r="10">
      <c r="A10" t="inlineStr">
        <is>
          <t>chapters.engineer_vehicle</t>
        </is>
      </c>
      <c r="B10" t="inlineStr">
        <is>
          <t>engineer_vehicle</t>
        </is>
      </c>
      <c r="C10" t="n">
        <v>1</v>
      </c>
      <c r="F10" t="inlineStr">
        <is>
          <t>Tools/campaign/unlocks_sheet.json: chapters.engineer_vehicle</t>
        </is>
      </c>
      <c r="G10" t="inlineStr">
        <is>
          <t>1</t>
        </is>
      </c>
    </row>
    <row r="11">
      <c r="A11" t="inlineStr">
        <is>
          <t>chapters.ew_jammer</t>
        </is>
      </c>
      <c r="B11" t="inlineStr">
        <is>
          <t>ew_jammer</t>
        </is>
      </c>
      <c r="C11" t="n">
        <v>5</v>
      </c>
      <c r="F11" t="inlineStr">
        <is>
          <t>Tools/campaign/unlocks_sheet.json: chapters.ew_jammer</t>
        </is>
      </c>
      <c r="G11" t="inlineStr">
        <is>
          <t>5</t>
        </is>
      </c>
    </row>
    <row r="12">
      <c r="A12" t="inlineStr">
        <is>
          <t>chapters.fighter_jet</t>
        </is>
      </c>
      <c r="B12" t="inlineStr">
        <is>
          <t>fighter_jet</t>
        </is>
      </c>
      <c r="C12" t="n">
        <v>3</v>
      </c>
      <c r="F12" t="inlineStr">
        <is>
          <t>Tools/campaign/unlocks_sheet.json: chapters.fighter_jet</t>
        </is>
      </c>
      <c r="G12" t="inlineStr">
        <is>
          <t>3</t>
        </is>
      </c>
    </row>
    <row r="13">
      <c r="A13" t="inlineStr">
        <is>
          <t>chapters.flame_tank</t>
        </is>
      </c>
      <c r="B13" t="inlineStr">
        <is>
          <t>flame_tank</t>
        </is>
      </c>
      <c r="C13" t="n">
        <v>2</v>
      </c>
      <c r="F13" t="inlineStr">
        <is>
          <t>Tools/campaign/unlocks_sheet.json: chapters.flame_tank</t>
        </is>
      </c>
      <c r="G13" t="inlineStr">
        <is>
          <t>2</t>
        </is>
      </c>
    </row>
    <row r="14">
      <c r="A14" t="inlineStr">
        <is>
          <t>chapters.fpv_carrier</t>
        </is>
      </c>
      <c r="B14" t="inlineStr">
        <is>
          <t>fpv_carrier</t>
        </is>
      </c>
      <c r="C14" t="n">
        <v>5</v>
      </c>
      <c r="F14" t="inlineStr">
        <is>
          <t>Tools/campaign/unlocks_sheet.json: chapters.fpv_carrier</t>
        </is>
      </c>
      <c r="G14" t="inlineStr">
        <is>
          <t>5</t>
        </is>
      </c>
    </row>
    <row r="15">
      <c r="A15" t="inlineStr">
        <is>
          <t>chapters.heavy_aa</t>
        </is>
      </c>
      <c r="B15" t="inlineStr">
        <is>
          <t>heavy_aa</t>
        </is>
      </c>
      <c r="C15" t="n">
        <v>4</v>
      </c>
      <c r="F15" t="inlineStr">
        <is>
          <t>Tools/campaign/unlocks_sheet.json: chapters.heavy_aa</t>
        </is>
      </c>
      <c r="G15" t="inlineStr">
        <is>
          <t>4</t>
        </is>
      </c>
    </row>
    <row r="16">
      <c r="A16" t="inlineStr">
        <is>
          <t>chapters.heavy_bomber</t>
        </is>
      </c>
      <c r="B16" t="inlineStr">
        <is>
          <t>heavy_bomber</t>
        </is>
      </c>
      <c r="C16" t="n">
        <v>9</v>
      </c>
      <c r="F16" t="inlineStr">
        <is>
          <t>Tools/campaign/unlocks_sheet.json: chapters.heavy_bomber</t>
        </is>
      </c>
      <c r="G16" t="inlineStr">
        <is>
          <t>9</t>
        </is>
      </c>
    </row>
    <row r="17">
      <c r="A17" t="inlineStr">
        <is>
          <t>chapters.heavy_rocket_artillery</t>
        </is>
      </c>
      <c r="B17" t="inlineStr">
        <is>
          <t>heavy_rocket_artillery</t>
        </is>
      </c>
      <c r="C17" t="n">
        <v>8</v>
      </c>
      <c r="F17" t="inlineStr">
        <is>
          <t>Tools/campaign/unlocks_sheet.json: chapters.heavy_rocket_artillery</t>
        </is>
      </c>
      <c r="G17" t="inlineStr">
        <is>
          <t>8</t>
        </is>
      </c>
    </row>
    <row r="18">
      <c r="A18" t="inlineStr">
        <is>
          <t>chapters.heavy_tank</t>
        </is>
      </c>
      <c r="B18" t="inlineStr">
        <is>
          <t>heavy_tank</t>
        </is>
      </c>
      <c r="C18" t="n">
        <v>6</v>
      </c>
      <c r="F18" t="inlineStr">
        <is>
          <t>Tools/campaign/unlocks_sheet.json: chapters.heavy_tank</t>
        </is>
      </c>
      <c r="G18" t="inlineStr">
        <is>
          <t>6</t>
        </is>
      </c>
    </row>
    <row r="19">
      <c r="A19" t="inlineStr">
        <is>
          <t>chapters.iron_beam</t>
        </is>
      </c>
      <c r="B19" t="inlineStr">
        <is>
          <t>iron_beam</t>
        </is>
      </c>
      <c r="C19" t="n">
        <v>6</v>
      </c>
      <c r="F19" t="inlineStr">
        <is>
          <t>Tools/campaign/unlocks_sheet.json: chapters.iron_beam</t>
        </is>
      </c>
      <c r="G19" t="inlineStr">
        <is>
          <t>6</t>
        </is>
      </c>
    </row>
    <row r="20">
      <c r="A20" t="inlineStr">
        <is>
          <t>chapters.laser_tank</t>
        </is>
      </c>
      <c r="B20" t="inlineStr">
        <is>
          <t>laser_tank</t>
        </is>
      </c>
      <c r="C20" t="n">
        <v>9</v>
      </c>
      <c r="F20" t="inlineStr">
        <is>
          <t>Tools/campaign/unlocks_sheet.json: chapters.laser_tank</t>
        </is>
      </c>
      <c r="G20" t="inlineStr">
        <is>
          <t>9</t>
        </is>
      </c>
    </row>
    <row r="21">
      <c r="A21" t="inlineStr">
        <is>
          <t>chapters.light_tank</t>
        </is>
      </c>
      <c r="B21" t="inlineStr">
        <is>
          <t>light_tank</t>
        </is>
      </c>
      <c r="C21" t="n">
        <v>1</v>
      </c>
      <c r="F21" t="inlineStr">
        <is>
          <t>Tools/campaign/unlocks_sheet.json: chapters.light_tank</t>
        </is>
      </c>
      <c r="G21" t="inlineStr">
        <is>
          <t>1</t>
        </is>
      </c>
    </row>
    <row r="22">
      <c r="A22" t="inlineStr">
        <is>
          <t>chapters.long_sam</t>
        </is>
      </c>
      <c r="B22" t="inlineStr">
        <is>
          <t>long_sam</t>
        </is>
      </c>
      <c r="C22" t="n">
        <v>8</v>
      </c>
      <c r="F22" t="inlineStr">
        <is>
          <t>Tools/campaign/unlocks_sheet.json: chapters.long_sam</t>
        </is>
      </c>
      <c r="G22" t="inlineStr">
        <is>
          <t>8</t>
        </is>
      </c>
    </row>
    <row r="23">
      <c r="A23" t="inlineStr">
        <is>
          <t>chapters.mine_layer</t>
        </is>
      </c>
      <c r="B23" t="inlineStr">
        <is>
          <t>mine_layer</t>
        </is>
      </c>
      <c r="C23" t="n">
        <v>3</v>
      </c>
      <c r="F23" t="inlineStr">
        <is>
          <t>Tools/campaign/unlocks_sheet.json: chapters.mine_layer</t>
        </is>
      </c>
      <c r="G23" t="inlineStr">
        <is>
          <t>3</t>
        </is>
      </c>
    </row>
    <row r="24">
      <c r="A24" t="inlineStr">
        <is>
          <t>chapters.mlrs</t>
        </is>
      </c>
      <c r="B24" t="inlineStr">
        <is>
          <t>mlrs</t>
        </is>
      </c>
      <c r="C24" t="n">
        <v>4</v>
      </c>
      <c r="F24" t="inlineStr">
        <is>
          <t>Tools/campaign/unlocks_sheet.json: chapters.mlrs</t>
        </is>
      </c>
      <c r="G24" t="inlineStr">
        <is>
          <t>4</t>
        </is>
      </c>
    </row>
    <row r="25">
      <c r="A25" t="inlineStr">
        <is>
          <t>chapters.mortar_carrier</t>
        </is>
      </c>
      <c r="B25" t="inlineStr">
        <is>
          <t>mortar_carrier</t>
        </is>
      </c>
      <c r="C25" t="n">
        <v>1</v>
      </c>
      <c r="F25" t="inlineStr">
        <is>
          <t>Tools/campaign/unlocks_sheet.json: chapters.mortar_carrier</t>
        </is>
      </c>
      <c r="G25" t="inlineStr">
        <is>
          <t>1</t>
        </is>
      </c>
    </row>
    <row r="26">
      <c r="A26" t="inlineStr">
        <is>
          <t>chapters.railgun_truck</t>
        </is>
      </c>
      <c r="B26" t="inlineStr">
        <is>
          <t>railgun_truck</t>
        </is>
      </c>
      <c r="C26" t="n">
        <v>4</v>
      </c>
      <c r="F26" t="inlineStr">
        <is>
          <t>Tools/campaign/unlocks_sheet.json: chapters.railgun_truck</t>
        </is>
      </c>
      <c r="G26" t="inlineStr">
        <is>
          <t>4</t>
        </is>
      </c>
    </row>
    <row r="27">
      <c r="A27" t="inlineStr">
        <is>
          <t>chapters.recon_drone</t>
        </is>
      </c>
      <c r="B27" t="inlineStr">
        <is>
          <t>recon_drone</t>
        </is>
      </c>
      <c r="C27" t="n">
        <v>3</v>
      </c>
      <c r="F27" t="inlineStr">
        <is>
          <t>Tools/campaign/unlocks_sheet.json: chapters.recon_drone</t>
        </is>
      </c>
      <c r="G27" t="inlineStr">
        <is>
          <t>3</t>
        </is>
      </c>
    </row>
    <row r="28">
      <c r="A28" t="inlineStr">
        <is>
          <t>chapters.rocket_technical</t>
        </is>
      </c>
      <c r="B28" t="inlineStr">
        <is>
          <t>rocket_technical</t>
        </is>
      </c>
      <c r="C28" t="n">
        <v>1</v>
      </c>
      <c r="F28" t="inlineStr">
        <is>
          <t>Tools/campaign/unlocks_sheet.json: chapters.rocket_technical</t>
        </is>
      </c>
      <c r="G28" t="inlineStr">
        <is>
          <t>1</t>
        </is>
      </c>
    </row>
    <row r="29">
      <c r="A29" t="inlineStr">
        <is>
          <t>chapters.sam_launcher</t>
        </is>
      </c>
      <c r="B29" t="inlineStr">
        <is>
          <t>sam_launcher</t>
        </is>
      </c>
      <c r="C29" t="n">
        <v>3</v>
      </c>
      <c r="F29" t="inlineStr">
        <is>
          <t>Tools/campaign/unlocks_sheet.json: chapters.sam_launcher</t>
        </is>
      </c>
      <c r="G29" t="inlineStr">
        <is>
          <t>3</t>
        </is>
      </c>
    </row>
    <row r="30">
      <c r="A30" t="inlineStr">
        <is>
          <t>chapters.scout_heli</t>
        </is>
      </c>
      <c r="B30" t="inlineStr">
        <is>
          <t>scout_heli</t>
        </is>
      </c>
      <c r="C30" t="n">
        <v>3</v>
      </c>
      <c r="F30" t="inlineStr">
        <is>
          <t>Tools/campaign/unlocks_sheet.json: chapters.scout_heli</t>
        </is>
      </c>
      <c r="G30" t="inlineStr">
        <is>
          <t>3</t>
        </is>
      </c>
    </row>
    <row r="31">
      <c r="A31" t="inlineStr">
        <is>
          <t>chapters.shahed_truck</t>
        </is>
      </c>
      <c r="B31" t="inlineStr">
        <is>
          <t>shahed_truck</t>
        </is>
      </c>
      <c r="C31" t="n">
        <v>5</v>
      </c>
      <c r="F31" t="inlineStr">
        <is>
          <t>Tools/campaign/unlocks_sheet.json: chapters.shahed_truck</t>
        </is>
      </c>
      <c r="G31" t="inlineStr">
        <is>
          <t>5</t>
        </is>
      </c>
    </row>
    <row r="32">
      <c r="A32" t="inlineStr">
        <is>
          <t>chapters.shield_carrier</t>
        </is>
      </c>
      <c r="B32" t="inlineStr">
        <is>
          <t>shield_carrier</t>
        </is>
      </c>
      <c r="C32" t="n">
        <v>14</v>
      </c>
      <c r="F32" t="inlineStr">
        <is>
          <t>Tools/campaign/unlocks_sheet.json: chapters.shield_carrier</t>
        </is>
      </c>
      <c r="G32" t="inlineStr">
        <is>
          <t>14</t>
        </is>
      </c>
    </row>
    <row r="33">
      <c r="A33" t="inlineStr">
        <is>
          <t>chapters.siege_tank</t>
        </is>
      </c>
      <c r="B33" t="inlineStr">
        <is>
          <t>siege_tank</t>
        </is>
      </c>
      <c r="C33" t="n">
        <v>7</v>
      </c>
      <c r="F33" t="inlineStr">
        <is>
          <t>Tools/campaign/unlocks_sheet.json: chapters.siege_tank</t>
        </is>
      </c>
      <c r="G33" t="inlineStr">
        <is>
          <t>7</t>
        </is>
      </c>
    </row>
    <row r="34">
      <c r="A34" t="inlineStr">
        <is>
          <t>chapters.sky_gunship</t>
        </is>
      </c>
      <c r="B34" t="inlineStr">
        <is>
          <t>sky_gunship</t>
        </is>
      </c>
      <c r="C34" t="n">
        <v>10</v>
      </c>
      <c r="F34" t="inlineStr">
        <is>
          <t>Tools/campaign/unlocks_sheet.json: chapters.sky_gunship</t>
        </is>
      </c>
      <c r="G34" t="inlineStr">
        <is>
          <t>10</t>
        </is>
      </c>
    </row>
    <row r="35">
      <c r="A35" t="inlineStr">
        <is>
          <t>chapters.stealth_bomber</t>
        </is>
      </c>
      <c r="B35" t="inlineStr">
        <is>
          <t>stealth_bomber</t>
        </is>
      </c>
      <c r="C35" t="n">
        <v>10</v>
      </c>
      <c r="F35" t="inlineStr">
        <is>
          <t>Tools/campaign/unlocks_sheet.json: chapters.stealth_bomber</t>
        </is>
      </c>
      <c r="G35" t="inlineStr">
        <is>
          <t>10</t>
        </is>
      </c>
    </row>
    <row r="36">
      <c r="A36" t="inlineStr">
        <is>
          <t>chapters.stealth_fighter</t>
        </is>
      </c>
      <c r="B36" t="inlineStr">
        <is>
          <t>stealth_fighter</t>
        </is>
      </c>
      <c r="C36" t="n">
        <v>7</v>
      </c>
      <c r="F36" t="inlineStr">
        <is>
          <t>Tools/campaign/unlocks_sheet.json: chapters.stealth_fighter</t>
        </is>
      </c>
      <c r="G36" t="inlineStr">
        <is>
          <t>7</t>
        </is>
      </c>
    </row>
    <row r="37">
      <c r="A37" t="inlineStr">
        <is>
          <t>chapters.strike_drone</t>
        </is>
      </c>
      <c r="B37" t="inlineStr">
        <is>
          <t>strike_drone</t>
        </is>
      </c>
      <c r="C37" t="n">
        <v>5</v>
      </c>
      <c r="F37" t="inlineStr">
        <is>
          <t>Tools/campaign/unlocks_sheet.json: chapters.strike_drone</t>
        </is>
      </c>
      <c r="G37" t="inlineStr">
        <is>
          <t>5</t>
        </is>
      </c>
    </row>
    <row r="38">
      <c r="A38" t="inlineStr">
        <is>
          <t>chapters.swarm_carrier</t>
        </is>
      </c>
      <c r="B38" t="inlineStr">
        <is>
          <t>swarm_carrier</t>
        </is>
      </c>
      <c r="C38" t="n">
        <v>5</v>
      </c>
      <c r="F38" t="inlineStr">
        <is>
          <t>Tools/campaign/unlocks_sheet.json: chapters.swarm_carrier</t>
        </is>
      </c>
      <c r="G38" t="inlineStr">
        <is>
          <t>5</t>
        </is>
      </c>
    </row>
    <row r="39">
      <c r="A39" t="inlineStr">
        <is>
          <t>chapters.tank_destroyer</t>
        </is>
      </c>
      <c r="B39" t="inlineStr">
        <is>
          <t>tank_destroyer</t>
        </is>
      </c>
      <c r="C39" t="n">
        <v>4</v>
      </c>
      <c r="F39" t="inlineStr">
        <is>
          <t>Tools/campaign/unlocks_sheet.json: chapters.tank_destroyer</t>
        </is>
      </c>
      <c r="G39" t="inlineStr">
        <is>
          <t>4</t>
        </is>
      </c>
    </row>
    <row r="40">
      <c r="A40" t="inlineStr">
        <is>
          <t>chapters.thermobaric_launcher</t>
        </is>
      </c>
      <c r="B40" t="inlineStr">
        <is>
          <t>thermobaric_launcher</t>
        </is>
      </c>
      <c r="C40" t="n">
        <v>7</v>
      </c>
      <c r="F40" t="inlineStr">
        <is>
          <t>Tools/campaign/unlocks_sheet.json: chapters.thermobaric_launcher</t>
        </is>
      </c>
      <c r="G40" t="inlineStr">
        <is>
          <t>7</t>
        </is>
      </c>
    </row>
    <row r="41">
      <c r="A41" t="inlineStr">
        <is>
          <t>chapters.titan_tank</t>
        </is>
      </c>
      <c r="B41" t="inlineStr">
        <is>
          <t>titan_tank</t>
        </is>
      </c>
      <c r="C41" t="n">
        <v>11</v>
      </c>
      <c r="F41" t="inlineStr">
        <is>
          <t>Tools/campaign/unlocks_sheet.json: chapters.titan_tank</t>
        </is>
      </c>
      <c r="G41" t="inlineStr">
        <is>
          <t>11</t>
        </is>
      </c>
    </row>
    <row r="42">
      <c r="A42" t="inlineStr">
        <is>
          <t>chapters.twin_tank</t>
        </is>
      </c>
      <c r="B42" t="inlineStr">
        <is>
          <t>twin_tank</t>
        </is>
      </c>
      <c r="C42" t="n">
        <v>6</v>
      </c>
      <c r="F42" t="inlineStr">
        <is>
          <t>Tools/campaign/unlocks_sheet.json: chapters.twin_tank</t>
        </is>
      </c>
      <c r="G42" t="inlineStr">
        <is>
          <t>6</t>
        </is>
      </c>
    </row>
    <row r="43">
      <c r="A43" t="inlineStr">
        <is>
          <t>chapters.vbied</t>
        </is>
      </c>
      <c r="B43" t="inlineStr">
        <is>
          <t>vbied</t>
        </is>
      </c>
      <c r="C43" t="n">
        <v>2</v>
      </c>
      <c r="F43" t="inlineStr">
        <is>
          <t>Tools/campaign/unlocks_sheet.json: chapters.vbied</t>
        </is>
      </c>
      <c r="G43" t="inlineStr">
        <is>
          <t>2</t>
        </is>
      </c>
    </row>
    <row r="44">
      <c r="A44" t="inlineStr">
        <is>
          <t>chapters.wheeled_gun</t>
        </is>
      </c>
      <c r="B44" t="inlineStr">
        <is>
          <t>wheeled_gun</t>
        </is>
      </c>
      <c r="C44" t="n">
        <v>4</v>
      </c>
      <c r="F44" t="inlineStr">
        <is>
          <t>Tools/campaign/unlocks_sheet.json: chapters.wheeled_gun</t>
        </is>
      </c>
      <c r="G44" t="inlineStr">
        <is>
          <t>4</t>
        </is>
      </c>
    </row>
    <row r="45">
      <c r="A45" t="inlineStr">
        <is>
          <t>chapters.zu23_technical</t>
        </is>
      </c>
      <c r="B45" t="inlineStr">
        <is>
          <t>zu23_technical</t>
        </is>
      </c>
      <c r="C45" t="n">
        <v>1</v>
      </c>
      <c r="F45" t="inlineStr">
        <is>
          <t>Tools/campaign/unlocks_sheet.json: chapters.zu23_technical</t>
        </is>
      </c>
      <c r="G45" t="inlineStr">
        <is>
          <t>1</t>
        </is>
      </c>
    </row>
    <row r="46">
      <c r="A46" t="inlineStr">
        <is>
          <t>early.aa_vehicle</t>
        </is>
      </c>
      <c r="B46" t="inlineStr">
        <is>
          <t>aa_vehicle</t>
        </is>
      </c>
      <c r="D46" t="n">
        <v>300</v>
      </c>
      <c r="F46" t="inlineStr">
        <is>
          <t>Tools/campaign/unlocks_sheet.json: early.aa_vehicle</t>
        </is>
      </c>
      <c r="G46" t="inlineStr">
        <is>
          <t>300</t>
        </is>
      </c>
    </row>
    <row r="47">
      <c r="A47" t="inlineStr">
        <is>
          <t>early.ammo_carrier</t>
        </is>
      </c>
      <c r="B47" t="inlineStr">
        <is>
          <t>ammo_carrier</t>
        </is>
      </c>
      <c r="D47" t="n">
        <v>300</v>
      </c>
      <c r="F47" t="inlineStr">
        <is>
          <t>Tools/campaign/unlocks_sheet.json: early.ammo_carrier</t>
        </is>
      </c>
      <c r="G47" t="inlineStr">
        <is>
          <t>300</t>
        </is>
      </c>
    </row>
    <row r="48">
      <c r="A48" t="inlineStr">
        <is>
          <t>early.armored_bulldozer</t>
        </is>
      </c>
      <c r="B48" t="inlineStr">
        <is>
          <t>armored_bulldozer</t>
        </is>
      </c>
      <c r="D48" t="n">
        <v>800</v>
      </c>
      <c r="F48" t="inlineStr">
        <is>
          <t>Tools/campaign/unlocks_sheet.json: early.armored_bulldozer</t>
        </is>
      </c>
      <c r="G48" t="inlineStr">
        <is>
          <t>800</t>
        </is>
      </c>
    </row>
    <row r="49">
      <c r="A49" t="inlineStr">
        <is>
          <t>early.artillery</t>
        </is>
      </c>
      <c r="B49" t="inlineStr">
        <is>
          <t>artillery</t>
        </is>
      </c>
      <c r="D49" t="n">
        <v>300</v>
      </c>
      <c r="F49" t="inlineStr">
        <is>
          <t>Tools/campaign/unlocks_sheet.json: early.artillery</t>
        </is>
      </c>
      <c r="G49" t="inlineStr">
        <is>
          <t>300</t>
        </is>
      </c>
    </row>
    <row r="50">
      <c r="A50" t="inlineStr">
        <is>
          <t>early.attack_helicopter</t>
        </is>
      </c>
      <c r="B50" t="inlineStr">
        <is>
          <t>attack_helicopter</t>
        </is>
      </c>
      <c r="D50" t="n">
        <v>300</v>
      </c>
      <c r="F50" t="inlineStr">
        <is>
          <t>Tools/campaign/unlocks_sheet.json: early.attack_helicopter</t>
        </is>
      </c>
      <c r="G50" t="inlineStr">
        <is>
          <t>300</t>
        </is>
      </c>
    </row>
    <row r="51">
      <c r="A51" t="inlineStr">
        <is>
          <t>early.attack_jet</t>
        </is>
      </c>
      <c r="B51" t="inlineStr">
        <is>
          <t>attack_jet</t>
        </is>
      </c>
      <c r="D51" t="n">
        <v>1500</v>
      </c>
      <c r="F51" t="inlineStr">
        <is>
          <t>Tools/campaign/unlocks_sheet.json: early.attack_jet</t>
        </is>
      </c>
      <c r="G51" t="inlineStr">
        <is>
          <t>1500</t>
        </is>
      </c>
    </row>
    <row r="52">
      <c r="A52" t="inlineStr">
        <is>
          <t>early.ballistic_launcher</t>
        </is>
      </c>
      <c r="B52" t="inlineStr">
        <is>
          <t>ballistic_launcher</t>
        </is>
      </c>
      <c r="D52" t="n">
        <v>1500</v>
      </c>
      <c r="F52" t="inlineStr">
        <is>
          <t>Tools/campaign/unlocks_sheet.json: early.ballistic_launcher</t>
        </is>
      </c>
      <c r="G52" t="inlineStr">
        <is>
          <t>1500</t>
        </is>
      </c>
    </row>
    <row r="53">
      <c r="A53" t="inlineStr">
        <is>
          <t>early.command_vehicle</t>
        </is>
      </c>
      <c r="B53" t="inlineStr">
        <is>
          <t>command_vehicle</t>
        </is>
      </c>
      <c r="D53" t="n">
        <v>800</v>
      </c>
      <c r="F53" t="inlineStr">
        <is>
          <t>Tools/campaign/unlocks_sheet.json: early.command_vehicle</t>
        </is>
      </c>
      <c r="G53" t="inlineStr">
        <is>
          <t>800</t>
        </is>
      </c>
    </row>
    <row r="54">
      <c r="A54" t="inlineStr">
        <is>
          <t>early.engineer_vehicle</t>
        </is>
      </c>
      <c r="B54" t="inlineStr">
        <is>
          <t>engineer_vehicle</t>
        </is>
      </c>
      <c r="D54" t="n">
        <v>300</v>
      </c>
      <c r="F54" t="inlineStr">
        <is>
          <t>Tools/campaign/unlocks_sheet.json: early.engineer_vehicle</t>
        </is>
      </c>
      <c r="G54" t="inlineStr">
        <is>
          <t>300</t>
        </is>
      </c>
    </row>
    <row r="55">
      <c r="A55" t="inlineStr">
        <is>
          <t>early.ew_jammer</t>
        </is>
      </c>
      <c r="B55" t="inlineStr">
        <is>
          <t>ew_jammer</t>
        </is>
      </c>
      <c r="D55" t="n">
        <v>800</v>
      </c>
      <c r="F55" t="inlineStr">
        <is>
          <t>Tools/campaign/unlocks_sheet.json: early.ew_jammer</t>
        </is>
      </c>
      <c r="G55" t="inlineStr">
        <is>
          <t>800</t>
        </is>
      </c>
    </row>
    <row r="56">
      <c r="A56" t="inlineStr">
        <is>
          <t>early.fighter_jet</t>
        </is>
      </c>
      <c r="B56" t="inlineStr">
        <is>
          <t>fighter_jet</t>
        </is>
      </c>
      <c r="D56" t="n">
        <v>300</v>
      </c>
      <c r="F56" t="inlineStr">
        <is>
          <t>Tools/campaign/unlocks_sheet.json: early.fighter_jet</t>
        </is>
      </c>
      <c r="G56" t="inlineStr">
        <is>
          <t>300</t>
        </is>
      </c>
    </row>
    <row r="57">
      <c r="A57" t="inlineStr">
        <is>
          <t>early.flame_tank</t>
        </is>
      </c>
      <c r="B57" t="inlineStr">
        <is>
          <t>flame_tank</t>
        </is>
      </c>
      <c r="D57" t="n">
        <v>300</v>
      </c>
      <c r="F57" t="inlineStr">
        <is>
          <t>Tools/campaign/unlocks_sheet.json: early.flame_tank</t>
        </is>
      </c>
      <c r="G57" t="inlineStr">
        <is>
          <t>300</t>
        </is>
      </c>
    </row>
    <row r="58">
      <c r="A58" t="inlineStr">
        <is>
          <t>early.fpv_carrier</t>
        </is>
      </c>
      <c r="B58" t="inlineStr">
        <is>
          <t>fpv_carrier</t>
        </is>
      </c>
      <c r="D58" t="n">
        <v>800</v>
      </c>
      <c r="F58" t="inlineStr">
        <is>
          <t>Tools/campaign/unlocks_sheet.json: early.fpv_carrier</t>
        </is>
      </c>
      <c r="G58" t="inlineStr">
        <is>
          <t>800</t>
        </is>
      </c>
    </row>
    <row r="59">
      <c r="A59" t="inlineStr">
        <is>
          <t>early.heavy_aa</t>
        </is>
      </c>
      <c r="B59" t="inlineStr">
        <is>
          <t>heavy_aa</t>
        </is>
      </c>
      <c r="D59" t="n">
        <v>800</v>
      </c>
      <c r="F59" t="inlineStr">
        <is>
          <t>Tools/campaign/unlocks_sheet.json: early.heavy_aa</t>
        </is>
      </c>
      <c r="G59" t="inlineStr">
        <is>
          <t>800</t>
        </is>
      </c>
    </row>
    <row r="60">
      <c r="A60" t="inlineStr">
        <is>
          <t>early.heavy_bomber</t>
        </is>
      </c>
      <c r="B60" t="inlineStr">
        <is>
          <t>heavy_bomber</t>
        </is>
      </c>
      <c r="D60" t="n">
        <v>1500</v>
      </c>
      <c r="F60" t="inlineStr">
        <is>
          <t>Tools/campaign/unlocks_sheet.json: early.heavy_bomber</t>
        </is>
      </c>
      <c r="G60" t="inlineStr">
        <is>
          <t>1500</t>
        </is>
      </c>
    </row>
    <row r="61">
      <c r="A61" t="inlineStr">
        <is>
          <t>early.heavy_rocket_artillery</t>
        </is>
      </c>
      <c r="B61" t="inlineStr">
        <is>
          <t>heavy_rocket_artillery</t>
        </is>
      </c>
      <c r="D61" t="n">
        <v>1500</v>
      </c>
      <c r="F61" t="inlineStr">
        <is>
          <t>Tools/campaign/unlocks_sheet.json: early.heavy_rocket_artillery</t>
        </is>
      </c>
      <c r="G61" t="inlineStr">
        <is>
          <t>1500</t>
        </is>
      </c>
    </row>
    <row r="62">
      <c r="A62" t="inlineStr">
        <is>
          <t>early.heavy_tank</t>
        </is>
      </c>
      <c r="B62" t="inlineStr">
        <is>
          <t>heavy_tank</t>
        </is>
      </c>
      <c r="D62" t="n">
        <v>800</v>
      </c>
      <c r="F62" t="inlineStr">
        <is>
          <t>Tools/campaign/unlocks_sheet.json: early.heavy_tank</t>
        </is>
      </c>
      <c r="G62" t="inlineStr">
        <is>
          <t>800</t>
        </is>
      </c>
    </row>
    <row r="63">
      <c r="A63" t="inlineStr">
        <is>
          <t>early.iron_beam</t>
        </is>
      </c>
      <c r="B63" t="inlineStr">
        <is>
          <t>iron_beam</t>
        </is>
      </c>
      <c r="D63" t="n">
        <v>800</v>
      </c>
      <c r="F63" t="inlineStr">
        <is>
          <t>Tools/campaign/unlocks_sheet.json: early.iron_beam</t>
        </is>
      </c>
      <c r="G63" t="inlineStr">
        <is>
          <t>800</t>
        </is>
      </c>
    </row>
    <row r="64">
      <c r="A64" t="inlineStr">
        <is>
          <t>early.laser_tank</t>
        </is>
      </c>
      <c r="B64" t="inlineStr">
        <is>
          <t>laser_tank</t>
        </is>
      </c>
      <c r="D64" t="n">
        <v>1500</v>
      </c>
      <c r="F64" t="inlineStr">
        <is>
          <t>Tools/campaign/unlocks_sheet.json: early.laser_tank</t>
        </is>
      </c>
      <c r="G64" t="inlineStr">
        <is>
          <t>1500</t>
        </is>
      </c>
    </row>
    <row r="65">
      <c r="A65" t="inlineStr">
        <is>
          <t>early.light_tank</t>
        </is>
      </c>
      <c r="B65" t="inlineStr">
        <is>
          <t>light_tank</t>
        </is>
      </c>
      <c r="D65" t="n">
        <v>300</v>
      </c>
      <c r="F65" t="inlineStr">
        <is>
          <t>Tools/campaign/unlocks_sheet.json: early.light_tank</t>
        </is>
      </c>
      <c r="G65" t="inlineStr">
        <is>
          <t>300</t>
        </is>
      </c>
    </row>
    <row r="66">
      <c r="A66" t="inlineStr">
        <is>
          <t>early.long_sam</t>
        </is>
      </c>
      <c r="B66" t="inlineStr">
        <is>
          <t>long_sam</t>
        </is>
      </c>
      <c r="D66" t="n">
        <v>1500</v>
      </c>
      <c r="F66" t="inlineStr">
        <is>
          <t>Tools/campaign/unlocks_sheet.json: early.long_sam</t>
        </is>
      </c>
      <c r="G66" t="inlineStr">
        <is>
          <t>1500</t>
        </is>
      </c>
    </row>
    <row r="67">
      <c r="A67" t="inlineStr">
        <is>
          <t>early.mine_layer</t>
        </is>
      </c>
      <c r="B67" t="inlineStr">
        <is>
          <t>mine_layer</t>
        </is>
      </c>
      <c r="D67" t="n">
        <v>300</v>
      </c>
      <c r="F67" t="inlineStr">
        <is>
          <t>Tools/campaign/unlocks_sheet.json: early.mine_layer</t>
        </is>
      </c>
      <c r="G67" t="inlineStr">
        <is>
          <t>300</t>
        </is>
      </c>
    </row>
    <row r="68">
      <c r="A68" t="inlineStr">
        <is>
          <t>early.mlrs</t>
        </is>
      </c>
      <c r="B68" t="inlineStr">
        <is>
          <t>mlrs</t>
        </is>
      </c>
      <c r="D68" t="n">
        <v>800</v>
      </c>
      <c r="F68" t="inlineStr">
        <is>
          <t>Tools/campaign/unlocks_sheet.json: early.mlrs</t>
        </is>
      </c>
      <c r="G68" t="inlineStr">
        <is>
          <t>800</t>
        </is>
      </c>
    </row>
    <row r="69">
      <c r="A69" t="inlineStr">
        <is>
          <t>early.mortar_carrier</t>
        </is>
      </c>
      <c r="B69" t="inlineStr">
        <is>
          <t>mortar_carrier</t>
        </is>
      </c>
      <c r="D69" t="n">
        <v>300</v>
      </c>
      <c r="F69" t="inlineStr">
        <is>
          <t>Tools/campaign/unlocks_sheet.json: early.mortar_carrier</t>
        </is>
      </c>
      <c r="G69" t="inlineStr">
        <is>
          <t>300</t>
        </is>
      </c>
    </row>
    <row r="70">
      <c r="A70" t="inlineStr">
        <is>
          <t>early.recon_drone</t>
        </is>
      </c>
      <c r="B70" t="inlineStr">
        <is>
          <t>recon_drone</t>
        </is>
      </c>
      <c r="D70" t="n">
        <v>300</v>
      </c>
      <c r="F70" t="inlineStr">
        <is>
          <t>Tools/campaign/unlocks_sheet.json: early.recon_drone</t>
        </is>
      </c>
      <c r="G70" t="inlineStr">
        <is>
          <t>300</t>
        </is>
      </c>
    </row>
    <row r="71">
      <c r="A71" t="inlineStr">
        <is>
          <t>early.rocket_technical</t>
        </is>
      </c>
      <c r="B71" t="inlineStr">
        <is>
          <t>rocket_technical</t>
        </is>
      </c>
      <c r="D71" t="n">
        <v>300</v>
      </c>
      <c r="F71" t="inlineStr">
        <is>
          <t>Tools/campaign/unlocks_sheet.json: early.rocket_technical</t>
        </is>
      </c>
      <c r="G71" t="inlineStr">
        <is>
          <t>300</t>
        </is>
      </c>
    </row>
    <row r="72">
      <c r="A72" t="inlineStr">
        <is>
          <t>early.sam_launcher</t>
        </is>
      </c>
      <c r="B72" t="inlineStr">
        <is>
          <t>sam_launcher</t>
        </is>
      </c>
      <c r="D72" t="n">
        <v>300</v>
      </c>
      <c r="F72" t="inlineStr">
        <is>
          <t>Tools/campaign/unlocks_sheet.json: early.sam_launcher</t>
        </is>
      </c>
      <c r="G72" t="inlineStr">
        <is>
          <t>300</t>
        </is>
      </c>
    </row>
    <row r="73">
      <c r="A73" t="inlineStr">
        <is>
          <t>early.scout_heli</t>
        </is>
      </c>
      <c r="B73" t="inlineStr">
        <is>
          <t>scout_heli</t>
        </is>
      </c>
      <c r="D73" t="n">
        <v>300</v>
      </c>
      <c r="F73" t="inlineStr">
        <is>
          <t>Tools/campaign/unlocks_sheet.json: early.scout_heli</t>
        </is>
      </c>
      <c r="G73" t="inlineStr">
        <is>
          <t>300</t>
        </is>
      </c>
    </row>
    <row r="74">
      <c r="A74" t="inlineStr">
        <is>
          <t>early.shahed_truck</t>
        </is>
      </c>
      <c r="B74" t="inlineStr">
        <is>
          <t>shahed_truck</t>
        </is>
      </c>
      <c r="D74" t="n">
        <v>800</v>
      </c>
      <c r="F74" t="inlineStr">
        <is>
          <t>Tools/campaign/unlocks_sheet.json: early.shahed_truck</t>
        </is>
      </c>
      <c r="G74" t="inlineStr">
        <is>
          <t>800</t>
        </is>
      </c>
    </row>
    <row r="75">
      <c r="A75" t="inlineStr">
        <is>
          <t>early.shield_carrier</t>
        </is>
      </c>
      <c r="B75" t="inlineStr">
        <is>
          <t>shield_carrier</t>
        </is>
      </c>
      <c r="D75" t="n">
        <v>1500</v>
      </c>
      <c r="F75" t="inlineStr">
        <is>
          <t>Tools/campaign/unlocks_sheet.json: early.shield_carrier</t>
        </is>
      </c>
      <c r="G75" t="inlineStr">
        <is>
          <t>1500</t>
        </is>
      </c>
    </row>
    <row r="76">
      <c r="A76" t="inlineStr">
        <is>
          <t>early.siege_tank</t>
        </is>
      </c>
      <c r="B76" t="inlineStr">
        <is>
          <t>siege_tank</t>
        </is>
      </c>
      <c r="D76" t="n">
        <v>1500</v>
      </c>
      <c r="F76" t="inlineStr">
        <is>
          <t>Tools/campaign/unlocks_sheet.json: early.siege_tank</t>
        </is>
      </c>
      <c r="G76" t="inlineStr">
        <is>
          <t>1500</t>
        </is>
      </c>
    </row>
    <row r="77">
      <c r="A77" t="inlineStr">
        <is>
          <t>early.sky_gunship</t>
        </is>
      </c>
      <c r="B77" t="inlineStr">
        <is>
          <t>sky_gunship</t>
        </is>
      </c>
      <c r="D77" t="n">
        <v>2500</v>
      </c>
      <c r="F77" t="inlineStr">
        <is>
          <t>Tools/campaign/unlocks_sheet.json: early.sky_gunship</t>
        </is>
      </c>
      <c r="G77" t="inlineStr">
        <is>
          <t>2500</t>
        </is>
      </c>
    </row>
    <row r="78">
      <c r="A78" t="inlineStr">
        <is>
          <t>early.stealth_bomber</t>
        </is>
      </c>
      <c r="B78" t="inlineStr">
        <is>
          <t>stealth_bomber</t>
        </is>
      </c>
      <c r="D78" t="n">
        <v>2500</v>
      </c>
      <c r="F78" t="inlineStr">
        <is>
          <t>Tools/campaign/unlocks_sheet.json: early.stealth_bomber</t>
        </is>
      </c>
      <c r="G78" t="inlineStr">
        <is>
          <t>2500</t>
        </is>
      </c>
    </row>
    <row r="79">
      <c r="A79" t="inlineStr">
        <is>
          <t>early.stealth_fighter</t>
        </is>
      </c>
      <c r="B79" t="inlineStr">
        <is>
          <t>stealth_fighter</t>
        </is>
      </c>
      <c r="D79" t="n">
        <v>1500</v>
      </c>
      <c r="F79" t="inlineStr">
        <is>
          <t>Tools/campaign/unlocks_sheet.json: early.stealth_fighter</t>
        </is>
      </c>
      <c r="G79" t="inlineStr">
        <is>
          <t>1500</t>
        </is>
      </c>
    </row>
    <row r="80">
      <c r="A80" t="inlineStr">
        <is>
          <t>early.strike_drone</t>
        </is>
      </c>
      <c r="B80" t="inlineStr">
        <is>
          <t>strike_drone</t>
        </is>
      </c>
      <c r="D80" t="n">
        <v>800</v>
      </c>
      <c r="F80" t="inlineStr">
        <is>
          <t>Tools/campaign/unlocks_sheet.json: early.strike_drone</t>
        </is>
      </c>
      <c r="G80" t="inlineStr">
        <is>
          <t>800</t>
        </is>
      </c>
    </row>
    <row r="81">
      <c r="A81" t="inlineStr">
        <is>
          <t>early.tank_destroyer</t>
        </is>
      </c>
      <c r="B81" t="inlineStr">
        <is>
          <t>tank_destroyer</t>
        </is>
      </c>
      <c r="D81" t="n">
        <v>800</v>
      </c>
      <c r="F81" t="inlineStr">
        <is>
          <t>Tools/campaign/unlocks_sheet.json: early.tank_destroyer</t>
        </is>
      </c>
      <c r="G81" t="inlineStr">
        <is>
          <t>800</t>
        </is>
      </c>
    </row>
    <row r="82">
      <c r="A82" t="inlineStr">
        <is>
          <t>early.thermobaric_launcher</t>
        </is>
      </c>
      <c r="B82" t="inlineStr">
        <is>
          <t>thermobaric_launcher</t>
        </is>
      </c>
      <c r="D82" t="n">
        <v>1500</v>
      </c>
      <c r="F82" t="inlineStr">
        <is>
          <t>Tools/campaign/unlocks_sheet.json: early.thermobaric_launcher</t>
        </is>
      </c>
      <c r="G82" t="inlineStr">
        <is>
          <t>1500</t>
        </is>
      </c>
    </row>
    <row r="83">
      <c r="A83" t="inlineStr">
        <is>
          <t>early.titan_tank</t>
        </is>
      </c>
      <c r="B83" t="inlineStr">
        <is>
          <t>titan_tank</t>
        </is>
      </c>
      <c r="D83" t="n">
        <v>2500</v>
      </c>
      <c r="F83" t="inlineStr">
        <is>
          <t>Tools/campaign/unlocks_sheet.json: early.titan_tank</t>
        </is>
      </c>
      <c r="G83" t="inlineStr">
        <is>
          <t>2500</t>
        </is>
      </c>
    </row>
    <row r="84">
      <c r="A84" t="inlineStr">
        <is>
          <t>early.twin_tank</t>
        </is>
      </c>
      <c r="B84" t="inlineStr">
        <is>
          <t>twin_tank</t>
        </is>
      </c>
      <c r="D84" t="n">
        <v>800</v>
      </c>
      <c r="F84" t="inlineStr">
        <is>
          <t>Tools/campaign/unlocks_sheet.json: early.twin_tank</t>
        </is>
      </c>
      <c r="G84" t="inlineStr">
        <is>
          <t>800</t>
        </is>
      </c>
    </row>
    <row r="85">
      <c r="A85" t="inlineStr">
        <is>
          <t>early.vbied</t>
        </is>
      </c>
      <c r="B85" t="inlineStr">
        <is>
          <t>vbied</t>
        </is>
      </c>
      <c r="D85" t="n">
        <v>300</v>
      </c>
      <c r="F85" t="inlineStr">
        <is>
          <t>Tools/campaign/unlocks_sheet.json: early.vbied</t>
        </is>
      </c>
      <c r="G85" t="inlineStr">
        <is>
          <t>300</t>
        </is>
      </c>
    </row>
    <row r="86">
      <c r="A86" t="inlineStr">
        <is>
          <t>early.wheeled_gun</t>
        </is>
      </c>
      <c r="B86" t="inlineStr">
        <is>
          <t>wheeled_gun</t>
        </is>
      </c>
      <c r="D86" t="n">
        <v>800</v>
      </c>
      <c r="F86" t="inlineStr">
        <is>
          <t>Tools/campaign/unlocks_sheet.json: early.wheeled_gun</t>
        </is>
      </c>
      <c r="G86" t="inlineStr">
        <is>
          <t>800</t>
        </is>
      </c>
    </row>
    <row r="87">
      <c r="A87" t="inlineStr">
        <is>
          <t>early.zu23_technical</t>
        </is>
      </c>
      <c r="B87" t="inlineStr">
        <is>
          <t>zu23_technical</t>
        </is>
      </c>
      <c r="D87" t="n">
        <v>300</v>
      </c>
      <c r="F87" t="inlineStr">
        <is>
          <t>Tools/campaign/unlocks_sheet.json: early.zu23_technical</t>
        </is>
      </c>
      <c r="G87" t="inlineStr">
        <is>
          <t>300</t>
        </is>
      </c>
    </row>
    <row r="88">
      <c r="A88" t="inlineStr">
        <is>
          <t>notCards.hover_gunboat</t>
        </is>
      </c>
      <c r="B88" t="inlineStr">
        <is>
          <t>hover_gunboat</t>
        </is>
      </c>
      <c r="E88" t="inlineStr">
        <is>
          <t>Không mở (hộ tống boss)</t>
        </is>
      </c>
      <c r="F88" t="inlineStr">
        <is>
          <t>Tools/campaign/unlocks_sheet.json: notCards.hover_gunboat</t>
        </is>
      </c>
      <c r="G88" t="inlineStr">
        <is>
          <t>"Không mở (hộ tống boss)"</t>
        </is>
      </c>
    </row>
    <row r="89">
      <c r="A89" t="inlineStr">
        <is>
          <t>notCards.supply_truck</t>
        </is>
      </c>
      <c r="B89" t="inlineStr">
        <is>
          <t>supply_truck</t>
        </is>
      </c>
      <c r="E89" t="inlineStr">
        <is>
          <t>Nhiệm vụ (không vào bộ bài)</t>
        </is>
      </c>
      <c r="F89" t="inlineStr">
        <is>
          <t>Tools/campaign/unlocks_sheet.json: notCards.supply_truck</t>
        </is>
      </c>
      <c r="G89" t="inlineStr">
        <is>
          <t>"Nhiệm vụ (không vào bộ bài)"</t>
        </is>
      </c>
    </row>
  </sheetData>
  <autoFilter ref="A1:G89"/>
  <pageMargins left="0.75" right="0.75" top="1" bottom="1" header="0.5" footer="0.5"/>
</worksheet>
</file>

<file path=xl/worksheets/sheet2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9" customWidth="1" min="3" max="3"/>
    <col width="12" customWidth="1" min="4" max="4"/>
    <col width="60" customWidth="1" min="5" max="5"/>
    <col width="8" customWidth="1" min="6" max="6"/>
    <col width="44" customWidth="1" min="7" max="7"/>
    <col width="60"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_about</t>
        </is>
      </c>
      <c r="B2" t="inlineStr"/>
      <c r="C2" t="inlineStr">
        <is>
          <t>_about</t>
        </is>
      </c>
      <c r="E2" t="inlineStr">
        <is>
          <t>Generated by Tools/balance/import_unlocks.py from the sheet "Phương tiện" of Docs/balance/Machine_Brigade_Can_bang.xlsx: edit the sheet and run the script. chapters: 1-12, 13-15 the interludes. Read by Tools/campaign/act11.py.</t>
        </is>
      </c>
      <c r="F2" t="inlineStr"/>
      <c r="G2" t="inlineStr">
        <is>
          <t>Tools/campaign/unlocks_sheet.json: _about</t>
        </is>
      </c>
      <c r="H2" t="inlineStr">
        <is>
          <t>"Generated by Tools/balance/import_unlocks.py from the sheet \"Phương tiện\" of Docs/balance/Machine_Brigade_Can_bang.xlsx: edit the sheet and run the script. chapters: 1-12, 13-15 the interludes. Read by Tools/campaign/act11.py."</t>
        </is>
      </c>
    </row>
    <row r="3">
      <c r="A3" t="inlineStr">
        <is>
          <t>loot</t>
        </is>
      </c>
      <c r="B3" t="inlineStr"/>
      <c r="C3" t="inlineStr">
        <is>
          <t>loot</t>
        </is>
      </c>
      <c r="E3" t="inlineStr">
        <is>
          <t>swarm_carrier;railgun_truck</t>
        </is>
      </c>
      <c r="F3" t="inlineStr"/>
      <c r="G3" t="inlineStr">
        <is>
          <t>Tools/campaign/unlocks_sheet.json: loot</t>
        </is>
      </c>
      <c r="H3" t="inlineStr">
        <is>
          <t>["swarm_carrier","railgun_truck"]</t>
        </is>
      </c>
    </row>
    <row r="4">
      <c r="A4" t="inlineStr">
        <is>
          <t>starters</t>
        </is>
      </c>
      <c r="B4" t="inlineStr"/>
      <c r="C4" t="inlineStr">
        <is>
          <t>starters</t>
        </is>
      </c>
      <c r="E4" t="inlineStr">
        <is>
          <t>scout_jeep;armored_car;ifv;main_battle_tank</t>
        </is>
      </c>
      <c r="F4" t="inlineStr"/>
      <c r="G4" t="inlineStr">
        <is>
          <t>Tools/campaign/unlocks_sheet.json: starters</t>
        </is>
      </c>
      <c r="H4" t="inlineStr">
        <is>
          <t>["scout_jeep","armored_car","ifv","main_battle_tank"]</t>
        </is>
      </c>
    </row>
  </sheetData>
  <autoFilter ref="A1:H4"/>
  <pageMargins left="0.75" right="0.75" top="1" bottom="1" header="0.5" footer="0.5"/>
</worksheet>
</file>

<file path=xl/worksheets/sheet2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13" customWidth="1" min="3" max="3"/>
    <col width="34" customWidth="1" min="4" max="4"/>
    <col width="8" customWidth="1" min="5" max="5"/>
    <col width="60" customWidth="1" min="6" max="6"/>
    <col width="50" customWidth="1" min="7" max="7"/>
    <col width="54" customWidth="1" min="8" max="8"/>
    <col width="10" customWidth="1" min="9" max="9"/>
  </cols>
  <sheetData>
    <row r="1">
      <c r="A1" s="1" t="inlineStr">
        <is>
          <t>id</t>
        </is>
      </c>
      <c r="B1" s="1" t="inlineStr">
        <is>
          <t>loai</t>
        </is>
      </c>
      <c r="C1" s="1" t="inlineStr">
        <is>
          <t>don_vi_tinh</t>
        </is>
      </c>
      <c r="D1" s="1" t="inlineStr">
        <is>
          <t>xu</t>
        </is>
      </c>
      <c r="E1" s="1" t="inlineStr">
        <is>
          <t>tran</t>
        </is>
      </c>
      <c r="F1" s="1" t="inlineStr">
        <is>
          <t>ghi_chu</t>
        </is>
      </c>
      <c r="G1" s="1" t="inlineStr">
        <is>
          <t>nguon_ma</t>
        </is>
      </c>
      <c r="H1" s="1" t="inlineStr">
        <is>
          <t>nguon</t>
        </is>
      </c>
      <c r="I1" s="1" t="inlineStr">
        <is>
          <t>raw_json</t>
        </is>
      </c>
    </row>
    <row r="2">
      <c r="A2" t="inlineStr">
        <is>
          <t>bac_anh_hung</t>
        </is>
      </c>
      <c r="B2" t="inlineStr">
        <is>
          <t>nguon</t>
        </is>
      </c>
      <c r="C2" t="inlineStr">
        <is>
          <t>he_so</t>
        </is>
      </c>
      <c r="D2" t="n">
        <v>1.5</v>
      </c>
      <c r="E2" t="inlineStr"/>
      <c r="F2" t="inlineStr">
        <is>
          <t>Rewards.TierPay: Anh hùng</t>
        </is>
      </c>
      <c r="G2" t="inlineStr">
        <is>
          <t>Game/Match/Rewards.cs:144</t>
        </is>
      </c>
      <c r="H2" t="inlineStr">
        <is>
          <t>C#: Game/Match/Rewards.cs:144</t>
        </is>
      </c>
      <c r="I2" t="inlineStr"/>
    </row>
    <row r="3">
      <c r="A3" t="inlineStr">
        <is>
          <t>bac_sat</t>
        </is>
      </c>
      <c r="B3" t="inlineStr">
        <is>
          <t>nguon</t>
        </is>
      </c>
      <c r="C3" t="inlineStr">
        <is>
          <t>he_so</t>
        </is>
      </c>
      <c r="D3" t="n">
        <v>2</v>
      </c>
      <c r="E3" t="inlineStr"/>
      <c r="F3" t="inlineStr">
        <is>
          <t>Rewards.TierPay: Sắt</t>
        </is>
      </c>
      <c r="G3" t="inlineStr">
        <is>
          <t>Game/Match/Rewards.cs:144</t>
        </is>
      </c>
      <c r="H3" t="inlineStr">
        <is>
          <t>C#: Game/Match/Rewards.cs:144</t>
        </is>
      </c>
      <c r="I3" t="inlineStr"/>
    </row>
    <row r="4">
      <c r="A4" t="inlineStr">
        <is>
          <t>cua_hang_goi_lon_nhat</t>
        </is>
      </c>
      <c r="B4" t="inlineStr">
        <is>
          <t>nguon</t>
        </is>
      </c>
      <c r="C4" t="inlineStr">
        <is>
          <t>goi</t>
        </is>
      </c>
      <c r="D4" t="inlineStr">
        <is>
          <t>=MAX(Cua_hang!$C$2:$C$7)</t>
        </is>
      </c>
      <c r="E4" t="inlineStr"/>
      <c r="F4" t="inlineStr">
        <is>
          <t>gói xu lớn nhất (Cua_hang)</t>
        </is>
      </c>
      <c r="G4" t="inlineStr">
        <is>
          <t>Cua_hang</t>
        </is>
      </c>
      <c r="H4" t="inlineStr">
        <is>
          <t>C#: Cua_hang</t>
        </is>
      </c>
      <c r="I4" t="inlineStr"/>
    </row>
    <row r="5">
      <c r="A5" t="inlineStr">
        <is>
          <t>hom_gia_cao_nhat</t>
        </is>
      </c>
      <c r="B5" t="inlineStr">
        <is>
          <t>tieu</t>
        </is>
      </c>
      <c r="C5" t="inlineStr">
        <is>
          <t>hom</t>
        </is>
      </c>
      <c r="D5" t="inlineStr">
        <is>
          <t>=MAX(Hom_do!$M$2:$M$5)</t>
        </is>
      </c>
      <c r="E5" t="inlineStr"/>
      <c r="F5" t="inlineStr">
        <is>
          <t>giá xu của hòm đắt nhất (Hom_do.coin_price)</t>
        </is>
      </c>
      <c r="G5" t="inlineStr">
        <is>
          <t>Hom_do</t>
        </is>
      </c>
      <c r="H5" t="inlineStr">
        <is>
          <t>C#: Hom_do</t>
        </is>
      </c>
      <c r="I5" t="inlineStr"/>
    </row>
    <row r="6">
      <c r="A6" t="inlineStr">
        <is>
          <t>hom_quang_cao_ngay</t>
        </is>
      </c>
      <c r="B6" t="inlineStr">
        <is>
          <t>nguon</t>
        </is>
      </c>
      <c r="C6" t="inlineStr">
        <is>
          <t>hom</t>
        </is>
      </c>
      <c r="D6" t="inlineStr"/>
      <c r="E6" t="n">
        <v>3</v>
      </c>
      <c r="F6" t="inlineStr">
        <is>
          <t>DailyCrates.AdCrates: hòm xem quảng cáo mỗi ngày</t>
        </is>
      </c>
      <c r="G6" t="inlineStr">
        <is>
          <t>Game/Match/Arsenal.cs:621</t>
        </is>
      </c>
      <c r="H6" t="inlineStr">
        <is>
          <t>C#: Game/Match/Arsenal.cs:621</t>
        </is>
      </c>
      <c r="I6" t="inlineStr"/>
    </row>
    <row r="7">
      <c r="A7" t="inlineStr">
        <is>
          <t>hom_thang_ngay</t>
        </is>
      </c>
      <c r="B7" t="inlineStr">
        <is>
          <t>nguon</t>
        </is>
      </c>
      <c r="C7" t="inlineStr">
        <is>
          <t>hom</t>
        </is>
      </c>
      <c r="D7" t="inlineStr"/>
      <c r="E7" t="n">
        <v>5</v>
      </c>
      <c r="F7" t="inlineStr">
        <is>
          <t>DailyCrates.WinCrates: hòm cho các trận thắng đầu mỗi ngày</t>
        </is>
      </c>
      <c r="G7" t="inlineStr">
        <is>
          <t>Game/Match/Arsenal.cs:620</t>
        </is>
      </c>
      <c r="H7" t="inlineStr">
        <is>
          <t>C#: Game/Match/Arsenal.cs:620</t>
        </is>
      </c>
      <c r="I7" t="inlineStr"/>
    </row>
    <row r="8">
      <c r="A8" t="inlineStr">
        <is>
          <t>nang_hang_tong</t>
        </is>
      </c>
      <c r="B8" t="inlineStr">
        <is>
          <t>tieu</t>
        </is>
      </c>
      <c r="C8" t="inlineStr">
        <is>
          <t>the</t>
        </is>
      </c>
      <c r="D8" t="inlineStr">
        <is>
          <t>=SUM(Nang_hang!$C$2:$C$11)</t>
        </is>
      </c>
      <c r="E8" t="n">
        <v>10</v>
      </c>
      <c r="F8" t="inlineStr">
        <is>
          <t>xu nâng một thẻ hạng 1 -&gt; tối đa (Nang_hang); trần: hạng tối đa</t>
        </is>
      </c>
      <c r="G8" t="inlineStr">
        <is>
          <t>Game/Match/Arsenal.cs:126</t>
        </is>
      </c>
      <c r="H8" t="inlineStr">
        <is>
          <t>C#: Game/Match/Arsenal.cs:126</t>
        </is>
      </c>
      <c r="I8" t="inlineStr"/>
    </row>
    <row r="9">
      <c r="A9" t="inlineStr">
        <is>
          <t>nhiem_vu_choi_lai</t>
        </is>
      </c>
      <c r="B9" t="inlineStr">
        <is>
          <t>nguon</t>
        </is>
      </c>
      <c r="C9" t="inlineStr">
        <is>
          <t>he_so</t>
        </is>
      </c>
      <c r="D9" t="n">
        <v>0.35</v>
      </c>
      <c r="E9" t="inlineStr"/>
      <c r="F9" t="inlineStr">
        <is>
          <t>Rewards.Mission: phần RewardCoins khi chơi lại</t>
        </is>
      </c>
      <c r="G9" t="inlineStr">
        <is>
          <t>Game/Match/Rewards.cs:159</t>
        </is>
      </c>
      <c r="H9" t="inlineStr">
        <is>
          <t>C#: Game/Match/Rewards.cs:159</t>
        </is>
      </c>
      <c r="I9" t="inlineStr"/>
    </row>
    <row r="10">
      <c r="A10" t="inlineStr">
        <is>
          <t>nhiem_vu_lan_dau</t>
        </is>
      </c>
      <c r="B10" t="inlineStr">
        <is>
          <t>nguon</t>
        </is>
      </c>
      <c r="C10" t="inlineStr">
        <is>
          <t>he_so</t>
        </is>
      </c>
      <c r="D10" t="n">
        <v>1</v>
      </c>
      <c r="E10" t="inlineStr"/>
      <c r="F10" t="inlineStr">
        <is>
          <t>Rewards.Mission: phần RewardCoins lần thắng đầu</t>
        </is>
      </c>
      <c r="G10" t="inlineStr">
        <is>
          <t>Game/Match/Rewards.cs:159</t>
        </is>
      </c>
      <c r="H10" t="inlineStr">
        <is>
          <t>C#: Game/Match/Rewards.cs:159</t>
        </is>
      </c>
      <c r="I10" t="inlineStr"/>
    </row>
    <row r="11">
      <c r="A11" t="inlineStr">
        <is>
          <t>nhiem_vu_ngay</t>
        </is>
      </c>
      <c r="B11" t="inlineStr">
        <is>
          <t>nguon</t>
        </is>
      </c>
      <c r="C11" t="inlineStr">
        <is>
          <t>ngay</t>
        </is>
      </c>
      <c r="D11" t="inlineStr">
        <is>
          <t>=AVERAGE(Nhiem_vu_ngay!$D$2:$D$9)</t>
        </is>
      </c>
      <c r="E11" t="n">
        <v>3</v>
      </c>
      <c r="F11" t="inlineStr">
        <is>
          <t>DailyMissions: số nhiệm vụ mỗi ngày (trần); xu: trung bình thưởng của Pool</t>
        </is>
      </c>
      <c r="G11" t="inlineStr">
        <is>
          <t>Game/Match/DailyMissions.cs:51</t>
        </is>
      </c>
      <c r="H11" t="inlineStr">
        <is>
          <t>C#: Game/Match/DailyMissions.cs:51</t>
        </is>
      </c>
      <c r="I11" t="inlineStr"/>
    </row>
    <row r="12">
      <c r="A12" t="inlineStr">
        <is>
          <t>nhiem_vu_sao</t>
        </is>
      </c>
      <c r="B12" t="inlineStr">
        <is>
          <t>nguon</t>
        </is>
      </c>
      <c r="C12" t="inlineStr">
        <is>
          <t>sao</t>
        </is>
      </c>
      <c r="D12" t="n">
        <v>50</v>
      </c>
      <c r="E12" t="n">
        <v>3</v>
      </c>
      <c r="F12" t="inlineStr">
        <is>
          <t>Rewards.Mission: mỗi sao (x TierPay), tối đa 3 sao</t>
        </is>
      </c>
      <c r="G12" t="inlineStr">
        <is>
          <t>Game/Match/Rewards.cs:160</t>
        </is>
      </c>
      <c r="H12" t="inlineStr">
        <is>
          <t>C#: Game/Match/Rewards.cs:160</t>
        </is>
      </c>
      <c r="I12" t="inlineStr"/>
    </row>
    <row r="13">
      <c r="A13" t="inlineStr">
        <is>
          <t>nhiem_vu_thua</t>
        </is>
      </c>
      <c r="B13" t="inlineStr">
        <is>
          <t>nguon</t>
        </is>
      </c>
      <c r="C13" t="inlineStr">
        <is>
          <t>tran</t>
        </is>
      </c>
      <c r="D13" t="n">
        <v>30</v>
      </c>
      <c r="E13" t="inlineStr"/>
      <c r="F13" t="inlineStr">
        <is>
          <t>Rewards.Mission: thua</t>
        </is>
      </c>
      <c r="G13" t="inlineStr">
        <is>
          <t>Game/Match/Rewards.cs:155</t>
        </is>
      </c>
      <c r="H13" t="inlineStr">
        <is>
          <t>C#: Game/Match/Rewards.cs:155</t>
        </is>
      </c>
      <c r="I13" t="inlineStr"/>
    </row>
    <row r="14">
      <c r="A14" t="inlineStr">
        <is>
          <t>skin_tong</t>
        </is>
      </c>
      <c r="B14" t="inlineStr">
        <is>
          <t>tieu</t>
        </is>
      </c>
      <c r="C14" t="inlineStr">
        <is>
          <t>skin</t>
        </is>
      </c>
      <c r="D14" t="inlineStr">
        <is>
          <t>=SUM(Skin!$E$2:$E$11)</t>
        </is>
      </c>
      <c r="E14" t="inlineStr"/>
      <c r="F14" t="inlineStr">
        <is>
          <t>tổng giá mọi skin (Skin.price)</t>
        </is>
      </c>
      <c r="G14" t="inlineStr">
        <is>
          <t>Skin</t>
        </is>
      </c>
      <c r="H14" t="inlineStr">
        <is>
          <t>C#: Skin</t>
        </is>
      </c>
      <c r="I14" t="inlineStr"/>
    </row>
    <row r="15">
      <c r="A15" t="inlineStr">
        <is>
          <t>song_sot_co_ban</t>
        </is>
      </c>
      <c r="B15" t="inlineStr">
        <is>
          <t>nguon</t>
        </is>
      </c>
      <c r="C15" t="inlineStr">
        <is>
          <t>tran</t>
        </is>
      </c>
      <c r="D15" t="n">
        <v>30</v>
      </c>
      <c r="E15" t="inlineStr"/>
      <c r="F15" t="inlineStr">
        <is>
          <t>Rewards.Survival: cơ bản</t>
        </is>
      </c>
      <c r="G15" t="inlineStr">
        <is>
          <t>Game/Match/Rewards.cs:104</t>
        </is>
      </c>
      <c r="H15" t="inlineStr">
        <is>
          <t>C#: Game/Match/Rewards.cs:104</t>
        </is>
      </c>
      <c r="I15" t="inlineStr"/>
    </row>
    <row r="16">
      <c r="A16" t="inlineStr">
        <is>
          <t>song_sot_dot</t>
        </is>
      </c>
      <c r="B16" t="inlineStr">
        <is>
          <t>nguon</t>
        </is>
      </c>
      <c r="C16" t="inlineStr">
        <is>
          <t>dot</t>
        </is>
      </c>
      <c r="D16" t="n">
        <v>18</v>
      </c>
      <c r="E16" t="inlineStr"/>
      <c r="F16" t="inlineStr">
        <is>
          <t>Rewards.Survival: mỗi đợt</t>
        </is>
      </c>
      <c r="G16" t="inlineStr">
        <is>
          <t>Game/Match/Rewards.cs:104</t>
        </is>
      </c>
      <c r="H16" t="inlineStr">
        <is>
          <t>C#: Game/Match/Rewards.cs:104</t>
        </is>
      </c>
      <c r="I16" t="inlineStr"/>
    </row>
    <row r="17">
      <c r="A17" t="inlineStr">
        <is>
          <t>song_sot_ha_xe</t>
        </is>
      </c>
      <c r="B17" t="inlineStr">
        <is>
          <t>nguon</t>
        </is>
      </c>
      <c r="C17" t="inlineStr">
        <is>
          <t>ha_xe</t>
        </is>
      </c>
      <c r="D17" t="n">
        <v>1.5</v>
      </c>
      <c r="E17" t="n">
        <v>150</v>
      </c>
      <c r="F17" t="inlineStr">
        <is>
          <t>Rewards.Survival: mỗi xe hạ, tối đa</t>
        </is>
      </c>
      <c r="G17" t="inlineStr">
        <is>
          <t>Game/Match/Rewards.cs:104</t>
        </is>
      </c>
      <c r="H17" t="inlineStr">
        <is>
          <t>C#: Game/Match/Rewards.cs:104</t>
        </is>
      </c>
      <c r="I17" t="inlineStr"/>
    </row>
    <row r="18">
      <c r="A18" t="inlineStr">
        <is>
          <t>tran_nhanh_ha_xe</t>
        </is>
      </c>
      <c r="B18" t="inlineStr">
        <is>
          <t>nguon</t>
        </is>
      </c>
      <c r="C18" t="inlineStr">
        <is>
          <t>ha_xe</t>
        </is>
      </c>
      <c r="D18" t="n">
        <v>1.5</v>
      </c>
      <c r="E18" t="n">
        <v>120</v>
      </c>
      <c r="F18" t="inlineStr">
        <is>
          <t>Rewards.Quick: mỗi xe hạ, tối đa</t>
        </is>
      </c>
      <c r="G18" t="inlineStr">
        <is>
          <t>Game/Match/Rewards.cs:95</t>
        </is>
      </c>
      <c r="H18" t="inlineStr">
        <is>
          <t>C#: Game/Match/Rewards.cs:95</t>
        </is>
      </c>
      <c r="I18" t="inlineStr"/>
    </row>
    <row r="19">
      <c r="A19" t="inlineStr">
        <is>
          <t>tran_nhanh_hoa</t>
        </is>
      </c>
      <c r="B19" t="inlineStr">
        <is>
          <t>nguon</t>
        </is>
      </c>
      <c r="C19" t="inlineStr">
        <is>
          <t>tran</t>
        </is>
      </c>
      <c r="D19" t="n">
        <v>70</v>
      </c>
      <c r="E19" t="inlineStr"/>
      <c r="F19" t="inlineStr">
        <is>
          <t>Rewards.Quick: hòa</t>
        </is>
      </c>
      <c r="G19" t="inlineStr">
        <is>
          <t>Game/Match/Rewards.cs:94</t>
        </is>
      </c>
      <c r="H19" t="inlineStr">
        <is>
          <t>C#: Game/Match/Rewards.cs:94</t>
        </is>
      </c>
      <c r="I19" t="inlineStr"/>
    </row>
    <row r="20">
      <c r="A20" t="inlineStr">
        <is>
          <t>tran_nhanh_phut</t>
        </is>
      </c>
      <c r="B20" t="inlineStr">
        <is>
          <t>nguon</t>
        </is>
      </c>
      <c r="C20" t="inlineStr">
        <is>
          <t>phut</t>
        </is>
      </c>
      <c r="D20" t="n">
        <v>4</v>
      </c>
      <c r="E20" t="n">
        <v>15</v>
      </c>
      <c r="F20" t="inlineStr">
        <is>
          <t>Rewards.Quick: mỗi phút, tối đa (phút)</t>
        </is>
      </c>
      <c r="G20" t="inlineStr">
        <is>
          <t>Game/Match/Rewards.cs:97</t>
        </is>
      </c>
      <c r="H20" t="inlineStr">
        <is>
          <t>C#: Game/Match/Rewards.cs:97</t>
        </is>
      </c>
      <c r="I20" t="inlineStr"/>
    </row>
    <row r="21">
      <c r="A21" t="inlineStr">
        <is>
          <t>tran_nhanh_thang</t>
        </is>
      </c>
      <c r="B21" t="inlineStr">
        <is>
          <t>nguon</t>
        </is>
      </c>
      <c r="C21" t="inlineStr">
        <is>
          <t>tran</t>
        </is>
      </c>
      <c r="D21" t="n">
        <v>120</v>
      </c>
      <c r="E21" t="inlineStr"/>
      <c r="F21" t="inlineStr">
        <is>
          <t>Rewards.Quick: thắng</t>
        </is>
      </c>
      <c r="G21" t="inlineStr">
        <is>
          <t>Game/Match/Rewards.cs:94</t>
        </is>
      </c>
      <c r="H21" t="inlineStr">
        <is>
          <t>C#: Game/Match/Rewards.cs:94</t>
        </is>
      </c>
      <c r="I21" t="inlineStr"/>
    </row>
    <row r="22">
      <c r="A22" t="inlineStr">
        <is>
          <t>tran_nhanh_thua</t>
        </is>
      </c>
      <c r="B22" t="inlineStr">
        <is>
          <t>nguon</t>
        </is>
      </c>
      <c r="C22" t="inlineStr">
        <is>
          <t>tran</t>
        </is>
      </c>
      <c r="D22" t="n">
        <v>40</v>
      </c>
      <c r="E22" t="inlineStr"/>
      <c r="F22" t="inlineStr">
        <is>
          <t>Rewards.Quick: thua</t>
        </is>
      </c>
      <c r="G22" t="inlineStr">
        <is>
          <t>Game/Match/Rewards.cs:94</t>
        </is>
      </c>
      <c r="H22" t="inlineStr">
        <is>
          <t>C#: Game/Match/Rewards.cs:94</t>
        </is>
      </c>
      <c r="I22" t="inlineStr"/>
    </row>
    <row r="23">
      <c r="A23" t="inlineStr">
        <is>
          <t>vo_tan_boss</t>
        </is>
      </c>
      <c r="B23" t="inlineStr">
        <is>
          <t>nguon</t>
        </is>
      </c>
      <c r="C23" t="inlineStr">
        <is>
          <t>boss</t>
        </is>
      </c>
      <c r="D23" t="n">
        <v>18</v>
      </c>
      <c r="E23" t="n">
        <v>18</v>
      </c>
      <c r="F23" t="inlineStr">
        <is>
          <t>Endless: mỗi boss; trần xu mỗi ngày</t>
        </is>
      </c>
      <c r="G23" t="inlineStr">
        <is>
          <t>tunables.json: modes.endlessRules.waveCoins.value</t>
        </is>
      </c>
      <c r="H23" t="inlineStr">
        <is>
          <t>C#: tunables.json: modes.endlessRules.waveCoins.value</t>
        </is>
      </c>
      <c r="I23" t="inlineStr"/>
    </row>
    <row r="24">
      <c r="A24" t="inlineStr">
        <is>
          <t>vo_tan_dot</t>
        </is>
      </c>
      <c r="B24" t="inlineStr">
        <is>
          <t>nguon</t>
        </is>
      </c>
      <c r="C24" t="inlineStr">
        <is>
          <t>dot</t>
        </is>
      </c>
      <c r="D24" t="n">
        <v>18</v>
      </c>
      <c r="E24" t="n">
        <v>18</v>
      </c>
      <c r="F24" t="inlineStr">
        <is>
          <t>Endless: mỗi đợt; trần xu mỗi ngày</t>
        </is>
      </c>
      <c r="G24" t="inlineStr">
        <is>
          <t>tunables.json: modes.endlessRules.waveCoins.value</t>
        </is>
      </c>
      <c r="H24" t="inlineStr">
        <is>
          <t>C#: tunables.json: modes.endlessRules.waveCoins.value</t>
        </is>
      </c>
      <c r="I24" t="inlineStr"/>
    </row>
  </sheetData>
  <autoFilter ref="A1:I24"/>
  <pageMargins left="0.75" right="0.75" top="1" bottom="1" header="0.5" footer="0.5"/>
</worksheet>
</file>

<file path=xl/worksheets/sheet2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9" customWidth="1" min="2" max="2"/>
    <col width="9" customWidth="1" min="3" max="3"/>
    <col width="14" customWidth="1" min="4" max="4"/>
    <col width="10" customWidth="1" min="5" max="5"/>
    <col width="9" customWidth="1" min="6" max="6"/>
    <col width="60" customWidth="1" min="7" max="7"/>
    <col width="9" customWidth="1" min="8" max="8"/>
    <col width="55" customWidth="1" min="9" max="9"/>
    <col width="10" customWidth="1" min="10" max="10"/>
  </cols>
  <sheetData>
    <row r="1">
      <c r="A1" s="1" t="inlineStr">
        <is>
          <t>id</t>
        </is>
      </c>
      <c r="B1" s="1" t="inlineStr">
        <is>
          <t>do_kho</t>
        </is>
      </c>
      <c r="C1" s="1" t="inlineStr">
        <is>
          <t>ket_qua</t>
        </is>
      </c>
      <c r="D1" s="1" t="inlineStr">
        <is>
          <t>he_so_do_kho</t>
        </is>
      </c>
      <c r="E1" s="1" t="inlineStr">
        <is>
          <t>so_xe_ha</t>
        </is>
      </c>
      <c r="F1" s="1" t="inlineStr">
        <is>
          <t>so_phut</t>
        </is>
      </c>
      <c r="G1" s="1" t="inlineStr">
        <is>
          <t>xu</t>
        </is>
      </c>
      <c r="H1" s="1" t="inlineStr">
        <is>
          <t>xu_game</t>
        </is>
      </c>
      <c r="I1" s="1" t="inlineStr">
        <is>
          <t>nguon</t>
        </is>
      </c>
      <c r="J1" s="1" t="inlineStr">
        <is>
          <t>raw_json</t>
        </is>
      </c>
    </row>
    <row r="2">
      <c r="A2" t="inlineStr">
        <is>
          <t>Easy/hoa</t>
        </is>
      </c>
      <c r="B2" t="inlineStr">
        <is>
          <t>Easy</t>
        </is>
      </c>
      <c r="C2" t="inlineStr">
        <is>
          <t>hoa</t>
        </is>
      </c>
      <c r="D2" t="n">
        <v>0.7</v>
      </c>
      <c r="E2" t="n">
        <v>20</v>
      </c>
      <c r="F2" t="n">
        <v>9</v>
      </c>
      <c r="G2">
        <f>ROUND((Meta_kinh_te_nguon!$D$19+MIN($E$2,Meta_kinh_te_nguon!$E$18)*Meta_kinh_te_nguon!$D$18+MIN(MAX($F$2,0),Meta_kinh_te_nguon!$E$20)*Meta_kinh_te_nguon!$D$20)*$D$2,0)</f>
        <v/>
      </c>
      <c r="H2" t="n">
        <v>95</v>
      </c>
      <c r="I2" t="inlineStr">
        <is>
          <t>Game/Match/Rewards.cs Quick (Game/Match/Rewards.cs:85)</t>
        </is>
      </c>
      <c r="J2" t="inlineStr"/>
    </row>
    <row r="3">
      <c r="A3" t="inlineStr">
        <is>
          <t>Easy/thang</t>
        </is>
      </c>
      <c r="B3" t="inlineStr">
        <is>
          <t>Easy</t>
        </is>
      </c>
      <c r="C3" t="inlineStr">
        <is>
          <t>thang</t>
        </is>
      </c>
      <c r="D3" t="n">
        <v>0.7</v>
      </c>
      <c r="E3" t="n">
        <v>20</v>
      </c>
      <c r="F3" t="n">
        <v>9</v>
      </c>
      <c r="G3">
        <f>ROUND((Meta_kinh_te_nguon!$D$21+MIN($E$3,Meta_kinh_te_nguon!$E$18)*Meta_kinh_te_nguon!$D$18+MIN(MAX($F$3,0),Meta_kinh_te_nguon!$E$20)*Meta_kinh_te_nguon!$D$20)*$D$3,0)</f>
        <v/>
      </c>
      <c r="H3" t="n">
        <v>130</v>
      </c>
      <c r="I3" t="inlineStr">
        <is>
          <t>Game/Match/Rewards.cs Quick (Game/Match/Rewards.cs:85)</t>
        </is>
      </c>
      <c r="J3" t="inlineStr"/>
    </row>
    <row r="4">
      <c r="A4" t="inlineStr">
        <is>
          <t>Easy/thua</t>
        </is>
      </c>
      <c r="B4" t="inlineStr">
        <is>
          <t>Easy</t>
        </is>
      </c>
      <c r="C4" t="inlineStr">
        <is>
          <t>thua</t>
        </is>
      </c>
      <c r="D4" t="n">
        <v>0.7</v>
      </c>
      <c r="E4" t="n">
        <v>20</v>
      </c>
      <c r="F4" t="n">
        <v>9</v>
      </c>
      <c r="G4">
        <f>ROUND((Meta_kinh_te_nguon!$D$22+MIN($E$4,Meta_kinh_te_nguon!$E$18)*Meta_kinh_te_nguon!$D$18+MIN(MAX($F$4,0),Meta_kinh_te_nguon!$E$20)*Meta_kinh_te_nguon!$D$20)*$D$4,0)</f>
        <v/>
      </c>
      <c r="H4" t="n">
        <v>74</v>
      </c>
      <c r="I4" t="inlineStr">
        <is>
          <t>Game/Match/Rewards.cs Quick (Game/Match/Rewards.cs:85)</t>
        </is>
      </c>
      <c r="J4" t="inlineStr"/>
    </row>
    <row r="5">
      <c r="A5" t="inlineStr">
        <is>
          <t>Hard/hoa</t>
        </is>
      </c>
      <c r="B5" t="inlineStr">
        <is>
          <t>Hard</t>
        </is>
      </c>
      <c r="C5" t="inlineStr">
        <is>
          <t>hoa</t>
        </is>
      </c>
      <c r="D5" t="n">
        <v>1.45</v>
      </c>
      <c r="E5" t="n">
        <v>20</v>
      </c>
      <c r="F5" t="n">
        <v>9</v>
      </c>
      <c r="G5">
        <f>ROUND((Meta_kinh_te_nguon!$D$19+MIN($E$5,Meta_kinh_te_nguon!$E$18)*Meta_kinh_te_nguon!$D$18+MIN(MAX($F$5,0),Meta_kinh_te_nguon!$E$20)*Meta_kinh_te_nguon!$D$20)*$D$5,0)</f>
        <v/>
      </c>
      <c r="H5" t="n">
        <v>197</v>
      </c>
      <c r="I5" t="inlineStr">
        <is>
          <t>Game/Match/Rewards.cs Quick (Game/Match/Rewards.cs:86)</t>
        </is>
      </c>
      <c r="J5" t="inlineStr"/>
    </row>
    <row r="6">
      <c r="A6" t="inlineStr">
        <is>
          <t>Hard/thang</t>
        </is>
      </c>
      <c r="B6" t="inlineStr">
        <is>
          <t>Hard</t>
        </is>
      </c>
      <c r="C6" t="inlineStr">
        <is>
          <t>thang</t>
        </is>
      </c>
      <c r="D6" t="n">
        <v>1.45</v>
      </c>
      <c r="E6" t="n">
        <v>20</v>
      </c>
      <c r="F6" t="n">
        <v>9</v>
      </c>
      <c r="G6">
        <f>ROUND((Meta_kinh_te_nguon!$D$21+MIN($E$6,Meta_kinh_te_nguon!$E$18)*Meta_kinh_te_nguon!$D$18+MIN(MAX($F$6,0),Meta_kinh_te_nguon!$E$20)*Meta_kinh_te_nguon!$D$20)*$D$6,0)</f>
        <v/>
      </c>
      <c r="H6" t="n">
        <v>270</v>
      </c>
      <c r="I6" t="inlineStr">
        <is>
          <t>Game/Match/Rewards.cs Quick (Game/Match/Rewards.cs:86)</t>
        </is>
      </c>
      <c r="J6" t="inlineStr"/>
    </row>
    <row r="7">
      <c r="A7" t="inlineStr">
        <is>
          <t>Hard/thua</t>
        </is>
      </c>
      <c r="B7" t="inlineStr">
        <is>
          <t>Hard</t>
        </is>
      </c>
      <c r="C7" t="inlineStr">
        <is>
          <t>thua</t>
        </is>
      </c>
      <c r="D7" t="n">
        <v>1.45</v>
      </c>
      <c r="E7" t="n">
        <v>20</v>
      </c>
      <c r="F7" t="n">
        <v>9</v>
      </c>
      <c r="G7">
        <f>ROUND((Meta_kinh_te_nguon!$D$22+MIN($E$7,Meta_kinh_te_nguon!$E$18)*Meta_kinh_te_nguon!$D$18+MIN(MAX($F$7,0),Meta_kinh_te_nguon!$E$20)*Meta_kinh_te_nguon!$D$20)*$D$7,0)</f>
        <v/>
      </c>
      <c r="H7" t="n">
        <v>154</v>
      </c>
      <c r="I7" t="inlineStr">
        <is>
          <t>Game/Match/Rewards.cs Quick (Game/Match/Rewards.cs:86)</t>
        </is>
      </c>
      <c r="J7" t="inlineStr"/>
    </row>
    <row r="8">
      <c r="A8" t="inlineStr">
        <is>
          <t>Normal/hoa</t>
        </is>
      </c>
      <c r="B8" t="inlineStr">
        <is>
          <t>Normal</t>
        </is>
      </c>
      <c r="C8" t="inlineStr">
        <is>
          <t>hoa</t>
        </is>
      </c>
      <c r="D8" t="n">
        <v>1</v>
      </c>
      <c r="E8" t="n">
        <v>20</v>
      </c>
      <c r="F8" t="n">
        <v>9</v>
      </c>
      <c r="G8">
        <f>ROUND((Meta_kinh_te_nguon!$D$19+MIN($E$8,Meta_kinh_te_nguon!$E$18)*Meta_kinh_te_nguon!$D$18+MIN(MAX($F$8,0),Meta_kinh_te_nguon!$E$20)*Meta_kinh_te_nguon!$D$20)*$D$8,0)</f>
        <v/>
      </c>
      <c r="H8" t="n">
        <v>136</v>
      </c>
      <c r="I8" t="inlineStr">
        <is>
          <t>Game/Match/Rewards.cs Quick (Game/Match/Rewards.cs:88)</t>
        </is>
      </c>
      <c r="J8" t="inlineStr"/>
    </row>
    <row r="9">
      <c r="A9" t="inlineStr">
        <is>
          <t>Normal/thang</t>
        </is>
      </c>
      <c r="B9" t="inlineStr">
        <is>
          <t>Normal</t>
        </is>
      </c>
      <c r="C9" t="inlineStr">
        <is>
          <t>thang</t>
        </is>
      </c>
      <c r="D9" t="n">
        <v>1</v>
      </c>
      <c r="E9" t="n">
        <v>20</v>
      </c>
      <c r="F9" t="n">
        <v>9</v>
      </c>
      <c r="G9">
        <f>ROUND((Meta_kinh_te_nguon!$D$21+MIN($E$9,Meta_kinh_te_nguon!$E$18)*Meta_kinh_te_nguon!$D$18+MIN(MAX($F$9,0),Meta_kinh_te_nguon!$E$20)*Meta_kinh_te_nguon!$D$20)*$D$9,0)</f>
        <v/>
      </c>
      <c r="H9" t="n">
        <v>186</v>
      </c>
      <c r="I9" t="inlineStr">
        <is>
          <t>Game/Match/Rewards.cs Quick (Game/Match/Rewards.cs:88)</t>
        </is>
      </c>
      <c r="J9" t="inlineStr"/>
    </row>
    <row r="10">
      <c r="A10" t="inlineStr">
        <is>
          <t>Normal/thua</t>
        </is>
      </c>
      <c r="B10" t="inlineStr">
        <is>
          <t>Normal</t>
        </is>
      </c>
      <c r="C10" t="inlineStr">
        <is>
          <t>thua</t>
        </is>
      </c>
      <c r="D10" t="n">
        <v>1</v>
      </c>
      <c r="E10" t="n">
        <v>20</v>
      </c>
      <c r="F10" t="n">
        <v>9</v>
      </c>
      <c r="G10">
        <f>ROUND((Meta_kinh_te_nguon!$D$22+MIN($E$10,Meta_kinh_te_nguon!$E$18)*Meta_kinh_te_nguon!$D$18+MIN(MAX($F$10,0),Meta_kinh_te_nguon!$E$20)*Meta_kinh_te_nguon!$D$20)*$D$10,0)</f>
        <v/>
      </c>
      <c r="H10" t="n">
        <v>106</v>
      </c>
      <c r="I10" t="inlineStr">
        <is>
          <t>Game/Match/Rewards.cs Quick (Game/Match/Rewards.cs:88)</t>
        </is>
      </c>
      <c r="J10" t="inlineStr"/>
    </row>
    <row r="11">
      <c r="A11" t="inlineStr">
        <is>
          <t>VeryHard/hoa</t>
        </is>
      </c>
      <c r="B11" t="inlineStr">
        <is>
          <t>VeryHard</t>
        </is>
      </c>
      <c r="C11" t="inlineStr">
        <is>
          <t>hoa</t>
        </is>
      </c>
      <c r="D11" t="n">
        <v>1.8</v>
      </c>
      <c r="E11" t="n">
        <v>20</v>
      </c>
      <c r="F11" t="n">
        <v>9</v>
      </c>
      <c r="G11">
        <f>ROUND((Meta_kinh_te_nguon!$D$19+MIN($E$11,Meta_kinh_te_nguon!$E$18)*Meta_kinh_te_nguon!$D$18+MIN(MAX($F$11,0),Meta_kinh_te_nguon!$E$20)*Meta_kinh_te_nguon!$D$20)*$D$11,0)</f>
        <v/>
      </c>
      <c r="H11" t="n">
        <v>245</v>
      </c>
      <c r="I11" t="inlineStr">
        <is>
          <t>Game/Match/Rewards.cs Quick (Game/Match/Rewards.cs:87)</t>
        </is>
      </c>
      <c r="J11" t="inlineStr"/>
    </row>
    <row r="12">
      <c r="A12" t="inlineStr">
        <is>
          <t>VeryHard/thang</t>
        </is>
      </c>
      <c r="B12" t="inlineStr">
        <is>
          <t>VeryHard</t>
        </is>
      </c>
      <c r="C12" t="inlineStr">
        <is>
          <t>thang</t>
        </is>
      </c>
      <c r="D12" t="n">
        <v>1.8</v>
      </c>
      <c r="E12" t="n">
        <v>20</v>
      </c>
      <c r="F12" t="n">
        <v>9</v>
      </c>
      <c r="G12">
        <f>ROUND((Meta_kinh_te_nguon!$D$21+MIN($E$12,Meta_kinh_te_nguon!$E$18)*Meta_kinh_te_nguon!$D$18+MIN(MAX($F$12,0),Meta_kinh_te_nguon!$E$20)*Meta_kinh_te_nguon!$D$20)*$D$12,0)</f>
        <v/>
      </c>
      <c r="H12" t="n">
        <v>335</v>
      </c>
      <c r="I12" t="inlineStr">
        <is>
          <t>Game/Match/Rewards.cs Quick (Game/Match/Rewards.cs:87)</t>
        </is>
      </c>
      <c r="J12" t="inlineStr"/>
    </row>
    <row r="13">
      <c r="A13" t="inlineStr">
        <is>
          <t>VeryHard/thua</t>
        </is>
      </c>
      <c r="B13" t="inlineStr">
        <is>
          <t>VeryHard</t>
        </is>
      </c>
      <c r="C13" t="inlineStr">
        <is>
          <t>thua</t>
        </is>
      </c>
      <c r="D13" t="n">
        <v>1.8</v>
      </c>
      <c r="E13" t="n">
        <v>20</v>
      </c>
      <c r="F13" t="n">
        <v>9</v>
      </c>
      <c r="G13">
        <f>ROUND((Meta_kinh_te_nguon!$D$22+MIN($E$13,Meta_kinh_te_nguon!$E$18)*Meta_kinh_te_nguon!$D$18+MIN(MAX($F$13,0),Meta_kinh_te_nguon!$E$20)*Meta_kinh_te_nguon!$D$20)*$D$13,0)</f>
        <v/>
      </c>
      <c r="H13" t="n">
        <v>191</v>
      </c>
      <c r="I13" t="inlineStr">
        <is>
          <t>Game/Match/Rewards.cs Quick (Game/Match/Rewards.cs:87)</t>
        </is>
      </c>
      <c r="J13" t="inlineStr"/>
    </row>
  </sheetData>
  <autoFilter ref="A1:J13"/>
  <pageMargins left="0.75" right="0.75" top="1" bottom="1" header="0.5" footer="0.5"/>
</worksheet>
</file>

<file path=xl/worksheets/sheet2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7" customWidth="1" min="2" max="2"/>
    <col width="60" customWidth="1" min="3" max="3"/>
    <col width="18" customWidth="1" min="4" max="4"/>
    <col width="60" customWidth="1" min="5" max="5"/>
    <col width="28" customWidth="1" min="6" max="6"/>
    <col width="41" customWidth="1" min="7" max="7"/>
    <col width="33" customWidth="1" min="8" max="8"/>
    <col width="42" customWidth="1" min="9" max="9"/>
    <col width="60" customWidth="1" min="10" max="10"/>
    <col width="10" customWidth="1" min="11" max="11"/>
  </cols>
  <sheetData>
    <row r="1">
      <c r="A1" s="1" t="inlineStr">
        <is>
          <t>id</t>
        </is>
      </c>
      <c r="B1" s="1" t="inlineStr">
        <is>
          <t>xu_len_hang</t>
        </is>
      </c>
      <c r="C1" s="1" t="inlineStr">
        <is>
          <t>xu_tich_luy</t>
        </is>
      </c>
      <c r="D1" s="1" t="inlineStr">
        <is>
          <t>xu_tich_luy_game</t>
        </is>
      </c>
      <c r="E1" s="1" t="inlineStr">
        <is>
          <t>ban_thiet_ke_tich_luy</t>
        </is>
      </c>
      <c r="F1" s="1" t="inlineStr">
        <is>
          <t>ban_thiet_ke_tich_luy_game</t>
        </is>
      </c>
      <c r="G1" s="1" t="inlineStr">
        <is>
          <t>so_tran_thang</t>
        </is>
      </c>
      <c r="H1" s="1" t="inlineStr">
        <is>
          <t>gio_choi</t>
        </is>
      </c>
      <c r="I1" s="1" t="inlineStr">
        <is>
          <t>trong_tran</t>
        </is>
      </c>
      <c r="J1" s="1" t="inlineStr">
        <is>
          <t>nguon</t>
        </is>
      </c>
      <c r="K1" s="1" t="inlineStr">
        <is>
          <t>raw_json</t>
        </is>
      </c>
    </row>
    <row r="2">
      <c r="A2" t="n">
        <v>1</v>
      </c>
      <c r="B2">
        <f>Nang_hang!$C$2</f>
        <v/>
      </c>
      <c r="C2">
        <f>SUMIFS(Nang_hang!$C$2:$C$11,Nang_hang!$B$2:$B$11,"&lt;="&amp;Nang_hang!$B$2)</f>
        <v/>
      </c>
      <c r="D2" t="n">
        <v>0</v>
      </c>
      <c r="E2">
        <f>SUMIFS(Nang_hang!$D$2:$D$11,Nang_hang!$B$2:$B$11,"&lt;="&amp;Nang_hang!$B$2)</f>
        <v/>
      </c>
      <c r="F2" t="n">
        <v>0</v>
      </c>
      <c r="G2">
        <f>CEILING($C$2/Meta_kinh_te_tran!$G$9,1)</f>
        <v/>
      </c>
      <c r="H2">
        <f>$G$2*Meta_kinh_te_tran!$F$9/60</f>
        <v/>
      </c>
      <c r="I2">
        <f>Nang_hang!$B$2&lt;=Meta_kinh_te_nguon!$E$8</f>
        <v/>
      </c>
      <c r="J2" t="inlineStr">
        <is>
          <t>04_che_do_kinh_te_ai/Nang_hang (1); Game/Match/Arsenal.cs CardRanks</t>
        </is>
      </c>
      <c r="K2" t="inlineStr"/>
    </row>
    <row r="3">
      <c r="A3" t="n">
        <v>2</v>
      </c>
      <c r="B3">
        <f>Nang_hang!$C$3</f>
        <v/>
      </c>
      <c r="C3">
        <f>SUMIFS(Nang_hang!$C$2:$C$11,Nang_hang!$B$2:$B$11,"&lt;="&amp;Nang_hang!$B$3)</f>
        <v/>
      </c>
      <c r="D3" t="n">
        <v>50</v>
      </c>
      <c r="E3">
        <f>SUMIFS(Nang_hang!$D$2:$D$11,Nang_hang!$B$2:$B$11,"&lt;="&amp;Nang_hang!$B$3)</f>
        <v/>
      </c>
      <c r="F3" t="n">
        <v>2</v>
      </c>
      <c r="G3">
        <f>CEILING($C$3/Meta_kinh_te_tran!$G$9,1)</f>
        <v/>
      </c>
      <c r="H3">
        <f>$G$3*Meta_kinh_te_tran!$F$9/60</f>
        <v/>
      </c>
      <c r="I3">
        <f>Nang_hang!$B$3&lt;=Meta_kinh_te_nguon!$E$8</f>
        <v/>
      </c>
      <c r="J3" t="inlineStr">
        <is>
          <t>04_che_do_kinh_te_ai/Nang_hang (2); Game/Match/Arsenal.cs CardRanks</t>
        </is>
      </c>
      <c r="K3" t="inlineStr"/>
    </row>
    <row r="4">
      <c r="A4" t="n">
        <v>3</v>
      </c>
      <c r="B4">
        <f>Nang_hang!$C$4</f>
        <v/>
      </c>
      <c r="C4">
        <f>SUMIFS(Nang_hang!$C$2:$C$11,Nang_hang!$B$2:$B$11,"&lt;="&amp;Nang_hang!$B$4)</f>
        <v/>
      </c>
      <c r="D4" t="n">
        <v>150</v>
      </c>
      <c r="E4">
        <f>SUMIFS(Nang_hang!$D$2:$D$11,Nang_hang!$B$2:$B$11,"&lt;="&amp;Nang_hang!$B$4)</f>
        <v/>
      </c>
      <c r="F4" t="n">
        <v>6</v>
      </c>
      <c r="G4">
        <f>CEILING($C$4/Meta_kinh_te_tran!$G$9,1)</f>
        <v/>
      </c>
      <c r="H4">
        <f>$G$4*Meta_kinh_te_tran!$F$9/60</f>
        <v/>
      </c>
      <c r="I4">
        <f>Nang_hang!$B$4&lt;=Meta_kinh_te_nguon!$E$8</f>
        <v/>
      </c>
      <c r="J4" t="inlineStr">
        <is>
          <t>04_che_do_kinh_te_ai/Nang_hang (3); Game/Match/Arsenal.cs CardRanks</t>
        </is>
      </c>
      <c r="K4" t="inlineStr"/>
    </row>
    <row r="5">
      <c r="A5" t="n">
        <v>4</v>
      </c>
      <c r="B5">
        <f>Nang_hang!$C$5</f>
        <v/>
      </c>
      <c r="C5">
        <f>SUMIFS(Nang_hang!$C$2:$C$11,Nang_hang!$B$2:$B$11,"&lt;="&amp;Nang_hang!$B$5)</f>
        <v/>
      </c>
      <c r="D5" t="n">
        <v>350</v>
      </c>
      <c r="E5">
        <f>SUMIFS(Nang_hang!$D$2:$D$11,Nang_hang!$B$2:$B$11,"&lt;="&amp;Nang_hang!$B$5)</f>
        <v/>
      </c>
      <c r="F5" t="n">
        <v>14</v>
      </c>
      <c r="G5">
        <f>CEILING($C$5/Meta_kinh_te_tran!$G$9,1)</f>
        <v/>
      </c>
      <c r="H5">
        <f>$G$5*Meta_kinh_te_tran!$F$9/60</f>
        <v/>
      </c>
      <c r="I5">
        <f>Nang_hang!$B$5&lt;=Meta_kinh_te_nguon!$E$8</f>
        <v/>
      </c>
      <c r="J5" t="inlineStr">
        <is>
          <t>04_che_do_kinh_te_ai/Nang_hang (4); Game/Match/Arsenal.cs CardRanks</t>
        </is>
      </c>
      <c r="K5" t="inlineStr"/>
    </row>
    <row r="6">
      <c r="A6" t="n">
        <v>5</v>
      </c>
      <c r="B6">
        <f>Nang_hang!$C$6</f>
        <v/>
      </c>
      <c r="C6">
        <f>SUMIFS(Nang_hang!$C$2:$C$11,Nang_hang!$B$2:$B$11,"&lt;="&amp;Nang_hang!$B$6)</f>
        <v/>
      </c>
      <c r="D6" t="n">
        <v>750</v>
      </c>
      <c r="E6">
        <f>SUMIFS(Nang_hang!$D$2:$D$11,Nang_hang!$B$2:$B$11,"&lt;="&amp;Nang_hang!$B$6)</f>
        <v/>
      </c>
      <c r="F6" t="n">
        <v>26</v>
      </c>
      <c r="G6">
        <f>CEILING($C$6/Meta_kinh_te_tran!$G$9,1)</f>
        <v/>
      </c>
      <c r="H6">
        <f>$G$6*Meta_kinh_te_tran!$F$9/60</f>
        <v/>
      </c>
      <c r="I6">
        <f>Nang_hang!$B$6&lt;=Meta_kinh_te_nguon!$E$8</f>
        <v/>
      </c>
      <c r="J6" t="inlineStr">
        <is>
          <t>04_che_do_kinh_te_ai/Nang_hang (5); Game/Match/Arsenal.cs CardRanks</t>
        </is>
      </c>
      <c r="K6" t="inlineStr"/>
    </row>
    <row r="7">
      <c r="A7" t="n">
        <v>6</v>
      </c>
      <c r="B7">
        <f>Nang_hang!$C$7</f>
        <v/>
      </c>
      <c r="C7">
        <f>SUMIFS(Nang_hang!$C$2:$C$11,Nang_hang!$B$2:$B$11,"&lt;="&amp;Nang_hang!$B$7)</f>
        <v/>
      </c>
      <c r="D7" t="n">
        <v>1450</v>
      </c>
      <c r="E7">
        <f>SUMIFS(Nang_hang!$D$2:$D$11,Nang_hang!$B$2:$B$11,"&lt;="&amp;Nang_hang!$B$7)</f>
        <v/>
      </c>
      <c r="F7" t="n">
        <v>46</v>
      </c>
      <c r="G7">
        <f>CEILING($C$7/Meta_kinh_te_tran!$G$9,1)</f>
        <v/>
      </c>
      <c r="H7">
        <f>$G$7*Meta_kinh_te_tran!$F$9/60</f>
        <v/>
      </c>
      <c r="I7">
        <f>Nang_hang!$B$7&lt;=Meta_kinh_te_nguon!$E$8</f>
        <v/>
      </c>
      <c r="J7" t="inlineStr">
        <is>
          <t>04_che_do_kinh_te_ai/Nang_hang (6); Game/Match/Arsenal.cs CardRanks</t>
        </is>
      </c>
      <c r="K7" t="inlineStr"/>
    </row>
    <row r="8">
      <c r="A8" t="n">
        <v>7</v>
      </c>
      <c r="B8">
        <f>Nang_hang!$C$8</f>
        <v/>
      </c>
      <c r="C8">
        <f>SUMIFS(Nang_hang!$C$2:$C$11,Nang_hang!$B$2:$B$11,"&lt;="&amp;Nang_hang!$B$8)</f>
        <v/>
      </c>
      <c r="D8" t="n">
        <v>2650</v>
      </c>
      <c r="E8">
        <f>SUMIFS(Nang_hang!$D$2:$D$11,Nang_hang!$B$2:$B$11,"&lt;="&amp;Nang_hang!$B$8)</f>
        <v/>
      </c>
      <c r="F8" t="n">
        <v>76</v>
      </c>
      <c r="G8">
        <f>CEILING($C$8/Meta_kinh_te_tran!$G$9,1)</f>
        <v/>
      </c>
      <c r="H8">
        <f>$G$8*Meta_kinh_te_tran!$F$9/60</f>
        <v/>
      </c>
      <c r="I8">
        <f>Nang_hang!$B$8&lt;=Meta_kinh_te_nguon!$E$8</f>
        <v/>
      </c>
      <c r="J8" t="inlineStr">
        <is>
          <t>04_che_do_kinh_te_ai/Nang_hang (7); Game/Match/Arsenal.cs CardRanks</t>
        </is>
      </c>
      <c r="K8" t="inlineStr"/>
    </row>
    <row r="9">
      <c r="A9" t="n">
        <v>8</v>
      </c>
      <c r="B9">
        <f>Nang_hang!$C$9</f>
        <v/>
      </c>
      <c r="C9">
        <f>SUMIFS(Nang_hang!$C$2:$C$11,Nang_hang!$B$2:$B$11,"&lt;="&amp;Nang_hang!$B$9)</f>
        <v/>
      </c>
      <c r="D9" t="n">
        <v>4650</v>
      </c>
      <c r="E9">
        <f>SUMIFS(Nang_hang!$D$2:$D$11,Nang_hang!$B$2:$B$11,"&lt;="&amp;Nang_hang!$B$9)</f>
        <v/>
      </c>
      <c r="F9" t="n">
        <v>121</v>
      </c>
      <c r="G9">
        <f>CEILING($C$9/Meta_kinh_te_tran!$G$9,1)</f>
        <v/>
      </c>
      <c r="H9">
        <f>$G$9*Meta_kinh_te_tran!$F$9/60</f>
        <v/>
      </c>
      <c r="I9">
        <f>Nang_hang!$B$9&lt;=Meta_kinh_te_nguon!$E$8</f>
        <v/>
      </c>
      <c r="J9" t="inlineStr">
        <is>
          <t>04_che_do_kinh_te_ai/Nang_hang (8); Game/Match/Arsenal.cs CardRanks</t>
        </is>
      </c>
      <c r="K9" t="inlineStr"/>
    </row>
    <row r="10">
      <c r="A10" t="n">
        <v>9</v>
      </c>
      <c r="B10">
        <f>Nang_hang!$C$10</f>
        <v/>
      </c>
      <c r="C10">
        <f>SUMIFS(Nang_hang!$C$2:$C$11,Nang_hang!$B$2:$B$11,"&lt;="&amp;Nang_hang!$B$10)</f>
        <v/>
      </c>
      <c r="D10" t="n">
        <v>7850</v>
      </c>
      <c r="E10">
        <f>SUMIFS(Nang_hang!$D$2:$D$11,Nang_hang!$B$2:$B$11,"&lt;="&amp;Nang_hang!$B$10)</f>
        <v/>
      </c>
      <c r="F10" t="n">
        <v>186</v>
      </c>
      <c r="G10">
        <f>CEILING($C$10/Meta_kinh_te_tran!$G$9,1)</f>
        <v/>
      </c>
      <c r="H10">
        <f>$G$10*Meta_kinh_te_tran!$F$9/60</f>
        <v/>
      </c>
      <c r="I10">
        <f>Nang_hang!$B$10&lt;=Meta_kinh_te_nguon!$E$8</f>
        <v/>
      </c>
      <c r="J10" t="inlineStr">
        <is>
          <t>04_che_do_kinh_te_ai/Nang_hang (9); Game/Match/Arsenal.cs CardRanks</t>
        </is>
      </c>
      <c r="K10" t="inlineStr"/>
    </row>
    <row r="11">
      <c r="A11" t="n">
        <v>10</v>
      </c>
      <c r="B11">
        <f>Nang_hang!$C$11</f>
        <v/>
      </c>
      <c r="C11">
        <f>SUMIFS(Nang_hang!$C$2:$C$11,Nang_hang!$B$2:$B$11,"&lt;="&amp;Nang_hang!$B$11)</f>
        <v/>
      </c>
      <c r="D11" t="n">
        <v>12850</v>
      </c>
      <c r="E11">
        <f>SUMIFS(Nang_hang!$D$2:$D$11,Nang_hang!$B$2:$B$11,"&lt;="&amp;Nang_hang!$B$11)</f>
        <v/>
      </c>
      <c r="F11" t="n">
        <v>276</v>
      </c>
      <c r="G11">
        <f>CEILING($C$11/Meta_kinh_te_tran!$G$9,1)</f>
        <v/>
      </c>
      <c r="H11">
        <f>$G$11*Meta_kinh_te_tran!$F$9/60</f>
        <v/>
      </c>
      <c r="I11">
        <f>Nang_hang!$B$11&lt;=Meta_kinh_te_nguon!$E$8</f>
        <v/>
      </c>
      <c r="J11" t="inlineStr">
        <is>
          <t>04_che_do_kinh_te_ai/Nang_hang (10); Game/Match/Arsenal.cs CardRanks</t>
        </is>
      </c>
      <c r="K11" t="inlineStr"/>
    </row>
  </sheetData>
  <autoFilter ref="A1:K11"/>
  <pageMargins left="0.75" right="0.75" top="1" bottom="1" header="0.5" footer="0.5"/>
</worksheet>
</file>

<file path=xl/worksheets/sheet2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38" customWidth="1" min="4" max="4"/>
    <col width="10" customWidth="1" min="5" max="5"/>
  </cols>
  <sheetData>
    <row r="1">
      <c r="A1" s="1" t="inlineStr">
        <is>
          <t>id</t>
        </is>
      </c>
      <c r="B1" s="1" t="inlineStr">
        <is>
          <t>gia_tri</t>
        </is>
      </c>
      <c r="C1" s="1" t="inlineStr">
        <is>
          <t>kieu</t>
        </is>
      </c>
      <c r="D1" s="1" t="inlineStr">
        <is>
          <t>nguon</t>
        </is>
      </c>
      <c r="E1" s="1" t="inlineStr">
        <is>
          <t>raw_json</t>
        </is>
      </c>
    </row>
    <row r="2">
      <c r="A2" t="inlineStr">
        <is>
          <t>aiHints</t>
        </is>
      </c>
      <c r="B2" t="b">
        <v>1</v>
      </c>
      <c r="C2" t="inlineStr">
        <is>
          <t>bool</t>
        </is>
      </c>
      <c r="D2" t="inlineStr">
        <is>
          <t>game.json balancePack.defaultSettings</t>
        </is>
      </c>
      <c r="E2" t="inlineStr"/>
    </row>
    <row r="3">
      <c r="A3" t="inlineStr">
        <is>
          <t>autoDeploy</t>
        </is>
      </c>
      <c r="B3" t="b">
        <v>1</v>
      </c>
      <c r="C3" t="inlineStr">
        <is>
          <t>bool</t>
        </is>
      </c>
      <c r="D3" t="inlineStr">
        <is>
          <t>game.json balancePack.defaultSettings</t>
        </is>
      </c>
      <c r="E3" t="inlineStr"/>
    </row>
    <row r="4">
      <c r="A4" t="inlineStr">
        <is>
          <t>autoStrike</t>
        </is>
      </c>
      <c r="B4" t="b">
        <v>1</v>
      </c>
      <c r="C4" t="inlineStr">
        <is>
          <t>bool</t>
        </is>
      </c>
      <c r="D4" t="inlineStr">
        <is>
          <t>game.json balancePack.defaultSettings</t>
        </is>
      </c>
      <c r="E4" t="inlineStr"/>
    </row>
    <row r="5">
      <c r="A5" t="inlineStr">
        <is>
          <t>batterySaver</t>
        </is>
      </c>
      <c r="B5" t="n">
        <v>2</v>
      </c>
      <c r="C5" t="inlineStr">
        <is>
          <t>int</t>
        </is>
      </c>
      <c r="D5" t="inlineStr">
        <is>
          <t>game.json balancePack.defaultSettings</t>
        </is>
      </c>
      <c r="E5" t="inlineStr"/>
    </row>
    <row r="6">
      <c r="A6" t="inlineStr">
        <is>
          <t>brightness</t>
        </is>
      </c>
      <c r="B6" t="n">
        <v>100</v>
      </c>
      <c r="C6" t="inlineStr">
        <is>
          <t>int</t>
        </is>
      </c>
      <c r="D6" t="inlineStr">
        <is>
          <t>game.json balancePack.defaultSettings</t>
        </is>
      </c>
      <c r="E6" t="inlineStr"/>
    </row>
    <row r="7">
      <c r="A7" t="inlineStr">
        <is>
          <t>cameraSpeed</t>
        </is>
      </c>
      <c r="B7" t="n">
        <v>1</v>
      </c>
      <c r="C7" t="inlineStr">
        <is>
          <t>int</t>
        </is>
      </c>
      <c r="D7" t="inlineStr">
        <is>
          <t>game.json balancePack.defaultSettings</t>
        </is>
      </c>
      <c r="E7" t="inlineStr"/>
    </row>
    <row r="8">
      <c r="A8" t="inlineStr">
        <is>
          <t>cinematicMoments</t>
        </is>
      </c>
      <c r="B8" t="b">
        <v>1</v>
      </c>
      <c r="C8" t="inlineStr">
        <is>
          <t>bool</t>
        </is>
      </c>
      <c r="D8" t="inlineStr">
        <is>
          <t>game.json balancePack.defaultSettings</t>
        </is>
      </c>
      <c r="E8" t="inlineStr"/>
    </row>
    <row r="9">
      <c r="A9" t="inlineStr">
        <is>
          <t>colorBlind</t>
        </is>
      </c>
      <c r="B9" t="b">
        <v>0</v>
      </c>
      <c r="C9" t="inlineStr">
        <is>
          <t>bool</t>
        </is>
      </c>
      <c r="D9" t="inlineStr">
        <is>
          <t>game.json balancePack.defaultSettings</t>
        </is>
      </c>
      <c r="E9" t="inlineStr"/>
    </row>
    <row r="10">
      <c r="A10" t="inlineStr">
        <is>
          <t>compactHud</t>
        </is>
      </c>
      <c r="B10" t="b">
        <v>1</v>
      </c>
      <c r="C10" t="inlineStr">
        <is>
          <t>bool</t>
        </is>
      </c>
      <c r="D10" t="inlineStr">
        <is>
          <t>game.json balancePack.defaultSettings</t>
        </is>
      </c>
      <c r="E10" t="inlineStr"/>
    </row>
    <row r="11">
      <c r="A11" t="inlineStr">
        <is>
          <t>dialogue</t>
        </is>
      </c>
      <c r="B11" t="inlineStr">
        <is>
          <t>Full</t>
        </is>
      </c>
      <c r="C11" t="inlineStr">
        <is>
          <t>text</t>
        </is>
      </c>
      <c r="D11" t="inlineStr">
        <is>
          <t>game.json balancePack.defaultSettings</t>
        </is>
      </c>
      <c r="E11" t="inlineStr"/>
    </row>
    <row r="12">
      <c r="A12" t="inlineStr">
        <is>
          <t>dialogueVolume</t>
        </is>
      </c>
      <c r="B12" t="n">
        <v>1</v>
      </c>
      <c r="C12" t="inlineStr">
        <is>
          <t>int</t>
        </is>
      </c>
      <c r="D12" t="inlineStr">
        <is>
          <t>game.json balancePack.defaultSettings</t>
        </is>
      </c>
      <c r="E12" t="inlineStr"/>
    </row>
    <row r="13">
      <c r="A13" t="inlineStr">
        <is>
          <t>effectsVolume</t>
        </is>
      </c>
      <c r="B13" t="n">
        <v>1</v>
      </c>
      <c r="C13" t="inlineStr">
        <is>
          <t>int</t>
        </is>
      </c>
      <c r="D13" t="inlineStr">
        <is>
          <t>game.json balancePack.defaultSettings</t>
        </is>
      </c>
      <c r="E13" t="inlineStr"/>
    </row>
    <row r="14">
      <c r="A14" t="inlineStr">
        <is>
          <t>graphics</t>
        </is>
      </c>
      <c r="B14" t="inlineStr">
        <is>
          <t>Auto</t>
        </is>
      </c>
      <c r="C14" t="inlineStr">
        <is>
          <t>text</t>
        </is>
      </c>
      <c r="D14" t="inlineStr">
        <is>
          <t>game.json balancePack.defaultSettings</t>
        </is>
      </c>
      <c r="E14" t="inlineStr"/>
    </row>
    <row r="15">
      <c r="A15" t="inlineStr">
        <is>
          <t>haptics</t>
        </is>
      </c>
      <c r="B15" t="b">
        <v>1</v>
      </c>
      <c r="C15" t="inlineStr">
        <is>
          <t>bool</t>
        </is>
      </c>
      <c r="D15" t="inlineStr">
        <is>
          <t>game.json balancePack.defaultSettings</t>
        </is>
      </c>
      <c r="E15" t="inlineStr"/>
    </row>
    <row r="16">
      <c r="A16" t="inlineStr">
        <is>
          <t>language</t>
        </is>
      </c>
      <c r="B16" t="inlineStr">
        <is>
          <t>Auto</t>
        </is>
      </c>
      <c r="C16" t="inlineStr">
        <is>
          <t>text</t>
        </is>
      </c>
      <c r="D16" t="inlineStr">
        <is>
          <t>game.json balancePack.defaultSettings</t>
        </is>
      </c>
      <c r="E16" t="inlineStr"/>
    </row>
    <row r="17">
      <c r="A17" t="inlineStr">
        <is>
          <t>musicVolume</t>
        </is>
      </c>
      <c r="B17" t="n">
        <v>0.7</v>
      </c>
      <c r="C17" t="inlineStr">
        <is>
          <t>float</t>
        </is>
      </c>
      <c r="D17" t="inlineStr">
        <is>
          <t>game.json balancePack.defaultSettings</t>
        </is>
      </c>
      <c r="E17" t="inlineStr"/>
    </row>
    <row r="18">
      <c r="A18" t="inlineStr">
        <is>
          <t>screenShake</t>
        </is>
      </c>
      <c r="B18" t="n">
        <v>2</v>
      </c>
      <c r="C18" t="inlineStr">
        <is>
          <t>int</t>
        </is>
      </c>
      <c r="D18" t="inlineStr">
        <is>
          <t>game.json balancePack.defaultSettings</t>
        </is>
      </c>
      <c r="E18" t="inlineStr"/>
    </row>
    <row r="19">
      <c r="A19" t="inlineStr">
        <is>
          <t>showCombatNumbers</t>
        </is>
      </c>
      <c r="B19" t="b">
        <v>0</v>
      </c>
      <c r="C19" t="inlineStr">
        <is>
          <t>bool</t>
        </is>
      </c>
      <c r="D19" t="inlineStr">
        <is>
          <t>game.json balancePack.defaultSettings</t>
        </is>
      </c>
      <c r="E19" t="inlineStr"/>
    </row>
    <row r="20">
      <c r="A20" t="inlineStr">
        <is>
          <t>showFps</t>
        </is>
      </c>
      <c r="B20" t="b">
        <v>0</v>
      </c>
      <c r="C20" t="inlineStr">
        <is>
          <t>bool</t>
        </is>
      </c>
      <c r="D20" t="inlineStr">
        <is>
          <t>game.json balancePack.defaultSettings</t>
        </is>
      </c>
      <c r="E20" t="inlineStr"/>
    </row>
    <row r="21">
      <c r="A21" t="inlineStr">
        <is>
          <t>textSize</t>
        </is>
      </c>
      <c r="B21" t="inlineStr">
        <is>
          <t>Normal</t>
        </is>
      </c>
      <c r="C21" t="inlineStr">
        <is>
          <t>text</t>
        </is>
      </c>
      <c r="D21" t="inlineStr">
        <is>
          <t>game.json balancePack.defaultSettings</t>
        </is>
      </c>
      <c r="E21" t="inlineStr"/>
    </row>
    <row r="22">
      <c r="A22" t="inlineStr">
        <is>
          <t>uiSize</t>
        </is>
      </c>
      <c r="B22" t="n">
        <v>1</v>
      </c>
      <c r="C22" t="inlineStr">
        <is>
          <t>int</t>
        </is>
      </c>
      <c r="D22" t="inlineStr">
        <is>
          <t>game.json balancePack.defaultSettings</t>
        </is>
      </c>
      <c r="E22" t="inlineStr"/>
    </row>
    <row r="23">
      <c r="A23" t="inlineStr">
        <is>
          <t>volume</t>
        </is>
      </c>
      <c r="B23" t="n">
        <v>0.8</v>
      </c>
      <c r="C23" t="inlineStr">
        <is>
          <t>float</t>
        </is>
      </c>
      <c r="D23" t="inlineStr">
        <is>
          <t>game.json balancePack.defaultSettings</t>
        </is>
      </c>
      <c r="E23" t="inlineStr"/>
    </row>
  </sheetData>
  <autoFilter ref="A1:E23"/>
  <pageMargins left="0.75" right="0.75" top="1" bottom="1" header="0.5" footer="0.5"/>
</worksheet>
</file>

<file path=xl/worksheets/sheet2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60" customWidth="1" min="3" max="3"/>
    <col width="53" customWidth="1" min="4" max="4"/>
    <col width="10" customWidth="1" min="5" max="5"/>
  </cols>
  <sheetData>
    <row r="1">
      <c r="A1" s="1" t="inlineStr">
        <is>
          <t>id</t>
        </is>
      </c>
      <c r="B1" s="1" t="inlineStr">
        <is>
          <t>trang_thai</t>
        </is>
      </c>
      <c r="C1" s="1" t="inlineStr">
        <is>
          <t>ghi_chu</t>
        </is>
      </c>
      <c r="D1" s="1" t="inlineStr">
        <is>
          <t>nguon</t>
        </is>
      </c>
      <c r="E1" s="1" t="inlineStr">
        <is>
          <t>raw_json</t>
        </is>
      </c>
    </row>
    <row r="2">
      <c r="A2" t="inlineStr">
        <is>
          <t>can_doc_ma</t>
        </is>
      </c>
      <c r="B2" t="inlineStr">
        <is>
          <t>XEM_05</t>
        </is>
      </c>
      <c r="C2" t="inlineStr">
        <is>
          <t>dữ liệu ở 04_che_do_kinh_te_ai/Mutator (operations.json, cột class: pressure / rule); luật chọn theo tuần (MB_FINAL F3, OperationsData.Weekly): seed = năm x 100 + tuần ISO; 2 mutator khác nhau không vi phạm excludes, một mutator tăng áp lực + một mutator đổi luật, mỗi nhóm theo thứ tự id ổn định; nhóm không đủ thì lấy cặp hợp lệ đầu tiên theo thứ tự id; cùng tuần + cùng phiên bản dữ liệu -&gt; cùng cặp</t>
        </is>
      </c>
      <c r="D2" t="inlineStr">
        <is>
          <t>Assets/MachineBrigade/Resources/Data/operations.json</t>
        </is>
      </c>
      <c r="E2" t="inlineStr"/>
    </row>
  </sheetData>
  <autoFilter ref="A1:E2"/>
  <pageMargins left="0.75" right="0.75" top="1" bottom="1" header="0.5" footer="0.5"/>
</worksheet>
</file>

<file path=xl/worksheets/sheet2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60" customWidth="1" min="3" max="3"/>
    <col width="60" customWidth="1" min="4" max="4"/>
    <col width="10" customWidth="1" min="5" max="5"/>
  </cols>
  <sheetData>
    <row r="1">
      <c r="A1" s="1" t="inlineStr">
        <is>
          <t>id</t>
        </is>
      </c>
      <c r="B1" s="1" t="inlineStr">
        <is>
          <t>trang_thai</t>
        </is>
      </c>
      <c r="C1" s="1" t="inlineStr">
        <is>
          <t>ghi_chu</t>
        </is>
      </c>
      <c r="D1" s="1" t="inlineStr">
        <is>
          <t>nguon</t>
        </is>
      </c>
      <c r="E1" s="1" t="inlineStr">
        <is>
          <t>raw_json</t>
        </is>
      </c>
    </row>
    <row r="2">
      <c r="A2" t="inlineStr">
        <is>
          <t>can_doc_ma</t>
        </is>
      </c>
      <c r="B2" t="inlineStr">
        <is>
          <t>XEM_05</t>
        </is>
      </c>
      <c r="C2" t="inlineStr">
        <is>
          <t>thứ tự xếp hạng ở 04_che_do_kinh_te_ai/Vo_han (matchRules.leaderboards); không có bảng xếp hạng trực tuyến</t>
        </is>
      </c>
      <c r="D2" t="inlineStr">
        <is>
          <t>Assets/MachineBrigade/Resources/Data/balance.json: matchRules.leaderboards</t>
        </is>
      </c>
      <c r="E2" t="inlineStr"/>
    </row>
  </sheetData>
  <autoFilter ref="A1:E2"/>
  <pageMargins left="0.75" right="0.75" top="1" bottom="1" header="0.5" footer="0.5"/>
</worksheet>
</file>

<file path=xl/worksheets/sheet2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3" customWidth="1" min="2" max="2"/>
    <col width="60" customWidth="1" min="3" max="3"/>
    <col width="52" customWidth="1" min="4" max="4"/>
    <col width="10" customWidth="1" min="5" max="5"/>
  </cols>
  <sheetData>
    <row r="1">
      <c r="A1" s="1" t="inlineStr">
        <is>
          <t>id</t>
        </is>
      </c>
      <c r="B1" s="1" t="inlineStr">
        <is>
          <t>trang_thai</t>
        </is>
      </c>
      <c r="C1" s="1" t="inlineStr">
        <is>
          <t>ghi_chu</t>
        </is>
      </c>
      <c r="D1" s="1" t="inlineStr">
        <is>
          <t>nguon</t>
        </is>
      </c>
      <c r="E1" s="1" t="inlineStr">
        <is>
          <t>raw_json</t>
        </is>
      </c>
    </row>
    <row r="2">
      <c r="A2" t="inlineStr">
        <is>
          <t>can_doc_ma</t>
        </is>
      </c>
      <c r="B2" t="inlineStr">
        <is>
          <t>XEM_Meta_kinh_te_nguon</t>
        </is>
      </c>
      <c r="C2" t="inlineStr">
        <is>
          <t>xu / XP / bản thiết kế mỗi nhiệm vụ: 05_chien_dich/Nhiem_vu (coins, xp, prints, rarePrints); công thức thưởng trận nhanh / Sinh tồn / nhiệm vụ của Rewards.cs: Meta_kinh_te_nguon, Meta_kinh_te_tran (lớp B,)</t>
        </is>
      </c>
      <c r="D2" t="inlineStr">
        <is>
          <t>Assets/MachineBrigade/Scripts/Game/Match/Rewards.cs</t>
        </is>
      </c>
      <c r="E2" t="inlineStr"/>
    </row>
  </sheetData>
  <autoFilter ref="A1:E2"/>
  <pageMargins left="0.75" right="0.75" top="1" bottom="1" header="0.5" footer="0.5"/>
</worksheet>
</file>

<file path=xl/worksheets/sheet3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22" customWidth="1" min="3" max="3"/>
    <col width="17" customWidth="1" min="4" max="4"/>
    <col width="14" customWidth="1" min="5" max="5"/>
    <col width="10" customWidth="1" min="6" max="6"/>
    <col width="21" customWidth="1" min="7" max="7"/>
    <col width="12" customWidth="1" min="8" max="8"/>
    <col width="13" customWidth="1" min="9" max="9"/>
    <col width="17" customWidth="1" min="10" max="10"/>
    <col width="12" customWidth="1" min="11" max="11"/>
    <col width="23" customWidth="1" min="12" max="12"/>
    <col width="12" customWidth="1" min="13" max="13"/>
    <col width="24" customWidth="1" min="14" max="14"/>
    <col width="12" customWidth="1" min="15" max="15"/>
    <col width="10" customWidth="1" min="16" max="16"/>
    <col width="45" customWidth="1" min="17" max="17"/>
    <col width="60" customWidth="1" min="18" max="18"/>
    <col width="17" customWidth="1" min="19" max="19"/>
    <col width="33" customWidth="1" min="20" max="20"/>
    <col width="10" customWidth="1" min="21" max="21"/>
  </cols>
  <sheetData>
    <row r="1">
      <c r="A1" s="1" t="inlineStr">
        <is>
          <t>id</t>
        </is>
      </c>
      <c r="B1" s="1" t="inlineStr">
        <is>
          <t>entity_id</t>
        </is>
      </c>
      <c r="C1" s="1" t="inlineStr">
        <is>
          <t>ten_hien_thi</t>
        </is>
      </c>
      <c r="D1" s="1" t="inlineStr">
        <is>
          <t>loai_tham_chieu</t>
        </is>
      </c>
      <c r="E1" s="1" t="inlineStr">
        <is>
          <t>ten_mau_that</t>
        </is>
      </c>
      <c r="F1" s="1" t="inlineStr">
        <is>
          <t>quoc_gia</t>
        </is>
      </c>
      <c r="G1" s="1" t="inlineStr">
        <is>
          <t>nam_dua_vao_su_dung</t>
        </is>
      </c>
      <c r="H1" s="1" t="inlineStr">
        <is>
          <t>ten_game</t>
        </is>
      </c>
      <c r="I1" s="1" t="inlineStr">
        <is>
          <t>co_che_game</t>
        </is>
      </c>
      <c r="J1" s="1" t="inlineStr">
        <is>
          <t>ten_phim_truyen</t>
        </is>
      </c>
      <c r="K1" s="1" t="inlineStr">
        <is>
          <t>diem_giong</t>
        </is>
      </c>
      <c r="L1" s="1" t="inlineStr">
        <is>
          <t>diem_khac_co_chu_dich</t>
        </is>
      </c>
      <c r="M1" s="1" t="inlineStr">
        <is>
          <t>ly_do_khac</t>
        </is>
      </c>
      <c r="N1" s="1" t="inlineStr">
        <is>
          <t>cam_giac_khac_khi_choi</t>
        </is>
      </c>
      <c r="O1" s="1" t="inlineStr">
        <is>
          <t>do_tin_cay</t>
        </is>
      </c>
      <c r="P1" s="1" t="inlineStr">
        <is>
          <t>nguon_id</t>
        </is>
      </c>
      <c r="Q1" s="1" t="inlineStr">
        <is>
          <t>ly_do</t>
        </is>
      </c>
      <c r="R1" s="1" t="inlineStr">
        <is>
          <t>ghi_chu_ban_quyen</t>
        </is>
      </c>
      <c r="S1" s="1" t="inlineStr">
        <is>
          <t>sheet_lien_quan</t>
        </is>
      </c>
      <c r="T1" s="1" t="inlineStr">
        <is>
          <t>nguon</t>
        </is>
      </c>
      <c r="U1" s="1" t="inlineStr">
        <is>
          <t>raw_json</t>
        </is>
      </c>
    </row>
    <row r="2">
      <c r="A2" t="inlineStr">
        <is>
          <t>Cai_dat_mac_dinh</t>
        </is>
      </c>
      <c r="B2" t="inlineStr">
        <is>
          <t>Cai_dat_mac_dinh</t>
        </is>
      </c>
      <c r="C2" t="inlineStr">
        <is>
          <t>Cài đặt mặc định</t>
        </is>
      </c>
      <c r="D2" t="inlineStr">
        <is>
          <t>NEED_SOURCE</t>
        </is>
      </c>
      <c r="E2" t="inlineStr"/>
      <c r="F2" t="inlineStr"/>
      <c r="G2" t="inlineStr"/>
      <c r="H2" t="inlineStr">
        <is>
          <t>NEED_SOURCE</t>
        </is>
      </c>
      <c r="I2" t="inlineStr"/>
      <c r="J2" t="inlineStr"/>
      <c r="K2" t="inlineStr"/>
      <c r="L2" t="inlineStr"/>
      <c r="M2" t="inlineStr"/>
      <c r="N2" t="inlineStr"/>
      <c r="O2" t="inlineStr">
        <is>
          <t>NEED_SOURCE</t>
        </is>
      </c>
      <c r="P2" t="inlineStr"/>
      <c r="Q2" t="inlineStr">
        <is>
          <t>repo không ghi game tham khảo cho cơ chế này</t>
        </is>
      </c>
      <c r="R2" t="inlineStr">
        <is>
          <t>chỉ ở mức ý tưởng và thông số (sự kiện); không dùng tên, logo, văn bản, ảnh hay mô hình có bản quyền; tên và phù hiệu quốc gia thật không hiện cho người chơi</t>
        </is>
      </c>
      <c r="S2" t="inlineStr">
        <is>
          <t>Cai_dat_mac_dinh</t>
        </is>
      </c>
      <c r="T2" t="inlineStr">
        <is>
          <t>spec 12.2 (11): Cai_dat_mac_dinh</t>
        </is>
      </c>
      <c r="U2" t="inlineStr"/>
    </row>
    <row r="3">
      <c r="A3" t="inlineStr">
        <is>
          <t>Cua_hang</t>
        </is>
      </c>
      <c r="B3" t="inlineStr">
        <is>
          <t>Cua_hang</t>
        </is>
      </c>
      <c r="C3" t="inlineStr">
        <is>
          <t>Cửa hàng</t>
        </is>
      </c>
      <c r="D3" t="inlineStr">
        <is>
          <t>NEED_SOURCE</t>
        </is>
      </c>
      <c r="E3" t="inlineStr"/>
      <c r="F3" t="inlineStr"/>
      <c r="G3" t="inlineStr"/>
      <c r="H3" t="inlineStr">
        <is>
          <t>NEED_SOURCE</t>
        </is>
      </c>
      <c r="I3" t="inlineStr"/>
      <c r="J3" t="inlineStr"/>
      <c r="K3" t="inlineStr"/>
      <c r="L3" t="inlineStr"/>
      <c r="M3" t="inlineStr"/>
      <c r="N3" t="inlineStr"/>
      <c r="O3" t="inlineStr">
        <is>
          <t>NEED_SOURCE</t>
        </is>
      </c>
      <c r="P3" t="inlineStr"/>
      <c r="Q3" t="inlineStr">
        <is>
          <t>repo không ghi game tham khảo cho cơ chế này</t>
        </is>
      </c>
      <c r="R3" t="inlineStr">
        <is>
          <t>chỉ ở mức ý tưởng và thông số (sự kiện); không dùng tên, logo, văn bản, ảnh hay mô hình có bản quyền; tên và phù hiệu quốc gia thật không hiện cho người chơi</t>
        </is>
      </c>
      <c r="S3" t="inlineStr">
        <is>
          <t>Cua_hang</t>
        </is>
      </c>
      <c r="T3" t="inlineStr">
        <is>
          <t>spec 12.2 (11): Cua_hang</t>
        </is>
      </c>
      <c r="U3" t="inlineStr"/>
    </row>
    <row r="4">
      <c r="A4" t="inlineStr">
        <is>
          <t>Hom_do</t>
        </is>
      </c>
      <c r="B4" t="inlineStr">
        <is>
          <t>Hom_do</t>
        </is>
      </c>
      <c r="C4" t="inlineStr">
        <is>
          <t>Hòm đồ và tỷ lệ rơi</t>
        </is>
      </c>
      <c r="D4" t="inlineStr">
        <is>
          <t>NEED_SOURCE</t>
        </is>
      </c>
      <c r="E4" t="inlineStr"/>
      <c r="F4" t="inlineStr"/>
      <c r="G4" t="inlineStr"/>
      <c r="H4" t="inlineStr">
        <is>
          <t>NEED_SOURCE</t>
        </is>
      </c>
      <c r="I4" t="inlineStr"/>
      <c r="J4" t="inlineStr"/>
      <c r="K4" t="inlineStr"/>
      <c r="L4" t="inlineStr"/>
      <c r="M4" t="inlineStr"/>
      <c r="N4" t="inlineStr"/>
      <c r="O4" t="inlineStr">
        <is>
          <t>NEED_SOURCE</t>
        </is>
      </c>
      <c r="P4" t="inlineStr"/>
      <c r="Q4" t="inlineStr">
        <is>
          <t>repo không ghi game tham khảo cho cơ chế này</t>
        </is>
      </c>
      <c r="R4" t="inlineStr">
        <is>
          <t>chỉ ở mức ý tưởng và thông số (sự kiện); không dùng tên, logo, văn bản, ảnh hay mô hình có bản quyền; tên và phù hiệu quốc gia thật không hiện cho người chơi</t>
        </is>
      </c>
      <c r="S4" t="inlineStr">
        <is>
          <t>Hom_do</t>
        </is>
      </c>
      <c r="T4" t="inlineStr">
        <is>
          <t>spec 12.2 (11): Hom_do</t>
        </is>
      </c>
      <c r="U4" t="inlineStr"/>
    </row>
    <row r="5">
      <c r="A5" t="inlineStr">
        <is>
          <t>Huong_dan</t>
        </is>
      </c>
      <c r="B5" t="inlineStr">
        <is>
          <t>Huong_dan</t>
        </is>
      </c>
      <c r="C5" t="inlineStr">
        <is>
          <t>Hướng dẫn người chơi</t>
        </is>
      </c>
      <c r="D5" t="inlineStr">
        <is>
          <t>NEED_SOURCE</t>
        </is>
      </c>
      <c r="E5" t="inlineStr"/>
      <c r="F5" t="inlineStr"/>
      <c r="G5" t="inlineStr"/>
      <c r="H5" t="inlineStr">
        <is>
          <t>NEED_SOURCE</t>
        </is>
      </c>
      <c r="I5" t="inlineStr"/>
      <c r="J5" t="inlineStr"/>
      <c r="K5" t="inlineStr"/>
      <c r="L5" t="inlineStr"/>
      <c r="M5" t="inlineStr"/>
      <c r="N5" t="inlineStr"/>
      <c r="O5" t="inlineStr">
        <is>
          <t>NEED_SOURCE</t>
        </is>
      </c>
      <c r="P5" t="inlineStr"/>
      <c r="Q5" t="inlineStr">
        <is>
          <t>repo không ghi game tham khảo cho cơ chế này</t>
        </is>
      </c>
      <c r="R5" t="inlineStr">
        <is>
          <t>chỉ ở mức ý tưởng và thông số (sự kiện); không dùng tên, logo, văn bản, ảnh hay mô hình có bản quyền; tên và phù hiệu quốc gia thật không hiện cho người chơi</t>
        </is>
      </c>
      <c r="S5" t="inlineStr">
        <is>
          <t>Huong_dan</t>
        </is>
      </c>
      <c r="T5" t="inlineStr">
        <is>
          <t>spec 12.2 (11): Huong_dan</t>
        </is>
      </c>
      <c r="U5" t="inlineStr"/>
    </row>
    <row r="6">
      <c r="A6" t="inlineStr">
        <is>
          <t>Mo_khoa</t>
        </is>
      </c>
      <c r="B6" t="inlineStr">
        <is>
          <t>Mo_khoa</t>
        </is>
      </c>
      <c r="C6" t="inlineStr">
        <is>
          <t>Mở khóa</t>
        </is>
      </c>
      <c r="D6" t="inlineStr">
        <is>
          <t>NEED_SOURCE</t>
        </is>
      </c>
      <c r="E6" t="inlineStr"/>
      <c r="F6" t="inlineStr"/>
      <c r="G6" t="inlineStr"/>
      <c r="H6" t="inlineStr">
        <is>
          <t>NEED_SOURCE</t>
        </is>
      </c>
      <c r="I6" t="inlineStr"/>
      <c r="J6" t="inlineStr"/>
      <c r="K6" t="inlineStr"/>
      <c r="L6" t="inlineStr"/>
      <c r="M6" t="inlineStr"/>
      <c r="N6" t="inlineStr"/>
      <c r="O6" t="inlineStr">
        <is>
          <t>NEED_SOURCE</t>
        </is>
      </c>
      <c r="P6" t="inlineStr"/>
      <c r="Q6" t="inlineStr">
        <is>
          <t>repo không ghi game tham khảo cho cơ chế này</t>
        </is>
      </c>
      <c r="R6" t="inlineStr">
        <is>
          <t>chỉ ở mức ý tưởng và thông số (sự kiện); không dùng tên, logo, văn bản, ảnh hay mô hình có bản quyền; tên và phù hiệu quốc gia thật không hiện cho người chơi</t>
        </is>
      </c>
      <c r="S6" t="inlineStr">
        <is>
          <t>Mo_khoa</t>
        </is>
      </c>
      <c r="T6" t="inlineStr">
        <is>
          <t>spec 12.2 (11): Mo_khoa</t>
        </is>
      </c>
      <c r="U6" t="inlineStr"/>
    </row>
    <row r="7">
      <c r="A7" t="inlineStr">
        <is>
          <t>Mutator_tuan</t>
        </is>
      </c>
      <c r="B7" t="inlineStr">
        <is>
          <t>Mutator_tuan</t>
        </is>
      </c>
      <c r="C7" t="inlineStr">
        <is>
          <t>Mutator tuần</t>
        </is>
      </c>
      <c r="D7" t="inlineStr">
        <is>
          <t>NEED_SOURCE</t>
        </is>
      </c>
      <c r="E7" t="inlineStr"/>
      <c r="F7" t="inlineStr"/>
      <c r="G7" t="inlineStr"/>
      <c r="H7" t="inlineStr">
        <is>
          <t>NEED_SOURCE</t>
        </is>
      </c>
      <c r="I7" t="inlineStr"/>
      <c r="J7" t="inlineStr"/>
      <c r="K7" t="inlineStr"/>
      <c r="L7" t="inlineStr"/>
      <c r="M7" t="inlineStr"/>
      <c r="N7" t="inlineStr"/>
      <c r="O7" t="inlineStr">
        <is>
          <t>NEED_SOURCE</t>
        </is>
      </c>
      <c r="P7" t="inlineStr"/>
      <c r="Q7" t="inlineStr">
        <is>
          <t>repo không ghi game tham khảo cho cơ chế này</t>
        </is>
      </c>
      <c r="R7" t="inlineStr">
        <is>
          <t>chỉ ở mức ý tưởng và thông số (sự kiện); không dùng tên, logo, văn bản, ảnh hay mô hình có bản quyền; tên và phù hiệu quốc gia thật không hiện cho người chơi</t>
        </is>
      </c>
      <c r="S7" t="inlineStr">
        <is>
          <t>Mutator_tuan</t>
        </is>
      </c>
      <c r="T7" t="inlineStr">
        <is>
          <t>spec 12.2 (11): Mutator_tuan</t>
        </is>
      </c>
      <c r="U7" t="inlineStr"/>
    </row>
    <row r="8">
      <c r="A8" t="inlineStr">
        <is>
          <t>Nang_hang</t>
        </is>
      </c>
      <c r="B8" t="inlineStr">
        <is>
          <t>Nang_hang</t>
        </is>
      </c>
      <c r="C8" t="inlineStr">
        <is>
          <t>Giá nâng hạng</t>
        </is>
      </c>
      <c r="D8" t="inlineStr">
        <is>
          <t>NEED_SOURCE</t>
        </is>
      </c>
      <c r="E8" t="inlineStr"/>
      <c r="F8" t="inlineStr"/>
      <c r="G8" t="inlineStr"/>
      <c r="H8" t="inlineStr">
        <is>
          <t>NEED_SOURCE</t>
        </is>
      </c>
      <c r="I8" t="inlineStr"/>
      <c r="J8" t="inlineStr"/>
      <c r="K8" t="inlineStr"/>
      <c r="L8" t="inlineStr"/>
      <c r="M8" t="inlineStr"/>
      <c r="N8" t="inlineStr"/>
      <c r="O8" t="inlineStr">
        <is>
          <t>NEED_SOURCE</t>
        </is>
      </c>
      <c r="P8" t="inlineStr"/>
      <c r="Q8" t="inlineStr">
        <is>
          <t>repo không ghi game tham khảo cho cơ chế này</t>
        </is>
      </c>
      <c r="R8" t="inlineStr">
        <is>
          <t>chỉ ở mức ý tưởng và thông số (sự kiện); không dùng tên, logo, văn bản, ảnh hay mô hình có bản quyền; tên và phù hiệu quốc gia thật không hiện cho người chơi</t>
        </is>
      </c>
      <c r="S8" t="inlineStr">
        <is>
          <t>Nang_hang</t>
        </is>
      </c>
      <c r="T8" t="inlineStr">
        <is>
          <t>spec 12.2 (11): Nang_hang</t>
        </is>
      </c>
      <c r="U8" t="inlineStr"/>
    </row>
    <row r="9">
      <c r="A9" t="inlineStr">
        <is>
          <t>Nhiem_vu_ngay</t>
        </is>
      </c>
      <c r="B9" t="inlineStr">
        <is>
          <t>Nhiem_vu_ngay</t>
        </is>
      </c>
      <c r="C9" t="inlineStr">
        <is>
          <t>Nhiệm vụ ngày</t>
        </is>
      </c>
      <c r="D9" t="inlineStr">
        <is>
          <t>NEED_SOURCE</t>
        </is>
      </c>
      <c r="E9" t="inlineStr"/>
      <c r="F9" t="inlineStr"/>
      <c r="G9" t="inlineStr"/>
      <c r="H9" t="inlineStr">
        <is>
          <t>NEED_SOURCE</t>
        </is>
      </c>
      <c r="I9" t="inlineStr"/>
      <c r="J9" t="inlineStr"/>
      <c r="K9" t="inlineStr"/>
      <c r="L9" t="inlineStr"/>
      <c r="M9" t="inlineStr"/>
      <c r="N9" t="inlineStr"/>
      <c r="O9" t="inlineStr">
        <is>
          <t>NEED_SOURCE</t>
        </is>
      </c>
      <c r="P9" t="inlineStr"/>
      <c r="Q9" t="inlineStr">
        <is>
          <t>repo không ghi game tham khảo cho cơ chế này</t>
        </is>
      </c>
      <c r="R9" t="inlineStr">
        <is>
          <t>chỉ ở mức ý tưởng và thông số (sự kiện); không dùng tên, logo, văn bản, ảnh hay mô hình có bản quyền; tên và phù hiệu quốc gia thật không hiện cho người chơi</t>
        </is>
      </c>
      <c r="S9" t="inlineStr">
        <is>
          <t>Nhiem_vu_ngay</t>
        </is>
      </c>
      <c r="T9" t="inlineStr">
        <is>
          <t>spec 12.2 (11): Nhiem_vu_ngay</t>
        </is>
      </c>
      <c r="U9" t="inlineStr"/>
    </row>
    <row r="10">
      <c r="A10" t="inlineStr">
        <is>
          <t>Skin</t>
        </is>
      </c>
      <c r="B10" t="inlineStr">
        <is>
          <t>Skin</t>
        </is>
      </c>
      <c r="C10" t="inlineStr">
        <is>
          <t>Skin</t>
        </is>
      </c>
      <c r="D10" t="inlineStr">
        <is>
          <t>NEED_SOURCE</t>
        </is>
      </c>
      <c r="E10" t="inlineStr"/>
      <c r="F10" t="inlineStr"/>
      <c r="G10" t="inlineStr"/>
      <c r="H10" t="inlineStr">
        <is>
          <t>NEED_SOURCE</t>
        </is>
      </c>
      <c r="I10" t="inlineStr"/>
      <c r="J10" t="inlineStr"/>
      <c r="K10" t="inlineStr"/>
      <c r="L10" t="inlineStr"/>
      <c r="M10" t="inlineStr"/>
      <c r="N10" t="inlineStr"/>
      <c r="O10" t="inlineStr">
        <is>
          <t>NEED_SOURCE</t>
        </is>
      </c>
      <c r="P10" t="inlineStr"/>
      <c r="Q10" t="inlineStr">
        <is>
          <t>repo không ghi game tham khảo cho cơ chế này</t>
        </is>
      </c>
      <c r="R10" t="inlineStr">
        <is>
          <t>chỉ ở mức ý tưởng và thông số (sự kiện); không dùng tên, logo, văn bản, ảnh hay mô hình có bản quyền; tên và phù hiệu quốc gia thật không hiện cho người chơi</t>
        </is>
      </c>
      <c r="S10" t="inlineStr">
        <is>
          <t>Skin</t>
        </is>
      </c>
      <c r="T10" t="inlineStr">
        <is>
          <t>spec 12.2 (11): Skin</t>
        </is>
      </c>
      <c r="U10" t="inlineStr"/>
    </row>
    <row r="11">
      <c r="A11" t="inlineStr">
        <is>
          <t>Thanh_tuu</t>
        </is>
      </c>
      <c r="B11" t="inlineStr">
        <is>
          <t>Thanh_tuu</t>
        </is>
      </c>
      <c r="C11" t="inlineStr">
        <is>
          <t>Thành tựu</t>
        </is>
      </c>
      <c r="D11" t="inlineStr">
        <is>
          <t>NEED_SOURCE</t>
        </is>
      </c>
      <c r="E11" t="inlineStr"/>
      <c r="F11" t="inlineStr"/>
      <c r="G11" t="inlineStr"/>
      <c r="H11" t="inlineStr">
        <is>
          <t>NEED_SOURCE</t>
        </is>
      </c>
      <c r="I11" t="inlineStr"/>
      <c r="J11" t="inlineStr"/>
      <c r="K11" t="inlineStr"/>
      <c r="L11" t="inlineStr"/>
      <c r="M11" t="inlineStr"/>
      <c r="N11" t="inlineStr"/>
      <c r="O11" t="inlineStr">
        <is>
          <t>NEED_SOURCE</t>
        </is>
      </c>
      <c r="P11" t="inlineStr"/>
      <c r="Q11" t="inlineStr">
        <is>
          <t>repo không ghi game tham khảo cho cơ chế này</t>
        </is>
      </c>
      <c r="R11" t="inlineStr">
        <is>
          <t>chỉ ở mức ý tưởng và thông số (sự kiện); không dùng tên, logo, văn bản, ảnh hay mô hình có bản quyền; tên và phù hiệu quốc gia thật không hiện cho người chơi</t>
        </is>
      </c>
      <c r="S11" t="inlineStr">
        <is>
          <t>Thanh_tuu</t>
        </is>
      </c>
      <c r="T11" t="inlineStr">
        <is>
          <t>spec 12.2 (11): Thanh_tuu</t>
        </is>
      </c>
      <c r="U11" t="inlineStr"/>
    </row>
    <row r="12">
      <c r="A12" t="inlineStr">
        <is>
          <t>Thu_hang</t>
        </is>
      </c>
      <c r="B12" t="inlineStr">
        <is>
          <t>Thu_hang</t>
        </is>
      </c>
      <c r="C12" t="inlineStr">
        <is>
          <t>Thứ hạng</t>
        </is>
      </c>
      <c r="D12" t="inlineStr">
        <is>
          <t>NEED_SOURCE</t>
        </is>
      </c>
      <c r="E12" t="inlineStr"/>
      <c r="F12" t="inlineStr"/>
      <c r="G12" t="inlineStr"/>
      <c r="H12" t="inlineStr">
        <is>
          <t>NEED_SOURCE</t>
        </is>
      </c>
      <c r="I12" t="inlineStr"/>
      <c r="J12" t="inlineStr"/>
      <c r="K12" t="inlineStr"/>
      <c r="L12" t="inlineStr"/>
      <c r="M12" t="inlineStr"/>
      <c r="N12" t="inlineStr"/>
      <c r="O12" t="inlineStr">
        <is>
          <t>NEED_SOURCE</t>
        </is>
      </c>
      <c r="P12" t="inlineStr"/>
      <c r="Q12" t="inlineStr">
        <is>
          <t>repo không ghi game tham khảo cho cơ chế này</t>
        </is>
      </c>
      <c r="R12" t="inlineStr">
        <is>
          <t>chỉ ở mức ý tưởng và thông số (sự kiện); không dùng tên, logo, văn bản, ảnh hay mô hình có bản quyền; tên và phù hiệu quốc gia thật không hiện cho người chơi</t>
        </is>
      </c>
      <c r="S12" t="inlineStr">
        <is>
          <t>Thu_hang</t>
        </is>
      </c>
      <c r="T12" t="inlineStr">
        <is>
          <t>spec 12.2 (11): Thu_hang</t>
        </is>
      </c>
      <c r="U12" t="inlineStr"/>
    </row>
    <row r="13">
      <c r="A13" t="inlineStr">
        <is>
          <t>Thuong</t>
        </is>
      </c>
      <c r="B13" t="inlineStr">
        <is>
          <t>Thuong</t>
        </is>
      </c>
      <c r="C13" t="inlineStr">
        <is>
          <t>Thưởng</t>
        </is>
      </c>
      <c r="D13" t="inlineStr">
        <is>
          <t>NEED_SOURCE</t>
        </is>
      </c>
      <c r="E13" t="inlineStr"/>
      <c r="F13" t="inlineStr"/>
      <c r="G13" t="inlineStr"/>
      <c r="H13" t="inlineStr">
        <is>
          <t>NEED_SOURCE</t>
        </is>
      </c>
      <c r="I13" t="inlineStr"/>
      <c r="J13" t="inlineStr"/>
      <c r="K13" t="inlineStr"/>
      <c r="L13" t="inlineStr"/>
      <c r="M13" t="inlineStr"/>
      <c r="N13" t="inlineStr"/>
      <c r="O13" t="inlineStr">
        <is>
          <t>NEED_SOURCE</t>
        </is>
      </c>
      <c r="P13" t="inlineStr"/>
      <c r="Q13" t="inlineStr">
        <is>
          <t>repo không ghi game tham khảo cho cơ chế này</t>
        </is>
      </c>
      <c r="R13" t="inlineStr">
        <is>
          <t>chỉ ở mức ý tưởng và thông số (sự kiện); không dùng tên, logo, văn bản, ảnh hay mô hình có bản quyền; tên và phù hiệu quốc gia thật không hiện cho người chơi</t>
        </is>
      </c>
      <c r="S13" t="inlineStr">
        <is>
          <t>Thuong</t>
        </is>
      </c>
      <c r="T13" t="inlineStr">
        <is>
          <t>spec 12.2 (11): Thuong</t>
        </is>
      </c>
      <c r="U13" t="inlineStr"/>
    </row>
    <row r="14">
      <c r="A14" t="inlineStr">
        <is>
          <t>Trang_bi_hang</t>
        </is>
      </c>
      <c r="B14" t="inlineStr">
        <is>
          <t>Trang_bi_hang</t>
        </is>
      </c>
      <c r="C14" t="inlineStr">
        <is>
          <t>Trang bị theo độ hiếm</t>
        </is>
      </c>
      <c r="D14" t="inlineStr">
        <is>
          <t>NEED_SOURCE</t>
        </is>
      </c>
      <c r="E14" t="inlineStr"/>
      <c r="F14" t="inlineStr"/>
      <c r="G14" t="inlineStr"/>
      <c r="H14" t="inlineStr">
        <is>
          <t>NEED_SOURCE</t>
        </is>
      </c>
      <c r="I14" t="inlineStr"/>
      <c r="J14" t="inlineStr"/>
      <c r="K14" t="inlineStr"/>
      <c r="L14" t="inlineStr"/>
      <c r="M14" t="inlineStr"/>
      <c r="N14" t="inlineStr"/>
      <c r="O14" t="inlineStr">
        <is>
          <t>NEED_SOURCE</t>
        </is>
      </c>
      <c r="P14" t="inlineStr"/>
      <c r="Q14" t="inlineStr">
        <is>
          <t>repo không ghi game tham khảo cho cơ chế này</t>
        </is>
      </c>
      <c r="R14" t="inlineStr">
        <is>
          <t>chỉ ở mức ý tưởng và thông số (sự kiện); không dùng tên, logo, văn bản, ảnh hay mô hình có bản quyền; tên và phù hiệu quốc gia thật không hiện cho người chơi</t>
        </is>
      </c>
      <c r="S14" t="inlineStr">
        <is>
          <t>Trang_bi_hang</t>
        </is>
      </c>
      <c r="T14" t="inlineStr">
        <is>
          <t>spec 12.2 (11): Trang_bi_hang</t>
        </is>
      </c>
      <c r="U14" t="inlineStr"/>
    </row>
  </sheetData>
  <autoFilter ref="A1:U14"/>
  <pageMargins left="0.75" right="0.75" top="1" bottom="1" header="0.5" footer="0.5"/>
</worksheet>
</file>

<file path=xl/worksheets/sheet3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8" customWidth="1" min="2" max="2"/>
    <col width="30" customWidth="1" min="3" max="3"/>
    <col width="12" customWidth="1" min="4" max="4"/>
    <col width="13" customWidth="1" min="5" max="5"/>
    <col width="11" customWidth="1" min="6" max="6"/>
    <col width="18" customWidth="1" min="7" max="7"/>
    <col width="16" customWidth="1" min="8" max="8"/>
    <col width="41" customWidth="1" min="9" max="9"/>
    <col width="60" customWidth="1" min="10" max="10"/>
    <col width="60" customWidth="1" min="11" max="11"/>
  </cols>
  <sheetData>
    <row r="1">
      <c r="A1" s="1" t="inlineStr">
        <is>
          <t>id</t>
        </is>
      </c>
      <c r="B1" s="1" t="inlineStr">
        <is>
          <t>nhom</t>
        </is>
      </c>
      <c r="C1" s="1" t="inlineStr">
        <is>
          <t>khoa</t>
        </is>
      </c>
      <c r="D1" s="1" t="inlineStr">
        <is>
          <t>gia_tri_so</t>
        </is>
      </c>
      <c r="E1" s="1" t="inlineStr">
        <is>
          <t>gia_tri_chu</t>
        </is>
      </c>
      <c r="F1" s="1" t="inlineStr">
        <is>
          <t>don_vi</t>
        </is>
      </c>
      <c r="G1" s="1" t="inlineStr">
        <is>
          <t>nhom_quet</t>
        </is>
      </c>
      <c r="H1" s="1" t="inlineStr">
        <is>
          <t>linh_vuc_ma_cu</t>
        </is>
      </c>
      <c r="I1" s="1" t="inlineStr">
        <is>
          <t>ma_nguon</t>
        </is>
      </c>
      <c r="J1" s="1" t="inlineStr">
        <is>
          <t>nguon</t>
        </is>
      </c>
      <c r="K1" s="1" t="inlineStr">
        <is>
          <t>raw_json</t>
        </is>
      </c>
    </row>
    <row r="2">
      <c r="A2" t="inlineStr">
        <is>
          <t>modes.baseStrengthRules.waveScaleExponent</t>
        </is>
      </c>
      <c r="B2" t="inlineStr">
        <is>
          <t>baseStrengthRules</t>
        </is>
      </c>
      <c r="C2" t="inlineStr">
        <is>
          <t>waveScaleExponent</t>
        </is>
      </c>
      <c r="D2" t="n">
        <v>0.75</v>
      </c>
      <c r="F2" t="inlineStr">
        <is>
          <t>x</t>
        </is>
      </c>
      <c r="G2" t="inlineStr">
        <is>
          <t>khac</t>
        </is>
      </c>
      <c r="H2" t="inlineStr">
        <is>
          <t>04</t>
        </is>
      </c>
      <c r="I2" t="inlineStr">
        <is>
          <t>BaseStrength.WaveScale</t>
        </is>
      </c>
      <c r="J2" t="inlineStr">
        <is>
          <t>Assets/MachineBrigade/Resources/Data/tunables.json: modes.baseStrengthRules.waveScaleExponent</t>
        </is>
      </c>
      <c r="K2" t="inlineStr">
        <is>
          <t>{"value":0.75,"unit":"x","kind":"khac","linh_vuc":"04","code":"BaseStrength.WaveScale"}</t>
        </is>
      </c>
    </row>
    <row r="3">
      <c r="A3" t="inlineStr">
        <is>
          <t>modes.baseStrengthRules.waveScaleMax</t>
        </is>
      </c>
      <c r="B3" t="inlineStr">
        <is>
          <t>baseStrengthRules</t>
        </is>
      </c>
      <c r="C3" t="inlineStr">
        <is>
          <t>waveScaleMax</t>
        </is>
      </c>
      <c r="D3" t="n">
        <v>2.5</v>
      </c>
      <c r="F3" t="inlineStr">
        <is>
          <t>x</t>
        </is>
      </c>
      <c r="G3" t="inlineStr">
        <is>
          <t>tran</t>
        </is>
      </c>
      <c r="H3" t="inlineStr">
        <is>
          <t>04</t>
        </is>
      </c>
      <c r="I3" t="inlineStr">
        <is>
          <t>BaseStrength.WaveScale</t>
        </is>
      </c>
      <c r="J3" t="inlineStr">
        <is>
          <t>Assets/MachineBrigade/Resources/Data/tunables.json: modes.baseStrengthRules.waveScaleMax</t>
        </is>
      </c>
      <c r="K3" t="inlineStr">
        <is>
          <t>{"value":2.5,"unit":"x","kind":"tran","linh_vuc":"04","code":"BaseStrength.WaveScale"}</t>
        </is>
      </c>
    </row>
    <row r="4">
      <c r="A4" t="inlineStr">
        <is>
          <t>modes.baseStrengthRules.waveScaleMin</t>
        </is>
      </c>
      <c r="B4" t="inlineStr">
        <is>
          <t>baseStrengthRules</t>
        </is>
      </c>
      <c r="C4" t="inlineStr">
        <is>
          <t>waveScaleMin</t>
        </is>
      </c>
      <c r="D4" t="n">
        <v>0.75</v>
      </c>
      <c r="F4" t="inlineStr">
        <is>
          <t>x</t>
        </is>
      </c>
      <c r="G4" t="inlineStr">
        <is>
          <t>tran</t>
        </is>
      </c>
      <c r="H4" t="inlineStr">
        <is>
          <t>04</t>
        </is>
      </c>
      <c r="I4" t="inlineStr">
        <is>
          <t>BaseStrength.WaveScale</t>
        </is>
      </c>
      <c r="J4" t="inlineStr">
        <is>
          <t>Assets/MachineBrigade/Resources/Data/tunables.json: modes.baseStrengthRules.waveScaleMin</t>
        </is>
      </c>
      <c r="K4" t="inlineStr">
        <is>
          <t>{"value":0.75,"unit":"x","kind":"tran","linh_vuc":"04","code":"BaseStrength.WaveScale"}</t>
        </is>
      </c>
    </row>
    <row r="5">
      <c r="A5" t="inlineStr">
        <is>
          <t>modes.battleEvents.claimReach</t>
        </is>
      </c>
      <c r="B5" t="inlineStr">
        <is>
          <t>battleEvents</t>
        </is>
      </c>
      <c r="C5" t="inlineStr">
        <is>
          <t>claimReach</t>
        </is>
      </c>
      <c r="D5" t="n">
        <v>6</v>
      </c>
      <c r="F5" t="inlineStr">
        <is>
          <t>m</t>
        </is>
      </c>
      <c r="G5" t="inlineStr">
        <is>
          <t>ban_kinh</t>
        </is>
      </c>
      <c r="H5" t="inlineStr">
        <is>
          <t>05</t>
        </is>
      </c>
      <c r="I5" t="inlineStr">
        <is>
          <t>BattleEvents.ClaimReach</t>
        </is>
      </c>
      <c r="J5" t="inlineStr">
        <is>
          <t>Assets/MachineBrigade/Resources/Data/tunables.json: modes.battleEvents.claimReach</t>
        </is>
      </c>
      <c r="K5" t="inlineStr">
        <is>
          <t>{"value":6.0,"unit":"m","kind":"ban_kinh","linh_vuc":"05","code":"BattleEvents.ClaimReach"}</t>
        </is>
      </c>
    </row>
    <row r="6">
      <c r="A6" t="inlineStr">
        <is>
          <t>modes.battleEvents.claimSeconds</t>
        </is>
      </c>
      <c r="B6" t="inlineStr">
        <is>
          <t>battleEvents</t>
        </is>
      </c>
      <c r="C6" t="inlineStr">
        <is>
          <t>claimSeconds</t>
        </is>
      </c>
      <c r="D6" t="n">
        <v>2</v>
      </c>
      <c r="F6" t="inlineStr">
        <is>
          <t>s</t>
        </is>
      </c>
      <c r="G6" t="inlineStr">
        <is>
          <t>thoi_gian</t>
        </is>
      </c>
      <c r="H6" t="inlineStr">
        <is>
          <t>05</t>
        </is>
      </c>
      <c r="I6" t="inlineStr">
        <is>
          <t>BattleEvents.ClaimSeconds</t>
        </is>
      </c>
      <c r="J6" t="inlineStr">
        <is>
          <t>Assets/MachineBrigade/Resources/Data/tunables.json: modes.battleEvents.claimSeconds</t>
        </is>
      </c>
      <c r="K6" t="inlineStr">
        <is>
          <t>{"value":2.0,"unit":"s","kind":"thoi_gian","linh_vuc":"05","code":"BattleEvents.ClaimSeconds"}</t>
        </is>
      </c>
    </row>
    <row r="7">
      <c r="A7" t="inlineStr">
        <is>
          <t>modes.battleEvents.crateCp</t>
        </is>
      </c>
      <c r="B7" t="inlineStr">
        <is>
          <t>battleEvents</t>
        </is>
      </c>
      <c r="C7" t="inlineStr">
        <is>
          <t>crateCp</t>
        </is>
      </c>
      <c r="D7" t="n">
        <v>10</v>
      </c>
      <c r="F7" t="inlineStr">
        <is>
          <t>CP</t>
        </is>
      </c>
      <c r="G7" t="inlineStr">
        <is>
          <t>thuong</t>
        </is>
      </c>
      <c r="H7" t="inlineStr">
        <is>
          <t>05</t>
        </is>
      </c>
      <c r="I7" t="inlineStr">
        <is>
          <t>BattleEvents.CrateCp</t>
        </is>
      </c>
      <c r="J7" t="inlineStr">
        <is>
          <t>Assets/MachineBrigade/Resources/Data/tunables.json: modes.battleEvents.crateCp</t>
        </is>
      </c>
      <c r="K7" t="inlineStr">
        <is>
          <t>{"value":10.0,"unit":"CP","kind":"thuong","linh_vuc":"05","code":"BattleEvents.CrateCp"}</t>
        </is>
      </c>
    </row>
    <row r="8">
      <c r="A8" t="inlineStr">
        <is>
          <t>modes.battleEvents.crateFall</t>
        </is>
      </c>
      <c r="B8" t="inlineStr">
        <is>
          <t>battleEvents</t>
        </is>
      </c>
      <c r="C8" t="inlineStr">
        <is>
          <t>crateFall</t>
        </is>
      </c>
      <c r="D8" t="n">
        <v>15</v>
      </c>
      <c r="F8" t="inlineStr">
        <is>
          <t>s</t>
        </is>
      </c>
      <c r="G8" t="inlineStr">
        <is>
          <t>thoi_gian</t>
        </is>
      </c>
      <c r="H8" t="inlineStr">
        <is>
          <t>05</t>
        </is>
      </c>
      <c r="I8" t="inlineStr">
        <is>
          <t>BattleEvents.CrateFall</t>
        </is>
      </c>
      <c r="J8" t="inlineStr">
        <is>
          <t>Assets/MachineBrigade/Resources/Data/tunables.json: modes.battleEvents.crateFall</t>
        </is>
      </c>
      <c r="K8" t="inlineStr">
        <is>
          <t>{"value":15.0,"unit":"s","kind":"thoi_gian","linh_vuc":"05","code":"BattleEvents.CrateFall"}</t>
        </is>
      </c>
    </row>
    <row r="9">
      <c r="A9" t="inlineStr">
        <is>
          <t>modes.battleEvents.crateLife</t>
        </is>
      </c>
      <c r="B9" t="inlineStr">
        <is>
          <t>battleEvents</t>
        </is>
      </c>
      <c r="C9" t="inlineStr">
        <is>
          <t>crateLife</t>
        </is>
      </c>
      <c r="D9" t="n">
        <v>50</v>
      </c>
      <c r="F9" t="inlineStr">
        <is>
          <t>s</t>
        </is>
      </c>
      <c r="G9" t="inlineStr">
        <is>
          <t>thoi_gian</t>
        </is>
      </c>
      <c r="H9" t="inlineStr">
        <is>
          <t>05</t>
        </is>
      </c>
      <c r="I9" t="inlineStr">
        <is>
          <t>BattleEvents.CrateLife</t>
        </is>
      </c>
      <c r="J9" t="inlineStr">
        <is>
          <t>Assets/MachineBrigade/Resources/Data/tunables.json: modes.battleEvents.crateLife</t>
        </is>
      </c>
      <c r="K9" t="inlineStr">
        <is>
          <t>{"value":50.0,"unit":"s","kind":"thoi_gian","linh_vuc":"05","code":"BattleEvents.CrateLife"}</t>
        </is>
      </c>
    </row>
    <row r="10">
      <c r="A10" t="inlineStr">
        <is>
          <t>modes.battleEvents.crateRepair</t>
        </is>
      </c>
      <c r="B10" t="inlineStr">
        <is>
          <t>battleEvents</t>
        </is>
      </c>
      <c r="C10" t="inlineStr">
        <is>
          <t>crateRepair</t>
        </is>
      </c>
      <c r="D10" t="n">
        <v>0.3</v>
      </c>
      <c r="F10" t="inlineStr">
        <is>
          <t>share</t>
        </is>
      </c>
      <c r="G10" t="inlineStr">
        <is>
          <t>thuong</t>
        </is>
      </c>
      <c r="H10" t="inlineStr">
        <is>
          <t>05</t>
        </is>
      </c>
      <c r="I10" t="inlineStr">
        <is>
          <t>BattleEvents.CrateRepair</t>
        </is>
      </c>
      <c r="J10" t="inlineStr">
        <is>
          <t>Assets/MachineBrigade/Resources/Data/tunables.json: modes.battleEvents.crateRepair</t>
        </is>
      </c>
      <c r="K10" t="inlineStr">
        <is>
          <t>{"value":0.3,"unit":"share","kind":"thuong","linh_vuc":"05","code":"BattleEvents.CrateRepair"}</t>
        </is>
      </c>
    </row>
    <row r="11">
      <c r="A11" t="inlineStr">
        <is>
          <t>modes.defendWaves.endlessCompound</t>
        </is>
      </c>
      <c r="B11" t="inlineStr">
        <is>
          <t>defendWaves</t>
        </is>
      </c>
      <c r="C11" t="inlineStr">
        <is>
          <t>endlessCompound</t>
        </is>
      </c>
      <c r="D11" t="n">
        <v>0.06</v>
      </c>
      <c r="F11" t="inlineStr">
        <is>
          <t>share/wave</t>
        </is>
      </c>
      <c r="G11" t="inlineStr">
        <is>
          <t>tan_suat</t>
        </is>
      </c>
      <c r="H11" t="inlineStr">
        <is>
          <t>05</t>
        </is>
      </c>
      <c r="I11" t="inlineStr">
        <is>
          <t>SiegeMode.DefendWaveCompound</t>
        </is>
      </c>
      <c r="J11" t="inlineStr">
        <is>
          <t>Assets/MachineBrigade/Resources/Data/tunables.json: modes.defendWaves.endlessCompound</t>
        </is>
      </c>
      <c r="K11" t="inlineStr">
        <is>
          <t>{"value":0.06,"unit":"share/wave","kind":"tan_suat","linh_vuc":"05","code":"SiegeMode.DefendWaveCompound"}</t>
        </is>
      </c>
    </row>
    <row r="12">
      <c r="A12" t="inlineStr">
        <is>
          <t>modes.defendWaves.endlessGrowth</t>
        </is>
      </c>
      <c r="B12" t="inlineStr">
        <is>
          <t>defendWaves</t>
        </is>
      </c>
      <c r="C12" t="inlineStr">
        <is>
          <t>endlessGrowth</t>
        </is>
      </c>
      <c r="D12" t="n">
        <v>1.2</v>
      </c>
      <c r="F12" t="inlineStr">
        <is>
          <t>count/wave</t>
        </is>
      </c>
      <c r="G12" t="inlineStr">
        <is>
          <t>tan_suat</t>
        </is>
      </c>
      <c r="H12" t="inlineStr">
        <is>
          <t>05</t>
        </is>
      </c>
      <c r="I12" t="inlineStr">
        <is>
          <t>SiegeMode.DefendWaveGrowth</t>
        </is>
      </c>
      <c r="J12" t="inlineStr">
        <is>
          <t>Assets/MachineBrigade/Resources/Data/tunables.json: modes.defendWaves.endlessGrowth</t>
        </is>
      </c>
      <c r="K12" t="inlineStr">
        <is>
          <t>{"value":1.2,"unit":"count/wave","kind":"tan_suat","linh_vuc":"05","code":"SiegeMode.DefendWaveGrowth"}</t>
        </is>
      </c>
    </row>
    <row r="13">
      <c r="A13" t="inlineStr">
        <is>
          <t>modes.defendWaves.endlessStartEasy</t>
        </is>
      </c>
      <c r="B13" t="inlineStr">
        <is>
          <t>defendWaves</t>
        </is>
      </c>
      <c r="C13" t="inlineStr">
        <is>
          <t>endlessStartEasy</t>
        </is>
      </c>
      <c r="D13" t="n">
        <v>4</v>
      </c>
      <c r="F13" t="inlineStr">
        <is>
          <t>count</t>
        </is>
      </c>
      <c r="G13" t="inlineStr">
        <is>
          <t>gioi_han_thuc_the</t>
        </is>
      </c>
      <c r="H13" t="inlineStr">
        <is>
          <t>05</t>
        </is>
      </c>
      <c r="I13" t="inlineStr">
        <is>
          <t>SiegeMode.DefendWaveStart</t>
        </is>
      </c>
      <c r="J13" t="inlineStr">
        <is>
          <t>Assets/MachineBrigade/Resources/Data/tunables.json: modes.defendWaves.endlessStartEasy</t>
        </is>
      </c>
      <c r="K13" t="inlineStr">
        <is>
          <t>{"value":4,"unit":"count","kind":"gioi_han_thuc_the","linh_vuc":"05","code":"SiegeMode.DefendWaveStart"}</t>
        </is>
      </c>
    </row>
    <row r="14">
      <c r="A14" t="inlineStr">
        <is>
          <t>modes.defendWaves.endlessStartHard</t>
        </is>
      </c>
      <c r="B14" t="inlineStr">
        <is>
          <t>defendWaves</t>
        </is>
      </c>
      <c r="C14" t="inlineStr">
        <is>
          <t>endlessStartHard</t>
        </is>
      </c>
      <c r="D14" t="n">
        <v>6</v>
      </c>
      <c r="F14" t="inlineStr">
        <is>
          <t>count</t>
        </is>
      </c>
      <c r="G14" t="inlineStr">
        <is>
          <t>gioi_han_thuc_the</t>
        </is>
      </c>
      <c r="H14" t="inlineStr">
        <is>
          <t>05</t>
        </is>
      </c>
      <c r="I14" t="inlineStr">
        <is>
          <t>SiegeMode.DefendWaveStart</t>
        </is>
      </c>
      <c r="J14" t="inlineStr">
        <is>
          <t>Assets/MachineBrigade/Resources/Data/tunables.json: modes.defendWaves.endlessStartHard</t>
        </is>
      </c>
      <c r="K14" t="inlineStr">
        <is>
          <t>{"value":6,"unit":"count","kind":"gioi_han_thuc_the","linh_vuc":"05","code":"SiegeMode.DefendWaveStart"}</t>
        </is>
      </c>
    </row>
    <row r="15">
      <c r="A15" t="inlineStr">
        <is>
          <t>modes.defendWaves.endlessStartNormal</t>
        </is>
      </c>
      <c r="B15" t="inlineStr">
        <is>
          <t>defendWaves</t>
        </is>
      </c>
      <c r="C15" t="inlineStr">
        <is>
          <t>endlessStartNormal</t>
        </is>
      </c>
      <c r="D15" t="n">
        <v>5</v>
      </c>
      <c r="F15" t="inlineStr">
        <is>
          <t>count</t>
        </is>
      </c>
      <c r="G15" t="inlineStr">
        <is>
          <t>gioi_han_thuc_the</t>
        </is>
      </c>
      <c r="H15" t="inlineStr">
        <is>
          <t>05</t>
        </is>
      </c>
      <c r="I15" t="inlineStr">
        <is>
          <t>SiegeMode.DefendWaveStart</t>
        </is>
      </c>
      <c r="J15" t="inlineStr">
        <is>
          <t>Assets/MachineBrigade/Resources/Data/tunables.json: modes.defendWaves.endlessStartNormal</t>
        </is>
      </c>
      <c r="K15" t="inlineStr">
        <is>
          <t>{"value":5,"unit":"count","kind":"gioi_han_thuc_the","linh_vuc":"05","code":"SiegeMode.DefendWaveStart"}</t>
        </is>
      </c>
    </row>
    <row r="16">
      <c r="A16" t="inlineStr">
        <is>
          <t>modes.defendWaves.growth</t>
        </is>
      </c>
      <c r="B16" t="inlineStr">
        <is>
          <t>defendWaves</t>
        </is>
      </c>
      <c r="C16" t="inlineStr">
        <is>
          <t>growth</t>
        </is>
      </c>
      <c r="D16" t="n">
        <v>1.8</v>
      </c>
      <c r="F16" t="inlineStr">
        <is>
          <t>count/wave</t>
        </is>
      </c>
      <c r="G16" t="inlineStr">
        <is>
          <t>tan_suat</t>
        </is>
      </c>
      <c r="H16" t="inlineStr">
        <is>
          <t>04</t>
        </is>
      </c>
      <c r="I16" t="inlineStr">
        <is>
          <t>SiegeMode.DefendWaveGrowth</t>
        </is>
      </c>
      <c r="J16" t="inlineStr">
        <is>
          <t>Assets/MachineBrigade/Resources/Data/tunables.json: modes.defendWaves.growth</t>
        </is>
      </c>
      <c r="K16" t="inlineStr">
        <is>
          <t>{"value":1.8,"unit":"count/wave","kind":"tan_suat","linh_vuc":"04","code":"SiegeMode.DefendWaveGrowth"}</t>
        </is>
      </c>
    </row>
    <row r="17">
      <c r="A17" t="inlineStr">
        <is>
          <t>modes.defendWaves.growthHard</t>
        </is>
      </c>
      <c r="B17" t="inlineStr">
        <is>
          <t>defendWaves</t>
        </is>
      </c>
      <c r="C17" t="inlineStr">
        <is>
          <t>growthHard</t>
        </is>
      </c>
      <c r="D17" t="n">
        <v>2</v>
      </c>
      <c r="F17" t="inlineStr">
        <is>
          <t>count/wave</t>
        </is>
      </c>
      <c r="G17" t="inlineStr">
        <is>
          <t>tan_suat</t>
        </is>
      </c>
      <c r="H17" t="inlineStr">
        <is>
          <t>04</t>
        </is>
      </c>
      <c r="I17" t="inlineStr">
        <is>
          <t>SiegeMode.DefendWaveGrowth</t>
        </is>
      </c>
      <c r="J17" t="inlineStr">
        <is>
          <t>Assets/MachineBrigade/Resources/Data/tunables.json: modes.defendWaves.growthHard</t>
        </is>
      </c>
      <c r="K17" t="inlineStr">
        <is>
          <t>{"value":2.0,"unit":"count/wave","kind":"tan_suat","linh_vuc":"04","code":"SiegeMode.DefendWaveGrowth"}</t>
        </is>
      </c>
    </row>
    <row r="18">
      <c r="A18" t="inlineStr">
        <is>
          <t>modes.defendWaves.startEasy</t>
        </is>
      </c>
      <c r="B18" t="inlineStr">
        <is>
          <t>defendWaves</t>
        </is>
      </c>
      <c r="C18" t="inlineStr">
        <is>
          <t>startEasy</t>
        </is>
      </c>
      <c r="D18" t="n">
        <v>2</v>
      </c>
      <c r="F18" t="inlineStr">
        <is>
          <t>count</t>
        </is>
      </c>
      <c r="G18" t="inlineStr">
        <is>
          <t>gioi_han_thuc_the</t>
        </is>
      </c>
      <c r="H18" t="inlineStr">
        <is>
          <t>04</t>
        </is>
      </c>
      <c r="I18" t="inlineStr">
        <is>
          <t>SiegeMode.DefendWaveStart</t>
        </is>
      </c>
      <c r="J18" t="inlineStr">
        <is>
          <t>Assets/MachineBrigade/Resources/Data/tunables.json: modes.defendWaves.startEasy</t>
        </is>
      </c>
      <c r="K18" t="inlineStr">
        <is>
          <t>{"value":2,"unit":"count","kind":"gioi_han_thuc_the","linh_vuc":"04","code":"SiegeMode.DefendWaveStart"}</t>
        </is>
      </c>
    </row>
    <row r="19">
      <c r="A19" t="inlineStr">
        <is>
          <t>modes.defendWaves.startHard</t>
        </is>
      </c>
      <c r="B19" t="inlineStr">
        <is>
          <t>defendWaves</t>
        </is>
      </c>
      <c r="C19" t="inlineStr">
        <is>
          <t>startHard</t>
        </is>
      </c>
      <c r="D19" t="n">
        <v>4</v>
      </c>
      <c r="F19" t="inlineStr">
        <is>
          <t>count</t>
        </is>
      </c>
      <c r="G19" t="inlineStr">
        <is>
          <t>gioi_han_thuc_the</t>
        </is>
      </c>
      <c r="H19" t="inlineStr">
        <is>
          <t>04</t>
        </is>
      </c>
      <c r="I19" t="inlineStr">
        <is>
          <t>SiegeMode.DefendWaveStart</t>
        </is>
      </c>
      <c r="J19" t="inlineStr">
        <is>
          <t>Assets/MachineBrigade/Resources/Data/tunables.json: modes.defendWaves.startHard</t>
        </is>
      </c>
      <c r="K19" t="inlineStr">
        <is>
          <t>{"value":4,"unit":"count","kind":"gioi_han_thuc_the","linh_vuc":"04","code":"SiegeMode.DefendWaveStart"}</t>
        </is>
      </c>
    </row>
    <row r="20">
      <c r="A20" t="inlineStr">
        <is>
          <t>modes.defendWaves.startNormal</t>
        </is>
      </c>
      <c r="B20" t="inlineStr">
        <is>
          <t>defendWaves</t>
        </is>
      </c>
      <c r="C20" t="inlineStr">
        <is>
          <t>startNormal</t>
        </is>
      </c>
      <c r="D20" t="n">
        <v>3</v>
      </c>
      <c r="F20" t="inlineStr">
        <is>
          <t>count</t>
        </is>
      </c>
      <c r="G20" t="inlineStr">
        <is>
          <t>gioi_han_thuc_the</t>
        </is>
      </c>
      <c r="H20" t="inlineStr">
        <is>
          <t>04</t>
        </is>
      </c>
      <c r="I20" t="inlineStr">
        <is>
          <t>SiegeMode.DefendWaveStart</t>
        </is>
      </c>
      <c r="J20" t="inlineStr">
        <is>
          <t>Assets/MachineBrigade/Resources/Data/tunables.json: modes.defendWaves.startNormal</t>
        </is>
      </c>
      <c r="K20" t="inlineStr">
        <is>
          <t>{"value":3,"unit":"count","kind":"gioi_han_thuc_the","linh_vuc":"04","code":"SiegeMode.DefendWaveStart"}</t>
        </is>
      </c>
    </row>
    <row r="21">
      <c r="A21" t="inlineStr">
        <is>
          <t>modes.defendWaves.waveMax</t>
        </is>
      </c>
      <c r="B21" t="inlineStr">
        <is>
          <t>defendWaves</t>
        </is>
      </c>
      <c r="C21" t="inlineStr">
        <is>
          <t>waveMax</t>
        </is>
      </c>
      <c r="D21" t="n">
        <v>36</v>
      </c>
      <c r="F21" t="inlineStr">
        <is>
          <t>count</t>
        </is>
      </c>
      <c r="G21" t="inlineStr">
        <is>
          <t>tran</t>
        </is>
      </c>
      <c r="H21" t="inlineStr">
        <is>
          <t>04</t>
        </is>
      </c>
      <c r="I21" t="inlineStr">
        <is>
          <t>SiegeMode.DefendWaveMax</t>
        </is>
      </c>
      <c r="J21" t="inlineStr">
        <is>
          <t>Assets/MachineBrigade/Resources/Data/tunables.json: modes.defendWaves.waveMax</t>
        </is>
      </c>
      <c r="K21" t="inlineStr">
        <is>
          <t>{"value":36,"unit":"count","kind":"tran","linh_vuc":"04","code":"SiegeMode.DefendWaveMax"}</t>
        </is>
      </c>
    </row>
    <row r="22">
      <c r="A22" t="inlineStr">
        <is>
          <t>modes.economyRules.bountyMax</t>
        </is>
      </c>
      <c r="B22" t="inlineStr">
        <is>
          <t>economyRules</t>
        </is>
      </c>
      <c r="C22" t="inlineStr">
        <is>
          <t>bountyMax</t>
        </is>
      </c>
      <c r="D22" t="n">
        <v>1.5</v>
      </c>
      <c r="F22" t="inlineStr">
        <is>
          <t>x</t>
        </is>
      </c>
      <c r="G22" t="inlineStr">
        <is>
          <t>thuong</t>
        </is>
      </c>
      <c r="H22" t="inlineStr">
        <is>
          <t>05</t>
        </is>
      </c>
      <c r="I22" t="inlineStr">
        <is>
          <t>EconomySystem.Bounty</t>
        </is>
      </c>
      <c r="J22" t="inlineStr">
        <is>
          <t>Assets/MachineBrigade/Resources/Data/tunables.json: modes.economyRules.bountyMax</t>
        </is>
      </c>
      <c r="K22" t="inlineStr">
        <is>
          <t>{"value":1.5,"unit":"x","kind":"thuong","linh_vuc":"05","code":"EconomySystem.Bounty"}</t>
        </is>
      </c>
    </row>
    <row r="23">
      <c r="A23" t="inlineStr">
        <is>
          <t>modes.economyRules.bountyMin</t>
        </is>
      </c>
      <c r="B23" t="inlineStr">
        <is>
          <t>economyRules</t>
        </is>
      </c>
      <c r="C23" t="inlineStr">
        <is>
          <t>bountyMin</t>
        </is>
      </c>
      <c r="D23" t="n">
        <v>0.5</v>
      </c>
      <c r="F23" t="inlineStr">
        <is>
          <t>x</t>
        </is>
      </c>
      <c r="G23" t="inlineStr">
        <is>
          <t>thuong</t>
        </is>
      </c>
      <c r="H23" t="inlineStr">
        <is>
          <t>05</t>
        </is>
      </c>
      <c r="I23" t="inlineStr">
        <is>
          <t>EconomySystem.Bounty</t>
        </is>
      </c>
      <c r="J23" t="inlineStr">
        <is>
          <t>Assets/MachineBrigade/Resources/Data/tunables.json: modes.economyRules.bountyMin</t>
        </is>
      </c>
      <c r="K23" t="inlineStr">
        <is>
          <t>{"value":0.5,"unit":"x","kind":"thuong","linh_vuc":"05","code":"EconomySystem.Bounty"}</t>
        </is>
      </c>
    </row>
    <row r="24">
      <c r="A24" t="inlineStr">
        <is>
          <t>modes.economyRules.catchUpOddsFloor</t>
        </is>
      </c>
      <c r="B24" t="inlineStr">
        <is>
          <t>economyRules</t>
        </is>
      </c>
      <c r="C24" t="inlineStr">
        <is>
          <t>catchUpOddsFloor</t>
        </is>
      </c>
      <c r="D24" t="n">
        <v>0.2</v>
      </c>
      <c r="F24" t="inlineStr">
        <is>
          <t>share</t>
        </is>
      </c>
      <c r="G24" t="inlineStr">
        <is>
          <t>nguong</t>
        </is>
      </c>
      <c r="H24" t="inlineStr">
        <is>
          <t>05</t>
        </is>
      </c>
      <c r="I24" t="inlineStr">
        <is>
          <t>EconomySystem.CatchUpFor</t>
        </is>
      </c>
      <c r="J24" t="inlineStr">
        <is>
          <t>Assets/MachineBrigade/Resources/Data/tunables.json: modes.economyRules.catchUpOddsFloor</t>
        </is>
      </c>
      <c r="K24" t="inlineStr">
        <is>
          <t>{"value":0.2,"unit":"share","kind":"nguong","linh_vuc":"05","code":"EconomySystem.CatchUpFor"}</t>
        </is>
      </c>
    </row>
    <row r="25">
      <c r="A25" t="inlineStr">
        <is>
          <t>modes.economyRules.killCreditSeconds</t>
        </is>
      </c>
      <c r="B25" t="inlineStr">
        <is>
          <t>economyRules</t>
        </is>
      </c>
      <c r="C25" t="inlineStr">
        <is>
          <t>killCreditSeconds</t>
        </is>
      </c>
      <c r="D25" t="n">
        <v>10</v>
      </c>
      <c r="F25" t="inlineStr">
        <is>
          <t>s</t>
        </is>
      </c>
      <c r="G25" t="inlineStr">
        <is>
          <t>thoi_gian</t>
        </is>
      </c>
      <c r="H25" t="inlineStr">
        <is>
          <t>05</t>
        </is>
      </c>
      <c r="I25" t="inlineStr">
        <is>
          <t>EconomySystem.OnVehicleDestroyed</t>
        </is>
      </c>
      <c r="J25" t="inlineStr">
        <is>
          <t>Assets/MachineBrigade/Resources/Data/tunables.json: modes.economyRules.killCreditSeconds</t>
        </is>
      </c>
      <c r="K25" t="inlineStr">
        <is>
          <t>{"value":10.0,"unit":"s","kind":"thoi_gian","linh_vuc":"05","code":"EconomySystem.OnVehicleDestroyed"}</t>
        </is>
      </c>
    </row>
    <row r="26">
      <c r="A26" t="inlineStr">
        <is>
          <t>modes.economyRules.supplyPerArmyCap</t>
        </is>
      </c>
      <c r="B26" t="inlineStr">
        <is>
          <t>economyRules</t>
        </is>
      </c>
      <c r="C26" t="inlineStr">
        <is>
          <t>supplyPerArmyCap</t>
        </is>
      </c>
      <c r="D26" t="n">
        <v>1.5</v>
      </c>
      <c r="F26" t="inlineStr">
        <is>
          <t>x</t>
        </is>
      </c>
      <c r="G26" t="inlineStr">
        <is>
          <t>nguong</t>
        </is>
      </c>
      <c r="H26" t="inlineStr">
        <is>
          <t>05</t>
        </is>
      </c>
      <c r="I26" t="inlineStr">
        <is>
          <t>TeamEconomy.Supply</t>
        </is>
      </c>
      <c r="J26" t="inlineStr">
        <is>
          <t>Assets/MachineBrigade/Resources/Data/tunables.json: modes.economyRules.supplyPerArmyCap</t>
        </is>
      </c>
      <c r="K26" t="inlineStr">
        <is>
          <t>{"value":1.5,"unit":"x","kind":"nguong","linh_vuc":"05","code":"TeamEconomy.Supply"}</t>
        </is>
      </c>
    </row>
    <row r="27">
      <c r="A27" t="inlineStr">
        <is>
          <t>modes.economyRules.supplyPriceScale</t>
        </is>
      </c>
      <c r="B27" t="inlineStr">
        <is>
          <t>economyRules</t>
        </is>
      </c>
      <c r="C27" t="inlineStr">
        <is>
          <t>supplyPriceScale</t>
        </is>
      </c>
      <c r="D27" t="n">
        <v>1.16</v>
      </c>
      <c r="F27" t="inlineStr">
        <is>
          <t>x</t>
        </is>
      </c>
      <c r="G27" t="inlineStr">
        <is>
          <t>nguong</t>
        </is>
      </c>
      <c r="H27" t="inlineStr">
        <is>
          <t>05</t>
        </is>
      </c>
      <c r="I27" t="inlineStr">
        <is>
          <t>TeamEconomy.ArmyCap (rule C, CHANGES.md)</t>
        </is>
      </c>
      <c r="J27" t="inlineStr">
        <is>
          <t>Assets/MachineBrigade/Resources/Data/tunables.json: modes.economyRules.supplyPriceScale</t>
        </is>
      </c>
      <c r="K27" t="inlineStr">
        <is>
          <t>{"value":1.16,"unit":"x","kind":"nguong","linh_vuc":"05","code":"TeamEconomy.ArmyCap (rule C, CHANGES.md)"}</t>
        </is>
      </c>
    </row>
    <row r="28">
      <c r="A28" t="inlineStr">
        <is>
          <t>modes.economyRules.upkeepFloor</t>
        </is>
      </c>
      <c r="B28" t="inlineStr">
        <is>
          <t>economyRules</t>
        </is>
      </c>
      <c r="C28" t="inlineStr">
        <is>
          <t>upkeepFloor</t>
        </is>
      </c>
      <c r="D28" t="n">
        <v>0.25</v>
      </c>
      <c r="F28" t="inlineStr">
        <is>
          <t>share</t>
        </is>
      </c>
      <c r="G28" t="inlineStr">
        <is>
          <t>tran</t>
        </is>
      </c>
      <c r="H28" t="inlineStr">
        <is>
          <t>05</t>
        </is>
      </c>
      <c r="I28" t="inlineStr">
        <is>
          <t>TeamEconomy.UpkeepFor</t>
        </is>
      </c>
      <c r="J28" t="inlineStr">
        <is>
          <t>Assets/MachineBrigade/Resources/Data/tunables.json: modes.economyRules.upkeepFloor</t>
        </is>
      </c>
      <c r="K28" t="inlineStr">
        <is>
          <t>{"value":0.25,"unit":"share","kind":"tran","linh_vuc":"05","code":"TeamEconomy.UpkeepFor"}</t>
        </is>
      </c>
    </row>
    <row r="29">
      <c r="A29" t="inlineStr">
        <is>
          <t>modes.economyRules.upkeepSlope</t>
        </is>
      </c>
      <c r="B29" t="inlineStr">
        <is>
          <t>economyRules</t>
        </is>
      </c>
      <c r="C29" t="inlineStr">
        <is>
          <t>upkeepSlope</t>
        </is>
      </c>
      <c r="D29" t="n">
        <v>0.5</v>
      </c>
      <c r="F29" t="inlineStr">
        <is>
          <t>share</t>
        </is>
      </c>
      <c r="G29" t="inlineStr">
        <is>
          <t>nguong</t>
        </is>
      </c>
      <c r="H29" t="inlineStr">
        <is>
          <t>05</t>
        </is>
      </c>
      <c r="I29" t="inlineStr">
        <is>
          <t>TeamEconomy.UpkeepFor</t>
        </is>
      </c>
      <c r="J29" t="inlineStr">
        <is>
          <t>Assets/MachineBrigade/Resources/Data/tunables.json: modes.economyRules.upkeepSlope</t>
        </is>
      </c>
      <c r="K29" t="inlineStr">
        <is>
          <t>{"value":0.5,"unit":"share","kind":"nguong","linh_vuc":"05","code":"TeamEconomy.UpkeepFor"}</t>
        </is>
      </c>
    </row>
    <row r="30">
      <c r="A30" t="inlineStr">
        <is>
          <t>modes.economySystem.catchUpBelow</t>
        </is>
      </c>
      <c r="B30" t="inlineStr">
        <is>
          <t>economySystem</t>
        </is>
      </c>
      <c r="C30" t="inlineStr">
        <is>
          <t>catchUpBelow</t>
        </is>
      </c>
      <c r="D30" t="n">
        <v>0.75</v>
      </c>
      <c r="F30" t="inlineStr">
        <is>
          <t>share</t>
        </is>
      </c>
      <c r="G30" t="inlineStr">
        <is>
          <t>nguong</t>
        </is>
      </c>
      <c r="H30" t="inlineStr">
        <is>
          <t>05</t>
        </is>
      </c>
      <c r="I30" t="inlineStr">
        <is>
          <t>EconomySystem.CatchUpBelow</t>
        </is>
      </c>
      <c r="J30" t="inlineStr">
        <is>
          <t>Assets/MachineBrigade/Resources/Data/tunables.json: modes.economySystem.catchUpBelow</t>
        </is>
      </c>
      <c r="K30" t="inlineStr">
        <is>
          <t>{"value":0.75,"unit":"share","kind":"nguong","linh_vuc":"05","code":"EconomySystem.CatchUpBelow"}</t>
        </is>
      </c>
    </row>
    <row r="31">
      <c r="A31" t="inlineStr">
        <is>
          <t>modes.economySystem.catchUpMinimumArmy</t>
        </is>
      </c>
      <c r="B31" t="inlineStr">
        <is>
          <t>economySystem</t>
        </is>
      </c>
      <c r="C31" t="inlineStr">
        <is>
          <t>catchUpMinimumArmy</t>
        </is>
      </c>
      <c r="D31" t="n">
        <v>14</v>
      </c>
      <c r="F31" t="inlineStr">
        <is>
          <t>CP</t>
        </is>
      </c>
      <c r="G31" t="inlineStr">
        <is>
          <t>tran</t>
        </is>
      </c>
      <c r="H31" t="inlineStr">
        <is>
          <t>05</t>
        </is>
      </c>
      <c r="I31" t="inlineStr">
        <is>
          <t>EconomySystem.CatchUpMinimumArmy</t>
        </is>
      </c>
      <c r="J31" t="inlineStr">
        <is>
          <t>Assets/MachineBrigade/Resources/Data/tunables.json: modes.economySystem.catchUpMinimumArmy</t>
        </is>
      </c>
      <c r="K31" t="inlineStr">
        <is>
          <t>{"value":14,"unit":"CP","kind":"tran","linh_vuc":"05","code":"EconomySystem.CatchUpMinimumArmy"}</t>
        </is>
      </c>
    </row>
    <row r="32">
      <c r="A32" t="inlineStr">
        <is>
          <t>modes.economySystem.catchUpSettle</t>
        </is>
      </c>
      <c r="B32" t="inlineStr">
        <is>
          <t>economySystem</t>
        </is>
      </c>
      <c r="C32" t="inlineStr">
        <is>
          <t>catchUpSettle</t>
        </is>
      </c>
      <c r="D32" t="n">
        <v>4</v>
      </c>
      <c r="F32" t="inlineStr">
        <is>
          <t>s</t>
        </is>
      </c>
      <c r="G32" t="inlineStr">
        <is>
          <t>tan_suat</t>
        </is>
      </c>
      <c r="H32" t="inlineStr">
        <is>
          <t>05</t>
        </is>
      </c>
      <c r="I32" t="inlineStr">
        <is>
          <t>EconomySystem.CatchUpSettle</t>
        </is>
      </c>
      <c r="J32" t="inlineStr">
        <is>
          <t>Assets/MachineBrigade/Resources/Data/tunables.json: modes.economySystem.catchUpSettle</t>
        </is>
      </c>
      <c r="K32" t="inlineStr">
        <is>
          <t>{"value":4.0,"unit":"s","kind":"tan_suat","linh_vuc":"05","code":"EconomySystem.CatchUpSettle"}</t>
        </is>
      </c>
    </row>
    <row r="33">
      <c r="A33" t="inlineStr">
        <is>
          <t>modes.economySystem.deliverySeconds</t>
        </is>
      </c>
      <c r="B33" t="inlineStr">
        <is>
          <t>economySystem</t>
        </is>
      </c>
      <c r="C33" t="inlineStr">
        <is>
          <t>deliverySeconds</t>
        </is>
      </c>
      <c r="D33" t="n">
        <v>3.5</v>
      </c>
      <c r="F33" t="inlineStr">
        <is>
          <t>s</t>
        </is>
      </c>
      <c r="G33" t="inlineStr">
        <is>
          <t>thoi_gian</t>
        </is>
      </c>
      <c r="H33" t="inlineStr">
        <is>
          <t>05</t>
        </is>
      </c>
      <c r="I33" t="inlineStr">
        <is>
          <t>EconomySystem.DeliverySeconds</t>
        </is>
      </c>
      <c r="J33" t="inlineStr">
        <is>
          <t>Assets/MachineBrigade/Resources/Data/tunables.json: modes.economySystem.deliverySeconds</t>
        </is>
      </c>
      <c r="K33" t="inlineStr">
        <is>
          <t>{"value":3.5,"unit":"s","kind":"thoi_gian","linh_vuc":"05","code":"EconomySystem.DeliverySeconds"}</t>
        </is>
      </c>
    </row>
    <row r="34">
      <c r="A34" t="inlineStr">
        <is>
          <t>modes.economySystem.killRefundCap</t>
        </is>
      </c>
      <c r="B34" t="inlineStr">
        <is>
          <t>economySystem</t>
        </is>
      </c>
      <c r="C34" t="inlineStr">
        <is>
          <t>killRefundCap</t>
        </is>
      </c>
      <c r="D34" t="n">
        <v>0.45</v>
      </c>
      <c r="F34" t="inlineStr">
        <is>
          <t>share</t>
        </is>
      </c>
      <c r="G34" t="inlineStr">
        <is>
          <t>tran</t>
        </is>
      </c>
      <c r="H34" t="inlineStr">
        <is>
          <t>05</t>
        </is>
      </c>
      <c r="I34" t="inlineStr">
        <is>
          <t>EconomySystem.KillRefundCap</t>
        </is>
      </c>
      <c r="J34" t="inlineStr">
        <is>
          <t>Assets/MachineBrigade/Resources/Data/tunables.json: modes.economySystem.killRefundCap</t>
        </is>
      </c>
      <c r="K34" t="inlineStr">
        <is>
          <t>{"value":0.45,"unit":"share","kind":"tran","linh_vuc":"05","code":"EconomySystem.KillRefundCap"}</t>
        </is>
      </c>
    </row>
    <row r="35">
      <c r="A35" t="inlineStr">
        <is>
          <t>modes.economySystem.killReward</t>
        </is>
      </c>
      <c r="B35" t="inlineStr">
        <is>
          <t>economySystem</t>
        </is>
      </c>
      <c r="C35" t="inlineStr">
        <is>
          <t>killReward</t>
        </is>
      </c>
      <c r="D35" t="n">
        <v>0.25</v>
      </c>
      <c r="F35" t="inlineStr">
        <is>
          <t>share</t>
        </is>
      </c>
      <c r="G35" t="inlineStr">
        <is>
          <t>thuong</t>
        </is>
      </c>
      <c r="H35" t="inlineStr">
        <is>
          <t>05</t>
        </is>
      </c>
      <c r="I35" t="inlineStr">
        <is>
          <t>EconomySystem.KillReward</t>
        </is>
      </c>
      <c r="J35" t="inlineStr">
        <is>
          <t>Assets/MachineBrigade/Resources/Data/tunables.json: modes.economySystem.killReward</t>
        </is>
      </c>
      <c r="K35" t="inlineStr">
        <is>
          <t>{"value":0.25,"unit":"share","kind":"thuong","linh_vuc":"05","code":"EconomySystem.KillReward"}</t>
        </is>
      </c>
    </row>
    <row r="36">
      <c r="A36" t="inlineStr">
        <is>
          <t>modes.economySystem.lossRefundCap</t>
        </is>
      </c>
      <c r="B36" t="inlineStr">
        <is>
          <t>economySystem</t>
        </is>
      </c>
      <c r="C36" t="inlineStr">
        <is>
          <t>lossRefundCap</t>
        </is>
      </c>
      <c r="D36" t="n">
        <v>0.15</v>
      </c>
      <c r="F36" t="inlineStr">
        <is>
          <t>share</t>
        </is>
      </c>
      <c r="G36" t="inlineStr">
        <is>
          <t>tran</t>
        </is>
      </c>
      <c r="H36" t="inlineStr">
        <is>
          <t>05</t>
        </is>
      </c>
      <c r="I36" t="inlineStr">
        <is>
          <t>EconomySystem.LossRefundCap</t>
        </is>
      </c>
      <c r="J36" t="inlineStr">
        <is>
          <t>Assets/MachineBrigade/Resources/Data/tunables.json: modes.economySystem.lossRefundCap</t>
        </is>
      </c>
      <c r="K36" t="inlineStr">
        <is>
          <t>{"value":0.15,"unit":"share","kind":"tran","linh_vuc":"05","code":"EconomySystem.LossRefundCap"}</t>
        </is>
      </c>
    </row>
    <row r="37">
      <c r="A37" t="inlineStr">
        <is>
          <t>modes.economySystem.maxCatchUp</t>
        </is>
      </c>
      <c r="B37" t="inlineStr">
        <is>
          <t>economySystem</t>
        </is>
      </c>
      <c r="C37" t="inlineStr">
        <is>
          <t>maxCatchUp</t>
        </is>
      </c>
      <c r="D37" t="n">
        <v>0.5</v>
      </c>
      <c r="F37" t="inlineStr">
        <is>
          <t>share</t>
        </is>
      </c>
      <c r="G37" t="inlineStr">
        <is>
          <t>tran</t>
        </is>
      </c>
      <c r="H37" t="inlineStr">
        <is>
          <t>05</t>
        </is>
      </c>
      <c r="I37" t="inlineStr">
        <is>
          <t>EconomySystem.MaxCatchUp</t>
        </is>
      </c>
      <c r="J37" t="inlineStr">
        <is>
          <t>Assets/MachineBrigade/Resources/Data/tunables.json: modes.economySystem.maxCatchUp</t>
        </is>
      </c>
      <c r="K37" t="inlineStr">
        <is>
          <t>{"value":0.5,"unit":"share","kind":"tran","linh_vuc":"05","code":"EconomySystem.MaxCatchUp"}</t>
        </is>
      </c>
    </row>
    <row r="38">
      <c r="A38" t="inlineStr">
        <is>
          <t>modes.economySystem.rollIn</t>
        </is>
      </c>
      <c r="B38" t="inlineStr">
        <is>
          <t>economySystem</t>
        </is>
      </c>
      <c r="C38" t="inlineStr">
        <is>
          <t>rollIn</t>
        </is>
      </c>
      <c r="D38" t="n">
        <v>12</v>
      </c>
      <c r="F38" t="inlineStr">
        <is>
          <t>m</t>
        </is>
      </c>
      <c r="G38" t="inlineStr">
        <is>
          <t>khac</t>
        </is>
      </c>
      <c r="H38" t="inlineStr">
        <is>
          <t>05</t>
        </is>
      </c>
      <c r="I38" t="inlineStr">
        <is>
          <t>EconomySystem.RollIn</t>
        </is>
      </c>
      <c r="J38" t="inlineStr">
        <is>
          <t>Assets/MachineBrigade/Resources/Data/tunables.json: modes.economySystem.rollIn</t>
        </is>
      </c>
      <c r="K38" t="inlineStr">
        <is>
          <t>{"value":12.0,"unit":"m","kind":"khac","linh_vuc":"05","code":"EconomySystem.RollIn"}</t>
        </is>
      </c>
    </row>
    <row r="39">
      <c r="A39" t="inlineStr">
        <is>
          <t>modes.endlessRules.bossBadges</t>
        </is>
      </c>
      <c r="B39" t="inlineStr">
        <is>
          <t>endlessRules</t>
        </is>
      </c>
      <c r="C39" t="inlineStr">
        <is>
          <t>bossBadges</t>
        </is>
      </c>
      <c r="E39" t="inlineStr">
        <is>
          <t>5;10</t>
        </is>
      </c>
      <c r="F39" t="inlineStr">
        <is>
          <t>bosses</t>
        </is>
      </c>
      <c r="G39" t="inlineStr">
        <is>
          <t>gioi_han_thuc_the</t>
        </is>
      </c>
      <c r="H39" t="inlineStr">
        <is>
          <t>05</t>
        </is>
      </c>
      <c r="I39" t="inlineStr">
        <is>
          <t>EndlessRules.BossBadges</t>
        </is>
      </c>
      <c r="J39" t="inlineStr">
        <is>
          <t>Assets/MachineBrigade/Resources/Data/tunables.json: modes.endlessRules.bossBadges</t>
        </is>
      </c>
      <c r="K39" t="inlineStr">
        <is>
          <t>{"value":[5,10],"unit":"bosses","kind":"gioi_han_thuc_the","linh_vuc":"05","code":"EndlessRules.BossBadges"}</t>
        </is>
      </c>
    </row>
    <row r="40">
      <c r="A40" t="inlineStr">
        <is>
          <t>modes.endlessRules.bossCoins</t>
        </is>
      </c>
      <c r="B40" t="inlineStr">
        <is>
          <t>endlessRules</t>
        </is>
      </c>
      <c r="C40" t="inlineStr">
        <is>
          <t>bossCoins</t>
        </is>
      </c>
      <c r="D40" t="n">
        <v>60</v>
      </c>
      <c r="F40" t="inlineStr">
        <is>
          <t>coins</t>
        </is>
      </c>
      <c r="G40" t="inlineStr">
        <is>
          <t>thuong</t>
        </is>
      </c>
      <c r="H40" t="inlineStr">
        <is>
          <t>05</t>
        </is>
      </c>
      <c r="I40" t="inlineStr">
        <is>
          <t>EndlessRules.BossCoins</t>
        </is>
      </c>
      <c r="J40" t="inlineStr">
        <is>
          <t>Assets/MachineBrigade/Resources/Data/tunables.json: modes.endlessRules.bossCoins</t>
        </is>
      </c>
      <c r="K40" t="inlineStr">
        <is>
          <t>{"value":60,"unit":"coins","kind":"thuong","linh_vuc":"05","code":"EndlessRules.BossCoins"}</t>
        </is>
      </c>
    </row>
    <row r="41">
      <c r="A41" t="inlineStr">
        <is>
          <t>modes.endlessRules.bossEvery</t>
        </is>
      </c>
      <c r="B41" t="inlineStr">
        <is>
          <t>endlessRules</t>
        </is>
      </c>
      <c r="C41" t="inlineStr">
        <is>
          <t>bossEvery</t>
        </is>
      </c>
      <c r="D41" t="n">
        <v>10</v>
      </c>
      <c r="F41" t="inlineStr">
        <is>
          <t>waves</t>
        </is>
      </c>
      <c r="G41" t="inlineStr">
        <is>
          <t>thoi_gian</t>
        </is>
      </c>
      <c r="H41" t="inlineStr">
        <is>
          <t>05</t>
        </is>
      </c>
      <c r="I41" t="inlineStr">
        <is>
          <t>EndlessRules.BossEvery</t>
        </is>
      </c>
      <c r="J41" t="inlineStr">
        <is>
          <t>Assets/MachineBrigade/Resources/Data/tunables.json: modes.endlessRules.bossEvery</t>
        </is>
      </c>
      <c r="K41" t="inlineStr">
        <is>
          <t>{"value":10,"unit":"waves","kind":"thoi_gian","linh_vuc":"05","code":"EndlessRules.BossEvery"}</t>
        </is>
      </c>
    </row>
    <row r="42">
      <c r="A42" t="inlineStr">
        <is>
          <t>modes.endlessRules.coinDecay</t>
        </is>
      </c>
      <c r="B42" t="inlineStr">
        <is>
          <t>endlessRules</t>
        </is>
      </c>
      <c r="C42" t="inlineStr">
        <is>
          <t>coinDecay</t>
        </is>
      </c>
      <c r="D42" t="n">
        <v>0.9</v>
      </c>
      <c r="F42" t="inlineStr">
        <is>
          <t>x</t>
        </is>
      </c>
      <c r="G42" t="inlineStr">
        <is>
          <t>thuong</t>
        </is>
      </c>
      <c r="H42" t="inlineStr">
        <is>
          <t>05</t>
        </is>
      </c>
      <c r="I42" t="inlineStr">
        <is>
          <t>EndlessRules.CoinDecay</t>
        </is>
      </c>
      <c r="J42" t="inlineStr">
        <is>
          <t>Assets/MachineBrigade/Resources/Data/tunables.json: modes.endlessRules.coinDecay</t>
        </is>
      </c>
      <c r="K42" t="inlineStr">
        <is>
          <t>{"value":0.9,"unit":"x","kind":"thuong","linh_vuc":"05","code":"EndlessRules.CoinDecay"}</t>
        </is>
      </c>
    </row>
    <row r="43">
      <c r="A43" t="inlineStr">
        <is>
          <t>modes.endlessRules.dailyCap</t>
        </is>
      </c>
      <c r="B43" t="inlineStr">
        <is>
          <t>endlessRules</t>
        </is>
      </c>
      <c r="C43" t="inlineStr">
        <is>
          <t>dailyCap</t>
        </is>
      </c>
      <c r="D43" t="n">
        <v>600</v>
      </c>
      <c r="F43" t="inlineStr">
        <is>
          <t>coins</t>
        </is>
      </c>
      <c r="G43" t="inlineStr">
        <is>
          <t>tran</t>
        </is>
      </c>
      <c r="H43" t="inlineStr">
        <is>
          <t>05</t>
        </is>
      </c>
      <c r="I43" t="inlineStr">
        <is>
          <t>EndlessRules.DailyCap</t>
        </is>
      </c>
      <c r="J43" t="inlineStr">
        <is>
          <t>Assets/MachineBrigade/Resources/Data/tunables.json: modes.endlessRules.dailyCap</t>
        </is>
      </c>
      <c r="K43" t="inlineStr">
        <is>
          <t>{"value":600,"unit":"coins","kind":"tran","linh_vuc":"05","code":"EndlessRules.DailyCap"}</t>
        </is>
      </c>
    </row>
    <row r="44">
      <c r="A44" t="inlineStr">
        <is>
          <t>modes.endlessRules.defendFiniteWaves</t>
        </is>
      </c>
      <c r="B44" t="inlineStr">
        <is>
          <t>endlessRules</t>
        </is>
      </c>
      <c r="C44" t="inlineStr">
        <is>
          <t>defendFiniteWaves</t>
        </is>
      </c>
      <c r="D44" t="n">
        <v>10</v>
      </c>
      <c r="F44" t="inlineStr">
        <is>
          <t>waves</t>
        </is>
      </c>
      <c r="G44" t="inlineStr">
        <is>
          <t>gioi_han_thuc_the</t>
        </is>
      </c>
      <c r="H44" t="inlineStr">
        <is>
          <t>05</t>
        </is>
      </c>
      <c r="I44" t="inlineStr">
        <is>
          <t>EndlessRules.DefendFiniteWaves</t>
        </is>
      </c>
      <c r="J44" t="inlineStr">
        <is>
          <t>Assets/MachineBrigade/Resources/Data/tunables.json: modes.endlessRules.defendFiniteWaves</t>
        </is>
      </c>
      <c r="K44" t="inlineStr">
        <is>
          <t>{"value":10,"unit":"waves","kind":"gioi_han_thuc_the","linh_vuc":"05","code":"EndlessRules.DefendFiniteWaves"}</t>
        </is>
      </c>
    </row>
    <row r="45">
      <c r="A45" t="inlineStr">
        <is>
          <t>modes.endlessRules.enemyPerBoss</t>
        </is>
      </c>
      <c r="B45" t="inlineStr">
        <is>
          <t>endlessRules</t>
        </is>
      </c>
      <c r="C45" t="inlineStr">
        <is>
          <t>enemyPerBoss</t>
        </is>
      </c>
      <c r="D45" t="n">
        <v>0.08</v>
      </c>
      <c r="F45" t="inlineStr">
        <is>
          <t>share/step</t>
        </is>
      </c>
      <c r="G45" t="inlineStr">
        <is>
          <t>khac</t>
        </is>
      </c>
      <c r="H45" t="inlineStr">
        <is>
          <t>05</t>
        </is>
      </c>
      <c r="I45" t="inlineStr">
        <is>
          <t>EndlessRules.EnemyPerBoss</t>
        </is>
      </c>
      <c r="J45" t="inlineStr">
        <is>
          <t>Assets/MachineBrigade/Resources/Data/tunables.json: modes.endlessRules.enemyPerBoss</t>
        </is>
      </c>
      <c r="K45" t="inlineStr">
        <is>
          <t>{"value":0.08,"unit":"share/step","kind":"khac","linh_vuc":"05","code":"EndlessRules.EnemyPerBoss"}</t>
        </is>
      </c>
    </row>
    <row r="46">
      <c r="A46" t="inlineStr">
        <is>
          <t>modes.endlessRules.enemyPerWave</t>
        </is>
      </c>
      <c r="B46" t="inlineStr">
        <is>
          <t>endlessRules</t>
        </is>
      </c>
      <c r="C46" t="inlineStr">
        <is>
          <t>enemyPerWave</t>
        </is>
      </c>
      <c r="D46" t="n">
        <v>0.04</v>
      </c>
      <c r="F46" t="inlineStr">
        <is>
          <t>share/wave</t>
        </is>
      </c>
      <c r="G46" t="inlineStr">
        <is>
          <t>khac</t>
        </is>
      </c>
      <c r="H46" t="inlineStr">
        <is>
          <t>05</t>
        </is>
      </c>
      <c r="I46" t="inlineStr">
        <is>
          <t>EndlessRules.EnemyPerWave</t>
        </is>
      </c>
      <c r="J46" t="inlineStr">
        <is>
          <t>Assets/MachineBrigade/Resources/Data/tunables.json: modes.endlessRules.enemyPerWave</t>
        </is>
      </c>
      <c r="K46" t="inlineStr">
        <is>
          <t>{"value":0.04,"unit":"share/wave","kind":"khac","linh_vuc":"05","code":"EndlessRules.EnemyPerWave"}</t>
        </is>
      </c>
    </row>
    <row r="47">
      <c r="A47" t="inlineStr">
        <is>
          <t>modes.endlessRules.miniBossEvery</t>
        </is>
      </c>
      <c r="B47" t="inlineStr">
        <is>
          <t>endlessRules</t>
        </is>
      </c>
      <c r="C47" t="inlineStr">
        <is>
          <t>miniBossEvery</t>
        </is>
      </c>
      <c r="D47" t="n">
        <v>5</v>
      </c>
      <c r="F47" t="inlineStr">
        <is>
          <t>waves</t>
        </is>
      </c>
      <c r="G47" t="inlineStr">
        <is>
          <t>thoi_gian</t>
        </is>
      </c>
      <c r="H47" t="inlineStr">
        <is>
          <t>05</t>
        </is>
      </c>
      <c r="I47" t="inlineStr">
        <is>
          <t>EndlessRules.MiniBossEvery</t>
        </is>
      </c>
      <c r="J47" t="inlineStr">
        <is>
          <t>Assets/MachineBrigade/Resources/Data/tunables.json: modes.endlessRules.miniBossEvery</t>
        </is>
      </c>
      <c r="K47" t="inlineStr">
        <is>
          <t>{"value":5,"unit":"waves","kind":"thoi_gian","linh_vuc":"05","code":"EndlessRules.MiniBossEvery"}</t>
        </is>
      </c>
    </row>
    <row r="48">
      <c r="A48" t="inlineStr">
        <is>
          <t>modes.endlessRules.playerMax</t>
        </is>
      </c>
      <c r="B48" t="inlineStr">
        <is>
          <t>endlessRules</t>
        </is>
      </c>
      <c r="C48" t="inlineStr">
        <is>
          <t>playerMax</t>
        </is>
      </c>
      <c r="D48" t="n">
        <v>0.3</v>
      </c>
      <c r="F48" t="inlineStr">
        <is>
          <t>share</t>
        </is>
      </c>
      <c r="G48" t="inlineStr">
        <is>
          <t>tran</t>
        </is>
      </c>
      <c r="H48" t="inlineStr">
        <is>
          <t>05</t>
        </is>
      </c>
      <c r="I48" t="inlineStr">
        <is>
          <t>EndlessRules.PlayerMax</t>
        </is>
      </c>
      <c r="J48" t="inlineStr">
        <is>
          <t>Assets/MachineBrigade/Resources/Data/tunables.json: modes.endlessRules.playerMax</t>
        </is>
      </c>
      <c r="K48" t="inlineStr">
        <is>
          <t>{"value":0.3,"unit":"share","kind":"tran","linh_vuc":"05","code":"EndlessRules.PlayerMax"}</t>
        </is>
      </c>
    </row>
    <row r="49">
      <c r="A49" t="inlineStr">
        <is>
          <t>modes.endlessRules.playerPerWave</t>
        </is>
      </c>
      <c r="B49" t="inlineStr">
        <is>
          <t>endlessRules</t>
        </is>
      </c>
      <c r="C49" t="inlineStr">
        <is>
          <t>playerPerWave</t>
        </is>
      </c>
      <c r="D49" t="n">
        <v>0.02</v>
      </c>
      <c r="F49" t="inlineStr">
        <is>
          <t>share/wave</t>
        </is>
      </c>
      <c r="G49" t="inlineStr">
        <is>
          <t>khac</t>
        </is>
      </c>
      <c r="H49" t="inlineStr">
        <is>
          <t>05</t>
        </is>
      </c>
      <c r="I49" t="inlineStr">
        <is>
          <t>EndlessRules.PlayerPerWave</t>
        </is>
      </c>
      <c r="J49" t="inlineStr">
        <is>
          <t>Assets/MachineBrigade/Resources/Data/tunables.json: modes.endlessRules.playerPerWave</t>
        </is>
      </c>
      <c r="K49" t="inlineStr">
        <is>
          <t>{"value":0.02,"unit":"share/wave","kind":"khac","linh_vuc":"05","code":"EndlessRules.PlayerPerWave"}</t>
        </is>
      </c>
    </row>
    <row r="50">
      <c r="A50" t="inlineStr">
        <is>
          <t>modes.endlessRules.survivalWaves</t>
        </is>
      </c>
      <c r="B50" t="inlineStr">
        <is>
          <t>endlessRules</t>
        </is>
      </c>
      <c r="C50" t="inlineStr">
        <is>
          <t>survivalWaves</t>
        </is>
      </c>
      <c r="D50" t="n">
        <v>10</v>
      </c>
      <c r="F50" t="inlineStr">
        <is>
          <t>waves</t>
        </is>
      </c>
      <c r="G50" t="inlineStr">
        <is>
          <t>gioi_han_thuc_the</t>
        </is>
      </c>
      <c r="H50" t="inlineStr">
        <is>
          <t>05</t>
        </is>
      </c>
      <c r="I50" t="inlineStr">
        <is>
          <t>EndlessRules.SurvivalWaves</t>
        </is>
      </c>
      <c r="J50" t="inlineStr">
        <is>
          <t>Assets/MachineBrigade/Resources/Data/tunables.json: modes.endlessRules.survivalWaves</t>
        </is>
      </c>
      <c r="K50" t="inlineStr">
        <is>
          <t>{"value":10,"unit":"waves","kind":"gioi_han_thuc_the","linh_vuc":"05","code":"EndlessRules.SurvivalWaves"}</t>
        </is>
      </c>
    </row>
    <row r="51">
      <c r="A51" t="inlineStr">
        <is>
          <t>modes.endlessRules.waveBadges</t>
        </is>
      </c>
      <c r="B51" t="inlineStr">
        <is>
          <t>endlessRules</t>
        </is>
      </c>
      <c r="C51" t="inlineStr">
        <is>
          <t>waveBadges</t>
        </is>
      </c>
      <c r="E51" t="inlineStr">
        <is>
          <t>10;20;30</t>
        </is>
      </c>
      <c r="F51" t="inlineStr">
        <is>
          <t>waves</t>
        </is>
      </c>
      <c r="G51" t="inlineStr">
        <is>
          <t>gioi_han_thuc_the</t>
        </is>
      </c>
      <c r="H51" t="inlineStr">
        <is>
          <t>05</t>
        </is>
      </c>
      <c r="I51" t="inlineStr">
        <is>
          <t>EndlessRules.WaveBadges</t>
        </is>
      </c>
      <c r="J51" t="inlineStr">
        <is>
          <t>Assets/MachineBrigade/Resources/Data/tunables.json: modes.endlessRules.waveBadges</t>
        </is>
      </c>
      <c r="K51" t="inlineStr">
        <is>
          <t>{"value":[10,20,30],"unit":"waves","kind":"gioi_han_thuc_the","linh_vuc":"05","code":"EndlessRules.WaveBadges"}</t>
        </is>
      </c>
    </row>
    <row r="52">
      <c r="A52" t="inlineStr">
        <is>
          <t>modes.endlessRules.waveCoins</t>
        </is>
      </c>
      <c r="B52" t="inlineStr">
        <is>
          <t>endlessRules</t>
        </is>
      </c>
      <c r="C52" t="inlineStr">
        <is>
          <t>waveCoins</t>
        </is>
      </c>
      <c r="D52" t="n">
        <v>18</v>
      </c>
      <c r="F52" t="inlineStr">
        <is>
          <t>coins</t>
        </is>
      </c>
      <c r="G52" t="inlineStr">
        <is>
          <t>thuong</t>
        </is>
      </c>
      <c r="H52" t="inlineStr">
        <is>
          <t>05</t>
        </is>
      </c>
      <c r="I52" t="inlineStr">
        <is>
          <t>EndlessRules.WaveCoins</t>
        </is>
      </c>
      <c r="J52" t="inlineStr">
        <is>
          <t>Assets/MachineBrigade/Resources/Data/tunables.json: modes.endlessRules.waveCoins</t>
        </is>
      </c>
      <c r="K52" t="inlineStr">
        <is>
          <t>{"value":18,"unit":"coins","kind":"thuong","linh_vuc":"05","code":"EndlessRules.WaveCoins"}</t>
        </is>
      </c>
    </row>
    <row r="53">
      <c r="A53" t="inlineStr">
        <is>
          <t>modes.holdFlags.laterEventsQuickModes</t>
        </is>
      </c>
      <c r="B53" t="inlineStr">
        <is>
          <t>holdFlags</t>
        </is>
      </c>
      <c r="C53" t="inlineStr">
        <is>
          <t>laterEventsQuickModes</t>
        </is>
      </c>
      <c r="D53" t="b">
        <v>0</v>
      </c>
      <c r="F53" t="inlineStr">
        <is>
          <t>flag</t>
        </is>
      </c>
      <c r="G53" t="inlineStr">
        <is>
          <t>khac</t>
        </is>
      </c>
      <c r="H53" t="inlineStr">
        <is>
          <t>07</t>
        </is>
      </c>
      <c r="I53" t="inlineStr">
        <is>
          <t>off (no code path when true)</t>
        </is>
      </c>
      <c r="J53" t="inlineStr">
        <is>
          <t>Assets/MachineBrigade/Resources/Data/tunables.json: modes.holdFlags.laterEventsQuickModes</t>
        </is>
      </c>
      <c r="K53" t="inlineStr">
        <is>
          <t>{"value":false,"unit":"flag","kind":"khac","linh_vuc":"07","code":"off (no code path when true)"}</t>
        </is>
      </c>
    </row>
    <row r="54">
      <c r="A54" t="inlineStr">
        <is>
          <t>modes.holdFlags.laterNeutrals</t>
        </is>
      </c>
      <c r="B54" t="inlineStr">
        <is>
          <t>holdFlags</t>
        </is>
      </c>
      <c r="C54" t="inlineStr">
        <is>
          <t>laterNeutrals</t>
        </is>
      </c>
      <c r="D54" t="b">
        <v>0</v>
      </c>
      <c r="F54" t="inlineStr">
        <is>
          <t>flag</t>
        </is>
      </c>
      <c r="G54" t="inlineStr">
        <is>
          <t>khac</t>
        </is>
      </c>
      <c r="H54" t="inlineStr">
        <is>
          <t>05</t>
        </is>
      </c>
      <c r="I54" t="inlineStr">
        <is>
          <t>off (no code path when true)</t>
        </is>
      </c>
      <c r="J54" t="inlineStr">
        <is>
          <t>Assets/MachineBrigade/Resources/Data/tunables.json: modes.holdFlags.laterNeutrals</t>
        </is>
      </c>
      <c r="K54" t="inlineStr">
        <is>
          <t>{"value":false,"unit":"flag","kind":"khac","linh_vuc":"05","code":"off (no code path when true)"}</t>
        </is>
      </c>
    </row>
    <row r="55">
      <c r="A55" t="inlineStr">
        <is>
          <t>modes.holdFlags.outpostForwardDropsQuickModes</t>
        </is>
      </c>
      <c r="B55" t="inlineStr">
        <is>
          <t>holdFlags</t>
        </is>
      </c>
      <c r="C55" t="inlineStr">
        <is>
          <t>outpostForwardDropsQuickModes</t>
        </is>
      </c>
      <c r="D55" t="b">
        <v>0</v>
      </c>
      <c r="F55" t="inlineStr">
        <is>
          <t>flag</t>
        </is>
      </c>
      <c r="G55" t="inlineStr">
        <is>
          <t>khac</t>
        </is>
      </c>
      <c r="H55" t="inlineStr">
        <is>
          <t>04</t>
        </is>
      </c>
      <c r="I55" t="inlineStr">
        <is>
          <t>off (no code path when true)</t>
        </is>
      </c>
      <c r="J55" t="inlineStr">
        <is>
          <t>Assets/MachineBrigade/Resources/Data/tunables.json: modes.holdFlags.outpostForwardDropsQuickModes</t>
        </is>
      </c>
      <c r="K55" t="inlineStr">
        <is>
          <t>{"value":false,"unit":"flag","kind":"khac","linh_vuc":"04","code":"off (no code path when true)"}</t>
        </is>
      </c>
    </row>
    <row r="56">
      <c r="A56" t="inlineStr">
        <is>
          <t>modes.neutralSystem.interval</t>
        </is>
      </c>
      <c r="B56" t="inlineStr">
        <is>
          <t>neutralSystem</t>
        </is>
      </c>
      <c r="C56" t="inlineStr">
        <is>
          <t>interval</t>
        </is>
      </c>
      <c r="D56" t="n">
        <v>0.5</v>
      </c>
      <c r="F56" t="inlineStr">
        <is>
          <t>s</t>
        </is>
      </c>
      <c r="G56" t="inlineStr">
        <is>
          <t>thoi_gian</t>
        </is>
      </c>
      <c r="H56" t="inlineStr">
        <is>
          <t>05</t>
        </is>
      </c>
      <c r="I56" t="inlineStr">
        <is>
          <t>NeutralSystem.Interval</t>
        </is>
      </c>
      <c r="J56" t="inlineStr">
        <is>
          <t>Assets/MachineBrigade/Resources/Data/tunables.json: modes.neutralSystem.interval</t>
        </is>
      </c>
      <c r="K56" t="inlineStr">
        <is>
          <t>{"value":0.5,"unit":"s","kind":"thoi_gian","linh_vuc":"05","code":"NeutralSystem.Interval"}</t>
        </is>
      </c>
    </row>
    <row r="57">
      <c r="A57" t="inlineStr">
        <is>
          <t>modes.outposts.buildSeconds</t>
        </is>
      </c>
      <c r="B57" t="inlineStr">
        <is>
          <t>outposts</t>
        </is>
      </c>
      <c r="C57" t="inlineStr">
        <is>
          <t>buildSeconds</t>
        </is>
      </c>
      <c r="D57" t="n">
        <v>8</v>
      </c>
      <c r="F57" t="inlineStr">
        <is>
          <t>s</t>
        </is>
      </c>
      <c r="G57" t="inlineStr">
        <is>
          <t>thoi_gian</t>
        </is>
      </c>
      <c r="H57" t="inlineStr">
        <is>
          <t>05</t>
        </is>
      </c>
      <c r="I57" t="inlineStr">
        <is>
          <t>Outposts.BuildSeconds</t>
        </is>
      </c>
      <c r="J57" t="inlineStr">
        <is>
          <t>Assets/MachineBrigade/Resources/Data/tunables.json: modes.outposts.buildSeconds</t>
        </is>
      </c>
      <c r="K57" t="inlineStr">
        <is>
          <t>{"value":8.0,"unit":"s","kind":"thoi_gian","linh_vuc":"05","code":"Outposts.BuildSeconds"}</t>
        </is>
      </c>
    </row>
    <row r="58">
      <c r="A58" t="inlineStr">
        <is>
          <t>modes.outposts.neutralHealth</t>
        </is>
      </c>
      <c r="B58" t="inlineStr">
        <is>
          <t>outposts</t>
        </is>
      </c>
      <c r="C58" t="inlineStr">
        <is>
          <t>neutralHealth</t>
        </is>
      </c>
      <c r="D58" t="n">
        <v>2</v>
      </c>
      <c r="F58" t="inlineStr">
        <is>
          <t>x</t>
        </is>
      </c>
      <c r="G58" t="inlineStr">
        <is>
          <t>sat_thuong</t>
        </is>
      </c>
      <c r="H58" t="inlineStr">
        <is>
          <t>05</t>
        </is>
      </c>
      <c r="I58" t="inlineStr">
        <is>
          <t>Outposts.NeutralHealth</t>
        </is>
      </c>
      <c r="J58" t="inlineStr">
        <is>
          <t>Assets/MachineBrigade/Resources/Data/tunables.json: modes.outposts.neutralHealth</t>
        </is>
      </c>
      <c r="K58" t="inlineStr">
        <is>
          <t>{"value":2.0,"unit":"x","kind":"sat_thuong","linh_vuc":"05","code":"Outposts.NeutralHealth"}</t>
        </is>
      </c>
    </row>
    <row r="59">
      <c r="A59" t="inlineStr">
        <is>
          <t>modes.outposts.rebuildSeconds</t>
        </is>
      </c>
      <c r="B59" t="inlineStr">
        <is>
          <t>outposts</t>
        </is>
      </c>
      <c r="C59" t="inlineStr">
        <is>
          <t>rebuildSeconds</t>
        </is>
      </c>
      <c r="D59" t="n">
        <v>35</v>
      </c>
      <c r="F59" t="inlineStr">
        <is>
          <t>s</t>
        </is>
      </c>
      <c r="G59" t="inlineStr">
        <is>
          <t>thoi_gian</t>
        </is>
      </c>
      <c r="H59" t="inlineStr">
        <is>
          <t>05</t>
        </is>
      </c>
      <c r="I59" t="inlineStr">
        <is>
          <t>Outposts.RebuildSeconds</t>
        </is>
      </c>
      <c r="J59" t="inlineStr">
        <is>
          <t>Assets/MachineBrigade/Resources/Data/tunables.json: modes.outposts.rebuildSeconds</t>
        </is>
      </c>
      <c r="K59" t="inlineStr">
        <is>
          <t>{"value":35.0,"unit":"s","kind":"thoi_gian","linh_vuc":"05","code":"Outposts.RebuildSeconds"}</t>
        </is>
      </c>
    </row>
    <row r="60">
      <c r="A60" t="inlineStr">
        <is>
          <t>modes.outposts.respawnSeconds</t>
        </is>
      </c>
      <c r="B60" t="inlineStr">
        <is>
          <t>outposts</t>
        </is>
      </c>
      <c r="C60" t="inlineStr">
        <is>
          <t>respawnSeconds</t>
        </is>
      </c>
      <c r="D60" t="n">
        <v>100</v>
      </c>
      <c r="F60" t="inlineStr">
        <is>
          <t>s</t>
        </is>
      </c>
      <c r="G60" t="inlineStr">
        <is>
          <t>thoi_gian</t>
        </is>
      </c>
      <c r="H60" t="inlineStr">
        <is>
          <t>05</t>
        </is>
      </c>
      <c r="I60" t="inlineStr">
        <is>
          <t>Outposts.RespawnSeconds</t>
        </is>
      </c>
      <c r="J60" t="inlineStr">
        <is>
          <t>Assets/MachineBrigade/Resources/Data/tunables.json: modes.outposts.respawnSeconds</t>
        </is>
      </c>
      <c r="K60" t="inlineStr">
        <is>
          <t>{"value":100.0,"unit":"s","kind":"thoi_gian","linh_vuc":"05","code":"Outposts.RespawnSeconds"}</t>
        </is>
      </c>
    </row>
    <row r="61">
      <c r="A61" t="inlineStr">
        <is>
          <t>modes.sandboxBattle.unlimitedCp</t>
        </is>
      </c>
      <c r="B61" t="inlineStr">
        <is>
          <t>sandboxBattle</t>
        </is>
      </c>
      <c r="C61" t="inlineStr">
        <is>
          <t>unlimitedCp</t>
        </is>
      </c>
      <c r="D61" t="n">
        <v>999</v>
      </c>
      <c r="F61" t="inlineStr">
        <is>
          <t>CP</t>
        </is>
      </c>
      <c r="G61" t="inlineStr">
        <is>
          <t>tran</t>
        </is>
      </c>
      <c r="H61" t="inlineStr">
        <is>
          <t>05</t>
        </is>
      </c>
      <c r="I61" t="inlineStr">
        <is>
          <t>SandboxBattle.UnlimitedCp</t>
        </is>
      </c>
      <c r="J61" t="inlineStr">
        <is>
          <t>Assets/MachineBrigade/Resources/Data/tunables.json: modes.sandboxBattle.unlimitedCp</t>
        </is>
      </c>
      <c r="K61" t="inlineStr">
        <is>
          <t>{"value":999.0,"unit":"CP","kind":"tran","linh_vuc":"05","code":"SandboxBattle.UnlimitedCp"}</t>
        </is>
      </c>
    </row>
    <row r="62">
      <c r="A62" t="inlineStr">
        <is>
          <t>modes.sandboxMode.firstWaveDelay</t>
        </is>
      </c>
      <c r="B62" t="inlineStr">
        <is>
          <t>sandboxMode</t>
        </is>
      </c>
      <c r="C62" t="inlineStr">
        <is>
          <t>firstWaveDelay</t>
        </is>
      </c>
      <c r="D62" t="n">
        <v>20</v>
      </c>
      <c r="F62" t="inlineStr">
        <is>
          <t>s</t>
        </is>
      </c>
      <c r="G62" t="inlineStr">
        <is>
          <t>thoi_gian</t>
        </is>
      </c>
      <c r="H62" t="inlineStr">
        <is>
          <t>05</t>
        </is>
      </c>
      <c r="I62" t="inlineStr">
        <is>
          <t>SandboxMode.FirstWaveDelay</t>
        </is>
      </c>
      <c r="J62" t="inlineStr">
        <is>
          <t>Assets/MachineBrigade/Resources/Data/tunables.json: modes.sandboxMode.firstWaveDelay</t>
        </is>
      </c>
      <c r="K62" t="inlineStr">
        <is>
          <t>{"value":20.0,"unit":"s","kind":"thoi_gian","linh_vuc":"05","code":"SandboxMode.FirstWaveDelay"}</t>
        </is>
      </c>
    </row>
    <row r="63">
      <c r="A63" t="inlineStr">
        <is>
          <t>modes.sandboxMode.reinforceCooldownSeconds</t>
        </is>
      </c>
      <c r="B63" t="inlineStr">
        <is>
          <t>sandboxMode</t>
        </is>
      </c>
      <c r="C63" t="inlineStr">
        <is>
          <t>reinforceCooldownSeconds</t>
        </is>
      </c>
      <c r="D63" t="n">
        <v>12</v>
      </c>
      <c r="F63" t="inlineStr">
        <is>
          <t>s</t>
        </is>
      </c>
      <c r="G63" t="inlineStr">
        <is>
          <t>thoi_gian</t>
        </is>
      </c>
      <c r="H63" t="inlineStr">
        <is>
          <t>05</t>
        </is>
      </c>
      <c r="I63" t="inlineStr">
        <is>
          <t>SandboxMode.ReinforceCooldownSeconds</t>
        </is>
      </c>
      <c r="J63" t="inlineStr">
        <is>
          <t>Assets/MachineBrigade/Resources/Data/tunables.json: modes.sandboxMode.reinforceCooldownSeconds</t>
        </is>
      </c>
      <c r="K63" t="inlineStr">
        <is>
          <t>{"value":12.0,"unit":"s","kind":"thoi_gian","linh_vuc":"05","code":"SandboxMode.ReinforceCooldownSeconds"}</t>
        </is>
      </c>
    </row>
    <row r="64">
      <c r="A64" t="inlineStr">
        <is>
          <t>modes.sandboxMode.survivalWaveInterval</t>
        </is>
      </c>
      <c r="B64" t="inlineStr">
        <is>
          <t>sandboxMode</t>
        </is>
      </c>
      <c r="C64" t="inlineStr">
        <is>
          <t>survivalWaveInterval</t>
        </is>
      </c>
      <c r="D64" t="n">
        <v>60</v>
      </c>
      <c r="F64" t="inlineStr">
        <is>
          <t>s</t>
        </is>
      </c>
      <c r="G64" t="inlineStr">
        <is>
          <t>thoi_gian</t>
        </is>
      </c>
      <c r="H64" t="inlineStr">
        <is>
          <t>05</t>
        </is>
      </c>
      <c r="I64" t="inlineStr">
        <is>
          <t>SandboxMode.SurvivalWaveInterval</t>
        </is>
      </c>
      <c r="J64" t="inlineStr">
        <is>
          <t>Assets/MachineBrigade/Resources/Data/tunables.json: modes.sandboxMode.survivalWaveInterval</t>
        </is>
      </c>
      <c r="K64" t="inlineStr">
        <is>
          <t>{"value":60.0,"unit":"s","kind":"thoi_gian","linh_vuc":"05","code":"SandboxMode.SurvivalWaveInterval"}</t>
        </is>
      </c>
    </row>
    <row r="65">
      <c r="A65" t="inlineStr">
        <is>
          <t>modes.sandboxMode.waveInterval</t>
        </is>
      </c>
      <c r="B65" t="inlineStr">
        <is>
          <t>sandboxMode</t>
        </is>
      </c>
      <c r="C65" t="inlineStr">
        <is>
          <t>waveInterval</t>
        </is>
      </c>
      <c r="D65" t="n">
        <v>30</v>
      </c>
      <c r="F65" t="inlineStr">
        <is>
          <t>s</t>
        </is>
      </c>
      <c r="G65" t="inlineStr">
        <is>
          <t>thoi_gian</t>
        </is>
      </c>
      <c r="H65" t="inlineStr">
        <is>
          <t>05</t>
        </is>
      </c>
      <c r="I65" t="inlineStr">
        <is>
          <t>SandboxMode.WaveInterval</t>
        </is>
      </c>
      <c r="J65" t="inlineStr">
        <is>
          <t>Assets/MachineBrigade/Resources/Data/tunables.json: modes.sandboxMode.waveInterval</t>
        </is>
      </c>
      <c r="K65" t="inlineStr">
        <is>
          <t>{"value":30.0,"unit":"s","kind":"thoi_gian","linh_vuc":"05","code":"SandboxMode.WaveInterval"}</t>
        </is>
      </c>
    </row>
    <row r="66">
      <c r="A66" t="inlineStr">
        <is>
          <t>modes.sandboxRules.aircraftCap</t>
        </is>
      </c>
      <c r="B66" t="inlineStr">
        <is>
          <t>sandboxRules</t>
        </is>
      </c>
      <c r="C66" t="inlineStr">
        <is>
          <t>aircraftCap</t>
        </is>
      </c>
      <c r="D66" t="n">
        <v>12</v>
      </c>
      <c r="F66" t="inlineStr">
        <is>
          <t>count</t>
        </is>
      </c>
      <c r="G66" t="inlineStr">
        <is>
          <t>tran</t>
        </is>
      </c>
      <c r="H66" t="inlineStr">
        <is>
          <t>05</t>
        </is>
      </c>
      <c r="I66" t="inlineStr">
        <is>
          <t>SandboxRules.AircraftCap</t>
        </is>
      </c>
      <c r="J66" t="inlineStr">
        <is>
          <t>Assets/MachineBrigade/Resources/Data/tunables.json: modes.sandboxRules.aircraftCap</t>
        </is>
      </c>
      <c r="K66" t="inlineStr">
        <is>
          <t>{"value":12,"unit":"count","kind":"tran","linh_vuc":"05","code":"SandboxRules.AircraftCap"}</t>
        </is>
      </c>
    </row>
    <row r="67">
      <c r="A67" t="inlineStr">
        <is>
          <t>modes.sandboxRules.maxRank</t>
        </is>
      </c>
      <c r="B67" t="inlineStr">
        <is>
          <t>sandboxRules</t>
        </is>
      </c>
      <c r="C67" t="inlineStr">
        <is>
          <t>maxRank</t>
        </is>
      </c>
      <c r="D67" t="n">
        <v>10</v>
      </c>
      <c r="F67" t="inlineStr">
        <is>
          <t>rank</t>
        </is>
      </c>
      <c r="G67" t="inlineStr">
        <is>
          <t>tran</t>
        </is>
      </c>
      <c r="H67" t="inlineStr">
        <is>
          <t>05</t>
        </is>
      </c>
      <c r="I67" t="inlineStr">
        <is>
          <t>SandboxRules.MaxRank</t>
        </is>
      </c>
      <c r="J67" t="inlineStr">
        <is>
          <t>Assets/MachineBrigade/Resources/Data/tunables.json: modes.sandboxRules.maxRank</t>
        </is>
      </c>
      <c r="K67" t="inlineStr">
        <is>
          <t>{"value":10,"unit":"rank","kind":"tran","linh_vuc":"05","code":"SandboxRules.MaxRank"}</t>
        </is>
      </c>
    </row>
    <row r="68">
      <c r="A68" t="inlineStr">
        <is>
          <t>modes.sandboxRules.vehicleCap</t>
        </is>
      </c>
      <c r="B68" t="inlineStr">
        <is>
          <t>sandboxRules</t>
        </is>
      </c>
      <c r="C68" t="inlineStr">
        <is>
          <t>vehicleCap</t>
        </is>
      </c>
      <c r="D68" t="n">
        <v>64</v>
      </c>
      <c r="F68" t="inlineStr">
        <is>
          <t>count</t>
        </is>
      </c>
      <c r="G68" t="inlineStr">
        <is>
          <t>tran</t>
        </is>
      </c>
      <c r="H68" t="inlineStr">
        <is>
          <t>05</t>
        </is>
      </c>
      <c r="I68" t="inlineStr">
        <is>
          <t>SandboxRules.VehicleCap</t>
        </is>
      </c>
      <c r="J68" t="inlineStr">
        <is>
          <t>Assets/MachineBrigade/Resources/Data/tunables.json: modes.sandboxRules.vehicleCap</t>
        </is>
      </c>
      <c r="K68" t="inlineStr">
        <is>
          <t>{"value":64,"unit":"count","kind":"tran","linh_vuc":"05","code":"SandboxRules.VehicleCap"}</t>
        </is>
      </c>
    </row>
    <row r="69">
      <c r="A69" t="inlineStr">
        <is>
          <t>modes.simWorld.entrenchSeconds</t>
        </is>
      </c>
      <c r="B69" t="inlineStr">
        <is>
          <t>simWorld</t>
        </is>
      </c>
      <c r="C69" t="inlineStr">
        <is>
          <t>entrenchSeconds</t>
        </is>
      </c>
      <c r="D69" t="n">
        <v>3</v>
      </c>
      <c r="F69" t="inlineStr">
        <is>
          <t>s</t>
        </is>
      </c>
      <c r="G69" t="inlineStr">
        <is>
          <t>thoi_gian</t>
        </is>
      </c>
      <c r="H69" t="inlineStr">
        <is>
          <t>05</t>
        </is>
      </c>
      <c r="I69" t="inlineStr">
        <is>
          <t>SimWorld.EntrenchSeconds</t>
        </is>
      </c>
      <c r="J69" t="inlineStr">
        <is>
          <t>Assets/MachineBrigade/Resources/Data/tunables.json: modes.simWorld.entrenchSeconds</t>
        </is>
      </c>
      <c r="K69" t="inlineStr">
        <is>
          <t>{"value":3.0,"unit":"s","kind":"thoi_gian","linh_vuc":"05","code":"SimWorld.EntrenchSeconds"}</t>
        </is>
      </c>
    </row>
    <row r="70">
      <c r="A70" t="inlineStr">
        <is>
          <t>modes.simWorld.homeRadius</t>
        </is>
      </c>
      <c r="B70" t="inlineStr">
        <is>
          <t>simWorld</t>
        </is>
      </c>
      <c r="C70" t="inlineStr">
        <is>
          <t>homeRadius</t>
        </is>
      </c>
      <c r="D70" t="n">
        <v>35</v>
      </c>
      <c r="F70" t="inlineStr">
        <is>
          <t>m</t>
        </is>
      </c>
      <c r="G70" t="inlineStr">
        <is>
          <t>ban_kinh</t>
        </is>
      </c>
      <c r="H70" t="inlineStr">
        <is>
          <t>05</t>
        </is>
      </c>
      <c r="I70" t="inlineStr">
        <is>
          <t>SimWorld.HomeRadius</t>
        </is>
      </c>
      <c r="J70" t="inlineStr">
        <is>
          <t>Assets/MachineBrigade/Resources/Data/tunables.json: modes.simWorld.homeRadius</t>
        </is>
      </c>
      <c r="K70" t="inlineStr">
        <is>
          <t>{"value":35.0,"unit":"m","kind":"ban_kinh","linh_vuc":"05","code":"SimWorld.HomeRadius"}</t>
        </is>
      </c>
    </row>
    <row r="71">
      <c r="A71" t="inlineStr">
        <is>
          <t>modes.simWorld.lighthouseSight</t>
        </is>
      </c>
      <c r="B71" t="inlineStr">
        <is>
          <t>simWorld</t>
        </is>
      </c>
      <c r="C71" t="inlineStr">
        <is>
          <t>lighthouseSight</t>
        </is>
      </c>
      <c r="D71" t="n">
        <v>170</v>
      </c>
      <c r="F71" t="inlineStr">
        <is>
          <t>m</t>
        </is>
      </c>
      <c r="G71" t="inlineStr">
        <is>
          <t>ban_kinh</t>
        </is>
      </c>
      <c r="H71" t="inlineStr">
        <is>
          <t>05</t>
        </is>
      </c>
      <c r="I71" t="inlineStr">
        <is>
          <t>SimWorld.LighthouseSight</t>
        </is>
      </c>
      <c r="J71" t="inlineStr">
        <is>
          <t>Assets/MachineBrigade/Resources/Data/tunables.json: modes.simWorld.lighthouseSight</t>
        </is>
      </c>
      <c r="K71" t="inlineStr">
        <is>
          <t>{"value":170.0,"unit":"m","kind":"ban_kinh","linh_vuc":"05","code":"SimWorld.LighthouseSight"}</t>
        </is>
      </c>
    </row>
    <row r="72">
      <c r="A72" t="inlineStr">
        <is>
          <t>modes.teamEconomy.maxAircraft</t>
        </is>
      </c>
      <c r="B72" t="inlineStr">
        <is>
          <t>teamEconomy</t>
        </is>
      </c>
      <c r="C72" t="inlineStr">
        <is>
          <t>maxAircraft</t>
        </is>
      </c>
      <c r="D72" t="n">
        <v>6</v>
      </c>
      <c r="F72" t="inlineStr">
        <is>
          <t>count</t>
        </is>
      </c>
      <c r="G72" t="inlineStr">
        <is>
          <t>tran</t>
        </is>
      </c>
      <c r="H72" t="inlineStr">
        <is>
          <t>05</t>
        </is>
      </c>
      <c r="I72" t="inlineStr">
        <is>
          <t>TeamEconomy.MaxAircraft</t>
        </is>
      </c>
      <c r="J72" t="inlineStr">
        <is>
          <t>Assets/MachineBrigade/Resources/Data/tunables.json: modes.teamEconomy.maxAircraft</t>
        </is>
      </c>
      <c r="K72" t="inlineStr">
        <is>
          <t>{"value":6,"unit":"count","kind":"tran","linh_vuc":"05","code":"TeamEconomy.MaxAircraft"}</t>
        </is>
      </c>
    </row>
    <row r="73">
      <c r="A73" t="inlineStr">
        <is>
          <t>modes.teamEconomy.maxVehicles</t>
        </is>
      </c>
      <c r="B73" t="inlineStr">
        <is>
          <t>teamEconomy</t>
        </is>
      </c>
      <c r="C73" t="inlineStr">
        <is>
          <t>maxVehicles</t>
        </is>
      </c>
      <c r="D73" t="n">
        <v>32</v>
      </c>
      <c r="F73" t="inlineStr">
        <is>
          <t>count</t>
        </is>
      </c>
      <c r="G73" t="inlineStr">
        <is>
          <t>tran</t>
        </is>
      </c>
      <c r="H73" t="inlineStr">
        <is>
          <t>05</t>
        </is>
      </c>
      <c r="I73" t="inlineStr">
        <is>
          <t>TeamEconomy.MaxVehicles</t>
        </is>
      </c>
      <c r="J73" t="inlineStr">
        <is>
          <t>Assets/MachineBrigade/Resources/Data/tunables.json: modes.teamEconomy.maxVehicles</t>
        </is>
      </c>
      <c r="K73" t="inlineStr">
        <is>
          <t>{"value":32,"unit":"count","kind":"tran","linh_vuc":"05","code":"TeamEconomy.MaxVehicles"}</t>
        </is>
      </c>
    </row>
  </sheetData>
  <autoFilter ref="A1:K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Tools/export</dc:creator>
  <dcterms:created xsi:type="dcterms:W3CDTF">2000-01-01T00:00:00Z</dcterms:created>
  <dcterms:modified xsi:type="dcterms:W3CDTF">2000-01-01T00:00:00Z</dcterms:modified>
</cp:coreProperties>
</file>