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Ten_lua_tham_so" sheetId="15" state="visible" r:id="rId15"/>
    <sheet name="Canh_bao_vong" sheetId="16" state="visible" r:id="rId16"/>
    <sheet name="Bom_rai_tham" sheetId="17" state="visible" r:id="rId17"/>
    <sheet name="Vu_khi_suy_ra" sheetId="18" state="visible" r:id="rId18"/>
    <sheet name="Vu_khi_tham_chieu" sheetId="19" state="visible" r:id="rId19"/>
    <sheet name="Vu_khi_so_sanh_that" sheetId="20" state="visible" r:id="rId20"/>
    <sheet name="Xe" sheetId="21" state="visible" r:id="rId21"/>
    <sheet name="Xe_vu_khi" sheetId="22" state="visible" r:id="rId22"/>
    <sheet name="Xe_ten_lua" sheetId="23" state="visible" r:id="rId23"/>
    <sheet name="Xe_bo_phan" sheetId="24" state="visible" r:id="rId24"/>
    <sheet name="The_ho_tro" sheetId="25" state="visible" r:id="rId25"/>
    <sheet name="Ky_nang" sheetId="26" state="visible" r:id="rId26"/>
    <sheet name="Tinh_nhue_luat" sheetId="27" state="visible" r:id="rId27"/>
    <sheet name="Nhanh_xe" sheetId="28" state="visible" r:id="rId28"/>
    <sheet name="Do_ben" sheetId="29" state="visible" r:id="rId29"/>
    <sheet name="Trang_bi" sheetId="30" state="visible" r:id="rId30"/>
    <sheet name="Trang_bi_mo_dun" sheetId="31" state="visible" r:id="rId31"/>
    <sheet name="Trang_bi_dac_tinh" sheetId="32" state="visible" r:id="rId32"/>
    <sheet name="Trang_bi_dong_phu" sheetId="33" state="visible" r:id="rId33"/>
    <sheet name="Trang_bi_bo" sheetId="34" state="visible" r:id="rId34"/>
    <sheet name="Commander" sheetId="35" state="visible" r:id="rId35"/>
    <sheet name="Commander_noi_tai" sheetId="36" state="visible" r:id="rId36"/>
    <sheet name="Commander_gia" sheetId="37" state="visible" r:id="rId37"/>
    <sheet name="Doi_mo_man" sheetId="38" state="visible" r:id="rId38"/>
    <sheet name="Doi_mo_man_vai_tro" sheetId="39" state="visible" r:id="rId39"/>
    <sheet name="Doi_mo_man_luat" sheetId="40" state="visible" r:id="rId40"/>
    <sheet name="Xe_tham_chieu" sheetId="41" state="visible" r:id="rId41"/>
    <sheet name="xe_input_vu_khi" sheetId="42" state="visible" r:id="rId42"/>
    <sheet name="xe_input_vu_khi_suy_ra" sheetId="43" state="visible" r:id="rId43"/>
    <sheet name="xe_input_bang_xuyen_giap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'Khac_che'!$A$1:$AD$24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'Ten_lua_tham_so'!$A$1:$U$53</definedName>
    <definedName name="_xlnm._FilterDatabase" localSheetId="15" hidden="1">'Canh_bao_vong'!$A$1:$H$14</definedName>
    <definedName name="_xlnm._FilterDatabase" localSheetId="16" hidden="1">'Bom_rai_tham'!$A$1:$Q$7</definedName>
    <definedName name="_xlnm._FilterDatabase" localSheetId="17" hidden="1">'Vu_khi_suy_ra'!$A$1:$BC$360</definedName>
    <definedName name="_xlnm._FilterDatabase" localSheetId="18" hidden="1">'Vu_khi_tham_chieu'!$A$1:$AG$360</definedName>
    <definedName name="_xlnm._FilterDatabase" localSheetId="19" hidden="1">'Vu_khi_so_sanh_that'!$A$1:$Q$262</definedName>
    <definedName name="_xlnm._FilterDatabase" localSheetId="20" hidden="1">'Xe'!$A$1:$FO$80</definedName>
    <definedName name="_xlnm._FilterDatabase" localSheetId="21" hidden="1">'Xe_vu_khi'!$A$1:$K$77</definedName>
    <definedName name="_xlnm._FilterDatabase" localSheetId="22" hidden="1">'Xe_ten_lua'!$A$1:$H$4</definedName>
    <definedName name="_xlnm._FilterDatabase" localSheetId="23" hidden="1">'Xe_bo_phan'!$A$1:$Q$7</definedName>
    <definedName name="_xlnm._FilterDatabase" localSheetId="24" hidden="1">'The_ho_tro'!$A$1:$AL$26</definedName>
    <definedName name="_xlnm._FilterDatabase" localSheetId="25" hidden="1">'Ky_nang'!$A$1:$O$22</definedName>
    <definedName name="_xlnm._FilterDatabase" localSheetId="26" hidden="1">'Tinh_nhue_luat'!$A$1:$H$21</definedName>
    <definedName name="_xlnm._FilterDatabase" localSheetId="27" hidden="1">'Nhanh_xe'!$A$1:$D$5</definedName>
    <definedName name="_xlnm._FilterDatabase" localSheetId="28" hidden="1">'Do_ben'!$A$1:$H$3</definedName>
    <definedName name="_xlnm._FilterDatabase" localSheetId="29" hidden="1">'Trang_bi'!$A$1:$Q$39</definedName>
    <definedName name="_xlnm._FilterDatabase" localSheetId="30" hidden="1">'Trang_bi_mo_dun'!$A$1:$J$15</definedName>
    <definedName name="_xlnm._FilterDatabase" localSheetId="31" hidden="1">'Trang_bi_dac_tinh'!$A$1:$H$46</definedName>
    <definedName name="_xlnm._FilterDatabase" localSheetId="32" hidden="1">'Trang_bi_dong_phu'!$A$1:$G$24</definedName>
    <definedName name="_xlnm._FilterDatabase" localSheetId="33" hidden="1">'Trang_bi_bo'!$A$1:$P$14</definedName>
    <definedName name="_xlnm._FilterDatabase" localSheetId="34" hidden="1">'Commander'!$A$1:$AF$23</definedName>
    <definedName name="_xlnm._FilterDatabase" localSheetId="35" hidden="1">'Commander_noi_tai'!$A$1:$H$46</definedName>
    <definedName name="_xlnm._FilterDatabase" localSheetId="36" hidden="1">'Commander_gia'!$A$1:$G$6</definedName>
    <definedName name="_xlnm._FilterDatabase" localSheetId="37" hidden="1">'Doi_mo_man'!$A$1:$G$24</definedName>
    <definedName name="_xlnm._FilterDatabase" localSheetId="38" hidden="1">'Doi_mo_man_vai_tro'!$A$1:$G$19</definedName>
    <definedName name="_xlnm._FilterDatabase" localSheetId="39" hidden="1">'Doi_mo_man_luat'!$A$1:$H$4</definedName>
    <definedName name="_xlnm._FilterDatabase" localSheetId="40" hidden="1">'Xe_tham_chieu'!$A$1:$J$7</definedName>
    <definedName name="_xlnm._FilterDatabase" localSheetId="41" hidden="1">'xe_input_vu_khi'!$A$1:$I$66</definedName>
    <definedName name="_xlnm._FilterDatabase" localSheetId="42" hidden="1">'xe_input_vu_khi_suy_ra'!$A$1:$K$66</definedName>
    <definedName name="_xlnm._FilterDatabase" localSheetId="43" hidden="1">'xe_input_bang_xuyen_giap'!$A$1:$D$7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'Phuong_tien_tham_chieu'!$A$1:$AK$105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'Hang_so_vu_khi'!$A$1:$K$41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4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4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0</v>
      </c>
      <c r="Y60" t="n">
        <v>0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210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giong</t>
        </is>
      </c>
      <c r="DD82" t="n">
        <v>6.651</v>
      </c>
      <c r="DE82" t="n">
        <v>210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4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4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APFSDS","family":"tank_gun","size":125,"caliberMm":125,"pen":4,"piercing":true,"damageType":"Kinetic","damage":371,"cooldown":5.583,"range":46,"projectileSpeed":260,"spread":0.3,"impactTier":"Medium","roundWeight":345}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4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Armata)","family":"tank_gun","size":125,"caliberMm":125,"pen":4,"damageType":"Kinetic","damage":371,"cooldown":7.143,"range":34,"projectileSpeed":210,"spread":0.8,"impactTier":"Large","projectile":"Shell","targets":"All"}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4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4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mm","family":"tank_gun","size":125,"caliberMm":125,"pen":4,"piercing":true,"damageType":"Kinetic","damage":371,"cooldown":8.086,"range":34,"projectileSpeed":190,"splash":1.5,"spread":0.5,"impactTier":"Large"}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4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4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(twin)","family":"tank_gun","size":140,"caliberMm":140,"pen":4,"piercing":true,"damageType":"Kinetic","damage":414,"cooldown":6.481,"range":40,"projectileSpeed":200,"splash":2,"spread":0.5,"impactTier":"Large","burst":1,"burstInterval":0.05,"roundWeight":299}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4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4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4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HEAT","family":"tank_gun","size":152,"caliberMm":152,"pen":4,"form":"DoubleDart","piercing":true,"damageType":"ShapedCharge","damage":480,"cooldown":9.043,"range":36,"projectileSpeed":170,"splash":3.5,"spread":0.6,"impactTier":"Large","roundWeight":325}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4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4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AP","damageType":"Kinetic","damage":429,"pen":4,"splash":0,"piercing":true,"he":"gun_155_twin_fort"}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3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200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R123" t="n">
        <v>22</v>
      </c>
      <c r="BS123" t="n">
        <v>90</v>
      </c>
      <c r="DD123" t="n">
        <v>20</v>
      </c>
      <c r="DE123" t="n">
        <v>200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3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0</v>
      </c>
      <c r="Y168" t="n">
        <v>0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0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0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4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AP)","size":125,"caliberMm":125,"damage":400,"cooldown":7.5,"pen":4,"splash":0,"range":38}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4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giong</t>
        </is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4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4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4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(01_chien_dau/Trang_bi_mo_dun)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(01_chien_dau/Trang_bi_mo_dun)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55.74005339584554</v>
      </c>
      <c r="AK9">
        <f>IF($Q$9,$M$9*$AC$9*$U$9,0)</f>
        <v/>
      </c>
      <c r="AL9" t="n">
        <v>47.37904538646871</v>
      </c>
      <c r="AM9">
        <f>IF($Q$9,$M$9*$AE$9*$U$9,0)</f>
        <v/>
      </c>
      <c r="AN9" t="n">
        <v>13.93501334896139</v>
      </c>
      <c r="AO9">
        <f>IF($Q$9,$M$9*$AC$9*$Y$9,0)</f>
        <v/>
      </c>
      <c r="AP9" t="n">
        <v>71.06856807970306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1.164573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147.359935509875</v>
      </c>
      <c r="AK22">
        <f>IF($Q$22,$M$22*$AC$22*$U$22,0)</f>
        <v/>
      </c>
      <c r="AL22" t="n">
        <v>147.359935509875</v>
      </c>
      <c r="AM22">
        <f>IF($Q$22,$M$22*$AE$22*$U$22,0)</f>
        <v/>
      </c>
      <c r="AN22" t="n">
        <v>104.3799543194948</v>
      </c>
      <c r="AO22">
        <f>IF($Q$22,$M$22*$AC$22*$Y$22,0)</f>
        <v/>
      </c>
      <c r="AP22" t="n">
        <v>88.41596130592502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0.86835</v>
      </c>
      <c r="AZ22" t="inlineStr">
        <is>
          <t>LECH_DOT_1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147.359935509875</v>
      </c>
      <c r="AK23">
        <f>IF($Q$23,$M$23*$AC$23*$U$23,0)</f>
        <v/>
      </c>
      <c r="AL23" t="n">
        <v>122.7999462582292</v>
      </c>
      <c r="AM23">
        <f>IF($Q$23,$M$23*$AE$23*$U$23,0)</f>
        <v/>
      </c>
      <c r="AN23" t="n">
        <v>61.39997312911461</v>
      </c>
      <c r="AO23">
        <f>IF($Q$23,$M$23*$AC$23*$Y$23,0)</f>
        <v/>
      </c>
      <c r="AP23" t="n">
        <v>184.1999193873438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inlineStr"/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0.6</v>
      </c>
      <c r="AA53">
        <f>INDEX(Bang_xuyen_giap!$C$2:$C$7,MIN(6,MAX(1,IF($O$53,MAX(1,2-(Vu_khi!$L$53-0)),2-(Vu_khi!$L$53-0))+1)))</f>
        <v/>
      </c>
      <c r="AB53" t="n">
        <v>0.85</v>
      </c>
      <c r="AC53">
        <f>INDEX(Bang_xuyen_giap!$C$2:$C$7,MIN(6,MAX(1,IF($O$53,MAX(1,2-(Vu_khi!$L$53-2)),2-(Vu_khi!$L$53-2))+1)))</f>
        <v/>
      </c>
      <c r="AD53" t="n">
        <v>0.25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0.85</v>
      </c>
      <c r="AI53">
        <f>IF($Q$53,$M$53*$AA$53*$U$53,0)</f>
        <v/>
      </c>
      <c r="AJ53" t="n">
        <v>9.001853322742917</v>
      </c>
      <c r="AK53">
        <f>IF($Q$53,$M$53*$AC$53*$U$53,0)</f>
        <v/>
      </c>
      <c r="AL53" t="n">
        <v>2.647603918453799</v>
      </c>
      <c r="AM53">
        <f>IF($Q$53,$M$53*$AE$53*$U$53,0)</f>
        <v/>
      </c>
      <c r="AN53" t="n">
        <v>1.05904156738152</v>
      </c>
      <c r="AO53">
        <f>IF($Q$53,$M$53*$AC$53*$Y$53,0)</f>
        <v/>
      </c>
      <c r="AP53" t="n">
        <v>1.588562351072279</v>
      </c>
      <c r="AQ53">
        <f>IF($S$53,$M$53*$AG$53*$W$53,0)</f>
        <v/>
      </c>
      <c r="AR53" t="n">
        <v>2.700555996822875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0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inlineStr"/>
      <c r="AZ53" t="inlineStr">
        <is>
          <t>LECH_DOT_1</t>
        </is>
      </c>
      <c r="BA53" t="inlineStr"/>
      <c r="BB53" t="inlineStr">
        <is>
          <t>Assets/MachineBrigade/Resources/Data/balance.json: weapons[id=bunker_pkm] (lớp B trên 01_chien_dau/Vu_khi)</t>
        </is>
      </c>
      <c r="BC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0.5</v>
      </c>
      <c r="W54">
        <f>INDEX(Bang_sat_thuong!$C$2:$C$7,MATCH(Vu_khi!$K$54,Bang_sat_thuong!$A$2:$A$7,0))</f>
        <v/>
      </c>
      <c r="X54" t="n">
        <v>1.3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0.5</v>
      </c>
      <c r="AE54">
        <f>INDEX(Bang_xuyen_giap!$C$2:$C$7,MIN(6,MAX(1,IF($O$54,MAX(1,2-(Vu_khi!$L$54-4)),2-(Vu_khi!$L$54-4))+1)))</f>
        <v/>
      </c>
      <c r="AF54" t="n">
        <v>0.1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0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IF($Q$54,$M$54*$AC$54*$Y$54,0)</f>
        <v/>
      </c>
      <c r="AP54" t="n">
        <v>0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1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2.625</v>
      </c>
      <c r="AZ54" t="inlineStr">
        <is>
          <t>ok</t>
        </is>
      </c>
      <c r="BA54" t="inlineStr"/>
      <c r="BB54" t="inlineStr">
        <is>
          <t>Assets/MachineBrigade/Resources/Data/balance.json: weapons[id=c_ram_gatling] (lớp B trên 01_chien_dau/Vu_khi)</t>
        </is>
      </c>
      <c r="BC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48.39968774395004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24.19984387197502</v>
      </c>
      <c r="AO55">
        <f>IF($Q$55,$M$55*$AC$55*$Y$55,0)</f>
        <v/>
      </c>
      <c r="AP55" t="n">
        <v>72.59953161592506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n">
        <v>0.5978</v>
      </c>
      <c r="AZ55" t="inlineStr">
        <is>
          <t>NHANH_QUA</t>
        </is>
      </c>
      <c r="BA55" t="inlineStr"/>
      <c r="BB55" t="inlineStr">
        <is>
          <t>Assets/MachineBrigade/Resources/Data/balance.json: weapons[id=casemate_155] (lớp B trên 01_chien_dau/Vu_khi)</t>
        </is>
      </c>
      <c r="BC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1.5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1</v>
      </c>
      <c r="AE56">
        <f>INDEX(Bang_xuyen_giap!$C$2:$C$7,MIN(6,MAX(1,IF($O$56,MAX(1,2-(Vu_khi!$L$56-4)),2-(Vu_khi!$L$56-4))+1)))</f>
        <v/>
      </c>
      <c r="AF56" t="n">
        <v>0.5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48.39968774395004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24.19984387197502</v>
      </c>
      <c r="AO56">
        <f>IF($Q$56,$M$56*$AC$56*$Y$56,0)</f>
        <v/>
      </c>
      <c r="AP56" t="n">
        <v>72.59953161592506</v>
      </c>
      <c r="AQ56">
        <f>IF($S$56,$M$56*$AG$56*$W$56,0)</f>
        <v/>
      </c>
      <c r="AR56" t="n">
        <v>0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3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BB56" t="inlineStr">
        <is>
          <t>Assets/MachineBrigade/Resources/Data/balance.json: weapons[id=casemate_155_guided] (lớp B trên 01_chien_dau/Vu_khi)</t>
        </is>
      </c>
      <c r="BC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35.98800399866711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AY57" t="n">
        <v>8.336111000000001</v>
      </c>
      <c r="AZ57" t="inlineStr">
        <is>
          <t>ok</t>
        </is>
      </c>
      <c r="BA57" t="b">
        <v>1</v>
      </c>
      <c r="BB57" t="inlineStr">
        <is>
          <t>Assets/MachineBrigade/Resources/Data/balance.json: weapons[id=ciws_aa] (lớp B trên 01_chien_dau/Vu_khi)</t>
        </is>
      </c>
      <c r="BC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0.5</v>
      </c>
      <c r="W58">
        <f>INDEX(Bang_sat_thuong!$C$2:$C$7,MATCH(Vu_khi!$K$58,Bang_sat_thuong!$A$2:$A$7,0))</f>
        <v/>
      </c>
      <c r="X58" t="n">
        <v>1.3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0.85</v>
      </c>
      <c r="AE58">
        <f>INDEX(Bang_xuyen_giap!$C$2:$C$7,MIN(6,MAX(1,IF($O$58,MAX(1,2-(Vu_khi!$L$58-4)),2-(Vu_khi!$L$58-4))+1)))</f>
        <v/>
      </c>
      <c r="AF58" t="n">
        <v>0.25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0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IF($Q$58,$M$58*$AC$58*$Y$58,0)</f>
        <v/>
      </c>
      <c r="AP58" t="n">
        <v>0</v>
      </c>
      <c r="AQ58">
        <f>IF($S$58,$M$58*$AG$58*$W$58,0)</f>
        <v/>
      </c>
      <c r="AR58" t="n">
        <v>155.9480173275575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1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BB58" t="inlineStr">
        <is>
          <t>Assets/MachineBrigade/Resources/Data/balance.json: weapons[id=ciws_aa_flak] (lớp B trên 01_chien_dau/Vu_khi)</t>
        </is>
      </c>
      <c r="BC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125.2609603340292</v>
      </c>
      <c r="AK59">
        <f>IF($Q$59,$M$59*$AC$59*$U$59,0)</f>
        <v/>
      </c>
      <c r="AL59" t="n">
        <v>125.2609603340292</v>
      </c>
      <c r="AM59">
        <f>IF($Q$59,$M$59*$AE$59*$U$59,0)</f>
        <v/>
      </c>
      <c r="AN59" t="n">
        <v>88.72651356993737</v>
      </c>
      <c r="AO59">
        <f>IF($Q$59,$M$59*$AC$59*$Y$59,0)</f>
        <v/>
      </c>
      <c r="AP59" t="n">
        <v>75.15657620041753</v>
      </c>
      <c r="AQ59">
        <f>IF($S$59,$M$59*$AG$59*$W$59,0)</f>
        <v/>
      </c>
      <c r="AR59" t="n">
        <v>31.31524008350731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3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AY59" t="inlineStr"/>
      <c r="AZ59" t="inlineStr">
        <is>
          <t>ok</t>
        </is>
      </c>
      <c r="BA59" t="b">
        <v>1</v>
      </c>
      <c r="BB59" t="inlineStr">
        <is>
          <t>Assets/MachineBrigade/Resources/Data/balance.json: weapons[id=coilgun] (lớp B trên 01_chien_dau/Vu_khi)</t>
        </is>
      </c>
      <c r="BC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0.6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24</v>
      </c>
      <c r="AK60">
        <f>IF($Q$60,$M$60*$AC$60*$U$60,0)</f>
        <v/>
      </c>
      <c r="AL60" t="n">
        <v>24</v>
      </c>
      <c r="AM60">
        <f>IF($Q$60,$M$60*$AE$60*$U$60,0)</f>
        <v/>
      </c>
      <c r="AN60" t="n">
        <v>17</v>
      </c>
      <c r="AO60">
        <f>IF($Q$60,$M$60*$AC$60*$Y$60,0)</f>
        <v/>
      </c>
      <c r="AP60" t="n">
        <v>14.4</v>
      </c>
      <c r="AQ60">
        <f>IF($S$60,$M$60*$AG$60*$W$60,0)</f>
        <v/>
      </c>
      <c r="AR60" t="n">
        <v>6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0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7.5</v>
      </c>
      <c r="AZ60" t="inlineStr">
        <is>
          <t>CHAM_QUA</t>
        </is>
      </c>
      <c r="BA60" t="inlineStr"/>
      <c r="BB60" t="inlineStr">
        <is>
          <t>Assets/MachineBrigade/Resources/Data/balance.json: weapons[id=cruise_missile_ground] (lớp B trên 01_chien_dau/Vu_khi)</t>
        </is>
      </c>
      <c r="BC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85.42445274959958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60.5089873642997</v>
      </c>
      <c r="AO61">
        <f>IF($Q$61,$M$61*$AC$61*$Y$61,0)</f>
        <v/>
      </c>
      <c r="AP61" t="n">
        <v>128.1366791243994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AY61" t="n">
        <v>2.35998</v>
      </c>
      <c r="AZ61" t="inlineStr">
        <is>
          <t>CHAM_QUA;LECH_DOT_1</t>
        </is>
      </c>
      <c r="BA61" t="inlineStr"/>
      <c r="BB61" t="inlineStr">
        <is>
          <t>Assets/MachineBrigade/Resources/Data/balance.json: weapons[id=cruiser_203] (lớp B trên 01_chien_dau/Vu_khi)</t>
        </is>
      </c>
      <c r="BC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42.71222637479979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30.25449368214985</v>
      </c>
      <c r="AO62">
        <f>IF($Q$62,$M$62*$AC$62*$Y$62,0)</f>
        <v/>
      </c>
      <c r="AP62" t="n">
        <v>64.06833956219968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2.5</v>
      </c>
      <c r="BB62" t="inlineStr">
        <is>
          <t>Assets/MachineBrigade/Resources/Data/balance.json: weapons[id=cruiser_203_guided] (lớp B trên 01_chien_dau/Vu_khi)</t>
        </is>
      </c>
      <c r="BC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1.2</v>
      </c>
      <c r="AE63">
        <f>INDEX(Bang_xuyen_giap!$C$2:$C$7,MIN(6,MAX(1,IF($O$63,MAX(1,2-(Vu_khi!$L$63-4)),2-(Vu_khi!$L$63-4))+1)))</f>
        <v/>
      </c>
      <c r="AF63" t="n">
        <v>0.85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924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654.5</v>
      </c>
      <c r="AO63">
        <f>IF($Q$63,$M$63*$AC$63*$Y$63,0)</f>
        <v/>
      </c>
      <c r="AP63" t="n">
        <v>1386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1</v>
      </c>
      <c r="AU63">
        <f>IF(AND($B$63&lt;0,$AS$63),4,$B$63)</f>
        <v/>
      </c>
      <c r="AV63" t="n">
        <v>4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2.722222222222222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weapons[id=detonator] (lớp B trên 01_chien_dau/Vu_khi)</t>
        </is>
      </c>
      <c r="BC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1</v>
      </c>
      <c r="AE64">
        <f>INDEX(Bang_xuyen_giap!$C$2:$C$7,MIN(6,MAX(1,IF($O$64,MAX(1,2-(Vu_khi!$L$64-4)),2-(Vu_khi!$L$64-4))+1)))</f>
        <v/>
      </c>
      <c r="AF64" t="n">
        <v>0.5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82.5</v>
      </c>
      <c r="AK64">
        <f>IF($Q$64,$M$64*$AC$64*$U$64,0)</f>
        <v/>
      </c>
      <c r="AL64" t="n">
        <v>68.75</v>
      </c>
      <c r="AM64">
        <f>IF($Q$64,$M$64*$AE$64*$U$64,0)</f>
        <v/>
      </c>
      <c r="AN64" t="n">
        <v>34.375</v>
      </c>
      <c r="AO64">
        <f>IF($Q$64,$M$64*$AC$64*$Y$64,0)</f>
        <v/>
      </c>
      <c r="AP64" t="n">
        <v>41.25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inlineStr"/>
      <c r="AZ64" t="inlineStr">
        <is>
          <t>ok</t>
        </is>
      </c>
      <c r="BA64" t="inlineStr"/>
      <c r="BB64" t="inlineStr">
        <is>
          <t>Assets/MachineBrigade/Resources/Data/balance.json: weapons[id=dozer_blade] (lớp B trên 01_chien_dau/Vu_khi)</t>
        </is>
      </c>
      <c r="BC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</v>
      </c>
      <c r="AC65">
        <f>INDEX(Bang_xuyen_giap!$C$2:$C$7,MIN(6,MAX(1,IF($O$65,MAX(1,2-(Vu_khi!$L$65-2)),2-(Vu_khi!$L$65-2))+1)))</f>
        <v/>
      </c>
      <c r="AD65" t="n">
        <v>0.5</v>
      </c>
      <c r="AE65">
        <f>INDEX(Bang_xuyen_giap!$C$2:$C$7,MIN(6,MAX(1,IF($O$65,MAX(1,2-(Vu_khi!$L$65-4)),2-(Vu_khi!$L$65-4))+1)))</f>
        <v/>
      </c>
      <c r="AF65" t="n">
        <v>0.1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60.12658227848101</v>
      </c>
      <c r="AK65">
        <f>IF($Q$65,$M$65*$AC$65*$U$65,0)</f>
        <v/>
      </c>
      <c r="AL65" t="n">
        <v>30.0632911392405</v>
      </c>
      <c r="AM65">
        <f>IF($Q$65,$M$65*$AE$65*$U$65,0)</f>
        <v/>
      </c>
      <c r="AN65" t="n">
        <v>6.012658227848101</v>
      </c>
      <c r="AO65">
        <f>IF($Q$65,$M$65*$AC$65*$Y$65,0)</f>
        <v/>
      </c>
      <c r="AP65" t="n">
        <v>18.0379746835443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0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n">
        <v>3.16</v>
      </c>
      <c r="AZ65" t="inlineStr">
        <is>
          <t>ok</t>
        </is>
      </c>
      <c r="BA65" t="inlineStr"/>
      <c r="BB65" t="inlineStr">
        <is>
          <t>Assets/MachineBrigade/Resources/Data/balance.json: weapons[id=drone_gun] (lớp B trên 01_chien_dau/Vu_khi)</t>
        </is>
      </c>
      <c r="BC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1.2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87.15083798882682</v>
      </c>
      <c r="AK66">
        <f>IF($Q$66,$M$66*$AC$66*$U$66,0)</f>
        <v/>
      </c>
      <c r="AL66" t="n">
        <v>87.15083798882682</v>
      </c>
      <c r="AM66">
        <f>IF($Q$66,$M$66*$AE$66*$U$66,0)</f>
        <v/>
      </c>
      <c r="AN66" t="n">
        <v>61.731843575419</v>
      </c>
      <c r="AO66">
        <f>IF($Q$66,$M$66*$AC$66*$Y$66,0)</f>
        <v/>
      </c>
      <c r="AP66" t="n">
        <v>52.29050279329609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2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weapons[id=drone_missile] (lớp B trên 01_chien_dau/Vu_khi)</t>
        </is>
      </c>
      <c r="BC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0.5</v>
      </c>
      <c r="W67">
        <f>INDEX(Bang_sat_thuong!$C$2:$C$7,MATCH(Vu_khi!$K$67,Bang_sat_thuong!$A$2:$A$7,0))</f>
        <v/>
      </c>
      <c r="X67" t="n">
        <v>1.3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79.87494327063688</v>
      </c>
      <c r="AK67">
        <f>IF($Q$67,$M$67*$AC$67*$U$67,0)</f>
        <v/>
      </c>
      <c r="AL67" t="n">
        <v>56.57808481670112</v>
      </c>
      <c r="AM67">
        <f>IF($Q$67,$M$67*$AE$67*$U$67,0)</f>
        <v/>
      </c>
      <c r="AN67" t="n">
        <v>16.64061318138268</v>
      </c>
      <c r="AO67">
        <f>IF($Q$67,$M$67*$AC$67*$Y$67,0)</f>
        <v/>
      </c>
      <c r="AP67" t="n">
        <v>11.31561696334023</v>
      </c>
      <c r="AQ67">
        <f>IF($S$67,$M$67*$AG$67*$W$67,0)</f>
        <v/>
      </c>
      <c r="AR67" t="n">
        <v>173.0623770863799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n">
        <v>7.436625</v>
      </c>
      <c r="AZ67" t="inlineStr">
        <is>
          <t>ok</t>
        </is>
      </c>
      <c r="BA67" t="inlineStr"/>
      <c r="BB67" t="inlineStr">
        <is>
          <t>Assets/MachineBrigade/Resources/Data/balance.json: weapons[id=fighter_cannon] (lớp B trên 01_chien_dau/Vu_khi)</t>
        </is>
      </c>
      <c r="BC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0.6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159.7498865412738</v>
      </c>
      <c r="AK68">
        <f>IF($Q$68,$M$68*$AC$68*$U$68,0)</f>
        <v/>
      </c>
      <c r="AL68" t="n">
        <v>113.1561696334022</v>
      </c>
      <c r="AM68">
        <f>IF($Q$68,$M$68*$AE$68*$U$68,0)</f>
        <v/>
      </c>
      <c r="AN68" t="n">
        <v>33.28122636276537</v>
      </c>
      <c r="AO68">
        <f>IF($Q$68,$M$68*$AC$68*$Y$68,0)</f>
        <v/>
      </c>
      <c r="AP68" t="n">
        <v>67.89370178004135</v>
      </c>
      <c r="AQ68">
        <f>IF($S$68,$M$68*$AG$68*$W$68,0)</f>
        <v/>
      </c>
      <c r="AR68" t="n">
        <v>0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BB68" t="inlineStr">
        <is>
          <t>Assets/MachineBrigade/Resources/Data/balance.json: weapons[id=fighter_cannon_ap] (lớp B trên 01_chien_dau/Vu_khi)</t>
        </is>
      </c>
      <c r="BC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0.5</v>
      </c>
      <c r="W69">
        <f>INDEX(Bang_sat_thuong!$C$2:$C$7,MATCH(Vu_khi!$K$69,Bang_sat_thuong!$A$2:$A$7,0))</f>
        <v/>
      </c>
      <c r="X69" t="n">
        <v>1.3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52.8</v>
      </c>
      <c r="AK69">
        <f>IF($Q$69,$M$69*$AC$69*$U$69,0)</f>
        <v/>
      </c>
      <c r="AL69" t="n">
        <v>37.4</v>
      </c>
      <c r="AM69">
        <f>IF($Q$69,$M$69*$AE$69*$U$69,0)</f>
        <v/>
      </c>
      <c r="AN69" t="n">
        <v>11</v>
      </c>
      <c r="AO69">
        <f>IF($Q$69,$M$69*$AC$69*$Y$69,0)</f>
        <v/>
      </c>
      <c r="AP69" t="n">
        <v>7.48</v>
      </c>
      <c r="AQ69">
        <f>IF($S$69,$M$69*$AG$69*$W$69,0)</f>
        <v/>
      </c>
      <c r="AR69" t="n">
        <v>114.4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AY69" t="n">
        <v>5.416667</v>
      </c>
      <c r="AZ69" t="inlineStr">
        <is>
          <t>CHAM_QUA</t>
        </is>
      </c>
      <c r="BA69" t="inlineStr"/>
      <c r="BB69" t="inlineStr">
        <is>
          <t>Assets/MachineBrigade/Resources/Data/balance.json: weapons[id=flak_35] (lớp B trên 01_chien_dau/Vu_khi)</t>
        </is>
      </c>
      <c r="BC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0.6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0.85</v>
      </c>
      <c r="AE70">
        <f>INDEX(Bang_xuyen_giap!$C$2:$C$7,MIN(6,MAX(1,IF($O$70,MAX(1,2-(Vu_khi!$L$70-4)),2-(Vu_khi!$L$70-4))+1)))</f>
        <v/>
      </c>
      <c r="AF70" t="n">
        <v>0.25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105.6</v>
      </c>
      <c r="AK70">
        <f>IF($Q$70,$M$70*$AC$70*$U$70,0)</f>
        <v/>
      </c>
      <c r="AL70" t="n">
        <v>74.8</v>
      </c>
      <c r="AM70">
        <f>IF($Q$70,$M$70*$AE$70*$U$70,0)</f>
        <v/>
      </c>
      <c r="AN70" t="n">
        <v>22</v>
      </c>
      <c r="AO70">
        <f>IF($Q$70,$M$70*$AC$70*$Y$70,0)</f>
        <v/>
      </c>
      <c r="AP70" t="n">
        <v>44.88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BB70" t="inlineStr">
        <is>
          <t>Assets/MachineBrigade/Resources/Data/balance.json: weapons[id=flak_35_ap] (lớp B trên 01_chien_dau/Vu_khi)</t>
        </is>
      </c>
      <c r="BC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0.5</v>
      </c>
      <c r="W71">
        <f>INDEX(Bang_sat_thuong!$C$2:$C$7,MATCH(Vu_khi!$K$71,Bang_sat_thuong!$A$2:$A$7,0))</f>
        <v/>
      </c>
      <c r="X71" t="n">
        <v>1.3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INDEX(Bang_xuyen_giap!$C$2:$C$7,MIN(6,MAX(1,IF($O$71,MAX(1,2-(Vu_khi!$L$71-0)),2-(Vu_khi!$L$71-0))+1)))</f>
        <v/>
      </c>
      <c r="AB71" t="n">
        <v>1</v>
      </c>
      <c r="AC71">
        <f>INDEX(Bang_xuyen_giap!$C$2:$C$7,MIN(6,MAX(1,IF($O$71,MAX(1,2-(Vu_khi!$L$71-2)),2-(Vu_khi!$L$71-2))+1)))</f>
        <v/>
      </c>
      <c r="AD71" t="n">
        <v>0.5</v>
      </c>
      <c r="AE71">
        <f>INDEX(Bang_xuyen_giap!$C$2:$C$7,MIN(6,MAX(1,IF($O$71,MAX(1,2-(Vu_khi!$L$71-4)),2-(Vu_khi!$L$71-4))+1)))</f>
        <v/>
      </c>
      <c r="AF71" t="n">
        <v>0.1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117.4934725848564</v>
      </c>
      <c r="AK71">
        <f>IF($Q$71,$M$71*$AC$71*$U$71,0)</f>
        <v/>
      </c>
      <c r="AL71" t="n">
        <v>58.7467362924282</v>
      </c>
      <c r="AM71">
        <f>IF($Q$71,$M$71*$AE$71*$U$71,0)</f>
        <v/>
      </c>
      <c r="AN71" t="n">
        <v>11.74934725848564</v>
      </c>
      <c r="AO71">
        <f>IF($Q$71,$M$71*$AC$71*$Y$71,0)</f>
        <v/>
      </c>
      <c r="AP71" t="n">
        <v>11.74934725848564</v>
      </c>
      <c r="AQ71">
        <f>IF($S$71,$M$71*$AG$71*$W$71,0)</f>
        <v/>
      </c>
      <c r="AR71" t="n">
        <v>305.4830287206266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AY71" t="n">
        <v>3.971852</v>
      </c>
      <c r="AZ71" t="inlineStr">
        <is>
          <t>ok</t>
        </is>
      </c>
      <c r="BA71" t="inlineStr"/>
      <c r="BB71" t="inlineStr">
        <is>
          <t>Assets/MachineBrigade/Resources/Data/balance.json: weapons[id=flak_quad] (lớp B trên 01_chien_dau/Vu_khi)</t>
        </is>
      </c>
      <c r="BC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0.6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0.85</v>
      </c>
      <c r="AE72">
        <f>INDEX(Bang_xuyen_giap!$C$2:$C$7,MIN(6,MAX(1,IF($O$72,MAX(1,2-(Vu_khi!$L$72-4)),2-(Vu_khi!$L$72-4))+1)))</f>
        <v/>
      </c>
      <c r="AF72" t="n">
        <v>0.25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281.9843342036554</v>
      </c>
      <c r="AK72">
        <f>IF($Q$72,$M$72*$AC$72*$U$72,0)</f>
        <v/>
      </c>
      <c r="AL72" t="n">
        <v>199.7389033942559</v>
      </c>
      <c r="AM72">
        <f>IF($Q$72,$M$72*$AE$72*$U$72,0)</f>
        <v/>
      </c>
      <c r="AN72" t="n">
        <v>58.7467362924282</v>
      </c>
      <c r="AO72">
        <f>IF($Q$72,$M$72*$AC$72*$Y$72,0)</f>
        <v/>
      </c>
      <c r="AP72" t="n">
        <v>119.8433420365535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BB72" t="inlineStr">
        <is>
          <t>Assets/MachineBrigade/Resources/Data/balance.json: weapons[id=flak_quad_ap] (lớp B trên 01_chien_dau/Vu_khi)</t>
        </is>
      </c>
      <c r="BC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</v>
      </c>
      <c r="AA73">
        <f>INDEX(Bang_xuyen_giap!$C$2:$C$7,MIN(6,MAX(1,IF($O$73,MAX(1,2-(Vu_khi!$L$73-0)),2-(Vu_khi!$L$73-0))+1)))</f>
        <v/>
      </c>
      <c r="AB73" t="n">
        <v>1</v>
      </c>
      <c r="AC73">
        <f>INDEX(Bang_xuyen_giap!$C$2:$C$7,MIN(6,MAX(1,IF($O$73,MAX(1,2-(Vu_khi!$L$73-2)),2-(Vu_khi!$L$73-2))+1)))</f>
        <v/>
      </c>
      <c r="AD73" t="n">
        <v>0.5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126</v>
      </c>
      <c r="AK73">
        <f>IF($Q$73,$M$73*$AC$73*$U$73,0)</f>
        <v/>
      </c>
      <c r="AL73" t="n">
        <v>63</v>
      </c>
      <c r="AM73">
        <f>IF($Q$73,$M$73*$AE$73*$U$73,0)</f>
        <v/>
      </c>
      <c r="AN73" t="n">
        <v>12.6</v>
      </c>
      <c r="AO73">
        <f>IF($Q$73,$M$73*$AC$73*$Y$73,0)</f>
        <v/>
      </c>
      <c r="AP73" t="n">
        <v>42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weapons[id=flamethrower] (lớp B trên 01_chien_dau/Vu_khi)</t>
        </is>
      </c>
      <c r="BC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0.5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1.2</v>
      </c>
      <c r="AE74">
        <f>INDEX(Bang_xuyen_giap!$C$2:$C$7,MIN(6,MAX(1,IF($O$74,MAX(1,2-(Vu_khi!$L$74-4)),2-(Vu_khi!$L$74-4))+1)))</f>
        <v/>
      </c>
      <c r="AF74" t="n">
        <v>0.85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127.6595744680851</v>
      </c>
      <c r="AK74">
        <f>IF($Q$74,$M$74*$AC$74*$U$74,0)</f>
        <v/>
      </c>
      <c r="AL74" t="n">
        <v>127.6595744680851</v>
      </c>
      <c r="AM74">
        <f>IF($Q$74,$M$74*$AE$74*$U$74,0)</f>
        <v/>
      </c>
      <c r="AN74" t="n">
        <v>90.42553191489361</v>
      </c>
      <c r="AO74">
        <f>IF($Q$74,$M$74*$AC$74*$Y$74,0)</f>
        <v/>
      </c>
      <c r="AP74" t="n">
        <v>63.82978723404255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1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weapons[id=focus_laser] (lớp B trên 01_chien_dau/Vu_khi)</t>
        </is>
      </c>
      <c r="BC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53.33333333333334</v>
      </c>
      <c r="AK75">
        <f>IF($Q$75,$M$75*$AC$75*$U$75,0)</f>
        <v/>
      </c>
      <c r="AL75" t="n">
        <v>53.33333333333334</v>
      </c>
      <c r="AM75">
        <f>IF($Q$75,$M$75*$AE$75*$U$75,0)</f>
        <v/>
      </c>
      <c r="AN75" t="n">
        <v>26.66666666666667</v>
      </c>
      <c r="AO75">
        <f>IF($Q$75,$M$75*$AC$75*$Y$75,0)</f>
        <v/>
      </c>
      <c r="AP75" t="n">
        <v>32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weapons[id=fpv_hangar] (lớp B trên 01_chien_dau/Vu_khi)</t>
        </is>
      </c>
      <c r="BC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70.8860759493671</v>
      </c>
      <c r="AK76">
        <f>IF($Q$76,$M$76*$AC$76*$U$76,0)</f>
        <v/>
      </c>
      <c r="AL76" t="n">
        <v>70.8860759493671</v>
      </c>
      <c r="AM76">
        <f>IF($Q$76,$M$76*$AE$76*$U$76,0)</f>
        <v/>
      </c>
      <c r="AN76" t="n">
        <v>35.44303797468355</v>
      </c>
      <c r="AO76">
        <f>IF($Q$76,$M$76*$AC$76*$Y$76,0)</f>
        <v/>
      </c>
      <c r="AP76" t="n">
        <v>42.53164556962026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weapons[id=fpv_hangar_swarm] (lớp B trên 01_chien_dau/Vu_khi)</t>
        </is>
      </c>
      <c r="BC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41.63568773234201</v>
      </c>
      <c r="AK77">
        <f>IF($Q$77,$M$77*$AC$77*$U$77,0)</f>
        <v/>
      </c>
      <c r="AL77" t="n">
        <v>41.63568773234201</v>
      </c>
      <c r="AM77">
        <f>IF($Q$77,$M$77*$AE$77*$U$77,0)</f>
        <v/>
      </c>
      <c r="AN77" t="n">
        <v>20.817843866171</v>
      </c>
      <c r="AO77">
        <f>IF($Q$77,$M$77*$AC$77*$Y$77,0)</f>
        <v/>
      </c>
      <c r="AP77" t="n">
        <v>24.9814126394052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2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inlineStr"/>
      <c r="AZ77" t="inlineStr">
        <is>
          <t>ok</t>
        </is>
      </c>
      <c r="BA77" t="inlineStr"/>
      <c r="BB77" t="inlineStr">
        <is>
          <t>Assets/MachineBrigade/Resources/Data/balance.json: weapons[id=fpv_swarm] (lớp B trên 01_chien_dau/Vu_khi)</t>
        </is>
      </c>
      <c r="BC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1</v>
      </c>
      <c r="AE78">
        <f>INDEX(Bang_xuyen_giap!$C$2:$C$7,MIN(6,MAX(1,IF($O$78,MAX(1,2-(Vu_khi!$L$78-4)),2-(Vu_khi!$L$78-4))+1)))</f>
        <v/>
      </c>
      <c r="AF78" t="n">
        <v>0.5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640.1167281778388</v>
      </c>
      <c r="AK78">
        <f>IF($Q$78,$M$78*$AC$78*$U$78,0)</f>
        <v/>
      </c>
      <c r="AL78" t="n">
        <v>533.4306068148657</v>
      </c>
      <c r="AM78">
        <f>IF($Q$78,$M$78*$AE$78*$U$78,0)</f>
        <v/>
      </c>
      <c r="AN78" t="n">
        <v>266.7153034074328</v>
      </c>
      <c r="AO78">
        <f>IF($Q$78,$M$78*$AC$78*$Y$78,0)</f>
        <v/>
      </c>
      <c r="AP78" t="n">
        <v>320.0583640889194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2.680761</v>
      </c>
      <c r="AZ78" t="inlineStr">
        <is>
          <t>ok</t>
        </is>
      </c>
      <c r="BA78" t="inlineStr"/>
      <c r="BB78" t="inlineStr">
        <is>
          <t>Assets/MachineBrigade/Resources/Data/balance.json: weapons[id=gau_gatling] (lớp B trên 01_chien_dau/Vu_khi)</t>
        </is>
      </c>
      <c r="BC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35.71292956142016</v>
      </c>
      <c r="AK79">
        <f>IF($Q$79,$M$79*$AC$79*$U$79,0)</f>
        <v/>
      </c>
      <c r="AL79" t="n">
        <v>30.35599012720714</v>
      </c>
      <c r="AM79">
        <f>IF($Q$79,$M$79*$AE$79*$U$79,0)</f>
        <v/>
      </c>
      <c r="AN79" t="n">
        <v>8.92823239035504</v>
      </c>
      <c r="AO79">
        <f>IF($Q$79,$M$79*$AC$79*$Y$79,0)</f>
        <v/>
      </c>
      <c r="AP79" t="n">
        <v>45.5339851908107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weapons[id=grad_cluster] (lớp B trên 01_chien_dau/Vu_khi)</t>
        </is>
      </c>
      <c r="BC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1.5</v>
      </c>
      <c r="AA80">
        <f>INDEX(Bang_xuyen_giap!$C$2:$C$7,MIN(6,MAX(1,IF($O$80,MAX(1,2-(Vu_khi!$L$80-0)),2-(Vu_khi!$L$80-0))+1)))</f>
        <v/>
      </c>
      <c r="AB80" t="n">
        <v>1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24.61218615064769</v>
      </c>
      <c r="AK80">
        <f>IF($Q$80,$M$80*$AC$80*$U$80,0)</f>
        <v/>
      </c>
      <c r="AL80" t="n">
        <v>20.92035822805054</v>
      </c>
      <c r="AM80">
        <f>IF($Q$80,$M$80*$AE$80*$U$80,0)</f>
        <v/>
      </c>
      <c r="AN80" t="n">
        <v>6.153046537661922</v>
      </c>
      <c r="AO80">
        <f>IF($Q$80,$M$80*$AC$80*$Y$80,0)</f>
        <v/>
      </c>
      <c r="AP80" t="n">
        <v>31.3805373420758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3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1</v>
      </c>
      <c r="AZ80" t="inlineStr">
        <is>
          <t>ok</t>
        </is>
      </c>
      <c r="BA80" t="inlineStr"/>
      <c r="BB80" t="inlineStr">
        <is>
          <t>Assets/MachineBrigade/Resources/Data/balance.json: weapons[id=grad_rockets] (lớp B trên 01_chien_dau/Vu_khi)</t>
        </is>
      </c>
      <c r="BC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0.6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0.85</v>
      </c>
      <c r="AE81">
        <f>INDEX(Bang_xuyen_giap!$C$2:$C$7,MIN(6,MAX(1,IF($O$81,MAX(1,2-(Vu_khi!$L$81-4)),2-(Vu_khi!$L$81-4))+1)))</f>
        <v/>
      </c>
      <c r="AF81" t="n">
        <v>0.25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115.8148716823865</v>
      </c>
      <c r="AK81">
        <f>IF($Q$81,$M$81*$AC$81*$U$81,0)</f>
        <v/>
      </c>
      <c r="AL81" t="n">
        <v>82.03553410835708</v>
      </c>
      <c r="AM81">
        <f>IF($Q$81,$M$81*$AE$81*$U$81,0)</f>
        <v/>
      </c>
      <c r="AN81" t="n">
        <v>24.12809826716385</v>
      </c>
      <c r="AO81">
        <f>IF($Q$81,$M$81*$AC$81*$Y$81,0)</f>
        <v/>
      </c>
      <c r="AP81" t="n">
        <v>49.22132046501425</v>
      </c>
      <c r="AQ81">
        <f>IF($S$81,$M$81*$AG$81*$W$81,0)</f>
        <v/>
      </c>
      <c r="AR81" t="n">
        <v>28.95371792059662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1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8.220015</v>
      </c>
      <c r="AZ81" t="inlineStr">
        <is>
          <t>ok</t>
        </is>
      </c>
      <c r="BA81" t="inlineStr"/>
      <c r="BB81" t="inlineStr">
        <is>
          <t>Assets/MachineBrigade/Resources/Data/balance.json: weapons[id=gsh_23v] (lớp B trên 01_chien_dau/Vu_khi)</t>
        </is>
      </c>
      <c r="BC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210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31.57419936851601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1.5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1</v>
      </c>
      <c r="AE82">
        <f>INDEX(Bang_xuyen_giap!$C$2:$C$7,MIN(6,MAX(1,IF($O$82,MAX(1,2-(Vu_khi!$L$82-4)),2-(Vu_khi!$L$82-4))+1)))</f>
        <v/>
      </c>
      <c r="AF82" t="n">
        <v>0.5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31.57419936851601</v>
      </c>
      <c r="AK82">
        <f>IF($Q$82,$M$82*$AC$82*$U$82,0)</f>
        <v/>
      </c>
      <c r="AL82" t="n">
        <v>31.57419936851601</v>
      </c>
      <c r="AM82">
        <f>IF($Q$82,$M$82*$AE$82*$U$82,0)</f>
        <v/>
      </c>
      <c r="AN82" t="n">
        <v>15.78709968425801</v>
      </c>
      <c r="AO82">
        <f>IF($Q$82,$M$82*$AC$82*$Y$82,0)</f>
        <v/>
      </c>
      <c r="AP82" t="n">
        <v>47.36129905277402</v>
      </c>
      <c r="AQ82">
        <f>IF($S$82,$M$82*$AG$82*$W$82,0)</f>
        <v/>
      </c>
      <c r="AR82" t="n">
        <v>0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inlineStr"/>
      <c r="AZ82" t="inlineStr">
        <is>
          <t>ok</t>
        </is>
      </c>
      <c r="BA82" t="inlineStr"/>
      <c r="BB82" t="inlineStr">
        <is>
          <t>Assets/MachineBrigade/Resources/Data/balance.json: weapons[id=guided_bomb] (lớp B trên 01_chien_dau/Vu_khi)</t>
        </is>
      </c>
      <c r="BC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0.5</v>
      </c>
      <c r="W83">
        <f>INDEX(Bang_sat_thuong!$C$2:$C$7,MATCH(Vu_khi!$K$83,Bang_sat_thuong!$A$2:$A$7,0))</f>
        <v/>
      </c>
      <c r="X83" t="n">
        <v>1.3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0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IF($Q$83,$M$83*$AC$83*$Y$83,0)</f>
        <v/>
      </c>
      <c r="AP83" t="n">
        <v>0</v>
      </c>
      <c r="AQ83">
        <f>IF($S$83,$M$83*$AG$83*$W$83,0)</f>
        <v/>
      </c>
      <c r="AR83" t="n">
        <v>111.4285714285714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1.633333</v>
      </c>
      <c r="AZ83" t="inlineStr">
        <is>
          <t>ok</t>
        </is>
      </c>
      <c r="BA83" t="inlineStr"/>
      <c r="BB83" t="inlineStr">
        <is>
          <t>Assets/MachineBrigade/Resources/Data/balance.json: weapons[id=gun_57_air] (lớp B trên 01_chien_dau/Vu_khi)</t>
        </is>
      </c>
      <c r="BC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93.33333333333333</v>
      </c>
      <c r="AK84">
        <f>IF($Q$84,$M$84*$AC$84*$U$84,0)</f>
        <v/>
      </c>
      <c r="AL84" t="n">
        <v>66.1111111111111</v>
      </c>
      <c r="AM84">
        <f>IF($Q$84,$M$84*$AE$84*$U$84,0)</f>
        <v/>
      </c>
      <c r="AN84" t="n">
        <v>19.44444444444444</v>
      </c>
      <c r="AO84">
        <f>IF($Q$84,$M$84*$AC$84*$Y$84,0)</f>
        <v/>
      </c>
      <c r="AP84" t="n">
        <v>39.66666666666666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1.8</v>
      </c>
      <c r="AZ84" t="inlineStr">
        <is>
          <t>ok</t>
        </is>
      </c>
      <c r="BA84" t="inlineStr"/>
      <c r="BB84" t="inlineStr">
        <is>
          <t>Assets/MachineBrigade/Resources/Data/balance.json: weapons[id=gun_57_auto] (lớp B trên 01_chien_dau/Vu_khi)</t>
        </is>
      </c>
      <c r="BC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0.6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41.06392907139524</v>
      </c>
      <c r="AK85">
        <f>IF($Q$85,$M$85*$AC$85*$U$85,0)</f>
        <v/>
      </c>
      <c r="AL85" t="n">
        <v>29.08694975890496</v>
      </c>
      <c r="AM85">
        <f>IF($Q$85,$M$85*$AE$85*$U$85,0)</f>
        <v/>
      </c>
      <c r="AN85" t="n">
        <v>8.554985223207341</v>
      </c>
      <c r="AO85">
        <f>IF($Q$85,$M$85*$AC$85*$Y$85,0)</f>
        <v/>
      </c>
      <c r="AP85" t="n">
        <v>17.45216985534298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n">
        <v>6.429</v>
      </c>
      <c r="AZ85" t="inlineStr">
        <is>
          <t>CHAM_QUA;LECH_DOT_1</t>
        </is>
      </c>
      <c r="BA85" t="inlineStr"/>
      <c r="BB85" t="inlineStr">
        <is>
          <t>Assets/MachineBrigade/Resources/Data/balance.json: weapons[id=gun_57mm] (lớp B trên 01_chien_dau/Vu_khi)</t>
        </is>
      </c>
      <c r="BC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41.06392907139524</v>
      </c>
      <c r="AK86">
        <f>IF($Q$86,$M$86*$AC$86*$U$86,0)</f>
        <v/>
      </c>
      <c r="AL86" t="n">
        <v>29.08694975890496</v>
      </c>
      <c r="AM86">
        <f>IF($Q$86,$M$86*$AE$86*$U$86,0)</f>
        <v/>
      </c>
      <c r="AN86" t="n">
        <v>8.554985223207341</v>
      </c>
      <c r="AO86">
        <f>IF($Q$86,$M$86*$AC$86*$Y$86,0)</f>
        <v/>
      </c>
      <c r="AP86" t="n">
        <v>43.63042463835743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BB86" t="inlineStr">
        <is>
          <t>Assets/MachineBrigade/Resources/Data/balance.json: weapons[id=gun_57mm_he] (lớp B trên 01_chien_dau/Vu_khi)</t>
        </is>
      </c>
      <c r="BC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1.5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0.85</v>
      </c>
      <c r="AE87">
        <f>INDEX(Bang_xuyen_giap!$C$2:$C$7,MIN(6,MAX(1,IF($O$87,MAX(1,2-(Vu_khi!$L$87-4)),2-(Vu_khi!$L$87-4))+1)))</f>
        <v/>
      </c>
      <c r="AF87" t="n">
        <v>0.25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64.11572561829212</v>
      </c>
      <c r="AK87">
        <f>IF($Q$87,$M$87*$AC$87*$U$87,0)</f>
        <v/>
      </c>
      <c r="AL87" t="n">
        <v>45.41530564629025</v>
      </c>
      <c r="AM87">
        <f>IF($Q$87,$M$87*$AE$87*$U$87,0)</f>
        <v/>
      </c>
      <c r="AN87" t="n">
        <v>13.35744283714419</v>
      </c>
      <c r="AO87">
        <f>IF($Q$87,$M$87*$AC$87*$Y$87,0)</f>
        <v/>
      </c>
      <c r="AP87" t="n">
        <v>68.12295846943537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4.000267</v>
      </c>
      <c r="AZ87" t="inlineStr">
        <is>
          <t>CHAM_QUA</t>
        </is>
      </c>
      <c r="BA87" t="inlineStr"/>
      <c r="BB87" t="inlineStr">
        <is>
          <t>Assets/MachineBrigade/Resources/Data/balance.json: weapons[id=gun_100_river] (lớp B trên 01_chien_dau/Vu_khi)</t>
        </is>
      </c>
      <c r="BC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1.2</v>
      </c>
      <c r="AE88">
        <f>INDEX(Bang_xuyen_giap!$C$2:$C$7,MIN(6,MAX(1,IF($O$88,MAX(1,2-(Vu_khi!$L$88-4)),2-(Vu_khi!$L$88-4))+1)))</f>
        <v/>
      </c>
      <c r="AF88" t="n">
        <v>0.85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79.7420741536808</v>
      </c>
      <c r="AK88">
        <f>IF($Q$88,$M$88*$AC$88*$U$88,0)</f>
        <v/>
      </c>
      <c r="AL88" t="n">
        <v>79.7420741536808</v>
      </c>
      <c r="AM88">
        <f>IF($Q$88,$M$88*$AE$88*$U$88,0)</f>
        <v/>
      </c>
      <c r="AN88" t="n">
        <v>56.48396919219057</v>
      </c>
      <c r="AO88">
        <f>IF($Q$88,$M$88*$AC$88*$Y$88,0)</f>
        <v/>
      </c>
      <c r="AP88" t="n">
        <v>47.84524449220849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n">
        <v>0.455945</v>
      </c>
      <c r="AZ88" t="inlineStr">
        <is>
          <t>NHANH_QUA;LECH_DOT_1</t>
        </is>
      </c>
      <c r="BA88" t="inlineStr"/>
      <c r="BB88" t="inlineStr">
        <is>
          <t>Assets/MachineBrigade/Resources/Data/balance.json: weapons[id=gun_105_apfsds] (lớp B trên 01_chien_dau/Vu_khi)</t>
        </is>
      </c>
      <c r="BC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1.5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0.85</v>
      </c>
      <c r="AE89">
        <f>INDEX(Bang_xuyen_giap!$C$2:$C$7,MIN(6,MAX(1,IF($O$89,MAX(1,2-(Vu_khi!$L$89-4)),2-(Vu_khi!$L$89-4))+1)))</f>
        <v/>
      </c>
      <c r="AF89" t="n">
        <v>0.25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79.7420741536808</v>
      </c>
      <c r="AK89">
        <f>IF($Q$89,$M$89*$AC$89*$U$89,0)</f>
        <v/>
      </c>
      <c r="AL89" t="n">
        <v>56.48396919219057</v>
      </c>
      <c r="AM89">
        <f>IF($Q$89,$M$89*$AE$89*$U$89,0)</f>
        <v/>
      </c>
      <c r="AN89" t="n">
        <v>16.61293211535017</v>
      </c>
      <c r="AO89">
        <f>IF($Q$89,$M$89*$AC$89*$Y$89,0)</f>
        <v/>
      </c>
      <c r="AP89" t="n">
        <v>84.72595378828586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3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BB89" t="inlineStr">
        <is>
          <t>Assets/MachineBrigade/Resources/Data/balance.json: weapons[id=gun_105_apfsds_he] (lớp B trên 01_chien_dau/Vu_khi)</t>
        </is>
      </c>
      <c r="BC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66.13756613756614</v>
      </c>
      <c r="AK90">
        <f>IF($Q$90,$M$90*$AC$90*$U$90,0)</f>
        <v/>
      </c>
      <c r="AL90" t="n">
        <v>55.11463844797179</v>
      </c>
      <c r="AM90">
        <f>IF($Q$90,$M$90*$AE$90*$U$90,0)</f>
        <v/>
      </c>
      <c r="AN90" t="n">
        <v>27.55731922398589</v>
      </c>
      <c r="AO90">
        <f>IF($Q$90,$M$90*$AC$90*$Y$90,0)</f>
        <v/>
      </c>
      <c r="AP90" t="n">
        <v>33.06878306878307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n">
        <v>0.5292</v>
      </c>
      <c r="AZ90" t="inlineStr">
        <is>
          <t>NHANH_QUA</t>
        </is>
      </c>
      <c r="BA90" t="inlineStr"/>
      <c r="BB90" t="inlineStr">
        <is>
          <t>Assets/MachineBrigade/Resources/Data/balance.json: weapons[id=gun_105_bunker] (lớp B trên 01_chien_dau/Vu_khi)</t>
        </is>
      </c>
      <c r="BC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1.5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0.85</v>
      </c>
      <c r="AE91">
        <f>INDEX(Bang_xuyen_giap!$C$2:$C$7,MIN(6,MAX(1,IF($O$91,MAX(1,2-(Vu_khi!$L$91-4)),2-(Vu_khi!$L$91-4))+1)))</f>
        <v/>
      </c>
      <c r="AF91" t="n">
        <v>0.25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79.36507936507937</v>
      </c>
      <c r="AK91">
        <f>IF($Q$91,$M$91*$AC$91*$U$91,0)</f>
        <v/>
      </c>
      <c r="AL91" t="n">
        <v>56.21693121693121</v>
      </c>
      <c r="AM91">
        <f>IF($Q$91,$M$91*$AE$91*$U$91,0)</f>
        <v/>
      </c>
      <c r="AN91" t="n">
        <v>16.53439153439153</v>
      </c>
      <c r="AO91">
        <f>IF($Q$91,$M$91*$AC$91*$Y$91,0)</f>
        <v/>
      </c>
      <c r="AP91" t="n">
        <v>84.32539682539682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2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BB91" t="inlineStr">
        <is>
          <t>Assets/MachineBrigade/Resources/Data/balance.json: weapons[id=gun_105_bunker_he] (lớp B trên 01_chien_dau/Vu_khi)</t>
        </is>
      </c>
      <c r="BC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0.6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1.2</v>
      </c>
      <c r="AE92">
        <f>INDEX(Bang_xuyen_giap!$C$2:$C$7,MIN(6,MAX(1,IF($O$92,MAX(1,2-(Vu_khi!$L$92-4)),2-(Vu_khi!$L$92-4))+1)))</f>
        <v/>
      </c>
      <c r="AF92" t="n">
        <v>0.85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93.49013019739606</v>
      </c>
      <c r="AK92">
        <f>IF($Q$92,$M$92*$AC$92*$U$92,0)</f>
        <v/>
      </c>
      <c r="AL92" t="n">
        <v>93.49013019739606</v>
      </c>
      <c r="AM92">
        <f>IF($Q$92,$M$92*$AE$92*$U$92,0)</f>
        <v/>
      </c>
      <c r="AN92" t="n">
        <v>66.22217555648888</v>
      </c>
      <c r="AO92">
        <f>IF($Q$92,$M$92*$AC$92*$Y$92,0)</f>
        <v/>
      </c>
      <c r="AP92" t="n">
        <v>56.09407811843764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AY92" t="n">
        <v>0.388897</v>
      </c>
      <c r="AZ92" t="inlineStr">
        <is>
          <t>NHANH_QUA;LECH_DOT_1</t>
        </is>
      </c>
      <c r="BA92" t="inlineStr"/>
      <c r="BB92" t="inlineStr">
        <is>
          <t>Assets/MachineBrigade/Resources/Data/balance.json: weapons[id=gun_105_long] (lớp B trên 01_chien_dau/Vu_khi)</t>
        </is>
      </c>
      <c r="BC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93.49013019739606</v>
      </c>
      <c r="AK93">
        <f>IF($Q$93,$M$93*$AC$93*$U$93,0)</f>
        <v/>
      </c>
      <c r="AL93" t="n">
        <v>66.22217555648888</v>
      </c>
      <c r="AM93">
        <f>IF($Q$93,$M$93*$AE$93*$U$93,0)</f>
        <v/>
      </c>
      <c r="AN93" t="n">
        <v>19.47711045779085</v>
      </c>
      <c r="AO93">
        <f>IF($Q$93,$M$93*$AC$93*$Y$93,0)</f>
        <v/>
      </c>
      <c r="AP93" t="n">
        <v>99.33326333473332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BB93" t="inlineStr">
        <is>
          <t>Assets/MachineBrigade/Resources/Data/balance.json: weapons[id=gun_105_long_he] (lớp B trên 01_chien_dau/Vu_khi)</t>
        </is>
      </c>
      <c r="BC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</v>
      </c>
      <c r="AE94">
        <f>INDEX(Bang_xuyen_giap!$C$2:$C$7,MIN(6,MAX(1,IF($O$94,MAX(1,2-(Vu_khi!$L$94-4)),2-(Vu_khi!$L$94-4))+1)))</f>
        <v/>
      </c>
      <c r="AF94" t="n">
        <v>0.5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88.6411149825784</v>
      </c>
      <c r="AK94">
        <f>IF($Q$94,$M$94*$AC$94*$U$94,0)</f>
        <v/>
      </c>
      <c r="AL94" t="n">
        <v>73.86759581881533</v>
      </c>
      <c r="AM94">
        <f>IF($Q$94,$M$94*$AE$94*$U$94,0)</f>
        <v/>
      </c>
      <c r="AN94" t="n">
        <v>36.93379790940767</v>
      </c>
      <c r="AO94">
        <f>IF($Q$94,$M$94*$AC$94*$Y$94,0)</f>
        <v/>
      </c>
      <c r="AP94" t="n">
        <v>44.3205574912892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2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0.669667</v>
      </c>
      <c r="AZ94" t="inlineStr">
        <is>
          <t>ok</t>
        </is>
      </c>
      <c r="BA94" t="inlineStr"/>
      <c r="BB94" t="inlineStr">
        <is>
          <t>Assets/MachineBrigade/Resources/Data/balance.json: weapons[id=gun_105_twin] (lớp B trên 01_chien_dau/Vu_khi)</t>
        </is>
      </c>
      <c r="BC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1.2</v>
      </c>
      <c r="AE95">
        <f>INDEX(Bang_xuyen_giap!$C$2:$C$7,MIN(6,MAX(1,IF($O$95,MAX(1,2-(Vu_khi!$L$95-4)),2-(Vu_khi!$L$95-4))+1)))</f>
        <v/>
      </c>
      <c r="AF95" t="n">
        <v>0.85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83.68928368928368</v>
      </c>
      <c r="AK95">
        <f>IF($Q$95,$M$95*$AC$95*$U$95,0)</f>
        <v/>
      </c>
      <c r="AL95" t="n">
        <v>83.68928368928368</v>
      </c>
      <c r="AM95">
        <f>IF($Q$95,$M$95*$AE$95*$U$95,0)</f>
        <v/>
      </c>
      <c r="AN95" t="n">
        <v>59.27990927990928</v>
      </c>
      <c r="AO95">
        <f>IF($Q$95,$M$95*$AC$95*$Y$95,0)</f>
        <v/>
      </c>
      <c r="AP95" t="n">
        <v>50.21357021357021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n">
        <v>0.493827</v>
      </c>
      <c r="AZ95" t="inlineStr">
        <is>
          <t>NHANH_QUA;LECH_DOT_1</t>
        </is>
      </c>
      <c r="BA95" t="inlineStr"/>
      <c r="BB95" t="inlineStr">
        <is>
          <t>Assets/MachineBrigade/Resources/Data/balance.json: weapons[id=gun_105_wheeled] (lớp B trên 01_chien_dau/Vu_khi)</t>
        </is>
      </c>
      <c r="BC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1.5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83.68928368928368</v>
      </c>
      <c r="AK96">
        <f>IF($Q$96,$M$96*$AC$96*$U$96,0)</f>
        <v/>
      </c>
      <c r="AL96" t="n">
        <v>59.27990927990928</v>
      </c>
      <c r="AM96">
        <f>IF($Q$96,$M$96*$AE$96*$U$96,0)</f>
        <v/>
      </c>
      <c r="AN96" t="n">
        <v>17.43526743526743</v>
      </c>
      <c r="AO96">
        <f>IF($Q$96,$M$96*$AC$96*$Y$96,0)</f>
        <v/>
      </c>
      <c r="AP96" t="n">
        <v>88.91986391986391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BB96" t="inlineStr">
        <is>
          <t>Assets/MachineBrigade/Resources/Data/balance.json: weapons[id=gun_105_wheeled_he] (lớp B trên 01_chien_dau/Vu_khi)</t>
        </is>
      </c>
      <c r="BC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0.6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1.2</v>
      </c>
      <c r="AE97">
        <f>INDEX(Bang_xuyen_giap!$C$2:$C$7,MIN(6,MAX(1,IF($O$97,MAX(1,2-(Vu_khi!$L$97-4)),2-(Vu_khi!$L$97-4))+1)))</f>
        <v/>
      </c>
      <c r="AF97" t="n">
        <v>0.85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111.6052060737527</v>
      </c>
      <c r="AK97">
        <f>IF($Q$97,$M$97*$AC$97*$U$97,0)</f>
        <v/>
      </c>
      <c r="AL97" t="n">
        <v>111.6052060737527</v>
      </c>
      <c r="AM97">
        <f>IF($Q$97,$M$97*$AE$97*$U$97,0)</f>
        <v/>
      </c>
      <c r="AN97" t="n">
        <v>79.05368763557485</v>
      </c>
      <c r="AO97">
        <f>IF($Q$97,$M$97*$AC$97*$Y$97,0)</f>
        <v/>
      </c>
      <c r="AP97" t="n">
        <v>66.96312364425162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AY97" t="n">
        <v>0.688427</v>
      </c>
      <c r="AZ97" t="inlineStr">
        <is>
          <t>LECH_DOT_1</t>
        </is>
      </c>
      <c r="BA97" t="inlineStr"/>
      <c r="BB97" t="inlineStr">
        <is>
          <t>Assets/MachineBrigade/Resources/Data/balance.json: weapons[id=gun_120_twin] (lớp B trên 01_chien_dau/Vu_khi)</t>
        </is>
      </c>
      <c r="BC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1.5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111.6052060737527</v>
      </c>
      <c r="AK98">
        <f>IF($Q$98,$M$98*$AC$98*$U$98,0)</f>
        <v/>
      </c>
      <c r="AL98" t="n">
        <v>79.05368763557485</v>
      </c>
      <c r="AM98">
        <f>IF($Q$98,$M$98*$AE$98*$U$98,0)</f>
        <v/>
      </c>
      <c r="AN98" t="n">
        <v>23.25108459869848</v>
      </c>
      <c r="AO98">
        <f>IF($Q$98,$M$98*$AC$98*$Y$98,0)</f>
        <v/>
      </c>
      <c r="AP98" t="n">
        <v>118.5805314533623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BB98" t="inlineStr">
        <is>
          <t>Assets/MachineBrigade/Resources/Data/balance.json: weapons[id=gun_120_twin_he] (lớp B trên 01_chien_dau/Vu_khi)</t>
        </is>
      </c>
      <c r="BC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0.6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1.2</v>
      </c>
      <c r="AE99">
        <f>INDEX(Bang_xuyen_giap!$C$2:$C$7,MIN(6,MAX(1,IF($O$99,MAX(1,2-(Vu_khi!$L$99-4)),2-(Vu_khi!$L$99-4))+1)))</f>
        <v/>
      </c>
      <c r="AF99" t="n">
        <v>0.85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56.51517231909926</v>
      </c>
      <c r="AK99">
        <f>IF($Q$99,$M$99*$AC$99*$U$99,0)</f>
        <v/>
      </c>
      <c r="AL99" t="n">
        <v>56.51517231909926</v>
      </c>
      <c r="AM99">
        <f>IF($Q$99,$M$99*$AE$99*$U$99,0)</f>
        <v/>
      </c>
      <c r="AN99" t="n">
        <v>40.03158039269531</v>
      </c>
      <c r="AO99">
        <f>IF($Q$99,$M$99*$AC$99*$Y$99,0)</f>
        <v/>
      </c>
      <c r="AP99" t="n">
        <v>33.90910339145956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n">
        <v>0.679747</v>
      </c>
      <c r="AZ99" t="inlineStr">
        <is>
          <t>LECH_DOT_1</t>
        </is>
      </c>
      <c r="BA99" t="inlineStr"/>
      <c r="BB99" t="inlineStr">
        <is>
          <t>Assets/MachineBrigade/Resources/Data/balance.json: weapons[id=gun_120mm] (lớp B trên 01_chien_dau/Vu_khi)</t>
        </is>
      </c>
      <c r="BC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1.5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56.51517231909926</v>
      </c>
      <c r="AK100">
        <f>IF($Q$100,$M$100*$AC$100*$U$100,0)</f>
        <v/>
      </c>
      <c r="AL100" t="n">
        <v>40.03158039269531</v>
      </c>
      <c r="AM100">
        <f>IF($Q$100,$M$100*$AE$100*$U$100,0)</f>
        <v/>
      </c>
      <c r="AN100" t="n">
        <v>11.77399423314568</v>
      </c>
      <c r="AO100">
        <f>IF($Q$100,$M$100*$AC$100*$Y$100,0)</f>
        <v/>
      </c>
      <c r="AP100" t="n">
        <v>60.04737058904297</v>
      </c>
      <c r="AQ100">
        <f>IF($S$100,$M$100*$AG$100*$W$100,0)</f>
        <v/>
      </c>
      <c r="AR100" t="n">
        <v>0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BB100" t="inlineStr">
        <is>
          <t>Assets/MachineBrigade/Resources/Data/balance.json: weapons[id=gun_120mm_he] (lớp B trên 01_chien_dau/Vu_khi)</t>
        </is>
      </c>
      <c r="BC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62.3267534649307</v>
      </c>
      <c r="AK101">
        <f>IF($Q$101,$M$101*$AC$101*$U$101,0)</f>
        <v/>
      </c>
      <c r="AL101" t="n">
        <v>62.3267534649307</v>
      </c>
      <c r="AM101">
        <f>IF($Q$101,$M$101*$AE$101*$U$101,0)</f>
        <v/>
      </c>
      <c r="AN101" t="n">
        <v>44.14811703765925</v>
      </c>
      <c r="AO101">
        <f>IF($Q$101,$M$101*$AC$101*$Y$101,0)</f>
        <v/>
      </c>
      <c r="AP101" t="n">
        <v>37.39605207895842</v>
      </c>
      <c r="AQ101">
        <f>IF($S$101,$M$101*$AG$101*$W$101,0)</f>
        <v/>
      </c>
      <c r="AR101" t="n">
        <v>15.58168836623268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0.6666800000000001</v>
      </c>
      <c r="AZ101" t="inlineStr">
        <is>
          <t>ok</t>
        </is>
      </c>
      <c r="BA101" t="inlineStr"/>
      <c r="BB101" t="inlineStr">
        <is>
          <t>Assets/MachineBrigade/Resources/Data/balance.json: weapons[id=gun_125_armata_ke] (lớp B trên 01_chien_dau/Vu_khi)</t>
        </is>
      </c>
      <c r="BC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1.2</v>
      </c>
      <c r="AE102">
        <f>INDEX(Bang_xuyen_giap!$C$2:$C$7,MIN(6,MAX(1,IF($O$102,MAX(1,2-(Vu_khi!$L$102-4)),2-(Vu_khi!$L$102-4))+1)))</f>
        <v/>
      </c>
      <c r="AF102" t="n">
        <v>0.85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55.05812515458818</v>
      </c>
      <c r="AK102">
        <f>IF($Q$102,$M$102*$AC$102*$U$102,0)</f>
        <v/>
      </c>
      <c r="AL102" t="n">
        <v>55.05812515458818</v>
      </c>
      <c r="AM102">
        <f>IF($Q$102,$M$102*$AE$102*$U$102,0)</f>
        <v/>
      </c>
      <c r="AN102" t="n">
        <v>38.99950531783329</v>
      </c>
      <c r="AO102">
        <f>IF($Q$102,$M$102*$AC$102*$Y$102,0)</f>
        <v/>
      </c>
      <c r="AP102" t="n">
        <v>33.03487509275291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0.7546929999999999</v>
      </c>
      <c r="AZ102" t="inlineStr">
        <is>
          <t>LECH_DOT_1</t>
        </is>
      </c>
      <c r="BA102" t="inlineStr"/>
      <c r="BB102" t="inlineStr">
        <is>
          <t>Assets/MachineBrigade/Resources/Data/balance.json: weapons[id=gun_125_elite] (lớp B trên 01_chien_dau/Vu_khi)</t>
        </is>
      </c>
      <c r="BC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1.5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55.05812515458818</v>
      </c>
      <c r="AK103">
        <f>IF($Q$103,$M$103*$AC$103*$U$103,0)</f>
        <v/>
      </c>
      <c r="AL103" t="n">
        <v>38.99950531783329</v>
      </c>
      <c r="AM103">
        <f>IF($Q$103,$M$103*$AE$103*$U$103,0)</f>
        <v/>
      </c>
      <c r="AN103" t="n">
        <v>11.4704427405392</v>
      </c>
      <c r="AO103">
        <f>IF($Q$103,$M$103*$AC$103*$Y$103,0)</f>
        <v/>
      </c>
      <c r="AP103" t="n">
        <v>58.49925797674993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BB103" t="inlineStr">
        <is>
          <t>Assets/MachineBrigade/Resources/Data/balance.json: weapons[id=gun_125_elite_he] (lớp B trên 01_chien_dau/Vu_khi)</t>
        </is>
      </c>
      <c r="BC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0.6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1.2</v>
      </c>
      <c r="AE104">
        <f>INDEX(Bang_xuyen_giap!$C$2:$C$7,MIN(6,MAX(1,IF($O$104,MAX(1,2-(Vu_khi!$L$104-4)),2-(Vu_khi!$L$104-4))+1)))</f>
        <v/>
      </c>
      <c r="AF104" t="n">
        <v>0.85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153.3096744329579</v>
      </c>
      <c r="AK104">
        <f>IF($Q$104,$M$104*$AC$104*$U$104,0)</f>
        <v/>
      </c>
      <c r="AL104" t="n">
        <v>153.3096744329579</v>
      </c>
      <c r="AM104">
        <f>IF($Q$104,$M$104*$AE$104*$U$104,0)</f>
        <v/>
      </c>
      <c r="AN104" t="n">
        <v>108.5943527233452</v>
      </c>
      <c r="AO104">
        <f>IF($Q$104,$M$104*$AC$104*$Y$104,0)</f>
        <v/>
      </c>
      <c r="AP104" t="n">
        <v>91.98580465977473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AY104" t="n">
        <v>0.756117</v>
      </c>
      <c r="AZ104" t="inlineStr">
        <is>
          <t>LECH_DOT_1</t>
        </is>
      </c>
      <c r="BA104" t="inlineStr"/>
      <c r="BB104" t="inlineStr">
        <is>
          <t>Assets/MachineBrigade/Resources/Data/balance.json: weapons[id=gun_140_twin] (lớp B trên 01_chien_dau/Vu_khi)</t>
        </is>
      </c>
      <c r="BC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153.3096744329579</v>
      </c>
      <c r="AK105">
        <f>IF($Q$105,$M$105*$AC$105*$U$105,0)</f>
        <v/>
      </c>
      <c r="AL105" t="n">
        <v>108.5943527233452</v>
      </c>
      <c r="AM105">
        <f>IF($Q$105,$M$105*$AE$105*$U$105,0)</f>
        <v/>
      </c>
      <c r="AN105" t="n">
        <v>31.93951550686623</v>
      </c>
      <c r="AO105">
        <f>IF($Q$105,$M$105*$AC$105*$Y$105,0)</f>
        <v/>
      </c>
      <c r="AP105" t="n">
        <v>162.8915290850177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BB105" t="inlineStr">
        <is>
          <t>Assets/MachineBrigade/Resources/Data/balance.json: weapons[id=gun_140_twin_he] (lớp B trên 01_chien_dau/Vu_khi)</t>
        </is>
      </c>
      <c r="BC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0.6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1.2</v>
      </c>
      <c r="AE106">
        <f>INDEX(Bang_xuyen_giap!$C$2:$C$7,MIN(6,MAX(1,IF($O$106,MAX(1,2-(Vu_khi!$L$106-4)),2-(Vu_khi!$L$106-4))+1)))</f>
        <v/>
      </c>
      <c r="AF106" t="n">
        <v>0.85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67.18118338846011</v>
      </c>
      <c r="AK106">
        <f>IF($Q$106,$M$106*$AC$106*$U$106,0)</f>
        <v/>
      </c>
      <c r="AL106" t="n">
        <v>67.18118338846011</v>
      </c>
      <c r="AM106">
        <f>IF($Q$106,$M$106*$AE$106*$U$106,0)</f>
        <v/>
      </c>
      <c r="AN106" t="n">
        <v>47.58667156682592</v>
      </c>
      <c r="AO106">
        <f>IF($Q$106,$M$106*$AC$106*$Y$106,0)</f>
        <v/>
      </c>
      <c r="AP106" t="n">
        <v>40.30871003307607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0.95235</v>
      </c>
      <c r="AZ106" t="inlineStr">
        <is>
          <t>LECH_DOT_1</t>
        </is>
      </c>
      <c r="BA106" t="inlineStr"/>
      <c r="BB106" t="inlineStr">
        <is>
          <t>Assets/MachineBrigade/Resources/Data/balance.json: weapons[id=gun_152] (lớp B trên 01_chien_dau/Vu_khi)</t>
        </is>
      </c>
      <c r="BC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1.5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63.98319915995799</v>
      </c>
      <c r="AK107">
        <f>IF($Q$107,$M$107*$AC$107*$U$107,0)</f>
        <v/>
      </c>
      <c r="AL107" t="n">
        <v>53.31933263329833</v>
      </c>
      <c r="AM107">
        <f>IF($Q$107,$M$107*$AE$107*$U$107,0)</f>
        <v/>
      </c>
      <c r="AN107" t="n">
        <v>26.65966631664917</v>
      </c>
      <c r="AO107">
        <f>IF($Q$107,$M$107*$AC$107*$Y$107,0)</f>
        <v/>
      </c>
      <c r="AP107" t="n">
        <v>79.9789989499475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0.99995</v>
      </c>
      <c r="AZ107" t="inlineStr">
        <is>
          <t>LECH_DOT_1</t>
        </is>
      </c>
      <c r="BA107" t="inlineStr"/>
      <c r="BB107" t="inlineStr">
        <is>
          <t>Assets/MachineBrigade/Resources/Data/balance.json: weapons[id=gun_152_he] (lớp B trên 01_chien_dau/Vu_khi)</t>
        </is>
      </c>
      <c r="BC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63.69567621364592</v>
      </c>
      <c r="AK108">
        <f>IF($Q$108,$M$108*$AC$108*$U$108,0)</f>
        <v/>
      </c>
      <c r="AL108" t="n">
        <v>63.69567621364592</v>
      </c>
      <c r="AM108">
        <f>IF($Q$108,$M$108*$AE$108*$U$108,0)</f>
        <v/>
      </c>
      <c r="AN108" t="n">
        <v>45.11777065133253</v>
      </c>
      <c r="AO108">
        <f>IF($Q$108,$M$108*$AC$108*$Y$108,0)</f>
        <v/>
      </c>
      <c r="AP108" t="n">
        <v>38.21740572818755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1.055017</v>
      </c>
      <c r="AZ108" t="inlineStr">
        <is>
          <t>LECH_DOT_1</t>
        </is>
      </c>
      <c r="BA108" t="inlineStr"/>
      <c r="BB108" t="inlineStr">
        <is>
          <t>Assets/MachineBrigade/Resources/Data/balance.json: weapons[id=gun_152_heat] (lớp B trên 01_chien_dau/Vu_khi)</t>
        </is>
      </c>
      <c r="BC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60.64359172840872</v>
      </c>
      <c r="AK109">
        <f>IF($Q$109,$M$109*$AC$109*$U$109,0)</f>
        <v/>
      </c>
      <c r="AL109" t="n">
        <v>50.5363264403406</v>
      </c>
      <c r="AM109">
        <f>IF($Q$109,$M$109*$AE$109*$U$109,0)</f>
        <v/>
      </c>
      <c r="AN109" t="n">
        <v>25.2681632201703</v>
      </c>
      <c r="AO109">
        <f>IF($Q$109,$M$109*$AC$109*$Y$109,0)</f>
        <v/>
      </c>
      <c r="AP109" t="n">
        <v>75.80448966051091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weapons[id=gun_152_heat_he] (lớp B trên 01_chien_dau/Vu_khi)</t>
        </is>
      </c>
      <c r="BC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86.8477314118299</v>
      </c>
      <c r="AK110">
        <f>IF($Q$110,$M$110*$AC$110*$U$110,0)</f>
        <v/>
      </c>
      <c r="AL110" t="n">
        <v>72.37310950985825</v>
      </c>
      <c r="AM110">
        <f>IF($Q$110,$M$110*$AE$110*$U$110,0)</f>
        <v/>
      </c>
      <c r="AN110" t="n">
        <v>36.18655475492913</v>
      </c>
      <c r="AO110">
        <f>IF($Q$110,$M$110*$AC$110*$Y$110,0)</f>
        <v/>
      </c>
      <c r="AP110" t="n">
        <v>108.5596642647874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0.294677</v>
      </c>
      <c r="AZ110" t="inlineStr">
        <is>
          <t>NHANH_QUA;LECH_DOT_1</t>
        </is>
      </c>
      <c r="BA110" t="inlineStr"/>
      <c r="BB110" t="inlineStr">
        <is>
          <t>Assets/MachineBrigade/Resources/Data/balance.json: weapons[id=gun_155_coastal] (lớp B trên 01_chien_dau/Vu_khi)</t>
        </is>
      </c>
      <c r="BC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43.59647030765561</v>
      </c>
      <c r="AK111">
        <f>IF($Q$111,$M$111*$AC$111*$U$111,0)</f>
        <v/>
      </c>
      <c r="AL111" t="n">
        <v>36.33039192304634</v>
      </c>
      <c r="AM111">
        <f>IF($Q$111,$M$111*$AE$111*$U$111,0)</f>
        <v/>
      </c>
      <c r="AN111" t="n">
        <v>18.16519596152317</v>
      </c>
      <c r="AO111">
        <f>IF($Q$111,$M$111*$AC$111*$Y$111,0)</f>
        <v/>
      </c>
      <c r="AP111" t="n">
        <v>54.49558788456952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weapons[id=gun_155_coastal_guided] (lớp B trên 01_chien_dau/Vu_khi)</t>
        </is>
      </c>
      <c r="BC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20.74050068864944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10.37025034432472</v>
      </c>
      <c r="AO112">
        <f>IF($Q$112,$M$112*$AC$112*$Y$112,0)</f>
        <v/>
      </c>
      <c r="AP112" t="n">
        <v>31.11075103297416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0.720008</v>
      </c>
      <c r="AZ112" t="inlineStr">
        <is>
          <t>ok</t>
        </is>
      </c>
      <c r="BA112" t="inlineStr"/>
      <c r="BB112" t="inlineStr">
        <is>
          <t>Assets/MachineBrigade/Resources/Data/balance.json: weapons[id=gun_155_sph] (lớp B trên 01_chien_dau/Vu_khi)</t>
        </is>
      </c>
      <c r="BC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</v>
      </c>
      <c r="AE113">
        <f>INDEX(Bang_xuyen_giap!$C$2:$C$7,MIN(6,MAX(1,IF($O$113,MAX(1,2-(Vu_khi!$L$113-4)),2-(Vu_khi!$L$113-4))+1)))</f>
        <v/>
      </c>
      <c r="AF113" t="n">
        <v>0.5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86.87782805429863</v>
      </c>
      <c r="AK113">
        <f>IF($Q$113,$M$113*$AC$113*$U$113,0)</f>
        <v/>
      </c>
      <c r="AL113" t="n">
        <v>72.39819004524887</v>
      </c>
      <c r="AM113">
        <f>IF($Q$113,$M$113*$AE$113*$U$113,0)</f>
        <v/>
      </c>
      <c r="AN113" t="n">
        <v>36.19909502262443</v>
      </c>
      <c r="AO113">
        <f>IF($Q$113,$M$113*$AC$113*$Y$113,0)</f>
        <v/>
      </c>
      <c r="AP113" t="n">
        <v>108.5972850678733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0.412533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weapons[id=gun_155_twin] (lớp B trên 01_chien_dau/Vu_khi)</t>
        </is>
      </c>
      <c r="BC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1.2</v>
      </c>
      <c r="AE114">
        <f>INDEX(Bang_xuyen_giap!$C$2:$C$7,MIN(6,MAX(1,IF($O$114,MAX(1,2-(Vu_khi!$L$114-4)),2-(Vu_khi!$L$114-4))+1)))</f>
        <v/>
      </c>
      <c r="AF114" t="n">
        <v>0.85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129.8524404086265</v>
      </c>
      <c r="AK114">
        <f>IF($Q$114,$M$114*$AC$114*$U$114,0)</f>
        <v/>
      </c>
      <c r="AL114" t="n">
        <v>129.8524404086265</v>
      </c>
      <c r="AM114">
        <f>IF($Q$114,$M$114*$AE$114*$U$114,0)</f>
        <v/>
      </c>
      <c r="AN114" t="n">
        <v>91.97881195611048</v>
      </c>
      <c r="AO114">
        <f>IF($Q$114,$M$114*$AC$114*$Y$114,0)</f>
        <v/>
      </c>
      <c r="AP114" t="n">
        <v>77.91146424517594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0.37002</v>
      </c>
      <c r="AZ114" t="inlineStr">
        <is>
          <t>NHANH_QUA;LECH_DOT_1</t>
        </is>
      </c>
      <c r="BA114" t="inlineStr"/>
      <c r="BB114" t="inlineStr">
        <is>
          <t>Assets/MachineBrigade/Resources/Data/balance.json: weapons[id=gun_155_twin_ap] (lớp B trên 01_chien_dau/Vu_khi)</t>
        </is>
      </c>
      <c r="BC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138.3276579644343</v>
      </c>
      <c r="AK115">
        <f>IF($Q$115,$M$115*$AC$115*$U$115,0)</f>
        <v/>
      </c>
      <c r="AL115" t="n">
        <v>115.2730483036953</v>
      </c>
      <c r="AM115">
        <f>IF($Q$115,$M$115*$AE$115*$U$115,0)</f>
        <v/>
      </c>
      <c r="AN115" t="n">
        <v>57.63652415184765</v>
      </c>
      <c r="AO115">
        <f>IF($Q$115,$M$115*$AC$115*$Y$115,0)</f>
        <v/>
      </c>
      <c r="AP115" t="n">
        <v>172.9095724555429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0.37002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weapons[id=gun_155_twin_coastlr] (lớp B trên 01_chien_dau/Vu_khi)</t>
        </is>
      </c>
      <c r="BC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69.16382898221717</v>
      </c>
      <c r="AK116">
        <f>IF($Q$116,$M$116*$AC$116*$U$116,0)</f>
        <v/>
      </c>
      <c r="AL116" t="n">
        <v>57.63652415184765</v>
      </c>
      <c r="AM116">
        <f>IF($Q$116,$M$116*$AE$116*$U$116,0)</f>
        <v/>
      </c>
      <c r="AN116" t="n">
        <v>28.81826207592382</v>
      </c>
      <c r="AO116">
        <f>IF($Q$116,$M$116*$AC$116*$Y$116,0)</f>
        <v/>
      </c>
      <c r="AP116" t="n">
        <v>86.45478622777146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weapons[id=gun_155_twin_coastlr_guided] (lớp B trên 01_chien_dau/Vu_khi)</t>
        </is>
      </c>
      <c r="BC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138.3276579644343</v>
      </c>
      <c r="AK117">
        <f>IF($Q$117,$M$117*$AC$117*$U$117,0)</f>
        <v/>
      </c>
      <c r="AL117" t="n">
        <v>115.2730483036953</v>
      </c>
      <c r="AM117">
        <f>IF($Q$117,$M$117*$AE$117*$U$117,0)</f>
        <v/>
      </c>
      <c r="AN117" t="n">
        <v>57.63652415184765</v>
      </c>
      <c r="AO117">
        <f>IF($Q$117,$M$117*$AC$117*$Y$117,0)</f>
        <v/>
      </c>
      <c r="AP117" t="n">
        <v>172.9095724555429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0.37002</v>
      </c>
      <c r="AZ117" t="inlineStr">
        <is>
          <t>NHANH_QUA;LECH_DOT_1</t>
        </is>
      </c>
      <c r="BA117" t="inlineStr"/>
      <c r="BB117" t="inlineStr">
        <is>
          <t>Assets/MachineBrigade/Resources/Data/balance.json: weapons[id=gun_155_twin_fort] (lớp B trên 01_chien_dau/Vu_khi)</t>
        </is>
      </c>
      <c r="BC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69.16382898221717</v>
      </c>
      <c r="AK118">
        <f>IF($Q$118,$M$118*$AC$118*$U$118,0)</f>
        <v/>
      </c>
      <c r="AL118" t="n">
        <v>57.63652415184765</v>
      </c>
      <c r="AM118">
        <f>IF($Q$118,$M$118*$AE$118*$U$118,0)</f>
        <v/>
      </c>
      <c r="AN118" t="n">
        <v>28.81826207592382</v>
      </c>
      <c r="AO118">
        <f>IF($Q$118,$M$118*$AC$118*$Y$118,0)</f>
        <v/>
      </c>
      <c r="AP118" t="n">
        <v>86.45478622777146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weapons[id=gun_155_twin_fort_guided] (lớp B trên 01_chien_dau/Vu_khi)</t>
        </is>
      </c>
      <c r="BC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86.87782805429863</v>
      </c>
      <c r="AK119">
        <f>IF($Q$119,$M$119*$AC$119*$U$119,0)</f>
        <v/>
      </c>
      <c r="AL119" t="n">
        <v>72.39819004524887</v>
      </c>
      <c r="AM119">
        <f>IF($Q$119,$M$119*$AE$119*$U$119,0)</f>
        <v/>
      </c>
      <c r="AN119" t="n">
        <v>36.19909502262443</v>
      </c>
      <c r="AO119">
        <f>IF($Q$119,$M$119*$AC$119*$Y$119,0)</f>
        <v/>
      </c>
      <c r="AP119" t="n">
        <v>108.5972850678733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0.412533</v>
      </c>
      <c r="AZ119" t="inlineStr">
        <is>
          <t>NHANH_QUA</t>
        </is>
      </c>
      <c r="BA119" t="inlineStr"/>
      <c r="BB119" t="inlineStr">
        <is>
          <t>Assets/MachineBrigade/Resources/Data/balance.json: weapons[id=gun_155_twin_long] (lớp B trên 01_chien_dau/Vu_khi)</t>
        </is>
      </c>
      <c r="BC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0.85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34.42622950819672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29.26229508196721</v>
      </c>
      <c r="AO120">
        <f>IF($Q$120,$M$120*$AC$120*$Y$120,0)</f>
        <v/>
      </c>
      <c r="AP120" t="n">
        <v>51.63934426229508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1</v>
      </c>
      <c r="AU120">
        <f>IF(AND($B$120&lt;0,$AS$120),4,$B$120)</f>
        <v/>
      </c>
      <c r="AV120" t="n">
        <v>4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2.5</v>
      </c>
      <c r="AY120" t="n">
        <v>0.284667</v>
      </c>
      <c r="AZ120" t="inlineStr">
        <is>
          <t>NHANH_QUA</t>
        </is>
      </c>
      <c r="BA120" t="inlineStr"/>
      <c r="BB120" t="inlineStr">
        <is>
          <t>Assets/MachineBrigade/Resources/Data/balance.json: weapons[id=gun_203_siege] (lớp B trên 01_chien_dau/Vu_khi)</t>
        </is>
      </c>
      <c r="BC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85.52338530066815</v>
      </c>
      <c r="AK121">
        <f>IF($Q$121,$M$121*$AC$121*$U$121,0)</f>
        <v/>
      </c>
      <c r="AL121" t="n">
        <v>71.26948775055679</v>
      </c>
      <c r="AM121">
        <f>IF($Q$121,$M$121*$AE$121*$U$121,0)</f>
        <v/>
      </c>
      <c r="AN121" t="n">
        <v>35.6347438752784</v>
      </c>
      <c r="AO121">
        <f>IF($Q$121,$M$121*$AC$121*$Y$121,0)</f>
        <v/>
      </c>
      <c r="AP121" t="n">
        <v>106.9042316258352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0.838133</v>
      </c>
      <c r="AZ121" t="inlineStr">
        <is>
          <t>ok</t>
        </is>
      </c>
      <c r="BA121" t="inlineStr"/>
      <c r="BB121" t="inlineStr">
        <is>
          <t>Assets/MachineBrigade/Resources/Data/balance.json: weapons[id=gun_behemoth] (lớp B trên 01_chien_dau/Vu_khi)</t>
        </is>
      </c>
      <c r="BC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1.5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43.00111982082866</v>
      </c>
      <c r="AK122">
        <f>IF($Q$122,$M$122*$AC$122*$U$122,0)</f>
        <v/>
      </c>
      <c r="AL122" t="n">
        <v>35.83426651735722</v>
      </c>
      <c r="AM122">
        <f>IF($Q$122,$M$122*$AE$122*$U$122,0)</f>
        <v/>
      </c>
      <c r="AN122" t="n">
        <v>17.91713325867861</v>
      </c>
      <c r="AO122">
        <f>IF($Q$122,$M$122*$AC$122*$Y$122,0)</f>
        <v/>
      </c>
      <c r="AP122" t="n">
        <v>53.75139977603583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BB122" t="inlineStr">
        <is>
          <t>Assets/MachineBrigade/Resources/Data/balance.json: weapons[id=gun_behemoth_guided] (lớp B trên 01_chien_dau/Vu_khi)</t>
        </is>
      </c>
      <c r="BC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200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10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</v>
      </c>
      <c r="AE123">
        <f>INDEX(Bang_xuyen_giap!$C$2:$C$7,MIN(6,MAX(1,IF($O$123,MAX(1,2-(Vu_khi!$L$123-4)),2-(Vu_khi!$L$123-4))+1)))</f>
        <v/>
      </c>
      <c r="AF123" t="n">
        <v>0.5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12</v>
      </c>
      <c r="AK123">
        <f>IF($Q$123,$M$123*$AC$123*$U$123,0)</f>
        <v/>
      </c>
      <c r="AL123" t="n">
        <v>10</v>
      </c>
      <c r="AM123">
        <f>IF($Q$123,$M$123*$AE$123*$U$123,0)</f>
        <v/>
      </c>
      <c r="AN123" t="n">
        <v>5</v>
      </c>
      <c r="AO123">
        <f>IF($Q$123,$M$123*$AC$123*$Y$123,0)</f>
        <v/>
      </c>
      <c r="AP123" t="n">
        <v>6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2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1.333333</v>
      </c>
      <c r="AZ123" t="inlineStr">
        <is>
          <t>ok</t>
        </is>
      </c>
      <c r="BA123" t="inlineStr"/>
      <c r="BB123" t="inlineStr">
        <is>
          <t>Assets/MachineBrigade/Resources/Data/balance.json: weapons[id=gun_launched_atgm] (lớp B trên 01_chien_dau/Vu_khi)</t>
        </is>
      </c>
      <c r="BC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62.20302375809935</v>
      </c>
      <c r="AK124">
        <f>IF($Q$124,$M$124*$AC$124*$U$124,0)</f>
        <v/>
      </c>
      <c r="AL124" t="n">
        <v>62.20302375809935</v>
      </c>
      <c r="AM124">
        <f>IF($Q$124,$M$124*$AE$124*$U$124,0)</f>
        <v/>
      </c>
      <c r="AN124" t="n">
        <v>44.06047516198704</v>
      </c>
      <c r="AO124">
        <f>IF($Q$124,$M$124*$AC$124*$Y$124,0)</f>
        <v/>
      </c>
      <c r="AP124" t="n">
        <v>37.32181425485961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0.432133</v>
      </c>
      <c r="AZ124" t="inlineStr">
        <is>
          <t>NHANH_QUA</t>
        </is>
      </c>
      <c r="BA124" t="inlineStr"/>
      <c r="BB124" t="inlineStr">
        <is>
          <t>Assets/MachineBrigade/Resources/Data/balance.json: weapons[id=gun_pit_105] (lớp B trên 01_chien_dau/Vu_khi)</t>
        </is>
      </c>
      <c r="BC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0.6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190.0673820813576</v>
      </c>
      <c r="AK125">
        <f>IF($Q$125,$M$125*$AC$125*$U$125,0)</f>
        <v/>
      </c>
      <c r="AL125" t="n">
        <v>134.6310623076283</v>
      </c>
      <c r="AM125">
        <f>IF($Q$125,$M$125*$AE$125*$U$125,0)</f>
        <v/>
      </c>
      <c r="AN125" t="n">
        <v>39.5973712669495</v>
      </c>
      <c r="AO125">
        <f>IF($Q$125,$M$125*$AC$125*$Y$125,0)</f>
        <v/>
      </c>
      <c r="AP125" t="n">
        <v>80.77863738457698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AY125" t="n">
        <v>7.513125</v>
      </c>
      <c r="AZ125" t="inlineStr">
        <is>
          <t>ok</t>
        </is>
      </c>
      <c r="BA125" t="inlineStr"/>
      <c r="BB125" t="inlineStr">
        <is>
          <t>Assets/MachineBrigade/Resources/Data/balance.json: weapons[id=gunship_25mm] (lớp B trên 01_chien_dau/Vu_khi)</t>
        </is>
      </c>
      <c r="BC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0.5</v>
      </c>
      <c r="W126">
        <f>INDEX(Bang_sat_thuong!$C$2:$C$7,MATCH(Vu_khi!$K$126,Bang_sat_thuong!$A$2:$A$7,0))</f>
        <v/>
      </c>
      <c r="X126" t="n">
        <v>1.3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INDEX(Bang_xuyen_giap!$C$2:$C$7,MIN(6,MAX(1,IF($O$126,MAX(1,2-(Vu_khi!$L$126-0)),2-(Vu_khi!$L$126-0))+1)))</f>
        <v/>
      </c>
      <c r="AB126" t="n">
        <v>1</v>
      </c>
      <c r="AC126">
        <f>INDEX(Bang_xuyen_giap!$C$2:$C$7,MIN(6,MAX(1,IF($O$126,MAX(1,2-(Vu_khi!$L$126-2)),2-(Vu_khi!$L$126-2))+1)))</f>
        <v/>
      </c>
      <c r="AD126" t="n">
        <v>0.5</v>
      </c>
      <c r="AE126">
        <f>INDEX(Bang_xuyen_giap!$C$2:$C$7,MIN(6,MAX(1,IF($O$126,MAX(1,2-(Vu_khi!$L$126-4)),2-(Vu_khi!$L$126-4))+1)))</f>
        <v/>
      </c>
      <c r="AF126" t="n">
        <v>0.1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0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IF($Q$126,$M$126*$AC$126*$Y$126,0)</f>
        <v/>
      </c>
      <c r="AP126" t="n">
        <v>0</v>
      </c>
      <c r="AQ126">
        <f>IF($S$126,$M$126*$AG$126*$W$126,0)</f>
        <v/>
      </c>
      <c r="AR126" t="n">
        <v>205.9063305881374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BB126" t="inlineStr">
        <is>
          <t>Assets/MachineBrigade/Resources/Data/balance.json: weapons[id=gunship_25mm_flak] (lớp B trên 01_chien_dau/Vu_khi)</t>
        </is>
      </c>
      <c r="BC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185.1094719978639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0.413269</v>
      </c>
      <c r="AZ127" t="inlineStr">
        <is>
          <t>NHANH_QUA</t>
        </is>
      </c>
      <c r="BA127" t="inlineStr"/>
      <c r="BB127" t="inlineStr">
        <is>
          <t>Assets/MachineBrigade/Resources/Data/balance.json: weapons[id=gunship_40mm] (lớp B trên 01_chien_dau/Vu_khi)</t>
        </is>
      </c>
      <c r="BC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174.2206795274014</v>
      </c>
      <c r="AK128">
        <f>IF($Q$128,$M$128*$AC$128*$U$128,0)</f>
        <v/>
      </c>
      <c r="AL128" t="n">
        <v>123.4063146652426</v>
      </c>
      <c r="AM128">
        <f>IF($Q$128,$M$128*$AE$128*$U$128,0)</f>
        <v/>
      </c>
      <c r="AN128" t="n">
        <v>36.29597490154195</v>
      </c>
      <c r="AO128">
        <f>IF($Q$128,$M$128*$AC$128*$Y$128,0)</f>
        <v/>
      </c>
      <c r="AP128" t="n">
        <v>74.04378879914559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weapons[id=gunship_40mm_ap] (lớp B trên 01_chien_dau/Vu_khi)</t>
        </is>
      </c>
      <c r="BC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0.5</v>
      </c>
      <c r="W129">
        <f>INDEX(Bang_sat_thuong!$C$2:$C$7,MATCH(Vu_khi!$K$129,Bang_sat_thuong!$A$2:$A$7,0))</f>
        <v/>
      </c>
      <c r="X129" t="n">
        <v>1.3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0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IF($Q$129,$M$129*$AC$129*$Y$129,0)</f>
        <v/>
      </c>
      <c r="AP129" t="n">
        <v>0</v>
      </c>
      <c r="AQ129">
        <f>IF($S$129,$M$129*$AG$129*$W$129,0)</f>
        <v/>
      </c>
      <c r="AR129" t="n">
        <v>188.7390694880182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1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weapons[id=gunship_40mm_flak] (lớp B trên 01_chien_dau/Vu_khi)</t>
        </is>
      </c>
      <c r="BC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87.573360551161</v>
      </c>
      <c r="AK130">
        <f>IF($Q$130,$M$130*$AC$130*$U$130,0)</f>
        <v/>
      </c>
      <c r="AL130" t="n">
        <v>62.03113039040571</v>
      </c>
      <c r="AM130">
        <f>IF($Q$130,$M$130*$AE$130*$U$130,0)</f>
        <v/>
      </c>
      <c r="AN130" t="n">
        <v>18.24445011482521</v>
      </c>
      <c r="AO130">
        <f>IF($Q$130,$M$130*$AC$130*$Y$130,0)</f>
        <v/>
      </c>
      <c r="AP130" t="n">
        <v>93.04669558560856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0.457217</v>
      </c>
      <c r="AZ130" t="inlineStr">
        <is>
          <t>NHANH_QUA</t>
        </is>
      </c>
      <c r="BA130" t="inlineStr"/>
      <c r="BB130" t="inlineStr">
        <is>
          <t>Assets/MachineBrigade/Resources/Data/balance.json: weapons[id=gunship_105] (lớp B trên 01_chien_dau/Vu_khi)</t>
        </is>
      </c>
      <c r="BC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87.573360551161</v>
      </c>
      <c r="AK131">
        <f>IF($Q$131,$M$131*$AC$131*$U$131,0)</f>
        <v/>
      </c>
      <c r="AL131" t="n">
        <v>62.03113039040571</v>
      </c>
      <c r="AM131">
        <f>IF($Q$131,$M$131*$AE$131*$U$131,0)</f>
        <v/>
      </c>
      <c r="AN131" t="n">
        <v>18.24445011482521</v>
      </c>
      <c r="AO131">
        <f>IF($Q$131,$M$131*$AC$131*$Y$131,0)</f>
        <v/>
      </c>
      <c r="AP131" t="n">
        <v>93.04669558560856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weapons[id=gunship_105_guided] (lớp B trên 01_chien_dau/Vu_khi)</t>
        </is>
      </c>
      <c r="BC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62.87995087503837</v>
      </c>
      <c r="AK132">
        <f>IF($Q$132,$M$132*$AC$132*$U$132,0)</f>
        <v/>
      </c>
      <c r="AL132" t="n">
        <v>44.53996520315218</v>
      </c>
      <c r="AM132">
        <f>IF($Q$132,$M$132*$AE$132*$U$132,0)</f>
        <v/>
      </c>
      <c r="AN132" t="n">
        <v>13.09998976563299</v>
      </c>
      <c r="AO132">
        <f>IF($Q$132,$M$132*$AC$132*$Y$132,0)</f>
        <v/>
      </c>
      <c r="AP132" t="n">
        <v>66.80994780472827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2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1.5</v>
      </c>
      <c r="AZ132" t="inlineStr">
        <is>
          <t>ok</t>
        </is>
      </c>
      <c r="BA132" t="b">
        <v>1</v>
      </c>
      <c r="BB132" t="inlineStr">
        <is>
          <t>Assets/MachineBrigade/Resources/Data/balance.json: weapons[id=gunship_rockets] (lớp B trên 01_chien_dau/Vu_khi)</t>
        </is>
      </c>
      <c r="BC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0.5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0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IF($Q$133,$M$133*$AC$133*$Y$133,0)</f>
        <v/>
      </c>
      <c r="AP133" t="n">
        <v>0</v>
      </c>
      <c r="AQ133">
        <f>IF($S$133,$M$133*$AG$133*$W$133,0)</f>
        <v/>
      </c>
      <c r="AR133" t="n">
        <v>285.7142857142857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inlineStr"/>
      <c r="AZ133" t="inlineStr">
        <is>
          <t>ok</t>
        </is>
      </c>
      <c r="BA133" t="inlineStr"/>
      <c r="BB133" t="inlineStr">
        <is>
          <t>Assets/MachineBrigade/Resources/Data/balance.json: weapons[id=hel_beam] (lớp B trên 01_chien_dau/Vu_khi)</t>
        </is>
      </c>
      <c r="BC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0.6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109.2263136119156</v>
      </c>
      <c r="AK134">
        <f>IF($Q$134,$M$134*$AC$134*$U$134,0)</f>
        <v/>
      </c>
      <c r="AL134" t="n">
        <v>77.36863880844021</v>
      </c>
      <c r="AM134">
        <f>IF($Q$134,$M$134*$AE$134*$U$134,0)</f>
        <v/>
      </c>
      <c r="AN134" t="n">
        <v>22.75548200248242</v>
      </c>
      <c r="AO134">
        <f>IF($Q$134,$M$134*$AC$134*$Y$134,0)</f>
        <v/>
      </c>
      <c r="AP134" t="n">
        <v>46.42118328506413</v>
      </c>
      <c r="AQ134">
        <f>IF($S$134,$M$134*$AG$134*$W$134,0)</f>
        <v/>
      </c>
      <c r="AR134" t="n">
        <v>27.3065784029789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2.517708</v>
      </c>
      <c r="AZ134" t="inlineStr">
        <is>
          <t>ok</t>
        </is>
      </c>
      <c r="BA134" t="inlineStr"/>
      <c r="BB134" t="inlineStr">
        <is>
          <t>Assets/MachineBrigade/Resources/Data/balance.json: weapons[id=heli_gun] (lớp B trên 01_chien_dau/Vu_khi)</t>
        </is>
      </c>
      <c r="BC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0.5</v>
      </c>
      <c r="W135">
        <f>INDEX(Bang_sat_thuong!$C$2:$C$7,MATCH(Vu_khi!$K$135,Bang_sat_thuong!$A$2:$A$7,0))</f>
        <v/>
      </c>
      <c r="X135" t="n">
        <v>1.3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0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IF($Q$135,$M$135*$AC$135*$Y$135,0)</f>
        <v/>
      </c>
      <c r="AP135" t="n">
        <v>0</v>
      </c>
      <c r="AQ135">
        <f>IF($S$135,$M$135*$AG$135*$W$135,0)</f>
        <v/>
      </c>
      <c r="AR135" t="n">
        <v>118.3285064129086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1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BB135" t="inlineStr">
        <is>
          <t>Assets/MachineBrigade/Resources/Data/balance.json: weapons[id=heli_gun_flak] (lớp B trên 01_chien_dau/Vu_khi)</t>
        </is>
      </c>
      <c r="BC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0.85</v>
      </c>
      <c r="AE136">
        <f>INDEX(Bang_xuyen_giap!$C$2:$C$7,MIN(6,MAX(1,IF($O$136,MAX(1,2-(Vu_khi!$L$136-4)),2-(Vu_khi!$L$136-4))+1)))</f>
        <v/>
      </c>
      <c r="AF136" t="n">
        <v>0.25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46.53349001175089</v>
      </c>
      <c r="AK136">
        <f>IF($Q$136,$M$136*$AC$136*$U$136,0)</f>
        <v/>
      </c>
      <c r="AL136" t="n">
        <v>32.96122209165688</v>
      </c>
      <c r="AM136">
        <f>IF($Q$136,$M$136*$AE$136*$U$136,0)</f>
        <v/>
      </c>
      <c r="AN136" t="n">
        <v>9.694477085781434</v>
      </c>
      <c r="AO136">
        <f>IF($Q$136,$M$136*$AC$136*$Y$136,0)</f>
        <v/>
      </c>
      <c r="AP136" t="n">
        <v>49.44183313748531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1.8</v>
      </c>
      <c r="AZ136" t="inlineStr">
        <is>
          <t>ok</t>
        </is>
      </c>
      <c r="BA136" t="inlineStr"/>
      <c r="BB136" t="inlineStr">
        <is>
          <t>Assets/MachineBrigade/Resources/Data/balance.json: weapons[id=heli_rockets] (lớp B trên 01_chien_dau/Vu_khi)</t>
        </is>
      </c>
      <c r="BC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78</v>
      </c>
      <c r="AK137">
        <f>IF($Q$137,$M$137*$AC$137*$U$137,0)</f>
        <v/>
      </c>
      <c r="AL137" t="n">
        <v>78</v>
      </c>
      <c r="AM137">
        <f>IF($Q$137,$M$137*$AE$137*$U$137,0)</f>
        <v/>
      </c>
      <c r="AN137" t="n">
        <v>55.25</v>
      </c>
      <c r="AO137">
        <f>IF($Q$137,$M$137*$AC$137*$Y$137,0)</f>
        <v/>
      </c>
      <c r="AP137" t="n">
        <v>46.8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weapons[id=hellfire_standoff] (lớp B trên 01_chien_dau/Vu_khi)</t>
        </is>
      </c>
      <c r="BC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0.3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0.6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1.2</v>
      </c>
      <c r="AE138">
        <f>INDEX(Bang_xuyen_giap!$C$2:$C$7,MIN(6,MAX(1,IF($O$138,MAX(1,2-(Vu_khi!$L$138-4)),2-(Vu_khi!$L$138-4))+1)))</f>
        <v/>
      </c>
      <c r="AF138" t="n">
        <v>0.85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56.26690712353471</v>
      </c>
      <c r="AK138">
        <f>IF($Q$138,$M$138*$AC$138*$U$138,0)</f>
        <v/>
      </c>
      <c r="AL138" t="n">
        <v>56.26690712353471</v>
      </c>
      <c r="AM138">
        <f>IF($Q$138,$M$138*$AE$138*$U$138,0)</f>
        <v/>
      </c>
      <c r="AN138" t="n">
        <v>39.85572587917042</v>
      </c>
      <c r="AO138">
        <f>IF($Q$138,$M$138*$AC$138*$Y$138,0)</f>
        <v/>
      </c>
      <c r="AP138" t="n">
        <v>33.76014427412083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inlineStr"/>
      <c r="AZ138" t="inlineStr">
        <is>
          <t>ok</t>
        </is>
      </c>
      <c r="BA138" t="inlineStr"/>
      <c r="BB138" t="inlineStr">
        <is>
          <t>Assets/MachineBrigade/Resources/Data/balance.json: weapons[id=hellfire_volley] (lớp B trên 01_chien_dau/Vu_khi)</t>
        </is>
      </c>
      <c r="BC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0.85</v>
      </c>
      <c r="AE139">
        <f>INDEX(Bang_xuyen_giap!$C$2:$C$7,MIN(6,MAX(1,IF($O$139,MAX(1,2-(Vu_khi!$L$139-4)),2-(Vu_khi!$L$139-4))+1)))</f>
        <v/>
      </c>
      <c r="AF139" t="n">
        <v>0.25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154.4126984126984</v>
      </c>
      <c r="AK139">
        <f>IF($Q$139,$M$139*$AC$139*$U$139,0)</f>
        <v/>
      </c>
      <c r="AL139" t="n">
        <v>109.3756613756614</v>
      </c>
      <c r="AM139">
        <f>IF($Q$139,$M$139*$AE$139*$U$139,0)</f>
        <v/>
      </c>
      <c r="AN139" t="n">
        <v>32.16931216931216</v>
      </c>
      <c r="AO139">
        <f>IF($Q$139,$M$139*$AC$139*$Y$139,0)</f>
        <v/>
      </c>
      <c r="AP139" t="n">
        <v>164.063492063492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2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1.05</v>
      </c>
      <c r="AZ139" t="inlineStr">
        <is>
          <t>ok</t>
        </is>
      </c>
      <c r="BA139" t="inlineStr"/>
      <c r="BB139" t="inlineStr">
        <is>
          <t>Assets/MachineBrigade/Resources/Data/balance.json: weapons[id=hind_rockets] (lớp B trên 01_chien_dau/Vu_khi)</t>
        </is>
      </c>
      <c r="BC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</v>
      </c>
      <c r="AC140">
        <f>INDEX(Bang_xuyen_giap!$C$2:$C$7,MIN(6,MAX(1,IF($O$140,MAX(1,2-(Vu_khi!$L$140-2)),2-(Vu_khi!$L$140-2))+1)))</f>
        <v/>
      </c>
      <c r="AD140" t="n">
        <v>0.5</v>
      </c>
      <c r="AE140">
        <f>INDEX(Bang_xuyen_giap!$C$2:$C$7,MIN(6,MAX(1,IF($O$140,MAX(1,2-(Vu_khi!$L$140-4)),2-(Vu_khi!$L$140-4))+1)))</f>
        <v/>
      </c>
      <c r="AF140" t="n">
        <v>0.1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58.96958410924891</v>
      </c>
      <c r="AK140">
        <f>IF($Q$140,$M$140*$AC$140*$U$140,0)</f>
        <v/>
      </c>
      <c r="AL140" t="n">
        <v>29.48479205462446</v>
      </c>
      <c r="AM140">
        <f>IF($Q$140,$M$140*$AE$140*$U$140,0)</f>
        <v/>
      </c>
      <c r="AN140" t="n">
        <v>5.896958410924892</v>
      </c>
      <c r="AO140">
        <f>IF($Q$140,$M$140*$AC$140*$Y$140,0)</f>
        <v/>
      </c>
      <c r="AP140" t="n">
        <v>17.69087523277467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1.611</v>
      </c>
      <c r="AZ140" t="inlineStr">
        <is>
          <t>ok</t>
        </is>
      </c>
      <c r="BA140" t="inlineStr"/>
      <c r="BB140" t="inlineStr">
        <is>
          <t>Assets/MachineBrigade/Resources/Data/balance.json: weapons[id=hmg_roof] (lớp B trên 01_chien_dau/Vu_khi)</t>
        </is>
      </c>
      <c r="BC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1.2</v>
      </c>
      <c r="AC141">
        <f>INDEX(Bang_xuyen_giap!$C$2:$C$7,MIN(6,MAX(1,IF($O$141,MAX(1,2-(Vu_khi!$L$141-2)),2-(Vu_khi!$L$141-2))+1)))</f>
        <v/>
      </c>
      <c r="AD141" t="n">
        <v>0.85</v>
      </c>
      <c r="AE141">
        <f>INDEX(Bang_xuyen_giap!$C$2:$C$7,MIN(6,MAX(1,IF($O$141,MAX(1,2-(Vu_khi!$L$141-4)),2-(Vu_khi!$L$141-4))+1)))</f>
        <v/>
      </c>
      <c r="AF141" t="n">
        <v>0.25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70.76350093109869</v>
      </c>
      <c r="AK141">
        <f>IF($Q$141,$M$141*$AC$141*$U$141,0)</f>
        <v/>
      </c>
      <c r="AL141" t="n">
        <v>50.12414649286158</v>
      </c>
      <c r="AM141">
        <f>IF($Q$141,$M$141*$AE$141*$U$141,0)</f>
        <v/>
      </c>
      <c r="AN141" t="n">
        <v>14.74239602731223</v>
      </c>
      <c r="AO141">
        <f>IF($Q$141,$M$141*$AC$141*$Y$141,0)</f>
        <v/>
      </c>
      <c r="AP141" t="n">
        <v>30.07448789571695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BB141" t="inlineStr">
        <is>
          <t>Assets/MachineBrigade/Resources/Data/balance.json: weapons[id=hmg_roof_api] (lớp B trên 01_chien_dau/Vu_khi)</t>
        </is>
      </c>
      <c r="BC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</v>
      </c>
      <c r="AC142">
        <f>INDEX(Bang_xuyen_giap!$C$2:$C$7,MIN(6,MAX(1,IF($O$142,MAX(1,2-(Vu_khi!$L$142-2)),2-(Vu_khi!$L$142-2))+1)))</f>
        <v/>
      </c>
      <c r="AD142" t="n">
        <v>0.5</v>
      </c>
      <c r="AE142">
        <f>INDEX(Bang_xuyen_giap!$C$2:$C$7,MIN(6,MAX(1,IF($O$142,MAX(1,2-(Vu_khi!$L$142-4)),2-(Vu_khi!$L$142-4))+1)))</f>
        <v/>
      </c>
      <c r="AF142" t="n">
        <v>0.1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58.96958410924891</v>
      </c>
      <c r="AK142">
        <f>IF($Q$142,$M$142*$AC$142*$U$142,0)</f>
        <v/>
      </c>
      <c r="AL142" t="n">
        <v>29.48479205462446</v>
      </c>
      <c r="AM142">
        <f>IF($Q$142,$M$142*$AE$142*$U$142,0)</f>
        <v/>
      </c>
      <c r="AN142" t="n">
        <v>5.896958410924892</v>
      </c>
      <c r="AO142">
        <f>IF($Q$142,$M$142*$AC$142*$Y$142,0)</f>
        <v/>
      </c>
      <c r="AP142" t="n">
        <v>17.69087523277467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1.611</v>
      </c>
      <c r="AZ142" t="inlineStr">
        <is>
          <t>ok</t>
        </is>
      </c>
      <c r="BA142" t="inlineStr"/>
      <c r="BB142" t="inlineStr">
        <is>
          <t>Assets/MachineBrigade/Resources/Data/balance.json: weapons[id=hmg_selfdef_15] (lớp B trên 01_chien_dau/Vu_khi)</t>
        </is>
      </c>
      <c r="BC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0.85</v>
      </c>
      <c r="AE143">
        <f>INDEX(Bang_xuyen_giap!$C$2:$C$7,MIN(6,MAX(1,IF($O$143,MAX(1,2-(Vu_khi!$L$143-4)),2-(Vu_khi!$L$143-4))+1)))</f>
        <v/>
      </c>
      <c r="AF143" t="n">
        <v>0.25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70.76350093109869</v>
      </c>
      <c r="AK143">
        <f>IF($Q$143,$M$143*$AC$143*$U$143,0)</f>
        <v/>
      </c>
      <c r="AL143" t="n">
        <v>50.12414649286158</v>
      </c>
      <c r="AM143">
        <f>IF($Q$143,$M$143*$AE$143*$U$143,0)</f>
        <v/>
      </c>
      <c r="AN143" t="n">
        <v>14.74239602731223</v>
      </c>
      <c r="AO143">
        <f>IF($Q$143,$M$143*$AC$143*$Y$143,0)</f>
        <v/>
      </c>
      <c r="AP143" t="n">
        <v>30.07448789571695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weapons[id=hmg_selfdef_15_api] (lớp B trên 01_chien_dau/Vu_khi)</t>
        </is>
      </c>
      <c r="BC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</v>
      </c>
      <c r="AC144">
        <f>INDEX(Bang_xuyen_giap!$C$2:$C$7,MIN(6,MAX(1,IF($O$144,MAX(1,2-(Vu_khi!$L$144-2)),2-(Vu_khi!$L$144-2))+1)))</f>
        <v/>
      </c>
      <c r="AD144" t="n">
        <v>0.5</v>
      </c>
      <c r="AE144">
        <f>INDEX(Bang_xuyen_giap!$C$2:$C$7,MIN(6,MAX(1,IF($O$144,MAX(1,2-(Vu_khi!$L$144-4)),2-(Vu_khi!$L$144-4))+1)))</f>
        <v/>
      </c>
      <c r="AF144" t="n">
        <v>0.1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58.96958410924891</v>
      </c>
      <c r="AK144">
        <f>IF($Q$144,$M$144*$AC$144*$U$144,0)</f>
        <v/>
      </c>
      <c r="AL144" t="n">
        <v>29.48479205462446</v>
      </c>
      <c r="AM144">
        <f>IF($Q$144,$M$144*$AE$144*$U$144,0)</f>
        <v/>
      </c>
      <c r="AN144" t="n">
        <v>5.896958410924892</v>
      </c>
      <c r="AO144">
        <f>IF($Q$144,$M$144*$AC$144*$Y$144,0)</f>
        <v/>
      </c>
      <c r="AP144" t="n">
        <v>17.69087523277467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1.611</v>
      </c>
      <c r="AZ144" t="inlineStr">
        <is>
          <t>ok</t>
        </is>
      </c>
      <c r="BA144" t="inlineStr"/>
      <c r="BB144" t="inlineStr">
        <is>
          <t>Assets/MachineBrigade/Resources/Data/balance.json: weapons[id=hmg_selfdef_18] (lớp B trên 01_chien_dau/Vu_khi)</t>
        </is>
      </c>
      <c r="BC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0.85</v>
      </c>
      <c r="AE145">
        <f>INDEX(Bang_xuyen_giap!$C$2:$C$7,MIN(6,MAX(1,IF($O$145,MAX(1,2-(Vu_khi!$L$145-4)),2-(Vu_khi!$L$145-4))+1)))</f>
        <v/>
      </c>
      <c r="AF145" t="n">
        <v>0.25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70.76350093109869</v>
      </c>
      <c r="AK145">
        <f>IF($Q$145,$M$145*$AC$145*$U$145,0)</f>
        <v/>
      </c>
      <c r="AL145" t="n">
        <v>50.12414649286158</v>
      </c>
      <c r="AM145">
        <f>IF($Q$145,$M$145*$AE$145*$U$145,0)</f>
        <v/>
      </c>
      <c r="AN145" t="n">
        <v>14.74239602731223</v>
      </c>
      <c r="AO145">
        <f>IF($Q$145,$M$145*$AC$145*$Y$145,0)</f>
        <v/>
      </c>
      <c r="AP145" t="n">
        <v>30.07448789571695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BB145" t="inlineStr">
        <is>
          <t>Assets/MachineBrigade/Resources/Data/balance.json: weapons[id=hmg_selfdef_18_api] (lớp B trên 01_chien_dau/Vu_khi)</t>
        </is>
      </c>
      <c r="BC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</v>
      </c>
      <c r="AC146">
        <f>INDEX(Bang_xuyen_giap!$C$2:$C$7,MIN(6,MAX(1,IF($O$146,MAX(1,2-(Vu_khi!$L$146-2)),2-(Vu_khi!$L$146-2))+1)))</f>
        <v/>
      </c>
      <c r="AD146" t="n">
        <v>0.5</v>
      </c>
      <c r="AE146">
        <f>INDEX(Bang_xuyen_giap!$C$2:$C$7,MIN(6,MAX(1,IF($O$146,MAX(1,2-(Vu_khi!$L$146-4)),2-(Vu_khi!$L$146-4))+1)))</f>
        <v/>
      </c>
      <c r="AF146" t="n">
        <v>0.1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58.96958410924891</v>
      </c>
      <c r="AK146">
        <f>IF($Q$146,$M$146*$AC$146*$U$146,0)</f>
        <v/>
      </c>
      <c r="AL146" t="n">
        <v>29.48479205462446</v>
      </c>
      <c r="AM146">
        <f>IF($Q$146,$M$146*$AE$146*$U$146,0)</f>
        <v/>
      </c>
      <c r="AN146" t="n">
        <v>5.896958410924892</v>
      </c>
      <c r="AO146">
        <f>IF($Q$146,$M$146*$AC$146*$Y$146,0)</f>
        <v/>
      </c>
      <c r="AP146" t="n">
        <v>17.69087523277467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1.611</v>
      </c>
      <c r="AZ146" t="inlineStr">
        <is>
          <t>ok</t>
        </is>
      </c>
      <c r="BA146" t="inlineStr"/>
      <c r="BB146" t="inlineStr">
        <is>
          <t>Assets/MachineBrigade/Resources/Data/balance.json: weapons[id=hmg_selfdef_21] (lớp B trên 01_chien_dau/Vu_khi)</t>
        </is>
      </c>
      <c r="BC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70.76350093109869</v>
      </c>
      <c r="AK147">
        <f>IF($Q$147,$M$147*$AC$147*$U$147,0)</f>
        <v/>
      </c>
      <c r="AL147" t="n">
        <v>50.12414649286158</v>
      </c>
      <c r="AM147">
        <f>IF($Q$147,$M$147*$AE$147*$U$147,0)</f>
        <v/>
      </c>
      <c r="AN147" t="n">
        <v>14.74239602731223</v>
      </c>
      <c r="AO147">
        <f>IF($Q$147,$M$147*$AC$147*$Y$147,0)</f>
        <v/>
      </c>
      <c r="AP147" t="n">
        <v>30.07448789571695</v>
      </c>
      <c r="AQ147">
        <f>IF($S$147,$M$147*$AG$147*$W$147,0)</f>
        <v/>
      </c>
      <c r="AR147" t="n">
        <v>17.69087523277467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0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weapons[id=hmg_selfdef_21_api] (lớp B trên 01_chien_dau/Vu_khi)</t>
        </is>
      </c>
      <c r="BC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0.6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143.9520159946684</v>
      </c>
      <c r="AK148">
        <f>IF($Q$148,$M$148*$AC$148*$U$148,0)</f>
        <v/>
      </c>
      <c r="AL148" t="n">
        <v>101.9660113295568</v>
      </c>
      <c r="AM148">
        <f>IF($Q$148,$M$148*$AE$148*$U$148,0)</f>
        <v/>
      </c>
      <c r="AN148" t="n">
        <v>29.99000333222259</v>
      </c>
      <c r="AO148">
        <f>IF($Q$148,$M$148*$AC$148*$Y$148,0)</f>
        <v/>
      </c>
      <c r="AP148" t="n">
        <v>61.17960679773409</v>
      </c>
      <c r="AQ148">
        <f>IF($S$148,$M$148*$AG$148*$W$148,0)</f>
        <v/>
      </c>
      <c r="AR148" t="n">
        <v>35.98800399866711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8.336111000000001</v>
      </c>
      <c r="AZ148" t="inlineStr">
        <is>
          <t>ok</t>
        </is>
      </c>
      <c r="BA148" t="b">
        <v>1</v>
      </c>
      <c r="BB148" t="inlineStr">
        <is>
          <t>Assets/MachineBrigade/Resources/Data/balance.json: weapons[id=hover_ciws] (lớp B trên 01_chien_dau/Vu_khi)</t>
        </is>
      </c>
      <c r="BC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0.5</v>
      </c>
      <c r="W149">
        <f>INDEX(Bang_sat_thuong!$C$2:$C$7,MATCH(Vu_khi!$K$149,Bang_sat_thuong!$A$2:$A$7,0))</f>
        <v/>
      </c>
      <c r="X149" t="n">
        <v>1.3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0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IF($Q$149,$M$149*$AC$149*$Y$149,0)</f>
        <v/>
      </c>
      <c r="AP149" t="n">
        <v>0</v>
      </c>
      <c r="AQ149">
        <f>IF($S$149,$M$149*$AG$149*$W$149,0)</f>
        <v/>
      </c>
      <c r="AR149" t="n">
        <v>155.9480173275575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weapons[id=hover_ciws_flak] (lớp B trên 01_chien_dau/Vu_khi)</t>
        </is>
      </c>
      <c r="BC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26.48148148148148</v>
      </c>
      <c r="AK150">
        <f>IF($Q$150,$M$150*$AC$150*$U$150,0)</f>
        <v/>
      </c>
      <c r="AL150" t="n">
        <v>22.50925925925926</v>
      </c>
      <c r="AM150">
        <f>IF($Q$150,$M$150*$AE$150*$U$150,0)</f>
        <v/>
      </c>
      <c r="AN150" t="n">
        <v>6.62037037037037</v>
      </c>
      <c r="AO150">
        <f>IF($Q$150,$M$150*$AC$150*$Y$150,0)</f>
        <v/>
      </c>
      <c r="AP150" t="n">
        <v>33.76388888888889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1</v>
      </c>
      <c r="AZ150" t="inlineStr">
        <is>
          <t>ok</t>
        </is>
      </c>
      <c r="BA150" t="b">
        <v>1</v>
      </c>
      <c r="BB150" t="inlineStr">
        <is>
          <t>Assets/MachineBrigade/Resources/Data/balance.json: weapons[id=hover_rockets] (lớp B trên 01_chien_dau/Vu_khi)</t>
        </is>
      </c>
      <c r="BC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38.4728711537652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19.2364355768826</v>
      </c>
      <c r="AO151">
        <f>IF($Q$151,$M$151*$AC$151*$Y$151,0)</f>
        <v/>
      </c>
      <c r="AP151" t="n">
        <v>57.70930673064781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0.55433</v>
      </c>
      <c r="AZ151" t="inlineStr">
        <is>
          <t>NHANH_QUA</t>
        </is>
      </c>
      <c r="BA151" t="inlineStr"/>
      <c r="BB151" t="inlineStr">
        <is>
          <t>Assets/MachineBrigade/Resources/Data/balance.json: weapons[id=howitzer] (lớp B trên 01_chien_dau/Vu_khi)</t>
        </is>
      </c>
      <c r="BC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53.01009163670108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26.50504581835054</v>
      </c>
      <c r="AO152">
        <f>IF($Q$152,$M$152*$AC$152*$Y$152,0)</f>
        <v/>
      </c>
      <c r="AP152" t="n">
        <v>79.51513745505163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0.402313</v>
      </c>
      <c r="AZ152" t="inlineStr">
        <is>
          <t>NHANH_QUA;LECH_DOT_1</t>
        </is>
      </c>
      <c r="BA152" t="inlineStr"/>
      <c r="BB152" t="inlineStr">
        <is>
          <t>Assets/MachineBrigade/Resources/Data/balance.json: weapons[id=howitzer_ext] (lớp B trên 01_chien_dau/Vu_khi)</t>
        </is>
      </c>
      <c r="BC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48.82629107981221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24.4131455399061</v>
      </c>
      <c r="AO153">
        <f>IF($Q$153,$M$153*$AC$153*$Y$153,0)</f>
        <v/>
      </c>
      <c r="AP153" t="n">
        <v>73.2394366197183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0.497</v>
      </c>
      <c r="AZ153" t="inlineStr">
        <is>
          <t>NHANH_QUA;LECH_DOT_1</t>
        </is>
      </c>
      <c r="BA153" t="inlineStr"/>
      <c r="BB153" t="inlineStr">
        <is>
          <t>Assets/MachineBrigade/Resources/Data/balance.json: weapons[id=howitzer_fixed] (lớp B trên 01_chien_dau/Vu_khi)</t>
        </is>
      </c>
      <c r="BC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48.82629107981221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24.4131455399061</v>
      </c>
      <c r="AO154">
        <f>IF($Q$154,$M$154*$AC$154*$Y$154,0)</f>
        <v/>
      </c>
      <c r="AP154" t="n">
        <v>73.2394366197183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weapons[id=howitzer_fixed_guided] (lớp B trên 01_chien_dau/Vu_khi)</t>
        </is>
      </c>
      <c r="BC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1.5</v>
      </c>
      <c r="AA155">
        <f>INDEX(Bang_xuyen_giap!$C$2:$C$7,MIN(6,MAX(1,IF($O$155,MAX(1,2-(Vu_khi!$L$155-0)),2-(Vu_khi!$L$155-0))+1)))</f>
        <v/>
      </c>
      <c r="AB155" t="n">
        <v>1</v>
      </c>
      <c r="AC155">
        <f>INDEX(Bang_xuyen_giap!$C$2:$C$7,MIN(6,MAX(1,IF($O$155,MAX(1,2-(Vu_khi!$L$155-2)),2-(Vu_khi!$L$155-2))+1)))</f>
        <v/>
      </c>
      <c r="AD155" t="n">
        <v>1</v>
      </c>
      <c r="AE155">
        <f>INDEX(Bang_xuyen_giap!$C$2:$C$7,MIN(6,MAX(1,IF($O$155,MAX(1,2-(Vu_khi!$L$155-4)),2-(Vu_khi!$L$155-4))+1)))</f>
        <v/>
      </c>
      <c r="AF155" t="n">
        <v>0.5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38.4728711537652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19.2364355768826</v>
      </c>
      <c r="AO155">
        <f>IF($Q$155,$M$155*$AC$155*$Y$155,0)</f>
        <v/>
      </c>
      <c r="AP155" t="n">
        <v>57.70930673064781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3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BB155" t="inlineStr">
        <is>
          <t>Assets/MachineBrigade/Resources/Data/balance.json: weapons[id=howitzer_guided] (lớp B trên 01_chien_dau/Vu_khi)</t>
        </is>
      </c>
      <c r="BC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0.5</v>
      </c>
      <c r="W156">
        <f>INDEX(Bang_sat_thuong!$C$2:$C$7,MATCH(Vu_khi!$K$156,Bang_sat_thuong!$A$2:$A$7,0))</f>
        <v/>
      </c>
      <c r="X156" t="n">
        <v>1.3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83.955223880597</v>
      </c>
      <c r="AK156">
        <f>IF($Q$156,$M$156*$AC$156*$U$156,0)</f>
        <v/>
      </c>
      <c r="AL156" t="n">
        <v>59.46828358208954</v>
      </c>
      <c r="AM156">
        <f>IF($Q$156,$M$156*$AE$156*$U$156,0)</f>
        <v/>
      </c>
      <c r="AN156" t="n">
        <v>17.49067164179104</v>
      </c>
      <c r="AO156">
        <f>IF($Q$156,$M$156*$AC$156*$Y$156,0)</f>
        <v/>
      </c>
      <c r="AP156" t="n">
        <v>11.89365671641791</v>
      </c>
      <c r="AQ156">
        <f>IF($S$156,$M$156*$AG$156*$W$156,0)</f>
        <v/>
      </c>
      <c r="AR156" t="n">
        <v>181.9029850746269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n">
        <v>4.466667</v>
      </c>
      <c r="AZ156" t="inlineStr">
        <is>
          <t>ok</t>
        </is>
      </c>
      <c r="BA156" t="inlineStr"/>
      <c r="BB156" t="inlineStr">
        <is>
          <t>Assets/MachineBrigade/Resources/Data/balance.json: weapons[id=hq_flak] (lớp B trên 01_chien_dau/Vu_khi)</t>
        </is>
      </c>
      <c r="BC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167.910447761194</v>
      </c>
      <c r="AK157">
        <f>IF($Q$157,$M$157*$AC$157*$U$157,0)</f>
        <v/>
      </c>
      <c r="AL157" t="n">
        <v>118.9365671641791</v>
      </c>
      <c r="AM157">
        <f>IF($Q$157,$M$157*$AE$157*$U$157,0)</f>
        <v/>
      </c>
      <c r="AN157" t="n">
        <v>34.98134328358208</v>
      </c>
      <c r="AO157">
        <f>IF($Q$157,$M$157*$AC$157*$Y$157,0)</f>
        <v/>
      </c>
      <c r="AP157" t="n">
        <v>71.36194029850745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BB157" t="inlineStr">
        <is>
          <t>Assets/MachineBrigade/Resources/Data/balance.json: weapons[id=hq_flak_ap] (lớp B trên 01_chien_dau/Vu_khi)</t>
        </is>
      </c>
      <c r="BC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1.5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1</v>
      </c>
      <c r="AE158">
        <f>INDEX(Bang_xuyen_giap!$C$2:$C$7,MIN(6,MAX(1,IF($O$158,MAX(1,2-(Vu_khi!$L$158-4)),2-(Vu_khi!$L$158-4))+1)))</f>
        <v/>
      </c>
      <c r="AF158" t="n">
        <v>0.5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12.48</v>
      </c>
      <c r="AK158">
        <f>IF($Q$158,$M$158*$AC$158*$U$158,0)</f>
        <v/>
      </c>
      <c r="AL158" t="n">
        <v>10.4</v>
      </c>
      <c r="AM158">
        <f>IF($Q$158,$M$158*$AE$158*$U$158,0)</f>
        <v/>
      </c>
      <c r="AN158" t="n">
        <v>5.2</v>
      </c>
      <c r="AO158">
        <f>IF($Q$158,$M$158*$AC$158*$Y$158,0)</f>
        <v/>
      </c>
      <c r="AP158" t="n">
        <v>15.6</v>
      </c>
      <c r="AQ158">
        <f>IF($S$158,$M$158*$AG$158*$W$158,0)</f>
        <v/>
      </c>
      <c r="AR158" t="n">
        <v>0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4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2.5</v>
      </c>
      <c r="AY158" t="inlineStr"/>
      <c r="AZ158" t="inlineStr">
        <is>
          <t>ok</t>
        </is>
      </c>
      <c r="BA158" t="b">
        <v>1</v>
      </c>
      <c r="BB158" t="inlineStr">
        <is>
          <t>Assets/MachineBrigade/Resources/Data/balance.json: weapons[id=hydra_club_s] (lớp B trên 01_chien_dau/Vu_khi)</t>
        </is>
      </c>
      <c r="BC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0.6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101.1106855610877</v>
      </c>
      <c r="AK159">
        <f>IF($Q$159,$M$159*$AC$159*$U$159,0)</f>
        <v/>
      </c>
      <c r="AL159" t="n">
        <v>71.6200689391038</v>
      </c>
      <c r="AM159">
        <f>IF($Q$159,$M$159*$AE$159*$U$159,0)</f>
        <v/>
      </c>
      <c r="AN159" t="n">
        <v>21.06472615855994</v>
      </c>
      <c r="AO159">
        <f>IF($Q$159,$M$159*$AC$159*$Y$159,0)</f>
        <v/>
      </c>
      <c r="AP159" t="n">
        <v>42.97204136346228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1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3.481333</v>
      </c>
      <c r="AZ159" t="inlineStr">
        <is>
          <t>ok</t>
        </is>
      </c>
      <c r="BA159" t="inlineStr"/>
      <c r="BB159" t="inlineStr">
        <is>
          <t>Assets/MachineBrigade/Resources/Data/balance.json: weapons[id=ifv_30] (lớp B trên 01_chien_dau/Vu_khi)</t>
        </is>
      </c>
      <c r="BC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0.5</v>
      </c>
      <c r="W160">
        <f>INDEX(Bang_sat_thuong!$C$2:$C$7,MATCH(Vu_khi!$K$160,Bang_sat_thuong!$A$2:$A$7,0))</f>
        <v/>
      </c>
      <c r="X160" t="n">
        <v>1.3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0.85</v>
      </c>
      <c r="AE160">
        <f>INDEX(Bang_xuyen_giap!$C$2:$C$7,MIN(6,MAX(1,IF($O$160,MAX(1,2-(Vu_khi!$L$160-4)),2-(Vu_khi!$L$160-4))+1)))</f>
        <v/>
      </c>
      <c r="AF160" t="n">
        <v>0.25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109.5365760245117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1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BB160" t="inlineStr">
        <is>
          <t>Assets/MachineBrigade/Resources/Data/balance.json: weapons[id=ifv_30_flak] (lớp B trên 01_chien_dau/Vu_khi)</t>
        </is>
      </c>
      <c r="BC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0.5</v>
      </c>
      <c r="W161">
        <f>INDEX(Bang_sat_thuong!$C$2:$C$7,MATCH(Vu_khi!$K$161,Bang_sat_thuong!$A$2:$A$7,0))</f>
        <v/>
      </c>
      <c r="X161" t="n">
        <v>1.3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0.85</v>
      </c>
      <c r="AE161">
        <f>INDEX(Bang_xuyen_giap!$C$2:$C$7,MIN(6,MAX(1,IF($O$161,MAX(1,2-(Vu_khi!$L$161-4)),2-(Vu_khi!$L$161-4))+1)))</f>
        <v/>
      </c>
      <c r="AF161" t="n">
        <v>0.25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0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IF($Q$161,$M$161*$AC$161*$Y$161,0)</f>
        <v/>
      </c>
      <c r="AP161" t="n">
        <v>0</v>
      </c>
      <c r="AQ161">
        <f>IF($S$161,$M$161*$AG$161*$W$161,0)</f>
        <v/>
      </c>
      <c r="AR161" t="n">
        <v>23.4093637454982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weapons[id=igla_v] (lớp B trên 01_chien_dau/Vu_khi)</t>
        </is>
      </c>
      <c r="BC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0.85</v>
      </c>
      <c r="AC162">
        <f>INDEX(Bang_xuyen_giap!$C$2:$C$7,MIN(6,MAX(1,IF($O$162,MAX(1,2-(Vu_khi!$L$162-2)),2-(Vu_khi!$L$162-2))+1)))</f>
        <v/>
      </c>
      <c r="AD162" t="n">
        <v>0.25</v>
      </c>
      <c r="AE162">
        <f>INDEX(Bang_xuyen_giap!$C$2:$C$7,MIN(6,MAX(1,IF($O$162,MAX(1,2-(Vu_khi!$L$162-4)),2-(Vu_khi!$L$162-4))+1)))</f>
        <v/>
      </c>
      <c r="AF162" t="n">
        <v>0.1</v>
      </c>
      <c r="AG162">
        <f>INDEX(Bang_xuyen_giap!$C$2:$C$7,MIN(6,MAX(1,MAX(1,2-(Vu_khi!$L$162-0))+1)))</f>
        <v/>
      </c>
      <c r="AH162" t="n">
        <v>0.85</v>
      </c>
      <c r="AI162">
        <f>IF($Q$162,$M$162*$AA$162*$U$162,0)</f>
        <v/>
      </c>
      <c r="AJ162" t="n">
        <v>0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IF($Q$162,$M$162*$AC$162*$Y$162,0)</f>
        <v/>
      </c>
      <c r="AP162" t="n">
        <v>0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0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inlineStr"/>
      <c r="AZ162" t="inlineStr">
        <is>
          <t>ok</t>
        </is>
      </c>
      <c r="BA162" t="inlineStr"/>
      <c r="BB162" t="inlineStr">
        <is>
          <t>Assets/MachineBrigade/Resources/Data/balance.json: weapons[id=illum_flare] (lớp B trên 01_chien_dau/Vu_khi)</t>
        </is>
      </c>
      <c r="BC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1.5</v>
      </c>
      <c r="AA163">
        <f>INDEX(Bang_xuyen_giap!$C$2:$C$7,MIN(6,MAX(1,IF($O$163,MAX(1,2-(Vu_khi!$L$163-0)),2-(Vu_khi!$L$163-0))+1)))</f>
        <v/>
      </c>
      <c r="AB163" t="n">
        <v>1.2</v>
      </c>
      <c r="AC163">
        <f>INDEX(Bang_xuyen_giap!$C$2:$C$7,MIN(6,MAX(1,IF($O$163,MAX(1,2-(Vu_khi!$L$163-2)),2-(Vu_khi!$L$163-2))+1)))</f>
        <v/>
      </c>
      <c r="AD163" t="n">
        <v>1</v>
      </c>
      <c r="AE163">
        <f>INDEX(Bang_xuyen_giap!$C$2:$C$7,MIN(6,MAX(1,IF($O$163,MAX(1,2-(Vu_khi!$L$163-4)),2-(Vu_khi!$L$163-4))+1)))</f>
        <v/>
      </c>
      <c r="AF163" t="n">
        <v>0.5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94.25287356321839</v>
      </c>
      <c r="AK163">
        <f>IF($Q$163,$M$163*$AC$163*$U$163,0)</f>
        <v/>
      </c>
      <c r="AL163" t="n">
        <v>78.544061302682</v>
      </c>
      <c r="AM163">
        <f>IF($Q$163,$M$163*$AE$163*$U$163,0)</f>
        <v/>
      </c>
      <c r="AN163" t="n">
        <v>39.272030651341</v>
      </c>
      <c r="AO163">
        <f>IF($Q$163,$M$163*$AC$163*$Y$163,0)</f>
        <v/>
      </c>
      <c r="AP163" t="n">
        <v>117.816091954023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4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2.5</v>
      </c>
      <c r="AY163" t="n">
        <v>0.2</v>
      </c>
      <c r="AZ163" t="inlineStr">
        <is>
          <t>NHANH_QUA</t>
        </is>
      </c>
      <c r="BA163" t="inlineStr"/>
      <c r="BB163" t="inlineStr">
        <is>
          <t>Assets/MachineBrigade/Resources/Data/balance.json: weapons[id=jassm] (lớp B trên 01_chien_dau/Vu_khi)</t>
        </is>
      </c>
      <c r="BC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1.5</v>
      </c>
      <c r="AA164">
        <f>INDEX(Bang_xuyen_giap!$C$2:$C$7,MIN(6,MAX(1,IF($O$164,MAX(1,2-(Vu_khi!$L$164-0)),2-(Vu_khi!$L$164-0))+1)))</f>
        <v/>
      </c>
      <c r="AB164" t="n">
        <v>1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60.19417475728155</v>
      </c>
      <c r="AK164">
        <f>IF($Q$164,$M$164*$AC$164*$U$164,0)</f>
        <v/>
      </c>
      <c r="AL164" t="n">
        <v>51.16504854368932</v>
      </c>
      <c r="AM164">
        <f>IF($Q$164,$M$164*$AE$164*$U$164,0)</f>
        <v/>
      </c>
      <c r="AN164" t="n">
        <v>15.04854368932039</v>
      </c>
      <c r="AO164">
        <f>IF($Q$164,$M$164*$AC$164*$Y$164,0)</f>
        <v/>
      </c>
      <c r="AP164" t="n">
        <v>76.74757281553397</v>
      </c>
      <c r="AQ164">
        <f>IF($S$164,$M$164*$AG$164*$W$164,0)</f>
        <v/>
      </c>
      <c r="AR164" t="n">
        <v>0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3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AY164" t="n">
        <v>2.5</v>
      </c>
      <c r="AZ164" t="inlineStr">
        <is>
          <t>ok</t>
        </is>
      </c>
      <c r="BA164" t="inlineStr"/>
      <c r="BB164" t="inlineStr">
        <is>
          <t>Assets/MachineBrigade/Resources/Data/balance.json: weapons[id=jet_bombs] (lớp B trên 01_chien_dau/Vu_khi)</t>
        </is>
      </c>
      <c r="BC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0.6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372.8290235430335</v>
      </c>
      <c r="AK165">
        <f>IF($Q$165,$M$165*$AC$165*$U$165,0)</f>
        <v/>
      </c>
      <c r="AL165" t="n">
        <v>264.0872250096488</v>
      </c>
      <c r="AM165">
        <f>IF($Q$165,$M$165*$AE$165*$U$165,0)</f>
        <v/>
      </c>
      <c r="AN165" t="n">
        <v>77.67271323813199</v>
      </c>
      <c r="AO165">
        <f>IF($Q$165,$M$165*$AC$165*$Y$165,0)</f>
        <v/>
      </c>
      <c r="AP165" t="n">
        <v>158.4523350057893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1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3.701429</v>
      </c>
      <c r="AZ165" t="inlineStr">
        <is>
          <t>ok</t>
        </is>
      </c>
      <c r="BA165" t="inlineStr"/>
      <c r="BB165" t="inlineStr">
        <is>
          <t>Assets/MachineBrigade/Resources/Data/balance.json: weapons[id=jet_cannon] (lớp B trên 01_chien_dau/Vu_khi)</t>
        </is>
      </c>
      <c r="BC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0.5</v>
      </c>
      <c r="W166">
        <f>INDEX(Bang_sat_thuong!$C$2:$C$7,MATCH(Vu_khi!$K$166,Bang_sat_thuong!$A$2:$A$7,0))</f>
        <v/>
      </c>
      <c r="X166" t="n">
        <v>1.3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0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IF($Q$166,$M$166*$AC$166*$Y$166,0)</f>
        <v/>
      </c>
      <c r="AP166" t="n">
        <v>0</v>
      </c>
      <c r="AQ166">
        <f>IF($S$166,$M$166*$AG$166*$W$166,0)</f>
        <v/>
      </c>
      <c r="AR166" t="n">
        <v>403.8981088382864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1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weapons[id=jet_cannon_flak] (lớp B trên 01_chien_dau/Vu_khi)</t>
        </is>
      </c>
      <c r="BC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1.5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0.85</v>
      </c>
      <c r="AE167">
        <f>INDEX(Bang_xuyen_giap!$C$2:$C$7,MIN(6,MAX(1,IF($O$167,MAX(1,2-(Vu_khi!$L$167-4)),2-(Vu_khi!$L$167-4))+1)))</f>
        <v/>
      </c>
      <c r="AF167" t="n">
        <v>0.25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83.16831683168316</v>
      </c>
      <c r="AK167">
        <f>IF($Q$167,$M$167*$AC$167*$U$167,0)</f>
        <v/>
      </c>
      <c r="AL167" t="n">
        <v>58.91089108910891</v>
      </c>
      <c r="AM167">
        <f>IF($Q$167,$M$167*$AE$167*$U$167,0)</f>
        <v/>
      </c>
      <c r="AN167" t="n">
        <v>17.32673267326733</v>
      </c>
      <c r="AO167">
        <f>IF($Q$167,$M$167*$AC$167*$Y$167,0)</f>
        <v/>
      </c>
      <c r="AP167" t="n">
        <v>88.36633663366335</v>
      </c>
      <c r="AQ167">
        <f>IF($S$167,$M$167*$AG$167*$W$167,0)</f>
        <v/>
      </c>
      <c r="AR167" t="n">
        <v>0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1.2</v>
      </c>
      <c r="AZ167" t="inlineStr">
        <is>
          <t>ok</t>
        </is>
      </c>
      <c r="BA167" t="inlineStr"/>
      <c r="BB167" t="inlineStr">
        <is>
          <t>Assets/MachineBrigade/Resources/Data/balance.json: weapons[id=jet_rockets] (lớp B trên 01_chien_dau/Vu_khi)</t>
        </is>
      </c>
      <c r="BC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1.2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57.70992366412214</v>
      </c>
      <c r="AK168">
        <f>IF($Q$168,$M$168*$AC$168*$U$168,0)</f>
        <v/>
      </c>
      <c r="AL168" t="n">
        <v>57.70992366412214</v>
      </c>
      <c r="AM168">
        <f>IF($Q$168,$M$168*$AE$168*$U$168,0)</f>
        <v/>
      </c>
      <c r="AN168" t="n">
        <v>40.87786259541985</v>
      </c>
      <c r="AO168">
        <f>IF($Q$168,$M$168*$AC$168*$Y$168,0)</f>
        <v/>
      </c>
      <c r="AP168" t="n">
        <v>34.62595419847328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4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2.5</v>
      </c>
      <c r="AY168" t="inlineStr"/>
      <c r="AZ168" t="inlineStr">
        <is>
          <t>ok</t>
        </is>
      </c>
      <c r="BA168" t="inlineStr"/>
      <c r="BB168" t="inlineStr">
        <is>
          <t>Assets/MachineBrigade/Resources/Data/balance.json: weapons[id=kh29] (lớp B trên 01_chien_dau/Vu_khi)</t>
        </is>
      </c>
      <c r="BC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1.2</v>
      </c>
      <c r="AC169">
        <f>INDEX(Bang_xuyen_giap!$C$2:$C$7,MIN(6,MAX(1,IF($O$169,MAX(1,2-(Vu_khi!$L$169-2)),2-(Vu_khi!$L$169-2))+1)))</f>
        <v/>
      </c>
      <c r="AD169" t="n">
        <v>1.2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99.45945945945945</v>
      </c>
      <c r="AK169">
        <f>IF($Q$169,$M$169*$AC$169*$U$169,0)</f>
        <v/>
      </c>
      <c r="AL169" t="n">
        <v>99.45945945945945</v>
      </c>
      <c r="AM169">
        <f>IF($Q$169,$M$169*$AE$169*$U$169,0)</f>
        <v/>
      </c>
      <c r="AN169" t="n">
        <v>70.45045045045045</v>
      </c>
      <c r="AO169">
        <f>IF($Q$169,$M$169*$AC$169*$Y$169,0)</f>
        <v/>
      </c>
      <c r="AP169" t="n">
        <v>59.67567567567567</v>
      </c>
      <c r="AQ169">
        <f>IF($S$169,$M$169*$AG$169*$W$169,0)</f>
        <v/>
      </c>
      <c r="AR169" t="n">
        <v>24.86486486486486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0.2775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weapons[id=kornet_multi] (lớp B trên 01_chien_dau/Vu_khi)</t>
        </is>
      </c>
      <c r="BC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</v>
      </c>
      <c r="AC170">
        <f>INDEX(Bang_xuyen_giap!$C$2:$C$7,MIN(6,MAX(1,IF($O$170,MAX(1,2-(Vu_khi!$L$170-2)),2-(Vu_khi!$L$170-2))+1)))</f>
        <v/>
      </c>
      <c r="AD170" t="n">
        <v>1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88.46153846153847</v>
      </c>
      <c r="AK170">
        <f>IF($Q$170,$M$170*$AC$170*$U$170,0)</f>
        <v/>
      </c>
      <c r="AL170" t="n">
        <v>88.46153846153847</v>
      </c>
      <c r="AM170">
        <f>IF($Q$170,$M$170*$AE$170*$U$170,0)</f>
        <v/>
      </c>
      <c r="AN170" t="n">
        <v>75.19230769230769</v>
      </c>
      <c r="AO170">
        <f>IF($Q$170,$M$170*$AC$170*$Y$170,0)</f>
        <v/>
      </c>
      <c r="AP170" t="n">
        <v>53.07692307692308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n">
        <v>0.26</v>
      </c>
      <c r="AZ170" t="inlineStr">
        <is>
          <t>NHANH_QUA</t>
        </is>
      </c>
      <c r="BA170" t="inlineStr"/>
      <c r="BB170" t="inlineStr">
        <is>
          <t>Assets/MachineBrigade/Resources/Data/balance.json: weapons[id=kornet_top] (lớp B trên 01_chien_dau/Vu_khi)</t>
        </is>
      </c>
      <c r="BC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1.2</v>
      </c>
      <c r="AC171">
        <f>INDEX(Bang_xuyen_giap!$C$2:$C$7,MIN(6,MAX(1,IF($O$171,MAX(1,2-(Vu_khi!$L$171-2)),2-(Vu_khi!$L$171-2))+1)))</f>
        <v/>
      </c>
      <c r="AD171" t="n">
        <v>1.2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49.68496849684968</v>
      </c>
      <c r="AK171">
        <f>IF($Q$171,$M$171*$AC$171*$U$171,0)</f>
        <v/>
      </c>
      <c r="AL171" t="n">
        <v>49.68496849684968</v>
      </c>
      <c r="AM171">
        <f>IF($Q$171,$M$171*$AE$171*$U$171,0)</f>
        <v/>
      </c>
      <c r="AN171" t="n">
        <v>35.19351935193519</v>
      </c>
      <c r="AO171">
        <f>IF($Q$171,$M$171*$AC$171*$Y$171,0)</f>
        <v/>
      </c>
      <c r="AP171" t="n">
        <v>29.81098109810981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0.5555</v>
      </c>
      <c r="AZ171" t="inlineStr">
        <is>
          <t>NHANH_QUA</t>
        </is>
      </c>
      <c r="BA171" t="inlineStr"/>
      <c r="BB171" t="inlineStr">
        <is>
          <t>Assets/MachineBrigade/Resources/Data/balance.json: weapons[id=kornet_twin] (lớp B trên 01_chien_dau/Vu_khi)</t>
        </is>
      </c>
      <c r="BC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0.3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0.6</v>
      </c>
      <c r="AA172">
        <f>INDEX(Bang_xuyen_giap!$C$2:$C$7,MIN(6,MAX(1,IF($O$172,MAX(1,2-(Vu_khi!$L$172-0)),2-(Vu_khi!$L$172-0))+1)))</f>
        <v/>
      </c>
      <c r="AB172" t="n">
        <v>1</v>
      </c>
      <c r="AC172">
        <f>INDEX(Bang_xuyen_giap!$C$2:$C$7,MIN(6,MAX(1,IF($O$172,MAX(1,2-(Vu_khi!$L$172-2)),2-(Vu_khi!$L$172-2))+1)))</f>
        <v/>
      </c>
      <c r="AD172" t="n">
        <v>1</v>
      </c>
      <c r="AE172">
        <f>INDEX(Bang_xuyen_giap!$C$2:$C$7,MIN(6,MAX(1,IF($O$172,MAX(1,2-(Vu_khi!$L$172-4)),2-(Vu_khi!$L$172-4))+1)))</f>
        <v/>
      </c>
      <c r="AF172" t="n">
        <v>0.85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20.47641799194594</v>
      </c>
      <c r="AK172">
        <f>IF($Q$172,$M$172*$AC$172*$U$172,0)</f>
        <v/>
      </c>
      <c r="AL172" t="n">
        <v>20.47641799194594</v>
      </c>
      <c r="AM172">
        <f>IF($Q$172,$M$172*$AE$172*$U$172,0)</f>
        <v/>
      </c>
      <c r="AN172" t="n">
        <v>17.40495529315405</v>
      </c>
      <c r="AO172">
        <f>IF($Q$172,$M$172*$AC$172*$Y$172,0)</f>
        <v/>
      </c>
      <c r="AP172" t="n">
        <v>12.28585079516756</v>
      </c>
      <c r="AQ172">
        <f>IF($S$172,$M$172*$AG$172*$W$172,0)</f>
        <v/>
      </c>
      <c r="AR172" t="n">
        <v>0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2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weapons[id=lancet] (lớp B trên 01_chien_dau/Vu_khi)</t>
        </is>
      </c>
      <c r="BC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0.3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0.6</v>
      </c>
      <c r="AA173">
        <f>INDEX(Bang_xuyen_giap!$C$2:$C$7,MIN(6,MAX(1,IF($O$173,MAX(1,2-(Vu_khi!$L$173-0)),2-(Vu_khi!$L$173-0))+1)))</f>
        <v/>
      </c>
      <c r="AB173" t="n">
        <v>1</v>
      </c>
      <c r="AC173">
        <f>INDEX(Bang_xuyen_giap!$C$2:$C$7,MIN(6,MAX(1,IF($O$173,MAX(1,2-(Vu_khi!$L$173-2)),2-(Vu_khi!$L$173-2))+1)))</f>
        <v/>
      </c>
      <c r="AD173" t="n">
        <v>1</v>
      </c>
      <c r="AE173">
        <f>INDEX(Bang_xuyen_giap!$C$2:$C$7,MIN(6,MAX(1,IF($O$173,MAX(1,2-(Vu_khi!$L$173-4)),2-(Vu_khi!$L$173-4))+1)))</f>
        <v/>
      </c>
      <c r="AF173" t="n">
        <v>0.85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66.66666666666667</v>
      </c>
      <c r="AK173">
        <f>IF($Q$173,$M$173*$AC$173*$U$173,0)</f>
        <v/>
      </c>
      <c r="AL173" t="n">
        <v>66.66666666666667</v>
      </c>
      <c r="AM173">
        <f>IF($Q$173,$M$173*$AE$173*$U$173,0)</f>
        <v/>
      </c>
      <c r="AN173" t="n">
        <v>56.66666666666667</v>
      </c>
      <c r="AO173">
        <f>IF($Q$173,$M$173*$AC$173*$Y$173,0)</f>
        <v/>
      </c>
      <c r="AP173" t="n">
        <v>40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2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inlineStr"/>
      <c r="AZ173" t="inlineStr">
        <is>
          <t>ok</t>
        </is>
      </c>
      <c r="BA173" t="inlineStr"/>
      <c r="BB173" t="inlineStr">
        <is>
          <t>Assets/MachineBrigade/Resources/Data/balance.json: weapons[id=lancet_hangar] (lớp B trên 01_chien_dau/Vu_khi)</t>
        </is>
      </c>
      <c r="BC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0.85</v>
      </c>
      <c r="AE174">
        <f>INDEX(Bang_xuyen_giap!$C$2:$C$7,MIN(6,MAX(1,IF($O$174,MAX(1,2-(Vu_khi!$L$174-4)),2-(Vu_khi!$L$174-4))+1)))</f>
        <v/>
      </c>
      <c r="AF174" t="n">
        <v>0.25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0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IF($Q$174,$M$174*$AC$174*$Y$174,0)</f>
        <v/>
      </c>
      <c r="AP174" t="n">
        <v>0</v>
      </c>
      <c r="AQ174">
        <f>IF($S$174,$M$174*$AG$174*$W$174,0)</f>
        <v/>
      </c>
      <c r="AR174" t="n">
        <v>134.9325337331335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1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inlineStr"/>
      <c r="AZ174" t="inlineStr">
        <is>
          <t>ok</t>
        </is>
      </c>
      <c r="BA174" t="inlineStr"/>
      <c r="BB174" t="inlineStr">
        <is>
          <t>Assets/MachineBrigade/Resources/Data/balance.json: weapons[id=laser_50kw] (lớp B trên 01_chien_dau/Vu_khi)</t>
        </is>
      </c>
      <c r="BC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1.2</v>
      </c>
      <c r="AE175">
        <f>INDEX(Bang_xuyen_giap!$C$2:$C$7,MIN(6,MAX(1,IF($O$175,MAX(1,2-(Vu_khi!$L$175-4)),2-(Vu_khi!$L$175-4))+1)))</f>
        <v/>
      </c>
      <c r="AF175" t="n">
        <v>0.85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81.42857142857143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57.67857142857143</v>
      </c>
      <c r="AO175">
        <f>IF($Q$175,$M$175*$AC$175*$Y$175,0)</f>
        <v/>
      </c>
      <c r="AP175" t="n">
        <v>122.1428571428571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5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3.5</v>
      </c>
      <c r="AY175" t="n">
        <v>0.98</v>
      </c>
      <c r="AZ175" t="inlineStr">
        <is>
          <t>LOI_DON_VI</t>
        </is>
      </c>
      <c r="BA175" t="inlineStr"/>
      <c r="BB175" t="inlineStr">
        <is>
          <t>Assets/MachineBrigade/Resources/Data/balance.json: weapons[id=leviathan_460] (lớp B trên 01_chien_dau/Vu_khi)</t>
        </is>
      </c>
      <c r="BC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1.2</v>
      </c>
      <c r="AC176">
        <f>INDEX(Bang_xuyen_giap!$C$2:$C$7,MIN(6,MAX(1,IF($O$176,MAX(1,2-(Vu_khi!$L$176-2)),2-(Vu_khi!$L$176-2))+1)))</f>
        <v/>
      </c>
      <c r="AD176" t="n">
        <v>1.2</v>
      </c>
      <c r="AE176">
        <f>INDEX(Bang_xuyen_giap!$C$2:$C$7,MIN(6,MAX(1,IF($O$176,MAX(1,2-(Vu_khi!$L$176-4)),2-(Vu_khi!$L$176-4))+1)))</f>
        <v/>
      </c>
      <c r="AF176" t="n">
        <v>0.85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81.42857142857143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57.67857142857143</v>
      </c>
      <c r="AO176">
        <f>IF($Q$176,$M$176*$AC$176*$Y$176,0)</f>
        <v/>
      </c>
      <c r="AP176" t="n">
        <v>122.1428571428571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5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3.5</v>
      </c>
      <c r="BB176" t="inlineStr">
        <is>
          <t>Assets/MachineBrigade/Resources/Data/balance.json: weapons[id=leviathan_460_guided] (lớp B trên 01_chien_dau/Vu_khi)</t>
        </is>
      </c>
      <c r="BC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1.5</v>
      </c>
      <c r="AA177">
        <f>INDEX(Bang_xuyen_giap!$C$2:$C$7,MIN(6,MAX(1,IF($O$177,MAX(1,2-(Vu_khi!$L$177-0)),2-(Vu_khi!$L$177-0))+1)))</f>
        <v/>
      </c>
      <c r="AB177" t="n">
        <v>1.2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12.48</v>
      </c>
      <c r="AK177">
        <f>IF($Q$177,$M$177*$AC$177*$U$177,0)</f>
        <v/>
      </c>
      <c r="AL177" t="n">
        <v>10.4</v>
      </c>
      <c r="AM177">
        <f>IF($Q$177,$M$177*$AE$177*$U$177,0)</f>
        <v/>
      </c>
      <c r="AN177" t="n">
        <v>5.2</v>
      </c>
      <c r="AO177">
        <f>IF($Q$177,$M$177*$AC$177*$Y$177,0)</f>
        <v/>
      </c>
      <c r="AP177" t="n">
        <v>15.6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4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2.722222222222222</v>
      </c>
      <c r="AY177" t="inlineStr"/>
      <c r="AZ177" t="inlineStr">
        <is>
          <t>ok</t>
        </is>
      </c>
      <c r="BA177" t="b">
        <v>1</v>
      </c>
      <c r="BB177" t="inlineStr">
        <is>
          <t>Assets/MachineBrigade/Resources/Data/balance.json: weapons[id=leviathan_cruise] (lớp B trên 01_chien_dau/Vu_khi)</t>
        </is>
      </c>
      <c r="BC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1</v>
      </c>
      <c r="AC178">
        <f>INDEX(Bang_xuyen_giap!$C$2:$C$7,MIN(6,MAX(1,IF($O$178,MAX(1,2-(Vu_khi!$L$178-2)),2-(Vu_khi!$L$178-2))+1)))</f>
        <v/>
      </c>
      <c r="AD178" t="n">
        <v>1</v>
      </c>
      <c r="AE178">
        <f>INDEX(Bang_xuyen_giap!$C$2:$C$7,MIN(6,MAX(1,IF($O$178,MAX(1,2-(Vu_khi!$L$178-4)),2-(Vu_khi!$L$178-4))+1)))</f>
        <v/>
      </c>
      <c r="AF178" t="n">
        <v>0.85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160</v>
      </c>
      <c r="AK178">
        <f>IF($Q$178,$M$178*$AC$178*$U$178,0)</f>
        <v/>
      </c>
      <c r="AL178" t="n">
        <v>160</v>
      </c>
      <c r="AM178">
        <f>IF($Q$178,$M$178*$AE$178*$U$178,0)</f>
        <v/>
      </c>
      <c r="AN178" t="n">
        <v>136</v>
      </c>
      <c r="AO178">
        <f>IF($Q$178,$M$178*$AC$178*$Y$178,0)</f>
        <v/>
      </c>
      <c r="AP178" t="n">
        <v>96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2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inlineStr"/>
      <c r="AZ178" t="inlineStr">
        <is>
          <t>LECH_DOT_1</t>
        </is>
      </c>
      <c r="BA178" t="b">
        <v>1</v>
      </c>
      <c r="BB178" t="inlineStr">
        <is>
          <t>Assets/MachineBrigade/Resources/Data/balance.json: weapons[id=locust_drones] (lớp B trên 01_chien_dau/Vu_khi)</t>
        </is>
      </c>
      <c r="BC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1.2</v>
      </c>
      <c r="AC179">
        <f>INDEX(Bang_xuyen_giap!$C$2:$C$7,MIN(6,MAX(1,IF($O$179,MAX(1,2-(Vu_khi!$L$179-2)),2-(Vu_khi!$L$179-2))+1)))</f>
        <v/>
      </c>
      <c r="AD179" t="n">
        <v>1.2</v>
      </c>
      <c r="AE179">
        <f>INDEX(Bang_xuyen_giap!$C$2:$C$7,MIN(6,MAX(1,IF($O$179,MAX(1,2-(Vu_khi!$L$179-4)),2-(Vu_khi!$L$179-4))+1)))</f>
        <v/>
      </c>
      <c r="AF179" t="n">
        <v>0.85</v>
      </c>
      <c r="AG179">
        <f>INDEX(Bang_xuyen_giap!$C$2:$C$7,MIN(6,MAX(1,MAX(1,2-(Vu_khi!$L$179-0))+1)))</f>
        <v/>
      </c>
      <c r="AH179" t="n">
        <v>1</v>
      </c>
      <c r="AI179">
        <f>IF($Q$179,$M$179*$AA$179*$U$179,0)</f>
        <v/>
      </c>
      <c r="AJ179" t="n">
        <v>52.67175572519084</v>
      </c>
      <c r="AK179">
        <f>IF($Q$179,$M$179*$AC$179*$U$179,0)</f>
        <v/>
      </c>
      <c r="AL179" t="n">
        <v>52.67175572519084</v>
      </c>
      <c r="AM179">
        <f>IF($Q$179,$M$179*$AE$179*$U$179,0)</f>
        <v/>
      </c>
      <c r="AN179" t="n">
        <v>37.30916030534351</v>
      </c>
      <c r="AO179">
        <f>IF($Q$179,$M$179*$AC$179*$Y$179,0)</f>
        <v/>
      </c>
      <c r="AP179" t="n">
        <v>31.6030534351145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inlineStr"/>
      <c r="AZ179" t="inlineStr">
        <is>
          <t>ok</t>
        </is>
      </c>
      <c r="BA179" t="inlineStr"/>
      <c r="BB179" t="inlineStr">
        <is>
          <t>Assets/MachineBrigade/Resources/Data/balance.json: weapons[id=maverick] (lớp B trên 01_chien_dau/Vu_khi)</t>
        </is>
      </c>
      <c r="BC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0.85</v>
      </c>
      <c r="AC180">
        <f>INDEX(Bang_xuyen_giap!$C$2:$C$7,MIN(6,MAX(1,IF($O$180,MAX(1,2-(Vu_khi!$L$180-2)),2-(Vu_khi!$L$180-2))+1)))</f>
        <v/>
      </c>
      <c r="AD180" t="n">
        <v>0.25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0.85</v>
      </c>
      <c r="AI180">
        <f>IF($Q$180,$M$180*$AA$180*$U$180,0)</f>
        <v/>
      </c>
      <c r="AJ180" t="n">
        <v>37.91565287915652</v>
      </c>
      <c r="AK180">
        <f>IF($Q$180,$M$180*$AC$180*$U$180,0)</f>
        <v/>
      </c>
      <c r="AL180" t="n">
        <v>11.15166261151662</v>
      </c>
      <c r="AM180">
        <f>IF($Q$180,$M$180*$AE$180*$U$180,0)</f>
        <v/>
      </c>
      <c r="AN180" t="n">
        <v>4.46066504460665</v>
      </c>
      <c r="AO180">
        <f>IF($Q$180,$M$180*$AC$180*$Y$180,0)</f>
        <v/>
      </c>
      <c r="AP180" t="n">
        <v>6.690997566909974</v>
      </c>
      <c r="AQ180">
        <f>IF($S$180,$M$180*$AG$180*$W$180,0)</f>
        <v/>
      </c>
      <c r="AR180" t="n">
        <v>11.37469586374696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1.644</v>
      </c>
      <c r="AZ180" t="inlineStr">
        <is>
          <t>ok</t>
        </is>
      </c>
      <c r="BA180" t="inlineStr"/>
      <c r="BB180" t="inlineStr">
        <is>
          <t>Assets/MachineBrigade/Resources/Data/balance.json: weapons[id=mg_coax] (lớp B trên 01_chien_dau/Vu_khi)</t>
        </is>
      </c>
      <c r="BC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0.85</v>
      </c>
      <c r="AC181">
        <f>INDEX(Bang_xuyen_giap!$C$2:$C$7,MIN(6,MAX(1,IF($O$181,MAX(1,2-(Vu_khi!$L$181-2)),2-(Vu_khi!$L$181-2))+1)))</f>
        <v/>
      </c>
      <c r="AD181" t="n">
        <v>0.25</v>
      </c>
      <c r="AE181">
        <f>INDEX(Bang_xuyen_giap!$C$2:$C$7,MIN(6,MAX(1,IF($O$181,MAX(1,2-(Vu_khi!$L$181-4)),2-(Vu_khi!$L$181-4))+1)))</f>
        <v/>
      </c>
      <c r="AF181" t="n">
        <v>0.1</v>
      </c>
      <c r="AG181">
        <f>INDEX(Bang_xuyen_giap!$C$2:$C$7,MIN(6,MAX(1,MAX(1,2-(Vu_khi!$L$181-0))+1)))</f>
        <v/>
      </c>
      <c r="AH181" t="n">
        <v>0.85</v>
      </c>
      <c r="AI181">
        <f>IF($Q$181,$M$181*$AA$181*$U$181,0)</f>
        <v/>
      </c>
      <c r="AJ181" t="n">
        <v>37.91565287915652</v>
      </c>
      <c r="AK181">
        <f>IF($Q$181,$M$181*$AC$181*$U$181,0)</f>
        <v/>
      </c>
      <c r="AL181" t="n">
        <v>11.15166261151662</v>
      </c>
      <c r="AM181">
        <f>IF($Q$181,$M$181*$AE$181*$U$181,0)</f>
        <v/>
      </c>
      <c r="AN181" t="n">
        <v>4.46066504460665</v>
      </c>
      <c r="AO181">
        <f>IF($Q$181,$M$181*$AC$181*$Y$181,0)</f>
        <v/>
      </c>
      <c r="AP181" t="n">
        <v>6.690997566909974</v>
      </c>
      <c r="AQ181">
        <f>IF($S$181,$M$181*$AG$181*$W$181,0)</f>
        <v/>
      </c>
      <c r="AR181" t="n">
        <v>11.37469586374696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1.644</v>
      </c>
      <c r="AZ181" t="inlineStr">
        <is>
          <t>ok</t>
        </is>
      </c>
      <c r="BA181" t="inlineStr"/>
      <c r="BB181" t="inlineStr">
        <is>
          <t>Assets/MachineBrigade/Resources/Data/balance.json: weapons[id=mg_coax_long] (lớp B trên 01_chien_dau/Vu_khi)</t>
        </is>
      </c>
      <c r="BC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</v>
      </c>
      <c r="AC182">
        <f>INDEX(Bang_xuyen_giap!$C$2:$C$7,MIN(6,MAX(1,IF($O$182,MAX(1,2-(Vu_khi!$L$182-2)),2-(Vu_khi!$L$182-2))+1)))</f>
        <v/>
      </c>
      <c r="AD182" t="n">
        <v>0.5</v>
      </c>
      <c r="AE182">
        <f>INDEX(Bang_xuyen_giap!$C$2:$C$7,MIN(6,MAX(1,IF($O$182,MAX(1,2-(Vu_khi!$L$182-4)),2-(Vu_khi!$L$182-4))+1)))</f>
        <v/>
      </c>
      <c r="AF182" t="n">
        <v>0.1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58.96958410924891</v>
      </c>
      <c r="AK182">
        <f>IF($Q$182,$M$182*$AC$182*$U$182,0)</f>
        <v/>
      </c>
      <c r="AL182" t="n">
        <v>29.48479205462446</v>
      </c>
      <c r="AM182">
        <f>IF($Q$182,$M$182*$AE$182*$U$182,0)</f>
        <v/>
      </c>
      <c r="AN182" t="n">
        <v>5.896958410924892</v>
      </c>
      <c r="AO182">
        <f>IF($Q$182,$M$182*$AC$182*$Y$182,0)</f>
        <v/>
      </c>
      <c r="AP182" t="n">
        <v>17.69087523277467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weapons[id=mg_jeep] (lớp B trên 01_chien_dau/Vu_khi)</t>
        </is>
      </c>
      <c r="BC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70.76350093109869</v>
      </c>
      <c r="AK183">
        <f>IF($Q$183,$M$183*$AC$183*$U$183,0)</f>
        <v/>
      </c>
      <c r="AL183" t="n">
        <v>50.12414649286158</v>
      </c>
      <c r="AM183">
        <f>IF($Q$183,$M$183*$AE$183*$U$183,0)</f>
        <v/>
      </c>
      <c r="AN183" t="n">
        <v>14.74239602731223</v>
      </c>
      <c r="AO183">
        <f>IF($Q$183,$M$183*$AC$183*$Y$183,0)</f>
        <v/>
      </c>
      <c r="AP183" t="n">
        <v>30.07448789571695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weapons[id=mg_jeep_api] (lớp B trên 01_chien_dau/Vu_khi)</t>
        </is>
      </c>
      <c r="BC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1</v>
      </c>
      <c r="AC184">
        <f>INDEX(Bang_xuyen_giap!$C$2:$C$7,MIN(6,MAX(1,IF($O$184,MAX(1,2-(Vu_khi!$L$184-2)),2-(Vu_khi!$L$184-2))+1)))</f>
        <v/>
      </c>
      <c r="AD184" t="n">
        <v>0.5</v>
      </c>
      <c r="AE184">
        <f>INDEX(Bang_xuyen_giap!$C$2:$C$7,MIN(6,MAX(1,IF($O$184,MAX(1,2-(Vu_khi!$L$184-4)),2-(Vu_khi!$L$184-4))+1)))</f>
        <v/>
      </c>
      <c r="AF184" t="n">
        <v>0.1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58.96958410924891</v>
      </c>
      <c r="AK184">
        <f>IF($Q$184,$M$184*$AC$184*$U$184,0)</f>
        <v/>
      </c>
      <c r="AL184" t="n">
        <v>29.48479205462446</v>
      </c>
      <c r="AM184">
        <f>IF($Q$184,$M$184*$AE$184*$U$184,0)</f>
        <v/>
      </c>
      <c r="AN184" t="n">
        <v>5.896958410924892</v>
      </c>
      <c r="AO184">
        <f>IF($Q$184,$M$184*$AC$184*$Y$184,0)</f>
        <v/>
      </c>
      <c r="AP184" t="n">
        <v>17.69087523277467</v>
      </c>
      <c r="AQ184">
        <f>IF($S$184,$M$184*$AG$184*$W$184,0)</f>
        <v/>
      </c>
      <c r="AR184" t="n">
        <v>17.69087523277467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1.611</v>
      </c>
      <c r="AZ184" t="inlineStr">
        <is>
          <t>ok</t>
        </is>
      </c>
      <c r="BA184" t="inlineStr"/>
      <c r="BB184" t="inlineStr">
        <is>
          <t>Assets/MachineBrigade/Resources/Data/balance.json: weapons[id=mg_jeep_selfdef] (lớp B trên 01_chien_dau/Vu_khi)</t>
        </is>
      </c>
      <c r="BC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0.6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0.85</v>
      </c>
      <c r="AE185">
        <f>INDEX(Bang_xuyen_giap!$C$2:$C$7,MIN(6,MAX(1,IF($O$185,MAX(1,2-(Vu_khi!$L$185-4)),2-(Vu_khi!$L$185-4))+1)))</f>
        <v/>
      </c>
      <c r="AF185" t="n">
        <v>0.25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70.76350093109869</v>
      </c>
      <c r="AK185">
        <f>IF($Q$185,$M$185*$AC$185*$U$185,0)</f>
        <v/>
      </c>
      <c r="AL185" t="n">
        <v>50.12414649286158</v>
      </c>
      <c r="AM185">
        <f>IF($Q$185,$M$185*$AE$185*$U$185,0)</f>
        <v/>
      </c>
      <c r="AN185" t="n">
        <v>14.74239602731223</v>
      </c>
      <c r="AO185">
        <f>IF($Q$185,$M$185*$AC$185*$Y$185,0)</f>
        <v/>
      </c>
      <c r="AP185" t="n">
        <v>30.07448789571695</v>
      </c>
      <c r="AQ185">
        <f>IF($S$185,$M$185*$AG$185*$W$185,0)</f>
        <v/>
      </c>
      <c r="AR185" t="n">
        <v>17.69087523277467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0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BB185" t="inlineStr">
        <is>
          <t>Assets/MachineBrigade/Resources/Data/balance.json: weapons[id=mg_jeep_selfdef_api] (lớp B trên 01_chien_dau/Vu_khi)</t>
        </is>
      </c>
      <c r="BC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0.6</v>
      </c>
      <c r="AA186">
        <f>INDEX(Bang_xuyen_giap!$C$2:$C$7,MIN(6,MAX(1,IF($O$186,MAX(1,2-(Vu_khi!$L$186-0)),2-(Vu_khi!$L$186-0))+1)))</f>
        <v/>
      </c>
      <c r="AB186" t="n">
        <v>0.85</v>
      </c>
      <c r="AC186">
        <f>INDEX(Bang_xuyen_giap!$C$2:$C$7,MIN(6,MAX(1,IF($O$186,MAX(1,2-(Vu_khi!$L$186-2)),2-(Vu_khi!$L$186-2))+1)))</f>
        <v/>
      </c>
      <c r="AD186" t="n">
        <v>0.25</v>
      </c>
      <c r="AE186">
        <f>INDEX(Bang_xuyen_giap!$C$2:$C$7,MIN(6,MAX(1,IF($O$186,MAX(1,2-(Vu_khi!$L$186-4)),2-(Vu_khi!$L$186-4))+1)))</f>
        <v/>
      </c>
      <c r="AF186" t="n">
        <v>0.1</v>
      </c>
      <c r="AG186">
        <f>INDEX(Bang_xuyen_giap!$C$2:$C$7,MIN(6,MAX(1,MAX(1,2-(Vu_khi!$L$186-0))+1)))</f>
        <v/>
      </c>
      <c r="AH186" t="n">
        <v>0.85</v>
      </c>
      <c r="AI186">
        <f>IF($Q$186,$M$186*$AA$186*$U$186,0)</f>
        <v/>
      </c>
      <c r="AJ186" t="n">
        <v>116.875</v>
      </c>
      <c r="AK186">
        <f>IF($Q$186,$M$186*$AC$186*$U$186,0)</f>
        <v/>
      </c>
      <c r="AL186" t="n">
        <v>34.375</v>
      </c>
      <c r="AM186">
        <f>IF($Q$186,$M$186*$AE$186*$U$186,0)</f>
        <v/>
      </c>
      <c r="AN186" t="n">
        <v>13.75</v>
      </c>
      <c r="AO186">
        <f>IF($Q$186,$M$186*$AC$186*$Y$186,0)</f>
        <v/>
      </c>
      <c r="AP186" t="n">
        <v>20.625</v>
      </c>
      <c r="AQ186">
        <f>IF($S$186,$M$186*$AG$186*$W$186,0)</f>
        <v/>
      </c>
      <c r="AR186" t="n">
        <v>35.0625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n">
        <v>4</v>
      </c>
      <c r="AZ186" t="inlineStr">
        <is>
          <t>ok</t>
        </is>
      </c>
      <c r="BA186" t="inlineStr"/>
      <c r="BB186" t="inlineStr">
        <is>
          <t>Assets/MachineBrigade/Resources/Data/balance.json: weapons[id=minigun] (lớp B trên 01_chien_dau/Vu_khi)</t>
        </is>
      </c>
      <c r="BC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0.5</v>
      </c>
      <c r="W187">
        <f>INDEX(Bang_sat_thuong!$C$2:$C$7,MATCH(Vu_khi!$K$187,Bang_sat_thuong!$A$2:$A$7,0))</f>
        <v/>
      </c>
      <c r="X187" t="n">
        <v>1.3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INDEX(Bang_xuyen_giap!$C$2:$C$7,MIN(6,MAX(1,IF($O$187,MAX(1,2-(Vu_khi!$L$187-0)),2-(Vu_khi!$L$187-0))+1)))</f>
        <v/>
      </c>
      <c r="AB187" t="n">
        <v>1.2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64.24079065588501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n">
        <v>2.968</v>
      </c>
      <c r="AZ187" t="inlineStr">
        <is>
          <t>ok</t>
        </is>
      </c>
      <c r="BA187" t="inlineStr"/>
      <c r="BB187" t="inlineStr">
        <is>
          <t>Assets/MachineBrigade/Resources/Data/balance.json: weapons[id=missile_57e6] (lớp B trên 01_chien_dau/Vu_khi)</t>
        </is>
      </c>
      <c r="BC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38.69493649116772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19.34746824558386</v>
      </c>
      <c r="AO188">
        <f>IF($Q$188,$M$188*$AC$188*$Y$188,0)</f>
        <v/>
      </c>
      <c r="AP188" t="n">
        <v>58.04240473675159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1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0.028</v>
      </c>
      <c r="AZ188" t="inlineStr">
        <is>
          <t>NHANH_QUA</t>
        </is>
      </c>
      <c r="BA188" t="inlineStr"/>
      <c r="BB188" t="inlineStr">
        <is>
          <t>Assets/MachineBrigade/Resources/Data/balance.json: weapons[id=mlrs_elite] (lớp B trên 01_chien_dau/Vu_khi)</t>
        </is>
      </c>
      <c r="BC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1</v>
      </c>
      <c r="AE189">
        <f>INDEX(Bang_xuyen_giap!$C$2:$C$7,MIN(6,MAX(1,IF($O$189,MAX(1,2-(Vu_khi!$L$189-4)),2-(Vu_khi!$L$189-4))+1)))</f>
        <v/>
      </c>
      <c r="AF189" t="n">
        <v>0.5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33.27454829800686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16.63727414900343</v>
      </c>
      <c r="AO189">
        <f>IF($Q$189,$M$189*$AC$189*$Y$189,0)</f>
        <v/>
      </c>
      <c r="AP189" t="n">
        <v>49.91182244701028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0.06</v>
      </c>
      <c r="AZ189" t="inlineStr">
        <is>
          <t>NHANH_QUA</t>
        </is>
      </c>
      <c r="BA189" t="inlineStr"/>
      <c r="BB189" t="inlineStr">
        <is>
          <t>Assets/MachineBrigade/Resources/Data/balance.json: weapons[id=mlrs_rockets] (lớp B trên 01_chien_dau/Vu_khi)</t>
        </is>
      </c>
      <c r="BC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23.44434706397897</v>
      </c>
      <c r="AK190">
        <f>IF($Q$190,$M$190*$AC$190*$U$190,0)</f>
        <v/>
      </c>
      <c r="AL190" t="n">
        <v>19.92769500438212</v>
      </c>
      <c r="AM190">
        <f>IF($Q$190,$M$190*$AE$190*$U$190,0)</f>
        <v/>
      </c>
      <c r="AN190" t="n">
        <v>5.861086765994743</v>
      </c>
      <c r="AO190">
        <f>IF($Q$190,$M$190*$AC$190*$Y$190,0)</f>
        <v/>
      </c>
      <c r="AP190" t="n">
        <v>29.89154250657318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3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1.5974</v>
      </c>
      <c r="AZ190" t="inlineStr">
        <is>
          <t>LECH_DOT_1</t>
        </is>
      </c>
      <c r="BA190" t="inlineStr"/>
      <c r="BB190" t="inlineStr">
        <is>
          <t>Assets/MachineBrigade/Resources/Data/balance.json: weapons[id=mortar_120] (lớp B trên 01_chien_dau/Vu_khi)</t>
        </is>
      </c>
      <c r="BC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1.5</v>
      </c>
      <c r="AA191">
        <f>INDEX(Bang_xuyen_giap!$C$2:$C$7,MIN(6,MAX(1,IF($O$191,MAX(1,2-(Vu_khi!$L$191-0)),2-(Vu_khi!$L$191-0))+1)))</f>
        <v/>
      </c>
      <c r="AB191" t="n">
        <v>1</v>
      </c>
      <c r="AC191">
        <f>INDEX(Bang_xuyen_giap!$C$2:$C$7,MIN(6,MAX(1,IF($O$191,MAX(1,2-(Vu_khi!$L$191-2)),2-(Vu_khi!$L$191-2))+1)))</f>
        <v/>
      </c>
      <c r="AD191" t="n">
        <v>1</v>
      </c>
      <c r="AE191">
        <f>INDEX(Bang_xuyen_giap!$C$2:$C$7,MIN(6,MAX(1,IF($O$191,MAX(1,2-(Vu_khi!$L$191-4)),2-(Vu_khi!$L$191-4))+1)))</f>
        <v/>
      </c>
      <c r="AF191" t="n">
        <v>0.85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26.31578947368421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22.36842105263158</v>
      </c>
      <c r="AO191">
        <f>IF($Q$191,$M$191*$AC$191*$Y$191,0)</f>
        <v/>
      </c>
      <c r="AP191" t="n">
        <v>39.47368421052632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1</v>
      </c>
      <c r="AU191">
        <f>IF(AND($B$191&lt;0,$AS$191),4,$B$191)</f>
        <v/>
      </c>
      <c r="AV191" t="n">
        <v>4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2.5</v>
      </c>
      <c r="AY191" t="n">
        <v>0.1995</v>
      </c>
      <c r="AZ191" t="inlineStr">
        <is>
          <t>NHANH_QUA</t>
        </is>
      </c>
      <c r="BA191" t="inlineStr"/>
      <c r="BB191" t="inlineStr">
        <is>
          <t>Assets/MachineBrigade/Resources/Data/balance.json: weapons[id=mortar_240] (lớp B trên 01_chien_dau/Vu_khi)</t>
        </is>
      </c>
      <c r="BC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0.85</v>
      </c>
      <c r="AE192">
        <f>INDEX(Bang_xuyen_giap!$C$2:$C$7,MIN(6,MAX(1,IF($O$192,MAX(1,2-(Vu_khi!$L$192-4)),2-(Vu_khi!$L$192-4))+1)))</f>
        <v/>
      </c>
      <c r="AF192" t="n">
        <v>0.25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70.14613778705636</v>
      </c>
      <c r="AK192">
        <f>IF($Q$192,$M$192*$AC$192*$U$192,0)</f>
        <v/>
      </c>
      <c r="AL192" t="n">
        <v>49.68684759916493</v>
      </c>
      <c r="AM192">
        <f>IF($Q$192,$M$192*$AE$192*$U$192,0)</f>
        <v/>
      </c>
      <c r="AN192" t="n">
        <v>14.61377870563674</v>
      </c>
      <c r="AO192">
        <f>IF($Q$192,$M$192*$AC$192*$Y$192,0)</f>
        <v/>
      </c>
      <c r="AP192" t="n">
        <v>74.53027139874739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2.395</v>
      </c>
      <c r="AZ192" t="inlineStr">
        <is>
          <t>ok</t>
        </is>
      </c>
      <c r="BA192" t="inlineStr"/>
      <c r="BB192" t="inlineStr">
        <is>
          <t>Assets/MachineBrigade/Resources/Data/balance.json: weapons[id=mothership_cannon] (lớp B trên 01_chien_dau/Vu_khi)</t>
        </is>
      </c>
      <c r="BC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0.6</v>
      </c>
      <c r="AA193">
        <f>INDEX(Bang_xuyen_giap!$C$2:$C$7,MIN(6,MAX(1,IF($O$193,MAX(1,2-(Vu_khi!$L$193-0)),2-(Vu_khi!$L$193-0))+1)))</f>
        <v/>
      </c>
      <c r="AB193" t="n">
        <v>1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0.85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102.4546424759872</v>
      </c>
      <c r="AK193">
        <f>IF($Q$193,$M$193*$AC$193*$U$193,0)</f>
        <v/>
      </c>
      <c r="AL193" t="n">
        <v>102.4546424759872</v>
      </c>
      <c r="AM193">
        <f>IF($Q$193,$M$193*$AE$193*$U$193,0)</f>
        <v/>
      </c>
      <c r="AN193" t="n">
        <v>87.0864461045891</v>
      </c>
      <c r="AO193">
        <f>IF($Q$193,$M$193*$AC$193*$Y$193,0)</f>
        <v/>
      </c>
      <c r="AP193" t="n">
        <v>61.47278548559231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weapons[id=mothership_drones] (lớp B trên 01_chien_dau/Vu_khi)</t>
        </is>
      </c>
      <c r="BC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79.79778339490569</v>
      </c>
      <c r="AK194">
        <f>IF($Q$194,$M$194*$AC$194*$U$194,0)</f>
        <v/>
      </c>
      <c r="AL194" t="n">
        <v>66.49815282908808</v>
      </c>
      <c r="AM194">
        <f>IF($Q$194,$M$194*$AE$194*$U$194,0)</f>
        <v/>
      </c>
      <c r="AN194" t="n">
        <v>33.24907641454404</v>
      </c>
      <c r="AO194">
        <f>IF($Q$194,$M$194*$AC$194*$Y$194,0)</f>
        <v/>
      </c>
      <c r="AP194" t="n">
        <v>99.74722924363212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3.6001</v>
      </c>
      <c r="AZ194" t="inlineStr">
        <is>
          <t>CHAM_QUA;LECH_DOT_1</t>
        </is>
      </c>
      <c r="BA194" t="inlineStr"/>
      <c r="BB194" t="inlineStr">
        <is>
          <t>Assets/MachineBrigade/Resources/Data/balance.json: weapons[id=naval_76] (lớp B trên 01_chien_dau/Vu_khi)</t>
        </is>
      </c>
      <c r="BC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44.19556321343959</v>
      </c>
      <c r="AK195">
        <f>IF($Q$195,$M$195*$AC$195*$U$195,0)</f>
        <v/>
      </c>
      <c r="AL195" t="n">
        <v>36.82963601119966</v>
      </c>
      <c r="AM195">
        <f>IF($Q$195,$M$195*$AE$195*$U$195,0)</f>
        <v/>
      </c>
      <c r="AN195" t="n">
        <v>18.41481800559983</v>
      </c>
      <c r="AO195">
        <f>IF($Q$195,$M$195*$AC$195*$Y$195,0)</f>
        <v/>
      </c>
      <c r="AP195" t="n">
        <v>55.24445401679949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weapons[id=naval_76_guided] (lớp B trên 01_chien_dau/Vu_khi)</t>
        </is>
      </c>
      <c r="BC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99.92727272727272</v>
      </c>
      <c r="AK196">
        <f>IF($Q$196,$M$196*$AC$196*$U$196,0)</f>
        <v/>
      </c>
      <c r="AL196" t="n">
        <v>83.27272727272727</v>
      </c>
      <c r="AM196">
        <f>IF($Q$196,$M$196*$AE$196*$U$196,0)</f>
        <v/>
      </c>
      <c r="AN196" t="n">
        <v>41.63636363636363</v>
      </c>
      <c r="AO196">
        <f>IF($Q$196,$M$196*$AC$196*$Y$196,0)</f>
        <v/>
      </c>
      <c r="AP196" t="n">
        <v>124.9090909090909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1.925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weapons[id=naval_100] (lớp B trên 01_chien_dau/Vu_khi)</t>
        </is>
      </c>
      <c r="BC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54.95999999999999</v>
      </c>
      <c r="AK197">
        <f>IF($Q$197,$M$197*$AC$197*$U$197,0)</f>
        <v/>
      </c>
      <c r="AL197" t="n">
        <v>45.8</v>
      </c>
      <c r="AM197">
        <f>IF($Q$197,$M$197*$AE$197*$U$197,0)</f>
        <v/>
      </c>
      <c r="AN197" t="n">
        <v>22.9</v>
      </c>
      <c r="AO197">
        <f>IF($Q$197,$M$197*$AC$197*$Y$197,0)</f>
        <v/>
      </c>
      <c r="AP197" t="n">
        <v>68.69999999999999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BB197" t="inlineStr">
        <is>
          <t>Assets/MachineBrigade/Resources/Data/balance.json: weapons[id=naval_100_guided] (lớp B trên 01_chien_dau/Vu_khi)</t>
        </is>
      </c>
      <c r="BC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121.6374269005848</v>
      </c>
      <c r="AK198">
        <f>IF($Q$198,$M$198*$AC$198*$U$198,0)</f>
        <v/>
      </c>
      <c r="AL198" t="n">
        <v>101.364522417154</v>
      </c>
      <c r="AM198">
        <f>IF($Q$198,$M$198*$AE$198*$U$198,0)</f>
        <v/>
      </c>
      <c r="AN198" t="n">
        <v>50.682261208577</v>
      </c>
      <c r="AO198">
        <f>IF($Q$198,$M$198*$AC$198*$Y$198,0)</f>
        <v/>
      </c>
      <c r="AP198" t="n">
        <v>152.046783625731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0.65835</v>
      </c>
      <c r="AZ198" t="inlineStr">
        <is>
          <t>NHANH_QUA;LECH_DOT_1</t>
        </is>
      </c>
      <c r="BA198" t="inlineStr"/>
      <c r="BB198" t="inlineStr">
        <is>
          <t>Assets/MachineBrigade/Resources/Data/balance.json: weapons[id=naval_127] (lớp B trên 01_chien_dau/Vu_khi)</t>
        </is>
      </c>
      <c r="BC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304.0597293513766</v>
      </c>
      <c r="AK199">
        <f>IF($Q$199,$M$199*$AC$199*$U$199,0)</f>
        <v/>
      </c>
      <c r="AL199" t="n">
        <v>253.3831077928138</v>
      </c>
      <c r="AM199">
        <f>IF($Q$199,$M$199*$AE$199*$U$199,0)</f>
        <v/>
      </c>
      <c r="AN199" t="n">
        <v>126.6915538964069</v>
      </c>
      <c r="AO199">
        <f>IF($Q$199,$M$199*$AC$199*$Y$199,0)</f>
        <v/>
      </c>
      <c r="AP199" t="n">
        <v>380.0746616892208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n">
        <v>2.000133</v>
      </c>
      <c r="AZ199" t="inlineStr">
        <is>
          <t>CHAM_QUA</t>
        </is>
      </c>
      <c r="BA199" t="b">
        <v>1</v>
      </c>
      <c r="BB199" t="inlineStr">
        <is>
          <t>Assets/MachineBrigade/Resources/Data/balance.json: weapons[id=naval_130_twin] (lớp B trên 01_chien_dau/Vu_khi)</t>
        </is>
      </c>
      <c r="BC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1</v>
      </c>
      <c r="AE200">
        <f>INDEX(Bang_xuyen_giap!$C$2:$C$7,MIN(6,MAX(1,IF($O$200,MAX(1,2-(Vu_khi!$L$200-4)),2-(Vu_khi!$L$200-4))+1)))</f>
        <v/>
      </c>
      <c r="AF200" t="n">
        <v>0.5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109.7142857142857</v>
      </c>
      <c r="AK200">
        <f>IF($Q$200,$M$200*$AC$200*$U$200,0)</f>
        <v/>
      </c>
      <c r="AL200" t="n">
        <v>91.42857142857143</v>
      </c>
      <c r="AM200">
        <f>IF($Q$200,$M$200*$AE$200*$U$200,0)</f>
        <v/>
      </c>
      <c r="AN200" t="n">
        <v>45.71428571428572</v>
      </c>
      <c r="AO200">
        <f>IF($Q$200,$M$200*$AC$200*$Y$200,0)</f>
        <v/>
      </c>
      <c r="AP200" t="n">
        <v>137.1428571428571</v>
      </c>
      <c r="AQ200">
        <f>IF($S$200,$M$200*$AG$200*$W$200,0)</f>
        <v/>
      </c>
      <c r="AR200" t="n">
        <v>0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3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n">
        <v>0.6125</v>
      </c>
      <c r="AZ200" t="inlineStr">
        <is>
          <t>ok</t>
        </is>
      </c>
      <c r="BA200" t="inlineStr"/>
      <c r="BB200" t="inlineStr">
        <is>
          <t>Assets/MachineBrigade/Resources/Data/balance.json: weapons[id=naval_155_triple] (lớp B trên 01_chien_dau/Vu_khi)</t>
        </is>
      </c>
      <c r="BC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1.5</v>
      </c>
      <c r="AA201">
        <f>INDEX(Bang_xuyen_giap!$C$2:$C$7,MIN(6,MAX(1,IF($O$201,MAX(1,2-(Vu_khi!$L$201-0)),2-(Vu_khi!$L$201-0))+1)))</f>
        <v/>
      </c>
      <c r="AB201" t="n">
        <v>1.2</v>
      </c>
      <c r="AC201">
        <f>INDEX(Bang_xuyen_giap!$C$2:$C$7,MIN(6,MAX(1,IF($O$201,MAX(1,2-(Vu_khi!$L$201-2)),2-(Vu_khi!$L$201-2))+1)))</f>
        <v/>
      </c>
      <c r="AD201" t="n">
        <v>1</v>
      </c>
      <c r="AE201">
        <f>INDEX(Bang_xuyen_giap!$C$2:$C$7,MIN(6,MAX(1,IF($O$201,MAX(1,2-(Vu_khi!$L$201-4)),2-(Vu_khi!$L$201-4))+1)))</f>
        <v/>
      </c>
      <c r="AF201" t="n">
        <v>0.5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38.4</v>
      </c>
      <c r="AK201">
        <f>IF($Q$201,$M$201*$AC$201*$U$201,0)</f>
        <v/>
      </c>
      <c r="AL201" t="n">
        <v>32</v>
      </c>
      <c r="AM201">
        <f>IF($Q$201,$M$201*$AE$201*$U$201,0)</f>
        <v/>
      </c>
      <c r="AN201" t="n">
        <v>16</v>
      </c>
      <c r="AO201">
        <f>IF($Q$201,$M$201*$AC$201*$Y$201,0)</f>
        <v/>
      </c>
      <c r="AP201" t="n">
        <v>48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3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BB201" t="inlineStr">
        <is>
          <t>Assets/MachineBrigade/Resources/Data/balance.json: weapons[id=naval_155_triple_guided] (lớp B trên 01_chien_dau/Vu_khi)</t>
        </is>
      </c>
      <c r="BC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0.5</v>
      </c>
      <c r="AA202">
        <f>INDEX(Bang_xuyen_giap!$C$2:$C$7,MIN(6,MAX(1,IF($O$202,MAX(1,2-(Vu_khi!$L$202-0)),2-(Vu_khi!$L$202-0))+1)))</f>
        <v/>
      </c>
      <c r="AB202" t="n">
        <v>1</v>
      </c>
      <c r="AC202">
        <f>INDEX(Bang_xuyen_giap!$C$2:$C$7,MIN(6,MAX(1,IF($O$202,MAX(1,2-(Vu_khi!$L$202-2)),2-(Vu_khi!$L$202-2))+1)))</f>
        <v/>
      </c>
      <c r="AD202" t="n">
        <v>0.5</v>
      </c>
      <c r="AE202">
        <f>INDEX(Bang_xuyen_giap!$C$2:$C$7,MIN(6,MAX(1,IF($O$202,MAX(1,2-(Vu_khi!$L$202-4)),2-(Vu_khi!$L$202-4))+1)))</f>
        <v/>
      </c>
      <c r="AF202" t="n">
        <v>0.1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0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IF($Q$202,$M$202*$AC$202*$Y$202,0)</f>
        <v/>
      </c>
      <c r="AP202" t="n">
        <v>0</v>
      </c>
      <c r="AQ202">
        <f>IF($S$202,$M$202*$AG$202*$W$202,0)</f>
        <v/>
      </c>
      <c r="AR202" t="n">
        <v>2997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0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inlineStr"/>
      <c r="AZ202" t="inlineStr">
        <is>
          <t>ok</t>
        </is>
      </c>
      <c r="BA202" t="inlineStr"/>
      <c r="BB202" t="inlineStr">
        <is>
          <t>Assets/MachineBrigade/Resources/Data/balance.json: weapons[id=net_zap] (lớp B trên 01_chien_dau/Vu_khi)</t>
        </is>
      </c>
      <c r="BC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0.6</v>
      </c>
      <c r="AA203">
        <f>INDEX(Bang_xuyen_giap!$C$2:$C$7,MIN(6,MAX(1,IF($O$203,MAX(1,2-(Vu_khi!$L$203-0)),2-(Vu_khi!$L$203-0))+1)))</f>
        <v/>
      </c>
      <c r="AB203" t="n">
        <v>0.85</v>
      </c>
      <c r="AC203">
        <f>INDEX(Bang_xuyen_giap!$C$2:$C$7,MIN(6,MAX(1,IF($O$203,MAX(1,2-(Vu_khi!$L$203-2)),2-(Vu_khi!$L$203-2))+1)))</f>
        <v/>
      </c>
      <c r="AD203" t="n">
        <v>0.25</v>
      </c>
      <c r="AE203">
        <f>INDEX(Bang_xuyen_giap!$C$2:$C$7,MIN(6,MAX(1,IF($O$203,MAX(1,2-(Vu_khi!$L$203-4)),2-(Vu_khi!$L$203-4))+1)))</f>
        <v/>
      </c>
      <c r="AF203" t="n">
        <v>0.1</v>
      </c>
      <c r="AG203">
        <f>INDEX(Bang_xuyen_giap!$C$2:$C$7,MIN(6,MAX(1,MAX(1,2-(Vu_khi!$L$203-0))+1)))</f>
        <v/>
      </c>
      <c r="AH203" t="n">
        <v>0.85</v>
      </c>
      <c r="AI203">
        <f>IF($Q$203,$M$203*$AA$203*$U$203,0)</f>
        <v/>
      </c>
      <c r="AJ203" t="n">
        <v>0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IF($Q$203,$M$203*$AC$203*$Y$203,0)</f>
        <v/>
      </c>
      <c r="AP203" t="n">
        <v>0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0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weapons[id=none] (lớp B trên 01_chien_dau/Vu_khi)</t>
        </is>
      </c>
      <c r="BC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1.5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</v>
      </c>
      <c r="AE204">
        <f>INDEX(Bang_xuyen_giap!$C$2:$C$7,MIN(6,MAX(1,IF($O$204,MAX(1,2-(Vu_khi!$L$204-4)),2-(Vu_khi!$L$204-4))+1)))</f>
        <v/>
      </c>
      <c r="AF204" t="n">
        <v>0.5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100.4651162790698</v>
      </c>
      <c r="AK204">
        <f>IF($Q$204,$M$204*$AC$204*$U$204,0)</f>
        <v/>
      </c>
      <c r="AL204" t="n">
        <v>83.72093023255815</v>
      </c>
      <c r="AM204">
        <f>IF($Q$204,$M$204*$AE$204*$U$204,0)</f>
        <v/>
      </c>
      <c r="AN204" t="n">
        <v>41.86046511627907</v>
      </c>
      <c r="AO204">
        <f>IF($Q$204,$M$204*$AC$204*$Y$204,0)</f>
        <v/>
      </c>
      <c r="AP204" t="n">
        <v>125.5813953488372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LECH_DOT_1</t>
        </is>
      </c>
      <c r="BA204" t="b">
        <v>1</v>
      </c>
      <c r="BB204" t="inlineStr">
        <is>
          <t>Assets/MachineBrigade/Resources/Data/balance.json: weapons[id=nyx_ags_155] (lớp B trên 01_chien_dau/Vu_khi)</t>
        </is>
      </c>
      <c r="BC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0.5</v>
      </c>
      <c r="W205">
        <f>INDEX(Bang_sat_thuong!$C$2:$C$7,MATCH(Vu_khi!$K$205,Bang_sat_thuong!$A$2:$A$7,0))</f>
        <v/>
      </c>
      <c r="X205" t="n">
        <v>1.3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INDEX(Bang_xuyen_giap!$C$2:$C$7,MIN(6,MAX(1,IF($O$205,MAX(1,2-(Vu_khi!$L$205-0)),2-(Vu_khi!$L$205-0))+1)))</f>
        <v/>
      </c>
      <c r="AB205" t="n">
        <v>1.2</v>
      </c>
      <c r="AC205">
        <f>INDEX(Bang_xuyen_giap!$C$2:$C$7,MIN(6,MAX(1,IF($O$205,MAX(1,2-(Vu_khi!$L$205-2)),2-(Vu_khi!$L$205-2))+1)))</f>
        <v/>
      </c>
      <c r="AD205" t="n">
        <v>0.85</v>
      </c>
      <c r="AE205">
        <f>INDEX(Bang_xuyen_giap!$C$2:$C$7,MIN(6,MAX(1,IF($O$205,MAX(1,2-(Vu_khi!$L$205-4)),2-(Vu_khi!$L$205-4))+1)))</f>
        <v/>
      </c>
      <c r="AF205" t="n">
        <v>0.25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0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IF($Q$205,$M$205*$AC$205*$Y$205,0)</f>
        <v/>
      </c>
      <c r="AP205" t="n">
        <v>0</v>
      </c>
      <c r="AQ205">
        <f>IF($S$205,$M$205*$AG$205*$W$205,0)</f>
        <v/>
      </c>
      <c r="AR205" t="n">
        <v>179.1387559808613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1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inlineStr"/>
      <c r="AZ205" t="inlineStr">
        <is>
          <t>LECH_DOT_1</t>
        </is>
      </c>
      <c r="BA205" t="b">
        <v>1</v>
      </c>
      <c r="BB205" t="inlineStr">
        <is>
          <t>Assets/MachineBrigade/Resources/Data/balance.json: weapons[id=nyx_millennium] (lớp B trên 01_chien_dau/Vu_khi)</t>
        </is>
      </c>
      <c r="BC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1.2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15.11111111111111</v>
      </c>
      <c r="AK206">
        <f>IF($Q$206,$M$206*$AC$206*$U$206,0)</f>
        <v/>
      </c>
      <c r="AL206" t="n">
        <v>12.59259259259259</v>
      </c>
      <c r="AM206">
        <f>IF($Q$206,$M$206*$AE$206*$U$206,0)</f>
        <v/>
      </c>
      <c r="AN206" t="n">
        <v>6.296296296296297</v>
      </c>
      <c r="AO206">
        <f>IF($Q$206,$M$206*$AC$206*$Y$206,0)</f>
        <v/>
      </c>
      <c r="AP206" t="n">
        <v>18.88888888888889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0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2.5</v>
      </c>
      <c r="AY206" t="n">
        <v>9</v>
      </c>
      <c r="AZ206" t="inlineStr">
        <is>
          <t>CHAM_QUA</t>
        </is>
      </c>
      <c r="BA206" t="b">
        <v>1</v>
      </c>
      <c r="BB206" t="inlineStr">
        <is>
          <t>Assets/MachineBrigade/Resources/Data/balance.json: weapons[id=nyx_tomahawk] (lớp B trên 01_chien_dau/Vu_khi)</t>
        </is>
      </c>
      <c r="BC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1.2</v>
      </c>
      <c r="AC207">
        <f>INDEX(Bang_xuyen_giap!$C$2:$C$7,MIN(6,MAX(1,IF($O$207,MAX(1,2-(Vu_khi!$L$207-2)),2-(Vu_khi!$L$207-2))+1)))</f>
        <v/>
      </c>
      <c r="AD207" t="n">
        <v>1.2</v>
      </c>
      <c r="AE207">
        <f>INDEX(Bang_xuyen_giap!$C$2:$C$7,MIN(6,MAX(1,IF($O$207,MAX(1,2-(Vu_khi!$L$207-4)),2-(Vu_khi!$L$207-4))+1)))</f>
        <v/>
      </c>
      <c r="AF207" t="n">
        <v>0.85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0.002207983660920909</v>
      </c>
      <c r="AK207">
        <f>IF($Q$207,$M$207*$AC$207*$U$207,0)</f>
        <v/>
      </c>
      <c r="AL207" t="n">
        <v>0.002207983660920909</v>
      </c>
      <c r="AM207">
        <f>IF($Q$207,$M$207*$AE$207*$U$207,0)</f>
        <v/>
      </c>
      <c r="AN207" t="n">
        <v>0.001563988426485644</v>
      </c>
      <c r="AO207">
        <f>IF($Q$207,$M$207*$AC$207*$Y$207,0)</f>
        <v/>
      </c>
      <c r="AP207" t="n">
        <v>0.001324790196552545</v>
      </c>
      <c r="AQ207">
        <f>IF($S$207,$M$207*$AG$207*$W$207,0)</f>
        <v/>
      </c>
      <c r="AR207" t="n">
        <v>0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2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0.06</v>
      </c>
      <c r="AZ207" t="inlineStr">
        <is>
          <t>NHANH_QUA;LECH_DOT_1</t>
        </is>
      </c>
      <c r="BA207" t="inlineStr"/>
      <c r="BB207" t="inlineStr">
        <is>
          <t>Assets/MachineBrigade/Resources/Data/balance.json: weapons[id=one_shot_kornet] (lớp B trên 01_chien_dau/Vu_khi)</t>
        </is>
      </c>
      <c r="BC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0.5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1.2</v>
      </c>
      <c r="AE208">
        <f>INDEX(Bang_xuyen_giap!$C$2:$C$7,MIN(6,MAX(1,IF($O$208,MAX(1,2-(Vu_khi!$L$208-4)),2-(Vu_khi!$L$208-4))+1)))</f>
        <v/>
      </c>
      <c r="AF208" t="n">
        <v>0.85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108</v>
      </c>
      <c r="AK208">
        <f>IF($Q$208,$M$208*$AC$208*$U$208,0)</f>
        <v/>
      </c>
      <c r="AL208" t="n">
        <v>108</v>
      </c>
      <c r="AM208">
        <f>IF($Q$208,$M$208*$AE$208*$U$208,0)</f>
        <v/>
      </c>
      <c r="AN208" t="n">
        <v>76.5</v>
      </c>
      <c r="AO208">
        <f>IF($Q$208,$M$208*$AC$208*$Y$208,0)</f>
        <v/>
      </c>
      <c r="AP208" t="n">
        <v>54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1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inlineStr"/>
      <c r="AZ208" t="inlineStr">
        <is>
          <t>ok</t>
        </is>
      </c>
      <c r="BA208" t="inlineStr"/>
      <c r="BB208" t="inlineStr">
        <is>
          <t>Assets/MachineBrigade/Resources/Data/balance.json: weapons[id=orbital_laser] (lớp B trên 01_chien_dau/Vu_khi)</t>
        </is>
      </c>
      <c r="BC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1.2</v>
      </c>
      <c r="AC209">
        <f>INDEX(Bang_xuyen_giap!$C$2:$C$7,MIN(6,MAX(1,IF($O$209,MAX(1,2-(Vu_khi!$L$209-2)),2-(Vu_khi!$L$209-2))+1)))</f>
        <v/>
      </c>
      <c r="AD209" t="n">
        <v>1.2</v>
      </c>
      <c r="AE209">
        <f>INDEX(Bang_xuyen_giap!$C$2:$C$7,MIN(6,MAX(1,IF($O$209,MAX(1,2-(Vu_khi!$L$209-4)),2-(Vu_khi!$L$209-4))+1)))</f>
        <v/>
      </c>
      <c r="AF209" t="n">
        <v>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72</v>
      </c>
      <c r="AK209">
        <f>IF($Q$209,$M$209*$AC$209*$U$209,0)</f>
        <v/>
      </c>
      <c r="AL209" t="n">
        <v>72</v>
      </c>
      <c r="AM209">
        <f>IF($Q$209,$M$209*$AE$209*$U$209,0)</f>
        <v/>
      </c>
      <c r="AN209" t="n">
        <v>60</v>
      </c>
      <c r="AO209">
        <f>IF($Q$209,$M$209*$AC$209*$Y$209,0)</f>
        <v/>
      </c>
      <c r="AP209" t="n">
        <v>43.2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2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0.326667</v>
      </c>
      <c r="AZ209" t="inlineStr">
        <is>
          <t>NHANH_QUA;LECH_DOT_1</t>
        </is>
      </c>
      <c r="BA209" t="inlineStr"/>
      <c r="BB209" t="inlineStr">
        <is>
          <t>Assets/MachineBrigade/Resources/Data/balance.json: weapons[id=p26_bastion_b100] (lớp B trên 01_chien_dau/Vu_khi)</t>
        </is>
      </c>
      <c r="BC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106.6666666666667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90.66666666666667</v>
      </c>
      <c r="AO210">
        <f>IF($Q$210,$M$210*$AC$210*$Y$210,0)</f>
        <v/>
      </c>
      <c r="AP210" t="n">
        <v>160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0</v>
      </c>
      <c r="AU210">
        <f>IF(AND($B$210&lt;0,$AS$210),4,$B$210)</f>
        <v/>
      </c>
      <c r="AV210" t="n">
        <v>3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AY210" t="n">
        <v>0.7</v>
      </c>
      <c r="AZ210" t="inlineStr">
        <is>
          <t>ok</t>
        </is>
      </c>
      <c r="BA210" t="inlineStr"/>
      <c r="BB210" t="inlineStr">
        <is>
          <t>Assets/MachineBrigade/Resources/Data/balance.json: weapons[id=p26_bastion_b155] (lớp B trên 01_chien_dau/Vu_khi)</t>
        </is>
      </c>
      <c r="BC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1.5</v>
      </c>
      <c r="AA211">
        <f>INDEX(Bang_xuyen_giap!$C$2:$C$7,MIN(6,MAX(1,IF($O$211,MAX(1,2-(Vu_khi!$L$211-0)),2-(Vu_khi!$L$211-0))+1)))</f>
        <v/>
      </c>
      <c r="AB211" t="n">
        <v>1</v>
      </c>
      <c r="AC211">
        <f>INDEX(Bang_xuyen_giap!$C$2:$C$7,MIN(6,MAX(1,IF($O$211,MAX(1,2-(Vu_khi!$L$211-2)),2-(Vu_khi!$L$211-2))+1)))</f>
        <v/>
      </c>
      <c r="AD211" t="n">
        <v>1</v>
      </c>
      <c r="AE211">
        <f>INDEX(Bang_xuyen_giap!$C$2:$C$7,MIN(6,MAX(1,IF($O$211,MAX(1,2-(Vu_khi!$L$211-4)),2-(Vu_khi!$L$211-4))+1)))</f>
        <v/>
      </c>
      <c r="AF211" t="n">
        <v>0.85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80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68</v>
      </c>
      <c r="AO211">
        <f>IF($Q$211,$M$211*$AC$211*$Y$211,0)</f>
        <v/>
      </c>
      <c r="AP211" t="n">
        <v>120</v>
      </c>
      <c r="AQ211">
        <f>IF($S$211,$M$211*$AG$211*$W$211,0)</f>
        <v/>
      </c>
      <c r="AR211" t="n">
        <v>0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1</v>
      </c>
      <c r="AU211">
        <f>IF(AND($B$211&lt;0,$AS$211),4,$B$211)</f>
        <v/>
      </c>
      <c r="AV211" t="n">
        <v>4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2.722222222222222</v>
      </c>
      <c r="AY211" t="n">
        <v>0.35</v>
      </c>
      <c r="AZ211" t="inlineStr">
        <is>
          <t>NHANH_QUA;LECH_DOT_1</t>
        </is>
      </c>
      <c r="BA211" t="inlineStr"/>
      <c r="BB211" t="inlineStr">
        <is>
          <t>Assets/MachineBrigade/Resources/Data/balance.json: weapons[id=p26_bastion_b240] (lớp B trên 01_chien_dau/Vu_khi)</t>
        </is>
      </c>
      <c r="BC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</v>
      </c>
      <c r="AC212">
        <f>INDEX(Bang_xuyen_giap!$C$2:$C$7,MIN(6,MAX(1,IF($O$212,MAX(1,2-(Vu_khi!$L$212-2)),2-(Vu_khi!$L$212-2))+1)))</f>
        <v/>
      </c>
      <c r="AD212" t="n">
        <v>0.5</v>
      </c>
      <c r="AE212">
        <f>INDEX(Bang_xuyen_giap!$C$2:$C$7,MIN(6,MAX(1,IF($O$212,MAX(1,2-(Vu_khi!$L$212-4)),2-(Vu_khi!$L$212-4))+1)))</f>
        <v/>
      </c>
      <c r="AF212" t="n">
        <v>0.1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113.235749280953</v>
      </c>
      <c r="AK212">
        <f>IF($Q$212,$M$212*$AC$212*$U$212,0)</f>
        <v/>
      </c>
      <c r="AL212" t="n">
        <v>56.61787464047649</v>
      </c>
      <c r="AM212">
        <f>IF($Q$212,$M$212*$AE$212*$U$212,0)</f>
        <v/>
      </c>
      <c r="AN212" t="n">
        <v>11.3235749280953</v>
      </c>
      <c r="AO212">
        <f>IF($Q$212,$M$212*$AC$212*$Y$212,0)</f>
        <v/>
      </c>
      <c r="AP212" t="n">
        <v>33.97072478428589</v>
      </c>
      <c r="AQ212">
        <f>IF($S$212,$M$212*$AG$212*$W$212,0)</f>
        <v/>
      </c>
      <c r="AR212" t="n">
        <v>33.97072478428589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0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1.766227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weapons[id=p26_bastion_close_boss_hmg] (lớp B trên 01_chien_dau/Vu_khi)</t>
        </is>
      </c>
      <c r="BC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0.6</v>
      </c>
      <c r="AA213">
        <f>INDEX(Bang_xuyen_giap!$C$2:$C$7,MIN(6,MAX(1,IF($O$213,MAX(1,2-(Vu_khi!$L$213-0)),2-(Vu_khi!$L$213-0))+1)))</f>
        <v/>
      </c>
      <c r="AB213" t="n">
        <v>1.2</v>
      </c>
      <c r="AC213">
        <f>INDEX(Bang_xuyen_giap!$C$2:$C$7,MIN(6,MAX(1,IF($O$213,MAX(1,2-(Vu_khi!$L$213-2)),2-(Vu_khi!$L$213-2))+1)))</f>
        <v/>
      </c>
      <c r="AD213" t="n">
        <v>1.2</v>
      </c>
      <c r="AE213">
        <f>INDEX(Bang_xuyen_giap!$C$2:$C$7,MIN(6,MAX(1,IF($O$213,MAX(1,2-(Vu_khi!$L$213-4)),2-(Vu_khi!$L$213-4))+1)))</f>
        <v/>
      </c>
      <c r="AF213" t="n">
        <v>1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66.9767441860465</v>
      </c>
      <c r="AK213">
        <f>IF($Q$213,$M$213*$AC$213*$U$213,0)</f>
        <v/>
      </c>
      <c r="AL213" t="n">
        <v>66.9767441860465</v>
      </c>
      <c r="AM213">
        <f>IF($Q$213,$M$213*$AE$213*$U$213,0)</f>
        <v/>
      </c>
      <c r="AN213" t="n">
        <v>55.81395348837209</v>
      </c>
      <c r="AO213">
        <f>IF($Q$213,$M$213*$AC$213*$Y$213,0)</f>
        <v/>
      </c>
      <c r="AP213" t="n">
        <v>40.18604651162791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2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0.702333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weapons[id=p26_bastion_direct_b100] (lớp B trên 01_chien_dau/Vu_khi)</t>
        </is>
      </c>
      <c r="BC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1.5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1</v>
      </c>
      <c r="AE214">
        <f>INDEX(Bang_xuyen_giap!$C$2:$C$7,MIN(6,MAX(1,IF($O$214,MAX(1,2-(Vu_khi!$L$214-4)),2-(Vu_khi!$L$214-4))+1)))</f>
        <v/>
      </c>
      <c r="AF214" t="n">
        <v>0.85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40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34</v>
      </c>
      <c r="AO214">
        <f>IF($Q$214,$M$214*$AC$214*$Y$214,0)</f>
        <v/>
      </c>
      <c r="AP214" t="n">
        <v>60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0.7</v>
      </c>
      <c r="AZ214" t="inlineStr">
        <is>
          <t>ok</t>
        </is>
      </c>
      <c r="BA214" t="b">
        <v>1</v>
      </c>
      <c r="BB214" t="inlineStr">
        <is>
          <t>Assets/MachineBrigade/Resources/Data/balance.json: weapons[id=p26_bastion_main_b155] (lớp B trên 01_chien_dau/Vu_khi)</t>
        </is>
      </c>
      <c r="BC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</v>
      </c>
      <c r="AC215">
        <f>INDEX(Bang_xuyen_giap!$C$2:$C$7,MIN(6,MAX(1,IF($O$215,MAX(1,2-(Vu_khi!$L$215-2)),2-(Vu_khi!$L$215-2))+1)))</f>
        <v/>
      </c>
      <c r="AD215" t="n">
        <v>1</v>
      </c>
      <c r="AE215">
        <f>INDEX(Bang_xuyen_giap!$C$2:$C$7,MIN(6,MAX(1,IF($O$215,MAX(1,2-(Vu_khi!$L$215-4)),2-(Vu_khi!$L$215-4))+1)))</f>
        <v/>
      </c>
      <c r="AF215" t="n">
        <v>0.85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18.33333333333333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15.58333333333333</v>
      </c>
      <c r="AO215">
        <f>IF($Q$215,$M$215*$AC$215*$Y$215,0)</f>
        <v/>
      </c>
      <c r="AP215" t="n">
        <v>27.5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1</v>
      </c>
      <c r="AU215">
        <f>IF(AND($B$215&lt;0,$AS$215),4,$B$215)</f>
        <v/>
      </c>
      <c r="AV215" t="n">
        <v>4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2.722222222222222</v>
      </c>
      <c r="AY215" t="n">
        <v>0.7</v>
      </c>
      <c r="AZ215" t="inlineStr">
        <is>
          <t>ok</t>
        </is>
      </c>
      <c r="BA215" t="b">
        <v>1</v>
      </c>
      <c r="BB215" t="inlineStr">
        <is>
          <t>Assets/MachineBrigade/Resources/Data/balance.json: weapons[id=p26_bastion_sec_b240] (lớp B trên 01_chien_dau/Vu_khi)</t>
        </is>
      </c>
      <c r="BC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0.6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0.85</v>
      </c>
      <c r="AE216">
        <f>INDEX(Bang_xuyen_giap!$C$2:$C$7,MIN(6,MAX(1,IF($O$216,MAX(1,2-(Vu_khi!$L$216-4)),2-(Vu_khi!$L$216-4))+1)))</f>
        <v/>
      </c>
      <c r="AF216" t="n">
        <v>0.25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108.433734939759</v>
      </c>
      <c r="AK216">
        <f>IF($Q$216,$M$216*$AC$216*$U$216,0)</f>
        <v/>
      </c>
      <c r="AL216" t="n">
        <v>76.80722891566265</v>
      </c>
      <c r="AM216">
        <f>IF($Q$216,$M$216*$AE$216*$U$216,0)</f>
        <v/>
      </c>
      <c r="AN216" t="n">
        <v>22.59036144578313</v>
      </c>
      <c r="AO216">
        <f>IF($Q$216,$M$216*$AC$216*$Y$216,0)</f>
        <v/>
      </c>
      <c r="AP216" t="n">
        <v>46.08433734939759</v>
      </c>
      <c r="AQ216">
        <f>IF($S$216,$M$216*$AG$216*$W$216,0)</f>
        <v/>
      </c>
      <c r="AR216" t="n">
        <v>27.10843373493976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1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1.826</v>
      </c>
      <c r="AZ216" t="inlineStr">
        <is>
          <t>ok</t>
        </is>
      </c>
      <c r="BA216" t="b">
        <v>1</v>
      </c>
      <c r="BB216" t="inlineStr">
        <is>
          <t>Assets/MachineBrigade/Resources/Data/balance.json: weapons[id=p26_bastion_tiny_autocannon_40] (lớp B trên 01_chien_dau/Vu_khi)</t>
        </is>
      </c>
      <c r="BC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0.6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1.2</v>
      </c>
      <c r="AE217">
        <f>INDEX(Bang_xuyen_giap!$C$2:$C$7,MIN(6,MAX(1,IF($O$217,MAX(1,2-(Vu_khi!$L$217-4)),2-(Vu_khi!$L$217-4))+1)))</f>
        <v/>
      </c>
      <c r="AF217" t="n">
        <v>0.85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27.6</v>
      </c>
      <c r="AK217">
        <f>IF($Q$217,$M$217*$AC$217*$U$217,0)</f>
        <v/>
      </c>
      <c r="AL217" t="n">
        <v>27.6</v>
      </c>
      <c r="AM217">
        <f>IF($Q$217,$M$217*$AE$217*$U$217,0)</f>
        <v/>
      </c>
      <c r="AN217" t="n">
        <v>19.55</v>
      </c>
      <c r="AO217">
        <f>IF($Q$217,$M$217*$AC$217*$Y$217,0)</f>
        <v/>
      </c>
      <c r="AP217" t="n">
        <v>16.56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2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weapons[id=p26_bastion_tiny_kornet_twin] (lớp B trên 01_chien_dau/Vu_khi)</t>
        </is>
      </c>
      <c r="BC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0.5</v>
      </c>
      <c r="W218">
        <f>INDEX(Bang_sat_thuong!$C$2:$C$7,MATCH(Vu_khi!$K$218,Bang_sat_thuong!$A$2:$A$7,0))</f>
        <v/>
      </c>
      <c r="X218" t="n">
        <v>1.3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INDEX(Bang_xuyen_giap!$C$2:$C$7,MIN(6,MAX(1,IF($O$218,MAX(1,2-(Vu_khi!$L$218-0)),2-(Vu_khi!$L$218-0))+1)))</f>
        <v/>
      </c>
      <c r="AB218" t="n">
        <v>1</v>
      </c>
      <c r="AC218">
        <f>INDEX(Bang_xuyen_giap!$C$2:$C$7,MIN(6,MAX(1,IF($O$218,MAX(1,2-(Vu_khi!$L$218-2)),2-(Vu_khi!$L$218-2))+1)))</f>
        <v/>
      </c>
      <c r="AD218" t="n">
        <v>0.5</v>
      </c>
      <c r="AE218">
        <f>INDEX(Bang_xuyen_giap!$C$2:$C$7,MIN(6,MAX(1,IF($O$218,MAX(1,2-(Vu_khi!$L$218-4)),2-(Vu_khi!$L$218-4))+1)))</f>
        <v/>
      </c>
      <c r="AF218" t="n">
        <v>0.1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35.28225806451613</v>
      </c>
      <c r="AK218">
        <f>IF($Q$218,$M$218*$AC$218*$U$218,0)</f>
        <v/>
      </c>
      <c r="AL218" t="n">
        <v>17.64112903225806</v>
      </c>
      <c r="AM218">
        <f>IF($Q$218,$M$218*$AE$218*$U$218,0)</f>
        <v/>
      </c>
      <c r="AN218" t="n">
        <v>3.528225806451613</v>
      </c>
      <c r="AO218">
        <f>IF($Q$218,$M$218*$AC$218*$Y$218,0)</f>
        <v/>
      </c>
      <c r="AP218" t="n">
        <v>3.528225806451613</v>
      </c>
      <c r="AQ218">
        <f>IF($S$218,$M$218*$AG$218*$W$218,0)</f>
        <v/>
      </c>
      <c r="AR218" t="n">
        <v>91.73387096774194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1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1.653333</v>
      </c>
      <c r="AZ218" t="inlineStr">
        <is>
          <t>ok</t>
        </is>
      </c>
      <c r="BA218" t="b">
        <v>1</v>
      </c>
      <c r="BB218" t="inlineStr">
        <is>
          <t>Assets/MachineBrigade/Resources/Data/balance.json: weapons[id=p26_bastion_tiny_zu23] (lớp B trên 01_chien_dau/Vu_khi)</t>
        </is>
      </c>
      <c r="BC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1.2</v>
      </c>
      <c r="AE219">
        <f>INDEX(Bang_xuyen_giap!$C$2:$C$7,MIN(6,MAX(1,IF($O$219,MAX(1,2-(Vu_khi!$L$219-4)),2-(Vu_khi!$L$219-4))+1)))</f>
        <v/>
      </c>
      <c r="AF219" t="n">
        <v>1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78</v>
      </c>
      <c r="AK219">
        <f>IF($Q$219,$M$219*$AC$219*$U$219,0)</f>
        <v/>
      </c>
      <c r="AL219" t="n">
        <v>78</v>
      </c>
      <c r="AM219">
        <f>IF($Q$219,$M$219*$AE$219*$U$219,0)</f>
        <v/>
      </c>
      <c r="AN219" t="n">
        <v>65</v>
      </c>
      <c r="AO219">
        <f>IF($Q$219,$M$219*$AC$219*$Y$219,0)</f>
        <v/>
      </c>
      <c r="AP219" t="n">
        <v>46.8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0.373333</v>
      </c>
      <c r="AZ219" t="inlineStr">
        <is>
          <t>NHANH_QUA;LECH_DOT_1</t>
        </is>
      </c>
      <c r="BA219" t="inlineStr"/>
      <c r="BB219" t="inlineStr">
        <is>
          <t>Assets/MachineBrigade/Resources/Data/balance.json: weapons[id=p26_behemoth_be120] (lớp B trên 01_chien_dau/Vu_khi)</t>
        </is>
      </c>
      <c r="BC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354</v>
      </c>
      <c r="AK220">
        <f>IF($Q$220,$M$220*$AC$220*$U$220,0)</f>
        <v/>
      </c>
      <c r="AL220" t="n">
        <v>295</v>
      </c>
      <c r="AM220">
        <f>IF($Q$220,$M$220*$AE$220*$U$220,0)</f>
        <v/>
      </c>
      <c r="AN220" t="n">
        <v>147.5</v>
      </c>
      <c r="AO220">
        <f>IF($Q$220,$M$220*$AC$220*$Y$220,0)</f>
        <v/>
      </c>
      <c r="AP220" t="n">
        <v>442.5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0.186667</v>
      </c>
      <c r="AZ220" t="inlineStr">
        <is>
          <t>NHANH_QUA;LECH_DOT_1</t>
        </is>
      </c>
      <c r="BA220" t="inlineStr"/>
      <c r="BB220" t="inlineStr">
        <is>
          <t>Assets/MachineBrigade/Resources/Data/balance.json: weapons[id=p26_behemoth_be152] (lớp B trên 01_chien_dau/Vu_khi)</t>
        </is>
      </c>
      <c r="BC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0.85</v>
      </c>
      <c r="AE221">
        <f>INDEX(Bang_xuyen_giap!$C$2:$C$7,MIN(6,MAX(1,IF($O$221,MAX(1,2-(Vu_khi!$L$221-4)),2-(Vu_khi!$L$221-4))+1)))</f>
        <v/>
      </c>
      <c r="AF221" t="n">
        <v>0.25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192</v>
      </c>
      <c r="AK221">
        <f>IF($Q$221,$M$221*$AC$221*$U$221,0)</f>
        <v/>
      </c>
      <c r="AL221" t="n">
        <v>136</v>
      </c>
      <c r="AM221">
        <f>IF($Q$221,$M$221*$AE$221*$U$221,0)</f>
        <v/>
      </c>
      <c r="AN221" t="n">
        <v>40</v>
      </c>
      <c r="AO221">
        <f>IF($Q$221,$M$221*$AC$221*$Y$221,0)</f>
        <v/>
      </c>
      <c r="AP221" t="n">
        <v>204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0.6</v>
      </c>
      <c r="AZ221" t="inlineStr">
        <is>
          <t>LECH_DOT_1</t>
        </is>
      </c>
      <c r="BA221" t="inlineStr"/>
      <c r="BB221" t="inlineStr">
        <is>
          <t>Assets/MachineBrigade/Resources/Data/balance.json: weapons[id=p26_behemoth_be_rockets] (lớp B trên 01_chien_dau/Vu_khi)</t>
        </is>
      </c>
      <c r="BC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0.5</v>
      </c>
      <c r="W222">
        <f>INDEX(Bang_sat_thuong!$C$2:$C$7,MATCH(Vu_khi!$K$222,Bang_sat_thuong!$A$2:$A$7,0))</f>
        <v/>
      </c>
      <c r="X222" t="n">
        <v>1.3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0.85</v>
      </c>
      <c r="AE222">
        <f>INDEX(Bang_xuyen_giap!$C$2:$C$7,MIN(6,MAX(1,IF($O$222,MAX(1,2-(Vu_khi!$L$222-4)),2-(Vu_khi!$L$222-4))+1)))</f>
        <v/>
      </c>
      <c r="AF222" t="n">
        <v>0.25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114.3122676579926</v>
      </c>
      <c r="AK222">
        <f>IF($Q$222,$M$222*$AC$222*$U$222,0)</f>
        <v/>
      </c>
      <c r="AL222" t="n">
        <v>80.97118959107806</v>
      </c>
      <c r="AM222">
        <f>IF($Q$222,$M$222*$AE$222*$U$222,0)</f>
        <v/>
      </c>
      <c r="AN222" t="n">
        <v>23.81505576208178</v>
      </c>
      <c r="AO222">
        <f>IF($Q$222,$M$222*$AC$222*$Y$222,0)</f>
        <v/>
      </c>
      <c r="AP222" t="n">
        <v>16.19423791821561</v>
      </c>
      <c r="AQ222">
        <f>IF($S$222,$M$222*$AG$222*$W$222,0)</f>
        <v/>
      </c>
      <c r="AR222" t="n">
        <v>247.6765799256505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1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2.405691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weapons[id=p26_behemoth_close_boss_flak] (lớp B trên 01_chien_dau/Vu_khi)</t>
        </is>
      </c>
      <c r="BC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1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83.19999999999999</v>
      </c>
      <c r="AK223">
        <f>IF($Q$223,$M$223*$AC$223*$U$223,0)</f>
        <v/>
      </c>
      <c r="AL223" t="n">
        <v>83.19999999999999</v>
      </c>
      <c r="AM223">
        <f>IF($Q$223,$M$223*$AE$223*$U$223,0)</f>
        <v/>
      </c>
      <c r="AN223" t="n">
        <v>69.33333333333333</v>
      </c>
      <c r="AO223">
        <f>IF($Q$223,$M$223*$AC$223*$Y$223,0)</f>
        <v/>
      </c>
      <c r="AP223" t="n">
        <v>49.91999999999999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0.7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weapons[id=p26_behemoth_direct_be120] (lớp B trên 01_chien_dau/Vu_khi)</t>
        </is>
      </c>
      <c r="BC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</v>
      </c>
      <c r="AE224">
        <f>INDEX(Bang_xuyen_giap!$C$2:$C$7,MIN(6,MAX(1,IF($O$224,MAX(1,2-(Vu_khi!$L$224-4)),2-(Vu_khi!$L$224-4))+1)))</f>
        <v/>
      </c>
      <c r="AF224" t="n">
        <v>0.5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160.3563474387527</v>
      </c>
      <c r="AK224">
        <f>IF($Q$224,$M$224*$AC$224*$U$224,0)</f>
        <v/>
      </c>
      <c r="AL224" t="n">
        <v>133.630289532294</v>
      </c>
      <c r="AM224">
        <f>IF($Q$224,$M$224*$AE$224*$U$224,0)</f>
        <v/>
      </c>
      <c r="AN224" t="n">
        <v>66.81514476614699</v>
      </c>
      <c r="AO224">
        <f>IF($Q$224,$M$224*$AC$224*$Y$224,0)</f>
        <v/>
      </c>
      <c r="AP224" t="n">
        <v>200.4454342984409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0.838133</v>
      </c>
      <c r="AZ224" t="inlineStr">
        <is>
          <t>ok</t>
        </is>
      </c>
      <c r="BA224" t="b">
        <v>1</v>
      </c>
      <c r="BB224" t="inlineStr">
        <is>
          <t>Assets/MachineBrigade/Resources/Data/balance.json: weapons[id=p26_behemoth_main_be152] (lớp B trên 01_chien_dau/Vu_khi)</t>
        </is>
      </c>
      <c r="BC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0.85</v>
      </c>
      <c r="AE225">
        <f>INDEX(Bang_xuyen_giap!$C$2:$C$7,MIN(6,MAX(1,IF($O$225,MAX(1,2-(Vu_khi!$L$225-4)),2-(Vu_khi!$L$225-4))+1)))</f>
        <v/>
      </c>
      <c r="AF225" t="n">
        <v>0.25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437.5569735642661</v>
      </c>
      <c r="AK225">
        <f>IF($Q$225,$M$225*$AC$225*$U$225,0)</f>
        <v/>
      </c>
      <c r="AL225" t="n">
        <v>309.9361896080218</v>
      </c>
      <c r="AM225">
        <f>IF($Q$225,$M$225*$AE$225*$U$225,0)</f>
        <v/>
      </c>
      <c r="AN225" t="n">
        <v>91.15770282588878</v>
      </c>
      <c r="AO225">
        <f>IF($Q$225,$M$225*$AC$225*$Y$225,0)</f>
        <v/>
      </c>
      <c r="AP225" t="n">
        <v>464.9042844120327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</v>
      </c>
      <c r="AZ225" t="inlineStr">
        <is>
          <t>LECH_HO</t>
        </is>
      </c>
      <c r="BA225" t="b">
        <v>0</v>
      </c>
      <c r="BB225" t="inlineStr">
        <is>
          <t>Assets/MachineBrigade/Resources/Data/balance.json: weapons[id=p26_behemoth_sec_be_rockets] (lớp B trên 01_chien_dau/Vu_khi)</t>
        </is>
      </c>
      <c r="BC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0.6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1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41.59999999999999</v>
      </c>
      <c r="AK226">
        <f>IF($Q$226,$M$226*$AC$226*$U$226,0)</f>
        <v/>
      </c>
      <c r="AL226" t="n">
        <v>41.59999999999999</v>
      </c>
      <c r="AM226">
        <f>IF($Q$226,$M$226*$AE$226*$U$226,0)</f>
        <v/>
      </c>
      <c r="AN226" t="n">
        <v>34.66666666666666</v>
      </c>
      <c r="AO226">
        <f>IF($Q$226,$M$226*$AC$226*$Y$226,0)</f>
        <v/>
      </c>
      <c r="AP226" t="n">
        <v>24.96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0.7</v>
      </c>
      <c r="AZ226" t="inlineStr">
        <is>
          <t>LECH_HO</t>
        </is>
      </c>
      <c r="BA226" t="b">
        <v>0</v>
      </c>
      <c r="BB226" t="inlineStr">
        <is>
          <t>Assets/MachineBrigade/Resources/Data/balance.json: weapons[id=p26_behemoth_tiny_be120] (lớp B trên 01_chien_dau/Vu_khi)</t>
        </is>
      </c>
      <c r="BC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0.3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0.6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13.8</v>
      </c>
      <c r="AK227">
        <f>IF($Q$227,$M$227*$AC$227*$U$227,0)</f>
        <v/>
      </c>
      <c r="AL227" t="n">
        <v>13.8</v>
      </c>
      <c r="AM227">
        <f>IF($Q$227,$M$227*$AE$227*$U$227,0)</f>
        <v/>
      </c>
      <c r="AN227" t="n">
        <v>9.775</v>
      </c>
      <c r="AO227">
        <f>IF($Q$227,$M$227*$AC$227*$Y$227,0)</f>
        <v/>
      </c>
      <c r="AP227" t="n">
        <v>8.279999999999999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1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weapons[id=p26_behemoth_tiny_boss_missiles] (lớp B trên 01_chien_dau/Vu_khi)</t>
        </is>
      </c>
      <c r="BC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0.6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1.2</v>
      </c>
      <c r="AE228">
        <f>INDEX(Bang_xuyen_giap!$C$2:$C$7,MIN(6,MAX(1,IF($O$228,MAX(1,2-(Vu_khi!$L$228-4)),2-(Vu_khi!$L$228-4))+1)))</f>
        <v/>
      </c>
      <c r="AF228" t="n">
        <v>1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28.45360824742268</v>
      </c>
      <c r="AK228">
        <f>IF($Q$228,$M$228*$AC$228*$U$228,0)</f>
        <v/>
      </c>
      <c r="AL228" t="n">
        <v>28.45360824742268</v>
      </c>
      <c r="AM228">
        <f>IF($Q$228,$M$228*$AE$228*$U$228,0)</f>
        <v/>
      </c>
      <c r="AN228" t="n">
        <v>23.71134020618557</v>
      </c>
      <c r="AO228">
        <f>IF($Q$228,$M$228*$AC$228*$Y$228,0)</f>
        <v/>
      </c>
      <c r="AP228" t="n">
        <v>17.07216494845361</v>
      </c>
      <c r="AQ228">
        <f>IF($S$228,$M$228*$AG$228*$W$228,0)</f>
        <v/>
      </c>
      <c r="AR228" t="n">
        <v>0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3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0.9053330000000001</v>
      </c>
      <c r="AZ228" t="inlineStr">
        <is>
          <t>LECH_HO</t>
        </is>
      </c>
      <c r="BA228" t="b">
        <v>0</v>
      </c>
      <c r="BB228" t="inlineStr">
        <is>
          <t>Assets/MachineBrigade/Resources/Data/balance.json: weapons[id=p26_behemoth_tiny_kornet_twin] (lớp B trên 01_chien_dau/Vu_khi)</t>
        </is>
      </c>
      <c r="BC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1.5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1.2</v>
      </c>
      <c r="AE229">
        <f>INDEX(Bang_xuyen_giap!$C$2:$C$7,MIN(6,MAX(1,IF($O$229,MAX(1,2-(Vu_khi!$L$229-4)),2-(Vu_khi!$L$229-4))+1)))</f>
        <v/>
      </c>
      <c r="AF229" t="n">
        <v>0.85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115.2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81.59999999999999</v>
      </c>
      <c r="AO229">
        <f>IF($Q$229,$M$229*$AC$229*$Y$229,0)</f>
        <v/>
      </c>
      <c r="AP229" t="n">
        <v>172.8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2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n">
        <v>2.5</v>
      </c>
      <c r="AZ229" t="inlineStr">
        <is>
          <t>NHANH_QUA;LECH_DOT_1</t>
        </is>
      </c>
      <c r="BA229" t="inlineStr"/>
      <c r="BB229" t="inlineStr">
        <is>
          <t>Assets/MachineBrigade/Resources/Data/balance.json: weapons[id=p26_daedalus_dae57] (lớp B trên 01_chien_dau/Vu_khi)</t>
        </is>
      </c>
      <c r="BC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0.5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480</v>
      </c>
      <c r="AK230">
        <f>IF($Q$230,$M$230*$AC$230*$U$230,0)</f>
        <v/>
      </c>
      <c r="AL230" t="n">
        <v>480</v>
      </c>
      <c r="AM230">
        <f>IF($Q$230,$M$230*$AE$230*$U$230,0)</f>
        <v/>
      </c>
      <c r="AN230" t="n">
        <v>340</v>
      </c>
      <c r="AO230">
        <f>IF($Q$230,$M$230*$AC$230*$Y$230,0)</f>
        <v/>
      </c>
      <c r="AP230" t="n">
        <v>240</v>
      </c>
      <c r="AQ230">
        <f>IF($S$230,$M$230*$AG$230*$W$230,0)</f>
        <v/>
      </c>
      <c r="AR230" t="n">
        <v>0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1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ok</t>
        </is>
      </c>
      <c r="BA230" t="inlineStr"/>
      <c r="BB230" t="inlineStr">
        <is>
          <t>Assets/MachineBrigade/Resources/Data/balance.json: weapons[id=p26_daedalus_dae_laser] (lớp B trên 01_chien_dau/Vu_khi)</t>
        </is>
      </c>
      <c r="BC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0.5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198</v>
      </c>
      <c r="AK231">
        <f>IF($Q$231,$M$231*$AC$231*$U$231,0)</f>
        <v/>
      </c>
      <c r="AL231" t="n">
        <v>198</v>
      </c>
      <c r="AM231">
        <f>IF($Q$231,$M$231*$AE$231*$U$231,0)</f>
        <v/>
      </c>
      <c r="AN231" t="n">
        <v>140.25</v>
      </c>
      <c r="AO231">
        <f>IF($Q$231,$M$231*$AC$231*$Y$231,0)</f>
        <v/>
      </c>
      <c r="AP231" t="n">
        <v>99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b">
        <v>1</v>
      </c>
      <c r="BB231" t="inlineStr">
        <is>
          <t>Assets/MachineBrigade/Resources/Data/balance.json: weapons[id=p26_daedalus_direct_dae_laser] (lớp B trên 01_chien_dau/Vu_khi)</t>
        </is>
      </c>
      <c r="BC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268.5314685314685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190.2097902097902</v>
      </c>
      <c r="AO232">
        <f>IF($Q$232,$M$232*$AC$232*$Y$232,0)</f>
        <v/>
      </c>
      <c r="AP232" t="n">
        <v>402.7972027972028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2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n">
        <v>2.145</v>
      </c>
      <c r="AZ232" t="inlineStr">
        <is>
          <t>ok</t>
        </is>
      </c>
      <c r="BA232" t="inlineStr"/>
      <c r="BB232" t="inlineStr">
        <is>
          <t>Assets/MachineBrigade/Resources/Data/balance.json: weapons[id=p26_daedalus_sec_dae57] (lớp B trên 01_chien_dau/Vu_khi)</t>
        </is>
      </c>
      <c r="BC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0.85</v>
      </c>
      <c r="AE233">
        <f>INDEX(Bang_xuyen_giap!$C$2:$C$7,MIN(6,MAX(1,IF($O$233,MAX(1,2-(Vu_khi!$L$233-4)),2-(Vu_khi!$L$233-4))+1)))</f>
        <v/>
      </c>
      <c r="AF233" t="n">
        <v>0.25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108.433734939759</v>
      </c>
      <c r="AK233">
        <f>IF($Q$233,$M$233*$AC$233*$U$233,0)</f>
        <v/>
      </c>
      <c r="AL233" t="n">
        <v>76.80722891566265</v>
      </c>
      <c r="AM233">
        <f>IF($Q$233,$M$233*$AE$233*$U$233,0)</f>
        <v/>
      </c>
      <c r="AN233" t="n">
        <v>22.59036144578313</v>
      </c>
      <c r="AO233">
        <f>IF($Q$233,$M$233*$AC$233*$Y$233,0)</f>
        <v/>
      </c>
      <c r="AP233" t="n">
        <v>46.08433734939759</v>
      </c>
      <c r="AQ233">
        <f>IF($S$233,$M$233*$AG$233*$W$233,0)</f>
        <v/>
      </c>
      <c r="AR233" t="n">
        <v>27.10843373493976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1.826</v>
      </c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weapons[id=p26_icarus_close_autocannon_40] (lớp B trên 01_chien_dau/Vu_khi)</t>
        </is>
      </c>
      <c r="BC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0.5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192</v>
      </c>
      <c r="AK234">
        <f>IF($Q$234,$M$234*$AC$234*$U$234,0)</f>
        <v/>
      </c>
      <c r="AL234" t="n">
        <v>192</v>
      </c>
      <c r="AM234">
        <f>IF($Q$234,$M$234*$AE$234*$U$234,0)</f>
        <v/>
      </c>
      <c r="AN234" t="n">
        <v>136</v>
      </c>
      <c r="AO234">
        <f>IF($Q$234,$M$234*$AC$234*$Y$234,0)</f>
        <v/>
      </c>
      <c r="AP234" t="n">
        <v>96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1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inlineStr"/>
      <c r="AZ234" t="inlineStr">
        <is>
          <t>ok</t>
        </is>
      </c>
      <c r="BA234" t="b">
        <v>1</v>
      </c>
      <c r="BB234" t="inlineStr">
        <is>
          <t>Assets/MachineBrigade/Resources/Data/balance.json: weapons[id=p26_icarus_direct_ic_laser] (lớp B trên 01_chien_dau/Vu_khi)</t>
        </is>
      </c>
      <c r="BC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0.6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1.2</v>
      </c>
      <c r="AE235">
        <f>INDEX(Bang_xuyen_giap!$C$2:$C$7,MIN(6,MAX(1,IF($O$235,MAX(1,2-(Vu_khi!$L$235-4)),2-(Vu_khi!$L$235-4))+1)))</f>
        <v/>
      </c>
      <c r="AF235" t="n">
        <v>1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864</v>
      </c>
      <c r="AK235">
        <f>IF($Q$235,$M$235*$AC$235*$U$235,0)</f>
        <v/>
      </c>
      <c r="AL235" t="n">
        <v>864</v>
      </c>
      <c r="AM235">
        <f>IF($Q$235,$M$235*$AE$235*$U$235,0)</f>
        <v/>
      </c>
      <c r="AN235" t="n">
        <v>720</v>
      </c>
      <c r="AO235">
        <f>IF($Q$235,$M$235*$AC$235*$Y$235,0)</f>
        <v/>
      </c>
      <c r="AP235" t="n">
        <v>518.4</v>
      </c>
      <c r="AQ235">
        <f>IF($S$235,$M$235*$AG$235*$W$235,0)</f>
        <v/>
      </c>
      <c r="AR235" t="n">
        <v>216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AY235" t="inlineStr"/>
      <c r="AZ235" t="inlineStr">
        <is>
          <t>LECH_DOT_1</t>
        </is>
      </c>
      <c r="BA235" t="inlineStr"/>
      <c r="BB235" t="inlineStr">
        <is>
          <t>Assets/MachineBrigade/Resources/Data/balance.json: weapons[id=p26_icarus_ic_coil] (lớp B trên 01_chien_dau/Vu_khi)</t>
        </is>
      </c>
      <c r="BC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0.5</v>
      </c>
      <c r="AA236">
        <f>INDEX(Bang_xuyen_giap!$C$2:$C$7,MIN(6,MAX(1,IF($O$236,MAX(1,2-(Vu_khi!$L$236-0)),2-(Vu_khi!$L$236-0))+1)))</f>
        <v/>
      </c>
      <c r="AB236" t="n">
        <v>1.2</v>
      </c>
      <c r="AC236">
        <f>INDEX(Bang_xuyen_giap!$C$2:$C$7,MIN(6,MAX(1,IF($O$236,MAX(1,2-(Vu_khi!$L$236-2)),2-(Vu_khi!$L$236-2))+1)))</f>
        <v/>
      </c>
      <c r="AD236" t="n">
        <v>1.2</v>
      </c>
      <c r="AE236">
        <f>INDEX(Bang_xuyen_giap!$C$2:$C$7,MIN(6,MAX(1,IF($O$236,MAX(1,2-(Vu_khi!$L$236-4)),2-(Vu_khi!$L$236-4))+1)))</f>
        <v/>
      </c>
      <c r="AF236" t="n">
        <v>0.85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480</v>
      </c>
      <c r="AK236">
        <f>IF($Q$236,$M$236*$AC$236*$U$236,0)</f>
        <v/>
      </c>
      <c r="AL236" t="n">
        <v>480</v>
      </c>
      <c r="AM236">
        <f>IF($Q$236,$M$236*$AE$236*$U$236,0)</f>
        <v/>
      </c>
      <c r="AN236" t="n">
        <v>340</v>
      </c>
      <c r="AO236">
        <f>IF($Q$236,$M$236*$AC$236*$Y$236,0)</f>
        <v/>
      </c>
      <c r="AP236" t="n">
        <v>240</v>
      </c>
      <c r="AQ236">
        <f>IF($S$236,$M$236*$AG$236*$W$236,0)</f>
        <v/>
      </c>
      <c r="AR236" t="n">
        <v>0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1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inlineStr"/>
      <c r="AZ236" t="inlineStr">
        <is>
          <t>ok</t>
        </is>
      </c>
      <c r="BA236" t="inlineStr"/>
      <c r="BB236" t="inlineStr">
        <is>
          <t>Assets/MachineBrigade/Resources/Data/balance.json: weapons[id=p26_icarus_ic_laser] (lớp B trên 01_chien_dau/Vu_khi)</t>
        </is>
      </c>
      <c r="BC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1.2</v>
      </c>
      <c r="AE237">
        <f>INDEX(Bang_xuyen_giap!$C$2:$C$7,MIN(6,MAX(1,IF($O$237,MAX(1,2-(Vu_khi!$L$237-4)),2-(Vu_khi!$L$237-4))+1)))</f>
        <v/>
      </c>
      <c r="AF237" t="n">
        <v>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360</v>
      </c>
      <c r="AK237">
        <f>IF($Q$237,$M$237*$AC$237*$U$237,0)</f>
        <v/>
      </c>
      <c r="AL237" t="n">
        <v>360</v>
      </c>
      <c r="AM237">
        <f>IF($Q$237,$M$237*$AE$237*$U$237,0)</f>
        <v/>
      </c>
      <c r="AN237" t="n">
        <v>300</v>
      </c>
      <c r="AO237">
        <f>IF($Q$237,$M$237*$AC$237*$Y$237,0)</f>
        <v/>
      </c>
      <c r="AP237" t="n">
        <v>216</v>
      </c>
      <c r="AQ237">
        <f>IF($S$237,$M$237*$AG$237*$W$237,0)</f>
        <v/>
      </c>
      <c r="AR237" t="n">
        <v>90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3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inlineStr"/>
      <c r="AZ237" t="inlineStr">
        <is>
          <t>ok</t>
        </is>
      </c>
      <c r="BA237" t="b">
        <v>1</v>
      </c>
      <c r="BB237" t="inlineStr">
        <is>
          <t>Assets/MachineBrigade/Resources/Data/balance.json: weapons[id=p26_icarus_main_ic_coil] (lớp B trên 01_chien_dau/Vu_khi)</t>
        </is>
      </c>
      <c r="BC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0.5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1.2</v>
      </c>
      <c r="AE238">
        <f>INDEX(Bang_xuyen_giap!$C$2:$C$7,MIN(6,MAX(1,IF($O$238,MAX(1,2-(Vu_khi!$L$238-4)),2-(Vu_khi!$L$238-4))+1)))</f>
        <v/>
      </c>
      <c r="AF238" t="n">
        <v>0.85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480</v>
      </c>
      <c r="AK238">
        <f>IF($Q$238,$M$238*$AC$238*$U$238,0)</f>
        <v/>
      </c>
      <c r="AL238" t="n">
        <v>480</v>
      </c>
      <c r="AM238">
        <f>IF($Q$238,$M$238*$AE$238*$U$238,0)</f>
        <v/>
      </c>
      <c r="AN238" t="n">
        <v>340</v>
      </c>
      <c r="AO238">
        <f>IF($Q$238,$M$238*$AC$238*$Y$238,0)</f>
        <v/>
      </c>
      <c r="AP238" t="n">
        <v>240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1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inlineStr"/>
      <c r="AZ238" t="inlineStr">
        <is>
          <t>ok</t>
        </is>
      </c>
      <c r="BA238" t="b">
        <v>1</v>
      </c>
      <c r="BB238" t="inlineStr">
        <is>
          <t>Assets/MachineBrigade/Resources/Data/balance.json: weapons[id=p26_icarus_sec_orbital_laser] (lớp B trên 01_chien_dau/Vu_khi)</t>
        </is>
      </c>
      <c r="BC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0.85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64</v>
      </c>
      <c r="AK239">
        <f>IF($Q$239,$M$239*$AC$239*$U$239,0)</f>
        <v/>
      </c>
      <c r="AL239" t="n">
        <v>64</v>
      </c>
      <c r="AM239">
        <f>IF($Q$239,$M$239*$AE$239*$U$239,0)</f>
        <v/>
      </c>
      <c r="AN239" t="n">
        <v>45.33333333333334</v>
      </c>
      <c r="AO239">
        <f>IF($Q$239,$M$239*$AC$239*$Y$239,0)</f>
        <v/>
      </c>
      <c r="AP239" t="n">
        <v>38.4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weapons[id=p26_ixion_125] (lớp B trên 01_chien_dau/Vu_khi)</t>
        </is>
      </c>
      <c r="BC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1.5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</v>
      </c>
      <c r="AE240">
        <f>INDEX(Bang_xuyen_giap!$C$2:$C$7,MIN(6,MAX(1,IF($O$240,MAX(1,2-(Vu_khi!$L$240-4)),2-(Vu_khi!$L$240-4))+1)))</f>
        <v/>
      </c>
      <c r="AF240" t="n">
        <v>0.5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64.01600000000001</v>
      </c>
      <c r="AK240">
        <f>IF($Q$240,$M$240*$AC$240*$U$240,0)</f>
        <v/>
      </c>
      <c r="AL240" t="n">
        <v>53.34666666666667</v>
      </c>
      <c r="AM240">
        <f>IF($Q$240,$M$240*$AE$240*$U$240,0)</f>
        <v/>
      </c>
      <c r="AN240" t="n">
        <v>26.67333333333334</v>
      </c>
      <c r="AO240">
        <f>IF($Q$240,$M$240*$AC$240*$Y$240,0)</f>
        <v/>
      </c>
      <c r="AP240" t="n">
        <v>80.02000000000001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0</v>
      </c>
      <c r="AU240">
        <f>IF(AND($B$240&lt;0,$AS$240),4,$B$240)</f>
        <v/>
      </c>
      <c r="AV240" t="n">
        <v>3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BB240" t="inlineStr">
        <is>
          <t>Assets/MachineBrigade/Resources/Data/balance.json: weapons[id=p26_ixion_125_he] (lớp B trên 01_chien_dau/Vu_khi)</t>
        </is>
      </c>
      <c r="BC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0.6</v>
      </c>
      <c r="AA241">
        <f>INDEX(Bang_xuyen_giap!$C$2:$C$7,MIN(6,MAX(1,IF($O$241,MAX(1,2-(Vu_khi!$L$241-0)),2-(Vu_khi!$L$241-0))+1)))</f>
        <v/>
      </c>
      <c r="AB241" t="n">
        <v>1</v>
      </c>
      <c r="AC241">
        <f>INDEX(Bang_xuyen_giap!$C$2:$C$7,MIN(6,MAX(1,IF($O$241,MAX(1,2-(Vu_khi!$L$241-2)),2-(Vu_khi!$L$241-2))+1)))</f>
        <v/>
      </c>
      <c r="AD241" t="n">
        <v>0.5</v>
      </c>
      <c r="AE241">
        <f>INDEX(Bang_xuyen_giap!$C$2:$C$7,MIN(6,MAX(1,IF($O$241,MAX(1,2-(Vu_khi!$L$241-4)),2-(Vu_khi!$L$241-4))+1)))</f>
        <v/>
      </c>
      <c r="AF241" t="n">
        <v>0.1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113.235749280953</v>
      </c>
      <c r="AK241">
        <f>IF($Q$241,$M$241*$AC$241*$U$241,0)</f>
        <v/>
      </c>
      <c r="AL241" t="n">
        <v>56.61787464047649</v>
      </c>
      <c r="AM241">
        <f>IF($Q$241,$M$241*$AE$241*$U$241,0)</f>
        <v/>
      </c>
      <c r="AN241" t="n">
        <v>11.3235749280953</v>
      </c>
      <c r="AO241">
        <f>IF($Q$241,$M$241*$AC$241*$Y$241,0)</f>
        <v/>
      </c>
      <c r="AP241" t="n">
        <v>33.97072478428589</v>
      </c>
      <c r="AQ241">
        <f>IF($S$241,$M$241*$AG$241*$W$241,0)</f>
        <v/>
      </c>
      <c r="AR241" t="n">
        <v>33.97072478428589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0</v>
      </c>
      <c r="AU241">
        <f>IF(AND($B$241&lt;0,$AS$241),4,$B$241)</f>
        <v/>
      </c>
      <c r="AV241" t="n">
        <v>0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1.766227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weapons[id=p26_ixion_mg] (lớp B trên 01_chien_dau/Vu_khi)</t>
        </is>
      </c>
      <c r="BC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0.5</v>
      </c>
      <c r="W242">
        <f>INDEX(Bang_sat_thuong!$C$2:$C$7,MATCH(Vu_khi!$K$242,Bang_sat_thuong!$A$2:$A$7,0))</f>
        <v/>
      </c>
      <c r="X242" t="n">
        <v>1.3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114.3122676579926</v>
      </c>
      <c r="AK242">
        <f>IF($Q$242,$M$242*$AC$242*$U$242,0)</f>
        <v/>
      </c>
      <c r="AL242" t="n">
        <v>80.97118959107806</v>
      </c>
      <c r="AM242">
        <f>IF($Q$242,$M$242*$AE$242*$U$242,0)</f>
        <v/>
      </c>
      <c r="AN242" t="n">
        <v>23.81505576208178</v>
      </c>
      <c r="AO242">
        <f>IF($Q$242,$M$242*$AC$242*$Y$242,0)</f>
        <v/>
      </c>
      <c r="AP242" t="n">
        <v>16.19423791821561</v>
      </c>
      <c r="AQ242">
        <f>IF($S$242,$M$242*$AG$242*$W$242,0)</f>
        <v/>
      </c>
      <c r="AR242" t="n">
        <v>247.6765799256505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2.405691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weapons[id=p26_jotunn_close_boss_flak] (lớp B trên 01_chien_dau/Vu_khi)</t>
        </is>
      </c>
      <c r="BC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0.6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1.2</v>
      </c>
      <c r="AE243">
        <f>INDEX(Bang_xuyen_giap!$C$2:$C$7,MIN(6,MAX(1,IF($O$243,MAX(1,2-(Vu_khi!$L$243-4)),2-(Vu_khi!$L$243-4))+1)))</f>
        <v/>
      </c>
      <c r="AF243" t="n">
        <v>1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64</v>
      </c>
      <c r="AK243">
        <f>IF($Q$243,$M$243*$AC$243*$U$243,0)</f>
        <v/>
      </c>
      <c r="AL243" t="n">
        <v>64</v>
      </c>
      <c r="AM243">
        <f>IF($Q$243,$M$243*$AE$243*$U$243,0)</f>
        <v/>
      </c>
      <c r="AN243" t="n">
        <v>53.33333333333334</v>
      </c>
      <c r="AO243">
        <f>IF($Q$243,$M$243*$AC$243*$Y$243,0)</f>
        <v/>
      </c>
      <c r="AP243" t="n">
        <v>38.4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0.7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weapons[id=p26_jotunn_direct_jo125] (lớp B trên 01_chien_dau/Vu_khi)</t>
        </is>
      </c>
      <c r="BC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0.6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1.2</v>
      </c>
      <c r="AE244">
        <f>INDEX(Bang_xuyen_giap!$C$2:$C$7,MIN(6,MAX(1,IF($O$244,MAX(1,2-(Vu_khi!$L$244-4)),2-(Vu_khi!$L$244-4))+1)))</f>
        <v/>
      </c>
      <c r="AF244" t="n">
        <v>1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168</v>
      </c>
      <c r="AK244">
        <f>IF($Q$244,$M$244*$AC$244*$U$244,0)</f>
        <v/>
      </c>
      <c r="AL244" t="n">
        <v>168</v>
      </c>
      <c r="AM244">
        <f>IF($Q$244,$M$244*$AE$244*$U$244,0)</f>
        <v/>
      </c>
      <c r="AN244" t="n">
        <v>140</v>
      </c>
      <c r="AO244">
        <f>IF($Q$244,$M$244*$AC$244*$Y$244,0)</f>
        <v/>
      </c>
      <c r="AP244" t="n">
        <v>100.8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weapons[id=p26_jotunn_jo125] (lớp B trên 01_chien_dau/Vu_khi)</t>
        </is>
      </c>
      <c r="BC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1.5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0.85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45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31.875</v>
      </c>
      <c r="AO245">
        <f>IF($Q$245,$M$245*$AC$245*$Y$245,0)</f>
        <v/>
      </c>
      <c r="AP245" t="n">
        <v>67.5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1</v>
      </c>
      <c r="AU245">
        <f>IF(AND($B$245&lt;0,$AS$245),4,$B$245)</f>
        <v/>
      </c>
      <c r="AV245" t="n">
        <v>4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2.5</v>
      </c>
      <c r="AY245" t="n">
        <v>0.7</v>
      </c>
      <c r="AZ245" t="inlineStr">
        <is>
          <t>ok</t>
        </is>
      </c>
      <c r="BA245" t="b">
        <v>1</v>
      </c>
      <c r="BB245" t="inlineStr">
        <is>
          <t>Assets/MachineBrigade/Resources/Data/balance.json: weapons[id=p26_jotunn_jo203] (lớp B trên 01_chien_dau/Vu_khi)</t>
        </is>
      </c>
      <c r="BC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1.5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0.85</v>
      </c>
      <c r="AE246">
        <f>INDEX(Bang_xuyen_giap!$C$2:$C$7,MIN(6,MAX(1,IF($O$246,MAX(1,2-(Vu_khi!$L$246-4)),2-(Vu_khi!$L$246-4))+1)))</f>
        <v/>
      </c>
      <c r="AF246" t="n">
        <v>0.25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105.6</v>
      </c>
      <c r="AK246">
        <f>IF($Q$246,$M$246*$AC$246*$U$246,0)</f>
        <v/>
      </c>
      <c r="AL246" t="n">
        <v>74.8</v>
      </c>
      <c r="AM246">
        <f>IF($Q$246,$M$246*$AE$246*$U$246,0)</f>
        <v/>
      </c>
      <c r="AN246" t="n">
        <v>22</v>
      </c>
      <c r="AO246">
        <f>IF($Q$246,$M$246*$AC$246*$Y$246,0)</f>
        <v/>
      </c>
      <c r="AP246" t="n">
        <v>112.2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1</v>
      </c>
      <c r="AU246">
        <f>IF(AND($B$246&lt;0,$AS$246),4,$B$246)</f>
        <v/>
      </c>
      <c r="AV246" t="n">
        <v>4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2.5</v>
      </c>
      <c r="AY246" t="n">
        <v>0.095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weapons[id=p26_jotunn_jo_rockets] (lớp B trên 01_chien_dau/Vu_khi)</t>
        </is>
      </c>
      <c r="BC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0.85</v>
      </c>
      <c r="AE247">
        <f>INDEX(Bang_xuyen_giap!$C$2:$C$7,MIN(6,MAX(1,IF($O$247,MAX(1,2-(Vu_khi!$L$247-4)),2-(Vu_khi!$L$247-4))+1)))</f>
        <v/>
      </c>
      <c r="AF247" t="n">
        <v>0.25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113.8339920948617</v>
      </c>
      <c r="AK247">
        <f>IF($Q$247,$M$247*$AC$247*$U$247,0)</f>
        <v/>
      </c>
      <c r="AL247" t="n">
        <v>80.63241106719369</v>
      </c>
      <c r="AM247">
        <f>IF($Q$247,$M$247*$AE$247*$U$247,0)</f>
        <v/>
      </c>
      <c r="AN247" t="n">
        <v>23.71541501976285</v>
      </c>
      <c r="AO247">
        <f>IF($Q$247,$M$247*$AC$247*$Y$247,0)</f>
        <v/>
      </c>
      <c r="AP247" t="n">
        <v>120.9486166007905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1</v>
      </c>
      <c r="AU247">
        <f>IF(AND($B$247&lt;0,$AS$247),4,$B$247)</f>
        <v/>
      </c>
      <c r="AV247" t="n">
        <v>4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2.5</v>
      </c>
      <c r="AY247" t="n">
        <v>1.003833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weapons[id=p26_jotunn_sec_jo_rockets] (lớp B trên 01_chien_dau/Vu_khi)</t>
        </is>
      </c>
      <c r="BC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0.5</v>
      </c>
      <c r="W248">
        <f>INDEX(Bang_sat_thuong!$C$2:$C$7,MATCH(Vu_khi!$K$248,Bang_sat_thuong!$A$2:$A$7,0))</f>
        <v/>
      </c>
      <c r="X248" t="n">
        <v>1.3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0.85</v>
      </c>
      <c r="AE248">
        <f>INDEX(Bang_xuyen_giap!$C$2:$C$7,MIN(6,MAX(1,IF($O$248,MAX(1,2-(Vu_khi!$L$248-4)),2-(Vu_khi!$L$248-4))+1)))</f>
        <v/>
      </c>
      <c r="AF248" t="n">
        <v>0.25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302.7956989247312</v>
      </c>
      <c r="AK248">
        <f>IF($Q$248,$M$248*$AC$248*$U$248,0)</f>
        <v/>
      </c>
      <c r="AL248" t="n">
        <v>214.4802867383513</v>
      </c>
      <c r="AM248">
        <f>IF($Q$248,$M$248*$AE$248*$U$248,0)</f>
        <v/>
      </c>
      <c r="AN248" t="n">
        <v>63.08243727598567</v>
      </c>
      <c r="AO248">
        <f>IF($Q$248,$M$248*$AC$248*$Y$248,0)</f>
        <v/>
      </c>
      <c r="AP248" t="n">
        <v>42.89605734767026</v>
      </c>
      <c r="AQ248">
        <f>IF($S$248,$M$248*$AG$248*$W$248,0)</f>
        <v/>
      </c>
      <c r="AR248" t="n">
        <v>656.0573476702509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1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3.632812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weapons[id=p26_jotunn_tiny_twin_30_flak] (lớp B trên 01_chien_dau/Vu_khi)</t>
        </is>
      </c>
      <c r="BC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0.6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1.2</v>
      </c>
      <c r="AE249">
        <f>INDEX(Bang_xuyen_giap!$C$2:$C$7,MIN(6,MAX(1,IF($O$249,MAX(1,2-(Vu_khi!$L$249-4)),2-(Vu_khi!$L$249-4))+1)))</f>
        <v/>
      </c>
      <c r="AF249" t="n">
        <v>1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152</v>
      </c>
      <c r="AK249">
        <f>IF($Q$249,$M$249*$AC$249*$U$249,0)</f>
        <v/>
      </c>
      <c r="AL249" t="n">
        <v>152</v>
      </c>
      <c r="AM249">
        <f>IF($Q$249,$M$249*$AE$249*$U$249,0)</f>
        <v/>
      </c>
      <c r="AN249" t="n">
        <v>126.6666666666667</v>
      </c>
      <c r="AO249">
        <f>IF($Q$249,$M$249*$AC$249*$Y$249,0)</f>
        <v/>
      </c>
      <c r="AP249" t="n">
        <v>91.2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1.05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weapons[id=p26_leviathan_direct_lev127] (lớp B trên 01_chien_dau/Vu_khi)</t>
        </is>
      </c>
      <c r="BC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192</v>
      </c>
      <c r="AK250">
        <f>IF($Q$250,$M$250*$AC$250*$U$250,0)</f>
        <v/>
      </c>
      <c r="AL250" t="n">
        <v>192</v>
      </c>
      <c r="AM250">
        <f>IF($Q$250,$M$250*$AE$250*$U$250,0)</f>
        <v/>
      </c>
      <c r="AN250" t="n">
        <v>160</v>
      </c>
      <c r="AO250">
        <f>IF($Q$250,$M$250*$AC$250*$Y$250,0)</f>
        <v/>
      </c>
      <c r="AP250" t="n">
        <v>115.2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LECH_DOT_1</t>
        </is>
      </c>
      <c r="BA250" t="inlineStr"/>
      <c r="BB250" t="inlineStr">
        <is>
          <t>Assets/MachineBrigade/Resources/Data/balance.json: weapons[id=p26_leviathan_lev127] (lớp B trên 01_chien_dau/Vu_khi)</t>
        </is>
      </c>
      <c r="BC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1.5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</v>
      </c>
      <c r="AE251">
        <f>INDEX(Bang_xuyen_giap!$C$2:$C$7,MIN(6,MAX(1,IF($O$251,MAX(1,2-(Vu_khi!$L$251-4)),2-(Vu_khi!$L$251-4))+1)))</f>
        <v/>
      </c>
      <c r="AF251" t="n">
        <v>0.5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122.4</v>
      </c>
      <c r="AK251">
        <f>IF($Q$251,$M$251*$AC$251*$U$251,0)</f>
        <v/>
      </c>
      <c r="AL251" t="n">
        <v>102</v>
      </c>
      <c r="AM251">
        <f>IF($Q$251,$M$251*$AE$251*$U$251,0)</f>
        <v/>
      </c>
      <c r="AN251" t="n">
        <v>51</v>
      </c>
      <c r="AO251">
        <f>IF($Q$251,$M$251*$AC$251*$Y$251,0)</f>
        <v/>
      </c>
      <c r="AP251" t="n">
        <v>153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3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0.291667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weapons[id=p26_leviathan_lev155] (lớp B trên 01_chien_dau/Vu_khi)</t>
        </is>
      </c>
      <c r="BC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1.5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144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102</v>
      </c>
      <c r="AO252">
        <f>IF($Q$252,$M$252*$AC$252*$Y$252,0)</f>
        <v/>
      </c>
      <c r="AP252" t="n">
        <v>216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5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3.611111111111111</v>
      </c>
      <c r="AY252" t="n">
        <v>1.4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weapons[id=p26_leviathan_lev406] (lớp B trên 01_chien_dau/Vu_khi)</t>
        </is>
      </c>
      <c r="BC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1.5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1</v>
      </c>
      <c r="AE253">
        <f>INDEX(Bang_xuyen_giap!$C$2:$C$7,MIN(6,MAX(1,IF($O$253,MAX(1,2-(Vu_khi!$L$253-4)),2-(Vu_khi!$L$253-4))+1)))</f>
        <v/>
      </c>
      <c r="AF253" t="n">
        <v>0.5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205.7142857142857</v>
      </c>
      <c r="AK253">
        <f>IF($Q$253,$M$253*$AC$253*$U$253,0)</f>
        <v/>
      </c>
      <c r="AL253" t="n">
        <v>171.4285714285714</v>
      </c>
      <c r="AM253">
        <f>IF($Q$253,$M$253*$AE$253*$U$253,0)</f>
        <v/>
      </c>
      <c r="AN253" t="n">
        <v>85.71428571428571</v>
      </c>
      <c r="AO253">
        <f>IF($Q$253,$M$253*$AC$253*$Y$253,0)</f>
        <v/>
      </c>
      <c r="AP253" t="n">
        <v>257.1428571428571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3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0.6125</v>
      </c>
      <c r="AZ253" t="inlineStr">
        <is>
          <t>LECH_HO</t>
        </is>
      </c>
      <c r="BA253" t="b">
        <v>0</v>
      </c>
      <c r="BB253" t="inlineStr">
        <is>
          <t>Assets/MachineBrigade/Resources/Data/balance.json: weapons[id=p26_leviathan_sec_lev155] (lớp B trên 01_chien_dau/Vu_khi)</t>
        </is>
      </c>
      <c r="BC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0.5</v>
      </c>
      <c r="W254">
        <f>INDEX(Bang_sat_thuong!$C$2:$C$7,MATCH(Vu_khi!$K$254,Bang_sat_thuong!$A$2:$A$7,0))</f>
        <v/>
      </c>
      <c r="X254" t="n">
        <v>1.3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114.3122676579926</v>
      </c>
      <c r="AK254">
        <f>IF($Q$254,$M$254*$AC$254*$U$254,0)</f>
        <v/>
      </c>
      <c r="AL254" t="n">
        <v>80.97118959107806</v>
      </c>
      <c r="AM254">
        <f>IF($Q$254,$M$254*$AE$254*$U$254,0)</f>
        <v/>
      </c>
      <c r="AN254" t="n">
        <v>23.81505576208178</v>
      </c>
      <c r="AO254">
        <f>IF($Q$254,$M$254*$AC$254*$Y$254,0)</f>
        <v/>
      </c>
      <c r="AP254" t="n">
        <v>16.19423791821561</v>
      </c>
      <c r="AQ254">
        <f>IF($S$254,$M$254*$AG$254*$W$254,0)</f>
        <v/>
      </c>
      <c r="AR254" t="n">
        <v>247.6765799256505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2.405691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weapons[id=p26_matriarch_close_boss_flak] (lớp B trên 01_chien_dau/Vu_khi)</t>
        </is>
      </c>
      <c r="BC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0.3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0.6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1.2</v>
      </c>
      <c r="AE255">
        <f>INDEX(Bang_xuyen_giap!$C$2:$C$7,MIN(6,MAX(1,IF($O$255,MAX(1,2-(Vu_khi!$L$255-4)),2-(Vu_khi!$L$255-4))+1)))</f>
        <v/>
      </c>
      <c r="AF255" t="n">
        <v>1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13.8</v>
      </c>
      <c r="AK255">
        <f>IF($Q$255,$M$255*$AC$255*$U$255,0)</f>
        <v/>
      </c>
      <c r="AL255" t="n">
        <v>13.8</v>
      </c>
      <c r="AM255">
        <f>IF($Q$255,$M$255*$AE$255*$U$255,0)</f>
        <v/>
      </c>
      <c r="AN255" t="n">
        <v>11.5</v>
      </c>
      <c r="AO255">
        <f>IF($Q$255,$M$255*$AC$255*$Y$255,0)</f>
        <v/>
      </c>
      <c r="AP255" t="n">
        <v>8.279999999999999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2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weapons[id=p26_matriarch_direct_ma_atgm] (lớp B trên 01_chien_dau/Vu_khi)</t>
        </is>
      </c>
      <c r="BC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0.6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1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204</v>
      </c>
      <c r="AK256">
        <f>IF($Q$256,$M$256*$AC$256*$U$256,0)</f>
        <v/>
      </c>
      <c r="AL256" t="n">
        <v>204</v>
      </c>
      <c r="AM256">
        <f>IF($Q$256,$M$256*$AE$256*$U$256,0)</f>
        <v/>
      </c>
      <c r="AN256" t="n">
        <v>170</v>
      </c>
      <c r="AO256">
        <f>IF($Q$256,$M$256*$AC$256*$Y$256,0)</f>
        <v/>
      </c>
      <c r="AP256" t="n">
        <v>122.4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0.1</v>
      </c>
      <c r="AZ256" t="inlineStr">
        <is>
          <t>NHANH_QUA;LECH_DOT_1</t>
        </is>
      </c>
      <c r="BA256" t="inlineStr"/>
      <c r="BB256" t="inlineStr">
        <is>
          <t>Assets/MachineBrigade/Resources/Data/balance.json: weapons[id=p26_matriarch_ma_atgm] (lớp B trên 01_chien_dau/Vu_khi)</t>
        </is>
      </c>
      <c r="BC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0.3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0.6</v>
      </c>
      <c r="AA257">
        <f>INDEX(Bang_xuyen_giap!$C$2:$C$7,MIN(6,MAX(1,IF($O$257,MAX(1,2-(Vu_khi!$L$257-0)),2-(Vu_khi!$L$257-0))+1)))</f>
        <v/>
      </c>
      <c r="AB257" t="n">
        <v>1</v>
      </c>
      <c r="AC257">
        <f>INDEX(Bang_xuyen_giap!$C$2:$C$7,MIN(6,MAX(1,IF($O$257,MAX(1,2-(Vu_khi!$L$257-2)),2-(Vu_khi!$L$257-2))+1)))</f>
        <v/>
      </c>
      <c r="AD257" t="n">
        <v>1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384</v>
      </c>
      <c r="AK257">
        <f>IF($Q$257,$M$257*$AC$257*$U$257,0)</f>
        <v/>
      </c>
      <c r="AL257" t="n">
        <v>384</v>
      </c>
      <c r="AM257">
        <f>IF($Q$257,$M$257*$AE$257*$U$257,0)</f>
        <v/>
      </c>
      <c r="AN257" t="n">
        <v>326.4</v>
      </c>
      <c r="AO257">
        <f>IF($Q$257,$M$257*$AC$257*$Y$257,0)</f>
        <v/>
      </c>
      <c r="AP257" t="n">
        <v>230.4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2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weapons[id=p26_matriarch_ma_drones] (lớp B trên 01_chien_dau/Vu_khi)</t>
        </is>
      </c>
      <c r="BC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0.6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0.85</v>
      </c>
      <c r="AE258">
        <f>INDEX(Bang_xuyen_giap!$C$2:$C$7,MIN(6,MAX(1,IF($O$258,MAX(1,2-(Vu_khi!$L$258-4)),2-(Vu_khi!$L$258-4))+1)))</f>
        <v/>
      </c>
      <c r="AF258" t="n">
        <v>0.25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105.6042241689667</v>
      </c>
      <c r="AK258">
        <f>IF($Q$258,$M$258*$AC$258*$U$258,0)</f>
        <v/>
      </c>
      <c r="AL258" t="n">
        <v>74.80299211968477</v>
      </c>
      <c r="AM258">
        <f>IF($Q$258,$M$258*$AE$258*$U$258,0)</f>
        <v/>
      </c>
      <c r="AN258" t="n">
        <v>22.0008800352014</v>
      </c>
      <c r="AO258">
        <f>IF($Q$258,$M$258*$AC$258*$Y$258,0)</f>
        <v/>
      </c>
      <c r="AP258" t="n">
        <v>44.88179527181087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3.3332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weapons[id=p26_matriarch_sec_autocannon_30] (lớp B trên 01_chien_dau/Vu_khi)</t>
        </is>
      </c>
      <c r="BC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0.85</v>
      </c>
      <c r="AE259">
        <f>INDEX(Bang_xuyen_giap!$C$2:$C$7,MIN(6,MAX(1,IF($O$259,MAX(1,2-(Vu_khi!$L$259-4)),2-(Vu_khi!$L$259-4))+1)))</f>
        <v/>
      </c>
      <c r="AF259" t="n">
        <v>0.25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134.2657342657343</v>
      </c>
      <c r="AK259">
        <f>IF($Q$259,$M$259*$AC$259*$U$259,0)</f>
        <v/>
      </c>
      <c r="AL259" t="n">
        <v>95.10489510489511</v>
      </c>
      <c r="AM259">
        <f>IF($Q$259,$M$259*$AE$259*$U$259,0)</f>
        <v/>
      </c>
      <c r="AN259" t="n">
        <v>27.97202797202797</v>
      </c>
      <c r="AO259">
        <f>IF($Q$259,$M$259*$AC$259*$Y$259,0)</f>
        <v/>
      </c>
      <c r="AP259" t="n">
        <v>142.6573426573427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2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2.145</v>
      </c>
      <c r="AZ259" t="inlineStr">
        <is>
          <t>ok</t>
        </is>
      </c>
      <c r="BA259" t="b">
        <v>1</v>
      </c>
      <c r="BB259" t="inlineStr">
        <is>
          <t>Assets/MachineBrigade/Resources/Data/balance.json: weapons[id=p26_matriarch_tiny_mothership_cannon] (lớp B trên 01_chien_dau/Vu_khi)</t>
        </is>
      </c>
      <c r="BC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0.5</v>
      </c>
      <c r="W260">
        <f>INDEX(Bang_sat_thuong!$C$2:$C$7,MATCH(Vu_khi!$K$260,Bang_sat_thuong!$A$2:$A$7,0))</f>
        <v/>
      </c>
      <c r="X260" t="n">
        <v>1.3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0.85</v>
      </c>
      <c r="AE260">
        <f>INDEX(Bang_xuyen_giap!$C$2:$C$7,MIN(6,MAX(1,IF($O$260,MAX(1,2-(Vu_khi!$L$260-4)),2-(Vu_khi!$L$260-4))+1)))</f>
        <v/>
      </c>
      <c r="AF260" t="n">
        <v>0.25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114.3122676579926</v>
      </c>
      <c r="AK260">
        <f>IF($Q$260,$M$260*$AC$260*$U$260,0)</f>
        <v/>
      </c>
      <c r="AL260" t="n">
        <v>80.97118959107806</v>
      </c>
      <c r="AM260">
        <f>IF($Q$260,$M$260*$AE$260*$U$260,0)</f>
        <v/>
      </c>
      <c r="AN260" t="n">
        <v>23.81505576208178</v>
      </c>
      <c r="AO260">
        <f>IF($Q$260,$M$260*$AC$260*$Y$260,0)</f>
        <v/>
      </c>
      <c r="AP260" t="n">
        <v>16.19423791821561</v>
      </c>
      <c r="AQ260">
        <f>IF($S$260,$M$260*$AG$260*$W$260,0)</f>
        <v/>
      </c>
      <c r="AR260" t="n">
        <v>247.6765799256505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2.405691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weapons[id=p26_moloch_close_boss_flak] (lớp B trên 01_chien_dau/Vu_khi)</t>
        </is>
      </c>
      <c r="BC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0.6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1.2</v>
      </c>
      <c r="AE261">
        <f>INDEX(Bang_xuyen_giap!$C$2:$C$7,MIN(6,MAX(1,IF($O$261,MAX(1,2-(Vu_khi!$L$261-4)),2-(Vu_khi!$L$261-4))+1)))</f>
        <v/>
      </c>
      <c r="AF261" t="n">
        <v>1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83.19999999999999</v>
      </c>
      <c r="AK261">
        <f>IF($Q$261,$M$261*$AC$261*$U$261,0)</f>
        <v/>
      </c>
      <c r="AL261" t="n">
        <v>83.19999999999999</v>
      </c>
      <c r="AM261">
        <f>IF($Q$261,$M$261*$AE$261*$U$261,0)</f>
        <v/>
      </c>
      <c r="AN261" t="n">
        <v>69.33333333333333</v>
      </c>
      <c r="AO261">
        <f>IF($Q$261,$M$261*$AC$261*$Y$261,0)</f>
        <v/>
      </c>
      <c r="AP261" t="n">
        <v>49.91999999999999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3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0.7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weapons[id=p26_moloch_direct_mo120ap] (lớp B trên 01_chien_dau/Vu_khi)</t>
        </is>
      </c>
      <c r="BC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1.5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0.85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108.8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77.06666666666666</v>
      </c>
      <c r="AO262">
        <f>IF($Q$262,$M$262*$AC$262*$Y$262,0)</f>
        <v/>
      </c>
      <c r="AP262" t="n">
        <v>163.2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weapons[id=p26_moloch_main_mo120] (lớp B trên 01_chien_dau/Vu_khi)</t>
        </is>
      </c>
      <c r="BC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0.85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135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95.625</v>
      </c>
      <c r="AO263">
        <f>IF($Q$263,$M$263*$AC$263*$Y$263,0)</f>
        <v/>
      </c>
      <c r="AP263" t="n">
        <v>202.5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0.186667</v>
      </c>
      <c r="AZ263" t="inlineStr">
        <is>
          <t>NHANH_QUA;LECH_DOT_1</t>
        </is>
      </c>
      <c r="BA263" t="inlineStr"/>
      <c r="BB263" t="inlineStr">
        <is>
          <t>Assets/MachineBrigade/Resources/Data/balance.json: weapons[id=p26_moloch_mo120] (lớp B trên 01_chien_dau/Vu_khi)</t>
        </is>
      </c>
      <c r="BC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1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144</v>
      </c>
      <c r="AK264">
        <f>IF($Q$264,$M$264*$AC$264*$U$264,0)</f>
        <v/>
      </c>
      <c r="AL264" t="n">
        <v>144</v>
      </c>
      <c r="AM264">
        <f>IF($Q$264,$M$264*$AE$264*$U$264,0)</f>
        <v/>
      </c>
      <c r="AN264" t="n">
        <v>120</v>
      </c>
      <c r="AO264">
        <f>IF($Q$264,$M$264*$AC$264*$Y$264,0)</f>
        <v/>
      </c>
      <c r="AP264" t="n">
        <v>86.39999999999999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weapons[id=p26_moloch_mo120ap] (lớp B trên 01_chien_dau/Vu_khi)</t>
        </is>
      </c>
      <c r="BC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0.5</v>
      </c>
      <c r="W265">
        <f>INDEX(Bang_sat_thuong!$C$2:$C$7,MATCH(Vu_khi!$K$265,Bang_sat_thuong!$A$2:$A$7,0))</f>
        <v/>
      </c>
      <c r="X265" t="n">
        <v>1.3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INDEX(Bang_xuyen_giap!$C$2:$C$7,MIN(6,MAX(1,IF($O$265,MAX(1,2-(Vu_khi!$L$265-0)),2-(Vu_khi!$L$265-0))+1)))</f>
        <v/>
      </c>
      <c r="AB265" t="n">
        <v>1</v>
      </c>
      <c r="AC265">
        <f>INDEX(Bang_xuyen_giap!$C$2:$C$7,MIN(6,MAX(1,IF($O$265,MAX(1,2-(Vu_khi!$L$265-2)),2-(Vu_khi!$L$265-2))+1)))</f>
        <v/>
      </c>
      <c r="AD265" t="n">
        <v>0.5</v>
      </c>
      <c r="AE265">
        <f>INDEX(Bang_xuyen_giap!$C$2:$C$7,MIN(6,MAX(1,IF($O$265,MAX(1,2-(Vu_khi!$L$265-4)),2-(Vu_khi!$L$265-4))+1)))</f>
        <v/>
      </c>
      <c r="AF265" t="n">
        <v>0.1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35.28225806451613</v>
      </c>
      <c r="AK265">
        <f>IF($Q$265,$M$265*$AC$265*$U$265,0)</f>
        <v/>
      </c>
      <c r="AL265" t="n">
        <v>17.64112903225806</v>
      </c>
      <c r="AM265">
        <f>IF($Q$265,$M$265*$AE$265*$U$265,0)</f>
        <v/>
      </c>
      <c r="AN265" t="n">
        <v>3.528225806451613</v>
      </c>
      <c r="AO265">
        <f>IF($Q$265,$M$265*$AC$265*$Y$265,0)</f>
        <v/>
      </c>
      <c r="AP265" t="n">
        <v>3.528225806451613</v>
      </c>
      <c r="AQ265">
        <f>IF($S$265,$M$265*$AG$265*$W$265,0)</f>
        <v/>
      </c>
      <c r="AR265" t="n">
        <v>91.73387096774194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1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1.653333</v>
      </c>
      <c r="AZ265" t="inlineStr">
        <is>
          <t>ok</t>
        </is>
      </c>
      <c r="BA265" t="b">
        <v>1</v>
      </c>
      <c r="BB265" t="inlineStr">
        <is>
          <t>Assets/MachineBrigade/Resources/Data/balance.json: weapons[id=p26_moloch_tiny_zu23] (lớp B trên 01_chien_dau/Vu_khi)</t>
        </is>
      </c>
      <c r="BC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0.5</v>
      </c>
      <c r="W266">
        <f>INDEX(Bang_sat_thuong!$C$2:$C$7,MATCH(Vu_khi!$K$266,Bang_sat_thuong!$A$2:$A$7,0))</f>
        <v/>
      </c>
      <c r="X266" t="n">
        <v>1.3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0.85</v>
      </c>
      <c r="AE266">
        <f>INDEX(Bang_xuyen_giap!$C$2:$C$7,MIN(6,MAX(1,IF($O$266,MAX(1,2-(Vu_khi!$L$266-4)),2-(Vu_khi!$L$266-4))+1)))</f>
        <v/>
      </c>
      <c r="AF266" t="n">
        <v>0.25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114.3122676579926</v>
      </c>
      <c r="AK266">
        <f>IF($Q$266,$M$266*$AC$266*$U$266,0)</f>
        <v/>
      </c>
      <c r="AL266" t="n">
        <v>80.97118959107806</v>
      </c>
      <c r="AM266">
        <f>IF($Q$266,$M$266*$AE$266*$U$266,0)</f>
        <v/>
      </c>
      <c r="AN266" t="n">
        <v>23.81505576208178</v>
      </c>
      <c r="AO266">
        <f>IF($Q$266,$M$266*$AC$266*$Y$266,0)</f>
        <v/>
      </c>
      <c r="AP266" t="n">
        <v>16.19423791821561</v>
      </c>
      <c r="AQ266">
        <f>IF($S$266,$M$266*$AG$266*$W$266,0)</f>
        <v/>
      </c>
      <c r="AR266" t="n">
        <v>247.6765799256505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1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2.405691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weapons[id=p26_nemesis_close_boss_flak] (lớp B trên 01_chien_dau/Vu_khi)</t>
        </is>
      </c>
      <c r="BC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0.6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1.2</v>
      </c>
      <c r="AE267">
        <f>INDEX(Bang_xuyen_giap!$C$2:$C$7,MIN(6,MAX(1,IF($O$267,MAX(1,2-(Vu_khi!$L$267-4)),2-(Vu_khi!$L$267-4))+1)))</f>
        <v/>
      </c>
      <c r="AF267" t="n">
        <v>1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64</v>
      </c>
      <c r="AK267">
        <f>IF($Q$267,$M$267*$AC$267*$U$267,0)</f>
        <v/>
      </c>
      <c r="AL267" t="n">
        <v>64</v>
      </c>
      <c r="AM267">
        <f>IF($Q$267,$M$267*$AE$267*$U$267,0)</f>
        <v/>
      </c>
      <c r="AN267" t="n">
        <v>53.33333333333334</v>
      </c>
      <c r="AO267">
        <f>IF($Q$267,$M$267*$AC$267*$Y$267,0)</f>
        <v/>
      </c>
      <c r="AP267" t="n">
        <v>38.4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3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0.7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weapons[id=p26_nemesis_direct_ne125] (lớp B trên 01_chien_dau/Vu_khi)</t>
        </is>
      </c>
      <c r="BC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1.5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</v>
      </c>
      <c r="AE268">
        <f>INDEX(Bang_xuyen_giap!$C$2:$C$7,MIN(6,MAX(1,IF($O$268,MAX(1,2-(Vu_khi!$L$268-4)),2-(Vu_khi!$L$268-4))+1)))</f>
        <v/>
      </c>
      <c r="AF268" t="n">
        <v>0.5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96</v>
      </c>
      <c r="AK268">
        <f>IF($Q$268,$M$268*$AC$268*$U$268,0)</f>
        <v/>
      </c>
      <c r="AL268" t="n">
        <v>80</v>
      </c>
      <c r="AM268">
        <f>IF($Q$268,$M$268*$AE$268*$U$268,0)</f>
        <v/>
      </c>
      <c r="AN268" t="n">
        <v>40</v>
      </c>
      <c r="AO268">
        <f>IF($Q$268,$M$268*$AC$268*$Y$268,0)</f>
        <v/>
      </c>
      <c r="AP268" t="n">
        <v>120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weapons[id=p26_nemesis_main_ne152] (lớp B trên 01_chien_dau/Vu_khi)</t>
        </is>
      </c>
      <c r="BC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168</v>
      </c>
      <c r="AK269">
        <f>IF($Q$269,$M$269*$AC$269*$U$269,0)</f>
        <v/>
      </c>
      <c r="AL269" t="n">
        <v>168</v>
      </c>
      <c r="AM269">
        <f>IF($Q$269,$M$269*$AE$269*$U$269,0)</f>
        <v/>
      </c>
      <c r="AN269" t="n">
        <v>140</v>
      </c>
      <c r="AO269">
        <f>IF($Q$269,$M$269*$AC$269*$Y$269,0)</f>
        <v/>
      </c>
      <c r="AP269" t="n">
        <v>100.8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weapons[id=p26_nemesis_ne125] (lớp B trên 01_chien_dau/Vu_khi)</t>
        </is>
      </c>
      <c r="BC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1</v>
      </c>
      <c r="AE270">
        <f>INDEX(Bang_xuyen_giap!$C$2:$C$7,MIN(6,MAX(1,IF($O$270,MAX(1,2-(Vu_khi!$L$270-4)),2-(Vu_khi!$L$270-4))+1)))</f>
        <v/>
      </c>
      <c r="AF270" t="n">
        <v>0.5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595.1999999999999</v>
      </c>
      <c r="AK270">
        <f>IF($Q$270,$M$270*$AC$270*$U$270,0)</f>
        <v/>
      </c>
      <c r="AL270" t="n">
        <v>496</v>
      </c>
      <c r="AM270">
        <f>IF($Q$270,$M$270*$AE$270*$U$270,0)</f>
        <v/>
      </c>
      <c r="AN270" t="n">
        <v>248</v>
      </c>
      <c r="AO270">
        <f>IF($Q$270,$M$270*$AC$270*$Y$270,0)</f>
        <v/>
      </c>
      <c r="AP270" t="n">
        <v>744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3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0.116667</v>
      </c>
      <c r="AZ270" t="inlineStr">
        <is>
          <t>NHANH_QUA;LECH_DOT_1</t>
        </is>
      </c>
      <c r="BA270" t="inlineStr"/>
      <c r="BB270" t="inlineStr">
        <is>
          <t>Assets/MachineBrigade/Resources/Data/balance.json: weapons[id=p26_nemesis_ne152] (lớp B trên 01_chien_dau/Vu_khi)</t>
        </is>
      </c>
      <c r="BC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437.5569735642661</v>
      </c>
      <c r="AK271">
        <f>IF($Q$271,$M$271*$AC$271*$U$271,0)</f>
        <v/>
      </c>
      <c r="AL271" t="n">
        <v>309.9361896080218</v>
      </c>
      <c r="AM271">
        <f>IF($Q$271,$M$271*$AE$271*$U$271,0)</f>
        <v/>
      </c>
      <c r="AN271" t="n">
        <v>91.15770282588878</v>
      </c>
      <c r="AO271">
        <f>IF($Q$271,$M$271*$AC$271*$Y$271,0)</f>
        <v/>
      </c>
      <c r="AP271" t="n">
        <v>464.9042844120327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3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1</v>
      </c>
      <c r="AZ271" t="inlineStr">
        <is>
          <t>LECH_HO</t>
        </is>
      </c>
      <c r="BA271" t="b">
        <v>0</v>
      </c>
      <c r="BB271" t="inlineStr">
        <is>
          <t>Assets/MachineBrigade/Resources/Data/balance.json: weapons[id=p26_nemesis_sec_boss_rockets] (lớp B trên 01_chien_dau/Vu_khi)</t>
        </is>
      </c>
      <c r="BC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0.6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0.85</v>
      </c>
      <c r="AE272">
        <f>INDEX(Bang_xuyen_giap!$C$2:$C$7,MIN(6,MAX(1,IF($O$272,MAX(1,2-(Vu_khi!$L$272-4)),2-(Vu_khi!$L$272-4))+1)))</f>
        <v/>
      </c>
      <c r="AF272" t="n">
        <v>0.25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133.879896885433</v>
      </c>
      <c r="AK272">
        <f>IF($Q$272,$M$272*$AC$272*$U$272,0)</f>
        <v/>
      </c>
      <c r="AL272" t="n">
        <v>94.83159362718168</v>
      </c>
      <c r="AM272">
        <f>IF($Q$272,$M$272*$AE$272*$U$272,0)</f>
        <v/>
      </c>
      <c r="AN272" t="n">
        <v>27.8916451844652</v>
      </c>
      <c r="AO272">
        <f>IF($Q$272,$M$272*$AC$272*$Y$272,0)</f>
        <v/>
      </c>
      <c r="AP272" t="n">
        <v>56.89895617630901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0</v>
      </c>
      <c r="AU272">
        <f>IF(AND($B$272&lt;0,$AS$272),4,$B$272)</f>
        <v/>
      </c>
      <c r="AV272" t="n">
        <v>1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0</v>
      </c>
      <c r="AY272" t="n">
        <v>5.258444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weapons[id=p26_roc_close_twin_30_bmpt] (lớp B trên 01_chien_dau/Vu_khi)</t>
        </is>
      </c>
      <c r="BC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0.6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1.2</v>
      </c>
      <c r="AE273">
        <f>INDEX(Bang_xuyen_giap!$C$2:$C$7,MIN(6,MAX(1,IF($O$273,MAX(1,2-(Vu_khi!$L$273-4)),2-(Vu_khi!$L$273-4))+1)))</f>
        <v/>
      </c>
      <c r="AF273" t="n">
        <v>1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27.6</v>
      </c>
      <c r="AK273">
        <f>IF($Q$273,$M$273*$AC$273*$U$273,0)</f>
        <v/>
      </c>
      <c r="AL273" t="n">
        <v>27.6</v>
      </c>
      <c r="AM273">
        <f>IF($Q$273,$M$273*$AE$273*$U$273,0)</f>
        <v/>
      </c>
      <c r="AN273" t="n">
        <v>23</v>
      </c>
      <c r="AO273">
        <f>IF($Q$273,$M$273*$AC$273*$Y$273,0)</f>
        <v/>
      </c>
      <c r="AP273" t="n">
        <v>16.56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weapons[id=p26_roc_direct_roc_atgm] (lớp B trên 01_chien_dau/Vu_khi)</t>
        </is>
      </c>
      <c r="BC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</v>
      </c>
      <c r="AC274">
        <f>INDEX(Bang_xuyen_giap!$C$2:$C$7,MIN(6,MAX(1,IF($O$274,MAX(1,2-(Vu_khi!$L$274-2)),2-(Vu_khi!$L$274-2))+1)))</f>
        <v/>
      </c>
      <c r="AD274" t="n">
        <v>1</v>
      </c>
      <c r="AE274">
        <f>INDEX(Bang_xuyen_giap!$C$2:$C$7,MIN(6,MAX(1,IF($O$274,MAX(1,2-(Vu_khi!$L$274-4)),2-(Vu_khi!$L$274-4))+1)))</f>
        <v/>
      </c>
      <c r="AF274" t="n">
        <v>0.85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158.0135440180587</v>
      </c>
      <c r="AK274">
        <f>IF($Q$274,$M$274*$AC$274*$U$274,0)</f>
        <v/>
      </c>
      <c r="AL274" t="n">
        <v>158.0135440180587</v>
      </c>
      <c r="AM274">
        <f>IF($Q$274,$M$274*$AE$274*$U$274,0)</f>
        <v/>
      </c>
      <c r="AN274" t="n">
        <v>134.3115124153499</v>
      </c>
      <c r="AO274">
        <f>IF($Q$274,$M$274*$AC$274*$Y$274,0)</f>
        <v/>
      </c>
      <c r="AP274" t="n">
        <v>237.020316027088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1</v>
      </c>
      <c r="AU274">
        <f>IF(AND($B$274&lt;0,$AS$274),4,$B$274)</f>
        <v/>
      </c>
      <c r="AV274" t="n">
        <v>4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2.722222222222222</v>
      </c>
      <c r="AY274" t="n">
        <v>3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weapons[id=p26_roc_main_roc_bombs] (lớp B trên 01_chien_dau/Vu_khi)</t>
        </is>
      </c>
      <c r="BC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0.85</v>
      </c>
      <c r="AE275">
        <f>INDEX(Bang_xuyen_giap!$C$2:$C$7,MIN(6,MAX(1,IF($O$275,MAX(1,2-(Vu_khi!$L$275-4)),2-(Vu_khi!$L$275-4))+1)))</f>
        <v/>
      </c>
      <c r="AF275" t="n">
        <v>0.25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60</v>
      </c>
      <c r="AK275">
        <f>IF($Q$275,$M$275*$AC$275*$U$275,0)</f>
        <v/>
      </c>
      <c r="AL275" t="n">
        <v>42.5</v>
      </c>
      <c r="AM275">
        <f>IF($Q$275,$M$275*$AE$275*$U$275,0)</f>
        <v/>
      </c>
      <c r="AN275" t="n">
        <v>12.5</v>
      </c>
      <c r="AO275">
        <f>IF($Q$275,$M$275*$AC$275*$Y$275,0)</f>
        <v/>
      </c>
      <c r="AP275" t="n">
        <v>63.74999999999999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0.7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weapons[id=p26_roc_roc105] (lớp B trên 01_chien_dau/Vu_khi)</t>
        </is>
      </c>
      <c r="BC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0.6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1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180</v>
      </c>
      <c r="AK276">
        <f>IF($Q$276,$M$276*$AC$276*$U$276,0)</f>
        <v/>
      </c>
      <c r="AL276" t="n">
        <v>180</v>
      </c>
      <c r="AM276">
        <f>IF($Q$276,$M$276*$AE$276*$U$276,0)</f>
        <v/>
      </c>
      <c r="AN276" t="n">
        <v>150</v>
      </c>
      <c r="AO276">
        <f>IF($Q$276,$M$276*$AC$276*$Y$276,0)</f>
        <v/>
      </c>
      <c r="AP276" t="n">
        <v>108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0.1</v>
      </c>
      <c r="AZ276" t="inlineStr">
        <is>
          <t>NHANH_QUA;LECH_DOT_1</t>
        </is>
      </c>
      <c r="BA276" t="inlineStr"/>
      <c r="BB276" t="inlineStr">
        <is>
          <t>Assets/MachineBrigade/Resources/Data/balance.json: weapons[id=p26_roc_roc_atgm] (lớp B trên 01_chien_dau/Vu_khi)</t>
        </is>
      </c>
      <c r="BC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1.5</v>
      </c>
      <c r="AA277">
        <f>INDEX(Bang_xuyen_giap!$C$2:$C$7,MIN(6,MAX(1,IF($O$277,MAX(1,2-(Vu_khi!$L$277-0)),2-(Vu_khi!$L$277-0))+1)))</f>
        <v/>
      </c>
      <c r="AB277" t="n">
        <v>1</v>
      </c>
      <c r="AC277">
        <f>INDEX(Bang_xuyen_giap!$C$2:$C$7,MIN(6,MAX(1,IF($O$277,MAX(1,2-(Vu_khi!$L$277-2)),2-(Vu_khi!$L$277-2))+1)))</f>
        <v/>
      </c>
      <c r="AD277" t="n">
        <v>1</v>
      </c>
      <c r="AE277">
        <f>INDEX(Bang_xuyen_giap!$C$2:$C$7,MIN(6,MAX(1,IF($O$277,MAX(1,2-(Vu_khi!$L$277-4)),2-(Vu_khi!$L$277-4))+1)))</f>
        <v/>
      </c>
      <c r="AF277" t="n">
        <v>0.85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640</v>
      </c>
      <c r="AK277">
        <f>IF($Q$277,$M$277*$AC$277*$U$277,0)</f>
        <v/>
      </c>
      <c r="AL277" t="n">
        <v>640</v>
      </c>
      <c r="AM277">
        <f>IF($Q$277,$M$277*$AE$277*$U$277,0)</f>
        <v/>
      </c>
      <c r="AN277" t="n">
        <v>544</v>
      </c>
      <c r="AO277">
        <f>IF($Q$277,$M$277*$AC$277*$Y$277,0)</f>
        <v/>
      </c>
      <c r="AP277" t="n">
        <v>960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1</v>
      </c>
      <c r="AU277">
        <f>IF(AND($B$277&lt;0,$AS$277),4,$B$277)</f>
        <v/>
      </c>
      <c r="AV277" t="n">
        <v>4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2.722222222222222</v>
      </c>
      <c r="AY277" t="n">
        <v>3</v>
      </c>
      <c r="AZ277" t="inlineStr">
        <is>
          <t>LECH_DOT_1</t>
        </is>
      </c>
      <c r="BA277" t="inlineStr"/>
      <c r="BB277" t="inlineStr">
        <is>
          <t>Assets/MachineBrigade/Resources/Data/balance.json: weapons[id=p26_roc_roc_bombs] (lớp B trên 01_chien_dau/Vu_khi)</t>
        </is>
      </c>
      <c r="BC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1.5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1.2</v>
      </c>
      <c r="AE278">
        <f>INDEX(Bang_xuyen_giap!$C$2:$C$7,MIN(6,MAX(1,IF($O$278,MAX(1,2-(Vu_khi!$L$278-4)),2-(Vu_khi!$L$278-4))+1)))</f>
        <v/>
      </c>
      <c r="AF278" t="n">
        <v>0.85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205.7142857142857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145.7142857142857</v>
      </c>
      <c r="AO278">
        <f>IF($Q$278,$M$278*$AC$278*$Y$278,0)</f>
        <v/>
      </c>
      <c r="AP278" t="n">
        <v>308.5714285714285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1.225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weapons[id=p26_typhon_direct_ty100] (lớp B trên 01_chien_dau/Vu_khi)</t>
        </is>
      </c>
      <c r="BC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1.5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</v>
      </c>
      <c r="AE279">
        <f>INDEX(Bang_xuyen_giap!$C$2:$C$7,MIN(6,MAX(1,IF($O$279,MAX(1,2-(Vu_khi!$L$279-4)),2-(Vu_khi!$L$279-4))+1)))</f>
        <v/>
      </c>
      <c r="AF279" t="n">
        <v>0.5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268.5314685314685</v>
      </c>
      <c r="AK279">
        <f>IF($Q$279,$M$279*$AC$279*$U$279,0)</f>
        <v/>
      </c>
      <c r="AL279" t="n">
        <v>223.7762237762238</v>
      </c>
      <c r="AM279">
        <f>IF($Q$279,$M$279*$AE$279*$U$279,0)</f>
        <v/>
      </c>
      <c r="AN279" t="n">
        <v>111.8881118881119</v>
      </c>
      <c r="AO279">
        <f>IF($Q$279,$M$279*$AC$279*$Y$279,0)</f>
        <v/>
      </c>
      <c r="AP279" t="n">
        <v>335.6643356643357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2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2.145</v>
      </c>
      <c r="AZ279" t="inlineStr">
        <is>
          <t>ok</t>
        </is>
      </c>
      <c r="BA279" t="b">
        <v>1</v>
      </c>
      <c r="BB279" t="inlineStr">
        <is>
          <t>Assets/MachineBrigade/Resources/Data/balance.json: weapons[id=p26_typhon_sec_ty57] (lớp B trên 01_chien_dau/Vu_khi)</t>
        </is>
      </c>
      <c r="BC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208</v>
      </c>
      <c r="AK280">
        <f>IF($Q$280,$M$280*$AC$280*$U$280,0)</f>
        <v/>
      </c>
      <c r="AL280" t="n">
        <v>173.3333333333333</v>
      </c>
      <c r="AM280">
        <f>IF($Q$280,$M$280*$AE$280*$U$280,0)</f>
        <v/>
      </c>
      <c r="AN280" t="n">
        <v>86.66666666666667</v>
      </c>
      <c r="AO280">
        <f>IF($Q$280,$M$280*$AC$280*$Y$280,0)</f>
        <v/>
      </c>
      <c r="AP280" t="n">
        <v>260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1.5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weapons[id=p26_typhon_ty57] (lớp B trên 01_chien_dau/Vu_khi)</t>
        </is>
      </c>
      <c r="BC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1.5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288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204</v>
      </c>
      <c r="AO281">
        <f>IF($Q$281,$M$281*$AC$281*$Y$281,0)</f>
        <v/>
      </c>
      <c r="AP281" t="n">
        <v>431.9999999999999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n">
        <v>1.75</v>
      </c>
      <c r="AZ281" t="inlineStr">
        <is>
          <t>LECH_DOT_1</t>
        </is>
      </c>
      <c r="BA281" t="inlineStr"/>
      <c r="BB281" t="inlineStr">
        <is>
          <t>Assets/MachineBrigade/Resources/Data/balance.json: weapons[id=p26_typhon_ty100] (lớp B trên 01_chien_dau/Vu_khi)</t>
        </is>
      </c>
      <c r="BC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0.5</v>
      </c>
      <c r="W282">
        <f>INDEX(Bang_sat_thuong!$C$2:$C$7,MATCH(Vu_khi!$K$282,Bang_sat_thuong!$A$2:$A$7,0))</f>
        <v/>
      </c>
      <c r="X282" t="n">
        <v>1.3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INDEX(Bang_xuyen_giap!$C$2:$C$7,MIN(6,MAX(1,IF($O$282,MAX(1,2-(Vu_khi!$L$282-0)),2-(Vu_khi!$L$282-0))+1)))</f>
        <v/>
      </c>
      <c r="AB282" t="n">
        <v>1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0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IF($Q$282,$M$282*$AC$282*$Y$282,0)</f>
        <v/>
      </c>
      <c r="AP282" t="n">
        <v>0</v>
      </c>
      <c r="AQ282">
        <f>IF($S$282,$M$282*$AG$282*$W$282,0)</f>
        <v/>
      </c>
      <c r="AR282" t="n">
        <v>276.25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2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0.5333329999999999</v>
      </c>
      <c r="AZ282" t="inlineStr">
        <is>
          <t>NHANH_QUA</t>
        </is>
      </c>
      <c r="BA282" t="inlineStr"/>
      <c r="BB282" t="inlineStr">
        <is>
          <t>Assets/MachineBrigade/Resources/Data/balance.json: weapons[id=patriot] (lớp B trên 01_chien_dau/Vu_khi)</t>
        </is>
      </c>
      <c r="BC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1.5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1.2</v>
      </c>
      <c r="AE283">
        <f>INDEX(Bang_xuyen_giap!$C$2:$C$7,MIN(6,MAX(1,IF($O$283,MAX(1,2-(Vu_khi!$L$283-4)),2-(Vu_khi!$L$283-4))+1)))</f>
        <v/>
      </c>
      <c r="AF283" t="n">
        <v>0.85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102.8571428571428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72.85714285714285</v>
      </c>
      <c r="AO283">
        <f>IF($Q$283,$M$283*$AC$283*$Y$283,0)</f>
        <v/>
      </c>
      <c r="AP283" t="n">
        <v>154.2857142857142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1</v>
      </c>
      <c r="AU283">
        <f>IF(AND($B$283&lt;0,$AS$283),4,$B$283)</f>
        <v/>
      </c>
      <c r="AV283" t="n">
        <v>4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2.5</v>
      </c>
      <c r="AY283" t="n">
        <v>2.94</v>
      </c>
      <c r="AZ283" t="inlineStr">
        <is>
          <t>CHAM_QUA;LECH_DOT_1</t>
        </is>
      </c>
      <c r="BA283" t="b">
        <v>1</v>
      </c>
      <c r="BB283" t="inlineStr">
        <is>
          <t>Assets/MachineBrigade/Resources/Data/balance.json: weapons[id=pt14_co_203] (lớp B trên 01_chien_dau/Vu_khi)</t>
        </is>
      </c>
      <c r="BC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1.2</v>
      </c>
      <c r="AE284">
        <f>INDEX(Bang_xuyen_giap!$C$2:$C$7,MIN(6,MAX(1,IF($O$284,MAX(1,2-(Vu_khi!$L$284-4)),2-(Vu_khi!$L$284-4))+1)))</f>
        <v/>
      </c>
      <c r="AF284" t="n">
        <v>0.85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56.25</v>
      </c>
      <c r="AK284">
        <f>IF($Q$284,$M$284*$AC$284*$U$284,0)</f>
        <v/>
      </c>
      <c r="AL284" t="n">
        <v>56.25</v>
      </c>
      <c r="AM284">
        <f>IF($Q$284,$M$284*$AE$284*$U$284,0)</f>
        <v/>
      </c>
      <c r="AN284" t="n">
        <v>39.84375</v>
      </c>
      <c r="AO284">
        <f>IF($Q$284,$M$284*$AC$284*$Y$284,0)</f>
        <v/>
      </c>
      <c r="AP284" t="n">
        <v>33.75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inlineStr"/>
      <c r="AZ284" t="inlineStr">
        <is>
          <t>LECH_DOT_1</t>
        </is>
      </c>
      <c r="BA284" t="b">
        <v>1</v>
      </c>
      <c r="BB284" t="inlineStr">
        <is>
          <t>Assets/MachineBrigade/Resources/Data/balance.json: weapons[id=pt14_co_spike] (lớp B trên 01_chien_dau/Vu_khi)</t>
        </is>
      </c>
      <c r="BC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1.5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140.4878048780488</v>
      </c>
      <c r="AK285">
        <f>IF($Q$285,$M$285*$AC$285*$U$285,0)</f>
        <v/>
      </c>
      <c r="AL285" t="n">
        <v>117.0731707317073</v>
      </c>
      <c r="AM285">
        <f>IF($Q$285,$M$285*$AE$285*$U$285,0)</f>
        <v/>
      </c>
      <c r="AN285" t="n">
        <v>58.53658536585366</v>
      </c>
      <c r="AO285">
        <f>IF($Q$285,$M$285*$AC$285*$Y$285,0)</f>
        <v/>
      </c>
      <c r="AP285" t="n">
        <v>175.609756097561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2.87</v>
      </c>
      <c r="AZ285" t="inlineStr">
        <is>
          <t>CHAM_QUA;LECH_DOT_1</t>
        </is>
      </c>
      <c r="BA285" t="b">
        <v>1</v>
      </c>
      <c r="BB285" t="inlineStr">
        <is>
          <t>Assets/MachineBrigade/Resources/Data/balance.json: weapons[id=pt14_co_v76] (lớp B trên 01_chien_dau/Vu_khi)</t>
        </is>
      </c>
      <c r="BC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0.6</v>
      </c>
      <c r="AA286">
        <f>INDEX(Bang_xuyen_giap!$C$2:$C$7,MIN(6,MAX(1,IF($O$286,MAX(1,2-(Vu_khi!$L$286-0)),2-(Vu_khi!$L$286-0))+1)))</f>
        <v/>
      </c>
      <c r="AB286" t="n">
        <v>1.2</v>
      </c>
      <c r="AC286">
        <f>INDEX(Bang_xuyen_giap!$C$2:$C$7,MIN(6,MAX(1,IF($O$286,MAX(1,2-(Vu_khi!$L$286-2)),2-(Vu_khi!$L$286-2))+1)))</f>
        <v/>
      </c>
      <c r="AD286" t="n">
        <v>0.85</v>
      </c>
      <c r="AE286">
        <f>INDEX(Bang_xuyen_giap!$C$2:$C$7,MIN(6,MAX(1,IF($O$286,MAX(1,2-(Vu_khi!$L$286-4)),2-(Vu_khi!$L$286-4))+1)))</f>
        <v/>
      </c>
      <c r="AF286" t="n">
        <v>0.25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88.42105263157893</v>
      </c>
      <c r="AK286">
        <f>IF($Q$286,$M$286*$AC$286*$U$286,0)</f>
        <v/>
      </c>
      <c r="AL286" t="n">
        <v>62.63157894736841</v>
      </c>
      <c r="AM286">
        <f>IF($Q$286,$M$286*$AE$286*$U$286,0)</f>
        <v/>
      </c>
      <c r="AN286" t="n">
        <v>18.42105263157895</v>
      </c>
      <c r="AO286">
        <f>IF($Q$286,$M$286*$AC$286*$Y$286,0)</f>
        <v/>
      </c>
      <c r="AP286" t="n">
        <v>37.57894736842105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1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14.25</v>
      </c>
      <c r="AZ286" t="inlineStr">
        <is>
          <t>LECH_DOT_1</t>
        </is>
      </c>
      <c r="BA286" t="b">
        <v>1</v>
      </c>
      <c r="BB286" t="inlineStr">
        <is>
          <t>Assets/MachineBrigade/Resources/Data/balance.json: weapons[id=pt14_dd_v25] (lớp B trên 01_chien_dau/Vu_khi)</t>
        </is>
      </c>
      <c r="BC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1.5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1.2</v>
      </c>
      <c r="AE287">
        <f>INDEX(Bang_xuyen_giap!$C$2:$C$7,MIN(6,MAX(1,IF($O$287,MAX(1,2-(Vu_khi!$L$287-4)),2-(Vu_khi!$L$287-4))+1)))</f>
        <v/>
      </c>
      <c r="AF287" t="n">
        <v>0.85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268.5314685314685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190.2097902097902</v>
      </c>
      <c r="AO287">
        <f>IF($Q$287,$M$287*$AC$287*$Y$287,0)</f>
        <v/>
      </c>
      <c r="AP287" t="n">
        <v>402.7972027972028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2.145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weapons[id=pt14_dd_v57] (lớp B trên 01_chien_dau/Vu_khi)</t>
        </is>
      </c>
      <c r="BC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1.5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1</v>
      </c>
      <c r="AE288">
        <f>INDEX(Bang_xuyen_giap!$C$2:$C$7,MIN(6,MAX(1,IF($O$288,MAX(1,2-(Vu_khi!$L$288-4)),2-(Vu_khi!$L$288-4))+1)))</f>
        <v/>
      </c>
      <c r="AF288" t="n">
        <v>0.5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103.5971223021583</v>
      </c>
      <c r="AK288">
        <f>IF($Q$288,$M$288*$AC$288*$U$288,0)</f>
        <v/>
      </c>
      <c r="AL288" t="n">
        <v>86.33093525179856</v>
      </c>
      <c r="AM288">
        <f>IF($Q$288,$M$288*$AE$288*$U$288,0)</f>
        <v/>
      </c>
      <c r="AN288" t="n">
        <v>43.16546762589928</v>
      </c>
      <c r="AO288">
        <f>IF($Q$288,$M$288*$AC$288*$Y$288,0)</f>
        <v/>
      </c>
      <c r="AP288" t="n">
        <v>129.4964028776978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3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0.810833</v>
      </c>
      <c r="AZ288" t="inlineStr">
        <is>
          <t>LECH_DOT_1;LECH_HO</t>
        </is>
      </c>
      <c r="BA288" t="b">
        <v>0</v>
      </c>
      <c r="BB288" t="inlineStr">
        <is>
          <t>Assets/MachineBrigade/Resources/Data/balance.json: weapons[id=pt14_hp_155] (lớp B trên 01_chien_dau/Vu_khi)</t>
        </is>
      </c>
      <c r="BC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1.5</v>
      </c>
      <c r="AA289">
        <f>INDEX(Bang_xuyen_giap!$C$2:$C$7,MIN(6,MAX(1,IF($O$289,MAX(1,2-(Vu_khi!$L$289-0)),2-(Vu_khi!$L$289-0))+1)))</f>
        <v/>
      </c>
      <c r="AB289" t="n">
        <v>1.2</v>
      </c>
      <c r="AC289">
        <f>INDEX(Bang_xuyen_giap!$C$2:$C$7,MIN(6,MAX(1,IF($O$289,MAX(1,2-(Vu_khi!$L$289-2)),2-(Vu_khi!$L$289-2))+1)))</f>
        <v/>
      </c>
      <c r="AD289" t="n">
        <v>1.2</v>
      </c>
      <c r="AE289">
        <f>INDEX(Bang_xuyen_giap!$C$2:$C$7,MIN(6,MAX(1,IF($O$289,MAX(1,2-(Vu_khi!$L$289-4)),2-(Vu_khi!$L$289-4))+1)))</f>
        <v/>
      </c>
      <c r="AF289" t="n">
        <v>0.85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62.46575342465753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44.24657534246575</v>
      </c>
      <c r="AO289">
        <f>IF($Q$289,$M$289*$AC$289*$Y$289,0)</f>
        <v/>
      </c>
      <c r="AP289" t="n">
        <v>93.6986301369863</v>
      </c>
      <c r="AQ289">
        <f>IF($S$289,$M$289*$AG$289*$W$289,0)</f>
        <v/>
      </c>
      <c r="AR289" t="n">
        <v>0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4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2.5</v>
      </c>
      <c r="AY289" t="n">
        <v>2.433333</v>
      </c>
      <c r="AZ289" t="inlineStr">
        <is>
          <t>NHANH_QUA</t>
        </is>
      </c>
      <c r="BA289" t="b">
        <v>1</v>
      </c>
      <c r="BB289" t="inlineStr">
        <is>
          <t>Assets/MachineBrigade/Resources/Data/balance.json: weapons[id=pt14_hp_nsm] (lớp B trên 01_chien_dau/Vu_khi)</t>
        </is>
      </c>
      <c r="BC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1.5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182.4</v>
      </c>
      <c r="AK290">
        <f>IF($Q$290,$M$290*$AC$290*$U$290,0)</f>
        <v/>
      </c>
      <c r="AL290" t="n">
        <v>152</v>
      </c>
      <c r="AM290">
        <f>IF($Q$290,$M$290*$AE$290*$U$290,0)</f>
        <v/>
      </c>
      <c r="AN290" t="n">
        <v>76</v>
      </c>
      <c r="AO290">
        <f>IF($Q$290,$M$290*$AC$290*$Y$290,0)</f>
        <v/>
      </c>
      <c r="AP290" t="n">
        <v>228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0.583333</v>
      </c>
      <c r="AZ290" t="inlineStr">
        <is>
          <t>NHANH_QUA;LECH_DOT_1</t>
        </is>
      </c>
      <c r="BA290" t="b">
        <v>1</v>
      </c>
      <c r="BB290" t="inlineStr">
        <is>
          <t>Assets/MachineBrigade/Resources/Data/balance.json: weapons[id=pt14_hp_v127] (lớp B trên 01_chien_dau/Vu_khi)</t>
        </is>
      </c>
      <c r="BC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1.2</v>
      </c>
      <c r="AE291">
        <f>INDEX(Bang_xuyen_giap!$C$2:$C$7,MIN(6,MAX(1,IF($O$291,MAX(1,2-(Vu_khi!$L$291-4)),2-(Vu_khi!$L$291-4))+1)))</f>
        <v/>
      </c>
      <c r="AF291" t="n">
        <v>0.85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192</v>
      </c>
      <c r="AK291">
        <f>IF($Q$291,$M$291*$AC$291*$U$291,0)</f>
        <v/>
      </c>
      <c r="AL291" t="n">
        <v>192</v>
      </c>
      <c r="AM291">
        <f>IF($Q$291,$M$291*$AE$291*$U$291,0)</f>
        <v/>
      </c>
      <c r="AN291" t="n">
        <v>136</v>
      </c>
      <c r="AO291">
        <f>IF($Q$291,$M$291*$AC$291*$Y$291,0)</f>
        <v/>
      </c>
      <c r="AP291" t="n">
        <v>96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1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inlineStr"/>
      <c r="AZ291" t="inlineStr">
        <is>
          <t>ok</t>
        </is>
      </c>
      <c r="BA291" t="b">
        <v>1</v>
      </c>
      <c r="BB291" t="inlineStr">
        <is>
          <t>Assets/MachineBrigade/Resources/Data/balance.json: weapons[id=pt14_hp_vlaser] (lớp B trên 01_chien_dau/Vu_khi)</t>
        </is>
      </c>
      <c r="BC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0.6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0.85</v>
      </c>
      <c r="AE292">
        <f>INDEX(Bang_xuyen_giap!$C$2:$C$7,MIN(6,MAX(1,IF($O$292,MAX(1,2-(Vu_khi!$L$292-4)),2-(Vu_khi!$L$292-4))+1)))</f>
        <v/>
      </c>
      <c r="AF292" t="n">
        <v>0.25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49.37232625008766</v>
      </c>
      <c r="AK292">
        <f>IF($Q$292,$M$292*$AC$292*$U$292,0)</f>
        <v/>
      </c>
      <c r="AL292" t="n">
        <v>34.97206442714543</v>
      </c>
      <c r="AM292">
        <f>IF($Q$292,$M$292*$AE$292*$U$292,0)</f>
        <v/>
      </c>
      <c r="AN292" t="n">
        <v>10.2859013021016</v>
      </c>
      <c r="AO292">
        <f>IF($Q$292,$M$292*$AC$292*$Y$292,0)</f>
        <v/>
      </c>
      <c r="AP292" t="n">
        <v>20.98323865628726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1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7.1295</v>
      </c>
      <c r="AZ292" t="inlineStr">
        <is>
          <t>CHAM_QUA;LECH_DOT_1</t>
        </is>
      </c>
      <c r="BA292" t="b">
        <v>1</v>
      </c>
      <c r="BB292" t="inlineStr">
        <is>
          <t>Assets/MachineBrigade/Resources/Data/balance.json: weapons[id=pt14_ixion_30] (lớp B trên 01_chien_dau/Vu_khi)</t>
        </is>
      </c>
      <c r="BC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1.5</v>
      </c>
      <c r="AA293">
        <f>INDEX(Bang_xuyen_giap!$C$2:$C$7,MIN(6,MAX(1,IF($O$293,MAX(1,2-(Vu_khi!$L$293-0)),2-(Vu_khi!$L$293-0))+1)))</f>
        <v/>
      </c>
      <c r="AB293" t="n">
        <v>1</v>
      </c>
      <c r="AC293">
        <f>INDEX(Bang_xuyen_giap!$C$2:$C$7,MIN(6,MAX(1,IF($O$293,MAX(1,2-(Vu_khi!$L$293-2)),2-(Vu_khi!$L$293-2))+1)))</f>
        <v/>
      </c>
      <c r="AD293" t="n">
        <v>0.85</v>
      </c>
      <c r="AE293">
        <f>INDEX(Bang_xuyen_giap!$C$2:$C$7,MIN(6,MAX(1,IF($O$293,MAX(1,2-(Vu_khi!$L$293-4)),2-(Vu_khi!$L$293-4))+1)))</f>
        <v/>
      </c>
      <c r="AF293" t="n">
        <v>0.25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17.37020316027088</v>
      </c>
      <c r="AK293">
        <f>IF($Q$293,$M$293*$AC$293*$U$293,0)</f>
        <v/>
      </c>
      <c r="AL293" t="n">
        <v>14.76467268623025</v>
      </c>
      <c r="AM293">
        <f>IF($Q$293,$M$293*$AE$293*$U$293,0)</f>
        <v/>
      </c>
      <c r="AN293" t="n">
        <v>4.342550790067721</v>
      </c>
      <c r="AO293">
        <f>IF($Q$293,$M$293*$AC$293*$Y$293,0)</f>
        <v/>
      </c>
      <c r="AP293" t="n">
        <v>22.14700902934537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1</v>
      </c>
      <c r="AZ293" t="inlineStr">
        <is>
          <t>ok</t>
        </is>
      </c>
      <c r="BA293" t="b">
        <v>1</v>
      </c>
      <c r="BB293" t="inlineStr">
        <is>
          <t>Assets/MachineBrigade/Resources/Data/balance.json: weapons[id=pt14_ixion_grad] (lớp B trên 01_chien_dau/Vu_khi)</t>
        </is>
      </c>
      <c r="BC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0.6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1.2</v>
      </c>
      <c r="AE294">
        <f>INDEX(Bang_xuyen_giap!$C$2:$C$7,MIN(6,MAX(1,IF($O$294,MAX(1,2-(Vu_khi!$L$294-4)),2-(Vu_khi!$L$294-4))+1)))</f>
        <v/>
      </c>
      <c r="AF294" t="n">
        <v>0.85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23</v>
      </c>
      <c r="AK294">
        <f>IF($Q$294,$M$294*$AC$294*$U$294,0)</f>
        <v/>
      </c>
      <c r="AL294" t="n">
        <v>23</v>
      </c>
      <c r="AM294">
        <f>IF($Q$294,$M$294*$AE$294*$U$294,0)</f>
        <v/>
      </c>
      <c r="AN294" t="n">
        <v>16.29166666666667</v>
      </c>
      <c r="AO294">
        <f>IF($Q$294,$M$294*$AC$294*$Y$294,0)</f>
        <v/>
      </c>
      <c r="AP294" t="n">
        <v>13.8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1.2</v>
      </c>
      <c r="AZ294" t="inlineStr">
        <is>
          <t>LECH_DOT_1</t>
        </is>
      </c>
      <c r="BA294" t="b">
        <v>1</v>
      </c>
      <c r="BB294" t="inlineStr">
        <is>
          <t>Assets/MachineBrigade/Resources/Data/balance.json: weapons[id=pt14_ixion_kornet] (lớp B trên 01_chien_dau/Vu_khi)</t>
        </is>
      </c>
      <c r="BC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0.6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66.9767441860465</v>
      </c>
      <c r="AK295">
        <f>IF($Q$295,$M$295*$AC$295*$U$295,0)</f>
        <v/>
      </c>
      <c r="AL295" t="n">
        <v>47.44186046511627</v>
      </c>
      <c r="AM295">
        <f>IF($Q$295,$M$295*$AE$295*$U$295,0)</f>
        <v/>
      </c>
      <c r="AN295" t="n">
        <v>13.95348837209302</v>
      </c>
      <c r="AO295">
        <f>IF($Q$295,$M$295*$AC$295*$Y$295,0)</f>
        <v/>
      </c>
      <c r="AP295" t="n">
        <v>28.46511627906976</v>
      </c>
      <c r="AQ295">
        <f>IF($S$295,$M$295*$AG$295*$W$295,0)</f>
        <v/>
      </c>
      <c r="AR295" t="n">
        <v>16.74418604651163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1.075</v>
      </c>
      <c r="AZ295" t="inlineStr">
        <is>
          <t>LECH_DOT_1</t>
        </is>
      </c>
      <c r="BA295" t="b">
        <v>1</v>
      </c>
      <c r="BB295" t="inlineStr">
        <is>
          <t>Assets/MachineBrigade/Resources/Data/balance.json: weapons[id=pt14_mk0_v40] (lớp B trên 01_chien_dau/Vu_khi)</t>
        </is>
      </c>
      <c r="BC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0.85</v>
      </c>
      <c r="AE296">
        <f>INDEX(Bang_xuyen_giap!$C$2:$C$7,MIN(6,MAX(1,IF($O$296,MAX(1,2-(Vu_khi!$L$296-4)),2-(Vu_khi!$L$296-4))+1)))</f>
        <v/>
      </c>
      <c r="AF296" t="n">
        <v>0.25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81.23076923076923</v>
      </c>
      <c r="AK296">
        <f>IF($Q$296,$M$296*$AC$296*$U$296,0)</f>
        <v/>
      </c>
      <c r="AL296" t="n">
        <v>57.53846153846154</v>
      </c>
      <c r="AM296">
        <f>IF($Q$296,$M$296*$AE$296*$U$296,0)</f>
        <v/>
      </c>
      <c r="AN296" t="n">
        <v>16.92307692307692</v>
      </c>
      <c r="AO296">
        <f>IF($Q$296,$M$296*$AC$296*$Y$296,0)</f>
        <v/>
      </c>
      <c r="AP296" t="n">
        <v>34.52307692307692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1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inlineStr"/>
      <c r="AZ296" t="inlineStr">
        <is>
          <t>LECH_DOT_1</t>
        </is>
      </c>
      <c r="BA296" t="b">
        <v>1</v>
      </c>
      <c r="BB296" t="inlineStr">
        <is>
          <t>Assets/MachineBrigade/Resources/Data/balance.json: weapons[id=pt14_sb_v30] (lớp B trên 01_chien_dau/Vu_khi)</t>
        </is>
      </c>
      <c r="BC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0.85</v>
      </c>
      <c r="AE297">
        <f>INDEX(Bang_xuyen_giap!$C$2:$C$7,MIN(6,MAX(1,IF($O$297,MAX(1,2-(Vu_khi!$L$297-4)),2-(Vu_khi!$L$297-4))+1)))</f>
        <v/>
      </c>
      <c r="AF297" t="n">
        <v>0.25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60</v>
      </c>
      <c r="AK297">
        <f>IF($Q$297,$M$297*$AC$297*$U$297,0)</f>
        <v/>
      </c>
      <c r="AL297" t="n">
        <v>42.5</v>
      </c>
      <c r="AM297">
        <f>IF($Q$297,$M$297*$AE$297*$U$297,0)</f>
        <v/>
      </c>
      <c r="AN297" t="n">
        <v>12.5</v>
      </c>
      <c r="AO297">
        <f>IF($Q$297,$M$297*$AC$297*$Y$297,0)</f>
        <v/>
      </c>
      <c r="AP297" t="n">
        <v>63.74999999999999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LECH_DOT_1</t>
        </is>
      </c>
      <c r="BA297" t="b">
        <v>1</v>
      </c>
      <c r="BB297" t="inlineStr">
        <is>
          <t>Assets/MachineBrigade/Resources/Data/balance.json: weapons[id=pt14_sb_v105] (lớp B trên 01_chien_dau/Vu_khi)</t>
        </is>
      </c>
      <c r="BC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0.6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1.2</v>
      </c>
      <c r="AE298">
        <f>INDEX(Bang_xuyen_giap!$C$2:$C$7,MIN(6,MAX(1,IF($O$298,MAX(1,2-(Vu_khi!$L$298-4)),2-(Vu_khi!$L$298-4))+1)))</f>
        <v/>
      </c>
      <c r="AF298" t="n">
        <v>0.85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68.21052631578948</v>
      </c>
      <c r="AK298">
        <f>IF($Q$298,$M$298*$AC$298*$U$298,0)</f>
        <v/>
      </c>
      <c r="AL298" t="n">
        <v>68.21052631578948</v>
      </c>
      <c r="AM298">
        <f>IF($Q$298,$M$298*$AE$298*$U$298,0)</f>
        <v/>
      </c>
      <c r="AN298" t="n">
        <v>48.31578947368421</v>
      </c>
      <c r="AO298">
        <f>IF($Q$298,$M$298*$AC$298*$Y$298,0)</f>
        <v/>
      </c>
      <c r="AP298" t="n">
        <v>40.92631578947368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LECH_DOT_1</t>
        </is>
      </c>
      <c r="BA298" t="b">
        <v>1</v>
      </c>
      <c r="BB298" t="inlineStr">
        <is>
          <t>Assets/MachineBrigade/Resources/Data/balance.json: weapons[id=pt14_th_jagm] (lớp B trên 01_chien_dau/Vu_khi)</t>
        </is>
      </c>
      <c r="BC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0.5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0.85</v>
      </c>
      <c r="AE299">
        <f>INDEX(Bang_xuyen_giap!$C$2:$C$7,MIN(6,MAX(1,IF($O$299,MAX(1,2-(Vu_khi!$L$299-4)),2-(Vu_khi!$L$299-4))+1)))</f>
        <v/>
      </c>
      <c r="AF299" t="n">
        <v>0.25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134.9325337331335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1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inlineStr"/>
      <c r="AZ299" t="inlineStr">
        <is>
          <t>ok</t>
        </is>
      </c>
      <c r="BA299" t="b">
        <v>1</v>
      </c>
      <c r="BB299" t="inlineStr">
        <is>
          <t>Assets/MachineBrigade/Resources/Data/balance.json: weapons[id=pt14_th_pd] (lớp B trên 01_chien_dau/Vu_khi)</t>
        </is>
      </c>
      <c r="BC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0.5</v>
      </c>
      <c r="W300">
        <f>INDEX(Bang_sat_thuong!$C$2:$C$7,MATCH(Vu_khi!$K$300,Bang_sat_thuong!$A$2:$A$7,0))</f>
        <v/>
      </c>
      <c r="X300" t="n">
        <v>1.3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0.85</v>
      </c>
      <c r="AE300">
        <f>INDEX(Bang_xuyen_giap!$C$2:$C$7,MIN(6,MAX(1,IF($O$300,MAX(1,2-(Vu_khi!$L$300-4)),2-(Vu_khi!$L$300-4))+1)))</f>
        <v/>
      </c>
      <c r="AF300" t="n">
        <v>0.25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43.24324324324324</v>
      </c>
      <c r="AK300">
        <f>IF($Q$300,$M$300*$AC$300*$U$300,0)</f>
        <v/>
      </c>
      <c r="AL300" t="n">
        <v>30.63063063063063</v>
      </c>
      <c r="AM300">
        <f>IF($Q$300,$M$300*$AE$300*$U$300,0)</f>
        <v/>
      </c>
      <c r="AN300" t="n">
        <v>9.009009009009009</v>
      </c>
      <c r="AO300">
        <f>IF($Q$300,$M$300*$AC$300*$Y$300,0)</f>
        <v/>
      </c>
      <c r="AP300" t="n">
        <v>6.126126126126127</v>
      </c>
      <c r="AQ300">
        <f>IF($S$300,$M$300*$AG$300*$W$300,0)</f>
        <v/>
      </c>
      <c r="AR300" t="n">
        <v>93.6936936936937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1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6.359375</v>
      </c>
      <c r="AZ300" t="inlineStr">
        <is>
          <t>CHAM_QUA;LECH_DOT_1</t>
        </is>
      </c>
      <c r="BA300" t="b">
        <v>1</v>
      </c>
      <c r="BB300" t="inlineStr">
        <is>
          <t>Assets/MachineBrigade/Resources/Data/balance.json: weapons[id=pt14_th_v35] (lớp B trên 01_chien_dau/Vu_khi)</t>
        </is>
      </c>
      <c r="BC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1.5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369.6682464454977</v>
      </c>
      <c r="AK301">
        <f>IF($Q$301,$M$301*$AC$301*$U$301,0)</f>
        <v/>
      </c>
      <c r="AL301" t="n">
        <v>261.8483412322275</v>
      </c>
      <c r="AM301">
        <f>IF($Q$301,$M$301*$AE$301*$U$301,0)</f>
        <v/>
      </c>
      <c r="AN301" t="n">
        <v>77.01421800947868</v>
      </c>
      <c r="AO301">
        <f>IF($Q$301,$M$301*$AC$301*$Y$301,0)</f>
        <v/>
      </c>
      <c r="AP301" t="n">
        <v>392.7725118483413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3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1</v>
      </c>
      <c r="AZ301" t="inlineStr">
        <is>
          <t>LECH_HO</t>
        </is>
      </c>
      <c r="BA301" t="b">
        <v>0</v>
      </c>
      <c r="BB301" t="inlineStr">
        <is>
          <t>Assets/MachineBrigade/Resources/Data/balance.json: weapons[id=pt14_train_grad] (lớp B trên 01_chien_dau/Vu_khi)</t>
        </is>
      </c>
      <c r="BC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0.5</v>
      </c>
      <c r="W302">
        <f>INDEX(Bang_sat_thuong!$C$2:$C$7,MATCH(Vu_khi!$K$302,Bang_sat_thuong!$A$2:$A$7,0))</f>
        <v/>
      </c>
      <c r="X302" t="n">
        <v>1.3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34.17142857142857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inlineStr"/>
      <c r="AZ302" t="inlineStr">
        <is>
          <t>ok</t>
        </is>
      </c>
      <c r="BA302" t="inlineStr"/>
      <c r="BB302" t="inlineStr">
        <is>
          <t>Assets/MachineBrigade/Resources/Data/balance.json: weapons[id=r60] (lớp B trên 01_chien_dau/Vu_khi)</t>
        </is>
      </c>
      <c r="BC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0.6</v>
      </c>
      <c r="AA303">
        <f>INDEX(Bang_xuyen_giap!$C$2:$C$7,MIN(6,MAX(1,IF($O$303,MAX(1,2-(Vu_khi!$L$303-0)),2-(Vu_khi!$L$303-0))+1)))</f>
        <v/>
      </c>
      <c r="AB303" t="n">
        <v>1.2</v>
      </c>
      <c r="AC303">
        <f>INDEX(Bang_xuyen_giap!$C$2:$C$7,MIN(6,MAX(1,IF($O$303,MAX(1,2-(Vu_khi!$L$303-2)),2-(Vu_khi!$L$303-2))+1)))</f>
        <v/>
      </c>
      <c r="AD303" t="n">
        <v>1.2</v>
      </c>
      <c r="AE303">
        <f>INDEX(Bang_xuyen_giap!$C$2:$C$7,MIN(6,MAX(1,IF($O$303,MAX(1,2-(Vu_khi!$L$303-4)),2-(Vu_khi!$L$303-4))+1)))</f>
        <v/>
      </c>
      <c r="AF303" t="n">
        <v>0.85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87.42857142857143</v>
      </c>
      <c r="AK303">
        <f>IF($Q$303,$M$303*$AC$303*$U$303,0)</f>
        <v/>
      </c>
      <c r="AL303" t="n">
        <v>87.42857142857143</v>
      </c>
      <c r="AM303">
        <f>IF($Q$303,$M$303*$AE$303*$U$303,0)</f>
        <v/>
      </c>
      <c r="AN303" t="n">
        <v>61.92857142857143</v>
      </c>
      <c r="AO303">
        <f>IF($Q$303,$M$303*$AC$303*$Y$303,0)</f>
        <v/>
      </c>
      <c r="AP303" t="n">
        <v>52.45714285714286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3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inlineStr"/>
      <c r="AZ303" t="inlineStr">
        <is>
          <t>ok</t>
        </is>
      </c>
      <c r="BA303" t="inlineStr"/>
      <c r="BB303" t="inlineStr">
        <is>
          <t>Assets/MachineBrigade/Resources/Data/balance.json: weapons[id=railgun] (lớp B trên 01_chien_dau/Vu_khi)</t>
        </is>
      </c>
      <c r="BC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0.6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1</v>
      </c>
      <c r="AE304">
        <f>INDEX(Bang_xuyen_giap!$C$2:$C$7,MIN(6,MAX(1,IF($O$304,MAX(1,2-(Vu_khi!$L$304-4)),2-(Vu_khi!$L$304-4))+1)))</f>
        <v/>
      </c>
      <c r="AF304" t="n">
        <v>0.5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39.56320873582528</v>
      </c>
      <c r="AK304">
        <f>IF($Q$304,$M$304*$AC$304*$U$304,0)</f>
        <v/>
      </c>
      <c r="AL304" t="n">
        <v>32.96934061318774</v>
      </c>
      <c r="AM304">
        <f>IF($Q$304,$M$304*$AE$304*$U$304,0)</f>
        <v/>
      </c>
      <c r="AN304" t="n">
        <v>16.48467030659387</v>
      </c>
      <c r="AO304">
        <f>IF($Q$304,$M$304*$AC$304*$Y$304,0)</f>
        <v/>
      </c>
      <c r="AP304" t="n">
        <v>19.78160436791264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0.555567</v>
      </c>
      <c r="AZ304" t="inlineStr">
        <is>
          <t>NHANH_QUA</t>
        </is>
      </c>
      <c r="BA304" t="inlineStr"/>
      <c r="BB304" t="inlineStr">
        <is>
          <t>Assets/MachineBrigade/Resources/Data/balance.json: weapons[id=recoilless_106] (lớp B trên 01_chien_dau/Vu_khi)</t>
        </is>
      </c>
      <c r="BC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0.6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1</v>
      </c>
      <c r="AE305">
        <f>INDEX(Bang_xuyen_giap!$C$2:$C$7,MIN(6,MAX(1,IF($O$305,MAX(1,2-(Vu_khi!$L$305-4)),2-(Vu_khi!$L$305-4))+1)))</f>
        <v/>
      </c>
      <c r="AF305" t="n">
        <v>0.5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19.67213114754098</v>
      </c>
      <c r="AK305">
        <f>IF($Q$305,$M$305*$AC$305*$U$305,0)</f>
        <v/>
      </c>
      <c r="AL305" t="n">
        <v>16.39344262295082</v>
      </c>
      <c r="AM305">
        <f>IF($Q$305,$M$305*$AE$305*$U$305,0)</f>
        <v/>
      </c>
      <c r="AN305" t="n">
        <v>8.196721311475409</v>
      </c>
      <c r="AO305">
        <f>IF($Q$305,$M$305*$AC$305*$Y$305,0)</f>
        <v/>
      </c>
      <c r="AP305" t="n">
        <v>9.83606557377049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inlineStr"/>
      <c r="AZ305" t="inlineStr">
        <is>
          <t>ok</t>
        </is>
      </c>
      <c r="BA305" t="inlineStr"/>
      <c r="BB305" t="inlineStr">
        <is>
          <t>Assets/MachineBrigade/Resources/Data/balance.json: weapons[id=recon_missile] (lớp B trên 01_chien_dau/Vu_khi)</t>
        </is>
      </c>
      <c r="BC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64.93242142973457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32.46621071486729</v>
      </c>
      <c r="AO306">
        <f>IF($Q$306,$M$306*$AC$306*$Y$306,0)</f>
        <v/>
      </c>
      <c r="AP306" t="n">
        <v>97.39863214460186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0.079167</v>
      </c>
      <c r="AZ306" t="inlineStr">
        <is>
          <t>NHANH_QUA</t>
        </is>
      </c>
      <c r="BA306" t="inlineStr"/>
      <c r="BB306" t="inlineStr">
        <is>
          <t>Assets/MachineBrigade/Resources/Data/balance.json: weapons[id=rockets_300mm] (lớp B trên 01_chien_dau/Vu_khi)</t>
        </is>
      </c>
      <c r="BC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1.5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0.85</v>
      </c>
      <c r="AE307">
        <f>INDEX(Bang_xuyen_giap!$C$2:$C$7,MIN(6,MAX(1,IF($O$307,MAX(1,2-(Vu_khi!$L$307-4)),2-(Vu_khi!$L$307-4))+1)))</f>
        <v/>
      </c>
      <c r="AF307" t="n">
        <v>0.25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69.81818181818183</v>
      </c>
      <c r="AK307">
        <f>IF($Q$307,$M$307*$AC$307*$U$307,0)</f>
        <v/>
      </c>
      <c r="AL307" t="n">
        <v>49.45454545454546</v>
      </c>
      <c r="AM307">
        <f>IF($Q$307,$M$307*$AE$307*$U$307,0)</f>
        <v/>
      </c>
      <c r="AN307" t="n">
        <v>14.54545454545455</v>
      </c>
      <c r="AO307">
        <f>IF($Q$307,$M$307*$AC$307*$Y$307,0)</f>
        <v/>
      </c>
      <c r="AP307" t="n">
        <v>74.18181818181819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0.75</v>
      </c>
      <c r="AZ307" t="inlineStr">
        <is>
          <t>ok</t>
        </is>
      </c>
      <c r="BA307" t="inlineStr"/>
      <c r="BB307" t="inlineStr">
        <is>
          <t>Assets/MachineBrigade/Resources/Data/balance.json: weapons[id=s8_pods] (lớp B trên 01_chien_dau/Vu_khi)</t>
        </is>
      </c>
      <c r="BC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0.5</v>
      </c>
      <c r="W308">
        <f>INDEX(Bang_sat_thuong!$C$2:$C$7,MATCH(Vu_khi!$K$308,Bang_sat_thuong!$A$2:$A$7,0))</f>
        <v/>
      </c>
      <c r="X308" t="n">
        <v>1.3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0.85</v>
      </c>
      <c r="AE308">
        <f>INDEX(Bang_xuyen_giap!$C$2:$C$7,MIN(6,MAX(1,IF($O$308,MAX(1,2-(Vu_khi!$L$308-4)),2-(Vu_khi!$L$308-4))+1)))</f>
        <v/>
      </c>
      <c r="AF308" t="n">
        <v>0.25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0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IF($Q$308,$M$308*$AC$308*$Y$308,0)</f>
        <v/>
      </c>
      <c r="AP308" t="n">
        <v>0</v>
      </c>
      <c r="AQ308">
        <f>IF($S$308,$M$308*$AG$308*$W$308,0)</f>
        <v/>
      </c>
      <c r="AR308" t="n">
        <v>49.64061096136568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1.484</v>
      </c>
      <c r="AZ308" t="inlineStr">
        <is>
          <t>ok</t>
        </is>
      </c>
      <c r="BA308" t="inlineStr"/>
      <c r="BB308" t="inlineStr">
        <is>
          <t>Assets/MachineBrigade/Resources/Data/balance.json: weapons[id=sam] (lớp B trên 01_chien_dau/Vu_khi)</t>
        </is>
      </c>
      <c r="BC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0.5</v>
      </c>
      <c r="W309">
        <f>INDEX(Bang_sat_thuong!$C$2:$C$7,MATCH(Vu_khi!$K$309,Bang_sat_thuong!$A$2:$A$7,0))</f>
        <v/>
      </c>
      <c r="X309" t="n">
        <v>1.3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INDEX(Bang_xuyen_giap!$C$2:$C$7,MIN(6,MAX(1,IF($O$309,MAX(1,2-(Vu_khi!$L$309-0)),2-(Vu_khi!$L$309-0))+1)))</f>
        <v/>
      </c>
      <c r="AB309" t="n">
        <v>1</v>
      </c>
      <c r="AC309">
        <f>INDEX(Bang_xuyen_giap!$C$2:$C$7,MIN(6,MAX(1,IF($O$309,MAX(1,2-(Vu_khi!$L$309-2)),2-(Vu_khi!$L$309-2))+1)))</f>
        <v/>
      </c>
      <c r="AD309" t="n">
        <v>1</v>
      </c>
      <c r="AE309">
        <f>INDEX(Bang_xuyen_giap!$C$2:$C$7,MIN(6,MAX(1,IF($O$309,MAX(1,2-(Vu_khi!$L$309-4)),2-(Vu_khi!$L$309-4))+1)))</f>
        <v/>
      </c>
      <c r="AF309" t="n">
        <v>0.5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0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IF($Q$309,$M$309*$AC$309*$Y$309,0)</f>
        <v/>
      </c>
      <c r="AP309" t="n">
        <v>0</v>
      </c>
      <c r="AQ309">
        <f>IF($S$309,$M$309*$AG$309*$W$309,0)</f>
        <v/>
      </c>
      <c r="AR309" t="n">
        <v>113.75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2.4</v>
      </c>
      <c r="AZ309" t="inlineStr">
        <is>
          <t>ok</t>
        </is>
      </c>
      <c r="BA309" t="inlineStr"/>
      <c r="BB309" t="inlineStr">
        <is>
          <t>Assets/MachineBrigade/Resources/Data/balance.json: weapons[id=sam_48n6] (lớp B trên 01_chien_dau/Vu_khi)</t>
        </is>
      </c>
      <c r="BC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0.5</v>
      </c>
      <c r="W310">
        <f>INDEX(Bang_sat_thuong!$C$2:$C$7,MATCH(Vu_khi!$K$310,Bang_sat_thuong!$A$2:$A$7,0))</f>
        <v/>
      </c>
      <c r="X310" t="n">
        <v>1.3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INDEX(Bang_xuyen_giap!$C$2:$C$7,MIN(6,MAX(1,IF($O$310,MAX(1,2-(Vu_khi!$L$310-0)),2-(Vu_khi!$L$310-0))+1)))</f>
        <v/>
      </c>
      <c r="AB310" t="n">
        <v>1</v>
      </c>
      <c r="AC310">
        <f>INDEX(Bang_xuyen_giap!$C$2:$C$7,MIN(6,MAX(1,IF($O$310,MAX(1,2-(Vu_khi!$L$310-2)),2-(Vu_khi!$L$310-2))+1)))</f>
        <v/>
      </c>
      <c r="AD310" t="n">
        <v>1</v>
      </c>
      <c r="AE310">
        <f>INDEX(Bang_xuyen_giap!$C$2:$C$7,MIN(6,MAX(1,IF($O$310,MAX(1,2-(Vu_khi!$L$310-4)),2-(Vu_khi!$L$310-4))+1)))</f>
        <v/>
      </c>
      <c r="AF310" t="n">
        <v>0.5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0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IF($Q$310,$M$310*$AC$310*$Y$310,0)</f>
        <v/>
      </c>
      <c r="AP310" t="n">
        <v>0</v>
      </c>
      <c r="AQ310">
        <f>IF($S$310,$M$310*$AG$310*$W$310,0)</f>
        <v/>
      </c>
      <c r="AR310" t="n">
        <v>80.36363636363637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1.833333</v>
      </c>
      <c r="AZ310" t="inlineStr">
        <is>
          <t>ok</t>
        </is>
      </c>
      <c r="BA310" t="b">
        <v>1</v>
      </c>
      <c r="BB310" t="inlineStr">
        <is>
          <t>Assets/MachineBrigade/Resources/Data/balance.json: weapons[id=sam_battery] (lớp B trên 01_chien_dau/Vu_khi)</t>
        </is>
      </c>
      <c r="BC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</v>
      </c>
      <c r="AC311">
        <f>INDEX(Bang_xuyen_giap!$C$2:$C$7,MIN(6,MAX(1,IF($O$311,MAX(1,2-(Vu_khi!$L$311-2)),2-(Vu_khi!$L$311-2))+1)))</f>
        <v/>
      </c>
      <c r="AD311" t="n">
        <v>1</v>
      </c>
      <c r="AE311">
        <f>INDEX(Bang_xuyen_giap!$C$2:$C$7,MIN(6,MAX(1,IF($O$311,MAX(1,2-(Vu_khi!$L$311-4)),2-(Vu_khi!$L$311-4))+1)))</f>
        <v/>
      </c>
      <c r="AF311" t="n">
        <v>0.5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226.6666666666667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0.65</v>
      </c>
      <c r="AZ311" t="inlineStr">
        <is>
          <t>NHANH_QUA</t>
        </is>
      </c>
      <c r="BA311" t="inlineStr"/>
      <c r="BB311" t="inlineStr">
        <is>
          <t>Assets/MachineBrigade/Resources/Data/balance.json: weapons[id=sam_battery_lrr] (lớp B trên 01_chien_dau/Vu_khi)</t>
        </is>
      </c>
      <c r="BC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0.5</v>
      </c>
      <c r="W312">
        <f>INDEX(Bang_sat_thuong!$C$2:$C$7,MATCH(Vu_khi!$K$312,Bang_sat_thuong!$A$2:$A$7,0))</f>
        <v/>
      </c>
      <c r="X312" t="n">
        <v>1.3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</v>
      </c>
      <c r="AE312">
        <f>INDEX(Bang_xuyen_giap!$C$2:$C$7,MIN(6,MAX(1,IF($O$312,MAX(1,2-(Vu_khi!$L$312-4)),2-(Vu_khi!$L$312-4))+1)))</f>
        <v/>
      </c>
      <c r="AF312" t="n">
        <v>0.5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133.5473515248796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0.7787500000000001</v>
      </c>
      <c r="AZ312" t="inlineStr">
        <is>
          <t>NHANH_QUA</t>
        </is>
      </c>
      <c r="BA312" t="inlineStr"/>
      <c r="BB312" t="inlineStr">
        <is>
          <t>Assets/MachineBrigade/Resources/Data/balance.json: weapons[id=sam_long] (lớp B trên 01_chien_dau/Vu_khi)</t>
        </is>
      </c>
      <c r="BC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0.5</v>
      </c>
      <c r="W313">
        <f>INDEX(Bang_sat_thuong!$C$2:$C$7,MATCH(Vu_khi!$K$313,Bang_sat_thuong!$A$2:$A$7,0))</f>
        <v/>
      </c>
      <c r="X313" t="n">
        <v>1.3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INDEX(Bang_xuyen_giap!$C$2:$C$7,MIN(6,MAX(1,IF($O$313,MAX(1,2-(Vu_khi!$L$313-0)),2-(Vu_khi!$L$313-0))+1)))</f>
        <v/>
      </c>
      <c r="AB313" t="n">
        <v>1</v>
      </c>
      <c r="AC313">
        <f>INDEX(Bang_xuyen_giap!$C$2:$C$7,MIN(6,MAX(1,IF($O$313,MAX(1,2-(Vu_khi!$L$313-2)),2-(Vu_khi!$L$313-2))+1)))</f>
        <v/>
      </c>
      <c r="AD313" t="n">
        <v>1</v>
      </c>
      <c r="AE313">
        <f>INDEX(Bang_xuyen_giap!$C$2:$C$7,MIN(6,MAX(1,IF($O$313,MAX(1,2-(Vu_khi!$L$313-4)),2-(Vu_khi!$L$313-4))+1)))</f>
        <v/>
      </c>
      <c r="AF313" t="n">
        <v>0.5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139.7014925373134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n">
        <v>1.116667</v>
      </c>
      <c r="AZ313" t="inlineStr">
        <is>
          <t>NHANH_QUA</t>
        </is>
      </c>
      <c r="BA313" t="inlineStr"/>
      <c r="BB313" t="inlineStr">
        <is>
          <t>Assets/MachineBrigade/Resources/Data/balance.json: weapons[id=sam_pac3] (lớp B trên 01_chien_dau/Vu_khi)</t>
        </is>
      </c>
      <c r="BC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0.5</v>
      </c>
      <c r="W314">
        <f>INDEX(Bang_sat_thuong!$C$2:$C$7,MATCH(Vu_khi!$K$314,Bang_sat_thuong!$A$2:$A$7,0))</f>
        <v/>
      </c>
      <c r="X314" t="n">
        <v>1.3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</v>
      </c>
      <c r="AE314">
        <f>INDEX(Bang_xuyen_giap!$C$2:$C$7,MIN(6,MAX(1,IF($O$314,MAX(1,2-(Vu_khi!$L$314-4)),2-(Vu_khi!$L$314-4))+1)))</f>
        <v/>
      </c>
      <c r="AF314" t="n">
        <v>0.5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0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IF($Q$314,$M$314*$AC$314*$Y$314,0)</f>
        <v/>
      </c>
      <c r="AP314" t="n">
        <v>0</v>
      </c>
      <c r="AQ314">
        <f>IF($S$314,$M$314*$AG$314*$W$314,0)</f>
        <v/>
      </c>
      <c r="AR314" t="n">
        <v>189.0909090909091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2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0.55</v>
      </c>
      <c r="AZ314" t="inlineStr">
        <is>
          <t>NHANH_QUA</t>
        </is>
      </c>
      <c r="BA314" t="b">
        <v>1</v>
      </c>
      <c r="BB314" t="inlineStr">
        <is>
          <t>Assets/MachineBrigade/Resources/Data/balance.json: weapons[id=sam_post] (lớp B trên 01_chien_dau/Vu_khi)</t>
        </is>
      </c>
      <c r="BC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1.5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0.85</v>
      </c>
      <c r="AE315">
        <f>INDEX(Bang_xuyen_giap!$C$2:$C$7,MIN(6,MAX(1,IF($O$315,MAX(1,2-(Vu_khi!$L$315-4)),2-(Vu_khi!$L$315-4))+1)))</f>
        <v/>
      </c>
      <c r="AF315" t="n">
        <v>0.25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50.17421602787457</v>
      </c>
      <c r="AK315">
        <f>IF($Q$315,$M$315*$AC$315*$U$315,0)</f>
        <v/>
      </c>
      <c r="AL315" t="n">
        <v>35.54006968641115</v>
      </c>
      <c r="AM315">
        <f>IF($Q$315,$M$315*$AE$315*$U$315,0)</f>
        <v/>
      </c>
      <c r="AN315" t="n">
        <v>10.45296167247387</v>
      </c>
      <c r="AO315">
        <f>IF($Q$315,$M$315*$AC$315*$Y$315,0)</f>
        <v/>
      </c>
      <c r="AP315" t="n">
        <v>53.31010452961673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1.65</v>
      </c>
      <c r="AZ315" t="inlineStr">
        <is>
          <t>ok</t>
        </is>
      </c>
      <c r="BA315" t="inlineStr"/>
      <c r="BB315" t="inlineStr">
        <is>
          <t>Assets/MachineBrigade/Resources/Data/balance.json: weapons[id=scout_rockets] (lớp B trên 01_chien_dau/Vu_khi)</t>
        </is>
      </c>
      <c r="BC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</v>
      </c>
      <c r="AC316">
        <f>INDEX(Bang_xuyen_giap!$C$2:$C$7,MIN(6,MAX(1,IF($O$316,MAX(1,2-(Vu_khi!$L$316-2)),2-(Vu_khi!$L$316-2))+1)))</f>
        <v/>
      </c>
      <c r="AD316" t="n">
        <v>0.5</v>
      </c>
      <c r="AE316">
        <f>INDEX(Bang_xuyen_giap!$C$2:$C$7,MIN(6,MAX(1,IF($O$316,MAX(1,2-(Vu_khi!$L$316-4)),2-(Vu_khi!$L$316-4))+1)))</f>
        <v/>
      </c>
      <c r="AF316" t="n">
        <v>0.1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0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IF($Q$316,$M$316*$AC$316*$Y$316,0)</f>
        <v/>
      </c>
      <c r="AP316" t="n">
        <v>0</v>
      </c>
      <c r="AQ316">
        <f>IF($S$316,$M$316*$AG$316*$W$316,0)</f>
        <v/>
      </c>
      <c r="AR316" t="n">
        <v>26.66666666666666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0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LECH_DOT_1</t>
        </is>
      </c>
      <c r="BA316" t="b">
        <v>1</v>
      </c>
      <c r="BB316" t="inlineStr">
        <is>
          <t>Assets/MachineBrigade/Resources/Data/balance.json: weapons[id=scylla_2m7] (lớp B trên 01_chien_dau/Vu_khi)</t>
        </is>
      </c>
      <c r="BC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0.5</v>
      </c>
      <c r="W317">
        <f>INDEX(Bang_sat_thuong!$C$2:$C$7,MATCH(Vu_khi!$K$317,Bang_sat_thuong!$A$2:$A$7,0))</f>
        <v/>
      </c>
      <c r="X317" t="n">
        <v>1.3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0.5</v>
      </c>
      <c r="AE317">
        <f>INDEX(Bang_xuyen_giap!$C$2:$C$7,MIN(6,MAX(1,IF($O$317,MAX(1,2-(Vu_khi!$L$317-4)),2-(Vu_khi!$L$317-4))+1)))</f>
        <v/>
      </c>
      <c r="AF317" t="n">
        <v>0.1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0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IF($Q$317,$M$317*$AC$317*$Y$317,0)</f>
        <v/>
      </c>
      <c r="AP317" t="n">
        <v>0</v>
      </c>
      <c r="AQ317">
        <f>IF($S$317,$M$317*$AG$317*$W$317,0)</f>
        <v/>
      </c>
      <c r="AR317" t="n">
        <v>156.78391959799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1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inlineStr"/>
      <c r="AZ317" t="inlineStr">
        <is>
          <t>LECH_DOT_1</t>
        </is>
      </c>
      <c r="BA317" t="b">
        <v>1</v>
      </c>
      <c r="BB317" t="inlineStr">
        <is>
          <t>Assets/MachineBrigade/Resources/Data/balance.json: weapons[id=scylla_ak230] (lớp B trên 01_chien_dau/Vu_khi)</t>
        </is>
      </c>
      <c r="BC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1.2</v>
      </c>
      <c r="AE318">
        <f>INDEX(Bang_xuyen_giap!$C$2:$C$7,MIN(6,MAX(1,IF($O$318,MAX(1,2-(Vu_khi!$L$318-4)),2-(Vu_khi!$L$318-4))+1)))</f>
        <v/>
      </c>
      <c r="AF318" t="n">
        <v>0.85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24.31718061674009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17.22466960352423</v>
      </c>
      <c r="AO318">
        <f>IF($Q$318,$M$318*$AC$318*$Y$318,0)</f>
        <v/>
      </c>
      <c r="AP318" t="n">
        <v>36.47577092511013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4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2.5</v>
      </c>
      <c r="AY318" t="inlineStr"/>
      <c r="AZ318" t="inlineStr">
        <is>
          <t>ok</t>
        </is>
      </c>
      <c r="BA318" t="b">
        <v>1</v>
      </c>
      <c r="BB318" t="inlineStr">
        <is>
          <t>Assets/MachineBrigade/Resources/Data/balance.json: weapons[id=scylla_kh35] (lớp B trên 01_chien_dau/Vu_khi)</t>
        </is>
      </c>
      <c r="BC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1.5</v>
      </c>
      <c r="AA319">
        <f>INDEX(Bang_xuyen_giap!$C$2:$C$7,MIN(6,MAX(1,IF($O$319,MAX(1,2-(Vu_khi!$L$319-0)),2-(Vu_khi!$L$319-0))+1)))</f>
        <v/>
      </c>
      <c r="AB319" t="n">
        <v>1</v>
      </c>
      <c r="AC319">
        <f>INDEX(Bang_xuyen_giap!$C$2:$C$7,MIN(6,MAX(1,IF($O$319,MAX(1,2-(Vu_khi!$L$319-2)),2-(Vu_khi!$L$319-2))+1)))</f>
        <v/>
      </c>
      <c r="AD319" t="n">
        <v>1</v>
      </c>
      <c r="AE319">
        <f>INDEX(Bang_xuyen_giap!$C$2:$C$7,MIN(6,MAX(1,IF($O$319,MAX(1,2-(Vu_khi!$L$319-4)),2-(Vu_khi!$L$319-4))+1)))</f>
        <v/>
      </c>
      <c r="AF319" t="n">
        <v>0.5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33.72549019607843</v>
      </c>
      <c r="AK319">
        <f>IF($Q$319,$M$319*$AC$319*$U$319,0)</f>
        <v/>
      </c>
      <c r="AL319" t="n">
        <v>33.72549019607843</v>
      </c>
      <c r="AM319">
        <f>IF($Q$319,$M$319*$AE$319*$U$319,0)</f>
        <v/>
      </c>
      <c r="AN319" t="n">
        <v>16.86274509803922</v>
      </c>
      <c r="AO319">
        <f>IF($Q$319,$M$319*$AC$319*$Y$319,0)</f>
        <v/>
      </c>
      <c r="AP319" t="n">
        <v>50.58823529411765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inlineStr"/>
      <c r="AZ319" t="inlineStr">
        <is>
          <t>ok</t>
        </is>
      </c>
      <c r="BA319" t="inlineStr"/>
      <c r="BB319" t="inlineStr">
        <is>
          <t>Assets/MachineBrigade/Resources/Data/balance.json: weapons[id=shahed] (lớp B trên 01_chien_dau/Vu_khi)</t>
        </is>
      </c>
      <c r="BC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0.6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1</v>
      </c>
      <c r="AE320">
        <f>INDEX(Bang_xuyen_giap!$C$2:$C$7,MIN(6,MAX(1,IF($O$320,MAX(1,2-(Vu_khi!$L$320-4)),2-(Vu_khi!$L$320-4))+1)))</f>
        <v/>
      </c>
      <c r="AF320" t="n">
        <v>0.5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55.33404352457769</v>
      </c>
      <c r="AK320">
        <f>IF($Q$320,$M$320*$AC$320*$U$320,0)</f>
        <v/>
      </c>
      <c r="AL320" t="n">
        <v>46.11170293714807</v>
      </c>
      <c r="AM320">
        <f>IF($Q$320,$M$320*$AE$320*$U$320,0)</f>
        <v/>
      </c>
      <c r="AN320" t="n">
        <v>23.05585146857404</v>
      </c>
      <c r="AO320">
        <f>IF($Q$320,$M$320*$AC$320*$Y$320,0)</f>
        <v/>
      </c>
      <c r="AP320" t="n">
        <v>27.66702176228884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0.766617</v>
      </c>
      <c r="AZ320" t="inlineStr">
        <is>
          <t>LECH_DOT_1</t>
        </is>
      </c>
      <c r="BA320" t="inlineStr"/>
      <c r="BB320" t="inlineStr">
        <is>
          <t>Assets/MachineBrigade/Resources/Data/balance.json: weapons[id=siege_gun_105] (lớp B trên 01_chien_dau/Vu_khi)</t>
        </is>
      </c>
      <c r="BC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1.5</v>
      </c>
      <c r="AA321">
        <f>INDEX(Bang_xuyen_giap!$C$2:$C$7,MIN(6,MAX(1,IF($O$321,MAX(1,2-(Vu_khi!$L$321-0)),2-(Vu_khi!$L$321-0))+1)))</f>
        <v/>
      </c>
      <c r="AB321" t="n">
        <v>1.2</v>
      </c>
      <c r="AC321">
        <f>INDEX(Bang_xuyen_giap!$C$2:$C$7,MIN(6,MAX(1,IF($O$321,MAX(1,2-(Vu_khi!$L$321-2)),2-(Vu_khi!$L$321-2))+1)))</f>
        <v/>
      </c>
      <c r="AD321" t="n">
        <v>0.85</v>
      </c>
      <c r="AE321">
        <f>INDEX(Bang_xuyen_giap!$C$2:$C$7,MIN(6,MAX(1,IF($O$321,MAX(1,2-(Vu_khi!$L$321-4)),2-(Vu_khi!$L$321-4))+1)))</f>
        <v/>
      </c>
      <c r="AF321" t="n">
        <v>0.25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55.33404352457769</v>
      </c>
      <c r="AK321">
        <f>IF($Q$321,$M$321*$AC$321*$U$321,0)</f>
        <v/>
      </c>
      <c r="AL321" t="n">
        <v>39.19494749657586</v>
      </c>
      <c r="AM321">
        <f>IF($Q$321,$M$321*$AE$321*$U$321,0)</f>
        <v/>
      </c>
      <c r="AN321" t="n">
        <v>11.52792573428702</v>
      </c>
      <c r="AO321">
        <f>IF($Q$321,$M$321*$AC$321*$Y$321,0)</f>
        <v/>
      </c>
      <c r="AP321" t="n">
        <v>58.79242124486379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BB321" t="inlineStr">
        <is>
          <t>Assets/MachineBrigade/Resources/Data/balance.json: weapons[id=siege_gun_105_he] (lớp B trên 01_chien_dau/Vu_khi)</t>
        </is>
      </c>
      <c r="BC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1.5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1</v>
      </c>
      <c r="AE322">
        <f>INDEX(Bang_xuyen_giap!$C$2:$C$7,MIN(6,MAX(1,IF($O$322,MAX(1,2-(Vu_khi!$L$322-4)),2-(Vu_khi!$L$322-4))+1)))</f>
        <v/>
      </c>
      <c r="AF322" t="n">
        <v>0.85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46.79426533731169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39.77512553671494</v>
      </c>
      <c r="AO322">
        <f>IF($Q$322,$M$322*$AC$322*$Y$322,0)</f>
        <v/>
      </c>
      <c r="AP322" t="n">
        <v>70.19139800596754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1</v>
      </c>
      <c r="AU322">
        <f>IF(AND($B$322&lt;0,$AS$322),4,$B$322)</f>
        <v/>
      </c>
      <c r="AV322" t="n">
        <v>4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2.5</v>
      </c>
      <c r="AY322" t="n">
        <v>0.160312</v>
      </c>
      <c r="AZ322" t="inlineStr">
        <is>
          <t>NHANH_QUA;LECH_DOT_1</t>
        </is>
      </c>
      <c r="BA322" t="inlineStr"/>
      <c r="BB322" t="inlineStr">
        <is>
          <t>Assets/MachineBrigade/Resources/Data/balance.json: weapons[id=siege_mortar_240] (lớp B trên 01_chien_dau/Vu_khi)</t>
        </is>
      </c>
      <c r="BC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0.6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</v>
      </c>
      <c r="AE323">
        <f>INDEX(Bang_xuyen_giap!$C$2:$C$7,MIN(6,MAX(1,IF($O$323,MAX(1,2-(Vu_khi!$L$323-4)),2-(Vu_khi!$L$323-4))+1)))</f>
        <v/>
      </c>
      <c r="AF323" t="n">
        <v>0.5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32.36436142302445</v>
      </c>
      <c r="AK323">
        <f>IF($Q$323,$M$323*$AC$323*$U$323,0)</f>
        <v/>
      </c>
      <c r="AL323" t="n">
        <v>26.97030118585371</v>
      </c>
      <c r="AM323">
        <f>IF($Q$323,$M$323*$AE$323*$U$323,0)</f>
        <v/>
      </c>
      <c r="AN323" t="n">
        <v>13.48515059292686</v>
      </c>
      <c r="AO323">
        <f>IF($Q$323,$M$323*$AC$323*$Y$323,0)</f>
        <v/>
      </c>
      <c r="AP323" t="n">
        <v>16.18218071151222</v>
      </c>
      <c r="AQ323">
        <f>IF($S$323,$M$323*$AG$323*$W$323,0)</f>
        <v/>
      </c>
      <c r="AR323" t="n">
        <v>8.091090355756112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0.66703</v>
      </c>
      <c r="AZ323" t="inlineStr">
        <is>
          <t>ok</t>
        </is>
      </c>
      <c r="BA323" t="inlineStr"/>
      <c r="BB323" t="inlineStr">
        <is>
          <t>Assets/MachineBrigade/Resources/Data/balance.json: weapons[id=spg9_73mm] (lớp B trên 01_chien_dau/Vu_khi)</t>
        </is>
      </c>
      <c r="BC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1.5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1</v>
      </c>
      <c r="AE324">
        <f>INDEX(Bang_xuyen_giap!$C$2:$C$7,MIN(6,MAX(1,IF($O$324,MAX(1,2-(Vu_khi!$L$324-4)),2-(Vu_khi!$L$324-4))+1)))</f>
        <v/>
      </c>
      <c r="AF324" t="n">
        <v>0.85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124.7552447552447</v>
      </c>
      <c r="AK324">
        <f>IF($Q$324,$M$324*$AC$324*$U$324,0)</f>
        <v/>
      </c>
      <c r="AL324" t="n">
        <v>124.7552447552447</v>
      </c>
      <c r="AM324">
        <f>IF($Q$324,$M$324*$AE$324*$U$324,0)</f>
        <v/>
      </c>
      <c r="AN324" t="n">
        <v>106.041958041958</v>
      </c>
      <c r="AO324">
        <f>IF($Q$324,$M$324*$AC$324*$Y$324,0)</f>
        <v/>
      </c>
      <c r="AP324" t="n">
        <v>187.1328671328671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1</v>
      </c>
      <c r="AU324">
        <f>IF(AND($B$324&lt;0,$AS$324),4,$B$324)</f>
        <v/>
      </c>
      <c r="AV324" t="n">
        <v>4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3.388888888888889</v>
      </c>
      <c r="AY324" t="n">
        <v>3</v>
      </c>
      <c r="AZ324" t="inlineStr">
        <is>
          <t>ok</t>
        </is>
      </c>
      <c r="BA324" t="inlineStr"/>
      <c r="BB324" t="inlineStr">
        <is>
          <t>Assets/MachineBrigade/Resources/Data/balance.json: weapons[id=stealth_payload] (lớp B trên 01_chien_dau/Vu_khi)</t>
        </is>
      </c>
      <c r="BC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25.51267916207277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inlineStr"/>
      <c r="AZ325" t="inlineStr">
        <is>
          <t>ok</t>
        </is>
      </c>
      <c r="BA325" t="inlineStr"/>
      <c r="BB325" t="inlineStr">
        <is>
          <t>Assets/MachineBrigade/Resources/Data/balance.json: weapons[id=stinger_atas] (lớp B trên 01_chien_dau/Vu_khi)</t>
        </is>
      </c>
      <c r="BC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0.5</v>
      </c>
      <c r="W326">
        <f>INDEX(Bang_sat_thuong!$C$2:$C$7,MATCH(Vu_khi!$K$326,Bang_sat_thuong!$A$2:$A$7,0))</f>
        <v/>
      </c>
      <c r="X326" t="n">
        <v>1.3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0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IF($Q$326,$M$326*$AC$326*$Y$326,0)</f>
        <v/>
      </c>
      <c r="AP326" t="n">
        <v>0</v>
      </c>
      <c r="AQ326">
        <f>IF($S$326,$M$326*$AG$326*$W$326,0)</f>
        <v/>
      </c>
      <c r="AR326" t="n">
        <v>49.64061096136568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1.484</v>
      </c>
      <c r="AZ326" t="inlineStr">
        <is>
          <t>ok</t>
        </is>
      </c>
      <c r="BA326" t="inlineStr"/>
      <c r="BB326" t="inlineStr">
        <is>
          <t>Assets/MachineBrigade/Resources/Data/balance.json: weapons[id=stinger_post] (lớp B trên 01_chien_dau/Vu_khi)</t>
        </is>
      </c>
      <c r="BC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0.3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0.6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1</v>
      </c>
      <c r="AE327">
        <f>INDEX(Bang_xuyen_giap!$C$2:$C$7,MIN(6,MAX(1,IF($O$327,MAX(1,2-(Vu_khi!$L$327-4)),2-(Vu_khi!$L$327-4))+1)))</f>
        <v/>
      </c>
      <c r="AF327" t="n">
        <v>0.5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42.42424242424243</v>
      </c>
      <c r="AK327">
        <f>IF($Q$327,$M$327*$AC$327*$U$327,0)</f>
        <v/>
      </c>
      <c r="AL327" t="n">
        <v>42.42424242424243</v>
      </c>
      <c r="AM327">
        <f>IF($Q$327,$M$327*$AE$327*$U$327,0)</f>
        <v/>
      </c>
      <c r="AN327" t="n">
        <v>21.21212121212121</v>
      </c>
      <c r="AO327">
        <f>IF($Q$327,$M$327*$AC$327*$Y$327,0)</f>
        <v/>
      </c>
      <c r="AP327" t="n">
        <v>25.45454545454546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2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weapons[id=swarm_drones] (lớp B trên 01_chien_dau/Vu_khi)</t>
        </is>
      </c>
      <c r="BC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0.5</v>
      </c>
      <c r="W328">
        <f>INDEX(Bang_sat_thuong!$C$2:$C$7,MATCH(Vu_khi!$K$328,Bang_sat_thuong!$A$2:$A$7,0))</f>
        <v/>
      </c>
      <c r="X328" t="n">
        <v>1.3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0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IF($Q$328,$M$328*$AC$328*$Y$328,0)</f>
        <v/>
      </c>
      <c r="AP328" t="n">
        <v>0</v>
      </c>
      <c r="AQ328">
        <f>IF($S$328,$M$328*$AG$328*$W$328,0)</f>
        <v/>
      </c>
      <c r="AR328" t="n">
        <v>20.92682926829269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6.833333</v>
      </c>
      <c r="AZ328" t="inlineStr">
        <is>
          <t>CHAM_QUA</t>
        </is>
      </c>
      <c r="BA328" t="inlineStr"/>
      <c r="BB328" t="inlineStr">
        <is>
          <t>Assets/MachineBrigade/Resources/Data/balance.json: weapons[id=tamir] (lớp B trên 01_chien_dau/Vu_khi)</t>
        </is>
      </c>
      <c r="BC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1.5</v>
      </c>
      <c r="AA329">
        <f>INDEX(Bang_xuyen_giap!$C$2:$C$7,MIN(6,MAX(1,IF($O$329,MAX(1,2-(Vu_khi!$L$329-0)),2-(Vu_khi!$L$329-0))+1)))</f>
        <v/>
      </c>
      <c r="AB329" t="n">
        <v>1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23.34905660377359</v>
      </c>
      <c r="AK329">
        <f>IF($Q$329,$M$329*$AC$329*$U$329,0)</f>
        <v/>
      </c>
      <c r="AL329" t="n">
        <v>19.84669811320755</v>
      </c>
      <c r="AM329">
        <f>IF($Q$329,$M$329*$AE$329*$U$329,0)</f>
        <v/>
      </c>
      <c r="AN329" t="n">
        <v>5.837264150943397</v>
      </c>
      <c r="AO329">
        <f>IF($Q$329,$M$329*$AC$329*$Y$329,0)</f>
        <v/>
      </c>
      <c r="AP329" t="n">
        <v>29.77004716981132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AY329" t="n">
        <v>0.833333</v>
      </c>
      <c r="AZ329" t="inlineStr">
        <is>
          <t>ok</t>
        </is>
      </c>
      <c r="BA329" t="inlineStr"/>
      <c r="BB329" t="inlineStr">
        <is>
          <t>Assets/MachineBrigade/Resources/Data/balance.json: weapons[id=technical_rockets] (lớp B trên 01_chien_dau/Vu_khi)</t>
        </is>
      </c>
      <c r="BC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INDEX(Bang_xuyen_giap!$C$2:$C$7,MIN(6,MAX(1,IF($O$330,MAX(1,2-(Vu_khi!$L$330-0)),2-(Vu_khi!$L$330-0))+1)))</f>
        <v/>
      </c>
      <c r="AB330" t="n">
        <v>1</v>
      </c>
      <c r="AC330">
        <f>INDEX(Bang_xuyen_giap!$C$2:$C$7,MIN(6,MAX(1,IF($O$330,MAX(1,2-(Vu_khi!$L$330-2)),2-(Vu_khi!$L$330-2))+1)))</f>
        <v/>
      </c>
      <c r="AD330" t="n">
        <v>1</v>
      </c>
      <c r="AE330">
        <f>INDEX(Bang_xuyen_giap!$C$2:$C$7,MIN(6,MAX(1,IF($O$330,MAX(1,2-(Vu_khi!$L$330-4)),2-(Vu_khi!$L$330-4))+1)))</f>
        <v/>
      </c>
      <c r="AF330" t="n">
        <v>0.5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47.52960391996734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23.76480195998367</v>
      </c>
      <c r="AO330">
        <f>IF($Q$330,$M$330*$AC$330*$Y$330,0)</f>
        <v/>
      </c>
      <c r="AP330" t="n">
        <v>95.05920783993467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1.2</v>
      </c>
      <c r="AZ330" t="inlineStr">
        <is>
          <t>ok</t>
        </is>
      </c>
      <c r="BA330" t="inlineStr"/>
      <c r="BB330" t="inlineStr">
        <is>
          <t>Assets/MachineBrigade/Resources/Data/balance.json: weapons[id=thermobaric_rockets] (lớp B trên 01_chien_dau/Vu_khi)</t>
        </is>
      </c>
      <c r="BC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80</v>
      </c>
      <c r="AK331">
        <f>IF($Q$331,$M$331*$AC$331*$U$331,0)</f>
        <v/>
      </c>
      <c r="AL331" t="n">
        <v>56.66666666666667</v>
      </c>
      <c r="AM331">
        <f>IF($Q$331,$M$331*$AE$331*$U$331,0)</f>
        <v/>
      </c>
      <c r="AN331" t="n">
        <v>16.66666666666667</v>
      </c>
      <c r="AO331">
        <f>IF($Q$331,$M$331*$AC$331*$Y$331,0)</f>
        <v/>
      </c>
      <c r="AP331" t="n">
        <v>34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2.125</v>
      </c>
      <c r="AZ331" t="inlineStr">
        <is>
          <t>ok</t>
        </is>
      </c>
      <c r="BA331" t="inlineStr"/>
      <c r="BB331" t="inlineStr">
        <is>
          <t>Assets/MachineBrigade/Resources/Data/balance.json: weapons[id=tower_ac25] (lớp B trên 01_chien_dau/Vu_khi)</t>
        </is>
      </c>
      <c r="BC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0.5</v>
      </c>
      <c r="W332">
        <f>INDEX(Bang_sat_thuong!$C$2:$C$7,MATCH(Vu_khi!$K$332,Bang_sat_thuong!$A$2:$A$7,0))</f>
        <v/>
      </c>
      <c r="X332" t="n">
        <v>1.3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INDEX(Bang_xuyen_giap!$C$2:$C$7,MIN(6,MAX(1,IF($O$332,MAX(1,2-(Vu_khi!$L$332-0)),2-(Vu_khi!$L$332-0))+1)))</f>
        <v/>
      </c>
      <c r="AB332" t="n">
        <v>1</v>
      </c>
      <c r="AC332">
        <f>INDEX(Bang_xuyen_giap!$C$2:$C$7,MIN(6,MAX(1,IF($O$332,MAX(1,2-(Vu_khi!$L$332-2)),2-(Vu_khi!$L$332-2))+1)))</f>
        <v/>
      </c>
      <c r="AD332" t="n">
        <v>0.5</v>
      </c>
      <c r="AE332">
        <f>INDEX(Bang_xuyen_giap!$C$2:$C$7,MIN(6,MAX(1,IF($O$332,MAX(1,2-(Vu_khi!$L$332-4)),2-(Vu_khi!$L$332-4))+1)))</f>
        <v/>
      </c>
      <c r="AF332" t="n">
        <v>0.1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0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IF($Q$332,$M$332*$AC$332*$Y$332,0)</f>
        <v/>
      </c>
      <c r="AP332" t="n">
        <v>0</v>
      </c>
      <c r="AQ332">
        <f>IF($S$332,$M$332*$AG$332*$W$332,0)</f>
        <v/>
      </c>
      <c r="AR332" t="n">
        <v>86.66666666666667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BB332" t="inlineStr">
        <is>
          <t>Assets/MachineBrigade/Resources/Data/balance.json: weapons[id=tower_ac25_flak] (lớp B trên 01_chien_dau/Vu_khi)</t>
        </is>
      </c>
      <c r="BC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1.5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0.85</v>
      </c>
      <c r="AE333">
        <f>INDEX(Bang_xuyen_giap!$C$2:$C$7,MIN(6,MAX(1,IF($O$333,MAX(1,2-(Vu_khi!$L$333-4)),2-(Vu_khi!$L$333-4))+1)))</f>
        <v/>
      </c>
      <c r="AF333" t="n">
        <v>0.25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35.32075471698113</v>
      </c>
      <c r="AK333">
        <f>IF($Q$333,$M$333*$AC$333*$U$333,0)</f>
        <v/>
      </c>
      <c r="AL333" t="n">
        <v>25.0188679245283</v>
      </c>
      <c r="AM333">
        <f>IF($Q$333,$M$333*$AE$333*$U$333,0)</f>
        <v/>
      </c>
      <c r="AN333" t="n">
        <v>7.358490566037736</v>
      </c>
      <c r="AO333">
        <f>IF($Q$333,$M$333*$AC$333*$Y$333,0)</f>
        <v/>
      </c>
      <c r="AP333" t="n">
        <v>37.52830188679246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5.520833</v>
      </c>
      <c r="AZ333" t="inlineStr">
        <is>
          <t>LECH_DOT_1</t>
        </is>
      </c>
      <c r="BA333" t="inlineStr"/>
      <c r="BB333" t="inlineStr">
        <is>
          <t>Assets/MachineBrigade/Resources/Data/balance.json: weapons[id=tower_agl] (lớp B trên 01_chien_dau/Vu_khi)</t>
        </is>
      </c>
      <c r="BC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0.5</v>
      </c>
      <c r="W334">
        <f>INDEX(Bang_sat_thuong!$C$2:$C$7,MATCH(Vu_khi!$K$334,Bang_sat_thuong!$A$2:$A$7,0))</f>
        <v/>
      </c>
      <c r="X334" t="n">
        <v>1.3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INDEX(Bang_xuyen_giap!$C$2:$C$7,MIN(6,MAX(1,IF($O$334,MAX(1,2-(Vu_khi!$L$334-0)),2-(Vu_khi!$L$334-0))+1)))</f>
        <v/>
      </c>
      <c r="AB334" t="n">
        <v>1.2</v>
      </c>
      <c r="AC334">
        <f>INDEX(Bang_xuyen_giap!$C$2:$C$7,MIN(6,MAX(1,IF($O$334,MAX(1,2-(Vu_khi!$L$334-2)),2-(Vu_khi!$L$334-2))+1)))</f>
        <v/>
      </c>
      <c r="AD334" t="n">
        <v>0.85</v>
      </c>
      <c r="AE334">
        <f>INDEX(Bang_xuyen_giap!$C$2:$C$7,MIN(6,MAX(1,IF($O$334,MAX(1,2-(Vu_khi!$L$334-4)),2-(Vu_khi!$L$334-4))+1)))</f>
        <v/>
      </c>
      <c r="AF334" t="n">
        <v>0.25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78.35820895522387</v>
      </c>
      <c r="AK334">
        <f>IF($Q$334,$M$334*$AC$334*$U$334,0)</f>
        <v/>
      </c>
      <c r="AL334" t="n">
        <v>55.50373134328358</v>
      </c>
      <c r="AM334">
        <f>IF($Q$334,$M$334*$AE$334*$U$334,0)</f>
        <v/>
      </c>
      <c r="AN334" t="n">
        <v>16.32462686567164</v>
      </c>
      <c r="AO334">
        <f>IF($Q$334,$M$334*$AC$334*$Y$334,0)</f>
        <v/>
      </c>
      <c r="AP334" t="n">
        <v>11.10074626865672</v>
      </c>
      <c r="AQ334">
        <f>IF($S$334,$M$334*$AG$334*$W$334,0)</f>
        <v/>
      </c>
      <c r="AR334" t="n">
        <v>169.776119402985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1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n">
        <v>4.466667</v>
      </c>
      <c r="AZ334" t="inlineStr">
        <is>
          <t>ok</t>
        </is>
      </c>
      <c r="BA334" t="inlineStr"/>
      <c r="BB334" t="inlineStr">
        <is>
          <t>Assets/MachineBrigade/Resources/Data/balance.json: weapons[id=tower_flak_30] (lớp B trên 01_chien_dau/Vu_khi)</t>
        </is>
      </c>
      <c r="BC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0.6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156.7164179104477</v>
      </c>
      <c r="AK335">
        <f>IF($Q$335,$M$335*$AC$335*$U$335,0)</f>
        <v/>
      </c>
      <c r="AL335" t="n">
        <v>111.0074626865672</v>
      </c>
      <c r="AM335">
        <f>IF($Q$335,$M$335*$AE$335*$U$335,0)</f>
        <v/>
      </c>
      <c r="AN335" t="n">
        <v>32.64925373134328</v>
      </c>
      <c r="AO335">
        <f>IF($Q$335,$M$335*$AC$335*$Y$335,0)</f>
        <v/>
      </c>
      <c r="AP335" t="n">
        <v>66.6044776119403</v>
      </c>
      <c r="AQ335">
        <f>IF($S$335,$M$335*$AG$335*$W$335,0)</f>
        <v/>
      </c>
      <c r="AR335" t="n">
        <v>0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1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BB335" t="inlineStr">
        <is>
          <t>Assets/MachineBrigade/Resources/Data/balance.json: weapons[id=tower_flak_30_ap] (lớp B trên 01_chien_dau/Vu_khi)</t>
        </is>
      </c>
      <c r="BC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0.6</v>
      </c>
      <c r="AA336">
        <f>INDEX(Bang_xuyen_giap!$C$2:$C$7,MIN(6,MAX(1,IF($O$336,MAX(1,2-(Vu_khi!$L$336-0)),2-(Vu_khi!$L$336-0))+1)))</f>
        <v/>
      </c>
      <c r="AB336" t="n">
        <v>1</v>
      </c>
      <c r="AC336">
        <f>INDEX(Bang_xuyen_giap!$C$2:$C$7,MIN(6,MAX(1,IF($O$336,MAX(1,2-(Vu_khi!$L$336-2)),2-(Vu_khi!$L$336-2))+1)))</f>
        <v/>
      </c>
      <c r="AD336" t="n">
        <v>0.5</v>
      </c>
      <c r="AE336">
        <f>INDEX(Bang_xuyen_giap!$C$2:$C$7,MIN(6,MAX(1,IF($O$336,MAX(1,2-(Vu_khi!$L$336-4)),2-(Vu_khi!$L$336-4))+1)))</f>
        <v/>
      </c>
      <c r="AF336" t="n">
        <v>0.1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76</v>
      </c>
      <c r="AK336">
        <f>IF($Q$336,$M$336*$AC$336*$U$336,0)</f>
        <v/>
      </c>
      <c r="AL336" t="n">
        <v>38</v>
      </c>
      <c r="AM336">
        <f>IF($Q$336,$M$336*$AE$336*$U$336,0)</f>
        <v/>
      </c>
      <c r="AN336" t="n">
        <v>7.600000000000001</v>
      </c>
      <c r="AO336">
        <f>IF($Q$336,$M$336*$AC$336*$Y$336,0)</f>
        <v/>
      </c>
      <c r="AP336" t="n">
        <v>22.8</v>
      </c>
      <c r="AQ336">
        <f>IF($S$336,$M$336*$AG$336*$W$336,0)</f>
        <v/>
      </c>
      <c r="AR336" t="n">
        <v>22.8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0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1.25</v>
      </c>
      <c r="AZ336" t="inlineStr">
        <is>
          <t>ok</t>
        </is>
      </c>
      <c r="BA336" t="inlineStr"/>
      <c r="BB336" t="inlineStr">
        <is>
          <t>Assets/MachineBrigade/Resources/Data/balance.json: weapons[id=tower_hmg] (lớp B trên 01_chien_dau/Vu_khi)</t>
        </is>
      </c>
      <c r="BC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0.6</v>
      </c>
      <c r="AA337">
        <f>INDEX(Bang_xuyen_giap!$C$2:$C$7,MIN(6,MAX(1,IF($O$337,MAX(1,2-(Vu_khi!$L$337-0)),2-(Vu_khi!$L$337-0))+1)))</f>
        <v/>
      </c>
      <c r="AB337" t="n">
        <v>1.2</v>
      </c>
      <c r="AC337">
        <f>INDEX(Bang_xuyen_giap!$C$2:$C$7,MIN(6,MAX(1,IF($O$337,MAX(1,2-(Vu_khi!$L$337-2)),2-(Vu_khi!$L$337-2))+1)))</f>
        <v/>
      </c>
      <c r="AD337" t="n">
        <v>0.85</v>
      </c>
      <c r="AE337">
        <f>INDEX(Bang_xuyen_giap!$C$2:$C$7,MIN(6,MAX(1,IF($O$337,MAX(1,2-(Vu_khi!$L$337-4)),2-(Vu_khi!$L$337-4))+1)))</f>
        <v/>
      </c>
      <c r="AF337" t="n">
        <v>0.25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91.2</v>
      </c>
      <c r="AK337">
        <f>IF($Q$337,$M$337*$AC$337*$U$337,0)</f>
        <v/>
      </c>
      <c r="AL337" t="n">
        <v>64.59999999999999</v>
      </c>
      <c r="AM337">
        <f>IF($Q$337,$M$337*$AE$337*$U$337,0)</f>
        <v/>
      </c>
      <c r="AN337" t="n">
        <v>19</v>
      </c>
      <c r="AO337">
        <f>IF($Q$337,$M$337*$AC$337*$Y$337,0)</f>
        <v/>
      </c>
      <c r="AP337" t="n">
        <v>38.76</v>
      </c>
      <c r="AQ337">
        <f>IF($S$337,$M$337*$AG$337*$W$337,0)</f>
        <v/>
      </c>
      <c r="AR337" t="n">
        <v>22.8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T337" t="b">
        <v>0</v>
      </c>
      <c r="AU337">
        <f>IF(AND($B$337&lt;0,$AS$337),4,$B$337)</f>
        <v/>
      </c>
      <c r="AV337" t="n">
        <v>0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0</v>
      </c>
      <c r="BB337" t="inlineStr">
        <is>
          <t>Assets/MachineBrigade/Resources/Data/balance.json: weapons[id=tower_hmg_api] (lớp B trên 01_chien_dau/Vu_khi)</t>
        </is>
      </c>
      <c r="BC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</v>
      </c>
      <c r="W338">
        <f>INDEX(Bang_sat_thuong!$C$2:$C$7,MATCH(Vu_khi!$K$338,Bang_sat_thuong!$A$2:$A$7,0))</f>
        <v/>
      </c>
      <c r="X338" t="n">
        <v>0.3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0.6</v>
      </c>
      <c r="AA338">
        <f>INDEX(Bang_xuyen_giap!$C$2:$C$7,MIN(6,MAX(1,IF($O$338,MAX(1,2-(Vu_khi!$L$338-0)),2-(Vu_khi!$L$338-0))+1)))</f>
        <v/>
      </c>
      <c r="AB338" t="n">
        <v>1.2</v>
      </c>
      <c r="AC338">
        <f>INDEX(Bang_xuyen_giap!$C$2:$C$7,MIN(6,MAX(1,IF($O$338,MAX(1,2-(Vu_khi!$L$338-2)),2-(Vu_khi!$L$338-2))+1)))</f>
        <v/>
      </c>
      <c r="AD338" t="n">
        <v>1.2</v>
      </c>
      <c r="AE338">
        <f>INDEX(Bang_xuyen_giap!$C$2:$C$7,MIN(6,MAX(1,IF($O$338,MAX(1,2-(Vu_khi!$L$338-4)),2-(Vu_khi!$L$338-4))+1)))</f>
        <v/>
      </c>
      <c r="AF338" t="n">
        <v>0.85</v>
      </c>
      <c r="AG338">
        <f>INDEX(Bang_xuyen_giap!$C$2:$C$7,MIN(6,MAX(1,MAX(1,2-(Vu_khi!$L$338-0))+1)))</f>
        <v/>
      </c>
      <c r="AH338" t="n">
        <v>1</v>
      </c>
      <c r="AI338">
        <f>IF($Q$338,$M$338*$AA$338*$U$338,0)</f>
        <v/>
      </c>
      <c r="AJ338" t="n">
        <v>99.45945945945945</v>
      </c>
      <c r="AK338">
        <f>IF($Q$338,$M$338*$AC$338*$U$338,0)</f>
        <v/>
      </c>
      <c r="AL338" t="n">
        <v>99.45945945945945</v>
      </c>
      <c r="AM338">
        <f>IF($Q$338,$M$338*$AE$338*$U$338,0)</f>
        <v/>
      </c>
      <c r="AN338" t="n">
        <v>70.45045045045045</v>
      </c>
      <c r="AO338">
        <f>IF($Q$338,$M$338*$AC$338*$Y$338,0)</f>
        <v/>
      </c>
      <c r="AP338" t="n">
        <v>59.67567567567567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n">
        <v>0.2775</v>
      </c>
      <c r="AZ338" t="inlineStr">
        <is>
          <t>NHANH_QUA</t>
        </is>
      </c>
      <c r="BA338" t="inlineStr"/>
      <c r="BB338" t="inlineStr">
        <is>
          <t>Assets/MachineBrigade/Resources/Data/balance.json: weapons[id=tower_kornet] (lớp B trên 01_chien_dau/Vu_khi)</t>
        </is>
      </c>
      <c r="BC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0.6</v>
      </c>
      <c r="AA339">
        <f>INDEX(Bang_xuyen_giap!$C$2:$C$7,MIN(6,MAX(1,IF($O$339,MAX(1,2-(Vu_khi!$L$339-0)),2-(Vu_khi!$L$339-0))+1)))</f>
        <v/>
      </c>
      <c r="AB339" t="n">
        <v>1.2</v>
      </c>
      <c r="AC339">
        <f>INDEX(Bang_xuyen_giap!$C$2:$C$7,MIN(6,MAX(1,IF($O$339,MAX(1,2-(Vu_khi!$L$339-2)),2-(Vu_khi!$L$339-2))+1)))</f>
        <v/>
      </c>
      <c r="AD339" t="n">
        <v>1.2</v>
      </c>
      <c r="AE339">
        <f>INDEX(Bang_xuyen_giap!$C$2:$C$7,MIN(6,MAX(1,IF($O$339,MAX(1,2-(Vu_khi!$L$339-4)),2-(Vu_khi!$L$339-4))+1)))</f>
        <v/>
      </c>
      <c r="AF339" t="n">
        <v>0.85</v>
      </c>
      <c r="AG339">
        <f>INDEX(Bang_xuyen_giap!$C$2:$C$7,MIN(6,MAX(1,MAX(1,2-(Vu_khi!$L$339-0))+1)))</f>
        <v/>
      </c>
      <c r="AH339" t="n">
        <v>1</v>
      </c>
      <c r="AI339">
        <f>IF($Q$339,$M$339*$AA$339*$U$339,0)</f>
        <v/>
      </c>
      <c r="AJ339" t="n">
        <v>90</v>
      </c>
      <c r="AK339">
        <f>IF($Q$339,$M$339*$AC$339*$U$339,0)</f>
        <v/>
      </c>
      <c r="AL339" t="n">
        <v>90</v>
      </c>
      <c r="AM339">
        <f>IF($Q$339,$M$339*$AE$339*$U$339,0)</f>
        <v/>
      </c>
      <c r="AN339" t="n">
        <v>63.75</v>
      </c>
      <c r="AO339">
        <f>IF($Q$339,$M$339*$AC$339*$Y$339,0)</f>
        <v/>
      </c>
      <c r="AP339" t="n">
        <v>54</v>
      </c>
      <c r="AQ339">
        <f>IF($S$339,$M$339*$AG$339*$W$339,0)</f>
        <v/>
      </c>
      <c r="AR339" t="n">
        <v>0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T339" t="b">
        <v>0</v>
      </c>
      <c r="AU339">
        <f>IF(AND($B$339&lt;0,$AS$339),4,$B$339)</f>
        <v/>
      </c>
      <c r="AV339" t="n">
        <v>3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0.7</v>
      </c>
      <c r="AZ339" t="inlineStr">
        <is>
          <t>ok</t>
        </is>
      </c>
      <c r="BA339" t="b">
        <v>1</v>
      </c>
      <c r="BB339" t="inlineStr">
        <is>
          <t>Assets/MachineBrigade/Resources/Data/balance.json: weapons[id=train_gun] (lớp B trên 01_chien_dau/Vu_khi)</t>
        </is>
      </c>
      <c r="BC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1.5</v>
      </c>
      <c r="AA340">
        <f>INDEX(Bang_xuyen_giap!$C$2:$C$7,MIN(6,MAX(1,IF($O$340,MAX(1,2-(Vu_khi!$L$340-0)),2-(Vu_khi!$L$340-0))+1)))</f>
        <v/>
      </c>
      <c r="AB340" t="n">
        <v>1.2</v>
      </c>
      <c r="AC340">
        <f>INDEX(Bang_xuyen_giap!$C$2:$C$7,MIN(6,MAX(1,IF($O$340,MAX(1,2-(Vu_khi!$L$340-2)),2-(Vu_khi!$L$340-2))+1)))</f>
        <v/>
      </c>
      <c r="AD340" t="n">
        <v>0.85</v>
      </c>
      <c r="AE340">
        <f>INDEX(Bang_xuyen_giap!$C$2:$C$7,MIN(6,MAX(1,IF($O$340,MAX(1,2-(Vu_khi!$L$340-4)),2-(Vu_khi!$L$340-4))+1)))</f>
        <v/>
      </c>
      <c r="AF340" t="n">
        <v>0.25</v>
      </c>
      <c r="AG340">
        <f>INDEX(Bang_xuyen_giap!$C$2:$C$7,MIN(6,MAX(1,MAX(1,2-(Vu_khi!$L$340-0))+1)))</f>
        <v/>
      </c>
      <c r="AH340" t="n">
        <v>1</v>
      </c>
      <c r="AI340">
        <f>IF($Q$340,$M$340*$AA$340*$U$340,0)</f>
        <v/>
      </c>
      <c r="AJ340" t="n">
        <v>90</v>
      </c>
      <c r="AK340">
        <f>IF($Q$340,$M$340*$AC$340*$U$340,0)</f>
        <v/>
      </c>
      <c r="AL340" t="n">
        <v>63.75</v>
      </c>
      <c r="AM340">
        <f>IF($Q$340,$M$340*$AE$340*$U$340,0)</f>
        <v/>
      </c>
      <c r="AN340" t="n">
        <v>18.75</v>
      </c>
      <c r="AO340">
        <f>IF($Q$340,$M$340*$AC$340*$Y$340,0)</f>
        <v/>
      </c>
      <c r="AP340" t="n">
        <v>95.625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T340" t="b">
        <v>0</v>
      </c>
      <c r="AU340">
        <f>IF(AND($B$340&lt;0,$AS$340),4,$B$340)</f>
        <v/>
      </c>
      <c r="AV340" t="n">
        <v>3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BB340" t="inlineStr">
        <is>
          <t>Assets/MachineBrigade/Resources/Data/balance.json: weapons[id=train_gun_he] (lớp B trên 01_chien_dau/Vu_khi)</t>
        </is>
      </c>
      <c r="BC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1.5</v>
      </c>
      <c r="AA341">
        <f>INDEX(Bang_xuyen_giap!$C$2:$C$7,MIN(6,MAX(1,IF($O$341,MAX(1,2-(Vu_khi!$L$341-0)),2-(Vu_khi!$L$341-0))+1)))</f>
        <v/>
      </c>
      <c r="AB341" t="n">
        <v>1</v>
      </c>
      <c r="AC341">
        <f>INDEX(Bang_xuyen_giap!$C$2:$C$7,MIN(6,MAX(1,IF($O$341,MAX(1,2-(Vu_khi!$L$341-2)),2-(Vu_khi!$L$341-2))+1)))</f>
        <v/>
      </c>
      <c r="AD341" t="n">
        <v>0.85</v>
      </c>
      <c r="AE341">
        <f>INDEX(Bang_xuyen_giap!$C$2:$C$7,MIN(6,MAX(1,IF($O$341,MAX(1,2-(Vu_khi!$L$341-4)),2-(Vu_khi!$L$341-4))+1)))</f>
        <v/>
      </c>
      <c r="AF341" t="n">
        <v>0.25</v>
      </c>
      <c r="AG341">
        <f>INDEX(Bang_xuyen_giap!$C$2:$C$7,MIN(6,MAX(1,MAX(1,2-(Vu_khi!$L$341-0))+1)))</f>
        <v/>
      </c>
      <c r="AH341" t="n">
        <v>1</v>
      </c>
      <c r="AI341">
        <f>IF($Q$341,$M$341*$AA$341*$U$341,0)</f>
        <v/>
      </c>
      <c r="AJ341" t="n">
        <v>36.14457831325301</v>
      </c>
      <c r="AK341">
        <f>IF($Q$341,$M$341*$AC$341*$U$341,0)</f>
        <v/>
      </c>
      <c r="AL341" t="n">
        <v>30.72289156626506</v>
      </c>
      <c r="AM341">
        <f>IF($Q$341,$M$341*$AE$341*$U$341,0)</f>
        <v/>
      </c>
      <c r="AN341" t="n">
        <v>9.036144578313252</v>
      </c>
      <c r="AO341">
        <f>IF($Q$341,$M$341*$AC$341*$Y$341,0)</f>
        <v/>
      </c>
      <c r="AP341" t="n">
        <v>46.08433734939758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T341" t="b">
        <v>0</v>
      </c>
      <c r="AU341">
        <f>IF(AND($B$341&lt;0,$AS$341),4,$B$341)</f>
        <v/>
      </c>
      <c r="AV341" t="n">
        <v>3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0</v>
      </c>
      <c r="AY341" t="n">
        <v>1.4525</v>
      </c>
      <c r="AZ341" t="inlineStr">
        <is>
          <t>ok</t>
        </is>
      </c>
      <c r="BA341" t="inlineStr"/>
      <c r="BB341" t="inlineStr">
        <is>
          <t>Assets/MachineBrigade/Resources/Data/balance.json: weapons[id=train_mortar] (lớp B trên 01_chien_dau/Vu_khi)</t>
        </is>
      </c>
      <c r="BC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1.5</v>
      </c>
      <c r="AA342">
        <f>INDEX(Bang_xuyen_giap!$C$2:$C$7,MIN(6,MAX(1,IF($O$342,MAX(1,2-(Vu_khi!$L$342-0)),2-(Vu_khi!$L$342-0))+1)))</f>
        <v/>
      </c>
      <c r="AB342" t="n">
        <v>1</v>
      </c>
      <c r="AC342">
        <f>INDEX(Bang_xuyen_giap!$C$2:$C$7,MIN(6,MAX(1,IF($O$342,MAX(1,2-(Vu_khi!$L$342-2)),2-(Vu_khi!$L$342-2))+1)))</f>
        <v/>
      </c>
      <c r="AD342" t="n">
        <v>1</v>
      </c>
      <c r="AE342">
        <f>INDEX(Bang_xuyen_giap!$C$2:$C$7,MIN(6,MAX(1,IF($O$342,MAX(1,2-(Vu_khi!$L$342-4)),2-(Vu_khi!$L$342-4))+1)))</f>
        <v/>
      </c>
      <c r="AF342" t="n">
        <v>0.5</v>
      </c>
      <c r="AG342">
        <f>INDEX(Bang_xuyen_giap!$C$2:$C$7,MIN(6,MAX(1,MAX(1,2-(Vu_khi!$L$342-0))+1)))</f>
        <v/>
      </c>
      <c r="AH342" t="n">
        <v>1</v>
      </c>
      <c r="AI342">
        <f>IF($Q$342,$M$342*$AA$342*$U$342,0)</f>
        <v/>
      </c>
      <c r="AJ342" t="n">
        <v>40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20</v>
      </c>
      <c r="AO342">
        <f>IF($Q$342,$M$342*$AC$342*$Y$342,0)</f>
        <v/>
      </c>
      <c r="AP342" t="n">
        <v>60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0.1</v>
      </c>
      <c r="AZ342" t="inlineStr">
        <is>
          <t>NHANH_QUA</t>
        </is>
      </c>
      <c r="BA342" t="inlineStr"/>
      <c r="BB342" t="inlineStr">
        <is>
          <t>Assets/MachineBrigade/Resources/Data/balance.json: weapons[id=turret_gmlrs] (lớp B trên 01_chien_dau/Vu_khi)</t>
        </is>
      </c>
      <c r="BC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0.6</v>
      </c>
      <c r="AA343">
        <f>INDEX(Bang_xuyen_giap!$C$2:$C$7,MIN(6,MAX(1,IF($O$343,MAX(1,2-(Vu_khi!$L$343-0)),2-(Vu_khi!$L$343-0))+1)))</f>
        <v/>
      </c>
      <c r="AB343" t="n">
        <v>1.2</v>
      </c>
      <c r="AC343">
        <f>INDEX(Bang_xuyen_giap!$C$2:$C$7,MIN(6,MAX(1,IF($O$343,MAX(1,2-(Vu_khi!$L$343-2)),2-(Vu_khi!$L$343-2))+1)))</f>
        <v/>
      </c>
      <c r="AD343" t="n">
        <v>1.2</v>
      </c>
      <c r="AE343">
        <f>INDEX(Bang_xuyen_giap!$C$2:$C$7,MIN(6,MAX(1,IF($O$343,MAX(1,2-(Vu_khi!$L$343-4)),2-(Vu_khi!$L$343-4))+1)))</f>
        <v/>
      </c>
      <c r="AF343" t="n">
        <v>0.85</v>
      </c>
      <c r="AG343">
        <f>INDEX(Bang_xuyen_giap!$C$2:$C$7,MIN(6,MAX(1,MAX(1,2-(Vu_khi!$L$343-0))+1)))</f>
        <v/>
      </c>
      <c r="AH343" t="n">
        <v>1</v>
      </c>
      <c r="AI343">
        <f>IF($Q$343,$M$343*$AA$343*$U$343,0)</f>
        <v/>
      </c>
      <c r="AJ343" t="n">
        <v>100.0486144871171</v>
      </c>
      <c r="AK343">
        <f>IF($Q$343,$M$343*$AC$343*$U$343,0)</f>
        <v/>
      </c>
      <c r="AL343" t="n">
        <v>100.0486144871171</v>
      </c>
      <c r="AM343">
        <f>IF($Q$343,$M$343*$AE$343*$U$343,0)</f>
        <v/>
      </c>
      <c r="AN343" t="n">
        <v>70.86776859504131</v>
      </c>
      <c r="AO343">
        <f>IF($Q$343,$M$343*$AC$343*$Y$343,0)</f>
        <v/>
      </c>
      <c r="AP343" t="n">
        <v>60.02916869227029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T343" t="b">
        <v>0</v>
      </c>
      <c r="AU343">
        <f>IF(AND($B$343&lt;0,$AS$343),4,$B$343)</f>
        <v/>
      </c>
      <c r="AV343" t="n">
        <v>3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0.383973</v>
      </c>
      <c r="AZ343" t="inlineStr">
        <is>
          <t>NHANH_QUA;LECH_DOT_1</t>
        </is>
      </c>
      <c r="BA343" t="inlineStr"/>
      <c r="BB343" t="inlineStr">
        <is>
          <t>Assets/MachineBrigade/Resources/Data/balance.json: weapons[id=turret_gun_120] (lớp B trên 01_chien_dau/Vu_khi)</t>
        </is>
      </c>
      <c r="BC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0.6</v>
      </c>
      <c r="AA344">
        <f>INDEX(Bang_xuyen_giap!$C$2:$C$7,MIN(6,MAX(1,IF($O$344,MAX(1,2-(Vu_khi!$L$344-0)),2-(Vu_khi!$L$344-0))+1)))</f>
        <v/>
      </c>
      <c r="AB344" t="n">
        <v>1.2</v>
      </c>
      <c r="AC344">
        <f>INDEX(Bang_xuyen_giap!$C$2:$C$7,MIN(6,MAX(1,IF($O$344,MAX(1,2-(Vu_khi!$L$344-2)),2-(Vu_khi!$L$344-2))+1)))</f>
        <v/>
      </c>
      <c r="AD344" t="n">
        <v>1.2</v>
      </c>
      <c r="AE344">
        <f>INDEX(Bang_xuyen_giap!$C$2:$C$7,MIN(6,MAX(1,IF($O$344,MAX(1,2-(Vu_khi!$L$344-4)),2-(Vu_khi!$L$344-4))+1)))</f>
        <v/>
      </c>
      <c r="AF344" t="n">
        <v>0.85</v>
      </c>
      <c r="AG344">
        <f>INDEX(Bang_xuyen_giap!$C$2:$C$7,MIN(6,MAX(1,MAX(1,2-(Vu_khi!$L$344-0))+1)))</f>
        <v/>
      </c>
      <c r="AH344" t="n">
        <v>1</v>
      </c>
      <c r="AI344">
        <f>IF($Q$344,$M$344*$AA$344*$U$344,0)</f>
        <v/>
      </c>
      <c r="AJ344" t="n">
        <v>113.8904261206419</v>
      </c>
      <c r="AK344">
        <f>IF($Q$344,$M$344*$AC$344*$U$344,0)</f>
        <v/>
      </c>
      <c r="AL344" t="n">
        <v>113.8904261206419</v>
      </c>
      <c r="AM344">
        <f>IF($Q$344,$M$344*$AE$344*$U$344,0)</f>
        <v/>
      </c>
      <c r="AN344" t="n">
        <v>80.67238516878804</v>
      </c>
      <c r="AO344">
        <f>IF($Q$344,$M$344*$AC$344*$Y$344,0)</f>
        <v/>
      </c>
      <c r="AP344" t="n">
        <v>68.33425567238517</v>
      </c>
      <c r="AQ344">
        <f>IF($S$344,$M$344*$AG$344*$W$344,0)</f>
        <v/>
      </c>
      <c r="AR344" t="n">
        <v>0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T344" t="b">
        <v>0</v>
      </c>
      <c r="AU344">
        <f>IF(AND($B$344&lt;0,$AS$344),4,$B$344)</f>
        <v/>
      </c>
      <c r="AV344" t="n">
        <v>3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AY344" t="n">
        <v>0.337307</v>
      </c>
      <c r="AZ344" t="inlineStr">
        <is>
          <t>NHANH_QUA;LECH_DOT_1</t>
        </is>
      </c>
      <c r="BA344" t="inlineStr"/>
      <c r="BB344" t="inlineStr">
        <is>
          <t>Assets/MachineBrigade/Resources/Data/balance.json: weapons[id=turret_gun_120_auto] (lớp B trên 01_chien_dau/Vu_khi)</t>
        </is>
      </c>
      <c r="BC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1.5</v>
      </c>
      <c r="AA345">
        <f>INDEX(Bang_xuyen_giap!$C$2:$C$7,MIN(6,MAX(1,IF($O$345,MAX(1,2-(Vu_khi!$L$345-0)),2-(Vu_khi!$L$345-0))+1)))</f>
        <v/>
      </c>
      <c r="AB345" t="n">
        <v>1.2</v>
      </c>
      <c r="AC345">
        <f>INDEX(Bang_xuyen_giap!$C$2:$C$7,MIN(6,MAX(1,IF($O$345,MAX(1,2-(Vu_khi!$L$345-2)),2-(Vu_khi!$L$345-2))+1)))</f>
        <v/>
      </c>
      <c r="AD345" t="n">
        <v>0.85</v>
      </c>
      <c r="AE345">
        <f>INDEX(Bang_xuyen_giap!$C$2:$C$7,MIN(6,MAX(1,IF($O$345,MAX(1,2-(Vu_khi!$L$345-4)),2-(Vu_khi!$L$345-4))+1)))</f>
        <v/>
      </c>
      <c r="AF345" t="n">
        <v>0.25</v>
      </c>
      <c r="AG345">
        <f>INDEX(Bang_xuyen_giap!$C$2:$C$7,MIN(6,MAX(1,MAX(1,2-(Vu_khi!$L$345-0))+1)))</f>
        <v/>
      </c>
      <c r="AH345" t="n">
        <v>1</v>
      </c>
      <c r="AI345">
        <f>IF($Q$345,$M$345*$AA$345*$U$345,0)</f>
        <v/>
      </c>
      <c r="AJ345" t="n">
        <v>100.0486144871171</v>
      </c>
      <c r="AK345">
        <f>IF($Q$345,$M$345*$AC$345*$U$345,0)</f>
        <v/>
      </c>
      <c r="AL345" t="n">
        <v>70.86776859504131</v>
      </c>
      <c r="AM345">
        <f>IF($Q$345,$M$345*$AE$345*$U$345,0)</f>
        <v/>
      </c>
      <c r="AN345" t="n">
        <v>20.84346135148274</v>
      </c>
      <c r="AO345">
        <f>IF($Q$345,$M$345*$AC$345*$Y$345,0)</f>
        <v/>
      </c>
      <c r="AP345" t="n">
        <v>106.301652892562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T345" t="b">
        <v>0</v>
      </c>
      <c r="AU345">
        <f>IF(AND($B$345&lt;0,$AS$345),4,$B$345)</f>
        <v/>
      </c>
      <c r="AV345" t="n">
        <v>3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BB345" t="inlineStr">
        <is>
          <t>Assets/MachineBrigade/Resources/Data/balance.json: weapons[id=turret_gun_120_he] (lớp B trên 01_chien_dau/Vu_khi)</t>
        </is>
      </c>
      <c r="BC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0.6</v>
      </c>
      <c r="AA346">
        <f>INDEX(Bang_xuyen_giap!$C$2:$C$7,MIN(6,MAX(1,IF($O$346,MAX(1,2-(Vu_khi!$L$346-0)),2-(Vu_khi!$L$346-0))+1)))</f>
        <v/>
      </c>
      <c r="AB346" t="n">
        <v>1.2</v>
      </c>
      <c r="AC346">
        <f>INDEX(Bang_xuyen_giap!$C$2:$C$7,MIN(6,MAX(1,IF($O$346,MAX(1,2-(Vu_khi!$L$346-2)),2-(Vu_khi!$L$346-2))+1)))</f>
        <v/>
      </c>
      <c r="AD346" t="n">
        <v>1.2</v>
      </c>
      <c r="AE346">
        <f>INDEX(Bang_xuyen_giap!$C$2:$C$7,MIN(6,MAX(1,IF($O$346,MAX(1,2-(Vu_khi!$L$346-4)),2-(Vu_khi!$L$346-4))+1)))</f>
        <v/>
      </c>
      <c r="AF346" t="n">
        <v>1</v>
      </c>
      <c r="AG346">
        <f>INDEX(Bang_xuyen_giap!$C$2:$C$7,MIN(6,MAX(1,MAX(1,2-(Vu_khi!$L$346-0))+1)))</f>
        <v/>
      </c>
      <c r="AH346" t="n">
        <v>1</v>
      </c>
      <c r="AI346">
        <f>IF($Q$346,$M$346*$AA$346*$U$346,0)</f>
        <v/>
      </c>
      <c r="AJ346" t="n">
        <v>73.88260635433495</v>
      </c>
      <c r="AK346">
        <f>IF($Q$346,$M$346*$AC$346*$U$346,0)</f>
        <v/>
      </c>
      <c r="AL346" t="n">
        <v>73.88260635433495</v>
      </c>
      <c r="AM346">
        <f>IF($Q$346,$M$346*$AE$346*$U$346,0)</f>
        <v/>
      </c>
      <c r="AN346" t="n">
        <v>61.56883862861246</v>
      </c>
      <c r="AO346">
        <f>IF($Q$346,$M$346*$AC$346*$Y$346,0)</f>
        <v/>
      </c>
      <c r="AP346" t="n">
        <v>44.32956381260097</v>
      </c>
      <c r="AQ346">
        <f>IF($S$346,$M$346*$AG$346*$W$346,0)</f>
        <v/>
      </c>
      <c r="AR346" t="n">
        <v>0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T346" t="b">
        <v>0</v>
      </c>
      <c r="AU346">
        <f>IF(AND($B$346&lt;0,$AS$346),4,$B$346)</f>
        <v/>
      </c>
      <c r="AV346" t="n">
        <v>3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0.51996</v>
      </c>
      <c r="AZ346" t="inlineStr">
        <is>
          <t>NHANH_QUA;LECH_DOT_1</t>
        </is>
      </c>
      <c r="BA346" t="inlineStr"/>
      <c r="BB346" t="inlineStr">
        <is>
          <t>Assets/MachineBrigade/Resources/Data/balance.json: weapons[id=turret_gun_120_long] (lớp B trên 01_chien_dau/Vu_khi)</t>
        </is>
      </c>
      <c r="BC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1.5</v>
      </c>
      <c r="AA347">
        <f>INDEX(Bang_xuyen_giap!$C$2:$C$7,MIN(6,MAX(1,IF($O$347,MAX(1,2-(Vu_khi!$L$347-0)),2-(Vu_khi!$L$347-0))+1)))</f>
        <v/>
      </c>
      <c r="AB347" t="n">
        <v>1.2</v>
      </c>
      <c r="AC347">
        <f>INDEX(Bang_xuyen_giap!$C$2:$C$7,MIN(6,MAX(1,IF($O$347,MAX(1,2-(Vu_khi!$L$347-2)),2-(Vu_khi!$L$347-2))+1)))</f>
        <v/>
      </c>
      <c r="AD347" t="n">
        <v>0.85</v>
      </c>
      <c r="AE347">
        <f>INDEX(Bang_xuyen_giap!$C$2:$C$7,MIN(6,MAX(1,IF($O$347,MAX(1,2-(Vu_khi!$L$347-4)),2-(Vu_khi!$L$347-4))+1)))</f>
        <v/>
      </c>
      <c r="AF347" t="n">
        <v>0.25</v>
      </c>
      <c r="AG347">
        <f>INDEX(Bang_xuyen_giap!$C$2:$C$7,MIN(6,MAX(1,MAX(1,2-(Vu_khi!$L$347-0))+1)))</f>
        <v/>
      </c>
      <c r="AH347" t="n">
        <v>1</v>
      </c>
      <c r="AI347">
        <f>IF($Q$347,$M$347*$AA$347*$U$347,0)</f>
        <v/>
      </c>
      <c r="AJ347" t="n">
        <v>73.88260635433495</v>
      </c>
      <c r="AK347">
        <f>IF($Q$347,$M$347*$AC$347*$U$347,0)</f>
        <v/>
      </c>
      <c r="AL347" t="n">
        <v>52.33351283432059</v>
      </c>
      <c r="AM347">
        <f>IF($Q$347,$M$347*$AE$347*$U$347,0)</f>
        <v/>
      </c>
      <c r="AN347" t="n">
        <v>15.39220965715312</v>
      </c>
      <c r="AO347">
        <f>IF($Q$347,$M$347*$AC$347*$Y$347,0)</f>
        <v/>
      </c>
      <c r="AP347" t="n">
        <v>78.50026925148089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T347" t="b">
        <v>0</v>
      </c>
      <c r="AU347">
        <f>IF(AND($B$347&lt;0,$AS$347),4,$B$347)</f>
        <v/>
      </c>
      <c r="AV347" t="n">
        <v>3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weapons[id=turret_gun_120_long_he] (lớp B trên 01_chien_dau/Vu_khi)</t>
        </is>
      </c>
      <c r="BC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1.5</v>
      </c>
      <c r="AA348">
        <f>INDEX(Bang_xuyen_giap!$C$2:$C$7,MIN(6,MAX(1,IF($O$348,MAX(1,2-(Vu_khi!$L$348-0)),2-(Vu_khi!$L$348-0))+1)))</f>
        <v/>
      </c>
      <c r="AB348" t="n">
        <v>1</v>
      </c>
      <c r="AC348">
        <f>INDEX(Bang_xuyen_giap!$C$2:$C$7,MIN(6,MAX(1,IF($O$348,MAX(1,2-(Vu_khi!$L$348-2)),2-(Vu_khi!$L$348-2))+1)))</f>
        <v/>
      </c>
      <c r="AD348" t="n">
        <v>0.85</v>
      </c>
      <c r="AE348">
        <f>INDEX(Bang_xuyen_giap!$C$2:$C$7,MIN(6,MAX(1,IF($O$348,MAX(1,2-(Vu_khi!$L$348-4)),2-(Vu_khi!$L$348-4))+1)))</f>
        <v/>
      </c>
      <c r="AF348" t="n">
        <v>0.25</v>
      </c>
      <c r="AG348">
        <f>INDEX(Bang_xuyen_giap!$C$2:$C$7,MIN(6,MAX(1,MAX(1,2-(Vu_khi!$L$348-0))+1)))</f>
        <v/>
      </c>
      <c r="AH348" t="n">
        <v>1</v>
      </c>
      <c r="AI348">
        <f>IF($Q$348,$M$348*$AA$348*$U$348,0)</f>
        <v/>
      </c>
      <c r="AJ348" t="n">
        <v>97.29729729729729</v>
      </c>
      <c r="AK348">
        <f>IF($Q$348,$M$348*$AC$348*$U$348,0)</f>
        <v/>
      </c>
      <c r="AL348" t="n">
        <v>82.70270270270269</v>
      </c>
      <c r="AM348">
        <f>IF($Q$348,$M$348*$AE$348*$U$348,0)</f>
        <v/>
      </c>
      <c r="AN348" t="n">
        <v>24.32432432432432</v>
      </c>
      <c r="AO348">
        <f>IF($Q$348,$M$348*$AC$348*$Y$348,0)</f>
        <v/>
      </c>
      <c r="AP348" t="n">
        <v>124.054054054054</v>
      </c>
      <c r="AQ348">
        <f>IF($S$348,$M$348*$AG$348*$W$348,0)</f>
        <v/>
      </c>
      <c r="AR348" t="n">
        <v>0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T348" t="b">
        <v>0</v>
      </c>
      <c r="AU348">
        <f>IF(AND($B$348&lt;0,$AS$348),4,$B$348)</f>
        <v/>
      </c>
      <c r="AV348" t="n">
        <v>3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</v>
      </c>
      <c r="AZ348" t="inlineStr">
        <is>
          <t>ok</t>
        </is>
      </c>
      <c r="BA348" t="inlineStr"/>
      <c r="BB348" t="inlineStr">
        <is>
          <t>Assets/MachineBrigade/Resources/Data/balance.json: weapons[id=turret_rockets] (lớp B trên 01_chien_dau/Vu_khi)</t>
        </is>
      </c>
      <c r="BC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1.5</v>
      </c>
      <c r="AA349">
        <f>INDEX(Bang_xuyen_giap!$C$2:$C$7,MIN(6,MAX(1,IF($O$349,MAX(1,2-(Vu_khi!$L$349-0)),2-(Vu_khi!$L$349-0))+1)))</f>
        <v/>
      </c>
      <c r="AB349" t="n">
        <v>1</v>
      </c>
      <c r="AC349">
        <f>INDEX(Bang_xuyen_giap!$C$2:$C$7,MIN(6,MAX(1,IF($O$349,MAX(1,2-(Vu_khi!$L$349-2)),2-(Vu_khi!$L$349-2))+1)))</f>
        <v/>
      </c>
      <c r="AD349" t="n">
        <v>0.85</v>
      </c>
      <c r="AE349">
        <f>INDEX(Bang_xuyen_giap!$C$2:$C$7,MIN(6,MAX(1,IF($O$349,MAX(1,2-(Vu_khi!$L$349-4)),2-(Vu_khi!$L$349-4))+1)))</f>
        <v/>
      </c>
      <c r="AF349" t="n">
        <v>0.25</v>
      </c>
      <c r="AG349">
        <f>INDEX(Bang_xuyen_giap!$C$2:$C$7,MIN(6,MAX(1,MAX(1,2-(Vu_khi!$L$349-0))+1)))</f>
        <v/>
      </c>
      <c r="AH349" t="n">
        <v>1</v>
      </c>
      <c r="AI349">
        <f>IF($Q$349,$M$349*$AA$349*$U$349,0)</f>
        <v/>
      </c>
      <c r="AJ349" t="n">
        <v>87.24489795918367</v>
      </c>
      <c r="AK349">
        <f>IF($Q$349,$M$349*$AC$349*$U$349,0)</f>
        <v/>
      </c>
      <c r="AL349" t="n">
        <v>74.15816326530611</v>
      </c>
      <c r="AM349">
        <f>IF($Q$349,$M$349*$AE$349*$U$349,0)</f>
        <v/>
      </c>
      <c r="AN349" t="n">
        <v>21.81122448979592</v>
      </c>
      <c r="AO349">
        <f>IF($Q$349,$M$349*$AC$349*$Y$349,0)</f>
        <v/>
      </c>
      <c r="AP349" t="n">
        <v>111.2372448979592</v>
      </c>
      <c r="AQ349">
        <f>IF($S$349,$M$349*$AG$349*$W$349,0)</f>
        <v/>
      </c>
      <c r="AR349" t="n">
        <v>0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T349" t="b">
        <v>0</v>
      </c>
      <c r="AU349">
        <f>IF(AND($B$349&lt;0,$AS$349),4,$B$349)</f>
        <v/>
      </c>
      <c r="AV349" t="n">
        <v>3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AY349" t="n">
        <v>1</v>
      </c>
      <c r="AZ349" t="inlineStr">
        <is>
          <t>ok</t>
        </is>
      </c>
      <c r="BA349" t="inlineStr"/>
      <c r="BB349" t="inlineStr">
        <is>
          <t>Assets/MachineBrigade/Resources/Data/balance.json: weapons[id=turret_rockets_cluster] (lớp B trên 01_chien_dau/Vu_khi)</t>
        </is>
      </c>
      <c r="BC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INDEX(Bang_xuyen_giap!$C$2:$C$7,MIN(6,MAX(1,IF($O$350,MAX(1,2-(Vu_khi!$L$350-0)),2-(Vu_khi!$L$350-0))+1)))</f>
        <v/>
      </c>
      <c r="AB350" t="n">
        <v>1</v>
      </c>
      <c r="AC350">
        <f>INDEX(Bang_xuyen_giap!$C$2:$C$7,MIN(6,MAX(1,IF($O$350,MAX(1,2-(Vu_khi!$L$350-2)),2-(Vu_khi!$L$350-2))+1)))</f>
        <v/>
      </c>
      <c r="AD350" t="n">
        <v>0.85</v>
      </c>
      <c r="AE350">
        <f>INDEX(Bang_xuyen_giap!$C$2:$C$7,MIN(6,MAX(1,IF($O$350,MAX(1,2-(Vu_khi!$L$350-4)),2-(Vu_khi!$L$350-4))+1)))</f>
        <v/>
      </c>
      <c r="AF350" t="n">
        <v>0.25</v>
      </c>
      <c r="AG350">
        <f>INDEX(Bang_xuyen_giap!$C$2:$C$7,MIN(6,MAX(1,MAX(1,2-(Vu_khi!$L$350-0))+1)))</f>
        <v/>
      </c>
      <c r="AH350" t="n">
        <v>1</v>
      </c>
      <c r="AI350">
        <f>IF($Q$350,$M$350*$AA$350*$U$350,0)</f>
        <v/>
      </c>
      <c r="AJ350" t="n">
        <v>59.07928388746804</v>
      </c>
      <c r="AK350">
        <f>IF($Q$350,$M$350*$AC$350*$U$350,0)</f>
        <v/>
      </c>
      <c r="AL350" t="n">
        <v>50.21739130434783</v>
      </c>
      <c r="AM350">
        <f>IF($Q$350,$M$350*$AE$350*$U$350,0)</f>
        <v/>
      </c>
      <c r="AN350" t="n">
        <v>14.76982097186701</v>
      </c>
      <c r="AO350">
        <f>IF($Q$350,$M$350*$AC$350*$Y$350,0)</f>
        <v/>
      </c>
      <c r="AP350" t="n">
        <v>100.4347826086957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T350" t="b">
        <v>0</v>
      </c>
      <c r="AU350">
        <f>IF(AND($B$350&lt;0,$AS$350),4,$B$350)</f>
        <v/>
      </c>
      <c r="AV350" t="n">
        <v>3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0.24</v>
      </c>
      <c r="AZ350" t="inlineStr">
        <is>
          <t>NHANH_QUA;LECH_DOT_1</t>
        </is>
      </c>
      <c r="BA350" t="inlineStr"/>
      <c r="BB350" t="inlineStr">
        <is>
          <t>Assets/MachineBrigade/Resources/Data/balance.json: weapons[id=turret_thermobaric] (lớp B trên 01_chien_dau/Vu_khi)</t>
        </is>
      </c>
      <c r="BC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0.6</v>
      </c>
      <c r="AA351">
        <f>INDEX(Bang_xuyen_giap!$C$2:$C$7,MIN(6,MAX(1,IF($O$351,MAX(1,2-(Vu_khi!$L$351-0)),2-(Vu_khi!$L$351-0))+1)))</f>
        <v/>
      </c>
      <c r="AB351" t="n">
        <v>1.2</v>
      </c>
      <c r="AC351">
        <f>INDEX(Bang_xuyen_giap!$C$2:$C$7,MIN(6,MAX(1,IF($O$351,MAX(1,2-(Vu_khi!$L$351-2)),2-(Vu_khi!$L$351-2))+1)))</f>
        <v/>
      </c>
      <c r="AD351" t="n">
        <v>0.85</v>
      </c>
      <c r="AE351">
        <f>INDEX(Bang_xuyen_giap!$C$2:$C$7,MIN(6,MAX(1,IF($O$351,MAX(1,2-(Vu_khi!$L$351-4)),2-(Vu_khi!$L$351-4))+1)))</f>
        <v/>
      </c>
      <c r="AF351" t="n">
        <v>0.25</v>
      </c>
      <c r="AG351">
        <f>INDEX(Bang_xuyen_giap!$C$2:$C$7,MIN(6,MAX(1,MAX(1,2-(Vu_khi!$L$351-0))+1)))</f>
        <v/>
      </c>
      <c r="AH351" t="n">
        <v>1</v>
      </c>
      <c r="AI351">
        <f>IF($Q$351,$M$351*$AA$351*$U$351,0)</f>
        <v/>
      </c>
      <c r="AJ351" t="n">
        <v>126.7402784445511</v>
      </c>
      <c r="AK351">
        <f>IF($Q$351,$M$351*$AC$351*$U$351,0)</f>
        <v/>
      </c>
      <c r="AL351" t="n">
        <v>89.77436389822371</v>
      </c>
      <c r="AM351">
        <f>IF($Q$351,$M$351*$AE$351*$U$351,0)</f>
        <v/>
      </c>
      <c r="AN351" t="n">
        <v>26.40422467594815</v>
      </c>
      <c r="AO351">
        <f>IF($Q$351,$M$351*$AC$351*$Y$351,0)</f>
        <v/>
      </c>
      <c r="AP351" t="n">
        <v>53.86461833893423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T351" t="b">
        <v>0</v>
      </c>
      <c r="AU351">
        <f>IF(AND($B$351&lt;0,$AS$351),4,$B$351)</f>
        <v/>
      </c>
      <c r="AV351" t="n">
        <v>1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5.554667</v>
      </c>
      <c r="AZ351" t="inlineStr">
        <is>
          <t>CHAM_QUA</t>
        </is>
      </c>
      <c r="BA351" t="inlineStr"/>
      <c r="BB351" t="inlineStr">
        <is>
          <t>Assets/MachineBrigade/Resources/Data/balance.json: weapons[id=twin_30_bmpt] (lớp B trên 01_chien_dau/Vu_khi)</t>
        </is>
      </c>
      <c r="BC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0.5</v>
      </c>
      <c r="W352">
        <f>INDEX(Bang_sat_thuong!$C$2:$C$7,MATCH(Vu_khi!$K$352,Bang_sat_thuong!$A$2:$A$7,0))</f>
        <v/>
      </c>
      <c r="X352" t="n">
        <v>1.3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INDEX(Bang_xuyen_giap!$C$2:$C$7,MIN(6,MAX(1,IF($O$352,MAX(1,2-(Vu_khi!$L$352-0)),2-(Vu_khi!$L$352-0))+1)))</f>
        <v/>
      </c>
      <c r="AB352" t="n">
        <v>1.2</v>
      </c>
      <c r="AC352">
        <f>INDEX(Bang_xuyen_giap!$C$2:$C$7,MIN(6,MAX(1,IF($O$352,MAX(1,2-(Vu_khi!$L$352-2)),2-(Vu_khi!$L$352-2))+1)))</f>
        <v/>
      </c>
      <c r="AD352" t="n">
        <v>0.85</v>
      </c>
      <c r="AE352">
        <f>INDEX(Bang_xuyen_giap!$C$2:$C$7,MIN(6,MAX(1,IF($O$352,MAX(1,2-(Vu_khi!$L$352-4)),2-(Vu_khi!$L$352-4))+1)))</f>
        <v/>
      </c>
      <c r="AF352" t="n">
        <v>0.25</v>
      </c>
      <c r="AG352">
        <f>INDEX(Bang_xuyen_giap!$C$2:$C$7,MIN(6,MAX(1,MAX(1,2-(Vu_khi!$L$352-0))+1)))</f>
        <v/>
      </c>
      <c r="AH352" t="n">
        <v>1</v>
      </c>
      <c r="AI352">
        <f>IF($Q$352,$M$352*$AA$352*$U$352,0)</f>
        <v/>
      </c>
      <c r="AJ352" t="n">
        <v>0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IF($Q$352,$M$352*$AC$352*$Y$352,0)</f>
        <v/>
      </c>
      <c r="AP352" t="n">
        <v>0</v>
      </c>
      <c r="AQ352">
        <f>IF($S$352,$M$352*$AG$352*$W$352,0)</f>
        <v/>
      </c>
      <c r="AR352" t="n">
        <v>137.3019683149304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T352" t="b">
        <v>0</v>
      </c>
      <c r="AU352">
        <f>IF(AND($B$352&lt;0,$AS$352),4,$B$352)</f>
        <v/>
      </c>
      <c r="AV352" t="n">
        <v>1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weapons[id=twin_30_bmpt_flak] (lớp B trên 01_chien_dau/Vu_khi)</t>
        </is>
      </c>
      <c r="BC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0.5</v>
      </c>
      <c r="W353">
        <f>INDEX(Bang_sat_thuong!$C$2:$C$7,MATCH(Vu_khi!$K$353,Bang_sat_thuong!$A$2:$A$7,0))</f>
        <v/>
      </c>
      <c r="X353" t="n">
        <v>1.3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INDEX(Bang_xuyen_giap!$C$2:$C$7,MIN(6,MAX(1,IF($O$353,MAX(1,2-(Vu_khi!$L$353-0)),2-(Vu_khi!$L$353-0))+1)))</f>
        <v/>
      </c>
      <c r="AB353" t="n">
        <v>1.2</v>
      </c>
      <c r="AC353">
        <f>INDEX(Bang_xuyen_giap!$C$2:$C$7,MIN(6,MAX(1,IF($O$353,MAX(1,2-(Vu_khi!$L$353-2)),2-(Vu_khi!$L$353-2))+1)))</f>
        <v/>
      </c>
      <c r="AD353" t="n">
        <v>0.85</v>
      </c>
      <c r="AE353">
        <f>INDEX(Bang_xuyen_giap!$C$2:$C$7,MIN(6,MAX(1,IF($O$353,MAX(1,2-(Vu_khi!$L$353-4)),2-(Vu_khi!$L$353-4))+1)))</f>
        <v/>
      </c>
      <c r="AF353" t="n">
        <v>0.25</v>
      </c>
      <c r="AG353">
        <f>INDEX(Bang_xuyen_giap!$C$2:$C$7,MIN(6,MAX(1,MAX(1,2-(Vu_khi!$L$353-0))+1)))</f>
        <v/>
      </c>
      <c r="AH353" t="n">
        <v>1</v>
      </c>
      <c r="AI353">
        <f>IF($Q$353,$M$353*$AA$353*$U$353,0)</f>
        <v/>
      </c>
      <c r="AJ353" t="n">
        <v>102.8571428571428</v>
      </c>
      <c r="AK353">
        <f>IF($Q$353,$M$353*$AC$353*$U$353,0)</f>
        <v/>
      </c>
      <c r="AL353" t="n">
        <v>72.85714285714285</v>
      </c>
      <c r="AM353">
        <f>IF($Q$353,$M$353*$AE$353*$U$353,0)</f>
        <v/>
      </c>
      <c r="AN353" t="n">
        <v>21.42857142857143</v>
      </c>
      <c r="AO353">
        <f>IF($Q$353,$M$353*$AC$353*$Y$353,0)</f>
        <v/>
      </c>
      <c r="AP353" t="n">
        <v>14.57142857142857</v>
      </c>
      <c r="AQ353">
        <f>IF($S$353,$M$353*$AG$353*$W$353,0)</f>
        <v/>
      </c>
      <c r="AR353" t="n">
        <v>222.8571428571429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T353" t="b">
        <v>0</v>
      </c>
      <c r="AU353">
        <f>IF(AND($B$353&lt;0,$AS$353),4,$B$353)</f>
        <v/>
      </c>
      <c r="AV353" t="n">
        <v>1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3.645833</v>
      </c>
      <c r="AZ353" t="inlineStr">
        <is>
          <t>ok</t>
        </is>
      </c>
      <c r="BA353" t="inlineStr"/>
      <c r="BB353" t="inlineStr">
        <is>
          <t>Assets/MachineBrigade/Resources/Data/balance.json: weapons[id=twin_30_flak] (lớp B trên 01_chien_dau/Vu_khi)</t>
        </is>
      </c>
      <c r="BC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0.6</v>
      </c>
      <c r="AA354">
        <f>INDEX(Bang_xuyen_giap!$C$2:$C$7,MIN(6,MAX(1,IF($O$354,MAX(1,2-(Vu_khi!$L$354-0)),2-(Vu_khi!$L$354-0))+1)))</f>
        <v/>
      </c>
      <c r="AB354" t="n">
        <v>1.2</v>
      </c>
      <c r="AC354">
        <f>INDEX(Bang_xuyen_giap!$C$2:$C$7,MIN(6,MAX(1,IF($O$354,MAX(1,2-(Vu_khi!$L$354-2)),2-(Vu_khi!$L$354-2))+1)))</f>
        <v/>
      </c>
      <c r="AD354" t="n">
        <v>0.85</v>
      </c>
      <c r="AE354">
        <f>INDEX(Bang_xuyen_giap!$C$2:$C$7,MIN(6,MAX(1,IF($O$354,MAX(1,2-(Vu_khi!$L$354-4)),2-(Vu_khi!$L$354-4))+1)))</f>
        <v/>
      </c>
      <c r="AF354" t="n">
        <v>0.25</v>
      </c>
      <c r="AG354">
        <f>INDEX(Bang_xuyen_giap!$C$2:$C$7,MIN(6,MAX(1,MAX(1,2-(Vu_khi!$L$354-0))+1)))</f>
        <v/>
      </c>
      <c r="AH354" t="n">
        <v>1</v>
      </c>
      <c r="AI354">
        <f>IF($Q$354,$M$354*$AA$354*$U$354,0)</f>
        <v/>
      </c>
      <c r="AJ354" t="n">
        <v>205.7142857142857</v>
      </c>
      <c r="AK354">
        <f>IF($Q$354,$M$354*$AC$354*$U$354,0)</f>
        <v/>
      </c>
      <c r="AL354" t="n">
        <v>145.7142857142857</v>
      </c>
      <c r="AM354">
        <f>IF($Q$354,$M$354*$AE$354*$U$354,0)</f>
        <v/>
      </c>
      <c r="AN354" t="n">
        <v>42.85714285714285</v>
      </c>
      <c r="AO354">
        <f>IF($Q$354,$M$354*$AC$354*$Y$354,0)</f>
        <v/>
      </c>
      <c r="AP354" t="n">
        <v>87.42857142857143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T354" t="b">
        <v>0</v>
      </c>
      <c r="AU354">
        <f>IF(AND($B$354&lt;0,$AS$354),4,$B$354)</f>
        <v/>
      </c>
      <c r="AV354" t="n">
        <v>1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0</v>
      </c>
      <c r="BB354" t="inlineStr">
        <is>
          <t>Assets/MachineBrigade/Resources/Data/balance.json: weapons[id=twin_30_flak_ap] (lớp B trên 01_chien_dau/Vu_khi)</t>
        </is>
      </c>
      <c r="BC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0.5</v>
      </c>
      <c r="W355">
        <f>INDEX(Bang_sat_thuong!$C$2:$C$7,MATCH(Vu_khi!$K$355,Bang_sat_thuong!$A$2:$A$7,0))</f>
        <v/>
      </c>
      <c r="X355" t="n">
        <v>1.3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INDEX(Bang_xuyen_giap!$C$2:$C$7,MIN(6,MAX(1,IF($O$355,MAX(1,2-(Vu_khi!$L$355-0)),2-(Vu_khi!$L$355-0))+1)))</f>
        <v/>
      </c>
      <c r="AB355" t="n">
        <v>1.2</v>
      </c>
      <c r="AC355">
        <f>INDEX(Bang_xuyen_giap!$C$2:$C$7,MIN(6,MAX(1,IF($O$355,MAX(1,2-(Vu_khi!$L$355-2)),2-(Vu_khi!$L$355-2))+1)))</f>
        <v/>
      </c>
      <c r="AD355" t="n">
        <v>0.85</v>
      </c>
      <c r="AE355">
        <f>INDEX(Bang_xuyen_giap!$C$2:$C$7,MIN(6,MAX(1,IF($O$355,MAX(1,2-(Vu_khi!$L$355-4)),2-(Vu_khi!$L$355-4))+1)))</f>
        <v/>
      </c>
      <c r="AF355" t="n">
        <v>0.25</v>
      </c>
      <c r="AG355">
        <f>INDEX(Bang_xuyen_giap!$C$2:$C$7,MIN(6,MAX(1,MAX(1,2-(Vu_khi!$L$355-0))+1)))</f>
        <v/>
      </c>
      <c r="AH355" t="n">
        <v>1</v>
      </c>
      <c r="AI355">
        <f>IF($Q$355,$M$355*$AA$355*$U$355,0)</f>
        <v/>
      </c>
      <c r="AJ355" t="n">
        <v>61.08863072705913</v>
      </c>
      <c r="AK355">
        <f>IF($Q$355,$M$355*$AC$355*$U$355,0)</f>
        <v/>
      </c>
      <c r="AL355" t="n">
        <v>43.27111343166688</v>
      </c>
      <c r="AM355">
        <f>IF($Q$355,$M$355*$AE$355*$U$355,0)</f>
        <v/>
      </c>
      <c r="AN355" t="n">
        <v>12.72679806813732</v>
      </c>
      <c r="AO355">
        <f>IF($Q$355,$M$355*$AC$355*$Y$355,0)</f>
        <v/>
      </c>
      <c r="AP355" t="n">
        <v>8.654222686333377</v>
      </c>
      <c r="AQ355">
        <f>IF($S$355,$M$355*$AG$355*$W$355,0)</f>
        <v/>
      </c>
      <c r="AR355" t="n">
        <v>132.3586999086281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T355" t="b">
        <v>0</v>
      </c>
      <c r="AU355">
        <f>IF(AND($B$355&lt;0,$AS$355),4,$B$355)</f>
        <v/>
      </c>
      <c r="AV355" t="n">
        <v>1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4.256111</v>
      </c>
      <c r="AZ355" t="inlineStr">
        <is>
          <t>LECH_DOT_1</t>
        </is>
      </c>
      <c r="BA355" t="inlineStr"/>
      <c r="BB355" t="inlineStr">
        <is>
          <t>Assets/MachineBrigade/Resources/Data/balance.json: weapons[id=twin_35_ahead] (lớp B trên 01_chien_dau/Vu_khi)</t>
        </is>
      </c>
      <c r="BC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0.6</v>
      </c>
      <c r="AA356">
        <f>INDEX(Bang_xuyen_giap!$C$2:$C$7,MIN(6,MAX(1,IF($O$356,MAX(1,2-(Vu_khi!$L$356-0)),2-(Vu_khi!$L$356-0))+1)))</f>
        <v/>
      </c>
      <c r="AB356" t="n">
        <v>1.2</v>
      </c>
      <c r="AC356">
        <f>INDEX(Bang_xuyen_giap!$C$2:$C$7,MIN(6,MAX(1,IF($O$356,MAX(1,2-(Vu_khi!$L$356-2)),2-(Vu_khi!$L$356-2))+1)))</f>
        <v/>
      </c>
      <c r="AD356" t="n">
        <v>0.85</v>
      </c>
      <c r="AE356">
        <f>INDEX(Bang_xuyen_giap!$C$2:$C$7,MIN(6,MAX(1,IF($O$356,MAX(1,2-(Vu_khi!$L$356-4)),2-(Vu_khi!$L$356-4))+1)))</f>
        <v/>
      </c>
      <c r="AF356" t="n">
        <v>0.25</v>
      </c>
      <c r="AG356">
        <f>INDEX(Bang_xuyen_giap!$C$2:$C$7,MIN(6,MAX(1,MAX(1,2-(Vu_khi!$L$356-0))+1)))</f>
        <v/>
      </c>
      <c r="AH356" t="n">
        <v>1</v>
      </c>
      <c r="AI356">
        <f>IF($Q$356,$M$356*$AA$356*$U$356,0)</f>
        <v/>
      </c>
      <c r="AJ356" t="n">
        <v>122.1772614541183</v>
      </c>
      <c r="AK356">
        <f>IF($Q$356,$M$356*$AC$356*$U$356,0)</f>
        <v/>
      </c>
      <c r="AL356" t="n">
        <v>86.54222686333377</v>
      </c>
      <c r="AM356">
        <f>IF($Q$356,$M$356*$AE$356*$U$356,0)</f>
        <v/>
      </c>
      <c r="AN356" t="n">
        <v>25.45359613627464</v>
      </c>
      <c r="AO356">
        <f>IF($Q$356,$M$356*$AC$356*$Y$356,0)</f>
        <v/>
      </c>
      <c r="AP356" t="n">
        <v>51.92533611800026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T356" t="b">
        <v>0</v>
      </c>
      <c r="AU356">
        <f>IF(AND($B$356&lt;0,$AS$356),4,$B$356)</f>
        <v/>
      </c>
      <c r="AV356" t="n">
        <v>1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BB356" t="inlineStr">
        <is>
          <t>Assets/MachineBrigade/Resources/Data/balance.json: weapons[id=twin_35_ahead_ap] (lớp B trên 01_chien_dau/Vu_khi)</t>
        </is>
      </c>
      <c r="BC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0.3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0.6</v>
      </c>
      <c r="AA357">
        <f>INDEX(Bang_xuyen_giap!$C$2:$C$7,MIN(6,MAX(1,IF($O$357,MAX(1,2-(Vu_khi!$L$357-0)),2-(Vu_khi!$L$357-0))+1)))</f>
        <v/>
      </c>
      <c r="AB357" t="n">
        <v>1.2</v>
      </c>
      <c r="AC357">
        <f>INDEX(Bang_xuyen_giap!$C$2:$C$7,MIN(6,MAX(1,IF($O$357,MAX(1,2-(Vu_khi!$L$357-2)),2-(Vu_khi!$L$357-2))+1)))</f>
        <v/>
      </c>
      <c r="AD357" t="n">
        <v>1.2</v>
      </c>
      <c r="AE357">
        <f>INDEX(Bang_xuyen_giap!$C$2:$C$7,MIN(6,MAX(1,IF($O$357,MAX(1,2-(Vu_khi!$L$357-4)),2-(Vu_khi!$L$357-4))+1)))</f>
        <v/>
      </c>
      <c r="AF357" t="n">
        <v>0.85</v>
      </c>
      <c r="AG357">
        <f>INDEX(Bang_xuyen_giap!$C$2:$C$7,MIN(6,MAX(1,MAX(1,2-(Vu_khi!$L$357-0))+1)))</f>
        <v/>
      </c>
      <c r="AH357" t="n">
        <v>1</v>
      </c>
      <c r="AI357">
        <f>IF($Q$357,$M$357*$AA$357*$U$357,0)</f>
        <v/>
      </c>
      <c r="AJ357" t="n">
        <v>79.47019867549669</v>
      </c>
      <c r="AK357">
        <f>IF($Q$357,$M$357*$AC$357*$U$357,0)</f>
        <v/>
      </c>
      <c r="AL357" t="n">
        <v>79.47019867549669</v>
      </c>
      <c r="AM357">
        <f>IF($Q$357,$M$357*$AE$357*$U$357,0)</f>
        <v/>
      </c>
      <c r="AN357" t="n">
        <v>56.29139072847683</v>
      </c>
      <c r="AO357">
        <f>IF($Q$357,$M$357*$AC$357*$Y$357,0)</f>
        <v/>
      </c>
      <c r="AP357" t="n">
        <v>47.68211920529802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T357" t="b">
        <v>0</v>
      </c>
      <c r="AU357">
        <f>IF(AND($B$357&lt;0,$AS$357),4,$B$357)</f>
        <v/>
      </c>
      <c r="AV357" t="n">
        <v>2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AY357" t="inlineStr"/>
      <c r="AZ357" t="inlineStr">
        <is>
          <t>ok</t>
        </is>
      </c>
      <c r="BA357" t="inlineStr"/>
      <c r="BB357" t="inlineStr">
        <is>
          <t>Assets/MachineBrigade/Resources/Data/balance.json: weapons[id=vikhr] (lớp B trên 01_chien_dau/Vu_khi)</t>
        </is>
      </c>
      <c r="BC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0.5</v>
      </c>
      <c r="W358">
        <f>INDEX(Bang_sat_thuong!$C$2:$C$7,MATCH(Vu_khi!$K$358,Bang_sat_thuong!$A$2:$A$7,0))</f>
        <v/>
      </c>
      <c r="X358" t="n">
        <v>1.3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INDEX(Bang_xuyen_giap!$C$2:$C$7,MIN(6,MAX(1,IF($O$358,MAX(1,2-(Vu_khi!$L$358-0)),2-(Vu_khi!$L$358-0))+1)))</f>
        <v/>
      </c>
      <c r="AB358" t="n">
        <v>1.2</v>
      </c>
      <c r="AC358">
        <f>INDEX(Bang_xuyen_giap!$C$2:$C$7,MIN(6,MAX(1,IF($O$358,MAX(1,2-(Vu_khi!$L$358-2)),2-(Vu_khi!$L$358-2))+1)))</f>
        <v/>
      </c>
      <c r="AD358" t="n">
        <v>0.85</v>
      </c>
      <c r="AE358">
        <f>INDEX(Bang_xuyen_giap!$C$2:$C$7,MIN(6,MAX(1,IF($O$358,MAX(1,2-(Vu_khi!$L$358-4)),2-(Vu_khi!$L$358-4))+1)))</f>
        <v/>
      </c>
      <c r="AF358" t="n">
        <v>0.25</v>
      </c>
      <c r="AG358">
        <f>INDEX(Bang_xuyen_giap!$C$2:$C$7,MIN(6,MAX(1,MAX(1,2-(Vu_khi!$L$358-0))+1)))</f>
        <v/>
      </c>
      <c r="AH358" t="n">
        <v>1</v>
      </c>
      <c r="AI358">
        <f>IF($Q$358,$M$358*$AA$358*$U$358,0)</f>
        <v/>
      </c>
      <c r="AJ358" t="n">
        <v>0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IF($Q$358,$M$358*$AC$358*$Y$358,0)</f>
        <v/>
      </c>
      <c r="AP358" t="n">
        <v>0</v>
      </c>
      <c r="AQ358">
        <f>IF($S$358,$M$358*$AG$358*$W$358,0)</f>
        <v/>
      </c>
      <c r="AR358" t="n">
        <v>141.6509433962264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T358" t="b">
        <v>0</v>
      </c>
      <c r="AU358">
        <f>IF(AND($B$358&lt;0,$AS$358),4,$B$358)</f>
        <v/>
      </c>
      <c r="AV358" t="n">
        <v>2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inlineStr"/>
      <c r="AZ358" t="inlineStr">
        <is>
          <t>ok</t>
        </is>
      </c>
      <c r="BA358" t="inlineStr"/>
      <c r="BB358" t="inlineStr">
        <is>
          <t>Assets/MachineBrigade/Resources/Data/balance.json: weapons[id=wvr_aam] (lớp B trên 01_chien_dau/Vu_khi)</t>
        </is>
      </c>
      <c r="BC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0.5</v>
      </c>
      <c r="W359">
        <f>INDEX(Bang_sat_thuong!$C$2:$C$7,MATCH(Vu_khi!$K$359,Bang_sat_thuong!$A$2:$A$7,0))</f>
        <v/>
      </c>
      <c r="X359" t="n">
        <v>1.3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INDEX(Bang_xuyen_giap!$C$2:$C$7,MIN(6,MAX(1,IF($O$359,MAX(1,2-(Vu_khi!$L$359-0)),2-(Vu_khi!$L$359-0))+1)))</f>
        <v/>
      </c>
      <c r="AB359" t="n">
        <v>1</v>
      </c>
      <c r="AC359">
        <f>INDEX(Bang_xuyen_giap!$C$2:$C$7,MIN(6,MAX(1,IF($O$359,MAX(1,2-(Vu_khi!$L$359-2)),2-(Vu_khi!$L$359-2))+1)))</f>
        <v/>
      </c>
      <c r="AD359" t="n">
        <v>0.5</v>
      </c>
      <c r="AE359">
        <f>INDEX(Bang_xuyen_giap!$C$2:$C$7,MIN(6,MAX(1,IF($O$359,MAX(1,2-(Vu_khi!$L$359-4)),2-(Vu_khi!$L$359-4))+1)))</f>
        <v/>
      </c>
      <c r="AF359" t="n">
        <v>0.1</v>
      </c>
      <c r="AG359">
        <f>INDEX(Bang_xuyen_giap!$C$2:$C$7,MIN(6,MAX(1,MAX(1,2-(Vu_khi!$L$359-0))+1)))</f>
        <v/>
      </c>
      <c r="AH359" t="n">
        <v>1</v>
      </c>
      <c r="AI359">
        <f>IF($Q$359,$M$359*$AA$359*$U$359,0)</f>
        <v/>
      </c>
      <c r="AJ359" t="n">
        <v>35</v>
      </c>
      <c r="AK359">
        <f>IF($Q$359,$M$359*$AC$359*$U$359,0)</f>
        <v/>
      </c>
      <c r="AL359" t="n">
        <v>17.5</v>
      </c>
      <c r="AM359">
        <f>IF($Q$359,$M$359*$AE$359*$U$359,0)</f>
        <v/>
      </c>
      <c r="AN359" t="n">
        <v>3.5</v>
      </c>
      <c r="AO359">
        <f>IF($Q$359,$M$359*$AC$359*$Y$359,0)</f>
        <v/>
      </c>
      <c r="AP359" t="n">
        <v>3.5</v>
      </c>
      <c r="AQ359">
        <f>IF($S$359,$M$359*$AG$359*$W$359,0)</f>
        <v/>
      </c>
      <c r="AR359" t="n">
        <v>91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T359" t="b">
        <v>0</v>
      </c>
      <c r="AU359">
        <f>IF(AND($B$359&lt;0,$AS$359),4,$B$359)</f>
        <v/>
      </c>
      <c r="AV359" t="n">
        <v>1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AY359" t="n">
        <v>1.666667</v>
      </c>
      <c r="AZ359" t="inlineStr">
        <is>
          <t>ok</t>
        </is>
      </c>
      <c r="BA359" t="inlineStr"/>
      <c r="BB359" t="inlineStr">
        <is>
          <t>Assets/MachineBrigade/Resources/Data/balance.json: weapons[id=zu23] (lớp B trên 01_chien_dau/Vu_khi)</t>
        </is>
      </c>
      <c r="BC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0.6</v>
      </c>
      <c r="AA360">
        <f>INDEX(Bang_xuyen_giap!$C$2:$C$7,MIN(6,MAX(1,IF($O$360,MAX(1,2-(Vu_khi!$L$360-0)),2-(Vu_khi!$L$360-0))+1)))</f>
        <v/>
      </c>
      <c r="AB360" t="n">
        <v>1.2</v>
      </c>
      <c r="AC360">
        <f>INDEX(Bang_xuyen_giap!$C$2:$C$7,MIN(6,MAX(1,IF($O$360,MAX(1,2-(Vu_khi!$L$360-2)),2-(Vu_khi!$L$360-2))+1)))</f>
        <v/>
      </c>
      <c r="AD360" t="n">
        <v>0.85</v>
      </c>
      <c r="AE360">
        <f>INDEX(Bang_xuyen_giap!$C$2:$C$7,MIN(6,MAX(1,IF($O$360,MAX(1,2-(Vu_khi!$L$360-4)),2-(Vu_khi!$L$360-4))+1)))</f>
        <v/>
      </c>
      <c r="AF360" t="n">
        <v>0.25</v>
      </c>
      <c r="AG360">
        <f>INDEX(Bang_xuyen_giap!$C$2:$C$7,MIN(6,MAX(1,MAX(1,2-(Vu_khi!$L$360-0))+1)))</f>
        <v/>
      </c>
      <c r="AH360" t="n">
        <v>1</v>
      </c>
      <c r="AI360">
        <f>IF($Q$360,$M$360*$AA$360*$U$360,0)</f>
        <v/>
      </c>
      <c r="AJ360" t="n">
        <v>84</v>
      </c>
      <c r="AK360">
        <f>IF($Q$360,$M$360*$AC$360*$U$360,0)</f>
        <v/>
      </c>
      <c r="AL360" t="n">
        <v>59.5</v>
      </c>
      <c r="AM360">
        <f>IF($Q$360,$M$360*$AE$360*$U$360,0)</f>
        <v/>
      </c>
      <c r="AN360" t="n">
        <v>17.5</v>
      </c>
      <c r="AO360">
        <f>IF($Q$360,$M$360*$AC$360*$Y$360,0)</f>
        <v/>
      </c>
      <c r="AP360" t="n">
        <v>35.7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T360" t="b">
        <v>0</v>
      </c>
      <c r="AU360">
        <f>IF(AND($B$360&lt;0,$AS$360),4,$B$360)</f>
        <v/>
      </c>
      <c r="AV360" t="n">
        <v>1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BB360" t="inlineStr">
        <is>
          <t>Assets/MachineBrigade/Resources/Data/balance.json: weapons[id=zu23_ap] (lớp B trên 01_chien_dau/Vu_khi)</t>
        </is>
      </c>
      <c r="BC360" t="inlineStr"/>
    </row>
  </sheetData>
  <autoFilter ref="A1:BC36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INDEX(Vu_khi!$W$2:$W$360,MATCH($B$107,Vu_khi!$A$2:$A$360,0))</f>
        <v/>
      </c>
      <c r="F107">
        <f>INDEX(Vu_khi_tham_chieu!$AB$2:$AB$360,MATCH($B$107,Vu_khi_tham_chieu!$A$2:$A$360,0))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60/INDEX(Vu_khi!$BB$2:$BB$360,MATCH($B$108,Vu_khi!$A$2:$A$360,0))/IF(INDEX(Vu_khi!$BD$2:$BD$360,MATCH($B$108,Vu_khi!$A$2:$A$360,0))="gun",0.7,1)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TC0032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INDEX(Vu_khi!$W$2:$W$360,MATCH($B$109,Vu_khi!$A$2:$A$360,0))</f>
        <v/>
      </c>
      <c r="F109">
        <f>INDEX(Vu_khi_tham_chieu!$AB$2:$AB$360,MATCH($B$109,Vu_khi_tham_chieu!$A$2:$A$360,0))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60/INDEX(Vu_khi!$BB$2:$BB$360,MATCH($B$110,Vu_khi!$A$2:$A$360,0))/IF(INDEX(Vu_khi!$BD$2:$BD$360,MATCH($B$110,Vu_khi!$A$2:$A$360,0))="gun",0.7,1)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TC0033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INDEX(Vu_khi!$W$2:$W$360,MATCH($B$111,Vu_khi!$A$2:$A$360,0))</f>
        <v/>
      </c>
      <c r="F111">
        <f>INDEX(Vu_khi_tham_chieu!$AB$2:$AB$360,MATCH($B$111,Vu_khi_tham_chieu!$A$2:$A$360,0))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60/INDEX(Vu_khi!$BB$2:$BB$360,MATCH($B$112,Vu_khi!$A$2:$A$360,0))/IF(INDEX(Vu_khi!$BD$2:$BD$360,MATCH($B$112,Vu_khi!$A$2:$A$360,0))="gun",0.7,1)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TC0034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INDEX(Vu_khi!$W$2:$W$360,MATCH($B$113,Vu_khi!$A$2:$A$360,0))</f>
        <v/>
      </c>
      <c r="F113">
        <f>INDEX(Vu_khi_tham_chieu!$AB$2:$AB$360,MATCH($B$113,Vu_khi_tham_chieu!$A$2:$A$360,0))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60/INDEX(Vu_khi!$BB$2:$BB$360,MATCH($B$114,Vu_khi!$A$2:$A$360,0))/IF(INDEX(Vu_khi!$BD$2:$BD$360,MATCH($B$114,Vu_khi!$A$2:$A$360,0))="gun",0.7,1)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INDEX(Vu_khi!$X$2:$X$360,MATCH($B$115,Vu_khi!$A$2:$A$360,0))</f>
        <v/>
      </c>
      <c r="F115">
        <f>POWER(INDEX(Vu_khi_tham_chieu!$AB$2:$AB$360,MATCH($B$115,Vu_khi_tham_chieu!$A$2:$A$360,0)),1/3)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INDEX(Vu_khi!$W$2:$W$360,MATCH($B$116,Vu_khi!$A$2:$A$360,0))</f>
        <v/>
      </c>
      <c r="F116">
        <f>INDEX(Vu_khi_tham_chieu!$AB$2:$AB$360,MATCH($B$116,Vu_khi_tham_chieu!$A$2:$A$360,0))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60/INDEX(Vu_khi!$BB$2:$BB$360,MATCH($B$118,Vu_khi!$A$2:$A$360,0))/IF(INDEX(Vu_khi!$BD$2:$BD$360,MATCH($B$118,Vu_khi!$A$2:$A$360,0))="gun",0.7,1)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60/INDEX(Vu_khi!$BB$2:$BB$360,MATCH($B$119,Vu_khi!$A$2:$A$360,0))/IF(INDEX(Vu_khi!$BD$2:$BD$360,MATCH($B$119,Vu_khi!$A$2:$A$360,0))="gun",0.7,1)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TC0035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TC0036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9.128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TC0037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2.5715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TC0038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2.75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2.8215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4.285999286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1</v>
      </c>
      <c r="K132" t="inlineStr">
        <is>
          <t>fix_weapon_reasons.json: real AK-130 10-40 rpm a barrel: 20 rpm (3 s), practical; 4.75 s was too slow</t>
        </is>
      </c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nyx_tomahawk/nhip</t>
        </is>
      </c>
      <c r="B134" t="inlineStr">
        <is>
          <t>nyx_tomahawk</t>
        </is>
      </c>
      <c r="C134" t="inlineStr">
        <is>
          <t>khe_mot_nong_mot_vien</t>
        </is>
      </c>
      <c r="D134" t="inlineStr">
        <is>
          <t>s</t>
        </is>
      </c>
      <c r="E134" t="n">
        <v>27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TC0039</t>
        </is>
      </c>
      <c r="N134" t="inlineStr">
        <is>
          <t>R_balance;R_full_weapon_audit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one_shot_kornet/nhip</t>
        </is>
      </c>
      <c r="B135" t="inlineStr">
        <is>
          <t>one_shot_kornet</t>
        </is>
      </c>
      <c r="C135" t="inlineStr">
        <is>
          <t>khe_mot_nong_mot_vien</t>
        </is>
      </c>
      <c r="D135" t="inlineStr">
        <is>
          <t>s</t>
        </is>
      </c>
      <c r="E135" t="n">
        <v>1.2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>
        <is>
          <t>TC0040</t>
        </is>
      </c>
      <c r="N135" t="inlineStr">
        <is>
          <t>R_balance;R_full_weapon_audit;W_wikipedia_9m133_kornet;W_wikipedia_bai_cua_tung_ten_lua_bang_warhead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one_shot_kornet/sat_thuong</t>
        </is>
      </c>
      <c r="B136" t="inlineStr">
        <is>
          <t>one_shot_kornet</t>
        </is>
      </c>
      <c r="C136" t="inlineStr">
        <is>
          <t>sat_thuong_tren_kg_dau_dan</t>
        </is>
      </c>
      <c r="D136" t="inlineStr">
        <is>
          <t>hp/kg</t>
        </is>
      </c>
      <c r="E136">
        <f>INDEX(Vu_khi!$W$2:$W$360,MATCH($B$136,Vu_khi!$A$2:$A$360,0))</f>
        <v/>
      </c>
      <c r="F136">
        <f>INDEX(Vu_khi_tham_chieu!$AB$2:$AB$360,MATCH($B$136,Vu_khi_tham_chieu!$A$2:$A$360,0))</f>
        <v/>
      </c>
      <c r="G136">
        <f>$E$136/$F$136</f>
        <v/>
      </c>
      <c r="H136" t="inlineStr"/>
      <c r="I136" t="inlineStr"/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R_full_weapon_audit</t>
        </is>
      </c>
      <c r="O136" t="inlineStr">
        <is>
          <t>sát thương một phát / khối lượng đầu đạn (không bắt buộc 1:1, chỉ ghi ty_le)</t>
        </is>
      </c>
      <c r="P136" t="inlineStr">
        <is>
          <t>Tools/balance/full_weapon_audit.py WARHEAD</t>
        </is>
      </c>
      <c r="Q136" t="inlineStr"/>
    </row>
    <row r="137">
      <c r="A137" t="inlineStr">
        <is>
          <t>p26_bastion_b100/nhip</t>
        </is>
      </c>
      <c r="B137" t="inlineStr">
        <is>
          <t>p26_bastion_b100</t>
        </is>
      </c>
      <c r="C137" t="inlineStr">
        <is>
          <t>khe_mot_nong_mot_vien</t>
        </is>
      </c>
      <c r="D137" t="inlineStr">
        <is>
          <t>s</t>
        </is>
      </c>
      <c r="E137" t="n">
        <v>4.000004082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TC0041</t>
        </is>
      </c>
      <c r="N137" t="inlineStr">
        <is>
          <t>R_balance;R_full_weapon_audit;W_wikipedia_d_10_tank_gun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p26_bastion_b155/nhip</t>
        </is>
      </c>
      <c r="B138" t="inlineStr">
        <is>
          <t>p26_bastion_b155</t>
        </is>
      </c>
      <c r="C138" t="inlineStr">
        <is>
          <t>khe_mot_nong_mot_vien</t>
        </is>
      </c>
      <c r="D138" t="inlineStr">
        <is>
          <t>s</t>
        </is>
      </c>
      <c r="E138" t="n">
        <v>15</v>
      </c>
      <c r="F138">
        <f>60/INDEX(Vu_khi!$BB$2:$BB$360,MATCH($B$138,Vu_khi!$A$2:$A$360,0))/IF(INDEX(Vu_khi!$BD$2:$BD$360,MATCH($B$138,Vu_khi!$A$2:$A$360,0))="gun",0.7,1)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R_balance;R_full_weapon_audit;D_us_army_m109a7_fact_file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p26_bastion_b240/nhip</t>
        </is>
      </c>
      <c r="B139" t="inlineStr">
        <is>
          <t>p26_bastion_b240</t>
        </is>
      </c>
      <c r="C139" t="inlineStr">
        <is>
          <t>khe_mot_nong_mot_vien</t>
        </is>
      </c>
      <c r="D139" t="inlineStr">
        <is>
          <t>s</t>
        </is>
      </c>
      <c r="E139" t="n">
        <v>30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TC0042</t>
        </is>
      </c>
      <c r="N139" t="inlineStr">
        <is>
          <t>R_balance;R_full_weapon_audit;W_wikipedia_2s4_tyulpan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p26_bastion_close_boss_hmg/nhip</t>
        </is>
      </c>
      <c r="B140" t="inlineStr">
        <is>
          <t>p26_bastion_close_boss_hmg</t>
        </is>
      </c>
      <c r="C140" t="inlineStr">
        <is>
          <t>khe_mot_nong_mot_vien</t>
        </is>
      </c>
      <c r="D140" t="inlineStr">
        <is>
          <t>s</t>
        </is>
      </c>
      <c r="E140" t="n">
        <v>0.132467025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R_balance;R_full_weapon_audit;W_wikipedia_nsv_machine_gun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p26_bastion_direct_b100/nhip</t>
        </is>
      </c>
      <c r="B141" t="inlineStr">
        <is>
          <t>p26_bastion_direct_b100</t>
        </is>
      </c>
      <c r="C141" t="inlineStr">
        <is>
          <t>khe_mot_nong_mot_vien</t>
        </is>
      </c>
      <c r="D141" t="inlineStr">
        <is>
          <t>s</t>
        </is>
      </c>
      <c r="E141" t="n">
        <v>8.599995917999999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R_balance;R_full_weapon_audit;W_wikipedia_d_10_tank_gun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p26_bastion_main_b155/nhip</t>
        </is>
      </c>
      <c r="B142" t="inlineStr">
        <is>
          <t>p26_bastion_main_b155</t>
        </is>
      </c>
      <c r="C142" t="inlineStr">
        <is>
          <t>khe_mot_nong_mot_vien</t>
        </is>
      </c>
      <c r="D142" t="inlineStr">
        <is>
          <t>s</t>
        </is>
      </c>
      <c r="E142" t="n">
        <v>15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R_balance;R_full_weapon_audit;D_us_army_m109a7_fact_file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p26_bastion_sec_b240/nhip</t>
        </is>
      </c>
      <c r="B143" t="inlineStr">
        <is>
          <t>p26_bastion_sec_b240</t>
        </is>
      </c>
      <c r="C143" t="inlineStr">
        <is>
          <t>khe_mot_nong_mot_vien</t>
        </is>
      </c>
      <c r="D143" t="inlineStr">
        <is>
          <t>s</t>
        </is>
      </c>
      <c r="E143" t="n">
        <v>60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R_balance;R_full_weapon_audit;W_wikipedia_2s4_tyulpan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p26_bastion_tiny_autocannon_40/nhip</t>
        </is>
      </c>
      <c r="B144" t="inlineStr">
        <is>
          <t>p26_bastion_tiny_autocannon_40</t>
        </is>
      </c>
      <c r="C144" t="inlineStr">
        <is>
          <t>khe_mot_nong_mot_vien</t>
        </is>
      </c>
      <c r="D144" t="inlineStr">
        <is>
          <t>s</t>
        </is>
      </c>
      <c r="E144" t="n">
        <v>0.332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R_balance;R_full_weapon_audit;W_wikipedia_bofors_40_mm_l_70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p26_bastion_tiny_kornet_twin/nhip</t>
        </is>
      </c>
      <c r="B145" t="inlineStr">
        <is>
          <t>p26_bastion_tiny_kornet_twin</t>
        </is>
      </c>
      <c r="C145" t="inlineStr">
        <is>
          <t>khe_mot_nong_mot_vien</t>
        </is>
      </c>
      <c r="D145" t="inlineStr">
        <is>
          <t>s</t>
        </is>
      </c>
      <c r="E145" t="n">
        <v>20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R_balance;R_full_weapon_audit;W_wikipedia_9m133_kornet;W_wikipedia_bai_cua_tung_ten_lua_bang_warhead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p26_bastion_tiny_kornet_twin/sat_thuong</t>
        </is>
      </c>
      <c r="B146" t="inlineStr">
        <is>
          <t>p26_bastion_tiny_kornet_twin</t>
        </is>
      </c>
      <c r="C146" t="inlineStr">
        <is>
          <t>sat_thuong_tren_kg_dau_dan</t>
        </is>
      </c>
      <c r="D146" t="inlineStr">
        <is>
          <t>hp/kg</t>
        </is>
      </c>
      <c r="E146">
        <f>INDEX(Vu_khi!$W$2:$W$360,MATCH($B$146,Vu_khi!$A$2:$A$360,0))</f>
        <v/>
      </c>
      <c r="F146">
        <f>INDEX(Vu_khi_tham_chieu!$AB$2:$AB$360,MATCH($B$146,Vu_khi_tham_chieu!$A$2:$A$360,0))</f>
        <v/>
      </c>
      <c r="G146">
        <f>$E$146/$F$146</f>
        <v/>
      </c>
      <c r="H146" t="inlineStr"/>
      <c r="I146" t="inlineStr"/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R_full_weapon_audit</t>
        </is>
      </c>
      <c r="O146" t="inlineStr">
        <is>
          <t>sát thương một phát / khối lượng đầu đạn (không bắt buộc 1:1, chỉ ghi ty_le)</t>
        </is>
      </c>
      <c r="P146" t="inlineStr">
        <is>
          <t>Tools/balance/full_weapon_audit.py WARHEAD</t>
        </is>
      </c>
      <c r="Q146" t="inlineStr"/>
    </row>
    <row r="147">
      <c r="A147" t="inlineStr">
        <is>
          <t>p26_bastion_tiny_zu23/nhip</t>
        </is>
      </c>
      <c r="B147" t="inlineStr">
        <is>
          <t>p26_bastion_tiny_zu23</t>
        </is>
      </c>
      <c r="C147" t="inlineStr">
        <is>
          <t>khe_mot_nong_mot_vien</t>
        </is>
      </c>
      <c r="D147" t="inlineStr">
        <is>
          <t>s</t>
        </is>
      </c>
      <c r="E147" t="n">
        <v>0.09919997999999999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R_balance;R_full_weapon_audit;W_wikipedia_zu_23_2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p26_behemoth_be120/nhip</t>
        </is>
      </c>
      <c r="B148" t="inlineStr">
        <is>
          <t>p26_behemoth_be120</t>
        </is>
      </c>
      <c r="C148" t="inlineStr">
        <is>
          <t>khe_mot_nong_mot_vien</t>
        </is>
      </c>
      <c r="D148" t="inlineStr">
        <is>
          <t>s</t>
        </is>
      </c>
      <c r="E148" t="n">
        <v>3.999996429</v>
      </c>
      <c r="F148">
        <f>60/INDEX(Vu_khi!$BB$2:$BB$360,MATCH($B$148,Vu_khi!$A$2:$A$360,0))/IF(INDEX(Vu_khi!$BD$2:$BD$360,MATCH($B$148,Vu_khi!$A$2:$A$360,0))="gun",0.7,1)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TC0043</t>
        </is>
      </c>
      <c r="N148" t="inlineStr">
        <is>
          <t>R_balance;R_full_weapon_audit;W_wikipedia_rheinmetall_120_mm_gun;R_machine_brigade_can_bang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p26_behemoth_be152/nhip</t>
        </is>
      </c>
      <c r="B149" t="inlineStr">
        <is>
          <t>p26_behemoth_be152</t>
        </is>
      </c>
      <c r="C149" t="inlineStr">
        <is>
          <t>khe_mot_nong_mot_vien</t>
        </is>
      </c>
      <c r="D149" t="inlineStr">
        <is>
          <t>s</t>
        </is>
      </c>
      <c r="E149" t="n">
        <v>2.000003571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>
        <is>
          <t>TC0044</t>
        </is>
      </c>
      <c r="N149" t="inlineStr">
        <is>
          <t>R_balance;R_full_weapon_audit;W_wikipedia_2a65_msta_b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p26_behemoth_be_rockets/nhip</t>
        </is>
      </c>
      <c r="B150" t="inlineStr">
        <is>
          <t>p26_behemoth_be_rockets</t>
        </is>
      </c>
      <c r="C150" t="inlineStr">
        <is>
          <t>khe_mot_nong_mot_vien</t>
        </is>
      </c>
      <c r="D150" t="inlineStr">
        <is>
          <t>s</t>
        </is>
      </c>
      <c r="E150" t="n">
        <v>0.3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R_balance;R_full_weapon_audit;W_wikipedia_bm_21_grad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p26_behemoth_close_boss_flak/nhip</t>
        </is>
      </c>
      <c r="B151" t="inlineStr">
        <is>
          <t>p26_behemoth_close_boss_flak</t>
        </is>
      </c>
      <c r="C151" t="inlineStr">
        <is>
          <t>khe_mot_nong_mot_vien</t>
        </is>
      </c>
      <c r="D151" t="inlineStr">
        <is>
          <t>s</t>
        </is>
      </c>
      <c r="E151" t="n">
        <v>0.262439018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1</v>
      </c>
      <c r="K151" t="inlineStr">
        <is>
          <t>fix_weapon_reasons.json: wave 1 boss_flak: 41 rounds at 1,200 rpm, changed in 3.38 s (twin Oerlikon GDF 2 x 550 rpm)</t>
        </is>
      </c>
      <c r="L151">
        <f>IF(ISNUMBER($H$151),AND(NOT($J$151),OR($G$151&lt;$H$151,$G$151&gt;$I$151)),FALSE)</f>
        <v/>
      </c>
      <c r="M151" t="inlineStr"/>
      <c r="N151" t="inlineStr">
        <is>
          <t>R_balance;R_full_weapon_audit;W_wikipedia_oerlikon_gdf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p26_behemoth_direct_be120/nhip</t>
        </is>
      </c>
      <c r="B152" t="inlineStr">
        <is>
          <t>p26_behemoth_direct_be120</t>
        </is>
      </c>
      <c r="C152" t="inlineStr">
        <is>
          <t>khe_mot_nong_mot_vien</t>
        </is>
      </c>
      <c r="D152" t="inlineStr">
        <is>
          <t>s</t>
        </is>
      </c>
      <c r="E152" t="n">
        <v>7.5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R_balance;R_full_weapon_audit;W_wikipedia_rheinmetall_120_mm_gun;R_machine_brigade_can_bang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p26_behemoth_main_be152/nhip</t>
        </is>
      </c>
      <c r="B153" t="inlineStr">
        <is>
          <t>p26_behemoth_main_be152</t>
        </is>
      </c>
      <c r="C153" t="inlineStr">
        <is>
          <t>khe_mot_nong_mot_vien</t>
        </is>
      </c>
      <c r="D153" t="inlineStr">
        <is>
          <t>s</t>
        </is>
      </c>
      <c r="E153" t="n">
        <v>8.979996429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R_balance;R_full_weapon_audit;W_wikipedia_2a65_msta_b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p26_behemoth_sec_be_rockets/nhip</t>
        </is>
      </c>
      <c r="B154" t="inlineStr">
        <is>
          <t>p26_behemoth_sec_be_rockets</t>
        </is>
      </c>
      <c r="C154" t="inlineStr">
        <is>
          <t>khe_mot_nong_mot_vien</t>
        </is>
      </c>
      <c r="D154" t="inlineStr">
        <is>
          <t>s</t>
        </is>
      </c>
      <c r="E154" t="n">
        <v>0.5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R_balance;R_full_weapon_audit;W_wikipedia_bm_21_grad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p26_behemoth_tiny_be120/nhip</t>
        </is>
      </c>
      <c r="B155" t="inlineStr">
        <is>
          <t>p26_behemoth_tiny_be120</t>
        </is>
      </c>
      <c r="C155" t="inlineStr">
        <is>
          <t>khe_mot_nong_mot_vien</t>
        </is>
      </c>
      <c r="D155" t="inlineStr">
        <is>
          <t>s</t>
        </is>
      </c>
      <c r="E155" t="n">
        <v>7.5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R_balance;R_full_weapon_audit;W_wikipedia_rheinmetall_120_mm_gun;R_machine_brigade_can_bang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p26_behemoth_tiny_boss_missiles/nhip</t>
        </is>
      </c>
      <c r="B156" t="inlineStr">
        <is>
          <t>p26_behemoth_tiny_boss_missiles</t>
        </is>
      </c>
      <c r="C156" t="inlineStr">
        <is>
          <t>khe_mot_nong_mot_vien</t>
        </is>
      </c>
      <c r="D156" t="inlineStr">
        <is>
          <t>s</t>
        </is>
      </c>
      <c r="E156" t="n">
        <v>20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R_balance;R_full_weapon_audit;W_wikipedia_9m133_kornet;W_wikipedia_bai_cua_tung_ten_lua_bang_warhead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p26_behemoth_tiny_boss_missiles/sat_thuong</t>
        </is>
      </c>
      <c r="B157" t="inlineStr">
        <is>
          <t>p26_behemoth_tiny_boss_missiles</t>
        </is>
      </c>
      <c r="C157" t="inlineStr">
        <is>
          <t>sat_thuong_tren_kg_dau_dan</t>
        </is>
      </c>
      <c r="D157" t="inlineStr">
        <is>
          <t>hp/kg</t>
        </is>
      </c>
      <c r="E157">
        <f>INDEX(Vu_khi!$W$2:$W$360,MATCH($B$157,Vu_khi!$A$2:$A$360,0))</f>
        <v/>
      </c>
      <c r="F157">
        <f>INDEX(Vu_khi_tham_chieu!$AB$2:$AB$360,MATCH($B$157,Vu_khi_tham_chieu!$A$2:$A$360,0))</f>
        <v/>
      </c>
      <c r="G157">
        <f>$E$157/$F$157</f>
        <v/>
      </c>
      <c r="H157" t="inlineStr"/>
      <c r="I157" t="inlineStr"/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R_full_weapon_audit</t>
        </is>
      </c>
      <c r="O157" t="inlineStr">
        <is>
          <t>sát thương một phát / khối lượng đầu đạn (không bắt buộc 1:1, chỉ ghi ty_le)</t>
        </is>
      </c>
      <c r="P157" t="inlineStr">
        <is>
          <t>Tools/balance/full_weapon_audit.py WARHEAD</t>
        </is>
      </c>
      <c r="Q157" t="inlineStr"/>
    </row>
    <row r="158">
      <c r="A158" t="inlineStr">
        <is>
          <t>p26_behemoth_tiny_kornet_twin/nhip</t>
        </is>
      </c>
      <c r="B158" t="inlineStr">
        <is>
          <t>p26_behemoth_tiny_kornet_twin</t>
        </is>
      </c>
      <c r="C158" t="inlineStr">
        <is>
          <t>khe_mot_nong_mot_vien</t>
        </is>
      </c>
      <c r="D158" t="inlineStr">
        <is>
          <t>s</t>
        </is>
      </c>
      <c r="E158" t="n">
        <v>9.699996429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R_balance;R_full_weapon_audit;W_wikipedia_rheinmetall_120_mm_gun;R_machine_brigade_can_bang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p26_daedalus_dae57/nhip</t>
        </is>
      </c>
      <c r="B159" t="inlineStr">
        <is>
          <t>p26_daedalus_dae57</t>
        </is>
      </c>
      <c r="C159" t="inlineStr">
        <is>
          <t>khe_mot_nong_mot_vien</t>
        </is>
      </c>
      <c r="D159" t="inlineStr">
        <is>
          <t>s</t>
        </is>
      </c>
      <c r="E159" t="n">
        <v>1.25</v>
      </c>
      <c r="F159">
        <f>60/INDEX(Vu_khi!$BB$2:$BB$360,MATCH($B$159,Vu_khi!$A$2:$A$360,0))/IF(INDEX(Vu_khi!$BD$2:$BD$360,MATCH($B$159,Vu_khi!$A$2:$A$360,0))="gun",0.7,1)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TC0045</t>
        </is>
      </c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p26_daedalus_sec_dae57/nhip</t>
        </is>
      </c>
      <c r="B160" t="inlineStr">
        <is>
          <t>p26_daedalus_sec_dae57</t>
        </is>
      </c>
      <c r="C160" t="inlineStr">
        <is>
          <t>khe_mot_nong_mot_vien</t>
        </is>
      </c>
      <c r="D160" t="inlineStr">
        <is>
          <t>s</t>
        </is>
      </c>
      <c r="E160" t="n">
        <v>1.0725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1</v>
      </c>
      <c r="K160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0">
        <f>IF(ISNUMBER($H$160),AND(NOT($J$160),OR($G$160&lt;$H$160,$G$160&gt;$I$160)),FALSE)</f>
        <v/>
      </c>
      <c r="M160" t="inlineStr"/>
      <c r="N160" t="inlineStr">
        <is>
          <t>R_balance;R_full_weapon_audit;W_wikipedia_au_220m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p26_icarus_close_autocannon_40/nhip</t>
        </is>
      </c>
      <c r="B161" t="inlineStr">
        <is>
          <t>p26_icarus_close_autocannon_40</t>
        </is>
      </c>
      <c r="C161" t="inlineStr">
        <is>
          <t>khe_mot_nong_mot_vien</t>
        </is>
      </c>
      <c r="D161" t="inlineStr">
        <is>
          <t>s</t>
        </is>
      </c>
      <c r="E161" t="n">
        <v>0.332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R_balance;R_full_weapon_audit;W_wikipedia_bofors_40_mm_l_70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p26_ixion_125/nhip</t>
        </is>
      </c>
      <c r="B162" t="inlineStr">
        <is>
          <t>p26_ixion_125</t>
        </is>
      </c>
      <c r="C162" t="inlineStr">
        <is>
          <t>khe_mot_nong_mot_vien</t>
        </is>
      </c>
      <c r="D162" t="inlineStr">
        <is>
          <t>s</t>
        </is>
      </c>
      <c r="E162" t="n">
        <v>7.5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R_balance;R_full_weapon_audit;W_wikipedia_2a46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p26_ixion_mg/nhip</t>
        </is>
      </c>
      <c r="B163" t="inlineStr">
        <is>
          <t>p26_ixion_mg</t>
        </is>
      </c>
      <c r="C163" t="inlineStr">
        <is>
          <t>khe_mot_nong_mot_vien</t>
        </is>
      </c>
      <c r="D163" t="inlineStr">
        <is>
          <t>s</t>
        </is>
      </c>
      <c r="E163" t="n">
        <v>0.132467025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R_balance;R_full_weapon_audit;W_wikipedia_nsv_machine_gun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p26_jotunn_close_boss_flak/nhip</t>
        </is>
      </c>
      <c r="B164" t="inlineStr">
        <is>
          <t>p26_jotunn_close_boss_flak</t>
        </is>
      </c>
      <c r="C164" t="inlineStr">
        <is>
          <t>khe_mot_nong_mot_vien</t>
        </is>
      </c>
      <c r="D164" t="inlineStr">
        <is>
          <t>s</t>
        </is>
      </c>
      <c r="E164" t="n">
        <v>0.262439018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1</v>
      </c>
      <c r="K164" t="inlineStr">
        <is>
          <t>fix_weapon_reasons.json: wave 1 boss_flak: 41 rounds at 1,200 rpm, changed in 3.38 s (twin Oerlikon GDF 2 x 550 rpm)</t>
        </is>
      </c>
      <c r="L164">
        <f>IF(ISNUMBER($H$164),AND(NOT($J$164),OR($G$164&lt;$H$164,$G$164&gt;$I$164)),FALSE)</f>
        <v/>
      </c>
      <c r="M164" t="inlineStr"/>
      <c r="N164" t="inlineStr">
        <is>
          <t>R_balance;R_full_weapon_audit;W_wikipedia_oerlikon_gdf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p26_jotunn_direct_jo125/nhip</t>
        </is>
      </c>
      <c r="B165" t="inlineStr">
        <is>
          <t>p26_jotunn_direct_jo125</t>
        </is>
      </c>
      <c r="C165" t="inlineStr">
        <is>
          <t>khe_mot_nong_mot_vien</t>
        </is>
      </c>
      <c r="D165" t="inlineStr">
        <is>
          <t>s</t>
        </is>
      </c>
      <c r="E165" t="n">
        <v>7.5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p26_jotunn_jo125/nhip</t>
        </is>
      </c>
      <c r="B166" t="inlineStr">
        <is>
          <t>p26_jotunn_jo125</t>
        </is>
      </c>
      <c r="C166" t="inlineStr">
        <is>
          <t>khe_mot_nong_mot_vien</t>
        </is>
      </c>
      <c r="D166" t="inlineStr">
        <is>
          <t>s</t>
        </is>
      </c>
      <c r="E166" t="n">
        <v>2.000003571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>
        <is>
          <t>TC0046</t>
        </is>
      </c>
      <c r="N166" t="inlineStr">
        <is>
          <t>R_balance;R_full_weapon_audit;W_wikipedia_2a46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p26_jotunn_jo203/nhip</t>
        </is>
      </c>
      <c r="B167" t="inlineStr">
        <is>
          <t>p26_jotunn_jo203</t>
        </is>
      </c>
      <c r="C167" t="inlineStr">
        <is>
          <t>khe_mot_nong_mot_vien</t>
        </is>
      </c>
      <c r="D167" t="inlineStr">
        <is>
          <t>s</t>
        </is>
      </c>
      <c r="E167" t="n">
        <v>24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R_balance;R_full_weapon_audit;W_wikipedia_2s7_pion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p26_jotunn_jo_rockets/nhip</t>
        </is>
      </c>
      <c r="B168" t="inlineStr">
        <is>
          <t>p26_jotunn_jo_rockets</t>
        </is>
      </c>
      <c r="C168" t="inlineStr">
        <is>
          <t>khe_mot_nong_mot_vien</t>
        </is>
      </c>
      <c r="D168" t="inlineStr">
        <is>
          <t>s</t>
        </is>
      </c>
      <c r="E168" t="n">
        <v>0.3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TC0047</t>
        </is>
      </c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p26_jotunn_sec_jo_rockets/nhip</t>
        </is>
      </c>
      <c r="B169" t="inlineStr">
        <is>
          <t>p26_jotunn_sec_jo_rockets</t>
        </is>
      </c>
      <c r="C169" t="inlineStr">
        <is>
          <t>khe_mot_nong_mot_vien</t>
        </is>
      </c>
      <c r="D169" t="inlineStr">
        <is>
          <t>s</t>
        </is>
      </c>
      <c r="E169" t="n">
        <v>3.169998947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R_balance;R_full_weapon_audit;W_wikipedia_bm_30_smerch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p26_jotunn_tiny_twin_30_flak/nhip</t>
        </is>
      </c>
      <c r="B170" t="inlineStr">
        <is>
          <t>p26_jotunn_tiny_twin_30_flak</t>
        </is>
      </c>
      <c r="C170" t="inlineStr">
        <is>
          <t>khe_mot_nong_mot_vien</t>
        </is>
      </c>
      <c r="D170" t="inlineStr">
        <is>
          <t>s</t>
        </is>
      </c>
      <c r="E170" t="n">
        <v>0.08718748799999999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1</v>
      </c>
      <c r="K170" t="inlineStr">
        <is>
          <t>fix_weapon_reasons.json: wave 1 twin_30_flak: 160 rounds at 2,400 rpm, changed in 3 s (2A38M 4,060-5,000 rpm the pair)</t>
        </is>
      </c>
      <c r="L170">
        <f>IF(ISNUMBER($H$170),AND(NOT($J$170),OR($G$170&lt;$H$170,$G$170&gt;$I$170)),FALSE)</f>
        <v/>
      </c>
      <c r="M170" t="inlineStr"/>
      <c r="N170" t="inlineStr">
        <is>
          <t>R_balance;R_full_weapon_audit;W_wikipedia_2a38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p26_leviathan_direct_lev127/nhip</t>
        </is>
      </c>
      <c r="B171" t="inlineStr">
        <is>
          <t>p26_leviathan_direct_lev127</t>
        </is>
      </c>
      <c r="C171" t="inlineStr">
        <is>
          <t>khe_mot_nong_mot_vien</t>
        </is>
      </c>
      <c r="D171" t="inlineStr">
        <is>
          <t>s</t>
        </is>
      </c>
      <c r="E171" t="n">
        <v>3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p26_leviathan_lev127/nhip</t>
        </is>
      </c>
      <c r="B172" t="inlineStr">
        <is>
          <t>p26_leviathan_lev127</t>
        </is>
      </c>
      <c r="C172" t="inlineStr">
        <is>
          <t>khe_mot_nong_mot_vien</t>
        </is>
      </c>
      <c r="D172" t="inlineStr">
        <is>
          <t>s</t>
        </is>
      </c>
      <c r="E172" t="n">
        <v>2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R_balance;R_full_weapon_audit;W_wikipedia_a_192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p26_leviathan_lev155/nhip</t>
        </is>
      </c>
      <c r="B173" t="inlineStr">
        <is>
          <t>p26_leviathan_lev155</t>
        </is>
      </c>
      <c r="C173" t="inlineStr">
        <is>
          <t>khe_mot_nong_mot_vien</t>
        </is>
      </c>
      <c r="D173" t="inlineStr">
        <is>
          <t>s</t>
        </is>
      </c>
      <c r="E173" t="n">
        <v>5.000005714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>
        <is>
          <t>TC0048</t>
        </is>
      </c>
      <c r="N173" t="inlineStr">
        <is>
          <t>R_balance;R_full_weapon_audit;W_wikipedia_15_5_cm_60_3rd_year_type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p26_leviathan_lev406/nhip</t>
        </is>
      </c>
      <c r="B174" t="inlineStr">
        <is>
          <t>p26_leviathan_lev406</t>
        </is>
      </c>
      <c r="C174" t="inlineStr">
        <is>
          <t>khe_mot_nong_mot_vien</t>
        </is>
      </c>
      <c r="D174" t="inlineStr">
        <is>
          <t>s</t>
        </is>
      </c>
      <c r="E174" t="n">
        <v>60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R_balance;R_full_weapon_audit;W_wikipedia_16_50_caliber_mark_7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p26_leviathan_sec_lev155/nhip</t>
        </is>
      </c>
      <c r="B175" t="inlineStr">
        <is>
          <t>p26_leviathan_sec_lev155</t>
        </is>
      </c>
      <c r="C175" t="inlineStr">
        <is>
          <t>khe_mot_nong_mot_vien</t>
        </is>
      </c>
      <c r="D175" t="inlineStr">
        <is>
          <t>s</t>
        </is>
      </c>
      <c r="E175" t="n">
        <v>10.5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p26_matriarch_close_boss_flak/nhip</t>
        </is>
      </c>
      <c r="B176" t="inlineStr">
        <is>
          <t>p26_matriarch_close_boss_flak</t>
        </is>
      </c>
      <c r="C176" t="inlineStr">
        <is>
          <t>khe_mot_nong_mot_vien</t>
        </is>
      </c>
      <c r="D176" t="inlineStr">
        <is>
          <t>s</t>
        </is>
      </c>
      <c r="E176" t="n">
        <v>0.262439018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1</v>
      </c>
      <c r="K176" t="inlineStr">
        <is>
          <t>fix_weapon_reasons.json: wave 1 boss_flak: 41 rounds at 1,200 rpm, changed in 3.38 s (twin Oerlikon GDF 2 x 550 rpm)</t>
        </is>
      </c>
      <c r="L176">
        <f>IF(ISNUMBER($H$176),AND(NOT($J$176),OR($G$176&lt;$H$176,$G$176&gt;$I$176)),FALSE)</f>
        <v/>
      </c>
      <c r="M176" t="inlineStr"/>
      <c r="N176" t="inlineStr">
        <is>
          <t>R_balance;R_full_weapon_audit;W_wikipedia_oerlikon_gdf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p26_matriarch_direct_ma_atgm/nhip</t>
        </is>
      </c>
      <c r="B177" t="inlineStr">
        <is>
          <t>p26_matriarch_direct_ma_atgm</t>
        </is>
      </c>
      <c r="C177" t="inlineStr">
        <is>
          <t>khe_mot_nong_mot_vien</t>
        </is>
      </c>
      <c r="D177" t="inlineStr">
        <is>
          <t>s</t>
        </is>
      </c>
      <c r="E177" t="n">
        <v>20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R_balance;R_full_weapon_audit;W_wikipedia_9m133_kornet;W_wikipedia_bai_cua_tung_ten_lua_bang_warhead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p26_matriarch_direct_ma_atgm/sat_thuong</t>
        </is>
      </c>
      <c r="B178" t="inlineStr">
        <is>
          <t>p26_matriarch_direct_ma_atgm</t>
        </is>
      </c>
      <c r="C178" t="inlineStr">
        <is>
          <t>sat_thuong_tren_kg_dau_dan</t>
        </is>
      </c>
      <c r="D178" t="inlineStr">
        <is>
          <t>hp/kg</t>
        </is>
      </c>
      <c r="E178">
        <f>INDEX(Vu_khi!$W$2:$W$360,MATCH($B$178,Vu_khi!$A$2:$A$360,0))</f>
        <v/>
      </c>
      <c r="F178">
        <f>INDEX(Vu_khi_tham_chieu!$AB$2:$AB$360,MATCH($B$178,Vu_khi_tham_chieu!$A$2:$A$360,0))</f>
        <v/>
      </c>
      <c r="G178">
        <f>$E$178/$F$178</f>
        <v/>
      </c>
      <c r="H178" t="inlineStr"/>
      <c r="I178" t="inlineStr"/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R_full_weapon_audit</t>
        </is>
      </c>
      <c r="O178" t="inlineStr">
        <is>
          <t>sát thương một phát / khối lượng đầu đạn (không bắt buộc 1:1, chỉ ghi ty_le)</t>
        </is>
      </c>
      <c r="P178" t="inlineStr">
        <is>
          <t>Tools/balance/full_weapon_audit.py WARHEAD</t>
        </is>
      </c>
      <c r="Q178" t="inlineStr"/>
    </row>
    <row r="179">
      <c r="A179" t="inlineStr">
        <is>
          <t>p26_matriarch_ma_atgm/nhip</t>
        </is>
      </c>
      <c r="B179" t="inlineStr">
        <is>
          <t>p26_matriarch_ma_atgm</t>
        </is>
      </c>
      <c r="C179" t="inlineStr">
        <is>
          <t>khe_mot_nong_mot_vien</t>
        </is>
      </c>
      <c r="D179" t="inlineStr">
        <is>
          <t>s</t>
        </is>
      </c>
      <c r="E179" t="n">
        <v>2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>
        <is>
          <t>TC0049</t>
        </is>
      </c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p26_matriarch_ma_atgm/sat_thuong</t>
        </is>
      </c>
      <c r="B180" t="inlineStr">
        <is>
          <t>p26_matriarch_ma_atgm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p26_matriarch_sec_autocannon_30/nhip</t>
        </is>
      </c>
      <c r="B181" t="inlineStr">
        <is>
          <t>p26_matriarch_sec_autocannon_30</t>
        </is>
      </c>
      <c r="C181" t="inlineStr">
        <is>
          <t>khe_mot_nong_mot_vien</t>
        </is>
      </c>
      <c r="D181" t="inlineStr">
        <is>
          <t>s</t>
        </is>
      </c>
      <c r="E181" t="n">
        <v>0.24999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autocannon_30: 10 rounds at 540 rpm every 2.5 s (2A42 550-800 rpm)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R_balance;R_full_weapon_audit;W_wikipedia_2a42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p26_matriarch_tiny_mothership_cannon/nhip</t>
        </is>
      </c>
      <c r="B182" t="inlineStr">
        <is>
          <t>p26_matriarch_tiny_mothership_cannon</t>
        </is>
      </c>
      <c r="C182" t="inlineStr">
        <is>
          <t>khe_mot_nong_mot_vien</t>
        </is>
      </c>
      <c r="D182" t="inlineStr">
        <is>
          <t>s</t>
        </is>
      </c>
      <c r="E182" t="n">
        <v>1.0725</v>
      </c>
      <c r="F182">
        <f>60/INDEX(Vu_khi!$BB$2:$BB$360,MATCH($B$182,Vu_khi!$A$2:$A$360,0))/IF(INDEX(Vu_khi!$BD$2:$BD$360,MATCH($B$182,Vu_khi!$A$2:$A$360,0))="gun",0.7,1)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R_balance;R_full_weapon_audit;W_wikipedia_au_220m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p26_moloch_close_boss_flak/nhip</t>
        </is>
      </c>
      <c r="B183" t="inlineStr">
        <is>
          <t>p26_moloch_close_boss_flak</t>
        </is>
      </c>
      <c r="C183" t="inlineStr">
        <is>
          <t>khe_mot_nong_mot_vien</t>
        </is>
      </c>
      <c r="D183" t="inlineStr">
        <is>
          <t>s</t>
        </is>
      </c>
      <c r="E183" t="n">
        <v>0.262439018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boss_flak: 41 rounds at 1,200 rpm, changed in 3.38 s (twin Oerlikon GDF 2 x 550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R_balance;R_full_weapon_audit;W_wikipedia_oerlikon_gdf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p26_moloch_direct_mo120ap/nhip</t>
        </is>
      </c>
      <c r="B184" t="inlineStr">
        <is>
          <t>p26_moloch_direct_mo120ap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p26_moloch_main_mo120/nhip</t>
        </is>
      </c>
      <c r="B185" t="inlineStr">
        <is>
          <t>p26_moloch_main_mo120</t>
        </is>
      </c>
      <c r="C185" t="inlineStr">
        <is>
          <t>khe_mot_nong_mot_vien</t>
        </is>
      </c>
      <c r="D185" t="inlineStr">
        <is>
          <t>s</t>
        </is>
      </c>
      <c r="E185" t="n">
        <v>7.5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/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p26_moloch_mo120/nhip</t>
        </is>
      </c>
      <c r="B186" t="inlineStr">
        <is>
          <t>p26_moloch_mo120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TC0050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p26_moloch_mo120ap/nhip</t>
        </is>
      </c>
      <c r="B187" t="inlineStr">
        <is>
          <t>p26_moloch_mo120ap</t>
        </is>
      </c>
      <c r="C187" t="inlineStr">
        <is>
          <t>khe_mot_nong_mot_vien</t>
        </is>
      </c>
      <c r="D187" t="inlineStr">
        <is>
          <t>s</t>
        </is>
      </c>
      <c r="E187" t="n">
        <v>2.000003571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>
        <is>
          <t>TC0051</t>
        </is>
      </c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p26_moloch_tiny_zu23/nhip</t>
        </is>
      </c>
      <c r="B188" t="inlineStr">
        <is>
          <t>p26_moloch_tiny_zu23</t>
        </is>
      </c>
      <c r="C188" t="inlineStr">
        <is>
          <t>khe_mot_nong_mot_vien</t>
        </is>
      </c>
      <c r="D188" t="inlineStr">
        <is>
          <t>s</t>
        </is>
      </c>
      <c r="E188" t="n">
        <v>0.09919997999999999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R_balance;R_full_weapon_audit;W_wikipedia_zu_23_2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p26_nemesis_close_boss_flak/nhip</t>
        </is>
      </c>
      <c r="B189" t="inlineStr">
        <is>
          <t>p26_nemesis_close_boss_flak</t>
        </is>
      </c>
      <c r="C189" t="inlineStr">
        <is>
          <t>khe_mot_nong_mot_vien</t>
        </is>
      </c>
      <c r="D189" t="inlineStr">
        <is>
          <t>s</t>
        </is>
      </c>
      <c r="E189" t="n">
        <v>0.262439018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1</v>
      </c>
      <c r="K189" t="inlineStr">
        <is>
          <t>fix_weapon_reasons.json: wave 1 boss_flak: 41 rounds at 1,200 rpm, changed in 3.38 s (twin Oerlikon GDF 2 x 550 rpm)</t>
        </is>
      </c>
      <c r="L189">
        <f>IF(ISNUMBER($H$189),AND(NOT($J$189),OR($G$189&lt;$H$189,$G$189&gt;$I$189)),FALSE)</f>
        <v/>
      </c>
      <c r="M189" t="inlineStr"/>
      <c r="N189" t="inlineStr">
        <is>
          <t>R_balance;R_full_weapon_audit;W_wikipedia_oerlikon_gdf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p26_nemesis_direct_ne125/nhip</t>
        </is>
      </c>
      <c r="B190" t="inlineStr">
        <is>
          <t>p26_nemesis_direct_ne125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R_balance;R_full_weapon_audit;W_wikipedia_2a46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p26_nemesis_main_ne152/nhip</t>
        </is>
      </c>
      <c r="B191" t="inlineStr">
        <is>
          <t>p26_nemesis_main_ne152</t>
        </is>
      </c>
      <c r="C191" t="inlineStr">
        <is>
          <t>khe_mot_nong_mot_vien</t>
        </is>
      </c>
      <c r="D191" t="inlineStr">
        <is>
          <t>s</t>
        </is>
      </c>
      <c r="E191" t="n">
        <v>7.5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R_balance;R_full_weapon_audit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p26_nemesis_ne125/nhip</t>
        </is>
      </c>
      <c r="B192" t="inlineStr">
        <is>
          <t>p26_nemesis_ne125</t>
        </is>
      </c>
      <c r="C192" t="inlineStr">
        <is>
          <t>khe_mot_nong_mot_vien</t>
        </is>
      </c>
      <c r="D192" t="inlineStr">
        <is>
          <t>s</t>
        </is>
      </c>
      <c r="E192" t="n">
        <v>2.000003571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TC0052</t>
        </is>
      </c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p26_nemesis_ne152/nhip</t>
        </is>
      </c>
      <c r="B193" t="inlineStr">
        <is>
          <t>p26_nemesis_ne152</t>
        </is>
      </c>
      <c r="C193" t="inlineStr">
        <is>
          <t>khe_mot_nong_mot_vien</t>
        </is>
      </c>
      <c r="D193" t="inlineStr">
        <is>
          <t>s</t>
        </is>
      </c>
      <c r="E193" t="n">
        <v>1.250003571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>
        <is>
          <t>TC0053</t>
        </is>
      </c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p26_nemesis_sec_boss_rockets/nhip</t>
        </is>
      </c>
      <c r="B194" t="inlineStr">
        <is>
          <t>p26_nemesis_sec_boss_rockets</t>
        </is>
      </c>
      <c r="C194" t="inlineStr">
        <is>
          <t>khe_mot_nong_mot_vien</t>
        </is>
      </c>
      <c r="D194" t="inlineStr">
        <is>
          <t>s</t>
        </is>
      </c>
      <c r="E194" t="n">
        <v>0.5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R_balance;R_full_weapon_audit;W_wikipedia_bm_21_grad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p26_roc_close_twin_30_bmpt/nhip</t>
        </is>
      </c>
      <c r="B195" t="inlineStr">
        <is>
          <t>p26_roc_close_twin_30_bmpt</t>
        </is>
      </c>
      <c r="C195" t="inlineStr">
        <is>
          <t>khe_mot_nong_mot_vien</t>
        </is>
      </c>
      <c r="D195" t="inlineStr">
        <is>
          <t>s</t>
        </is>
      </c>
      <c r="E195" t="n">
        <v>0.3943833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1</v>
      </c>
      <c r="K195" t="inlineStr">
        <is>
          <t>fix_weapon_reasons.json: wave 1 twin_30_bmpt: 12 rounds at 720 rpm, 1.45 s after (wave 1's 1.5 s is a hair over 2 x the practical rate)</t>
        </is>
      </c>
      <c r="L195">
        <f>IF(ISNUMBER($H$195),AND(NOT($J$195),OR($G$195&lt;$H$195,$G$195&gt;$I$195)),FALSE)</f>
        <v/>
      </c>
      <c r="M195" t="inlineStr"/>
      <c r="N195" t="inlineStr">
        <is>
          <t>R_balance;R_full_weapon_audit;W_wikipedia_2a42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p26_roc_direct_roc_atgm/nhip</t>
        </is>
      </c>
      <c r="B196" t="inlineStr">
        <is>
          <t>p26_roc_direct_roc_atgm</t>
        </is>
      </c>
      <c r="C196" t="inlineStr">
        <is>
          <t>khe_mot_nong_mot_vien</t>
        </is>
      </c>
      <c r="D196" t="inlineStr">
        <is>
          <t>s</t>
        </is>
      </c>
      <c r="E196" t="n">
        <v>20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R_balance;R_full_weapon_audit;W_wikipedia_9m133_kornet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p26_roc_main_roc_bombs/nhip</t>
        </is>
      </c>
      <c r="B197" t="inlineStr">
        <is>
          <t>p26_roc_main_roc_bombs</t>
        </is>
      </c>
      <c r="C197" t="inlineStr">
        <is>
          <t>khe_mot_nong_mot_vien</t>
        </is>
      </c>
      <c r="D197" t="inlineStr">
        <is>
          <t>s</t>
        </is>
      </c>
      <c r="E197" t="n">
        <v>0.3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a 400 kg bomb stick from an airship's bay: no real rate for the bay's reload; the 35.4 s cycle kept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p26_roc_roc105/nhip</t>
        </is>
      </c>
      <c r="B198" t="inlineStr">
        <is>
          <t>p26_roc_roc105</t>
        </is>
      </c>
      <c r="C198" t="inlineStr">
        <is>
          <t>khe_mot_nong_mot_vien</t>
        </is>
      </c>
      <c r="D198" t="inlineStr">
        <is>
          <t>s</t>
        </is>
      </c>
      <c r="E198" t="n">
        <v>6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R_balance;R_full_weapon_audit;W_wikipedia_m102_howitzer;R_machine_brigade_can_bang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p26_roc_roc_atgm/nhip</t>
        </is>
      </c>
      <c r="B199" t="inlineStr">
        <is>
          <t>p26_roc_roc_atgm</t>
        </is>
      </c>
      <c r="C199" t="inlineStr">
        <is>
          <t>khe_mot_nong_mot_vien</t>
        </is>
      </c>
      <c r="D199" t="inlineStr">
        <is>
          <t>s</t>
        </is>
      </c>
      <c r="E199" t="n">
        <v>2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>
        <is>
          <t>TC0054</t>
        </is>
      </c>
      <c r="N199" t="inlineStr">
        <is>
          <t>R_balance;R_full_weapon_audit;W_wikipedia_9m133_kornet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p26_roc_roc_bombs/nhip</t>
        </is>
      </c>
      <c r="B200" t="inlineStr">
        <is>
          <t>p26_roc_roc_bombs</t>
        </is>
      </c>
      <c r="C200" t="inlineStr">
        <is>
          <t>khe_mot_nong_mot_vien</t>
        </is>
      </c>
      <c r="D200" t="inlineStr">
        <is>
          <t>s</t>
        </is>
      </c>
      <c r="E200" t="n">
        <v>0.3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1</v>
      </c>
      <c r="K2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0">
        <f>IF(ISNUMBER($H$200),AND(NOT($J$200),OR($G$200&lt;$H$200,$G$200&gt;$I$200)),FALSE)</f>
        <v/>
      </c>
      <c r="M200" t="inlineStr"/>
      <c r="N200" t="inlineStr">
        <is>
          <t>R_balance;R_full_weapon_audit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p26_typhon_direct_ty100/nhip</t>
        </is>
      </c>
      <c r="B201" t="inlineStr">
        <is>
          <t>p26_typhon_direct_ty100</t>
        </is>
      </c>
      <c r="C201" t="inlineStr">
        <is>
          <t>khe_mot_nong_mot_vien</t>
        </is>
      </c>
      <c r="D201" t="inlineStr">
        <is>
          <t>s</t>
        </is>
      </c>
      <c r="E201" t="n">
        <v>1.75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R_balance;R_full_weapon_audit;W_wikipedia_ak_100_naval_gun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p26_typhon_sec_ty57/nhip</t>
        </is>
      </c>
      <c r="B202" t="inlineStr">
        <is>
          <t>p26_typhon_sec_ty57</t>
        </is>
      </c>
      <c r="C202" t="inlineStr">
        <is>
          <t>khe_mot_nong_mot_vien</t>
        </is>
      </c>
      <c r="D202" t="inlineStr">
        <is>
          <t>s</t>
        </is>
      </c>
      <c r="E202" t="n">
        <v>1.0725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fix_weapon_reasons.json: wave 1 mothership_cannon: 4 rounds 0.5 s apart every 4.29 s (AU-220M 120 rpm); made up: a twin 57 mm deck mount (as the real AK-725 twin 57 mm)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p26_typhon_ty57/nhip</t>
        </is>
      </c>
      <c r="B203" t="inlineStr">
        <is>
          <t>p26_typhon_ty57</t>
        </is>
      </c>
      <c r="C203" t="inlineStr">
        <is>
          <t>khe_mot_nong_mot_vien</t>
        </is>
      </c>
      <c r="D203" t="inlineStr">
        <is>
          <t>s</t>
        </is>
      </c>
      <c r="E203" t="n">
        <v>0.75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R_balance;R_full_weapon_audit;W_wikipedia_au_220m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p26_typhon_ty100/nhip</t>
        </is>
      </c>
      <c r="B204" t="inlineStr">
        <is>
          <t>p26_typhon_ty100</t>
        </is>
      </c>
      <c r="C204" t="inlineStr">
        <is>
          <t>khe_mot_nong_mot_vien</t>
        </is>
      </c>
      <c r="D204" t="inlineStr">
        <is>
          <t>s</t>
        </is>
      </c>
      <c r="E204" t="n">
        <v>2.5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R_balance;R_full_weapon_audit;W_wikipedia_ak_100_naval_gun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patriot/nhip</t>
        </is>
      </c>
      <c r="B205" t="inlineStr">
        <is>
          <t>patriot</t>
        </is>
      </c>
      <c r="C205" t="inlineStr">
        <is>
          <t>khe_mot_nong_mot_vien</t>
        </is>
      </c>
      <c r="D205" t="inlineStr">
        <is>
          <t>s</t>
        </is>
      </c>
      <c r="E205" t="n">
        <v>1.599999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TC0055</t>
        </is>
      </c>
      <c r="N205" t="inlineStr">
        <is>
          <t>R_balance;R_full_weapon_audit;W_wikipedia_mim_104_patriot;R_machine_brigade_can_bang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pt14_co_203/nhip</t>
        </is>
      </c>
      <c r="B206" t="inlineStr">
        <is>
          <t>pt14_co_203</t>
        </is>
      </c>
      <c r="C206" t="inlineStr">
        <is>
          <t>khe_mot_nong_mot_vien</t>
        </is>
      </c>
      <c r="D206" t="inlineStr">
        <is>
          <t>s</t>
        </is>
      </c>
      <c r="E206" t="n">
        <v>21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TC0056</t>
        </is>
      </c>
      <c r="N206" t="inlineStr">
        <is>
          <t>R_balance;R_full_weapon_audit;W_wikipedia_8_55_caliber_mark_71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pt14_co_v76/nhip</t>
        </is>
      </c>
      <c r="B207" t="inlineStr">
        <is>
          <t>pt14_co_v76</t>
        </is>
      </c>
      <c r="C207" t="inlineStr">
        <is>
          <t>khe_mot_nong_mot_vien</t>
        </is>
      </c>
      <c r="D207" t="inlineStr">
        <is>
          <t>s</t>
        </is>
      </c>
      <c r="E207" t="n">
        <v>2.05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TC0057</t>
        </is>
      </c>
      <c r="N207" t="inlineStr">
        <is>
          <t>R_balance;R_full_weapon_audit;W_wikipedia_oto_melara_76_mm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pt14_dd_v25/nhip</t>
        </is>
      </c>
      <c r="B208" t="inlineStr">
        <is>
          <t>pt14_dd_v25</t>
        </is>
      </c>
      <c r="C208" t="inlineStr">
        <is>
          <t>khe_mot_nong_mot_vien</t>
        </is>
      </c>
      <c r="D208" t="inlineStr">
        <is>
          <t>s</t>
        </is>
      </c>
      <c r="E208" t="n">
        <v>0.203571429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R_balance;R_full_weapon_audit;W_wikipedia_gau_12_equalizer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pt14_dd_v57/nhip</t>
        </is>
      </c>
      <c r="B209" t="inlineStr">
        <is>
          <t>pt14_dd_v57</t>
        </is>
      </c>
      <c r="C209" t="inlineStr">
        <is>
          <t>khe_mot_nong_mot_vien</t>
        </is>
      </c>
      <c r="D209" t="inlineStr">
        <is>
          <t>s</t>
        </is>
      </c>
      <c r="E209" t="n">
        <v>1.0725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1</v>
      </c>
      <c r="K20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pt14_hp_155/nhip</t>
        </is>
      </c>
      <c r="B210" t="inlineStr">
        <is>
          <t>pt14_hp_155</t>
        </is>
      </c>
      <c r="C210" t="inlineStr">
        <is>
          <t>khe_mot_nong_mot_vien</t>
        </is>
      </c>
      <c r="D210" t="inlineStr">
        <is>
          <t>s</t>
        </is>
      </c>
      <c r="E210" t="n">
        <v>13.899994286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R_balance;R_full_weapon_audit;W_wikipedia_15_5_cm_60_3rd_year_type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pt14_hp_nsm/nhip</t>
        </is>
      </c>
      <c r="B211" t="inlineStr">
        <is>
          <t>pt14_hp_nsm</t>
        </is>
      </c>
      <c r="C211" t="inlineStr">
        <is>
          <t>khe_mot_nong_mot_vien</t>
        </is>
      </c>
      <c r="D211" t="inlineStr">
        <is>
          <t>s</t>
        </is>
      </c>
      <c r="E211" t="n">
        <v>7.299999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>
        <is>
          <t>TC0058</t>
        </is>
      </c>
      <c r="N211" t="inlineStr">
        <is>
          <t>R_balance;R_full_weapon_audit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pt14_hp_v127/nhip</t>
        </is>
      </c>
      <c r="B212" t="inlineStr">
        <is>
          <t>pt14_hp_v127</t>
        </is>
      </c>
      <c r="C212" t="inlineStr">
        <is>
          <t>khe_mot_nong_mot_vien</t>
        </is>
      </c>
      <c r="D212" t="inlineStr">
        <is>
          <t>s</t>
        </is>
      </c>
      <c r="E212" t="n">
        <v>2.499998571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TC0059</t>
        </is>
      </c>
      <c r="N212" t="inlineStr">
        <is>
          <t>R_balance;R_full_weapon_audit;W_wikipedia_5_54_caliber_mark_45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pt14_ixion_30/nhip</t>
        </is>
      </c>
      <c r="B213" t="inlineStr">
        <is>
          <t>pt14_ixion_30</t>
        </is>
      </c>
      <c r="C213" t="inlineStr">
        <is>
          <t>khe_mot_nong_mot_vien</t>
        </is>
      </c>
      <c r="D213" t="inlineStr">
        <is>
          <t>s</t>
        </is>
      </c>
      <c r="E213" t="n">
        <v>0.5347125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TC0060</t>
        </is>
      </c>
      <c r="N213" t="inlineStr">
        <is>
          <t>R_balance;R_full_weapon_audit;W_wikipedia_2a42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pt14_ixion_grad/nhip</t>
        </is>
      </c>
      <c r="B214" t="inlineStr">
        <is>
          <t>pt14_ixion_grad</t>
        </is>
      </c>
      <c r="C214" t="inlineStr">
        <is>
          <t>khe_mot_nong_mot_vien</t>
        </is>
      </c>
      <c r="D214" t="inlineStr">
        <is>
          <t>s</t>
        </is>
      </c>
      <c r="E214" t="n">
        <v>0.5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R_balance;R_full_weapon_audit;W_wikipedia_bm_21_grad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pt14_ixion_kornet/nhip</t>
        </is>
      </c>
      <c r="B215" t="inlineStr">
        <is>
          <t>pt14_ixion_kornet</t>
        </is>
      </c>
      <c r="C215" t="inlineStr">
        <is>
          <t>khe_mot_nong_mot_vien</t>
        </is>
      </c>
      <c r="D215" t="inlineStr">
        <is>
          <t>s</t>
        </is>
      </c>
      <c r="E215" t="n">
        <v>24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R_balance;R_full_weapon_audit;W_wikipedia_9m133_kornet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pt14_mk0_v40/nhip</t>
        </is>
      </c>
      <c r="B216" t="inlineStr">
        <is>
          <t>pt14_mk0_v40</t>
        </is>
      </c>
      <c r="C216" t="inlineStr">
        <is>
          <t>khe_mot_nong_mot_vien</t>
        </is>
      </c>
      <c r="D216" t="inlineStr">
        <is>
          <t>s</t>
        </is>
      </c>
      <c r="E216" t="n">
        <v>0.5375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R_balance;R_full_weapon_audit;W_wikipedia_bofors_40_mm_l_60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pt14_sb_v105/nhip</t>
        </is>
      </c>
      <c r="B217" t="inlineStr">
        <is>
          <t>pt14_sb_v105</t>
        </is>
      </c>
      <c r="C217" t="inlineStr">
        <is>
          <t>khe_mot_nong_mot_vien</t>
        </is>
      </c>
      <c r="D217" t="inlineStr">
        <is>
          <t>s</t>
        </is>
      </c>
      <c r="E217" t="n">
        <v>6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R_balance;R_full_weapon_audit;W_wikipedia_m102_howitzer;R_machine_brigade_can_bang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pt14_th_v35/nhip</t>
        </is>
      </c>
      <c r="B218" t="inlineStr">
        <is>
          <t>pt14_th_v35</t>
        </is>
      </c>
      <c r="C218" t="inlineStr">
        <is>
          <t>khe_mot_nong_mot_vien</t>
        </is>
      </c>
      <c r="D218" t="inlineStr">
        <is>
          <t>s</t>
        </is>
      </c>
      <c r="E218" t="n">
        <v>0.69375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>
        <is>
          <t>TC0061</t>
        </is>
      </c>
      <c r="N218" t="inlineStr">
        <is>
          <t>R_balance;R_full_weapon_audit;W_wikipedia_oerlikon_gdf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pt14_train_grad/nhip</t>
        </is>
      </c>
      <c r="B219" t="inlineStr">
        <is>
          <t>pt14_train_grad</t>
        </is>
      </c>
      <c r="C219" t="inlineStr">
        <is>
          <t>khe_mot_nong_mot_vien</t>
        </is>
      </c>
      <c r="D219" t="inlineStr">
        <is>
          <t>s</t>
        </is>
      </c>
      <c r="E219" t="n">
        <v>0.5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R_balance;R_full_weapon_audit;W_wikipedia_bm_21_grad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recoilless_106/nhip</t>
        </is>
      </c>
      <c r="B220" t="inlineStr">
        <is>
          <t>recoilless_106</t>
        </is>
      </c>
      <c r="C220" t="inlineStr">
        <is>
          <t>khe_mot_nong_mot_vien</t>
        </is>
      </c>
      <c r="D220" t="inlineStr">
        <is>
          <t>s</t>
        </is>
      </c>
      <c r="E220" t="n">
        <v>9.524005713999999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TC0062</t>
        </is>
      </c>
      <c r="N220" t="inlineStr">
        <is>
          <t>R_balance;R_full_weapon_audit;W_wikipedia_m40_recoilless_rifle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rockets_300mm/nhip</t>
        </is>
      </c>
      <c r="B221" t="inlineStr">
        <is>
          <t>rockets_300mm</t>
        </is>
      </c>
      <c r="C221" t="inlineStr">
        <is>
          <t>khe_mot_nong_mot_vien</t>
        </is>
      </c>
      <c r="D221" t="inlineStr">
        <is>
          <t>s</t>
        </is>
      </c>
      <c r="E221" t="n">
        <v>0.250001053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TC0063</t>
        </is>
      </c>
      <c r="N221" t="inlineStr">
        <is>
          <t>R_balance;R_full_weapon_audit;W_wikipedia_bm_30_smerch;R_machine_brigade_can_bang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s8_pods/nhip</t>
        </is>
      </c>
      <c r="B222" t="inlineStr">
        <is>
          <t>s8_pods</t>
        </is>
      </c>
      <c r="C222" t="inlineStr">
        <is>
          <t>khe_mot_nong_mot_vien</t>
        </is>
      </c>
      <c r="D222" t="inlineStr">
        <is>
          <t>s</t>
        </is>
      </c>
      <c r="E222" t="n">
        <v>0.05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R_balance;R_full_weapon_audit;R_decisions;R_machine_brigade_can_bang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sam/loi_no</t>
        </is>
      </c>
      <c r="B223" t="inlineStr">
        <is>
          <t>sam</t>
        </is>
      </c>
      <c r="C223" t="inlineStr">
        <is>
          <t>loi_m_tren_can_bac_ba_kg_dau_dan</t>
        </is>
      </c>
      <c r="D223" t="inlineStr">
        <is>
          <t>m/kg^(1/3)</t>
        </is>
      </c>
      <c r="E223">
        <f>INDEX(Vu_khi!$X$2:$X$360,MATCH($B$223,Vu_khi!$A$2:$A$360,0))</f>
        <v/>
      </c>
      <c r="F223">
        <f>POWER(INDEX(Vu_khi_tham_chieu!$AB$2:$AB$360,MATCH($B$223,Vu_khi_tham_chieu!$A$2:$A$360,0)),1/3)</f>
        <v/>
      </c>
      <c r="G223">
        <f>$E$223/$F$223</f>
        <v/>
      </c>
      <c r="H223" t="inlineStr"/>
      <c r="I223" t="inlineStr"/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R_full_weapon_audit</t>
        </is>
      </c>
      <c r="O223" t="inlineStr">
        <is>
          <t>lõi nổ / căn bậc ba khối lượng đầu đạn (đầu đạn thay cho thuốc nổ: repo không có khối lượng thuốc nổ)</t>
        </is>
      </c>
      <c r="P223" t="inlineStr">
        <is>
          <t>Tools/balance/full_weapon_audit.py WARHEAD</t>
        </is>
      </c>
      <c r="Q223" t="inlineStr"/>
    </row>
    <row r="224">
      <c r="A224" t="inlineStr">
        <is>
          <t>sam/nhip</t>
        </is>
      </c>
      <c r="B224" t="inlineStr">
        <is>
          <t>sam</t>
        </is>
      </c>
      <c r="C224" t="inlineStr">
        <is>
          <t>khe_mot_nong_mot_vien</t>
        </is>
      </c>
      <c r="D224" t="inlineStr">
        <is>
          <t>s</t>
        </is>
      </c>
      <c r="E224" t="n">
        <v>4.452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R_balance;R_full_weapon_audit;W_wikipedia_bai_cua_tung_ten_lua_bang_warhead;R_machine_brigade_can_bang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sam/sat_thuong</t>
        </is>
      </c>
      <c r="B225" t="inlineStr">
        <is>
          <t>sam</t>
        </is>
      </c>
      <c r="C225" t="inlineStr">
        <is>
          <t>sat_thuong_tren_kg_dau_dan</t>
        </is>
      </c>
      <c r="D225" t="inlineStr">
        <is>
          <t>hp/kg</t>
        </is>
      </c>
      <c r="E225">
        <f>INDEX(Vu_khi!$W$2:$W$360,MATCH($B$225,Vu_khi!$A$2:$A$360,0))</f>
        <v/>
      </c>
      <c r="F225">
        <f>INDEX(Vu_khi_tham_chieu!$AB$2:$AB$360,MATCH($B$225,Vu_khi_tham_chieu!$A$2:$A$360,0))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sát thương một phát / khối lượng đầu đạn (không bắt buộc 1:1, chỉ ghi ty_le)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sam_48n6/nhip</t>
        </is>
      </c>
      <c r="B226" t="inlineStr">
        <is>
          <t>sam_48n6</t>
        </is>
      </c>
      <c r="C226" t="inlineStr">
        <is>
          <t>khe_mot_nong_mot_vien</t>
        </is>
      </c>
      <c r="D226" t="inlineStr">
        <is>
          <t>s</t>
        </is>
      </c>
      <c r="E226" t="n">
        <v>7.2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R_balance;R_full_weapon_audit;W_wikipedia_s_400;R_machine_brigade_can_bang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sam_battery/nhip</t>
        </is>
      </c>
      <c r="B227" t="inlineStr">
        <is>
          <t>sam_battery</t>
        </is>
      </c>
      <c r="C227" t="inlineStr">
        <is>
          <t>khe_mot_nong_mot_vien</t>
        </is>
      </c>
      <c r="D227" t="inlineStr">
        <is>
          <t>s</t>
        </is>
      </c>
      <c r="E227" t="n">
        <v>5.499999</v>
      </c>
      <c r="F227">
        <f>60/INDEX(Vu_khi!$BB$2:$BB$360,MATCH($B$227,Vu_khi!$A$2:$A$360,0))/IF(INDEX(Vu_khi!$BD$2:$BD$360,MATCH($B$227,Vu_khi!$A$2:$A$360,0))="gun",0.7,1)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R_balance;R_full_weapon_audit;W_wikipedia_mim_104_patriot;R_machine_brigade_can_bang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sam_battery_lrr/nhip</t>
        </is>
      </c>
      <c r="B228" t="inlineStr">
        <is>
          <t>sam_battery_lrr</t>
        </is>
      </c>
      <c r="C228" t="inlineStr">
        <is>
          <t>khe_mot_nong_mot_vien</t>
        </is>
      </c>
      <c r="D228" t="inlineStr">
        <is>
          <t>s</t>
        </is>
      </c>
      <c r="E228" t="n">
        <v>1.95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R_balance;R_full_weapon_audit;W_wikipedia_mim_104_patriot;R_machine_brigade_can_bang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sam_long/nhip</t>
        </is>
      </c>
      <c r="B229" t="inlineStr">
        <is>
          <t>sam_long</t>
        </is>
      </c>
      <c r="C229" t="inlineStr">
        <is>
          <t>khe_mot_nong_mot_vien</t>
        </is>
      </c>
      <c r="D229" t="inlineStr">
        <is>
          <t>s</t>
        </is>
      </c>
      <c r="E229" t="n">
        <v>3.115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R_balance;R_full_weapon_audit;W_wikipedia_buk_missile_system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sam_pac3/loi_no</t>
        </is>
      </c>
      <c r="B230" t="inlineStr">
        <is>
          <t>sam_pac3</t>
        </is>
      </c>
      <c r="C230" t="inlineStr">
        <is>
          <t>loi_m_tren_can_bac_ba_kg_dau_dan</t>
        </is>
      </c>
      <c r="D230" t="inlineStr">
        <is>
          <t>m/kg^(1/3)</t>
        </is>
      </c>
      <c r="E230">
        <f>INDEX(Vu_khi!$X$2:$X$360,MATCH($B$230,Vu_khi!$A$2:$A$360,0))</f>
        <v/>
      </c>
      <c r="F230">
        <f>POWER(INDEX(Vu_khi_tham_chieu!$AB$2:$AB$360,MATCH($B$230,Vu_khi_tham_chieu!$A$2:$A$360,0)),1/3)</f>
        <v/>
      </c>
      <c r="G230">
        <f>$E$230/$F$230</f>
        <v/>
      </c>
      <c r="H230" t="inlineStr"/>
      <c r="I230" t="inlineStr"/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R_full_weapon_audit</t>
        </is>
      </c>
      <c r="O230" t="inlineStr">
        <is>
          <t>lõi nổ / căn bậc ba khối lượng đầu đạn (đầu đạn thay cho thuốc nổ: repo không có khối lượng thuốc nổ)</t>
        </is>
      </c>
      <c r="P230" t="inlineStr">
        <is>
          <t>Tools/balance/full_weapon_audit.py WARHEAD</t>
        </is>
      </c>
      <c r="Q230" t="inlineStr"/>
    </row>
    <row r="231">
      <c r="A231" t="inlineStr">
        <is>
          <t>sam_pac3/nhip</t>
        </is>
      </c>
      <c r="B231" t="inlineStr">
        <is>
          <t>sam_pac3</t>
        </is>
      </c>
      <c r="C231" t="inlineStr">
        <is>
          <t>khe_mot_nong_mot_vien</t>
        </is>
      </c>
      <c r="D231" t="inlineStr">
        <is>
          <t>s</t>
        </is>
      </c>
      <c r="E231" t="n">
        <v>3.350001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R_balance;R_full_weapon_audit;W_wikipedia_mim_104_patriot;W_wikipedia_bai_cua_tung_ten_lua_bang_warhead;R_machine_brigade_can_bang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sam_pac3/sat_thuong</t>
        </is>
      </c>
      <c r="B232" t="inlineStr">
        <is>
          <t>sam_pac3</t>
        </is>
      </c>
      <c r="C232" t="inlineStr">
        <is>
          <t>sat_thuong_tren_kg_dau_dan</t>
        </is>
      </c>
      <c r="D232" t="inlineStr">
        <is>
          <t>hp/kg</t>
        </is>
      </c>
      <c r="E232">
        <f>INDEX(Vu_khi!$W$2:$W$360,MATCH($B$232,Vu_khi!$A$2:$A$360,0))</f>
        <v/>
      </c>
      <c r="F232">
        <f>INDEX(Vu_khi_tham_chieu!$AB$2:$AB$360,MATCH($B$232,Vu_khi_tham_chieu!$A$2:$A$360,0))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sát thương một phát / khối lượng đầu đạn (không bắt buộc 1:1, chỉ ghi ty_le)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sam_post/nhip</t>
        </is>
      </c>
      <c r="B233" t="inlineStr">
        <is>
          <t>sam_post</t>
        </is>
      </c>
      <c r="C233" t="inlineStr">
        <is>
          <t>khe_mot_nong_mot_vien</t>
        </is>
      </c>
      <c r="D233" t="inlineStr">
        <is>
          <t>s</t>
        </is>
      </c>
      <c r="E233" t="n">
        <v>2.2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>
        <is>
          <t>TC0064</t>
        </is>
      </c>
      <c r="N233" t="inlineStr">
        <is>
          <t>R_balance;R_full_weapon_audit;W_wikipedia_buk_missile_system;R_machine_brigade_can_bang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scout_rockets/nhip</t>
        </is>
      </c>
      <c r="B234" t="inlineStr">
        <is>
          <t>scout_rockets</t>
        </is>
      </c>
      <c r="C234" t="inlineStr">
        <is>
          <t>khe_mot_nong_mot_vien</t>
        </is>
      </c>
      <c r="D234" t="inlineStr">
        <is>
          <t>s</t>
        </is>
      </c>
      <c r="E234" t="n">
        <v>0.11</v>
      </c>
      <c r="F234">
        <f>60/INDEX(Vu_khi!$BB$2:$BB$360,MATCH($B$234,Vu_khi!$A$2:$A$360,0))/IF(INDEX(Vu_khi!$BD$2:$BD$360,MATCH($B$234,Vu_khi!$A$2:$A$360,0))="gun",0.7,1)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R_balance;R_full_weapon_audit;R_decisions;R_machine_brigade_can_bang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siege_gun_105/nhip</t>
        </is>
      </c>
      <c r="B235" t="inlineStr">
        <is>
          <t>siege_gun_105</t>
        </is>
      </c>
      <c r="C235" t="inlineStr">
        <is>
          <t>khe_mot_nong_mot_vien</t>
        </is>
      </c>
      <c r="D235" t="inlineStr">
        <is>
          <t>s</t>
        </is>
      </c>
      <c r="E235" t="n">
        <v>6.571002857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R_balance;R_full_weapon_audit;W_wikipedia_royal_ordnance_l7;R_machine_brigade_can_bang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siege_mortar_240/nhip</t>
        </is>
      </c>
      <c r="B236" t="inlineStr">
        <is>
          <t>siege_mortar_240</t>
        </is>
      </c>
      <c r="C236" t="inlineStr">
        <is>
          <t>khe_mot_nong_mot_vien</t>
        </is>
      </c>
      <c r="D236" t="inlineStr">
        <is>
          <t>s</t>
        </is>
      </c>
      <c r="E236" t="n">
        <v>13.741028571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TC0065</t>
        </is>
      </c>
      <c r="N236" t="inlineStr">
        <is>
          <t>R_balance;R_full_weapon_audit;W_wikipedia_2s4_tyulpan;R_machine_brigade_can_bang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spg9_73mm/nhip</t>
        </is>
      </c>
      <c r="B237" t="inlineStr">
        <is>
          <t>spg9_73mm</t>
        </is>
      </c>
      <c r="C237" t="inlineStr">
        <is>
          <t>khe_mot_nong_mot_vien</t>
        </is>
      </c>
      <c r="D237" t="inlineStr">
        <is>
          <t>s</t>
        </is>
      </c>
      <c r="E237" t="n">
        <v>9.529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R_balance;R_full_weapon_audit;W_wikipedia_spg_9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stealth_payload/nhip</t>
        </is>
      </c>
      <c r="B238" t="inlineStr">
        <is>
          <t>stealth_payload</t>
        </is>
      </c>
      <c r="C238" t="inlineStr">
        <is>
          <t>khe_mot_nong_mot_vien</t>
        </is>
      </c>
      <c r="D238" t="inlineStr">
        <is>
          <t>s</t>
        </is>
      </c>
      <c r="E238" t="n">
        <v>0.3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1</v>
      </c>
      <c r="K2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8">
        <f>IF(ISNUMBER($H$238),AND(NOT($J$238),OR($G$238&lt;$H$238,$G$238&gt;$I$238)),FALSE)</f>
        <v/>
      </c>
      <c r="M238" t="inlineStr"/>
      <c r="N238" t="inlineStr">
        <is>
          <t>R_balance;R_full_weapon_audit;R_machine_brigade_can_bang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stinger_post/nhip</t>
        </is>
      </c>
      <c r="B239" t="inlineStr">
        <is>
          <t>stinger_post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tamir/nhip</t>
        </is>
      </c>
      <c r="B240" t="inlineStr">
        <is>
          <t>tamir</t>
        </is>
      </c>
      <c r="C240" t="inlineStr">
        <is>
          <t>khe_mot_nong_mot_vien</t>
        </is>
      </c>
      <c r="D240" t="inlineStr">
        <is>
          <t>s</t>
        </is>
      </c>
      <c r="E240" t="n">
        <v>6.833333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>
        <is>
          <t>TC0066</t>
        </is>
      </c>
      <c r="N240" t="inlineStr">
        <is>
          <t>R_balance;R_full_weapon_audit;R_decisions;R_machine_brigade_can_bang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technical_rockets/nhip</t>
        </is>
      </c>
      <c r="B241" t="inlineStr">
        <is>
          <t>technical_rockets</t>
        </is>
      </c>
      <c r="C241" t="inlineStr">
        <is>
          <t>khe_mot_nong_mot_vien</t>
        </is>
      </c>
      <c r="D241" t="inlineStr">
        <is>
          <t>s</t>
        </is>
      </c>
      <c r="E241" t="n">
        <v>0.4999998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R_balance;R_full_weapon_audit;W_wikipedia_type_63_mrl;R_machine_brigade_can_bang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thermobaric_rockets/nhip</t>
        </is>
      </c>
      <c r="B242" t="inlineStr">
        <is>
          <t>thermobaric_rockets</t>
        </is>
      </c>
      <c r="C242" t="inlineStr">
        <is>
          <t>khe_mot_nong_mot_vien</t>
        </is>
      </c>
      <c r="D242" t="inlineStr">
        <is>
          <t>s</t>
        </is>
      </c>
      <c r="E242" t="n">
        <v>0.3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R_balance;R_full_weapon_audit;W_wikipedia_tos_1;R_machine_brigade_can_bang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tower_ac25/nhip</t>
        </is>
      </c>
      <c r="B243" t="inlineStr">
        <is>
          <t>tower_ac25</t>
        </is>
      </c>
      <c r="C243" t="inlineStr">
        <is>
          <t>khe_mot_nong_mot_vien</t>
        </is>
      </c>
      <c r="D243" t="inlineStr">
        <is>
          <t>s</t>
        </is>
      </c>
      <c r="E243" t="n">
        <v>0.255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1</v>
      </c>
      <c r="K24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3">
        <f>IF(ISNUMBER($H$243),AND(NOT($J$243),OR($G$243&lt;$H$243,$G$243&gt;$I$243)),FALSE)</f>
        <v/>
      </c>
      <c r="M243" t="inlineStr"/>
      <c r="N243" t="inlineStr">
        <is>
          <t>R_balance;R_full_weapon_audit;W_wikipedia_m242_bushmaster;R_machine_brigade_can_bang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tower_agl/nhip</t>
        </is>
      </c>
      <c r="B244" t="inlineStr">
        <is>
          <t>tower_agl</t>
        </is>
      </c>
      <c r="C244" t="inlineStr">
        <is>
          <t>khe_mot_nong_mot_vien</t>
        </is>
      </c>
      <c r="D244" t="inlineStr">
        <is>
          <t>s</t>
        </is>
      </c>
      <c r="E244" t="n">
        <v>0.88333328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1</v>
      </c>
      <c r="K2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4">
        <f>IF(ISNUMBER($H$244),AND(NOT($J$244),OR($G$244&lt;$H$244,$G$244&gt;$I$244)),FALSE)</f>
        <v/>
      </c>
      <c r="M244" t="inlineStr"/>
      <c r="N244" t="inlineStr">
        <is>
          <t>R_balance;R_full_weapon_audit;D_us_army_fm_3_22_27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tower_flak_30/nhip</t>
        </is>
      </c>
      <c r="B245" t="inlineStr">
        <is>
          <t>tower_flak_30</t>
        </is>
      </c>
      <c r="C245" t="inlineStr">
        <is>
          <t>khe_mot_nong_mot_vien</t>
        </is>
      </c>
      <c r="D245" t="inlineStr">
        <is>
          <t>s</t>
        </is>
      </c>
      <c r="E245" t="n">
        <v>0.107200008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R_balance;R_full_weapon_audit;W_wikipedia_2a38;R_machine_brigade_can_bang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tower_hmg/nhip</t>
        </is>
      </c>
      <c r="B246" t="inlineStr">
        <is>
          <t>tower_hmg</t>
        </is>
      </c>
      <c r="C246" t="inlineStr">
        <is>
          <t>khe_mot_nong_mot_vien</t>
        </is>
      </c>
      <c r="D246" t="inlineStr">
        <is>
          <t>s</t>
        </is>
      </c>
      <c r="E246" t="n">
        <v>0.125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R_balance;R_full_weapon_audit;D_us_army_fm_3_22_65;R_machine_brigade_can_bang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tower_kornet/nhip</t>
        </is>
      </c>
      <c r="B247" t="inlineStr">
        <is>
          <t>tower_kornet</t>
        </is>
      </c>
      <c r="C247" t="inlineStr">
        <is>
          <t>khe_mot_nong_mot_vien</t>
        </is>
      </c>
      <c r="D247" t="inlineStr">
        <is>
          <t>s</t>
        </is>
      </c>
      <c r="E247" t="n">
        <v>5.55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0</v>
      </c>
      <c r="K247" t="inlineStr"/>
      <c r="L247">
        <f>IF(ISNUMBER($H$247),AND(NOT($J$247),OR($G$247&lt;$H$247,$G$247&gt;$I$247)),FALSE)</f>
        <v/>
      </c>
      <c r="M247" t="inlineStr">
        <is>
          <t>TC0067</t>
        </is>
      </c>
      <c r="N247" t="inlineStr">
        <is>
          <t>R_balance;R_full_weapon_audit;W_wikipedia_9m133_kornet;W_wikipedia_bai_cua_tung_ten_lua_bang_warhead;R_machine_brigade_can_bang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tower_kornet/sat_thuong</t>
        </is>
      </c>
      <c r="B248" t="inlineStr">
        <is>
          <t>tower_kornet</t>
        </is>
      </c>
      <c r="C248" t="inlineStr">
        <is>
          <t>sat_thuong_tren_kg_dau_dan</t>
        </is>
      </c>
      <c r="D248" t="inlineStr">
        <is>
          <t>hp/kg</t>
        </is>
      </c>
      <c r="E248">
        <f>INDEX(Vu_khi!$W$2:$W$360,MATCH($B$248,Vu_khi!$A$2:$A$360,0))</f>
        <v/>
      </c>
      <c r="F248">
        <f>INDEX(Vu_khi_tham_chieu!$AB$2:$AB$360,MATCH($B$248,Vu_khi_tham_chieu!$A$2:$A$360,0))</f>
        <v/>
      </c>
      <c r="G248">
        <f>$E$248/$F$248</f>
        <v/>
      </c>
      <c r="H248" t="inlineStr"/>
      <c r="I248" t="inlineStr"/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R_full_weapon_audit</t>
        </is>
      </c>
      <c r="O248" t="inlineStr">
        <is>
          <t>sát thương một phát / khối lượng đầu đạn (không bắt buộc 1:1, chỉ ghi ty_le)</t>
        </is>
      </c>
      <c r="P248" t="inlineStr">
        <is>
          <t>Tools/balance/full_weapon_audit.py WARHEAD</t>
        </is>
      </c>
      <c r="Q248" t="inlineStr"/>
    </row>
    <row r="249">
      <c r="A249" t="inlineStr">
        <is>
          <t>train_gun/nhip</t>
        </is>
      </c>
      <c r="B249" t="inlineStr">
        <is>
          <t>train_gun</t>
        </is>
      </c>
      <c r="C249" t="inlineStr">
        <is>
          <t>khe_mot_nong_mot_vien</t>
        </is>
      </c>
      <c r="D249" t="inlineStr">
        <is>
          <t>s</t>
        </is>
      </c>
      <c r="E249" t="n">
        <v>8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R_balance;R_full_weapon_audit;W_wikipedia_15_2_cm_57_b_38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train_mortar/nhip</t>
        </is>
      </c>
      <c r="B250" t="inlineStr">
        <is>
          <t>train_mortar</t>
        </is>
      </c>
      <c r="C250" t="inlineStr">
        <is>
          <t>khe_mot_nong_mot_vien</t>
        </is>
      </c>
      <c r="D250" t="inlineStr">
        <is>
          <t>s</t>
        </is>
      </c>
      <c r="E250" t="n">
        <v>8.300000000000001</v>
      </c>
      <c r="F250">
        <f>60/INDEX(Vu_khi!$BB$2:$BB$360,MATCH($B$250,Vu_khi!$A$2:$A$360,0))/IF(INDEX(Vu_khi!$BD$2:$BD$360,MATCH($B$250,Vu_khi!$A$2:$A$360,0))="gun",0.7,1)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R_balance;R_full_weapon_audit;W_wikipedia_2b11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turret_gmlrs/nhip</t>
        </is>
      </c>
      <c r="B251" t="inlineStr">
        <is>
          <t>turret_gmlrs</t>
        </is>
      </c>
      <c r="C251" t="inlineStr">
        <is>
          <t>khe_mot_nong_mot_vien</t>
        </is>
      </c>
      <c r="D251" t="inlineStr">
        <is>
          <t>s</t>
        </is>
      </c>
      <c r="E251" t="n">
        <v>0.5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>
        <is>
          <t>TC0068</t>
        </is>
      </c>
      <c r="N251" t="inlineStr">
        <is>
          <t>R_balance;R_full_weapon_audit;W_wikipedia_m270_mlrs;R_machine_brigade_can_bang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turret_gun_120/nhip</t>
        </is>
      </c>
      <c r="B252" t="inlineStr">
        <is>
          <t>turret_gun_120</t>
        </is>
      </c>
      <c r="C252" t="inlineStr">
        <is>
          <t>khe_mot_nong_mot_vien</t>
        </is>
      </c>
      <c r="D252" t="inlineStr">
        <is>
          <t>s</t>
        </is>
      </c>
      <c r="E252" t="n">
        <v>4.113996429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>
        <is>
          <t>TC0069</t>
        </is>
      </c>
      <c r="N252" t="inlineStr">
        <is>
          <t>R_balance;R_full_weapon_audit;W_wikipedia_rheinmetall_120_mm_gun;R_machine_brigade_can_bang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turret_gun_120_auto/nhip</t>
        </is>
      </c>
      <c r="B253" t="inlineStr">
        <is>
          <t>turret_gun_120_auto</t>
        </is>
      </c>
      <c r="C253" t="inlineStr">
        <is>
          <t>khe_mot_nong_mot_vien</t>
        </is>
      </c>
      <c r="D253" t="inlineStr">
        <is>
          <t>s</t>
        </is>
      </c>
      <c r="E253" t="n">
        <v>3.614003571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TC0070</t>
        </is>
      </c>
      <c r="N253" t="inlineStr">
        <is>
          <t>R_balance;R_full_weapon_audit;W_wikipedia_rheinmetall_120_mm_gun;R_machine_brigade_can_bang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turret_gun_120_long/nhip</t>
        </is>
      </c>
      <c r="B254" t="inlineStr">
        <is>
          <t>turret_gun_120_long</t>
        </is>
      </c>
      <c r="C254" t="inlineStr">
        <is>
          <t>khe_mot_nong_mot_vien</t>
        </is>
      </c>
      <c r="D254" t="inlineStr">
        <is>
          <t>s</t>
        </is>
      </c>
      <c r="E254" t="n">
        <v>5.571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TC0071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turret_rockets/nhip</t>
        </is>
      </c>
      <c r="B255" t="inlineStr">
        <is>
          <t>turret_rockets</t>
        </is>
      </c>
      <c r="C255" t="inlineStr">
        <is>
          <t>khe_mot_nong_mot_vien</t>
        </is>
      </c>
      <c r="D255" t="inlineStr">
        <is>
          <t>s</t>
        </is>
      </c>
      <c r="E255" t="n">
        <v>0.5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R_balance;R_full_weapon_audit;W_wikipedia_bm_21_grad;R_machine_brigade_can_bang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turret_rockets_cluster/nhip</t>
        </is>
      </c>
      <c r="B256" t="inlineStr">
        <is>
          <t>turret_rockets_cluster</t>
        </is>
      </c>
      <c r="C256" t="inlineStr">
        <is>
          <t>khe_mot_nong_mot_vien</t>
        </is>
      </c>
      <c r="D256" t="inlineStr">
        <is>
          <t>s</t>
        </is>
      </c>
      <c r="E256" t="n">
        <v>0.5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R_balance;R_full_weapon_audit;W_wikipedia_bm_21_grad;R_machine_brigade_can_bang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turret_thermobaric/nhip</t>
        </is>
      </c>
      <c r="B257" t="inlineStr">
        <is>
          <t>turret_thermobaric</t>
        </is>
      </c>
      <c r="C257" t="inlineStr">
        <is>
          <t>khe_mot_nong_mot_vien</t>
        </is>
      </c>
      <c r="D257" t="inlineStr">
        <is>
          <t>s</t>
        </is>
      </c>
      <c r="E257" t="n">
        <v>0.12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>
        <is>
          <t>TC0072</t>
        </is>
      </c>
      <c r="N257" t="inlineStr">
        <is>
          <t>R_balance;R_full_weapon_audit;W_wikipedia_bm_21_grad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twin_30_bmpt/nhip</t>
        </is>
      </c>
      <c r="B258" t="inlineStr">
        <is>
          <t>twin_30_bmpt</t>
        </is>
      </c>
      <c r="C258" t="inlineStr">
        <is>
          <t>khe_mot_nong_mot_vien</t>
        </is>
      </c>
      <c r="D258" t="inlineStr">
        <is>
          <t>s</t>
        </is>
      </c>
      <c r="E258" t="n">
        <v>0.416600025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>
        <is>
          <t>TC0073</t>
        </is>
      </c>
      <c r="N258" t="inlineStr">
        <is>
          <t>R_balance;R_full_weapon_audit;W_wikipedia_2a42;R_machine_brigade_can_bang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twin_30_flak/nhip</t>
        </is>
      </c>
      <c r="B259" t="inlineStr">
        <is>
          <t>twin_30_flak</t>
        </is>
      </c>
      <c r="C259" t="inlineStr">
        <is>
          <t>khe_mot_nong_mot_vien</t>
        </is>
      </c>
      <c r="D259" t="inlineStr">
        <is>
          <t>s</t>
        </is>
      </c>
      <c r="E259" t="n">
        <v>0.087499992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1</v>
      </c>
      <c r="K2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9">
        <f>IF(ISNUMBER($H$259),AND(NOT($J$259),OR($G$259&lt;$H$259,$G$259&gt;$I$259)),FALSE)</f>
        <v/>
      </c>
      <c r="M259" t="inlineStr"/>
      <c r="N259" t="inlineStr">
        <is>
          <t>R_balance;R_full_weapon_audit;W_wikipedia_2a38;R_machine_brigade_can_bang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twin_35_ahead/nhip</t>
        </is>
      </c>
      <c r="B260" t="inlineStr">
        <is>
          <t>twin_35_ahead</t>
        </is>
      </c>
      <c r="C260" t="inlineStr">
        <is>
          <t>khe_mot_nong_mot_vien</t>
        </is>
      </c>
      <c r="D260" t="inlineStr">
        <is>
          <t>s</t>
        </is>
      </c>
      <c r="E260" t="n">
        <v>0.25536666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R_balance;R_full_weapon_audit;D_rheinmetall_skyranger_30_35;R_machine_brigade_can_bang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vikhr/sat_thuong</t>
        </is>
      </c>
      <c r="B261" t="inlineStr">
        <is>
          <t>vikhr</t>
        </is>
      </c>
      <c r="C261" t="inlineStr">
        <is>
          <t>sat_thuong_tren_kg_dau_dan</t>
        </is>
      </c>
      <c r="D261" t="inlineStr">
        <is>
          <t>hp/kg</t>
        </is>
      </c>
      <c r="E261">
        <f>INDEX(Vu_khi!$W$2:$W$360,MATCH($B$261,Vu_khi!$A$2:$A$360,0))</f>
        <v/>
      </c>
      <c r="F261">
        <f>INDEX(Vu_khi_tham_chieu!$AB$2:$AB$360,MATCH($B$261,Vu_khi_tham_chieu!$A$2:$A$360,0))</f>
        <v/>
      </c>
      <c r="G261">
        <f>$E$261/$F$261</f>
        <v/>
      </c>
      <c r="H261" t="inlineStr"/>
      <c r="I261" t="inlineStr"/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R_full_weapon_audit</t>
        </is>
      </c>
      <c r="O261" t="inlineStr">
        <is>
          <t>sát thương một phát / khối lượng đầu đạn (không bắt buộc 1:1, chỉ ghi ty_le)</t>
        </is>
      </c>
      <c r="P261" t="inlineStr">
        <is>
          <t>Tools/balance/full_weapon_audit.py WARHEAD</t>
        </is>
      </c>
      <c r="Q261" t="inlineStr"/>
    </row>
    <row r="262">
      <c r="A262" t="inlineStr">
        <is>
          <t>zu23/nhip</t>
        </is>
      </c>
      <c r="B262" t="inlineStr">
        <is>
          <t>zu23</t>
        </is>
      </c>
      <c r="C262" t="inlineStr">
        <is>
          <t>khe_mot_nong_mot_vien</t>
        </is>
      </c>
      <c r="D262" t="inlineStr">
        <is>
          <t>s</t>
        </is>
      </c>
      <c r="E262" t="n">
        <v>0.10000002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0</v>
      </c>
      <c r="K262" t="inlineStr"/>
      <c r="L262">
        <f>IF(ISNUMBER($H$262),AND(NOT($J$262),OR($G$262&lt;$H$262,$G$262&gt;$I$262)),FALSE)</f>
        <v/>
      </c>
      <c r="M262" t="inlineStr"/>
      <c r="N262" t="inlineStr">
        <is>
          <t>R_balance;R_full_weapon_audit;W_wikipedia_zu_23_2;R_machine_brigade_can_bang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</sheetData>
  <autoFilter ref="A1:Q26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8" customWidth="1" min="4" max="4"/>
    <col width="11" customWidth="1" min="5" max="5"/>
    <col width="20" customWidth="1" min="6" max="6"/>
    <col width="12" customWidth="1" min="7" max="7"/>
    <col width="12" customWidth="1" min="8" max="8"/>
    <col width="9" customWidth="1" min="9" max="9"/>
    <col width="9" customWidth="1" min="10" max="10"/>
    <col width="22" customWidth="1" min="11" max="11"/>
    <col width="9" customWidth="1" min="12" max="12"/>
    <col width="8" customWidth="1" min="13" max="13"/>
    <col width="25" customWidth="1" min="14" max="14"/>
    <col width="24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hidden</t>
        </is>
      </c>
      <c r="E1" s="1" t="inlineStr">
        <is>
          <t>implicit2</t>
        </is>
      </c>
      <c r="F1" s="1" t="inlineStr">
        <is>
          <t>implicit_stat</t>
        </is>
      </c>
      <c r="G1" s="1" t="inlineStr">
        <is>
          <t>main_scale</t>
        </is>
      </c>
      <c r="H1" s="1" t="inlineStr">
        <is>
          <t>min_rarity</t>
        </is>
      </c>
      <c r="I1" s="1" t="inlineStr">
        <is>
          <t>no_subs</t>
        </is>
      </c>
      <c r="J1" s="1" t="inlineStr">
        <is>
          <t>penalty</t>
        </is>
      </c>
      <c r="K1" s="1" t="inlineStr">
        <is>
          <t>penalty_top</t>
        </is>
      </c>
      <c r="L1" s="1" t="inlineStr">
        <is>
          <t>plating</t>
        </is>
      </c>
      <c r="M1" s="1" t="inlineStr">
        <is>
          <t>slot</t>
        </is>
      </c>
      <c r="N1" s="1" t="inlineStr">
        <is>
          <t>top</t>
        </is>
      </c>
      <c r="O1" s="1" t="inlineStr">
        <is>
          <t>top2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F2" t="inlineStr">
        <is>
          <t>DamageVsDrone</t>
        </is>
      </c>
      <c r="M2" t="inlineStr">
        <is>
          <t>Weapon</t>
        </is>
      </c>
      <c r="N2" t="inlineStr">
        <is>
          <t>0.08;0.12;0.18;0.24;0.3</t>
        </is>
      </c>
      <c r="P2" t="inlineStr">
        <is>
          <t>Assets/MachineBrigade/Scripts/Game/Match/GearCatalog.cs:269 (Bases[7])</t>
        </is>
      </c>
      <c r="Q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F3" t="inlineStr">
        <is>
          <t>ArmourSide</t>
        </is>
      </c>
      <c r="M3" t="inlineStr">
        <is>
          <t>Armor</t>
        </is>
      </c>
      <c r="N3" t="inlineStr">
        <is>
          <t>0.4;0.55;0.7;0.85;1</t>
        </is>
      </c>
      <c r="P3" t="inlineStr">
        <is>
          <t>Assets/MachineBrigade/Scripts/Game/Match/GearCatalog.cs:285 (Bases[16])</t>
        </is>
      </c>
      <c r="Q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F4" t="inlineStr">
        <is>
          <t>ArmourAll</t>
        </is>
      </c>
      <c r="M4" t="inlineStr">
        <is>
          <t>Armor</t>
        </is>
      </c>
      <c r="N4" t="inlineStr">
        <is>
          <t>0.4;0.55;0.7;0.85;1</t>
        </is>
      </c>
      <c r="P4" t="inlineStr">
        <is>
          <t>Assets/MachineBrigade/Scripts/Game/Match/GearCatalog.cs:288 (Bases[18])</t>
        </is>
      </c>
      <c r="Q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F5" t="inlineStr">
        <is>
          <t>SecondaryFireRate</t>
        </is>
      </c>
      <c r="M5" t="inlineStr">
        <is>
          <t>Loader</t>
        </is>
      </c>
      <c r="N5" t="inlineStr">
        <is>
          <t>0.08;0.12;0.16;0.2;0.25</t>
        </is>
      </c>
      <c r="P5" t="inlineStr">
        <is>
          <t>Assets/MachineBrigade/Scripts/Game/Match/GearCatalog.cs:274 (Bases[10])</t>
        </is>
      </c>
      <c r="Q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F6" t="inlineStr">
        <is>
          <t>DamageVsStructure</t>
        </is>
      </c>
      <c r="M6" t="inlineStr">
        <is>
          <t>Weapon</t>
        </is>
      </c>
      <c r="N6" t="inlineStr">
        <is>
          <t>0.06;0.09;0.13;0.18;0.24</t>
        </is>
      </c>
      <c r="P6" t="inlineStr">
        <is>
          <t>Assets/MachineBrigade/Scripts/Game/Match/GearCatalog.cs:263 (Bases[4])</t>
        </is>
      </c>
      <c r="Q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F7" t="inlineStr">
        <is>
          <t>Camouflage</t>
        </is>
      </c>
      <c r="M7" t="inlineStr">
        <is>
          <t>Optics</t>
        </is>
      </c>
      <c r="N7" t="inlineStr">
        <is>
          <t>0.05;0.08;0.11;0.15;0.18</t>
        </is>
      </c>
      <c r="P7" t="inlineStr">
        <is>
          <t>Assets/MachineBrigade/Scripts/Game/Match/GearCatalog.cs:320 (Bases[35])</t>
        </is>
      </c>
      <c r="Q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F8" t="inlineStr">
        <is>
          <t>MagazineReload</t>
        </is>
      </c>
      <c r="M8" t="inlineStr">
        <is>
          <t>Loader</t>
        </is>
      </c>
      <c r="N8" t="inlineStr">
        <is>
          <t>0.05;0.08;0.12;0.16;0.2</t>
        </is>
      </c>
      <c r="P8" t="inlineStr">
        <is>
          <t>Assets/MachineBrigade/Scripts/Game/Match/GearCatalog.cs:272 (Bases[8])</t>
        </is>
      </c>
      <c r="Q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F9" t="inlineStr">
        <is>
          <t>StillVision</t>
        </is>
      </c>
      <c r="M9" t="inlineStr">
        <is>
          <t>Optics</t>
        </is>
      </c>
      <c r="N9" t="inlineStr">
        <is>
          <t>0.05;0.08;0.12;0.16;0.2</t>
        </is>
      </c>
      <c r="P9" t="inlineStr">
        <is>
          <t>Assets/MachineBrigade/Scripts/Game/Match/GearCatalog.cs:319 (Bases[34])</t>
        </is>
      </c>
      <c r="Q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F10" t="inlineStr">
        <is>
          <t>ResistShapedCharge</t>
        </is>
      </c>
      <c r="M10" t="inlineStr">
        <is>
          <t>Armor</t>
        </is>
      </c>
      <c r="N10" t="inlineStr">
        <is>
          <t>0.04;0.06;0.09;0.12;0.15</t>
        </is>
      </c>
      <c r="P10" t="inlineStr">
        <is>
          <t>Assets/MachineBrigade/Scripts/Game/Match/GearCatalog.cs:282 (Bases[14])</t>
        </is>
      </c>
      <c r="Q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F11" t="inlineStr">
        <is>
          <t>Cooldowns</t>
        </is>
      </c>
      <c r="M11" t="inlineStr">
        <is>
          <t>Repair</t>
        </is>
      </c>
      <c r="N11" t="inlineStr">
        <is>
          <t>0.04;0.06;0.09;0.12;0.15</t>
        </is>
      </c>
      <c r="P11" t="inlineStr">
        <is>
          <t>Assets/MachineBrigade/Scripts/Game/Match/GearCatalog.cs:313 (Bases[30])</t>
        </is>
      </c>
      <c r="Q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E12" t="inlineStr">
        <is>
          <t>TurretRate</t>
        </is>
      </c>
      <c r="F12" t="inlineStr">
        <is>
          <t>TurnRate</t>
        </is>
      </c>
      <c r="M12" t="inlineStr">
        <is>
          <t>Engine</t>
        </is>
      </c>
      <c r="N12" t="inlineStr">
        <is>
          <t>0.05;0.08;0.12;0.16;0.2</t>
        </is>
      </c>
      <c r="O12" t="inlineStr">
        <is>
          <t>0.08;0.12;0.16;0.2;0.25</t>
        </is>
      </c>
      <c r="P12" t="inlineStr">
        <is>
          <t>Assets/MachineBrigade/Scripts/Game/Match/GearCatalog.cs:303 (Bases[25])</t>
        </is>
      </c>
      <c r="Q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F13" t="inlineStr">
        <is>
          <t>Magazine</t>
        </is>
      </c>
      <c r="M13" t="inlineStr">
        <is>
          <t>Loader</t>
        </is>
      </c>
      <c r="N13" t="inlineStr">
        <is>
          <t>0.1;0.15;0.2;0.25;0.3</t>
        </is>
      </c>
      <c r="P13" t="inlineStr">
        <is>
          <t>Assets/MachineBrigade/Scripts/Game/Match/GearCatalog.cs:273 (Bases[9])</t>
        </is>
      </c>
      <c r="Q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F14" t="inlineStr">
        <is>
          <t>StatusDuration</t>
        </is>
      </c>
      <c r="M14" t="inlineStr">
        <is>
          <t>Repair</t>
        </is>
      </c>
      <c r="N14" t="inlineStr">
        <is>
          <t>0.1;0.18;0.26;0.34;0.42</t>
        </is>
      </c>
      <c r="P14" t="inlineStr">
        <is>
          <t>Assets/MachineBrigade/Scripts/Game/Match/GearCatalog.cs:314 (Bases[31])</t>
        </is>
      </c>
      <c r="Q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F15" t="inlineStr">
        <is>
          <t>ResistFire</t>
        </is>
      </c>
      <c r="M15" t="inlineStr">
        <is>
          <t>Armor</t>
        </is>
      </c>
      <c r="N15" t="inlineStr">
        <is>
          <t>0.08;0.12;0.16;0.2;0.25</t>
        </is>
      </c>
      <c r="P15" t="inlineStr">
        <is>
          <t>Assets/MachineBrigade/Scripts/Game/Match/GearCatalog.cs:286 (Bases[17])</t>
        </is>
      </c>
      <c r="Q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F16" t="inlineStr">
        <is>
          <t>DamageFlank</t>
        </is>
      </c>
      <c r="M16" t="inlineStr">
        <is>
          <t>Weapon</t>
        </is>
      </c>
      <c r="N16" t="inlineStr">
        <is>
          <t>0.05;0.08;0.12;0.16;0.2</t>
        </is>
      </c>
      <c r="P16" t="inlineStr">
        <is>
          <t>Assets/MachineBrigade/Scripts/Game/Match/GearCatalog.cs:268 (Bases[6])</t>
        </is>
      </c>
      <c r="Q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F17" t="inlineStr">
        <is>
          <t>ResistFrontal</t>
        </is>
      </c>
      <c r="L17" t="b">
        <v>1</v>
      </c>
      <c r="M17" t="inlineStr">
        <is>
          <t>Armor</t>
        </is>
      </c>
      <c r="N17" t="inlineStr">
        <is>
          <t>0.05;0.08;0.11;0.15;0.18</t>
        </is>
      </c>
      <c r="P17" t="inlineStr">
        <is>
          <t>Assets/MachineBrigade/Scripts/Game/Match/GearCatalog.cs:295 (Bases[21])</t>
        </is>
      </c>
      <c r="Q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F18" t="inlineStr">
        <is>
          <t>SpreadMoving</t>
        </is>
      </c>
      <c r="M18" t="inlineStr">
        <is>
          <t>Optics</t>
        </is>
      </c>
      <c r="N18" t="inlineStr">
        <is>
          <t>0.1;0.15;0.2;0.25;0.3</t>
        </is>
      </c>
      <c r="P18" t="inlineStr">
        <is>
          <t>Assets/MachineBrigade/Scripts/Game/Match/GearCatalog.cs:318 (Bases[33])</t>
        </is>
      </c>
      <c r="Q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F19" t="inlineStr">
        <is>
          <t>FireRate</t>
        </is>
      </c>
      <c r="H19" t="n">
        <v>2</v>
      </c>
      <c r="J19" t="inlineStr">
        <is>
          <t>Spread</t>
        </is>
      </c>
      <c r="K19" t="inlineStr">
        <is>
          <t>0;0;-0.1;-0.12;-0.14</t>
        </is>
      </c>
      <c r="M19" t="inlineStr">
        <is>
          <t>Loader</t>
        </is>
      </c>
      <c r="N19" t="inlineStr">
        <is>
          <t>0;0;0.1;0.12;0.15</t>
        </is>
      </c>
      <c r="P19" t="inlineStr">
        <is>
          <t>Assets/MachineBrigade/Scripts/Game/Match/GearCatalog.cs:276 (Bases[12])</t>
        </is>
      </c>
      <c r="Q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F20" t="inlineStr">
        <is>
          <t>Splash</t>
        </is>
      </c>
      <c r="M20" t="inlineStr">
        <is>
          <t>Weapon</t>
        </is>
      </c>
      <c r="N20" t="inlineStr">
        <is>
          <t>0.05;0.08;0.12;0.16;0.2</t>
        </is>
      </c>
      <c r="P20" t="inlineStr">
        <is>
          <t>Assets/MachineBrigade/Scripts/Game/Match/GearCatalog.cs:261 (Bases[2])</t>
        </is>
      </c>
      <c r="Q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F21" t="inlineStr">
        <is>
          <t>Range</t>
        </is>
      </c>
      <c r="H21" t="n">
        <v>2</v>
      </c>
      <c r="J21" t="inlineStr">
        <is>
          <t>Speed</t>
        </is>
      </c>
      <c r="K21" t="inlineStr">
        <is>
          <t>0;0;-0.05;-0.06;-0.07</t>
        </is>
      </c>
      <c r="M21" t="inlineStr">
        <is>
          <t>Weapon</t>
        </is>
      </c>
      <c r="N21" t="inlineStr">
        <is>
          <t>0;0;0.08;0.1;0.12</t>
        </is>
      </c>
      <c r="P21" t="inlineStr">
        <is>
          <t>Assets/MachineBrigade/Scripts/Game/Match/GearCatalog.cs:264 (Bases[5])</t>
        </is>
      </c>
      <c r="Q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F22" t="inlineStr">
        <is>
          <t>SpreadLong</t>
        </is>
      </c>
      <c r="M22" t="inlineStr">
        <is>
          <t>Optics</t>
        </is>
      </c>
      <c r="N22" t="inlineStr">
        <is>
          <t>0.08;0.12;0.16;0.2;0.25</t>
        </is>
      </c>
      <c r="P22" t="inlineStr">
        <is>
          <t>Assets/MachineBrigade/Scripts/Game/Match/GearCatalog.cs:317 (Bases[32])</t>
        </is>
      </c>
      <c r="Q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D23" t="b">
        <v>1</v>
      </c>
      <c r="F23" t="inlineStr">
        <is>
          <t>LaserWarning</t>
        </is>
      </c>
      <c r="M23" t="inlineStr">
        <is>
          <t>Optics</t>
        </is>
      </c>
      <c r="N23" t="inlineStr">
        <is>
          <t>6;6.5;7;7.5;8</t>
        </is>
      </c>
      <c r="P23" t="inlineStr">
        <is>
          <t>Assets/MachineBrigade/Scripts/Game/Match/GearCatalog.cs:326 (Bases[37])</t>
        </is>
      </c>
      <c r="Q23" t="inlineStr">
        <is>
          <t>{"id":"laser_warning","slot":"Optics","implicitStat":"LaserWarning","top":[6,6.5,7,7.5,8],"Flat":true,"Hidden":true}</t>
        </is>
      </c>
    </row>
    <row r="24">
      <c r="A24" t="inlineStr">
        <is>
          <t>long_barrel</t>
        </is>
      </c>
      <c r="B24" t="inlineStr">
        <is>
          <t>Nòng dài</t>
        </is>
      </c>
      <c r="F24" t="inlineStr">
        <is>
          <t>Range</t>
        </is>
      </c>
      <c r="M24" t="inlineStr">
        <is>
          <t>Weapon</t>
        </is>
      </c>
      <c r="N24" t="inlineStr">
        <is>
          <t>0.02;0.03;0.04;0.06;0.08</t>
        </is>
      </c>
      <c r="P24" t="inlineStr">
        <is>
          <t>Assets/MachineBrigade/Scripts/Game/Match/GearCatalog.cs:258 (Bases[0])</t>
        </is>
      </c>
      <c r="Q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F25" t="inlineStr">
        <is>
          <t>Count</t>
        </is>
      </c>
      <c r="G25" t="n">
        <v>1.8</v>
      </c>
      <c r="H25" t="n">
        <v>2</v>
      </c>
      <c r="I25" t="b">
        <v>1</v>
      </c>
      <c r="J25" t="inlineStr">
        <is>
          <t>Speed</t>
        </is>
      </c>
      <c r="K25" t="inlineStr">
        <is>
          <t>0;0;-0.04;-0.05;-0.06</t>
        </is>
      </c>
      <c r="M25" t="inlineStr">
        <is>
          <t>Armor</t>
        </is>
      </c>
      <c r="N25" t="inlineStr">
        <is>
          <t>0;0;0;0;0</t>
        </is>
      </c>
      <c r="P25" t="inlineStr">
        <is>
          <t>Assets/MachineBrigade/Scripts/Game/Match/GearCatalog.cs:289 (Bases[19])</t>
        </is>
      </c>
      <c r="Q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F26" t="inlineStr">
        <is>
          <t>ResistIndirect</t>
        </is>
      </c>
      <c r="L26" t="b">
        <v>1</v>
      </c>
      <c r="M26" t="inlineStr">
        <is>
          <t>Armor</t>
        </is>
      </c>
      <c r="N26" t="inlineStr">
        <is>
          <t>0.06;0.09;0.13;0.17;0.22</t>
        </is>
      </c>
      <c r="P26" t="inlineStr">
        <is>
          <t>Assets/MachineBrigade/Scripts/Game/Match/GearCatalog.cs:297 (Bases[23])</t>
        </is>
      </c>
      <c r="Q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F27" t="inlineStr">
        <is>
          <t>Speed</t>
        </is>
      </c>
      <c r="H27" t="n">
        <v>2</v>
      </c>
      <c r="J27" t="inlineStr">
        <is>
          <t>Health</t>
        </is>
      </c>
      <c r="K27" t="inlineStr">
        <is>
          <t>0;0;-0.04;-0.05;-0.06</t>
        </is>
      </c>
      <c r="M27" t="inlineStr">
        <is>
          <t>Engine</t>
        </is>
      </c>
      <c r="N27" t="inlineStr">
        <is>
          <t>0;0;0.1;0.12;0.15</t>
        </is>
      </c>
      <c r="P27" t="inlineStr">
        <is>
          <t>Assets/MachineBrigade/Scripts/Game/Match/GearCatalog.cs:306 (Bases[27])</t>
        </is>
      </c>
      <c r="Q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F28" t="inlineStr">
        <is>
          <t>DamageVsAir</t>
        </is>
      </c>
      <c r="M28" t="inlineStr">
        <is>
          <t>Weapon</t>
        </is>
      </c>
      <c r="N28" t="inlineStr">
        <is>
          <t>0.05;0.08;0.12;0.16;0.2</t>
        </is>
      </c>
      <c r="P28" t="inlineStr">
        <is>
          <t>Assets/MachineBrigade/Scripts/Game/Match/GearCatalog.cs:262 (Bases[3])</t>
        </is>
      </c>
      <c r="Q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F29" t="inlineStr">
        <is>
          <t>LockRange</t>
        </is>
      </c>
      <c r="M29" t="inlineStr">
        <is>
          <t>Armor</t>
        </is>
      </c>
      <c r="N29" t="inlineStr">
        <is>
          <t>0.06;0.09;0.13;0.16;0.2</t>
        </is>
      </c>
      <c r="P29" t="inlineStr">
        <is>
          <t>Assets/MachineBrigade/Scripts/Game/Match/GearCatalog.cs:292 (Bases[20])</t>
        </is>
      </c>
      <c r="Q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F30" t="inlineStr">
        <is>
          <t>ReverseSpeed</t>
        </is>
      </c>
      <c r="M30" t="inlineStr">
        <is>
          <t>Engine</t>
        </is>
      </c>
      <c r="N30" t="inlineStr">
        <is>
          <t>0.15;0.2;0.28;0.34;0.4</t>
        </is>
      </c>
      <c r="P30" t="inlineStr">
        <is>
          <t>Assets/MachineBrigade/Scripts/Game/Match/GearCatalog.cs:309 (Bases[28])</t>
        </is>
      </c>
      <c r="Q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F31" t="inlineStr">
        <is>
          <t>SalvoInterval</t>
        </is>
      </c>
      <c r="M31" t="inlineStr">
        <is>
          <t>Loader</t>
        </is>
      </c>
      <c r="N31" t="inlineStr">
        <is>
          <t>0.1;0.15;0.2;0.25;0.3</t>
        </is>
      </c>
      <c r="P31" t="inlineStr">
        <is>
          <t>Assets/MachineBrigade/Scripts/Game/Match/GearCatalog.cs:275 (Bases[11])</t>
        </is>
      </c>
      <c r="Q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E32" t="inlineStr">
        <is>
          <t>Vision</t>
        </is>
      </c>
      <c r="F32" t="inlineStr">
        <is>
          <t>CaptureRate</t>
        </is>
      </c>
      <c r="M32" t="inlineStr">
        <is>
          <t>Optics</t>
        </is>
      </c>
      <c r="N32" t="inlineStr">
        <is>
          <t>0.1;0.15;0.2;0.25;0.3</t>
        </is>
      </c>
      <c r="O32" t="inlineStr">
        <is>
          <t>0.03;0.04;0.06;0.08;0.1</t>
        </is>
      </c>
      <c r="P32" t="inlineStr">
        <is>
          <t>Assets/MachineBrigade/Scripts/Game/Match/GearCatalog.cs:322 (Bases[36])</t>
        </is>
      </c>
      <c r="Q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F33" t="inlineStr">
        <is>
          <t>ResistRocket</t>
        </is>
      </c>
      <c r="L33" t="b">
        <v>1</v>
      </c>
      <c r="M33" t="inlineStr">
        <is>
          <t>Armor</t>
        </is>
      </c>
      <c r="N33" t="inlineStr">
        <is>
          <t>0.06;0.09;0.13;0.17;0.22</t>
        </is>
      </c>
      <c r="P33" t="inlineStr">
        <is>
          <t>Assets/MachineBrigade/Scripts/Game/Match/GearCatalog.cs:296 (Bases[22])</t>
        </is>
      </c>
      <c r="Q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F34" t="inlineStr">
        <is>
          <t>ResistHighExplosive</t>
        </is>
      </c>
      <c r="M34" t="inlineStr">
        <is>
          <t>Armor</t>
        </is>
      </c>
      <c r="N34" t="inlineStr">
        <is>
          <t>0.04;0.06;0.09;0.12;0.15</t>
        </is>
      </c>
      <c r="P34" t="inlineStr">
        <is>
          <t>Assets/MachineBrigade/Scripts/Game/Match/GearCatalog.cs:283 (Bases[15])</t>
        </is>
      </c>
      <c r="Q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F35" t="inlineStr">
        <is>
          <t>SpareMagazine</t>
        </is>
      </c>
      <c r="M35" t="inlineStr">
        <is>
          <t>Loader</t>
        </is>
      </c>
      <c r="N35" t="inlineStr">
        <is>
          <t>0.4;0.55;0.7;0.85;1</t>
        </is>
      </c>
      <c r="P35" t="inlineStr">
        <is>
          <t>Assets/MachineBrigade/Scripts/Game/Match/GearCatalog.cs:279 (Bases[13])</t>
        </is>
      </c>
      <c r="Q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F36" t="inlineStr">
        <is>
          <t>RegenDelay</t>
        </is>
      </c>
      <c r="M36" t="inlineStr">
        <is>
          <t>Repair</t>
        </is>
      </c>
      <c r="N36" t="inlineStr">
        <is>
          <t>1;1.5;2;2.5;3</t>
        </is>
      </c>
      <c r="P36" t="inlineStr">
        <is>
          <t>Assets/MachineBrigade/Scripts/Game/Match/GearCatalog.cs:312 (Bases[29])</t>
        </is>
      </c>
      <c r="Q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F37" t="inlineStr">
        <is>
          <t>TransitSpeed</t>
        </is>
      </c>
      <c r="M37" t="inlineStr">
        <is>
          <t>Engine</t>
        </is>
      </c>
      <c r="N37" t="inlineStr">
        <is>
          <t>0.05;0.08;0.12;0.16;0.2</t>
        </is>
      </c>
      <c r="P37" t="inlineStr">
        <is>
          <t>Assets/MachineBrigade/Scripts/Game/Match/GearCatalog.cs:305 (Bases[26])</t>
        </is>
      </c>
      <c r="Q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F38" t="inlineStr">
        <is>
          <t>Penetration</t>
        </is>
      </c>
      <c r="M38" t="inlineStr">
        <is>
          <t>Weapon</t>
        </is>
      </c>
      <c r="N38" t="inlineStr">
        <is>
          <t>0.4;0.55;0.7;0.85;1</t>
        </is>
      </c>
      <c r="P38" t="inlineStr">
        <is>
          <t>Assets/MachineBrigade/Scripts/Game/Match/GearCatalog.cs:260 (Bases[1])</t>
        </is>
      </c>
      <c r="Q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F39" t="inlineStr">
        <is>
          <t>ResistBlast</t>
        </is>
      </c>
      <c r="L39" t="b">
        <v>1</v>
      </c>
      <c r="M39" t="inlineStr">
        <is>
          <t>Armor</t>
        </is>
      </c>
      <c r="N39" t="inlineStr">
        <is>
          <t>0.05;0.08;0.11;0.15;0.18</t>
        </is>
      </c>
      <c r="P39" t="inlineStr">
        <is>
          <t>Assets/MachineBrigade/Scripts/Game/Match/GearCatalog.cs:299 (Bases[24])</t>
        </is>
      </c>
      <c r="Q39" t="inlineStr">
        <is>
          <t>{"id":"underbelly_armor","slot":"Armor","implicitStat":"ResistBlast","top":[0.05,0.08,0.11,0.15,0.18],"Plating":true}</t>
        </is>
      </c>
    </row>
  </sheetData>
  <autoFilter ref="A1:Q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11" customWidth="1" min="6" max="6"/>
    <col width="12" customWidth="1" min="7" max="7"/>
    <col width="16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hidden</t>
        </is>
      </c>
      <c r="F1" s="1" t="inlineStr">
        <is>
          <t>legendary</t>
        </is>
      </c>
      <c r="G1" s="1" t="inlineStr">
        <is>
          <t>legendary2</t>
        </is>
      </c>
      <c r="H1" s="1" t="inlineStr">
        <is>
          <t>need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F2" t="n">
        <v>3</v>
      </c>
      <c r="H2" t="inlineStr">
        <is>
          <t>Any</t>
        </is>
      </c>
      <c r="I2" t="inlineStr">
        <is>
          <t>Assets/MachineBrigade/Scripts/Game/Match/GearCatalog.cs:350 (Modules[11])</t>
        </is>
      </c>
      <c r="J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F3" t="n">
        <v>0.018</v>
      </c>
      <c r="H3" t="inlineStr">
        <is>
          <t>Any</t>
        </is>
      </c>
      <c r="I3" t="inlineStr">
        <is>
          <t>Assets/MachineBrigade/Scripts/Game/Match/GearCatalog.cs:337 (Modules[1])</t>
        </is>
      </c>
      <c r="J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F4" t="n">
        <v>6</v>
      </c>
      <c r="G4" t="n">
        <v>25</v>
      </c>
      <c r="H4" t="inlineStr">
        <is>
          <t>Ground</t>
        </is>
      </c>
      <c r="I4" t="inlineStr">
        <is>
          <t>Assets/MachineBrigade/Scripts/Game/Match/GearCatalog.cs:351 (Modules[12])</t>
        </is>
      </c>
      <c r="J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F5" t="n">
        <v>2</v>
      </c>
      <c r="G5" t="n">
        <v>20</v>
      </c>
      <c r="H5" t="inlineStr">
        <is>
          <t>Any</t>
        </is>
      </c>
      <c r="I5" t="inlineStr">
        <is>
          <t>Assets/MachineBrigade/Scripts/Game/Match/GearCatalog.cs:345 (Modules[6])</t>
        </is>
      </c>
      <c r="J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F6" t="n">
        <v>3</v>
      </c>
      <c r="G6" t="n">
        <v>14</v>
      </c>
      <c r="H6" t="inlineStr">
        <is>
          <t>Any</t>
        </is>
      </c>
      <c r="I6" t="inlineStr">
        <is>
          <t>Assets/MachineBrigade/Scripts/Game/Match/GearCatalog.cs:346 (Modules[7])</t>
        </is>
      </c>
      <c r="J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F7" t="n">
        <v>4</v>
      </c>
      <c r="G7" t="n">
        <v>18</v>
      </c>
      <c r="H7" t="inlineStr">
        <is>
          <t>Flying|Flares</t>
        </is>
      </c>
      <c r="I7" t="inlineStr">
        <is>
          <t>Assets/MachineBrigade/Scripts/Game/Match/GearCatalog.cs:344 (Modules[5])</t>
        </is>
      </c>
      <c r="J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F8" t="n">
        <v>3</v>
      </c>
      <c r="G8" t="n">
        <v>15</v>
      </c>
      <c r="H8" t="inlineStr">
        <is>
          <t>Ground</t>
        </is>
      </c>
      <c r="I8" t="inlineStr">
        <is>
          <t>Assets/MachineBrigade/Scripts/Game/Match/GearCatalog.cs:347 (Modules[8])</t>
        </is>
      </c>
      <c r="J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F9" t="n">
        <v>0.1</v>
      </c>
      <c r="G9" t="n">
        <v>15</v>
      </c>
      <c r="H9" t="inlineStr">
        <is>
          <t>Any</t>
        </is>
      </c>
      <c r="I9" t="inlineStr">
        <is>
          <t>Assets/MachineBrigade/Scripts/Game/Match/GearCatalog.cs:349 (Modules[10])</t>
        </is>
      </c>
      <c r="J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F10" t="n">
        <v>0.55</v>
      </c>
      <c r="H10" t="inlineStr">
        <is>
          <t>Ground</t>
        </is>
      </c>
      <c r="I10" t="inlineStr">
        <is>
          <t>Assets/MachineBrigade/Scripts/Game/Match/GearCatalog.cs:336 (Modules[0])</t>
        </is>
      </c>
      <c r="J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b">
        <v>1</v>
      </c>
      <c r="F11" t="n">
        <v>10</v>
      </c>
      <c r="G11" t="n">
        <v>1</v>
      </c>
      <c r="H11" t="inlineStr">
        <is>
          <t>Ground</t>
        </is>
      </c>
      <c r="I11" t="inlineStr">
        <is>
          <t>Assets/MachineBrigade/Scripts/Game/Match/GearCatalog.cs:340 (Modules[3])</t>
        </is>
      </c>
      <c r="J11" t="inlineStr">
        <is>
          <t>{"module":"SmokeDischarger","need":"Ground","epic":8,"legendary":10,"epic2":0,"legendary2":1,"Hidden":true}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F12" t="n">
        <v>2</v>
      </c>
      <c r="G12" t="n">
        <v>20</v>
      </c>
      <c r="H12" t="inlineStr">
        <is>
          <t>Ground|ApsMount</t>
        </is>
      </c>
      <c r="I12" t="inlineStr">
        <is>
          <t>Assets/MachineBrigade/Scripts/Game/Match/GearCatalog.cs:343 (Modules[4])</t>
        </is>
      </c>
      <c r="J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F13" t="n">
        <v>5</v>
      </c>
      <c r="G13" t="n">
        <v>35</v>
      </c>
      <c r="H13" t="inlineStr">
        <is>
          <t>HitsGround</t>
        </is>
      </c>
      <c r="I13" t="inlineStr">
        <is>
          <t>Assets/MachineBrigade/Scripts/Game/Match/GearCatalog.cs:352 (Modules[13])</t>
        </is>
      </c>
      <c r="J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F14" t="n">
        <v>0.12</v>
      </c>
      <c r="H14" t="inlineStr">
        <is>
          <t>Armed</t>
        </is>
      </c>
      <c r="I14" t="inlineStr">
        <is>
          <t>Assets/MachineBrigade/Scripts/Game/Match/GearCatalog.cs:338 (Modules[2])</t>
        </is>
      </c>
      <c r="J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F15" t="n">
        <v>0.8</v>
      </c>
      <c r="H15" t="inlineStr">
        <is>
          <t>Armed</t>
        </is>
      </c>
      <c r="I15" t="inlineStr">
        <is>
          <t>Assets/MachineBrigade/Scripts/Game/Match/GearCatalog.cs:348 (Modules[9])</t>
        </is>
      </c>
      <c r="J15" t="inlineStr">
        <is>
          <t>{"module":"WarProfiteer","need":"Armed","epic":0.5,"legendary":0.8}</t>
        </is>
      </c>
    </row>
  </sheetData>
  <autoFilter ref="A1:J1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Assets/MachineBrigade/Scripts/Game/Match/GearCatalog.cs:384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Assets/MachineBrigade/Scripts/Game/Match/GearCatalog.cs:382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Assets/MachineBrigade/Scripts/Game/Match/GearCatalog.cs:378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Assets/MachineBrigade/Scripts/Game/Match/GearCatalog.cs:392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Assets/MachineBrigade/Scripts/Game/Match/GearCatalog.cs:399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Assets/MachineBrigade/Scripts/Game/Match/GearCatalog.cs:385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Assets/MachineBrigade/Scripts/Game/Match/GearCatalog.cs:361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Assets/MachineBrigade/Scripts/Game/Match/GearCatalog.cs:397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Assets/MachineBrigade/Scripts/Game/Match/GearCatalog.cs:405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Assets/MachineBrigade/Scripts/Game/Match/GearCatalog.cs:400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Assets/MachineBrigade/Scripts/Game/Match/GearCatalog.cs:381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Assets/MachineBrigade/Scripts/Game/Match/GearCatalog.cs:396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Assets/MachineBrigade/Scripts/Game/Match/GearCatalog.cs:406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Assets/MachineBrigade/Scripts/Game/Match/GearCatalog.cs:365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Assets/MachineBrigade/Scripts/Game/Match/GearCatalog.cs:395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Assets/MachineBrigade/Scripts/Game/Match/GearCatalog.cs:408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Assets/MachineBrigade/Scripts/Game/Match/GearCatalog.cs:404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Assets/MachineBrigade/Scripts/Game/Match/GearCatalog.cs:380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Assets/MachineBrigade/Scripts/Game/Match/GearCatalog.cs:374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Assets/MachineBrigade/Scripts/Game/Match/GearCatalog.cs:370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Assets/MachineBrigade/Scripts/Game/Match/GearCatalog.cs:359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Assets/MachineBrigade/Scripts/Game/Match/GearCatalog.cs:371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Assets/MachineBrigade/Scripts/Game/Match/GearCatalog.cs:403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Assets/MachineBrigade/Scripts/Game/Match/GearCatalog.cs:364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Assets/MachineBrigade/Scripts/Game/Match/GearCatalog.cs:388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Assets/MachineBrigade/Scripts/Game/Match/GearCatalog.cs:363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Assets/MachineBrigade/Scripts/Game/Match/GearCatalog.cs:373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Assets/MachineBrigade/Scripts/Game/Match/GearCatalog.cs:390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Assets/MachineBrigade/Scripts/Game/Match/GearCatalog.cs:372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Assets/MachineBrigade/Scripts/Game/Match/GearCatalog.cs:383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Assets/MachineBrigade/Scripts/Game/Match/GearCatalog.cs:393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Assets/MachineBrigade/Scripts/Game/Match/GearCatalog.cs:360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Assets/MachineBrigade/Scripts/Game/Match/GearCatalog.cs:398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Assets/MachineBrigade/Scripts/Game/Match/GearCatalog.cs:389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Assets/MachineBrigade/Scripts/Game/Match/GearCatalog.cs:362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Assets/MachineBrigade/Scripts/Game/Match/GearCatalog.cs:386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Assets/MachineBrigade/Scripts/Game/Match/GearCatalog.cs:375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Assets/MachineBrigade/Scripts/Game/Match/GearCatalog.cs:367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Assets/MachineBrigade/Scripts/Game/Match/GearCatalog.cs:368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Assets/MachineBrigade/Scripts/Game/Match/GearCatalog.cs:366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Assets/MachineBrigade/Scripts/Game/Match/GearCatalog.cs:402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Assets/MachineBrigade/Scripts/Game/Match/GearCatalog.cs:358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Assets/MachineBrigade/Scripts/Game/Match/GearCatalog.cs:379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Assets/MachineBrigade/Scripts/Game/Match/GearCatalog.cs:376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Assets/MachineBrigade/Scripts/Game/Match/GearCatalog.cs:391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Assets/MachineBrigade/Scripts/Game/Match/GearCatalog.cs:433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Assets/MachineBrigade/Scripts/Game/Match/GearCatalog.cs:434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Assets/MachineBrigade/Scripts/Game/Match/GearCatalog.cs:418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Assets/MachineBrigade/Scripts/Game/Match/GearCatalog.cs:415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Assets/MachineBrigade/Scripts/Game/Match/GearCatalog.cs:414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Assets/MachineBrigade/Scripts/Game/Match/GearCatalog.cs:413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Assets/MachineBrigade/Scripts/Game/Match/GearCatalog.cs:416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Assets/MachineBrigade/Scripts/Game/Match/GearCatalog.cs:417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Assets/MachineBrigade/Scripts/Game/Match/GearCatalog.cs:425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Assets/MachineBrigade/Scripts/Game/Match/GearCatalog.cs:423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Assets/MachineBrigade/Scripts/Game/Match/GearCatalog.cs:424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Assets/MachineBrigade/Scripts/Game/Match/GearCatalog.cs:422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Assets/MachineBrigade/Scripts/Game/Match/GearCatalog.cs:419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Assets/MachineBrigade/Scripts/Game/Match/GearCatalog.cs:435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Assets/MachineBrigade/Scripts/Game/Match/GearCatalog.cs:429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Assets/MachineBrigade/Scripts/Game/Match/GearCatalog.cs:430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Assets/MachineBrigade/Scripts/Game/Match/GearCatalog.cs:428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Assets/MachineBrigade/Scripts/Game/Match/GearCatalog.cs:426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Assets/MachineBrigade/Scripts/Game/Match/GearCatalog.cs:427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Assets/MachineBrigade/Scripts/Game/Match/GearCatalog.cs:431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Assets/MachineBrigade/Scripts/Game/Match/GearCatalog.cs:421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Assets/MachineBrigade/Scripts/Game/Match/GearCatalog.cs:432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Assets/MachineBrigade/Scripts/Game/Match/GearCatalog.cs:420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Assets/MachineBrigade/Scripts/Game/Match/GearCatalog.cs:447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Assets/MachineBrigade/Scripts/Game/Match/GearCatalog.cs:457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Assets/MachineBrigade/Scripts/Game/Match/GearCatalog.cs:452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Assets/MachineBrigade/Scripts/Game/Match/GearCatalog.cs:449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Assets/MachineBrigade/Scripts/Game/Match/GearCatalog.cs:443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Assets/MachineBrigade/Scripts/Game/Match/GearCatalog.cs:444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Assets/MachineBrigade/Scripts/Game/Match/GearCatalog.cs:446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Assets/MachineBrigade/Scripts/Game/Match/GearCatalog.cs:454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Assets/MachineBrigade/Scripts/Game/Match/GearCatalog.cs:450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Assets/MachineBrigade/Scripts/Game/Match/GearCatalog.cs:451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Assets/MachineBrigade/Scripts/Game/Match/GearCatalog.cs:448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Assets/MachineBrigade/Scripts/Game/Match/GearCatalog.cs:445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Assets/MachineBrigade/Scripts/Game/Match/GearCatalog.cs:455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weapons.fire.firestormShare</t>
        </is>
      </c>
      <c r="B24" t="inlineStr">
        <is>
          <t>fire</t>
        </is>
      </c>
      <c r="C24" t="inlineStr">
        <is>
          <t>firestormShare</t>
        </is>
      </c>
      <c r="D24" t="n">
        <v>0.1</v>
      </c>
      <c r="F24" t="inlineStr">
        <is>
          <t>share</t>
        </is>
      </c>
      <c r="G24" t="inlineStr">
        <is>
          <t>khac</t>
        </is>
      </c>
      <c r="H24" t="inlineStr">
        <is>
          <t>01</t>
        </is>
      </c>
      <c r="I24" t="inlineStr">
        <is>
          <t>GearSystem (pack 2, was Sim/Abilities/GearSystem.cs:847)</t>
        </is>
      </c>
      <c r="J24" t="inlineStr">
        <is>
          <t>Assets/MachineBrigade/Resources/Data/tunables.json: weapons.fire.firestormShare</t>
        </is>
      </c>
      <c r="K24" t="inlineStr">
        <is>
          <t>{"value":0.1,"unit":"share","kind":"khac","linh_vuc":"01","code":"GearSystem (pack 2, was Sim/Abilities/GearSystem.cs:847)"}</t>
        </is>
      </c>
    </row>
    <row r="25">
      <c r="A25" t="inlineStr">
        <is>
          <t>weapons.fire.firestormSpreadRadiusSqM</t>
        </is>
      </c>
      <c r="B25" t="inlineStr">
        <is>
          <t>fire</t>
        </is>
      </c>
      <c r="C25" t="inlineStr">
        <is>
          <t>firestormSpreadRadiusSqM</t>
        </is>
      </c>
      <c r="D25" t="n">
        <v>36</v>
      </c>
      <c r="F25" t="inlineStr">
        <is>
          <t>m2</t>
        </is>
      </c>
      <c r="G25" t="inlineStr">
        <is>
          <t>ban_kinh</t>
        </is>
      </c>
      <c r="H25" t="inlineStr">
        <is>
          <t>01</t>
        </is>
      </c>
      <c r="I25" t="inlineStr">
        <is>
          <t>GearSystem (pack 2, was Sim/Abilities/GearSystem.cs:1256)</t>
        </is>
      </c>
      <c r="J25" t="inlineStr">
        <is>
          <t>Assets/MachineBrigade/Resources/Data/tunables.json: weapons.fire.firestormSpreadRadiusSqM</t>
        </is>
      </c>
      <c r="K25" t="inlineStr">
        <is>
          <t>{"value":36.0,"unit":"m2","kind":"ban_kinh","linh_vuc":"01","code":"GearSystem (pack 2, was Sim/Abilities/GearSystem.cs:1256)"}</t>
        </is>
      </c>
    </row>
    <row r="26">
      <c r="A26" t="inlineStr">
        <is>
          <t>weapons.fire.firestormSpreadSeconds</t>
        </is>
      </c>
      <c r="B26" t="inlineStr">
        <is>
          <t>fire</t>
        </is>
      </c>
      <c r="C26" t="inlineStr">
        <is>
          <t>firestormSpreadSeconds</t>
        </is>
      </c>
      <c r="D26" t="n">
        <v>4</v>
      </c>
      <c r="F26" t="inlineStr">
        <is>
          <t>s</t>
        </is>
      </c>
      <c r="G26" t="inlineStr">
        <is>
          <t>thoi_gian</t>
        </is>
      </c>
      <c r="H26" t="inlineStr">
        <is>
          <t>01</t>
        </is>
      </c>
      <c r="I26" t="inlineStr">
        <is>
          <t>GearSystem (pack 2, was Sim/Abilities/GearSystem.cs:1265)</t>
        </is>
      </c>
      <c r="J26" t="inlineStr">
        <is>
          <t>Assets/MachineBrigade/Resources/Data/tunables.json: weapons.fire.firestormSpreadSeconds</t>
        </is>
      </c>
      <c r="K26" t="inlineStr">
        <is>
          <t>{"value":4.0,"unit":"s","kind":"thoi_gian","linh_vuc":"01","code":"GearSystem (pack 2, was Sim/Abilities/GearSystem.cs:1265)"}</t>
        </is>
      </c>
    </row>
    <row r="27">
      <c r="A27" t="inlineStr">
        <is>
          <t>weapons.fire.incendiaryFlameSeconds</t>
        </is>
      </c>
      <c r="B27" t="inlineStr">
        <is>
          <t>fire</t>
        </is>
      </c>
      <c r="C27" t="inlineStr">
        <is>
          <t>incendiaryFlameSeconds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Sim/Abilities/GearSystem.cs:846)</t>
        </is>
      </c>
      <c r="J27" t="inlineStr">
        <is>
          <t>Assets/MachineBrigade/Resources/Data/tunables.json: weapons.fire.incendiaryFlameSeconds</t>
        </is>
      </c>
      <c r="K27" t="inlineStr">
        <is>
          <t>{"value":6.0,"unit":"s","kind":"thoi_gian","linh_vuc":"01","code":"GearSystem (pack 2, was Sim/Abilities/GearSystem.cs:846)"}</t>
        </is>
      </c>
    </row>
    <row r="28">
      <c r="A28" t="inlineStr">
        <is>
          <t>weapons.fire.incendiaryOtherSeconds</t>
        </is>
      </c>
      <c r="B28" t="inlineStr">
        <is>
          <t>fire</t>
        </is>
      </c>
      <c r="C28" t="inlineStr">
        <is>
          <t>incendiaryOtherSeconds</t>
        </is>
      </c>
      <c r="D28" t="n">
        <v>4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weapons.fire.incendiaryOtherSeconds</t>
        </is>
      </c>
      <c r="K28" t="inlineStr">
        <is>
          <t>{"value":4.0,"unit":"s","kind":"thoi_gian","linh_vuc":"01","code":"GearSystem (pack 2, was Sim/Abilities/GearSystem.cs:846)"}</t>
        </is>
      </c>
    </row>
    <row r="29">
      <c r="A29" t="inlineStr">
        <is>
          <t>weapons.guidance.baseFailChance</t>
        </is>
      </c>
      <c r="B29" t="inlineStr">
        <is>
          <t>guidance</t>
        </is>
      </c>
      <c r="C29" t="inlineStr">
        <is>
          <t>baseFailChance</t>
        </is>
      </c>
      <c r="D29" t="n">
        <v>0.02</v>
      </c>
      <c r="F29" t="inlineStr">
        <is>
          <t>share</t>
        </is>
      </c>
      <c r="G29" t="inlineStr">
        <is>
          <t>xac_suat</t>
        </is>
      </c>
      <c r="H29" t="inlineStr">
        <is>
          <t>01</t>
        </is>
      </c>
      <c r="I29" t="inlineStr">
        <is>
          <t>CombatSystem (pack 2, was Sim/Combat/CombatSystem.cs:1021)</t>
        </is>
      </c>
      <c r="J29" t="inlineStr">
        <is>
          <t>Assets/MachineBrigade/Resources/Data/tunables.json: weapons.guidance.baseFailChance</t>
        </is>
      </c>
      <c r="K29" t="inlineStr">
        <is>
          <t>{"value":0.02,"unit":"share","kind":"xac_suat","linh_vuc":"01","code":"CombatSystem (pack 2, was Sim/Combat/CombatSystem.cs:1021)"}</t>
        </is>
      </c>
    </row>
    <row r="30">
      <c r="A30" t="inlineStr">
        <is>
          <t>weapons.guidance.rangeFailCoeff</t>
        </is>
      </c>
      <c r="B30" t="inlineStr">
        <is>
          <t>guidance</t>
        </is>
      </c>
      <c r="C30" t="inlineStr">
        <is>
          <t>rangeFailCoeff</t>
        </is>
      </c>
      <c r="D30" t="n">
        <v>0.08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weapons.guidance.rangeFailCoeff</t>
        </is>
      </c>
      <c r="K30" t="inlineStr">
        <is>
          <t>{"value":0.08,"unit":"share","kind":"xac_suat","linh_vuc":"01","code":"CombatSystem (pack 2, was Sim/Combat/CombatSystem.cs:1021)"}</t>
        </is>
      </c>
    </row>
    <row r="31">
      <c r="A31" t="inlineStr">
        <is>
          <t>weapons.jamRules.guidedMissMin</t>
        </is>
      </c>
      <c r="B31" t="inlineStr">
        <is>
          <t>jamRules</t>
        </is>
      </c>
      <c r="C31" t="inlineStr">
        <is>
          <t>guidedMissMin</t>
        </is>
      </c>
      <c r="D31" t="n">
        <v>5</v>
      </c>
      <c r="F31" t="inlineStr">
        <is>
          <t>m</t>
        </is>
      </c>
      <c r="G31" t="inlineStr">
        <is>
          <t>ban_kinh</t>
        </is>
      </c>
      <c r="H31" t="inlineStr">
        <is>
          <t>01</t>
        </is>
      </c>
      <c r="I31" t="inlineStr">
        <is>
          <t>CombatSystem.Launch (jammed / lock lost)</t>
        </is>
      </c>
      <c r="J31" t="inlineStr">
        <is>
          <t>Assets/MachineBrigade/Resources/Data/tunables.json: weapons.jamRules.guidedMissMin</t>
        </is>
      </c>
      <c r="K31" t="inlineStr">
        <is>
          <t>{"value":5.0,"unit":"m","kind":"ban_kinh","linh_vuc":"01","code":"CombatSystem.Launch (jammed / lock lost)"}</t>
        </is>
      </c>
    </row>
    <row r="32">
      <c r="A32" t="inlineStr">
        <is>
          <t>weapons.jamRules.guidedMissSpread</t>
        </is>
      </c>
      <c r="B32" t="inlineStr">
        <is>
          <t>jamRules</t>
        </is>
      </c>
      <c r="C32" t="inlineStr">
        <is>
          <t>guidedMissSpread</t>
        </is>
      </c>
      <c r="D32" t="n">
        <v>6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weapons.jamRules.guidedMissSpread</t>
        </is>
      </c>
      <c r="K32" t="inlineStr">
        <is>
          <t>{"value":6.0,"unit":"m","kind":"ban_kinh","linh_vuc":"01","code":"CombatSystem.Launch (jammed / lock lost)"}</t>
        </is>
      </c>
    </row>
    <row r="33">
      <c r="A33" t="inlineStr">
        <is>
          <t>weapons.jamRules.strikeScatter</t>
        </is>
      </c>
      <c r="B33" t="inlineStr">
        <is>
          <t>jamRules</t>
        </is>
      </c>
      <c r="C33" t="inlineStr">
        <is>
          <t>strikeScatter</t>
        </is>
      </c>
      <c r="D33" t="n">
        <v>2.2</v>
      </c>
      <c r="F33" t="inlineStr">
        <is>
          <t>x</t>
        </is>
      </c>
      <c r="G33" t="inlineStr">
        <is>
          <t>ban_kinh</t>
        </is>
      </c>
      <c r="H33" t="inlineStr">
        <is>
          <t>01</t>
        </is>
      </c>
      <c r="I33" t="inlineStr">
        <is>
          <t>StrikeSystem.Launch Scatter</t>
        </is>
      </c>
      <c r="J33" t="inlineStr">
        <is>
          <t>Assets/MachineBrigade/Resources/Data/tunables.json: weapons.jamRules.strikeScatter</t>
        </is>
      </c>
      <c r="K33" t="inlineStr">
        <is>
          <t>{"value":2.2,"unit":"x","kind":"ban_kinh","linh_vuc":"01","code":"StrikeSystem.Launch Scatter"}</t>
        </is>
      </c>
    </row>
    <row r="34">
      <c r="A34" t="inlineStr">
        <is>
          <t>weapons.jamRules.swarmJamChance</t>
        </is>
      </c>
      <c r="B34" t="inlineStr">
        <is>
          <t>jamRules</t>
        </is>
      </c>
      <c r="C34" t="inlineStr">
        <is>
          <t>swarmJamChance</t>
        </is>
      </c>
      <c r="D34" t="n">
        <v>0.5</v>
      </c>
      <c r="F34" t="inlineStr">
        <is>
          <t>share</t>
        </is>
      </c>
      <c r="G34" t="inlineStr">
        <is>
          <t>nguong</t>
        </is>
      </c>
      <c r="H34" t="inlineStr">
        <is>
          <t>01</t>
        </is>
      </c>
      <c r="I34" t="inlineStr">
        <is>
          <t>BossSystem.BigAttacks swarm</t>
        </is>
      </c>
      <c r="J34" t="inlineStr">
        <is>
          <t>Assets/MachineBrigade/Resources/Data/tunables.json: weapons.jamRules.swarmJamChance</t>
        </is>
      </c>
      <c r="K34" t="inlineStr">
        <is>
          <t>{"value":0.5,"unit":"share","kind":"nguong","linh_vuc":"01","code":"BossSystem.BigAttacks swarm"}</t>
        </is>
      </c>
    </row>
    <row r="35">
      <c r="A35" t="inlineStr">
        <is>
          <t>weapons.weaponDef.escapeSpeed</t>
        </is>
      </c>
      <c r="B35" t="inlineStr">
        <is>
          <t>weaponDef</t>
        </is>
      </c>
      <c r="C35" t="inlineStr">
        <is>
          <t>escapeSpeed</t>
        </is>
      </c>
      <c r="D35" t="n">
        <v>4.5</v>
      </c>
      <c r="F35" t="inlineStr">
        <is>
          <t>m/s</t>
        </is>
      </c>
      <c r="G35" t="inlineStr">
        <is>
          <t>tan_suat</t>
        </is>
      </c>
      <c r="H35" t="inlineStr">
        <is>
          <t>01</t>
        </is>
      </c>
      <c r="I35" t="inlineStr">
        <is>
          <t>WeaponDef.EscapeSpeed</t>
        </is>
      </c>
      <c r="J35" t="inlineStr">
        <is>
          <t>Assets/MachineBrigade/Resources/Data/tunables.json: weapons.weaponDef.escapeSpeed</t>
        </is>
      </c>
      <c r="K35" t="inlineStr">
        <is>
          <t>{"value":4.5,"unit":"m/s","kind":"tan_suat","linh_vuc":"01","code":"WeaponDef.EscapeSpeed"}</t>
        </is>
      </c>
    </row>
    <row r="36">
      <c r="A36" t="inlineStr">
        <is>
          <t>weapons.weaponDef.heArmourMax</t>
        </is>
      </c>
      <c r="B36" t="inlineStr">
        <is>
          <t>weaponDef</t>
        </is>
      </c>
      <c r="C36" t="inlineStr">
        <is>
          <t>heArmourMax</t>
        </is>
      </c>
      <c r="D36" t="n">
        <v>1</v>
      </c>
      <c r="F36" t="inlineStr">
        <is>
          <t>armour level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WeaponDef.HeArmourMax</t>
        </is>
      </c>
      <c r="J36" t="inlineStr">
        <is>
          <t>Assets/MachineBrigade/Resources/Data/tunables.json: weapons.weaponDef.heArmourMax</t>
        </is>
      </c>
      <c r="K36" t="inlineStr">
        <is>
          <t>{"value":1,"unit":"armour level","kind":"sat_thuong","linh_vuc":"01","code":"WeaponDef.HeArmourMax"}</t>
        </is>
      </c>
    </row>
    <row r="37">
      <c r="A37" t="inlineStr">
        <is>
          <t>weapons.weaponDef.maxEdge</t>
        </is>
      </c>
      <c r="B37" t="inlineStr">
        <is>
          <t>weaponDef</t>
        </is>
      </c>
      <c r="C37" t="inlineStr">
        <is>
          <t>maxEdge</t>
        </is>
      </c>
      <c r="D37" t="n">
        <v>20</v>
      </c>
      <c r="F37" t="inlineStr">
        <is>
          <t>x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WeaponDef.MaxEdge</t>
        </is>
      </c>
      <c r="J37" t="inlineStr">
        <is>
          <t>Assets/MachineBrigade/Resources/Data/tunables.json: weapons.weaponDef.maxEdge</t>
        </is>
      </c>
      <c r="K37" t="inlineStr">
        <is>
          <t>{"value":20.0,"unit":"x","kind":"sat_thuong","linh_vuc":"01","code":"WeaponDef.MaxEdge"}</t>
        </is>
      </c>
    </row>
    <row r="38">
      <c r="A38" t="inlineStr">
        <is>
          <t>weapons.weaponDef.maxEdgeT5</t>
        </is>
      </c>
      <c r="B38" t="inlineStr">
        <is>
          <t>weaponDef</t>
        </is>
      </c>
      <c r="C38" t="inlineStr">
        <is>
          <t>maxEdgeT5</t>
        </is>
      </c>
      <c r="D38" t="n">
        <v>28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WeaponDef.MaxEdgeT5</t>
        </is>
      </c>
      <c r="J38" t="inlineStr">
        <is>
          <t>Assets/MachineBrigade/Resources/Data/tunables.json: weapons.weaponDef.maxEdgeT5</t>
        </is>
      </c>
      <c r="K38" t="inlineStr">
        <is>
          <t>{"value":28.0,"unit":"x","kind":"sat_thuong","linh_vuc":"01","code":"WeaponDef.MaxEdgeT5"}</t>
        </is>
      </c>
    </row>
    <row r="39">
      <c r="A39" t="inlineStr">
        <is>
          <t>weapons.weaponDef.maxWarning</t>
        </is>
      </c>
      <c r="B39" t="inlineStr">
        <is>
          <t>weaponDef</t>
        </is>
      </c>
      <c r="C39" t="inlineStr">
        <is>
          <t>maxWarning</t>
        </is>
      </c>
      <c r="D39" t="n">
        <v>6</v>
      </c>
      <c r="F39" t="inlineStr">
        <is>
          <t>s</t>
        </is>
      </c>
      <c r="G39" t="inlineStr">
        <is>
          <t>thoi_gian</t>
        </is>
      </c>
      <c r="H39" t="inlineStr">
        <is>
          <t>01</t>
        </is>
      </c>
      <c r="I39" t="inlineStr">
        <is>
          <t>WeaponDef.MaxWarning</t>
        </is>
      </c>
      <c r="J39" t="inlineStr">
        <is>
          <t>Assets/MachineBrigade/Resources/Data/tunables.json: weapons.weaponDef.maxWarning</t>
        </is>
      </c>
      <c r="K39" t="inlineStr">
        <is>
          <t>{"value":6.0,"unit":"s","kind":"thoi_gian","linh_vuc":"01","code":"WeaponDef.MaxWarning"}</t>
        </is>
      </c>
    </row>
    <row r="40">
      <c r="A40" t="inlineStr">
        <is>
          <t>weapons.weaponDef.minSwitchSeconds</t>
        </is>
      </c>
      <c r="B40" t="inlineStr">
        <is>
          <t>weaponDef</t>
        </is>
      </c>
      <c r="C40" t="inlineStr">
        <is>
          <t>minSwitchSeconds</t>
        </is>
      </c>
      <c r="D40" t="n">
        <v>0.5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WeaponDef.MinSwitchSeconds</t>
        </is>
      </c>
      <c r="J40" t="inlineStr">
        <is>
          <t>Assets/MachineBrigade/Resources/Data/tunables.json: weapons.weaponDef.minSwitchSeconds</t>
        </is>
      </c>
      <c r="K40" t="inlineStr">
        <is>
          <t>{"value":0.5,"unit":"s","kind":"thoi_gian","linh_vuc":"01","code":"WeaponDef.MinSwitchSeconds"}</t>
        </is>
      </c>
    </row>
    <row r="41">
      <c r="A41" t="inlineStr">
        <is>
          <t>weapons.weaponDef.roundHoldSeconds</t>
        </is>
      </c>
      <c r="B41" t="inlineStr">
        <is>
          <t>weaponDef</t>
        </is>
      </c>
      <c r="C41" t="inlineStr">
        <is>
          <t>roundHoldSeconds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WeaponDef.RoundHoldSeconds</t>
        </is>
      </c>
      <c r="J41" t="inlineStr">
        <is>
          <t>Assets/MachineBrigade/Resources/Data/tunables.json: weapons.weaponDef.roundHoldSeconds</t>
        </is>
      </c>
      <c r="K41" t="inlineStr">
        <is>
          <t>{"value":2.0,"unit":"s","kind":"thoi_gian","linh_vuc":"01","code":"WeaponDef.RoundHoldSeconds"}</t>
        </is>
      </c>
    </row>
  </sheetData>
  <autoFilter ref="A1:K41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0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0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210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0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0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